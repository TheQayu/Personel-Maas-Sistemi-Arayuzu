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mehme\Downloads\"/>
    </mc:Choice>
  </mc:AlternateContent>
  <xr:revisionPtr revIDLastSave="0" documentId="8_{702F66E1-66AB-47B6-BA13-AB9B0119D167}" xr6:coauthVersionLast="47" xr6:coauthVersionMax="47" xr10:uidLastSave="{00000000-0000-0000-0000-000000000000}"/>
  <x:bookViews>
    <x:workbookView xWindow="-120" yWindow="-120" windowWidth="29040" windowHeight="15720" tabRatio="888" firstSheet="0" activeTab="3" xr2:uid="{33DCD4B0-42FB-484C-AABF-68EE1281CD5C}"/>
  </x:bookViews>
  <x:sheets>
    <x:sheet name="Kampüs1" sheetId="94" r:id="rId11"/>
    <x:sheet name="Kampüs2" sheetId="95" r:id="rId12"/>
    <x:sheet name="Kampüs3" sheetId="96" r:id="rId13"/>
    <x:sheet name="Puantaj" sheetId="93" state="veryHidden" r:id="rId1"/>
    <x:sheet name="BORDRO" sheetId="80" r:id="rId2"/>
    <x:sheet name="Banka Lis." sheetId="53" r:id="rId3"/>
    <x:sheet name="MUH SGK RAPORU" sheetId="89" r:id="rId4"/>
  </x:sheets>
  <x:externalReferences>
    <x:externalReference r:id="rId5"/>
    <x:externalReference r:id="rId6"/>
  </x:externalReferences>
  <x:definedNames>
    <x:definedName name="_xlnm.Print_Area" localSheetId="3">Puantaj!$B$1:$AK$253</x:definedName>
    <x:definedName name="_xlnm._FilterDatabase" localSheetId="3" hidden="1">Puantaj!$A$5:$AO$424</x:definedName>
    <x:definedName name="_xlnm.Print_Area" localSheetId="4">BORDRO!$A$2:$T$429</x:definedName>
    <x:definedName name="DENE" localSheetId="4">'[2]tahakkuk müzekkeresi_1'!#REF!</x:definedName>
    <x:definedName name="_xlnm.Print_Area" localSheetId="5">'Banka Lis.'!$B$1:$H$430</x:definedName>
    <x:definedName name="Sözleşmeli" comment="ÖĞRENCİ" localSheetId="5">'Banka Lis.'!#REF!</x:definedName>
    <x:definedName name="_xlnm.Print_Area" localSheetId="0">Kampüs1!$B$1:$AK$253</x:definedName>
    <x:definedName name="_xlnm._FilterDatabase" localSheetId="0" hidden="1">Kampüs1!$A$5:$AO$424</x:definedName>
    <x:definedName name="_xlnm.Print_Area" localSheetId="1">Kampüs2!$B$1:$AK$253</x:definedName>
    <x:definedName name="_xlnm._FilterDatabase" localSheetId="1" hidden="1">Kampüs2!$A$5:$AO$424</x:definedName>
    <x:definedName name="_xlnm.Print_Area" localSheetId="2">Kampüs3!$B$1:$AK$253</x:definedName>
    <x:definedName name="_xlnm._FilterDatabase" localSheetId="2" hidden="1">Kampüs3!$A$5:$AO$424</x:definedName>
    <x:definedName name="DENE">'[2]tahakkuk müzekkeresi_1'!#REF!</x:definedName>
    <x:definedName name="dflt2">[1]Sayfa1!$G$21</x:definedName>
    <x:definedName name="Öğrenci">'Banka Lis.'!#REF!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F3" i="93"/>
  <x:c r="G3" i="93"/>
  <x:c r="H3" i="93"/>
  <x:c r="I3" i="93"/>
  <x:c r="J3" i="93"/>
  <x:c r="K3" i="93"/>
  <x:c r="L3" i="93"/>
  <x:c r="M3" i="93"/>
  <x:c r="N3" i="93"/>
  <x:c r="O3" i="93"/>
  <x:c r="P3" i="93"/>
  <x:c r="Q3" i="93"/>
  <x:c r="R3" i="93"/>
  <x:c r="S3" i="93"/>
  <x:c r="T3" i="93"/>
  <x:c r="U3" i="93"/>
  <x:c r="V3" i="93"/>
  <x:c r="W3" i="93"/>
  <x:c r="X3" i="93"/>
  <x:c r="Y3" i="93"/>
  <x:c r="Z3" i="93"/>
  <x:c r="AA3" i="93"/>
  <x:c r="AB3" i="93"/>
  <x:c r="AC3" i="93"/>
  <x:c r="AD3" i="93"/>
  <x:c r="AE3" i="93"/>
  <x:c r="AF3" i="93"/>
  <x:c r="AG3" i="93"/>
  <x:c r="AH3" i="93"/>
  <x:c r="AI3" i="93"/>
  <x:c r="AJ3" i="93"/>
  <x:c r="AT4" i="93"/>
  <x:c r="F5" i="93"/>
  <x:c r="G5" i="93"/>
  <x:c r="H5" i="93"/>
  <x:c r="I5" i="93"/>
  <x:c r="J5" i="93"/>
  <x:c r="K5" i="93"/>
  <x:c r="L5" i="93"/>
  <x:c r="M5" i="93"/>
  <x:c r="N5" i="93"/>
  <x:c r="O5" i="93"/>
  <x:c r="P5" i="93"/>
  <x:c r="Q5" i="93"/>
  <x:c r="R5" i="93"/>
  <x:c r="S5" i="93"/>
  <x:c r="T5" i="93"/>
  <x:c r="U5" i="93"/>
  <x:c r="V5" i="93"/>
  <x:c r="W5" i="93"/>
  <x:c r="X5" i="93"/>
  <x:c r="Y5" i="93"/>
  <x:c r="Z5" i="93"/>
  <x:c r="AA5" i="93"/>
  <x:c r="AB5" i="93"/>
  <x:c r="AC5" i="93"/>
  <x:c r="AD5" i="93"/>
  <x:c r="AE5" i="93"/>
  <x:c r="AF5" i="93"/>
  <x:c r="AG5" i="93"/>
  <x:c r="AH5" i="93"/>
  <x:c r="AI5" i="93"/>
  <x:c r="AJ5" i="93"/>
  <x:c r="AK6" i="93"/>
  <x:c r="AL6" i="93"/>
  <x:c r="AM6" i="93"/>
  <x:c r="AS6" i="93"/>
  <x:c r="AT6" i="93"/>
  <x:c r="AK7" i="93"/>
  <x:c r="AL7" i="93"/>
  <x:c r="AM7" i="93"/>
  <x:c r="AS7" i="93"/>
  <x:c r="AK8" i="93"/>
  <x:c r="AL8" i="93"/>
  <x:c r="AM8" i="93"/>
  <x:c r="AS8" i="93"/>
  <x:c r="AK9" i="93"/>
  <x:c r="AL9" i="93"/>
  <x:c r="AM9" i="93"/>
  <x:c r="AS9" i="93"/>
  <x:c r="AK10" i="93"/>
  <x:c r="AL10" i="93"/>
  <x:c r="AM10" i="93"/>
  <x:c r="AS10" i="93"/>
  <x:c r="AK11" i="93"/>
  <x:c r="AL11" i="93"/>
  <x:c r="AM11" i="93"/>
  <x:c r="AS11" i="93"/>
  <x:c r="AK12" i="93"/>
  <x:c r="AL12" i="93"/>
  <x:c r="AM12" i="93"/>
  <x:c r="AS12" i="93"/>
  <x:c r="AK13" i="93"/>
  <x:c r="AL13" i="93"/>
  <x:c r="AM13" i="93"/>
  <x:c r="AS13" i="93"/>
  <x:c r="AK14" i="93"/>
  <x:c r="AL14" i="93"/>
  <x:c r="AM14" i="93"/>
  <x:c r="AS14" i="93"/>
  <x:c r="AK15" i="93"/>
  <x:c r="AL15" i="93"/>
  <x:c r="AM15" i="93"/>
  <x:c r="AS15" i="93"/>
  <x:c r="AK16" i="93"/>
  <x:c r="AL16" i="93"/>
  <x:c r="AM16" i="93"/>
  <x:c r="AS16" i="93"/>
  <x:c r="AK17" i="93"/>
  <x:c r="AL17" i="93"/>
  <x:c r="AM17" i="93"/>
  <x:c r="AS17" i="93"/>
  <x:c r="AK18" i="93"/>
  <x:c r="AL18" i="93"/>
  <x:c r="AM18" i="93"/>
  <x:c r="AK19" i="93"/>
  <x:c r="AL19" i="93"/>
  <x:c r="AM19" i="93"/>
  <x:c r="AK20" i="93"/>
  <x:c r="AL20" i="93"/>
  <x:c r="AM20" i="93"/>
  <x:c r="AK21" i="93"/>
  <x:c r="AL21" i="93"/>
  <x:c r="AM21" i="93"/>
  <x:c r="AK22" i="93"/>
  <x:c r="AL22" i="93"/>
  <x:c r="AM22" i="93"/>
  <x:c r="AK23" i="93"/>
  <x:c r="AL23" i="93"/>
  <x:c r="AM23" i="93"/>
  <x:c r="AK24" i="93"/>
  <x:c r="AL24" i="93"/>
  <x:c r="AM24" i="93"/>
  <x:c r="AK25" i="93"/>
  <x:c r="AL25" i="93"/>
  <x:c r="AM25" i="93"/>
  <x:c r="AK26" i="93"/>
  <x:c r="AL26" i="93"/>
  <x:c r="AM26" i="93"/>
  <x:c r="AK27" i="93"/>
  <x:c r="AL27" i="93"/>
  <x:c r="AM27" i="93"/>
  <x:c r="AK28" i="93"/>
  <x:c r="AL28" i="93"/>
  <x:c r="AM28" i="93"/>
  <x:c r="AK29" i="93"/>
  <x:c r="AL29" i="93"/>
  <x:c r="AM29" i="93"/>
  <x:c r="AK30" i="93"/>
  <x:c r="AL30" i="93"/>
  <x:c r="AM30" i="93"/>
  <x:c r="AK31" i="93"/>
  <x:c r="AL31" i="93"/>
  <x:c r="AM31" i="93"/>
  <x:c r="AK32" i="93"/>
  <x:c r="AL32" i="93"/>
  <x:c r="AM32" i="93"/>
  <x:c r="AK33" i="93"/>
  <x:c r="AL33" i="93"/>
  <x:c r="AM33" i="93"/>
  <x:c r="AK34" i="93"/>
  <x:c r="AL34" i="93"/>
  <x:c r="AM34" i="93"/>
  <x:c r="AK35" i="93"/>
  <x:c r="AL35" i="93"/>
  <x:c r="AM35" i="93"/>
  <x:c r="AK36" i="93"/>
  <x:c r="AL36" i="93"/>
  <x:c r="AM36" i="93"/>
  <x:c r="AK37" i="93"/>
  <x:c r="AL37" i="93"/>
  <x:c r="AM37" i="93"/>
  <x:c r="AK38" i="93"/>
  <x:c r="AL38" i="93"/>
  <x:c r="AM38" i="93"/>
  <x:c r="AK39" i="93"/>
  <x:c r="AL39" i="93"/>
  <x:c r="AM39" i="93"/>
  <x:c r="AK40" i="93"/>
  <x:c r="AL40" i="93"/>
  <x:c r="AM40" i="93"/>
  <x:c r="AK41" i="93"/>
  <x:c r="AL41" i="93"/>
  <x:c r="AM41" i="93"/>
  <x:c r="AK42" i="93"/>
  <x:c r="AL42" i="93"/>
  <x:c r="AM42" i="93"/>
  <x:c r="AK43" i="93"/>
  <x:c r="AL43" i="93"/>
  <x:c r="AM43" i="93"/>
  <x:c r="AK44" i="93"/>
  <x:c r="AL44" i="93"/>
  <x:c r="AM44" i="93"/>
  <x:c r="AK45" i="93"/>
  <x:c r="AL45" i="93"/>
  <x:c r="AM45" i="93"/>
  <x:c r="AK46" i="93"/>
  <x:c r="AL46" i="93"/>
  <x:c r="AM46" i="93"/>
  <x:c r="AK47" i="93"/>
  <x:c r="AL47" i="93"/>
  <x:c r="AM47" i="93"/>
  <x:c r="AK48" i="93"/>
  <x:c r="AL48" i="93"/>
  <x:c r="AM48" i="93"/>
  <x:c r="AK49" i="93"/>
  <x:c r="AL49" i="93"/>
  <x:c r="AM49" i="93"/>
  <x:c r="AK50" i="93"/>
  <x:c r="AL50" i="93"/>
  <x:c r="AM50" i="93"/>
  <x:c r="AK51" i="93"/>
  <x:c r="AL51" i="93"/>
  <x:c r="AM51" i="93"/>
  <x:c r="AK52" i="93"/>
  <x:c r="AL52" i="93"/>
  <x:c r="AM52" i="93"/>
  <x:c r="AK53" i="93"/>
  <x:c r="AL53" i="93"/>
  <x:c r="AM53" i="93"/>
  <x:c r="AK54" i="93"/>
  <x:c r="AL54" i="93"/>
  <x:c r="AM54" i="93"/>
  <x:c r="AK55" i="93"/>
  <x:c r="AL55" i="93"/>
  <x:c r="AM55" i="93"/>
  <x:c r="AK56" i="93"/>
  <x:c r="AL56" i="93"/>
  <x:c r="AM56" i="93"/>
  <x:c r="AK57" i="93"/>
  <x:c r="AL57" i="93"/>
  <x:c r="AM57" i="93"/>
  <x:c r="AK58" i="93"/>
  <x:c r="AL58" i="93"/>
  <x:c r="AM58" i="93"/>
  <x:c r="AK59" i="93"/>
  <x:c r="AL59" i="93"/>
  <x:c r="AM59" i="93"/>
  <x:c r="AK60" i="93"/>
  <x:c r="AL60" i="93"/>
  <x:c r="AM60" i="93"/>
  <x:c r="AK61" i="93"/>
  <x:c r="AL61" i="93"/>
  <x:c r="AM61" i="93"/>
  <x:c r="AK62" i="93"/>
  <x:c r="AL62" i="93"/>
  <x:c r="AM62" i="93"/>
  <x:c r="AK63" i="93"/>
  <x:c r="AL63" i="93"/>
  <x:c r="AM63" i="93"/>
  <x:c r="AK64" i="93"/>
  <x:c r="AL64" i="93"/>
  <x:c r="AM64" i="93"/>
  <x:c r="AK65" i="93"/>
  <x:c r="AL65" i="93"/>
  <x:c r="AM65" i="93"/>
  <x:c r="AK66" i="93"/>
  <x:c r="AL66" i="93"/>
  <x:c r="AM66" i="93"/>
  <x:c r="AK67" i="93"/>
  <x:c r="AL67" i="93"/>
  <x:c r="AM67" i="93"/>
  <x:c r="AK68" i="93"/>
  <x:c r="AL68" i="93"/>
  <x:c r="AM68" i="93"/>
  <x:c r="AK69" i="93"/>
  <x:c r="AL69" i="93"/>
  <x:c r="AM69" i="93"/>
  <x:c r="AK70" i="93"/>
  <x:c r="AL70" i="93"/>
  <x:c r="AM70" i="93"/>
  <x:c r="AK71" i="93"/>
  <x:c r="AL71" i="93"/>
  <x:c r="AM71" i="93"/>
  <x:c r="AK72" i="93"/>
  <x:c r="AL72" i="93"/>
  <x:c r="AM72" i="93"/>
  <x:c r="AK73" i="93"/>
  <x:c r="AL73" i="93"/>
  <x:c r="AM73" i="93"/>
  <x:c r="AK74" i="93"/>
  <x:c r="AL74" i="93"/>
  <x:c r="AM74" i="93"/>
  <x:c r="AK75" i="93"/>
  <x:c r="AL75" i="93"/>
  <x:c r="AM75" i="93"/>
  <x:c r="AK76" i="93"/>
  <x:c r="AL76" i="93"/>
  <x:c r="AM76" i="93"/>
  <x:c r="AK77" i="93"/>
  <x:c r="AL77" i="93"/>
  <x:c r="AM77" i="93"/>
  <x:c r="AK78" i="93"/>
  <x:c r="AL78" i="93"/>
  <x:c r="AM78" i="93"/>
  <x:c r="AK79" i="93"/>
  <x:c r="AL79" i="93"/>
  <x:c r="AM79" i="93"/>
  <x:c r="AK80" i="93"/>
  <x:c r="AL80" i="93"/>
  <x:c r="AM80" i="93"/>
  <x:c r="AK81" i="93"/>
  <x:c r="AL81" i="93"/>
  <x:c r="AM81" i="93"/>
  <x:c r="AK82" i="93"/>
  <x:c r="AL82" i="93"/>
  <x:c r="AM82" i="93"/>
  <x:c r="AK83" i="93"/>
  <x:c r="AL83" i="93"/>
  <x:c r="AM83" i="93"/>
  <x:c r="AK84" i="93"/>
  <x:c r="AL84" i="93"/>
  <x:c r="AM84" i="93"/>
  <x:c r="AK85" i="93"/>
  <x:c r="AL85" i="93"/>
  <x:c r="AM85" i="93"/>
  <x:c r="AK86" i="93"/>
  <x:c r="AL86" i="93"/>
  <x:c r="AM86" i="93"/>
  <x:c r="AK87" i="93"/>
  <x:c r="AL87" i="93"/>
  <x:c r="AM87" i="93"/>
  <x:c r="AK88" i="93"/>
  <x:c r="AL88" i="93"/>
  <x:c r="AM88" i="93"/>
  <x:c r="AK89" i="93"/>
  <x:c r="AL89" i="93"/>
  <x:c r="AM89" i="93"/>
  <x:c r="AK90" i="93"/>
  <x:c r="AL90" i="93"/>
  <x:c r="AM90" i="93"/>
  <x:c r="AK91" i="93"/>
  <x:c r="AL91" i="93"/>
  <x:c r="AM91" i="93"/>
  <x:c r="AK92" i="93"/>
  <x:c r="AL92" i="93"/>
  <x:c r="AM92" i="93"/>
  <x:c r="AK93" i="93"/>
  <x:c r="AL93" i="93"/>
  <x:c r="AM93" i="93"/>
  <x:c r="AK94" i="93"/>
  <x:c r="AL94" i="93"/>
  <x:c r="AM94" i="93"/>
  <x:c r="AK95" i="93"/>
  <x:c r="AL95" i="93"/>
  <x:c r="AM95" i="93"/>
  <x:c r="AK96" i="93"/>
  <x:c r="AL96" i="93"/>
  <x:c r="AM96" i="93"/>
  <x:c r="AK97" i="93"/>
  <x:c r="AL97" i="93"/>
  <x:c r="AM97" i="93"/>
  <x:c r="AK98" i="93"/>
  <x:c r="AL98" i="93"/>
  <x:c r="AM98" i="93"/>
  <x:c r="AK99" i="93"/>
  <x:c r="AL99" i="93"/>
  <x:c r="AM99" i="93"/>
  <x:c r="AK100" i="93"/>
  <x:c r="AL100" i="93"/>
  <x:c r="AM100" i="93"/>
  <x:c r="AK101" i="93"/>
  <x:c r="AL101" i="93"/>
  <x:c r="AM101" i="93"/>
  <x:c r="AK102" i="93"/>
  <x:c r="AL102" i="93"/>
  <x:c r="AM102" i="93"/>
  <x:c r="AK103" i="93"/>
  <x:c r="AL103" i="93"/>
  <x:c r="AM103" i="93"/>
  <x:c r="AK104" i="93"/>
  <x:c r="AL104" i="93"/>
  <x:c r="AM104" i="93"/>
  <x:c r="AK105" i="93"/>
  <x:c r="AL105" i="93"/>
  <x:c r="AM105" i="93"/>
  <x:c r="AK106" i="93"/>
  <x:c r="AL106" i="93"/>
  <x:c r="AM106" i="93"/>
  <x:c r="AK107" i="93"/>
  <x:c r="AL107" i="93"/>
  <x:c r="AM107" i="93"/>
  <x:c r="AK108" i="93"/>
  <x:c r="AL108" i="93"/>
  <x:c r="AM108" i="93"/>
  <x:c r="AK109" i="93"/>
  <x:c r="AL109" i="93"/>
  <x:c r="AM109" i="93"/>
  <x:c r="AK110" i="93"/>
  <x:c r="AL110" i="93"/>
  <x:c r="AM110" i="93"/>
  <x:c r="AK111" i="93"/>
  <x:c r="AL111" i="93"/>
  <x:c r="AM111" i="93"/>
  <x:c r="AK112" i="93"/>
  <x:c r="AL112" i="93"/>
  <x:c r="AM112" i="93"/>
  <x:c r="AK113" i="93"/>
  <x:c r="AL113" i="93"/>
  <x:c r="AM113" i="93"/>
  <x:c r="AK114" i="93"/>
  <x:c r="AL114" i="93"/>
  <x:c r="AM114" i="93"/>
  <x:c r="AK115" i="93"/>
  <x:c r="AL115" i="93"/>
  <x:c r="AM115" i="93"/>
  <x:c r="AK116" i="93"/>
  <x:c r="AL116" i="93"/>
  <x:c r="AM116" i="93"/>
  <x:c r="AK117" i="93"/>
  <x:c r="AL117" i="93"/>
  <x:c r="AM117" i="93"/>
  <x:c r="AK118" i="93"/>
  <x:c r="AL118" i="93"/>
  <x:c r="AM118" i="93"/>
  <x:c r="AK119" i="93"/>
  <x:c r="AL119" i="93"/>
  <x:c r="AM119" i="93"/>
  <x:c r="AK120" i="93"/>
  <x:c r="AL120" i="93"/>
  <x:c r="AM120" i="93"/>
  <x:c r="AK121" i="93"/>
  <x:c r="AL121" i="93"/>
  <x:c r="AM121" i="93"/>
  <x:c r="AK122" i="93"/>
  <x:c r="AL122" i="93"/>
  <x:c r="AM122" i="93"/>
  <x:c r="AK123" i="93"/>
  <x:c r="AL123" i="93"/>
  <x:c r="AM123" i="93"/>
  <x:c r="AK124" i="93"/>
  <x:c r="AL124" i="93"/>
  <x:c r="AM124" i="93"/>
  <x:c r="AK125" i="93"/>
  <x:c r="AL125" i="93"/>
  <x:c r="AM125" i="93"/>
  <x:c r="AK126" i="93"/>
  <x:c r="AL126" i="93"/>
  <x:c r="AM126" i="93"/>
  <x:c r="AK127" i="93"/>
  <x:c r="AL127" i="93"/>
  <x:c r="AM127" i="93"/>
  <x:c r="AK128" i="93"/>
  <x:c r="AL128" i="93"/>
  <x:c r="AM128" i="93"/>
  <x:c r="AK129" i="93"/>
  <x:c r="AL129" i="93"/>
  <x:c r="AM129" i="93"/>
  <x:c r="AK130" i="93"/>
  <x:c r="AL130" i="93"/>
  <x:c r="AM130" i="93"/>
  <x:c r="AK131" i="93"/>
  <x:c r="AL131" i="93"/>
  <x:c r="AM131" i="93"/>
  <x:c r="AK132" i="93"/>
  <x:c r="AL132" i="93"/>
  <x:c r="AM132" i="93"/>
  <x:c r="AK133" i="93"/>
  <x:c r="AL133" i="93"/>
  <x:c r="AM133" i="93"/>
  <x:c r="AK134" i="93"/>
  <x:c r="AL134" i="93"/>
  <x:c r="AM134" i="93"/>
  <x:c r="AK135" i="93"/>
  <x:c r="AL135" i="93"/>
  <x:c r="AM135" i="93"/>
  <x:c r="AK136" i="93"/>
  <x:c r="AL136" i="93"/>
  <x:c r="AM136" i="93"/>
  <x:c r="AK137" i="93"/>
  <x:c r="AL137" i="93"/>
  <x:c r="AM137" i="93"/>
  <x:c r="AK138" i="93"/>
  <x:c r="AL138" i="93"/>
  <x:c r="AM138" i="93"/>
  <x:c r="AK139" i="93"/>
  <x:c r="AL139" i="93"/>
  <x:c r="AM139" i="93"/>
  <x:c r="AK140" i="93"/>
  <x:c r="AL140" i="93"/>
  <x:c r="AM140" i="93"/>
  <x:c r="AK141" i="93"/>
  <x:c r="AL141" i="93"/>
  <x:c r="AM141" i="93"/>
  <x:c r="AK142" i="93"/>
  <x:c r="AL142" i="93"/>
  <x:c r="AM142" i="93"/>
  <x:c r="AK143" i="93"/>
  <x:c r="AL143" i="93"/>
  <x:c r="AM143" i="93"/>
  <x:c r="AK144" i="93"/>
  <x:c r="AL144" i="93"/>
  <x:c r="AM144" i="93"/>
  <x:c r="AK145" i="93"/>
  <x:c r="AL145" i="93"/>
  <x:c r="AM145" i="93"/>
  <x:c r="AK146" i="93"/>
  <x:c r="AL146" i="93"/>
  <x:c r="AM146" i="93"/>
  <x:c r="AK147" i="93"/>
  <x:c r="AL147" i="93"/>
  <x:c r="AM147" i="93"/>
  <x:c r="AK148" i="93"/>
  <x:c r="AL148" i="93"/>
  <x:c r="AM148" i="93"/>
  <x:c r="AK149" i="93"/>
  <x:c r="AL149" i="93"/>
  <x:c r="AM149" i="93"/>
  <x:c r="AK150" i="93"/>
  <x:c r="AL150" i="93"/>
  <x:c r="AM150" i="93"/>
  <x:c r="AK151" i="93"/>
  <x:c r="AL151" i="93"/>
  <x:c r="AM151" i="93"/>
  <x:c r="AK152" i="93"/>
  <x:c r="AL152" i="93"/>
  <x:c r="AM152" i="93"/>
  <x:c r="AK153" i="93"/>
  <x:c r="AL153" i="93"/>
  <x:c r="AM153" i="93"/>
  <x:c r="AK154" i="93"/>
  <x:c r="AL154" i="93"/>
  <x:c r="AM154" i="93"/>
  <x:c r="AK155" i="93"/>
  <x:c r="AL155" i="93"/>
  <x:c r="AM155" i="93"/>
  <x:c r="AK156" i="93"/>
  <x:c r="AL156" i="93"/>
  <x:c r="AM156" i="93"/>
  <x:c r="AK157" i="93"/>
  <x:c r="AL157" i="93"/>
  <x:c r="AM157" i="93"/>
  <x:c r="AK158" i="93"/>
  <x:c r="AL158" i="93"/>
  <x:c r="AM158" i="93"/>
  <x:c r="AK159" i="93"/>
  <x:c r="AL159" i="93"/>
  <x:c r="AM159" i="93"/>
  <x:c r="AK160" i="93"/>
  <x:c r="AL160" i="93"/>
  <x:c r="AM160" i="93"/>
  <x:c r="AK161" i="93"/>
  <x:c r="AL161" i="93"/>
  <x:c r="AM161" i="93"/>
  <x:c r="AK162" i="93"/>
  <x:c r="AL162" i="93"/>
  <x:c r="AM162" i="93"/>
  <x:c r="AK163" i="93"/>
  <x:c r="AL163" i="93"/>
  <x:c r="AM163" i="93"/>
  <x:c r="AK164" i="93"/>
  <x:c r="AL164" i="93"/>
  <x:c r="AM164" i="93"/>
  <x:c r="AK165" i="93"/>
  <x:c r="AL165" i="93"/>
  <x:c r="AM165" i="93"/>
  <x:c r="AK166" i="93"/>
  <x:c r="AL166" i="93"/>
  <x:c r="AM166" i="93"/>
  <x:c r="AK167" i="93"/>
  <x:c r="AL167" i="93"/>
  <x:c r="AM167" i="93"/>
  <x:c r="AK168" i="93"/>
  <x:c r="AL168" i="93"/>
  <x:c r="AM168" i="93"/>
  <x:c r="AK169" i="93"/>
  <x:c r="AL169" i="93"/>
  <x:c r="AM169" i="93"/>
  <x:c r="AK170" i="93"/>
  <x:c r="AL170" i="93"/>
  <x:c r="AM170" i="93"/>
  <x:c r="AK171" i="93"/>
  <x:c r="AL171" i="93"/>
  <x:c r="AM171" i="93"/>
  <x:c r="AK172" i="93"/>
  <x:c r="AL172" i="93"/>
  <x:c r="AM172" i="93"/>
  <x:c r="AK173" i="93"/>
  <x:c r="AL173" i="93"/>
  <x:c r="AM173" i="93"/>
  <x:c r="AK174" i="93"/>
  <x:c r="AL174" i="93"/>
  <x:c r="AM174" i="93"/>
  <x:c r="AK175" i="93"/>
  <x:c r="AL175" i="93"/>
  <x:c r="AM175" i="93"/>
  <x:c r="AK176" i="93"/>
  <x:c r="AL176" i="93"/>
  <x:c r="AM176" i="93"/>
  <x:c r="AK177" i="93"/>
  <x:c r="AL177" i="93"/>
  <x:c r="AM177" i="93"/>
  <x:c r="AK178" i="93"/>
  <x:c r="AL178" i="93"/>
  <x:c r="AM178" i="93"/>
  <x:c r="AK179" i="93"/>
  <x:c r="AL179" i="93"/>
  <x:c r="AM179" i="93"/>
  <x:c r="AK180" i="93"/>
  <x:c r="AL180" i="93"/>
  <x:c r="AM180" i="93"/>
  <x:c r="AK181" i="93"/>
  <x:c r="AL181" i="93"/>
  <x:c r="AM181" i="93"/>
  <x:c r="AK182" i="93"/>
  <x:c r="AL182" i="93"/>
  <x:c r="AM182" i="93"/>
  <x:c r="AK183" i="93"/>
  <x:c r="AL183" i="93"/>
  <x:c r="AM183" i="93"/>
  <x:c r="AK184" i="93"/>
  <x:c r="AL184" i="93"/>
  <x:c r="AM184" i="93"/>
  <x:c r="AK185" i="93"/>
  <x:c r="AL185" i="93"/>
  <x:c r="AM185" i="93"/>
  <x:c r="AK186" i="93"/>
  <x:c r="AL186" i="93"/>
  <x:c r="AM186" i="93"/>
  <x:c r="AK187" i="93"/>
  <x:c r="AL187" i="93"/>
  <x:c r="AM187" i="93"/>
  <x:c r="AK188" i="93"/>
  <x:c r="AL188" i="93"/>
  <x:c r="AM188" i="93"/>
  <x:c r="AK189" i="93"/>
  <x:c r="AL189" i="93"/>
  <x:c r="AM189" i="93"/>
  <x:c r="AK190" i="93"/>
  <x:c r="AL190" i="93"/>
  <x:c r="AM190" i="93"/>
  <x:c r="AK191" i="93"/>
  <x:c r="AL191" i="93"/>
  <x:c r="AM191" i="93"/>
  <x:c r="AK192" i="93"/>
  <x:c r="AL192" i="93"/>
  <x:c r="AM192" i="93"/>
  <x:c r="AK193" i="93"/>
  <x:c r="AL193" i="93"/>
  <x:c r="AM193" i="93"/>
  <x:c r="AK194" i="93"/>
  <x:c r="AL194" i="93"/>
  <x:c r="AM194" i="93"/>
  <x:c r="AK195" i="93"/>
  <x:c r="AL195" i="93"/>
  <x:c r="AM195" i="93"/>
  <x:c r="AK196" i="93"/>
  <x:c r="AL196" i="93"/>
  <x:c r="AM196" i="93"/>
  <x:c r="AK197" i="93"/>
  <x:c r="AL197" i="93"/>
  <x:c r="AM197" i="93"/>
  <x:c r="AK198" i="93"/>
  <x:c r="AL198" i="93"/>
  <x:c r="AM198" i="93"/>
  <x:c r="AK199" i="93"/>
  <x:c r="AL199" i="93"/>
  <x:c r="AM199" i="93"/>
  <x:c r="AK200" i="93"/>
  <x:c r="AL200" i="93"/>
  <x:c r="AM200" i="93"/>
  <x:c r="AK201" i="93"/>
  <x:c r="AL201" i="93"/>
  <x:c r="AM201" i="93"/>
  <x:c r="AK202" i="93"/>
  <x:c r="AL202" i="93"/>
  <x:c r="AM202" i="93"/>
  <x:c r="AK203" i="93"/>
  <x:c r="AL203" i="93"/>
  <x:c r="AM203" i="93"/>
  <x:c r="AK204" i="93"/>
  <x:c r="AL204" i="93"/>
  <x:c r="AM204" i="93"/>
  <x:c r="AK205" i="93"/>
  <x:c r="AL205" i="93"/>
  <x:c r="AM205" i="93"/>
  <x:c r="AK206" i="93"/>
  <x:c r="AL206" i="93"/>
  <x:c r="AM206" i="93"/>
  <x:c r="AK207" i="93"/>
  <x:c r="AL207" i="93"/>
  <x:c r="AM207" i="93"/>
  <x:c r="AK208" i="93"/>
  <x:c r="AL208" i="93"/>
  <x:c r="AM208" i="93"/>
  <x:c r="AK209" i="93"/>
  <x:c r="AL209" i="93"/>
  <x:c r="AM209" i="93"/>
  <x:c r="AK210" i="93"/>
  <x:c r="AL210" i="93"/>
  <x:c r="AM210" i="93"/>
  <x:c r="AK211" i="93"/>
  <x:c r="AL211" i="93"/>
  <x:c r="AM211" i="93"/>
  <x:c r="AK212" i="93"/>
  <x:c r="AL212" i="93"/>
  <x:c r="AM212" i="93"/>
  <x:c r="AK213" i="93"/>
  <x:c r="AL213" i="93"/>
  <x:c r="AM213" i="93"/>
  <x:c r="AK214" i="93"/>
  <x:c r="AL214" i="93"/>
  <x:c r="AM214" i="93"/>
  <x:c r="AK215" i="93"/>
  <x:c r="AL215" i="93"/>
  <x:c r="AM215" i="93"/>
  <x:c r="AK216" i="93"/>
  <x:c r="AL216" i="93"/>
  <x:c r="AM216" i="93"/>
  <x:c r="AK217" i="93"/>
  <x:c r="AL217" i="93"/>
  <x:c r="AM217" i="93"/>
  <x:c r="AK218" i="93"/>
  <x:c r="AL218" i="93"/>
  <x:c r="AM218" i="93"/>
  <x:c r="AK219" i="93"/>
  <x:c r="AL219" i="93"/>
  <x:c r="AM219" i="93"/>
  <x:c r="AK220" i="93"/>
  <x:c r="AL220" i="93"/>
  <x:c r="AM220" i="93"/>
  <x:c r="AK221" i="93"/>
  <x:c r="AL221" i="93"/>
  <x:c r="AM221" i="93"/>
  <x:c r="AK222" i="93"/>
  <x:c r="AL222" i="93"/>
  <x:c r="AM222" i="93"/>
  <x:c r="AK223" i="93"/>
  <x:c r="AL223" i="93"/>
  <x:c r="AM223" i="93"/>
  <x:c r="AK224" i="93"/>
  <x:c r="AL224" i="93"/>
  <x:c r="AM224" i="93"/>
  <x:c r="AK225" i="93"/>
  <x:c r="AL225" i="93"/>
  <x:c r="AM225" i="93"/>
  <x:c r="AK226" i="93"/>
  <x:c r="AL226" i="93"/>
  <x:c r="AM226" i="93"/>
  <x:c r="AK227" i="93"/>
  <x:c r="AL227" i="93"/>
  <x:c r="AM227" i="93"/>
  <x:c r="AK228" i="93"/>
  <x:c r="AL228" i="93"/>
  <x:c r="AM228" i="93"/>
  <x:c r="AK229" i="93"/>
  <x:c r="AL229" i="93"/>
  <x:c r="AM229" i="93"/>
  <x:c r="AK230" i="93"/>
  <x:c r="AL230" i="93"/>
  <x:c r="AM230" i="93"/>
  <x:c r="AK231" i="93"/>
  <x:c r="AL231" i="93"/>
  <x:c r="AM231" i="93"/>
  <x:c r="AK232" i="93"/>
  <x:c r="AL232" i="93"/>
  <x:c r="AM232" i="93"/>
  <x:c r="AK233" i="93"/>
  <x:c r="AL233" i="93"/>
  <x:c r="AM233" i="93"/>
  <x:c r="AK234" i="93"/>
  <x:c r="AL234" i="93"/>
  <x:c r="AM234" i="93"/>
  <x:c r="AK235" i="93"/>
  <x:c r="AL235" i="93"/>
  <x:c r="AM235" i="93"/>
  <x:c r="AK236" i="93"/>
  <x:c r="AL236" i="93"/>
  <x:c r="AM236" i="93"/>
  <x:c r="AK237" i="93"/>
  <x:c r="AL237" i="93"/>
  <x:c r="AM237" i="93"/>
  <x:c r="AK238" i="93"/>
  <x:c r="AL238" i="93"/>
  <x:c r="AM238" i="93"/>
  <x:c r="AK239" i="93"/>
  <x:c r="AL239" i="93"/>
  <x:c r="AM239" i="93"/>
  <x:c r="AK240" i="93"/>
  <x:c r="AL240" i="93"/>
  <x:c r="AM240" i="93"/>
  <x:c r="AK241" i="93"/>
  <x:c r="AL241" i="93"/>
  <x:c r="AM241" i="93"/>
  <x:c r="AK242" i="93"/>
  <x:c r="AL242" i="93"/>
  <x:c r="AM242" i="93"/>
  <x:c r="AK243" i="93"/>
  <x:c r="AL243" i="93"/>
  <x:c r="AM243" i="93"/>
  <x:c r="AK244" i="93"/>
  <x:c r="AL244" i="93"/>
  <x:c r="AM244" i="93"/>
  <x:c r="AK245" i="93"/>
  <x:c r="AL245" i="93"/>
  <x:c r="AM245" i="93"/>
  <x:c r="AK246" i="93"/>
  <x:c r="AL246" i="93"/>
  <x:c r="AM246" i="93"/>
  <x:c r="AK247" i="93"/>
  <x:c r="AL247" i="93"/>
  <x:c r="AM247" i="93"/>
  <x:c r="AK248" i="93"/>
  <x:c r="AL248" i="93"/>
  <x:c r="AM248" i="93"/>
  <x:c r="AK249" i="93"/>
  <x:c r="AL249" i="93"/>
  <x:c r="AM249" i="93"/>
  <x:c r="AK250" i="93"/>
  <x:c r="AL250" i="93"/>
  <x:c r="AM250" i="93"/>
  <x:c r="AK251" i="93"/>
  <x:c r="AL251" i="93"/>
  <x:c r="AM251" i="93"/>
  <x:c r="AK252" i="93"/>
  <x:c r="AL252" i="93"/>
  <x:c r="AM252" i="93"/>
  <x:c r="AK253" i="93"/>
  <x:c r="AL253" i="93"/>
  <x:c r="AM253" i="93"/>
  <x:c r="AK254" i="93"/>
  <x:c r="AL254" i="93"/>
  <x:c r="AM254" i="93"/>
  <x:c r="AK255" i="93"/>
  <x:c r="AL255" i="93"/>
  <x:c r="AM255" i="93"/>
  <x:c r="AK256" i="93"/>
  <x:c r="AL256" i="93"/>
  <x:c r="AM256" i="93"/>
  <x:c r="AK257" i="93"/>
  <x:c r="AL257" i="93"/>
  <x:c r="AM257" i="93"/>
  <x:c r="AK258" i="93"/>
  <x:c r="AL258" i="93"/>
  <x:c r="AM258" i="93"/>
  <x:c r="AK259" i="93"/>
  <x:c r="AL259" i="93"/>
  <x:c r="AM259" i="93"/>
  <x:c r="AK260" i="93"/>
  <x:c r="AL260" i="93"/>
  <x:c r="AM260" i="93"/>
  <x:c r="AK261" i="93"/>
  <x:c r="AL261" i="93"/>
  <x:c r="AM261" i="93"/>
  <x:c r="AK262" i="93"/>
  <x:c r="AL262" i="93"/>
  <x:c r="AM262" i="93"/>
  <x:c r="AK263" i="93"/>
  <x:c r="AL263" i="93"/>
  <x:c r="AM263" i="93"/>
  <x:c r="AK264" i="93"/>
  <x:c r="AL264" i="93"/>
  <x:c r="AM264" i="93"/>
  <x:c r="AK265" i="93"/>
  <x:c r="AL265" i="93"/>
  <x:c r="AM265" i="93"/>
  <x:c r="AK266" i="93"/>
  <x:c r="AL266" i="93"/>
  <x:c r="AM266" i="93"/>
  <x:c r="AK267" i="93"/>
  <x:c r="AL267" i="93"/>
  <x:c r="AM267" i="93"/>
  <x:c r="AK268" i="93"/>
  <x:c r="AL268" i="93"/>
  <x:c r="AM268" i="93"/>
  <x:c r="AK269" i="93"/>
  <x:c r="AL269" i="93"/>
  <x:c r="AM269" i="93"/>
  <x:c r="AK270" i="93"/>
  <x:c r="AL270" i="93"/>
  <x:c r="AM270" i="93"/>
  <x:c r="AK271" i="93"/>
  <x:c r="AL271" i="93"/>
  <x:c r="AM271" i="93"/>
  <x:c r="AK272" i="93"/>
  <x:c r="AL272" i="93"/>
  <x:c r="AM272" i="93"/>
  <x:c r="AK273" i="93"/>
  <x:c r="AL273" i="93"/>
  <x:c r="AM273" i="93"/>
  <x:c r="AK274" i="93"/>
  <x:c r="AL274" i="93"/>
  <x:c r="AM274" i="93"/>
  <x:c r="AK275" i="93"/>
  <x:c r="AL275" i="93"/>
  <x:c r="AM275" i="93"/>
  <x:c r="AK276" i="93"/>
  <x:c r="AL276" i="93"/>
  <x:c r="AM276" i="93"/>
  <x:c r="AK277" i="93"/>
  <x:c r="AL277" i="93"/>
  <x:c r="AM277" i="93"/>
  <x:c r="AK278" i="93"/>
  <x:c r="AL278" i="93"/>
  <x:c r="AM278" i="93"/>
  <x:c r="AK279" i="93"/>
  <x:c r="AL279" i="93"/>
  <x:c r="AM279" i="93"/>
  <x:c r="AK280" i="93"/>
  <x:c r="AL280" i="93"/>
  <x:c r="AM280" i="93"/>
  <x:c r="AK281" i="93"/>
  <x:c r="AL281" i="93"/>
  <x:c r="AM281" i="93"/>
  <x:c r="AK282" i="93"/>
  <x:c r="AL282" i="93"/>
  <x:c r="AM282" i="93"/>
  <x:c r="AK283" i="93"/>
  <x:c r="AL283" i="93"/>
  <x:c r="AM283" i="93"/>
  <x:c r="AK284" i="93"/>
  <x:c r="AL284" i="93"/>
  <x:c r="AM284" i="93"/>
  <x:c r="AK285" i="93"/>
  <x:c r="AL285" i="93"/>
  <x:c r="AM285" i="93"/>
  <x:c r="AK286" i="93"/>
  <x:c r="AL286" i="93"/>
  <x:c r="AM286" i="93"/>
  <x:c r="AK287" i="93"/>
  <x:c r="AL287" i="93"/>
  <x:c r="AM287" i="93"/>
  <x:c r="AK288" i="93"/>
  <x:c r="AL288" i="93"/>
  <x:c r="AM288" i="93"/>
  <x:c r="AK289" i="93"/>
  <x:c r="AL289" i="93"/>
  <x:c r="AM289" i="93"/>
  <x:c r="AK290" i="93"/>
  <x:c r="AL290" i="93"/>
  <x:c r="AM290" i="93"/>
  <x:c r="AK291" i="93"/>
  <x:c r="AL291" i="93"/>
  <x:c r="AM291" i="93"/>
  <x:c r="AK292" i="93"/>
  <x:c r="AL292" i="93"/>
  <x:c r="AM292" i="93"/>
  <x:c r="AK293" i="93"/>
  <x:c r="AL293" i="93"/>
  <x:c r="AM293" i="93"/>
  <x:c r="AK294" i="93"/>
  <x:c r="AL294" i="93"/>
  <x:c r="AM294" i="93"/>
  <x:c r="AK295" i="93"/>
  <x:c r="AL295" i="93"/>
  <x:c r="AM295" i="93"/>
  <x:c r="AK296" i="93"/>
  <x:c r="AL296" i="93"/>
  <x:c r="AM296" i="93"/>
  <x:c r="AK297" i="93"/>
  <x:c r="AL297" i="93"/>
  <x:c r="AM297" i="93"/>
  <x:c r="AK298" i="93"/>
  <x:c r="AL298" i="93"/>
  <x:c r="AM298" i="93"/>
  <x:c r="AK299" i="93"/>
  <x:c r="AL299" i="93"/>
  <x:c r="AM299" i="93"/>
  <x:c r="AK300" i="93"/>
  <x:c r="AL300" i="93"/>
  <x:c r="AM300" i="93"/>
  <x:c r="AK301" i="93"/>
  <x:c r="AL301" i="93"/>
  <x:c r="AM301" i="93"/>
  <x:c r="AK302" i="93"/>
  <x:c r="AL302" i="93"/>
  <x:c r="AM302" i="93"/>
  <x:c r="AK303" i="93"/>
  <x:c r="AL303" i="93"/>
  <x:c r="AM303" i="93"/>
  <x:c r="AK304" i="93"/>
  <x:c r="AL304" i="93"/>
  <x:c r="AM304" i="93"/>
  <x:c r="AK305" i="93"/>
  <x:c r="AL305" i="93"/>
  <x:c r="AM305" i="93"/>
  <x:c r="AK306" i="93"/>
  <x:c r="AL306" i="93"/>
  <x:c r="AM306" i="93"/>
  <x:c r="AK307" i="93"/>
  <x:c r="AL307" i="93"/>
  <x:c r="AM307" i="93"/>
  <x:c r="AK308" i="93"/>
  <x:c r="AL308" i="93"/>
  <x:c r="AM308" i="93"/>
  <x:c r="AK309" i="93"/>
  <x:c r="AL309" i="93"/>
  <x:c r="AM309" i="93"/>
  <x:c r="AK310" i="93"/>
  <x:c r="AL310" i="93"/>
  <x:c r="AM310" i="93"/>
  <x:c r="AK311" i="93"/>
  <x:c r="AL311" i="93"/>
  <x:c r="AM311" i="93"/>
  <x:c r="AK312" i="93"/>
  <x:c r="AL312" i="93"/>
  <x:c r="AM312" i="93"/>
  <x:c r="AK313" i="93"/>
  <x:c r="AL313" i="93"/>
  <x:c r="AM313" i="93"/>
  <x:c r="AK314" i="93"/>
  <x:c r="AL314" i="93"/>
  <x:c r="AM314" i="93"/>
  <x:c r="AK315" i="93"/>
  <x:c r="AL315" i="93"/>
  <x:c r="AM315" i="93"/>
  <x:c r="AK316" i="93"/>
  <x:c r="AL316" i="93"/>
  <x:c r="AM316" i="93"/>
  <x:c r="AK317" i="93"/>
  <x:c r="AL317" i="93"/>
  <x:c r="AM317" i="93"/>
  <x:c r="AK318" i="93"/>
  <x:c r="AL318" i="93"/>
  <x:c r="AM318" i="93"/>
  <x:c r="AK319" i="93"/>
  <x:c r="AL319" i="93"/>
  <x:c r="AM319" i="93"/>
  <x:c r="AK320" i="93"/>
  <x:c r="AL320" i="93"/>
  <x:c r="AM320" i="93"/>
  <x:c r="AK321" i="93"/>
  <x:c r="AL321" i="93"/>
  <x:c r="AM321" i="93"/>
  <x:c r="AK322" i="93"/>
  <x:c r="AL322" i="93"/>
  <x:c r="AM322" i="93"/>
  <x:c r="AK323" i="93"/>
  <x:c r="AL323" i="93"/>
  <x:c r="AM323" i="93"/>
  <x:c r="AK324" i="93"/>
  <x:c r="AL324" i="93"/>
  <x:c r="AM324" i="93"/>
  <x:c r="AK325" i="93"/>
  <x:c r="AL325" i="93"/>
  <x:c r="AM325" i="93"/>
  <x:c r="AK326" i="93"/>
  <x:c r="AL326" i="93"/>
  <x:c r="AM326" i="93"/>
  <x:c r="AK327" i="93"/>
  <x:c r="AL327" i="93"/>
  <x:c r="AM327" i="93"/>
  <x:c r="AK328" i="93"/>
  <x:c r="AL328" i="93"/>
  <x:c r="AM328" i="93"/>
  <x:c r="AK329" i="93"/>
  <x:c r="AL329" i="93"/>
  <x:c r="AM329" i="93"/>
  <x:c r="AK330" i="93"/>
  <x:c r="AL330" i="93"/>
  <x:c r="AM330" i="93"/>
  <x:c r="AK331" i="93"/>
  <x:c r="AL331" i="93"/>
  <x:c r="AM331" i="93"/>
  <x:c r="AK332" i="93"/>
  <x:c r="AL332" i="93"/>
  <x:c r="AM332" i="93"/>
  <x:c r="AK333" i="93"/>
  <x:c r="AL333" i="93"/>
  <x:c r="AM333" i="93"/>
  <x:c r="AK334" i="93"/>
  <x:c r="AL334" i="93"/>
  <x:c r="AM334" i="93"/>
  <x:c r="AK335" i="93"/>
  <x:c r="AL335" i="93"/>
  <x:c r="AM335" i="93"/>
  <x:c r="AK336" i="93"/>
  <x:c r="AL336" i="93"/>
  <x:c r="AM336" i="93"/>
  <x:c r="AK337" i="93"/>
  <x:c r="AL337" i="93"/>
  <x:c r="AM337" i="93"/>
  <x:c r="AK338" i="93"/>
  <x:c r="AL338" i="93"/>
  <x:c r="AM338" i="93"/>
  <x:c r="AK339" i="93"/>
  <x:c r="AL339" i="93"/>
  <x:c r="AM339" i="93"/>
  <x:c r="AK340" i="93"/>
  <x:c r="AL340" i="93"/>
  <x:c r="AM340" i="93"/>
  <x:c r="AK341" i="93"/>
  <x:c r="AL341" i="93"/>
  <x:c r="AM341" i="93"/>
  <x:c r="AK342" i="93"/>
  <x:c r="AL342" i="93"/>
  <x:c r="AM342" i="93"/>
  <x:c r="AK343" i="93"/>
  <x:c r="AL343" i="93"/>
  <x:c r="AM343" i="93"/>
  <x:c r="AK344" i="93"/>
  <x:c r="AL344" i="93"/>
  <x:c r="AM344" i="93"/>
  <x:c r="AK345" i="93"/>
  <x:c r="AL345" i="93"/>
  <x:c r="AM345" i="93"/>
  <x:c r="AK346" i="93"/>
  <x:c r="AL346" i="93"/>
  <x:c r="AM346" i="93"/>
  <x:c r="AK347" i="93"/>
  <x:c r="AL347" i="93"/>
  <x:c r="AM347" i="93"/>
  <x:c r="AK348" i="93"/>
  <x:c r="AL348" i="93"/>
  <x:c r="AM348" i="93"/>
  <x:c r="AK349" i="93"/>
  <x:c r="AL349" i="93"/>
  <x:c r="AM349" i="93"/>
  <x:c r="AK350" i="93"/>
  <x:c r="AL350" i="93"/>
  <x:c r="AM350" i="93"/>
  <x:c r="AK351" i="93"/>
  <x:c r="AL351" i="93"/>
  <x:c r="AM351" i="93"/>
  <x:c r="AK352" i="93"/>
  <x:c r="AL352" i="93"/>
  <x:c r="AM352" i="93"/>
  <x:c r="AK353" i="93"/>
  <x:c r="AL353" i="93"/>
  <x:c r="AM353" i="93"/>
  <x:c r="AK354" i="93"/>
  <x:c r="AL354" i="93"/>
  <x:c r="AM354" i="93"/>
  <x:c r="AK355" i="93"/>
  <x:c r="AL355" i="93"/>
  <x:c r="AM355" i="93"/>
  <x:c r="AK356" i="93"/>
  <x:c r="AL356" i="93"/>
  <x:c r="AM356" i="93"/>
  <x:c r="AK357" i="93"/>
  <x:c r="AL357" i="93"/>
  <x:c r="AM357" i="93"/>
  <x:c r="AK358" i="93"/>
  <x:c r="AL358" i="93"/>
  <x:c r="AM358" i="93"/>
  <x:c r="AK359" i="93"/>
  <x:c r="AL359" i="93"/>
  <x:c r="AM359" i="93"/>
  <x:c r="AK360" i="93"/>
  <x:c r="AL360" i="93"/>
  <x:c r="AM360" i="93"/>
  <x:c r="AK361" i="93"/>
  <x:c r="AL361" i="93"/>
  <x:c r="AM361" i="93"/>
  <x:c r="AK362" i="93"/>
  <x:c r="AL362" i="93"/>
  <x:c r="AM362" i="93"/>
  <x:c r="AK363" i="93"/>
  <x:c r="AL363" i="93"/>
  <x:c r="AM363" i="93"/>
  <x:c r="AK364" i="93"/>
  <x:c r="AL364" i="93"/>
  <x:c r="AM364" i="93"/>
  <x:c r="AK365" i="93"/>
  <x:c r="AL365" i="93"/>
  <x:c r="AM365" i="93"/>
  <x:c r="AK366" i="93"/>
  <x:c r="AL366" i="93"/>
  <x:c r="AM366" i="93"/>
  <x:c r="AK367" i="93"/>
  <x:c r="AL367" i="93"/>
  <x:c r="AM367" i="93"/>
  <x:c r="AK368" i="93"/>
  <x:c r="AL368" i="93"/>
  <x:c r="AM368" i="93"/>
  <x:c r="AK369" i="93"/>
  <x:c r="AL369" i="93"/>
  <x:c r="AM369" i="93"/>
  <x:c r="AK370" i="93"/>
  <x:c r="AL370" i="93"/>
  <x:c r="AM370" i="93"/>
  <x:c r="AK371" i="93"/>
  <x:c r="AL371" i="93"/>
  <x:c r="AM371" i="93"/>
  <x:c r="AK372" i="93"/>
  <x:c r="AL372" i="93"/>
  <x:c r="AM372" i="93"/>
  <x:c r="AK373" i="93"/>
  <x:c r="AL373" i="93"/>
  <x:c r="AM373" i="93"/>
  <x:c r="AK374" i="93"/>
  <x:c r="AL374" i="93"/>
  <x:c r="AM374" i="93"/>
  <x:c r="AK375" i="93"/>
  <x:c r="AL375" i="93"/>
  <x:c r="AM375" i="93"/>
  <x:c r="AK376" i="93"/>
  <x:c r="AL376" i="93"/>
  <x:c r="AM376" i="93"/>
  <x:c r="AK377" i="93"/>
  <x:c r="AL377" i="93"/>
  <x:c r="AM377" i="93"/>
  <x:c r="AK378" i="93"/>
  <x:c r="AL378" i="93"/>
  <x:c r="AM378" i="93"/>
  <x:c r="AK379" i="93"/>
  <x:c r="AL379" i="93"/>
  <x:c r="AM379" i="93"/>
  <x:c r="AK380" i="93"/>
  <x:c r="AL380" i="93"/>
  <x:c r="AM380" i="93"/>
  <x:c r="AK381" i="93"/>
  <x:c r="AL381" i="93"/>
  <x:c r="AM381" i="93"/>
  <x:c r="AK382" i="93"/>
  <x:c r="AL382" i="93"/>
  <x:c r="AM382" i="93"/>
  <x:c r="AK383" i="93"/>
  <x:c r="AL383" i="93"/>
  <x:c r="AM383" i="93"/>
  <x:c r="AK384" i="93"/>
  <x:c r="AL384" i="93"/>
  <x:c r="AM384" i="93"/>
  <x:c r="AK385" i="93"/>
  <x:c r="AL385" i="93"/>
  <x:c r="AM385" i="93"/>
  <x:c r="AK386" i="93"/>
  <x:c r="AL386" i="93"/>
  <x:c r="AM386" i="93"/>
  <x:c r="AK387" i="93"/>
  <x:c r="AL387" i="93"/>
  <x:c r="AM387" i="93"/>
  <x:c r="AK388" i="93"/>
  <x:c r="AL388" i="93"/>
  <x:c r="AM388" i="93"/>
  <x:c r="AK389" i="93"/>
  <x:c r="AL389" i="93"/>
  <x:c r="AM389" i="93"/>
  <x:c r="AK390" i="93"/>
  <x:c r="AL390" i="93"/>
  <x:c r="AM390" i="93"/>
  <x:c r="AK391" i="93"/>
  <x:c r="AL391" i="93"/>
  <x:c r="AM391" i="93"/>
  <x:c r="AK392" i="93"/>
  <x:c r="AL392" i="93"/>
  <x:c r="AM392" i="93"/>
  <x:c r="AK393" i="93"/>
  <x:c r="AL393" i="93"/>
  <x:c r="AM393" i="93"/>
  <x:c r="AK394" i="93"/>
  <x:c r="AL394" i="93"/>
  <x:c r="AM394" i="93"/>
  <x:c r="AK395" i="93"/>
  <x:c r="AL395" i="93"/>
  <x:c r="AM395" i="93"/>
  <x:c r="AK396" i="93"/>
  <x:c r="AL396" i="93"/>
  <x:c r="AM396" i="93"/>
  <x:c r="AK397" i="93"/>
  <x:c r="AL397" i="93"/>
  <x:c r="AM397" i="93"/>
  <x:c r="AK398" i="93"/>
  <x:c r="AL398" i="93"/>
  <x:c r="AM398" i="93"/>
  <x:c r="AK399" i="93"/>
  <x:c r="AL399" i="93"/>
  <x:c r="AM399" i="93"/>
  <x:c r="AK400" i="93"/>
  <x:c r="AL400" i="93"/>
  <x:c r="AM400" i="93"/>
  <x:c r="AK401" i="93"/>
  <x:c r="AL401" i="93"/>
  <x:c r="AM401" i="93"/>
  <x:c r="AK402" i="93"/>
  <x:c r="AL402" i="93"/>
  <x:c r="AM402" i="93"/>
  <x:c r="AK403" i="93"/>
  <x:c r="AL403" i="93"/>
  <x:c r="AM403" i="93"/>
  <x:c r="AK404" i="93"/>
  <x:c r="AL404" i="93"/>
  <x:c r="AM404" i="93"/>
  <x:c r="AK405" i="93"/>
  <x:c r="AL405" i="93"/>
  <x:c r="AM405" i="93"/>
  <x:c r="AK406" i="93"/>
  <x:c r="AL406" i="93"/>
  <x:c r="AM406" i="93"/>
  <x:c r="AK407" i="93"/>
  <x:c r="AL407" i="93"/>
  <x:c r="AM407" i="93"/>
  <x:c r="AK408" i="93"/>
  <x:c r="AL408" i="93"/>
  <x:c r="AM408" i="93"/>
  <x:c r="AK409" i="93"/>
  <x:c r="AL409" i="93"/>
  <x:c r="AM409" i="93"/>
  <x:c r="AK410" i="93"/>
  <x:c r="AL410" i="93"/>
  <x:c r="AM410" i="93"/>
  <x:c r="AK411" i="93"/>
  <x:c r="AL411" i="93"/>
  <x:c r="AM411" i="93"/>
  <x:c r="AK412" i="93"/>
  <x:c r="AL412" i="93"/>
  <x:c r="AM412" i="93"/>
  <x:c r="AK413" i="93"/>
  <x:c r="AL413" i="93"/>
  <x:c r="AM413" i="93"/>
  <x:c r="AK414" i="93"/>
  <x:c r="AL414" i="93"/>
  <x:c r="AM414" i="93"/>
  <x:c r="AK415" i="93"/>
  <x:c r="AL415" i="93"/>
  <x:c r="AM415" i="93"/>
  <x:c r="AK416" i="93"/>
  <x:c r="AL416" i="93"/>
  <x:c r="AM416" i="93"/>
  <x:c r="AK417" i="93"/>
  <x:c r="AL417" i="93"/>
  <x:c r="AM417" i="93"/>
  <x:c r="AK418" i="93"/>
  <x:c r="AL418" i="93"/>
  <x:c r="AM418" i="93"/>
  <x:c r="AK419" i="93"/>
  <x:c r="AL419" i="93"/>
  <x:c r="AM419" i="93"/>
  <x:c r="AK420" i="93"/>
  <x:c r="AL420" i="93"/>
  <x:c r="AM420" i="93"/>
  <x:c r="AK421" i="93"/>
  <x:c r="AL421" i="93"/>
  <x:c r="AM421" i="93"/>
  <x:c r="AK422" i="93"/>
  <x:c r="AL422" i="93"/>
  <x:c r="AM422" i="93"/>
  <x:c r="AK423" i="93"/>
  <x:c r="AL423" i="93"/>
  <x:c r="AM423" i="93"/>
  <x:c r="AK424" i="93"/>
  <x:c r="AL424" i="93"/>
  <x:c r="AM424" i="93"/>
  <x:c r="A6" i="80"/>
  <x:c r="B6" i="80"/>
  <x:c r="C6" i="80"/>
  <x:c r="D6" i="80"/>
  <x:c r="E6" i="80"/>
  <x:c r="F6" i="80"/>
  <x:c r="G6" i="80"/>
  <x:c r="H6" i="80"/>
  <x:c r="I6" i="80"/>
  <x:c r="J6" i="80"/>
  <x:c r="K6" i="80"/>
  <x:c r="L6" i="80"/>
  <x:c r="M6" i="80"/>
  <x:c r="N6" i="80"/>
  <x:c r="O6" i="80"/>
  <x:c r="P6" i="80"/>
  <x:c r="Q6" i="80"/>
  <x:c r="S6" i="80"/>
  <x:c r="T6" i="80"/>
  <x:c r="A7" i="80"/>
  <x:c r="B7" i="80"/>
  <x:c r="C7" i="80"/>
  <x:c r="D7" i="80"/>
  <x:c r="E7" i="80"/>
  <x:c r="F7" i="80"/>
  <x:c r="G7" i="80"/>
  <x:c r="H7" i="80"/>
  <x:c r="I7" i="80"/>
  <x:c r="J7" i="80"/>
  <x:c r="K7" i="80"/>
  <x:c r="L7" i="80"/>
  <x:c r="M7" i="80"/>
  <x:c r="N7" i="80"/>
  <x:c r="O7" i="80"/>
  <x:c r="P7" i="80"/>
  <x:c r="Q7" i="80"/>
  <x:c r="S7" i="80"/>
  <x:c r="T7" i="80"/>
  <x:c r="A8" i="80"/>
  <x:c r="B8" i="80"/>
  <x:c r="C8" i="80"/>
  <x:c r="D8" i="80"/>
  <x:c r="E8" i="80"/>
  <x:c r="F8" i="80"/>
  <x:c r="G8" i="80"/>
  <x:c r="H8" i="80"/>
  <x:c r="I8" i="80"/>
  <x:c r="J8" i="80"/>
  <x:c r="K8" i="80"/>
  <x:c r="L8" i="80"/>
  <x:c r="M8" i="80"/>
  <x:c r="N8" i="80"/>
  <x:c r="O8" i="80"/>
  <x:c r="P8" i="80"/>
  <x:c r="Q8" i="80"/>
  <x:c r="S8" i="80"/>
  <x:c r="T8" i="80"/>
  <x:c r="A9" i="80"/>
  <x:c r="B9" i="80"/>
  <x:c r="C9" i="80"/>
  <x:c r="D9" i="80"/>
  <x:c r="E9" i="80"/>
  <x:c r="F9" i="80"/>
  <x:c r="G9" i="80"/>
  <x:c r="H9" i="80"/>
  <x:c r="I9" i="80"/>
  <x:c r="J9" i="80"/>
  <x:c r="K9" i="80"/>
  <x:c r="L9" i="80"/>
  <x:c r="M9" i="80"/>
  <x:c r="N9" i="80"/>
  <x:c r="O9" i="80"/>
  <x:c r="P9" i="80"/>
  <x:c r="Q9" i="80"/>
  <x:c r="S9" i="80"/>
  <x:c r="T9" i="80"/>
  <x:c r="A10" i="80"/>
  <x:c r="B10" i="80"/>
  <x:c r="C10" i="80"/>
  <x:c r="D10" i="80"/>
  <x:c r="E10" i="80"/>
  <x:c r="F10" i="80"/>
  <x:c r="G10" i="80"/>
  <x:c r="H10" i="80"/>
  <x:c r="I10" i="80"/>
  <x:c r="J10" i="80"/>
  <x:c r="K10" i="80"/>
  <x:c r="L10" i="80"/>
  <x:c r="M10" i="80"/>
  <x:c r="N10" i="80"/>
  <x:c r="O10" i="80"/>
  <x:c r="P10" i="80"/>
  <x:c r="Q10" i="80"/>
  <x:c r="S10" i="80"/>
  <x:c r="T10" i="80"/>
  <x:c r="A11" i="80"/>
  <x:c r="B11" i="80"/>
  <x:c r="C11" i="80"/>
  <x:c r="D11" i="80"/>
  <x:c r="E11" i="80"/>
  <x:c r="F11" i="80"/>
  <x:c r="G11" i="80"/>
  <x:c r="H11" i="80"/>
  <x:c r="I11" i="80"/>
  <x:c r="J11" i="80"/>
  <x:c r="K11" i="80"/>
  <x:c r="L11" i="80"/>
  <x:c r="M11" i="80"/>
  <x:c r="N11" i="80"/>
  <x:c r="O11" i="80"/>
  <x:c r="P11" i="80"/>
  <x:c r="Q11" i="80"/>
  <x:c r="S11" i="80"/>
  <x:c r="T11" i="80"/>
  <x:c r="A12" i="80"/>
  <x:c r="B12" i="80"/>
  <x:c r="C12" i="80"/>
  <x:c r="D12" i="80"/>
  <x:c r="E12" i="80"/>
  <x:c r="F12" i="80"/>
  <x:c r="G12" i="80"/>
  <x:c r="H12" i="80"/>
  <x:c r="I12" i="80"/>
  <x:c r="J12" i="80"/>
  <x:c r="K12" i="80"/>
  <x:c r="L12" i="80"/>
  <x:c r="M12" i="80"/>
  <x:c r="N12" i="80"/>
  <x:c r="O12" i="80"/>
  <x:c r="P12" i="80"/>
  <x:c r="Q12" i="80"/>
  <x:c r="S12" i="80"/>
  <x:c r="T12" i="80"/>
  <x:c r="A13" i="80"/>
  <x:c r="B13" i="80"/>
  <x:c r="C13" i="80"/>
  <x:c r="D13" i="80"/>
  <x:c r="E13" i="80"/>
  <x:c r="F13" i="80"/>
  <x:c r="G13" i="80"/>
  <x:c r="H13" i="80"/>
  <x:c r="I13" i="80"/>
  <x:c r="J13" i="80"/>
  <x:c r="K13" i="80"/>
  <x:c r="L13" i="80"/>
  <x:c r="M13" i="80"/>
  <x:c r="N13" i="80"/>
  <x:c r="O13" i="80"/>
  <x:c r="P13" i="80"/>
  <x:c r="Q13" i="80"/>
  <x:c r="S13" i="80"/>
  <x:c r="T13" i="80"/>
  <x:c r="A14" i="80"/>
  <x:c r="B14" i="80"/>
  <x:c r="C14" i="80"/>
  <x:c r="D14" i="80"/>
  <x:c r="E14" i="80"/>
  <x:c r="F14" i="80"/>
  <x:c r="G14" i="80"/>
  <x:c r="H14" i="80"/>
  <x:c r="I14" i="80"/>
  <x:c r="J14" i="80"/>
  <x:c r="K14" i="80"/>
  <x:c r="L14" i="80"/>
  <x:c r="M14" i="80"/>
  <x:c r="N14" i="80"/>
  <x:c r="O14" i="80"/>
  <x:c r="P14" i="80"/>
  <x:c r="Q14" i="80"/>
  <x:c r="S14" i="80"/>
  <x:c r="T14" i="80"/>
  <x:c r="A15" i="80"/>
  <x:c r="B15" i="80"/>
  <x:c r="C15" i="80"/>
  <x:c r="D15" i="80"/>
  <x:c r="E15" i="80"/>
  <x:c r="F15" i="80"/>
  <x:c r="G15" i="80"/>
  <x:c r="H15" i="80"/>
  <x:c r="I15" i="80"/>
  <x:c r="J15" i="80"/>
  <x:c r="K15" i="80"/>
  <x:c r="L15" i="80"/>
  <x:c r="M15" i="80"/>
  <x:c r="N15" i="80"/>
  <x:c r="O15" i="80"/>
  <x:c r="P15" i="80"/>
  <x:c r="Q15" i="80"/>
  <x:c r="S15" i="80"/>
  <x:c r="T15" i="80"/>
  <x:c r="A16" i="80"/>
  <x:c r="B16" i="80"/>
  <x:c r="C16" i="80"/>
  <x:c r="D16" i="80"/>
  <x:c r="E16" i="80"/>
  <x:c r="F16" i="80"/>
  <x:c r="G16" i="80"/>
  <x:c r="H16" i="80"/>
  <x:c r="I16" i="80"/>
  <x:c r="J16" i="80"/>
  <x:c r="K16" i="80"/>
  <x:c r="L16" i="80"/>
  <x:c r="M16" i="80"/>
  <x:c r="N16" i="80"/>
  <x:c r="O16" i="80"/>
  <x:c r="P16" i="80"/>
  <x:c r="Q16" i="80"/>
  <x:c r="S16" i="80"/>
  <x:c r="T16" i="80"/>
  <x:c r="A17" i="80"/>
  <x:c r="B17" i="80"/>
  <x:c r="C17" i="80"/>
  <x:c r="D17" i="80"/>
  <x:c r="E17" i="80"/>
  <x:c r="F17" i="80"/>
  <x:c r="G17" i="80"/>
  <x:c r="H17" i="80"/>
  <x:c r="I17" i="80"/>
  <x:c r="J17" i="80"/>
  <x:c r="K17" i="80"/>
  <x:c r="L17" i="80"/>
  <x:c r="M17" i="80"/>
  <x:c r="N17" i="80"/>
  <x:c r="O17" i="80"/>
  <x:c r="P17" i="80"/>
  <x:c r="Q17" i="80"/>
  <x:c r="S17" i="80"/>
  <x:c r="T17" i="80"/>
  <x:c r="A18" i="80"/>
  <x:c r="B18" i="80"/>
  <x:c r="C18" i="80"/>
  <x:c r="D18" i="80"/>
  <x:c r="E18" i="80"/>
  <x:c r="F18" i="80"/>
  <x:c r="G18" i="80"/>
  <x:c r="H18" i="80"/>
  <x:c r="I18" i="80"/>
  <x:c r="J18" i="80"/>
  <x:c r="K18" i="80"/>
  <x:c r="L18" i="80"/>
  <x:c r="M18" i="80"/>
  <x:c r="N18" i="80"/>
  <x:c r="O18" i="80"/>
  <x:c r="P18" i="80"/>
  <x:c r="Q18" i="80"/>
  <x:c r="S18" i="80"/>
  <x:c r="T18" i="80"/>
  <x:c r="A19" i="80"/>
  <x:c r="B19" i="80"/>
  <x:c r="C19" i="80"/>
  <x:c r="D19" i="80"/>
  <x:c r="E19" i="80"/>
  <x:c r="F19" i="80"/>
  <x:c r="G19" i="80"/>
  <x:c r="H19" i="80"/>
  <x:c r="I19" i="80"/>
  <x:c r="J19" i="80"/>
  <x:c r="K19" i="80"/>
  <x:c r="L19" i="80"/>
  <x:c r="M19" i="80"/>
  <x:c r="N19" i="80"/>
  <x:c r="O19" i="80"/>
  <x:c r="P19" i="80"/>
  <x:c r="Q19" i="80"/>
  <x:c r="S19" i="80"/>
  <x:c r="T19" i="80"/>
  <x:c r="A20" i="80"/>
  <x:c r="B20" i="80"/>
  <x:c r="C20" i="80"/>
  <x:c r="D20" i="80"/>
  <x:c r="E20" i="80"/>
  <x:c r="F20" i="80"/>
  <x:c r="G20" i="80"/>
  <x:c r="H20" i="80"/>
  <x:c r="I20" i="80"/>
  <x:c r="J20" i="80"/>
  <x:c r="K20" i="80"/>
  <x:c r="L20" i="80"/>
  <x:c r="M20" i="80"/>
  <x:c r="N20" i="80"/>
  <x:c r="O20" i="80"/>
  <x:c r="P20" i="80"/>
  <x:c r="Q20" i="80"/>
  <x:c r="S20" i="80"/>
  <x:c r="T20" i="80"/>
  <x:c r="A21" i="80"/>
  <x:c r="B21" i="80"/>
  <x:c r="C21" i="80"/>
  <x:c r="D21" i="80"/>
  <x:c r="E21" i="80"/>
  <x:c r="F21" i="80"/>
  <x:c r="G21" i="80"/>
  <x:c r="H21" i="80"/>
  <x:c r="I21" i="80"/>
  <x:c r="J21" i="80"/>
  <x:c r="K21" i="80"/>
  <x:c r="L21" i="80"/>
  <x:c r="M21" i="80"/>
  <x:c r="N21" i="80"/>
  <x:c r="O21" i="80"/>
  <x:c r="P21" i="80"/>
  <x:c r="Q21" i="80"/>
  <x:c r="S21" i="80"/>
  <x:c r="T21" i="80"/>
  <x:c r="A22" i="80"/>
  <x:c r="B22" i="80"/>
  <x:c r="C22" i="80"/>
  <x:c r="D22" i="80"/>
  <x:c r="E22" i="80"/>
  <x:c r="F22" i="80"/>
  <x:c r="G22" i="80"/>
  <x:c r="H22" i="80"/>
  <x:c r="I22" i="80"/>
  <x:c r="J22" i="80"/>
  <x:c r="K22" i="80"/>
  <x:c r="L22" i="80"/>
  <x:c r="M22" i="80"/>
  <x:c r="N22" i="80"/>
  <x:c r="O22" i="80"/>
  <x:c r="P22" i="80"/>
  <x:c r="Q22" i="80"/>
  <x:c r="S22" i="80"/>
  <x:c r="T22" i="80"/>
  <x:c r="A23" i="80"/>
  <x:c r="B23" i="80"/>
  <x:c r="C23" i="80"/>
  <x:c r="D23" i="80"/>
  <x:c r="E23" i="80"/>
  <x:c r="F23" i="80"/>
  <x:c r="G23" i="80"/>
  <x:c r="H23" i="80"/>
  <x:c r="I23" i="80"/>
  <x:c r="J23" i="80"/>
  <x:c r="K23" i="80"/>
  <x:c r="L23" i="80"/>
  <x:c r="M23" i="80"/>
  <x:c r="N23" i="80"/>
  <x:c r="O23" i="80"/>
  <x:c r="P23" i="80"/>
  <x:c r="Q23" i="80"/>
  <x:c r="S23" i="80"/>
  <x:c r="T23" i="80"/>
  <x:c r="A24" i="80"/>
  <x:c r="B24" i="80"/>
  <x:c r="C24" i="80"/>
  <x:c r="D24" i="80"/>
  <x:c r="E24" i="80"/>
  <x:c r="F24" i="80"/>
  <x:c r="G24" i="80"/>
  <x:c r="H24" i="80"/>
  <x:c r="I24" i="80"/>
  <x:c r="J24" i="80"/>
  <x:c r="K24" i="80"/>
  <x:c r="L24" i="80"/>
  <x:c r="M24" i="80"/>
  <x:c r="N24" i="80"/>
  <x:c r="O24" i="80"/>
  <x:c r="P24" i="80"/>
  <x:c r="Q24" i="80"/>
  <x:c r="S24" i="80"/>
  <x:c r="T24" i="80"/>
  <x:c r="A25" i="80"/>
  <x:c r="B25" i="80"/>
  <x:c r="C25" i="80"/>
  <x:c r="D25" i="80"/>
  <x:c r="E25" i="80"/>
  <x:c r="F25" i="80"/>
  <x:c r="G25" i="80"/>
  <x:c r="H25" i="80"/>
  <x:c r="I25" i="80"/>
  <x:c r="J25" i="80"/>
  <x:c r="K25" i="80"/>
  <x:c r="L25" i="80"/>
  <x:c r="M25" i="80"/>
  <x:c r="N25" i="80"/>
  <x:c r="O25" i="80"/>
  <x:c r="P25" i="80"/>
  <x:c r="Q25" i="80"/>
  <x:c r="S25" i="80"/>
  <x:c r="T25" i="80"/>
  <x:c r="A26" i="80"/>
  <x:c r="B26" i="80"/>
  <x:c r="C26" i="80"/>
  <x:c r="D26" i="80"/>
  <x:c r="E26" i="80"/>
  <x:c r="F26" i="80"/>
  <x:c r="G26" i="80"/>
  <x:c r="H26" i="80"/>
  <x:c r="I26" i="80"/>
  <x:c r="J26" i="80"/>
  <x:c r="K26" i="80"/>
  <x:c r="L26" i="80"/>
  <x:c r="M26" i="80"/>
  <x:c r="N26" i="80"/>
  <x:c r="O26" i="80"/>
  <x:c r="P26" i="80"/>
  <x:c r="Q26" i="80"/>
  <x:c r="S26" i="80"/>
  <x:c r="T26" i="80"/>
  <x:c r="A27" i="80"/>
  <x:c r="B27" i="80"/>
  <x:c r="C27" i="80"/>
  <x:c r="D27" i="80"/>
  <x:c r="E27" i="80"/>
  <x:c r="F27" i="80"/>
  <x:c r="G27" i="80"/>
  <x:c r="H27" i="80"/>
  <x:c r="I27" i="80"/>
  <x:c r="J27" i="80"/>
  <x:c r="K27" i="80"/>
  <x:c r="L27" i="80"/>
  <x:c r="M27" i="80"/>
  <x:c r="N27" i="80"/>
  <x:c r="O27" i="80"/>
  <x:c r="P27" i="80"/>
  <x:c r="Q27" i="80"/>
  <x:c r="S27" i="80"/>
  <x:c r="T27" i="80"/>
  <x:c r="A28" i="80"/>
  <x:c r="B28" i="80"/>
  <x:c r="C28" i="80"/>
  <x:c r="D28" i="80"/>
  <x:c r="E28" i="80"/>
  <x:c r="F28" i="80"/>
  <x:c r="G28" i="80"/>
  <x:c r="H28" i="80"/>
  <x:c r="I28" i="80"/>
  <x:c r="J28" i="80"/>
  <x:c r="K28" i="80"/>
  <x:c r="L28" i="80"/>
  <x:c r="M28" i="80"/>
  <x:c r="N28" i="80"/>
  <x:c r="O28" i="80"/>
  <x:c r="P28" i="80"/>
  <x:c r="Q28" i="80"/>
  <x:c r="S28" i="80"/>
  <x:c r="T28" i="80"/>
  <x:c r="A29" i="80"/>
  <x:c r="B29" i="80"/>
  <x:c r="C29" i="80"/>
  <x:c r="D29" i="80"/>
  <x:c r="E29" i="80"/>
  <x:c r="F29" i="80"/>
  <x:c r="G29" i="80"/>
  <x:c r="H29" i="80"/>
  <x:c r="I29" i="80"/>
  <x:c r="J29" i="80"/>
  <x:c r="K29" i="80"/>
  <x:c r="L29" i="80"/>
  <x:c r="M29" i="80"/>
  <x:c r="N29" i="80"/>
  <x:c r="O29" i="80"/>
  <x:c r="P29" i="80"/>
  <x:c r="Q29" i="80"/>
  <x:c r="S29" i="80"/>
  <x:c r="T29" i="80"/>
  <x:c r="A30" i="80"/>
  <x:c r="B30" i="80"/>
  <x:c r="C30" i="80"/>
  <x:c r="D30" i="80"/>
  <x:c r="E30" i="80"/>
  <x:c r="F30" i="80"/>
  <x:c r="G30" i="80"/>
  <x:c r="H30" i="80"/>
  <x:c r="I30" i="80"/>
  <x:c r="J30" i="80"/>
  <x:c r="K30" i="80"/>
  <x:c r="L30" i="80"/>
  <x:c r="M30" i="80"/>
  <x:c r="N30" i="80"/>
  <x:c r="O30" i="80"/>
  <x:c r="P30" i="80"/>
  <x:c r="Q30" i="80"/>
  <x:c r="S30" i="80"/>
  <x:c r="T30" i="80"/>
  <x:c r="A31" i="80"/>
  <x:c r="B31" i="80"/>
  <x:c r="C31" i="80"/>
  <x:c r="D31" i="80"/>
  <x:c r="E31" i="80"/>
  <x:c r="F31" i="80"/>
  <x:c r="G31" i="80"/>
  <x:c r="H31" i="80"/>
  <x:c r="I31" i="80"/>
  <x:c r="J31" i="80"/>
  <x:c r="K31" i="80"/>
  <x:c r="L31" i="80"/>
  <x:c r="M31" i="80"/>
  <x:c r="N31" i="80"/>
  <x:c r="O31" i="80"/>
  <x:c r="P31" i="80"/>
  <x:c r="Q31" i="80"/>
  <x:c r="S31" i="80"/>
  <x:c r="T31" i="80"/>
  <x:c r="A32" i="80"/>
  <x:c r="B32" i="80"/>
  <x:c r="C32" i="80"/>
  <x:c r="D32" i="80"/>
  <x:c r="E32" i="80"/>
  <x:c r="F32" i="80"/>
  <x:c r="G32" i="80"/>
  <x:c r="H32" i="80"/>
  <x:c r="I32" i="80"/>
  <x:c r="J32" i="80"/>
  <x:c r="K32" i="80"/>
  <x:c r="L32" i="80"/>
  <x:c r="M32" i="80"/>
  <x:c r="N32" i="80"/>
  <x:c r="O32" i="80"/>
  <x:c r="P32" i="80"/>
  <x:c r="Q32" i="80"/>
  <x:c r="S32" i="80"/>
  <x:c r="T32" i="80"/>
  <x:c r="A33" i="80"/>
  <x:c r="B33" i="80"/>
  <x:c r="C33" i="80"/>
  <x:c r="D33" i="80"/>
  <x:c r="E33" i="80"/>
  <x:c r="F33" i="80"/>
  <x:c r="G33" i="80"/>
  <x:c r="H33" i="80"/>
  <x:c r="I33" i="80"/>
  <x:c r="J33" i="80"/>
  <x:c r="K33" i="80"/>
  <x:c r="L33" i="80"/>
  <x:c r="M33" i="80"/>
  <x:c r="N33" i="80"/>
  <x:c r="O33" i="80"/>
  <x:c r="P33" i="80"/>
  <x:c r="Q33" i="80"/>
  <x:c r="S33" i="80"/>
  <x:c r="T33" i="80"/>
  <x:c r="A34" i="80"/>
  <x:c r="B34" i="80"/>
  <x:c r="C34" i="80"/>
  <x:c r="D34" i="80"/>
  <x:c r="E34" i="80"/>
  <x:c r="F34" i="80"/>
  <x:c r="G34" i="80"/>
  <x:c r="H34" i="80"/>
  <x:c r="I34" i="80"/>
  <x:c r="J34" i="80"/>
  <x:c r="K34" i="80"/>
  <x:c r="L34" i="80"/>
  <x:c r="M34" i="80"/>
  <x:c r="N34" i="80"/>
  <x:c r="O34" i="80"/>
  <x:c r="P34" i="80"/>
  <x:c r="Q34" i="80"/>
  <x:c r="S34" i="80"/>
  <x:c r="T34" i="80"/>
  <x:c r="A35" i="80"/>
  <x:c r="B35" i="80"/>
  <x:c r="C35" i="80"/>
  <x:c r="D35" i="80"/>
  <x:c r="E35" i="80"/>
  <x:c r="F35" i="80"/>
  <x:c r="G35" i="80"/>
  <x:c r="H35" i="80"/>
  <x:c r="I35" i="80"/>
  <x:c r="J35" i="80"/>
  <x:c r="K35" i="80"/>
  <x:c r="L35" i="80"/>
  <x:c r="M35" i="80"/>
  <x:c r="N35" i="80"/>
  <x:c r="O35" i="80"/>
  <x:c r="P35" i="80"/>
  <x:c r="Q35" i="80"/>
  <x:c r="S35" i="80"/>
  <x:c r="T35" i="80"/>
  <x:c r="A36" i="80"/>
  <x:c r="B36" i="80"/>
  <x:c r="C36" i="80"/>
  <x:c r="D36" i="80"/>
  <x:c r="E36" i="80"/>
  <x:c r="F36" i="80"/>
  <x:c r="G36" i="80"/>
  <x:c r="H36" i="80"/>
  <x:c r="I36" i="80"/>
  <x:c r="J36" i="80"/>
  <x:c r="K36" i="80"/>
  <x:c r="L36" i="80"/>
  <x:c r="M36" i="80"/>
  <x:c r="N36" i="80"/>
  <x:c r="O36" i="80"/>
  <x:c r="P36" i="80"/>
  <x:c r="Q36" i="80"/>
  <x:c r="S36" i="80"/>
  <x:c r="T36" i="80"/>
  <x:c r="A37" i="80"/>
  <x:c r="B37" i="80"/>
  <x:c r="C37" i="80"/>
  <x:c r="D37" i="80"/>
  <x:c r="E37" i="80"/>
  <x:c r="F37" i="80"/>
  <x:c r="G37" i="80"/>
  <x:c r="H37" i="80"/>
  <x:c r="I37" i="80"/>
  <x:c r="J37" i="80"/>
  <x:c r="K37" i="80"/>
  <x:c r="L37" i="80"/>
  <x:c r="M37" i="80"/>
  <x:c r="N37" i="80"/>
  <x:c r="O37" i="80"/>
  <x:c r="P37" i="80"/>
  <x:c r="Q37" i="80"/>
  <x:c r="S37" i="80"/>
  <x:c r="T37" i="80"/>
  <x:c r="A38" i="80"/>
  <x:c r="B38" i="80"/>
  <x:c r="C38" i="80"/>
  <x:c r="D38" i="80"/>
  <x:c r="E38" i="80"/>
  <x:c r="F38" i="80"/>
  <x:c r="G38" i="80"/>
  <x:c r="H38" i="80"/>
  <x:c r="I38" i="80"/>
  <x:c r="J38" i="80"/>
  <x:c r="K38" i="80"/>
  <x:c r="L38" i="80"/>
  <x:c r="M38" i="80"/>
  <x:c r="N38" i="80"/>
  <x:c r="O38" i="80"/>
  <x:c r="P38" i="80"/>
  <x:c r="Q38" i="80"/>
  <x:c r="S38" i="80"/>
  <x:c r="T38" i="80"/>
  <x:c r="A39" i="80"/>
  <x:c r="B39" i="80"/>
  <x:c r="C39" i="80"/>
  <x:c r="D39" i="80"/>
  <x:c r="E39" i="80"/>
  <x:c r="F39" i="80"/>
  <x:c r="G39" i="80"/>
  <x:c r="H39" i="80"/>
  <x:c r="I39" i="80"/>
  <x:c r="J39" i="80"/>
  <x:c r="K39" i="80"/>
  <x:c r="L39" i="80"/>
  <x:c r="M39" i="80"/>
  <x:c r="N39" i="80"/>
  <x:c r="O39" i="80"/>
  <x:c r="P39" i="80"/>
  <x:c r="Q39" i="80"/>
  <x:c r="S39" i="80"/>
  <x:c r="T39" i="80"/>
  <x:c r="A40" i="80"/>
  <x:c r="B40" i="80"/>
  <x:c r="C40" i="80"/>
  <x:c r="D40" i="80"/>
  <x:c r="E40" i="80"/>
  <x:c r="F40" i="80"/>
  <x:c r="G40" i="80"/>
  <x:c r="H40" i="80"/>
  <x:c r="I40" i="80"/>
  <x:c r="J40" i="80"/>
  <x:c r="K40" i="80"/>
  <x:c r="L40" i="80"/>
  <x:c r="M40" i="80"/>
  <x:c r="N40" i="80"/>
  <x:c r="O40" i="80"/>
  <x:c r="P40" i="80"/>
  <x:c r="Q40" i="80"/>
  <x:c r="S40" i="80"/>
  <x:c r="T40" i="80"/>
  <x:c r="A41" i="80"/>
  <x:c r="B41" i="80"/>
  <x:c r="C41" i="80"/>
  <x:c r="D41" i="80"/>
  <x:c r="E41" i="80"/>
  <x:c r="F41" i="80"/>
  <x:c r="G41" i="80"/>
  <x:c r="H41" i="80"/>
  <x:c r="I41" i="80"/>
  <x:c r="J41" i="80"/>
  <x:c r="K41" i="80"/>
  <x:c r="L41" i="80"/>
  <x:c r="M41" i="80"/>
  <x:c r="N41" i="80"/>
  <x:c r="O41" i="80"/>
  <x:c r="P41" i="80"/>
  <x:c r="Q41" i="80"/>
  <x:c r="S41" i="80"/>
  <x:c r="T41" i="80"/>
  <x:c r="A42" i="80"/>
  <x:c r="B42" i="80"/>
  <x:c r="C42" i="80"/>
  <x:c r="D42" i="80"/>
  <x:c r="E42" i="80"/>
  <x:c r="F42" i="80"/>
  <x:c r="G42" i="80"/>
  <x:c r="H42" i="80"/>
  <x:c r="I42" i="80"/>
  <x:c r="J42" i="80"/>
  <x:c r="K42" i="80"/>
  <x:c r="L42" i="80"/>
  <x:c r="M42" i="80"/>
  <x:c r="N42" i="80"/>
  <x:c r="O42" i="80"/>
  <x:c r="P42" i="80"/>
  <x:c r="Q42" i="80"/>
  <x:c r="S42" i="80"/>
  <x:c r="T42" i="80"/>
  <x:c r="A43" i="80"/>
  <x:c r="B43" i="80"/>
  <x:c r="C43" i="80"/>
  <x:c r="D43" i="80"/>
  <x:c r="E43" i="80"/>
  <x:c r="F43" i="80"/>
  <x:c r="G43" i="80"/>
  <x:c r="H43" i="80"/>
  <x:c r="I43" i="80"/>
  <x:c r="J43" i="80"/>
  <x:c r="K43" i="80"/>
  <x:c r="L43" i="80"/>
  <x:c r="M43" i="80"/>
  <x:c r="N43" i="80"/>
  <x:c r="O43" i="80"/>
  <x:c r="P43" i="80"/>
  <x:c r="Q43" i="80"/>
  <x:c r="S43" i="80"/>
  <x:c r="T43" i="80"/>
  <x:c r="A44" i="80"/>
  <x:c r="B44" i="80"/>
  <x:c r="C44" i="80"/>
  <x:c r="D44" i="80"/>
  <x:c r="E44" i="80"/>
  <x:c r="F44" i="80"/>
  <x:c r="G44" i="80"/>
  <x:c r="H44" i="80"/>
  <x:c r="I44" i="80"/>
  <x:c r="J44" i="80"/>
  <x:c r="K44" i="80"/>
  <x:c r="L44" i="80"/>
  <x:c r="M44" i="80"/>
  <x:c r="N44" i="80"/>
  <x:c r="O44" i="80"/>
  <x:c r="P44" i="80"/>
  <x:c r="Q44" i="80"/>
  <x:c r="S44" i="80"/>
  <x:c r="T44" i="80"/>
  <x:c r="A45" i="80"/>
  <x:c r="B45" i="80"/>
  <x:c r="C45" i="80"/>
  <x:c r="D45" i="80"/>
  <x:c r="E45" i="80"/>
  <x:c r="F45" i="80"/>
  <x:c r="G45" i="80"/>
  <x:c r="H45" i="80"/>
  <x:c r="I45" i="80"/>
  <x:c r="J45" i="80"/>
  <x:c r="K45" i="80"/>
  <x:c r="L45" i="80"/>
  <x:c r="M45" i="80"/>
  <x:c r="N45" i="80"/>
  <x:c r="O45" i="80"/>
  <x:c r="P45" i="80"/>
  <x:c r="Q45" i="80"/>
  <x:c r="S45" i="80"/>
  <x:c r="T45" i="80"/>
  <x:c r="A46" i="80"/>
  <x:c r="B46" i="80"/>
  <x:c r="C46" i="80"/>
  <x:c r="D46" i="80"/>
  <x:c r="E46" i="80"/>
  <x:c r="F46" i="80"/>
  <x:c r="G46" i="80"/>
  <x:c r="H46" i="80"/>
  <x:c r="I46" i="80"/>
  <x:c r="J46" i="80"/>
  <x:c r="K46" i="80"/>
  <x:c r="L46" i="80"/>
  <x:c r="M46" i="80"/>
  <x:c r="N46" i="80"/>
  <x:c r="O46" i="80"/>
  <x:c r="P46" i="80"/>
  <x:c r="Q46" i="80"/>
  <x:c r="S46" i="80"/>
  <x:c r="T46" i="80"/>
  <x:c r="A47" i="80"/>
  <x:c r="B47" i="80"/>
  <x:c r="C47" i="80"/>
  <x:c r="D47" i="80"/>
  <x:c r="E47" i="80"/>
  <x:c r="F47" i="80"/>
  <x:c r="G47" i="80"/>
  <x:c r="H47" i="80"/>
  <x:c r="I47" i="80"/>
  <x:c r="J47" i="80"/>
  <x:c r="K47" i="80"/>
  <x:c r="L47" i="80"/>
  <x:c r="M47" i="80"/>
  <x:c r="N47" i="80"/>
  <x:c r="O47" i="80"/>
  <x:c r="P47" i="80"/>
  <x:c r="Q47" i="80"/>
  <x:c r="S47" i="80"/>
  <x:c r="T47" i="80"/>
  <x:c r="A48" i="80"/>
  <x:c r="B48" i="80"/>
  <x:c r="C48" i="80"/>
  <x:c r="D48" i="80"/>
  <x:c r="E48" i="80"/>
  <x:c r="F48" i="80"/>
  <x:c r="G48" i="80"/>
  <x:c r="H48" i="80"/>
  <x:c r="I48" i="80"/>
  <x:c r="J48" i="80"/>
  <x:c r="K48" i="80"/>
  <x:c r="L48" i="80"/>
  <x:c r="M48" i="80"/>
  <x:c r="N48" i="80"/>
  <x:c r="O48" i="80"/>
  <x:c r="P48" i="80"/>
  <x:c r="Q48" i="80"/>
  <x:c r="S48" i="80"/>
  <x:c r="T48" i="80"/>
  <x:c r="A49" i="80"/>
  <x:c r="B49" i="80"/>
  <x:c r="C49" i="80"/>
  <x:c r="D49" i="80"/>
  <x:c r="E49" i="80"/>
  <x:c r="F49" i="80"/>
  <x:c r="G49" i="80"/>
  <x:c r="H49" i="80"/>
  <x:c r="I49" i="80"/>
  <x:c r="J49" i="80"/>
  <x:c r="K49" i="80"/>
  <x:c r="L49" i="80"/>
  <x:c r="M49" i="80"/>
  <x:c r="N49" i="80"/>
  <x:c r="O49" i="80"/>
  <x:c r="P49" i="80"/>
  <x:c r="Q49" i="80"/>
  <x:c r="S49" i="80"/>
  <x:c r="T49" i="80"/>
  <x:c r="A50" i="80"/>
  <x:c r="B50" i="80"/>
  <x:c r="C50" i="80"/>
  <x:c r="D50" i="80"/>
  <x:c r="E50" i="80"/>
  <x:c r="F50" i="80"/>
  <x:c r="G50" i="80"/>
  <x:c r="H50" i="80"/>
  <x:c r="I50" i="80"/>
  <x:c r="J50" i="80"/>
  <x:c r="K50" i="80"/>
  <x:c r="L50" i="80"/>
  <x:c r="M50" i="80"/>
  <x:c r="N50" i="80"/>
  <x:c r="O50" i="80"/>
  <x:c r="P50" i="80"/>
  <x:c r="Q50" i="80"/>
  <x:c r="S50" i="80"/>
  <x:c r="T50" i="80"/>
  <x:c r="A51" i="80"/>
  <x:c r="B51" i="80"/>
  <x:c r="C51" i="80"/>
  <x:c r="D51" i="80"/>
  <x:c r="E51" i="80"/>
  <x:c r="F51" i="80"/>
  <x:c r="G51" i="80"/>
  <x:c r="H51" i="80"/>
  <x:c r="I51" i="80"/>
  <x:c r="J51" i="80"/>
  <x:c r="K51" i="80"/>
  <x:c r="L51" i="80"/>
  <x:c r="M51" i="80"/>
  <x:c r="N51" i="80"/>
  <x:c r="O51" i="80"/>
  <x:c r="P51" i="80"/>
  <x:c r="Q51" i="80"/>
  <x:c r="S51" i="80"/>
  <x:c r="T51" i="80"/>
  <x:c r="A52" i="80"/>
  <x:c r="B52" i="80"/>
  <x:c r="C52" i="80"/>
  <x:c r="D52" i="80"/>
  <x:c r="E52" i="80"/>
  <x:c r="F52" i="80"/>
  <x:c r="G52" i="80"/>
  <x:c r="H52" i="80"/>
  <x:c r="I52" i="80"/>
  <x:c r="J52" i="80"/>
  <x:c r="K52" i="80"/>
  <x:c r="L52" i="80"/>
  <x:c r="M52" i="80"/>
  <x:c r="N52" i="80"/>
  <x:c r="O52" i="80"/>
  <x:c r="P52" i="80"/>
  <x:c r="Q52" i="80"/>
  <x:c r="S52" i="80"/>
  <x:c r="T52" i="80"/>
  <x:c r="A53" i="80"/>
  <x:c r="B53" i="80"/>
  <x:c r="C53" i="80"/>
  <x:c r="D53" i="80"/>
  <x:c r="E53" i="80"/>
  <x:c r="F53" i="80"/>
  <x:c r="G53" i="80"/>
  <x:c r="H53" i="80"/>
  <x:c r="I53" i="80"/>
  <x:c r="J53" i="80"/>
  <x:c r="K53" i="80"/>
  <x:c r="L53" i="80"/>
  <x:c r="M53" i="80"/>
  <x:c r="N53" i="80"/>
  <x:c r="O53" i="80"/>
  <x:c r="P53" i="80"/>
  <x:c r="Q53" i="80"/>
  <x:c r="S53" i="80"/>
  <x:c r="T53" i="80"/>
  <x:c r="A54" i="80"/>
  <x:c r="B54" i="80"/>
  <x:c r="C54" i="80"/>
  <x:c r="D54" i="80"/>
  <x:c r="E54" i="80"/>
  <x:c r="F54" i="80"/>
  <x:c r="G54" i="80"/>
  <x:c r="H54" i="80"/>
  <x:c r="I54" i="80"/>
  <x:c r="J54" i="80"/>
  <x:c r="K54" i="80"/>
  <x:c r="L54" i="80"/>
  <x:c r="M54" i="80"/>
  <x:c r="N54" i="80"/>
  <x:c r="O54" i="80"/>
  <x:c r="P54" i="80"/>
  <x:c r="Q54" i="80"/>
  <x:c r="S54" i="80"/>
  <x:c r="T54" i="80"/>
  <x:c r="A55" i="80"/>
  <x:c r="B55" i="80"/>
  <x:c r="C55" i="80"/>
  <x:c r="D55" i="80"/>
  <x:c r="E55" i="80"/>
  <x:c r="F55" i="80"/>
  <x:c r="G55" i="80"/>
  <x:c r="H55" i="80"/>
  <x:c r="I55" i="80"/>
  <x:c r="J55" i="80"/>
  <x:c r="K55" i="80"/>
  <x:c r="L55" i="80"/>
  <x:c r="M55" i="80"/>
  <x:c r="N55" i="80"/>
  <x:c r="O55" i="80"/>
  <x:c r="P55" i="80"/>
  <x:c r="Q55" i="80"/>
  <x:c r="S55" i="80"/>
  <x:c r="T55" i="80"/>
  <x:c r="A56" i="80"/>
  <x:c r="B56" i="80"/>
  <x:c r="C56" i="80"/>
  <x:c r="D56" i="80"/>
  <x:c r="E56" i="80"/>
  <x:c r="F56" i="80"/>
  <x:c r="G56" i="80"/>
  <x:c r="H56" i="80"/>
  <x:c r="I56" i="80"/>
  <x:c r="J56" i="80"/>
  <x:c r="K56" i="80"/>
  <x:c r="L56" i="80"/>
  <x:c r="M56" i="80"/>
  <x:c r="N56" i="80"/>
  <x:c r="O56" i="80"/>
  <x:c r="P56" i="80"/>
  <x:c r="Q56" i="80"/>
  <x:c r="S56" i="80"/>
  <x:c r="T56" i="80"/>
  <x:c r="A57" i="80"/>
  <x:c r="B57" i="80"/>
  <x:c r="C57" i="80"/>
  <x:c r="D57" i="80"/>
  <x:c r="E57" i="80"/>
  <x:c r="F57" i="80"/>
  <x:c r="G57" i="80"/>
  <x:c r="H57" i="80"/>
  <x:c r="I57" i="80"/>
  <x:c r="J57" i="80"/>
  <x:c r="K57" i="80"/>
  <x:c r="L57" i="80"/>
  <x:c r="M57" i="80"/>
  <x:c r="N57" i="80"/>
  <x:c r="O57" i="80"/>
  <x:c r="P57" i="80"/>
  <x:c r="Q57" i="80"/>
  <x:c r="S57" i="80"/>
  <x:c r="T57" i="80"/>
  <x:c r="A58" i="80"/>
  <x:c r="B58" i="80"/>
  <x:c r="C58" i="80"/>
  <x:c r="D58" i="80"/>
  <x:c r="E58" i="80"/>
  <x:c r="F58" i="80"/>
  <x:c r="G58" i="80"/>
  <x:c r="H58" i="80"/>
  <x:c r="I58" i="80"/>
  <x:c r="J58" i="80"/>
  <x:c r="K58" i="80"/>
  <x:c r="L58" i="80"/>
  <x:c r="M58" i="80"/>
  <x:c r="N58" i="80"/>
  <x:c r="O58" i="80"/>
  <x:c r="P58" i="80"/>
  <x:c r="Q58" i="80"/>
  <x:c r="S58" i="80"/>
  <x:c r="T58" i="80"/>
  <x:c r="A59" i="80"/>
  <x:c r="B59" i="80"/>
  <x:c r="C59" i="80"/>
  <x:c r="D59" i="80"/>
  <x:c r="E59" i="80"/>
  <x:c r="F59" i="80"/>
  <x:c r="G59" i="80"/>
  <x:c r="H59" i="80"/>
  <x:c r="I59" i="80"/>
  <x:c r="J59" i="80"/>
  <x:c r="K59" i="80"/>
  <x:c r="L59" i="80"/>
  <x:c r="M59" i="80"/>
  <x:c r="N59" i="80"/>
  <x:c r="O59" i="80"/>
  <x:c r="P59" i="80"/>
  <x:c r="Q59" i="80"/>
  <x:c r="S59" i="80"/>
  <x:c r="T59" i="80"/>
  <x:c r="A60" i="80"/>
  <x:c r="B60" i="80"/>
  <x:c r="C60" i="80"/>
  <x:c r="D60" i="80"/>
  <x:c r="E60" i="80"/>
  <x:c r="F60" i="80"/>
  <x:c r="G60" i="80"/>
  <x:c r="H60" i="80"/>
  <x:c r="I60" i="80"/>
  <x:c r="J60" i="80"/>
  <x:c r="K60" i="80"/>
  <x:c r="L60" i="80"/>
  <x:c r="M60" i="80"/>
  <x:c r="N60" i="80"/>
  <x:c r="O60" i="80"/>
  <x:c r="P60" i="80"/>
  <x:c r="Q60" i="80"/>
  <x:c r="S60" i="80"/>
  <x:c r="T60" i="80"/>
  <x:c r="A61" i="80"/>
  <x:c r="B61" i="80"/>
  <x:c r="C61" i="80"/>
  <x:c r="D61" i="80"/>
  <x:c r="E61" i="80"/>
  <x:c r="F61" i="80"/>
  <x:c r="G61" i="80"/>
  <x:c r="H61" i="80"/>
  <x:c r="I61" i="80"/>
  <x:c r="J61" i="80"/>
  <x:c r="K61" i="80"/>
  <x:c r="L61" i="80"/>
  <x:c r="M61" i="80"/>
  <x:c r="N61" i="80"/>
  <x:c r="O61" i="80"/>
  <x:c r="P61" i="80"/>
  <x:c r="Q61" i="80"/>
  <x:c r="S61" i="80"/>
  <x:c r="T61" i="80"/>
  <x:c r="A62" i="80"/>
  <x:c r="B62" i="80"/>
  <x:c r="C62" i="80"/>
  <x:c r="D62" i="80"/>
  <x:c r="E62" i="80"/>
  <x:c r="F62" i="80"/>
  <x:c r="G62" i="80"/>
  <x:c r="H62" i="80"/>
  <x:c r="I62" i="80"/>
  <x:c r="J62" i="80"/>
  <x:c r="K62" i="80"/>
  <x:c r="L62" i="80"/>
  <x:c r="M62" i="80"/>
  <x:c r="N62" i="80"/>
  <x:c r="O62" i="80"/>
  <x:c r="P62" i="80"/>
  <x:c r="Q62" i="80"/>
  <x:c r="S62" i="80"/>
  <x:c r="T62" i="80"/>
  <x:c r="A63" i="80"/>
  <x:c r="B63" i="80"/>
  <x:c r="C63" i="80"/>
  <x:c r="D63" i="80"/>
  <x:c r="E63" i="80"/>
  <x:c r="F63" i="80"/>
  <x:c r="G63" i="80"/>
  <x:c r="H63" i="80"/>
  <x:c r="I63" i="80"/>
  <x:c r="J63" i="80"/>
  <x:c r="K63" i="80"/>
  <x:c r="L63" i="80"/>
  <x:c r="M63" i="80"/>
  <x:c r="N63" i="80"/>
  <x:c r="O63" i="80"/>
  <x:c r="P63" i="80"/>
  <x:c r="Q63" i="80"/>
  <x:c r="S63" i="80"/>
  <x:c r="T63" i="80"/>
  <x:c r="A64" i="80"/>
  <x:c r="B64" i="80"/>
  <x:c r="C64" i="80"/>
  <x:c r="D64" i="80"/>
  <x:c r="E64" i="80"/>
  <x:c r="F64" i="80"/>
  <x:c r="G64" i="80"/>
  <x:c r="H64" i="80"/>
  <x:c r="I64" i="80"/>
  <x:c r="J64" i="80"/>
  <x:c r="K64" i="80"/>
  <x:c r="L64" i="80"/>
  <x:c r="M64" i="80"/>
  <x:c r="N64" i="80"/>
  <x:c r="O64" i="80"/>
  <x:c r="P64" i="80"/>
  <x:c r="Q64" i="80"/>
  <x:c r="S64" i="80"/>
  <x:c r="T64" i="80"/>
  <x:c r="A65" i="80"/>
  <x:c r="B65" i="80"/>
  <x:c r="C65" i="80"/>
  <x:c r="D65" i="80"/>
  <x:c r="E65" i="80"/>
  <x:c r="F65" i="80"/>
  <x:c r="G65" i="80"/>
  <x:c r="H65" i="80"/>
  <x:c r="I65" i="80"/>
  <x:c r="J65" i="80"/>
  <x:c r="K65" i="80"/>
  <x:c r="L65" i="80"/>
  <x:c r="M65" i="80"/>
  <x:c r="N65" i="80"/>
  <x:c r="O65" i="80"/>
  <x:c r="P65" i="80"/>
  <x:c r="Q65" i="80"/>
  <x:c r="S65" i="80"/>
  <x:c r="T65" i="80"/>
  <x:c r="A66" i="80"/>
  <x:c r="B66" i="80"/>
  <x:c r="C66" i="80"/>
  <x:c r="D66" i="80"/>
  <x:c r="E66" i="80"/>
  <x:c r="F66" i="80"/>
  <x:c r="G66" i="80"/>
  <x:c r="H66" i="80"/>
  <x:c r="I66" i="80"/>
  <x:c r="J66" i="80"/>
  <x:c r="K66" i="80"/>
  <x:c r="L66" i="80"/>
  <x:c r="M66" i="80"/>
  <x:c r="N66" i="80"/>
  <x:c r="O66" i="80"/>
  <x:c r="P66" i="80"/>
  <x:c r="Q66" i="80"/>
  <x:c r="S66" i="80"/>
  <x:c r="T66" i="80"/>
  <x:c r="A67" i="80"/>
  <x:c r="B67" i="80"/>
  <x:c r="C67" i="80"/>
  <x:c r="D67" i="80"/>
  <x:c r="E67" i="80"/>
  <x:c r="F67" i="80"/>
  <x:c r="G67" i="80"/>
  <x:c r="H67" i="80"/>
  <x:c r="I67" i="80"/>
  <x:c r="J67" i="80"/>
  <x:c r="K67" i="80"/>
  <x:c r="L67" i="80"/>
  <x:c r="M67" i="80"/>
  <x:c r="N67" i="80"/>
  <x:c r="O67" i="80"/>
  <x:c r="P67" i="80"/>
  <x:c r="Q67" i="80"/>
  <x:c r="S67" i="80"/>
  <x:c r="T67" i="80"/>
  <x:c r="A68" i="80"/>
  <x:c r="B68" i="80"/>
  <x:c r="C68" i="80"/>
  <x:c r="D68" i="80"/>
  <x:c r="E68" i="80"/>
  <x:c r="F68" i="80"/>
  <x:c r="G68" i="80"/>
  <x:c r="H68" i="80"/>
  <x:c r="I68" i="80"/>
  <x:c r="J68" i="80"/>
  <x:c r="K68" i="80"/>
  <x:c r="L68" i="80"/>
  <x:c r="M68" i="80"/>
  <x:c r="N68" i="80"/>
  <x:c r="O68" i="80"/>
  <x:c r="P68" i="80"/>
  <x:c r="Q68" i="80"/>
  <x:c r="S68" i="80"/>
  <x:c r="T68" i="80"/>
  <x:c r="A69" i="80"/>
  <x:c r="B69" i="80"/>
  <x:c r="C69" i="80"/>
  <x:c r="D69" i="80"/>
  <x:c r="E69" i="80"/>
  <x:c r="F69" i="80"/>
  <x:c r="G69" i="80"/>
  <x:c r="H69" i="80"/>
  <x:c r="I69" i="80"/>
  <x:c r="J69" i="80"/>
  <x:c r="K69" i="80"/>
  <x:c r="L69" i="80"/>
  <x:c r="M69" i="80"/>
  <x:c r="N69" i="80"/>
  <x:c r="O69" i="80"/>
  <x:c r="P69" i="80"/>
  <x:c r="Q69" i="80"/>
  <x:c r="S69" i="80"/>
  <x:c r="T69" i="80"/>
  <x:c r="A70" i="80"/>
  <x:c r="B70" i="80"/>
  <x:c r="C70" i="80"/>
  <x:c r="D70" i="80"/>
  <x:c r="E70" i="80"/>
  <x:c r="F70" i="80"/>
  <x:c r="G70" i="80"/>
  <x:c r="H70" i="80"/>
  <x:c r="I70" i="80"/>
  <x:c r="J70" i="80"/>
  <x:c r="K70" i="80"/>
  <x:c r="L70" i="80"/>
  <x:c r="M70" i="80"/>
  <x:c r="N70" i="80"/>
  <x:c r="O70" i="80"/>
  <x:c r="P70" i="80"/>
  <x:c r="Q70" i="80"/>
  <x:c r="S70" i="80"/>
  <x:c r="T70" i="80"/>
  <x:c r="A71" i="80"/>
  <x:c r="B71" i="80"/>
  <x:c r="C71" i="80"/>
  <x:c r="D71" i="80"/>
  <x:c r="E71" i="80"/>
  <x:c r="F71" i="80"/>
  <x:c r="G71" i="80"/>
  <x:c r="H71" i="80"/>
  <x:c r="I71" i="80"/>
  <x:c r="J71" i="80"/>
  <x:c r="K71" i="80"/>
  <x:c r="L71" i="80"/>
  <x:c r="M71" i="80"/>
  <x:c r="N71" i="80"/>
  <x:c r="O71" i="80"/>
  <x:c r="P71" i="80"/>
  <x:c r="Q71" i="80"/>
  <x:c r="S71" i="80"/>
  <x:c r="T71" i="80"/>
  <x:c r="A72" i="80"/>
  <x:c r="B72" i="80"/>
  <x:c r="C72" i="80"/>
  <x:c r="D72" i="80"/>
  <x:c r="E72" i="80"/>
  <x:c r="F72" i="80"/>
  <x:c r="G72" i="80"/>
  <x:c r="H72" i="80"/>
  <x:c r="I72" i="80"/>
  <x:c r="J72" i="80"/>
  <x:c r="K72" i="80"/>
  <x:c r="L72" i="80"/>
  <x:c r="M72" i="80"/>
  <x:c r="N72" i="80"/>
  <x:c r="O72" i="80"/>
  <x:c r="P72" i="80"/>
  <x:c r="Q72" i="80"/>
  <x:c r="S72" i="80"/>
  <x:c r="T72" i="80"/>
  <x:c r="A73" i="80"/>
  <x:c r="B73" i="80"/>
  <x:c r="C73" i="80"/>
  <x:c r="D73" i="80"/>
  <x:c r="E73" i="80"/>
  <x:c r="F73" i="80"/>
  <x:c r="G73" i="80"/>
  <x:c r="H73" i="80"/>
  <x:c r="I73" i="80"/>
  <x:c r="J73" i="80"/>
  <x:c r="K73" i="80"/>
  <x:c r="L73" i="80"/>
  <x:c r="M73" i="80"/>
  <x:c r="N73" i="80"/>
  <x:c r="O73" i="80"/>
  <x:c r="P73" i="80"/>
  <x:c r="Q73" i="80"/>
  <x:c r="S73" i="80"/>
  <x:c r="T73" i="80"/>
  <x:c r="A74" i="80"/>
  <x:c r="B74" i="80"/>
  <x:c r="C74" i="80"/>
  <x:c r="D74" i="80"/>
  <x:c r="E74" i="80"/>
  <x:c r="F74" i="80"/>
  <x:c r="G74" i="80"/>
  <x:c r="H74" i="80"/>
  <x:c r="I74" i="80"/>
  <x:c r="J74" i="80"/>
  <x:c r="K74" i="80"/>
  <x:c r="L74" i="80"/>
  <x:c r="M74" i="80"/>
  <x:c r="N74" i="80"/>
  <x:c r="O74" i="80"/>
  <x:c r="P74" i="80"/>
  <x:c r="Q74" i="80"/>
  <x:c r="S74" i="80"/>
  <x:c r="T74" i="80"/>
  <x:c r="A75" i="80"/>
  <x:c r="B75" i="80"/>
  <x:c r="C75" i="80"/>
  <x:c r="D75" i="80"/>
  <x:c r="E75" i="80"/>
  <x:c r="F75" i="80"/>
  <x:c r="G75" i="80"/>
  <x:c r="H75" i="80"/>
  <x:c r="I75" i="80"/>
  <x:c r="J75" i="80"/>
  <x:c r="K75" i="80"/>
  <x:c r="L75" i="80"/>
  <x:c r="M75" i="80"/>
  <x:c r="N75" i="80"/>
  <x:c r="O75" i="80"/>
  <x:c r="P75" i="80"/>
  <x:c r="Q75" i="80"/>
  <x:c r="S75" i="80"/>
  <x:c r="T75" i="80"/>
  <x:c r="A76" i="80"/>
  <x:c r="B76" i="80"/>
  <x:c r="C76" i="80"/>
  <x:c r="D76" i="80"/>
  <x:c r="E76" i="80"/>
  <x:c r="F76" i="80"/>
  <x:c r="G76" i="80"/>
  <x:c r="H76" i="80"/>
  <x:c r="I76" i="80"/>
  <x:c r="J76" i="80"/>
  <x:c r="K76" i="80"/>
  <x:c r="L76" i="80"/>
  <x:c r="M76" i="80"/>
  <x:c r="N76" i="80"/>
  <x:c r="O76" i="80"/>
  <x:c r="P76" i="80"/>
  <x:c r="Q76" i="80"/>
  <x:c r="S76" i="80"/>
  <x:c r="T76" i="80"/>
  <x:c r="A77" i="80"/>
  <x:c r="B77" i="80"/>
  <x:c r="C77" i="80"/>
  <x:c r="D77" i="80"/>
  <x:c r="E77" i="80"/>
  <x:c r="F77" i="80"/>
  <x:c r="G77" i="80"/>
  <x:c r="H77" i="80"/>
  <x:c r="I77" i="80"/>
  <x:c r="J77" i="80"/>
  <x:c r="K77" i="80"/>
  <x:c r="L77" i="80"/>
  <x:c r="M77" i="80"/>
  <x:c r="N77" i="80"/>
  <x:c r="O77" i="80"/>
  <x:c r="P77" i="80"/>
  <x:c r="Q77" i="80"/>
  <x:c r="S77" i="80"/>
  <x:c r="T77" i="80"/>
  <x:c r="A78" i="80"/>
  <x:c r="B78" i="80"/>
  <x:c r="C78" i="80"/>
  <x:c r="D78" i="80"/>
  <x:c r="E78" i="80"/>
  <x:c r="F78" i="80"/>
  <x:c r="G78" i="80"/>
  <x:c r="H78" i="80"/>
  <x:c r="I78" i="80"/>
  <x:c r="J78" i="80"/>
  <x:c r="K78" i="80"/>
  <x:c r="L78" i="80"/>
  <x:c r="M78" i="80"/>
  <x:c r="N78" i="80"/>
  <x:c r="O78" i="80"/>
  <x:c r="P78" i="80"/>
  <x:c r="Q78" i="80"/>
  <x:c r="S78" i="80"/>
  <x:c r="T78" i="80"/>
  <x:c r="A79" i="80"/>
  <x:c r="B79" i="80"/>
  <x:c r="C79" i="80"/>
  <x:c r="D79" i="80"/>
  <x:c r="E79" i="80"/>
  <x:c r="F79" i="80"/>
  <x:c r="G79" i="80"/>
  <x:c r="H79" i="80"/>
  <x:c r="I79" i="80"/>
  <x:c r="J79" i="80"/>
  <x:c r="K79" i="80"/>
  <x:c r="L79" i="80"/>
  <x:c r="M79" i="80"/>
  <x:c r="N79" i="80"/>
  <x:c r="O79" i="80"/>
  <x:c r="P79" i="80"/>
  <x:c r="Q79" i="80"/>
  <x:c r="S79" i="80"/>
  <x:c r="T79" i="80"/>
  <x:c r="A80" i="80"/>
  <x:c r="B80" i="80"/>
  <x:c r="C80" i="80"/>
  <x:c r="D80" i="80"/>
  <x:c r="E80" i="80"/>
  <x:c r="F80" i="80"/>
  <x:c r="G80" i="80"/>
  <x:c r="H80" i="80"/>
  <x:c r="I80" i="80"/>
  <x:c r="J80" i="80"/>
  <x:c r="K80" i="80"/>
  <x:c r="L80" i="80"/>
  <x:c r="M80" i="80"/>
  <x:c r="N80" i="80"/>
  <x:c r="O80" i="80"/>
  <x:c r="P80" i="80"/>
  <x:c r="Q80" i="80"/>
  <x:c r="S80" i="80"/>
  <x:c r="T80" i="80"/>
  <x:c r="A81" i="80"/>
  <x:c r="B81" i="80"/>
  <x:c r="C81" i="80"/>
  <x:c r="D81" i="80"/>
  <x:c r="E81" i="80"/>
  <x:c r="F81" i="80"/>
  <x:c r="G81" i="80"/>
  <x:c r="H81" i="80"/>
  <x:c r="I81" i="80"/>
  <x:c r="J81" i="80"/>
  <x:c r="K81" i="80"/>
  <x:c r="L81" i="80"/>
  <x:c r="M81" i="80"/>
  <x:c r="N81" i="80"/>
  <x:c r="O81" i="80"/>
  <x:c r="P81" i="80"/>
  <x:c r="Q81" i="80"/>
  <x:c r="S81" i="80"/>
  <x:c r="T81" i="80"/>
  <x:c r="A82" i="80"/>
  <x:c r="B82" i="80"/>
  <x:c r="C82" i="80"/>
  <x:c r="D82" i="80"/>
  <x:c r="E82" i="80"/>
  <x:c r="F82" i="80"/>
  <x:c r="G82" i="80"/>
  <x:c r="H82" i="80"/>
  <x:c r="I82" i="80"/>
  <x:c r="J82" i="80"/>
  <x:c r="K82" i="80"/>
  <x:c r="L82" i="80"/>
  <x:c r="M82" i="80"/>
  <x:c r="N82" i="80"/>
  <x:c r="O82" i="80"/>
  <x:c r="P82" i="80"/>
  <x:c r="Q82" i="80"/>
  <x:c r="S82" i="80"/>
  <x:c r="T82" i="80"/>
  <x:c r="A83" i="80"/>
  <x:c r="B83" i="80"/>
  <x:c r="C83" i="80"/>
  <x:c r="D83" i="80"/>
  <x:c r="E83" i="80"/>
  <x:c r="F83" i="80"/>
  <x:c r="G83" i="80"/>
  <x:c r="H83" i="80"/>
  <x:c r="I83" i="80"/>
  <x:c r="J83" i="80"/>
  <x:c r="K83" i="80"/>
  <x:c r="L83" i="80"/>
  <x:c r="M83" i="80"/>
  <x:c r="N83" i="80"/>
  <x:c r="O83" i="80"/>
  <x:c r="P83" i="80"/>
  <x:c r="Q83" i="80"/>
  <x:c r="S83" i="80"/>
  <x:c r="T83" i="80"/>
  <x:c r="A84" i="80"/>
  <x:c r="B84" i="80"/>
  <x:c r="C84" i="80"/>
  <x:c r="D84" i="80"/>
  <x:c r="E84" i="80"/>
  <x:c r="F84" i="80"/>
  <x:c r="G84" i="80"/>
  <x:c r="H84" i="80"/>
  <x:c r="I84" i="80"/>
  <x:c r="J84" i="80"/>
  <x:c r="K84" i="80"/>
  <x:c r="L84" i="80"/>
  <x:c r="M84" i="80"/>
  <x:c r="N84" i="80"/>
  <x:c r="O84" i="80"/>
  <x:c r="P84" i="80"/>
  <x:c r="Q84" i="80"/>
  <x:c r="S84" i="80"/>
  <x:c r="T84" i="80"/>
  <x:c r="A85" i="80"/>
  <x:c r="B85" i="80"/>
  <x:c r="C85" i="80"/>
  <x:c r="D85" i="80"/>
  <x:c r="E85" i="80"/>
  <x:c r="F85" i="80"/>
  <x:c r="G85" i="80"/>
  <x:c r="H85" i="80"/>
  <x:c r="I85" i="80"/>
  <x:c r="J85" i="80"/>
  <x:c r="K85" i="80"/>
  <x:c r="L85" i="80"/>
  <x:c r="M85" i="80"/>
  <x:c r="N85" i="80"/>
  <x:c r="O85" i="80"/>
  <x:c r="P85" i="80"/>
  <x:c r="Q85" i="80"/>
  <x:c r="S85" i="80"/>
  <x:c r="T85" i="80"/>
  <x:c r="A86" i="80"/>
  <x:c r="B86" i="80"/>
  <x:c r="C86" i="80"/>
  <x:c r="D86" i="80"/>
  <x:c r="E86" i="80"/>
  <x:c r="F86" i="80"/>
  <x:c r="G86" i="80"/>
  <x:c r="H86" i="80"/>
  <x:c r="I86" i="80"/>
  <x:c r="J86" i="80"/>
  <x:c r="K86" i="80"/>
  <x:c r="L86" i="80"/>
  <x:c r="M86" i="80"/>
  <x:c r="N86" i="80"/>
  <x:c r="O86" i="80"/>
  <x:c r="P86" i="80"/>
  <x:c r="Q86" i="80"/>
  <x:c r="S86" i="80"/>
  <x:c r="T86" i="80"/>
  <x:c r="A87" i="80"/>
  <x:c r="B87" i="80"/>
  <x:c r="C87" i="80"/>
  <x:c r="D87" i="80"/>
  <x:c r="E87" i="80"/>
  <x:c r="F87" i="80"/>
  <x:c r="G87" i="80"/>
  <x:c r="H87" i="80"/>
  <x:c r="I87" i="80"/>
  <x:c r="J87" i="80"/>
  <x:c r="K87" i="80"/>
  <x:c r="L87" i="80"/>
  <x:c r="M87" i="80"/>
  <x:c r="N87" i="80"/>
  <x:c r="O87" i="80"/>
  <x:c r="P87" i="80"/>
  <x:c r="Q87" i="80"/>
  <x:c r="S87" i="80"/>
  <x:c r="T87" i="80"/>
  <x:c r="A88" i="80"/>
  <x:c r="B88" i="80"/>
  <x:c r="C88" i="80"/>
  <x:c r="D88" i="80"/>
  <x:c r="E88" i="80"/>
  <x:c r="F88" i="80"/>
  <x:c r="G88" i="80"/>
  <x:c r="H88" i="80"/>
  <x:c r="I88" i="80"/>
  <x:c r="J88" i="80"/>
  <x:c r="K88" i="80"/>
  <x:c r="L88" i="80"/>
  <x:c r="M88" i="80"/>
  <x:c r="N88" i="80"/>
  <x:c r="O88" i="80"/>
  <x:c r="P88" i="80"/>
  <x:c r="Q88" i="80"/>
  <x:c r="S88" i="80"/>
  <x:c r="T88" i="80"/>
  <x:c r="A89" i="80"/>
  <x:c r="B89" i="80"/>
  <x:c r="C89" i="80"/>
  <x:c r="D89" i="80"/>
  <x:c r="E89" i="80"/>
  <x:c r="F89" i="80"/>
  <x:c r="G89" i="80"/>
  <x:c r="H89" i="80"/>
  <x:c r="I89" i="80"/>
  <x:c r="J89" i="80"/>
  <x:c r="K89" i="80"/>
  <x:c r="L89" i="80"/>
  <x:c r="M89" i="80"/>
  <x:c r="N89" i="80"/>
  <x:c r="O89" i="80"/>
  <x:c r="P89" i="80"/>
  <x:c r="Q89" i="80"/>
  <x:c r="S89" i="80"/>
  <x:c r="T89" i="80"/>
  <x:c r="A90" i="80"/>
  <x:c r="B90" i="80"/>
  <x:c r="C90" i="80"/>
  <x:c r="D90" i="80"/>
  <x:c r="E90" i="80"/>
  <x:c r="F90" i="80"/>
  <x:c r="G90" i="80"/>
  <x:c r="H90" i="80"/>
  <x:c r="I90" i="80"/>
  <x:c r="J90" i="80"/>
  <x:c r="K90" i="80"/>
  <x:c r="L90" i="80"/>
  <x:c r="M90" i="80"/>
  <x:c r="N90" i="80"/>
  <x:c r="O90" i="80"/>
  <x:c r="P90" i="80"/>
  <x:c r="Q90" i="80"/>
  <x:c r="S90" i="80"/>
  <x:c r="T90" i="80"/>
  <x:c r="A91" i="80"/>
  <x:c r="B91" i="80"/>
  <x:c r="C91" i="80"/>
  <x:c r="D91" i="80"/>
  <x:c r="E91" i="80"/>
  <x:c r="F91" i="80"/>
  <x:c r="G91" i="80"/>
  <x:c r="H91" i="80"/>
  <x:c r="I91" i="80"/>
  <x:c r="J91" i="80"/>
  <x:c r="K91" i="80"/>
  <x:c r="L91" i="80"/>
  <x:c r="M91" i="80"/>
  <x:c r="N91" i="80"/>
  <x:c r="O91" i="80"/>
  <x:c r="P91" i="80"/>
  <x:c r="Q91" i="80"/>
  <x:c r="S91" i="80"/>
  <x:c r="T91" i="80"/>
  <x:c r="A92" i="80"/>
  <x:c r="B92" i="80"/>
  <x:c r="C92" i="80"/>
  <x:c r="D92" i="80"/>
  <x:c r="E92" i="80"/>
  <x:c r="F92" i="80"/>
  <x:c r="G92" i="80"/>
  <x:c r="H92" i="80"/>
  <x:c r="I92" i="80"/>
  <x:c r="J92" i="80"/>
  <x:c r="K92" i="80"/>
  <x:c r="L92" i="80"/>
  <x:c r="M92" i="80"/>
  <x:c r="N92" i="80"/>
  <x:c r="O92" i="80"/>
  <x:c r="P92" i="80"/>
  <x:c r="Q92" i="80"/>
  <x:c r="S92" i="80"/>
  <x:c r="T92" i="80"/>
  <x:c r="A93" i="80"/>
  <x:c r="B93" i="80"/>
  <x:c r="C93" i="80"/>
  <x:c r="D93" i="80"/>
  <x:c r="E93" i="80"/>
  <x:c r="F93" i="80"/>
  <x:c r="G93" i="80"/>
  <x:c r="H93" i="80"/>
  <x:c r="I93" i="80"/>
  <x:c r="J93" i="80"/>
  <x:c r="K93" i="80"/>
  <x:c r="L93" i="80"/>
  <x:c r="M93" i="80"/>
  <x:c r="N93" i="80"/>
  <x:c r="O93" i="80"/>
  <x:c r="P93" i="80"/>
  <x:c r="Q93" i="80"/>
  <x:c r="S93" i="80"/>
  <x:c r="T93" i="80"/>
  <x:c r="A94" i="80"/>
  <x:c r="B94" i="80"/>
  <x:c r="C94" i="80"/>
  <x:c r="D94" i="80"/>
  <x:c r="E94" i="80"/>
  <x:c r="F94" i="80"/>
  <x:c r="G94" i="80"/>
  <x:c r="H94" i="80"/>
  <x:c r="I94" i="80"/>
  <x:c r="J94" i="80"/>
  <x:c r="K94" i="80"/>
  <x:c r="L94" i="80"/>
  <x:c r="M94" i="80"/>
  <x:c r="N94" i="80"/>
  <x:c r="O94" i="80"/>
  <x:c r="P94" i="80"/>
  <x:c r="Q94" i="80"/>
  <x:c r="S94" i="80"/>
  <x:c r="T94" i="80"/>
  <x:c r="A95" i="80"/>
  <x:c r="B95" i="80"/>
  <x:c r="C95" i="80"/>
  <x:c r="D95" i="80"/>
  <x:c r="E95" i="80"/>
  <x:c r="F95" i="80"/>
  <x:c r="G95" i="80"/>
  <x:c r="H95" i="80"/>
  <x:c r="I95" i="80"/>
  <x:c r="J95" i="80"/>
  <x:c r="K95" i="80"/>
  <x:c r="L95" i="80"/>
  <x:c r="M95" i="80"/>
  <x:c r="N95" i="80"/>
  <x:c r="O95" i="80"/>
  <x:c r="P95" i="80"/>
  <x:c r="Q95" i="80"/>
  <x:c r="S95" i="80"/>
  <x:c r="T95" i="80"/>
  <x:c r="A96" i="80"/>
  <x:c r="B96" i="80"/>
  <x:c r="C96" i="80"/>
  <x:c r="D96" i="80"/>
  <x:c r="E96" i="80"/>
  <x:c r="F96" i="80"/>
  <x:c r="G96" i="80"/>
  <x:c r="H96" i="80"/>
  <x:c r="I96" i="80"/>
  <x:c r="J96" i="80"/>
  <x:c r="K96" i="80"/>
  <x:c r="L96" i="80"/>
  <x:c r="M96" i="80"/>
  <x:c r="N96" i="80"/>
  <x:c r="O96" i="80"/>
  <x:c r="P96" i="80"/>
  <x:c r="Q96" i="80"/>
  <x:c r="S96" i="80"/>
  <x:c r="T96" i="80"/>
  <x:c r="A97" i="80"/>
  <x:c r="B97" i="80"/>
  <x:c r="C97" i="80"/>
  <x:c r="D97" i="80"/>
  <x:c r="E97" i="80"/>
  <x:c r="F97" i="80"/>
  <x:c r="G97" i="80"/>
  <x:c r="H97" i="80"/>
  <x:c r="I97" i="80"/>
  <x:c r="J97" i="80"/>
  <x:c r="K97" i="80"/>
  <x:c r="L97" i="80"/>
  <x:c r="M97" i="80"/>
  <x:c r="N97" i="80"/>
  <x:c r="O97" i="80"/>
  <x:c r="P97" i="80"/>
  <x:c r="Q97" i="80"/>
  <x:c r="S97" i="80"/>
  <x:c r="T97" i="80"/>
  <x:c r="A98" i="80"/>
  <x:c r="B98" i="80"/>
  <x:c r="C98" i="80"/>
  <x:c r="D98" i="80"/>
  <x:c r="E98" i="80"/>
  <x:c r="F98" i="80"/>
  <x:c r="G98" i="80"/>
  <x:c r="H98" i="80"/>
  <x:c r="I98" i="80"/>
  <x:c r="J98" i="80"/>
  <x:c r="K98" i="80"/>
  <x:c r="L98" i="80"/>
  <x:c r="M98" i="80"/>
  <x:c r="N98" i="80"/>
  <x:c r="O98" i="80"/>
  <x:c r="P98" i="80"/>
  <x:c r="Q98" i="80"/>
  <x:c r="S98" i="80"/>
  <x:c r="T98" i="80"/>
  <x:c r="A99" i="80"/>
  <x:c r="B99" i="80"/>
  <x:c r="C99" i="80"/>
  <x:c r="D99" i="80"/>
  <x:c r="E99" i="80"/>
  <x:c r="F99" i="80"/>
  <x:c r="G99" i="80"/>
  <x:c r="H99" i="80"/>
  <x:c r="I99" i="80"/>
  <x:c r="J99" i="80"/>
  <x:c r="K99" i="80"/>
  <x:c r="L99" i="80"/>
  <x:c r="M99" i="80"/>
  <x:c r="N99" i="80"/>
  <x:c r="O99" i="80"/>
  <x:c r="P99" i="80"/>
  <x:c r="Q99" i="80"/>
  <x:c r="S99" i="80"/>
  <x:c r="T99" i="80"/>
  <x:c r="A100" i="80"/>
  <x:c r="B100" i="80"/>
  <x:c r="C100" i="80"/>
  <x:c r="D100" i="80"/>
  <x:c r="E100" i="80"/>
  <x:c r="F100" i="80"/>
  <x:c r="G100" i="80"/>
  <x:c r="H100" i="80"/>
  <x:c r="I100" i="80"/>
  <x:c r="J100" i="80"/>
  <x:c r="K100" i="80"/>
  <x:c r="L100" i="80"/>
  <x:c r="M100" i="80"/>
  <x:c r="N100" i="80"/>
  <x:c r="O100" i="80"/>
  <x:c r="P100" i="80"/>
  <x:c r="Q100" i="80"/>
  <x:c r="S100" i="80"/>
  <x:c r="T100" i="80"/>
  <x:c r="A101" i="80"/>
  <x:c r="B101" i="80"/>
  <x:c r="C101" i="80"/>
  <x:c r="D101" i="80"/>
  <x:c r="E101" i="80"/>
  <x:c r="F101" i="80"/>
  <x:c r="G101" i="80"/>
  <x:c r="H101" i="80"/>
  <x:c r="I101" i="80"/>
  <x:c r="J101" i="80"/>
  <x:c r="K101" i="80"/>
  <x:c r="L101" i="80"/>
  <x:c r="M101" i="80"/>
  <x:c r="N101" i="80"/>
  <x:c r="O101" i="80"/>
  <x:c r="P101" i="80"/>
  <x:c r="Q101" i="80"/>
  <x:c r="S101" i="80"/>
  <x:c r="T101" i="80"/>
  <x:c r="A102" i="80"/>
  <x:c r="B102" i="80"/>
  <x:c r="C102" i="80"/>
  <x:c r="D102" i="80"/>
  <x:c r="E102" i="80"/>
  <x:c r="F102" i="80"/>
  <x:c r="G102" i="80"/>
  <x:c r="H102" i="80"/>
  <x:c r="I102" i="80"/>
  <x:c r="J102" i="80"/>
  <x:c r="K102" i="80"/>
  <x:c r="L102" i="80"/>
  <x:c r="M102" i="80"/>
  <x:c r="N102" i="80"/>
  <x:c r="O102" i="80"/>
  <x:c r="P102" i="80"/>
  <x:c r="Q102" i="80"/>
  <x:c r="S102" i="80"/>
  <x:c r="T102" i="80"/>
  <x:c r="A103" i="80"/>
  <x:c r="B103" i="80"/>
  <x:c r="C103" i="80"/>
  <x:c r="D103" i="80"/>
  <x:c r="E103" i="80"/>
  <x:c r="F103" i="80"/>
  <x:c r="G103" i="80"/>
  <x:c r="H103" i="80"/>
  <x:c r="I103" i="80"/>
  <x:c r="J103" i="80"/>
  <x:c r="K103" i="80"/>
  <x:c r="L103" i="80"/>
  <x:c r="M103" i="80"/>
  <x:c r="N103" i="80"/>
  <x:c r="O103" i="80"/>
  <x:c r="P103" i="80"/>
  <x:c r="Q103" i="80"/>
  <x:c r="S103" i="80"/>
  <x:c r="T103" i="80"/>
  <x:c r="A104" i="80"/>
  <x:c r="B104" i="80"/>
  <x:c r="C104" i="80"/>
  <x:c r="D104" i="80"/>
  <x:c r="E104" i="80"/>
  <x:c r="F104" i="80"/>
  <x:c r="G104" i="80"/>
  <x:c r="H104" i="80"/>
  <x:c r="I104" i="80"/>
  <x:c r="J104" i="80"/>
  <x:c r="K104" i="80"/>
  <x:c r="L104" i="80"/>
  <x:c r="M104" i="80"/>
  <x:c r="N104" i="80"/>
  <x:c r="O104" i="80"/>
  <x:c r="P104" i="80"/>
  <x:c r="Q104" i="80"/>
  <x:c r="S104" i="80"/>
  <x:c r="T104" i="80"/>
  <x:c r="A105" i="80"/>
  <x:c r="B105" i="80"/>
  <x:c r="C105" i="80"/>
  <x:c r="D105" i="80"/>
  <x:c r="E105" i="80"/>
  <x:c r="F105" i="80"/>
  <x:c r="G105" i="80"/>
  <x:c r="H105" i="80"/>
  <x:c r="I105" i="80"/>
  <x:c r="J105" i="80"/>
  <x:c r="K105" i="80"/>
  <x:c r="L105" i="80"/>
  <x:c r="M105" i="80"/>
  <x:c r="N105" i="80"/>
  <x:c r="O105" i="80"/>
  <x:c r="P105" i="80"/>
  <x:c r="Q105" i="80"/>
  <x:c r="S105" i="80"/>
  <x:c r="T105" i="80"/>
  <x:c r="A106" i="80"/>
  <x:c r="B106" i="80"/>
  <x:c r="C106" i="80"/>
  <x:c r="D106" i="80"/>
  <x:c r="E106" i="80"/>
  <x:c r="F106" i="80"/>
  <x:c r="G106" i="80"/>
  <x:c r="H106" i="80"/>
  <x:c r="I106" i="80"/>
  <x:c r="J106" i="80"/>
  <x:c r="K106" i="80"/>
  <x:c r="L106" i="80"/>
  <x:c r="M106" i="80"/>
  <x:c r="N106" i="80"/>
  <x:c r="O106" i="80"/>
  <x:c r="P106" i="80"/>
  <x:c r="Q106" i="80"/>
  <x:c r="S106" i="80"/>
  <x:c r="T106" i="80"/>
  <x:c r="A107" i="80"/>
  <x:c r="B107" i="80"/>
  <x:c r="C107" i="80"/>
  <x:c r="D107" i="80"/>
  <x:c r="E107" i="80"/>
  <x:c r="F107" i="80"/>
  <x:c r="G107" i="80"/>
  <x:c r="H107" i="80"/>
  <x:c r="I107" i="80"/>
  <x:c r="J107" i="80"/>
  <x:c r="K107" i="80"/>
  <x:c r="L107" i="80"/>
  <x:c r="M107" i="80"/>
  <x:c r="N107" i="80"/>
  <x:c r="O107" i="80"/>
  <x:c r="P107" i="80"/>
  <x:c r="Q107" i="80"/>
  <x:c r="S107" i="80"/>
  <x:c r="T107" i="80"/>
  <x:c r="A108" i="80"/>
  <x:c r="B108" i="80"/>
  <x:c r="C108" i="80"/>
  <x:c r="D108" i="80"/>
  <x:c r="E108" i="80"/>
  <x:c r="F108" i="80"/>
  <x:c r="G108" i="80"/>
  <x:c r="H108" i="80"/>
  <x:c r="I108" i="80"/>
  <x:c r="J108" i="80"/>
  <x:c r="K108" i="80"/>
  <x:c r="L108" i="80"/>
  <x:c r="M108" i="80"/>
  <x:c r="N108" i="80"/>
  <x:c r="O108" i="80"/>
  <x:c r="P108" i="80"/>
  <x:c r="Q108" i="80"/>
  <x:c r="S108" i="80"/>
  <x:c r="T108" i="80"/>
  <x:c r="A109" i="80"/>
  <x:c r="B109" i="80"/>
  <x:c r="C109" i="80"/>
  <x:c r="D109" i="80"/>
  <x:c r="E109" i="80"/>
  <x:c r="F109" i="80"/>
  <x:c r="G109" i="80"/>
  <x:c r="H109" i="80"/>
  <x:c r="I109" i="80"/>
  <x:c r="J109" i="80"/>
  <x:c r="K109" i="80"/>
  <x:c r="L109" i="80"/>
  <x:c r="M109" i="80"/>
  <x:c r="N109" i="80"/>
  <x:c r="O109" i="80"/>
  <x:c r="P109" i="80"/>
  <x:c r="Q109" i="80"/>
  <x:c r="S109" i="80"/>
  <x:c r="T109" i="80"/>
  <x:c r="A110" i="80"/>
  <x:c r="B110" i="80"/>
  <x:c r="C110" i="80"/>
  <x:c r="D110" i="80"/>
  <x:c r="E110" i="80"/>
  <x:c r="F110" i="80"/>
  <x:c r="G110" i="80"/>
  <x:c r="H110" i="80"/>
  <x:c r="I110" i="80"/>
  <x:c r="J110" i="80"/>
  <x:c r="K110" i="80"/>
  <x:c r="L110" i="80"/>
  <x:c r="M110" i="80"/>
  <x:c r="N110" i="80"/>
  <x:c r="O110" i="80"/>
  <x:c r="P110" i="80"/>
  <x:c r="Q110" i="80"/>
  <x:c r="S110" i="80"/>
  <x:c r="T110" i="80"/>
  <x:c r="A111" i="80"/>
  <x:c r="B111" i="80"/>
  <x:c r="C111" i="80"/>
  <x:c r="D111" i="80"/>
  <x:c r="E111" i="80"/>
  <x:c r="F111" i="80"/>
  <x:c r="G111" i="80"/>
  <x:c r="H111" i="80"/>
  <x:c r="I111" i="80"/>
  <x:c r="J111" i="80"/>
  <x:c r="K111" i="80"/>
  <x:c r="L111" i="80"/>
  <x:c r="M111" i="80"/>
  <x:c r="N111" i="80"/>
  <x:c r="O111" i="80"/>
  <x:c r="P111" i="80"/>
  <x:c r="Q111" i="80"/>
  <x:c r="S111" i="80"/>
  <x:c r="T111" i="80"/>
  <x:c r="A112" i="80"/>
  <x:c r="B112" i="80"/>
  <x:c r="C112" i="80"/>
  <x:c r="D112" i="80"/>
  <x:c r="E112" i="80"/>
  <x:c r="F112" i="80"/>
  <x:c r="G112" i="80"/>
  <x:c r="H112" i="80"/>
  <x:c r="I112" i="80"/>
  <x:c r="J112" i="80"/>
  <x:c r="K112" i="80"/>
  <x:c r="L112" i="80"/>
  <x:c r="M112" i="80"/>
  <x:c r="N112" i="80"/>
  <x:c r="O112" i="80"/>
  <x:c r="P112" i="80"/>
  <x:c r="Q112" i="80"/>
  <x:c r="S112" i="80"/>
  <x:c r="T112" i="80"/>
  <x:c r="A113" i="80"/>
  <x:c r="B113" i="80"/>
  <x:c r="C113" i="80"/>
  <x:c r="D113" i="80"/>
  <x:c r="E113" i="80"/>
  <x:c r="F113" i="80"/>
  <x:c r="G113" i="80"/>
  <x:c r="H113" i="80"/>
  <x:c r="I113" i="80"/>
  <x:c r="J113" i="80"/>
  <x:c r="K113" i="80"/>
  <x:c r="L113" i="80"/>
  <x:c r="M113" i="80"/>
  <x:c r="N113" i="80"/>
  <x:c r="O113" i="80"/>
  <x:c r="P113" i="80"/>
  <x:c r="Q113" i="80"/>
  <x:c r="S113" i="80"/>
  <x:c r="T113" i="80"/>
  <x:c r="A114" i="80"/>
  <x:c r="B114" i="80"/>
  <x:c r="C114" i="80"/>
  <x:c r="D114" i="80"/>
  <x:c r="E114" i="80"/>
  <x:c r="F114" i="80"/>
  <x:c r="G114" i="80"/>
  <x:c r="H114" i="80"/>
  <x:c r="I114" i="80"/>
  <x:c r="J114" i="80"/>
  <x:c r="K114" i="80"/>
  <x:c r="L114" i="80"/>
  <x:c r="M114" i="80"/>
  <x:c r="N114" i="80"/>
  <x:c r="O114" i="80"/>
  <x:c r="P114" i="80"/>
  <x:c r="Q114" i="80"/>
  <x:c r="S114" i="80"/>
  <x:c r="T114" i="80"/>
  <x:c r="A115" i="80"/>
  <x:c r="B115" i="80"/>
  <x:c r="C115" i="80"/>
  <x:c r="D115" i="80"/>
  <x:c r="E115" i="80"/>
  <x:c r="F115" i="80"/>
  <x:c r="G115" i="80"/>
  <x:c r="H115" i="80"/>
  <x:c r="I115" i="80"/>
  <x:c r="J115" i="80"/>
  <x:c r="K115" i="80"/>
  <x:c r="L115" i="80"/>
  <x:c r="M115" i="80"/>
  <x:c r="N115" i="80"/>
  <x:c r="O115" i="80"/>
  <x:c r="P115" i="80"/>
  <x:c r="Q115" i="80"/>
  <x:c r="S115" i="80"/>
  <x:c r="T115" i="80"/>
  <x:c r="A116" i="80"/>
  <x:c r="B116" i="80"/>
  <x:c r="C116" i="80"/>
  <x:c r="D116" i="80"/>
  <x:c r="E116" i="80"/>
  <x:c r="F116" i="80"/>
  <x:c r="G116" i="80"/>
  <x:c r="H116" i="80"/>
  <x:c r="I116" i="80"/>
  <x:c r="J116" i="80"/>
  <x:c r="K116" i="80"/>
  <x:c r="L116" i="80"/>
  <x:c r="M116" i="80"/>
  <x:c r="N116" i="80"/>
  <x:c r="O116" i="80"/>
  <x:c r="P116" i="80"/>
  <x:c r="Q116" i="80"/>
  <x:c r="S116" i="80"/>
  <x:c r="T116" i="80"/>
  <x:c r="A117" i="80"/>
  <x:c r="B117" i="80"/>
  <x:c r="C117" i="80"/>
  <x:c r="D117" i="80"/>
  <x:c r="E117" i="80"/>
  <x:c r="F117" i="80"/>
  <x:c r="G117" i="80"/>
  <x:c r="H117" i="80"/>
  <x:c r="I117" i="80"/>
  <x:c r="J117" i="80"/>
  <x:c r="K117" i="80"/>
  <x:c r="L117" i="80"/>
  <x:c r="M117" i="80"/>
  <x:c r="N117" i="80"/>
  <x:c r="O117" i="80"/>
  <x:c r="P117" i="80"/>
  <x:c r="Q117" i="80"/>
  <x:c r="S117" i="80"/>
  <x:c r="T117" i="80"/>
  <x:c r="A118" i="80"/>
  <x:c r="B118" i="80"/>
  <x:c r="C118" i="80"/>
  <x:c r="D118" i="80"/>
  <x:c r="E118" i="80"/>
  <x:c r="F118" i="80"/>
  <x:c r="G118" i="80"/>
  <x:c r="H118" i="80"/>
  <x:c r="I118" i="80"/>
  <x:c r="J118" i="80"/>
  <x:c r="K118" i="80"/>
  <x:c r="L118" i="80"/>
  <x:c r="M118" i="80"/>
  <x:c r="N118" i="80"/>
  <x:c r="O118" i="80"/>
  <x:c r="P118" i="80"/>
  <x:c r="Q118" i="80"/>
  <x:c r="S118" i="80"/>
  <x:c r="T118" i="80"/>
  <x:c r="A119" i="80"/>
  <x:c r="B119" i="80"/>
  <x:c r="C119" i="80"/>
  <x:c r="D119" i="80"/>
  <x:c r="E119" i="80"/>
  <x:c r="F119" i="80"/>
  <x:c r="G119" i="80"/>
  <x:c r="H119" i="80"/>
  <x:c r="I119" i="80"/>
  <x:c r="J119" i="80"/>
  <x:c r="K119" i="80"/>
  <x:c r="L119" i="80"/>
  <x:c r="M119" i="80"/>
  <x:c r="N119" i="80"/>
  <x:c r="O119" i="80"/>
  <x:c r="P119" i="80"/>
  <x:c r="Q119" i="80"/>
  <x:c r="S119" i="80"/>
  <x:c r="T119" i="80"/>
  <x:c r="A120" i="80"/>
  <x:c r="B120" i="80"/>
  <x:c r="C120" i="80"/>
  <x:c r="D120" i="80"/>
  <x:c r="E120" i="80"/>
  <x:c r="F120" i="80"/>
  <x:c r="G120" i="80"/>
  <x:c r="H120" i="80"/>
  <x:c r="I120" i="80"/>
  <x:c r="J120" i="80"/>
  <x:c r="K120" i="80"/>
  <x:c r="L120" i="80"/>
  <x:c r="M120" i="80"/>
  <x:c r="N120" i="80"/>
  <x:c r="O120" i="80"/>
  <x:c r="P120" i="80"/>
  <x:c r="Q120" i="80"/>
  <x:c r="S120" i="80"/>
  <x:c r="T120" i="80"/>
  <x:c r="A121" i="80"/>
  <x:c r="B121" i="80"/>
  <x:c r="C121" i="80"/>
  <x:c r="D121" i="80"/>
  <x:c r="E121" i="80"/>
  <x:c r="F121" i="80"/>
  <x:c r="G121" i="80"/>
  <x:c r="H121" i="80"/>
  <x:c r="I121" i="80"/>
  <x:c r="J121" i="80"/>
  <x:c r="K121" i="80"/>
  <x:c r="L121" i="80"/>
  <x:c r="M121" i="80"/>
  <x:c r="N121" i="80"/>
  <x:c r="O121" i="80"/>
  <x:c r="P121" i="80"/>
  <x:c r="Q121" i="80"/>
  <x:c r="S121" i="80"/>
  <x:c r="T121" i="80"/>
  <x:c r="A122" i="80"/>
  <x:c r="B122" i="80"/>
  <x:c r="C122" i="80"/>
  <x:c r="D122" i="80"/>
  <x:c r="E122" i="80"/>
  <x:c r="F122" i="80"/>
  <x:c r="G122" i="80"/>
  <x:c r="H122" i="80"/>
  <x:c r="I122" i="80"/>
  <x:c r="J122" i="80"/>
  <x:c r="K122" i="80"/>
  <x:c r="L122" i="80"/>
  <x:c r="M122" i="80"/>
  <x:c r="N122" i="80"/>
  <x:c r="O122" i="80"/>
  <x:c r="P122" i="80"/>
  <x:c r="Q122" i="80"/>
  <x:c r="S122" i="80"/>
  <x:c r="T122" i="80"/>
  <x:c r="A123" i="80"/>
  <x:c r="B123" i="80"/>
  <x:c r="C123" i="80"/>
  <x:c r="D123" i="80"/>
  <x:c r="E123" i="80"/>
  <x:c r="F123" i="80"/>
  <x:c r="G123" i="80"/>
  <x:c r="H123" i="80"/>
  <x:c r="I123" i="80"/>
  <x:c r="J123" i="80"/>
  <x:c r="K123" i="80"/>
  <x:c r="L123" i="80"/>
  <x:c r="M123" i="80"/>
  <x:c r="N123" i="80"/>
  <x:c r="O123" i="80"/>
  <x:c r="P123" i="80"/>
  <x:c r="Q123" i="80"/>
  <x:c r="S123" i="80"/>
  <x:c r="T123" i="80"/>
  <x:c r="A124" i="80"/>
  <x:c r="B124" i="80"/>
  <x:c r="C124" i="80"/>
  <x:c r="D124" i="80"/>
  <x:c r="E124" i="80"/>
  <x:c r="F124" i="80"/>
  <x:c r="G124" i="80"/>
  <x:c r="H124" i="80"/>
  <x:c r="I124" i="80"/>
  <x:c r="J124" i="80"/>
  <x:c r="K124" i="80"/>
  <x:c r="L124" i="80"/>
  <x:c r="M124" i="80"/>
  <x:c r="N124" i="80"/>
  <x:c r="O124" i="80"/>
  <x:c r="P124" i="80"/>
  <x:c r="Q124" i="80"/>
  <x:c r="S124" i="80"/>
  <x:c r="T124" i="80"/>
  <x:c r="A125" i="80"/>
  <x:c r="B125" i="80"/>
  <x:c r="C125" i="80"/>
  <x:c r="D125" i="80"/>
  <x:c r="E125" i="80"/>
  <x:c r="F125" i="80"/>
  <x:c r="G125" i="80"/>
  <x:c r="H125" i="80"/>
  <x:c r="I125" i="80"/>
  <x:c r="J125" i="80"/>
  <x:c r="K125" i="80"/>
  <x:c r="L125" i="80"/>
  <x:c r="M125" i="80"/>
  <x:c r="N125" i="80"/>
  <x:c r="O125" i="80"/>
  <x:c r="P125" i="80"/>
  <x:c r="Q125" i="80"/>
  <x:c r="S125" i="80"/>
  <x:c r="T125" i="80"/>
  <x:c r="A126" i="80"/>
  <x:c r="B126" i="80"/>
  <x:c r="C126" i="80"/>
  <x:c r="D126" i="80"/>
  <x:c r="E126" i="80"/>
  <x:c r="F126" i="80"/>
  <x:c r="G126" i="80"/>
  <x:c r="H126" i="80"/>
  <x:c r="I126" i="80"/>
  <x:c r="J126" i="80"/>
  <x:c r="K126" i="80"/>
  <x:c r="L126" i="80"/>
  <x:c r="M126" i="80"/>
  <x:c r="N126" i="80"/>
  <x:c r="O126" i="80"/>
  <x:c r="P126" i="80"/>
  <x:c r="Q126" i="80"/>
  <x:c r="S126" i="80"/>
  <x:c r="T126" i="80"/>
  <x:c r="A127" i="80"/>
  <x:c r="B127" i="80"/>
  <x:c r="C127" i="80"/>
  <x:c r="D127" i="80"/>
  <x:c r="E127" i="80"/>
  <x:c r="F127" i="80"/>
  <x:c r="G127" i="80"/>
  <x:c r="H127" i="80"/>
  <x:c r="I127" i="80"/>
  <x:c r="J127" i="80"/>
  <x:c r="K127" i="80"/>
  <x:c r="L127" i="80"/>
  <x:c r="M127" i="80"/>
  <x:c r="N127" i="80"/>
  <x:c r="O127" i="80"/>
  <x:c r="P127" i="80"/>
  <x:c r="Q127" i="80"/>
  <x:c r="S127" i="80"/>
  <x:c r="T127" i="80"/>
  <x:c r="A128" i="80"/>
  <x:c r="B128" i="80"/>
  <x:c r="C128" i="80"/>
  <x:c r="D128" i="80"/>
  <x:c r="E128" i="80"/>
  <x:c r="F128" i="80"/>
  <x:c r="G128" i="80"/>
  <x:c r="H128" i="80"/>
  <x:c r="I128" i="80"/>
  <x:c r="J128" i="80"/>
  <x:c r="K128" i="80"/>
  <x:c r="L128" i="80"/>
  <x:c r="M128" i="80"/>
  <x:c r="N128" i="80"/>
  <x:c r="O128" i="80"/>
  <x:c r="P128" i="80"/>
  <x:c r="Q128" i="80"/>
  <x:c r="S128" i="80"/>
  <x:c r="T128" i="80"/>
  <x:c r="A129" i="80"/>
  <x:c r="B129" i="80"/>
  <x:c r="C129" i="80"/>
  <x:c r="D129" i="80"/>
  <x:c r="E129" i="80"/>
  <x:c r="F129" i="80"/>
  <x:c r="G129" i="80"/>
  <x:c r="H129" i="80"/>
  <x:c r="I129" i="80"/>
  <x:c r="J129" i="80"/>
  <x:c r="K129" i="80"/>
  <x:c r="L129" i="80"/>
  <x:c r="M129" i="80"/>
  <x:c r="N129" i="80"/>
  <x:c r="O129" i="80"/>
  <x:c r="P129" i="80"/>
  <x:c r="Q129" i="80"/>
  <x:c r="S129" i="80"/>
  <x:c r="T129" i="80"/>
  <x:c r="A130" i="80"/>
  <x:c r="B130" i="80"/>
  <x:c r="C130" i="80"/>
  <x:c r="D130" i="80"/>
  <x:c r="E130" i="80"/>
  <x:c r="F130" i="80"/>
  <x:c r="G130" i="80"/>
  <x:c r="H130" i="80"/>
  <x:c r="I130" i="80"/>
  <x:c r="J130" i="80"/>
  <x:c r="K130" i="80"/>
  <x:c r="L130" i="80"/>
  <x:c r="M130" i="80"/>
  <x:c r="N130" i="80"/>
  <x:c r="O130" i="80"/>
  <x:c r="P130" i="80"/>
  <x:c r="Q130" i="80"/>
  <x:c r="S130" i="80"/>
  <x:c r="T130" i="80"/>
  <x:c r="A131" i="80"/>
  <x:c r="B131" i="80"/>
  <x:c r="C131" i="80"/>
  <x:c r="D131" i="80"/>
  <x:c r="E131" i="80"/>
  <x:c r="F131" i="80"/>
  <x:c r="G131" i="80"/>
  <x:c r="H131" i="80"/>
  <x:c r="I131" i="80"/>
  <x:c r="J131" i="80"/>
  <x:c r="K131" i="80"/>
  <x:c r="L131" i="80"/>
  <x:c r="M131" i="80"/>
  <x:c r="N131" i="80"/>
  <x:c r="O131" i="80"/>
  <x:c r="P131" i="80"/>
  <x:c r="Q131" i="80"/>
  <x:c r="S131" i="80"/>
  <x:c r="T131" i="80"/>
  <x:c r="A132" i="80"/>
  <x:c r="B132" i="80"/>
  <x:c r="C132" i="80"/>
  <x:c r="D132" i="80"/>
  <x:c r="E132" i="80"/>
  <x:c r="F132" i="80"/>
  <x:c r="G132" i="80"/>
  <x:c r="H132" i="80"/>
  <x:c r="I132" i="80"/>
  <x:c r="J132" i="80"/>
  <x:c r="K132" i="80"/>
  <x:c r="L132" i="80"/>
  <x:c r="M132" i="80"/>
  <x:c r="N132" i="80"/>
  <x:c r="O132" i="80"/>
  <x:c r="P132" i="80"/>
  <x:c r="Q132" i="80"/>
  <x:c r="S132" i="80"/>
  <x:c r="T132" i="80"/>
  <x:c r="A133" i="80"/>
  <x:c r="B133" i="80"/>
  <x:c r="C133" i="80"/>
  <x:c r="D133" i="80"/>
  <x:c r="E133" i="80"/>
  <x:c r="F133" i="80"/>
  <x:c r="G133" i="80"/>
  <x:c r="H133" i="80"/>
  <x:c r="I133" i="80"/>
  <x:c r="J133" i="80"/>
  <x:c r="K133" i="80"/>
  <x:c r="L133" i="80"/>
  <x:c r="M133" i="80"/>
  <x:c r="N133" i="80"/>
  <x:c r="O133" i="80"/>
  <x:c r="P133" i="80"/>
  <x:c r="Q133" i="80"/>
  <x:c r="S133" i="80"/>
  <x:c r="T133" i="80"/>
  <x:c r="A134" i="80"/>
  <x:c r="B134" i="80"/>
  <x:c r="C134" i="80"/>
  <x:c r="D134" i="80"/>
  <x:c r="E134" i="80"/>
  <x:c r="F134" i="80"/>
  <x:c r="G134" i="80"/>
  <x:c r="H134" i="80"/>
  <x:c r="I134" i="80"/>
  <x:c r="J134" i="80"/>
  <x:c r="K134" i="80"/>
  <x:c r="L134" i="80"/>
  <x:c r="M134" i="80"/>
  <x:c r="N134" i="80"/>
  <x:c r="O134" i="80"/>
  <x:c r="P134" i="80"/>
  <x:c r="Q134" i="80"/>
  <x:c r="S134" i="80"/>
  <x:c r="T134" i="80"/>
  <x:c r="A135" i="80"/>
  <x:c r="B135" i="80"/>
  <x:c r="C135" i="80"/>
  <x:c r="D135" i="80"/>
  <x:c r="E135" i="80"/>
  <x:c r="F135" i="80"/>
  <x:c r="G135" i="80"/>
  <x:c r="H135" i="80"/>
  <x:c r="I135" i="80"/>
  <x:c r="J135" i="80"/>
  <x:c r="K135" i="80"/>
  <x:c r="L135" i="80"/>
  <x:c r="M135" i="80"/>
  <x:c r="N135" i="80"/>
  <x:c r="O135" i="80"/>
  <x:c r="P135" i="80"/>
  <x:c r="Q135" i="80"/>
  <x:c r="S135" i="80"/>
  <x:c r="T135" i="80"/>
  <x:c r="A136" i="80"/>
  <x:c r="B136" i="80"/>
  <x:c r="C136" i="80"/>
  <x:c r="D136" i="80"/>
  <x:c r="E136" i="80"/>
  <x:c r="F136" i="80"/>
  <x:c r="G136" i="80"/>
  <x:c r="H136" i="80"/>
  <x:c r="I136" i="80"/>
  <x:c r="J136" i="80"/>
  <x:c r="K136" i="80"/>
  <x:c r="L136" i="80"/>
  <x:c r="M136" i="80"/>
  <x:c r="N136" i="80"/>
  <x:c r="O136" i="80"/>
  <x:c r="P136" i="80"/>
  <x:c r="Q136" i="80"/>
  <x:c r="S136" i="80"/>
  <x:c r="T136" i="80"/>
  <x:c r="A137" i="80"/>
  <x:c r="B137" i="80"/>
  <x:c r="C137" i="80"/>
  <x:c r="D137" i="80"/>
  <x:c r="E137" i="80"/>
  <x:c r="F137" i="80"/>
  <x:c r="G137" i="80"/>
  <x:c r="H137" i="80"/>
  <x:c r="I137" i="80"/>
  <x:c r="J137" i="80"/>
  <x:c r="K137" i="80"/>
  <x:c r="L137" i="80"/>
  <x:c r="M137" i="80"/>
  <x:c r="N137" i="80"/>
  <x:c r="O137" i="80"/>
  <x:c r="P137" i="80"/>
  <x:c r="Q137" i="80"/>
  <x:c r="S137" i="80"/>
  <x:c r="T137" i="80"/>
  <x:c r="A138" i="80"/>
  <x:c r="B138" i="80"/>
  <x:c r="C138" i="80"/>
  <x:c r="D138" i="80"/>
  <x:c r="E138" i="80"/>
  <x:c r="F138" i="80"/>
  <x:c r="G138" i="80"/>
  <x:c r="H138" i="80"/>
  <x:c r="I138" i="80"/>
  <x:c r="J138" i="80"/>
  <x:c r="K138" i="80"/>
  <x:c r="L138" i="80"/>
  <x:c r="M138" i="80"/>
  <x:c r="N138" i="80"/>
  <x:c r="O138" i="80"/>
  <x:c r="P138" i="80"/>
  <x:c r="Q138" i="80"/>
  <x:c r="S138" i="80"/>
  <x:c r="T138" i="80"/>
  <x:c r="A139" i="80"/>
  <x:c r="B139" i="80"/>
  <x:c r="C139" i="80"/>
  <x:c r="D139" i="80"/>
  <x:c r="E139" i="80"/>
  <x:c r="F139" i="80"/>
  <x:c r="G139" i="80"/>
  <x:c r="H139" i="80"/>
  <x:c r="I139" i="80"/>
  <x:c r="J139" i="80"/>
  <x:c r="K139" i="80"/>
  <x:c r="L139" i="80"/>
  <x:c r="M139" i="80"/>
  <x:c r="N139" i="80"/>
  <x:c r="O139" i="80"/>
  <x:c r="P139" i="80"/>
  <x:c r="Q139" i="80"/>
  <x:c r="S139" i="80"/>
  <x:c r="T139" i="80"/>
  <x:c r="A140" i="80"/>
  <x:c r="B140" i="80"/>
  <x:c r="C140" i="80"/>
  <x:c r="D140" i="80"/>
  <x:c r="E140" i="80"/>
  <x:c r="F140" i="80"/>
  <x:c r="G140" i="80"/>
  <x:c r="H140" i="80"/>
  <x:c r="I140" i="80"/>
  <x:c r="J140" i="80"/>
  <x:c r="K140" i="80"/>
  <x:c r="L140" i="80"/>
  <x:c r="M140" i="80"/>
  <x:c r="N140" i="80"/>
  <x:c r="O140" i="80"/>
  <x:c r="P140" i="80"/>
  <x:c r="Q140" i="80"/>
  <x:c r="S140" i="80"/>
  <x:c r="T140" i="80"/>
  <x:c r="A141" i="80"/>
  <x:c r="B141" i="80"/>
  <x:c r="C141" i="80"/>
  <x:c r="D141" i="80"/>
  <x:c r="E141" i="80"/>
  <x:c r="F141" i="80"/>
  <x:c r="G141" i="80"/>
  <x:c r="H141" i="80"/>
  <x:c r="I141" i="80"/>
  <x:c r="J141" i="80"/>
  <x:c r="K141" i="80"/>
  <x:c r="L141" i="80"/>
  <x:c r="M141" i="80"/>
  <x:c r="N141" i="80"/>
  <x:c r="O141" i="80"/>
  <x:c r="P141" i="80"/>
  <x:c r="Q141" i="80"/>
  <x:c r="S141" i="80"/>
  <x:c r="T141" i="80"/>
  <x:c r="A142" i="80"/>
  <x:c r="B142" i="80"/>
  <x:c r="C142" i="80"/>
  <x:c r="D142" i="80"/>
  <x:c r="E142" i="80"/>
  <x:c r="F142" i="80"/>
  <x:c r="G142" i="80"/>
  <x:c r="H142" i="80"/>
  <x:c r="I142" i="80"/>
  <x:c r="J142" i="80"/>
  <x:c r="K142" i="80"/>
  <x:c r="L142" i="80"/>
  <x:c r="M142" i="80"/>
  <x:c r="N142" i="80"/>
  <x:c r="O142" i="80"/>
  <x:c r="P142" i="80"/>
  <x:c r="Q142" i="80"/>
  <x:c r="S142" i="80"/>
  <x:c r="T142" i="80"/>
  <x:c r="A143" i="80"/>
  <x:c r="B143" i="80"/>
  <x:c r="C143" i="80"/>
  <x:c r="D143" i="80"/>
  <x:c r="E143" i="80"/>
  <x:c r="F143" i="80"/>
  <x:c r="G143" i="80"/>
  <x:c r="H143" i="80"/>
  <x:c r="I143" i="80"/>
  <x:c r="J143" i="80"/>
  <x:c r="K143" i="80"/>
  <x:c r="L143" i="80"/>
  <x:c r="M143" i="80"/>
  <x:c r="N143" i="80"/>
  <x:c r="O143" i="80"/>
  <x:c r="P143" i="80"/>
  <x:c r="Q143" i="80"/>
  <x:c r="S143" i="80"/>
  <x:c r="T143" i="80"/>
  <x:c r="A144" i="80"/>
  <x:c r="B144" i="80"/>
  <x:c r="C144" i="80"/>
  <x:c r="D144" i="80"/>
  <x:c r="E144" i="80"/>
  <x:c r="F144" i="80"/>
  <x:c r="G144" i="80"/>
  <x:c r="H144" i="80"/>
  <x:c r="I144" i="80"/>
  <x:c r="J144" i="80"/>
  <x:c r="K144" i="80"/>
  <x:c r="L144" i="80"/>
  <x:c r="M144" i="80"/>
  <x:c r="N144" i="80"/>
  <x:c r="O144" i="80"/>
  <x:c r="P144" i="80"/>
  <x:c r="Q144" i="80"/>
  <x:c r="S144" i="80"/>
  <x:c r="T144" i="80"/>
  <x:c r="A145" i="80"/>
  <x:c r="B145" i="80"/>
  <x:c r="C145" i="80"/>
  <x:c r="D145" i="80"/>
  <x:c r="E145" i="80"/>
  <x:c r="F145" i="80"/>
  <x:c r="G145" i="80"/>
  <x:c r="H145" i="80"/>
  <x:c r="I145" i="80"/>
  <x:c r="J145" i="80"/>
  <x:c r="K145" i="80"/>
  <x:c r="L145" i="80"/>
  <x:c r="M145" i="80"/>
  <x:c r="N145" i="80"/>
  <x:c r="O145" i="80"/>
  <x:c r="P145" i="80"/>
  <x:c r="Q145" i="80"/>
  <x:c r="S145" i="80"/>
  <x:c r="T145" i="80"/>
  <x:c r="A146" i="80"/>
  <x:c r="B146" i="80"/>
  <x:c r="C146" i="80"/>
  <x:c r="D146" i="80"/>
  <x:c r="E146" i="80"/>
  <x:c r="F146" i="80"/>
  <x:c r="G146" i="80"/>
  <x:c r="H146" i="80"/>
  <x:c r="I146" i="80"/>
  <x:c r="J146" i="80"/>
  <x:c r="K146" i="80"/>
  <x:c r="L146" i="80"/>
  <x:c r="M146" i="80"/>
  <x:c r="N146" i="80"/>
  <x:c r="O146" i="80"/>
  <x:c r="P146" i="80"/>
  <x:c r="Q146" i="80"/>
  <x:c r="S146" i="80"/>
  <x:c r="T146" i="80"/>
  <x:c r="A147" i="80"/>
  <x:c r="B147" i="80"/>
  <x:c r="C147" i="80"/>
  <x:c r="D147" i="80"/>
  <x:c r="E147" i="80"/>
  <x:c r="F147" i="80"/>
  <x:c r="G147" i="80"/>
  <x:c r="H147" i="80"/>
  <x:c r="I147" i="80"/>
  <x:c r="J147" i="80"/>
  <x:c r="K147" i="80"/>
  <x:c r="L147" i="80"/>
  <x:c r="M147" i="80"/>
  <x:c r="N147" i="80"/>
  <x:c r="O147" i="80"/>
  <x:c r="P147" i="80"/>
  <x:c r="Q147" i="80"/>
  <x:c r="S147" i="80"/>
  <x:c r="T147" i="80"/>
  <x:c r="A148" i="80"/>
  <x:c r="B148" i="80"/>
  <x:c r="C148" i="80"/>
  <x:c r="D148" i="80"/>
  <x:c r="E148" i="80"/>
  <x:c r="F148" i="80"/>
  <x:c r="G148" i="80"/>
  <x:c r="H148" i="80"/>
  <x:c r="I148" i="80"/>
  <x:c r="J148" i="80"/>
  <x:c r="K148" i="80"/>
  <x:c r="L148" i="80"/>
  <x:c r="M148" i="80"/>
  <x:c r="N148" i="80"/>
  <x:c r="O148" i="80"/>
  <x:c r="P148" i="80"/>
  <x:c r="Q148" i="80"/>
  <x:c r="S148" i="80"/>
  <x:c r="T148" i="80"/>
  <x:c r="A149" i="80"/>
  <x:c r="B149" i="80"/>
  <x:c r="C149" i="80"/>
  <x:c r="D149" i="80"/>
  <x:c r="E149" i="80"/>
  <x:c r="F149" i="80"/>
  <x:c r="G149" i="80"/>
  <x:c r="H149" i="80"/>
  <x:c r="I149" i="80"/>
  <x:c r="J149" i="80"/>
  <x:c r="K149" i="80"/>
  <x:c r="L149" i="80"/>
  <x:c r="M149" i="80"/>
  <x:c r="N149" i="80"/>
  <x:c r="O149" i="80"/>
  <x:c r="P149" i="80"/>
  <x:c r="Q149" i="80"/>
  <x:c r="S149" i="80"/>
  <x:c r="T149" i="80"/>
  <x:c r="A150" i="80"/>
  <x:c r="B150" i="80"/>
  <x:c r="C150" i="80"/>
  <x:c r="D150" i="80"/>
  <x:c r="E150" i="80"/>
  <x:c r="F150" i="80"/>
  <x:c r="G150" i="80"/>
  <x:c r="H150" i="80"/>
  <x:c r="I150" i="80"/>
  <x:c r="J150" i="80"/>
  <x:c r="K150" i="80"/>
  <x:c r="L150" i="80"/>
  <x:c r="M150" i="80"/>
  <x:c r="N150" i="80"/>
  <x:c r="O150" i="80"/>
  <x:c r="P150" i="80"/>
  <x:c r="Q150" i="80"/>
  <x:c r="S150" i="80"/>
  <x:c r="T150" i="80"/>
  <x:c r="A151" i="80"/>
  <x:c r="B151" i="80"/>
  <x:c r="C151" i="80"/>
  <x:c r="D151" i="80"/>
  <x:c r="E151" i="80"/>
  <x:c r="F151" i="80"/>
  <x:c r="G151" i="80"/>
  <x:c r="H151" i="80"/>
  <x:c r="I151" i="80"/>
  <x:c r="J151" i="80"/>
  <x:c r="K151" i="80"/>
  <x:c r="L151" i="80"/>
  <x:c r="M151" i="80"/>
  <x:c r="N151" i="80"/>
  <x:c r="O151" i="80"/>
  <x:c r="P151" i="80"/>
  <x:c r="Q151" i="80"/>
  <x:c r="S151" i="80"/>
  <x:c r="T151" i="80"/>
  <x:c r="A152" i="80"/>
  <x:c r="B152" i="80"/>
  <x:c r="C152" i="80"/>
  <x:c r="D152" i="80"/>
  <x:c r="E152" i="80"/>
  <x:c r="F152" i="80"/>
  <x:c r="G152" i="80"/>
  <x:c r="H152" i="80"/>
  <x:c r="I152" i="80"/>
  <x:c r="J152" i="80"/>
  <x:c r="K152" i="80"/>
  <x:c r="L152" i="80"/>
  <x:c r="M152" i="80"/>
  <x:c r="N152" i="80"/>
  <x:c r="O152" i="80"/>
  <x:c r="P152" i="80"/>
  <x:c r="Q152" i="80"/>
  <x:c r="S152" i="80"/>
  <x:c r="T152" i="80"/>
  <x:c r="A153" i="80"/>
  <x:c r="B153" i="80"/>
  <x:c r="C153" i="80"/>
  <x:c r="D153" i="80"/>
  <x:c r="E153" i="80"/>
  <x:c r="F153" i="80"/>
  <x:c r="G153" i="80"/>
  <x:c r="H153" i="80"/>
  <x:c r="I153" i="80"/>
  <x:c r="J153" i="80"/>
  <x:c r="K153" i="80"/>
  <x:c r="L153" i="80"/>
  <x:c r="M153" i="80"/>
  <x:c r="N153" i="80"/>
  <x:c r="O153" i="80"/>
  <x:c r="P153" i="80"/>
  <x:c r="Q153" i="80"/>
  <x:c r="S153" i="80"/>
  <x:c r="T153" i="80"/>
  <x:c r="A154" i="80"/>
  <x:c r="B154" i="80"/>
  <x:c r="C154" i="80"/>
  <x:c r="D154" i="80"/>
  <x:c r="E154" i="80"/>
  <x:c r="F154" i="80"/>
  <x:c r="G154" i="80"/>
  <x:c r="H154" i="80"/>
  <x:c r="I154" i="80"/>
  <x:c r="J154" i="80"/>
  <x:c r="K154" i="80"/>
  <x:c r="L154" i="80"/>
  <x:c r="M154" i="80"/>
  <x:c r="N154" i="80"/>
  <x:c r="O154" i="80"/>
  <x:c r="P154" i="80"/>
  <x:c r="Q154" i="80"/>
  <x:c r="S154" i="80"/>
  <x:c r="T154" i="80"/>
  <x:c r="A155" i="80"/>
  <x:c r="B155" i="80"/>
  <x:c r="C155" i="80"/>
  <x:c r="D155" i="80"/>
  <x:c r="E155" i="80"/>
  <x:c r="F155" i="80"/>
  <x:c r="G155" i="80"/>
  <x:c r="H155" i="80"/>
  <x:c r="I155" i="80"/>
  <x:c r="J155" i="80"/>
  <x:c r="K155" i="80"/>
  <x:c r="L155" i="80"/>
  <x:c r="M155" i="80"/>
  <x:c r="N155" i="80"/>
  <x:c r="O155" i="80"/>
  <x:c r="P155" i="80"/>
  <x:c r="Q155" i="80"/>
  <x:c r="S155" i="80"/>
  <x:c r="T155" i="80"/>
  <x:c r="A156" i="80"/>
  <x:c r="B156" i="80"/>
  <x:c r="C156" i="80"/>
  <x:c r="D156" i="80"/>
  <x:c r="E156" i="80"/>
  <x:c r="F156" i="80"/>
  <x:c r="G156" i="80"/>
  <x:c r="H156" i="80"/>
  <x:c r="I156" i="80"/>
  <x:c r="J156" i="80"/>
  <x:c r="K156" i="80"/>
  <x:c r="L156" i="80"/>
  <x:c r="M156" i="80"/>
  <x:c r="N156" i="80"/>
  <x:c r="O156" i="80"/>
  <x:c r="P156" i="80"/>
  <x:c r="Q156" i="80"/>
  <x:c r="S156" i="80"/>
  <x:c r="T156" i="80"/>
  <x:c r="A157" i="80"/>
  <x:c r="B157" i="80"/>
  <x:c r="C157" i="80"/>
  <x:c r="D157" i="80"/>
  <x:c r="E157" i="80"/>
  <x:c r="F157" i="80"/>
  <x:c r="G157" i="80"/>
  <x:c r="H157" i="80"/>
  <x:c r="I157" i="80"/>
  <x:c r="J157" i="80"/>
  <x:c r="K157" i="80"/>
  <x:c r="L157" i="80"/>
  <x:c r="M157" i="80"/>
  <x:c r="N157" i="80"/>
  <x:c r="O157" i="80"/>
  <x:c r="P157" i="80"/>
  <x:c r="Q157" i="80"/>
  <x:c r="S157" i="80"/>
  <x:c r="T157" i="80"/>
  <x:c r="A158" i="80"/>
  <x:c r="B158" i="80"/>
  <x:c r="C158" i="80"/>
  <x:c r="D158" i="80"/>
  <x:c r="E158" i="80"/>
  <x:c r="F158" i="80"/>
  <x:c r="G158" i="80"/>
  <x:c r="H158" i="80"/>
  <x:c r="I158" i="80"/>
  <x:c r="J158" i="80"/>
  <x:c r="K158" i="80"/>
  <x:c r="L158" i="80"/>
  <x:c r="M158" i="80"/>
  <x:c r="N158" i="80"/>
  <x:c r="O158" i="80"/>
  <x:c r="P158" i="80"/>
  <x:c r="Q158" i="80"/>
  <x:c r="S158" i="80"/>
  <x:c r="T158" i="80"/>
  <x:c r="A159" i="80"/>
  <x:c r="B159" i="80"/>
  <x:c r="C159" i="80"/>
  <x:c r="D159" i="80"/>
  <x:c r="E159" i="80"/>
  <x:c r="F159" i="80"/>
  <x:c r="G159" i="80"/>
  <x:c r="H159" i="80"/>
  <x:c r="I159" i="80"/>
  <x:c r="J159" i="80"/>
  <x:c r="K159" i="80"/>
  <x:c r="L159" i="80"/>
  <x:c r="M159" i="80"/>
  <x:c r="N159" i="80"/>
  <x:c r="O159" i="80"/>
  <x:c r="P159" i="80"/>
  <x:c r="Q159" i="80"/>
  <x:c r="S159" i="80"/>
  <x:c r="T159" i="80"/>
  <x:c r="A160" i="80"/>
  <x:c r="B160" i="80"/>
  <x:c r="C160" i="80"/>
  <x:c r="D160" i="80"/>
  <x:c r="E160" i="80"/>
  <x:c r="F160" i="80"/>
  <x:c r="G160" i="80"/>
  <x:c r="H160" i="80"/>
  <x:c r="I160" i="80"/>
  <x:c r="J160" i="80"/>
  <x:c r="K160" i="80"/>
  <x:c r="L160" i="80"/>
  <x:c r="M160" i="80"/>
  <x:c r="N160" i="80"/>
  <x:c r="O160" i="80"/>
  <x:c r="P160" i="80"/>
  <x:c r="Q160" i="80"/>
  <x:c r="S160" i="80"/>
  <x:c r="T160" i="80"/>
  <x:c r="A161" i="80"/>
  <x:c r="B161" i="80"/>
  <x:c r="C161" i="80"/>
  <x:c r="D161" i="80"/>
  <x:c r="E161" i="80"/>
  <x:c r="F161" i="80"/>
  <x:c r="G161" i="80"/>
  <x:c r="H161" i="80"/>
  <x:c r="I161" i="80"/>
  <x:c r="J161" i="80"/>
  <x:c r="K161" i="80"/>
  <x:c r="L161" i="80"/>
  <x:c r="M161" i="80"/>
  <x:c r="N161" i="80"/>
  <x:c r="O161" i="80"/>
  <x:c r="P161" i="80"/>
  <x:c r="Q161" i="80"/>
  <x:c r="S161" i="80"/>
  <x:c r="T161" i="80"/>
  <x:c r="A162" i="80"/>
  <x:c r="B162" i="80"/>
  <x:c r="C162" i="80"/>
  <x:c r="D162" i="80"/>
  <x:c r="E162" i="80"/>
  <x:c r="F162" i="80"/>
  <x:c r="G162" i="80"/>
  <x:c r="H162" i="80"/>
  <x:c r="I162" i="80"/>
  <x:c r="J162" i="80"/>
  <x:c r="K162" i="80"/>
  <x:c r="L162" i="80"/>
  <x:c r="M162" i="80"/>
  <x:c r="N162" i="80"/>
  <x:c r="O162" i="80"/>
  <x:c r="P162" i="80"/>
  <x:c r="Q162" i="80"/>
  <x:c r="S162" i="80"/>
  <x:c r="T162" i="80"/>
  <x:c r="A163" i="80"/>
  <x:c r="B163" i="80"/>
  <x:c r="C163" i="80"/>
  <x:c r="D163" i="80"/>
  <x:c r="E163" i="80"/>
  <x:c r="F163" i="80"/>
  <x:c r="G163" i="80"/>
  <x:c r="H163" i="80"/>
  <x:c r="I163" i="80"/>
  <x:c r="J163" i="80"/>
  <x:c r="K163" i="80"/>
  <x:c r="L163" i="80"/>
  <x:c r="M163" i="80"/>
  <x:c r="N163" i="80"/>
  <x:c r="O163" i="80"/>
  <x:c r="P163" i="80"/>
  <x:c r="Q163" i="80"/>
  <x:c r="S163" i="80"/>
  <x:c r="T163" i="80"/>
  <x:c r="A164" i="80"/>
  <x:c r="B164" i="80"/>
  <x:c r="C164" i="80"/>
  <x:c r="D164" i="80"/>
  <x:c r="E164" i="80"/>
  <x:c r="F164" i="80"/>
  <x:c r="G164" i="80"/>
  <x:c r="H164" i="80"/>
  <x:c r="I164" i="80"/>
  <x:c r="J164" i="80"/>
  <x:c r="K164" i="80"/>
  <x:c r="L164" i="80"/>
  <x:c r="M164" i="80"/>
  <x:c r="N164" i="80"/>
  <x:c r="O164" i="80"/>
  <x:c r="P164" i="80"/>
  <x:c r="Q164" i="80"/>
  <x:c r="S164" i="80"/>
  <x:c r="T164" i="80"/>
  <x:c r="A165" i="80"/>
  <x:c r="B165" i="80"/>
  <x:c r="C165" i="80"/>
  <x:c r="D165" i="80"/>
  <x:c r="E165" i="80"/>
  <x:c r="F165" i="80"/>
  <x:c r="G165" i="80"/>
  <x:c r="H165" i="80"/>
  <x:c r="I165" i="80"/>
  <x:c r="J165" i="80"/>
  <x:c r="K165" i="80"/>
  <x:c r="L165" i="80"/>
  <x:c r="M165" i="80"/>
  <x:c r="N165" i="80"/>
  <x:c r="O165" i="80"/>
  <x:c r="P165" i="80"/>
  <x:c r="Q165" i="80"/>
  <x:c r="S165" i="80"/>
  <x:c r="T165" i="80"/>
  <x:c r="A166" i="80"/>
  <x:c r="B166" i="80"/>
  <x:c r="C166" i="80"/>
  <x:c r="D166" i="80"/>
  <x:c r="E166" i="80"/>
  <x:c r="F166" i="80"/>
  <x:c r="G166" i="80"/>
  <x:c r="H166" i="80"/>
  <x:c r="I166" i="80"/>
  <x:c r="J166" i="80"/>
  <x:c r="K166" i="80"/>
  <x:c r="L166" i="80"/>
  <x:c r="M166" i="80"/>
  <x:c r="N166" i="80"/>
  <x:c r="O166" i="80"/>
  <x:c r="P166" i="80"/>
  <x:c r="Q166" i="80"/>
  <x:c r="S166" i="80"/>
  <x:c r="T166" i="80"/>
  <x:c r="A167" i="80"/>
  <x:c r="B167" i="80"/>
  <x:c r="C167" i="80"/>
  <x:c r="D167" i="80"/>
  <x:c r="E167" i="80"/>
  <x:c r="F167" i="80"/>
  <x:c r="G167" i="80"/>
  <x:c r="H167" i="80"/>
  <x:c r="I167" i="80"/>
  <x:c r="J167" i="80"/>
  <x:c r="K167" i="80"/>
  <x:c r="L167" i="80"/>
  <x:c r="M167" i="80"/>
  <x:c r="N167" i="80"/>
  <x:c r="O167" i="80"/>
  <x:c r="P167" i="80"/>
  <x:c r="Q167" i="80"/>
  <x:c r="S167" i="80"/>
  <x:c r="T167" i="80"/>
  <x:c r="A168" i="80"/>
  <x:c r="B168" i="80"/>
  <x:c r="C168" i="80"/>
  <x:c r="D168" i="80"/>
  <x:c r="E168" i="80"/>
  <x:c r="F168" i="80"/>
  <x:c r="G168" i="80"/>
  <x:c r="H168" i="80"/>
  <x:c r="I168" i="80"/>
  <x:c r="J168" i="80"/>
  <x:c r="K168" i="80"/>
  <x:c r="L168" i="80"/>
  <x:c r="M168" i="80"/>
  <x:c r="N168" i="80"/>
  <x:c r="O168" i="80"/>
  <x:c r="P168" i="80"/>
  <x:c r="Q168" i="80"/>
  <x:c r="S168" i="80"/>
  <x:c r="T168" i="80"/>
  <x:c r="A169" i="80"/>
  <x:c r="B169" i="80"/>
  <x:c r="C169" i="80"/>
  <x:c r="D169" i="80"/>
  <x:c r="E169" i="80"/>
  <x:c r="F169" i="80"/>
  <x:c r="G169" i="80"/>
  <x:c r="H169" i="80"/>
  <x:c r="I169" i="80"/>
  <x:c r="J169" i="80"/>
  <x:c r="K169" i="80"/>
  <x:c r="L169" i="80"/>
  <x:c r="M169" i="80"/>
  <x:c r="N169" i="80"/>
  <x:c r="O169" i="80"/>
  <x:c r="P169" i="80"/>
  <x:c r="Q169" i="80"/>
  <x:c r="S169" i="80"/>
  <x:c r="T169" i="80"/>
  <x:c r="A170" i="80"/>
  <x:c r="B170" i="80"/>
  <x:c r="C170" i="80"/>
  <x:c r="D170" i="80"/>
  <x:c r="E170" i="80"/>
  <x:c r="F170" i="80"/>
  <x:c r="G170" i="80"/>
  <x:c r="H170" i="80"/>
  <x:c r="I170" i="80"/>
  <x:c r="J170" i="80"/>
  <x:c r="K170" i="80"/>
  <x:c r="L170" i="80"/>
  <x:c r="M170" i="80"/>
  <x:c r="N170" i="80"/>
  <x:c r="O170" i="80"/>
  <x:c r="P170" i="80"/>
  <x:c r="Q170" i="80"/>
  <x:c r="S170" i="80"/>
  <x:c r="T170" i="80"/>
  <x:c r="A171" i="80"/>
  <x:c r="B171" i="80"/>
  <x:c r="C171" i="80"/>
  <x:c r="D171" i="80"/>
  <x:c r="E171" i="80"/>
  <x:c r="F171" i="80"/>
  <x:c r="G171" i="80"/>
  <x:c r="H171" i="80"/>
  <x:c r="I171" i="80"/>
  <x:c r="J171" i="80"/>
  <x:c r="K171" i="80"/>
  <x:c r="L171" i="80"/>
  <x:c r="M171" i="80"/>
  <x:c r="N171" i="80"/>
  <x:c r="O171" i="80"/>
  <x:c r="P171" i="80"/>
  <x:c r="Q171" i="80"/>
  <x:c r="S171" i="80"/>
  <x:c r="T171" i="80"/>
  <x:c r="A172" i="80"/>
  <x:c r="B172" i="80"/>
  <x:c r="C172" i="80"/>
  <x:c r="D172" i="80"/>
  <x:c r="E172" i="80"/>
  <x:c r="F172" i="80"/>
  <x:c r="G172" i="80"/>
  <x:c r="H172" i="80"/>
  <x:c r="I172" i="80"/>
  <x:c r="J172" i="80"/>
  <x:c r="K172" i="80"/>
  <x:c r="L172" i="80"/>
  <x:c r="M172" i="80"/>
  <x:c r="N172" i="80"/>
  <x:c r="O172" i="80"/>
  <x:c r="P172" i="80"/>
  <x:c r="Q172" i="80"/>
  <x:c r="S172" i="80"/>
  <x:c r="T172" i="80"/>
  <x:c r="A173" i="80"/>
  <x:c r="B173" i="80"/>
  <x:c r="C173" i="80"/>
  <x:c r="D173" i="80"/>
  <x:c r="E173" i="80"/>
  <x:c r="F173" i="80"/>
  <x:c r="G173" i="80"/>
  <x:c r="H173" i="80"/>
  <x:c r="I173" i="80"/>
  <x:c r="J173" i="80"/>
  <x:c r="K173" i="80"/>
  <x:c r="L173" i="80"/>
  <x:c r="M173" i="80"/>
  <x:c r="N173" i="80"/>
  <x:c r="O173" i="80"/>
  <x:c r="P173" i="80"/>
  <x:c r="Q173" i="80"/>
  <x:c r="S173" i="80"/>
  <x:c r="T173" i="80"/>
  <x:c r="A174" i="80"/>
  <x:c r="B174" i="80"/>
  <x:c r="C174" i="80"/>
  <x:c r="D174" i="80"/>
  <x:c r="E174" i="80"/>
  <x:c r="F174" i="80"/>
  <x:c r="G174" i="80"/>
  <x:c r="H174" i="80"/>
  <x:c r="I174" i="80"/>
  <x:c r="J174" i="80"/>
  <x:c r="K174" i="80"/>
  <x:c r="L174" i="80"/>
  <x:c r="M174" i="80"/>
  <x:c r="N174" i="80"/>
  <x:c r="O174" i="80"/>
  <x:c r="P174" i="80"/>
  <x:c r="Q174" i="80"/>
  <x:c r="S174" i="80"/>
  <x:c r="T174" i="80"/>
  <x:c r="A175" i="80"/>
  <x:c r="B175" i="80"/>
  <x:c r="C175" i="80"/>
  <x:c r="D175" i="80"/>
  <x:c r="E175" i="80"/>
  <x:c r="F175" i="80"/>
  <x:c r="G175" i="80"/>
  <x:c r="H175" i="80"/>
  <x:c r="I175" i="80"/>
  <x:c r="J175" i="80"/>
  <x:c r="K175" i="80"/>
  <x:c r="L175" i="80"/>
  <x:c r="M175" i="80"/>
  <x:c r="N175" i="80"/>
  <x:c r="O175" i="80"/>
  <x:c r="P175" i="80"/>
  <x:c r="Q175" i="80"/>
  <x:c r="S175" i="80"/>
  <x:c r="T175" i="80"/>
  <x:c r="A176" i="80"/>
  <x:c r="B176" i="80"/>
  <x:c r="C176" i="80"/>
  <x:c r="D176" i="80"/>
  <x:c r="E176" i="80"/>
  <x:c r="F176" i="80"/>
  <x:c r="G176" i="80"/>
  <x:c r="H176" i="80"/>
  <x:c r="I176" i="80"/>
  <x:c r="J176" i="80"/>
  <x:c r="K176" i="80"/>
  <x:c r="L176" i="80"/>
  <x:c r="M176" i="80"/>
  <x:c r="N176" i="80"/>
  <x:c r="O176" i="80"/>
  <x:c r="P176" i="80"/>
  <x:c r="Q176" i="80"/>
  <x:c r="S176" i="80"/>
  <x:c r="T176" i="80"/>
  <x:c r="A177" i="80"/>
  <x:c r="B177" i="80"/>
  <x:c r="C177" i="80"/>
  <x:c r="D177" i="80"/>
  <x:c r="E177" i="80"/>
  <x:c r="F177" i="80"/>
  <x:c r="G177" i="80"/>
  <x:c r="H177" i="80"/>
  <x:c r="I177" i="80"/>
  <x:c r="J177" i="80"/>
  <x:c r="K177" i="80"/>
  <x:c r="L177" i="80"/>
  <x:c r="M177" i="80"/>
  <x:c r="N177" i="80"/>
  <x:c r="O177" i="80"/>
  <x:c r="P177" i="80"/>
  <x:c r="Q177" i="80"/>
  <x:c r="S177" i="80"/>
  <x:c r="T177" i="80"/>
  <x:c r="A178" i="80"/>
  <x:c r="B178" i="80"/>
  <x:c r="C178" i="80"/>
  <x:c r="D178" i="80"/>
  <x:c r="E178" i="80"/>
  <x:c r="F178" i="80"/>
  <x:c r="G178" i="80"/>
  <x:c r="H178" i="80"/>
  <x:c r="I178" i="80"/>
  <x:c r="J178" i="80"/>
  <x:c r="K178" i="80"/>
  <x:c r="L178" i="80"/>
  <x:c r="M178" i="80"/>
  <x:c r="N178" i="80"/>
  <x:c r="O178" i="80"/>
  <x:c r="P178" i="80"/>
  <x:c r="Q178" i="80"/>
  <x:c r="S178" i="80"/>
  <x:c r="T178" i="80"/>
  <x:c r="A179" i="80"/>
  <x:c r="B179" i="80"/>
  <x:c r="C179" i="80"/>
  <x:c r="D179" i="80"/>
  <x:c r="E179" i="80"/>
  <x:c r="F179" i="80"/>
  <x:c r="G179" i="80"/>
  <x:c r="H179" i="80"/>
  <x:c r="I179" i="80"/>
  <x:c r="J179" i="80"/>
  <x:c r="K179" i="80"/>
  <x:c r="L179" i="80"/>
  <x:c r="M179" i="80"/>
  <x:c r="N179" i="80"/>
  <x:c r="O179" i="80"/>
  <x:c r="P179" i="80"/>
  <x:c r="Q179" i="80"/>
  <x:c r="S179" i="80"/>
  <x:c r="T179" i="80"/>
  <x:c r="A180" i="80"/>
  <x:c r="B180" i="80"/>
  <x:c r="C180" i="80"/>
  <x:c r="D180" i="80"/>
  <x:c r="E180" i="80"/>
  <x:c r="F180" i="80"/>
  <x:c r="G180" i="80"/>
  <x:c r="H180" i="80"/>
  <x:c r="I180" i="80"/>
  <x:c r="J180" i="80"/>
  <x:c r="K180" i="80"/>
  <x:c r="L180" i="80"/>
  <x:c r="M180" i="80"/>
  <x:c r="N180" i="80"/>
  <x:c r="O180" i="80"/>
  <x:c r="P180" i="80"/>
  <x:c r="Q180" i="80"/>
  <x:c r="S180" i="80"/>
  <x:c r="T180" i="80"/>
  <x:c r="A181" i="80"/>
  <x:c r="B181" i="80"/>
  <x:c r="C181" i="80"/>
  <x:c r="D181" i="80"/>
  <x:c r="E181" i="80"/>
  <x:c r="F181" i="80"/>
  <x:c r="G181" i="80"/>
  <x:c r="H181" i="80"/>
  <x:c r="I181" i="80"/>
  <x:c r="J181" i="80"/>
  <x:c r="K181" i="80"/>
  <x:c r="L181" i="80"/>
  <x:c r="M181" i="80"/>
  <x:c r="N181" i="80"/>
  <x:c r="O181" i="80"/>
  <x:c r="P181" i="80"/>
  <x:c r="Q181" i="80"/>
  <x:c r="S181" i="80"/>
  <x:c r="T181" i="80"/>
  <x:c r="A182" i="80"/>
  <x:c r="B182" i="80"/>
  <x:c r="C182" i="80"/>
  <x:c r="D182" i="80"/>
  <x:c r="E182" i="80"/>
  <x:c r="F182" i="80"/>
  <x:c r="G182" i="80"/>
  <x:c r="H182" i="80"/>
  <x:c r="I182" i="80"/>
  <x:c r="J182" i="80"/>
  <x:c r="K182" i="80"/>
  <x:c r="L182" i="80"/>
  <x:c r="M182" i="80"/>
  <x:c r="N182" i="80"/>
  <x:c r="O182" i="80"/>
  <x:c r="P182" i="80"/>
  <x:c r="Q182" i="80"/>
  <x:c r="S182" i="80"/>
  <x:c r="T182" i="80"/>
  <x:c r="A183" i="80"/>
  <x:c r="B183" i="80"/>
  <x:c r="C183" i="80"/>
  <x:c r="D183" i="80"/>
  <x:c r="E183" i="80"/>
  <x:c r="F183" i="80"/>
  <x:c r="G183" i="80"/>
  <x:c r="H183" i="80"/>
  <x:c r="I183" i="80"/>
  <x:c r="J183" i="80"/>
  <x:c r="K183" i="80"/>
  <x:c r="L183" i="80"/>
  <x:c r="M183" i="80"/>
  <x:c r="N183" i="80"/>
  <x:c r="O183" i="80"/>
  <x:c r="P183" i="80"/>
  <x:c r="Q183" i="80"/>
  <x:c r="S183" i="80"/>
  <x:c r="T183" i="80"/>
  <x:c r="A184" i="80"/>
  <x:c r="B184" i="80"/>
  <x:c r="C184" i="80"/>
  <x:c r="D184" i="80"/>
  <x:c r="E184" i="80"/>
  <x:c r="F184" i="80"/>
  <x:c r="G184" i="80"/>
  <x:c r="H184" i="80"/>
  <x:c r="I184" i="80"/>
  <x:c r="J184" i="80"/>
  <x:c r="K184" i="80"/>
  <x:c r="L184" i="80"/>
  <x:c r="M184" i="80"/>
  <x:c r="N184" i="80"/>
  <x:c r="O184" i="80"/>
  <x:c r="P184" i="80"/>
  <x:c r="Q184" i="80"/>
  <x:c r="S184" i="80"/>
  <x:c r="T184" i="80"/>
  <x:c r="A185" i="80"/>
  <x:c r="B185" i="80"/>
  <x:c r="C185" i="80"/>
  <x:c r="D185" i="80"/>
  <x:c r="E185" i="80"/>
  <x:c r="F185" i="80"/>
  <x:c r="G185" i="80"/>
  <x:c r="H185" i="80"/>
  <x:c r="I185" i="80"/>
  <x:c r="J185" i="80"/>
  <x:c r="K185" i="80"/>
  <x:c r="L185" i="80"/>
  <x:c r="M185" i="80"/>
  <x:c r="N185" i="80"/>
  <x:c r="O185" i="80"/>
  <x:c r="P185" i="80"/>
  <x:c r="Q185" i="80"/>
  <x:c r="S185" i="80"/>
  <x:c r="T185" i="80"/>
  <x:c r="A186" i="80"/>
  <x:c r="B186" i="80"/>
  <x:c r="C186" i="80"/>
  <x:c r="D186" i="80"/>
  <x:c r="E186" i="80"/>
  <x:c r="F186" i="80"/>
  <x:c r="G186" i="80"/>
  <x:c r="H186" i="80"/>
  <x:c r="I186" i="80"/>
  <x:c r="J186" i="80"/>
  <x:c r="K186" i="80"/>
  <x:c r="L186" i="80"/>
  <x:c r="M186" i="80"/>
  <x:c r="N186" i="80"/>
  <x:c r="O186" i="80"/>
  <x:c r="P186" i="80"/>
  <x:c r="Q186" i="80"/>
  <x:c r="S186" i="80"/>
  <x:c r="T186" i="80"/>
  <x:c r="A187" i="80"/>
  <x:c r="B187" i="80"/>
  <x:c r="C187" i="80"/>
  <x:c r="D187" i="80"/>
  <x:c r="E187" i="80"/>
  <x:c r="F187" i="80"/>
  <x:c r="G187" i="80"/>
  <x:c r="H187" i="80"/>
  <x:c r="I187" i="80"/>
  <x:c r="J187" i="80"/>
  <x:c r="K187" i="80"/>
  <x:c r="L187" i="80"/>
  <x:c r="M187" i="80"/>
  <x:c r="N187" i="80"/>
  <x:c r="O187" i="80"/>
  <x:c r="P187" i="80"/>
  <x:c r="Q187" i="80"/>
  <x:c r="S187" i="80"/>
  <x:c r="T187" i="80"/>
  <x:c r="A188" i="80"/>
  <x:c r="B188" i="80"/>
  <x:c r="C188" i="80"/>
  <x:c r="D188" i="80"/>
  <x:c r="E188" i="80"/>
  <x:c r="F188" i="80"/>
  <x:c r="G188" i="80"/>
  <x:c r="H188" i="80"/>
  <x:c r="I188" i="80"/>
  <x:c r="J188" i="80"/>
  <x:c r="K188" i="80"/>
  <x:c r="L188" i="80"/>
  <x:c r="M188" i="80"/>
  <x:c r="N188" i="80"/>
  <x:c r="O188" i="80"/>
  <x:c r="P188" i="80"/>
  <x:c r="Q188" i="80"/>
  <x:c r="S188" i="80"/>
  <x:c r="T188" i="80"/>
  <x:c r="A189" i="80"/>
  <x:c r="B189" i="80"/>
  <x:c r="C189" i="80"/>
  <x:c r="D189" i="80"/>
  <x:c r="E189" i="80"/>
  <x:c r="F189" i="80"/>
  <x:c r="G189" i="80"/>
  <x:c r="H189" i="80"/>
  <x:c r="I189" i="80"/>
  <x:c r="J189" i="80"/>
  <x:c r="K189" i="80"/>
  <x:c r="L189" i="80"/>
  <x:c r="M189" i="80"/>
  <x:c r="N189" i="80"/>
  <x:c r="O189" i="80"/>
  <x:c r="P189" i="80"/>
  <x:c r="Q189" i="80"/>
  <x:c r="S189" i="80"/>
  <x:c r="T189" i="80"/>
  <x:c r="A190" i="80"/>
  <x:c r="B190" i="80"/>
  <x:c r="C190" i="80"/>
  <x:c r="D190" i="80"/>
  <x:c r="E190" i="80"/>
  <x:c r="F190" i="80"/>
  <x:c r="G190" i="80"/>
  <x:c r="H190" i="80"/>
  <x:c r="I190" i="80"/>
  <x:c r="J190" i="80"/>
  <x:c r="K190" i="80"/>
  <x:c r="L190" i="80"/>
  <x:c r="M190" i="80"/>
  <x:c r="N190" i="80"/>
  <x:c r="O190" i="80"/>
  <x:c r="P190" i="80"/>
  <x:c r="Q190" i="80"/>
  <x:c r="S190" i="80"/>
  <x:c r="T190" i="80"/>
  <x:c r="A191" i="80"/>
  <x:c r="B191" i="80"/>
  <x:c r="C191" i="80"/>
  <x:c r="D191" i="80"/>
  <x:c r="E191" i="80"/>
  <x:c r="F191" i="80"/>
  <x:c r="G191" i="80"/>
  <x:c r="H191" i="80"/>
  <x:c r="I191" i="80"/>
  <x:c r="J191" i="80"/>
  <x:c r="K191" i="80"/>
  <x:c r="L191" i="80"/>
  <x:c r="M191" i="80"/>
  <x:c r="N191" i="80"/>
  <x:c r="O191" i="80"/>
  <x:c r="P191" i="80"/>
  <x:c r="Q191" i="80"/>
  <x:c r="S191" i="80"/>
  <x:c r="T191" i="80"/>
  <x:c r="A192" i="80"/>
  <x:c r="B192" i="80"/>
  <x:c r="C192" i="80"/>
  <x:c r="D192" i="80"/>
  <x:c r="E192" i="80"/>
  <x:c r="F192" i="80"/>
  <x:c r="G192" i="80"/>
  <x:c r="H192" i="80"/>
  <x:c r="I192" i="80"/>
  <x:c r="J192" i="80"/>
  <x:c r="K192" i="80"/>
  <x:c r="L192" i="80"/>
  <x:c r="M192" i="80"/>
  <x:c r="N192" i="80"/>
  <x:c r="O192" i="80"/>
  <x:c r="P192" i="80"/>
  <x:c r="Q192" i="80"/>
  <x:c r="S192" i="80"/>
  <x:c r="T192" i="80"/>
  <x:c r="A193" i="80"/>
  <x:c r="B193" i="80"/>
  <x:c r="C193" i="80"/>
  <x:c r="D193" i="80"/>
  <x:c r="E193" i="80"/>
  <x:c r="F193" i="80"/>
  <x:c r="G193" i="80"/>
  <x:c r="H193" i="80"/>
  <x:c r="I193" i="80"/>
  <x:c r="J193" i="80"/>
  <x:c r="K193" i="80"/>
  <x:c r="L193" i="80"/>
  <x:c r="M193" i="80"/>
  <x:c r="N193" i="80"/>
  <x:c r="O193" i="80"/>
  <x:c r="P193" i="80"/>
  <x:c r="Q193" i="80"/>
  <x:c r="S193" i="80"/>
  <x:c r="T193" i="80"/>
  <x:c r="A194" i="80"/>
  <x:c r="B194" i="80"/>
  <x:c r="C194" i="80"/>
  <x:c r="D194" i="80"/>
  <x:c r="E194" i="80"/>
  <x:c r="F194" i="80"/>
  <x:c r="G194" i="80"/>
  <x:c r="H194" i="80"/>
  <x:c r="I194" i="80"/>
  <x:c r="J194" i="80"/>
  <x:c r="K194" i="80"/>
  <x:c r="L194" i="80"/>
  <x:c r="M194" i="80"/>
  <x:c r="N194" i="80"/>
  <x:c r="O194" i="80"/>
  <x:c r="P194" i="80"/>
  <x:c r="Q194" i="80"/>
  <x:c r="S194" i="80"/>
  <x:c r="T194" i="80"/>
  <x:c r="A195" i="80"/>
  <x:c r="B195" i="80"/>
  <x:c r="C195" i="80"/>
  <x:c r="D195" i="80"/>
  <x:c r="E195" i="80"/>
  <x:c r="F195" i="80"/>
  <x:c r="G195" i="80"/>
  <x:c r="H195" i="80"/>
  <x:c r="I195" i="80"/>
  <x:c r="J195" i="80"/>
  <x:c r="K195" i="80"/>
  <x:c r="L195" i="80"/>
  <x:c r="M195" i="80"/>
  <x:c r="N195" i="80"/>
  <x:c r="O195" i="80"/>
  <x:c r="P195" i="80"/>
  <x:c r="Q195" i="80"/>
  <x:c r="S195" i="80"/>
  <x:c r="T195" i="80"/>
  <x:c r="A196" i="80"/>
  <x:c r="B196" i="80"/>
  <x:c r="C196" i="80"/>
  <x:c r="D196" i="80"/>
  <x:c r="E196" i="80"/>
  <x:c r="F196" i="80"/>
  <x:c r="G196" i="80"/>
  <x:c r="H196" i="80"/>
  <x:c r="I196" i="80"/>
  <x:c r="J196" i="80"/>
  <x:c r="K196" i="80"/>
  <x:c r="L196" i="80"/>
  <x:c r="M196" i="80"/>
  <x:c r="N196" i="80"/>
  <x:c r="O196" i="80"/>
  <x:c r="P196" i="80"/>
  <x:c r="Q196" i="80"/>
  <x:c r="S196" i="80"/>
  <x:c r="T196" i="80"/>
  <x:c r="A197" i="80"/>
  <x:c r="B197" i="80"/>
  <x:c r="C197" i="80"/>
  <x:c r="D197" i="80"/>
  <x:c r="E197" i="80"/>
  <x:c r="F197" i="80"/>
  <x:c r="G197" i="80"/>
  <x:c r="H197" i="80"/>
  <x:c r="I197" i="80"/>
  <x:c r="J197" i="80"/>
  <x:c r="K197" i="80"/>
  <x:c r="L197" i="80"/>
  <x:c r="M197" i="80"/>
  <x:c r="N197" i="80"/>
  <x:c r="O197" i="80"/>
  <x:c r="P197" i="80"/>
  <x:c r="Q197" i="80"/>
  <x:c r="S197" i="80"/>
  <x:c r="T197" i="80"/>
  <x:c r="A198" i="80"/>
  <x:c r="B198" i="80"/>
  <x:c r="C198" i="80"/>
  <x:c r="D198" i="80"/>
  <x:c r="E198" i="80"/>
  <x:c r="F198" i="80"/>
  <x:c r="G198" i="80"/>
  <x:c r="H198" i="80"/>
  <x:c r="I198" i="80"/>
  <x:c r="J198" i="80"/>
  <x:c r="K198" i="80"/>
  <x:c r="L198" i="80"/>
  <x:c r="M198" i="80"/>
  <x:c r="N198" i="80"/>
  <x:c r="O198" i="80"/>
  <x:c r="P198" i="80"/>
  <x:c r="Q198" i="80"/>
  <x:c r="S198" i="80"/>
  <x:c r="T198" i="80"/>
  <x:c r="A199" i="80"/>
  <x:c r="B199" i="80"/>
  <x:c r="C199" i="80"/>
  <x:c r="D199" i="80"/>
  <x:c r="E199" i="80"/>
  <x:c r="F199" i="80"/>
  <x:c r="G199" i="80"/>
  <x:c r="H199" i="80"/>
  <x:c r="I199" i="80"/>
  <x:c r="J199" i="80"/>
  <x:c r="K199" i="80"/>
  <x:c r="L199" i="80"/>
  <x:c r="M199" i="80"/>
  <x:c r="N199" i="80"/>
  <x:c r="O199" i="80"/>
  <x:c r="P199" i="80"/>
  <x:c r="Q199" i="80"/>
  <x:c r="S199" i="80"/>
  <x:c r="T199" i="80"/>
  <x:c r="A200" i="80"/>
  <x:c r="B200" i="80"/>
  <x:c r="C200" i="80"/>
  <x:c r="D200" i="80"/>
  <x:c r="E200" i="80"/>
  <x:c r="F200" i="80"/>
  <x:c r="G200" i="80"/>
  <x:c r="H200" i="80"/>
  <x:c r="I200" i="80"/>
  <x:c r="J200" i="80"/>
  <x:c r="K200" i="80"/>
  <x:c r="L200" i="80"/>
  <x:c r="M200" i="80"/>
  <x:c r="N200" i="80"/>
  <x:c r="O200" i="80"/>
  <x:c r="P200" i="80"/>
  <x:c r="Q200" i="80"/>
  <x:c r="S200" i="80"/>
  <x:c r="T200" i="80"/>
  <x:c r="A201" i="80"/>
  <x:c r="B201" i="80"/>
  <x:c r="C201" i="80"/>
  <x:c r="D201" i="80"/>
  <x:c r="E201" i="80"/>
  <x:c r="F201" i="80"/>
  <x:c r="G201" i="80"/>
  <x:c r="H201" i="80"/>
  <x:c r="I201" i="80"/>
  <x:c r="J201" i="80"/>
  <x:c r="K201" i="80"/>
  <x:c r="L201" i="80"/>
  <x:c r="M201" i="80"/>
  <x:c r="N201" i="80"/>
  <x:c r="O201" i="80"/>
  <x:c r="P201" i="80"/>
  <x:c r="Q201" i="80"/>
  <x:c r="S201" i="80"/>
  <x:c r="T201" i="80"/>
  <x:c r="A202" i="80"/>
  <x:c r="B202" i="80"/>
  <x:c r="C202" i="80"/>
  <x:c r="D202" i="80"/>
  <x:c r="E202" i="80"/>
  <x:c r="F202" i="80"/>
  <x:c r="G202" i="80"/>
  <x:c r="H202" i="80"/>
  <x:c r="I202" i="80"/>
  <x:c r="J202" i="80"/>
  <x:c r="K202" i="80"/>
  <x:c r="L202" i="80"/>
  <x:c r="M202" i="80"/>
  <x:c r="N202" i="80"/>
  <x:c r="O202" i="80"/>
  <x:c r="P202" i="80"/>
  <x:c r="Q202" i="80"/>
  <x:c r="S202" i="80"/>
  <x:c r="T202" i="80"/>
  <x:c r="A203" i="80"/>
  <x:c r="B203" i="80"/>
  <x:c r="C203" i="80"/>
  <x:c r="D203" i="80"/>
  <x:c r="E203" i="80"/>
  <x:c r="F203" i="80"/>
  <x:c r="G203" i="80"/>
  <x:c r="H203" i="80"/>
  <x:c r="I203" i="80"/>
  <x:c r="J203" i="80"/>
  <x:c r="K203" i="80"/>
  <x:c r="L203" i="80"/>
  <x:c r="M203" i="80"/>
  <x:c r="N203" i="80"/>
  <x:c r="O203" i="80"/>
  <x:c r="P203" i="80"/>
  <x:c r="Q203" i="80"/>
  <x:c r="S203" i="80"/>
  <x:c r="T203" i="80"/>
  <x:c r="A204" i="80"/>
  <x:c r="B204" i="80"/>
  <x:c r="C204" i="80"/>
  <x:c r="D204" i="80"/>
  <x:c r="E204" i="80"/>
  <x:c r="F204" i="80"/>
  <x:c r="G204" i="80"/>
  <x:c r="H204" i="80"/>
  <x:c r="I204" i="80"/>
  <x:c r="J204" i="80"/>
  <x:c r="K204" i="80"/>
  <x:c r="L204" i="80"/>
  <x:c r="M204" i="80"/>
  <x:c r="N204" i="80"/>
  <x:c r="O204" i="80"/>
  <x:c r="P204" i="80"/>
  <x:c r="Q204" i="80"/>
  <x:c r="S204" i="80"/>
  <x:c r="T204" i="80"/>
  <x:c r="A205" i="80"/>
  <x:c r="B205" i="80"/>
  <x:c r="C205" i="80"/>
  <x:c r="D205" i="80"/>
  <x:c r="E205" i="80"/>
  <x:c r="F205" i="80"/>
  <x:c r="G205" i="80"/>
  <x:c r="H205" i="80"/>
  <x:c r="I205" i="80"/>
  <x:c r="J205" i="80"/>
  <x:c r="K205" i="80"/>
  <x:c r="L205" i="80"/>
  <x:c r="M205" i="80"/>
  <x:c r="N205" i="80"/>
  <x:c r="O205" i="80"/>
  <x:c r="P205" i="80"/>
  <x:c r="Q205" i="80"/>
  <x:c r="S205" i="80"/>
  <x:c r="T205" i="80"/>
  <x:c r="A206" i="80"/>
  <x:c r="B206" i="80"/>
  <x:c r="C206" i="80"/>
  <x:c r="D206" i="80"/>
  <x:c r="E206" i="80"/>
  <x:c r="F206" i="80"/>
  <x:c r="G206" i="80"/>
  <x:c r="H206" i="80"/>
  <x:c r="I206" i="80"/>
  <x:c r="J206" i="80"/>
  <x:c r="K206" i="80"/>
  <x:c r="L206" i="80"/>
  <x:c r="M206" i="80"/>
  <x:c r="N206" i="80"/>
  <x:c r="O206" i="80"/>
  <x:c r="P206" i="80"/>
  <x:c r="Q206" i="80"/>
  <x:c r="S206" i="80"/>
  <x:c r="T206" i="80"/>
  <x:c r="A207" i="80"/>
  <x:c r="B207" i="80"/>
  <x:c r="C207" i="80"/>
  <x:c r="D207" i="80"/>
  <x:c r="E207" i="80"/>
  <x:c r="F207" i="80"/>
  <x:c r="G207" i="80"/>
  <x:c r="H207" i="80"/>
  <x:c r="I207" i="80"/>
  <x:c r="J207" i="80"/>
  <x:c r="K207" i="80"/>
  <x:c r="L207" i="80"/>
  <x:c r="M207" i="80"/>
  <x:c r="N207" i="80"/>
  <x:c r="O207" i="80"/>
  <x:c r="P207" i="80"/>
  <x:c r="Q207" i="80"/>
  <x:c r="S207" i="80"/>
  <x:c r="T207" i="80"/>
  <x:c r="A208" i="80"/>
  <x:c r="B208" i="80"/>
  <x:c r="C208" i="80"/>
  <x:c r="D208" i="80"/>
  <x:c r="E208" i="80"/>
  <x:c r="F208" i="80"/>
  <x:c r="G208" i="80"/>
  <x:c r="H208" i="80"/>
  <x:c r="I208" i="80"/>
  <x:c r="J208" i="80"/>
  <x:c r="K208" i="80"/>
  <x:c r="L208" i="80"/>
  <x:c r="M208" i="80"/>
  <x:c r="N208" i="80"/>
  <x:c r="O208" i="80"/>
  <x:c r="P208" i="80"/>
  <x:c r="Q208" i="80"/>
  <x:c r="S208" i="80"/>
  <x:c r="T208" i="80"/>
  <x:c r="A209" i="80"/>
  <x:c r="B209" i="80"/>
  <x:c r="C209" i="80"/>
  <x:c r="D209" i="80"/>
  <x:c r="E209" i="80"/>
  <x:c r="F209" i="80"/>
  <x:c r="G209" i="80"/>
  <x:c r="H209" i="80"/>
  <x:c r="I209" i="80"/>
  <x:c r="J209" i="80"/>
  <x:c r="K209" i="80"/>
  <x:c r="L209" i="80"/>
  <x:c r="M209" i="80"/>
  <x:c r="N209" i="80"/>
  <x:c r="O209" i="80"/>
  <x:c r="P209" i="80"/>
  <x:c r="Q209" i="80"/>
  <x:c r="S209" i="80"/>
  <x:c r="T209" i="80"/>
  <x:c r="A210" i="80"/>
  <x:c r="B210" i="80"/>
  <x:c r="C210" i="80"/>
  <x:c r="D210" i="80"/>
  <x:c r="E210" i="80"/>
  <x:c r="F210" i="80"/>
  <x:c r="G210" i="80"/>
  <x:c r="H210" i="80"/>
  <x:c r="I210" i="80"/>
  <x:c r="J210" i="80"/>
  <x:c r="K210" i="80"/>
  <x:c r="L210" i="80"/>
  <x:c r="M210" i="80"/>
  <x:c r="N210" i="80"/>
  <x:c r="O210" i="80"/>
  <x:c r="P210" i="80"/>
  <x:c r="Q210" i="80"/>
  <x:c r="S210" i="80"/>
  <x:c r="T210" i="80"/>
  <x:c r="A211" i="80"/>
  <x:c r="B211" i="80"/>
  <x:c r="C211" i="80"/>
  <x:c r="D211" i="80"/>
  <x:c r="E211" i="80"/>
  <x:c r="F211" i="80"/>
  <x:c r="G211" i="80"/>
  <x:c r="H211" i="80"/>
  <x:c r="I211" i="80"/>
  <x:c r="J211" i="80"/>
  <x:c r="K211" i="80"/>
  <x:c r="L211" i="80"/>
  <x:c r="M211" i="80"/>
  <x:c r="N211" i="80"/>
  <x:c r="O211" i="80"/>
  <x:c r="P211" i="80"/>
  <x:c r="Q211" i="80"/>
  <x:c r="S211" i="80"/>
  <x:c r="T211" i="80"/>
  <x:c r="A212" i="80"/>
  <x:c r="B212" i="80"/>
  <x:c r="C212" i="80"/>
  <x:c r="D212" i="80"/>
  <x:c r="E212" i="80"/>
  <x:c r="F212" i="80"/>
  <x:c r="G212" i="80"/>
  <x:c r="H212" i="80"/>
  <x:c r="I212" i="80"/>
  <x:c r="J212" i="80"/>
  <x:c r="K212" i="80"/>
  <x:c r="L212" i="80"/>
  <x:c r="M212" i="80"/>
  <x:c r="N212" i="80"/>
  <x:c r="O212" i="80"/>
  <x:c r="P212" i="80"/>
  <x:c r="Q212" i="80"/>
  <x:c r="S212" i="80"/>
  <x:c r="T212" i="80"/>
  <x:c r="A213" i="80"/>
  <x:c r="B213" i="80"/>
  <x:c r="C213" i="80"/>
  <x:c r="D213" i="80"/>
  <x:c r="E213" i="80"/>
  <x:c r="F213" i="80"/>
  <x:c r="G213" i="80"/>
  <x:c r="H213" i="80"/>
  <x:c r="I213" i="80"/>
  <x:c r="J213" i="80"/>
  <x:c r="K213" i="80"/>
  <x:c r="L213" i="80"/>
  <x:c r="M213" i="80"/>
  <x:c r="N213" i="80"/>
  <x:c r="O213" i="80"/>
  <x:c r="P213" i="80"/>
  <x:c r="Q213" i="80"/>
  <x:c r="S213" i="80"/>
  <x:c r="T213" i="80"/>
  <x:c r="A214" i="80"/>
  <x:c r="B214" i="80"/>
  <x:c r="C214" i="80"/>
  <x:c r="D214" i="80"/>
  <x:c r="E214" i="80"/>
  <x:c r="F214" i="80"/>
  <x:c r="G214" i="80"/>
  <x:c r="H214" i="80"/>
  <x:c r="I214" i="80"/>
  <x:c r="J214" i="80"/>
  <x:c r="K214" i="80"/>
  <x:c r="L214" i="80"/>
  <x:c r="M214" i="80"/>
  <x:c r="N214" i="80"/>
  <x:c r="O214" i="80"/>
  <x:c r="P214" i="80"/>
  <x:c r="Q214" i="80"/>
  <x:c r="S214" i="80"/>
  <x:c r="T214" i="80"/>
  <x:c r="A215" i="80"/>
  <x:c r="B215" i="80"/>
  <x:c r="C215" i="80"/>
  <x:c r="D215" i="80"/>
  <x:c r="E215" i="80"/>
  <x:c r="F215" i="80"/>
  <x:c r="G215" i="80"/>
  <x:c r="H215" i="80"/>
  <x:c r="I215" i="80"/>
  <x:c r="J215" i="80"/>
  <x:c r="K215" i="80"/>
  <x:c r="L215" i="80"/>
  <x:c r="M215" i="80"/>
  <x:c r="N215" i="80"/>
  <x:c r="O215" i="80"/>
  <x:c r="P215" i="80"/>
  <x:c r="Q215" i="80"/>
  <x:c r="S215" i="80"/>
  <x:c r="T215" i="80"/>
  <x:c r="A216" i="80"/>
  <x:c r="B216" i="80"/>
  <x:c r="C216" i="80"/>
  <x:c r="D216" i="80"/>
  <x:c r="E216" i="80"/>
  <x:c r="F216" i="80"/>
  <x:c r="G216" i="80"/>
  <x:c r="H216" i="80"/>
  <x:c r="I216" i="80"/>
  <x:c r="J216" i="80"/>
  <x:c r="K216" i="80"/>
  <x:c r="L216" i="80"/>
  <x:c r="M216" i="80"/>
  <x:c r="N216" i="80"/>
  <x:c r="O216" i="80"/>
  <x:c r="P216" i="80"/>
  <x:c r="Q216" i="80"/>
  <x:c r="S216" i="80"/>
  <x:c r="T216" i="80"/>
  <x:c r="A217" i="80"/>
  <x:c r="B217" i="80"/>
  <x:c r="C217" i="80"/>
  <x:c r="D217" i="80"/>
  <x:c r="E217" i="80"/>
  <x:c r="F217" i="80"/>
  <x:c r="G217" i="80"/>
  <x:c r="H217" i="80"/>
  <x:c r="I217" i="80"/>
  <x:c r="J217" i="80"/>
  <x:c r="K217" i="80"/>
  <x:c r="L217" i="80"/>
  <x:c r="M217" i="80"/>
  <x:c r="N217" i="80"/>
  <x:c r="O217" i="80"/>
  <x:c r="P217" i="80"/>
  <x:c r="Q217" i="80"/>
  <x:c r="S217" i="80"/>
  <x:c r="T217" i="80"/>
  <x:c r="A218" i="80"/>
  <x:c r="B218" i="80"/>
  <x:c r="C218" i="80"/>
  <x:c r="D218" i="80"/>
  <x:c r="E218" i="80"/>
  <x:c r="F218" i="80"/>
  <x:c r="G218" i="80"/>
  <x:c r="H218" i="80"/>
  <x:c r="I218" i="80"/>
  <x:c r="J218" i="80"/>
  <x:c r="K218" i="80"/>
  <x:c r="L218" i="80"/>
  <x:c r="M218" i="80"/>
  <x:c r="N218" i="80"/>
  <x:c r="O218" i="80"/>
  <x:c r="P218" i="80"/>
  <x:c r="Q218" i="80"/>
  <x:c r="S218" i="80"/>
  <x:c r="T218" i="80"/>
  <x:c r="A219" i="80"/>
  <x:c r="B219" i="80"/>
  <x:c r="C219" i="80"/>
  <x:c r="D219" i="80"/>
  <x:c r="E219" i="80"/>
  <x:c r="F219" i="80"/>
  <x:c r="G219" i="80"/>
  <x:c r="H219" i="80"/>
  <x:c r="I219" i="80"/>
  <x:c r="J219" i="80"/>
  <x:c r="K219" i="80"/>
  <x:c r="L219" i="80"/>
  <x:c r="M219" i="80"/>
  <x:c r="N219" i="80"/>
  <x:c r="O219" i="80"/>
  <x:c r="P219" i="80"/>
  <x:c r="Q219" i="80"/>
  <x:c r="S219" i="80"/>
  <x:c r="T219" i="80"/>
  <x:c r="A220" i="80"/>
  <x:c r="B220" i="80"/>
  <x:c r="C220" i="80"/>
  <x:c r="D220" i="80"/>
  <x:c r="E220" i="80"/>
  <x:c r="F220" i="80"/>
  <x:c r="G220" i="80"/>
  <x:c r="H220" i="80"/>
  <x:c r="I220" i="80"/>
  <x:c r="J220" i="80"/>
  <x:c r="K220" i="80"/>
  <x:c r="L220" i="80"/>
  <x:c r="M220" i="80"/>
  <x:c r="N220" i="80"/>
  <x:c r="O220" i="80"/>
  <x:c r="P220" i="80"/>
  <x:c r="Q220" i="80"/>
  <x:c r="S220" i="80"/>
  <x:c r="T220" i="80"/>
  <x:c r="A221" i="80"/>
  <x:c r="B221" i="80"/>
  <x:c r="C221" i="80"/>
  <x:c r="D221" i="80"/>
  <x:c r="E221" i="80"/>
  <x:c r="F221" i="80"/>
  <x:c r="G221" i="80"/>
  <x:c r="H221" i="80"/>
  <x:c r="I221" i="80"/>
  <x:c r="J221" i="80"/>
  <x:c r="K221" i="80"/>
  <x:c r="L221" i="80"/>
  <x:c r="M221" i="80"/>
  <x:c r="N221" i="80"/>
  <x:c r="O221" i="80"/>
  <x:c r="P221" i="80"/>
  <x:c r="Q221" i="80"/>
  <x:c r="S221" i="80"/>
  <x:c r="T221" i="80"/>
  <x:c r="A222" i="80"/>
  <x:c r="B222" i="80"/>
  <x:c r="C222" i="80"/>
  <x:c r="D222" i="80"/>
  <x:c r="E222" i="80"/>
  <x:c r="F222" i="80"/>
  <x:c r="G222" i="80"/>
  <x:c r="H222" i="80"/>
  <x:c r="I222" i="80"/>
  <x:c r="J222" i="80"/>
  <x:c r="K222" i="80"/>
  <x:c r="L222" i="80"/>
  <x:c r="M222" i="80"/>
  <x:c r="N222" i="80"/>
  <x:c r="O222" i="80"/>
  <x:c r="P222" i="80"/>
  <x:c r="Q222" i="80"/>
  <x:c r="S222" i="80"/>
  <x:c r="T222" i="80"/>
  <x:c r="A223" i="80"/>
  <x:c r="B223" i="80"/>
  <x:c r="C223" i="80"/>
  <x:c r="D223" i="80"/>
  <x:c r="E223" i="80"/>
  <x:c r="F223" i="80"/>
  <x:c r="G223" i="80"/>
  <x:c r="H223" i="80"/>
  <x:c r="I223" i="80"/>
  <x:c r="J223" i="80"/>
  <x:c r="K223" i="80"/>
  <x:c r="L223" i="80"/>
  <x:c r="M223" i="80"/>
  <x:c r="N223" i="80"/>
  <x:c r="O223" i="80"/>
  <x:c r="P223" i="80"/>
  <x:c r="Q223" i="80"/>
  <x:c r="S223" i="80"/>
  <x:c r="T223" i="80"/>
  <x:c r="A224" i="80"/>
  <x:c r="B224" i="80"/>
  <x:c r="C224" i="80"/>
  <x:c r="D224" i="80"/>
  <x:c r="E224" i="80"/>
  <x:c r="F224" i="80"/>
  <x:c r="G224" i="80"/>
  <x:c r="H224" i="80"/>
  <x:c r="I224" i="80"/>
  <x:c r="J224" i="80"/>
  <x:c r="K224" i="80"/>
  <x:c r="L224" i="80"/>
  <x:c r="M224" i="80"/>
  <x:c r="N224" i="80"/>
  <x:c r="O224" i="80"/>
  <x:c r="P224" i="80"/>
  <x:c r="Q224" i="80"/>
  <x:c r="S224" i="80"/>
  <x:c r="T224" i="80"/>
  <x:c r="A225" i="80"/>
  <x:c r="B225" i="80"/>
  <x:c r="C225" i="80"/>
  <x:c r="D225" i="80"/>
  <x:c r="E225" i="80"/>
  <x:c r="F225" i="80"/>
  <x:c r="G225" i="80"/>
  <x:c r="H225" i="80"/>
  <x:c r="I225" i="80"/>
  <x:c r="J225" i="80"/>
  <x:c r="K225" i="80"/>
  <x:c r="L225" i="80"/>
  <x:c r="M225" i="80"/>
  <x:c r="N225" i="80"/>
  <x:c r="O225" i="80"/>
  <x:c r="P225" i="80"/>
  <x:c r="Q225" i="80"/>
  <x:c r="S225" i="80"/>
  <x:c r="T225" i="80"/>
  <x:c r="A226" i="80"/>
  <x:c r="B226" i="80"/>
  <x:c r="C226" i="80"/>
  <x:c r="D226" i="80"/>
  <x:c r="E226" i="80"/>
  <x:c r="F226" i="80"/>
  <x:c r="G226" i="80"/>
  <x:c r="H226" i="80"/>
  <x:c r="I226" i="80"/>
  <x:c r="J226" i="80"/>
  <x:c r="K226" i="80"/>
  <x:c r="L226" i="80"/>
  <x:c r="M226" i="80"/>
  <x:c r="N226" i="80"/>
  <x:c r="O226" i="80"/>
  <x:c r="P226" i="80"/>
  <x:c r="Q226" i="80"/>
  <x:c r="S226" i="80"/>
  <x:c r="T226" i="80"/>
  <x:c r="A227" i="80"/>
  <x:c r="B227" i="80"/>
  <x:c r="C227" i="80"/>
  <x:c r="D227" i="80"/>
  <x:c r="E227" i="80"/>
  <x:c r="F227" i="80"/>
  <x:c r="G227" i="80"/>
  <x:c r="H227" i="80"/>
  <x:c r="I227" i="80"/>
  <x:c r="J227" i="80"/>
  <x:c r="K227" i="80"/>
  <x:c r="L227" i="80"/>
  <x:c r="M227" i="80"/>
  <x:c r="N227" i="80"/>
  <x:c r="O227" i="80"/>
  <x:c r="P227" i="80"/>
  <x:c r="Q227" i="80"/>
  <x:c r="S227" i="80"/>
  <x:c r="T227" i="80"/>
  <x:c r="A228" i="80"/>
  <x:c r="B228" i="80"/>
  <x:c r="C228" i="80"/>
  <x:c r="D228" i="80"/>
  <x:c r="E228" i="80"/>
  <x:c r="F228" i="80"/>
  <x:c r="G228" i="80"/>
  <x:c r="H228" i="80"/>
  <x:c r="I228" i="80"/>
  <x:c r="J228" i="80"/>
  <x:c r="K228" i="80"/>
  <x:c r="L228" i="80"/>
  <x:c r="M228" i="80"/>
  <x:c r="N228" i="80"/>
  <x:c r="O228" i="80"/>
  <x:c r="P228" i="80"/>
  <x:c r="Q228" i="80"/>
  <x:c r="S228" i="80"/>
  <x:c r="T228" i="80"/>
  <x:c r="A229" i="80"/>
  <x:c r="B229" i="80"/>
  <x:c r="C229" i="80"/>
  <x:c r="D229" i="80"/>
  <x:c r="E229" i="80"/>
  <x:c r="F229" i="80"/>
  <x:c r="G229" i="80"/>
  <x:c r="H229" i="80"/>
  <x:c r="I229" i="80"/>
  <x:c r="J229" i="80"/>
  <x:c r="K229" i="80"/>
  <x:c r="L229" i="80"/>
  <x:c r="M229" i="80"/>
  <x:c r="N229" i="80"/>
  <x:c r="O229" i="80"/>
  <x:c r="P229" i="80"/>
  <x:c r="Q229" i="80"/>
  <x:c r="S229" i="80"/>
  <x:c r="T229" i="80"/>
  <x:c r="A230" i="80"/>
  <x:c r="B230" i="80"/>
  <x:c r="C230" i="80"/>
  <x:c r="D230" i="80"/>
  <x:c r="E230" i="80"/>
  <x:c r="F230" i="80"/>
  <x:c r="G230" i="80"/>
  <x:c r="H230" i="80"/>
  <x:c r="I230" i="80"/>
  <x:c r="J230" i="80"/>
  <x:c r="K230" i="80"/>
  <x:c r="L230" i="80"/>
  <x:c r="M230" i="80"/>
  <x:c r="N230" i="80"/>
  <x:c r="O230" i="80"/>
  <x:c r="P230" i="80"/>
  <x:c r="Q230" i="80"/>
  <x:c r="S230" i="80"/>
  <x:c r="T230" i="80"/>
  <x:c r="A231" i="80"/>
  <x:c r="B231" i="80"/>
  <x:c r="C231" i="80"/>
  <x:c r="D231" i="80"/>
  <x:c r="E231" i="80"/>
  <x:c r="F231" i="80"/>
  <x:c r="G231" i="80"/>
  <x:c r="H231" i="80"/>
  <x:c r="I231" i="80"/>
  <x:c r="J231" i="80"/>
  <x:c r="K231" i="80"/>
  <x:c r="L231" i="80"/>
  <x:c r="M231" i="80"/>
  <x:c r="N231" i="80"/>
  <x:c r="O231" i="80"/>
  <x:c r="P231" i="80"/>
  <x:c r="Q231" i="80"/>
  <x:c r="S231" i="80"/>
  <x:c r="T231" i="80"/>
  <x:c r="A232" i="80"/>
  <x:c r="B232" i="80"/>
  <x:c r="C232" i="80"/>
  <x:c r="D232" i="80"/>
  <x:c r="E232" i="80"/>
  <x:c r="F232" i="80"/>
  <x:c r="G232" i="80"/>
  <x:c r="H232" i="80"/>
  <x:c r="I232" i="80"/>
  <x:c r="J232" i="80"/>
  <x:c r="K232" i="80"/>
  <x:c r="L232" i="80"/>
  <x:c r="M232" i="80"/>
  <x:c r="N232" i="80"/>
  <x:c r="O232" i="80"/>
  <x:c r="P232" i="80"/>
  <x:c r="Q232" i="80"/>
  <x:c r="S232" i="80"/>
  <x:c r="T232" i="80"/>
  <x:c r="A233" i="80"/>
  <x:c r="B233" i="80"/>
  <x:c r="C233" i="80"/>
  <x:c r="D233" i="80"/>
  <x:c r="E233" i="80"/>
  <x:c r="F233" i="80"/>
  <x:c r="G233" i="80"/>
  <x:c r="H233" i="80"/>
  <x:c r="I233" i="80"/>
  <x:c r="J233" i="80"/>
  <x:c r="K233" i="80"/>
  <x:c r="L233" i="80"/>
  <x:c r="M233" i="80"/>
  <x:c r="N233" i="80"/>
  <x:c r="O233" i="80"/>
  <x:c r="P233" i="80"/>
  <x:c r="Q233" i="80"/>
  <x:c r="S233" i="80"/>
  <x:c r="T233" i="80"/>
  <x:c r="A234" i="80"/>
  <x:c r="B234" i="80"/>
  <x:c r="C234" i="80"/>
  <x:c r="D234" i="80"/>
  <x:c r="E234" i="80"/>
  <x:c r="F234" i="80"/>
  <x:c r="G234" i="80"/>
  <x:c r="H234" i="80"/>
  <x:c r="I234" i="80"/>
  <x:c r="J234" i="80"/>
  <x:c r="K234" i="80"/>
  <x:c r="L234" i="80"/>
  <x:c r="M234" i="80"/>
  <x:c r="N234" i="80"/>
  <x:c r="O234" i="80"/>
  <x:c r="P234" i="80"/>
  <x:c r="Q234" i="80"/>
  <x:c r="S234" i="80"/>
  <x:c r="T234" i="80"/>
  <x:c r="A235" i="80"/>
  <x:c r="B235" i="80"/>
  <x:c r="C235" i="80"/>
  <x:c r="D235" i="80"/>
  <x:c r="E235" i="80"/>
  <x:c r="F235" i="80"/>
  <x:c r="G235" i="80"/>
  <x:c r="H235" i="80"/>
  <x:c r="I235" i="80"/>
  <x:c r="J235" i="80"/>
  <x:c r="K235" i="80"/>
  <x:c r="L235" i="80"/>
  <x:c r="M235" i="80"/>
  <x:c r="N235" i="80"/>
  <x:c r="O235" i="80"/>
  <x:c r="P235" i="80"/>
  <x:c r="Q235" i="80"/>
  <x:c r="S235" i="80"/>
  <x:c r="T235" i="80"/>
  <x:c r="A236" i="80"/>
  <x:c r="B236" i="80"/>
  <x:c r="C236" i="80"/>
  <x:c r="D236" i="80"/>
  <x:c r="E236" i="80"/>
  <x:c r="F236" i="80"/>
  <x:c r="G236" i="80"/>
  <x:c r="H236" i="80"/>
  <x:c r="I236" i="80"/>
  <x:c r="J236" i="80"/>
  <x:c r="K236" i="80"/>
  <x:c r="L236" i="80"/>
  <x:c r="M236" i="80"/>
  <x:c r="N236" i="80"/>
  <x:c r="O236" i="80"/>
  <x:c r="P236" i="80"/>
  <x:c r="Q236" i="80"/>
  <x:c r="S236" i="80"/>
  <x:c r="T236" i="80"/>
  <x:c r="A237" i="80"/>
  <x:c r="B237" i="80"/>
  <x:c r="C237" i="80"/>
  <x:c r="D237" i="80"/>
  <x:c r="E237" i="80"/>
  <x:c r="F237" i="80"/>
  <x:c r="G237" i="80"/>
  <x:c r="H237" i="80"/>
  <x:c r="I237" i="80"/>
  <x:c r="J237" i="80"/>
  <x:c r="K237" i="80"/>
  <x:c r="L237" i="80"/>
  <x:c r="M237" i="80"/>
  <x:c r="N237" i="80"/>
  <x:c r="O237" i="80"/>
  <x:c r="P237" i="80"/>
  <x:c r="Q237" i="80"/>
  <x:c r="S237" i="80"/>
  <x:c r="T237" i="80"/>
  <x:c r="A238" i="80"/>
  <x:c r="B238" i="80"/>
  <x:c r="C238" i="80"/>
  <x:c r="D238" i="80"/>
  <x:c r="E238" i="80"/>
  <x:c r="F238" i="80"/>
  <x:c r="G238" i="80"/>
  <x:c r="H238" i="80"/>
  <x:c r="I238" i="80"/>
  <x:c r="J238" i="80"/>
  <x:c r="K238" i="80"/>
  <x:c r="L238" i="80"/>
  <x:c r="M238" i="80"/>
  <x:c r="N238" i="80"/>
  <x:c r="O238" i="80"/>
  <x:c r="P238" i="80"/>
  <x:c r="Q238" i="80"/>
  <x:c r="S238" i="80"/>
  <x:c r="T238" i="80"/>
  <x:c r="A239" i="80"/>
  <x:c r="B239" i="80"/>
  <x:c r="C239" i="80"/>
  <x:c r="D239" i="80"/>
  <x:c r="E239" i="80"/>
  <x:c r="F239" i="80"/>
  <x:c r="G239" i="80"/>
  <x:c r="H239" i="80"/>
  <x:c r="I239" i="80"/>
  <x:c r="J239" i="80"/>
  <x:c r="K239" i="80"/>
  <x:c r="L239" i="80"/>
  <x:c r="M239" i="80"/>
  <x:c r="N239" i="80"/>
  <x:c r="O239" i="80"/>
  <x:c r="P239" i="80"/>
  <x:c r="Q239" i="80"/>
  <x:c r="S239" i="80"/>
  <x:c r="T239" i="80"/>
  <x:c r="A240" i="80"/>
  <x:c r="B240" i="80"/>
  <x:c r="C240" i="80"/>
  <x:c r="D240" i="80"/>
  <x:c r="E240" i="80"/>
  <x:c r="F240" i="80"/>
  <x:c r="G240" i="80"/>
  <x:c r="H240" i="80"/>
  <x:c r="I240" i="80"/>
  <x:c r="J240" i="80"/>
  <x:c r="K240" i="80"/>
  <x:c r="L240" i="80"/>
  <x:c r="M240" i="80"/>
  <x:c r="N240" i="80"/>
  <x:c r="O240" i="80"/>
  <x:c r="P240" i="80"/>
  <x:c r="Q240" i="80"/>
  <x:c r="S240" i="80"/>
  <x:c r="T240" i="80"/>
  <x:c r="A241" i="80"/>
  <x:c r="B241" i="80"/>
  <x:c r="C241" i="80"/>
  <x:c r="D241" i="80"/>
  <x:c r="E241" i="80"/>
  <x:c r="F241" i="80"/>
  <x:c r="G241" i="80"/>
  <x:c r="H241" i="80"/>
  <x:c r="I241" i="80"/>
  <x:c r="J241" i="80"/>
  <x:c r="K241" i="80"/>
  <x:c r="L241" i="80"/>
  <x:c r="M241" i="80"/>
  <x:c r="N241" i="80"/>
  <x:c r="O241" i="80"/>
  <x:c r="P241" i="80"/>
  <x:c r="Q241" i="80"/>
  <x:c r="S241" i="80"/>
  <x:c r="T241" i="80"/>
  <x:c r="A242" i="80"/>
  <x:c r="B242" i="80"/>
  <x:c r="C242" i="80"/>
  <x:c r="D242" i="80"/>
  <x:c r="E242" i="80"/>
  <x:c r="F242" i="80"/>
  <x:c r="G242" i="80"/>
  <x:c r="H242" i="80"/>
  <x:c r="I242" i="80"/>
  <x:c r="J242" i="80"/>
  <x:c r="K242" i="80"/>
  <x:c r="L242" i="80"/>
  <x:c r="M242" i="80"/>
  <x:c r="N242" i="80"/>
  <x:c r="O242" i="80"/>
  <x:c r="P242" i="80"/>
  <x:c r="Q242" i="80"/>
  <x:c r="S242" i="80"/>
  <x:c r="T242" i="80"/>
  <x:c r="A243" i="80"/>
  <x:c r="B243" i="80"/>
  <x:c r="C243" i="80"/>
  <x:c r="D243" i="80"/>
  <x:c r="E243" i="80"/>
  <x:c r="F243" i="80"/>
  <x:c r="G243" i="80"/>
  <x:c r="H243" i="80"/>
  <x:c r="I243" i="80"/>
  <x:c r="J243" i="80"/>
  <x:c r="K243" i="80"/>
  <x:c r="L243" i="80"/>
  <x:c r="M243" i="80"/>
  <x:c r="N243" i="80"/>
  <x:c r="O243" i="80"/>
  <x:c r="P243" i="80"/>
  <x:c r="Q243" i="80"/>
  <x:c r="S243" i="80"/>
  <x:c r="T243" i="80"/>
  <x:c r="A244" i="80"/>
  <x:c r="B244" i="80"/>
  <x:c r="C244" i="80"/>
  <x:c r="D244" i="80"/>
  <x:c r="E244" i="80"/>
  <x:c r="F244" i="80"/>
  <x:c r="G244" i="80"/>
  <x:c r="H244" i="80"/>
  <x:c r="I244" i="80"/>
  <x:c r="J244" i="80"/>
  <x:c r="K244" i="80"/>
  <x:c r="L244" i="80"/>
  <x:c r="M244" i="80"/>
  <x:c r="N244" i="80"/>
  <x:c r="O244" i="80"/>
  <x:c r="P244" i="80"/>
  <x:c r="Q244" i="80"/>
  <x:c r="S244" i="80"/>
  <x:c r="T244" i="80"/>
  <x:c r="A245" i="80"/>
  <x:c r="B245" i="80"/>
  <x:c r="C245" i="80"/>
  <x:c r="D245" i="80"/>
  <x:c r="E245" i="80"/>
  <x:c r="F245" i="80"/>
  <x:c r="G245" i="80"/>
  <x:c r="H245" i="80"/>
  <x:c r="I245" i="80"/>
  <x:c r="J245" i="80"/>
  <x:c r="K245" i="80"/>
  <x:c r="L245" i="80"/>
  <x:c r="M245" i="80"/>
  <x:c r="N245" i="80"/>
  <x:c r="O245" i="80"/>
  <x:c r="P245" i="80"/>
  <x:c r="Q245" i="80"/>
  <x:c r="S245" i="80"/>
  <x:c r="T245" i="80"/>
  <x:c r="A246" i="80"/>
  <x:c r="B246" i="80"/>
  <x:c r="C246" i="80"/>
  <x:c r="D246" i="80"/>
  <x:c r="E246" i="80"/>
  <x:c r="F246" i="80"/>
  <x:c r="G246" i="80"/>
  <x:c r="H246" i="80"/>
  <x:c r="I246" i="80"/>
  <x:c r="J246" i="80"/>
  <x:c r="K246" i="80"/>
  <x:c r="L246" i="80"/>
  <x:c r="M246" i="80"/>
  <x:c r="N246" i="80"/>
  <x:c r="O246" i="80"/>
  <x:c r="P246" i="80"/>
  <x:c r="Q246" i="80"/>
  <x:c r="S246" i="80"/>
  <x:c r="T246" i="80"/>
  <x:c r="A247" i="80"/>
  <x:c r="B247" i="80"/>
  <x:c r="C247" i="80"/>
  <x:c r="D247" i="80"/>
  <x:c r="E247" i="80"/>
  <x:c r="F247" i="80"/>
  <x:c r="G247" i="80"/>
  <x:c r="H247" i="80"/>
  <x:c r="I247" i="80"/>
  <x:c r="J247" i="80"/>
  <x:c r="K247" i="80"/>
  <x:c r="L247" i="80"/>
  <x:c r="M247" i="80"/>
  <x:c r="N247" i="80"/>
  <x:c r="O247" i="80"/>
  <x:c r="P247" i="80"/>
  <x:c r="Q247" i="80"/>
  <x:c r="S247" i="80"/>
  <x:c r="T247" i="80"/>
  <x:c r="A248" i="80"/>
  <x:c r="B248" i="80"/>
  <x:c r="C248" i="80"/>
  <x:c r="D248" i="80"/>
  <x:c r="E248" i="80"/>
  <x:c r="F248" i="80"/>
  <x:c r="G248" i="80"/>
  <x:c r="H248" i="80"/>
  <x:c r="I248" i="80"/>
  <x:c r="J248" i="80"/>
  <x:c r="K248" i="80"/>
  <x:c r="L248" i="80"/>
  <x:c r="M248" i="80"/>
  <x:c r="N248" i="80"/>
  <x:c r="O248" i="80"/>
  <x:c r="P248" i="80"/>
  <x:c r="Q248" i="80"/>
  <x:c r="S248" i="80"/>
  <x:c r="T248" i="80"/>
  <x:c r="A249" i="80"/>
  <x:c r="B249" i="80"/>
  <x:c r="C249" i="80"/>
  <x:c r="D249" i="80"/>
  <x:c r="E249" i="80"/>
  <x:c r="F249" i="80"/>
  <x:c r="G249" i="80"/>
  <x:c r="H249" i="80"/>
  <x:c r="I249" i="80"/>
  <x:c r="J249" i="80"/>
  <x:c r="K249" i="80"/>
  <x:c r="L249" i="80"/>
  <x:c r="M249" i="80"/>
  <x:c r="N249" i="80"/>
  <x:c r="O249" i="80"/>
  <x:c r="P249" i="80"/>
  <x:c r="Q249" i="80"/>
  <x:c r="S249" i="80"/>
  <x:c r="T249" i="80"/>
  <x:c r="A250" i="80"/>
  <x:c r="B250" i="80"/>
  <x:c r="C250" i="80"/>
  <x:c r="D250" i="80"/>
  <x:c r="E250" i="80"/>
  <x:c r="F250" i="80"/>
  <x:c r="G250" i="80"/>
  <x:c r="H250" i="80"/>
  <x:c r="I250" i="80"/>
  <x:c r="J250" i="80"/>
  <x:c r="K250" i="80"/>
  <x:c r="L250" i="80"/>
  <x:c r="M250" i="80"/>
  <x:c r="N250" i="80"/>
  <x:c r="O250" i="80"/>
  <x:c r="P250" i="80"/>
  <x:c r="Q250" i="80"/>
  <x:c r="S250" i="80"/>
  <x:c r="T250" i="80"/>
  <x:c r="A251" i="80"/>
  <x:c r="B251" i="80"/>
  <x:c r="C251" i="80"/>
  <x:c r="D251" i="80"/>
  <x:c r="E251" i="80"/>
  <x:c r="F251" i="80"/>
  <x:c r="G251" i="80"/>
  <x:c r="H251" i="80"/>
  <x:c r="I251" i="80"/>
  <x:c r="J251" i="80"/>
  <x:c r="K251" i="80"/>
  <x:c r="L251" i="80"/>
  <x:c r="M251" i="80"/>
  <x:c r="N251" i="80"/>
  <x:c r="O251" i="80"/>
  <x:c r="P251" i="80"/>
  <x:c r="Q251" i="80"/>
  <x:c r="S251" i="80"/>
  <x:c r="T251" i="80"/>
  <x:c r="A252" i="80"/>
  <x:c r="B252" i="80"/>
  <x:c r="C252" i="80"/>
  <x:c r="D252" i="80"/>
  <x:c r="E252" i="80"/>
  <x:c r="F252" i="80"/>
  <x:c r="G252" i="80"/>
  <x:c r="H252" i="80"/>
  <x:c r="I252" i="80"/>
  <x:c r="J252" i="80"/>
  <x:c r="K252" i="80"/>
  <x:c r="L252" i="80"/>
  <x:c r="M252" i="80"/>
  <x:c r="N252" i="80"/>
  <x:c r="O252" i="80"/>
  <x:c r="P252" i="80"/>
  <x:c r="Q252" i="80"/>
  <x:c r="S252" i="80"/>
  <x:c r="T252" i="80"/>
  <x:c r="A253" i="80"/>
  <x:c r="B253" i="80"/>
  <x:c r="C253" i="80"/>
  <x:c r="D253" i="80"/>
  <x:c r="E253" i="80"/>
  <x:c r="F253" i="80"/>
  <x:c r="G253" i="80"/>
  <x:c r="H253" i="80"/>
  <x:c r="I253" i="80"/>
  <x:c r="J253" i="80"/>
  <x:c r="K253" i="80"/>
  <x:c r="L253" i="80"/>
  <x:c r="M253" i="80"/>
  <x:c r="N253" i="80"/>
  <x:c r="O253" i="80"/>
  <x:c r="P253" i="80"/>
  <x:c r="Q253" i="80"/>
  <x:c r="S253" i="80"/>
  <x:c r="T253" i="80"/>
  <x:c r="A254" i="80"/>
  <x:c r="B254" i="80"/>
  <x:c r="C254" i="80"/>
  <x:c r="D254" i="80"/>
  <x:c r="E254" i="80"/>
  <x:c r="F254" i="80"/>
  <x:c r="G254" i="80"/>
  <x:c r="H254" i="80"/>
  <x:c r="I254" i="80"/>
  <x:c r="J254" i="80"/>
  <x:c r="K254" i="80"/>
  <x:c r="L254" i="80"/>
  <x:c r="M254" i="80"/>
  <x:c r="N254" i="80"/>
  <x:c r="O254" i="80"/>
  <x:c r="P254" i="80"/>
  <x:c r="Q254" i="80"/>
  <x:c r="S254" i="80"/>
  <x:c r="T254" i="80"/>
  <x:c r="A255" i="80"/>
  <x:c r="B255" i="80"/>
  <x:c r="C255" i="80"/>
  <x:c r="D255" i="80"/>
  <x:c r="E255" i="80"/>
  <x:c r="F255" i="80"/>
  <x:c r="G255" i="80"/>
  <x:c r="H255" i="80"/>
  <x:c r="I255" i="80"/>
  <x:c r="J255" i="80"/>
  <x:c r="K255" i="80"/>
  <x:c r="L255" i="80"/>
  <x:c r="M255" i="80"/>
  <x:c r="N255" i="80"/>
  <x:c r="O255" i="80"/>
  <x:c r="P255" i="80"/>
  <x:c r="Q255" i="80"/>
  <x:c r="S255" i="80"/>
  <x:c r="T255" i="80"/>
  <x:c r="A256" i="80"/>
  <x:c r="B256" i="80"/>
  <x:c r="C256" i="80"/>
  <x:c r="D256" i="80"/>
  <x:c r="E256" i="80"/>
  <x:c r="F256" i="80"/>
  <x:c r="G256" i="80"/>
  <x:c r="H256" i="80"/>
  <x:c r="I256" i="80"/>
  <x:c r="J256" i="80"/>
  <x:c r="K256" i="80"/>
  <x:c r="L256" i="80"/>
  <x:c r="M256" i="80"/>
  <x:c r="N256" i="80"/>
  <x:c r="O256" i="80"/>
  <x:c r="P256" i="80"/>
  <x:c r="Q256" i="80"/>
  <x:c r="S256" i="80"/>
  <x:c r="T256" i="80"/>
  <x:c r="A257" i="80"/>
  <x:c r="B257" i="80"/>
  <x:c r="C257" i="80"/>
  <x:c r="D257" i="80"/>
  <x:c r="E257" i="80"/>
  <x:c r="F257" i="80"/>
  <x:c r="G257" i="80"/>
  <x:c r="H257" i="80"/>
  <x:c r="I257" i="80"/>
  <x:c r="J257" i="80"/>
  <x:c r="K257" i="80"/>
  <x:c r="L257" i="80"/>
  <x:c r="M257" i="80"/>
  <x:c r="N257" i="80"/>
  <x:c r="O257" i="80"/>
  <x:c r="P257" i="80"/>
  <x:c r="Q257" i="80"/>
  <x:c r="S257" i="80"/>
  <x:c r="T257" i="80"/>
  <x:c r="A258" i="80"/>
  <x:c r="B258" i="80"/>
  <x:c r="C258" i="80"/>
  <x:c r="D258" i="80"/>
  <x:c r="E258" i="80"/>
  <x:c r="F258" i="80"/>
  <x:c r="G258" i="80"/>
  <x:c r="H258" i="80"/>
  <x:c r="I258" i="80"/>
  <x:c r="J258" i="80"/>
  <x:c r="K258" i="80"/>
  <x:c r="L258" i="80"/>
  <x:c r="M258" i="80"/>
  <x:c r="N258" i="80"/>
  <x:c r="O258" i="80"/>
  <x:c r="P258" i="80"/>
  <x:c r="Q258" i="80"/>
  <x:c r="S258" i="80"/>
  <x:c r="T258" i="80"/>
  <x:c r="A259" i="80"/>
  <x:c r="B259" i="80"/>
  <x:c r="C259" i="80"/>
  <x:c r="D259" i="80"/>
  <x:c r="E259" i="80"/>
  <x:c r="F259" i="80"/>
  <x:c r="G259" i="80"/>
  <x:c r="H259" i="80"/>
  <x:c r="I259" i="80"/>
  <x:c r="J259" i="80"/>
  <x:c r="K259" i="80"/>
  <x:c r="L259" i="80"/>
  <x:c r="M259" i="80"/>
  <x:c r="N259" i="80"/>
  <x:c r="O259" i="80"/>
  <x:c r="P259" i="80"/>
  <x:c r="Q259" i="80"/>
  <x:c r="S259" i="80"/>
  <x:c r="T259" i="80"/>
  <x:c r="A260" i="80"/>
  <x:c r="B260" i="80"/>
  <x:c r="C260" i="80"/>
  <x:c r="D260" i="80"/>
  <x:c r="E260" i="80"/>
  <x:c r="F260" i="80"/>
  <x:c r="G260" i="80"/>
  <x:c r="H260" i="80"/>
  <x:c r="I260" i="80"/>
  <x:c r="J260" i="80"/>
  <x:c r="K260" i="80"/>
  <x:c r="L260" i="80"/>
  <x:c r="M260" i="80"/>
  <x:c r="N260" i="80"/>
  <x:c r="O260" i="80"/>
  <x:c r="P260" i="80"/>
  <x:c r="Q260" i="80"/>
  <x:c r="S260" i="80"/>
  <x:c r="T260" i="80"/>
  <x:c r="A261" i="80"/>
  <x:c r="B261" i="80"/>
  <x:c r="C261" i="80"/>
  <x:c r="D261" i="80"/>
  <x:c r="E261" i="80"/>
  <x:c r="F261" i="80"/>
  <x:c r="G261" i="80"/>
  <x:c r="H261" i="80"/>
  <x:c r="I261" i="80"/>
  <x:c r="J261" i="80"/>
  <x:c r="K261" i="80"/>
  <x:c r="L261" i="80"/>
  <x:c r="M261" i="80"/>
  <x:c r="N261" i="80"/>
  <x:c r="O261" i="80"/>
  <x:c r="P261" i="80"/>
  <x:c r="Q261" i="80"/>
  <x:c r="S261" i="80"/>
  <x:c r="T261" i="80"/>
  <x:c r="A262" i="80"/>
  <x:c r="B262" i="80"/>
  <x:c r="C262" i="80"/>
  <x:c r="D262" i="80"/>
  <x:c r="E262" i="80"/>
  <x:c r="F262" i="80"/>
  <x:c r="G262" i="80"/>
  <x:c r="H262" i="80"/>
  <x:c r="I262" i="80"/>
  <x:c r="J262" i="80"/>
  <x:c r="K262" i="80"/>
  <x:c r="L262" i="80"/>
  <x:c r="M262" i="80"/>
  <x:c r="N262" i="80"/>
  <x:c r="O262" i="80"/>
  <x:c r="P262" i="80"/>
  <x:c r="Q262" i="80"/>
  <x:c r="S262" i="80"/>
  <x:c r="T262" i="80"/>
  <x:c r="A263" i="80"/>
  <x:c r="B263" i="80"/>
  <x:c r="C263" i="80"/>
  <x:c r="D263" i="80"/>
  <x:c r="E263" i="80"/>
  <x:c r="F263" i="80"/>
  <x:c r="G263" i="80"/>
  <x:c r="H263" i="80"/>
  <x:c r="I263" i="80"/>
  <x:c r="J263" i="80"/>
  <x:c r="K263" i="80"/>
  <x:c r="L263" i="80"/>
  <x:c r="M263" i="80"/>
  <x:c r="N263" i="80"/>
  <x:c r="O263" i="80"/>
  <x:c r="P263" i="80"/>
  <x:c r="Q263" i="80"/>
  <x:c r="S263" i="80"/>
  <x:c r="T263" i="80"/>
  <x:c r="A264" i="80"/>
  <x:c r="B264" i="80"/>
  <x:c r="C264" i="80"/>
  <x:c r="D264" i="80"/>
  <x:c r="E264" i="80"/>
  <x:c r="F264" i="80"/>
  <x:c r="G264" i="80"/>
  <x:c r="H264" i="80"/>
  <x:c r="I264" i="80"/>
  <x:c r="J264" i="80"/>
  <x:c r="K264" i="80"/>
  <x:c r="L264" i="80"/>
  <x:c r="M264" i="80"/>
  <x:c r="N264" i="80"/>
  <x:c r="O264" i="80"/>
  <x:c r="P264" i="80"/>
  <x:c r="Q264" i="80"/>
  <x:c r="S264" i="80"/>
  <x:c r="T264" i="80"/>
  <x:c r="A265" i="80"/>
  <x:c r="B265" i="80"/>
  <x:c r="C265" i="80"/>
  <x:c r="D265" i="80"/>
  <x:c r="E265" i="80"/>
  <x:c r="F265" i="80"/>
  <x:c r="G265" i="80"/>
  <x:c r="H265" i="80"/>
  <x:c r="I265" i="80"/>
  <x:c r="J265" i="80"/>
  <x:c r="K265" i="80"/>
  <x:c r="L265" i="80"/>
  <x:c r="M265" i="80"/>
  <x:c r="N265" i="80"/>
  <x:c r="O265" i="80"/>
  <x:c r="P265" i="80"/>
  <x:c r="Q265" i="80"/>
  <x:c r="S265" i="80"/>
  <x:c r="T265" i="80"/>
  <x:c r="A266" i="80"/>
  <x:c r="B266" i="80"/>
  <x:c r="C266" i="80"/>
  <x:c r="D266" i="80"/>
  <x:c r="E266" i="80"/>
  <x:c r="F266" i="80"/>
  <x:c r="G266" i="80"/>
  <x:c r="H266" i="80"/>
  <x:c r="I266" i="80"/>
  <x:c r="J266" i="80"/>
  <x:c r="K266" i="80"/>
  <x:c r="L266" i="80"/>
  <x:c r="M266" i="80"/>
  <x:c r="N266" i="80"/>
  <x:c r="O266" i="80"/>
  <x:c r="P266" i="80"/>
  <x:c r="Q266" i="80"/>
  <x:c r="S266" i="80"/>
  <x:c r="T266" i="80"/>
  <x:c r="A267" i="80"/>
  <x:c r="B267" i="80"/>
  <x:c r="C267" i="80"/>
  <x:c r="D267" i="80"/>
  <x:c r="E267" i="80"/>
  <x:c r="F267" i="80"/>
  <x:c r="G267" i="80"/>
  <x:c r="H267" i="80"/>
  <x:c r="I267" i="80"/>
  <x:c r="J267" i="80"/>
  <x:c r="K267" i="80"/>
  <x:c r="L267" i="80"/>
  <x:c r="M267" i="80"/>
  <x:c r="N267" i="80"/>
  <x:c r="O267" i="80"/>
  <x:c r="P267" i="80"/>
  <x:c r="Q267" i="80"/>
  <x:c r="S267" i="80"/>
  <x:c r="T267" i="80"/>
  <x:c r="A268" i="80"/>
  <x:c r="B268" i="80"/>
  <x:c r="C268" i="80"/>
  <x:c r="D268" i="80"/>
  <x:c r="E268" i="80"/>
  <x:c r="F268" i="80"/>
  <x:c r="G268" i="80"/>
  <x:c r="H268" i="80"/>
  <x:c r="I268" i="80"/>
  <x:c r="J268" i="80"/>
  <x:c r="K268" i="80"/>
  <x:c r="L268" i="80"/>
  <x:c r="M268" i="80"/>
  <x:c r="N268" i="80"/>
  <x:c r="O268" i="80"/>
  <x:c r="P268" i="80"/>
  <x:c r="Q268" i="80"/>
  <x:c r="S268" i="80"/>
  <x:c r="T268" i="80"/>
  <x:c r="A269" i="80"/>
  <x:c r="B269" i="80"/>
  <x:c r="C269" i="80"/>
  <x:c r="D269" i="80"/>
  <x:c r="E269" i="80"/>
  <x:c r="F269" i="80"/>
  <x:c r="G269" i="80"/>
  <x:c r="H269" i="80"/>
  <x:c r="I269" i="80"/>
  <x:c r="J269" i="80"/>
  <x:c r="K269" i="80"/>
  <x:c r="L269" i="80"/>
  <x:c r="M269" i="80"/>
  <x:c r="N269" i="80"/>
  <x:c r="O269" i="80"/>
  <x:c r="P269" i="80"/>
  <x:c r="Q269" i="80"/>
  <x:c r="S269" i="80"/>
  <x:c r="T269" i="80"/>
  <x:c r="A270" i="80"/>
  <x:c r="B270" i="80"/>
  <x:c r="C270" i="80"/>
  <x:c r="D270" i="80"/>
  <x:c r="E270" i="80"/>
  <x:c r="F270" i="80"/>
  <x:c r="G270" i="80"/>
  <x:c r="H270" i="80"/>
  <x:c r="I270" i="80"/>
  <x:c r="J270" i="80"/>
  <x:c r="K270" i="80"/>
  <x:c r="L270" i="80"/>
  <x:c r="M270" i="80"/>
  <x:c r="N270" i="80"/>
  <x:c r="O270" i="80"/>
  <x:c r="P270" i="80"/>
  <x:c r="Q270" i="80"/>
  <x:c r="S270" i="80"/>
  <x:c r="T270" i="80"/>
  <x:c r="A271" i="80"/>
  <x:c r="B271" i="80"/>
  <x:c r="C271" i="80"/>
  <x:c r="D271" i="80"/>
  <x:c r="E271" i="80"/>
  <x:c r="F271" i="80"/>
  <x:c r="G271" i="80"/>
  <x:c r="H271" i="80"/>
  <x:c r="I271" i="80"/>
  <x:c r="J271" i="80"/>
  <x:c r="K271" i="80"/>
  <x:c r="L271" i="80"/>
  <x:c r="M271" i="80"/>
  <x:c r="N271" i="80"/>
  <x:c r="O271" i="80"/>
  <x:c r="P271" i="80"/>
  <x:c r="Q271" i="80"/>
  <x:c r="S271" i="80"/>
  <x:c r="T271" i="80"/>
  <x:c r="A272" i="80"/>
  <x:c r="B272" i="80"/>
  <x:c r="C272" i="80"/>
  <x:c r="D272" i="80"/>
  <x:c r="E272" i="80"/>
  <x:c r="F272" i="80"/>
  <x:c r="G272" i="80"/>
  <x:c r="H272" i="80"/>
  <x:c r="I272" i="80"/>
  <x:c r="J272" i="80"/>
  <x:c r="K272" i="80"/>
  <x:c r="L272" i="80"/>
  <x:c r="M272" i="80"/>
  <x:c r="N272" i="80"/>
  <x:c r="O272" i="80"/>
  <x:c r="P272" i="80"/>
  <x:c r="Q272" i="80"/>
  <x:c r="S272" i="80"/>
  <x:c r="T272" i="80"/>
  <x:c r="A273" i="80"/>
  <x:c r="B273" i="80"/>
  <x:c r="C273" i="80"/>
  <x:c r="D273" i="80"/>
  <x:c r="E273" i="80"/>
  <x:c r="F273" i="80"/>
  <x:c r="G273" i="80"/>
  <x:c r="H273" i="80"/>
  <x:c r="I273" i="80"/>
  <x:c r="J273" i="80"/>
  <x:c r="K273" i="80"/>
  <x:c r="L273" i="80"/>
  <x:c r="M273" i="80"/>
  <x:c r="N273" i="80"/>
  <x:c r="O273" i="80"/>
  <x:c r="P273" i="80"/>
  <x:c r="Q273" i="80"/>
  <x:c r="S273" i="80"/>
  <x:c r="T273" i="80"/>
  <x:c r="A274" i="80"/>
  <x:c r="B274" i="80"/>
  <x:c r="C274" i="80"/>
  <x:c r="D274" i="80"/>
  <x:c r="E274" i="80"/>
  <x:c r="F274" i="80"/>
  <x:c r="G274" i="80"/>
  <x:c r="H274" i="80"/>
  <x:c r="I274" i="80"/>
  <x:c r="J274" i="80"/>
  <x:c r="K274" i="80"/>
  <x:c r="L274" i="80"/>
  <x:c r="M274" i="80"/>
  <x:c r="N274" i="80"/>
  <x:c r="O274" i="80"/>
  <x:c r="P274" i="80"/>
  <x:c r="Q274" i="80"/>
  <x:c r="S274" i="80"/>
  <x:c r="T274" i="80"/>
  <x:c r="A275" i="80"/>
  <x:c r="B275" i="80"/>
  <x:c r="C275" i="80"/>
  <x:c r="D275" i="80"/>
  <x:c r="E275" i="80"/>
  <x:c r="F275" i="80"/>
  <x:c r="G275" i="80"/>
  <x:c r="H275" i="80"/>
  <x:c r="I275" i="80"/>
  <x:c r="J275" i="80"/>
  <x:c r="K275" i="80"/>
  <x:c r="L275" i="80"/>
  <x:c r="M275" i="80"/>
  <x:c r="N275" i="80"/>
  <x:c r="O275" i="80"/>
  <x:c r="P275" i="80"/>
  <x:c r="Q275" i="80"/>
  <x:c r="S275" i="80"/>
  <x:c r="T275" i="80"/>
  <x:c r="A276" i="80"/>
  <x:c r="B276" i="80"/>
  <x:c r="C276" i="80"/>
  <x:c r="D276" i="80"/>
  <x:c r="E276" i="80"/>
  <x:c r="F276" i="80"/>
  <x:c r="G276" i="80"/>
  <x:c r="H276" i="80"/>
  <x:c r="I276" i="80"/>
  <x:c r="J276" i="80"/>
  <x:c r="K276" i="80"/>
  <x:c r="L276" i="80"/>
  <x:c r="M276" i="80"/>
  <x:c r="N276" i="80"/>
  <x:c r="O276" i="80"/>
  <x:c r="P276" i="80"/>
  <x:c r="Q276" i="80"/>
  <x:c r="S276" i="80"/>
  <x:c r="T276" i="80"/>
  <x:c r="A277" i="80"/>
  <x:c r="B277" i="80"/>
  <x:c r="C277" i="80"/>
  <x:c r="D277" i="80"/>
  <x:c r="E277" i="80"/>
  <x:c r="F277" i="80"/>
  <x:c r="G277" i="80"/>
  <x:c r="H277" i="80"/>
  <x:c r="I277" i="80"/>
  <x:c r="J277" i="80"/>
  <x:c r="K277" i="80"/>
  <x:c r="L277" i="80"/>
  <x:c r="M277" i="80"/>
  <x:c r="N277" i="80"/>
  <x:c r="O277" i="80"/>
  <x:c r="P277" i="80"/>
  <x:c r="Q277" i="80"/>
  <x:c r="S277" i="80"/>
  <x:c r="T277" i="80"/>
  <x:c r="A278" i="80"/>
  <x:c r="B278" i="80"/>
  <x:c r="C278" i="80"/>
  <x:c r="D278" i="80"/>
  <x:c r="E278" i="80"/>
  <x:c r="F278" i="80"/>
  <x:c r="G278" i="80"/>
  <x:c r="H278" i="80"/>
  <x:c r="I278" i="80"/>
  <x:c r="J278" i="80"/>
  <x:c r="K278" i="80"/>
  <x:c r="L278" i="80"/>
  <x:c r="M278" i="80"/>
  <x:c r="N278" i="80"/>
  <x:c r="O278" i="80"/>
  <x:c r="P278" i="80"/>
  <x:c r="Q278" i="80"/>
  <x:c r="S278" i="80"/>
  <x:c r="T278" i="80"/>
  <x:c r="A279" i="80"/>
  <x:c r="B279" i="80"/>
  <x:c r="C279" i="80"/>
  <x:c r="D279" i="80"/>
  <x:c r="E279" i="80"/>
  <x:c r="F279" i="80"/>
  <x:c r="G279" i="80"/>
  <x:c r="H279" i="80"/>
  <x:c r="I279" i="80"/>
  <x:c r="J279" i="80"/>
  <x:c r="K279" i="80"/>
  <x:c r="L279" i="80"/>
  <x:c r="M279" i="80"/>
  <x:c r="N279" i="80"/>
  <x:c r="O279" i="80"/>
  <x:c r="P279" i="80"/>
  <x:c r="Q279" i="80"/>
  <x:c r="S279" i="80"/>
  <x:c r="T279" i="80"/>
  <x:c r="A280" i="80"/>
  <x:c r="B280" i="80"/>
  <x:c r="C280" i="80"/>
  <x:c r="D280" i="80"/>
  <x:c r="E280" i="80"/>
  <x:c r="F280" i="80"/>
  <x:c r="G280" i="80"/>
  <x:c r="H280" i="80"/>
  <x:c r="I280" i="80"/>
  <x:c r="J280" i="80"/>
  <x:c r="K280" i="80"/>
  <x:c r="L280" i="80"/>
  <x:c r="M280" i="80"/>
  <x:c r="N280" i="80"/>
  <x:c r="O280" i="80"/>
  <x:c r="P280" i="80"/>
  <x:c r="Q280" i="80"/>
  <x:c r="S280" i="80"/>
  <x:c r="T280" i="80"/>
  <x:c r="A281" i="80"/>
  <x:c r="B281" i="80"/>
  <x:c r="C281" i="80"/>
  <x:c r="D281" i="80"/>
  <x:c r="E281" i="80"/>
  <x:c r="F281" i="80"/>
  <x:c r="G281" i="80"/>
  <x:c r="H281" i="80"/>
  <x:c r="I281" i="80"/>
  <x:c r="J281" i="80"/>
  <x:c r="K281" i="80"/>
  <x:c r="L281" i="80"/>
  <x:c r="M281" i="80"/>
  <x:c r="N281" i="80"/>
  <x:c r="O281" i="80"/>
  <x:c r="P281" i="80"/>
  <x:c r="Q281" i="80"/>
  <x:c r="S281" i="80"/>
  <x:c r="T281" i="80"/>
  <x:c r="A282" i="80"/>
  <x:c r="B282" i="80"/>
  <x:c r="C282" i="80"/>
  <x:c r="D282" i="80"/>
  <x:c r="E282" i="80"/>
  <x:c r="F282" i="80"/>
  <x:c r="G282" i="80"/>
  <x:c r="H282" i="80"/>
  <x:c r="I282" i="80"/>
  <x:c r="J282" i="80"/>
  <x:c r="K282" i="80"/>
  <x:c r="L282" i="80"/>
  <x:c r="M282" i="80"/>
  <x:c r="N282" i="80"/>
  <x:c r="O282" i="80"/>
  <x:c r="P282" i="80"/>
  <x:c r="Q282" i="80"/>
  <x:c r="S282" i="80"/>
  <x:c r="T282" i="80"/>
  <x:c r="A283" i="80"/>
  <x:c r="B283" i="80"/>
  <x:c r="C283" i="80"/>
  <x:c r="D283" i="80"/>
  <x:c r="E283" i="80"/>
  <x:c r="F283" i="80"/>
  <x:c r="G283" i="80"/>
  <x:c r="H283" i="80"/>
  <x:c r="I283" i="80"/>
  <x:c r="J283" i="80"/>
  <x:c r="K283" i="80"/>
  <x:c r="L283" i="80"/>
  <x:c r="M283" i="80"/>
  <x:c r="N283" i="80"/>
  <x:c r="O283" i="80"/>
  <x:c r="P283" i="80"/>
  <x:c r="Q283" i="80"/>
  <x:c r="S283" i="80"/>
  <x:c r="T283" i="80"/>
  <x:c r="A284" i="80"/>
  <x:c r="B284" i="80"/>
  <x:c r="C284" i="80"/>
  <x:c r="D284" i="80"/>
  <x:c r="E284" i="80"/>
  <x:c r="F284" i="80"/>
  <x:c r="G284" i="80"/>
  <x:c r="H284" i="80"/>
  <x:c r="I284" i="80"/>
  <x:c r="J284" i="80"/>
  <x:c r="K284" i="80"/>
  <x:c r="L284" i="80"/>
  <x:c r="M284" i="80"/>
  <x:c r="N284" i="80"/>
  <x:c r="O284" i="80"/>
  <x:c r="P284" i="80"/>
  <x:c r="Q284" i="80"/>
  <x:c r="S284" i="80"/>
  <x:c r="T284" i="80"/>
  <x:c r="A285" i="80"/>
  <x:c r="B285" i="80"/>
  <x:c r="C285" i="80"/>
  <x:c r="D285" i="80"/>
  <x:c r="E285" i="80"/>
  <x:c r="F285" i="80"/>
  <x:c r="G285" i="80"/>
  <x:c r="H285" i="80"/>
  <x:c r="I285" i="80"/>
  <x:c r="J285" i="80"/>
  <x:c r="K285" i="80"/>
  <x:c r="L285" i="80"/>
  <x:c r="M285" i="80"/>
  <x:c r="N285" i="80"/>
  <x:c r="O285" i="80"/>
  <x:c r="P285" i="80"/>
  <x:c r="Q285" i="80"/>
  <x:c r="S285" i="80"/>
  <x:c r="T285" i="80"/>
  <x:c r="A286" i="80"/>
  <x:c r="B286" i="80"/>
  <x:c r="C286" i="80"/>
  <x:c r="D286" i="80"/>
  <x:c r="E286" i="80"/>
  <x:c r="F286" i="80"/>
  <x:c r="G286" i="80"/>
  <x:c r="H286" i="80"/>
  <x:c r="I286" i="80"/>
  <x:c r="J286" i="80"/>
  <x:c r="K286" i="80"/>
  <x:c r="L286" i="80"/>
  <x:c r="M286" i="80"/>
  <x:c r="N286" i="80"/>
  <x:c r="O286" i="80"/>
  <x:c r="P286" i="80"/>
  <x:c r="Q286" i="80"/>
  <x:c r="S286" i="80"/>
  <x:c r="T286" i="80"/>
  <x:c r="A287" i="80"/>
  <x:c r="B287" i="80"/>
  <x:c r="C287" i="80"/>
  <x:c r="D287" i="80"/>
  <x:c r="E287" i="80"/>
  <x:c r="F287" i="80"/>
  <x:c r="G287" i="80"/>
  <x:c r="H287" i="80"/>
  <x:c r="I287" i="80"/>
  <x:c r="J287" i="80"/>
  <x:c r="K287" i="80"/>
  <x:c r="L287" i="80"/>
  <x:c r="M287" i="80"/>
  <x:c r="N287" i="80"/>
  <x:c r="O287" i="80"/>
  <x:c r="P287" i="80"/>
  <x:c r="Q287" i="80"/>
  <x:c r="S287" i="80"/>
  <x:c r="T287" i="80"/>
  <x:c r="A288" i="80"/>
  <x:c r="B288" i="80"/>
  <x:c r="C288" i="80"/>
  <x:c r="D288" i="80"/>
  <x:c r="E288" i="80"/>
  <x:c r="F288" i="80"/>
  <x:c r="G288" i="80"/>
  <x:c r="H288" i="80"/>
  <x:c r="I288" i="80"/>
  <x:c r="J288" i="80"/>
  <x:c r="K288" i="80"/>
  <x:c r="L288" i="80"/>
  <x:c r="M288" i="80"/>
  <x:c r="N288" i="80"/>
  <x:c r="O288" i="80"/>
  <x:c r="P288" i="80"/>
  <x:c r="Q288" i="80"/>
  <x:c r="S288" i="80"/>
  <x:c r="T288" i="80"/>
  <x:c r="A289" i="80"/>
  <x:c r="B289" i="80"/>
  <x:c r="C289" i="80"/>
  <x:c r="D289" i="80"/>
  <x:c r="E289" i="80"/>
  <x:c r="F289" i="80"/>
  <x:c r="G289" i="80"/>
  <x:c r="H289" i="80"/>
  <x:c r="I289" i="80"/>
  <x:c r="J289" i="80"/>
  <x:c r="K289" i="80"/>
  <x:c r="L289" i="80"/>
  <x:c r="M289" i="80"/>
  <x:c r="N289" i="80"/>
  <x:c r="O289" i="80"/>
  <x:c r="P289" i="80"/>
  <x:c r="Q289" i="80"/>
  <x:c r="S289" i="80"/>
  <x:c r="T289" i="80"/>
  <x:c r="A290" i="80"/>
  <x:c r="B290" i="80"/>
  <x:c r="C290" i="80"/>
  <x:c r="D290" i="80"/>
  <x:c r="E290" i="80"/>
  <x:c r="F290" i="80"/>
  <x:c r="G290" i="80"/>
  <x:c r="H290" i="80"/>
  <x:c r="I290" i="80"/>
  <x:c r="J290" i="80"/>
  <x:c r="K290" i="80"/>
  <x:c r="L290" i="80"/>
  <x:c r="M290" i="80"/>
  <x:c r="N290" i="80"/>
  <x:c r="O290" i="80"/>
  <x:c r="P290" i="80"/>
  <x:c r="Q290" i="80"/>
  <x:c r="S290" i="80"/>
  <x:c r="T290" i="80"/>
  <x:c r="A291" i="80"/>
  <x:c r="B291" i="80"/>
  <x:c r="C291" i="80"/>
  <x:c r="D291" i="80"/>
  <x:c r="E291" i="80"/>
  <x:c r="F291" i="80"/>
  <x:c r="G291" i="80"/>
  <x:c r="H291" i="80"/>
  <x:c r="I291" i="80"/>
  <x:c r="J291" i="80"/>
  <x:c r="K291" i="80"/>
  <x:c r="L291" i="80"/>
  <x:c r="M291" i="80"/>
  <x:c r="N291" i="80"/>
  <x:c r="O291" i="80"/>
  <x:c r="P291" i="80"/>
  <x:c r="Q291" i="80"/>
  <x:c r="S291" i="80"/>
  <x:c r="T291" i="80"/>
  <x:c r="A292" i="80"/>
  <x:c r="B292" i="80"/>
  <x:c r="C292" i="80"/>
  <x:c r="D292" i="80"/>
  <x:c r="E292" i="80"/>
  <x:c r="F292" i="80"/>
  <x:c r="G292" i="80"/>
  <x:c r="H292" i="80"/>
  <x:c r="I292" i="80"/>
  <x:c r="J292" i="80"/>
  <x:c r="K292" i="80"/>
  <x:c r="L292" i="80"/>
  <x:c r="M292" i="80"/>
  <x:c r="N292" i="80"/>
  <x:c r="O292" i="80"/>
  <x:c r="P292" i="80"/>
  <x:c r="Q292" i="80"/>
  <x:c r="S292" i="80"/>
  <x:c r="T292" i="80"/>
  <x:c r="A293" i="80"/>
  <x:c r="B293" i="80"/>
  <x:c r="C293" i="80"/>
  <x:c r="D293" i="80"/>
  <x:c r="E293" i="80"/>
  <x:c r="F293" i="80"/>
  <x:c r="G293" i="80"/>
  <x:c r="H293" i="80"/>
  <x:c r="I293" i="80"/>
  <x:c r="J293" i="80"/>
  <x:c r="K293" i="80"/>
  <x:c r="L293" i="80"/>
  <x:c r="M293" i="80"/>
  <x:c r="N293" i="80"/>
  <x:c r="O293" i="80"/>
  <x:c r="P293" i="80"/>
  <x:c r="Q293" i="80"/>
  <x:c r="S293" i="80"/>
  <x:c r="T293" i="80"/>
  <x:c r="A294" i="80"/>
  <x:c r="B294" i="80"/>
  <x:c r="C294" i="80"/>
  <x:c r="D294" i="80"/>
  <x:c r="E294" i="80"/>
  <x:c r="F294" i="80"/>
  <x:c r="G294" i="80"/>
  <x:c r="H294" i="80"/>
  <x:c r="I294" i="80"/>
  <x:c r="J294" i="80"/>
  <x:c r="K294" i="80"/>
  <x:c r="L294" i="80"/>
  <x:c r="M294" i="80"/>
  <x:c r="N294" i="80"/>
  <x:c r="O294" i="80"/>
  <x:c r="P294" i="80"/>
  <x:c r="Q294" i="80"/>
  <x:c r="S294" i="80"/>
  <x:c r="T294" i="80"/>
  <x:c r="A295" i="80"/>
  <x:c r="B295" i="80"/>
  <x:c r="C295" i="80"/>
  <x:c r="D295" i="80"/>
  <x:c r="E295" i="80"/>
  <x:c r="F295" i="80"/>
  <x:c r="G295" i="80"/>
  <x:c r="H295" i="80"/>
  <x:c r="I295" i="80"/>
  <x:c r="J295" i="80"/>
  <x:c r="K295" i="80"/>
  <x:c r="L295" i="80"/>
  <x:c r="M295" i="80"/>
  <x:c r="N295" i="80"/>
  <x:c r="O295" i="80"/>
  <x:c r="P295" i="80"/>
  <x:c r="Q295" i="80"/>
  <x:c r="S295" i="80"/>
  <x:c r="T295" i="80"/>
  <x:c r="A296" i="80"/>
  <x:c r="B296" i="80"/>
  <x:c r="C296" i="80"/>
  <x:c r="D296" i="80"/>
  <x:c r="E296" i="80"/>
  <x:c r="F296" i="80"/>
  <x:c r="G296" i="80"/>
  <x:c r="H296" i="80"/>
  <x:c r="I296" i="80"/>
  <x:c r="J296" i="80"/>
  <x:c r="K296" i="80"/>
  <x:c r="L296" i="80"/>
  <x:c r="M296" i="80"/>
  <x:c r="N296" i="80"/>
  <x:c r="O296" i="80"/>
  <x:c r="P296" i="80"/>
  <x:c r="Q296" i="80"/>
  <x:c r="S296" i="80"/>
  <x:c r="T296" i="80"/>
  <x:c r="A297" i="80"/>
  <x:c r="B297" i="80"/>
  <x:c r="C297" i="80"/>
  <x:c r="D297" i="80"/>
  <x:c r="E297" i="80"/>
  <x:c r="F297" i="80"/>
  <x:c r="G297" i="80"/>
  <x:c r="H297" i="80"/>
  <x:c r="I297" i="80"/>
  <x:c r="J297" i="80"/>
  <x:c r="K297" i="80"/>
  <x:c r="L297" i="80"/>
  <x:c r="M297" i="80"/>
  <x:c r="N297" i="80"/>
  <x:c r="O297" i="80"/>
  <x:c r="P297" i="80"/>
  <x:c r="Q297" i="80"/>
  <x:c r="S297" i="80"/>
  <x:c r="T297" i="80"/>
  <x:c r="A298" i="80"/>
  <x:c r="B298" i="80"/>
  <x:c r="C298" i="80"/>
  <x:c r="D298" i="80"/>
  <x:c r="E298" i="80"/>
  <x:c r="F298" i="80"/>
  <x:c r="G298" i="80"/>
  <x:c r="H298" i="80"/>
  <x:c r="I298" i="80"/>
  <x:c r="J298" i="80"/>
  <x:c r="K298" i="80"/>
  <x:c r="L298" i="80"/>
  <x:c r="M298" i="80"/>
  <x:c r="N298" i="80"/>
  <x:c r="O298" i="80"/>
  <x:c r="P298" i="80"/>
  <x:c r="Q298" i="80"/>
  <x:c r="S298" i="80"/>
  <x:c r="T298" i="80"/>
  <x:c r="A299" i="80"/>
  <x:c r="B299" i="80"/>
  <x:c r="C299" i="80"/>
  <x:c r="D299" i="80"/>
  <x:c r="E299" i="80"/>
  <x:c r="F299" i="80"/>
  <x:c r="G299" i="80"/>
  <x:c r="H299" i="80"/>
  <x:c r="I299" i="80"/>
  <x:c r="J299" i="80"/>
  <x:c r="K299" i="80"/>
  <x:c r="L299" i="80"/>
  <x:c r="M299" i="80"/>
  <x:c r="N299" i="80"/>
  <x:c r="O299" i="80"/>
  <x:c r="P299" i="80"/>
  <x:c r="Q299" i="80"/>
  <x:c r="S299" i="80"/>
  <x:c r="T299" i="80"/>
  <x:c r="A300" i="80"/>
  <x:c r="B300" i="80"/>
  <x:c r="C300" i="80"/>
  <x:c r="D300" i="80"/>
  <x:c r="E300" i="80"/>
  <x:c r="F300" i="80"/>
  <x:c r="G300" i="80"/>
  <x:c r="H300" i="80"/>
  <x:c r="I300" i="80"/>
  <x:c r="J300" i="80"/>
  <x:c r="K300" i="80"/>
  <x:c r="L300" i="80"/>
  <x:c r="M300" i="80"/>
  <x:c r="N300" i="80"/>
  <x:c r="O300" i="80"/>
  <x:c r="P300" i="80"/>
  <x:c r="Q300" i="80"/>
  <x:c r="S300" i="80"/>
  <x:c r="T300" i="80"/>
  <x:c r="A301" i="80"/>
  <x:c r="B301" i="80"/>
  <x:c r="C301" i="80"/>
  <x:c r="D301" i="80"/>
  <x:c r="E301" i="80"/>
  <x:c r="F301" i="80"/>
  <x:c r="G301" i="80"/>
  <x:c r="H301" i="80"/>
  <x:c r="I301" i="80"/>
  <x:c r="J301" i="80"/>
  <x:c r="K301" i="80"/>
  <x:c r="L301" i="80"/>
  <x:c r="M301" i="80"/>
  <x:c r="N301" i="80"/>
  <x:c r="O301" i="80"/>
  <x:c r="P301" i="80"/>
  <x:c r="Q301" i="80"/>
  <x:c r="S301" i="80"/>
  <x:c r="T301" i="80"/>
  <x:c r="A302" i="80"/>
  <x:c r="B302" i="80"/>
  <x:c r="C302" i="80"/>
  <x:c r="D302" i="80"/>
  <x:c r="E302" i="80"/>
  <x:c r="F302" i="80"/>
  <x:c r="G302" i="80"/>
  <x:c r="H302" i="80"/>
  <x:c r="I302" i="80"/>
  <x:c r="J302" i="80"/>
  <x:c r="K302" i="80"/>
  <x:c r="L302" i="80"/>
  <x:c r="M302" i="80"/>
  <x:c r="N302" i="80"/>
  <x:c r="O302" i="80"/>
  <x:c r="P302" i="80"/>
  <x:c r="Q302" i="80"/>
  <x:c r="S302" i="80"/>
  <x:c r="T302" i="80"/>
  <x:c r="A303" i="80"/>
  <x:c r="B303" i="80"/>
  <x:c r="C303" i="80"/>
  <x:c r="D303" i="80"/>
  <x:c r="E303" i="80"/>
  <x:c r="F303" i="80"/>
  <x:c r="G303" i="80"/>
  <x:c r="H303" i="80"/>
  <x:c r="I303" i="80"/>
  <x:c r="J303" i="80"/>
  <x:c r="K303" i="80"/>
  <x:c r="L303" i="80"/>
  <x:c r="M303" i="80"/>
  <x:c r="N303" i="80"/>
  <x:c r="O303" i="80"/>
  <x:c r="P303" i="80"/>
  <x:c r="Q303" i="80"/>
  <x:c r="S303" i="80"/>
  <x:c r="T303" i="80"/>
  <x:c r="A304" i="80"/>
  <x:c r="B304" i="80"/>
  <x:c r="C304" i="80"/>
  <x:c r="D304" i="80"/>
  <x:c r="E304" i="80"/>
  <x:c r="F304" i="80"/>
  <x:c r="G304" i="80"/>
  <x:c r="H304" i="80"/>
  <x:c r="I304" i="80"/>
  <x:c r="J304" i="80"/>
  <x:c r="K304" i="80"/>
  <x:c r="L304" i="80"/>
  <x:c r="M304" i="80"/>
  <x:c r="N304" i="80"/>
  <x:c r="O304" i="80"/>
  <x:c r="P304" i="80"/>
  <x:c r="Q304" i="80"/>
  <x:c r="S304" i="80"/>
  <x:c r="T304" i="80"/>
  <x:c r="A305" i="80"/>
  <x:c r="B305" i="80"/>
  <x:c r="C305" i="80"/>
  <x:c r="D305" i="80"/>
  <x:c r="E305" i="80"/>
  <x:c r="F305" i="80"/>
  <x:c r="G305" i="80"/>
  <x:c r="H305" i="80"/>
  <x:c r="I305" i="80"/>
  <x:c r="J305" i="80"/>
  <x:c r="K305" i="80"/>
  <x:c r="L305" i="80"/>
  <x:c r="M305" i="80"/>
  <x:c r="N305" i="80"/>
  <x:c r="O305" i="80"/>
  <x:c r="P305" i="80"/>
  <x:c r="Q305" i="80"/>
  <x:c r="S305" i="80"/>
  <x:c r="T305" i="80"/>
  <x:c r="A306" i="80"/>
  <x:c r="B306" i="80"/>
  <x:c r="C306" i="80"/>
  <x:c r="D306" i="80"/>
  <x:c r="E306" i="80"/>
  <x:c r="F306" i="80"/>
  <x:c r="G306" i="80"/>
  <x:c r="H306" i="80"/>
  <x:c r="I306" i="80"/>
  <x:c r="J306" i="80"/>
  <x:c r="K306" i="80"/>
  <x:c r="L306" i="80"/>
  <x:c r="M306" i="80"/>
  <x:c r="N306" i="80"/>
  <x:c r="O306" i="80"/>
  <x:c r="P306" i="80"/>
  <x:c r="Q306" i="80"/>
  <x:c r="S306" i="80"/>
  <x:c r="T306" i="80"/>
  <x:c r="A307" i="80"/>
  <x:c r="B307" i="80"/>
  <x:c r="C307" i="80"/>
  <x:c r="D307" i="80"/>
  <x:c r="E307" i="80"/>
  <x:c r="F307" i="80"/>
  <x:c r="G307" i="80"/>
  <x:c r="H307" i="80"/>
  <x:c r="I307" i="80"/>
  <x:c r="J307" i="80"/>
  <x:c r="K307" i="80"/>
  <x:c r="L307" i="80"/>
  <x:c r="M307" i="80"/>
  <x:c r="N307" i="80"/>
  <x:c r="O307" i="80"/>
  <x:c r="P307" i="80"/>
  <x:c r="Q307" i="80"/>
  <x:c r="S307" i="80"/>
  <x:c r="T307" i="80"/>
  <x:c r="A308" i="80"/>
  <x:c r="B308" i="80"/>
  <x:c r="C308" i="80"/>
  <x:c r="D308" i="80"/>
  <x:c r="E308" i="80"/>
  <x:c r="F308" i="80"/>
  <x:c r="G308" i="80"/>
  <x:c r="H308" i="80"/>
  <x:c r="I308" i="80"/>
  <x:c r="J308" i="80"/>
  <x:c r="K308" i="80"/>
  <x:c r="L308" i="80"/>
  <x:c r="M308" i="80"/>
  <x:c r="N308" i="80"/>
  <x:c r="O308" i="80"/>
  <x:c r="P308" i="80"/>
  <x:c r="Q308" i="80"/>
  <x:c r="S308" i="80"/>
  <x:c r="T308" i="80"/>
  <x:c r="A309" i="80"/>
  <x:c r="B309" i="80"/>
  <x:c r="C309" i="80"/>
  <x:c r="D309" i="80"/>
  <x:c r="E309" i="80"/>
  <x:c r="F309" i="80"/>
  <x:c r="G309" i="80"/>
  <x:c r="H309" i="80"/>
  <x:c r="I309" i="80"/>
  <x:c r="J309" i="80"/>
  <x:c r="K309" i="80"/>
  <x:c r="L309" i="80"/>
  <x:c r="M309" i="80"/>
  <x:c r="N309" i="80"/>
  <x:c r="O309" i="80"/>
  <x:c r="P309" i="80"/>
  <x:c r="Q309" i="80"/>
  <x:c r="S309" i="80"/>
  <x:c r="T309" i="80"/>
  <x:c r="A310" i="80"/>
  <x:c r="B310" i="80"/>
  <x:c r="C310" i="80"/>
  <x:c r="D310" i="80"/>
  <x:c r="E310" i="80"/>
  <x:c r="F310" i="80"/>
  <x:c r="G310" i="80"/>
  <x:c r="H310" i="80"/>
  <x:c r="I310" i="80"/>
  <x:c r="J310" i="80"/>
  <x:c r="K310" i="80"/>
  <x:c r="L310" i="80"/>
  <x:c r="M310" i="80"/>
  <x:c r="N310" i="80"/>
  <x:c r="O310" i="80"/>
  <x:c r="P310" i="80"/>
  <x:c r="Q310" i="80"/>
  <x:c r="S310" i="80"/>
  <x:c r="T310" i="80"/>
  <x:c r="A311" i="80"/>
  <x:c r="B311" i="80"/>
  <x:c r="C311" i="80"/>
  <x:c r="D311" i="80"/>
  <x:c r="E311" i="80"/>
  <x:c r="F311" i="80"/>
  <x:c r="G311" i="80"/>
  <x:c r="H311" i="80"/>
  <x:c r="I311" i="80"/>
  <x:c r="J311" i="80"/>
  <x:c r="K311" i="80"/>
  <x:c r="L311" i="80"/>
  <x:c r="M311" i="80"/>
  <x:c r="N311" i="80"/>
  <x:c r="O311" i="80"/>
  <x:c r="P311" i="80"/>
  <x:c r="Q311" i="80"/>
  <x:c r="S311" i="80"/>
  <x:c r="T311" i="80"/>
  <x:c r="A312" i="80"/>
  <x:c r="B312" i="80"/>
  <x:c r="C312" i="80"/>
  <x:c r="D312" i="80"/>
  <x:c r="E312" i="80"/>
  <x:c r="F312" i="80"/>
  <x:c r="G312" i="80"/>
  <x:c r="H312" i="80"/>
  <x:c r="I312" i="80"/>
  <x:c r="J312" i="80"/>
  <x:c r="K312" i="80"/>
  <x:c r="L312" i="80"/>
  <x:c r="M312" i="80"/>
  <x:c r="N312" i="80"/>
  <x:c r="O312" i="80"/>
  <x:c r="P312" i="80"/>
  <x:c r="Q312" i="80"/>
  <x:c r="S312" i="80"/>
  <x:c r="T312" i="80"/>
  <x:c r="A313" i="80"/>
  <x:c r="B313" i="80"/>
  <x:c r="C313" i="80"/>
  <x:c r="D313" i="80"/>
  <x:c r="E313" i="80"/>
  <x:c r="F313" i="80"/>
  <x:c r="G313" i="80"/>
  <x:c r="H313" i="80"/>
  <x:c r="I313" i="80"/>
  <x:c r="J313" i="80"/>
  <x:c r="K313" i="80"/>
  <x:c r="L313" i="80"/>
  <x:c r="M313" i="80"/>
  <x:c r="N313" i="80"/>
  <x:c r="O313" i="80"/>
  <x:c r="P313" i="80"/>
  <x:c r="Q313" i="80"/>
  <x:c r="S313" i="80"/>
  <x:c r="T313" i="80"/>
  <x:c r="A314" i="80"/>
  <x:c r="B314" i="80"/>
  <x:c r="C314" i="80"/>
  <x:c r="D314" i="80"/>
  <x:c r="E314" i="80"/>
  <x:c r="F314" i="80"/>
  <x:c r="G314" i="80"/>
  <x:c r="H314" i="80"/>
  <x:c r="I314" i="80"/>
  <x:c r="J314" i="80"/>
  <x:c r="K314" i="80"/>
  <x:c r="L314" i="80"/>
  <x:c r="M314" i="80"/>
  <x:c r="N314" i="80"/>
  <x:c r="O314" i="80"/>
  <x:c r="P314" i="80"/>
  <x:c r="Q314" i="80"/>
  <x:c r="S314" i="80"/>
  <x:c r="T314" i="80"/>
  <x:c r="A315" i="80"/>
  <x:c r="B315" i="80"/>
  <x:c r="C315" i="80"/>
  <x:c r="D315" i="80"/>
  <x:c r="E315" i="80"/>
  <x:c r="F315" i="80"/>
  <x:c r="G315" i="80"/>
  <x:c r="H315" i="80"/>
  <x:c r="I315" i="80"/>
  <x:c r="J315" i="80"/>
  <x:c r="K315" i="80"/>
  <x:c r="L315" i="80"/>
  <x:c r="M315" i="80"/>
  <x:c r="N315" i="80"/>
  <x:c r="O315" i="80"/>
  <x:c r="P315" i="80"/>
  <x:c r="Q315" i="80"/>
  <x:c r="S315" i="80"/>
  <x:c r="T315" i="80"/>
  <x:c r="A316" i="80"/>
  <x:c r="B316" i="80"/>
  <x:c r="C316" i="80"/>
  <x:c r="D316" i="80"/>
  <x:c r="E316" i="80"/>
  <x:c r="F316" i="80"/>
  <x:c r="G316" i="80"/>
  <x:c r="H316" i="80"/>
  <x:c r="I316" i="80"/>
  <x:c r="J316" i="80"/>
  <x:c r="K316" i="80"/>
  <x:c r="L316" i="80"/>
  <x:c r="M316" i="80"/>
  <x:c r="N316" i="80"/>
  <x:c r="O316" i="80"/>
  <x:c r="P316" i="80"/>
  <x:c r="Q316" i="80"/>
  <x:c r="S316" i="80"/>
  <x:c r="T316" i="80"/>
  <x:c r="A317" i="80"/>
  <x:c r="B317" i="80"/>
  <x:c r="C317" i="80"/>
  <x:c r="D317" i="80"/>
  <x:c r="E317" i="80"/>
  <x:c r="F317" i="80"/>
  <x:c r="G317" i="80"/>
  <x:c r="H317" i="80"/>
  <x:c r="I317" i="80"/>
  <x:c r="J317" i="80"/>
  <x:c r="K317" i="80"/>
  <x:c r="L317" i="80"/>
  <x:c r="M317" i="80"/>
  <x:c r="N317" i="80"/>
  <x:c r="O317" i="80"/>
  <x:c r="P317" i="80"/>
  <x:c r="Q317" i="80"/>
  <x:c r="S317" i="80"/>
  <x:c r="T317" i="80"/>
  <x:c r="A318" i="80"/>
  <x:c r="B318" i="80"/>
  <x:c r="C318" i="80"/>
  <x:c r="D318" i="80"/>
  <x:c r="E318" i="80"/>
  <x:c r="F318" i="80"/>
  <x:c r="G318" i="80"/>
  <x:c r="H318" i="80"/>
  <x:c r="I318" i="80"/>
  <x:c r="J318" i="80"/>
  <x:c r="K318" i="80"/>
  <x:c r="L318" i="80"/>
  <x:c r="M318" i="80"/>
  <x:c r="N318" i="80"/>
  <x:c r="O318" i="80"/>
  <x:c r="P318" i="80"/>
  <x:c r="Q318" i="80"/>
  <x:c r="S318" i="80"/>
  <x:c r="T318" i="80"/>
  <x:c r="A319" i="80"/>
  <x:c r="B319" i="80"/>
  <x:c r="C319" i="80"/>
  <x:c r="D319" i="80"/>
  <x:c r="E319" i="80"/>
  <x:c r="F319" i="80"/>
  <x:c r="G319" i="80"/>
  <x:c r="H319" i="80"/>
  <x:c r="I319" i="80"/>
  <x:c r="J319" i="80"/>
  <x:c r="K319" i="80"/>
  <x:c r="L319" i="80"/>
  <x:c r="M319" i="80"/>
  <x:c r="N319" i="80"/>
  <x:c r="O319" i="80"/>
  <x:c r="P319" i="80"/>
  <x:c r="Q319" i="80"/>
  <x:c r="S319" i="80"/>
  <x:c r="T319" i="80"/>
  <x:c r="A320" i="80"/>
  <x:c r="B320" i="80"/>
  <x:c r="C320" i="80"/>
  <x:c r="D320" i="80"/>
  <x:c r="E320" i="80"/>
  <x:c r="F320" i="80"/>
  <x:c r="G320" i="80"/>
  <x:c r="H320" i="80"/>
  <x:c r="I320" i="80"/>
  <x:c r="J320" i="80"/>
  <x:c r="K320" i="80"/>
  <x:c r="L320" i="80"/>
  <x:c r="M320" i="80"/>
  <x:c r="N320" i="80"/>
  <x:c r="O320" i="80"/>
  <x:c r="P320" i="80"/>
  <x:c r="Q320" i="80"/>
  <x:c r="S320" i="80"/>
  <x:c r="T320" i="80"/>
  <x:c r="A321" i="80"/>
  <x:c r="B321" i="80"/>
  <x:c r="C321" i="80"/>
  <x:c r="D321" i="80"/>
  <x:c r="E321" i="80"/>
  <x:c r="F321" i="80"/>
  <x:c r="G321" i="80"/>
  <x:c r="H321" i="80"/>
  <x:c r="I321" i="80"/>
  <x:c r="J321" i="80"/>
  <x:c r="K321" i="80"/>
  <x:c r="L321" i="80"/>
  <x:c r="M321" i="80"/>
  <x:c r="N321" i="80"/>
  <x:c r="O321" i="80"/>
  <x:c r="P321" i="80"/>
  <x:c r="Q321" i="80"/>
  <x:c r="S321" i="80"/>
  <x:c r="T321" i="80"/>
  <x:c r="A322" i="80"/>
  <x:c r="B322" i="80"/>
  <x:c r="C322" i="80"/>
  <x:c r="D322" i="80"/>
  <x:c r="E322" i="80"/>
  <x:c r="F322" i="80"/>
  <x:c r="G322" i="80"/>
  <x:c r="H322" i="80"/>
  <x:c r="I322" i="80"/>
  <x:c r="J322" i="80"/>
  <x:c r="K322" i="80"/>
  <x:c r="L322" i="80"/>
  <x:c r="M322" i="80"/>
  <x:c r="N322" i="80"/>
  <x:c r="O322" i="80"/>
  <x:c r="P322" i="80"/>
  <x:c r="Q322" i="80"/>
  <x:c r="S322" i="80"/>
  <x:c r="T322" i="80"/>
  <x:c r="A323" i="80"/>
  <x:c r="B323" i="80"/>
  <x:c r="C323" i="80"/>
  <x:c r="D323" i="80"/>
  <x:c r="E323" i="80"/>
  <x:c r="F323" i="80"/>
  <x:c r="G323" i="80"/>
  <x:c r="H323" i="80"/>
  <x:c r="I323" i="80"/>
  <x:c r="J323" i="80"/>
  <x:c r="K323" i="80"/>
  <x:c r="L323" i="80"/>
  <x:c r="M323" i="80"/>
  <x:c r="N323" i="80"/>
  <x:c r="O323" i="80"/>
  <x:c r="P323" i="80"/>
  <x:c r="Q323" i="80"/>
  <x:c r="S323" i="80"/>
  <x:c r="T323" i="80"/>
  <x:c r="A324" i="80"/>
  <x:c r="B324" i="80"/>
  <x:c r="C324" i="80"/>
  <x:c r="D324" i="80"/>
  <x:c r="E324" i="80"/>
  <x:c r="F324" i="80"/>
  <x:c r="G324" i="80"/>
  <x:c r="H324" i="80"/>
  <x:c r="I324" i="80"/>
  <x:c r="J324" i="80"/>
  <x:c r="K324" i="80"/>
  <x:c r="L324" i="80"/>
  <x:c r="M324" i="80"/>
  <x:c r="N324" i="80"/>
  <x:c r="O324" i="80"/>
  <x:c r="P324" i="80"/>
  <x:c r="Q324" i="80"/>
  <x:c r="S324" i="80"/>
  <x:c r="T324" i="80"/>
  <x:c r="A325" i="80"/>
  <x:c r="B325" i="80"/>
  <x:c r="C325" i="80"/>
  <x:c r="D325" i="80"/>
  <x:c r="E325" i="80"/>
  <x:c r="F325" i="80"/>
  <x:c r="G325" i="80"/>
  <x:c r="H325" i="80"/>
  <x:c r="I325" i="80"/>
  <x:c r="J325" i="80"/>
  <x:c r="K325" i="80"/>
  <x:c r="L325" i="80"/>
  <x:c r="M325" i="80"/>
  <x:c r="N325" i="80"/>
  <x:c r="O325" i="80"/>
  <x:c r="P325" i="80"/>
  <x:c r="Q325" i="80"/>
  <x:c r="S325" i="80"/>
  <x:c r="T325" i="80"/>
  <x:c r="A326" i="80"/>
  <x:c r="B326" i="80"/>
  <x:c r="C326" i="80"/>
  <x:c r="D326" i="80"/>
  <x:c r="E326" i="80"/>
  <x:c r="F326" i="80"/>
  <x:c r="G326" i="80"/>
  <x:c r="H326" i="80"/>
  <x:c r="I326" i="80"/>
  <x:c r="J326" i="80"/>
  <x:c r="K326" i="80"/>
  <x:c r="L326" i="80"/>
  <x:c r="M326" i="80"/>
  <x:c r="N326" i="80"/>
  <x:c r="O326" i="80"/>
  <x:c r="P326" i="80"/>
  <x:c r="Q326" i="80"/>
  <x:c r="S326" i="80"/>
  <x:c r="T326" i="80"/>
  <x:c r="A327" i="80"/>
  <x:c r="B327" i="80"/>
  <x:c r="C327" i="80"/>
  <x:c r="D327" i="80"/>
  <x:c r="E327" i="80"/>
  <x:c r="F327" i="80"/>
  <x:c r="G327" i="80"/>
  <x:c r="H327" i="80"/>
  <x:c r="I327" i="80"/>
  <x:c r="J327" i="80"/>
  <x:c r="K327" i="80"/>
  <x:c r="L327" i="80"/>
  <x:c r="M327" i="80"/>
  <x:c r="N327" i="80"/>
  <x:c r="O327" i="80"/>
  <x:c r="P327" i="80"/>
  <x:c r="Q327" i="80"/>
  <x:c r="S327" i="80"/>
  <x:c r="T327" i="80"/>
  <x:c r="A328" i="80"/>
  <x:c r="B328" i="80"/>
  <x:c r="C328" i="80"/>
  <x:c r="D328" i="80"/>
  <x:c r="E328" i="80"/>
  <x:c r="F328" i="80"/>
  <x:c r="G328" i="80"/>
  <x:c r="H328" i="80"/>
  <x:c r="I328" i="80"/>
  <x:c r="J328" i="80"/>
  <x:c r="K328" i="80"/>
  <x:c r="L328" i="80"/>
  <x:c r="M328" i="80"/>
  <x:c r="N328" i="80"/>
  <x:c r="O328" i="80"/>
  <x:c r="P328" i="80"/>
  <x:c r="Q328" i="80"/>
  <x:c r="S328" i="80"/>
  <x:c r="T328" i="80"/>
  <x:c r="A329" i="80"/>
  <x:c r="B329" i="80"/>
  <x:c r="C329" i="80"/>
  <x:c r="D329" i="80"/>
  <x:c r="E329" i="80"/>
  <x:c r="F329" i="80"/>
  <x:c r="G329" i="80"/>
  <x:c r="H329" i="80"/>
  <x:c r="I329" i="80"/>
  <x:c r="J329" i="80"/>
  <x:c r="K329" i="80"/>
  <x:c r="L329" i="80"/>
  <x:c r="M329" i="80"/>
  <x:c r="N329" i="80"/>
  <x:c r="O329" i="80"/>
  <x:c r="P329" i="80"/>
  <x:c r="Q329" i="80"/>
  <x:c r="S329" i="80"/>
  <x:c r="T329" i="80"/>
  <x:c r="A330" i="80"/>
  <x:c r="B330" i="80"/>
  <x:c r="C330" i="80"/>
  <x:c r="D330" i="80"/>
  <x:c r="E330" i="80"/>
  <x:c r="F330" i="80"/>
  <x:c r="G330" i="80"/>
  <x:c r="H330" i="80"/>
  <x:c r="I330" i="80"/>
  <x:c r="J330" i="80"/>
  <x:c r="K330" i="80"/>
  <x:c r="L330" i="80"/>
  <x:c r="M330" i="80"/>
  <x:c r="N330" i="80"/>
  <x:c r="O330" i="80"/>
  <x:c r="P330" i="80"/>
  <x:c r="Q330" i="80"/>
  <x:c r="S330" i="80"/>
  <x:c r="T330" i="80"/>
  <x:c r="A331" i="80"/>
  <x:c r="B331" i="80"/>
  <x:c r="C331" i="80"/>
  <x:c r="D331" i="80"/>
  <x:c r="E331" i="80"/>
  <x:c r="F331" i="80"/>
  <x:c r="G331" i="80"/>
  <x:c r="H331" i="80"/>
  <x:c r="I331" i="80"/>
  <x:c r="J331" i="80"/>
  <x:c r="K331" i="80"/>
  <x:c r="L331" i="80"/>
  <x:c r="M331" i="80"/>
  <x:c r="N331" i="80"/>
  <x:c r="O331" i="80"/>
  <x:c r="P331" i="80"/>
  <x:c r="Q331" i="80"/>
  <x:c r="S331" i="80"/>
  <x:c r="T331" i="80"/>
  <x:c r="A332" i="80"/>
  <x:c r="B332" i="80"/>
  <x:c r="C332" i="80"/>
  <x:c r="D332" i="80"/>
  <x:c r="E332" i="80"/>
  <x:c r="F332" i="80"/>
  <x:c r="G332" i="80"/>
  <x:c r="H332" i="80"/>
  <x:c r="I332" i="80"/>
  <x:c r="J332" i="80"/>
  <x:c r="K332" i="80"/>
  <x:c r="L332" i="80"/>
  <x:c r="M332" i="80"/>
  <x:c r="N332" i="80"/>
  <x:c r="O332" i="80"/>
  <x:c r="P332" i="80"/>
  <x:c r="Q332" i="80"/>
  <x:c r="S332" i="80"/>
  <x:c r="T332" i="80"/>
  <x:c r="A333" i="80"/>
  <x:c r="B333" i="80"/>
  <x:c r="C333" i="80"/>
  <x:c r="D333" i="80"/>
  <x:c r="E333" i="80"/>
  <x:c r="F333" i="80"/>
  <x:c r="G333" i="80"/>
  <x:c r="H333" i="80"/>
  <x:c r="I333" i="80"/>
  <x:c r="J333" i="80"/>
  <x:c r="K333" i="80"/>
  <x:c r="L333" i="80"/>
  <x:c r="M333" i="80"/>
  <x:c r="N333" i="80"/>
  <x:c r="O333" i="80"/>
  <x:c r="P333" i="80"/>
  <x:c r="Q333" i="80"/>
  <x:c r="S333" i="80"/>
  <x:c r="T333" i="80"/>
  <x:c r="A334" i="80"/>
  <x:c r="B334" i="80"/>
  <x:c r="C334" i="80"/>
  <x:c r="D334" i="80"/>
  <x:c r="E334" i="80"/>
  <x:c r="F334" i="80"/>
  <x:c r="G334" i="80"/>
  <x:c r="H334" i="80"/>
  <x:c r="I334" i="80"/>
  <x:c r="J334" i="80"/>
  <x:c r="K334" i="80"/>
  <x:c r="L334" i="80"/>
  <x:c r="M334" i="80"/>
  <x:c r="N334" i="80"/>
  <x:c r="O334" i="80"/>
  <x:c r="P334" i="80"/>
  <x:c r="Q334" i="80"/>
  <x:c r="S334" i="80"/>
  <x:c r="T334" i="80"/>
  <x:c r="A335" i="80"/>
  <x:c r="B335" i="80"/>
  <x:c r="C335" i="80"/>
  <x:c r="D335" i="80"/>
  <x:c r="E335" i="80"/>
  <x:c r="F335" i="80"/>
  <x:c r="G335" i="80"/>
  <x:c r="H335" i="80"/>
  <x:c r="I335" i="80"/>
  <x:c r="J335" i="80"/>
  <x:c r="K335" i="80"/>
  <x:c r="L335" i="80"/>
  <x:c r="M335" i="80"/>
  <x:c r="N335" i="80"/>
  <x:c r="O335" i="80"/>
  <x:c r="P335" i="80"/>
  <x:c r="Q335" i="80"/>
  <x:c r="S335" i="80"/>
  <x:c r="T335" i="80"/>
  <x:c r="A336" i="80"/>
  <x:c r="B336" i="80"/>
  <x:c r="C336" i="80"/>
  <x:c r="D336" i="80"/>
  <x:c r="E336" i="80"/>
  <x:c r="F336" i="80"/>
  <x:c r="G336" i="80"/>
  <x:c r="H336" i="80"/>
  <x:c r="I336" i="80"/>
  <x:c r="J336" i="80"/>
  <x:c r="K336" i="80"/>
  <x:c r="L336" i="80"/>
  <x:c r="M336" i="80"/>
  <x:c r="N336" i="80"/>
  <x:c r="O336" i="80"/>
  <x:c r="P336" i="80"/>
  <x:c r="Q336" i="80"/>
  <x:c r="S336" i="80"/>
  <x:c r="T336" i="80"/>
  <x:c r="A337" i="80"/>
  <x:c r="B337" i="80"/>
  <x:c r="C337" i="80"/>
  <x:c r="D337" i="80"/>
  <x:c r="E337" i="80"/>
  <x:c r="F337" i="80"/>
  <x:c r="G337" i="80"/>
  <x:c r="H337" i="80"/>
  <x:c r="I337" i="80"/>
  <x:c r="J337" i="80"/>
  <x:c r="K337" i="80"/>
  <x:c r="L337" i="80"/>
  <x:c r="M337" i="80"/>
  <x:c r="N337" i="80"/>
  <x:c r="O337" i="80"/>
  <x:c r="P337" i="80"/>
  <x:c r="Q337" i="80"/>
  <x:c r="S337" i="80"/>
  <x:c r="T337" i="80"/>
  <x:c r="A338" i="80"/>
  <x:c r="B338" i="80"/>
  <x:c r="C338" i="80"/>
  <x:c r="D338" i="80"/>
  <x:c r="E338" i="80"/>
  <x:c r="F338" i="80"/>
  <x:c r="G338" i="80"/>
  <x:c r="H338" i="80"/>
  <x:c r="I338" i="80"/>
  <x:c r="J338" i="80"/>
  <x:c r="K338" i="80"/>
  <x:c r="L338" i="80"/>
  <x:c r="M338" i="80"/>
  <x:c r="N338" i="80"/>
  <x:c r="O338" i="80"/>
  <x:c r="P338" i="80"/>
  <x:c r="Q338" i="80"/>
  <x:c r="S338" i="80"/>
  <x:c r="T338" i="80"/>
  <x:c r="A339" i="80"/>
  <x:c r="B339" i="80"/>
  <x:c r="C339" i="80"/>
  <x:c r="D339" i="80"/>
  <x:c r="E339" i="80"/>
  <x:c r="F339" i="80"/>
  <x:c r="G339" i="80"/>
  <x:c r="H339" i="80"/>
  <x:c r="I339" i="80"/>
  <x:c r="J339" i="80"/>
  <x:c r="K339" i="80"/>
  <x:c r="L339" i="80"/>
  <x:c r="M339" i="80"/>
  <x:c r="N339" i="80"/>
  <x:c r="O339" i="80"/>
  <x:c r="P339" i="80"/>
  <x:c r="Q339" i="80"/>
  <x:c r="S339" i="80"/>
  <x:c r="T339" i="80"/>
  <x:c r="A340" i="80"/>
  <x:c r="B340" i="80"/>
  <x:c r="C340" i="80"/>
  <x:c r="D340" i="80"/>
  <x:c r="E340" i="80"/>
  <x:c r="F340" i="80"/>
  <x:c r="G340" i="80"/>
  <x:c r="H340" i="80"/>
  <x:c r="I340" i="80"/>
  <x:c r="J340" i="80"/>
  <x:c r="K340" i="80"/>
  <x:c r="L340" i="80"/>
  <x:c r="M340" i="80"/>
  <x:c r="N340" i="80"/>
  <x:c r="O340" i="80"/>
  <x:c r="P340" i="80"/>
  <x:c r="Q340" i="80"/>
  <x:c r="S340" i="80"/>
  <x:c r="T340" i="80"/>
  <x:c r="A341" i="80"/>
  <x:c r="B341" i="80"/>
  <x:c r="C341" i="80"/>
  <x:c r="D341" i="80"/>
  <x:c r="E341" i="80"/>
  <x:c r="F341" i="80"/>
  <x:c r="G341" i="80"/>
  <x:c r="H341" i="80"/>
  <x:c r="I341" i="80"/>
  <x:c r="J341" i="80"/>
  <x:c r="K341" i="80"/>
  <x:c r="L341" i="80"/>
  <x:c r="M341" i="80"/>
  <x:c r="N341" i="80"/>
  <x:c r="O341" i="80"/>
  <x:c r="P341" i="80"/>
  <x:c r="Q341" i="80"/>
  <x:c r="S341" i="80"/>
  <x:c r="T341" i="80"/>
  <x:c r="A342" i="80"/>
  <x:c r="B342" i="80"/>
  <x:c r="C342" i="80"/>
  <x:c r="D342" i="80"/>
  <x:c r="E342" i="80"/>
  <x:c r="F342" i="80"/>
  <x:c r="G342" i="80"/>
  <x:c r="H342" i="80"/>
  <x:c r="I342" i="80"/>
  <x:c r="J342" i="80"/>
  <x:c r="K342" i="80"/>
  <x:c r="L342" i="80"/>
  <x:c r="M342" i="80"/>
  <x:c r="N342" i="80"/>
  <x:c r="O342" i="80"/>
  <x:c r="P342" i="80"/>
  <x:c r="Q342" i="80"/>
  <x:c r="S342" i="80"/>
  <x:c r="T342" i="80"/>
  <x:c r="A343" i="80"/>
  <x:c r="B343" i="80"/>
  <x:c r="C343" i="80"/>
  <x:c r="D343" i="80"/>
  <x:c r="E343" i="80"/>
  <x:c r="F343" i="80"/>
  <x:c r="G343" i="80"/>
  <x:c r="H343" i="80"/>
  <x:c r="I343" i="80"/>
  <x:c r="J343" i="80"/>
  <x:c r="K343" i="80"/>
  <x:c r="L343" i="80"/>
  <x:c r="M343" i="80"/>
  <x:c r="N343" i="80"/>
  <x:c r="O343" i="80"/>
  <x:c r="P343" i="80"/>
  <x:c r="Q343" i="80"/>
  <x:c r="S343" i="80"/>
  <x:c r="T343" i="80"/>
  <x:c r="A344" i="80"/>
  <x:c r="B344" i="80"/>
  <x:c r="C344" i="80"/>
  <x:c r="D344" i="80"/>
  <x:c r="E344" i="80"/>
  <x:c r="F344" i="80"/>
  <x:c r="G344" i="80"/>
  <x:c r="H344" i="80"/>
  <x:c r="I344" i="80"/>
  <x:c r="J344" i="80"/>
  <x:c r="K344" i="80"/>
  <x:c r="L344" i="80"/>
  <x:c r="M344" i="80"/>
  <x:c r="N344" i="80"/>
  <x:c r="O344" i="80"/>
  <x:c r="P344" i="80"/>
  <x:c r="Q344" i="80"/>
  <x:c r="S344" i="80"/>
  <x:c r="T344" i="80"/>
  <x:c r="A345" i="80"/>
  <x:c r="B345" i="80"/>
  <x:c r="C345" i="80"/>
  <x:c r="D345" i="80"/>
  <x:c r="E345" i="80"/>
  <x:c r="F345" i="80"/>
  <x:c r="G345" i="80"/>
  <x:c r="H345" i="80"/>
  <x:c r="I345" i="80"/>
  <x:c r="J345" i="80"/>
  <x:c r="K345" i="80"/>
  <x:c r="L345" i="80"/>
  <x:c r="M345" i="80"/>
  <x:c r="N345" i="80"/>
  <x:c r="O345" i="80"/>
  <x:c r="P345" i="80"/>
  <x:c r="Q345" i="80"/>
  <x:c r="S345" i="80"/>
  <x:c r="T345" i="80"/>
  <x:c r="A346" i="80"/>
  <x:c r="B346" i="80"/>
  <x:c r="C346" i="80"/>
  <x:c r="D346" i="80"/>
  <x:c r="E346" i="80"/>
  <x:c r="F346" i="80"/>
  <x:c r="G346" i="80"/>
  <x:c r="H346" i="80"/>
  <x:c r="I346" i="80"/>
  <x:c r="J346" i="80"/>
  <x:c r="K346" i="80"/>
  <x:c r="L346" i="80"/>
  <x:c r="M346" i="80"/>
  <x:c r="N346" i="80"/>
  <x:c r="O346" i="80"/>
  <x:c r="P346" i="80"/>
  <x:c r="Q346" i="80"/>
  <x:c r="S346" i="80"/>
  <x:c r="T346" i="80"/>
  <x:c r="A347" i="80"/>
  <x:c r="B347" i="80"/>
  <x:c r="C347" i="80"/>
  <x:c r="D347" i="80"/>
  <x:c r="E347" i="80"/>
  <x:c r="F347" i="80"/>
  <x:c r="G347" i="80"/>
  <x:c r="H347" i="80"/>
  <x:c r="I347" i="80"/>
  <x:c r="J347" i="80"/>
  <x:c r="K347" i="80"/>
  <x:c r="L347" i="80"/>
  <x:c r="M347" i="80"/>
  <x:c r="N347" i="80"/>
  <x:c r="O347" i="80"/>
  <x:c r="P347" i="80"/>
  <x:c r="Q347" i="80"/>
  <x:c r="S347" i="80"/>
  <x:c r="T347" i="80"/>
  <x:c r="A348" i="80"/>
  <x:c r="B348" i="80"/>
  <x:c r="C348" i="80"/>
  <x:c r="D348" i="80"/>
  <x:c r="E348" i="80"/>
  <x:c r="F348" i="80"/>
  <x:c r="G348" i="80"/>
  <x:c r="H348" i="80"/>
  <x:c r="I348" i="80"/>
  <x:c r="J348" i="80"/>
  <x:c r="K348" i="80"/>
  <x:c r="L348" i="80"/>
  <x:c r="M348" i="80"/>
  <x:c r="N348" i="80"/>
  <x:c r="O348" i="80"/>
  <x:c r="P348" i="80"/>
  <x:c r="Q348" i="80"/>
  <x:c r="S348" i="80"/>
  <x:c r="T348" i="80"/>
  <x:c r="A349" i="80"/>
  <x:c r="B349" i="80"/>
  <x:c r="C349" i="80"/>
  <x:c r="D349" i="80"/>
  <x:c r="E349" i="80"/>
  <x:c r="F349" i="80"/>
  <x:c r="G349" i="80"/>
  <x:c r="H349" i="80"/>
  <x:c r="I349" i="80"/>
  <x:c r="J349" i="80"/>
  <x:c r="K349" i="80"/>
  <x:c r="L349" i="80"/>
  <x:c r="M349" i="80"/>
  <x:c r="N349" i="80"/>
  <x:c r="O349" i="80"/>
  <x:c r="P349" i="80"/>
  <x:c r="Q349" i="80"/>
  <x:c r="S349" i="80"/>
  <x:c r="T349" i="80"/>
  <x:c r="A350" i="80"/>
  <x:c r="B350" i="80"/>
  <x:c r="C350" i="80"/>
  <x:c r="D350" i="80"/>
  <x:c r="E350" i="80"/>
  <x:c r="F350" i="80"/>
  <x:c r="G350" i="80"/>
  <x:c r="H350" i="80"/>
  <x:c r="I350" i="80"/>
  <x:c r="J350" i="80"/>
  <x:c r="K350" i="80"/>
  <x:c r="L350" i="80"/>
  <x:c r="M350" i="80"/>
  <x:c r="N350" i="80"/>
  <x:c r="O350" i="80"/>
  <x:c r="P350" i="80"/>
  <x:c r="Q350" i="80"/>
  <x:c r="S350" i="80"/>
  <x:c r="T350" i="80"/>
  <x:c r="A351" i="80"/>
  <x:c r="B351" i="80"/>
  <x:c r="C351" i="80"/>
  <x:c r="D351" i="80"/>
  <x:c r="E351" i="80"/>
  <x:c r="F351" i="80"/>
  <x:c r="G351" i="80"/>
  <x:c r="H351" i="80"/>
  <x:c r="I351" i="80"/>
  <x:c r="J351" i="80"/>
  <x:c r="K351" i="80"/>
  <x:c r="L351" i="80"/>
  <x:c r="M351" i="80"/>
  <x:c r="N351" i="80"/>
  <x:c r="O351" i="80"/>
  <x:c r="P351" i="80"/>
  <x:c r="Q351" i="80"/>
  <x:c r="S351" i="80"/>
  <x:c r="T351" i="80"/>
  <x:c r="A352" i="80"/>
  <x:c r="B352" i="80"/>
  <x:c r="C352" i="80"/>
  <x:c r="D352" i="80"/>
  <x:c r="E352" i="80"/>
  <x:c r="F352" i="80"/>
  <x:c r="G352" i="80"/>
  <x:c r="H352" i="80"/>
  <x:c r="I352" i="80"/>
  <x:c r="J352" i="80"/>
  <x:c r="K352" i="80"/>
  <x:c r="L352" i="80"/>
  <x:c r="M352" i="80"/>
  <x:c r="N352" i="80"/>
  <x:c r="O352" i="80"/>
  <x:c r="P352" i="80"/>
  <x:c r="Q352" i="80"/>
  <x:c r="S352" i="80"/>
  <x:c r="T352" i="80"/>
  <x:c r="A353" i="80"/>
  <x:c r="B353" i="80"/>
  <x:c r="C353" i="80"/>
  <x:c r="D353" i="80"/>
  <x:c r="E353" i="80"/>
  <x:c r="F353" i="80"/>
  <x:c r="G353" i="80"/>
  <x:c r="H353" i="80"/>
  <x:c r="I353" i="80"/>
  <x:c r="J353" i="80"/>
  <x:c r="K353" i="80"/>
  <x:c r="L353" i="80"/>
  <x:c r="M353" i="80"/>
  <x:c r="N353" i="80"/>
  <x:c r="O353" i="80"/>
  <x:c r="P353" i="80"/>
  <x:c r="Q353" i="80"/>
  <x:c r="S353" i="80"/>
  <x:c r="T353" i="80"/>
  <x:c r="A354" i="80"/>
  <x:c r="B354" i="80"/>
  <x:c r="C354" i="80"/>
  <x:c r="D354" i="80"/>
  <x:c r="E354" i="80"/>
  <x:c r="F354" i="80"/>
  <x:c r="G354" i="80"/>
  <x:c r="H354" i="80"/>
  <x:c r="I354" i="80"/>
  <x:c r="J354" i="80"/>
  <x:c r="K354" i="80"/>
  <x:c r="L354" i="80"/>
  <x:c r="M354" i="80"/>
  <x:c r="N354" i="80"/>
  <x:c r="O354" i="80"/>
  <x:c r="P354" i="80"/>
  <x:c r="Q354" i="80"/>
  <x:c r="S354" i="80"/>
  <x:c r="T354" i="80"/>
  <x:c r="A355" i="80"/>
  <x:c r="B355" i="80"/>
  <x:c r="C355" i="80"/>
  <x:c r="D355" i="80"/>
  <x:c r="E355" i="80"/>
  <x:c r="F355" i="80"/>
  <x:c r="G355" i="80"/>
  <x:c r="H355" i="80"/>
  <x:c r="I355" i="80"/>
  <x:c r="J355" i="80"/>
  <x:c r="K355" i="80"/>
  <x:c r="L355" i="80"/>
  <x:c r="M355" i="80"/>
  <x:c r="N355" i="80"/>
  <x:c r="O355" i="80"/>
  <x:c r="P355" i="80"/>
  <x:c r="Q355" i="80"/>
  <x:c r="S355" i="80"/>
  <x:c r="T355" i="80"/>
  <x:c r="A356" i="80"/>
  <x:c r="B356" i="80"/>
  <x:c r="C356" i="80"/>
  <x:c r="D356" i="80"/>
  <x:c r="E356" i="80"/>
  <x:c r="F356" i="80"/>
  <x:c r="G356" i="80"/>
  <x:c r="H356" i="80"/>
  <x:c r="I356" i="80"/>
  <x:c r="J356" i="80"/>
  <x:c r="K356" i="80"/>
  <x:c r="L356" i="80"/>
  <x:c r="M356" i="80"/>
  <x:c r="N356" i="80"/>
  <x:c r="O356" i="80"/>
  <x:c r="P356" i="80"/>
  <x:c r="Q356" i="80"/>
  <x:c r="S356" i="80"/>
  <x:c r="T356" i="80"/>
  <x:c r="A357" i="80"/>
  <x:c r="B357" i="80"/>
  <x:c r="C357" i="80"/>
  <x:c r="D357" i="80"/>
  <x:c r="E357" i="80"/>
  <x:c r="F357" i="80"/>
  <x:c r="G357" i="80"/>
  <x:c r="H357" i="80"/>
  <x:c r="I357" i="80"/>
  <x:c r="J357" i="80"/>
  <x:c r="K357" i="80"/>
  <x:c r="L357" i="80"/>
  <x:c r="M357" i="80"/>
  <x:c r="N357" i="80"/>
  <x:c r="O357" i="80"/>
  <x:c r="P357" i="80"/>
  <x:c r="Q357" i="80"/>
  <x:c r="S357" i="80"/>
  <x:c r="T357" i="80"/>
  <x:c r="A358" i="80"/>
  <x:c r="B358" i="80"/>
  <x:c r="C358" i="80"/>
  <x:c r="D358" i="80"/>
  <x:c r="E358" i="80"/>
  <x:c r="F358" i="80"/>
  <x:c r="G358" i="80"/>
  <x:c r="H358" i="80"/>
  <x:c r="I358" i="80"/>
  <x:c r="J358" i="80"/>
  <x:c r="K358" i="80"/>
  <x:c r="L358" i="80"/>
  <x:c r="M358" i="80"/>
  <x:c r="N358" i="80"/>
  <x:c r="O358" i="80"/>
  <x:c r="P358" i="80"/>
  <x:c r="Q358" i="80"/>
  <x:c r="S358" i="80"/>
  <x:c r="T358" i="80"/>
  <x:c r="A359" i="80"/>
  <x:c r="B359" i="80"/>
  <x:c r="C359" i="80"/>
  <x:c r="D359" i="80"/>
  <x:c r="E359" i="80"/>
  <x:c r="F359" i="80"/>
  <x:c r="G359" i="80"/>
  <x:c r="H359" i="80"/>
  <x:c r="I359" i="80"/>
  <x:c r="J359" i="80"/>
  <x:c r="K359" i="80"/>
  <x:c r="L359" i="80"/>
  <x:c r="M359" i="80"/>
  <x:c r="N359" i="80"/>
  <x:c r="O359" i="80"/>
  <x:c r="P359" i="80"/>
  <x:c r="Q359" i="80"/>
  <x:c r="S359" i="80"/>
  <x:c r="T359" i="80"/>
  <x:c r="A360" i="80"/>
  <x:c r="B360" i="80"/>
  <x:c r="C360" i="80"/>
  <x:c r="D360" i="80"/>
  <x:c r="E360" i="80"/>
  <x:c r="F360" i="80"/>
  <x:c r="G360" i="80"/>
  <x:c r="H360" i="80"/>
  <x:c r="I360" i="80"/>
  <x:c r="J360" i="80"/>
  <x:c r="K360" i="80"/>
  <x:c r="L360" i="80"/>
  <x:c r="M360" i="80"/>
  <x:c r="N360" i="80"/>
  <x:c r="O360" i="80"/>
  <x:c r="P360" i="80"/>
  <x:c r="Q360" i="80"/>
  <x:c r="S360" i="80"/>
  <x:c r="T360" i="80"/>
  <x:c r="A361" i="80"/>
  <x:c r="B361" i="80"/>
  <x:c r="C361" i="80"/>
  <x:c r="D361" i="80"/>
  <x:c r="E361" i="80"/>
  <x:c r="F361" i="80"/>
  <x:c r="G361" i="80"/>
  <x:c r="H361" i="80"/>
  <x:c r="I361" i="80"/>
  <x:c r="J361" i="80"/>
  <x:c r="K361" i="80"/>
  <x:c r="L361" i="80"/>
  <x:c r="M361" i="80"/>
  <x:c r="N361" i="80"/>
  <x:c r="O361" i="80"/>
  <x:c r="P361" i="80"/>
  <x:c r="Q361" i="80"/>
  <x:c r="S361" i="80"/>
  <x:c r="T361" i="80"/>
  <x:c r="A362" i="80"/>
  <x:c r="B362" i="80"/>
  <x:c r="C362" i="80"/>
  <x:c r="D362" i="80"/>
  <x:c r="E362" i="80"/>
  <x:c r="F362" i="80"/>
  <x:c r="G362" i="80"/>
  <x:c r="H362" i="80"/>
  <x:c r="I362" i="80"/>
  <x:c r="J362" i="80"/>
  <x:c r="K362" i="80"/>
  <x:c r="L362" i="80"/>
  <x:c r="M362" i="80"/>
  <x:c r="N362" i="80"/>
  <x:c r="O362" i="80"/>
  <x:c r="P362" i="80"/>
  <x:c r="Q362" i="80"/>
  <x:c r="S362" i="80"/>
  <x:c r="T362" i="80"/>
  <x:c r="A363" i="80"/>
  <x:c r="B363" i="80"/>
  <x:c r="C363" i="80"/>
  <x:c r="D363" i="80"/>
  <x:c r="E363" i="80"/>
  <x:c r="F363" i="80"/>
  <x:c r="G363" i="80"/>
  <x:c r="H363" i="80"/>
  <x:c r="I363" i="80"/>
  <x:c r="J363" i="80"/>
  <x:c r="K363" i="80"/>
  <x:c r="L363" i="80"/>
  <x:c r="M363" i="80"/>
  <x:c r="N363" i="80"/>
  <x:c r="O363" i="80"/>
  <x:c r="P363" i="80"/>
  <x:c r="Q363" i="80"/>
  <x:c r="S363" i="80"/>
  <x:c r="T363" i="80"/>
  <x:c r="A364" i="80"/>
  <x:c r="B364" i="80"/>
  <x:c r="C364" i="80"/>
  <x:c r="D364" i="80"/>
  <x:c r="E364" i="80"/>
  <x:c r="F364" i="80"/>
  <x:c r="G364" i="80"/>
  <x:c r="H364" i="80"/>
  <x:c r="I364" i="80"/>
  <x:c r="J364" i="80"/>
  <x:c r="K364" i="80"/>
  <x:c r="L364" i="80"/>
  <x:c r="M364" i="80"/>
  <x:c r="N364" i="80"/>
  <x:c r="O364" i="80"/>
  <x:c r="P364" i="80"/>
  <x:c r="Q364" i="80"/>
  <x:c r="S364" i="80"/>
  <x:c r="T364" i="80"/>
  <x:c r="A365" i="80"/>
  <x:c r="B365" i="80"/>
  <x:c r="C365" i="80"/>
  <x:c r="D365" i="80"/>
  <x:c r="E365" i="80"/>
  <x:c r="F365" i="80"/>
  <x:c r="G365" i="80"/>
  <x:c r="H365" i="80"/>
  <x:c r="I365" i="80"/>
  <x:c r="J365" i="80"/>
  <x:c r="K365" i="80"/>
  <x:c r="L365" i="80"/>
  <x:c r="M365" i="80"/>
  <x:c r="N365" i="80"/>
  <x:c r="O365" i="80"/>
  <x:c r="P365" i="80"/>
  <x:c r="Q365" i="80"/>
  <x:c r="S365" i="80"/>
  <x:c r="T365" i="80"/>
  <x:c r="A366" i="80"/>
  <x:c r="B366" i="80"/>
  <x:c r="C366" i="80"/>
  <x:c r="D366" i="80"/>
  <x:c r="E366" i="80"/>
  <x:c r="F366" i="80"/>
  <x:c r="G366" i="80"/>
  <x:c r="H366" i="80"/>
  <x:c r="I366" i="80"/>
  <x:c r="J366" i="80"/>
  <x:c r="K366" i="80"/>
  <x:c r="L366" i="80"/>
  <x:c r="M366" i="80"/>
  <x:c r="N366" i="80"/>
  <x:c r="O366" i="80"/>
  <x:c r="P366" i="80"/>
  <x:c r="Q366" i="80"/>
  <x:c r="S366" i="80"/>
  <x:c r="T366" i="80"/>
  <x:c r="A367" i="80"/>
  <x:c r="B367" i="80"/>
  <x:c r="C367" i="80"/>
  <x:c r="D367" i="80"/>
  <x:c r="E367" i="80"/>
  <x:c r="F367" i="80"/>
  <x:c r="G367" i="80"/>
  <x:c r="H367" i="80"/>
  <x:c r="I367" i="80"/>
  <x:c r="J367" i="80"/>
  <x:c r="K367" i="80"/>
  <x:c r="L367" i="80"/>
  <x:c r="M367" i="80"/>
  <x:c r="N367" i="80"/>
  <x:c r="O367" i="80"/>
  <x:c r="P367" i="80"/>
  <x:c r="Q367" i="80"/>
  <x:c r="S367" i="80"/>
  <x:c r="T367" i="80"/>
  <x:c r="A368" i="80"/>
  <x:c r="B368" i="80"/>
  <x:c r="C368" i="80"/>
  <x:c r="D368" i="80"/>
  <x:c r="E368" i="80"/>
  <x:c r="F368" i="80"/>
  <x:c r="G368" i="80"/>
  <x:c r="H368" i="80"/>
  <x:c r="I368" i="80"/>
  <x:c r="J368" i="80"/>
  <x:c r="K368" i="80"/>
  <x:c r="L368" i="80"/>
  <x:c r="M368" i="80"/>
  <x:c r="N368" i="80"/>
  <x:c r="O368" i="80"/>
  <x:c r="P368" i="80"/>
  <x:c r="Q368" i="80"/>
  <x:c r="S368" i="80"/>
  <x:c r="T368" i="80"/>
  <x:c r="A369" i="80"/>
  <x:c r="B369" i="80"/>
  <x:c r="C369" i="80"/>
  <x:c r="D369" i="80"/>
  <x:c r="E369" i="80"/>
  <x:c r="F369" i="80"/>
  <x:c r="G369" i="80"/>
  <x:c r="H369" i="80"/>
  <x:c r="I369" i="80"/>
  <x:c r="J369" i="80"/>
  <x:c r="K369" i="80"/>
  <x:c r="L369" i="80"/>
  <x:c r="M369" i="80"/>
  <x:c r="N369" i="80"/>
  <x:c r="O369" i="80"/>
  <x:c r="P369" i="80"/>
  <x:c r="Q369" i="80"/>
  <x:c r="S369" i="80"/>
  <x:c r="T369" i="80"/>
  <x:c r="A370" i="80"/>
  <x:c r="B370" i="80"/>
  <x:c r="C370" i="80"/>
  <x:c r="D370" i="80"/>
  <x:c r="E370" i="80"/>
  <x:c r="F370" i="80"/>
  <x:c r="G370" i="80"/>
  <x:c r="H370" i="80"/>
  <x:c r="I370" i="80"/>
  <x:c r="J370" i="80"/>
  <x:c r="K370" i="80"/>
  <x:c r="L370" i="80"/>
  <x:c r="M370" i="80"/>
  <x:c r="N370" i="80"/>
  <x:c r="O370" i="80"/>
  <x:c r="P370" i="80"/>
  <x:c r="Q370" i="80"/>
  <x:c r="S370" i="80"/>
  <x:c r="T370" i="80"/>
  <x:c r="A371" i="80"/>
  <x:c r="B371" i="80"/>
  <x:c r="C371" i="80"/>
  <x:c r="D371" i="80"/>
  <x:c r="E371" i="80"/>
  <x:c r="F371" i="80"/>
  <x:c r="G371" i="80"/>
  <x:c r="H371" i="80"/>
  <x:c r="I371" i="80"/>
  <x:c r="J371" i="80"/>
  <x:c r="K371" i="80"/>
  <x:c r="L371" i="80"/>
  <x:c r="M371" i="80"/>
  <x:c r="N371" i="80"/>
  <x:c r="O371" i="80"/>
  <x:c r="P371" i="80"/>
  <x:c r="Q371" i="80"/>
  <x:c r="S371" i="80"/>
  <x:c r="T371" i="80"/>
  <x:c r="A372" i="80"/>
  <x:c r="B372" i="80"/>
  <x:c r="C372" i="80"/>
  <x:c r="D372" i="80"/>
  <x:c r="E372" i="80"/>
  <x:c r="F372" i="80"/>
  <x:c r="G372" i="80"/>
  <x:c r="H372" i="80"/>
  <x:c r="I372" i="80"/>
  <x:c r="J372" i="80"/>
  <x:c r="K372" i="80"/>
  <x:c r="L372" i="80"/>
  <x:c r="M372" i="80"/>
  <x:c r="N372" i="80"/>
  <x:c r="O372" i="80"/>
  <x:c r="P372" i="80"/>
  <x:c r="Q372" i="80"/>
  <x:c r="S372" i="80"/>
  <x:c r="T372" i="80"/>
  <x:c r="A373" i="80"/>
  <x:c r="B373" i="80"/>
  <x:c r="C373" i="80"/>
  <x:c r="D373" i="80"/>
  <x:c r="E373" i="80"/>
  <x:c r="F373" i="80"/>
  <x:c r="G373" i="80"/>
  <x:c r="H373" i="80"/>
  <x:c r="I373" i="80"/>
  <x:c r="J373" i="80"/>
  <x:c r="K373" i="80"/>
  <x:c r="L373" i="80"/>
  <x:c r="M373" i="80"/>
  <x:c r="N373" i="80"/>
  <x:c r="O373" i="80"/>
  <x:c r="P373" i="80"/>
  <x:c r="Q373" i="80"/>
  <x:c r="S373" i="80"/>
  <x:c r="T373" i="80"/>
  <x:c r="A374" i="80"/>
  <x:c r="B374" i="80"/>
  <x:c r="C374" i="80"/>
  <x:c r="D374" i="80"/>
  <x:c r="E374" i="80"/>
  <x:c r="F374" i="80"/>
  <x:c r="G374" i="80"/>
  <x:c r="H374" i="80"/>
  <x:c r="I374" i="80"/>
  <x:c r="J374" i="80"/>
  <x:c r="K374" i="80"/>
  <x:c r="L374" i="80"/>
  <x:c r="M374" i="80"/>
  <x:c r="N374" i="80"/>
  <x:c r="O374" i="80"/>
  <x:c r="P374" i="80"/>
  <x:c r="Q374" i="80"/>
  <x:c r="S374" i="80"/>
  <x:c r="T374" i="80"/>
  <x:c r="A375" i="80"/>
  <x:c r="B375" i="80"/>
  <x:c r="C375" i="80"/>
  <x:c r="D375" i="80"/>
  <x:c r="E375" i="80"/>
  <x:c r="F375" i="80"/>
  <x:c r="G375" i="80"/>
  <x:c r="H375" i="80"/>
  <x:c r="I375" i="80"/>
  <x:c r="J375" i="80"/>
  <x:c r="K375" i="80"/>
  <x:c r="L375" i="80"/>
  <x:c r="M375" i="80"/>
  <x:c r="N375" i="80"/>
  <x:c r="O375" i="80"/>
  <x:c r="P375" i="80"/>
  <x:c r="Q375" i="80"/>
  <x:c r="S375" i="80"/>
  <x:c r="T375" i="80"/>
  <x:c r="A376" i="80"/>
  <x:c r="B376" i="80"/>
  <x:c r="C376" i="80"/>
  <x:c r="D376" i="80"/>
  <x:c r="E376" i="80"/>
  <x:c r="F376" i="80"/>
  <x:c r="G376" i="80"/>
  <x:c r="H376" i="80"/>
  <x:c r="I376" i="80"/>
  <x:c r="J376" i="80"/>
  <x:c r="K376" i="80"/>
  <x:c r="L376" i="80"/>
  <x:c r="M376" i="80"/>
  <x:c r="N376" i="80"/>
  <x:c r="O376" i="80"/>
  <x:c r="P376" i="80"/>
  <x:c r="Q376" i="80"/>
  <x:c r="S376" i="80"/>
  <x:c r="T376" i="80"/>
  <x:c r="A377" i="80"/>
  <x:c r="B377" i="80"/>
  <x:c r="C377" i="80"/>
  <x:c r="D377" i="80"/>
  <x:c r="E377" i="80"/>
  <x:c r="F377" i="80"/>
  <x:c r="G377" i="80"/>
  <x:c r="H377" i="80"/>
  <x:c r="I377" i="80"/>
  <x:c r="J377" i="80"/>
  <x:c r="K377" i="80"/>
  <x:c r="L377" i="80"/>
  <x:c r="M377" i="80"/>
  <x:c r="N377" i="80"/>
  <x:c r="O377" i="80"/>
  <x:c r="P377" i="80"/>
  <x:c r="Q377" i="80"/>
  <x:c r="S377" i="80"/>
  <x:c r="T377" i="80"/>
  <x:c r="A378" i="80"/>
  <x:c r="B378" i="80"/>
  <x:c r="C378" i="80"/>
  <x:c r="D378" i="80"/>
  <x:c r="E378" i="80"/>
  <x:c r="F378" i="80"/>
  <x:c r="G378" i="80"/>
  <x:c r="H378" i="80"/>
  <x:c r="I378" i="80"/>
  <x:c r="J378" i="80"/>
  <x:c r="K378" i="80"/>
  <x:c r="L378" i="80"/>
  <x:c r="M378" i="80"/>
  <x:c r="N378" i="80"/>
  <x:c r="O378" i="80"/>
  <x:c r="P378" i="80"/>
  <x:c r="Q378" i="80"/>
  <x:c r="S378" i="80"/>
  <x:c r="T378" i="80"/>
  <x:c r="A379" i="80"/>
  <x:c r="B379" i="80"/>
  <x:c r="C379" i="80"/>
  <x:c r="D379" i="80"/>
  <x:c r="E379" i="80"/>
  <x:c r="F379" i="80"/>
  <x:c r="G379" i="80"/>
  <x:c r="H379" i="80"/>
  <x:c r="I379" i="80"/>
  <x:c r="J379" i="80"/>
  <x:c r="K379" i="80"/>
  <x:c r="L379" i="80"/>
  <x:c r="M379" i="80"/>
  <x:c r="N379" i="80"/>
  <x:c r="O379" i="80"/>
  <x:c r="P379" i="80"/>
  <x:c r="Q379" i="80"/>
  <x:c r="S379" i="80"/>
  <x:c r="T379" i="80"/>
  <x:c r="A380" i="80"/>
  <x:c r="B380" i="80"/>
  <x:c r="C380" i="80"/>
  <x:c r="D380" i="80"/>
  <x:c r="E380" i="80"/>
  <x:c r="F380" i="80"/>
  <x:c r="G380" i="80"/>
  <x:c r="H380" i="80"/>
  <x:c r="I380" i="80"/>
  <x:c r="J380" i="80"/>
  <x:c r="K380" i="80"/>
  <x:c r="L380" i="80"/>
  <x:c r="M380" i="80"/>
  <x:c r="N380" i="80"/>
  <x:c r="O380" i="80"/>
  <x:c r="P380" i="80"/>
  <x:c r="Q380" i="80"/>
  <x:c r="S380" i="80"/>
  <x:c r="T380" i="80"/>
  <x:c r="A381" i="80"/>
  <x:c r="B381" i="80"/>
  <x:c r="C381" i="80"/>
  <x:c r="D381" i="80"/>
  <x:c r="E381" i="80"/>
  <x:c r="F381" i="80"/>
  <x:c r="G381" i="80"/>
  <x:c r="H381" i="80"/>
  <x:c r="I381" i="80"/>
  <x:c r="J381" i="80"/>
  <x:c r="K381" i="80"/>
  <x:c r="L381" i="80"/>
  <x:c r="M381" i="80"/>
  <x:c r="N381" i="80"/>
  <x:c r="O381" i="80"/>
  <x:c r="P381" i="80"/>
  <x:c r="Q381" i="80"/>
  <x:c r="S381" i="80"/>
  <x:c r="T381" i="80"/>
  <x:c r="A382" i="80"/>
  <x:c r="B382" i="80"/>
  <x:c r="C382" i="80"/>
  <x:c r="D382" i="80"/>
  <x:c r="E382" i="80"/>
  <x:c r="F382" i="80"/>
  <x:c r="G382" i="80"/>
  <x:c r="H382" i="80"/>
  <x:c r="I382" i="80"/>
  <x:c r="J382" i="80"/>
  <x:c r="K382" i="80"/>
  <x:c r="L382" i="80"/>
  <x:c r="M382" i="80"/>
  <x:c r="N382" i="80"/>
  <x:c r="O382" i="80"/>
  <x:c r="P382" i="80"/>
  <x:c r="Q382" i="80"/>
  <x:c r="S382" i="80"/>
  <x:c r="T382" i="80"/>
  <x:c r="A383" i="80"/>
  <x:c r="B383" i="80"/>
  <x:c r="C383" i="80"/>
  <x:c r="D383" i="80"/>
  <x:c r="E383" i="80"/>
  <x:c r="F383" i="80"/>
  <x:c r="G383" i="80"/>
  <x:c r="H383" i="80"/>
  <x:c r="I383" i="80"/>
  <x:c r="J383" i="80"/>
  <x:c r="K383" i="80"/>
  <x:c r="L383" i="80"/>
  <x:c r="M383" i="80"/>
  <x:c r="N383" i="80"/>
  <x:c r="O383" i="80"/>
  <x:c r="P383" i="80"/>
  <x:c r="Q383" i="80"/>
  <x:c r="S383" i="80"/>
  <x:c r="T383" i="80"/>
  <x:c r="A384" i="80"/>
  <x:c r="B384" i="80"/>
  <x:c r="C384" i="80"/>
  <x:c r="D384" i="80"/>
  <x:c r="E384" i="80"/>
  <x:c r="F384" i="80"/>
  <x:c r="G384" i="80"/>
  <x:c r="H384" i="80"/>
  <x:c r="I384" i="80"/>
  <x:c r="J384" i="80"/>
  <x:c r="K384" i="80"/>
  <x:c r="L384" i="80"/>
  <x:c r="M384" i="80"/>
  <x:c r="N384" i="80"/>
  <x:c r="O384" i="80"/>
  <x:c r="P384" i="80"/>
  <x:c r="Q384" i="80"/>
  <x:c r="S384" i="80"/>
  <x:c r="T384" i="80"/>
  <x:c r="A385" i="80"/>
  <x:c r="B385" i="80"/>
  <x:c r="C385" i="80"/>
  <x:c r="D385" i="80"/>
  <x:c r="E385" i="80"/>
  <x:c r="F385" i="80"/>
  <x:c r="G385" i="80"/>
  <x:c r="H385" i="80"/>
  <x:c r="I385" i="80"/>
  <x:c r="J385" i="80"/>
  <x:c r="K385" i="80"/>
  <x:c r="L385" i="80"/>
  <x:c r="M385" i="80"/>
  <x:c r="N385" i="80"/>
  <x:c r="O385" i="80"/>
  <x:c r="P385" i="80"/>
  <x:c r="Q385" i="80"/>
  <x:c r="S385" i="80"/>
  <x:c r="T385" i="80"/>
  <x:c r="A386" i="80"/>
  <x:c r="B386" i="80"/>
  <x:c r="C386" i="80"/>
  <x:c r="D386" i="80"/>
  <x:c r="E386" i="80"/>
  <x:c r="F386" i="80"/>
  <x:c r="G386" i="80"/>
  <x:c r="H386" i="80"/>
  <x:c r="I386" i="80"/>
  <x:c r="J386" i="80"/>
  <x:c r="K386" i="80"/>
  <x:c r="L386" i="80"/>
  <x:c r="M386" i="80"/>
  <x:c r="N386" i="80"/>
  <x:c r="O386" i="80"/>
  <x:c r="P386" i="80"/>
  <x:c r="Q386" i="80"/>
  <x:c r="S386" i="80"/>
  <x:c r="T386" i="80"/>
  <x:c r="A387" i="80"/>
  <x:c r="B387" i="80"/>
  <x:c r="C387" i="80"/>
  <x:c r="D387" i="80"/>
  <x:c r="E387" i="80"/>
  <x:c r="F387" i="80"/>
  <x:c r="G387" i="80"/>
  <x:c r="H387" i="80"/>
  <x:c r="I387" i="80"/>
  <x:c r="J387" i="80"/>
  <x:c r="K387" i="80"/>
  <x:c r="L387" i="80"/>
  <x:c r="M387" i="80"/>
  <x:c r="N387" i="80"/>
  <x:c r="O387" i="80"/>
  <x:c r="P387" i="80"/>
  <x:c r="Q387" i="80"/>
  <x:c r="S387" i="80"/>
  <x:c r="T387" i="80"/>
  <x:c r="A388" i="80"/>
  <x:c r="B388" i="80"/>
  <x:c r="C388" i="80"/>
  <x:c r="D388" i="80"/>
  <x:c r="E388" i="80"/>
  <x:c r="F388" i="80"/>
  <x:c r="G388" i="80"/>
  <x:c r="H388" i="80"/>
  <x:c r="I388" i="80"/>
  <x:c r="J388" i="80"/>
  <x:c r="K388" i="80"/>
  <x:c r="L388" i="80"/>
  <x:c r="M388" i="80"/>
  <x:c r="N388" i="80"/>
  <x:c r="O388" i="80"/>
  <x:c r="P388" i="80"/>
  <x:c r="Q388" i="80"/>
  <x:c r="S388" i="80"/>
  <x:c r="T388" i="80"/>
  <x:c r="A389" i="80"/>
  <x:c r="B389" i="80"/>
  <x:c r="C389" i="80"/>
  <x:c r="D389" i="80"/>
  <x:c r="E389" i="80"/>
  <x:c r="F389" i="80"/>
  <x:c r="G389" i="80"/>
  <x:c r="H389" i="80"/>
  <x:c r="I389" i="80"/>
  <x:c r="J389" i="80"/>
  <x:c r="K389" i="80"/>
  <x:c r="L389" i="80"/>
  <x:c r="M389" i="80"/>
  <x:c r="N389" i="80"/>
  <x:c r="O389" i="80"/>
  <x:c r="P389" i="80"/>
  <x:c r="Q389" i="80"/>
  <x:c r="S389" i="80"/>
  <x:c r="T389" i="80"/>
  <x:c r="A390" i="80"/>
  <x:c r="B390" i="80"/>
  <x:c r="C390" i="80"/>
  <x:c r="D390" i="80"/>
  <x:c r="E390" i="80"/>
  <x:c r="F390" i="80"/>
  <x:c r="G390" i="80"/>
  <x:c r="H390" i="80"/>
  <x:c r="I390" i="80"/>
  <x:c r="J390" i="80"/>
  <x:c r="K390" i="80"/>
  <x:c r="L390" i="80"/>
  <x:c r="M390" i="80"/>
  <x:c r="N390" i="80"/>
  <x:c r="O390" i="80"/>
  <x:c r="P390" i="80"/>
  <x:c r="Q390" i="80"/>
  <x:c r="S390" i="80"/>
  <x:c r="T390" i="80"/>
  <x:c r="A391" i="80"/>
  <x:c r="B391" i="80"/>
  <x:c r="C391" i="80"/>
  <x:c r="D391" i="80"/>
  <x:c r="E391" i="80"/>
  <x:c r="F391" i="80"/>
  <x:c r="G391" i="80"/>
  <x:c r="H391" i="80"/>
  <x:c r="I391" i="80"/>
  <x:c r="J391" i="80"/>
  <x:c r="K391" i="80"/>
  <x:c r="L391" i="80"/>
  <x:c r="M391" i="80"/>
  <x:c r="N391" i="80"/>
  <x:c r="O391" i="80"/>
  <x:c r="P391" i="80"/>
  <x:c r="Q391" i="80"/>
  <x:c r="S391" i="80"/>
  <x:c r="T391" i="80"/>
  <x:c r="A392" i="80"/>
  <x:c r="B392" i="80"/>
  <x:c r="C392" i="80"/>
  <x:c r="D392" i="80"/>
  <x:c r="E392" i="80"/>
  <x:c r="F392" i="80"/>
  <x:c r="G392" i="80"/>
  <x:c r="H392" i="80"/>
  <x:c r="I392" i="80"/>
  <x:c r="J392" i="80"/>
  <x:c r="K392" i="80"/>
  <x:c r="L392" i="80"/>
  <x:c r="M392" i="80"/>
  <x:c r="N392" i="80"/>
  <x:c r="O392" i="80"/>
  <x:c r="P392" i="80"/>
  <x:c r="Q392" i="80"/>
  <x:c r="S392" i="80"/>
  <x:c r="T392" i="80"/>
  <x:c r="A393" i="80"/>
  <x:c r="B393" i="80"/>
  <x:c r="C393" i="80"/>
  <x:c r="D393" i="80"/>
  <x:c r="E393" i="80"/>
  <x:c r="F393" i="80"/>
  <x:c r="G393" i="80"/>
  <x:c r="H393" i="80"/>
  <x:c r="I393" i="80"/>
  <x:c r="J393" i="80"/>
  <x:c r="K393" i="80"/>
  <x:c r="L393" i="80"/>
  <x:c r="M393" i="80"/>
  <x:c r="N393" i="80"/>
  <x:c r="O393" i="80"/>
  <x:c r="P393" i="80"/>
  <x:c r="Q393" i="80"/>
  <x:c r="S393" i="80"/>
  <x:c r="T393" i="80"/>
  <x:c r="A394" i="80"/>
  <x:c r="B394" i="80"/>
  <x:c r="C394" i="80"/>
  <x:c r="D394" i="80"/>
  <x:c r="E394" i="80"/>
  <x:c r="F394" i="80"/>
  <x:c r="G394" i="80"/>
  <x:c r="H394" i="80"/>
  <x:c r="I394" i="80"/>
  <x:c r="J394" i="80"/>
  <x:c r="K394" i="80"/>
  <x:c r="L394" i="80"/>
  <x:c r="M394" i="80"/>
  <x:c r="N394" i="80"/>
  <x:c r="O394" i="80"/>
  <x:c r="P394" i="80"/>
  <x:c r="Q394" i="80"/>
  <x:c r="S394" i="80"/>
  <x:c r="T394" i="80"/>
  <x:c r="A395" i="80"/>
  <x:c r="B395" i="80"/>
  <x:c r="C395" i="80"/>
  <x:c r="D395" i="80"/>
  <x:c r="E395" i="80"/>
  <x:c r="F395" i="80"/>
  <x:c r="G395" i="80"/>
  <x:c r="H395" i="80"/>
  <x:c r="I395" i="80"/>
  <x:c r="J395" i="80"/>
  <x:c r="K395" i="80"/>
  <x:c r="L395" i="80"/>
  <x:c r="M395" i="80"/>
  <x:c r="N395" i="80"/>
  <x:c r="O395" i="80"/>
  <x:c r="P395" i="80"/>
  <x:c r="Q395" i="80"/>
  <x:c r="S395" i="80"/>
  <x:c r="T395" i="80"/>
  <x:c r="A396" i="80"/>
  <x:c r="B396" i="80"/>
  <x:c r="C396" i="80"/>
  <x:c r="D396" i="80"/>
  <x:c r="E396" i="80"/>
  <x:c r="F396" i="80"/>
  <x:c r="G396" i="80"/>
  <x:c r="H396" i="80"/>
  <x:c r="I396" i="80"/>
  <x:c r="J396" i="80"/>
  <x:c r="K396" i="80"/>
  <x:c r="L396" i="80"/>
  <x:c r="M396" i="80"/>
  <x:c r="N396" i="80"/>
  <x:c r="O396" i="80"/>
  <x:c r="P396" i="80"/>
  <x:c r="Q396" i="80"/>
  <x:c r="S396" i="80"/>
  <x:c r="T396" i="80"/>
  <x:c r="A397" i="80"/>
  <x:c r="B397" i="80"/>
  <x:c r="C397" i="80"/>
  <x:c r="D397" i="80"/>
  <x:c r="E397" i="80"/>
  <x:c r="F397" i="80"/>
  <x:c r="G397" i="80"/>
  <x:c r="H397" i="80"/>
  <x:c r="I397" i="80"/>
  <x:c r="J397" i="80"/>
  <x:c r="K397" i="80"/>
  <x:c r="L397" i="80"/>
  <x:c r="M397" i="80"/>
  <x:c r="N397" i="80"/>
  <x:c r="O397" i="80"/>
  <x:c r="P397" i="80"/>
  <x:c r="Q397" i="80"/>
  <x:c r="S397" i="80"/>
  <x:c r="T397" i="80"/>
  <x:c r="A398" i="80"/>
  <x:c r="B398" i="80"/>
  <x:c r="C398" i="80"/>
  <x:c r="D398" i="80"/>
  <x:c r="E398" i="80"/>
  <x:c r="F398" i="80"/>
  <x:c r="G398" i="80"/>
  <x:c r="H398" i="80"/>
  <x:c r="I398" i="80"/>
  <x:c r="J398" i="80"/>
  <x:c r="K398" i="80"/>
  <x:c r="L398" i="80"/>
  <x:c r="M398" i="80"/>
  <x:c r="N398" i="80"/>
  <x:c r="O398" i="80"/>
  <x:c r="P398" i="80"/>
  <x:c r="Q398" i="80"/>
  <x:c r="S398" i="80"/>
  <x:c r="T398" i="80"/>
  <x:c r="A399" i="80"/>
  <x:c r="B399" i="80"/>
  <x:c r="C399" i="80"/>
  <x:c r="D399" i="80"/>
  <x:c r="E399" i="80"/>
  <x:c r="F399" i="80"/>
  <x:c r="G399" i="80"/>
  <x:c r="H399" i="80"/>
  <x:c r="I399" i="80"/>
  <x:c r="J399" i="80"/>
  <x:c r="K399" i="80"/>
  <x:c r="L399" i="80"/>
  <x:c r="M399" i="80"/>
  <x:c r="N399" i="80"/>
  <x:c r="O399" i="80"/>
  <x:c r="P399" i="80"/>
  <x:c r="Q399" i="80"/>
  <x:c r="S399" i="80"/>
  <x:c r="T399" i="80"/>
  <x:c r="A400" i="80"/>
  <x:c r="B400" i="80"/>
  <x:c r="C400" i="80"/>
  <x:c r="D400" i="80"/>
  <x:c r="E400" i="80"/>
  <x:c r="F400" i="80"/>
  <x:c r="G400" i="80"/>
  <x:c r="H400" i="80"/>
  <x:c r="I400" i="80"/>
  <x:c r="J400" i="80"/>
  <x:c r="K400" i="80"/>
  <x:c r="L400" i="80"/>
  <x:c r="M400" i="80"/>
  <x:c r="N400" i="80"/>
  <x:c r="O400" i="80"/>
  <x:c r="P400" i="80"/>
  <x:c r="Q400" i="80"/>
  <x:c r="S400" i="80"/>
  <x:c r="T400" i="80"/>
  <x:c r="A401" i="80"/>
  <x:c r="B401" i="80"/>
  <x:c r="C401" i="80"/>
  <x:c r="D401" i="80"/>
  <x:c r="E401" i="80"/>
  <x:c r="F401" i="80"/>
  <x:c r="G401" i="80"/>
  <x:c r="H401" i="80"/>
  <x:c r="I401" i="80"/>
  <x:c r="J401" i="80"/>
  <x:c r="K401" i="80"/>
  <x:c r="L401" i="80"/>
  <x:c r="M401" i="80"/>
  <x:c r="N401" i="80"/>
  <x:c r="O401" i="80"/>
  <x:c r="P401" i="80"/>
  <x:c r="Q401" i="80"/>
  <x:c r="S401" i="80"/>
  <x:c r="T401" i="80"/>
  <x:c r="A402" i="80"/>
  <x:c r="B402" i="80"/>
  <x:c r="C402" i="80"/>
  <x:c r="D402" i="80"/>
  <x:c r="E402" i="80"/>
  <x:c r="F402" i="80"/>
  <x:c r="G402" i="80"/>
  <x:c r="H402" i="80"/>
  <x:c r="I402" i="80"/>
  <x:c r="J402" i="80"/>
  <x:c r="K402" i="80"/>
  <x:c r="L402" i="80"/>
  <x:c r="M402" i="80"/>
  <x:c r="N402" i="80"/>
  <x:c r="O402" i="80"/>
  <x:c r="P402" i="80"/>
  <x:c r="Q402" i="80"/>
  <x:c r="S402" i="80"/>
  <x:c r="T402" i="80"/>
  <x:c r="A403" i="80"/>
  <x:c r="B403" i="80"/>
  <x:c r="C403" i="80"/>
  <x:c r="D403" i="80"/>
  <x:c r="E403" i="80"/>
  <x:c r="F403" i="80"/>
  <x:c r="G403" i="80"/>
  <x:c r="H403" i="80"/>
  <x:c r="I403" i="80"/>
  <x:c r="J403" i="80"/>
  <x:c r="K403" i="80"/>
  <x:c r="L403" i="80"/>
  <x:c r="M403" i="80"/>
  <x:c r="N403" i="80"/>
  <x:c r="O403" i="80"/>
  <x:c r="P403" i="80"/>
  <x:c r="Q403" i="80"/>
  <x:c r="S403" i="80"/>
  <x:c r="T403" i="80"/>
  <x:c r="A404" i="80"/>
  <x:c r="B404" i="80"/>
  <x:c r="C404" i="80"/>
  <x:c r="D404" i="80"/>
  <x:c r="E404" i="80"/>
  <x:c r="F404" i="80"/>
  <x:c r="G404" i="80"/>
  <x:c r="H404" i="80"/>
  <x:c r="I404" i="80"/>
  <x:c r="J404" i="80"/>
  <x:c r="K404" i="80"/>
  <x:c r="L404" i="80"/>
  <x:c r="M404" i="80"/>
  <x:c r="N404" i="80"/>
  <x:c r="O404" i="80"/>
  <x:c r="P404" i="80"/>
  <x:c r="Q404" i="80"/>
  <x:c r="S404" i="80"/>
  <x:c r="T404" i="80"/>
  <x:c r="A405" i="80"/>
  <x:c r="B405" i="80"/>
  <x:c r="C405" i="80"/>
  <x:c r="D405" i="80"/>
  <x:c r="E405" i="80"/>
  <x:c r="F405" i="80"/>
  <x:c r="G405" i="80"/>
  <x:c r="H405" i="80"/>
  <x:c r="I405" i="80"/>
  <x:c r="J405" i="80"/>
  <x:c r="K405" i="80"/>
  <x:c r="L405" i="80"/>
  <x:c r="M405" i="80"/>
  <x:c r="N405" i="80"/>
  <x:c r="O405" i="80"/>
  <x:c r="P405" i="80"/>
  <x:c r="Q405" i="80"/>
  <x:c r="S405" i="80"/>
  <x:c r="T405" i="80"/>
  <x:c r="A406" i="80"/>
  <x:c r="B406" i="80"/>
  <x:c r="C406" i="80"/>
  <x:c r="D406" i="80"/>
  <x:c r="E406" i="80"/>
  <x:c r="F406" i="80"/>
  <x:c r="G406" i="80"/>
  <x:c r="H406" i="80"/>
  <x:c r="I406" i="80"/>
  <x:c r="J406" i="80"/>
  <x:c r="K406" i="80"/>
  <x:c r="L406" i="80"/>
  <x:c r="M406" i="80"/>
  <x:c r="N406" i="80"/>
  <x:c r="O406" i="80"/>
  <x:c r="P406" i="80"/>
  <x:c r="Q406" i="80"/>
  <x:c r="S406" i="80"/>
  <x:c r="T406" i="80"/>
  <x:c r="A407" i="80"/>
  <x:c r="B407" i="80"/>
  <x:c r="C407" i="80"/>
  <x:c r="D407" i="80"/>
  <x:c r="E407" i="80"/>
  <x:c r="F407" i="80"/>
  <x:c r="G407" i="80"/>
  <x:c r="H407" i="80"/>
  <x:c r="I407" i="80"/>
  <x:c r="J407" i="80"/>
  <x:c r="K407" i="80"/>
  <x:c r="L407" i="80"/>
  <x:c r="M407" i="80"/>
  <x:c r="N407" i="80"/>
  <x:c r="O407" i="80"/>
  <x:c r="P407" i="80"/>
  <x:c r="Q407" i="80"/>
  <x:c r="S407" i="80"/>
  <x:c r="T407" i="80"/>
  <x:c r="A408" i="80"/>
  <x:c r="B408" i="80"/>
  <x:c r="C408" i="80"/>
  <x:c r="D408" i="80"/>
  <x:c r="E408" i="80"/>
  <x:c r="F408" i="80"/>
  <x:c r="G408" i="80"/>
  <x:c r="H408" i="80"/>
  <x:c r="I408" i="80"/>
  <x:c r="J408" i="80"/>
  <x:c r="K408" i="80"/>
  <x:c r="L408" i="80"/>
  <x:c r="M408" i="80"/>
  <x:c r="N408" i="80"/>
  <x:c r="O408" i="80"/>
  <x:c r="P408" i="80"/>
  <x:c r="Q408" i="80"/>
  <x:c r="S408" i="80"/>
  <x:c r="T408" i="80"/>
  <x:c r="A409" i="80"/>
  <x:c r="B409" i="80"/>
  <x:c r="C409" i="80"/>
  <x:c r="D409" i="80"/>
  <x:c r="E409" i="80"/>
  <x:c r="F409" i="80"/>
  <x:c r="G409" i="80"/>
  <x:c r="H409" i="80"/>
  <x:c r="I409" i="80"/>
  <x:c r="J409" i="80"/>
  <x:c r="K409" i="80"/>
  <x:c r="L409" i="80"/>
  <x:c r="M409" i="80"/>
  <x:c r="N409" i="80"/>
  <x:c r="O409" i="80"/>
  <x:c r="P409" i="80"/>
  <x:c r="Q409" i="80"/>
  <x:c r="S409" i="80"/>
  <x:c r="T409" i="80"/>
  <x:c r="A410" i="80"/>
  <x:c r="B410" i="80"/>
  <x:c r="C410" i="80"/>
  <x:c r="D410" i="80"/>
  <x:c r="E410" i="80"/>
  <x:c r="F410" i="80"/>
  <x:c r="G410" i="80"/>
  <x:c r="H410" i="80"/>
  <x:c r="I410" i="80"/>
  <x:c r="J410" i="80"/>
  <x:c r="K410" i="80"/>
  <x:c r="L410" i="80"/>
  <x:c r="M410" i="80"/>
  <x:c r="N410" i="80"/>
  <x:c r="O410" i="80"/>
  <x:c r="P410" i="80"/>
  <x:c r="Q410" i="80"/>
  <x:c r="S410" i="80"/>
  <x:c r="T410" i="80"/>
  <x:c r="A411" i="80"/>
  <x:c r="B411" i="80"/>
  <x:c r="C411" i="80"/>
  <x:c r="D411" i="80"/>
  <x:c r="E411" i="80"/>
  <x:c r="F411" i="80"/>
  <x:c r="G411" i="80"/>
  <x:c r="H411" i="80"/>
  <x:c r="I411" i="80"/>
  <x:c r="J411" i="80"/>
  <x:c r="K411" i="80"/>
  <x:c r="L411" i="80"/>
  <x:c r="M411" i="80"/>
  <x:c r="N411" i="80"/>
  <x:c r="O411" i="80"/>
  <x:c r="P411" i="80"/>
  <x:c r="Q411" i="80"/>
  <x:c r="S411" i="80"/>
  <x:c r="T411" i="80"/>
  <x:c r="A412" i="80"/>
  <x:c r="B412" i="80"/>
  <x:c r="C412" i="80"/>
  <x:c r="D412" i="80"/>
  <x:c r="E412" i="80"/>
  <x:c r="F412" i="80"/>
  <x:c r="G412" i="80"/>
  <x:c r="H412" i="80"/>
  <x:c r="I412" i="80"/>
  <x:c r="J412" i="80"/>
  <x:c r="K412" i="80"/>
  <x:c r="L412" i="80"/>
  <x:c r="M412" i="80"/>
  <x:c r="N412" i="80"/>
  <x:c r="O412" i="80"/>
  <x:c r="P412" i="80"/>
  <x:c r="Q412" i="80"/>
  <x:c r="S412" i="80"/>
  <x:c r="T412" i="80"/>
  <x:c r="A413" i="80"/>
  <x:c r="B413" i="80"/>
  <x:c r="C413" i="80"/>
  <x:c r="D413" i="80"/>
  <x:c r="E413" i="80"/>
  <x:c r="F413" i="80"/>
  <x:c r="G413" i="80"/>
  <x:c r="H413" i="80"/>
  <x:c r="I413" i="80"/>
  <x:c r="J413" i="80"/>
  <x:c r="K413" i="80"/>
  <x:c r="L413" i="80"/>
  <x:c r="M413" i="80"/>
  <x:c r="N413" i="80"/>
  <x:c r="O413" i="80"/>
  <x:c r="P413" i="80"/>
  <x:c r="Q413" i="80"/>
  <x:c r="S413" i="80"/>
  <x:c r="T413" i="80"/>
  <x:c r="A414" i="80"/>
  <x:c r="B414" i="80"/>
  <x:c r="C414" i="80"/>
  <x:c r="D414" i="80"/>
  <x:c r="E414" i="80"/>
  <x:c r="F414" i="80"/>
  <x:c r="G414" i="80"/>
  <x:c r="H414" i="80"/>
  <x:c r="I414" i="80"/>
  <x:c r="J414" i="80"/>
  <x:c r="K414" i="80"/>
  <x:c r="L414" i="80"/>
  <x:c r="M414" i="80"/>
  <x:c r="N414" i="80"/>
  <x:c r="O414" i="80"/>
  <x:c r="P414" i="80"/>
  <x:c r="Q414" i="80"/>
  <x:c r="S414" i="80"/>
  <x:c r="T414" i="80"/>
  <x:c r="A415" i="80"/>
  <x:c r="B415" i="80"/>
  <x:c r="C415" i="80"/>
  <x:c r="D415" i="80"/>
  <x:c r="E415" i="80"/>
  <x:c r="F415" i="80"/>
  <x:c r="G415" i="80"/>
  <x:c r="H415" i="80"/>
  <x:c r="I415" i="80"/>
  <x:c r="J415" i="80"/>
  <x:c r="K415" i="80"/>
  <x:c r="L415" i="80"/>
  <x:c r="M415" i="80"/>
  <x:c r="N415" i="80"/>
  <x:c r="O415" i="80"/>
  <x:c r="P415" i="80"/>
  <x:c r="Q415" i="80"/>
  <x:c r="S415" i="80"/>
  <x:c r="T415" i="80"/>
  <x:c r="A416" i="80"/>
  <x:c r="B416" i="80"/>
  <x:c r="C416" i="80"/>
  <x:c r="D416" i="80"/>
  <x:c r="E416" i="80"/>
  <x:c r="F416" i="80"/>
  <x:c r="G416" i="80"/>
  <x:c r="H416" i="80"/>
  <x:c r="I416" i="80"/>
  <x:c r="J416" i="80"/>
  <x:c r="K416" i="80"/>
  <x:c r="L416" i="80"/>
  <x:c r="M416" i="80"/>
  <x:c r="N416" i="80"/>
  <x:c r="O416" i="80"/>
  <x:c r="P416" i="80"/>
  <x:c r="Q416" i="80"/>
  <x:c r="S416" i="80"/>
  <x:c r="T416" i="80"/>
  <x:c r="A417" i="80"/>
  <x:c r="B417" i="80"/>
  <x:c r="C417" i="80"/>
  <x:c r="D417" i="80"/>
  <x:c r="E417" i="80"/>
  <x:c r="F417" i="80"/>
  <x:c r="G417" i="80"/>
  <x:c r="H417" i="80"/>
  <x:c r="I417" i="80"/>
  <x:c r="J417" i="80"/>
  <x:c r="K417" i="80"/>
  <x:c r="L417" i="80"/>
  <x:c r="M417" i="80"/>
  <x:c r="N417" i="80"/>
  <x:c r="O417" i="80"/>
  <x:c r="P417" i="80"/>
  <x:c r="Q417" i="80"/>
  <x:c r="S417" i="80"/>
  <x:c r="T417" i="80"/>
  <x:c r="A418" i="80"/>
  <x:c r="B418" i="80"/>
  <x:c r="C418" i="80"/>
  <x:c r="D418" i="80"/>
  <x:c r="E418" i="80"/>
  <x:c r="F418" i="80"/>
  <x:c r="G418" i="80"/>
  <x:c r="H418" i="80"/>
  <x:c r="I418" i="80"/>
  <x:c r="J418" i="80"/>
  <x:c r="K418" i="80"/>
  <x:c r="L418" i="80"/>
  <x:c r="M418" i="80"/>
  <x:c r="N418" i="80"/>
  <x:c r="O418" i="80"/>
  <x:c r="P418" i="80"/>
  <x:c r="Q418" i="80"/>
  <x:c r="S418" i="80"/>
  <x:c r="T418" i="80"/>
  <x:c r="A419" i="80"/>
  <x:c r="B419" i="80"/>
  <x:c r="C419" i="80"/>
  <x:c r="D419" i="80"/>
  <x:c r="E419" i="80"/>
  <x:c r="F419" i="80"/>
  <x:c r="G419" i="80"/>
  <x:c r="H419" i="80"/>
  <x:c r="I419" i="80"/>
  <x:c r="J419" i="80"/>
  <x:c r="K419" i="80"/>
  <x:c r="L419" i="80"/>
  <x:c r="M419" i="80"/>
  <x:c r="N419" i="80"/>
  <x:c r="O419" i="80"/>
  <x:c r="P419" i="80"/>
  <x:c r="Q419" i="80"/>
  <x:c r="S419" i="80"/>
  <x:c r="T419" i="80"/>
  <x:c r="A420" i="80"/>
  <x:c r="B420" i="80"/>
  <x:c r="C420" i="80"/>
  <x:c r="D420" i="80"/>
  <x:c r="E420" i="80"/>
  <x:c r="F420" i="80"/>
  <x:c r="G420" i="80"/>
  <x:c r="H420" i="80"/>
  <x:c r="I420" i="80"/>
  <x:c r="J420" i="80"/>
  <x:c r="K420" i="80"/>
  <x:c r="L420" i="80"/>
  <x:c r="M420" i="80"/>
  <x:c r="N420" i="80"/>
  <x:c r="O420" i="80"/>
  <x:c r="P420" i="80"/>
  <x:c r="Q420" i="80"/>
  <x:c r="S420" i="80"/>
  <x:c r="T420" i="80"/>
  <x:c r="A421" i="80"/>
  <x:c r="B421" i="80"/>
  <x:c r="C421" i="80"/>
  <x:c r="D421" i="80"/>
  <x:c r="E421" i="80"/>
  <x:c r="F421" i="80"/>
  <x:c r="G421" i="80"/>
  <x:c r="H421" i="80"/>
  <x:c r="I421" i="80"/>
  <x:c r="J421" i="80"/>
  <x:c r="K421" i="80"/>
  <x:c r="L421" i="80"/>
  <x:c r="M421" i="80"/>
  <x:c r="N421" i="80"/>
  <x:c r="O421" i="80"/>
  <x:c r="P421" i="80"/>
  <x:c r="Q421" i="80"/>
  <x:c r="S421" i="80"/>
  <x:c r="T421" i="80"/>
  <x:c r="A422" i="80"/>
  <x:c r="B422" i="80"/>
  <x:c r="C422" i="80"/>
  <x:c r="D422" i="80"/>
  <x:c r="E422" i="80"/>
  <x:c r="F422" i="80"/>
  <x:c r="G422" i="80"/>
  <x:c r="H422" i="80"/>
  <x:c r="I422" i="80"/>
  <x:c r="J422" i="80"/>
  <x:c r="K422" i="80"/>
  <x:c r="L422" i="80"/>
  <x:c r="M422" i="80"/>
  <x:c r="N422" i="80"/>
  <x:c r="O422" i="80"/>
  <x:c r="P422" i="80"/>
  <x:c r="Q422" i="80"/>
  <x:c r="S422" i="80"/>
  <x:c r="T422" i="80"/>
  <x:c r="A423" i="80"/>
  <x:c r="B423" i="80"/>
  <x:c r="C423" i="80"/>
  <x:c r="D423" i="80"/>
  <x:c r="E423" i="80"/>
  <x:c r="F423" i="80"/>
  <x:c r="G423" i="80"/>
  <x:c r="H423" i="80"/>
  <x:c r="I423" i="80"/>
  <x:c r="J423" i="80"/>
  <x:c r="K423" i="80"/>
  <x:c r="L423" i="80"/>
  <x:c r="M423" i="80"/>
  <x:c r="N423" i="80"/>
  <x:c r="O423" i="80"/>
  <x:c r="P423" i="80"/>
  <x:c r="Q423" i="80"/>
  <x:c r="S423" i="80"/>
  <x:c r="T423" i="80"/>
  <x:c r="A424" i="80"/>
  <x:c r="B424" i="80"/>
  <x:c r="C424" i="80"/>
  <x:c r="D424" i="80"/>
  <x:c r="E424" i="80"/>
  <x:c r="F424" i="80"/>
  <x:c r="G424" i="80"/>
  <x:c r="H424" i="80"/>
  <x:c r="I424" i="80"/>
  <x:c r="J424" i="80"/>
  <x:c r="K424" i="80"/>
  <x:c r="L424" i="80"/>
  <x:c r="M424" i="80"/>
  <x:c r="N424" i="80"/>
  <x:c r="O424" i="80"/>
  <x:c r="P424" i="80"/>
  <x:c r="Q424" i="80"/>
  <x:c r="S424" i="80"/>
  <x:c r="T424" i="80"/>
  <x:c r="F425" i="80"/>
  <x:c r="G425" i="80"/>
  <x:c r="H425" i="80"/>
  <x:c r="I425" i="80"/>
  <x:c r="J425" i="80"/>
  <x:c r="L425" i="80"/>
  <x:c r="M425" i="80"/>
  <x:c r="P425" i="80"/>
  <x:c r="Q425" i="80"/>
  <x:c r="R425" i="80"/>
  <x:c r="S425" i="80"/>
  <x:c r="T425" i="80"/>
  <x:c r="C429" i="80"/>
  <x:c r="Q429" i="80"/>
  <x:c r="C5" i="53"/>
  <x:c r="D5" i="53"/>
  <x:c r="E5" i="53"/>
  <x:c r="F5" i="53"/>
  <x:c r="G5" i="53"/>
  <x:c r="C6" i="53"/>
  <x:c r="D6" i="53"/>
  <x:c r="E6" i="53"/>
  <x:c r="F6" i="53"/>
  <x:c r="G6" i="53"/>
  <x:c r="C7" i="53"/>
  <x:c r="D7" i="53"/>
  <x:c r="E7" i="53"/>
  <x:c r="F7" i="53"/>
  <x:c r="G7" i="53"/>
  <x:c r="C8" i="53"/>
  <x:c r="D8" i="53"/>
  <x:c r="E8" i="53"/>
  <x:c r="F8" i="53"/>
  <x:c r="G8" i="53"/>
  <x:c r="C9" i="53"/>
  <x:c r="D9" i="53"/>
  <x:c r="E9" i="53"/>
  <x:c r="F9" i="53"/>
  <x:c r="G9" i="53"/>
  <x:c r="C10" i="53"/>
  <x:c r="D10" i="53"/>
  <x:c r="E10" i="53"/>
  <x:c r="F10" i="53"/>
  <x:c r="G10" i="53"/>
  <x:c r="C11" i="53"/>
  <x:c r="D11" i="53"/>
  <x:c r="E11" i="53"/>
  <x:c r="F11" i="53"/>
  <x:c r="G11" i="53"/>
  <x:c r="C12" i="53"/>
  <x:c r="D12" i="53"/>
  <x:c r="E12" i="53"/>
  <x:c r="F12" i="53"/>
  <x:c r="G12" i="53"/>
  <x:c r="C13" i="53"/>
  <x:c r="D13" i="53"/>
  <x:c r="E13" i="53"/>
  <x:c r="F13" i="53"/>
  <x:c r="G13" i="53"/>
  <x:c r="C14" i="53"/>
  <x:c r="D14" i="53"/>
  <x:c r="E14" i="53"/>
  <x:c r="F14" i="53"/>
  <x:c r="G14" i="53"/>
  <x:c r="C15" i="53"/>
  <x:c r="D15" i="53"/>
  <x:c r="E15" i="53"/>
  <x:c r="F15" i="53"/>
  <x:c r="G15" i="53"/>
  <x:c r="C16" i="53"/>
  <x:c r="D16" i="53"/>
  <x:c r="E16" i="53"/>
  <x:c r="F16" i="53"/>
  <x:c r="G16" i="53"/>
  <x:c r="C17" i="53"/>
  <x:c r="D17" i="53"/>
  <x:c r="E17" i="53"/>
  <x:c r="F17" i="53"/>
  <x:c r="G17" i="53"/>
  <x:c r="C18" i="53"/>
  <x:c r="D18" i="53"/>
  <x:c r="E18" i="53"/>
  <x:c r="F18" i="53"/>
  <x:c r="G18" i="53"/>
  <x:c r="C19" i="53"/>
  <x:c r="D19" i="53"/>
  <x:c r="E19" i="53"/>
  <x:c r="F19" i="53"/>
  <x:c r="G19" i="53"/>
  <x:c r="C20" i="53"/>
  <x:c r="D20" i="53"/>
  <x:c r="E20" i="53"/>
  <x:c r="F20" i="53"/>
  <x:c r="G20" i="53"/>
  <x:c r="C21" i="53"/>
  <x:c r="D21" i="53"/>
  <x:c r="E21" i="53"/>
  <x:c r="F21" i="53"/>
  <x:c r="G21" i="53"/>
  <x:c r="C22" i="53"/>
  <x:c r="D22" i="53"/>
  <x:c r="E22" i="53"/>
  <x:c r="F22" i="53"/>
  <x:c r="G22" i="53"/>
  <x:c r="C23" i="53"/>
  <x:c r="D23" i="53"/>
  <x:c r="E23" i="53"/>
  <x:c r="F23" i="53"/>
  <x:c r="G23" i="53"/>
  <x:c r="C24" i="53"/>
  <x:c r="D24" i="53"/>
  <x:c r="E24" i="53"/>
  <x:c r="F24" i="53"/>
  <x:c r="G24" i="53"/>
  <x:c r="C25" i="53"/>
  <x:c r="D25" i="53"/>
  <x:c r="E25" i="53"/>
  <x:c r="F25" i="53"/>
  <x:c r="G25" i="53"/>
  <x:c r="C26" i="53"/>
  <x:c r="D26" i="53"/>
  <x:c r="E26" i="53"/>
  <x:c r="F26" i="53"/>
  <x:c r="G26" i="53"/>
  <x:c r="C27" i="53"/>
  <x:c r="D27" i="53"/>
  <x:c r="E27" i="53"/>
  <x:c r="F27" i="53"/>
  <x:c r="G27" i="53"/>
  <x:c r="C28" i="53"/>
  <x:c r="D28" i="53"/>
  <x:c r="E28" i="53"/>
  <x:c r="F28" i="53"/>
  <x:c r="G28" i="53"/>
  <x:c r="C29" i="53"/>
  <x:c r="D29" i="53"/>
  <x:c r="E29" i="53"/>
  <x:c r="F29" i="53"/>
  <x:c r="G29" i="53"/>
  <x:c r="C30" i="53"/>
  <x:c r="D30" i="53"/>
  <x:c r="E30" i="53"/>
  <x:c r="F30" i="53"/>
  <x:c r="G30" i="53"/>
  <x:c r="C31" i="53"/>
  <x:c r="D31" i="53"/>
  <x:c r="E31" i="53"/>
  <x:c r="F31" i="53"/>
  <x:c r="G31" i="53"/>
  <x:c r="C32" i="53"/>
  <x:c r="D32" i="53"/>
  <x:c r="E32" i="53"/>
  <x:c r="F32" i="53"/>
  <x:c r="G32" i="53"/>
  <x:c r="C33" i="53"/>
  <x:c r="D33" i="53"/>
  <x:c r="E33" i="53"/>
  <x:c r="F33" i="53"/>
  <x:c r="G33" i="53"/>
  <x:c r="C34" i="53"/>
  <x:c r="D34" i="53"/>
  <x:c r="E34" i="53"/>
  <x:c r="F34" i="53"/>
  <x:c r="G34" i="53"/>
  <x:c r="C35" i="53"/>
  <x:c r="D35" i="53"/>
  <x:c r="E35" i="53"/>
  <x:c r="F35" i="53"/>
  <x:c r="G35" i="53"/>
  <x:c r="C36" i="53"/>
  <x:c r="D36" i="53"/>
  <x:c r="E36" i="53"/>
  <x:c r="F36" i="53"/>
  <x:c r="G36" i="53"/>
  <x:c r="C37" i="53"/>
  <x:c r="D37" i="53"/>
  <x:c r="E37" i="53"/>
  <x:c r="F37" i="53"/>
  <x:c r="G37" i="53"/>
  <x:c r="C38" i="53"/>
  <x:c r="D38" i="53"/>
  <x:c r="E38" i="53"/>
  <x:c r="F38" i="53"/>
  <x:c r="G38" i="53"/>
  <x:c r="C39" i="53"/>
  <x:c r="D39" i="53"/>
  <x:c r="E39" i="53"/>
  <x:c r="F39" i="53"/>
  <x:c r="G39" i="53"/>
  <x:c r="C40" i="53"/>
  <x:c r="D40" i="53"/>
  <x:c r="E40" i="53"/>
  <x:c r="F40" i="53"/>
  <x:c r="G40" i="53"/>
  <x:c r="C41" i="53"/>
  <x:c r="D41" i="53"/>
  <x:c r="E41" i="53"/>
  <x:c r="F41" i="53"/>
  <x:c r="G41" i="53"/>
  <x:c r="C42" i="53"/>
  <x:c r="D42" i="53"/>
  <x:c r="E42" i="53"/>
  <x:c r="F42" i="53"/>
  <x:c r="G42" i="53"/>
  <x:c r="C43" i="53"/>
  <x:c r="D43" i="53"/>
  <x:c r="E43" i="53"/>
  <x:c r="F43" i="53"/>
  <x:c r="G43" i="53"/>
  <x:c r="C44" i="53"/>
  <x:c r="D44" i="53"/>
  <x:c r="E44" i="53"/>
  <x:c r="F44" i="53"/>
  <x:c r="G44" i="53"/>
  <x:c r="C45" i="53"/>
  <x:c r="D45" i="53"/>
  <x:c r="E45" i="53"/>
  <x:c r="F45" i="53"/>
  <x:c r="G45" i="53"/>
  <x:c r="C46" i="53"/>
  <x:c r="D46" i="53"/>
  <x:c r="E46" i="53"/>
  <x:c r="F46" i="53"/>
  <x:c r="G46" i="53"/>
  <x:c r="C47" i="53"/>
  <x:c r="D47" i="53"/>
  <x:c r="E47" i="53"/>
  <x:c r="F47" i="53"/>
  <x:c r="G47" i="53"/>
  <x:c r="C48" i="53"/>
  <x:c r="D48" i="53"/>
  <x:c r="E48" i="53"/>
  <x:c r="F48" i="53"/>
  <x:c r="G48" i="53"/>
  <x:c r="C49" i="53"/>
  <x:c r="D49" i="53"/>
  <x:c r="E49" i="53"/>
  <x:c r="F49" i="53"/>
  <x:c r="G49" i="53"/>
  <x:c r="C50" i="53"/>
  <x:c r="D50" i="53"/>
  <x:c r="E50" i="53"/>
  <x:c r="F50" i="53"/>
  <x:c r="G50" i="53"/>
  <x:c r="C51" i="53"/>
  <x:c r="D51" i="53"/>
  <x:c r="E51" i="53"/>
  <x:c r="F51" i="53"/>
  <x:c r="G51" i="53"/>
  <x:c r="C52" i="53"/>
  <x:c r="D52" i="53"/>
  <x:c r="E52" i="53"/>
  <x:c r="F52" i="53"/>
  <x:c r="G52" i="53"/>
  <x:c r="C53" i="53"/>
  <x:c r="D53" i="53"/>
  <x:c r="E53" i="53"/>
  <x:c r="F53" i="53"/>
  <x:c r="G53" i="53"/>
  <x:c r="C54" i="53"/>
  <x:c r="D54" i="53"/>
  <x:c r="E54" i="53"/>
  <x:c r="F54" i="53"/>
  <x:c r="G54" i="53"/>
  <x:c r="C55" i="53"/>
  <x:c r="D55" i="53"/>
  <x:c r="E55" i="53"/>
  <x:c r="F55" i="53"/>
  <x:c r="G55" i="53"/>
  <x:c r="C56" i="53"/>
  <x:c r="D56" i="53"/>
  <x:c r="E56" i="53"/>
  <x:c r="F56" i="53"/>
  <x:c r="G56" i="53"/>
  <x:c r="C57" i="53"/>
  <x:c r="D57" i="53"/>
  <x:c r="E57" i="53"/>
  <x:c r="F57" i="53"/>
  <x:c r="G57" i="53"/>
  <x:c r="C58" i="53"/>
  <x:c r="D58" i="53"/>
  <x:c r="E58" i="53"/>
  <x:c r="F58" i="53"/>
  <x:c r="G58" i="53"/>
  <x:c r="C59" i="53"/>
  <x:c r="D59" i="53"/>
  <x:c r="E59" i="53"/>
  <x:c r="F59" i="53"/>
  <x:c r="G59" i="53"/>
  <x:c r="C60" i="53"/>
  <x:c r="D60" i="53"/>
  <x:c r="E60" i="53"/>
  <x:c r="F60" i="53"/>
  <x:c r="G60" i="53"/>
  <x:c r="C61" i="53"/>
  <x:c r="D61" i="53"/>
  <x:c r="E61" i="53"/>
  <x:c r="F61" i="53"/>
  <x:c r="G61" i="53"/>
  <x:c r="C62" i="53"/>
  <x:c r="D62" i="53"/>
  <x:c r="E62" i="53"/>
  <x:c r="F62" i="53"/>
  <x:c r="G62" i="53"/>
  <x:c r="C63" i="53"/>
  <x:c r="D63" i="53"/>
  <x:c r="E63" i="53"/>
  <x:c r="F63" i="53"/>
  <x:c r="G63" i="53"/>
  <x:c r="C64" i="53"/>
  <x:c r="D64" i="53"/>
  <x:c r="E64" i="53"/>
  <x:c r="F64" i="53"/>
  <x:c r="G64" i="53"/>
  <x:c r="C65" i="53"/>
  <x:c r="D65" i="53"/>
  <x:c r="E65" i="53"/>
  <x:c r="F65" i="53"/>
  <x:c r="G65" i="53"/>
  <x:c r="C66" i="53"/>
  <x:c r="D66" i="53"/>
  <x:c r="E66" i="53"/>
  <x:c r="F66" i="53"/>
  <x:c r="G66" i="53"/>
  <x:c r="C67" i="53"/>
  <x:c r="D67" i="53"/>
  <x:c r="E67" i="53"/>
  <x:c r="F67" i="53"/>
  <x:c r="G67" i="53"/>
  <x:c r="C68" i="53"/>
  <x:c r="D68" i="53"/>
  <x:c r="E68" i="53"/>
  <x:c r="F68" i="53"/>
  <x:c r="G68" i="53"/>
  <x:c r="C69" i="53"/>
  <x:c r="D69" i="53"/>
  <x:c r="E69" i="53"/>
  <x:c r="F69" i="53"/>
  <x:c r="G69" i="53"/>
  <x:c r="C70" i="53"/>
  <x:c r="D70" i="53"/>
  <x:c r="E70" i="53"/>
  <x:c r="F70" i="53"/>
  <x:c r="G70" i="53"/>
  <x:c r="C71" i="53"/>
  <x:c r="D71" i="53"/>
  <x:c r="E71" i="53"/>
  <x:c r="F71" i="53"/>
  <x:c r="G71" i="53"/>
  <x:c r="C72" i="53"/>
  <x:c r="D72" i="53"/>
  <x:c r="E72" i="53"/>
  <x:c r="F72" i="53"/>
  <x:c r="G72" i="53"/>
  <x:c r="C73" i="53"/>
  <x:c r="D73" i="53"/>
  <x:c r="E73" i="53"/>
  <x:c r="F73" i="53"/>
  <x:c r="G73" i="53"/>
  <x:c r="C74" i="53"/>
  <x:c r="D74" i="53"/>
  <x:c r="E74" i="53"/>
  <x:c r="F74" i="53"/>
  <x:c r="G74" i="53"/>
  <x:c r="C75" i="53"/>
  <x:c r="D75" i="53"/>
  <x:c r="E75" i="53"/>
  <x:c r="F75" i="53"/>
  <x:c r="G75" i="53"/>
  <x:c r="C76" i="53"/>
  <x:c r="D76" i="53"/>
  <x:c r="E76" i="53"/>
  <x:c r="F76" i="53"/>
  <x:c r="G76" i="53"/>
  <x:c r="C77" i="53"/>
  <x:c r="D77" i="53"/>
  <x:c r="E77" i="53"/>
  <x:c r="F77" i="53"/>
  <x:c r="G77" i="53"/>
  <x:c r="C78" i="53"/>
  <x:c r="D78" i="53"/>
  <x:c r="E78" i="53"/>
  <x:c r="F78" i="53"/>
  <x:c r="G78" i="53"/>
  <x:c r="C79" i="53"/>
  <x:c r="D79" i="53"/>
  <x:c r="E79" i="53"/>
  <x:c r="F79" i="53"/>
  <x:c r="G79" i="53"/>
  <x:c r="C80" i="53"/>
  <x:c r="D80" i="53"/>
  <x:c r="E80" i="53"/>
  <x:c r="F80" i="53"/>
  <x:c r="G80" i="53"/>
  <x:c r="C81" i="53"/>
  <x:c r="D81" i="53"/>
  <x:c r="E81" i="53"/>
  <x:c r="F81" i="53"/>
  <x:c r="G81" i="53"/>
  <x:c r="C82" i="53"/>
  <x:c r="D82" i="53"/>
  <x:c r="E82" i="53"/>
  <x:c r="F82" i="53"/>
  <x:c r="G82" i="53"/>
  <x:c r="C83" i="53"/>
  <x:c r="D83" i="53"/>
  <x:c r="E83" i="53"/>
  <x:c r="F83" i="53"/>
  <x:c r="G83" i="53"/>
  <x:c r="C84" i="53"/>
  <x:c r="D84" i="53"/>
  <x:c r="E84" i="53"/>
  <x:c r="F84" i="53"/>
  <x:c r="G84" i="53"/>
  <x:c r="C85" i="53"/>
  <x:c r="D85" i="53"/>
  <x:c r="E85" i="53"/>
  <x:c r="F85" i="53"/>
  <x:c r="G85" i="53"/>
  <x:c r="C86" i="53"/>
  <x:c r="D86" i="53"/>
  <x:c r="E86" i="53"/>
  <x:c r="F86" i="53"/>
  <x:c r="G86" i="53"/>
  <x:c r="C87" i="53"/>
  <x:c r="D87" i="53"/>
  <x:c r="E87" i="53"/>
  <x:c r="F87" i="53"/>
  <x:c r="G87" i="53"/>
  <x:c r="C88" i="53"/>
  <x:c r="D88" i="53"/>
  <x:c r="E88" i="53"/>
  <x:c r="F88" i="53"/>
  <x:c r="G88" i="53"/>
  <x:c r="C89" i="53"/>
  <x:c r="D89" i="53"/>
  <x:c r="E89" i="53"/>
  <x:c r="F89" i="53"/>
  <x:c r="G89" i="53"/>
  <x:c r="C90" i="53"/>
  <x:c r="D90" i="53"/>
  <x:c r="E90" i="53"/>
  <x:c r="F90" i="53"/>
  <x:c r="G90" i="53"/>
  <x:c r="C91" i="53"/>
  <x:c r="D91" i="53"/>
  <x:c r="E91" i="53"/>
  <x:c r="F91" i="53"/>
  <x:c r="G91" i="53"/>
  <x:c r="C92" i="53"/>
  <x:c r="D92" i="53"/>
  <x:c r="E92" i="53"/>
  <x:c r="F92" i="53"/>
  <x:c r="G92" i="53"/>
  <x:c r="C93" i="53"/>
  <x:c r="D93" i="53"/>
  <x:c r="E93" i="53"/>
  <x:c r="F93" i="53"/>
  <x:c r="G93" i="53"/>
  <x:c r="C94" i="53"/>
  <x:c r="D94" i="53"/>
  <x:c r="E94" i="53"/>
  <x:c r="F94" i="53"/>
  <x:c r="G94" i="53"/>
  <x:c r="C95" i="53"/>
  <x:c r="D95" i="53"/>
  <x:c r="E95" i="53"/>
  <x:c r="F95" i="53"/>
  <x:c r="G95" i="53"/>
  <x:c r="C96" i="53"/>
  <x:c r="D96" i="53"/>
  <x:c r="E96" i="53"/>
  <x:c r="F96" i="53"/>
  <x:c r="G96" i="53"/>
  <x:c r="C97" i="53"/>
  <x:c r="D97" i="53"/>
  <x:c r="E97" i="53"/>
  <x:c r="F97" i="53"/>
  <x:c r="G97" i="53"/>
  <x:c r="C98" i="53"/>
  <x:c r="D98" i="53"/>
  <x:c r="E98" i="53"/>
  <x:c r="F98" i="53"/>
  <x:c r="G98" i="53"/>
  <x:c r="C99" i="53"/>
  <x:c r="D99" i="53"/>
  <x:c r="E99" i="53"/>
  <x:c r="F99" i="53"/>
  <x:c r="G99" i="53"/>
  <x:c r="C100" i="53"/>
  <x:c r="D100" i="53"/>
  <x:c r="E100" i="53"/>
  <x:c r="F100" i="53"/>
  <x:c r="G100" i="53"/>
  <x:c r="C101" i="53"/>
  <x:c r="D101" i="53"/>
  <x:c r="E101" i="53"/>
  <x:c r="F101" i="53"/>
  <x:c r="G101" i="53"/>
  <x:c r="C102" i="53"/>
  <x:c r="D102" i="53"/>
  <x:c r="E102" i="53"/>
  <x:c r="F102" i="53"/>
  <x:c r="G102" i="53"/>
  <x:c r="C103" i="53"/>
  <x:c r="D103" i="53"/>
  <x:c r="E103" i="53"/>
  <x:c r="F103" i="53"/>
  <x:c r="G103" i="53"/>
  <x:c r="C104" i="53"/>
  <x:c r="D104" i="53"/>
  <x:c r="E104" i="53"/>
  <x:c r="F104" i="53"/>
  <x:c r="G104" i="53"/>
  <x:c r="C105" i="53"/>
  <x:c r="D105" i="53"/>
  <x:c r="E105" i="53"/>
  <x:c r="F105" i="53"/>
  <x:c r="G105" i="53"/>
  <x:c r="C106" i="53"/>
  <x:c r="D106" i="53"/>
  <x:c r="E106" i="53"/>
  <x:c r="F106" i="53"/>
  <x:c r="G106" i="53"/>
  <x:c r="C107" i="53"/>
  <x:c r="D107" i="53"/>
  <x:c r="E107" i="53"/>
  <x:c r="F107" i="53"/>
  <x:c r="G107" i="53"/>
  <x:c r="C108" i="53"/>
  <x:c r="D108" i="53"/>
  <x:c r="E108" i="53"/>
  <x:c r="F108" i="53"/>
  <x:c r="G108" i="53"/>
  <x:c r="C109" i="53"/>
  <x:c r="D109" i="53"/>
  <x:c r="E109" i="53"/>
  <x:c r="F109" i="53"/>
  <x:c r="G109" i="53"/>
  <x:c r="C110" i="53"/>
  <x:c r="D110" i="53"/>
  <x:c r="E110" i="53"/>
  <x:c r="F110" i="53"/>
  <x:c r="G110" i="53"/>
  <x:c r="C111" i="53"/>
  <x:c r="D111" i="53"/>
  <x:c r="E111" i="53"/>
  <x:c r="F111" i="53"/>
  <x:c r="G111" i="53"/>
  <x:c r="C112" i="53"/>
  <x:c r="D112" i="53"/>
  <x:c r="E112" i="53"/>
  <x:c r="F112" i="53"/>
  <x:c r="G112" i="53"/>
  <x:c r="C113" i="53"/>
  <x:c r="D113" i="53"/>
  <x:c r="E113" i="53"/>
  <x:c r="F113" i="53"/>
  <x:c r="G113" i="53"/>
  <x:c r="C114" i="53"/>
  <x:c r="D114" i="53"/>
  <x:c r="E114" i="53"/>
  <x:c r="F114" i="53"/>
  <x:c r="G114" i="53"/>
  <x:c r="C115" i="53"/>
  <x:c r="D115" i="53"/>
  <x:c r="E115" i="53"/>
  <x:c r="F115" i="53"/>
  <x:c r="G115" i="53"/>
  <x:c r="C116" i="53"/>
  <x:c r="D116" i="53"/>
  <x:c r="E116" i="53"/>
  <x:c r="F116" i="53"/>
  <x:c r="G116" i="53"/>
  <x:c r="C117" i="53"/>
  <x:c r="D117" i="53"/>
  <x:c r="E117" i="53"/>
  <x:c r="F117" i="53"/>
  <x:c r="G117" i="53"/>
  <x:c r="C118" i="53"/>
  <x:c r="D118" i="53"/>
  <x:c r="E118" i="53"/>
  <x:c r="F118" i="53"/>
  <x:c r="G118" i="53"/>
  <x:c r="C119" i="53"/>
  <x:c r="D119" i="53"/>
  <x:c r="E119" i="53"/>
  <x:c r="F119" i="53"/>
  <x:c r="G119" i="53"/>
  <x:c r="C120" i="53"/>
  <x:c r="D120" i="53"/>
  <x:c r="E120" i="53"/>
  <x:c r="F120" i="53"/>
  <x:c r="G120" i="53"/>
  <x:c r="C121" i="53"/>
  <x:c r="D121" i="53"/>
  <x:c r="E121" i="53"/>
  <x:c r="F121" i="53"/>
  <x:c r="G121" i="53"/>
  <x:c r="C122" i="53"/>
  <x:c r="D122" i="53"/>
  <x:c r="E122" i="53"/>
  <x:c r="F122" i="53"/>
  <x:c r="G122" i="53"/>
  <x:c r="C123" i="53"/>
  <x:c r="D123" i="53"/>
  <x:c r="E123" i="53"/>
  <x:c r="F123" i="53"/>
  <x:c r="G123" i="53"/>
  <x:c r="C124" i="53"/>
  <x:c r="D124" i="53"/>
  <x:c r="E124" i="53"/>
  <x:c r="F124" i="53"/>
  <x:c r="G124" i="53"/>
  <x:c r="C125" i="53"/>
  <x:c r="D125" i="53"/>
  <x:c r="E125" i="53"/>
  <x:c r="F125" i="53"/>
  <x:c r="G125" i="53"/>
  <x:c r="C126" i="53"/>
  <x:c r="D126" i="53"/>
  <x:c r="E126" i="53"/>
  <x:c r="F126" i="53"/>
  <x:c r="G126" i="53"/>
  <x:c r="C127" i="53"/>
  <x:c r="D127" i="53"/>
  <x:c r="E127" i="53"/>
  <x:c r="F127" i="53"/>
  <x:c r="G127" i="53"/>
  <x:c r="C128" i="53"/>
  <x:c r="D128" i="53"/>
  <x:c r="E128" i="53"/>
  <x:c r="F128" i="53"/>
  <x:c r="G128" i="53"/>
  <x:c r="C129" i="53"/>
  <x:c r="D129" i="53"/>
  <x:c r="E129" i="53"/>
  <x:c r="F129" i="53"/>
  <x:c r="G129" i="53"/>
  <x:c r="C130" i="53"/>
  <x:c r="D130" i="53"/>
  <x:c r="E130" i="53"/>
  <x:c r="F130" i="53"/>
  <x:c r="G130" i="53"/>
  <x:c r="C131" i="53"/>
  <x:c r="D131" i="53"/>
  <x:c r="E131" i="53"/>
  <x:c r="F131" i="53"/>
  <x:c r="G131" i="53"/>
  <x:c r="C132" i="53"/>
  <x:c r="D132" i="53"/>
  <x:c r="E132" i="53"/>
  <x:c r="F132" i="53"/>
  <x:c r="G132" i="53"/>
  <x:c r="C133" i="53"/>
  <x:c r="D133" i="53"/>
  <x:c r="E133" i="53"/>
  <x:c r="F133" i="53"/>
  <x:c r="G133" i="53"/>
  <x:c r="C134" i="53"/>
  <x:c r="D134" i="53"/>
  <x:c r="E134" i="53"/>
  <x:c r="F134" i="53"/>
  <x:c r="G134" i="53"/>
  <x:c r="C135" i="53"/>
  <x:c r="D135" i="53"/>
  <x:c r="E135" i="53"/>
  <x:c r="F135" i="53"/>
  <x:c r="G135" i="53"/>
  <x:c r="C136" i="53"/>
  <x:c r="D136" i="53"/>
  <x:c r="E136" i="53"/>
  <x:c r="F136" i="53"/>
  <x:c r="G136" i="53"/>
  <x:c r="C137" i="53"/>
  <x:c r="D137" i="53"/>
  <x:c r="E137" i="53"/>
  <x:c r="F137" i="53"/>
  <x:c r="G137" i="53"/>
  <x:c r="C138" i="53"/>
  <x:c r="D138" i="53"/>
  <x:c r="E138" i="53"/>
  <x:c r="F138" i="53"/>
  <x:c r="G138" i="53"/>
  <x:c r="C139" i="53"/>
  <x:c r="D139" i="53"/>
  <x:c r="E139" i="53"/>
  <x:c r="F139" i="53"/>
  <x:c r="G139" i="53"/>
  <x:c r="C140" i="53"/>
  <x:c r="D140" i="53"/>
  <x:c r="E140" i="53"/>
  <x:c r="F140" i="53"/>
  <x:c r="G140" i="53"/>
  <x:c r="C141" i="53"/>
  <x:c r="D141" i="53"/>
  <x:c r="E141" i="53"/>
  <x:c r="F141" i="53"/>
  <x:c r="G141" i="53"/>
  <x:c r="C142" i="53"/>
  <x:c r="D142" i="53"/>
  <x:c r="E142" i="53"/>
  <x:c r="F142" i="53"/>
  <x:c r="G142" i="53"/>
  <x:c r="C143" i="53"/>
  <x:c r="D143" i="53"/>
  <x:c r="E143" i="53"/>
  <x:c r="F143" i="53"/>
  <x:c r="G143" i="53"/>
  <x:c r="C144" i="53"/>
  <x:c r="D144" i="53"/>
  <x:c r="E144" i="53"/>
  <x:c r="F144" i="53"/>
  <x:c r="G144" i="53"/>
  <x:c r="C145" i="53"/>
  <x:c r="D145" i="53"/>
  <x:c r="E145" i="53"/>
  <x:c r="F145" i="53"/>
  <x:c r="G145" i="53"/>
  <x:c r="C146" i="53"/>
  <x:c r="D146" i="53"/>
  <x:c r="E146" i="53"/>
  <x:c r="F146" i="53"/>
  <x:c r="G146" i="53"/>
  <x:c r="C147" i="53"/>
  <x:c r="D147" i="53"/>
  <x:c r="E147" i="53"/>
  <x:c r="F147" i="53"/>
  <x:c r="G147" i="53"/>
  <x:c r="C148" i="53"/>
  <x:c r="D148" i="53"/>
  <x:c r="E148" i="53"/>
  <x:c r="F148" i="53"/>
  <x:c r="G148" i="53"/>
  <x:c r="C149" i="53"/>
  <x:c r="D149" i="53"/>
  <x:c r="E149" i="53"/>
  <x:c r="F149" i="53"/>
  <x:c r="G149" i="53"/>
  <x:c r="C150" i="53"/>
  <x:c r="D150" i="53"/>
  <x:c r="E150" i="53"/>
  <x:c r="F150" i="53"/>
  <x:c r="G150" i="53"/>
  <x:c r="C151" i="53"/>
  <x:c r="D151" i="53"/>
  <x:c r="E151" i="53"/>
  <x:c r="F151" i="53"/>
  <x:c r="G151" i="53"/>
  <x:c r="C152" i="53"/>
  <x:c r="D152" i="53"/>
  <x:c r="E152" i="53"/>
  <x:c r="F152" i="53"/>
  <x:c r="G152" i="53"/>
  <x:c r="C153" i="53"/>
  <x:c r="D153" i="53"/>
  <x:c r="E153" i="53"/>
  <x:c r="F153" i="53"/>
  <x:c r="G153" i="53"/>
  <x:c r="C154" i="53"/>
  <x:c r="D154" i="53"/>
  <x:c r="E154" i="53"/>
  <x:c r="F154" i="53"/>
  <x:c r="G154" i="53"/>
  <x:c r="C155" i="53"/>
  <x:c r="D155" i="53"/>
  <x:c r="E155" i="53"/>
  <x:c r="F155" i="53"/>
  <x:c r="G155" i="53"/>
  <x:c r="C156" i="53"/>
  <x:c r="D156" i="53"/>
  <x:c r="E156" i="53"/>
  <x:c r="F156" i="53"/>
  <x:c r="G156" i="53"/>
  <x:c r="C157" i="53"/>
  <x:c r="D157" i="53"/>
  <x:c r="E157" i="53"/>
  <x:c r="F157" i="53"/>
  <x:c r="G157" i="53"/>
  <x:c r="C158" i="53"/>
  <x:c r="D158" i="53"/>
  <x:c r="E158" i="53"/>
  <x:c r="F158" i="53"/>
  <x:c r="G158" i="53"/>
  <x:c r="C159" i="53"/>
  <x:c r="D159" i="53"/>
  <x:c r="E159" i="53"/>
  <x:c r="F159" i="53"/>
  <x:c r="G159" i="53"/>
  <x:c r="C160" i="53"/>
  <x:c r="D160" i="53"/>
  <x:c r="E160" i="53"/>
  <x:c r="F160" i="53"/>
  <x:c r="G160" i="53"/>
  <x:c r="C161" i="53"/>
  <x:c r="D161" i="53"/>
  <x:c r="E161" i="53"/>
  <x:c r="F161" i="53"/>
  <x:c r="G161" i="53"/>
  <x:c r="C162" i="53"/>
  <x:c r="D162" i="53"/>
  <x:c r="E162" i="53"/>
  <x:c r="F162" i="53"/>
  <x:c r="G162" i="53"/>
  <x:c r="C163" i="53"/>
  <x:c r="D163" i="53"/>
  <x:c r="E163" i="53"/>
  <x:c r="F163" i="53"/>
  <x:c r="G163" i="53"/>
  <x:c r="C164" i="53"/>
  <x:c r="D164" i="53"/>
  <x:c r="E164" i="53"/>
  <x:c r="F164" i="53"/>
  <x:c r="G164" i="53"/>
  <x:c r="C165" i="53"/>
  <x:c r="D165" i="53"/>
  <x:c r="E165" i="53"/>
  <x:c r="F165" i="53"/>
  <x:c r="G165" i="53"/>
  <x:c r="C166" i="53"/>
  <x:c r="D166" i="53"/>
  <x:c r="E166" i="53"/>
  <x:c r="F166" i="53"/>
  <x:c r="G166" i="53"/>
  <x:c r="C167" i="53"/>
  <x:c r="D167" i="53"/>
  <x:c r="E167" i="53"/>
  <x:c r="F167" i="53"/>
  <x:c r="G167" i="53"/>
  <x:c r="C168" i="53"/>
  <x:c r="D168" i="53"/>
  <x:c r="E168" i="53"/>
  <x:c r="F168" i="53"/>
  <x:c r="G168" i="53"/>
  <x:c r="C169" i="53"/>
  <x:c r="D169" i="53"/>
  <x:c r="E169" i="53"/>
  <x:c r="F169" i="53"/>
  <x:c r="G169" i="53"/>
  <x:c r="C170" i="53"/>
  <x:c r="D170" i="53"/>
  <x:c r="E170" i="53"/>
  <x:c r="F170" i="53"/>
  <x:c r="G170" i="53"/>
  <x:c r="C171" i="53"/>
  <x:c r="D171" i="53"/>
  <x:c r="E171" i="53"/>
  <x:c r="F171" i="53"/>
  <x:c r="G171" i="53"/>
  <x:c r="C172" i="53"/>
  <x:c r="D172" i="53"/>
  <x:c r="E172" i="53"/>
  <x:c r="F172" i="53"/>
  <x:c r="G172" i="53"/>
  <x:c r="C173" i="53"/>
  <x:c r="D173" i="53"/>
  <x:c r="E173" i="53"/>
  <x:c r="F173" i="53"/>
  <x:c r="G173" i="53"/>
  <x:c r="C174" i="53"/>
  <x:c r="D174" i="53"/>
  <x:c r="E174" i="53"/>
  <x:c r="F174" i="53"/>
  <x:c r="G174" i="53"/>
  <x:c r="C175" i="53"/>
  <x:c r="D175" i="53"/>
  <x:c r="E175" i="53"/>
  <x:c r="F175" i="53"/>
  <x:c r="G175" i="53"/>
  <x:c r="C176" i="53"/>
  <x:c r="D176" i="53"/>
  <x:c r="E176" i="53"/>
  <x:c r="F176" i="53"/>
  <x:c r="G176" i="53"/>
  <x:c r="C177" i="53"/>
  <x:c r="D177" i="53"/>
  <x:c r="E177" i="53"/>
  <x:c r="F177" i="53"/>
  <x:c r="G177" i="53"/>
  <x:c r="C178" i="53"/>
  <x:c r="D178" i="53"/>
  <x:c r="E178" i="53"/>
  <x:c r="F178" i="53"/>
  <x:c r="G178" i="53"/>
  <x:c r="C179" i="53"/>
  <x:c r="D179" i="53"/>
  <x:c r="E179" i="53"/>
  <x:c r="F179" i="53"/>
  <x:c r="G179" i="53"/>
  <x:c r="C180" i="53"/>
  <x:c r="D180" i="53"/>
  <x:c r="E180" i="53"/>
  <x:c r="F180" i="53"/>
  <x:c r="G180" i="53"/>
  <x:c r="C181" i="53"/>
  <x:c r="D181" i="53"/>
  <x:c r="E181" i="53"/>
  <x:c r="F181" i="53"/>
  <x:c r="G181" i="53"/>
  <x:c r="C182" i="53"/>
  <x:c r="D182" i="53"/>
  <x:c r="E182" i="53"/>
  <x:c r="F182" i="53"/>
  <x:c r="G182" i="53"/>
  <x:c r="C183" i="53"/>
  <x:c r="D183" i="53"/>
  <x:c r="E183" i="53"/>
  <x:c r="F183" i="53"/>
  <x:c r="G183" i="53"/>
  <x:c r="C184" i="53"/>
  <x:c r="D184" i="53"/>
  <x:c r="E184" i="53"/>
  <x:c r="F184" i="53"/>
  <x:c r="G184" i="53"/>
  <x:c r="C185" i="53"/>
  <x:c r="D185" i="53"/>
  <x:c r="E185" i="53"/>
  <x:c r="F185" i="53"/>
  <x:c r="G185" i="53"/>
  <x:c r="C186" i="53"/>
  <x:c r="D186" i="53"/>
  <x:c r="E186" i="53"/>
  <x:c r="F186" i="53"/>
  <x:c r="G186" i="53"/>
  <x:c r="C187" i="53"/>
  <x:c r="D187" i="53"/>
  <x:c r="E187" i="53"/>
  <x:c r="F187" i="53"/>
  <x:c r="G187" i="53"/>
  <x:c r="C188" i="53"/>
  <x:c r="D188" i="53"/>
  <x:c r="E188" i="53"/>
  <x:c r="F188" i="53"/>
  <x:c r="G188" i="53"/>
  <x:c r="C189" i="53"/>
  <x:c r="D189" i="53"/>
  <x:c r="E189" i="53"/>
  <x:c r="F189" i="53"/>
  <x:c r="G189" i="53"/>
  <x:c r="C190" i="53"/>
  <x:c r="D190" i="53"/>
  <x:c r="E190" i="53"/>
  <x:c r="F190" i="53"/>
  <x:c r="G190" i="53"/>
  <x:c r="C191" i="53"/>
  <x:c r="D191" i="53"/>
  <x:c r="E191" i="53"/>
  <x:c r="F191" i="53"/>
  <x:c r="G191" i="53"/>
  <x:c r="C192" i="53"/>
  <x:c r="D192" i="53"/>
  <x:c r="E192" i="53"/>
  <x:c r="F192" i="53"/>
  <x:c r="G192" i="53"/>
  <x:c r="C193" i="53"/>
  <x:c r="D193" i="53"/>
  <x:c r="E193" i="53"/>
  <x:c r="F193" i="53"/>
  <x:c r="G193" i="53"/>
  <x:c r="C194" i="53"/>
  <x:c r="D194" i="53"/>
  <x:c r="E194" i="53"/>
  <x:c r="F194" i="53"/>
  <x:c r="G194" i="53"/>
  <x:c r="C195" i="53"/>
  <x:c r="D195" i="53"/>
  <x:c r="E195" i="53"/>
  <x:c r="F195" i="53"/>
  <x:c r="G195" i="53"/>
  <x:c r="C196" i="53"/>
  <x:c r="D196" i="53"/>
  <x:c r="E196" i="53"/>
  <x:c r="F196" i="53"/>
  <x:c r="G196" i="53"/>
  <x:c r="C197" i="53"/>
  <x:c r="D197" i="53"/>
  <x:c r="E197" i="53"/>
  <x:c r="F197" i="53"/>
  <x:c r="G197" i="53"/>
  <x:c r="C198" i="53"/>
  <x:c r="D198" i="53"/>
  <x:c r="E198" i="53"/>
  <x:c r="F198" i="53"/>
  <x:c r="G198" i="53"/>
  <x:c r="C199" i="53"/>
  <x:c r="D199" i="53"/>
  <x:c r="E199" i="53"/>
  <x:c r="F199" i="53"/>
  <x:c r="G199" i="53"/>
  <x:c r="C200" i="53"/>
  <x:c r="D200" i="53"/>
  <x:c r="E200" i="53"/>
  <x:c r="F200" i="53"/>
  <x:c r="G200" i="53"/>
  <x:c r="C201" i="53"/>
  <x:c r="D201" i="53"/>
  <x:c r="E201" i="53"/>
  <x:c r="F201" i="53"/>
  <x:c r="G201" i="53"/>
  <x:c r="C202" i="53"/>
  <x:c r="D202" i="53"/>
  <x:c r="E202" i="53"/>
  <x:c r="F202" i="53"/>
  <x:c r="G202" i="53"/>
  <x:c r="C203" i="53"/>
  <x:c r="D203" i="53"/>
  <x:c r="E203" i="53"/>
  <x:c r="F203" i="53"/>
  <x:c r="G203" i="53"/>
  <x:c r="C204" i="53"/>
  <x:c r="D204" i="53"/>
  <x:c r="E204" i="53"/>
  <x:c r="F204" i="53"/>
  <x:c r="G204" i="53"/>
  <x:c r="C205" i="53"/>
  <x:c r="D205" i="53"/>
  <x:c r="E205" i="53"/>
  <x:c r="F205" i="53"/>
  <x:c r="G205" i="53"/>
  <x:c r="C206" i="53"/>
  <x:c r="D206" i="53"/>
  <x:c r="E206" i="53"/>
  <x:c r="F206" i="53"/>
  <x:c r="G206" i="53"/>
  <x:c r="C207" i="53"/>
  <x:c r="D207" i="53"/>
  <x:c r="E207" i="53"/>
  <x:c r="F207" i="53"/>
  <x:c r="G207" i="53"/>
  <x:c r="C208" i="53"/>
  <x:c r="D208" i="53"/>
  <x:c r="E208" i="53"/>
  <x:c r="F208" i="53"/>
  <x:c r="G208" i="53"/>
  <x:c r="C209" i="53"/>
  <x:c r="D209" i="53"/>
  <x:c r="E209" i="53"/>
  <x:c r="F209" i="53"/>
  <x:c r="G209" i="53"/>
  <x:c r="C210" i="53"/>
  <x:c r="D210" i="53"/>
  <x:c r="E210" i="53"/>
  <x:c r="F210" i="53"/>
  <x:c r="G210" i="53"/>
  <x:c r="C211" i="53"/>
  <x:c r="D211" i="53"/>
  <x:c r="E211" i="53"/>
  <x:c r="F211" i="53"/>
  <x:c r="G211" i="53"/>
  <x:c r="C212" i="53"/>
  <x:c r="D212" i="53"/>
  <x:c r="E212" i="53"/>
  <x:c r="F212" i="53"/>
  <x:c r="G212" i="53"/>
  <x:c r="C213" i="53"/>
  <x:c r="D213" i="53"/>
  <x:c r="E213" i="53"/>
  <x:c r="F213" i="53"/>
  <x:c r="G213" i="53"/>
  <x:c r="C214" i="53"/>
  <x:c r="D214" i="53"/>
  <x:c r="E214" i="53"/>
  <x:c r="F214" i="53"/>
  <x:c r="G214" i="53"/>
  <x:c r="C215" i="53"/>
  <x:c r="D215" i="53"/>
  <x:c r="E215" i="53"/>
  <x:c r="F215" i="53"/>
  <x:c r="G215" i="53"/>
  <x:c r="C216" i="53"/>
  <x:c r="D216" i="53"/>
  <x:c r="E216" i="53"/>
  <x:c r="F216" i="53"/>
  <x:c r="G216" i="53"/>
  <x:c r="C217" i="53"/>
  <x:c r="D217" i="53"/>
  <x:c r="E217" i="53"/>
  <x:c r="F217" i="53"/>
  <x:c r="G217" i="53"/>
  <x:c r="C218" i="53"/>
  <x:c r="D218" i="53"/>
  <x:c r="E218" i="53"/>
  <x:c r="F218" i="53"/>
  <x:c r="G218" i="53"/>
  <x:c r="C219" i="53"/>
  <x:c r="D219" i="53"/>
  <x:c r="E219" i="53"/>
  <x:c r="F219" i="53"/>
  <x:c r="G219" i="53"/>
  <x:c r="C220" i="53"/>
  <x:c r="D220" i="53"/>
  <x:c r="E220" i="53"/>
  <x:c r="F220" i="53"/>
  <x:c r="G220" i="53"/>
  <x:c r="C221" i="53"/>
  <x:c r="D221" i="53"/>
  <x:c r="E221" i="53"/>
  <x:c r="F221" i="53"/>
  <x:c r="G221" i="53"/>
  <x:c r="C222" i="53"/>
  <x:c r="D222" i="53"/>
  <x:c r="E222" i="53"/>
  <x:c r="F222" i="53"/>
  <x:c r="G222" i="53"/>
  <x:c r="C223" i="53"/>
  <x:c r="D223" i="53"/>
  <x:c r="E223" i="53"/>
  <x:c r="F223" i="53"/>
  <x:c r="G223" i="53"/>
  <x:c r="C224" i="53"/>
  <x:c r="D224" i="53"/>
  <x:c r="E224" i="53"/>
  <x:c r="F224" i="53"/>
  <x:c r="G224" i="53"/>
  <x:c r="C225" i="53"/>
  <x:c r="D225" i="53"/>
  <x:c r="E225" i="53"/>
  <x:c r="F225" i="53"/>
  <x:c r="G225" i="53"/>
  <x:c r="C226" i="53"/>
  <x:c r="D226" i="53"/>
  <x:c r="E226" i="53"/>
  <x:c r="F226" i="53"/>
  <x:c r="G226" i="53"/>
  <x:c r="C227" i="53"/>
  <x:c r="D227" i="53"/>
  <x:c r="E227" i="53"/>
  <x:c r="F227" i="53"/>
  <x:c r="G227" i="53"/>
  <x:c r="C228" i="53"/>
  <x:c r="D228" i="53"/>
  <x:c r="E228" i="53"/>
  <x:c r="F228" i="53"/>
  <x:c r="G228" i="53"/>
  <x:c r="C229" i="53"/>
  <x:c r="D229" i="53"/>
  <x:c r="E229" i="53"/>
  <x:c r="F229" i="53"/>
  <x:c r="G229" i="53"/>
  <x:c r="C230" i="53"/>
  <x:c r="D230" i="53"/>
  <x:c r="E230" i="53"/>
  <x:c r="F230" i="53"/>
  <x:c r="G230" i="53"/>
  <x:c r="C231" i="53"/>
  <x:c r="D231" i="53"/>
  <x:c r="E231" i="53"/>
  <x:c r="F231" i="53"/>
  <x:c r="G231" i="53"/>
  <x:c r="C232" i="53"/>
  <x:c r="D232" i="53"/>
  <x:c r="E232" i="53"/>
  <x:c r="F232" i="53"/>
  <x:c r="G232" i="53"/>
  <x:c r="C233" i="53"/>
  <x:c r="D233" i="53"/>
  <x:c r="E233" i="53"/>
  <x:c r="F233" i="53"/>
  <x:c r="G233" i="53"/>
  <x:c r="C234" i="53"/>
  <x:c r="D234" i="53"/>
  <x:c r="E234" i="53"/>
  <x:c r="F234" i="53"/>
  <x:c r="G234" i="53"/>
  <x:c r="C235" i="53"/>
  <x:c r="D235" i="53"/>
  <x:c r="E235" i="53"/>
  <x:c r="F235" i="53"/>
  <x:c r="G235" i="53"/>
  <x:c r="C236" i="53"/>
  <x:c r="D236" i="53"/>
  <x:c r="E236" i="53"/>
  <x:c r="F236" i="53"/>
  <x:c r="G236" i="53"/>
  <x:c r="C237" i="53"/>
  <x:c r="D237" i="53"/>
  <x:c r="E237" i="53"/>
  <x:c r="F237" i="53"/>
  <x:c r="G237" i="53"/>
  <x:c r="C238" i="53"/>
  <x:c r="D238" i="53"/>
  <x:c r="E238" i="53"/>
  <x:c r="F238" i="53"/>
  <x:c r="G238" i="53"/>
  <x:c r="C239" i="53"/>
  <x:c r="D239" i="53"/>
  <x:c r="E239" i="53"/>
  <x:c r="F239" i="53"/>
  <x:c r="G239" i="53"/>
  <x:c r="C240" i="53"/>
  <x:c r="D240" i="53"/>
  <x:c r="E240" i="53"/>
  <x:c r="F240" i="53"/>
  <x:c r="G240" i="53"/>
  <x:c r="C241" i="53"/>
  <x:c r="D241" i="53"/>
  <x:c r="E241" i="53"/>
  <x:c r="F241" i="53"/>
  <x:c r="G241" i="53"/>
  <x:c r="C242" i="53"/>
  <x:c r="D242" i="53"/>
  <x:c r="E242" i="53"/>
  <x:c r="F242" i="53"/>
  <x:c r="G242" i="53"/>
  <x:c r="C243" i="53"/>
  <x:c r="D243" i="53"/>
  <x:c r="E243" i="53"/>
  <x:c r="F243" i="53"/>
  <x:c r="G243" i="53"/>
  <x:c r="C244" i="53"/>
  <x:c r="D244" i="53"/>
  <x:c r="E244" i="53"/>
  <x:c r="F244" i="53"/>
  <x:c r="G244" i="53"/>
  <x:c r="C245" i="53"/>
  <x:c r="D245" i="53"/>
  <x:c r="E245" i="53"/>
  <x:c r="F245" i="53"/>
  <x:c r="G245" i="53"/>
  <x:c r="C246" i="53"/>
  <x:c r="D246" i="53"/>
  <x:c r="E246" i="53"/>
  <x:c r="F246" i="53"/>
  <x:c r="G246" i="53"/>
  <x:c r="C247" i="53"/>
  <x:c r="D247" i="53"/>
  <x:c r="E247" i="53"/>
  <x:c r="F247" i="53"/>
  <x:c r="G247" i="53"/>
  <x:c r="C248" i="53"/>
  <x:c r="D248" i="53"/>
  <x:c r="E248" i="53"/>
  <x:c r="F248" i="53"/>
  <x:c r="G248" i="53"/>
  <x:c r="C249" i="53"/>
  <x:c r="D249" i="53"/>
  <x:c r="E249" i="53"/>
  <x:c r="F249" i="53"/>
  <x:c r="G249" i="53"/>
  <x:c r="C250" i="53"/>
  <x:c r="D250" i="53"/>
  <x:c r="E250" i="53"/>
  <x:c r="F250" i="53"/>
  <x:c r="G250" i="53"/>
  <x:c r="C251" i="53"/>
  <x:c r="D251" i="53"/>
  <x:c r="E251" i="53"/>
  <x:c r="F251" i="53"/>
  <x:c r="G251" i="53"/>
  <x:c r="C252" i="53"/>
  <x:c r="D252" i="53"/>
  <x:c r="E252" i="53"/>
  <x:c r="F252" i="53"/>
  <x:c r="G252" i="53"/>
  <x:c r="C253" i="53"/>
  <x:c r="D253" i="53"/>
  <x:c r="E253" i="53"/>
  <x:c r="F253" i="53"/>
  <x:c r="G253" i="53"/>
  <x:c r="C254" i="53"/>
  <x:c r="D254" i="53"/>
  <x:c r="E254" i="53"/>
  <x:c r="F254" i="53"/>
  <x:c r="G254" i="53"/>
  <x:c r="C255" i="53"/>
  <x:c r="D255" i="53"/>
  <x:c r="E255" i="53"/>
  <x:c r="F255" i="53"/>
  <x:c r="G255" i="53"/>
  <x:c r="C256" i="53"/>
  <x:c r="D256" i="53"/>
  <x:c r="E256" i="53"/>
  <x:c r="F256" i="53"/>
  <x:c r="G256" i="53"/>
  <x:c r="C257" i="53"/>
  <x:c r="D257" i="53"/>
  <x:c r="E257" i="53"/>
  <x:c r="F257" i="53"/>
  <x:c r="G257" i="53"/>
  <x:c r="C258" i="53"/>
  <x:c r="D258" i="53"/>
  <x:c r="E258" i="53"/>
  <x:c r="F258" i="53"/>
  <x:c r="G258" i="53"/>
  <x:c r="C259" i="53"/>
  <x:c r="D259" i="53"/>
  <x:c r="E259" i="53"/>
  <x:c r="F259" i="53"/>
  <x:c r="G259" i="53"/>
  <x:c r="C260" i="53"/>
  <x:c r="D260" i="53"/>
  <x:c r="E260" i="53"/>
  <x:c r="F260" i="53"/>
  <x:c r="G260" i="53"/>
  <x:c r="C261" i="53"/>
  <x:c r="D261" i="53"/>
  <x:c r="E261" i="53"/>
  <x:c r="F261" i="53"/>
  <x:c r="G261" i="53"/>
  <x:c r="C262" i="53"/>
  <x:c r="D262" i="53"/>
  <x:c r="E262" i="53"/>
  <x:c r="F262" i="53"/>
  <x:c r="G262" i="53"/>
  <x:c r="C263" i="53"/>
  <x:c r="D263" i="53"/>
  <x:c r="E263" i="53"/>
  <x:c r="F263" i="53"/>
  <x:c r="G263" i="53"/>
  <x:c r="C264" i="53"/>
  <x:c r="D264" i="53"/>
  <x:c r="E264" i="53"/>
  <x:c r="F264" i="53"/>
  <x:c r="G264" i="53"/>
  <x:c r="C265" i="53"/>
  <x:c r="D265" i="53"/>
  <x:c r="E265" i="53"/>
  <x:c r="F265" i="53"/>
  <x:c r="G265" i="53"/>
  <x:c r="C266" i="53"/>
  <x:c r="D266" i="53"/>
  <x:c r="E266" i="53"/>
  <x:c r="F266" i="53"/>
  <x:c r="G266" i="53"/>
  <x:c r="C267" i="53"/>
  <x:c r="D267" i="53"/>
  <x:c r="E267" i="53"/>
  <x:c r="F267" i="53"/>
  <x:c r="G267" i="53"/>
  <x:c r="C268" i="53"/>
  <x:c r="D268" i="53"/>
  <x:c r="E268" i="53"/>
  <x:c r="F268" i="53"/>
  <x:c r="G268" i="53"/>
  <x:c r="C269" i="53"/>
  <x:c r="D269" i="53"/>
  <x:c r="E269" i="53"/>
  <x:c r="F269" i="53"/>
  <x:c r="G269" i="53"/>
  <x:c r="C270" i="53"/>
  <x:c r="D270" i="53"/>
  <x:c r="E270" i="53"/>
  <x:c r="F270" i="53"/>
  <x:c r="G270" i="53"/>
  <x:c r="C271" i="53"/>
  <x:c r="D271" i="53"/>
  <x:c r="E271" i="53"/>
  <x:c r="F271" i="53"/>
  <x:c r="G271" i="53"/>
  <x:c r="C272" i="53"/>
  <x:c r="D272" i="53"/>
  <x:c r="E272" i="53"/>
  <x:c r="F272" i="53"/>
  <x:c r="G272" i="53"/>
  <x:c r="C273" i="53"/>
  <x:c r="D273" i="53"/>
  <x:c r="E273" i="53"/>
  <x:c r="F273" i="53"/>
  <x:c r="G273" i="53"/>
  <x:c r="C274" i="53"/>
  <x:c r="D274" i="53"/>
  <x:c r="E274" i="53"/>
  <x:c r="F274" i="53"/>
  <x:c r="G274" i="53"/>
  <x:c r="C275" i="53"/>
  <x:c r="D275" i="53"/>
  <x:c r="E275" i="53"/>
  <x:c r="F275" i="53"/>
  <x:c r="G275" i="53"/>
  <x:c r="C276" i="53"/>
  <x:c r="D276" i="53"/>
  <x:c r="E276" i="53"/>
  <x:c r="F276" i="53"/>
  <x:c r="G276" i="53"/>
  <x:c r="C277" i="53"/>
  <x:c r="D277" i="53"/>
  <x:c r="E277" i="53"/>
  <x:c r="F277" i="53"/>
  <x:c r="G277" i="53"/>
  <x:c r="C278" i="53"/>
  <x:c r="D278" i="53"/>
  <x:c r="E278" i="53"/>
  <x:c r="F278" i="53"/>
  <x:c r="G278" i="53"/>
  <x:c r="C279" i="53"/>
  <x:c r="D279" i="53"/>
  <x:c r="E279" i="53"/>
  <x:c r="F279" i="53"/>
  <x:c r="G279" i="53"/>
  <x:c r="C280" i="53"/>
  <x:c r="D280" i="53"/>
  <x:c r="E280" i="53"/>
  <x:c r="F280" i="53"/>
  <x:c r="G280" i="53"/>
  <x:c r="C281" i="53"/>
  <x:c r="D281" i="53"/>
  <x:c r="E281" i="53"/>
  <x:c r="F281" i="53"/>
  <x:c r="G281" i="53"/>
  <x:c r="C282" i="53"/>
  <x:c r="D282" i="53"/>
  <x:c r="E282" i="53"/>
  <x:c r="F282" i="53"/>
  <x:c r="G282" i="53"/>
  <x:c r="C283" i="53"/>
  <x:c r="D283" i="53"/>
  <x:c r="E283" i="53"/>
  <x:c r="F283" i="53"/>
  <x:c r="G283" i="53"/>
  <x:c r="C284" i="53"/>
  <x:c r="D284" i="53"/>
  <x:c r="E284" i="53"/>
  <x:c r="F284" i="53"/>
  <x:c r="G284" i="53"/>
  <x:c r="C285" i="53"/>
  <x:c r="D285" i="53"/>
  <x:c r="E285" i="53"/>
  <x:c r="F285" i="53"/>
  <x:c r="G285" i="53"/>
  <x:c r="C286" i="53"/>
  <x:c r="D286" i="53"/>
  <x:c r="E286" i="53"/>
  <x:c r="F286" i="53"/>
  <x:c r="G286" i="53"/>
  <x:c r="C287" i="53"/>
  <x:c r="D287" i="53"/>
  <x:c r="E287" i="53"/>
  <x:c r="F287" i="53"/>
  <x:c r="G287" i="53"/>
  <x:c r="C288" i="53"/>
  <x:c r="D288" i="53"/>
  <x:c r="E288" i="53"/>
  <x:c r="F288" i="53"/>
  <x:c r="G288" i="53"/>
  <x:c r="C289" i="53"/>
  <x:c r="D289" i="53"/>
  <x:c r="E289" i="53"/>
  <x:c r="F289" i="53"/>
  <x:c r="G289" i="53"/>
  <x:c r="C290" i="53"/>
  <x:c r="D290" i="53"/>
  <x:c r="E290" i="53"/>
  <x:c r="F290" i="53"/>
  <x:c r="G290" i="53"/>
  <x:c r="C291" i="53"/>
  <x:c r="D291" i="53"/>
  <x:c r="E291" i="53"/>
  <x:c r="F291" i="53"/>
  <x:c r="G291" i="53"/>
  <x:c r="C292" i="53"/>
  <x:c r="D292" i="53"/>
  <x:c r="E292" i="53"/>
  <x:c r="F292" i="53"/>
  <x:c r="G292" i="53"/>
  <x:c r="C293" i="53"/>
  <x:c r="D293" i="53"/>
  <x:c r="E293" i="53"/>
  <x:c r="F293" i="53"/>
  <x:c r="G293" i="53"/>
  <x:c r="C294" i="53"/>
  <x:c r="D294" i="53"/>
  <x:c r="E294" i="53"/>
  <x:c r="F294" i="53"/>
  <x:c r="G294" i="53"/>
  <x:c r="C295" i="53"/>
  <x:c r="D295" i="53"/>
  <x:c r="E295" i="53"/>
  <x:c r="F295" i="53"/>
  <x:c r="G295" i="53"/>
  <x:c r="C296" i="53"/>
  <x:c r="D296" i="53"/>
  <x:c r="E296" i="53"/>
  <x:c r="F296" i="53"/>
  <x:c r="G296" i="53"/>
  <x:c r="C297" i="53"/>
  <x:c r="D297" i="53"/>
  <x:c r="E297" i="53"/>
  <x:c r="F297" i="53"/>
  <x:c r="G297" i="53"/>
  <x:c r="C298" i="53"/>
  <x:c r="D298" i="53"/>
  <x:c r="E298" i="53"/>
  <x:c r="F298" i="53"/>
  <x:c r="G298" i="53"/>
  <x:c r="C299" i="53"/>
  <x:c r="D299" i="53"/>
  <x:c r="E299" i="53"/>
  <x:c r="F299" i="53"/>
  <x:c r="G299" i="53"/>
  <x:c r="C300" i="53"/>
  <x:c r="D300" i="53"/>
  <x:c r="E300" i="53"/>
  <x:c r="F300" i="53"/>
  <x:c r="G300" i="53"/>
  <x:c r="C301" i="53"/>
  <x:c r="D301" i="53"/>
  <x:c r="E301" i="53"/>
  <x:c r="F301" i="53"/>
  <x:c r="G301" i="53"/>
  <x:c r="C302" i="53"/>
  <x:c r="D302" i="53"/>
  <x:c r="E302" i="53"/>
  <x:c r="F302" i="53"/>
  <x:c r="G302" i="53"/>
  <x:c r="C303" i="53"/>
  <x:c r="D303" i="53"/>
  <x:c r="E303" i="53"/>
  <x:c r="F303" i="53"/>
  <x:c r="G303" i="53"/>
  <x:c r="C304" i="53"/>
  <x:c r="D304" i="53"/>
  <x:c r="E304" i="53"/>
  <x:c r="F304" i="53"/>
  <x:c r="G304" i="53"/>
  <x:c r="C305" i="53"/>
  <x:c r="D305" i="53"/>
  <x:c r="E305" i="53"/>
  <x:c r="F305" i="53"/>
  <x:c r="G305" i="53"/>
  <x:c r="C306" i="53"/>
  <x:c r="D306" i="53"/>
  <x:c r="E306" i="53"/>
  <x:c r="F306" i="53"/>
  <x:c r="G306" i="53"/>
  <x:c r="C307" i="53"/>
  <x:c r="D307" i="53"/>
  <x:c r="E307" i="53"/>
  <x:c r="F307" i="53"/>
  <x:c r="G307" i="53"/>
  <x:c r="C308" i="53"/>
  <x:c r="D308" i="53"/>
  <x:c r="E308" i="53"/>
  <x:c r="F308" i="53"/>
  <x:c r="G308" i="53"/>
  <x:c r="C309" i="53"/>
  <x:c r="D309" i="53"/>
  <x:c r="E309" i="53"/>
  <x:c r="F309" i="53"/>
  <x:c r="G309" i="53"/>
  <x:c r="C310" i="53"/>
  <x:c r="D310" i="53"/>
  <x:c r="E310" i="53"/>
  <x:c r="F310" i="53"/>
  <x:c r="G310" i="53"/>
  <x:c r="C311" i="53"/>
  <x:c r="D311" i="53"/>
  <x:c r="E311" i="53"/>
  <x:c r="F311" i="53"/>
  <x:c r="G311" i="53"/>
  <x:c r="C312" i="53"/>
  <x:c r="D312" i="53"/>
  <x:c r="E312" i="53"/>
  <x:c r="F312" i="53"/>
  <x:c r="G312" i="53"/>
  <x:c r="C313" i="53"/>
  <x:c r="D313" i="53"/>
  <x:c r="E313" i="53"/>
  <x:c r="F313" i="53"/>
  <x:c r="G313" i="53"/>
  <x:c r="C314" i="53"/>
  <x:c r="D314" i="53"/>
  <x:c r="E314" i="53"/>
  <x:c r="F314" i="53"/>
  <x:c r="G314" i="53"/>
  <x:c r="C315" i="53"/>
  <x:c r="D315" i="53"/>
  <x:c r="E315" i="53"/>
  <x:c r="F315" i="53"/>
  <x:c r="G315" i="53"/>
  <x:c r="C316" i="53"/>
  <x:c r="D316" i="53"/>
  <x:c r="E316" i="53"/>
  <x:c r="F316" i="53"/>
  <x:c r="G316" i="53"/>
  <x:c r="C317" i="53"/>
  <x:c r="D317" i="53"/>
  <x:c r="E317" i="53"/>
  <x:c r="F317" i="53"/>
  <x:c r="G317" i="53"/>
  <x:c r="C318" i="53"/>
  <x:c r="D318" i="53"/>
  <x:c r="E318" i="53"/>
  <x:c r="F318" i="53"/>
  <x:c r="G318" i="53"/>
  <x:c r="C319" i="53"/>
  <x:c r="D319" i="53"/>
  <x:c r="E319" i="53"/>
  <x:c r="F319" i="53"/>
  <x:c r="G319" i="53"/>
  <x:c r="C320" i="53"/>
  <x:c r="D320" i="53"/>
  <x:c r="E320" i="53"/>
  <x:c r="F320" i="53"/>
  <x:c r="G320" i="53"/>
  <x:c r="C321" i="53"/>
  <x:c r="D321" i="53"/>
  <x:c r="E321" i="53"/>
  <x:c r="F321" i="53"/>
  <x:c r="G321" i="53"/>
  <x:c r="C322" i="53"/>
  <x:c r="D322" i="53"/>
  <x:c r="E322" i="53"/>
  <x:c r="F322" i="53"/>
  <x:c r="G322" i="53"/>
  <x:c r="C323" i="53"/>
  <x:c r="D323" i="53"/>
  <x:c r="E323" i="53"/>
  <x:c r="F323" i="53"/>
  <x:c r="G323" i="53"/>
  <x:c r="C324" i="53"/>
  <x:c r="D324" i="53"/>
  <x:c r="E324" i="53"/>
  <x:c r="F324" i="53"/>
  <x:c r="G324" i="53"/>
  <x:c r="C325" i="53"/>
  <x:c r="D325" i="53"/>
  <x:c r="E325" i="53"/>
  <x:c r="F325" i="53"/>
  <x:c r="G325" i="53"/>
  <x:c r="C326" i="53"/>
  <x:c r="D326" i="53"/>
  <x:c r="E326" i="53"/>
  <x:c r="F326" i="53"/>
  <x:c r="G326" i="53"/>
  <x:c r="C327" i="53"/>
  <x:c r="D327" i="53"/>
  <x:c r="E327" i="53"/>
  <x:c r="F327" i="53"/>
  <x:c r="G327" i="53"/>
  <x:c r="C328" i="53"/>
  <x:c r="D328" i="53"/>
  <x:c r="E328" i="53"/>
  <x:c r="F328" i="53"/>
  <x:c r="G328" i="53"/>
  <x:c r="C329" i="53"/>
  <x:c r="D329" i="53"/>
  <x:c r="E329" i="53"/>
  <x:c r="F329" i="53"/>
  <x:c r="G329" i="53"/>
  <x:c r="C330" i="53"/>
  <x:c r="D330" i="53"/>
  <x:c r="E330" i="53"/>
  <x:c r="F330" i="53"/>
  <x:c r="G330" i="53"/>
  <x:c r="C331" i="53"/>
  <x:c r="D331" i="53"/>
  <x:c r="E331" i="53"/>
  <x:c r="F331" i="53"/>
  <x:c r="G331" i="53"/>
  <x:c r="C332" i="53"/>
  <x:c r="D332" i="53"/>
  <x:c r="E332" i="53"/>
  <x:c r="F332" i="53"/>
  <x:c r="G332" i="53"/>
  <x:c r="C333" i="53"/>
  <x:c r="D333" i="53"/>
  <x:c r="E333" i="53"/>
  <x:c r="F333" i="53"/>
  <x:c r="G333" i="53"/>
  <x:c r="C334" i="53"/>
  <x:c r="D334" i="53"/>
  <x:c r="E334" i="53"/>
  <x:c r="F334" i="53"/>
  <x:c r="G334" i="53"/>
  <x:c r="C335" i="53"/>
  <x:c r="D335" i="53"/>
  <x:c r="E335" i="53"/>
  <x:c r="F335" i="53"/>
  <x:c r="G335" i="53"/>
  <x:c r="C336" i="53"/>
  <x:c r="D336" i="53"/>
  <x:c r="E336" i="53"/>
  <x:c r="F336" i="53"/>
  <x:c r="G336" i="53"/>
  <x:c r="C337" i="53"/>
  <x:c r="D337" i="53"/>
  <x:c r="E337" i="53"/>
  <x:c r="F337" i="53"/>
  <x:c r="G337" i="53"/>
  <x:c r="C338" i="53"/>
  <x:c r="D338" i="53"/>
  <x:c r="E338" i="53"/>
  <x:c r="F338" i="53"/>
  <x:c r="G338" i="53"/>
  <x:c r="C339" i="53"/>
  <x:c r="D339" i="53"/>
  <x:c r="E339" i="53"/>
  <x:c r="F339" i="53"/>
  <x:c r="G339" i="53"/>
  <x:c r="C340" i="53"/>
  <x:c r="D340" i="53"/>
  <x:c r="E340" i="53"/>
  <x:c r="F340" i="53"/>
  <x:c r="G340" i="53"/>
  <x:c r="C341" i="53"/>
  <x:c r="D341" i="53"/>
  <x:c r="E341" i="53"/>
  <x:c r="F341" i="53"/>
  <x:c r="G341" i="53"/>
  <x:c r="C342" i="53"/>
  <x:c r="D342" i="53"/>
  <x:c r="E342" i="53"/>
  <x:c r="F342" i="53"/>
  <x:c r="G342" i="53"/>
  <x:c r="C343" i="53"/>
  <x:c r="D343" i="53"/>
  <x:c r="E343" i="53"/>
  <x:c r="F343" i="53"/>
  <x:c r="G343" i="53"/>
  <x:c r="C344" i="53"/>
  <x:c r="D344" i="53"/>
  <x:c r="E344" i="53"/>
  <x:c r="F344" i="53"/>
  <x:c r="G344" i="53"/>
  <x:c r="C345" i="53"/>
  <x:c r="D345" i="53"/>
  <x:c r="E345" i="53"/>
  <x:c r="F345" i="53"/>
  <x:c r="G345" i="53"/>
  <x:c r="C346" i="53"/>
  <x:c r="D346" i="53"/>
  <x:c r="E346" i="53"/>
  <x:c r="F346" i="53"/>
  <x:c r="G346" i="53"/>
  <x:c r="C347" i="53"/>
  <x:c r="D347" i="53"/>
  <x:c r="E347" i="53"/>
  <x:c r="F347" i="53"/>
  <x:c r="G347" i="53"/>
  <x:c r="C348" i="53"/>
  <x:c r="D348" i="53"/>
  <x:c r="E348" i="53"/>
  <x:c r="F348" i="53"/>
  <x:c r="G348" i="53"/>
  <x:c r="C349" i="53"/>
  <x:c r="D349" i="53"/>
  <x:c r="E349" i="53"/>
  <x:c r="F349" i="53"/>
  <x:c r="G349" i="53"/>
  <x:c r="C350" i="53"/>
  <x:c r="D350" i="53"/>
  <x:c r="E350" i="53"/>
  <x:c r="F350" i="53"/>
  <x:c r="G350" i="53"/>
  <x:c r="C351" i="53"/>
  <x:c r="D351" i="53"/>
  <x:c r="E351" i="53"/>
  <x:c r="F351" i="53"/>
  <x:c r="G351" i="53"/>
  <x:c r="C352" i="53"/>
  <x:c r="D352" i="53"/>
  <x:c r="E352" i="53"/>
  <x:c r="F352" i="53"/>
  <x:c r="G352" i="53"/>
  <x:c r="C353" i="53"/>
  <x:c r="D353" i="53"/>
  <x:c r="E353" i="53"/>
  <x:c r="F353" i="53"/>
  <x:c r="G353" i="53"/>
  <x:c r="C354" i="53"/>
  <x:c r="D354" i="53"/>
  <x:c r="E354" i="53"/>
  <x:c r="F354" i="53"/>
  <x:c r="G354" i="53"/>
  <x:c r="C355" i="53"/>
  <x:c r="D355" i="53"/>
  <x:c r="E355" i="53"/>
  <x:c r="F355" i="53"/>
  <x:c r="G355" i="53"/>
  <x:c r="C356" i="53"/>
  <x:c r="D356" i="53"/>
  <x:c r="E356" i="53"/>
  <x:c r="F356" i="53"/>
  <x:c r="G356" i="53"/>
  <x:c r="C357" i="53"/>
  <x:c r="D357" i="53"/>
  <x:c r="E357" i="53"/>
  <x:c r="F357" i="53"/>
  <x:c r="G357" i="53"/>
  <x:c r="C358" i="53"/>
  <x:c r="D358" i="53"/>
  <x:c r="E358" i="53"/>
  <x:c r="F358" i="53"/>
  <x:c r="G358" i="53"/>
  <x:c r="C359" i="53"/>
  <x:c r="D359" i="53"/>
  <x:c r="E359" i="53"/>
  <x:c r="F359" i="53"/>
  <x:c r="G359" i="53"/>
  <x:c r="C360" i="53"/>
  <x:c r="D360" i="53"/>
  <x:c r="E360" i="53"/>
  <x:c r="F360" i="53"/>
  <x:c r="G360" i="53"/>
  <x:c r="C361" i="53"/>
  <x:c r="D361" i="53"/>
  <x:c r="E361" i="53"/>
  <x:c r="F361" i="53"/>
  <x:c r="G361" i="53"/>
  <x:c r="C362" i="53"/>
  <x:c r="D362" i="53"/>
  <x:c r="E362" i="53"/>
  <x:c r="F362" i="53"/>
  <x:c r="G362" i="53"/>
  <x:c r="C363" i="53"/>
  <x:c r="D363" i="53"/>
  <x:c r="E363" i="53"/>
  <x:c r="F363" i="53"/>
  <x:c r="G363" i="53"/>
  <x:c r="C364" i="53"/>
  <x:c r="D364" i="53"/>
  <x:c r="E364" i="53"/>
  <x:c r="F364" i="53"/>
  <x:c r="G364" i="53"/>
  <x:c r="C365" i="53"/>
  <x:c r="D365" i="53"/>
  <x:c r="E365" i="53"/>
  <x:c r="F365" i="53"/>
  <x:c r="G365" i="53"/>
  <x:c r="C366" i="53"/>
  <x:c r="D366" i="53"/>
  <x:c r="E366" i="53"/>
  <x:c r="F366" i="53"/>
  <x:c r="G366" i="53"/>
  <x:c r="C367" i="53"/>
  <x:c r="D367" i="53"/>
  <x:c r="E367" i="53"/>
  <x:c r="F367" i="53"/>
  <x:c r="G367" i="53"/>
  <x:c r="C368" i="53"/>
  <x:c r="D368" i="53"/>
  <x:c r="E368" i="53"/>
  <x:c r="F368" i="53"/>
  <x:c r="G368" i="53"/>
  <x:c r="C369" i="53"/>
  <x:c r="D369" i="53"/>
  <x:c r="E369" i="53"/>
  <x:c r="F369" i="53"/>
  <x:c r="G369" i="53"/>
  <x:c r="C370" i="53"/>
  <x:c r="D370" i="53"/>
  <x:c r="E370" i="53"/>
  <x:c r="F370" i="53"/>
  <x:c r="G370" i="53"/>
  <x:c r="C371" i="53"/>
  <x:c r="D371" i="53"/>
  <x:c r="E371" i="53"/>
  <x:c r="F371" i="53"/>
  <x:c r="G371" i="53"/>
  <x:c r="C372" i="53"/>
  <x:c r="D372" i="53"/>
  <x:c r="E372" i="53"/>
  <x:c r="F372" i="53"/>
  <x:c r="G372" i="53"/>
  <x:c r="C373" i="53"/>
  <x:c r="D373" i="53"/>
  <x:c r="E373" i="53"/>
  <x:c r="F373" i="53"/>
  <x:c r="G373" i="53"/>
  <x:c r="C374" i="53"/>
  <x:c r="D374" i="53"/>
  <x:c r="E374" i="53"/>
  <x:c r="F374" i="53"/>
  <x:c r="G374" i="53"/>
  <x:c r="C375" i="53"/>
  <x:c r="D375" i="53"/>
  <x:c r="E375" i="53"/>
  <x:c r="F375" i="53"/>
  <x:c r="G375" i="53"/>
  <x:c r="C376" i="53"/>
  <x:c r="D376" i="53"/>
  <x:c r="E376" i="53"/>
  <x:c r="F376" i="53"/>
  <x:c r="G376" i="53"/>
  <x:c r="C377" i="53"/>
  <x:c r="D377" i="53"/>
  <x:c r="E377" i="53"/>
  <x:c r="F377" i="53"/>
  <x:c r="G377" i="53"/>
  <x:c r="C378" i="53"/>
  <x:c r="D378" i="53"/>
  <x:c r="E378" i="53"/>
  <x:c r="F378" i="53"/>
  <x:c r="G378" i="53"/>
  <x:c r="C379" i="53"/>
  <x:c r="D379" i="53"/>
  <x:c r="E379" i="53"/>
  <x:c r="F379" i="53"/>
  <x:c r="G379" i="53"/>
  <x:c r="C380" i="53"/>
  <x:c r="D380" i="53"/>
  <x:c r="E380" i="53"/>
  <x:c r="F380" i="53"/>
  <x:c r="G380" i="53"/>
  <x:c r="C381" i="53"/>
  <x:c r="D381" i="53"/>
  <x:c r="E381" i="53"/>
  <x:c r="F381" i="53"/>
  <x:c r="G381" i="53"/>
  <x:c r="C382" i="53"/>
  <x:c r="D382" i="53"/>
  <x:c r="E382" i="53"/>
  <x:c r="F382" i="53"/>
  <x:c r="G382" i="53"/>
  <x:c r="C383" i="53"/>
  <x:c r="D383" i="53"/>
  <x:c r="E383" i="53"/>
  <x:c r="F383" i="53"/>
  <x:c r="G383" i="53"/>
  <x:c r="C384" i="53"/>
  <x:c r="D384" i="53"/>
  <x:c r="E384" i="53"/>
  <x:c r="F384" i="53"/>
  <x:c r="G384" i="53"/>
  <x:c r="C385" i="53"/>
  <x:c r="D385" i="53"/>
  <x:c r="E385" i="53"/>
  <x:c r="F385" i="53"/>
  <x:c r="G385" i="53"/>
  <x:c r="C386" i="53"/>
  <x:c r="D386" i="53"/>
  <x:c r="E386" i="53"/>
  <x:c r="F386" i="53"/>
  <x:c r="G386" i="53"/>
  <x:c r="C387" i="53"/>
  <x:c r="D387" i="53"/>
  <x:c r="E387" i="53"/>
  <x:c r="F387" i="53"/>
  <x:c r="G387" i="53"/>
  <x:c r="C388" i="53"/>
  <x:c r="D388" i="53"/>
  <x:c r="E388" i="53"/>
  <x:c r="F388" i="53"/>
  <x:c r="G388" i="53"/>
  <x:c r="C389" i="53"/>
  <x:c r="D389" i="53"/>
  <x:c r="E389" i="53"/>
  <x:c r="F389" i="53"/>
  <x:c r="G389" i="53"/>
  <x:c r="C390" i="53"/>
  <x:c r="D390" i="53"/>
  <x:c r="E390" i="53"/>
  <x:c r="F390" i="53"/>
  <x:c r="G390" i="53"/>
  <x:c r="C391" i="53"/>
  <x:c r="D391" i="53"/>
  <x:c r="E391" i="53"/>
  <x:c r="F391" i="53"/>
  <x:c r="G391" i="53"/>
  <x:c r="C392" i="53"/>
  <x:c r="D392" i="53"/>
  <x:c r="E392" i="53"/>
  <x:c r="F392" i="53"/>
  <x:c r="G392" i="53"/>
  <x:c r="C393" i="53"/>
  <x:c r="D393" i="53"/>
  <x:c r="E393" i="53"/>
  <x:c r="F393" i="53"/>
  <x:c r="G393" i="53"/>
  <x:c r="C394" i="53"/>
  <x:c r="D394" i="53"/>
  <x:c r="E394" i="53"/>
  <x:c r="F394" i="53"/>
  <x:c r="G394" i="53"/>
  <x:c r="C395" i="53"/>
  <x:c r="D395" i="53"/>
  <x:c r="E395" i="53"/>
  <x:c r="F395" i="53"/>
  <x:c r="G395" i="53"/>
  <x:c r="C396" i="53"/>
  <x:c r="D396" i="53"/>
  <x:c r="E396" i="53"/>
  <x:c r="F396" i="53"/>
  <x:c r="G396" i="53"/>
  <x:c r="C397" i="53"/>
  <x:c r="D397" i="53"/>
  <x:c r="E397" i="53"/>
  <x:c r="F397" i="53"/>
  <x:c r="G397" i="53"/>
  <x:c r="C398" i="53"/>
  <x:c r="D398" i="53"/>
  <x:c r="E398" i="53"/>
  <x:c r="F398" i="53"/>
  <x:c r="G398" i="53"/>
  <x:c r="C399" i="53"/>
  <x:c r="D399" i="53"/>
  <x:c r="E399" i="53"/>
  <x:c r="F399" i="53"/>
  <x:c r="G399" i="53"/>
  <x:c r="C400" i="53"/>
  <x:c r="D400" i="53"/>
  <x:c r="E400" i="53"/>
  <x:c r="F400" i="53"/>
  <x:c r="G400" i="53"/>
  <x:c r="C401" i="53"/>
  <x:c r="D401" i="53"/>
  <x:c r="E401" i="53"/>
  <x:c r="F401" i="53"/>
  <x:c r="G401" i="53"/>
  <x:c r="C402" i="53"/>
  <x:c r="D402" i="53"/>
  <x:c r="E402" i="53"/>
  <x:c r="F402" i="53"/>
  <x:c r="G402" i="53"/>
  <x:c r="C403" i="53"/>
  <x:c r="D403" i="53"/>
  <x:c r="E403" i="53"/>
  <x:c r="F403" i="53"/>
  <x:c r="G403" i="53"/>
  <x:c r="C404" i="53"/>
  <x:c r="D404" i="53"/>
  <x:c r="E404" i="53"/>
  <x:c r="F404" i="53"/>
  <x:c r="G404" i="53"/>
  <x:c r="C405" i="53"/>
  <x:c r="D405" i="53"/>
  <x:c r="E405" i="53"/>
  <x:c r="F405" i="53"/>
  <x:c r="G405" i="53"/>
  <x:c r="C406" i="53"/>
  <x:c r="D406" i="53"/>
  <x:c r="E406" i="53"/>
  <x:c r="F406" i="53"/>
  <x:c r="G406" i="53"/>
  <x:c r="C407" i="53"/>
  <x:c r="D407" i="53"/>
  <x:c r="E407" i="53"/>
  <x:c r="F407" i="53"/>
  <x:c r="G407" i="53"/>
  <x:c r="C408" i="53"/>
  <x:c r="D408" i="53"/>
  <x:c r="E408" i="53"/>
  <x:c r="F408" i="53"/>
  <x:c r="G408" i="53"/>
  <x:c r="C409" i="53"/>
  <x:c r="D409" i="53"/>
  <x:c r="E409" i="53"/>
  <x:c r="F409" i="53"/>
  <x:c r="G409" i="53"/>
  <x:c r="C410" i="53"/>
  <x:c r="D410" i="53"/>
  <x:c r="E410" i="53"/>
  <x:c r="F410" i="53"/>
  <x:c r="G410" i="53"/>
  <x:c r="C411" i="53"/>
  <x:c r="D411" i="53"/>
  <x:c r="E411" i="53"/>
  <x:c r="F411" i="53"/>
  <x:c r="G411" i="53"/>
  <x:c r="C412" i="53"/>
  <x:c r="D412" i="53"/>
  <x:c r="E412" i="53"/>
  <x:c r="F412" i="53"/>
  <x:c r="G412" i="53"/>
  <x:c r="C413" i="53"/>
  <x:c r="D413" i="53"/>
  <x:c r="E413" i="53"/>
  <x:c r="F413" i="53"/>
  <x:c r="G413" i="53"/>
  <x:c r="C414" i="53"/>
  <x:c r="D414" i="53"/>
  <x:c r="E414" i="53"/>
  <x:c r="F414" i="53"/>
  <x:c r="G414" i="53"/>
  <x:c r="C415" i="53"/>
  <x:c r="D415" i="53"/>
  <x:c r="E415" i="53"/>
  <x:c r="F415" i="53"/>
  <x:c r="G415" i="53"/>
  <x:c r="C416" i="53"/>
  <x:c r="D416" i="53"/>
  <x:c r="E416" i="53"/>
  <x:c r="F416" i="53"/>
  <x:c r="G416" i="53"/>
  <x:c r="C417" i="53"/>
  <x:c r="D417" i="53"/>
  <x:c r="E417" i="53"/>
  <x:c r="F417" i="53"/>
  <x:c r="G417" i="53"/>
  <x:c r="C418" i="53"/>
  <x:c r="D418" i="53"/>
  <x:c r="E418" i="53"/>
  <x:c r="F418" i="53"/>
  <x:c r="G418" i="53"/>
  <x:c r="C419" i="53"/>
  <x:c r="D419" i="53"/>
  <x:c r="E419" i="53"/>
  <x:c r="F419" i="53"/>
  <x:c r="G419" i="53"/>
  <x:c r="C420" i="53"/>
  <x:c r="D420" i="53"/>
  <x:c r="E420" i="53"/>
  <x:c r="F420" i="53"/>
  <x:c r="G420" i="53"/>
  <x:c r="C421" i="53"/>
  <x:c r="D421" i="53"/>
  <x:c r="E421" i="53"/>
  <x:c r="F421" i="53"/>
  <x:c r="G421" i="53"/>
  <x:c r="C422" i="53"/>
  <x:c r="D422" i="53"/>
  <x:c r="E422" i="53"/>
  <x:c r="F422" i="53"/>
  <x:c r="G422" i="53"/>
  <x:c r="C423" i="53"/>
  <x:c r="D423" i="53"/>
  <x:c r="E423" i="53"/>
  <x:c r="F423" i="53"/>
  <x:c r="G423" i="53"/>
  <x:c r="D424" i="53"/>
  <x:c r="E426" i="53"/>
  <x:c r="J2" i="89"/>
  <x:c r="K2" i="89"/>
  <x:c r="L2" i="89"/>
  <x:c r="M2" i="89"/>
  <x:c r="O2" i="89"/>
  <x:c r="V2" i="89"/>
  <x:c r="AD2" i="89"/>
  <x:c r="AF2" i="89"/>
  <x:c r="AG2" i="89"/>
  <x:c r="AH2" i="89"/>
  <x:c r="AI2" i="89"/>
  <x:c r="AJ2" i="89"/>
  <x:c r="J3" i="89"/>
  <x:c r="K3" i="89"/>
  <x:c r="L3" i="89"/>
  <x:c r="M3" i="89"/>
  <x:c r="O3" i="89"/>
  <x:c r="V3" i="89"/>
  <x:c r="AD3" i="89"/>
  <x:c r="AF3" i="89"/>
  <x:c r="AG3" i="89"/>
  <x:c r="AH3" i="89"/>
  <x:c r="AI3" i="89"/>
  <x:c r="AJ3" i="89"/>
  <x:c r="J4" i="89"/>
  <x:c r="K4" i="89"/>
  <x:c r="L4" i="89"/>
  <x:c r="M4" i="89"/>
  <x:c r="O4" i="89"/>
  <x:c r="V4" i="89"/>
  <x:c r="AD4" i="89"/>
  <x:c r="AF4" i="89"/>
  <x:c r="AG4" i="89"/>
  <x:c r="AH4" i="89"/>
  <x:c r="AI4" i="89"/>
  <x:c r="AJ4" i="89"/>
  <x:c r="J5" i="89"/>
  <x:c r="K5" i="89"/>
  <x:c r="L5" i="89"/>
  <x:c r="M5" i="89"/>
  <x:c r="O5" i="89"/>
  <x:c r="V5" i="89"/>
  <x:c r="AD5" i="89"/>
  <x:c r="AF5" i="89"/>
  <x:c r="AG5" i="89"/>
  <x:c r="AH5" i="89"/>
  <x:c r="AI5" i="89"/>
  <x:c r="AJ5" i="89"/>
  <x:c r="J6" i="89"/>
  <x:c r="K6" i="89"/>
  <x:c r="L6" i="89"/>
  <x:c r="M6" i="89"/>
  <x:c r="O6" i="89"/>
  <x:c r="V6" i="89"/>
  <x:c r="AD6" i="89"/>
  <x:c r="AF6" i="89"/>
  <x:c r="AG6" i="89"/>
  <x:c r="AH6" i="89"/>
  <x:c r="AI6" i="89"/>
  <x:c r="AJ6" i="89"/>
  <x:c r="J7" i="89"/>
  <x:c r="K7" i="89"/>
  <x:c r="L7" i="89"/>
  <x:c r="M7" i="89"/>
  <x:c r="O7" i="89"/>
  <x:c r="V7" i="89"/>
  <x:c r="AD7" i="89"/>
  <x:c r="AF7" i="89"/>
  <x:c r="AG7" i="89"/>
  <x:c r="AH7" i="89"/>
  <x:c r="AI7" i="89"/>
  <x:c r="AJ7" i="89"/>
  <x:c r="J8" i="89"/>
  <x:c r="K8" i="89"/>
  <x:c r="L8" i="89"/>
  <x:c r="M8" i="89"/>
  <x:c r="O8" i="89"/>
  <x:c r="V8" i="89"/>
  <x:c r="AD8" i="89"/>
  <x:c r="AF8" i="89"/>
  <x:c r="AG8" i="89"/>
  <x:c r="AH8" i="89"/>
  <x:c r="AI8" i="89"/>
  <x:c r="AJ8" i="89"/>
  <x:c r="J9" i="89"/>
  <x:c r="K9" i="89"/>
  <x:c r="L9" i="89"/>
  <x:c r="M9" i="89"/>
  <x:c r="O9" i="89"/>
  <x:c r="V9" i="89"/>
  <x:c r="AD9" i="89"/>
  <x:c r="AF9" i="89"/>
  <x:c r="AG9" i="89"/>
  <x:c r="AH9" i="89"/>
  <x:c r="AI9" i="89"/>
  <x:c r="AJ9" i="89"/>
  <x:c r="J10" i="89"/>
  <x:c r="K10" i="89"/>
  <x:c r="L10" i="89"/>
  <x:c r="M10" i="89"/>
  <x:c r="O10" i="89"/>
  <x:c r="V10" i="89"/>
  <x:c r="AD10" i="89"/>
  <x:c r="AF10" i="89"/>
  <x:c r="AG10" i="89"/>
  <x:c r="AH10" i="89"/>
  <x:c r="AI10" i="89"/>
  <x:c r="AJ10" i="89"/>
  <x:c r="J11" i="89"/>
  <x:c r="K11" i="89"/>
  <x:c r="L11" i="89"/>
  <x:c r="M11" i="89"/>
  <x:c r="O11" i="89"/>
  <x:c r="V11" i="89"/>
  <x:c r="AD11" i="89"/>
  <x:c r="AF11" i="89"/>
  <x:c r="AG11" i="89"/>
  <x:c r="AH11" i="89"/>
  <x:c r="AI11" i="89"/>
  <x:c r="AJ11" i="89"/>
  <x:c r="J12" i="89"/>
  <x:c r="K12" i="89"/>
  <x:c r="L12" i="89"/>
  <x:c r="M12" i="89"/>
  <x:c r="O12" i="89"/>
  <x:c r="V12" i="89"/>
  <x:c r="AD12" i="89"/>
  <x:c r="AF12" i="89"/>
  <x:c r="AG12" i="89"/>
  <x:c r="AH12" i="89"/>
  <x:c r="AI12" i="89"/>
  <x:c r="AJ12" i="89"/>
  <x:c r="J13" i="89"/>
  <x:c r="K13" i="89"/>
  <x:c r="L13" i="89"/>
  <x:c r="M13" i="89"/>
  <x:c r="O13" i="89"/>
  <x:c r="V13" i="89"/>
  <x:c r="AD13" i="89"/>
  <x:c r="AF13" i="89"/>
  <x:c r="AG13" i="89"/>
  <x:c r="AH13" i="89"/>
  <x:c r="AI13" i="89"/>
  <x:c r="AJ13" i="89"/>
  <x:c r="J14" i="89"/>
  <x:c r="K14" i="89"/>
  <x:c r="L14" i="89"/>
  <x:c r="M14" i="89"/>
  <x:c r="O14" i="89"/>
  <x:c r="V14" i="89"/>
  <x:c r="AD14" i="89"/>
  <x:c r="AF14" i="89"/>
  <x:c r="AG14" i="89"/>
  <x:c r="AH14" i="89"/>
  <x:c r="AI14" i="89"/>
  <x:c r="AJ14" i="89"/>
  <x:c r="J15" i="89"/>
  <x:c r="K15" i="89"/>
  <x:c r="L15" i="89"/>
  <x:c r="M15" i="89"/>
  <x:c r="O15" i="89"/>
  <x:c r="V15" i="89"/>
  <x:c r="AD15" i="89"/>
  <x:c r="AF15" i="89"/>
  <x:c r="AG15" i="89"/>
  <x:c r="AH15" i="89"/>
  <x:c r="AI15" i="89"/>
  <x:c r="AJ15" i="89"/>
  <x:c r="J16" i="89"/>
  <x:c r="K16" i="89"/>
  <x:c r="L16" i="89"/>
  <x:c r="M16" i="89"/>
  <x:c r="O16" i="89"/>
  <x:c r="V16" i="89"/>
  <x:c r="AD16" i="89"/>
  <x:c r="AF16" i="89"/>
  <x:c r="AG16" i="89"/>
  <x:c r="AH16" i="89"/>
  <x:c r="AI16" i="89"/>
  <x:c r="AJ16" i="89"/>
  <x:c r="J17" i="89"/>
  <x:c r="K17" i="89"/>
  <x:c r="L17" i="89"/>
  <x:c r="M17" i="89"/>
  <x:c r="O17" i="89"/>
  <x:c r="V17" i="89"/>
  <x:c r="AD17" i="89"/>
  <x:c r="AF17" i="89"/>
  <x:c r="AG17" i="89"/>
  <x:c r="AH17" i="89"/>
  <x:c r="AI17" i="89"/>
  <x:c r="AJ17" i="89"/>
  <x:c r="J18" i="89"/>
  <x:c r="K18" i="89"/>
  <x:c r="L18" i="89"/>
  <x:c r="M18" i="89"/>
  <x:c r="O18" i="89"/>
  <x:c r="V18" i="89"/>
  <x:c r="AD18" i="89"/>
  <x:c r="AF18" i="89"/>
  <x:c r="AG18" i="89"/>
  <x:c r="AH18" i="89"/>
  <x:c r="AI18" i="89"/>
  <x:c r="AJ18" i="89"/>
  <x:c r="J19" i="89"/>
  <x:c r="K19" i="89"/>
  <x:c r="L19" i="89"/>
  <x:c r="M19" i="89"/>
  <x:c r="O19" i="89"/>
  <x:c r="V19" i="89"/>
  <x:c r="AD19" i="89"/>
  <x:c r="AF19" i="89"/>
  <x:c r="AG19" i="89"/>
  <x:c r="AH19" i="89"/>
  <x:c r="AI19" i="89"/>
  <x:c r="AJ19" i="89"/>
  <x:c r="J20" i="89"/>
  <x:c r="K20" i="89"/>
  <x:c r="L20" i="89"/>
  <x:c r="M20" i="89"/>
  <x:c r="O20" i="89"/>
  <x:c r="V20" i="89"/>
  <x:c r="AD20" i="89"/>
  <x:c r="AF20" i="89"/>
  <x:c r="AG20" i="89"/>
  <x:c r="AH20" i="89"/>
  <x:c r="AI20" i="89"/>
  <x:c r="AJ20" i="89"/>
  <x:c r="J21" i="89"/>
  <x:c r="K21" i="89"/>
  <x:c r="L21" i="89"/>
  <x:c r="M21" i="89"/>
  <x:c r="O21" i="89"/>
  <x:c r="V21" i="89"/>
  <x:c r="AD21" i="89"/>
  <x:c r="AF21" i="89"/>
  <x:c r="AG21" i="89"/>
  <x:c r="AH21" i="89"/>
  <x:c r="AI21" i="89"/>
  <x:c r="AJ21" i="89"/>
  <x:c r="J22" i="89"/>
  <x:c r="K22" i="89"/>
  <x:c r="L22" i="89"/>
  <x:c r="M22" i="89"/>
  <x:c r="O22" i="89"/>
  <x:c r="V22" i="89"/>
  <x:c r="AD22" i="89"/>
  <x:c r="AF22" i="89"/>
  <x:c r="AG22" i="89"/>
  <x:c r="AH22" i="89"/>
  <x:c r="AI22" i="89"/>
  <x:c r="AJ22" i="89"/>
  <x:c r="J23" i="89"/>
  <x:c r="K23" i="89"/>
  <x:c r="L23" i="89"/>
  <x:c r="M23" i="89"/>
  <x:c r="O23" i="89"/>
  <x:c r="V23" i="89"/>
  <x:c r="AD23" i="89"/>
  <x:c r="AF23" i="89"/>
  <x:c r="AG23" i="89"/>
  <x:c r="AH23" i="89"/>
  <x:c r="AI23" i="89"/>
  <x:c r="AJ23" i="89"/>
  <x:c r="J24" i="89"/>
  <x:c r="K24" i="89"/>
  <x:c r="L24" i="89"/>
  <x:c r="M24" i="89"/>
  <x:c r="O24" i="89"/>
  <x:c r="V24" i="89"/>
  <x:c r="AD24" i="89"/>
  <x:c r="AF24" i="89"/>
  <x:c r="AG24" i="89"/>
  <x:c r="AH24" i="89"/>
  <x:c r="AI24" i="89"/>
  <x:c r="AJ24" i="89"/>
  <x:c r="J25" i="89"/>
  <x:c r="K25" i="89"/>
  <x:c r="L25" i="89"/>
  <x:c r="M25" i="89"/>
  <x:c r="O25" i="89"/>
  <x:c r="V25" i="89"/>
  <x:c r="AD25" i="89"/>
  <x:c r="AF25" i="89"/>
  <x:c r="AG25" i="89"/>
  <x:c r="AH25" i="89"/>
  <x:c r="AI25" i="89"/>
  <x:c r="AJ25" i="89"/>
  <x:c r="J26" i="89"/>
  <x:c r="K26" i="89"/>
  <x:c r="L26" i="89"/>
  <x:c r="M26" i="89"/>
  <x:c r="O26" i="89"/>
  <x:c r="V26" i="89"/>
  <x:c r="AD26" i="89"/>
  <x:c r="AF26" i="89"/>
  <x:c r="AG26" i="89"/>
  <x:c r="AH26" i="89"/>
  <x:c r="AI26" i="89"/>
  <x:c r="AJ26" i="89"/>
  <x:c r="J27" i="89"/>
  <x:c r="K27" i="89"/>
  <x:c r="L27" i="89"/>
  <x:c r="M27" i="89"/>
  <x:c r="O27" i="89"/>
  <x:c r="V27" i="89"/>
  <x:c r="AD27" i="89"/>
  <x:c r="AF27" i="89"/>
  <x:c r="AG27" i="89"/>
  <x:c r="AH27" i="89"/>
  <x:c r="AI27" i="89"/>
  <x:c r="AJ27" i="89"/>
  <x:c r="J28" i="89"/>
  <x:c r="K28" i="89"/>
  <x:c r="L28" i="89"/>
  <x:c r="M28" i="89"/>
  <x:c r="O28" i="89"/>
  <x:c r="V28" i="89"/>
  <x:c r="AD28" i="89"/>
  <x:c r="AF28" i="89"/>
  <x:c r="AG28" i="89"/>
  <x:c r="AH28" i="89"/>
  <x:c r="AI28" i="89"/>
  <x:c r="AJ28" i="89"/>
  <x:c r="J29" i="89"/>
  <x:c r="K29" i="89"/>
  <x:c r="L29" i="89"/>
  <x:c r="M29" i="89"/>
  <x:c r="O29" i="89"/>
  <x:c r="V29" i="89"/>
  <x:c r="AD29" i="89"/>
  <x:c r="AF29" i="89"/>
  <x:c r="AG29" i="89"/>
  <x:c r="AH29" i="89"/>
  <x:c r="AI29" i="89"/>
  <x:c r="AJ29" i="89"/>
  <x:c r="J30" i="89"/>
  <x:c r="K30" i="89"/>
  <x:c r="L30" i="89"/>
  <x:c r="M30" i="89"/>
  <x:c r="O30" i="89"/>
  <x:c r="V30" i="89"/>
  <x:c r="AD30" i="89"/>
  <x:c r="AF30" i="89"/>
  <x:c r="AG30" i="89"/>
  <x:c r="AH30" i="89"/>
  <x:c r="AI30" i="89"/>
  <x:c r="AJ30" i="89"/>
  <x:c r="J31" i="89"/>
  <x:c r="K31" i="89"/>
  <x:c r="L31" i="89"/>
  <x:c r="M31" i="89"/>
  <x:c r="O31" i="89"/>
  <x:c r="V31" i="89"/>
  <x:c r="AD31" i="89"/>
  <x:c r="AF31" i="89"/>
  <x:c r="AG31" i="89"/>
  <x:c r="AH31" i="89"/>
  <x:c r="AI31" i="89"/>
  <x:c r="AJ31" i="89"/>
  <x:c r="J32" i="89"/>
  <x:c r="K32" i="89"/>
  <x:c r="L32" i="89"/>
  <x:c r="M32" i="89"/>
  <x:c r="O32" i="89"/>
  <x:c r="V32" i="89"/>
  <x:c r="AD32" i="89"/>
  <x:c r="AF32" i="89"/>
  <x:c r="AG32" i="89"/>
  <x:c r="AH32" i="89"/>
  <x:c r="AI32" i="89"/>
  <x:c r="AJ32" i="89"/>
  <x:c r="J33" i="89"/>
  <x:c r="K33" i="89"/>
  <x:c r="L33" i="89"/>
  <x:c r="M33" i="89"/>
  <x:c r="O33" i="89"/>
  <x:c r="V33" i="89"/>
  <x:c r="AD33" i="89"/>
  <x:c r="AF33" i="89"/>
  <x:c r="AG33" i="89"/>
  <x:c r="AH33" i="89"/>
  <x:c r="AI33" i="89"/>
  <x:c r="AJ33" i="89"/>
  <x:c r="J34" i="89"/>
  <x:c r="K34" i="89"/>
  <x:c r="L34" i="89"/>
  <x:c r="M34" i="89"/>
  <x:c r="O34" i="89"/>
  <x:c r="V34" i="89"/>
  <x:c r="AD34" i="89"/>
  <x:c r="AF34" i="89"/>
  <x:c r="AG34" i="89"/>
  <x:c r="AH34" i="89"/>
  <x:c r="AI34" i="89"/>
  <x:c r="AJ34" i="89"/>
  <x:c r="J35" i="89"/>
  <x:c r="K35" i="89"/>
  <x:c r="L35" i="89"/>
  <x:c r="M35" i="89"/>
  <x:c r="O35" i="89"/>
  <x:c r="V35" i="89"/>
  <x:c r="AD35" i="89"/>
  <x:c r="AF35" i="89"/>
  <x:c r="AG35" i="89"/>
  <x:c r="AH35" i="89"/>
  <x:c r="AI35" i="89"/>
  <x:c r="AJ35" i="89"/>
  <x:c r="J36" i="89"/>
  <x:c r="K36" i="89"/>
  <x:c r="L36" i="89"/>
  <x:c r="M36" i="89"/>
  <x:c r="O36" i="89"/>
  <x:c r="V36" i="89"/>
  <x:c r="AD36" i="89"/>
  <x:c r="AF36" i="89"/>
  <x:c r="AG36" i="89"/>
  <x:c r="AH36" i="89"/>
  <x:c r="AI36" i="89"/>
  <x:c r="AJ36" i="89"/>
  <x:c r="J37" i="89"/>
  <x:c r="K37" i="89"/>
  <x:c r="L37" i="89"/>
  <x:c r="M37" i="89"/>
  <x:c r="O37" i="89"/>
  <x:c r="V37" i="89"/>
  <x:c r="AD37" i="89"/>
  <x:c r="AF37" i="89"/>
  <x:c r="AG37" i="89"/>
  <x:c r="AH37" i="89"/>
  <x:c r="AI37" i="89"/>
  <x:c r="AJ37" i="89"/>
  <x:c r="J38" i="89"/>
  <x:c r="K38" i="89"/>
  <x:c r="L38" i="89"/>
  <x:c r="M38" i="89"/>
  <x:c r="O38" i="89"/>
  <x:c r="V38" i="89"/>
  <x:c r="AD38" i="89"/>
  <x:c r="AF38" i="89"/>
  <x:c r="AG38" i="89"/>
  <x:c r="AH38" i="89"/>
  <x:c r="AI38" i="89"/>
  <x:c r="AJ38" i="89"/>
  <x:c r="J39" i="89"/>
  <x:c r="K39" i="89"/>
  <x:c r="L39" i="89"/>
  <x:c r="M39" i="89"/>
  <x:c r="O39" i="89"/>
  <x:c r="V39" i="89"/>
  <x:c r="AD39" i="89"/>
  <x:c r="AF39" i="89"/>
  <x:c r="AG39" i="89"/>
  <x:c r="AH39" i="89"/>
  <x:c r="AI39" i="89"/>
  <x:c r="AJ39" i="89"/>
  <x:c r="J40" i="89"/>
  <x:c r="K40" i="89"/>
  <x:c r="L40" i="89"/>
  <x:c r="M40" i="89"/>
  <x:c r="O40" i="89"/>
  <x:c r="V40" i="89"/>
  <x:c r="AD40" i="89"/>
  <x:c r="AF40" i="89"/>
  <x:c r="AG40" i="89"/>
  <x:c r="AH40" i="89"/>
  <x:c r="AI40" i="89"/>
  <x:c r="AJ40" i="89"/>
  <x:c r="J41" i="89"/>
  <x:c r="K41" i="89"/>
  <x:c r="L41" i="89"/>
  <x:c r="M41" i="89"/>
  <x:c r="O41" i="89"/>
  <x:c r="V41" i="89"/>
  <x:c r="AD41" i="89"/>
  <x:c r="AF41" i="89"/>
  <x:c r="AG41" i="89"/>
  <x:c r="AH41" i="89"/>
  <x:c r="AI41" i="89"/>
  <x:c r="AJ41" i="89"/>
  <x:c r="J42" i="89"/>
  <x:c r="K42" i="89"/>
  <x:c r="L42" i="89"/>
  <x:c r="M42" i="89"/>
  <x:c r="O42" i="89"/>
  <x:c r="V42" i="89"/>
  <x:c r="AD42" i="89"/>
  <x:c r="AF42" i="89"/>
  <x:c r="AG42" i="89"/>
  <x:c r="AH42" i="89"/>
  <x:c r="AI42" i="89"/>
  <x:c r="AJ42" i="89"/>
  <x:c r="J43" i="89"/>
  <x:c r="K43" i="89"/>
  <x:c r="L43" i="89"/>
  <x:c r="M43" i="89"/>
  <x:c r="O43" i="89"/>
  <x:c r="V43" i="89"/>
  <x:c r="AD43" i="89"/>
  <x:c r="AF43" i="89"/>
  <x:c r="AG43" i="89"/>
  <x:c r="AH43" i="89"/>
  <x:c r="AI43" i="89"/>
  <x:c r="AJ43" i="89"/>
  <x:c r="J44" i="89"/>
  <x:c r="K44" i="89"/>
  <x:c r="L44" i="89"/>
  <x:c r="M44" i="89"/>
  <x:c r="O44" i="89"/>
  <x:c r="V44" i="89"/>
  <x:c r="AD44" i="89"/>
  <x:c r="AF44" i="89"/>
  <x:c r="AG44" i="89"/>
  <x:c r="AH44" i="89"/>
  <x:c r="AI44" i="89"/>
  <x:c r="AJ44" i="89"/>
  <x:c r="J45" i="89"/>
  <x:c r="K45" i="89"/>
  <x:c r="L45" i="89"/>
  <x:c r="M45" i="89"/>
  <x:c r="O45" i="89"/>
  <x:c r="V45" i="89"/>
  <x:c r="AD45" i="89"/>
  <x:c r="AF45" i="89"/>
  <x:c r="AG45" i="89"/>
  <x:c r="AH45" i="89"/>
  <x:c r="AI45" i="89"/>
  <x:c r="AJ45" i="89"/>
  <x:c r="J46" i="89"/>
  <x:c r="K46" i="89"/>
  <x:c r="L46" i="89"/>
  <x:c r="M46" i="89"/>
  <x:c r="O46" i="89"/>
  <x:c r="V46" i="89"/>
  <x:c r="AD46" i="89"/>
  <x:c r="AF46" i="89"/>
  <x:c r="AG46" i="89"/>
  <x:c r="AH46" i="89"/>
  <x:c r="AI46" i="89"/>
  <x:c r="AJ46" i="89"/>
  <x:c r="J47" i="89"/>
  <x:c r="K47" i="89"/>
  <x:c r="L47" i="89"/>
  <x:c r="M47" i="89"/>
  <x:c r="O47" i="89"/>
  <x:c r="V47" i="89"/>
  <x:c r="AD47" i="89"/>
  <x:c r="AF47" i="89"/>
  <x:c r="AG47" i="89"/>
  <x:c r="AH47" i="89"/>
  <x:c r="AI47" i="89"/>
  <x:c r="AJ47" i="89"/>
  <x:c r="J48" i="89"/>
  <x:c r="K48" i="89"/>
  <x:c r="L48" i="89"/>
  <x:c r="M48" i="89"/>
  <x:c r="O48" i="89"/>
  <x:c r="V48" i="89"/>
  <x:c r="AD48" i="89"/>
  <x:c r="AF48" i="89"/>
  <x:c r="AG48" i="89"/>
  <x:c r="AH48" i="89"/>
  <x:c r="AI48" i="89"/>
  <x:c r="AJ48" i="89"/>
  <x:c r="J49" i="89"/>
  <x:c r="K49" i="89"/>
  <x:c r="L49" i="89"/>
  <x:c r="M49" i="89"/>
  <x:c r="O49" i="89"/>
  <x:c r="V49" i="89"/>
  <x:c r="AD49" i="89"/>
  <x:c r="AF49" i="89"/>
  <x:c r="AG49" i="89"/>
  <x:c r="AH49" i="89"/>
  <x:c r="AI49" i="89"/>
  <x:c r="AJ49" i="89"/>
  <x:c r="J50" i="89"/>
  <x:c r="K50" i="89"/>
  <x:c r="L50" i="89"/>
  <x:c r="M50" i="89"/>
  <x:c r="O50" i="89"/>
  <x:c r="V50" i="89"/>
  <x:c r="AD50" i="89"/>
  <x:c r="AF50" i="89"/>
  <x:c r="AG50" i="89"/>
  <x:c r="AH50" i="89"/>
  <x:c r="AI50" i="89"/>
  <x:c r="AJ50" i="89"/>
  <x:c r="J51" i="89"/>
  <x:c r="K51" i="89"/>
  <x:c r="L51" i="89"/>
  <x:c r="M51" i="89"/>
  <x:c r="O51" i="89"/>
  <x:c r="V51" i="89"/>
  <x:c r="AD51" i="89"/>
  <x:c r="AF51" i="89"/>
  <x:c r="AG51" i="89"/>
  <x:c r="AH51" i="89"/>
  <x:c r="AI51" i="89"/>
  <x:c r="AJ51" i="89"/>
  <x:c r="J52" i="89"/>
  <x:c r="K52" i="89"/>
  <x:c r="L52" i="89"/>
  <x:c r="M52" i="89"/>
  <x:c r="O52" i="89"/>
  <x:c r="V52" i="89"/>
  <x:c r="AD52" i="89"/>
  <x:c r="AF52" i="89"/>
  <x:c r="AG52" i="89"/>
  <x:c r="AH52" i="89"/>
  <x:c r="AI52" i="89"/>
  <x:c r="AJ52" i="89"/>
  <x:c r="J53" i="89"/>
  <x:c r="K53" i="89"/>
  <x:c r="L53" i="89"/>
  <x:c r="M53" i="89"/>
  <x:c r="O53" i="89"/>
  <x:c r="V53" i="89"/>
  <x:c r="AD53" i="89"/>
  <x:c r="AF53" i="89"/>
  <x:c r="AG53" i="89"/>
  <x:c r="AH53" i="89"/>
  <x:c r="AI53" i="89"/>
  <x:c r="AJ53" i="89"/>
  <x:c r="J54" i="89"/>
  <x:c r="K54" i="89"/>
  <x:c r="L54" i="89"/>
  <x:c r="M54" i="89"/>
  <x:c r="O54" i="89"/>
  <x:c r="V54" i="89"/>
  <x:c r="AD54" i="89"/>
  <x:c r="AF54" i="89"/>
  <x:c r="AG54" i="89"/>
  <x:c r="AH54" i="89"/>
  <x:c r="AI54" i="89"/>
  <x:c r="AJ54" i="89"/>
  <x:c r="J55" i="89"/>
  <x:c r="K55" i="89"/>
  <x:c r="L55" i="89"/>
  <x:c r="M55" i="89"/>
  <x:c r="O55" i="89"/>
  <x:c r="V55" i="89"/>
  <x:c r="AD55" i="89"/>
  <x:c r="AF55" i="89"/>
  <x:c r="AG55" i="89"/>
  <x:c r="AH55" i="89"/>
  <x:c r="AI55" i="89"/>
  <x:c r="AJ55" i="89"/>
  <x:c r="J56" i="89"/>
  <x:c r="K56" i="89"/>
  <x:c r="L56" i="89"/>
  <x:c r="M56" i="89"/>
  <x:c r="O56" i="89"/>
  <x:c r="V56" i="89"/>
  <x:c r="AD56" i="89"/>
  <x:c r="AF56" i="89"/>
  <x:c r="AG56" i="89"/>
  <x:c r="AH56" i="89"/>
  <x:c r="AI56" i="89"/>
  <x:c r="AJ56" i="89"/>
  <x:c r="J57" i="89"/>
  <x:c r="K57" i="89"/>
  <x:c r="L57" i="89"/>
  <x:c r="M57" i="89"/>
  <x:c r="O57" i="89"/>
  <x:c r="V57" i="89"/>
  <x:c r="AD57" i="89"/>
  <x:c r="AF57" i="89"/>
  <x:c r="AG57" i="89"/>
  <x:c r="AH57" i="89"/>
  <x:c r="AI57" i="89"/>
  <x:c r="AJ57" i="89"/>
  <x:c r="J58" i="89"/>
  <x:c r="K58" i="89"/>
  <x:c r="L58" i="89"/>
  <x:c r="M58" i="89"/>
  <x:c r="O58" i="89"/>
  <x:c r="V58" i="89"/>
  <x:c r="AD58" i="89"/>
  <x:c r="AF58" i="89"/>
  <x:c r="AG58" i="89"/>
  <x:c r="AH58" i="89"/>
  <x:c r="AI58" i="89"/>
  <x:c r="AJ58" i="89"/>
  <x:c r="J59" i="89"/>
  <x:c r="K59" i="89"/>
  <x:c r="L59" i="89"/>
  <x:c r="M59" i="89"/>
  <x:c r="O59" i="89"/>
  <x:c r="V59" i="89"/>
  <x:c r="AD59" i="89"/>
  <x:c r="AF59" i="89"/>
  <x:c r="AG59" i="89"/>
  <x:c r="AH59" i="89"/>
  <x:c r="AI59" i="89"/>
  <x:c r="AJ59" i="89"/>
  <x:c r="J60" i="89"/>
  <x:c r="K60" i="89"/>
  <x:c r="L60" i="89"/>
  <x:c r="M60" i="89"/>
  <x:c r="O60" i="89"/>
  <x:c r="V60" i="89"/>
  <x:c r="AD60" i="89"/>
  <x:c r="AF60" i="89"/>
  <x:c r="AG60" i="89"/>
  <x:c r="AH60" i="89"/>
  <x:c r="AI60" i="89"/>
  <x:c r="AJ60" i="89"/>
  <x:c r="J61" i="89"/>
  <x:c r="K61" i="89"/>
  <x:c r="L61" i="89"/>
  <x:c r="M61" i="89"/>
  <x:c r="O61" i="89"/>
  <x:c r="V61" i="89"/>
  <x:c r="AD61" i="89"/>
  <x:c r="AF61" i="89"/>
  <x:c r="AG61" i="89"/>
  <x:c r="AH61" i="89"/>
  <x:c r="AI61" i="89"/>
  <x:c r="AJ61" i="89"/>
  <x:c r="J62" i="89"/>
  <x:c r="K62" i="89"/>
  <x:c r="L62" i="89"/>
  <x:c r="M62" i="89"/>
  <x:c r="O62" i="89"/>
  <x:c r="V62" i="89"/>
  <x:c r="AD62" i="89"/>
  <x:c r="AF62" i="89"/>
  <x:c r="AG62" i="89"/>
  <x:c r="AH62" i="89"/>
  <x:c r="AI62" i="89"/>
  <x:c r="AJ62" i="89"/>
  <x:c r="J63" i="89"/>
  <x:c r="K63" i="89"/>
  <x:c r="L63" i="89"/>
  <x:c r="M63" i="89"/>
  <x:c r="O63" i="89"/>
  <x:c r="V63" i="89"/>
  <x:c r="AD63" i="89"/>
  <x:c r="AF63" i="89"/>
  <x:c r="AG63" i="89"/>
  <x:c r="AH63" i="89"/>
  <x:c r="AI63" i="89"/>
  <x:c r="AJ63" i="89"/>
  <x:c r="J64" i="89"/>
  <x:c r="K64" i="89"/>
  <x:c r="L64" i="89"/>
  <x:c r="M64" i="89"/>
  <x:c r="O64" i="89"/>
  <x:c r="V64" i="89"/>
  <x:c r="AD64" i="89"/>
  <x:c r="AF64" i="89"/>
  <x:c r="AG64" i="89"/>
  <x:c r="AH64" i="89"/>
  <x:c r="AI64" i="89"/>
  <x:c r="AJ64" i="89"/>
  <x:c r="J65" i="89"/>
  <x:c r="K65" i="89"/>
  <x:c r="L65" i="89"/>
  <x:c r="M65" i="89"/>
  <x:c r="O65" i="89"/>
  <x:c r="V65" i="89"/>
  <x:c r="AD65" i="89"/>
  <x:c r="AF65" i="89"/>
  <x:c r="AG65" i="89"/>
  <x:c r="AH65" i="89"/>
  <x:c r="AI65" i="89"/>
  <x:c r="AJ65" i="89"/>
  <x:c r="J66" i="89"/>
  <x:c r="K66" i="89"/>
  <x:c r="L66" i="89"/>
  <x:c r="M66" i="89"/>
  <x:c r="O66" i="89"/>
  <x:c r="V66" i="89"/>
  <x:c r="AD66" i="89"/>
  <x:c r="AF66" i="89"/>
  <x:c r="AG66" i="89"/>
  <x:c r="AH66" i="89"/>
  <x:c r="AI66" i="89"/>
  <x:c r="AJ66" i="89"/>
  <x:c r="J67" i="89"/>
  <x:c r="K67" i="89"/>
  <x:c r="L67" i="89"/>
  <x:c r="M67" i="89"/>
  <x:c r="O67" i="89"/>
  <x:c r="V67" i="89"/>
  <x:c r="AD67" i="89"/>
  <x:c r="AF67" i="89"/>
  <x:c r="AG67" i="89"/>
  <x:c r="AH67" i="89"/>
  <x:c r="AI67" i="89"/>
  <x:c r="AJ67" i="89"/>
  <x:c r="J68" i="89"/>
  <x:c r="K68" i="89"/>
  <x:c r="L68" i="89"/>
  <x:c r="M68" i="89"/>
  <x:c r="O68" i="89"/>
  <x:c r="V68" i="89"/>
  <x:c r="AD68" i="89"/>
  <x:c r="AF68" i="89"/>
  <x:c r="AG68" i="89"/>
  <x:c r="AH68" i="89"/>
  <x:c r="AI68" i="89"/>
  <x:c r="AJ68" i="89"/>
  <x:c r="J69" i="89"/>
  <x:c r="K69" i="89"/>
  <x:c r="L69" i="89"/>
  <x:c r="M69" i="89"/>
  <x:c r="O69" i="89"/>
  <x:c r="V69" i="89"/>
  <x:c r="AD69" i="89"/>
  <x:c r="AF69" i="89"/>
  <x:c r="AG69" i="89"/>
  <x:c r="AH69" i="89"/>
  <x:c r="AI69" i="89"/>
  <x:c r="AJ69" i="89"/>
  <x:c r="J70" i="89"/>
  <x:c r="K70" i="89"/>
  <x:c r="L70" i="89"/>
  <x:c r="M70" i="89"/>
  <x:c r="O70" i="89"/>
  <x:c r="V70" i="89"/>
  <x:c r="AD70" i="89"/>
  <x:c r="AF70" i="89"/>
  <x:c r="AG70" i="89"/>
  <x:c r="AH70" i="89"/>
  <x:c r="AI70" i="89"/>
  <x:c r="AJ70" i="89"/>
  <x:c r="J71" i="89"/>
  <x:c r="K71" i="89"/>
  <x:c r="L71" i="89"/>
  <x:c r="M71" i="89"/>
  <x:c r="O71" i="89"/>
  <x:c r="V71" i="89"/>
  <x:c r="AD71" i="89"/>
  <x:c r="AF71" i="89"/>
  <x:c r="AG71" i="89"/>
  <x:c r="AH71" i="89"/>
  <x:c r="AI71" i="89"/>
  <x:c r="AJ71" i="89"/>
  <x:c r="J72" i="89"/>
  <x:c r="K72" i="89"/>
  <x:c r="L72" i="89"/>
  <x:c r="M72" i="89"/>
  <x:c r="O72" i="89"/>
  <x:c r="V72" i="89"/>
  <x:c r="AD72" i="89"/>
  <x:c r="AF72" i="89"/>
  <x:c r="AG72" i="89"/>
  <x:c r="AH72" i="89"/>
  <x:c r="AI72" i="89"/>
  <x:c r="AJ72" i="89"/>
  <x:c r="J73" i="89"/>
  <x:c r="K73" i="89"/>
  <x:c r="L73" i="89"/>
  <x:c r="M73" i="89"/>
  <x:c r="O73" i="89"/>
  <x:c r="V73" i="89"/>
  <x:c r="AD73" i="89"/>
  <x:c r="AF73" i="89"/>
  <x:c r="AG73" i="89"/>
  <x:c r="AH73" i="89"/>
  <x:c r="AI73" i="89"/>
  <x:c r="AJ73" i="89"/>
  <x:c r="J74" i="89"/>
  <x:c r="K74" i="89"/>
  <x:c r="L74" i="89"/>
  <x:c r="M74" i="89"/>
  <x:c r="O74" i="89"/>
  <x:c r="V74" i="89"/>
  <x:c r="AD74" i="89"/>
  <x:c r="AF74" i="89"/>
  <x:c r="AG74" i="89"/>
  <x:c r="AH74" i="89"/>
  <x:c r="AI74" i="89"/>
  <x:c r="AJ74" i="89"/>
  <x:c r="J75" i="89"/>
  <x:c r="K75" i="89"/>
  <x:c r="L75" i="89"/>
  <x:c r="M75" i="89"/>
  <x:c r="O75" i="89"/>
  <x:c r="V75" i="89"/>
  <x:c r="AD75" i="89"/>
  <x:c r="AF75" i="89"/>
  <x:c r="AG75" i="89"/>
  <x:c r="AH75" i="89"/>
  <x:c r="AI75" i="89"/>
  <x:c r="AJ75" i="89"/>
  <x:c r="J76" i="89"/>
  <x:c r="K76" i="89"/>
  <x:c r="L76" i="89"/>
  <x:c r="M76" i="89"/>
  <x:c r="O76" i="89"/>
  <x:c r="V76" i="89"/>
  <x:c r="AD76" i="89"/>
  <x:c r="AF76" i="89"/>
  <x:c r="AG76" i="89"/>
  <x:c r="AH76" i="89"/>
  <x:c r="AI76" i="89"/>
  <x:c r="AJ76" i="89"/>
  <x:c r="J77" i="89"/>
  <x:c r="K77" i="89"/>
  <x:c r="L77" i="89"/>
  <x:c r="M77" i="89"/>
  <x:c r="O77" i="89"/>
  <x:c r="V77" i="89"/>
  <x:c r="AD77" i="89"/>
  <x:c r="AF77" i="89"/>
  <x:c r="AG77" i="89"/>
  <x:c r="AH77" i="89"/>
  <x:c r="AI77" i="89"/>
  <x:c r="AJ77" i="89"/>
  <x:c r="J78" i="89"/>
  <x:c r="K78" i="89"/>
  <x:c r="L78" i="89"/>
  <x:c r="M78" i="89"/>
  <x:c r="O78" i="89"/>
  <x:c r="V78" i="89"/>
  <x:c r="AD78" i="89"/>
  <x:c r="AF78" i="89"/>
  <x:c r="AG78" i="89"/>
  <x:c r="AH78" i="89"/>
  <x:c r="AI78" i="89"/>
  <x:c r="AJ78" i="89"/>
  <x:c r="J79" i="89"/>
  <x:c r="K79" i="89"/>
  <x:c r="L79" i="89"/>
  <x:c r="M79" i="89"/>
  <x:c r="O79" i="89"/>
  <x:c r="V79" i="89"/>
  <x:c r="AD79" i="89"/>
  <x:c r="AF79" i="89"/>
  <x:c r="AG79" i="89"/>
  <x:c r="AH79" i="89"/>
  <x:c r="AI79" i="89"/>
  <x:c r="AJ79" i="89"/>
  <x:c r="J80" i="89"/>
  <x:c r="K80" i="89"/>
  <x:c r="L80" i="89"/>
  <x:c r="M80" i="89"/>
  <x:c r="O80" i="89"/>
  <x:c r="V80" i="89"/>
  <x:c r="AD80" i="89"/>
  <x:c r="AF80" i="89"/>
  <x:c r="AG80" i="89"/>
  <x:c r="AH80" i="89"/>
  <x:c r="AI80" i="89"/>
  <x:c r="AJ80" i="89"/>
  <x:c r="J81" i="89"/>
  <x:c r="K81" i="89"/>
  <x:c r="L81" i="89"/>
  <x:c r="M81" i="89"/>
  <x:c r="O81" i="89"/>
  <x:c r="V81" i="89"/>
  <x:c r="AD81" i="89"/>
  <x:c r="AF81" i="89"/>
  <x:c r="AG81" i="89"/>
  <x:c r="AH81" i="89"/>
  <x:c r="AI81" i="89"/>
  <x:c r="AJ81" i="89"/>
  <x:c r="J82" i="89"/>
  <x:c r="K82" i="89"/>
  <x:c r="L82" i="89"/>
  <x:c r="M82" i="89"/>
  <x:c r="O82" i="89"/>
  <x:c r="V82" i="89"/>
  <x:c r="AD82" i="89"/>
  <x:c r="AF82" i="89"/>
  <x:c r="AG82" i="89"/>
  <x:c r="AH82" i="89"/>
  <x:c r="AI82" i="89"/>
  <x:c r="AJ82" i="89"/>
  <x:c r="J83" i="89"/>
  <x:c r="K83" i="89"/>
  <x:c r="L83" i="89"/>
  <x:c r="M83" i="89"/>
  <x:c r="O83" i="89"/>
  <x:c r="V83" i="89"/>
  <x:c r="AD83" i="89"/>
  <x:c r="AF83" i="89"/>
  <x:c r="AG83" i="89"/>
  <x:c r="AH83" i="89"/>
  <x:c r="AI83" i="89"/>
  <x:c r="AJ83" i="89"/>
  <x:c r="J84" i="89"/>
  <x:c r="K84" i="89"/>
  <x:c r="L84" i="89"/>
  <x:c r="M84" i="89"/>
  <x:c r="O84" i="89"/>
  <x:c r="V84" i="89"/>
  <x:c r="AD84" i="89"/>
  <x:c r="AF84" i="89"/>
  <x:c r="AG84" i="89"/>
  <x:c r="AH84" i="89"/>
  <x:c r="AI84" i="89"/>
  <x:c r="AJ84" i="89"/>
  <x:c r="J85" i="89"/>
  <x:c r="K85" i="89"/>
  <x:c r="L85" i="89"/>
  <x:c r="M85" i="89"/>
  <x:c r="O85" i="89"/>
  <x:c r="V85" i="89"/>
  <x:c r="AD85" i="89"/>
  <x:c r="AF85" i="89"/>
  <x:c r="AG85" i="89"/>
  <x:c r="AH85" i="89"/>
  <x:c r="AI85" i="89"/>
  <x:c r="AJ85" i="89"/>
  <x:c r="J86" i="89"/>
  <x:c r="K86" i="89"/>
  <x:c r="L86" i="89"/>
  <x:c r="M86" i="89"/>
  <x:c r="O86" i="89"/>
  <x:c r="V86" i="89"/>
  <x:c r="AD86" i="89"/>
  <x:c r="AF86" i="89"/>
  <x:c r="AG86" i="89"/>
  <x:c r="AH86" i="89"/>
  <x:c r="AI86" i="89"/>
  <x:c r="AJ86" i="89"/>
  <x:c r="J87" i="89"/>
  <x:c r="K87" i="89"/>
  <x:c r="L87" i="89"/>
  <x:c r="M87" i="89"/>
  <x:c r="O87" i="89"/>
  <x:c r="V87" i="89"/>
  <x:c r="AD87" i="89"/>
  <x:c r="AF87" i="89"/>
  <x:c r="AG87" i="89"/>
  <x:c r="AH87" i="89"/>
  <x:c r="AI87" i="89"/>
  <x:c r="AJ87" i="89"/>
  <x:c r="J88" i="89"/>
  <x:c r="K88" i="89"/>
  <x:c r="L88" i="89"/>
  <x:c r="M88" i="89"/>
  <x:c r="O88" i="89"/>
  <x:c r="V88" i="89"/>
  <x:c r="AD88" i="89"/>
  <x:c r="AF88" i="89"/>
  <x:c r="AG88" i="89"/>
  <x:c r="AH88" i="89"/>
  <x:c r="AI88" i="89"/>
  <x:c r="AJ88" i="89"/>
  <x:c r="J89" i="89"/>
  <x:c r="K89" i="89"/>
  <x:c r="L89" i="89"/>
  <x:c r="M89" i="89"/>
  <x:c r="O89" i="89"/>
  <x:c r="V89" i="89"/>
  <x:c r="AD89" i="89"/>
  <x:c r="AF89" i="89"/>
  <x:c r="AG89" i="89"/>
  <x:c r="AH89" i="89"/>
  <x:c r="AI89" i="89"/>
  <x:c r="AJ89" i="89"/>
  <x:c r="J90" i="89"/>
  <x:c r="K90" i="89"/>
  <x:c r="L90" i="89"/>
  <x:c r="M90" i="89"/>
  <x:c r="O90" i="89"/>
  <x:c r="V90" i="89"/>
  <x:c r="AD90" i="89"/>
  <x:c r="AF90" i="89"/>
  <x:c r="AG90" i="89"/>
  <x:c r="AH90" i="89"/>
  <x:c r="AI90" i="89"/>
  <x:c r="AJ90" i="89"/>
  <x:c r="J91" i="89"/>
  <x:c r="K91" i="89"/>
  <x:c r="L91" i="89"/>
  <x:c r="M91" i="89"/>
  <x:c r="O91" i="89"/>
  <x:c r="V91" i="89"/>
  <x:c r="AD91" i="89"/>
  <x:c r="AF91" i="89"/>
  <x:c r="AG91" i="89"/>
  <x:c r="AH91" i="89"/>
  <x:c r="AI91" i="89"/>
  <x:c r="AJ91" i="89"/>
  <x:c r="J92" i="89"/>
  <x:c r="K92" i="89"/>
  <x:c r="L92" i="89"/>
  <x:c r="M92" i="89"/>
  <x:c r="O92" i="89"/>
  <x:c r="V92" i="89"/>
  <x:c r="AD92" i="89"/>
  <x:c r="AF92" i="89"/>
  <x:c r="AG92" i="89"/>
  <x:c r="AH92" i="89"/>
  <x:c r="AI92" i="89"/>
  <x:c r="AJ92" i="89"/>
  <x:c r="J93" i="89"/>
  <x:c r="K93" i="89"/>
  <x:c r="L93" i="89"/>
  <x:c r="M93" i="89"/>
  <x:c r="O93" i="89"/>
  <x:c r="V93" i="89"/>
  <x:c r="AD93" i="89"/>
  <x:c r="AF93" i="89"/>
  <x:c r="AG93" i="89"/>
  <x:c r="AH93" i="89"/>
  <x:c r="AI93" i="89"/>
  <x:c r="AJ93" i="89"/>
  <x:c r="J94" i="89"/>
  <x:c r="K94" i="89"/>
  <x:c r="L94" i="89"/>
  <x:c r="M94" i="89"/>
  <x:c r="O94" i="89"/>
  <x:c r="V94" i="89"/>
  <x:c r="AD94" i="89"/>
  <x:c r="AF94" i="89"/>
  <x:c r="AG94" i="89"/>
  <x:c r="AH94" i="89"/>
  <x:c r="AI94" i="89"/>
  <x:c r="AJ94" i="89"/>
  <x:c r="J95" i="89"/>
  <x:c r="K95" i="89"/>
  <x:c r="L95" i="89"/>
  <x:c r="M95" i="89"/>
  <x:c r="O95" i="89"/>
  <x:c r="V95" i="89"/>
  <x:c r="AD95" i="89"/>
  <x:c r="AF95" i="89"/>
  <x:c r="AG95" i="89"/>
  <x:c r="AH95" i="89"/>
  <x:c r="AI95" i="89"/>
  <x:c r="AJ95" i="89"/>
  <x:c r="J96" i="89"/>
  <x:c r="K96" i="89"/>
  <x:c r="L96" i="89"/>
  <x:c r="M96" i="89"/>
  <x:c r="O96" i="89"/>
  <x:c r="V96" i="89"/>
  <x:c r="AD96" i="89"/>
  <x:c r="AF96" i="89"/>
  <x:c r="AG96" i="89"/>
  <x:c r="AH96" i="89"/>
  <x:c r="AI96" i="89"/>
  <x:c r="AJ96" i="89"/>
  <x:c r="J97" i="89"/>
  <x:c r="K97" i="89"/>
  <x:c r="L97" i="89"/>
  <x:c r="M97" i="89"/>
  <x:c r="O97" i="89"/>
  <x:c r="V97" i="89"/>
  <x:c r="AD97" i="89"/>
  <x:c r="AF97" i="89"/>
  <x:c r="AG97" i="89"/>
  <x:c r="AH97" i="89"/>
  <x:c r="AI97" i="89"/>
  <x:c r="AJ97" i="89"/>
  <x:c r="J98" i="89"/>
  <x:c r="K98" i="89"/>
  <x:c r="L98" i="89"/>
  <x:c r="M98" i="89"/>
  <x:c r="O98" i="89"/>
  <x:c r="V98" i="89"/>
  <x:c r="AD98" i="89"/>
  <x:c r="AF98" i="89"/>
  <x:c r="AG98" i="89"/>
  <x:c r="AH98" i="89"/>
  <x:c r="AI98" i="89"/>
  <x:c r="AJ98" i="89"/>
  <x:c r="J99" i="89"/>
  <x:c r="K99" i="89"/>
  <x:c r="L99" i="89"/>
  <x:c r="M99" i="89"/>
  <x:c r="O99" i="89"/>
  <x:c r="V99" i="89"/>
  <x:c r="AD99" i="89"/>
  <x:c r="AF99" i="89"/>
  <x:c r="AG99" i="89"/>
  <x:c r="AH99" i="89"/>
  <x:c r="AI99" i="89"/>
  <x:c r="AJ99" i="89"/>
  <x:c r="J100" i="89"/>
  <x:c r="K100" i="89"/>
  <x:c r="L100" i="89"/>
  <x:c r="M100" i="89"/>
  <x:c r="O100" i="89"/>
  <x:c r="V100" i="89"/>
  <x:c r="AD100" i="89"/>
  <x:c r="AF100" i="89"/>
  <x:c r="AG100" i="89"/>
  <x:c r="AH100" i="89"/>
  <x:c r="AI100" i="89"/>
  <x:c r="AJ100" i="89"/>
  <x:c r="J101" i="89"/>
  <x:c r="K101" i="89"/>
  <x:c r="L101" i="89"/>
  <x:c r="M101" i="89"/>
  <x:c r="O101" i="89"/>
  <x:c r="V101" i="89"/>
  <x:c r="AD101" i="89"/>
  <x:c r="AF101" i="89"/>
  <x:c r="AG101" i="89"/>
  <x:c r="AH101" i="89"/>
  <x:c r="AI101" i="89"/>
  <x:c r="AJ101" i="89"/>
  <x:c r="J102" i="89"/>
  <x:c r="K102" i="89"/>
  <x:c r="L102" i="89"/>
  <x:c r="M102" i="89"/>
  <x:c r="O102" i="89"/>
  <x:c r="V102" i="89"/>
  <x:c r="AD102" i="89"/>
  <x:c r="AF102" i="89"/>
  <x:c r="AG102" i="89"/>
  <x:c r="AH102" i="89"/>
  <x:c r="AI102" i="89"/>
  <x:c r="AJ102" i="89"/>
  <x:c r="J103" i="89"/>
  <x:c r="K103" i="89"/>
  <x:c r="L103" i="89"/>
  <x:c r="M103" i="89"/>
  <x:c r="O103" i="89"/>
  <x:c r="V103" i="89"/>
  <x:c r="AD103" i="89"/>
  <x:c r="AF103" i="89"/>
  <x:c r="AG103" i="89"/>
  <x:c r="AH103" i="89"/>
  <x:c r="AI103" i="89"/>
  <x:c r="AJ103" i="89"/>
  <x:c r="J104" i="89"/>
  <x:c r="K104" i="89"/>
  <x:c r="L104" i="89"/>
  <x:c r="M104" i="89"/>
  <x:c r="O104" i="89"/>
  <x:c r="V104" i="89"/>
  <x:c r="AD104" i="89"/>
  <x:c r="AF104" i="89"/>
  <x:c r="AG104" i="89"/>
  <x:c r="AH104" i="89"/>
  <x:c r="AI104" i="89"/>
  <x:c r="AJ104" i="89"/>
  <x:c r="J105" i="89"/>
  <x:c r="K105" i="89"/>
  <x:c r="L105" i="89"/>
  <x:c r="M105" i="89"/>
  <x:c r="O105" i="89"/>
  <x:c r="V105" i="89"/>
  <x:c r="AD105" i="89"/>
  <x:c r="AF105" i="89"/>
  <x:c r="AG105" i="89"/>
  <x:c r="AH105" i="89"/>
  <x:c r="AI105" i="89"/>
  <x:c r="AJ105" i="89"/>
  <x:c r="J106" i="89"/>
  <x:c r="K106" i="89"/>
  <x:c r="L106" i="89"/>
  <x:c r="M106" i="89"/>
  <x:c r="O106" i="89"/>
  <x:c r="V106" i="89"/>
  <x:c r="AD106" i="89"/>
  <x:c r="AF106" i="89"/>
  <x:c r="AG106" i="89"/>
  <x:c r="AH106" i="89"/>
  <x:c r="AI106" i="89"/>
  <x:c r="AJ106" i="89"/>
  <x:c r="J107" i="89"/>
  <x:c r="K107" i="89"/>
  <x:c r="L107" i="89"/>
  <x:c r="M107" i="89"/>
  <x:c r="O107" i="89"/>
  <x:c r="V107" i="89"/>
  <x:c r="AD107" i="89"/>
  <x:c r="AF107" i="89"/>
  <x:c r="AG107" i="89"/>
  <x:c r="AH107" i="89"/>
  <x:c r="AI107" i="89"/>
  <x:c r="AJ107" i="89"/>
  <x:c r="J108" i="89"/>
  <x:c r="K108" i="89"/>
  <x:c r="L108" i="89"/>
  <x:c r="M108" i="89"/>
  <x:c r="O108" i="89"/>
  <x:c r="V108" i="89"/>
  <x:c r="AD108" i="89"/>
  <x:c r="AF108" i="89"/>
  <x:c r="AG108" i="89"/>
  <x:c r="AH108" i="89"/>
  <x:c r="AI108" i="89"/>
  <x:c r="AJ108" i="89"/>
  <x:c r="J109" i="89"/>
  <x:c r="K109" i="89"/>
  <x:c r="L109" i="89"/>
  <x:c r="M109" i="89"/>
  <x:c r="O109" i="89"/>
  <x:c r="V109" i="89"/>
  <x:c r="AD109" i="89"/>
  <x:c r="AF109" i="89"/>
  <x:c r="AG109" i="89"/>
  <x:c r="AH109" i="89"/>
  <x:c r="AI109" i="89"/>
  <x:c r="AJ109" i="89"/>
  <x:c r="J110" i="89"/>
  <x:c r="K110" i="89"/>
  <x:c r="L110" i="89"/>
  <x:c r="M110" i="89"/>
  <x:c r="O110" i="89"/>
  <x:c r="V110" i="89"/>
  <x:c r="AD110" i="89"/>
  <x:c r="AF110" i="89"/>
  <x:c r="AG110" i="89"/>
  <x:c r="AH110" i="89"/>
  <x:c r="AI110" i="89"/>
  <x:c r="AJ110" i="89"/>
  <x:c r="J111" i="89"/>
  <x:c r="K111" i="89"/>
  <x:c r="L111" i="89"/>
  <x:c r="M111" i="89"/>
  <x:c r="O111" i="89"/>
  <x:c r="V111" i="89"/>
  <x:c r="AD111" i="89"/>
  <x:c r="AF111" i="89"/>
  <x:c r="AG111" i="89"/>
  <x:c r="AH111" i="89"/>
  <x:c r="AI111" i="89"/>
  <x:c r="AJ111" i="89"/>
  <x:c r="J112" i="89"/>
  <x:c r="K112" i="89"/>
  <x:c r="L112" i="89"/>
  <x:c r="M112" i="89"/>
  <x:c r="O112" i="89"/>
  <x:c r="V112" i="89"/>
  <x:c r="AD112" i="89"/>
  <x:c r="AF112" i="89"/>
  <x:c r="AG112" i="89"/>
  <x:c r="AH112" i="89"/>
  <x:c r="AI112" i="89"/>
  <x:c r="AJ112" i="89"/>
  <x:c r="J113" i="89"/>
  <x:c r="K113" i="89"/>
  <x:c r="L113" i="89"/>
  <x:c r="M113" i="89"/>
  <x:c r="O113" i="89"/>
  <x:c r="V113" i="89"/>
  <x:c r="AD113" i="89"/>
  <x:c r="AF113" i="89"/>
  <x:c r="AG113" i="89"/>
  <x:c r="AH113" i="89"/>
  <x:c r="AI113" i="89"/>
  <x:c r="AJ113" i="89"/>
  <x:c r="J114" i="89"/>
  <x:c r="K114" i="89"/>
  <x:c r="L114" i="89"/>
  <x:c r="M114" i="89"/>
  <x:c r="O114" i="89"/>
  <x:c r="V114" i="89"/>
  <x:c r="AD114" i="89"/>
  <x:c r="AF114" i="89"/>
  <x:c r="AG114" i="89"/>
  <x:c r="AH114" i="89"/>
  <x:c r="AI114" i="89"/>
  <x:c r="AJ114" i="89"/>
  <x:c r="J115" i="89"/>
  <x:c r="K115" i="89"/>
  <x:c r="L115" i="89"/>
  <x:c r="M115" i="89"/>
  <x:c r="O115" i="89"/>
  <x:c r="V115" i="89"/>
  <x:c r="AD115" i="89"/>
  <x:c r="AF115" i="89"/>
  <x:c r="AG115" i="89"/>
  <x:c r="AH115" i="89"/>
  <x:c r="AI115" i="89"/>
  <x:c r="AJ115" i="89"/>
  <x:c r="J116" i="89"/>
  <x:c r="K116" i="89"/>
  <x:c r="L116" i="89"/>
  <x:c r="M116" i="89"/>
  <x:c r="O116" i="89"/>
  <x:c r="V116" i="89"/>
  <x:c r="AD116" i="89"/>
  <x:c r="AF116" i="89"/>
  <x:c r="AG116" i="89"/>
  <x:c r="AH116" i="89"/>
  <x:c r="AI116" i="89"/>
  <x:c r="AJ116" i="89"/>
  <x:c r="J117" i="89"/>
  <x:c r="K117" i="89"/>
  <x:c r="L117" i="89"/>
  <x:c r="M117" i="89"/>
  <x:c r="O117" i="89"/>
  <x:c r="V117" i="89"/>
  <x:c r="AD117" i="89"/>
  <x:c r="AF117" i="89"/>
  <x:c r="AG117" i="89"/>
  <x:c r="AH117" i="89"/>
  <x:c r="AI117" i="89"/>
  <x:c r="AJ117" i="89"/>
  <x:c r="J118" i="89"/>
  <x:c r="K118" i="89"/>
  <x:c r="L118" i="89"/>
  <x:c r="M118" i="89"/>
  <x:c r="O118" i="89"/>
  <x:c r="V118" i="89"/>
  <x:c r="AD118" i="89"/>
  <x:c r="AF118" i="89"/>
  <x:c r="AG118" i="89"/>
  <x:c r="AH118" i="89"/>
  <x:c r="AI118" i="89"/>
  <x:c r="AJ118" i="89"/>
  <x:c r="J119" i="89"/>
  <x:c r="K119" i="89"/>
  <x:c r="L119" i="89"/>
  <x:c r="M119" i="89"/>
  <x:c r="O119" i="89"/>
  <x:c r="V119" i="89"/>
  <x:c r="AD119" i="89"/>
  <x:c r="AF119" i="89"/>
  <x:c r="AG119" i="89"/>
  <x:c r="AH119" i="89"/>
  <x:c r="AI119" i="89"/>
  <x:c r="AJ119" i="89"/>
  <x:c r="J120" i="89"/>
  <x:c r="K120" i="89"/>
  <x:c r="L120" i="89"/>
  <x:c r="M120" i="89"/>
  <x:c r="O120" i="89"/>
  <x:c r="V120" i="89"/>
  <x:c r="AD120" i="89"/>
  <x:c r="AF120" i="89"/>
  <x:c r="AG120" i="89"/>
  <x:c r="AH120" i="89"/>
  <x:c r="AI120" i="89"/>
  <x:c r="AJ120" i="89"/>
  <x:c r="J121" i="89"/>
  <x:c r="K121" i="89"/>
  <x:c r="L121" i="89"/>
  <x:c r="M121" i="89"/>
  <x:c r="O121" i="89"/>
  <x:c r="V121" i="89"/>
  <x:c r="AD121" i="89"/>
  <x:c r="AF121" i="89"/>
  <x:c r="AG121" i="89"/>
  <x:c r="AH121" i="89"/>
  <x:c r="AI121" i="89"/>
  <x:c r="AJ121" i="89"/>
  <x:c r="J122" i="89"/>
  <x:c r="K122" i="89"/>
  <x:c r="L122" i="89"/>
  <x:c r="M122" i="89"/>
  <x:c r="O122" i="89"/>
  <x:c r="V122" i="89"/>
  <x:c r="AD122" i="89"/>
  <x:c r="AF122" i="89"/>
  <x:c r="AG122" i="89"/>
  <x:c r="AH122" i="89"/>
  <x:c r="AI122" i="89"/>
  <x:c r="AJ122" i="89"/>
  <x:c r="J123" i="89"/>
  <x:c r="K123" i="89"/>
  <x:c r="L123" i="89"/>
  <x:c r="M123" i="89"/>
  <x:c r="O123" i="89"/>
  <x:c r="V123" i="89"/>
  <x:c r="AD123" i="89"/>
  <x:c r="AF123" i="89"/>
  <x:c r="AG123" i="89"/>
  <x:c r="AH123" i="89"/>
  <x:c r="AI123" i="89"/>
  <x:c r="AJ123" i="89"/>
  <x:c r="J124" i="89"/>
  <x:c r="K124" i="89"/>
  <x:c r="L124" i="89"/>
  <x:c r="M124" i="89"/>
  <x:c r="O124" i="89"/>
  <x:c r="V124" i="89"/>
  <x:c r="AD124" i="89"/>
  <x:c r="AF124" i="89"/>
  <x:c r="AG124" i="89"/>
  <x:c r="AH124" i="89"/>
  <x:c r="AI124" i="89"/>
  <x:c r="AJ124" i="89"/>
  <x:c r="J125" i="89"/>
  <x:c r="K125" i="89"/>
  <x:c r="L125" i="89"/>
  <x:c r="M125" i="89"/>
  <x:c r="O125" i="89"/>
  <x:c r="V125" i="89"/>
  <x:c r="AD125" i="89"/>
  <x:c r="AF125" i="89"/>
  <x:c r="AG125" i="89"/>
  <x:c r="AH125" i="89"/>
  <x:c r="AI125" i="89"/>
  <x:c r="AJ125" i="89"/>
  <x:c r="J126" i="89"/>
  <x:c r="K126" i="89"/>
  <x:c r="L126" i="89"/>
  <x:c r="M126" i="89"/>
  <x:c r="O126" i="89"/>
  <x:c r="V126" i="89"/>
  <x:c r="AD126" i="89"/>
  <x:c r="AF126" i="89"/>
  <x:c r="AG126" i="89"/>
  <x:c r="AH126" i="89"/>
  <x:c r="AI126" i="89"/>
  <x:c r="AJ126" i="89"/>
  <x:c r="J127" i="89"/>
  <x:c r="K127" i="89"/>
  <x:c r="L127" i="89"/>
  <x:c r="M127" i="89"/>
  <x:c r="O127" i="89"/>
  <x:c r="V127" i="89"/>
  <x:c r="AD127" i="89"/>
  <x:c r="AF127" i="89"/>
  <x:c r="AG127" i="89"/>
  <x:c r="AH127" i="89"/>
  <x:c r="AI127" i="89"/>
  <x:c r="AJ127" i="89"/>
  <x:c r="J128" i="89"/>
  <x:c r="K128" i="89"/>
  <x:c r="L128" i="89"/>
  <x:c r="M128" i="89"/>
  <x:c r="O128" i="89"/>
  <x:c r="V128" i="89"/>
  <x:c r="AD128" i="89"/>
  <x:c r="AF128" i="89"/>
  <x:c r="AG128" i="89"/>
  <x:c r="AH128" i="89"/>
  <x:c r="AI128" i="89"/>
  <x:c r="AJ128" i="89"/>
  <x:c r="J129" i="89"/>
  <x:c r="K129" i="89"/>
  <x:c r="L129" i="89"/>
  <x:c r="M129" i="89"/>
  <x:c r="O129" i="89"/>
  <x:c r="V129" i="89"/>
  <x:c r="AD129" i="89"/>
  <x:c r="AF129" i="89"/>
  <x:c r="AG129" i="89"/>
  <x:c r="AH129" i="89"/>
  <x:c r="AI129" i="89"/>
  <x:c r="AJ129" i="89"/>
  <x:c r="J130" i="89"/>
  <x:c r="K130" i="89"/>
  <x:c r="L130" i="89"/>
  <x:c r="M130" i="89"/>
  <x:c r="O130" i="89"/>
  <x:c r="V130" i="89"/>
  <x:c r="AD130" i="89"/>
  <x:c r="AF130" i="89"/>
  <x:c r="AG130" i="89"/>
  <x:c r="AH130" i="89"/>
  <x:c r="AI130" i="89"/>
  <x:c r="AJ130" i="89"/>
  <x:c r="J131" i="89"/>
  <x:c r="K131" i="89"/>
  <x:c r="L131" i="89"/>
  <x:c r="M131" i="89"/>
  <x:c r="O131" i="89"/>
  <x:c r="V131" i="89"/>
  <x:c r="AD131" i="89"/>
  <x:c r="AF131" i="89"/>
  <x:c r="AG131" i="89"/>
  <x:c r="AH131" i="89"/>
  <x:c r="AI131" i="89"/>
  <x:c r="AJ131" i="89"/>
  <x:c r="J132" i="89"/>
  <x:c r="K132" i="89"/>
  <x:c r="L132" i="89"/>
  <x:c r="M132" i="89"/>
  <x:c r="O132" i="89"/>
  <x:c r="V132" i="89"/>
  <x:c r="AD132" i="89"/>
  <x:c r="AF132" i="89"/>
  <x:c r="AG132" i="89"/>
  <x:c r="AH132" i="89"/>
  <x:c r="AI132" i="89"/>
  <x:c r="AJ132" i="89"/>
  <x:c r="J133" i="89"/>
  <x:c r="K133" i="89"/>
  <x:c r="L133" i="89"/>
  <x:c r="M133" i="89"/>
  <x:c r="O133" i="89"/>
  <x:c r="V133" i="89"/>
  <x:c r="AD133" i="89"/>
  <x:c r="AF133" i="89"/>
  <x:c r="AG133" i="89"/>
  <x:c r="AH133" i="89"/>
  <x:c r="AI133" i="89"/>
  <x:c r="AJ133" i="89"/>
  <x:c r="J134" i="89"/>
  <x:c r="K134" i="89"/>
  <x:c r="L134" i="89"/>
  <x:c r="M134" i="89"/>
  <x:c r="O134" i="89"/>
  <x:c r="V134" i="89"/>
  <x:c r="AD134" i="89"/>
  <x:c r="AF134" i="89"/>
  <x:c r="AG134" i="89"/>
  <x:c r="AH134" i="89"/>
  <x:c r="AI134" i="89"/>
  <x:c r="AJ134" i="89"/>
  <x:c r="J135" i="89"/>
  <x:c r="K135" i="89"/>
  <x:c r="L135" i="89"/>
  <x:c r="M135" i="89"/>
  <x:c r="O135" i="89"/>
  <x:c r="V135" i="89"/>
  <x:c r="AD135" i="89"/>
  <x:c r="AF135" i="89"/>
  <x:c r="AG135" i="89"/>
  <x:c r="AH135" i="89"/>
  <x:c r="AI135" i="89"/>
  <x:c r="AJ135" i="89"/>
  <x:c r="J136" i="89"/>
  <x:c r="K136" i="89"/>
  <x:c r="L136" i="89"/>
  <x:c r="M136" i="89"/>
  <x:c r="O136" i="89"/>
  <x:c r="V136" i="89"/>
  <x:c r="AD136" i="89"/>
  <x:c r="AF136" i="89"/>
  <x:c r="AG136" i="89"/>
  <x:c r="AH136" i="89"/>
  <x:c r="AI136" i="89"/>
  <x:c r="AJ136" i="89"/>
  <x:c r="J137" i="89"/>
  <x:c r="K137" i="89"/>
  <x:c r="L137" i="89"/>
  <x:c r="M137" i="89"/>
  <x:c r="O137" i="89"/>
  <x:c r="V137" i="89"/>
  <x:c r="AD137" i="89"/>
  <x:c r="AF137" i="89"/>
  <x:c r="AG137" i="89"/>
  <x:c r="AH137" i="89"/>
  <x:c r="AI137" i="89"/>
  <x:c r="AJ137" i="89"/>
  <x:c r="J138" i="89"/>
  <x:c r="K138" i="89"/>
  <x:c r="L138" i="89"/>
  <x:c r="M138" i="89"/>
  <x:c r="O138" i="89"/>
  <x:c r="V138" i="89"/>
  <x:c r="AD138" i="89"/>
  <x:c r="AF138" i="89"/>
  <x:c r="AG138" i="89"/>
  <x:c r="AH138" i="89"/>
  <x:c r="AI138" i="89"/>
  <x:c r="AJ138" i="89"/>
  <x:c r="J139" i="89"/>
  <x:c r="K139" i="89"/>
  <x:c r="L139" i="89"/>
  <x:c r="M139" i="89"/>
  <x:c r="O139" i="89"/>
  <x:c r="V139" i="89"/>
  <x:c r="AD139" i="89"/>
  <x:c r="AF139" i="89"/>
  <x:c r="AG139" i="89"/>
  <x:c r="AH139" i="89"/>
  <x:c r="AI139" i="89"/>
  <x:c r="AJ139" i="89"/>
  <x:c r="J140" i="89"/>
  <x:c r="K140" i="89"/>
  <x:c r="L140" i="89"/>
  <x:c r="M140" i="89"/>
  <x:c r="O140" i="89"/>
  <x:c r="V140" i="89"/>
  <x:c r="AD140" i="89"/>
  <x:c r="AF140" i="89"/>
  <x:c r="AG140" i="89"/>
  <x:c r="AH140" i="89"/>
  <x:c r="AI140" i="89"/>
  <x:c r="AJ140" i="89"/>
  <x:c r="J141" i="89"/>
  <x:c r="K141" i="89"/>
  <x:c r="L141" i="89"/>
  <x:c r="M141" i="89"/>
  <x:c r="O141" i="89"/>
  <x:c r="V141" i="89"/>
  <x:c r="AD141" i="89"/>
  <x:c r="AF141" i="89"/>
  <x:c r="AG141" i="89"/>
  <x:c r="AH141" i="89"/>
  <x:c r="AI141" i="89"/>
  <x:c r="AJ141" i="89"/>
  <x:c r="J142" i="89"/>
  <x:c r="K142" i="89"/>
  <x:c r="L142" i="89"/>
  <x:c r="M142" i="89"/>
  <x:c r="O142" i="89"/>
  <x:c r="V142" i="89"/>
  <x:c r="AD142" i="89"/>
  <x:c r="AF142" i="89"/>
  <x:c r="AG142" i="89"/>
  <x:c r="AH142" i="89"/>
  <x:c r="AI142" i="89"/>
  <x:c r="AJ142" i="89"/>
  <x:c r="J143" i="89"/>
  <x:c r="K143" i="89"/>
  <x:c r="L143" i="89"/>
  <x:c r="M143" i="89"/>
  <x:c r="O143" i="89"/>
  <x:c r="V143" i="89"/>
  <x:c r="AD143" i="89"/>
  <x:c r="AF143" i="89"/>
  <x:c r="AG143" i="89"/>
  <x:c r="AH143" i="89"/>
  <x:c r="AI143" i="89"/>
  <x:c r="AJ143" i="89"/>
  <x:c r="J144" i="89"/>
  <x:c r="K144" i="89"/>
  <x:c r="L144" i="89"/>
  <x:c r="M144" i="89"/>
  <x:c r="O144" i="89"/>
  <x:c r="V144" i="89"/>
  <x:c r="AD144" i="89"/>
  <x:c r="AF144" i="89"/>
  <x:c r="AG144" i="89"/>
  <x:c r="AH144" i="89"/>
  <x:c r="AI144" i="89"/>
  <x:c r="AJ144" i="89"/>
  <x:c r="J145" i="89"/>
  <x:c r="K145" i="89"/>
  <x:c r="L145" i="89"/>
  <x:c r="M145" i="89"/>
  <x:c r="O145" i="89"/>
  <x:c r="V145" i="89"/>
  <x:c r="AD145" i="89"/>
  <x:c r="AF145" i="89"/>
  <x:c r="AG145" i="89"/>
  <x:c r="AH145" i="89"/>
  <x:c r="AI145" i="89"/>
  <x:c r="AJ145" i="89"/>
  <x:c r="J146" i="89"/>
  <x:c r="K146" i="89"/>
  <x:c r="L146" i="89"/>
  <x:c r="M146" i="89"/>
  <x:c r="O146" i="89"/>
  <x:c r="V146" i="89"/>
  <x:c r="AD146" i="89"/>
  <x:c r="AF146" i="89"/>
  <x:c r="AG146" i="89"/>
  <x:c r="AH146" i="89"/>
  <x:c r="AI146" i="89"/>
  <x:c r="AJ146" i="89"/>
  <x:c r="J147" i="89"/>
  <x:c r="K147" i="89"/>
  <x:c r="L147" i="89"/>
  <x:c r="M147" i="89"/>
  <x:c r="O147" i="89"/>
  <x:c r="V147" i="89"/>
  <x:c r="AD147" i="89"/>
  <x:c r="AF147" i="89"/>
  <x:c r="AG147" i="89"/>
  <x:c r="AH147" i="89"/>
  <x:c r="AI147" i="89"/>
  <x:c r="AJ147" i="89"/>
  <x:c r="J148" i="89"/>
  <x:c r="K148" i="89"/>
  <x:c r="L148" i="89"/>
  <x:c r="M148" i="89"/>
  <x:c r="O148" i="89"/>
  <x:c r="V148" i="89"/>
  <x:c r="AD148" i="89"/>
  <x:c r="AF148" i="89"/>
  <x:c r="AG148" i="89"/>
  <x:c r="AH148" i="89"/>
  <x:c r="AI148" i="89"/>
  <x:c r="AJ148" i="89"/>
  <x:c r="J149" i="89"/>
  <x:c r="K149" i="89"/>
  <x:c r="L149" i="89"/>
  <x:c r="M149" i="89"/>
  <x:c r="O149" i="89"/>
  <x:c r="V149" i="89"/>
  <x:c r="AD149" i="89"/>
  <x:c r="AF149" i="89"/>
  <x:c r="AG149" i="89"/>
  <x:c r="AH149" i="89"/>
  <x:c r="AI149" i="89"/>
  <x:c r="AJ149" i="89"/>
  <x:c r="J150" i="89"/>
  <x:c r="K150" i="89"/>
  <x:c r="L150" i="89"/>
  <x:c r="M150" i="89"/>
  <x:c r="O150" i="89"/>
  <x:c r="V150" i="89"/>
  <x:c r="AD150" i="89"/>
  <x:c r="AF150" i="89"/>
  <x:c r="AG150" i="89"/>
  <x:c r="AH150" i="89"/>
  <x:c r="AI150" i="89"/>
  <x:c r="AJ150" i="89"/>
  <x:c r="J151" i="89"/>
  <x:c r="K151" i="89"/>
  <x:c r="L151" i="89"/>
  <x:c r="M151" i="89"/>
  <x:c r="O151" i="89"/>
  <x:c r="V151" i="89"/>
  <x:c r="AD151" i="89"/>
  <x:c r="AF151" i="89"/>
  <x:c r="AG151" i="89"/>
  <x:c r="AH151" i="89"/>
  <x:c r="AI151" i="89"/>
  <x:c r="AJ151" i="89"/>
  <x:c r="J152" i="89"/>
  <x:c r="K152" i="89"/>
  <x:c r="L152" i="89"/>
  <x:c r="M152" i="89"/>
  <x:c r="O152" i="89"/>
  <x:c r="V152" i="89"/>
  <x:c r="AD152" i="89"/>
  <x:c r="AF152" i="89"/>
  <x:c r="AG152" i="89"/>
  <x:c r="AH152" i="89"/>
  <x:c r="AI152" i="89"/>
  <x:c r="AJ152" i="89"/>
  <x:c r="J153" i="89"/>
  <x:c r="K153" i="89"/>
  <x:c r="L153" i="89"/>
  <x:c r="M153" i="89"/>
  <x:c r="O153" i="89"/>
  <x:c r="V153" i="89"/>
  <x:c r="AD153" i="89"/>
  <x:c r="AF153" i="89"/>
  <x:c r="AG153" i="89"/>
  <x:c r="AH153" i="89"/>
  <x:c r="AI153" i="89"/>
  <x:c r="AJ153" i="89"/>
  <x:c r="J154" i="89"/>
  <x:c r="K154" i="89"/>
  <x:c r="L154" i="89"/>
  <x:c r="M154" i="89"/>
  <x:c r="O154" i="89"/>
  <x:c r="V154" i="89"/>
  <x:c r="AD154" i="89"/>
  <x:c r="AF154" i="89"/>
  <x:c r="AG154" i="89"/>
  <x:c r="AH154" i="89"/>
  <x:c r="AI154" i="89"/>
  <x:c r="AJ154" i="89"/>
  <x:c r="J155" i="89"/>
  <x:c r="K155" i="89"/>
  <x:c r="L155" i="89"/>
  <x:c r="M155" i="89"/>
  <x:c r="O155" i="89"/>
  <x:c r="V155" i="89"/>
  <x:c r="AD155" i="89"/>
  <x:c r="AF155" i="89"/>
  <x:c r="AG155" i="89"/>
  <x:c r="AH155" i="89"/>
  <x:c r="AI155" i="89"/>
  <x:c r="AJ155" i="89"/>
  <x:c r="J156" i="89"/>
  <x:c r="K156" i="89"/>
  <x:c r="L156" i="89"/>
  <x:c r="M156" i="89"/>
  <x:c r="O156" i="89"/>
  <x:c r="V156" i="89"/>
  <x:c r="AD156" i="89"/>
  <x:c r="AF156" i="89"/>
  <x:c r="AG156" i="89"/>
  <x:c r="AH156" i="89"/>
  <x:c r="AI156" i="89"/>
  <x:c r="AJ156" i="89"/>
  <x:c r="J157" i="89"/>
  <x:c r="K157" i="89"/>
  <x:c r="L157" i="89"/>
  <x:c r="M157" i="89"/>
  <x:c r="O157" i="89"/>
  <x:c r="V157" i="89"/>
  <x:c r="AD157" i="89"/>
  <x:c r="AF157" i="89"/>
  <x:c r="AG157" i="89"/>
  <x:c r="AH157" i="89"/>
  <x:c r="AI157" i="89"/>
  <x:c r="AJ157" i="89"/>
  <x:c r="J158" i="89"/>
  <x:c r="K158" i="89"/>
  <x:c r="L158" i="89"/>
  <x:c r="M158" i="89"/>
  <x:c r="O158" i="89"/>
  <x:c r="V158" i="89"/>
  <x:c r="AD158" i="89"/>
  <x:c r="AF158" i="89"/>
  <x:c r="AG158" i="89"/>
  <x:c r="AH158" i="89"/>
  <x:c r="AI158" i="89"/>
  <x:c r="AJ158" i="89"/>
  <x:c r="J159" i="89"/>
  <x:c r="K159" i="89"/>
  <x:c r="L159" i="89"/>
  <x:c r="M159" i="89"/>
  <x:c r="O159" i="89"/>
  <x:c r="V159" i="89"/>
  <x:c r="AD159" i="89"/>
  <x:c r="AF159" i="89"/>
  <x:c r="AG159" i="89"/>
  <x:c r="AH159" i="89"/>
  <x:c r="AI159" i="89"/>
  <x:c r="AJ159" i="89"/>
  <x:c r="J160" i="89"/>
  <x:c r="K160" i="89"/>
  <x:c r="L160" i="89"/>
  <x:c r="M160" i="89"/>
  <x:c r="O160" i="89"/>
  <x:c r="V160" i="89"/>
  <x:c r="AD160" i="89"/>
  <x:c r="AF160" i="89"/>
  <x:c r="AG160" i="89"/>
  <x:c r="AH160" i="89"/>
  <x:c r="AI160" i="89"/>
  <x:c r="AJ160" i="89"/>
  <x:c r="J161" i="89"/>
  <x:c r="K161" i="89"/>
  <x:c r="L161" i="89"/>
  <x:c r="M161" i="89"/>
  <x:c r="O161" i="89"/>
  <x:c r="V161" i="89"/>
  <x:c r="AD161" i="89"/>
  <x:c r="AF161" i="89"/>
  <x:c r="AG161" i="89"/>
  <x:c r="AH161" i="89"/>
  <x:c r="AI161" i="89"/>
  <x:c r="AJ161" i="89"/>
  <x:c r="J162" i="89"/>
  <x:c r="K162" i="89"/>
  <x:c r="L162" i="89"/>
  <x:c r="M162" i="89"/>
  <x:c r="O162" i="89"/>
  <x:c r="V162" i="89"/>
  <x:c r="AD162" i="89"/>
  <x:c r="AF162" i="89"/>
  <x:c r="AG162" i="89"/>
  <x:c r="AH162" i="89"/>
  <x:c r="AI162" i="89"/>
  <x:c r="AJ162" i="89"/>
  <x:c r="J163" i="89"/>
  <x:c r="K163" i="89"/>
  <x:c r="L163" i="89"/>
  <x:c r="M163" i="89"/>
  <x:c r="O163" i="89"/>
  <x:c r="V163" i="89"/>
  <x:c r="AD163" i="89"/>
  <x:c r="AF163" i="89"/>
  <x:c r="AG163" i="89"/>
  <x:c r="AH163" i="89"/>
  <x:c r="AI163" i="89"/>
  <x:c r="AJ163" i="89"/>
  <x:c r="J164" i="89"/>
  <x:c r="K164" i="89"/>
  <x:c r="L164" i="89"/>
  <x:c r="M164" i="89"/>
  <x:c r="O164" i="89"/>
  <x:c r="V164" i="89"/>
  <x:c r="AD164" i="89"/>
  <x:c r="AF164" i="89"/>
  <x:c r="AG164" i="89"/>
  <x:c r="AH164" i="89"/>
  <x:c r="AI164" i="89"/>
  <x:c r="AJ164" i="89"/>
  <x:c r="J165" i="89"/>
  <x:c r="K165" i="89"/>
  <x:c r="L165" i="89"/>
  <x:c r="M165" i="89"/>
  <x:c r="O165" i="89"/>
  <x:c r="V165" i="89"/>
  <x:c r="AD165" i="89"/>
  <x:c r="AF165" i="89"/>
  <x:c r="AG165" i="89"/>
  <x:c r="AH165" i="89"/>
  <x:c r="AI165" i="89"/>
  <x:c r="AJ165" i="89"/>
  <x:c r="J166" i="89"/>
  <x:c r="K166" i="89"/>
  <x:c r="L166" i="89"/>
  <x:c r="M166" i="89"/>
  <x:c r="O166" i="89"/>
  <x:c r="V166" i="89"/>
  <x:c r="AD166" i="89"/>
  <x:c r="AF166" i="89"/>
  <x:c r="AG166" i="89"/>
  <x:c r="AH166" i="89"/>
  <x:c r="AI166" i="89"/>
  <x:c r="AJ166" i="89"/>
  <x:c r="J167" i="89"/>
  <x:c r="K167" i="89"/>
  <x:c r="L167" i="89"/>
  <x:c r="M167" i="89"/>
  <x:c r="O167" i="89"/>
  <x:c r="V167" i="89"/>
  <x:c r="AD167" i="89"/>
  <x:c r="AF167" i="89"/>
  <x:c r="AG167" i="89"/>
  <x:c r="AH167" i="89"/>
  <x:c r="AI167" i="89"/>
  <x:c r="AJ167" i="89"/>
  <x:c r="J168" i="89"/>
  <x:c r="K168" i="89"/>
  <x:c r="L168" i="89"/>
  <x:c r="M168" i="89"/>
  <x:c r="O168" i="89"/>
  <x:c r="V168" i="89"/>
  <x:c r="AD168" i="89"/>
  <x:c r="AF168" i="89"/>
  <x:c r="AG168" i="89"/>
  <x:c r="AH168" i="89"/>
  <x:c r="AI168" i="89"/>
  <x:c r="AJ168" i="89"/>
  <x:c r="J169" i="89"/>
  <x:c r="K169" i="89"/>
  <x:c r="L169" i="89"/>
  <x:c r="M169" i="89"/>
  <x:c r="O169" i="89"/>
  <x:c r="V169" i="89"/>
  <x:c r="AD169" i="89"/>
  <x:c r="AF169" i="89"/>
  <x:c r="AG169" i="89"/>
  <x:c r="AH169" i="89"/>
  <x:c r="AI169" i="89"/>
  <x:c r="AJ169" i="89"/>
  <x:c r="J170" i="89"/>
  <x:c r="K170" i="89"/>
  <x:c r="L170" i="89"/>
  <x:c r="M170" i="89"/>
  <x:c r="O170" i="89"/>
  <x:c r="V170" i="89"/>
  <x:c r="AD170" i="89"/>
  <x:c r="AF170" i="89"/>
  <x:c r="AG170" i="89"/>
  <x:c r="AH170" i="89"/>
  <x:c r="AI170" i="89"/>
  <x:c r="AJ170" i="89"/>
  <x:c r="J171" i="89"/>
  <x:c r="K171" i="89"/>
  <x:c r="L171" i="89"/>
  <x:c r="M171" i="89"/>
  <x:c r="O171" i="89"/>
  <x:c r="V171" i="89"/>
  <x:c r="AD171" i="89"/>
  <x:c r="AF171" i="89"/>
  <x:c r="AG171" i="89"/>
  <x:c r="AH171" i="89"/>
  <x:c r="AI171" i="89"/>
  <x:c r="AJ171" i="89"/>
  <x:c r="J172" i="89"/>
  <x:c r="K172" i="89"/>
  <x:c r="L172" i="89"/>
  <x:c r="M172" i="89"/>
  <x:c r="O172" i="89"/>
  <x:c r="V172" i="89"/>
  <x:c r="AD172" i="89"/>
  <x:c r="AF172" i="89"/>
  <x:c r="AG172" i="89"/>
  <x:c r="AH172" i="89"/>
  <x:c r="AI172" i="89"/>
  <x:c r="AJ172" i="89"/>
  <x:c r="J173" i="89"/>
  <x:c r="K173" i="89"/>
  <x:c r="L173" i="89"/>
  <x:c r="M173" i="89"/>
  <x:c r="O173" i="89"/>
  <x:c r="V173" i="89"/>
  <x:c r="AD173" i="89"/>
  <x:c r="AF173" i="89"/>
  <x:c r="AG173" i="89"/>
  <x:c r="AH173" i="89"/>
  <x:c r="AI173" i="89"/>
  <x:c r="AJ173" i="89"/>
  <x:c r="J174" i="89"/>
  <x:c r="K174" i="89"/>
  <x:c r="L174" i="89"/>
  <x:c r="M174" i="89"/>
  <x:c r="O174" i="89"/>
  <x:c r="V174" i="89"/>
  <x:c r="AD174" i="89"/>
  <x:c r="AF174" i="89"/>
  <x:c r="AG174" i="89"/>
  <x:c r="AH174" i="89"/>
  <x:c r="AI174" i="89"/>
  <x:c r="AJ174" i="89"/>
  <x:c r="J175" i="89"/>
  <x:c r="K175" i="89"/>
  <x:c r="L175" i="89"/>
  <x:c r="M175" i="89"/>
  <x:c r="O175" i="89"/>
  <x:c r="V175" i="89"/>
  <x:c r="AD175" i="89"/>
  <x:c r="AF175" i="89"/>
  <x:c r="AG175" i="89"/>
  <x:c r="AH175" i="89"/>
  <x:c r="AI175" i="89"/>
  <x:c r="AJ175" i="89"/>
  <x:c r="J176" i="89"/>
  <x:c r="K176" i="89"/>
  <x:c r="L176" i="89"/>
  <x:c r="M176" i="89"/>
  <x:c r="O176" i="89"/>
  <x:c r="V176" i="89"/>
  <x:c r="AD176" i="89"/>
  <x:c r="AF176" i="89"/>
  <x:c r="AG176" i="89"/>
  <x:c r="AH176" i="89"/>
  <x:c r="AI176" i="89"/>
  <x:c r="AJ176" i="89"/>
  <x:c r="J177" i="89"/>
  <x:c r="K177" i="89"/>
  <x:c r="L177" i="89"/>
  <x:c r="M177" i="89"/>
  <x:c r="O177" i="89"/>
  <x:c r="V177" i="89"/>
  <x:c r="AD177" i="89"/>
  <x:c r="AF177" i="89"/>
  <x:c r="AG177" i="89"/>
  <x:c r="AH177" i="89"/>
  <x:c r="AI177" i="89"/>
  <x:c r="AJ177" i="89"/>
  <x:c r="J178" i="89"/>
  <x:c r="K178" i="89"/>
  <x:c r="L178" i="89"/>
  <x:c r="M178" i="89"/>
  <x:c r="O178" i="89"/>
  <x:c r="V178" i="89"/>
  <x:c r="AD178" i="89"/>
  <x:c r="AF178" i="89"/>
  <x:c r="AG178" i="89"/>
  <x:c r="AH178" i="89"/>
  <x:c r="AI178" i="89"/>
  <x:c r="AJ178" i="89"/>
  <x:c r="J179" i="89"/>
  <x:c r="K179" i="89"/>
  <x:c r="L179" i="89"/>
  <x:c r="M179" i="89"/>
  <x:c r="O179" i="89"/>
  <x:c r="V179" i="89"/>
  <x:c r="AD179" i="89"/>
  <x:c r="AF179" i="89"/>
  <x:c r="AG179" i="89"/>
  <x:c r="AH179" i="89"/>
  <x:c r="AI179" i="89"/>
  <x:c r="AJ179" i="89"/>
  <x:c r="J180" i="89"/>
  <x:c r="K180" i="89"/>
  <x:c r="L180" i="89"/>
  <x:c r="M180" i="89"/>
  <x:c r="O180" i="89"/>
  <x:c r="V180" i="89"/>
  <x:c r="AD180" i="89"/>
  <x:c r="AF180" i="89"/>
  <x:c r="AG180" i="89"/>
  <x:c r="AH180" i="89"/>
  <x:c r="AI180" i="89"/>
  <x:c r="AJ180" i="89"/>
  <x:c r="J181" i="89"/>
  <x:c r="K181" i="89"/>
  <x:c r="L181" i="89"/>
  <x:c r="M181" i="89"/>
  <x:c r="O181" i="89"/>
  <x:c r="V181" i="89"/>
  <x:c r="AD181" i="89"/>
  <x:c r="AF181" i="89"/>
  <x:c r="AG181" i="89"/>
  <x:c r="AH181" i="89"/>
  <x:c r="AI181" i="89"/>
  <x:c r="AJ181" i="89"/>
  <x:c r="J182" i="89"/>
  <x:c r="K182" i="89"/>
  <x:c r="L182" i="89"/>
  <x:c r="M182" i="89"/>
  <x:c r="O182" i="89"/>
  <x:c r="V182" i="89"/>
  <x:c r="AD182" i="89"/>
  <x:c r="AF182" i="89"/>
  <x:c r="AG182" i="89"/>
  <x:c r="AH182" i="89"/>
  <x:c r="AI182" i="89"/>
  <x:c r="AJ182" i="89"/>
  <x:c r="J183" i="89"/>
  <x:c r="K183" i="89"/>
  <x:c r="L183" i="89"/>
  <x:c r="M183" i="89"/>
  <x:c r="O183" i="89"/>
  <x:c r="V183" i="89"/>
  <x:c r="AD183" i="89"/>
  <x:c r="AF183" i="89"/>
  <x:c r="AG183" i="89"/>
  <x:c r="AH183" i="89"/>
  <x:c r="AI183" i="89"/>
  <x:c r="AJ183" i="89"/>
  <x:c r="J184" i="89"/>
  <x:c r="K184" i="89"/>
  <x:c r="L184" i="89"/>
  <x:c r="M184" i="89"/>
  <x:c r="O184" i="89"/>
  <x:c r="V184" i="89"/>
  <x:c r="AD184" i="89"/>
  <x:c r="AF184" i="89"/>
  <x:c r="AG184" i="89"/>
  <x:c r="AH184" i="89"/>
  <x:c r="AI184" i="89"/>
  <x:c r="AJ184" i="89"/>
  <x:c r="J185" i="89"/>
  <x:c r="K185" i="89"/>
  <x:c r="L185" i="89"/>
  <x:c r="M185" i="89"/>
  <x:c r="O185" i="89"/>
  <x:c r="V185" i="89"/>
  <x:c r="AD185" i="89"/>
  <x:c r="AF185" i="89"/>
  <x:c r="AG185" i="89"/>
  <x:c r="AH185" i="89"/>
  <x:c r="AI185" i="89"/>
  <x:c r="AJ185" i="89"/>
  <x:c r="J186" i="89"/>
  <x:c r="K186" i="89"/>
  <x:c r="L186" i="89"/>
  <x:c r="M186" i="89"/>
  <x:c r="O186" i="89"/>
  <x:c r="V186" i="89"/>
  <x:c r="AD186" i="89"/>
  <x:c r="AF186" i="89"/>
  <x:c r="AG186" i="89"/>
  <x:c r="AH186" i="89"/>
  <x:c r="AI186" i="89"/>
  <x:c r="AJ186" i="89"/>
  <x:c r="J187" i="89"/>
  <x:c r="K187" i="89"/>
  <x:c r="L187" i="89"/>
  <x:c r="M187" i="89"/>
  <x:c r="O187" i="89"/>
  <x:c r="V187" i="89"/>
  <x:c r="AD187" i="89"/>
  <x:c r="AF187" i="89"/>
  <x:c r="AG187" i="89"/>
  <x:c r="AH187" i="89"/>
  <x:c r="AI187" i="89"/>
  <x:c r="AJ187" i="89"/>
  <x:c r="J188" i="89"/>
  <x:c r="K188" i="89"/>
  <x:c r="L188" i="89"/>
  <x:c r="M188" i="89"/>
  <x:c r="O188" i="89"/>
  <x:c r="V188" i="89"/>
  <x:c r="AD188" i="89"/>
  <x:c r="AF188" i="89"/>
  <x:c r="AG188" i="89"/>
  <x:c r="AH188" i="89"/>
  <x:c r="AI188" i="89"/>
  <x:c r="AJ188" i="89"/>
  <x:c r="J189" i="89"/>
  <x:c r="K189" i="89"/>
  <x:c r="L189" i="89"/>
  <x:c r="M189" i="89"/>
  <x:c r="O189" i="89"/>
  <x:c r="V189" i="89"/>
  <x:c r="AD189" i="89"/>
  <x:c r="AF189" i="89"/>
  <x:c r="AG189" i="89"/>
  <x:c r="AH189" i="89"/>
  <x:c r="AI189" i="89"/>
  <x:c r="AJ189" i="89"/>
  <x:c r="J190" i="89"/>
  <x:c r="K190" i="89"/>
  <x:c r="L190" i="89"/>
  <x:c r="M190" i="89"/>
  <x:c r="O190" i="89"/>
  <x:c r="V190" i="89"/>
  <x:c r="AD190" i="89"/>
  <x:c r="AF190" i="89"/>
  <x:c r="AG190" i="89"/>
  <x:c r="AH190" i="89"/>
  <x:c r="AI190" i="89"/>
  <x:c r="AJ190" i="89"/>
  <x:c r="J191" i="89"/>
  <x:c r="K191" i="89"/>
  <x:c r="L191" i="89"/>
  <x:c r="M191" i="89"/>
  <x:c r="O191" i="89"/>
  <x:c r="V191" i="89"/>
  <x:c r="AD191" i="89"/>
  <x:c r="AF191" i="89"/>
  <x:c r="AG191" i="89"/>
  <x:c r="AH191" i="89"/>
  <x:c r="AI191" i="89"/>
  <x:c r="AJ191" i="89"/>
  <x:c r="J192" i="89"/>
  <x:c r="K192" i="89"/>
  <x:c r="L192" i="89"/>
  <x:c r="M192" i="89"/>
  <x:c r="O192" i="89"/>
  <x:c r="V192" i="89"/>
  <x:c r="AD192" i="89"/>
  <x:c r="AF192" i="89"/>
  <x:c r="AG192" i="89"/>
  <x:c r="AH192" i="89"/>
  <x:c r="AI192" i="89"/>
  <x:c r="AJ192" i="89"/>
  <x:c r="J193" i="89"/>
  <x:c r="K193" i="89"/>
  <x:c r="L193" i="89"/>
  <x:c r="M193" i="89"/>
  <x:c r="O193" i="89"/>
  <x:c r="V193" i="89"/>
  <x:c r="AD193" i="89"/>
  <x:c r="AF193" i="89"/>
  <x:c r="AG193" i="89"/>
  <x:c r="AH193" i="89"/>
  <x:c r="AI193" i="89"/>
  <x:c r="AJ193" i="89"/>
  <x:c r="J194" i="89"/>
  <x:c r="K194" i="89"/>
  <x:c r="L194" i="89"/>
  <x:c r="M194" i="89"/>
  <x:c r="O194" i="89"/>
  <x:c r="V194" i="89"/>
  <x:c r="AD194" i="89"/>
  <x:c r="AF194" i="89"/>
  <x:c r="AG194" i="89"/>
  <x:c r="AH194" i="89"/>
  <x:c r="AI194" i="89"/>
  <x:c r="AJ194" i="89"/>
  <x:c r="J195" i="89"/>
  <x:c r="K195" i="89"/>
  <x:c r="L195" i="89"/>
  <x:c r="M195" i="89"/>
  <x:c r="O195" i="89"/>
  <x:c r="V195" i="89"/>
  <x:c r="AD195" i="89"/>
  <x:c r="AF195" i="89"/>
  <x:c r="AG195" i="89"/>
  <x:c r="AH195" i="89"/>
  <x:c r="AI195" i="89"/>
  <x:c r="AJ195" i="89"/>
  <x:c r="J196" i="89"/>
  <x:c r="K196" i="89"/>
  <x:c r="L196" i="89"/>
  <x:c r="M196" i="89"/>
  <x:c r="O196" i="89"/>
  <x:c r="V196" i="89"/>
  <x:c r="AD196" i="89"/>
  <x:c r="AF196" i="89"/>
  <x:c r="AG196" i="89"/>
  <x:c r="AH196" i="89"/>
  <x:c r="AI196" i="89"/>
  <x:c r="AJ196" i="89"/>
  <x:c r="J197" i="89"/>
  <x:c r="K197" i="89"/>
  <x:c r="L197" i="89"/>
  <x:c r="M197" i="89"/>
  <x:c r="O197" i="89"/>
  <x:c r="V197" i="89"/>
  <x:c r="AD197" i="89"/>
  <x:c r="AF197" i="89"/>
  <x:c r="AG197" i="89"/>
  <x:c r="AH197" i="89"/>
  <x:c r="AI197" i="89"/>
  <x:c r="AJ197" i="89"/>
  <x:c r="J198" i="89"/>
  <x:c r="K198" i="89"/>
  <x:c r="L198" i="89"/>
  <x:c r="M198" i="89"/>
  <x:c r="O198" i="89"/>
  <x:c r="V198" i="89"/>
  <x:c r="AD198" i="89"/>
  <x:c r="AF198" i="89"/>
  <x:c r="AG198" i="89"/>
  <x:c r="AH198" i="89"/>
  <x:c r="AI198" i="89"/>
  <x:c r="AJ198" i="89"/>
  <x:c r="J199" i="89"/>
  <x:c r="K199" i="89"/>
  <x:c r="L199" i="89"/>
  <x:c r="M199" i="89"/>
  <x:c r="O199" i="89"/>
  <x:c r="V199" i="89"/>
  <x:c r="AD199" i="89"/>
  <x:c r="AF199" i="89"/>
  <x:c r="AG199" i="89"/>
  <x:c r="AH199" i="89"/>
  <x:c r="AI199" i="89"/>
  <x:c r="AJ199" i="89"/>
  <x:c r="J200" i="89"/>
  <x:c r="K200" i="89"/>
  <x:c r="L200" i="89"/>
  <x:c r="M200" i="89"/>
  <x:c r="O200" i="89"/>
  <x:c r="V200" i="89"/>
  <x:c r="AD200" i="89"/>
  <x:c r="AF200" i="89"/>
  <x:c r="AG200" i="89"/>
  <x:c r="AH200" i="89"/>
  <x:c r="AI200" i="89"/>
  <x:c r="AJ200" i="89"/>
  <x:c r="J201" i="89"/>
  <x:c r="K201" i="89"/>
  <x:c r="L201" i="89"/>
  <x:c r="M201" i="89"/>
  <x:c r="O201" i="89"/>
  <x:c r="V201" i="89"/>
  <x:c r="AD201" i="89"/>
  <x:c r="AF201" i="89"/>
  <x:c r="AG201" i="89"/>
  <x:c r="AH201" i="89"/>
  <x:c r="AI201" i="89"/>
  <x:c r="AJ201" i="89"/>
  <x:c r="J202" i="89"/>
  <x:c r="K202" i="89"/>
  <x:c r="L202" i="89"/>
  <x:c r="M202" i="89"/>
  <x:c r="O202" i="89"/>
  <x:c r="V202" i="89"/>
  <x:c r="AD202" i="89"/>
  <x:c r="AF202" i="89"/>
  <x:c r="AG202" i="89"/>
  <x:c r="AH202" i="89"/>
  <x:c r="AI202" i="89"/>
  <x:c r="AJ202" i="89"/>
  <x:c r="J203" i="89"/>
  <x:c r="K203" i="89"/>
  <x:c r="L203" i="89"/>
  <x:c r="M203" i="89"/>
  <x:c r="O203" i="89"/>
  <x:c r="V203" i="89"/>
  <x:c r="AD203" i="89"/>
  <x:c r="AF203" i="89"/>
  <x:c r="AG203" i="89"/>
  <x:c r="AH203" i="89"/>
  <x:c r="AI203" i="89"/>
  <x:c r="AJ203" i="89"/>
  <x:c r="J204" i="89"/>
  <x:c r="K204" i="89"/>
  <x:c r="L204" i="89"/>
  <x:c r="M204" i="89"/>
  <x:c r="O204" i="89"/>
  <x:c r="V204" i="89"/>
  <x:c r="AD204" i="89"/>
  <x:c r="AF204" i="89"/>
  <x:c r="AG204" i="89"/>
  <x:c r="AH204" i="89"/>
  <x:c r="AI204" i="89"/>
  <x:c r="AJ204" i="89"/>
  <x:c r="J205" i="89"/>
  <x:c r="K205" i="89"/>
  <x:c r="L205" i="89"/>
  <x:c r="M205" i="89"/>
  <x:c r="O205" i="89"/>
  <x:c r="V205" i="89"/>
  <x:c r="AD205" i="89"/>
  <x:c r="AF205" i="89"/>
  <x:c r="AG205" i="89"/>
  <x:c r="AH205" i="89"/>
  <x:c r="AI205" i="89"/>
  <x:c r="AJ205" i="89"/>
  <x:c r="J206" i="89"/>
  <x:c r="K206" i="89"/>
  <x:c r="L206" i="89"/>
  <x:c r="M206" i="89"/>
  <x:c r="O206" i="89"/>
  <x:c r="V206" i="89"/>
  <x:c r="AD206" i="89"/>
  <x:c r="AF206" i="89"/>
  <x:c r="AG206" i="89"/>
  <x:c r="AH206" i="89"/>
  <x:c r="AI206" i="89"/>
  <x:c r="AJ206" i="89"/>
  <x:c r="J207" i="89"/>
  <x:c r="K207" i="89"/>
  <x:c r="L207" i="89"/>
  <x:c r="M207" i="89"/>
  <x:c r="O207" i="89"/>
  <x:c r="V207" i="89"/>
  <x:c r="AD207" i="89"/>
  <x:c r="AF207" i="89"/>
  <x:c r="AG207" i="89"/>
  <x:c r="AH207" i="89"/>
  <x:c r="AI207" i="89"/>
  <x:c r="AJ207" i="89"/>
  <x:c r="J208" i="89"/>
  <x:c r="K208" i="89"/>
  <x:c r="L208" i="89"/>
  <x:c r="M208" i="89"/>
  <x:c r="O208" i="89"/>
  <x:c r="V208" i="89"/>
  <x:c r="AD208" i="89"/>
  <x:c r="AF208" i="89"/>
  <x:c r="AG208" i="89"/>
  <x:c r="AH208" i="89"/>
  <x:c r="AI208" i="89"/>
  <x:c r="AJ208" i="89"/>
  <x:c r="J209" i="89"/>
  <x:c r="K209" i="89"/>
  <x:c r="L209" i="89"/>
  <x:c r="M209" i="89"/>
  <x:c r="O209" i="89"/>
  <x:c r="V209" i="89"/>
  <x:c r="AD209" i="89"/>
  <x:c r="AF209" i="89"/>
  <x:c r="AG209" i="89"/>
  <x:c r="AH209" i="89"/>
  <x:c r="AI209" i="89"/>
  <x:c r="AJ209" i="89"/>
  <x:c r="J210" i="89"/>
  <x:c r="K210" i="89"/>
  <x:c r="L210" i="89"/>
  <x:c r="M210" i="89"/>
  <x:c r="O210" i="89"/>
  <x:c r="V210" i="89"/>
  <x:c r="AD210" i="89"/>
  <x:c r="AF210" i="89"/>
  <x:c r="AG210" i="89"/>
  <x:c r="AH210" i="89"/>
  <x:c r="AI210" i="89"/>
  <x:c r="AJ210" i="89"/>
  <x:c r="J211" i="89"/>
  <x:c r="K211" i="89"/>
  <x:c r="L211" i="89"/>
  <x:c r="M211" i="89"/>
  <x:c r="O211" i="89"/>
  <x:c r="V211" i="89"/>
  <x:c r="AD211" i="89"/>
  <x:c r="AF211" i="89"/>
  <x:c r="AG211" i="89"/>
  <x:c r="AH211" i="89"/>
  <x:c r="AI211" i="89"/>
  <x:c r="AJ211" i="89"/>
  <x:c r="J212" i="89"/>
  <x:c r="K212" i="89"/>
  <x:c r="L212" i="89"/>
  <x:c r="M212" i="89"/>
  <x:c r="O212" i="89"/>
  <x:c r="V212" i="89"/>
  <x:c r="AD212" i="89"/>
  <x:c r="AF212" i="89"/>
  <x:c r="AG212" i="89"/>
  <x:c r="AH212" i="89"/>
  <x:c r="AI212" i="89"/>
  <x:c r="AJ212" i="89"/>
  <x:c r="J213" i="89"/>
  <x:c r="K213" i="89"/>
  <x:c r="L213" i="89"/>
  <x:c r="M213" i="89"/>
  <x:c r="O213" i="89"/>
  <x:c r="V213" i="89"/>
  <x:c r="AD213" i="89"/>
  <x:c r="AF213" i="89"/>
  <x:c r="AG213" i="89"/>
  <x:c r="AH213" i="89"/>
  <x:c r="AI213" i="89"/>
  <x:c r="AJ213" i="89"/>
  <x:c r="J214" i="89"/>
  <x:c r="K214" i="89"/>
  <x:c r="L214" i="89"/>
  <x:c r="M214" i="89"/>
  <x:c r="O214" i="89"/>
  <x:c r="V214" i="89"/>
  <x:c r="AD214" i="89"/>
  <x:c r="AF214" i="89"/>
  <x:c r="AG214" i="89"/>
  <x:c r="AH214" i="89"/>
  <x:c r="AI214" i="89"/>
  <x:c r="AJ214" i="89"/>
  <x:c r="J215" i="89"/>
  <x:c r="K215" i="89"/>
  <x:c r="L215" i="89"/>
  <x:c r="M215" i="89"/>
  <x:c r="O215" i="89"/>
  <x:c r="V215" i="89"/>
  <x:c r="AD215" i="89"/>
  <x:c r="AF215" i="89"/>
  <x:c r="AG215" i="89"/>
  <x:c r="AH215" i="89"/>
  <x:c r="AI215" i="89"/>
  <x:c r="AJ215" i="89"/>
  <x:c r="J216" i="89"/>
  <x:c r="K216" i="89"/>
  <x:c r="L216" i="89"/>
  <x:c r="M216" i="89"/>
  <x:c r="O216" i="89"/>
  <x:c r="V216" i="89"/>
  <x:c r="AD216" i="89"/>
  <x:c r="AF216" i="89"/>
  <x:c r="AG216" i="89"/>
  <x:c r="AH216" i="89"/>
  <x:c r="AI216" i="89"/>
  <x:c r="AJ216" i="89"/>
  <x:c r="J217" i="89"/>
  <x:c r="K217" i="89"/>
  <x:c r="L217" i="89"/>
  <x:c r="M217" i="89"/>
  <x:c r="O217" i="89"/>
  <x:c r="V217" i="89"/>
  <x:c r="AD217" i="89"/>
  <x:c r="AF217" i="89"/>
  <x:c r="AG217" i="89"/>
  <x:c r="AH217" i="89"/>
  <x:c r="AI217" i="89"/>
  <x:c r="AJ217" i="89"/>
  <x:c r="J218" i="89"/>
  <x:c r="K218" i="89"/>
  <x:c r="L218" i="89"/>
  <x:c r="M218" i="89"/>
  <x:c r="O218" i="89"/>
  <x:c r="V218" i="89"/>
  <x:c r="AD218" i="89"/>
  <x:c r="AF218" i="89"/>
  <x:c r="AG218" i="89"/>
  <x:c r="AH218" i="89"/>
  <x:c r="AI218" i="89"/>
  <x:c r="AJ218" i="89"/>
  <x:c r="J219" i="89"/>
  <x:c r="K219" i="89"/>
  <x:c r="L219" i="89"/>
  <x:c r="M219" i="89"/>
  <x:c r="O219" i="89"/>
  <x:c r="V219" i="89"/>
  <x:c r="AD219" i="89"/>
  <x:c r="AF219" i="89"/>
  <x:c r="AG219" i="89"/>
  <x:c r="AH219" i="89"/>
  <x:c r="AI219" i="89"/>
  <x:c r="AJ219" i="89"/>
  <x:c r="J220" i="89"/>
  <x:c r="K220" i="89"/>
  <x:c r="L220" i="89"/>
  <x:c r="M220" i="89"/>
  <x:c r="O220" i="89"/>
  <x:c r="V220" i="89"/>
  <x:c r="AD220" i="89"/>
  <x:c r="AF220" i="89"/>
  <x:c r="AG220" i="89"/>
  <x:c r="AH220" i="89"/>
  <x:c r="AI220" i="89"/>
  <x:c r="AJ220" i="89"/>
  <x:c r="J221" i="89"/>
  <x:c r="K221" i="89"/>
  <x:c r="L221" i="89"/>
  <x:c r="M221" i="89"/>
  <x:c r="O221" i="89"/>
  <x:c r="V221" i="89"/>
  <x:c r="AD221" i="89"/>
  <x:c r="AF221" i="89"/>
  <x:c r="AG221" i="89"/>
  <x:c r="AH221" i="89"/>
  <x:c r="AI221" i="89"/>
  <x:c r="AJ221" i="89"/>
  <x:c r="J222" i="89"/>
  <x:c r="K222" i="89"/>
  <x:c r="L222" i="89"/>
  <x:c r="M222" i="89"/>
  <x:c r="O222" i="89"/>
  <x:c r="V222" i="89"/>
  <x:c r="AD222" i="89"/>
  <x:c r="AF222" i="89"/>
  <x:c r="AG222" i="89"/>
  <x:c r="AH222" i="89"/>
  <x:c r="AI222" i="89"/>
  <x:c r="AJ222" i="89"/>
  <x:c r="J223" i="89"/>
  <x:c r="K223" i="89"/>
  <x:c r="L223" i="89"/>
  <x:c r="M223" i="89"/>
  <x:c r="O223" i="89"/>
  <x:c r="V223" i="89"/>
  <x:c r="AD223" i="89"/>
  <x:c r="AF223" i="89"/>
  <x:c r="AG223" i="89"/>
  <x:c r="AH223" i="89"/>
  <x:c r="AI223" i="89"/>
  <x:c r="AJ223" i="89"/>
  <x:c r="J224" i="89"/>
  <x:c r="K224" i="89"/>
  <x:c r="L224" i="89"/>
  <x:c r="M224" i="89"/>
  <x:c r="O224" i="89"/>
  <x:c r="V224" i="89"/>
  <x:c r="AD224" i="89"/>
  <x:c r="AF224" i="89"/>
  <x:c r="AG224" i="89"/>
  <x:c r="AH224" i="89"/>
  <x:c r="AI224" i="89"/>
  <x:c r="AJ224" i="89"/>
  <x:c r="J225" i="89"/>
  <x:c r="K225" i="89"/>
  <x:c r="L225" i="89"/>
  <x:c r="M225" i="89"/>
  <x:c r="O225" i="89"/>
  <x:c r="V225" i="89"/>
  <x:c r="AD225" i="89"/>
  <x:c r="AF225" i="89"/>
  <x:c r="AG225" i="89"/>
  <x:c r="AH225" i="89"/>
  <x:c r="AI225" i="89"/>
  <x:c r="AJ225" i="89"/>
  <x:c r="J226" i="89"/>
  <x:c r="K226" i="89"/>
  <x:c r="L226" i="89"/>
  <x:c r="M226" i="89"/>
  <x:c r="O226" i="89"/>
  <x:c r="V226" i="89"/>
  <x:c r="AD226" i="89"/>
  <x:c r="AF226" i="89"/>
  <x:c r="AG226" i="89"/>
  <x:c r="AH226" i="89"/>
  <x:c r="AI226" i="89"/>
  <x:c r="AJ226" i="89"/>
  <x:c r="J227" i="89"/>
  <x:c r="K227" i="89"/>
  <x:c r="L227" i="89"/>
  <x:c r="M227" i="89"/>
  <x:c r="O227" i="89"/>
  <x:c r="V227" i="89"/>
  <x:c r="AD227" i="89"/>
  <x:c r="AF227" i="89"/>
  <x:c r="AG227" i="89"/>
  <x:c r="AH227" i="89"/>
  <x:c r="AI227" i="89"/>
  <x:c r="AJ227" i="89"/>
  <x:c r="J228" i="89"/>
  <x:c r="K228" i="89"/>
  <x:c r="L228" i="89"/>
  <x:c r="M228" i="89"/>
  <x:c r="O228" i="89"/>
  <x:c r="V228" i="89"/>
  <x:c r="AD228" i="89"/>
  <x:c r="AF228" i="89"/>
  <x:c r="AG228" i="89"/>
  <x:c r="AH228" i="89"/>
  <x:c r="AI228" i="89"/>
  <x:c r="AJ228" i="89"/>
  <x:c r="J229" i="89"/>
  <x:c r="K229" i="89"/>
  <x:c r="L229" i="89"/>
  <x:c r="M229" i="89"/>
  <x:c r="O229" i="89"/>
  <x:c r="V229" i="89"/>
  <x:c r="AD229" i="89"/>
  <x:c r="AF229" i="89"/>
  <x:c r="AG229" i="89"/>
  <x:c r="AH229" i="89"/>
  <x:c r="AI229" i="89"/>
  <x:c r="AJ229" i="89"/>
  <x:c r="J230" i="89"/>
  <x:c r="K230" i="89"/>
  <x:c r="L230" i="89"/>
  <x:c r="M230" i="89"/>
  <x:c r="O230" i="89"/>
  <x:c r="V230" i="89"/>
  <x:c r="AD230" i="89"/>
  <x:c r="AF230" i="89"/>
  <x:c r="AG230" i="89"/>
  <x:c r="AH230" i="89"/>
  <x:c r="AI230" i="89"/>
  <x:c r="AJ230" i="89"/>
  <x:c r="J231" i="89"/>
  <x:c r="K231" i="89"/>
  <x:c r="L231" i="89"/>
  <x:c r="M231" i="89"/>
  <x:c r="O231" i="89"/>
  <x:c r="V231" i="89"/>
  <x:c r="AD231" i="89"/>
  <x:c r="AF231" i="89"/>
  <x:c r="AG231" i="89"/>
  <x:c r="AH231" i="89"/>
  <x:c r="AI231" i="89"/>
  <x:c r="AJ231" i="89"/>
  <x:c r="J232" i="89"/>
  <x:c r="K232" i="89"/>
  <x:c r="L232" i="89"/>
  <x:c r="M232" i="89"/>
  <x:c r="O232" i="89"/>
  <x:c r="V232" i="89"/>
  <x:c r="AD232" i="89"/>
  <x:c r="AF232" i="89"/>
  <x:c r="AG232" i="89"/>
  <x:c r="AH232" i="89"/>
  <x:c r="AI232" i="89"/>
  <x:c r="AJ232" i="89"/>
  <x:c r="J233" i="89"/>
  <x:c r="K233" i="89"/>
  <x:c r="L233" i="89"/>
  <x:c r="M233" i="89"/>
  <x:c r="O233" i="89"/>
  <x:c r="V233" i="89"/>
  <x:c r="AD233" i="89"/>
  <x:c r="AF233" i="89"/>
  <x:c r="AG233" i="89"/>
  <x:c r="AH233" i="89"/>
  <x:c r="AI233" i="89"/>
  <x:c r="AJ233" i="89"/>
  <x:c r="J234" i="89"/>
  <x:c r="K234" i="89"/>
  <x:c r="L234" i="89"/>
  <x:c r="M234" i="89"/>
  <x:c r="O234" i="89"/>
  <x:c r="V234" i="89"/>
  <x:c r="AD234" i="89"/>
  <x:c r="AF234" i="89"/>
  <x:c r="AG234" i="89"/>
  <x:c r="AH234" i="89"/>
  <x:c r="AI234" i="89"/>
  <x:c r="AJ234" i="89"/>
  <x:c r="J235" i="89"/>
  <x:c r="K235" i="89"/>
  <x:c r="L235" i="89"/>
  <x:c r="M235" i="89"/>
  <x:c r="O235" i="89"/>
  <x:c r="V235" i="89"/>
  <x:c r="AD235" i="89"/>
  <x:c r="AF235" i="89"/>
  <x:c r="AG235" i="89"/>
  <x:c r="AH235" i="89"/>
  <x:c r="AI235" i="89"/>
  <x:c r="AJ235" i="89"/>
  <x:c r="J236" i="89"/>
  <x:c r="K236" i="89"/>
  <x:c r="L236" i="89"/>
  <x:c r="M236" i="89"/>
  <x:c r="O236" i="89"/>
  <x:c r="V236" i="89"/>
  <x:c r="AD236" i="89"/>
  <x:c r="AF236" i="89"/>
  <x:c r="AG236" i="89"/>
  <x:c r="AH236" i="89"/>
  <x:c r="AI236" i="89"/>
  <x:c r="AJ236" i="89"/>
  <x:c r="J237" i="89"/>
  <x:c r="K237" i="89"/>
  <x:c r="L237" i="89"/>
  <x:c r="M237" i="89"/>
  <x:c r="O237" i="89"/>
  <x:c r="V237" i="89"/>
  <x:c r="AD237" i="89"/>
  <x:c r="AF237" i="89"/>
  <x:c r="AG237" i="89"/>
  <x:c r="AH237" i="89"/>
  <x:c r="AI237" i="89"/>
  <x:c r="AJ237" i="89"/>
  <x:c r="J238" i="89"/>
  <x:c r="K238" i="89"/>
  <x:c r="L238" i="89"/>
  <x:c r="M238" i="89"/>
  <x:c r="O238" i="89"/>
  <x:c r="V238" i="89"/>
  <x:c r="AD238" i="89"/>
  <x:c r="AF238" i="89"/>
  <x:c r="AG238" i="89"/>
  <x:c r="AH238" i="89"/>
  <x:c r="AI238" i="89"/>
  <x:c r="AJ238" i="89"/>
  <x:c r="J239" i="89"/>
  <x:c r="K239" i="89"/>
  <x:c r="L239" i="89"/>
  <x:c r="M239" i="89"/>
  <x:c r="O239" i="89"/>
  <x:c r="V239" i="89"/>
  <x:c r="AD239" i="89"/>
  <x:c r="AF239" i="89"/>
  <x:c r="AG239" i="89"/>
  <x:c r="AH239" i="89"/>
  <x:c r="AI239" i="89"/>
  <x:c r="AJ239" i="89"/>
  <x:c r="J240" i="89"/>
  <x:c r="K240" i="89"/>
  <x:c r="L240" i="89"/>
  <x:c r="M240" i="89"/>
  <x:c r="O240" i="89"/>
  <x:c r="V240" i="89"/>
  <x:c r="AD240" i="89"/>
  <x:c r="AF240" i="89"/>
  <x:c r="AG240" i="89"/>
  <x:c r="AH240" i="89"/>
  <x:c r="AI240" i="89"/>
  <x:c r="AJ240" i="89"/>
  <x:c r="J241" i="89"/>
  <x:c r="K241" i="89"/>
  <x:c r="L241" i="89"/>
  <x:c r="M241" i="89"/>
  <x:c r="O241" i="89"/>
  <x:c r="V241" i="89"/>
  <x:c r="AD241" i="89"/>
  <x:c r="AF241" i="89"/>
  <x:c r="AG241" i="89"/>
  <x:c r="AH241" i="89"/>
  <x:c r="AI241" i="89"/>
  <x:c r="AJ241" i="89"/>
  <x:c r="J242" i="89"/>
  <x:c r="K242" i="89"/>
  <x:c r="L242" i="89"/>
  <x:c r="M242" i="89"/>
  <x:c r="O242" i="89"/>
  <x:c r="V242" i="89"/>
  <x:c r="AD242" i="89"/>
  <x:c r="AF242" i="89"/>
  <x:c r="AG242" i="89"/>
  <x:c r="AH242" i="89"/>
  <x:c r="AI242" i="89"/>
  <x:c r="AJ242" i="89"/>
  <x:c r="J243" i="89"/>
  <x:c r="K243" i="89"/>
  <x:c r="L243" i="89"/>
  <x:c r="M243" i="89"/>
  <x:c r="O243" i="89"/>
  <x:c r="V243" i="89"/>
  <x:c r="AD243" i="89"/>
  <x:c r="AF243" i="89"/>
  <x:c r="AG243" i="89"/>
  <x:c r="AH243" i="89"/>
  <x:c r="AI243" i="89"/>
  <x:c r="AJ243" i="89"/>
  <x:c r="J244" i="89"/>
  <x:c r="K244" i="89"/>
  <x:c r="L244" i="89"/>
  <x:c r="M244" i="89"/>
  <x:c r="O244" i="89"/>
  <x:c r="V244" i="89"/>
  <x:c r="AD244" i="89"/>
  <x:c r="AF244" i="89"/>
  <x:c r="AG244" i="89"/>
  <x:c r="AH244" i="89"/>
  <x:c r="AI244" i="89"/>
  <x:c r="AJ244" i="89"/>
  <x:c r="J245" i="89"/>
  <x:c r="K245" i="89"/>
  <x:c r="L245" i="89"/>
  <x:c r="M245" i="89"/>
  <x:c r="O245" i="89"/>
  <x:c r="V245" i="89"/>
  <x:c r="AD245" i="89"/>
  <x:c r="AF245" i="89"/>
  <x:c r="AG245" i="89"/>
  <x:c r="AH245" i="89"/>
  <x:c r="AI245" i="89"/>
  <x:c r="AJ245" i="89"/>
  <x:c r="J246" i="89"/>
  <x:c r="K246" i="89"/>
  <x:c r="L246" i="89"/>
  <x:c r="M246" i="89"/>
  <x:c r="O246" i="89"/>
  <x:c r="V246" i="89"/>
  <x:c r="AD246" i="89"/>
  <x:c r="AF246" i="89"/>
  <x:c r="AG246" i="89"/>
  <x:c r="AH246" i="89"/>
  <x:c r="AI246" i="89"/>
  <x:c r="AJ246" i="89"/>
  <x:c r="J247" i="89"/>
  <x:c r="K247" i="89"/>
  <x:c r="L247" i="89"/>
  <x:c r="M247" i="89"/>
  <x:c r="O247" i="89"/>
  <x:c r="V247" i="89"/>
  <x:c r="AD247" i="89"/>
  <x:c r="AF247" i="89"/>
  <x:c r="AG247" i="89"/>
  <x:c r="AH247" i="89"/>
  <x:c r="AI247" i="89"/>
  <x:c r="AJ247" i="89"/>
  <x:c r="J248" i="89"/>
  <x:c r="K248" i="89"/>
  <x:c r="L248" i="89"/>
  <x:c r="M248" i="89"/>
  <x:c r="O248" i="89"/>
  <x:c r="V248" i="89"/>
  <x:c r="AD248" i="89"/>
  <x:c r="AF248" i="89"/>
  <x:c r="AG248" i="89"/>
  <x:c r="AH248" i="89"/>
  <x:c r="AI248" i="89"/>
  <x:c r="AJ248" i="89"/>
  <x:c r="J249" i="89"/>
  <x:c r="K249" i="89"/>
  <x:c r="L249" i="89"/>
  <x:c r="M249" i="89"/>
  <x:c r="O249" i="89"/>
  <x:c r="V249" i="89"/>
  <x:c r="AD249" i="89"/>
  <x:c r="AF249" i="89"/>
  <x:c r="AG249" i="89"/>
  <x:c r="AH249" i="89"/>
  <x:c r="AI249" i="89"/>
  <x:c r="AJ249" i="89"/>
  <x:c r="J250" i="89"/>
  <x:c r="K250" i="89"/>
  <x:c r="L250" i="89"/>
  <x:c r="M250" i="89"/>
  <x:c r="O250" i="89"/>
  <x:c r="V250" i="89"/>
  <x:c r="AD250" i="89"/>
  <x:c r="AF250" i="89"/>
  <x:c r="AG250" i="89"/>
  <x:c r="AH250" i="89"/>
  <x:c r="AI250" i="89"/>
  <x:c r="AJ250" i="89"/>
  <x:c r="J251" i="89"/>
  <x:c r="K251" i="89"/>
  <x:c r="L251" i="89"/>
  <x:c r="M251" i="89"/>
  <x:c r="O251" i="89"/>
  <x:c r="V251" i="89"/>
  <x:c r="AD251" i="89"/>
  <x:c r="AF251" i="89"/>
  <x:c r="AG251" i="89"/>
  <x:c r="AH251" i="89"/>
  <x:c r="AI251" i="89"/>
  <x:c r="AJ251" i="89"/>
  <x:c r="J252" i="89"/>
  <x:c r="K252" i="89"/>
  <x:c r="L252" i="89"/>
  <x:c r="M252" i="89"/>
  <x:c r="O252" i="89"/>
  <x:c r="V252" i="89"/>
  <x:c r="AD252" i="89"/>
  <x:c r="AF252" i="89"/>
  <x:c r="AG252" i="89"/>
  <x:c r="AH252" i="89"/>
  <x:c r="AI252" i="89"/>
  <x:c r="AJ252" i="89"/>
  <x:c r="J253" i="89"/>
  <x:c r="K253" i="89"/>
  <x:c r="L253" i="89"/>
  <x:c r="M253" i="89"/>
  <x:c r="O253" i="89"/>
  <x:c r="V253" i="89"/>
  <x:c r="AD253" i="89"/>
  <x:c r="AF253" i="89"/>
  <x:c r="AG253" i="89"/>
  <x:c r="AH253" i="89"/>
  <x:c r="AI253" i="89"/>
  <x:c r="AJ253" i="89"/>
  <x:c r="J254" i="89"/>
  <x:c r="K254" i="89"/>
  <x:c r="L254" i="89"/>
  <x:c r="M254" i="89"/>
  <x:c r="O254" i="89"/>
  <x:c r="V254" i="89"/>
  <x:c r="AD254" i="89"/>
  <x:c r="AF254" i="89"/>
  <x:c r="AG254" i="89"/>
  <x:c r="AH254" i="89"/>
  <x:c r="AI254" i="89"/>
  <x:c r="AJ254" i="89"/>
  <x:c r="J255" i="89"/>
  <x:c r="K255" i="89"/>
  <x:c r="L255" i="89"/>
  <x:c r="M255" i="89"/>
  <x:c r="O255" i="89"/>
  <x:c r="V255" i="89"/>
  <x:c r="AD255" i="89"/>
  <x:c r="AF255" i="89"/>
  <x:c r="AG255" i="89"/>
  <x:c r="AH255" i="89"/>
  <x:c r="AI255" i="89"/>
  <x:c r="AJ255" i="89"/>
  <x:c r="J256" i="89"/>
  <x:c r="K256" i="89"/>
  <x:c r="L256" i="89"/>
  <x:c r="M256" i="89"/>
  <x:c r="O256" i="89"/>
  <x:c r="V256" i="89"/>
  <x:c r="AD256" i="89"/>
  <x:c r="AF256" i="89"/>
  <x:c r="AG256" i="89"/>
  <x:c r="AH256" i="89"/>
  <x:c r="AI256" i="89"/>
  <x:c r="AJ256" i="89"/>
  <x:c r="J257" i="89"/>
  <x:c r="K257" i="89"/>
  <x:c r="L257" i="89"/>
  <x:c r="M257" i="89"/>
  <x:c r="O257" i="89"/>
  <x:c r="V257" i="89"/>
  <x:c r="AD257" i="89"/>
  <x:c r="AF257" i="89"/>
  <x:c r="AG257" i="89"/>
  <x:c r="AH257" i="89"/>
  <x:c r="AI257" i="89"/>
  <x:c r="AJ257" i="89"/>
  <x:c r="J258" i="89"/>
  <x:c r="K258" i="89"/>
  <x:c r="L258" i="89"/>
  <x:c r="M258" i="89"/>
  <x:c r="O258" i="89"/>
  <x:c r="V258" i="89"/>
  <x:c r="AD258" i="89"/>
  <x:c r="AF258" i="89"/>
  <x:c r="AG258" i="89"/>
  <x:c r="AH258" i="89"/>
  <x:c r="AI258" i="89"/>
  <x:c r="AJ258" i="89"/>
  <x:c r="J259" i="89"/>
  <x:c r="K259" i="89"/>
  <x:c r="L259" i="89"/>
  <x:c r="M259" i="89"/>
  <x:c r="O259" i="89"/>
  <x:c r="V259" i="89"/>
  <x:c r="AD259" i="89"/>
  <x:c r="AF259" i="89"/>
  <x:c r="AG259" i="89"/>
  <x:c r="AH259" i="89"/>
  <x:c r="AI259" i="89"/>
  <x:c r="AJ259" i="89"/>
  <x:c r="J260" i="89"/>
  <x:c r="K260" i="89"/>
  <x:c r="L260" i="89"/>
  <x:c r="M260" i="89"/>
  <x:c r="O260" i="89"/>
  <x:c r="V260" i="89"/>
  <x:c r="AD260" i="89"/>
  <x:c r="AF260" i="89"/>
  <x:c r="AG260" i="89"/>
  <x:c r="AH260" i="89"/>
  <x:c r="AI260" i="89"/>
  <x:c r="AJ260" i="89"/>
  <x:c r="J261" i="89"/>
  <x:c r="K261" i="89"/>
  <x:c r="L261" i="89"/>
  <x:c r="M261" i="89"/>
  <x:c r="O261" i="89"/>
  <x:c r="V261" i="89"/>
  <x:c r="AD261" i="89"/>
  <x:c r="AF261" i="89"/>
  <x:c r="AG261" i="89"/>
  <x:c r="AH261" i="89"/>
  <x:c r="AI261" i="89"/>
  <x:c r="AJ261" i="89"/>
  <x:c r="J262" i="89"/>
  <x:c r="K262" i="89"/>
  <x:c r="L262" i="89"/>
  <x:c r="M262" i="89"/>
  <x:c r="O262" i="89"/>
  <x:c r="V262" i="89"/>
  <x:c r="AD262" i="89"/>
  <x:c r="AF262" i="89"/>
  <x:c r="AG262" i="89"/>
  <x:c r="AH262" i="89"/>
  <x:c r="AI262" i="89"/>
  <x:c r="AJ262" i="89"/>
  <x:c r="J263" i="89"/>
  <x:c r="K263" i="89"/>
  <x:c r="L263" i="89"/>
  <x:c r="M263" i="89"/>
  <x:c r="O263" i="89"/>
  <x:c r="V263" i="89"/>
  <x:c r="AD263" i="89"/>
  <x:c r="AF263" i="89"/>
  <x:c r="AG263" i="89"/>
  <x:c r="AH263" i="89"/>
  <x:c r="AI263" i="89"/>
  <x:c r="AJ263" i="89"/>
  <x:c r="J264" i="89"/>
  <x:c r="K264" i="89"/>
  <x:c r="L264" i="89"/>
  <x:c r="M264" i="89"/>
  <x:c r="O264" i="89"/>
  <x:c r="V264" i="89"/>
  <x:c r="AD264" i="89"/>
  <x:c r="AF264" i="89"/>
  <x:c r="AG264" i="89"/>
  <x:c r="AH264" i="89"/>
  <x:c r="AI264" i="89"/>
  <x:c r="AJ264" i="89"/>
  <x:c r="J265" i="89"/>
  <x:c r="K265" i="89"/>
  <x:c r="L265" i="89"/>
  <x:c r="M265" i="89"/>
  <x:c r="O265" i="89"/>
  <x:c r="V265" i="89"/>
  <x:c r="AD265" i="89"/>
  <x:c r="AF265" i="89"/>
  <x:c r="AG265" i="89"/>
  <x:c r="AH265" i="89"/>
  <x:c r="AI265" i="89"/>
  <x:c r="AJ265" i="89"/>
  <x:c r="J266" i="89"/>
  <x:c r="K266" i="89"/>
  <x:c r="L266" i="89"/>
  <x:c r="M266" i="89"/>
  <x:c r="O266" i="89"/>
  <x:c r="V266" i="89"/>
  <x:c r="AD266" i="89"/>
  <x:c r="AF266" i="89"/>
  <x:c r="AG266" i="89"/>
  <x:c r="AH266" i="89"/>
  <x:c r="AI266" i="89"/>
  <x:c r="AJ266" i="89"/>
  <x:c r="J267" i="89"/>
  <x:c r="K267" i="89"/>
  <x:c r="L267" i="89"/>
  <x:c r="M267" i="89"/>
  <x:c r="O267" i="89"/>
  <x:c r="V267" i="89"/>
  <x:c r="AD267" i="89"/>
  <x:c r="AF267" i="89"/>
  <x:c r="AG267" i="89"/>
  <x:c r="AH267" i="89"/>
  <x:c r="AI267" i="89"/>
  <x:c r="AJ267" i="89"/>
  <x:c r="J268" i="89"/>
  <x:c r="K268" i="89"/>
  <x:c r="L268" i="89"/>
  <x:c r="M268" i="89"/>
  <x:c r="O268" i="89"/>
  <x:c r="V268" i="89"/>
  <x:c r="AD268" i="89"/>
  <x:c r="AF268" i="89"/>
  <x:c r="AG268" i="89"/>
  <x:c r="AH268" i="89"/>
  <x:c r="AI268" i="89"/>
  <x:c r="AJ268" i="89"/>
  <x:c r="J269" i="89"/>
  <x:c r="K269" i="89"/>
  <x:c r="L269" i="89"/>
  <x:c r="M269" i="89"/>
  <x:c r="O269" i="89"/>
  <x:c r="V269" i="89"/>
  <x:c r="AD269" i="89"/>
  <x:c r="AF269" i="89"/>
  <x:c r="AG269" i="89"/>
  <x:c r="AH269" i="89"/>
  <x:c r="AI269" i="89"/>
  <x:c r="AJ269" i="89"/>
  <x:c r="J270" i="89"/>
  <x:c r="K270" i="89"/>
  <x:c r="L270" i="89"/>
  <x:c r="M270" i="89"/>
  <x:c r="O270" i="89"/>
  <x:c r="V270" i="89"/>
  <x:c r="AD270" i="89"/>
  <x:c r="AF270" i="89"/>
  <x:c r="AG270" i="89"/>
  <x:c r="AH270" i="89"/>
  <x:c r="AI270" i="89"/>
  <x:c r="AJ270" i="89"/>
  <x:c r="J271" i="89"/>
  <x:c r="K271" i="89"/>
  <x:c r="L271" i="89"/>
  <x:c r="M271" i="89"/>
  <x:c r="O271" i="89"/>
  <x:c r="V271" i="89"/>
  <x:c r="AD271" i="89"/>
  <x:c r="AF271" i="89"/>
  <x:c r="AG271" i="89"/>
  <x:c r="AH271" i="89"/>
  <x:c r="AI271" i="89"/>
  <x:c r="AJ271" i="89"/>
  <x:c r="J272" i="89"/>
  <x:c r="K272" i="89"/>
  <x:c r="L272" i="89"/>
  <x:c r="M272" i="89"/>
  <x:c r="O272" i="89"/>
  <x:c r="V272" i="89"/>
  <x:c r="AD272" i="89"/>
  <x:c r="AF272" i="89"/>
  <x:c r="AG272" i="89"/>
  <x:c r="AH272" i="89"/>
  <x:c r="AI272" i="89"/>
  <x:c r="AJ272" i="89"/>
  <x:c r="J273" i="89"/>
  <x:c r="K273" i="89"/>
  <x:c r="L273" i="89"/>
  <x:c r="M273" i="89"/>
  <x:c r="O273" i="89"/>
  <x:c r="V273" i="89"/>
  <x:c r="AD273" i="89"/>
  <x:c r="AF273" i="89"/>
  <x:c r="AG273" i="89"/>
  <x:c r="AH273" i="89"/>
  <x:c r="AI273" i="89"/>
  <x:c r="AJ273" i="89"/>
  <x:c r="J274" i="89"/>
  <x:c r="K274" i="89"/>
  <x:c r="L274" i="89"/>
  <x:c r="M274" i="89"/>
  <x:c r="O274" i="89"/>
  <x:c r="V274" i="89"/>
  <x:c r="AD274" i="89"/>
  <x:c r="AF274" i="89"/>
  <x:c r="AG274" i="89"/>
  <x:c r="AH274" i="89"/>
  <x:c r="AI274" i="89"/>
  <x:c r="AJ274" i="89"/>
  <x:c r="J275" i="89"/>
  <x:c r="K275" i="89"/>
  <x:c r="L275" i="89"/>
  <x:c r="M275" i="89"/>
  <x:c r="O275" i="89"/>
  <x:c r="V275" i="89"/>
  <x:c r="AD275" i="89"/>
  <x:c r="AF275" i="89"/>
  <x:c r="AG275" i="89"/>
  <x:c r="AH275" i="89"/>
  <x:c r="AI275" i="89"/>
  <x:c r="AJ275" i="89"/>
  <x:c r="J276" i="89"/>
  <x:c r="K276" i="89"/>
  <x:c r="L276" i="89"/>
  <x:c r="M276" i="89"/>
  <x:c r="O276" i="89"/>
  <x:c r="V276" i="89"/>
  <x:c r="AD276" i="89"/>
  <x:c r="AF276" i="89"/>
  <x:c r="AG276" i="89"/>
  <x:c r="AH276" i="89"/>
  <x:c r="AI276" i="89"/>
  <x:c r="AJ276" i="89"/>
  <x:c r="J277" i="89"/>
  <x:c r="K277" i="89"/>
  <x:c r="L277" i="89"/>
  <x:c r="M277" i="89"/>
  <x:c r="O277" i="89"/>
  <x:c r="V277" i="89"/>
  <x:c r="AD277" i="89"/>
  <x:c r="AF277" i="89"/>
  <x:c r="AG277" i="89"/>
  <x:c r="AH277" i="89"/>
  <x:c r="AI277" i="89"/>
  <x:c r="AJ277" i="89"/>
  <x:c r="J278" i="89"/>
  <x:c r="K278" i="89"/>
  <x:c r="L278" i="89"/>
  <x:c r="M278" i="89"/>
  <x:c r="O278" i="89"/>
  <x:c r="V278" i="89"/>
  <x:c r="AD278" i="89"/>
  <x:c r="AF278" i="89"/>
  <x:c r="AG278" i="89"/>
  <x:c r="AH278" i="89"/>
  <x:c r="AI278" i="89"/>
  <x:c r="AJ278" i="89"/>
  <x:c r="J279" i="89"/>
  <x:c r="K279" i="89"/>
  <x:c r="L279" i="89"/>
  <x:c r="M279" i="89"/>
  <x:c r="O279" i="89"/>
  <x:c r="V279" i="89"/>
  <x:c r="AD279" i="89"/>
  <x:c r="AF279" i="89"/>
  <x:c r="AG279" i="89"/>
  <x:c r="AH279" i="89"/>
  <x:c r="AI279" i="89"/>
  <x:c r="AJ279" i="89"/>
  <x:c r="J280" i="89"/>
  <x:c r="K280" i="89"/>
  <x:c r="L280" i="89"/>
  <x:c r="M280" i="89"/>
  <x:c r="O280" i="89"/>
  <x:c r="V280" i="89"/>
  <x:c r="AD280" i="89"/>
  <x:c r="AF280" i="89"/>
  <x:c r="AG280" i="89"/>
  <x:c r="AH280" i="89"/>
  <x:c r="AI280" i="89"/>
  <x:c r="AJ280" i="89"/>
  <x:c r="J281" i="89"/>
  <x:c r="K281" i="89"/>
  <x:c r="L281" i="89"/>
  <x:c r="M281" i="89"/>
  <x:c r="O281" i="89"/>
  <x:c r="V281" i="89"/>
  <x:c r="AD281" i="89"/>
  <x:c r="AF281" i="89"/>
  <x:c r="AG281" i="89"/>
  <x:c r="AH281" i="89"/>
  <x:c r="AI281" i="89"/>
  <x:c r="AJ281" i="89"/>
  <x:c r="J282" i="89"/>
  <x:c r="K282" i="89"/>
  <x:c r="L282" i="89"/>
  <x:c r="M282" i="89"/>
  <x:c r="O282" i="89"/>
  <x:c r="V282" i="89"/>
  <x:c r="AD282" i="89"/>
  <x:c r="AF282" i="89"/>
  <x:c r="AG282" i="89"/>
  <x:c r="AH282" i="89"/>
  <x:c r="AI282" i="89"/>
  <x:c r="AJ282" i="89"/>
  <x:c r="J283" i="89"/>
  <x:c r="K283" i="89"/>
  <x:c r="L283" i="89"/>
  <x:c r="M283" i="89"/>
  <x:c r="O283" i="89"/>
  <x:c r="V283" i="89"/>
  <x:c r="AD283" i="89"/>
  <x:c r="AF283" i="89"/>
  <x:c r="AG283" i="89"/>
  <x:c r="AH283" i="89"/>
  <x:c r="AI283" i="89"/>
  <x:c r="AJ283" i="89"/>
  <x:c r="J284" i="89"/>
  <x:c r="K284" i="89"/>
  <x:c r="L284" i="89"/>
  <x:c r="M284" i="89"/>
  <x:c r="O284" i="89"/>
  <x:c r="V284" i="89"/>
  <x:c r="AD284" i="89"/>
  <x:c r="AF284" i="89"/>
  <x:c r="AG284" i="89"/>
  <x:c r="AH284" i="89"/>
  <x:c r="AI284" i="89"/>
  <x:c r="AJ284" i="89"/>
  <x:c r="J285" i="89"/>
  <x:c r="K285" i="89"/>
  <x:c r="L285" i="89"/>
  <x:c r="M285" i="89"/>
  <x:c r="O285" i="89"/>
  <x:c r="V285" i="89"/>
  <x:c r="AD285" i="89"/>
  <x:c r="AF285" i="89"/>
  <x:c r="AG285" i="89"/>
  <x:c r="AH285" i="89"/>
  <x:c r="AI285" i="89"/>
  <x:c r="AJ285" i="89"/>
  <x:c r="J286" i="89"/>
  <x:c r="K286" i="89"/>
  <x:c r="L286" i="89"/>
  <x:c r="M286" i="89"/>
  <x:c r="O286" i="89"/>
  <x:c r="V286" i="89"/>
  <x:c r="AD286" i="89"/>
  <x:c r="AF286" i="89"/>
  <x:c r="AG286" i="89"/>
  <x:c r="AH286" i="89"/>
  <x:c r="AI286" i="89"/>
  <x:c r="AJ286" i="89"/>
  <x:c r="J287" i="89"/>
  <x:c r="K287" i="89"/>
  <x:c r="L287" i="89"/>
  <x:c r="M287" i="89"/>
  <x:c r="O287" i="89"/>
  <x:c r="V287" i="89"/>
  <x:c r="AD287" i="89"/>
  <x:c r="AF287" i="89"/>
  <x:c r="AG287" i="89"/>
  <x:c r="AH287" i="89"/>
  <x:c r="AI287" i="89"/>
  <x:c r="AJ287" i="89"/>
  <x:c r="J288" i="89"/>
  <x:c r="K288" i="89"/>
  <x:c r="L288" i="89"/>
  <x:c r="M288" i="89"/>
  <x:c r="O288" i="89"/>
  <x:c r="V288" i="89"/>
  <x:c r="AD288" i="89"/>
  <x:c r="AF288" i="89"/>
  <x:c r="AG288" i="89"/>
  <x:c r="AH288" i="89"/>
  <x:c r="AI288" i="89"/>
  <x:c r="AJ288" i="89"/>
  <x:c r="J289" i="89"/>
  <x:c r="K289" i="89"/>
  <x:c r="L289" i="89"/>
  <x:c r="M289" i="89"/>
  <x:c r="O289" i="89"/>
  <x:c r="V289" i="89"/>
  <x:c r="AD289" i="89"/>
  <x:c r="AF289" i="89"/>
  <x:c r="AG289" i="89"/>
  <x:c r="AH289" i="89"/>
  <x:c r="AI289" i="89"/>
  <x:c r="AJ289" i="89"/>
  <x:c r="J290" i="89"/>
  <x:c r="K290" i="89"/>
  <x:c r="L290" i="89"/>
  <x:c r="M290" i="89"/>
  <x:c r="O290" i="89"/>
  <x:c r="V290" i="89"/>
  <x:c r="AD290" i="89"/>
  <x:c r="AF290" i="89"/>
  <x:c r="AG290" i="89"/>
  <x:c r="AH290" i="89"/>
  <x:c r="AI290" i="89"/>
  <x:c r="AJ290" i="89"/>
  <x:c r="J291" i="89"/>
  <x:c r="K291" i="89"/>
  <x:c r="L291" i="89"/>
  <x:c r="M291" i="89"/>
  <x:c r="O291" i="89"/>
  <x:c r="V291" i="89"/>
  <x:c r="AD291" i="89"/>
  <x:c r="AF291" i="89"/>
  <x:c r="AG291" i="89"/>
  <x:c r="AH291" i="89"/>
  <x:c r="AI291" i="89"/>
  <x:c r="AJ291" i="89"/>
  <x:c r="J292" i="89"/>
  <x:c r="K292" i="89"/>
  <x:c r="L292" i="89"/>
  <x:c r="M292" i="89"/>
  <x:c r="O292" i="89"/>
  <x:c r="V292" i="89"/>
  <x:c r="AD292" i="89"/>
  <x:c r="AF292" i="89"/>
  <x:c r="AG292" i="89"/>
  <x:c r="AH292" i="89"/>
  <x:c r="AI292" i="89"/>
  <x:c r="AJ292" i="89"/>
  <x:c r="J293" i="89"/>
  <x:c r="K293" i="89"/>
  <x:c r="L293" i="89"/>
  <x:c r="M293" i="89"/>
  <x:c r="O293" i="89"/>
  <x:c r="V293" i="89"/>
  <x:c r="AD293" i="89"/>
  <x:c r="AF293" i="89"/>
  <x:c r="AG293" i="89"/>
  <x:c r="AH293" i="89"/>
  <x:c r="AI293" i="89"/>
  <x:c r="AJ293" i="89"/>
  <x:c r="J294" i="89"/>
  <x:c r="K294" i="89"/>
  <x:c r="L294" i="89"/>
  <x:c r="M294" i="89"/>
  <x:c r="O294" i="89"/>
  <x:c r="V294" i="89"/>
  <x:c r="AD294" i="89"/>
  <x:c r="AF294" i="89"/>
  <x:c r="AG294" i="89"/>
  <x:c r="AH294" i="89"/>
  <x:c r="AI294" i="89"/>
  <x:c r="AJ294" i="89"/>
  <x:c r="J295" i="89"/>
  <x:c r="K295" i="89"/>
  <x:c r="L295" i="89"/>
  <x:c r="M295" i="89"/>
  <x:c r="O295" i="89"/>
  <x:c r="V295" i="89"/>
  <x:c r="AD295" i="89"/>
  <x:c r="AF295" i="89"/>
  <x:c r="AG295" i="89"/>
  <x:c r="AH295" i="89"/>
  <x:c r="AI295" i="89"/>
  <x:c r="AJ295" i="89"/>
  <x:c r="J296" i="89"/>
  <x:c r="K296" i="89"/>
  <x:c r="L296" i="89"/>
  <x:c r="M296" i="89"/>
  <x:c r="O296" i="89"/>
  <x:c r="V296" i="89"/>
  <x:c r="AD296" i="89"/>
  <x:c r="AF296" i="89"/>
  <x:c r="AG296" i="89"/>
  <x:c r="AH296" i="89"/>
  <x:c r="AI296" i="89"/>
  <x:c r="AJ296" i="89"/>
  <x:c r="J297" i="89"/>
  <x:c r="K297" i="89"/>
  <x:c r="L297" i="89"/>
  <x:c r="M297" i="89"/>
  <x:c r="O297" i="89"/>
  <x:c r="V297" i="89"/>
  <x:c r="AD297" i="89"/>
  <x:c r="AF297" i="89"/>
  <x:c r="AG297" i="89"/>
  <x:c r="AH297" i="89"/>
  <x:c r="AI297" i="89"/>
  <x:c r="AJ297" i="89"/>
  <x:c r="J298" i="89"/>
  <x:c r="K298" i="89"/>
  <x:c r="L298" i="89"/>
  <x:c r="M298" i="89"/>
  <x:c r="O298" i="89"/>
  <x:c r="V298" i="89"/>
  <x:c r="AD298" i="89"/>
  <x:c r="AF298" i="89"/>
  <x:c r="AG298" i="89"/>
  <x:c r="AH298" i="89"/>
  <x:c r="AI298" i="89"/>
  <x:c r="AJ298" i="89"/>
  <x:c r="J299" i="89"/>
  <x:c r="K299" i="89"/>
  <x:c r="L299" i="89"/>
  <x:c r="M299" i="89"/>
  <x:c r="O299" i="89"/>
  <x:c r="V299" i="89"/>
  <x:c r="AD299" i="89"/>
  <x:c r="AF299" i="89"/>
  <x:c r="AG299" i="89"/>
  <x:c r="AH299" i="89"/>
  <x:c r="AI299" i="89"/>
  <x:c r="AJ299" i="89"/>
  <x:c r="J300" i="89"/>
  <x:c r="K300" i="89"/>
  <x:c r="L300" i="89"/>
  <x:c r="M300" i="89"/>
  <x:c r="O300" i="89"/>
  <x:c r="V300" i="89"/>
  <x:c r="AD300" i="89"/>
  <x:c r="AF300" i="89"/>
  <x:c r="AG300" i="89"/>
  <x:c r="AH300" i="89"/>
  <x:c r="AI300" i="89"/>
  <x:c r="AJ300" i="89"/>
  <x:c r="J301" i="89"/>
  <x:c r="K301" i="89"/>
  <x:c r="L301" i="89"/>
  <x:c r="M301" i="89"/>
  <x:c r="O301" i="89"/>
  <x:c r="V301" i="89"/>
  <x:c r="AD301" i="89"/>
  <x:c r="AF301" i="89"/>
  <x:c r="AG301" i="89"/>
  <x:c r="AH301" i="89"/>
  <x:c r="AI301" i="89"/>
  <x:c r="AJ301" i="89"/>
  <x:c r="J302" i="89"/>
  <x:c r="K302" i="89"/>
  <x:c r="L302" i="89"/>
  <x:c r="M302" i="89"/>
  <x:c r="O302" i="89"/>
  <x:c r="V302" i="89"/>
  <x:c r="AD302" i="89"/>
  <x:c r="AF302" i="89"/>
  <x:c r="AG302" i="89"/>
  <x:c r="AH302" i="89"/>
  <x:c r="AI302" i="89"/>
  <x:c r="AJ302" i="89"/>
  <x:c r="J303" i="89"/>
  <x:c r="K303" i="89"/>
  <x:c r="L303" i="89"/>
  <x:c r="M303" i="89"/>
  <x:c r="O303" i="89"/>
  <x:c r="V303" i="89"/>
  <x:c r="AD303" i="89"/>
  <x:c r="AF303" i="89"/>
  <x:c r="AG303" i="89"/>
  <x:c r="AH303" i="89"/>
  <x:c r="AI303" i="89"/>
  <x:c r="AJ303" i="89"/>
  <x:c r="J304" i="89"/>
  <x:c r="K304" i="89"/>
  <x:c r="L304" i="89"/>
  <x:c r="M304" i="89"/>
  <x:c r="O304" i="89"/>
  <x:c r="V304" i="89"/>
  <x:c r="AD304" i="89"/>
  <x:c r="AF304" i="89"/>
  <x:c r="AG304" i="89"/>
  <x:c r="AH304" i="89"/>
  <x:c r="AI304" i="89"/>
  <x:c r="AJ304" i="89"/>
  <x:c r="J305" i="89"/>
  <x:c r="K305" i="89"/>
  <x:c r="L305" i="89"/>
  <x:c r="M305" i="89"/>
  <x:c r="O305" i="89"/>
  <x:c r="V305" i="89"/>
  <x:c r="AD305" i="89"/>
  <x:c r="AF305" i="89"/>
  <x:c r="AG305" i="89"/>
  <x:c r="AH305" i="89"/>
  <x:c r="AI305" i="89"/>
  <x:c r="AJ305" i="89"/>
  <x:c r="J306" i="89"/>
  <x:c r="K306" i="89"/>
  <x:c r="L306" i="89"/>
  <x:c r="M306" i="89"/>
  <x:c r="O306" i="89"/>
  <x:c r="V306" i="89"/>
  <x:c r="AD306" i="89"/>
  <x:c r="AF306" i="89"/>
  <x:c r="AG306" i="89"/>
  <x:c r="AH306" i="89"/>
  <x:c r="AI306" i="89"/>
  <x:c r="AJ306" i="89"/>
  <x:c r="J307" i="89"/>
  <x:c r="K307" i="89"/>
  <x:c r="L307" i="89"/>
  <x:c r="M307" i="89"/>
  <x:c r="O307" i="89"/>
  <x:c r="V307" i="89"/>
  <x:c r="AD307" i="89"/>
  <x:c r="AF307" i="89"/>
  <x:c r="AG307" i="89"/>
  <x:c r="AH307" i="89"/>
  <x:c r="AI307" i="89"/>
  <x:c r="AJ307" i="89"/>
  <x:c r="J308" i="89"/>
  <x:c r="K308" i="89"/>
  <x:c r="L308" i="89"/>
  <x:c r="M308" i="89"/>
  <x:c r="O308" i="89"/>
  <x:c r="V308" i="89"/>
  <x:c r="AD308" i="89"/>
  <x:c r="AF308" i="89"/>
  <x:c r="AG308" i="89"/>
  <x:c r="AH308" i="89"/>
  <x:c r="AI308" i="89"/>
  <x:c r="AJ308" i="89"/>
  <x:c r="J309" i="89"/>
  <x:c r="K309" i="89"/>
  <x:c r="L309" i="89"/>
  <x:c r="M309" i="89"/>
  <x:c r="O309" i="89"/>
  <x:c r="V309" i="89"/>
  <x:c r="AD309" i="89"/>
  <x:c r="AF309" i="89"/>
  <x:c r="AG309" i="89"/>
  <x:c r="AH309" i="89"/>
  <x:c r="AI309" i="89"/>
  <x:c r="AJ309" i="89"/>
  <x:c r="J310" i="89"/>
  <x:c r="K310" i="89"/>
  <x:c r="L310" i="89"/>
  <x:c r="M310" i="89"/>
  <x:c r="O310" i="89"/>
  <x:c r="V310" i="89"/>
  <x:c r="AD310" i="89"/>
  <x:c r="AF310" i="89"/>
  <x:c r="AG310" i="89"/>
  <x:c r="AH310" i="89"/>
  <x:c r="AI310" i="89"/>
  <x:c r="AJ310" i="89"/>
  <x:c r="J311" i="89"/>
  <x:c r="K311" i="89"/>
  <x:c r="L311" i="89"/>
  <x:c r="M311" i="89"/>
  <x:c r="O311" i="89"/>
  <x:c r="V311" i="89"/>
  <x:c r="AD311" i="89"/>
  <x:c r="AF311" i="89"/>
  <x:c r="AG311" i="89"/>
  <x:c r="AH311" i="89"/>
  <x:c r="AI311" i="89"/>
  <x:c r="AJ311" i="89"/>
  <x:c r="J312" i="89"/>
  <x:c r="K312" i="89"/>
  <x:c r="L312" i="89"/>
  <x:c r="M312" i="89"/>
  <x:c r="O312" i="89"/>
  <x:c r="V312" i="89"/>
  <x:c r="AD312" i="89"/>
  <x:c r="AF312" i="89"/>
  <x:c r="AG312" i="89"/>
  <x:c r="AH312" i="89"/>
  <x:c r="AI312" i="89"/>
  <x:c r="AJ312" i="89"/>
  <x:c r="J313" i="89"/>
  <x:c r="K313" i="89"/>
  <x:c r="L313" i="89"/>
  <x:c r="M313" i="89"/>
  <x:c r="O313" i="89"/>
  <x:c r="V313" i="89"/>
  <x:c r="AD313" i="89"/>
  <x:c r="AF313" i="89"/>
  <x:c r="AG313" i="89"/>
  <x:c r="AH313" i="89"/>
  <x:c r="AI313" i="89"/>
  <x:c r="AJ313" i="89"/>
  <x:c r="J314" i="89"/>
  <x:c r="K314" i="89"/>
  <x:c r="L314" i="89"/>
  <x:c r="M314" i="89"/>
  <x:c r="O314" i="89"/>
  <x:c r="V314" i="89"/>
  <x:c r="AD314" i="89"/>
  <x:c r="AF314" i="89"/>
  <x:c r="AG314" i="89"/>
  <x:c r="AH314" i="89"/>
  <x:c r="AI314" i="89"/>
  <x:c r="AJ314" i="89"/>
  <x:c r="J315" i="89"/>
  <x:c r="K315" i="89"/>
  <x:c r="L315" i="89"/>
  <x:c r="M315" i="89"/>
  <x:c r="O315" i="89"/>
  <x:c r="V315" i="89"/>
  <x:c r="AD315" i="89"/>
  <x:c r="AF315" i="89"/>
  <x:c r="AG315" i="89"/>
  <x:c r="AH315" i="89"/>
  <x:c r="AI315" i="89"/>
  <x:c r="AJ315" i="89"/>
  <x:c r="J316" i="89"/>
  <x:c r="K316" i="89"/>
  <x:c r="L316" i="89"/>
  <x:c r="M316" i="89"/>
  <x:c r="O316" i="89"/>
  <x:c r="V316" i="89"/>
  <x:c r="AD316" i="89"/>
  <x:c r="AF316" i="89"/>
  <x:c r="AG316" i="89"/>
  <x:c r="AH316" i="89"/>
  <x:c r="AI316" i="89"/>
  <x:c r="AJ316" i="89"/>
  <x:c r="J317" i="89"/>
  <x:c r="K317" i="89"/>
  <x:c r="L317" i="89"/>
  <x:c r="M317" i="89"/>
  <x:c r="O317" i="89"/>
  <x:c r="V317" i="89"/>
  <x:c r="AD317" i="89"/>
  <x:c r="AF317" i="89"/>
  <x:c r="AG317" i="89"/>
  <x:c r="AH317" i="89"/>
  <x:c r="AI317" i="89"/>
  <x:c r="AJ317" i="89"/>
  <x:c r="J318" i="89"/>
  <x:c r="K318" i="89"/>
  <x:c r="L318" i="89"/>
  <x:c r="M318" i="89"/>
  <x:c r="O318" i="89"/>
  <x:c r="V318" i="89"/>
  <x:c r="AD318" i="89"/>
  <x:c r="AF318" i="89"/>
  <x:c r="AG318" i="89"/>
  <x:c r="AH318" i="89"/>
  <x:c r="AI318" i="89"/>
  <x:c r="AJ318" i="89"/>
  <x:c r="J319" i="89"/>
  <x:c r="K319" i="89"/>
  <x:c r="L319" i="89"/>
  <x:c r="M319" i="89"/>
  <x:c r="O319" i="89"/>
  <x:c r="V319" i="89"/>
  <x:c r="AD319" i="89"/>
  <x:c r="AF319" i="89"/>
  <x:c r="AG319" i="89"/>
  <x:c r="AH319" i="89"/>
  <x:c r="AI319" i="89"/>
  <x:c r="AJ319" i="89"/>
  <x:c r="J320" i="89"/>
  <x:c r="K320" i="89"/>
  <x:c r="L320" i="89"/>
  <x:c r="M320" i="89"/>
  <x:c r="O320" i="89"/>
  <x:c r="V320" i="89"/>
  <x:c r="AD320" i="89"/>
  <x:c r="AF320" i="89"/>
  <x:c r="AG320" i="89"/>
  <x:c r="AH320" i="89"/>
  <x:c r="AI320" i="89"/>
  <x:c r="AJ320" i="89"/>
  <x:c r="J321" i="89"/>
  <x:c r="K321" i="89"/>
  <x:c r="L321" i="89"/>
  <x:c r="M321" i="89"/>
  <x:c r="O321" i="89"/>
  <x:c r="V321" i="89"/>
  <x:c r="AD321" i="89"/>
  <x:c r="AF321" i="89"/>
  <x:c r="AG321" i="89"/>
  <x:c r="AH321" i="89"/>
  <x:c r="AI321" i="89"/>
  <x:c r="AJ321" i="89"/>
  <x:c r="J322" i="89"/>
  <x:c r="K322" i="89"/>
  <x:c r="L322" i="89"/>
  <x:c r="M322" i="89"/>
  <x:c r="O322" i="89"/>
  <x:c r="V322" i="89"/>
  <x:c r="AD322" i="89"/>
  <x:c r="AF322" i="89"/>
  <x:c r="AG322" i="89"/>
  <x:c r="AH322" i="89"/>
  <x:c r="AI322" i="89"/>
  <x:c r="AJ322" i="89"/>
  <x:c r="J323" i="89"/>
  <x:c r="K323" i="89"/>
  <x:c r="L323" i="89"/>
  <x:c r="M323" i="89"/>
  <x:c r="O323" i="89"/>
  <x:c r="V323" i="89"/>
  <x:c r="AD323" i="89"/>
  <x:c r="AF323" i="89"/>
  <x:c r="AG323" i="89"/>
  <x:c r="AH323" i="89"/>
  <x:c r="AI323" i="89"/>
  <x:c r="AJ323" i="89"/>
  <x:c r="J324" i="89"/>
  <x:c r="K324" i="89"/>
  <x:c r="L324" i="89"/>
  <x:c r="M324" i="89"/>
  <x:c r="O324" i="89"/>
  <x:c r="V324" i="89"/>
  <x:c r="AD324" i="89"/>
  <x:c r="AF324" i="89"/>
  <x:c r="AG324" i="89"/>
  <x:c r="AH324" i="89"/>
  <x:c r="AI324" i="89"/>
  <x:c r="AJ324" i="89"/>
  <x:c r="J325" i="89"/>
  <x:c r="K325" i="89"/>
  <x:c r="L325" i="89"/>
  <x:c r="M325" i="89"/>
  <x:c r="O325" i="89"/>
  <x:c r="V325" i="89"/>
  <x:c r="AD325" i="89"/>
  <x:c r="AF325" i="89"/>
  <x:c r="AG325" i="89"/>
  <x:c r="AH325" i="89"/>
  <x:c r="AI325" i="89"/>
  <x:c r="AJ325" i="89"/>
  <x:c r="J326" i="89"/>
  <x:c r="K326" i="89"/>
  <x:c r="L326" i="89"/>
  <x:c r="M326" i="89"/>
  <x:c r="O326" i="89"/>
  <x:c r="V326" i="89"/>
  <x:c r="AD326" i="89"/>
  <x:c r="AF326" i="89"/>
  <x:c r="AG326" i="89"/>
  <x:c r="AH326" i="89"/>
  <x:c r="AI326" i="89"/>
  <x:c r="AJ326" i="89"/>
  <x:c r="J327" i="89"/>
  <x:c r="K327" i="89"/>
  <x:c r="L327" i="89"/>
  <x:c r="M327" i="89"/>
  <x:c r="O327" i="89"/>
  <x:c r="V327" i="89"/>
  <x:c r="AD327" i="89"/>
  <x:c r="AF327" i="89"/>
  <x:c r="AG327" i="89"/>
  <x:c r="AH327" i="89"/>
  <x:c r="AI327" i="89"/>
  <x:c r="AJ327" i="89"/>
  <x:c r="J328" i="89"/>
  <x:c r="K328" i="89"/>
  <x:c r="L328" i="89"/>
  <x:c r="M328" i="89"/>
  <x:c r="O328" i="89"/>
  <x:c r="V328" i="89"/>
  <x:c r="AD328" i="89"/>
  <x:c r="AF328" i="89"/>
  <x:c r="AG328" i="89"/>
  <x:c r="AH328" i="89"/>
  <x:c r="AI328" i="89"/>
  <x:c r="AJ328" i="89"/>
  <x:c r="J329" i="89"/>
  <x:c r="K329" i="89"/>
  <x:c r="L329" i="89"/>
  <x:c r="M329" i="89"/>
  <x:c r="O329" i="89"/>
  <x:c r="V329" i="89"/>
  <x:c r="AD329" i="89"/>
  <x:c r="AF329" i="89"/>
  <x:c r="AG329" i="89"/>
  <x:c r="AH329" i="89"/>
  <x:c r="AI329" i="89"/>
  <x:c r="AJ329" i="89"/>
  <x:c r="J330" i="89"/>
  <x:c r="K330" i="89"/>
  <x:c r="L330" i="89"/>
  <x:c r="M330" i="89"/>
  <x:c r="O330" i="89"/>
  <x:c r="V330" i="89"/>
  <x:c r="AD330" i="89"/>
  <x:c r="AF330" i="89"/>
  <x:c r="AG330" i="89"/>
  <x:c r="AH330" i="89"/>
  <x:c r="AI330" i="89"/>
  <x:c r="AJ330" i="89"/>
  <x:c r="J331" i="89"/>
  <x:c r="K331" i="89"/>
  <x:c r="L331" i="89"/>
  <x:c r="M331" i="89"/>
  <x:c r="O331" i="89"/>
  <x:c r="V331" i="89"/>
  <x:c r="AD331" i="89"/>
  <x:c r="AF331" i="89"/>
  <x:c r="AG331" i="89"/>
  <x:c r="AH331" i="89"/>
  <x:c r="AI331" i="89"/>
  <x:c r="AJ331" i="89"/>
  <x:c r="J332" i="89"/>
  <x:c r="K332" i="89"/>
  <x:c r="L332" i="89"/>
  <x:c r="M332" i="89"/>
  <x:c r="O332" i="89"/>
  <x:c r="V332" i="89"/>
  <x:c r="AD332" i="89"/>
  <x:c r="AF332" i="89"/>
  <x:c r="AG332" i="89"/>
  <x:c r="AH332" i="89"/>
  <x:c r="AI332" i="89"/>
  <x:c r="AJ332" i="89"/>
  <x:c r="J333" i="89"/>
  <x:c r="K333" i="89"/>
  <x:c r="L333" i="89"/>
  <x:c r="M333" i="89"/>
  <x:c r="O333" i="89"/>
  <x:c r="V333" i="89"/>
  <x:c r="AD333" i="89"/>
  <x:c r="AF333" i="89"/>
  <x:c r="AG333" i="89"/>
  <x:c r="AH333" i="89"/>
  <x:c r="AI333" i="89"/>
  <x:c r="AJ333" i="89"/>
  <x:c r="J334" i="89"/>
  <x:c r="K334" i="89"/>
  <x:c r="L334" i="89"/>
  <x:c r="M334" i="89"/>
  <x:c r="O334" i="89"/>
  <x:c r="V334" i="89"/>
  <x:c r="AD334" i="89"/>
  <x:c r="AF334" i="89"/>
  <x:c r="AG334" i="89"/>
  <x:c r="AH334" i="89"/>
  <x:c r="AI334" i="89"/>
  <x:c r="AJ334" i="89"/>
  <x:c r="J335" i="89"/>
  <x:c r="K335" i="89"/>
  <x:c r="L335" i="89"/>
  <x:c r="M335" i="89"/>
  <x:c r="O335" i="89"/>
  <x:c r="V335" i="89"/>
  <x:c r="AD335" i="89"/>
  <x:c r="AF335" i="89"/>
  <x:c r="AG335" i="89"/>
  <x:c r="AH335" i="89"/>
  <x:c r="AI335" i="89"/>
  <x:c r="AJ335" i="89"/>
  <x:c r="J336" i="89"/>
  <x:c r="K336" i="89"/>
  <x:c r="L336" i="89"/>
  <x:c r="M336" i="89"/>
  <x:c r="O336" i="89"/>
  <x:c r="V336" i="89"/>
  <x:c r="AD336" i="89"/>
  <x:c r="AF336" i="89"/>
  <x:c r="AG336" i="89"/>
  <x:c r="AH336" i="89"/>
  <x:c r="AI336" i="89"/>
  <x:c r="AJ336" i="89"/>
  <x:c r="J337" i="89"/>
  <x:c r="K337" i="89"/>
  <x:c r="L337" i="89"/>
  <x:c r="M337" i="89"/>
  <x:c r="O337" i="89"/>
  <x:c r="V337" i="89"/>
  <x:c r="AD337" i="89"/>
  <x:c r="AF337" i="89"/>
  <x:c r="AG337" i="89"/>
  <x:c r="AH337" i="89"/>
  <x:c r="AI337" i="89"/>
  <x:c r="AJ337" i="89"/>
  <x:c r="J338" i="89"/>
  <x:c r="K338" i="89"/>
  <x:c r="L338" i="89"/>
  <x:c r="M338" i="89"/>
  <x:c r="O338" i="89"/>
  <x:c r="V338" i="89"/>
  <x:c r="AD338" i="89"/>
  <x:c r="AF338" i="89"/>
  <x:c r="AG338" i="89"/>
  <x:c r="AH338" i="89"/>
  <x:c r="AI338" i="89"/>
  <x:c r="AJ338" i="89"/>
  <x:c r="J339" i="89"/>
  <x:c r="K339" i="89"/>
  <x:c r="L339" i="89"/>
  <x:c r="M339" i="89"/>
  <x:c r="O339" i="89"/>
  <x:c r="V339" i="89"/>
  <x:c r="AD339" i="89"/>
  <x:c r="AF339" i="89"/>
  <x:c r="AG339" i="89"/>
  <x:c r="AH339" i="89"/>
  <x:c r="AI339" i="89"/>
  <x:c r="AJ339" i="89"/>
  <x:c r="J340" i="89"/>
  <x:c r="K340" i="89"/>
  <x:c r="L340" i="89"/>
  <x:c r="M340" i="89"/>
  <x:c r="O340" i="89"/>
  <x:c r="V340" i="89"/>
  <x:c r="AD340" i="89"/>
  <x:c r="AF340" i="89"/>
  <x:c r="AG340" i="89"/>
  <x:c r="AH340" i="89"/>
  <x:c r="AI340" i="89"/>
  <x:c r="AJ340" i="89"/>
  <x:c r="J341" i="89"/>
  <x:c r="K341" i="89"/>
  <x:c r="L341" i="89"/>
  <x:c r="M341" i="89"/>
  <x:c r="O341" i="89"/>
  <x:c r="V341" i="89"/>
  <x:c r="AD341" i="89"/>
  <x:c r="AF341" i="89"/>
  <x:c r="AG341" i="89"/>
  <x:c r="AH341" i="89"/>
  <x:c r="AI341" i="89"/>
  <x:c r="AJ341" i="89"/>
  <x:c r="J342" i="89"/>
  <x:c r="K342" i="89"/>
  <x:c r="L342" i="89"/>
  <x:c r="M342" i="89"/>
  <x:c r="O342" i="89"/>
  <x:c r="V342" i="89"/>
  <x:c r="AD342" i="89"/>
  <x:c r="AF342" i="89"/>
  <x:c r="AG342" i="89"/>
  <x:c r="AH342" i="89"/>
  <x:c r="AI342" i="89"/>
  <x:c r="AJ342" i="89"/>
  <x:c r="J343" i="89"/>
  <x:c r="K343" i="89"/>
  <x:c r="L343" i="89"/>
  <x:c r="M343" i="89"/>
  <x:c r="O343" i="89"/>
  <x:c r="V343" i="89"/>
  <x:c r="AD343" i="89"/>
  <x:c r="AF343" i="89"/>
  <x:c r="AG343" i="89"/>
  <x:c r="AH343" i="89"/>
  <x:c r="AI343" i="89"/>
  <x:c r="AJ343" i="89"/>
  <x:c r="J344" i="89"/>
  <x:c r="K344" i="89"/>
  <x:c r="L344" i="89"/>
  <x:c r="M344" i="89"/>
  <x:c r="O344" i="89"/>
  <x:c r="V344" i="89"/>
  <x:c r="AD344" i="89"/>
  <x:c r="AF344" i="89"/>
  <x:c r="AG344" i="89"/>
  <x:c r="AH344" i="89"/>
  <x:c r="AI344" i="89"/>
  <x:c r="AJ344" i="89"/>
  <x:c r="J345" i="89"/>
  <x:c r="K345" i="89"/>
  <x:c r="L345" i="89"/>
  <x:c r="M345" i="89"/>
  <x:c r="O345" i="89"/>
  <x:c r="V345" i="89"/>
  <x:c r="AD345" i="89"/>
  <x:c r="AF345" i="89"/>
  <x:c r="AG345" i="89"/>
  <x:c r="AH345" i="89"/>
  <x:c r="AI345" i="89"/>
  <x:c r="AJ345" i="89"/>
  <x:c r="J346" i="89"/>
  <x:c r="K346" i="89"/>
  <x:c r="L346" i="89"/>
  <x:c r="M346" i="89"/>
  <x:c r="O346" i="89"/>
  <x:c r="V346" i="89"/>
  <x:c r="AD346" i="89"/>
  <x:c r="AF346" i="89"/>
  <x:c r="AG346" i="89"/>
  <x:c r="AH346" i="89"/>
  <x:c r="AI346" i="89"/>
  <x:c r="AJ346" i="89"/>
  <x:c r="J347" i="89"/>
  <x:c r="K347" i="89"/>
  <x:c r="L347" i="89"/>
  <x:c r="M347" i="89"/>
  <x:c r="O347" i="89"/>
  <x:c r="V347" i="89"/>
  <x:c r="AD347" i="89"/>
  <x:c r="AF347" i="89"/>
  <x:c r="AG347" i="89"/>
  <x:c r="AH347" i="89"/>
  <x:c r="AI347" i="89"/>
  <x:c r="AJ347" i="89"/>
  <x:c r="J348" i="89"/>
  <x:c r="K348" i="89"/>
  <x:c r="L348" i="89"/>
  <x:c r="M348" i="89"/>
  <x:c r="O348" i="89"/>
  <x:c r="V348" i="89"/>
  <x:c r="AD348" i="89"/>
  <x:c r="AF348" i="89"/>
  <x:c r="AG348" i="89"/>
  <x:c r="AH348" i="89"/>
  <x:c r="AI348" i="89"/>
  <x:c r="AJ348" i="89"/>
  <x:c r="J349" i="89"/>
  <x:c r="K349" i="89"/>
  <x:c r="L349" i="89"/>
  <x:c r="M349" i="89"/>
  <x:c r="O349" i="89"/>
  <x:c r="V349" i="89"/>
  <x:c r="AD349" i="89"/>
  <x:c r="AF349" i="89"/>
  <x:c r="AG349" i="89"/>
  <x:c r="AH349" i="89"/>
  <x:c r="AI349" i="89"/>
  <x:c r="AJ349" i="89"/>
  <x:c r="J350" i="89"/>
  <x:c r="K350" i="89"/>
  <x:c r="L350" i="89"/>
  <x:c r="M350" i="89"/>
  <x:c r="O350" i="89"/>
  <x:c r="V350" i="89"/>
  <x:c r="AD350" i="89"/>
  <x:c r="AF350" i="89"/>
  <x:c r="AG350" i="89"/>
  <x:c r="AH350" i="89"/>
  <x:c r="AI350" i="89"/>
  <x:c r="AJ350" i="89"/>
  <x:c r="J351" i="89"/>
  <x:c r="K351" i="89"/>
  <x:c r="L351" i="89"/>
  <x:c r="M351" i="89"/>
  <x:c r="O351" i="89"/>
  <x:c r="V351" i="89"/>
  <x:c r="AD351" i="89"/>
  <x:c r="AF351" i="89"/>
  <x:c r="AG351" i="89"/>
  <x:c r="AH351" i="89"/>
  <x:c r="AI351" i="89"/>
  <x:c r="AJ351" i="89"/>
  <x:c r="J352" i="89"/>
  <x:c r="K352" i="89"/>
  <x:c r="L352" i="89"/>
  <x:c r="M352" i="89"/>
  <x:c r="O352" i="89"/>
  <x:c r="V352" i="89"/>
  <x:c r="AD352" i="89"/>
  <x:c r="AF352" i="89"/>
  <x:c r="AG352" i="89"/>
  <x:c r="AH352" i="89"/>
  <x:c r="AI352" i="89"/>
  <x:c r="AJ352" i="89"/>
  <x:c r="J353" i="89"/>
  <x:c r="K353" i="89"/>
  <x:c r="L353" i="89"/>
  <x:c r="M353" i="89"/>
  <x:c r="O353" i="89"/>
  <x:c r="V353" i="89"/>
  <x:c r="AD353" i="89"/>
  <x:c r="AF353" i="89"/>
  <x:c r="AG353" i="89"/>
  <x:c r="AH353" i="89"/>
  <x:c r="AI353" i="89"/>
  <x:c r="AJ353" i="89"/>
  <x:c r="J354" i="89"/>
  <x:c r="K354" i="89"/>
  <x:c r="L354" i="89"/>
  <x:c r="M354" i="89"/>
  <x:c r="O354" i="89"/>
  <x:c r="V354" i="89"/>
  <x:c r="AD354" i="89"/>
  <x:c r="AF354" i="89"/>
  <x:c r="AG354" i="89"/>
  <x:c r="AH354" i="89"/>
  <x:c r="AI354" i="89"/>
  <x:c r="AJ354" i="89"/>
  <x:c r="J355" i="89"/>
  <x:c r="K355" i="89"/>
  <x:c r="L355" i="89"/>
  <x:c r="M355" i="89"/>
  <x:c r="O355" i="89"/>
  <x:c r="V355" i="89"/>
  <x:c r="AD355" i="89"/>
  <x:c r="AF355" i="89"/>
  <x:c r="AG355" i="89"/>
  <x:c r="AH355" i="89"/>
  <x:c r="AI355" i="89"/>
  <x:c r="AJ355" i="89"/>
  <x:c r="J356" i="89"/>
  <x:c r="K356" i="89"/>
  <x:c r="L356" i="89"/>
  <x:c r="M356" i="89"/>
  <x:c r="O356" i="89"/>
  <x:c r="V356" i="89"/>
  <x:c r="AD356" i="89"/>
  <x:c r="AF356" i="89"/>
  <x:c r="AG356" i="89"/>
  <x:c r="AH356" i="89"/>
  <x:c r="AI356" i="89"/>
  <x:c r="AJ356" i="89"/>
  <x:c r="J357" i="89"/>
  <x:c r="K357" i="89"/>
  <x:c r="L357" i="89"/>
  <x:c r="M357" i="89"/>
  <x:c r="O357" i="89"/>
  <x:c r="V357" i="89"/>
  <x:c r="AD357" i="89"/>
  <x:c r="AF357" i="89"/>
  <x:c r="AG357" i="89"/>
  <x:c r="AH357" i="89"/>
  <x:c r="AI357" i="89"/>
  <x:c r="AJ357" i="89"/>
  <x:c r="J358" i="89"/>
  <x:c r="K358" i="89"/>
  <x:c r="L358" i="89"/>
  <x:c r="M358" i="89"/>
  <x:c r="O358" i="89"/>
  <x:c r="V358" i="89"/>
  <x:c r="AD358" i="89"/>
  <x:c r="AF358" i="89"/>
  <x:c r="AG358" i="89"/>
  <x:c r="AH358" i="89"/>
  <x:c r="AI358" i="89"/>
  <x:c r="AJ358" i="89"/>
  <x:c r="J359" i="89"/>
  <x:c r="K359" i="89"/>
  <x:c r="L359" i="89"/>
  <x:c r="M359" i="89"/>
  <x:c r="O359" i="89"/>
  <x:c r="V359" i="89"/>
  <x:c r="AD359" i="89"/>
  <x:c r="AF359" i="89"/>
  <x:c r="AG359" i="89"/>
  <x:c r="AH359" i="89"/>
  <x:c r="AI359" i="89"/>
  <x:c r="AJ359" i="89"/>
  <x:c r="J360" i="89"/>
  <x:c r="K360" i="89"/>
  <x:c r="L360" i="89"/>
  <x:c r="M360" i="89"/>
  <x:c r="O360" i="89"/>
  <x:c r="V360" i="89"/>
  <x:c r="AD360" i="89"/>
  <x:c r="AF360" i="89"/>
  <x:c r="AG360" i="89"/>
  <x:c r="AH360" i="89"/>
  <x:c r="AI360" i="89"/>
  <x:c r="AJ360" i="89"/>
  <x:c r="J361" i="89"/>
  <x:c r="K361" i="89"/>
  <x:c r="L361" i="89"/>
  <x:c r="M361" i="89"/>
  <x:c r="O361" i="89"/>
  <x:c r="V361" i="89"/>
  <x:c r="AD361" i="89"/>
  <x:c r="AF361" i="89"/>
  <x:c r="AG361" i="89"/>
  <x:c r="AH361" i="89"/>
  <x:c r="AI361" i="89"/>
  <x:c r="AJ361" i="89"/>
  <x:c r="J362" i="89"/>
  <x:c r="K362" i="89"/>
  <x:c r="L362" i="89"/>
  <x:c r="M362" i="89"/>
  <x:c r="O362" i="89"/>
  <x:c r="V362" i="89"/>
  <x:c r="AD362" i="89"/>
  <x:c r="AF362" i="89"/>
  <x:c r="AG362" i="89"/>
  <x:c r="AH362" i="89"/>
  <x:c r="AI362" i="89"/>
  <x:c r="AJ362" i="89"/>
  <x:c r="J363" i="89"/>
  <x:c r="K363" i="89"/>
  <x:c r="L363" i="89"/>
  <x:c r="M363" i="89"/>
  <x:c r="O363" i="89"/>
  <x:c r="V363" i="89"/>
  <x:c r="AD363" i="89"/>
  <x:c r="AF363" i="89"/>
  <x:c r="AG363" i="89"/>
  <x:c r="AH363" i="89"/>
  <x:c r="AI363" i="89"/>
  <x:c r="AJ363" i="89"/>
  <x:c r="J364" i="89"/>
  <x:c r="K364" i="89"/>
  <x:c r="L364" i="89"/>
  <x:c r="M364" i="89"/>
  <x:c r="O364" i="89"/>
  <x:c r="V364" i="89"/>
  <x:c r="AD364" i="89"/>
  <x:c r="AF364" i="89"/>
  <x:c r="AG364" i="89"/>
  <x:c r="AH364" i="89"/>
  <x:c r="AI364" i="89"/>
  <x:c r="AJ364" i="89"/>
  <x:c r="J365" i="89"/>
  <x:c r="K365" i="89"/>
  <x:c r="L365" i="89"/>
  <x:c r="M365" i="89"/>
  <x:c r="O365" i="89"/>
  <x:c r="V365" i="89"/>
  <x:c r="AD365" i="89"/>
  <x:c r="AF365" i="89"/>
  <x:c r="AG365" i="89"/>
  <x:c r="AH365" i="89"/>
  <x:c r="AI365" i="89"/>
  <x:c r="AJ365" i="89"/>
  <x:c r="J366" i="89"/>
  <x:c r="K366" i="89"/>
  <x:c r="L366" i="89"/>
  <x:c r="M366" i="89"/>
  <x:c r="O366" i="89"/>
  <x:c r="V366" i="89"/>
  <x:c r="AD366" i="89"/>
  <x:c r="AF366" i="89"/>
  <x:c r="AG366" i="89"/>
  <x:c r="AH366" i="89"/>
  <x:c r="AI366" i="89"/>
  <x:c r="AJ366" i="89"/>
  <x:c r="J367" i="89"/>
  <x:c r="K367" i="89"/>
  <x:c r="L367" i="89"/>
  <x:c r="M367" i="89"/>
  <x:c r="O367" i="89"/>
  <x:c r="V367" i="89"/>
  <x:c r="AD367" i="89"/>
  <x:c r="AF367" i="89"/>
  <x:c r="AG367" i="89"/>
  <x:c r="AH367" i="89"/>
  <x:c r="AI367" i="89"/>
  <x:c r="AJ367" i="89"/>
  <x:c r="J368" i="89"/>
  <x:c r="K368" i="89"/>
  <x:c r="L368" i="89"/>
  <x:c r="M368" i="89"/>
  <x:c r="O368" i="89"/>
  <x:c r="V368" i="89"/>
  <x:c r="AD368" i="89"/>
  <x:c r="AF368" i="89"/>
  <x:c r="AG368" i="89"/>
  <x:c r="AH368" i="89"/>
  <x:c r="AI368" i="89"/>
  <x:c r="AJ368" i="89"/>
  <x:c r="J369" i="89"/>
  <x:c r="K369" i="89"/>
  <x:c r="L369" i="89"/>
  <x:c r="M369" i="89"/>
  <x:c r="O369" i="89"/>
  <x:c r="V369" i="89"/>
  <x:c r="AD369" i="89"/>
  <x:c r="AF369" i="89"/>
  <x:c r="AG369" i="89"/>
  <x:c r="AH369" i="89"/>
  <x:c r="AI369" i="89"/>
  <x:c r="AJ369" i="89"/>
  <x:c r="J370" i="89"/>
  <x:c r="K370" i="89"/>
  <x:c r="L370" i="89"/>
  <x:c r="M370" i="89"/>
  <x:c r="O370" i="89"/>
  <x:c r="V370" i="89"/>
  <x:c r="AD370" i="89"/>
  <x:c r="AF370" i="89"/>
  <x:c r="AG370" i="89"/>
  <x:c r="AH370" i="89"/>
  <x:c r="AI370" i="89"/>
  <x:c r="AJ370" i="89"/>
  <x:c r="J371" i="89"/>
  <x:c r="K371" i="89"/>
  <x:c r="L371" i="89"/>
  <x:c r="M371" i="89"/>
  <x:c r="O371" i="89"/>
  <x:c r="V371" i="89"/>
  <x:c r="AD371" i="89"/>
  <x:c r="AF371" i="89"/>
  <x:c r="AG371" i="89"/>
  <x:c r="AH371" i="89"/>
  <x:c r="AI371" i="89"/>
  <x:c r="AJ371" i="89"/>
  <x:c r="J372" i="89"/>
  <x:c r="K372" i="89"/>
  <x:c r="L372" i="89"/>
  <x:c r="M372" i="89"/>
  <x:c r="O372" i="89"/>
  <x:c r="V372" i="89"/>
  <x:c r="AD372" i="89"/>
  <x:c r="AF372" i="89"/>
  <x:c r="AG372" i="89"/>
  <x:c r="AH372" i="89"/>
  <x:c r="AI372" i="89"/>
  <x:c r="AJ372" i="89"/>
  <x:c r="J373" i="89"/>
  <x:c r="K373" i="89"/>
  <x:c r="L373" i="89"/>
  <x:c r="M373" i="89"/>
  <x:c r="O373" i="89"/>
  <x:c r="V373" i="89"/>
  <x:c r="AD373" i="89"/>
  <x:c r="AF373" i="89"/>
  <x:c r="AG373" i="89"/>
  <x:c r="AH373" i="89"/>
  <x:c r="AI373" i="89"/>
  <x:c r="AJ373" i="89"/>
  <x:c r="J374" i="89"/>
  <x:c r="K374" i="89"/>
  <x:c r="L374" i="89"/>
  <x:c r="M374" i="89"/>
  <x:c r="O374" i="89"/>
  <x:c r="V374" i="89"/>
  <x:c r="AD374" i="89"/>
  <x:c r="AF374" i="89"/>
  <x:c r="AG374" i="89"/>
  <x:c r="AH374" i="89"/>
  <x:c r="AI374" i="89"/>
  <x:c r="AJ374" i="89"/>
  <x:c r="J375" i="89"/>
  <x:c r="K375" i="89"/>
  <x:c r="L375" i="89"/>
  <x:c r="M375" i="89"/>
  <x:c r="O375" i="89"/>
  <x:c r="V375" i="89"/>
  <x:c r="AD375" i="89"/>
  <x:c r="AF375" i="89"/>
  <x:c r="AG375" i="89"/>
  <x:c r="AH375" i="89"/>
  <x:c r="AI375" i="89"/>
  <x:c r="AJ375" i="89"/>
  <x:c r="J376" i="89"/>
  <x:c r="K376" i="89"/>
  <x:c r="L376" i="89"/>
  <x:c r="M376" i="89"/>
  <x:c r="O376" i="89"/>
  <x:c r="V376" i="89"/>
  <x:c r="AD376" i="89"/>
  <x:c r="AF376" i="89"/>
  <x:c r="AG376" i="89"/>
  <x:c r="AH376" i="89"/>
  <x:c r="AI376" i="89"/>
  <x:c r="AJ376" i="89"/>
  <x:c r="J377" i="89"/>
  <x:c r="K377" i="89"/>
  <x:c r="L377" i="89"/>
  <x:c r="M377" i="89"/>
  <x:c r="O377" i="89"/>
  <x:c r="V377" i="89"/>
  <x:c r="AD377" i="89"/>
  <x:c r="AF377" i="89"/>
  <x:c r="AG377" i="89"/>
  <x:c r="AH377" i="89"/>
  <x:c r="AI377" i="89"/>
  <x:c r="AJ377" i="89"/>
  <x:c r="J378" i="89"/>
  <x:c r="K378" i="89"/>
  <x:c r="L378" i="89"/>
  <x:c r="M378" i="89"/>
  <x:c r="O378" i="89"/>
  <x:c r="V378" i="89"/>
  <x:c r="AD378" i="89"/>
  <x:c r="AF378" i="89"/>
  <x:c r="AG378" i="89"/>
  <x:c r="AH378" i="89"/>
  <x:c r="AI378" i="89"/>
  <x:c r="AJ378" i="89"/>
  <x:c r="J379" i="89"/>
  <x:c r="K379" i="89"/>
  <x:c r="L379" i="89"/>
  <x:c r="M379" i="89"/>
  <x:c r="O379" i="89"/>
  <x:c r="V379" i="89"/>
  <x:c r="AD379" i="89"/>
  <x:c r="AF379" i="89"/>
  <x:c r="AG379" i="89"/>
  <x:c r="AH379" i="89"/>
  <x:c r="AI379" i="89"/>
  <x:c r="AJ379" i="89"/>
  <x:c r="J380" i="89"/>
  <x:c r="K380" i="89"/>
  <x:c r="L380" i="89"/>
  <x:c r="M380" i="89"/>
  <x:c r="O380" i="89"/>
  <x:c r="V380" i="89"/>
  <x:c r="AD380" i="89"/>
  <x:c r="AF380" i="89"/>
  <x:c r="AG380" i="89"/>
  <x:c r="AH380" i="89"/>
  <x:c r="AI380" i="89"/>
  <x:c r="AJ380" i="89"/>
  <x:c r="J381" i="89"/>
  <x:c r="K381" i="89"/>
  <x:c r="L381" i="89"/>
  <x:c r="M381" i="89"/>
  <x:c r="O381" i="89"/>
  <x:c r="V381" i="89"/>
  <x:c r="AD381" i="89"/>
  <x:c r="AF381" i="89"/>
  <x:c r="AG381" i="89"/>
  <x:c r="AH381" i="89"/>
  <x:c r="AI381" i="89"/>
  <x:c r="AJ381" i="89"/>
  <x:c r="J382" i="89"/>
  <x:c r="K382" i="89"/>
  <x:c r="L382" i="89"/>
  <x:c r="M382" i="89"/>
  <x:c r="O382" i="89"/>
  <x:c r="V382" i="89"/>
  <x:c r="AD382" i="89"/>
  <x:c r="AF382" i="89"/>
  <x:c r="AG382" i="89"/>
  <x:c r="AH382" i="89"/>
  <x:c r="AI382" i="89"/>
  <x:c r="AJ382" i="89"/>
  <x:c r="J383" i="89"/>
  <x:c r="K383" i="89"/>
  <x:c r="L383" i="89"/>
  <x:c r="M383" i="89"/>
  <x:c r="O383" i="89"/>
  <x:c r="V383" i="89"/>
  <x:c r="AD383" i="89"/>
  <x:c r="AF383" i="89"/>
  <x:c r="AG383" i="89"/>
  <x:c r="AH383" i="89"/>
  <x:c r="AI383" i="89"/>
  <x:c r="AJ383" i="89"/>
  <x:c r="J384" i="89"/>
  <x:c r="K384" i="89"/>
  <x:c r="L384" i="89"/>
  <x:c r="M384" i="89"/>
  <x:c r="O384" i="89"/>
  <x:c r="V384" i="89"/>
  <x:c r="AD384" i="89"/>
  <x:c r="AF384" i="89"/>
  <x:c r="AG384" i="89"/>
  <x:c r="AH384" i="89"/>
  <x:c r="AI384" i="89"/>
  <x:c r="AJ384" i="89"/>
  <x:c r="J385" i="89"/>
  <x:c r="K385" i="89"/>
  <x:c r="L385" i="89"/>
  <x:c r="M385" i="89"/>
  <x:c r="O385" i="89"/>
  <x:c r="V385" i="89"/>
  <x:c r="AD385" i="89"/>
  <x:c r="AF385" i="89"/>
  <x:c r="AG385" i="89"/>
  <x:c r="AH385" i="89"/>
  <x:c r="AI385" i="89"/>
  <x:c r="AJ385" i="89"/>
  <x:c r="J386" i="89"/>
  <x:c r="K386" i="89"/>
  <x:c r="L386" i="89"/>
  <x:c r="M386" i="89"/>
  <x:c r="O386" i="89"/>
  <x:c r="V386" i="89"/>
  <x:c r="AD386" i="89"/>
  <x:c r="AF386" i="89"/>
  <x:c r="AG386" i="89"/>
  <x:c r="AH386" i="89"/>
  <x:c r="AI386" i="89"/>
  <x:c r="AJ386" i="89"/>
  <x:c r="J387" i="89"/>
  <x:c r="K387" i="89"/>
  <x:c r="L387" i="89"/>
  <x:c r="M387" i="89"/>
  <x:c r="O387" i="89"/>
  <x:c r="V387" i="89"/>
  <x:c r="AD387" i="89"/>
  <x:c r="AF387" i="89"/>
  <x:c r="AG387" i="89"/>
  <x:c r="AH387" i="89"/>
  <x:c r="AI387" i="89"/>
  <x:c r="AJ387" i="89"/>
  <x:c r="J388" i="89"/>
  <x:c r="K388" i="89"/>
  <x:c r="L388" i="89"/>
  <x:c r="M388" i="89"/>
  <x:c r="O388" i="89"/>
  <x:c r="V388" i="89"/>
  <x:c r="AD388" i="89"/>
  <x:c r="AF388" i="89"/>
  <x:c r="AG388" i="89"/>
  <x:c r="AH388" i="89"/>
  <x:c r="AI388" i="89"/>
  <x:c r="AJ388" i="89"/>
  <x:c r="J389" i="89"/>
  <x:c r="K389" i="89"/>
  <x:c r="L389" i="89"/>
  <x:c r="M389" i="89"/>
  <x:c r="O389" i="89"/>
  <x:c r="V389" i="89"/>
  <x:c r="AD389" i="89"/>
  <x:c r="AF389" i="89"/>
  <x:c r="AG389" i="89"/>
  <x:c r="AH389" i="89"/>
  <x:c r="AI389" i="89"/>
  <x:c r="AJ389" i="89"/>
  <x:c r="J390" i="89"/>
  <x:c r="K390" i="89"/>
  <x:c r="L390" i="89"/>
  <x:c r="M390" i="89"/>
  <x:c r="O390" i="89"/>
  <x:c r="V390" i="89"/>
  <x:c r="AD390" i="89"/>
  <x:c r="AF390" i="89"/>
  <x:c r="AG390" i="89"/>
  <x:c r="AH390" i="89"/>
  <x:c r="AI390" i="89"/>
  <x:c r="AJ390" i="89"/>
  <x:c r="J391" i="89"/>
  <x:c r="K391" i="89"/>
  <x:c r="L391" i="89"/>
  <x:c r="M391" i="89"/>
  <x:c r="O391" i="89"/>
  <x:c r="V391" i="89"/>
  <x:c r="AD391" i="89"/>
  <x:c r="AF391" i="89"/>
  <x:c r="AG391" i="89"/>
  <x:c r="AH391" i="89"/>
  <x:c r="AI391" i="89"/>
  <x:c r="AJ391" i="89"/>
  <x:c r="J392" i="89"/>
  <x:c r="K392" i="89"/>
  <x:c r="L392" i="89"/>
  <x:c r="M392" i="89"/>
  <x:c r="O392" i="89"/>
  <x:c r="V392" i="89"/>
  <x:c r="AD392" i="89"/>
  <x:c r="AF392" i="89"/>
  <x:c r="AG392" i="89"/>
  <x:c r="AH392" i="89"/>
  <x:c r="AI392" i="89"/>
  <x:c r="AJ392" i="89"/>
  <x:c r="J393" i="89"/>
  <x:c r="K393" i="89"/>
  <x:c r="L393" i="89"/>
  <x:c r="M393" i="89"/>
  <x:c r="O393" i="89"/>
  <x:c r="V393" i="89"/>
  <x:c r="AD393" i="89"/>
  <x:c r="AF393" i="89"/>
  <x:c r="AG393" i="89"/>
  <x:c r="AH393" i="89"/>
  <x:c r="AI393" i="89"/>
  <x:c r="AJ393" i="89"/>
  <x:c r="J394" i="89"/>
  <x:c r="K394" i="89"/>
  <x:c r="L394" i="89"/>
  <x:c r="M394" i="89"/>
  <x:c r="O394" i="89"/>
  <x:c r="V394" i="89"/>
  <x:c r="AD394" i="89"/>
  <x:c r="AF394" i="89"/>
  <x:c r="AG394" i="89"/>
  <x:c r="AH394" i="89"/>
  <x:c r="AI394" i="89"/>
  <x:c r="AJ394" i="89"/>
  <x:c r="J395" i="89"/>
  <x:c r="K395" i="89"/>
  <x:c r="L395" i="89"/>
  <x:c r="M395" i="89"/>
  <x:c r="O395" i="89"/>
  <x:c r="V395" i="89"/>
  <x:c r="AD395" i="89"/>
  <x:c r="AF395" i="89"/>
  <x:c r="AG395" i="89"/>
  <x:c r="AH395" i="89"/>
  <x:c r="AI395" i="89"/>
  <x:c r="AJ395" i="89"/>
  <x:c r="J396" i="89"/>
  <x:c r="K396" i="89"/>
  <x:c r="L396" i="89"/>
  <x:c r="M396" i="89"/>
  <x:c r="O396" i="89"/>
  <x:c r="V396" i="89"/>
  <x:c r="AD396" i="89"/>
  <x:c r="AF396" i="89"/>
  <x:c r="AG396" i="89"/>
  <x:c r="AH396" i="89"/>
  <x:c r="AI396" i="89"/>
  <x:c r="AJ396" i="89"/>
  <x:c r="J397" i="89"/>
  <x:c r="K397" i="89"/>
  <x:c r="L397" i="89"/>
  <x:c r="M397" i="89"/>
  <x:c r="O397" i="89"/>
  <x:c r="V397" i="89"/>
  <x:c r="AD397" i="89"/>
  <x:c r="AF397" i="89"/>
  <x:c r="AG397" i="89"/>
  <x:c r="AH397" i="89"/>
  <x:c r="AI397" i="89"/>
  <x:c r="AJ397" i="89"/>
  <x:c r="J398" i="89"/>
  <x:c r="K398" i="89"/>
  <x:c r="L398" i="89"/>
  <x:c r="M398" i="89"/>
  <x:c r="O398" i="89"/>
  <x:c r="V398" i="89"/>
  <x:c r="AD398" i="89"/>
  <x:c r="AF398" i="89"/>
  <x:c r="AG398" i="89"/>
  <x:c r="AH398" i="89"/>
  <x:c r="AI398" i="89"/>
  <x:c r="AJ398" i="89"/>
  <x:c r="J399" i="89"/>
  <x:c r="K399" i="89"/>
  <x:c r="L399" i="89"/>
  <x:c r="M399" i="89"/>
  <x:c r="O399" i="89"/>
  <x:c r="V399" i="89"/>
  <x:c r="AD399" i="89"/>
  <x:c r="AF399" i="89"/>
  <x:c r="AG399" i="89"/>
  <x:c r="AH399" i="89"/>
  <x:c r="AI399" i="89"/>
  <x:c r="AJ399" i="89"/>
  <x:c r="J400" i="89"/>
  <x:c r="K400" i="89"/>
  <x:c r="L400" i="89"/>
  <x:c r="M400" i="89"/>
  <x:c r="O400" i="89"/>
  <x:c r="V400" i="89"/>
  <x:c r="AD400" i="89"/>
  <x:c r="AF400" i="89"/>
  <x:c r="AG400" i="89"/>
  <x:c r="AH400" i="89"/>
  <x:c r="AI400" i="89"/>
  <x:c r="AJ400" i="89"/>
  <x:c r="J401" i="89"/>
  <x:c r="K401" i="89"/>
  <x:c r="L401" i="89"/>
  <x:c r="M401" i="89"/>
  <x:c r="O401" i="89"/>
  <x:c r="V401" i="89"/>
  <x:c r="AD401" i="89"/>
  <x:c r="AF401" i="89"/>
  <x:c r="AG401" i="89"/>
  <x:c r="AH401" i="89"/>
  <x:c r="AI401" i="89"/>
  <x:c r="AJ401" i="89"/>
  <x:c r="J402" i="89"/>
  <x:c r="K402" i="89"/>
  <x:c r="L402" i="89"/>
  <x:c r="M402" i="89"/>
  <x:c r="O402" i="89"/>
  <x:c r="V402" i="89"/>
  <x:c r="AD402" i="89"/>
  <x:c r="AF402" i="89"/>
  <x:c r="AG402" i="89"/>
  <x:c r="AH402" i="89"/>
  <x:c r="AI402" i="89"/>
  <x:c r="AJ402" i="89"/>
  <x:c r="J403" i="89"/>
  <x:c r="K403" i="89"/>
  <x:c r="L403" i="89"/>
  <x:c r="M403" i="89"/>
  <x:c r="O403" i="89"/>
  <x:c r="V403" i="89"/>
  <x:c r="AD403" i="89"/>
  <x:c r="AF403" i="89"/>
  <x:c r="AG403" i="89"/>
  <x:c r="AH403" i="89"/>
  <x:c r="AI403" i="89"/>
  <x:c r="AJ403" i="89"/>
  <x:c r="J404" i="89"/>
  <x:c r="K404" i="89"/>
  <x:c r="L404" i="89"/>
  <x:c r="M404" i="89"/>
  <x:c r="O404" i="89"/>
  <x:c r="V404" i="89"/>
  <x:c r="AD404" i="89"/>
  <x:c r="AF404" i="89"/>
  <x:c r="AG404" i="89"/>
  <x:c r="AH404" i="89"/>
  <x:c r="AI404" i="89"/>
  <x:c r="AJ404" i="89"/>
  <x:c r="J405" i="89"/>
  <x:c r="K405" i="89"/>
  <x:c r="L405" i="89"/>
  <x:c r="M405" i="89"/>
  <x:c r="O405" i="89"/>
  <x:c r="V405" i="89"/>
  <x:c r="AD405" i="89"/>
  <x:c r="AF405" i="89"/>
  <x:c r="AG405" i="89"/>
  <x:c r="AH405" i="89"/>
  <x:c r="AI405" i="89"/>
  <x:c r="AJ405" i="89"/>
  <x:c r="J406" i="89"/>
  <x:c r="K406" i="89"/>
  <x:c r="L406" i="89"/>
  <x:c r="M406" i="89"/>
  <x:c r="O406" i="89"/>
  <x:c r="V406" i="89"/>
  <x:c r="AD406" i="89"/>
  <x:c r="AF406" i="89"/>
  <x:c r="AG406" i="89"/>
  <x:c r="AH406" i="89"/>
  <x:c r="AI406" i="89"/>
  <x:c r="AJ406" i="89"/>
  <x:c r="J407" i="89"/>
  <x:c r="K407" i="89"/>
  <x:c r="L407" i="89"/>
  <x:c r="M407" i="89"/>
  <x:c r="O407" i="89"/>
  <x:c r="V407" i="89"/>
  <x:c r="AD407" i="89"/>
  <x:c r="AF407" i="89"/>
  <x:c r="AG407" i="89"/>
  <x:c r="AH407" i="89"/>
  <x:c r="AI407" i="89"/>
  <x:c r="AJ407" i="89"/>
  <x:c r="J408" i="89"/>
  <x:c r="K408" i="89"/>
  <x:c r="L408" i="89"/>
  <x:c r="M408" i="89"/>
  <x:c r="O408" i="89"/>
  <x:c r="V408" i="89"/>
  <x:c r="AD408" i="89"/>
  <x:c r="AF408" i="89"/>
  <x:c r="AG408" i="89"/>
  <x:c r="AH408" i="89"/>
  <x:c r="AI408" i="89"/>
  <x:c r="AJ408" i="89"/>
  <x:c r="J409" i="89"/>
  <x:c r="K409" i="89"/>
  <x:c r="L409" i="89"/>
  <x:c r="M409" i="89"/>
  <x:c r="O409" i="89"/>
  <x:c r="V409" i="89"/>
  <x:c r="AD409" i="89"/>
  <x:c r="AF409" i="89"/>
  <x:c r="AG409" i="89"/>
  <x:c r="AH409" i="89"/>
  <x:c r="AI409" i="89"/>
  <x:c r="AJ409" i="89"/>
  <x:c r="J410" i="89"/>
  <x:c r="K410" i="89"/>
  <x:c r="L410" i="89"/>
  <x:c r="M410" i="89"/>
  <x:c r="O410" i="89"/>
  <x:c r="V410" i="89"/>
  <x:c r="AD410" i="89"/>
  <x:c r="AF410" i="89"/>
  <x:c r="AG410" i="89"/>
  <x:c r="AH410" i="89"/>
  <x:c r="AI410" i="89"/>
  <x:c r="AJ410" i="89"/>
  <x:c r="J411" i="89"/>
  <x:c r="K411" i="89"/>
  <x:c r="L411" i="89"/>
  <x:c r="M411" i="89"/>
  <x:c r="O411" i="89"/>
  <x:c r="V411" i="89"/>
  <x:c r="AD411" i="89"/>
  <x:c r="AF411" i="89"/>
  <x:c r="AG411" i="89"/>
  <x:c r="AH411" i="89"/>
  <x:c r="AI411" i="89"/>
  <x:c r="AJ411" i="89"/>
  <x:c r="J412" i="89"/>
  <x:c r="K412" i="89"/>
  <x:c r="L412" i="89"/>
  <x:c r="M412" i="89"/>
  <x:c r="O412" i="89"/>
  <x:c r="V412" i="89"/>
  <x:c r="AD412" i="89"/>
  <x:c r="AF412" i="89"/>
  <x:c r="AG412" i="89"/>
  <x:c r="AH412" i="89"/>
  <x:c r="AI412" i="89"/>
  <x:c r="AJ412" i="89"/>
  <x:c r="J413" i="89"/>
  <x:c r="K413" i="89"/>
  <x:c r="L413" i="89"/>
  <x:c r="M413" i="89"/>
  <x:c r="O413" i="89"/>
  <x:c r="V413" i="89"/>
  <x:c r="AD413" i="89"/>
  <x:c r="AF413" i="89"/>
  <x:c r="AG413" i="89"/>
  <x:c r="AH413" i="89"/>
  <x:c r="AI413" i="89"/>
  <x:c r="AJ413" i="89"/>
  <x:c r="J414" i="89"/>
  <x:c r="K414" i="89"/>
  <x:c r="L414" i="89"/>
  <x:c r="M414" i="89"/>
  <x:c r="O414" i="89"/>
  <x:c r="V414" i="89"/>
  <x:c r="AD414" i="89"/>
  <x:c r="AF414" i="89"/>
  <x:c r="AG414" i="89"/>
  <x:c r="AH414" i="89"/>
  <x:c r="AI414" i="89"/>
  <x:c r="AJ414" i="89"/>
  <x:c r="J415" i="89"/>
  <x:c r="K415" i="89"/>
  <x:c r="L415" i="89"/>
  <x:c r="M415" i="89"/>
  <x:c r="O415" i="89"/>
  <x:c r="V415" i="89"/>
  <x:c r="AD415" i="89"/>
  <x:c r="AF415" i="89"/>
  <x:c r="AG415" i="89"/>
  <x:c r="AH415" i="89"/>
  <x:c r="AI415" i="89"/>
  <x:c r="AJ415" i="89"/>
  <x:c r="J416" i="89"/>
  <x:c r="K416" i="89"/>
  <x:c r="L416" i="89"/>
  <x:c r="M416" i="89"/>
  <x:c r="O416" i="89"/>
  <x:c r="V416" i="89"/>
  <x:c r="AD416" i="89"/>
  <x:c r="AF416" i="89"/>
  <x:c r="AG416" i="89"/>
  <x:c r="AH416" i="89"/>
  <x:c r="AI416" i="89"/>
  <x:c r="AJ416" i="89"/>
  <x:c r="J417" i="89"/>
  <x:c r="K417" i="89"/>
  <x:c r="L417" i="89"/>
  <x:c r="M417" i="89"/>
  <x:c r="O417" i="89"/>
  <x:c r="V417" i="89"/>
  <x:c r="AD417" i="89"/>
  <x:c r="AF417" i="89"/>
  <x:c r="AG417" i="89"/>
  <x:c r="AH417" i="89"/>
  <x:c r="AI417" i="89"/>
  <x:c r="AJ417" i="89"/>
  <x:c r="J418" i="89"/>
  <x:c r="K418" i="89"/>
  <x:c r="L418" i="89"/>
  <x:c r="M418" i="89"/>
  <x:c r="O418" i="89"/>
  <x:c r="V418" i="89"/>
  <x:c r="AD418" i="89"/>
  <x:c r="AF418" i="89"/>
  <x:c r="AG418" i="89"/>
  <x:c r="AH418" i="89"/>
  <x:c r="AI418" i="89"/>
  <x:c r="AJ418" i="89"/>
  <x:c r="J419" i="89"/>
  <x:c r="K419" i="89"/>
  <x:c r="L419" i="89"/>
  <x:c r="M419" i="89"/>
  <x:c r="O419" i="89"/>
  <x:c r="V419" i="89"/>
  <x:c r="AD419" i="89"/>
  <x:c r="AF419" i="89"/>
  <x:c r="AG419" i="89"/>
  <x:c r="AH419" i="89"/>
  <x:c r="AI419" i="89"/>
  <x:c r="AJ419" i="89"/>
  <x:c r="J420" i="89"/>
  <x:c r="K420" i="89"/>
  <x:c r="L420" i="89"/>
  <x:c r="M420" i="89"/>
  <x:c r="O420" i="89"/>
  <x:c r="V420" i="89"/>
  <x:c r="AD420" i="89"/>
  <x:c r="AF420" i="89"/>
  <x:c r="AG420" i="89"/>
  <x:c r="AH420" i="89"/>
  <x:c r="AI420" i="89"/>
  <x:c r="AJ420" i="89"/>
  <x:c r="M421" i="89"/>
  <x:c r="O421" i="89"/>
  <x:c r="V421" i="89"/>
  <x:c r="AD421" i="89"/>
  <x:c r="AF421" i="89"/>
  <x:c r="AG421" i="89"/>
  <x:c r="AH421" i="89"/>
  <x:c r="AI421" i="89"/>
  <x:c r="AJ421" i="89"/>
  <x:c r="AT4" i="94"/>
  <x:c r="AK6" i="94"/>
  <x:c r="AK7" i="94"/>
  <x:c r="AK8" i="94"/>
  <x:c r="AK9" i="94"/>
  <x:c r="AK10" i="94"/>
  <x:c r="AK11" i="94"/>
  <x:c r="AK12" i="94"/>
  <x:c r="AK13" i="94"/>
  <x:c r="AK14" i="94"/>
  <x:c r="AK15" i="94"/>
  <x:c r="AK16" i="94"/>
  <x:c r="AK17" i="94"/>
  <x:c r="AK18" i="94"/>
  <x:c r="AK19" i="94"/>
  <x:c r="AK20" i="94"/>
  <x:c r="AK21" i="94"/>
  <x:c r="AK22" i="94"/>
  <x:c r="AK23" i="94"/>
  <x:c r="AK24" i="94"/>
  <x:c r="AK25" i="94"/>
  <x:c r="AK26" i="94"/>
  <x:c r="AK27" i="94"/>
  <x:c r="AK28" i="94"/>
  <x:c r="AK29" i="94"/>
  <x:c r="AK30" i="94"/>
  <x:c r="AK31" i="94"/>
  <x:c r="AK32" i="94"/>
  <x:c r="AK33" i="94"/>
  <x:c r="AK34" i="94"/>
  <x:c r="AK35" i="94"/>
  <x:c r="AK36" i="94"/>
  <x:c r="AK37" i="94"/>
  <x:c r="AK38" i="94"/>
  <x:c r="AK39" i="94"/>
  <x:c r="AK40" i="94"/>
  <x:c r="AK41" i="94"/>
  <x:c r="AK42" i="94"/>
  <x:c r="AK43" i="94"/>
  <x:c r="AK44" i="94"/>
  <x:c r="AK45" i="94"/>
  <x:c r="AK46" i="94"/>
  <x:c r="AK47" i="94"/>
  <x:c r="AK48" i="94"/>
  <x:c r="AK49" i="94"/>
  <x:c r="AK50" i="94"/>
  <x:c r="AK51" i="94"/>
  <x:c r="AK52" i="94"/>
  <x:c r="AK53" i="94"/>
  <x:c r="AK54" i="94"/>
  <x:c r="AK55" i="94"/>
  <x:c r="AK56" i="94"/>
  <x:c r="AK57" i="94"/>
  <x:c r="AK58" i="94"/>
  <x:c r="AK59" i="94"/>
  <x:c r="AK60" i="94"/>
  <x:c r="AK61" i="94"/>
  <x:c r="AK62" i="94"/>
  <x:c r="AK63" i="94"/>
  <x:c r="AK64" i="94"/>
  <x:c r="AK65" i="94"/>
  <x:c r="AK66" i="94"/>
  <x:c r="AK67" i="94"/>
  <x:c r="AK68" i="94"/>
  <x:c r="AK69" i="94"/>
  <x:c r="AK70" i="94"/>
  <x:c r="AK71" i="94"/>
  <x:c r="AK72" i="94"/>
  <x:c r="AK73" i="94"/>
  <x:c r="AK74" i="94"/>
  <x:c r="AK75" i="94"/>
  <x:c r="AK76" i="94"/>
  <x:c r="AK77" i="94"/>
  <x:c r="AK78" i="94"/>
  <x:c r="AK79" i="94"/>
  <x:c r="AK80" i="94"/>
  <x:c r="AK81" i="94"/>
  <x:c r="AK82" i="94"/>
  <x:c r="AK83" i="94"/>
  <x:c r="AK84" i="94"/>
  <x:c r="AK85" i="94"/>
  <x:c r="AK86" i="94"/>
  <x:c r="AK87" i="94"/>
  <x:c r="AK88" i="94"/>
  <x:c r="AK89" i="94"/>
  <x:c r="AK90" i="94"/>
  <x:c r="AK91" i="94"/>
  <x:c r="AK92" i="94"/>
  <x:c r="AK93" i="94"/>
  <x:c r="AK94" i="94"/>
  <x:c r="AK95" i="94"/>
  <x:c r="AK96" i="94"/>
  <x:c r="AK97" i="94"/>
  <x:c r="AK98" i="94"/>
  <x:c r="AK99" i="94"/>
  <x:c r="AK100" i="94"/>
  <x:c r="AK101" i="94"/>
  <x:c r="AK102" i="94"/>
  <x:c r="AK103" i="94"/>
  <x:c r="AK104" i="94"/>
  <x:c r="AK105" i="94"/>
  <x:c r="AK106" i="94"/>
  <x:c r="AK107" i="94"/>
  <x:c r="AK108" i="94"/>
  <x:c r="AK109" i="94"/>
  <x:c r="AK110" i="94"/>
  <x:c r="AK111" i="94"/>
  <x:c r="AK112" i="94"/>
  <x:c r="AK113" i="94"/>
  <x:c r="AK114" i="94"/>
  <x:c r="AK115" i="94"/>
  <x:c r="AK116" i="94"/>
  <x:c r="AK117" i="94"/>
  <x:c r="AK118" i="94"/>
  <x:c r="AK119" i="94"/>
  <x:c r="AK120" i="94"/>
  <x:c r="AK121" i="94"/>
  <x:c r="AK122" i="94"/>
  <x:c r="AK123" i="94"/>
  <x:c r="AK124" i="94"/>
  <x:c r="AK125" i="94"/>
  <x:c r="AK126" i="94"/>
  <x:c r="AK127" i="94"/>
  <x:c r="AK128" i="94"/>
  <x:c r="AK129" i="94"/>
  <x:c r="AK130" i="94"/>
  <x:c r="AK131" i="94"/>
  <x:c r="AK132" i="94"/>
  <x:c r="AK133" i="94"/>
  <x:c r="AK134" i="94"/>
  <x:c r="AK135" i="94"/>
  <x:c r="AK136" i="94"/>
  <x:c r="AK137" i="94"/>
  <x:c r="AK138" i="94"/>
  <x:c r="AK139" i="94"/>
  <x:c r="AK140" i="94"/>
  <x:c r="AK141" i="94"/>
  <x:c r="AK142" i="94"/>
  <x:c r="AK143" i="94"/>
  <x:c r="AK144" i="94"/>
  <x:c r="AK145" i="94"/>
  <x:c r="AK146" i="94"/>
  <x:c r="AK147" i="94"/>
  <x:c r="AK148" i="94"/>
  <x:c r="AK149" i="94"/>
  <x:c r="AK150" i="94"/>
  <x:c r="AK151" i="94"/>
  <x:c r="AK152" i="94"/>
  <x:c r="AK153" i="94"/>
  <x:c r="AK154" i="94"/>
  <x:c r="AK155" i="94"/>
  <x:c r="AK156" i="94"/>
  <x:c r="AK157" i="94"/>
  <x:c r="AK158" i="94"/>
  <x:c r="AK159" i="94"/>
  <x:c r="AK160" i="94"/>
  <x:c r="AK161" i="94"/>
  <x:c r="AK162" i="94"/>
  <x:c r="AK163" i="94"/>
  <x:c r="AK164" i="94"/>
  <x:c r="AK165" i="94"/>
  <x:c r="AK166" i="94"/>
  <x:c r="AK167" i="94"/>
  <x:c r="AK168" i="94"/>
  <x:c r="AK169" i="94"/>
  <x:c r="AK170" i="94"/>
  <x:c r="AK171" i="94"/>
  <x:c r="AK172" i="94"/>
  <x:c r="AK173" i="94"/>
  <x:c r="AK174" i="94"/>
  <x:c r="AK175" i="94"/>
  <x:c r="AK176" i="94"/>
  <x:c r="AK177" i="94"/>
  <x:c r="AK178" i="94"/>
  <x:c r="AK179" i="94"/>
  <x:c r="AK180" i="94"/>
  <x:c r="AK181" i="94"/>
  <x:c r="AK182" i="94"/>
  <x:c r="AK183" i="94"/>
  <x:c r="AK184" i="94"/>
  <x:c r="AK185" i="94"/>
  <x:c r="AK186" i="94"/>
  <x:c r="AK187" i="94"/>
  <x:c r="AK188" i="94"/>
  <x:c r="AK189" i="94"/>
  <x:c r="AK190" i="94"/>
  <x:c r="AK191" i="94"/>
  <x:c r="AK192" i="94"/>
  <x:c r="AK193" i="94"/>
  <x:c r="AK194" i="94"/>
  <x:c r="AK195" i="94"/>
  <x:c r="AK196" i="94"/>
  <x:c r="AK197" i="94"/>
  <x:c r="AT4" i="95"/>
  <x:c r="AK6" i="95"/>
  <x:c r="AK7" i="95"/>
  <x:c r="AK8" i="95"/>
  <x:c r="AK9" i="95"/>
  <x:c r="AK10" i="95"/>
  <x:c r="AK11" i="95"/>
  <x:c r="AK12" i="95"/>
  <x:c r="AK13" i="95"/>
  <x:c r="AK14" i="95"/>
  <x:c r="AK15" i="95"/>
  <x:c r="AK16" i="95"/>
  <x:c r="AK17" i="95"/>
  <x:c r="AK18" i="95"/>
  <x:c r="AK19" i="95"/>
  <x:c r="AK20" i="95"/>
  <x:c r="AK21" i="95"/>
  <x:c r="AK22" i="95"/>
  <x:c r="AK23" i="95"/>
  <x:c r="AK24" i="95"/>
  <x:c r="AK25" i="95"/>
  <x:c r="AK26" i="95"/>
  <x:c r="AK27" i="95"/>
  <x:c r="AK28" i="95"/>
  <x:c r="AK29" i="95"/>
  <x:c r="AK30" i="95"/>
  <x:c r="AK31" i="95"/>
  <x:c r="AK32" i="95"/>
  <x:c r="AK33" i="95"/>
  <x:c r="AK34" i="95"/>
  <x:c r="AK35" i="95"/>
  <x:c r="AK36" i="95"/>
  <x:c r="AK37" i="95"/>
  <x:c r="AK38" i="95"/>
  <x:c r="AK39" i="95"/>
  <x:c r="AK40" i="95"/>
  <x:c r="AK41" i="95"/>
  <x:c r="AK42" i="95"/>
  <x:c r="AK43" i="95"/>
  <x:c r="AK44" i="95"/>
  <x:c r="AK45" i="95"/>
  <x:c r="AK46" i="95"/>
  <x:c r="AK47" i="95"/>
  <x:c r="AK48" i="95"/>
  <x:c r="AK49" i="95"/>
  <x:c r="AK50" i="95"/>
  <x:c r="AK51" i="95"/>
  <x:c r="AK52" i="95"/>
  <x:c r="AK53" i="95"/>
  <x:c r="AK54" i="95"/>
  <x:c r="AK55" i="95"/>
  <x:c r="AK56" i="95"/>
  <x:c r="AK57" i="95"/>
  <x:c r="AK58" i="95"/>
  <x:c r="AK59" i="95"/>
  <x:c r="AK60" i="95"/>
  <x:c r="AK61" i="95"/>
  <x:c r="AK62" i="95"/>
  <x:c r="AK63" i="95"/>
  <x:c r="AK64" i="95"/>
  <x:c r="AK65" i="95"/>
  <x:c r="AK66" i="95"/>
  <x:c r="AK67" i="95"/>
  <x:c r="AK68" i="95"/>
  <x:c r="AK69" i="95"/>
  <x:c r="AK70" i="95"/>
  <x:c r="AK71" i="95"/>
  <x:c r="AK72" i="95"/>
  <x:c r="AK73" i="95"/>
  <x:c r="AK74" i="95"/>
  <x:c r="AK75" i="95"/>
  <x:c r="AK76" i="95"/>
  <x:c r="AK77" i="95"/>
  <x:c r="AK78" i="95"/>
  <x:c r="AK79" i="95"/>
  <x:c r="AK80" i="95"/>
  <x:c r="AK81" i="95"/>
  <x:c r="AK82" i="95"/>
  <x:c r="AK83" i="95"/>
  <x:c r="AK84" i="95"/>
  <x:c r="AK85" i="95"/>
  <x:c r="AK86" i="95"/>
  <x:c r="AK87" i="95"/>
  <x:c r="AK88" i="95"/>
  <x:c r="AK89" i="95"/>
  <x:c r="AK90" i="95"/>
  <x:c r="AK91" i="95"/>
  <x:c r="AK92" i="95"/>
  <x:c r="AK93" i="95"/>
  <x:c r="AK94" i="95"/>
  <x:c r="AK95" i="95"/>
  <x:c r="AK96" i="95"/>
  <x:c r="AK97" i="95"/>
  <x:c r="AK98" i="95"/>
  <x:c r="AK99" i="95"/>
  <x:c r="AK100" i="95"/>
  <x:c r="AK101" i="95"/>
  <x:c r="AK102" i="95"/>
  <x:c r="AK103" i="95"/>
  <x:c r="AK104" i="95"/>
  <x:c r="AK105" i="95"/>
  <x:c r="AK106" i="95"/>
  <x:c r="AK107" i="95"/>
  <x:c r="AK108" i="95"/>
  <x:c r="AK109" i="95"/>
  <x:c r="AK110" i="95"/>
  <x:c r="AK111" i="95"/>
  <x:c r="AK112" i="95"/>
  <x:c r="AK113" i="95"/>
  <x:c r="AK114" i="95"/>
  <x:c r="AK115" i="95"/>
  <x:c r="AK116" i="95"/>
  <x:c r="AK117" i="95"/>
  <x:c r="AK118" i="95"/>
  <x:c r="AK119" i="95"/>
  <x:c r="AK120" i="95"/>
  <x:c r="AK121" i="95"/>
  <x:c r="AK122" i="95"/>
  <x:c r="AK123" i="95"/>
  <x:c r="AK124" i="95"/>
  <x:c r="AK125" i="95"/>
  <x:c r="AK126" i="95"/>
  <x:c r="AK127" i="95"/>
  <x:c r="AK128" i="95"/>
  <x:c r="AK129" i="95"/>
  <x:c r="AK130" i="95"/>
  <x:c r="AK131" i="95"/>
  <x:c r="AK132" i="95"/>
  <x:c r="AK133" i="95"/>
  <x:c r="AK134" i="95"/>
  <x:c r="AK135" i="95"/>
  <x:c r="AK136" i="95"/>
  <x:c r="AK137" i="95"/>
  <x:c r="AK138" i="95"/>
  <x:c r="AK139" i="95"/>
  <x:c r="AK140" i="95"/>
  <x:c r="AK141" i="95"/>
  <x:c r="AK142" i="95"/>
  <x:c r="AK143" i="95"/>
  <x:c r="AK144" i="95"/>
  <x:c r="AK145" i="95"/>
  <x:c r="AK146" i="95"/>
  <x:c r="AK147" i="95"/>
  <x:c r="AK148" i="95"/>
  <x:c r="AK149" i="95"/>
  <x:c r="AK150" i="95"/>
  <x:c r="AK151" i="95"/>
  <x:c r="AK152" i="95"/>
  <x:c r="AK153" i="95"/>
  <x:c r="AK154" i="95"/>
  <x:c r="AK155" i="95"/>
  <x:c r="AK156" i="95"/>
  <x:c r="AK157" i="95"/>
  <x:c r="AK158" i="95"/>
  <x:c r="AK159" i="95"/>
  <x:c r="AK160" i="95"/>
  <x:c r="AK161" i="95"/>
  <x:c r="AK162" i="95"/>
  <x:c r="AK163" i="95"/>
  <x:c r="AK164" i="95"/>
  <x:c r="AK165" i="95"/>
  <x:c r="AK166" i="95"/>
  <x:c r="AK167" i="95"/>
  <x:c r="AK168" i="95"/>
  <x:c r="AK169" i="95"/>
  <x:c r="AK170" i="95"/>
  <x:c r="AK171" i="95"/>
  <x:c r="AK172" i="95"/>
  <x:c r="AK173" i="95"/>
  <x:c r="AK174" i="95"/>
  <x:c r="AK175" i="95"/>
  <x:c r="AK176" i="95"/>
  <x:c r="AK177" i="95"/>
  <x:c r="AK178" i="95"/>
  <x:c r="AK179" i="95"/>
  <x:c r="AK180" i="95"/>
  <x:c r="AK181" i="95"/>
  <x:c r="AK182" i="95"/>
  <x:c r="AK183" i="95"/>
  <x:c r="AK184" i="95"/>
  <x:c r="AK185" i="95"/>
  <x:c r="AK186" i="95"/>
  <x:c r="AK187" i="95"/>
  <x:c r="AK188" i="95"/>
  <x:c r="AK189" i="95"/>
  <x:c r="AK190" i="95"/>
  <x:c r="AK191" i="95"/>
  <x:c r="AK192" i="95"/>
  <x:c r="AK193" i="95"/>
  <x:c r="AK194" i="95"/>
  <x:c r="AK195" i="95"/>
  <x:c r="AK196" i="95"/>
  <x:c r="AK197" i="95"/>
  <x:c r="AK198" i="95"/>
  <x:c r="AK199" i="95"/>
  <x:c r="AK200" i="95"/>
  <x:c r="AK201" i="95"/>
  <x:c r="AK202" i="95"/>
  <x:c r="AK203" i="95"/>
  <x:c r="AK204" i="95"/>
  <x:c r="AK205" i="95"/>
  <x:c r="AK206" i="95"/>
  <x:c r="AK207" i="95"/>
  <x:c r="AK208" i="95"/>
  <x:c r="AK209" i="95"/>
  <x:c r="AK210" i="95"/>
  <x:c r="AK211" i="95"/>
  <x:c r="AK212" i="95"/>
  <x:c r="AK213" i="95"/>
  <x:c r="AK214" i="95"/>
  <x:c r="AK215" i="95"/>
  <x:c r="AK216" i="95"/>
  <x:c r="AK217" i="95"/>
  <x:c r="AK218" i="95"/>
  <x:c r="AK219" i="95"/>
  <x:c r="AK220" i="95"/>
  <x:c r="AK221" i="95"/>
  <x:c r="AK222" i="95"/>
  <x:c r="AK223" i="95"/>
  <x:c r="AK224" i="95"/>
  <x:c r="AK225" i="95"/>
  <x:c r="AK226" i="95"/>
  <x:c r="AK227" i="95"/>
  <x:c r="AK228" i="95"/>
  <x:c r="AK229" i="95"/>
  <x:c r="AK230" i="95"/>
  <x:c r="AK231" i="95"/>
  <x:c r="AK232" i="95"/>
  <x:c r="AK233" i="95"/>
  <x:c r="AK234" i="95"/>
  <x:c r="AK235" i="95"/>
  <x:c r="AK236" i="95"/>
  <x:c r="AK237" i="95"/>
  <x:c r="AK238" i="95"/>
  <x:c r="AK239" i="95"/>
  <x:c r="AK240" i="95"/>
  <x:c r="AK241" i="95"/>
  <x:c r="AK242" i="95"/>
  <x:c r="AK243" i="95"/>
  <x:c r="AK244" i="95"/>
  <x:c r="AK245" i="95"/>
  <x:c r="AK246" i="95"/>
  <x:c r="AK247" i="95"/>
  <x:c r="AK248" i="95"/>
  <x:c r="AK249" i="95"/>
  <x:c r="AK250" i="95"/>
  <x:c r="AK251" i="95"/>
  <x:c r="AK252" i="95"/>
  <x:c r="AK253" i="95"/>
  <x:c r="AK254" i="95"/>
  <x:c r="AK255" i="95"/>
  <x:c r="AK256" i="95"/>
  <x:c r="AK257" i="95"/>
  <x:c r="AK258" i="95"/>
  <x:c r="AK259" i="95"/>
  <x:c r="AK260" i="95"/>
  <x:c r="AK261" i="95"/>
  <x:c r="AK262" i="95"/>
  <x:c r="AK263" i="95"/>
  <x:c r="AK264" i="95"/>
  <x:c r="AK265" i="95"/>
  <x:c r="AK266" i="95"/>
  <x:c r="AT4" i="96"/>
  <x:c r="AK6" i="96"/>
  <x:c r="AK7" i="96"/>
  <x:c r="AK8" i="96"/>
  <x:c r="AK9" i="96"/>
  <x:c r="AK10" i="96"/>
  <x:c r="AK11" i="96"/>
  <x:c r="AK12" i="96"/>
  <x:c r="AK13" i="96"/>
  <x:c r="AK14" i="96"/>
  <x:c r="AK15" i="96"/>
  <x:c r="AK16" i="96"/>
  <x:c r="AK17" i="96"/>
  <x:c r="AK18" i="96"/>
  <x:c r="AK19" i="96"/>
  <x:c r="AK20" i="96"/>
  <x:c r="AK21" i="96"/>
  <x:c r="AK22" i="96"/>
  <x:c r="AK23" i="96"/>
  <x:c r="AK24" i="96"/>
  <x:c r="AK25" i="96"/>
  <x:c r="AK26" i="96"/>
  <x:c r="AK27" i="96"/>
  <x:c r="AK28" i="96"/>
  <x:c r="AK29" i="96"/>
  <x:c r="AK30" i="96"/>
  <x:c r="AK31" i="96"/>
  <x:c r="AK32" i="96"/>
  <x:c r="AK33" i="96"/>
  <x:c r="AK34" i="96"/>
  <x:c r="AK35" i="96"/>
  <x:c r="AK36" i="96"/>
  <x:c r="AK37" i="96"/>
  <x:c r="AK38" i="96"/>
  <x:c r="AK39" i="96"/>
  <x:c r="AK40" i="96"/>
  <x:c r="AK41" i="96"/>
  <x:c r="AK42" i="96"/>
  <x:c r="AK43" i="96"/>
  <x:c r="AK44" i="96"/>
  <x:c r="AK45" i="96"/>
  <x:c r="AK46" i="96"/>
  <x:c r="AK47" i="96"/>
  <x:c r="AK48" i="96"/>
  <x:c r="AK49" i="96"/>
  <x:c r="AK50" i="96"/>
  <x:c r="AK51" i="96"/>
  <x:c r="AK52" i="96"/>
  <x:c r="AK53" i="96"/>
  <x:c r="AK54" i="96"/>
  <x:c r="AK55" i="96"/>
  <x:c r="AK56" i="96"/>
  <x:c r="AK57" i="96"/>
  <x:c r="AK58" i="96"/>
  <x:c r="AK59" i="96"/>
  <x:c r="AK60" i="96"/>
  <x:c r="AK61" i="96"/>
  <x:c r="AK62" i="96"/>
  <x:c r="AK63" i="96"/>
  <x:c r="AK64" i="96"/>
  <x:c r="AK65" i="96"/>
  <x:c r="AK66" i="96"/>
  <x:c r="AK67" i="96"/>
  <x:c r="AK68" i="96"/>
  <x:c r="AK69" i="96"/>
  <x:c r="AK70" i="96"/>
  <x:c r="AK71" i="96"/>
  <x:c r="AK72" i="96"/>
  <x:c r="AK73" i="96"/>
  <x:c r="AK74" i="96"/>
  <x:c r="AK75" i="96"/>
  <x:c r="AK76" i="96"/>
  <x:c r="AK77" i="96"/>
  <x:c r="AK78" i="96"/>
  <x:c r="AK79" i="96"/>
  <x:c r="AK80" i="96"/>
  <x:c r="AK81" i="96"/>
  <x:c r="AK82" i="96"/>
  <x:c r="AK83" i="96"/>
  <x:c r="AK84" i="96"/>
  <x:c r="AK85" i="96"/>
  <x:c r="AK86" i="96"/>
  <x:c r="AK87" i="96"/>
  <x:c r="AK88" i="96"/>
  <x:c r="AK89" i="96"/>
  <x:c r="AK90" i="96"/>
  <x:c r="AK91" i="96"/>
  <x:c r="AK92" i="96"/>
  <x:c r="AK93" i="96"/>
  <x:c r="AK94" i="96"/>
  <x:c r="AK95" i="96"/>
  <x:c r="AK96" i="96"/>
  <x:c r="AK97" i="96"/>
  <x:c r="AK98" i="96"/>
  <x:c r="AK99" i="96"/>
  <x:c r="AK100" i="96"/>
  <x:c r="AK101" i="96"/>
  <x:c r="AK102" i="96"/>
  <x:c r="AK103" i="96"/>
  <x:c r="AK104" i="96"/>
  <x:c r="AK105" i="96"/>
  <x:c r="AK106" i="96"/>
  <x:c r="AK107" i="96"/>
  <x:c r="AK108" i="96"/>
  <x:c r="AK109" i="96"/>
  <x:c r="AK110" i="96"/>
  <x:c r="AK111" i="96"/>
  <x:c r="AK112" i="96"/>
  <x:c r="AK113" i="96"/>
  <x:c r="AK114" i="96"/>
  <x:c r="AK115" i="96"/>
  <x:c r="AK116" i="96"/>
  <x:c r="AK117" i="96"/>
  <x:c r="AK118" i="96"/>
  <x:c r="AK119" i="96"/>
  <x:c r="AK120" i="96"/>
  <x:c r="AK121" i="96"/>
  <x:c r="AK122" i="96"/>
  <x:c r="AK123" i="96"/>
  <x:c r="AK124" i="96"/>
  <x:c r="AK125" i="96"/>
  <x:c r="AK126" i="96"/>
  <x:c r="AK127" i="96"/>
  <x:c r="AK128" i="96"/>
  <x:c r="AK129" i="96"/>
  <x:c r="AK130" i="96"/>
  <x:c r="AK131" i="96"/>
  <x:c r="AK132" i="96"/>
  <x:c r="AK133" i="96"/>
  <x:c r="AK134" i="96"/>
  <x:c r="AK135" i="96"/>
  <x:c r="AK136" i="96"/>
  <x:c r="AK137" i="96"/>
  <x:c r="AK138" i="96"/>
  <x:c r="AK139" i="96"/>
  <x:c r="AK140" i="96"/>
  <x:c r="AK141" i="96"/>
  <x:c r="AK142" i="96"/>
  <x:c r="AK143" i="96"/>
  <x:c r="AK144" i="96"/>
  <x:c r="AK145" i="96"/>
  <x:c r="AK146" i="96"/>
  <x:c r="AK147" i="96"/>
  <x:c r="AK148" i="96"/>
  <x:c r="AK149" i="96"/>
  <x:c r="AK150" i="96"/>
  <x:c r="AK151" i="96"/>
  <x:c r="AK152" i="96"/>
  <x:c r="AK153" i="96"/>
  <x:c r="AK154" i="96"/>
  <x:c r="AK155" i="96"/>
  <x:c r="AK156" i="96"/>
  <x:c r="AK157" i="96"/>
  <x:c r="AK158" i="96"/>
  <x:c r="AK159" i="96"/>
  <x:c r="AK160" i="96"/>
  <x:c r="AK161" i="96"/>
  <x:c r="AK162" i="96"/>
  <x:c r="AK163" i="96"/>
  <x:c r="AK164" i="96"/>
  <x:c r="AK165" i="96"/>
  <x:c r="AK166" i="96"/>
  <x:c r="AK167" i="96"/>
  <x:c r="AK168" i="96"/>
  <x:c r="AK169" i="96"/>
  <x:c r="AK170" i="96"/>
  <x:c r="AK171" i="96"/>
  <x:c r="AK172" i="96"/>
  <x:c r="AK173" i="96"/>
  <x:c r="AK174" i="96"/>
  <x:c r="AK175" i="96"/>
  <x:c r="AK176" i="96"/>
  <x:c r="AK177" i="96"/>
  <x:c r="AK178" i="96"/>
  <x:c r="AK179" i="96"/>
  <x:c r="AK180" i="96"/>
  <x:c r="AK181" i="96"/>
  <x:c r="AK182" i="96"/>
  <x:c r="AK183" i="96"/>
  <x:c r="AK184" i="96"/>
  <x:c r="AK185" i="96"/>
  <x:c r="AK186" i="96"/>
  <x:c r="AK187" i="96"/>
  <x:c r="AK188" i="96"/>
  <x:c r="AK189" i="96"/>
  <x:c r="AK190" i="96"/>
  <x:c r="AK191" i="96"/>
  <x:c r="AK192" i="96"/>
  <x:c r="AK193" i="96"/>
  <x:c r="AK194" i="96"/>
  <x:c r="AK195" i="96"/>
  <x:c r="AK196" i="96"/>
  <x:c r="AK197" i="96"/>
  <x:c r="AK198" i="96"/>
  <x:c r="AK199" i="96"/>
  <x:c r="AK200" i="96"/>
  <x:c r="AK201" i="96"/>
  <x:c r="AK202" i="96"/>
  <x:c r="AK203" i="96"/>
  <x:c r="AK204" i="96"/>
  <x:c r="AK205" i="96"/>
  <x:c r="AK206" i="96"/>
  <x:c r="AK207" i="96"/>
  <x:c r="AK208" i="96"/>
  <x:c r="AK209" i="96"/>
  <x:c r="AK210" i="96"/>
  <x:c r="AK211" i="96"/>
  <x:c r="AK212" i="96"/>
  <x:c r="AK213" i="96"/>
  <x:c r="AK214" i="96"/>
  <x:c r="AK215" i="96"/>
  <x:c r="AK216" i="96"/>
  <x:c r="AK217" i="96"/>
  <x:c r="AK218" i="96"/>
  <x:c r="AK219" i="96"/>
  <x:c r="AK220" i="96"/>
  <x:c r="AK221" i="96"/>
  <x:c r="AK222" i="96"/>
  <x:c r="AK223" i="96"/>
  <x:c r="AK224" i="96"/>
  <x:c r="AK225" i="96"/>
  <x:c r="AK226" i="96"/>
  <x:c r="AK227" i="96"/>
  <x:c r="AK228" i="96"/>
  <x:c r="AK229" i="96"/>
  <x:c r="AK230" i="96"/>
  <x:c r="AK231" i="96"/>
  <x:c r="AK232" i="96"/>
  <x:c r="AK233" i="96"/>
  <x:c r="AK234" i="96"/>
  <x:c r="AK235" i="96"/>
  <x:c r="AK236" i="96"/>
  <x:c r="AK237" i="96"/>
  <x:c r="AK238" i="96"/>
  <x:c r="AK239" i="96"/>
  <x:c r="AK240" i="96"/>
  <x:c r="AK241" i="96"/>
  <x:c r="AK242" i="96"/>
  <x:c r="AK243" i="96"/>
  <x:c r="AK244" i="96"/>
  <x:c r="AK245" i="96"/>
  <x:c r="AK246" i="96"/>
  <x:c r="AK247" i="96"/>
  <x:c r="AK248" i="96"/>
  <x:c r="AK249" i="96"/>
  <x:c r="AK250" i="96"/>
  <x:c r="AK251" i="96"/>
  <x:c r="AK252" i="96"/>
  <x:c r="AK253" i="96"/>
  <x:c r="AK254" i="96"/>
  <x:c r="AK255" i="96"/>
  <x:c r="AK256" i="96"/>
  <x:c r="AK257" i="96"/>
  <x:c r="AK258" i="96"/>
  <x:c r="AK259" i="96"/>
  <x:c r="AK260" i="96"/>
  <x:c r="AK261" i="96"/>
  <x:c r="AK262" i="96"/>
  <x:c r="AK263" i="96"/>
  <x:c r="AK264" i="96"/>
  <x:c r="AK265" i="96"/>
  <x:c r="AK266" i="96"/>
  <x:c r="AK267" i="96"/>
  <x:c r="AK268" i="96"/>
  <x:c r="AK269" i="96"/>
  <x:c r="AK270" i="96"/>
  <x:c r="AK271" i="96"/>
  <x:c r="AK272" i="96"/>
  <x:c r="AK273" i="96"/>
  <x:c r="AK274" i="96"/>
  <x:c r="AK275" i="96"/>
  <x:c r="AK276" i="96"/>
  <x:c r="AK277" i="96"/>
  <x:c r="AK278" i="96"/>
  <x:c r="AK279" i="96"/>
  <x:c r="AK280" i="96"/>
  <x:c r="AK281" i="96"/>
  <x:c r="AK282" i="96"/>
  <x:c r="AK283" i="96"/>
  <x:c r="AK284" i="96"/>
  <x:c r="AK285" i="96"/>
  <x:c r="AK286" i="96"/>
  <x:c r="AK287" i="96"/>
  <x:c r="AK288" i="96"/>
  <x:c r="AK289" i="96"/>
  <x:c r="AK290" i="96"/>
  <x:c r="AK291" i="96"/>
  <x:c r="AK292" i="96"/>
  <x:c r="AK293" i="96"/>
  <x:c r="AK294" i="96"/>
  <x:c r="AK295" i="96"/>
  <x:c r="AK296" i="96"/>
  <x:c r="AK297" i="96"/>
  <x:c r="AK298" i="96"/>
  <x:c r="AK299" i="96"/>
  <x:c r="AK300" i="96"/>
  <x:c r="AK301" i="96"/>
  <x:c r="AK302" i="96"/>
  <x:c r="AK303" i="96"/>
  <x:c r="AK304" i="96"/>
  <x:c r="AK305" i="96"/>
  <x:c r="AK306" i="96"/>
  <x:c r="AK307" i="96"/>
  <x:c r="AK308" i="96"/>
  <x:c r="AK309" i="96"/>
  <x:c r="AK310" i="96"/>
  <x:c r="AK311" i="96"/>
  <x:c r="AK312" i="96"/>
  <x:c r="AK313" i="96"/>
  <x:c r="AK314" i="96"/>
  <x:c r="AK315" i="96"/>
  <x:c r="AK316" i="96"/>
  <x:c r="AK317" i="96"/>
  <x:c r="AK318" i="96"/>
  <x:c r="AK319" i="96"/>
  <x:c r="AK320" i="96"/>
  <x:c r="AK321" i="96"/>
  <x:c r="AK322" i="96"/>
  <x:c r="AK323" i="96"/>
  <x:c r="AK324" i="96"/>
  <x:c r="AK325" i="96"/>
  <x:c r="AK326" i="96"/>
  <x:c r="AK327" i="96"/>
  <x:c r="AK328" i="96"/>
  <x:c r="AK329" i="96"/>
  <x:c r="AK330" i="96"/>
  <x:c r="AK331" i="96"/>
  <x:c r="AK332" i="96"/>
  <x:c r="AK333" i="96"/>
  <x:c r="AK334" i="96"/>
  <x:c r="AK335" i="96"/>
  <x:c r="AK336" i="96"/>
  <x:c r="AK337" i="96"/>
  <x:c r="AK338" i="96"/>
  <x:c r="AK339" i="96"/>
  <x:c r="AK340" i="96"/>
  <x:c r="AK341" i="96"/>
  <x:c r="AK342" i="96"/>
  <x:c r="AK343" i="96"/>
  <x:c r="AK344" i="96"/>
  <x:c r="AK345" i="96"/>
  <x:c r="AK346" i="96"/>
  <x:c r="AK347" i="96"/>
  <x:c r="AK348" i="96"/>
  <x:c r="AK349" i="96"/>
  <x:c r="AK350" i="96"/>
  <x:c r="AK351" i="96"/>
  <x:c r="AK352" i="96"/>
  <x:c r="AK353" i="96"/>
  <x:c r="AK354" i="96"/>
  <x:c r="AK355" i="96"/>
  <x:c r="AK356" i="96"/>
  <x:c r="AK357" i="96"/>
  <x:c r="AK358" i="96"/>
  <x:c r="AK359" i="96"/>
  <x:c r="AK360" i="96"/>
  <x:c r="AK361" i="96"/>
  <x:c r="AK362" i="96"/>
  <x:c r="AK363" i="96"/>
  <x:c r="AK364" i="96"/>
  <x:c r="AK365" i="96"/>
  <x:c r="AK366" i="96"/>
  <x:c r="AK367" i="96"/>
  <x:c r="AK368" i="96"/>
  <x:c r="AK369" i="96"/>
  <x:c r="AK370" i="96"/>
</x:calcChain>
</file>

<file path=xl/sharedStrings.xml><?xml version="1.0" encoding="utf-8"?>
<x:sst xmlns:x="http://schemas.openxmlformats.org/spreadsheetml/2006/main">
  <x:si>
    <x:t>BURSA ULUDAĞ ÜNİVERSİTESİ GENEL SEKRETERLİK ÖZEL KALEM C  İŞKUR GENÇLİK PROGRAMI KATILIMCI GÜN ÇİZELGESİ</x:t>
  </x:si>
  <x:si>
    <x:t>YIL</x:t>
  </x:si>
  <x:si>
    <x:t>AY</x:t>
  </x:si>
  <x:si>
    <x:t>Kasım</x:t>
  </x:si>
  <x:si>
    <x:t>KATILIMCI BİLGİLERİ</x:t>
  </x:si>
  <x:si>
    <x:t>ÇALIŞTIĞI GÜNLER</x:t>
  </x:si>
  <x:si>
    <x:t>RAPORLU VEYA GELİNMEYEN GÜNLER</x:t>
  </x:si>
  <x:si>
    <x:t>YILLIK İZİN DURUMU          
İzin Takip İçindir
(7 gün )</x:t>
  </x:si>
  <x:si>
    <x:r>
      <x:rPr>
        <x:vertAlign val="baseline"/>
        <x:sz val="11"/>
        <x:color theme="1"/>
        <x:rFont val="Calibri"/>
        <x:family val="2"/>
        <x:charset val="162"/>
        <x:scheme val="minor"/>
      </x:rPr>
      <x:t xml:space="preserve">  </x:t>
    </x:r>
    <x:r>
      <x:rPr>
        <x:vertAlign val="baseline"/>
        <x:sz val="11"/>
        <x:color indexed="8"/>
        <x:rFont val="Calibri"/>
        <x:family val="2"/>
        <x:charset val="162"/>
        <x:scheme val="minor"/>
      </x:rPr>
      <x:t xml:space="preserve">Geldiği günler : </x:t>
    </x:r>
    <x:r>
      <x:rPr>
        <x:b/>
        <x:vertAlign val="baseline"/>
        <x:sz val="11"/>
        <x:color indexed="8"/>
        <x:rFont val="Calibri"/>
        <x:family val="2"/>
        <x:charset val="162"/>
        <x:scheme val="minor"/>
      </x:rPr>
      <x:t xml:space="preserve">X
</x:t>
    </x:r>
    <x:r>
      <x:rPr>
        <x:vertAlign val="baseline"/>
        <x:sz val="11"/>
        <x:color indexed="8"/>
        <x:rFont val="Calibri"/>
        <x:family val="2"/>
        <x:charset val="162"/>
        <x:scheme val="minor"/>
      </x:rPr>
      <x:t>Eğitim günü</x:t>
    </x:r>
    <x:r>
      <x:rPr>
        <x:b/>
        <x:vertAlign val="baseline"/>
        <x:sz val="11"/>
        <x:color indexed="8"/>
        <x:rFont val="Calibri"/>
        <x:family val="2"/>
        <x:charset val="162"/>
        <x:scheme val="minor"/>
      </x:rPr>
      <x:t>:E</x:t>
    </x:r>
    <x:r>
      <x:rPr>
        <x:vertAlign val="baseline"/>
        <x:sz val="11"/>
        <x:color indexed="8"/>
        <x:rFont val="Calibri"/>
        <x:family val="2"/>
        <x:charset val="162"/>
        <x:scheme val="minor"/>
      </x:rPr>
      <x:t xml:space="preserve">
Gelmediği Günler : </x:t>
    </x:r>
    <x:r>
      <x:rPr>
        <x:b/>
        <x:vertAlign val="baseline"/>
        <x:sz val="11"/>
        <x:color indexed="8"/>
        <x:rFont val="Calibri"/>
        <x:family val="2"/>
        <x:charset val="162"/>
        <x:scheme val="minor"/>
      </x:rPr>
      <x:t>T</x:t>
    </x:r>
    <x:r>
      <x:rPr>
        <x:vertAlign val="baseline"/>
        <x:sz val="11"/>
        <x:color indexed="8"/>
        <x:rFont val="Calibri"/>
        <x:family val="2"/>
        <x:charset val="162"/>
        <x:scheme val="minor"/>
      </x:rPr>
      <x:t xml:space="preserve">
Raporlu Günler : </x:t>
    </x:r>
    <x:r>
      <x:rPr>
        <x:b/>
        <x:vertAlign val="baseline"/>
        <x:sz val="11"/>
        <x:color indexed="8"/>
        <x:rFont val="Calibri"/>
        <x:family val="2"/>
        <x:charset val="162"/>
        <x:scheme val="minor"/>
      </x:rPr>
      <x:t xml:space="preserve">R
</x:t>
    </x:r>
    <x:r>
      <x:rPr>
        <x:vertAlign val="baseline"/>
        <x:sz val="11"/>
        <x:color indexed="8"/>
        <x:rFont val="Calibri"/>
        <x:family val="2"/>
        <x:charset val="162"/>
        <x:scheme val="minor"/>
      </x:rPr>
      <x:t xml:space="preserve">İzinli </x:t>
    </x:r>
    <x:r>
      <x:rPr>
        <x:b/>
        <x:vertAlign val="baseline"/>
        <x:sz val="11"/>
        <x:color indexed="8"/>
        <x:rFont val="Calibri"/>
        <x:family val="2"/>
        <x:charset val="162"/>
        <x:scheme val="minor"/>
      </x:rPr>
      <x:t>: İ</x:t>
    </x:r>
    <x:r>
      <x:rPr>
        <x:vertAlign val="baseline"/>
        <x:sz val="11"/>
        <x:color indexed="8"/>
        <x:rFont val="Calibri"/>
        <x:family val="2"/>
        <x:charset val="162"/>
        <x:scheme val="minor"/>
      </x:rPr>
      <x:t xml:space="preserve"> </x:t>
    </x:r>
  </x:si>
  <x:si>
    <x:t>IBAN</x:t>
  </x:si>
  <x:si>
    <x:t>SIRA</x:t>
  </x:si>
  <x:si>
    <x:t>TC</x:t>
  </x:si>
  <x:si>
    <x:t>AD SOYAD</x:t>
  </x:si>
  <x:si>
    <x:t>İşe Giriş Tarihi</x:t>
  </x:si>
  <x:si>
    <x:t>İşten Çıkışı Tarihi</x:t>
  </x:si>
  <x:si>
    <x:t>AYLAR</x:t>
  </x:si>
  <x:si>
    <x:t>İLK GÜN</x:t>
  </x:si>
  <x:si>
    <x:t>SON GÜN</x:t>
  </x:si>
  <x:si>
    <x:t>Ocak</x:t>
  </x:si>
  <x:si>
    <x:t>Şubat</x:t>
  </x:si>
  <x:si>
    <x:t>Mart</x:t>
  </x:si>
  <x:si>
    <x:t>Nisan</x:t>
  </x:si>
  <x:si>
    <x:t>Mayıs</x:t>
  </x:si>
  <x:si>
    <x:t>Haziran</x:t>
  </x:si>
  <x:si>
    <x:t>Temmuz</x:t>
  </x:si>
  <x:si>
    <x:t>Ağustos</x:t>
  </x:si>
  <x:si>
    <x:t>Eylül</x:t>
  </x:si>
  <x:si>
    <x:t>Ekim</x:t>
  </x:si>
  <x:si>
    <x:t>Aralık</x:t>
  </x:si>
  <x:si>
    <x:t>BURSA ULUDAĞ ÜNİVERSİTESİ GENEL SEKRETERLİK ÖZEL KALEM İŞKUR GENÇLİK PROGRAMI ÖDEME BORDROSU</x:t>
  </x:si>
  <x:si>
    <x:t>Dönemi : 03.03.2025- 31.03.2025</x:t>
  </x:si>
  <x:si>
    <x:t>S.N.</x:t>
  </x:si>
  <x:si>
    <x:t>T.C. KİMLİK
 NUMARASI</x:t>
  </x:si>
  <x:si>
    <x:t>ADI</x:t>
  </x:si>
  <x:si>
    <x:t>SOYADI</x:t>
  </x:si>
  <x:si>
    <x:t>GÖREV
YERİ</x:t>
  </x:si>
  <x:si>
    <x:t>AYLIK TOPLAM ÇALIŞILAN GÜN SAYISI</x:t>
  </x:si>
  <x:si>
    <x:t xml:space="preserve">İŞKUR GENÇLİK PROG CEP HARÇLIĞI TUTARI 
</x:t>
  </x:si>
  <x:si>
    <x:t>Sosyal Güvenlik Primi 
Devlet Ödemesi
(%5,5)</x:t>
  </x:si>
  <x:si>
    <x:t>Tahakkuk Toplamı</x:t>
  </x:si>
  <x:si>
    <x:t>KESİNTİLER</x:t>
  </x:si>
  <x:si>
    <x:t>Ödenmesi 
Gereken  
Net Tutar</x:t>
  </x:si>
  <x:si>
    <x:t>GELİR VERGİSİ İSTİSNA UYGULAMA</x:t>
  </x:si>
  <x:si>
    <x:t>DAMGA VERGİSİ İSTİSNA UYGULAMA</x:t>
  </x:si>
  <x:si>
    <x:t>Genel Sağ.Sig.Prm Dev.%4,5 +
Kısa Vad.Sig.K Dev.%1  
Toplam= %5,5</x:t>
  </x:si>
  <x:si>
    <x:t>İcra Kesintisi</x:t>
  </x:si>
  <x:si>
    <x:t>Toplam 
Kesinti
(SGK kesintisi ve Varsa Diğer)</x:t>
  </x:si>
  <x:si>
    <x:t>Gelir Vergisi Matrahı</x:t>
  </x:si>
  <x:si>
    <x:t>Hesaplanan Gelir Vergisi</x:t>
  </x:si>
  <x:si>
    <x:t>GV İstisna Tutarı</x:t>
  </x:si>
  <x:si>
    <x:t>Gelir 
Vergisi Kesintisi</x:t>
  </x:si>
  <x:si>
    <x:t>Hesaplanan Damga Vergisi</x:t>
  </x:si>
  <x:si>
    <x:t>DV İstisna Tutarı</x:t>
  </x:si>
  <x:si>
    <x:t>Damga 
Vergisi
Kesintisi</x:t>
  </x:si>
  <x:si>
    <x:t>GENEL TOPLAM</x:t>
  </x:si>
  <x:si>
    <x:t>BURSA ULUDAĞ ÜNİVERİSTESİ İŞKUR GENÇLİK PROGRAMI BANKA LİSTESİ</x:t>
  </x:si>
  <x:si>
    <x:t>Şube Kodu</x:t>
  </x:si>
  <x:si>
    <x:t>Dönemi:</x:t>
  </x:si>
  <x:si>
    <x:t>31.03.2025</x:t>
  </x:si>
  <x:si>
    <x:t xml:space="preserve">Banka Adı </x:t>
  </x:si>
  <x:si>
    <x:t>HALKBANK</x:t>
  </x:si>
  <x:si>
    <x:t>S. N.</x:t>
  </x:si>
  <x:si>
    <x:t>IBAN Numarası</x:t>
  </x:si>
  <x:si>
    <x:t>TUTAR</x:t>
  </x:si>
  <x:si>
    <x:t xml:space="preserve">Adı  </x:t>
  </x:si>
  <x:si>
    <x:t>Soyadı</x:t>
  </x:si>
  <x:si>
    <x:t>AÇIKLAMA</x:t>
  </x:si>
  <x:si>
    <x:t>Bursa UludağÜniversitesi Üniveristesi Genel Sekreterlik Özel Kalem</x:t>
  </x:si>
  <x:si>
    <x:t>TOPLAM</x:t>
  </x:si>
  <x:si>
    <x:t>Hazırlayan</x:t>
  </x:si>
  <x:si>
    <x:t>Büro Personeli</x:t>
  </x:si>
  <x:si>
    <x:t>Şube Müdürü</x:t>
  </x:si>
  <x:si>
    <x:t>Belgenin Mahiyeti (Asıl/Ek/İptal)</x:t>
  </x:si>
  <x:si>
    <x:t>Belge Türü</x:t>
  </x:si>
  <x:si>
    <x:t>Düzenlemeye Esas Kanun No</x:t>
  </x:si>
  <x:si>
    <x:t>Yeni Ünite Kodu</x:t>
  </x:si>
  <x:si>
    <x:t>Eski Ünite Kodu</x:t>
  </x:si>
  <x:si>
    <x:t>İşyeri Sıra Numarası</x:t>
  </x:si>
  <x:si>
    <x:t>İl Kodu</x:t>
  </x:si>
  <x:si>
    <x:t>Ait İşveren Numarası</x:t>
  </x:si>
  <x:si>
    <x:t>SSK Sicil</x:t>
  </x:si>
  <x:si>
    <x:t>SG NO (TC Kimlik No)</x:t>
  </x:si>
  <x:si>
    <x:t>Adı</x:t>
  </x:si>
  <x:si>
    <x:t>Prim Ödeme Günü</x:t>
  </x:si>
  <x:si>
    <x:t>Uzaktan Çalışma Gün</x:t>
  </x:si>
  <x:si>
    <x:t>Hak Edilen Ücret</x:t>
  </x:si>
  <x:si>
    <x:t>Prim,İkramiye ve Bu Nitelikteki İstihkak</x:t>
  </x:si>
  <x:si>
    <x:t>İşe Giriş Gün</x:t>
  </x:si>
  <x:si>
    <x:t>İşe Giriş Ay</x:t>
  </x:si>
  <x:si>
    <x:t>İşten Çıkış Gün</x:t>
  </x:si>
  <x:si>
    <x:t>İşten Çıkış Ay</x:t>
  </x:si>
  <x:si>
    <x:t>İşten Çıkış Nedeni</x:t>
  </x:si>
  <x:si>
    <x:t>Eksik Gün Sayısı</x:t>
  </x:si>
  <x:si>
    <x:t>Eksik Gün Nedeni</x:t>
  </x:si>
  <x:si>
    <x:t>Meslek Kodu</x:t>
  </x:si>
  <x:si>
    <x:t>İstirahat Süresinde Çalışmamıştır (E/H)</x:t>
  </x:si>
  <x:si>
    <x:t>Tahakkuk Nedeni</x:t>
  </x:si>
  <x:si>
    <x:t>Hizmet Dönem Ay</x:t>
  </x:si>
  <x:si>
    <x:t>Hizmet Dönem Yıl</x:t>
  </x:si>
  <x:si>
    <x:t>Gelir Vergisinden Muaf mı?</x:t>
  </x:si>
  <x:si>
    <x:t>İlgili Döneme Ait Gelir Vergisi Matrahı</x:t>
  </x:si>
  <x:si>
    <x:t>Gelir Vergisi Engellilik Oranı</x:t>
  </x:si>
  <x:si>
    <x:t>Asgari Ücret İstisna Gelir Vergisi Tutarı</x:t>
  </x:si>
  <x:si>
    <x:t>Gelir Vergisi Kesintisi</x:t>
  </x:si>
  <x:si>
    <x:t>Asgari Ücret İstisna Damga Vergisi Tutarı</x:t>
  </x:si>
  <x:si>
    <x:t>Damga Vergisi Kesintisi</x:t>
  </x:si>
  <x:si>
    <x:t>A</x:t>
  </x:si>
  <x:si>
    <x:t>00000</x:t>
  </x:si>
  <x:si>
    <x:t>01</x:t>
  </x:si>
  <x:si>
    <x:t>016</x:t>
  </x:si>
  <x:si>
    <x:t>000</x:t>
  </x:si>
  <x:si>
    <x:t>11</x:t>
  </x:si>
  <x:si>
    <x:t>9901.04</x:t>
  </x:si>
  <x:si>
    <x:t>Hayır</x:t>
  </x:si>
  <x:si>
    <x:t>TR290001002151713143585001</x:t>
  </x:si>
  <x:si>
    <x:t>22985652920</x:t>
  </x:si>
  <x:si>
    <x:t>ABDURRAHMAN CENGİZ</x:t>
  </x:si>
  <x:si>
    <x:t>AYDOĞDU</x:t>
  </x:si>
  <x:si>
    <x:t/>
  </x:si>
  <x:si>
    <x:t>X</x:t>
  </x:si>
  <x:si>
    <x:t>TR550006701000000037357882</x:t>
  </x:si>
  <x:si>
    <x:t>10271762804</x:t>
  </x:si>
  <x:si>
    <x:t>AHMET</x:t>
  </x:si>
  <x:si>
    <x:t>ŞEN</x:t>
  </x:si>
  <x:si>
    <x:t>TR270020500009943979400001</x:t>
  </x:si>
  <x:si>
    <x:t>10264855810</x:t>
  </x:si>
  <x:si>
    <x:t>AHMET EMİRHAN</x:t>
  </x:si>
  <x:si>
    <x:t>ELDEMİR</x:t>
  </x:si>
  <x:si>
    <x:t>TR370001009010555427505003</x:t>
  </x:si>
  <x:si>
    <x:t>11230293988</x:t>
  </x:si>
  <x:si>
    <x:t>AHMET SAMED</x:t>
  </x:si>
  <x:si>
    <x:t>KARABULUT</x:t>
  </x:si>
  <x:si>
    <x:t>TR040001009010348991905001</x:t>
  </x:si>
  <x:si>
    <x:t>10067475932</x:t>
  </x:si>
  <x:si>
    <x:t>AHMET YASİN</x:t>
  </x:si>
  <x:si>
    <x:t>KURT</x:t>
  </x:si>
  <x:si>
    <x:t>TR070001009010961041905002</x:t>
  </x:si>
  <x:si>
    <x:t>13333175444</x:t>
  </x:si>
  <x:si>
    <x:t>AKİF YAVUZ</x:t>
  </x:si>
  <x:si>
    <x:t>ZENGİN</x:t>
  </x:si>
  <x:si>
    <x:t>TR250001009010259614605003</x:t>
  </x:si>
  <x:si>
    <x:t>34411910856</x:t>
  </x:si>
  <x:si>
    <x:t>ALEYNA</x:t>
  </x:si>
  <x:si>
    <x:t>ÇAKAR</x:t>
  </x:si>
  <x:si>
    <x:t>TR580001009010556440305002</x:t>
  </x:si>
  <x:si>
    <x:t>11069535280</x:t>
  </x:si>
  <x:si>
    <x:t>ALİGAFFAR</x:t>
  </x:si>
  <x:si>
    <x:t>AYDIN</x:t>
  </x:si>
  <x:si>
    <x:t>TR960001200122900001249734</x:t>
  </x:si>
  <x:si>
    <x:t>10420954296</x:t>
  </x:si>
  <x:si>
    <x:t>ARİF</x:t>
  </x:si>
  <x:si>
    <x:t>TURAN</x:t>
  </x:si>
  <x:si>
    <x:t>TR530004600007888000653780</x:t>
  </x:si>
  <x:si>
    <x:t>11039638348</x:t>
  </x:si>
  <x:si>
    <x:t>ASLAN ERAY</x:t>
  </x:si>
  <x:si>
    <x:t>KARAVAŞ</x:t>
  </x:si>
  <x:si>
    <x:t>TR070001009010550885705001</x:t>
  </x:si>
  <x:si>
    <x:t>18397728780</x:t>
  </x:si>
  <x:si>
    <x:t>ASLI</x:t>
  </x:si>
  <x:si>
    <x:t>BEKTAŞ</x:t>
  </x:si>
  <x:si>
    <x:t>TR080001001914961839085005</x:t>
  </x:si>
  <x:si>
    <x:t>31885265086</x:t>
  </x:si>
  <x:si>
    <x:t>AYBERK</x:t>
  </x:si>
  <x:si>
    <x:t>EREN</x:t>
  </x:si>
  <x:si>
    <x:t>TR860004600563888000416642</x:t>
  </x:si>
  <x:si>
    <x:t>16364821786</x:t>
  </x:si>
  <x:si>
    <x:t>KILIÇ</x:t>
  </x:si>
  <x:si>
    <x:t>TR520001009010110010105001</x:t>
  </x:si>
  <x:si>
    <x:t>10307955460</x:t>
  </x:si>
  <x:si>
    <x:t>AYÇA</x:t>
  </x:si>
  <x:si>
    <x:t>YAZICI</x:t>
  </x:si>
  <x:si>
    <x:t>TR830001009010018214505001</x:t>
  </x:si>
  <x:si>
    <x:t>37796134572</x:t>
  </x:si>
  <x:si>
    <x:t>AYŞE</x:t>
  </x:si>
  <x:si>
    <x:t>KADIOĞULLARI</x:t>
  </x:si>
  <x:si>
    <x:t>TR340006701000000012356801</x:t>
  </x:si>
  <x:si>
    <x:t>20425647000</x:t>
  </x:si>
  <x:si>
    <x:t>KÜÇÜKALİ</x:t>
  </x:si>
  <x:si>
    <x:t>TR650001009010552580105001</x:t>
  </x:si>
  <x:si>
    <x:t>10211811296</x:t>
  </x:si>
  <x:si>
    <x:t>AYŞE NUR</x:t>
  </x:si>
  <x:si>
    <x:t>TÜRKYILMAZ</x:t>
  </x:si>
  <x:si>
    <x:t>TR310004601245888000103590</x:t>
  </x:si>
  <x:si>
    <x:t>10391956060</x:t>
  </x:si>
  <x:si>
    <x:t>AYŞENUR</x:t>
  </x:si>
  <x:si>
    <x:t>YILDIRIM</x:t>
  </x:si>
  <x:si>
    <x:t>TR560001009010276446500001</x:t>
  </x:si>
  <x:si>
    <x:t>38158642018</x:t>
  </x:si>
  <x:si>
    <x:t>AYŞENUR TUĞBA</x:t>
  </x:si>
  <x:si>
    <x:t>KILIÇARSLAN</x:t>
  </x:si>
  <x:si>
    <x:t>TR860001009010458311205001</x:t>
  </x:si>
  <x:si>
    <x:t>10075858284</x:t>
  </x:si>
  <x:si>
    <x:t>AZİZE NUR</x:t>
  </x:si>
  <x:si>
    <x:t>TUTUM</x:t>
  </x:si>
  <x:si>
    <x:t>TR800006200068700006892740</x:t>
  </x:si>
  <x:si>
    <x:t>38815458440</x:t>
  </x:si>
  <x:si>
    <x:t>AZRA</x:t>
  </x:si>
  <x:si>
    <x:t>ÖZGÜL</x:t>
  </x:si>
  <x:si>
    <x:t>TR260006701000000078559930</x:t>
  </x:si>
  <x:si>
    <x:t>22682146630</x:t>
  </x:si>
  <x:si>
    <x:t>BEGÜM</x:t>
  </x:si>
  <x:si>
    <x:t>YALÇIN</x:t>
  </x:si>
  <x:si>
    <x:t>TR780004600563888000363339</x:t>
  </x:si>
  <x:si>
    <x:t>10048324686</x:t>
  </x:si>
  <x:si>
    <x:t>BERAT</x:t>
  </x:si>
  <x:si>
    <x:t>ÇAM</x:t>
  </x:si>
  <x:si>
    <x:t>TR830001009010204648505001</x:t>
  </x:si>
  <x:si>
    <x:t>60583295750</x:t>
  </x:si>
  <x:si>
    <x:t>BETÜL</x:t>
  </x:si>
  <x:si>
    <x:t>ÖZTÜRK</x:t>
  </x:si>
  <x:si>
    <x:t>TR350006200151700006611592</x:t>
  </x:si>
  <x:si>
    <x:t>15829750838</x:t>
  </x:si>
  <x:si>
    <x:t>UYAR</x:t>
  </x:si>
  <x:si>
    <x:t>TR930006400000180300609819</x:t>
  </x:si>
  <x:si>
    <x:t>11559114636</x:t>
  </x:si>
  <x:si>
    <x:t>BİLAL</x:t>
  </x:si>
  <x:si>
    <x:t>GÜNGÖR</x:t>
  </x:si>
  <x:si>
    <x:t>TR390001009010263272305001</x:t>
  </x:si>
  <x:si>
    <x:t>12029296494</x:t>
  </x:si>
  <x:si>
    <x:t>BİLAL EMİR</x:t>
  </x:si>
  <x:si>
    <x:t>GÖK</x:t>
  </x:si>
  <x:si>
    <x:t>TR860001001799959944335001</x:t>
  </x:si>
  <x:si>
    <x:t>16765732636</x:t>
  </x:si>
  <x:si>
    <x:t>BUSE</x:t>
  </x:si>
  <x:si>
    <x:t>ALACA</x:t>
  </x:si>
  <x:si>
    <x:t>TR480004600094888000220489</x:t>
  </x:si>
  <x:si>
    <x:t>10169157156</x:t>
  </x:si>
  <x:si>
    <x:t>PAMUK</x:t>
  </x:si>
  <x:si>
    <x:t>TR350001009010260552505001</x:t>
  </x:si>
  <x:si>
    <x:t>22309168236</x:t>
  </x:si>
  <x:si>
    <x:t>CAFER</x:t>
  </x:si>
  <x:si>
    <x:t>SOYLU</x:t>
  </x:si>
  <x:si>
    <x:t>TR450006701000000075954168</x:t>
  </x:si>
  <x:si>
    <x:t>45631014194</x:t>
  </x:si>
  <x:si>
    <x:t>ÇAĞLAYAN EFE</x:t>
  </x:si>
  <x:si>
    <x:t>KOYUNCU</x:t>
  </x:si>
  <x:si>
    <x:t>TR290001009010067788405001</x:t>
  </x:si>
  <x:si>
    <x:t>15725667650</x:t>
  </x:si>
  <x:si>
    <x:t>CANER</x:t>
  </x:si>
  <x:si>
    <x:t>YILDIZ</x:t>
  </x:si>
  <x:si>
    <x:t>TR750001200929900001140213</x:t>
  </x:si>
  <x:si>
    <x:t>15709804262</x:t>
  </x:si>
  <x:si>
    <x:t>CEMAL AFŞİN</x:t>
  </x:si>
  <x:si>
    <x:t>TR220006701000000033603703</x:t>
  </x:si>
  <x:si>
    <x:t>10841685564</x:t>
  </x:si>
  <x:si>
    <x:t>CEMRE</x:t>
  </x:si>
  <x:si>
    <x:t>GÜRŞEN</x:t>
  </x:si>
  <x:si>
    <x:t>TR740001009010956764805002</x:t>
  </x:si>
  <x:si>
    <x:t>11102488016</x:t>
  </x:si>
  <x:si>
    <x:t>CEREN</x:t>
  </x:si>
  <x:si>
    <x:t>TR560001009010131877705001</x:t>
  </x:si>
  <x:si>
    <x:t>64426278672</x:t>
  </x:si>
  <x:si>
    <x:t>DİCLE</x:t>
  </x:si>
  <x:si>
    <x:t>GEYİK</x:t>
  </x:si>
  <x:si>
    <x:t>TR040001200132900001130998</x:t>
  </x:si>
  <x:si>
    <x:t>11158958198</x:t>
  </x:si>
  <x:si>
    <x:t>ECEM</x:t>
  </x:si>
  <x:si>
    <x:t>BULUT</x:t>
  </x:si>
  <x:si>
    <x:t>TR770004600431888000211459</x:t>
  </x:si>
  <x:si>
    <x:t>10438965994</x:t>
  </x:si>
  <x:si>
    <x:t>EFE</x:t>
  </x:si>
  <x:si>
    <x:t>FEVZİOĞLU</x:t>
  </x:si>
  <x:si>
    <x:t>TR630006701000000035553441</x:t>
  </x:si>
  <x:si>
    <x:t>10634557832</x:t>
  </x:si>
  <x:si>
    <x:t>ŞAHİN</x:t>
  </x:si>
  <x:si>
    <x:t>TR830001009010538106805002</x:t>
  </x:si>
  <x:si>
    <x:t>10257029938</x:t>
  </x:si>
  <x:si>
    <x:t>EGEMEN</x:t>
  </x:si>
  <x:si>
    <x:t>KÜÇÜKLER</x:t>
  </x:si>
  <x:si>
    <x:t>TR450001009010302805505001</x:t>
  </x:si>
  <x:si>
    <x:t>10067993948</x:t>
  </x:si>
  <x:si>
    <x:t>EKREM</x:t>
  </x:si>
  <x:si>
    <x:t>TERZİOĞLU</x:t>
  </x:si>
  <x:si>
    <x:t>16240785980</x:t>
  </x:si>
  <x:si>
    <x:t>ELİF</x:t>
  </x:si>
  <x:si>
    <x:t>MİSK</x:t>
  </x:si>
  <x:si>
    <x:t>TR870001009010757059005002</x:t>
  </x:si>
  <x:si>
    <x:t>12202274516</x:t>
  </x:si>
  <x:si>
    <x:t>ELİF NAZ</x:t>
  </x:si>
  <x:si>
    <x:t>KÖKSAL</x:t>
  </x:si>
  <x:si>
    <x:t>TR630001009010757356305002</x:t>
  </x:si>
  <x:si>
    <x:t>13784186020</x:t>
  </x:si>
  <x:si>
    <x:t>ELİFE KEVSER</x:t>
  </x:si>
  <x:si>
    <x:t>ÖZTEK</x:t>
  </x:si>
  <x:si>
    <x:t>TR370001009010017861805002</x:t>
  </x:si>
  <x:si>
    <x:t>12019646278</x:t>
  </x:si>
  <x:si>
    <x:t>EMİNE</x:t>
  </x:si>
  <x:si>
    <x:t>ÇAKIR</x:t>
  </x:si>
  <x:si>
    <x:t>TR070001009010559917805002</x:t>
  </x:si>
  <x:si>
    <x:t>36073704224</x:t>
  </x:si>
  <x:si>
    <x:t>EMİNE BEYZA</x:t>
  </x:si>
  <x:si>
    <x:t>SÖYLER</x:t>
  </x:si>
  <x:si>
    <x:t>TR260015700000000112863418</x:t>
  </x:si>
  <x:si>
    <x:t>41449479170</x:t>
  </x:si>
  <x:si>
    <x:t>EMİR</x:t>
  </x:si>
  <x:si>
    <x:t>AN</x:t>
  </x:si>
  <x:si>
    <x:t>TR670006701000000035540856</x:t>
  </x:si>
  <x:si>
    <x:t>19793201204</x:t>
  </x:si>
  <x:si>
    <x:t>DAŞTAN</x:t>
  </x:si>
  <x:si>
    <x:t>TR900001009010028993005001</x:t>
  </x:si>
  <x:si>
    <x:t>19156656290</x:t>
  </x:si>
  <x:si>
    <x:t>EMİRCAN</x:t>
  </x:si>
  <x:si>
    <x:t>DAL</x:t>
  </x:si>
  <x:si>
    <x:t>TR360001000147908562985001</x:t>
  </x:si>
  <x:si>
    <x:t>10877603754</x:t>
  </x:si>
  <x:si>
    <x:t>EMİRHAN</x:t>
  </x:si>
  <x:si>
    <x:t>BURULDAY</x:t>
  </x:si>
  <x:si>
    <x:t>TR060004600558888000145859</x:t>
  </x:si>
  <x:si>
    <x:t>10100154114</x:t>
  </x:si>
  <x:si>
    <x:t>ÇELİK</x:t>
  </x:si>
  <x:si>
    <x:t>TR780001500158007319484193</x:t>
  </x:si>
  <x:si>
    <x:t>12538250994</x:t>
  </x:si>
  <x:si>
    <x:t>TR020006701000000036153320</x:t>
  </x:si>
  <x:si>
    <x:t>60862510536</x:t>
  </x:si>
  <x:si>
    <x:t>TR350001009010801249905001</x:t>
  </x:si>
  <x:si>
    <x:t>11056947294</x:t>
  </x:si>
  <x:si>
    <x:t>EMRE</x:t>
  </x:si>
  <x:si>
    <x:t>FIRAT</x:t>
  </x:si>
  <x:si>
    <x:t>TR480006200066700006611631</x:t>
  </x:si>
  <x:si>
    <x:t>10630966102</x:t>
  </x:si>
  <x:si>
    <x:t>KOCAHALİLOĞULLARI</x:t>
  </x:si>
  <x:si>
    <x:t>TR460006200011500006532462</x:t>
  </x:si>
  <x:si>
    <x:t>60736357120</x:t>
  </x:si>
  <x:si>
    <x:t>YILMAZ</x:t>
  </x:si>
  <x:si>
    <x:t>TR340001009010200250205007</x:t>
  </x:si>
  <x:si>
    <x:t>31795253678</x:t>
  </x:si>
  <x:si>
    <x:t>ENES</x:t>
  </x:si>
  <x:si>
    <x:t>DURAN</x:t>
  </x:si>
  <x:si>
    <x:t>TR790001009010548106505004</x:t>
  </x:si>
  <x:si>
    <x:t>13613592022</x:t>
  </x:si>
  <x:si>
    <x:t>ÖZCAN</x:t>
  </x:si>
  <x:si>
    <x:t>TR940020500009705379400001</x:t>
  </x:si>
  <x:si>
    <x:t>42379294314</x:t>
  </x:si>
  <x:si>
    <x:t>ENİSE</x:t>
  </x:si>
  <x:si>
    <x:t>TR660001009010757732605002</x:t>
  </x:si>
  <x:si>
    <x:t>10267937780</x:t>
  </x:si>
  <x:si>
    <x:t>ENNUR</x:t>
  </x:si>
  <x:si>
    <x:t>ÜNAL</x:t>
  </x:si>
  <x:si>
    <x:t>TR740001002062972681045001</x:t>
  </x:si>
  <x:si>
    <x:t>10559226820</x:t>
  </x:si>
  <x:si>
    <x:t>BEYDİLLİ</x:t>
  </x:si>
  <x:si>
    <x:t>TR340006200053200006628854</x:t>
  </x:si>
  <x:si>
    <x:t>10129854538</x:t>
  </x:si>
  <x:si>
    <x:t>BOYLU</x:t>
  </x:si>
  <x:si>
    <x:t>TR430006200126600006645295</x:t>
  </x:si>
  <x:si>
    <x:t>10591948872</x:t>
  </x:si>
  <x:si>
    <x:t>SAĞIR</x:t>
  </x:si>
  <x:si>
    <x:t>TR660006200072700006821497</x:t>
  </x:si>
  <x:si>
    <x:t>31750012616</x:t>
  </x:si>
  <x:si>
    <x:t>ERTUĞRUL</x:t>
  </x:si>
  <x:si>
    <x:t>YILDIRAN</x:t>
  </x:si>
  <x:si>
    <x:t>TR300001000080964695985001</x:t>
  </x:si>
  <x:si>
    <x:t>11758988366</x:t>
  </x:si>
  <x:si>
    <x:t>ESRA BENAN</x:t>
  </x:si>
  <x:si>
    <x:t>ÇETİN</x:t>
  </x:si>
  <x:si>
    <x:t>TR720001500158007321365131</x:t>
  </x:si>
  <x:si>
    <x:t>10041124610</x:t>
  </x:si>
  <x:si>
    <x:t>EYLÜL</x:t>
  </x:si>
  <x:si>
    <x:t>AKCAOĞLU</x:t>
  </x:si>
  <x:si>
    <x:t>TR380015700000000120277688</x:t>
  </x:si>
  <x:si>
    <x:t>26104431304</x:t>
  </x:si>
  <x:si>
    <x:t>EZGİ</x:t>
  </x:si>
  <x:si>
    <x:t>BÜYÜKKAYA</x:t>
  </x:si>
  <x:si>
    <x:t>TR660001009010580321005003</x:t>
  </x:si>
  <x:si>
    <x:t>13939155444</x:t>
  </x:si>
  <x:si>
    <x:t>EZGİNAZ</x:t>
  </x:si>
  <x:si>
    <x:t>GÜNDEDE</x:t>
  </x:si>
  <x:si>
    <x:t>TR630006400000122031228199</x:t>
  </x:si>
  <x:si>
    <x:t>11635943068</x:t>
  </x:si>
  <x:si>
    <x:t>FATMA YAREN</x:t>
  </x:si>
  <x:si>
    <x:t>ERDOĞAN</x:t>
  </x:si>
  <x:si>
    <x:t>TR370006701000000041998977</x:t>
  </x:si>
  <x:si>
    <x:t>17333252242</x:t>
  </x:si>
  <x:si>
    <x:t>FEYZA</x:t>
  </x:si>
  <x:si>
    <x:t>KARACA</x:t>
  </x:si>
  <x:si>
    <x:t>TR720006200154400006657157</x:t>
  </x:si>
  <x:si>
    <x:t>10861953766</x:t>
  </x:si>
  <x:si>
    <x:t>FİLİZ</x:t>
  </x:si>
  <x:si>
    <x:t>ÇİNİ</x:t>
  </x:si>
  <x:si>
    <x:t>TR690001002327797078855001</x:t>
  </x:si>
  <x:si>
    <x:t>10385934418</x:t>
  </x:si>
  <x:si>
    <x:t>FURKAN</x:t>
  </x:si>
  <x:si>
    <x:t>AKAN</x:t>
  </x:si>
  <x:si>
    <x:t>TR220020500009090660800001</x:t>
  </x:si>
  <x:si>
    <x:t>10291959826</x:t>
  </x:si>
  <x:si>
    <x:t>FURKAN SELİM</x:t>
  </x:si>
  <x:si>
    <x:t>TR590001009010553924105002</x:t>
  </x:si>
  <x:si>
    <x:t>22394387604</x:t>
  </x:si>
  <x:si>
    <x:t>GİZEM</x:t>
  </x:si>
  <x:si>
    <x:t>MOLLA</x:t>
  </x:si>
  <x:si>
    <x:t>TR220001009010547170305001</x:t>
  </x:si>
  <x:si>
    <x:t>10439263020</x:t>
  </x:si>
  <x:si>
    <x:t>GÖKAY</x:t>
  </x:si>
  <x:si>
    <x:t>ÖZEL</x:t>
  </x:si>
  <x:si>
    <x:t>TR380006701000000035426142</x:t>
  </x:si>
  <x:si>
    <x:t>10735312002</x:t>
  </x:si>
  <x:si>
    <x:t>GÖRKEM</x:t>
  </x:si>
  <x:si>
    <x:t>KOÇ</x:t>
  </x:si>
  <x:si>
    <x:t>TR080001001799658409218002</x:t>
  </x:si>
  <x:si>
    <x:t>19358635796</x:t>
  </x:si>
  <x:si>
    <x:t>GÜLSEHER</x:t>
  </x:si>
  <x:si>
    <x:t>TAŞĞIN</x:t>
  </x:si>
  <x:si>
    <x:t>TR930001009010270142705001</x:t>
  </x:si>
  <x:si>
    <x:t>15041423268</x:t>
  </x:si>
  <x:si>
    <x:t>GÜLSÜM</x:t>
  </x:si>
  <x:si>
    <x:t>ÖZKAN</x:t>
  </x:si>
  <x:si>
    <x:t>TR930001009010733466005003</x:t>
  </x:si>
  <x:si>
    <x:t>17603851854</x:t>
  </x:si>
  <x:si>
    <x:t>GÜLTEN</x:t>
  </x:si>
  <x:si>
    <x:t>EZDAŞ</x:t>
  </x:si>
  <x:si>
    <x:t>TR220006200110600006610583</x:t>
  </x:si>
  <x:si>
    <x:t>10462601820</x:t>
  </x:si>
  <x:si>
    <x:t>GÜZEL</x:t>
  </x:si>
  <x:si>
    <x:t>ÖZDEMİR</x:t>
  </x:si>
  <x:si>
    <x:t>TR970006701000000033718656</x:t>
  </x:si>
  <x:si>
    <x:t>10200136744</x:t>
  </x:si>
  <x:si>
    <x:t>HAMZA</x:t>
  </x:si>
  <x:si>
    <x:t>FİDAN</x:t>
  </x:si>
  <x:si>
    <x:t>TR710006200087500006886336</x:t>
  </x:si>
  <x:si>
    <x:t>10997539452</x:t>
  </x:si>
  <x:si>
    <x:t>HASAN</x:t>
  </x:si>
  <x:si>
    <x:t>TR100001000447799255645001</x:t>
  </x:si>
  <x:si>
    <x:t>32380614546</x:t>
  </x:si>
  <x:si>
    <x:t>HATİCE</x:t>
  </x:si>
  <x:si>
    <x:t>SARI</x:t>
  </x:si>
  <x:si>
    <x:t>TR210001009010313958505002</x:t>
  </x:si>
  <x:si>
    <x:t>10538293270</x:t>
  </x:si>
  <x:si>
    <x:t>HATİCE MELİSA</x:t>
  </x:si>
  <x:si>
    <x:t>YÜKSEK</x:t>
  </x:si>
  <x:si>
    <x:t>TR320006701000000057778154</x:t>
  </x:si>
  <x:si>
    <x:t>22130159632</x:t>
  </x:si>
  <x:si>
    <x:t>HAZAL</x:t>
  </x:si>
  <x:si>
    <x:t>TAŞDEMİR</x:t>
  </x:si>
  <x:si>
    <x:t>TR590003200000000105798117</x:t>
  </x:si>
  <x:si>
    <x:t>10087841144</x:t>
  </x:si>
  <x:si>
    <x:t>ULUDOĞAN</x:t>
  </x:si>
  <x:si>
    <x:t>TR370001000045839124175002</x:t>
  </x:si>
  <x:si>
    <x:t>19592207926</x:t>
  </x:si>
  <x:si>
    <x:t>HELİN</x:t>
  </x:si>
  <x:si>
    <x:t>ARSLAN</x:t>
  </x:si>
  <x:si>
    <x:t>TR380006400000143890345392</x:t>
  </x:si>
  <x:si>
    <x:t>12742219862</x:t>
  </x:si>
  <x:si>
    <x:t>HİLAL</x:t>
  </x:si>
  <x:si>
    <x:t>TR130006400000162100962203</x:t>
  </x:si>
  <x:si>
    <x:t>16492488158</x:t>
  </x:si>
  <x:si>
    <x:t>HİLAL BEHİYE</x:t>
  </x:si>
  <x:si>
    <x:t>TR350001009010029838005001</x:t>
  </x:si>
  <x:si>
    <x:t>36925472042</x:t>
  </x:si>
  <x:si>
    <x:t>HURİYE ZEHRA</x:t>
  </x:si>
  <x:si>
    <x:t>ÖZDERE</x:t>
  </x:si>
  <x:si>
    <x:t>TR800001009010736881205002</x:t>
  </x:si>
  <x:si>
    <x:t>11895077008</x:t>
  </x:si>
  <x:si>
    <x:t>İLAYDA</x:t>
  </x:si>
  <x:si>
    <x:t>MAY</x:t>
  </x:si>
  <x:si>
    <x:t>TR540001500158007312269377</x:t>
  </x:si>
  <x:si>
    <x:t>34939134826</x:t>
  </x:si>
  <x:si>
    <x:t>SERTKAN</x:t>
  </x:si>
  <x:si>
    <x:t>TR110001500158007333870305</x:t>
  </x:si>
  <x:si>
    <x:t>15268800910</x:t>
  </x:si>
  <x:si>
    <x:t>İLKER</x:t>
  </x:si>
  <x:si>
    <x:t>TR140001009010678015705001</x:t>
  </x:si>
  <x:si>
    <x:t>10293044216</x:t>
  </x:si>
  <x:si>
    <x:t>İLKNUR</x:t>
  </x:si>
  <x:si>
    <x:t>TR260001009010548541805001</x:t>
  </x:si>
  <x:si>
    <x:t>26759027716</x:t>
  </x:si>
  <x:si>
    <x:t>İMAMUESEN</x:t>
  </x:si>
  <x:si>
    <x:t>ARTIŞ</x:t>
  </x:si>
  <x:si>
    <x:t>TR410001200929100001060549</x:t>
  </x:si>
  <x:si>
    <x:t>53959062896</x:t>
  </x:si>
  <x:si>
    <x:t>İPEK</x:t>
  </x:si>
  <x:si>
    <x:t>CİHANTİMUR</x:t>
  </x:si>
  <x:si>
    <x:t>TR870020500009930087800001</x:t>
  </x:si>
  <x:si>
    <x:t>11042896742</x:t>
  </x:si>
  <x:si>
    <x:t>İSLAM SADRETTİN</x:t>
  </x:si>
  <x:si>
    <x:t>ÖZDOĞAN</x:t>
  </x:si>
  <x:si>
    <x:t>TR670001009010631869805001</x:t>
  </x:si>
  <x:si>
    <x:t>10717479006</x:t>
  </x:si>
  <x:si>
    <x:t>İSMAİL</x:t>
  </x:si>
  <x:si>
    <x:t>NACAR</x:t>
  </x:si>
  <x:si>
    <x:t>TR310001009010744229505001</x:t>
  </x:si>
  <x:si>
    <x:t>15632524862</x:t>
  </x:si>
  <x:si>
    <x:t>KADİR HÜSEYİN</x:t>
  </x:si>
  <x:si>
    <x:t>TUNCER</x:t>
  </x:si>
  <x:si>
    <x:t>TR910001009010283041805001</x:t>
  </x:si>
  <x:si>
    <x:t>13963824422</x:t>
  </x:si>
  <x:si>
    <x:t>KADRİYE</x:t>
  </x:si>
  <x:si>
    <x:t>AKTAŞ</x:t>
  </x:si>
  <x:si>
    <x:t>TR700001009010551737505002</x:t>
  </x:si>
  <x:si>
    <x:t>10679380396</x:t>
  </x:si>
  <x:si>
    <x:t>KADRİYE GÜNGÖR</x:t>
  </x:si>
  <x:si>
    <x:t>TR420006200113100006648025</x:t>
  </x:si>
  <x:si>
    <x:t>17327701480</x:t>
  </x:si>
  <x:si>
    <x:t>KERİM</x:t>
  </x:si>
  <x:si>
    <x:t>CEBECİ</x:t>
  </x:si>
  <x:si>
    <x:t>TR150001001799744550895002</x:t>
  </x:si>
  <x:si>
    <x:t>10517493820</x:t>
  </x:si>
  <x:si>
    <x:t>KÜBRA</x:t>
  </x:si>
  <x:si>
    <x:t>GEDİK</x:t>
  </x:si>
  <x:si>
    <x:t>TR300006200053800006623367</x:t>
  </x:si>
  <x:si>
    <x:t>10976678554</x:t>
  </x:si>
  <x:si>
    <x:t>ULUDERE</x:t>
  </x:si>
  <x:si>
    <x:t>TR540006701000000033658902</x:t>
  </x:si>
  <x:si>
    <x:t>15766862922</x:t>
  </x:si>
  <x:si>
    <x:t>LÜTFİYE</x:t>
  </x:si>
  <x:si>
    <x:t>TR340001004002828302515004</x:t>
  </x:si>
  <x:si>
    <x:t>48730397168</x:t>
  </x:si>
  <x:si>
    <x:t>MAHMUT</x:t>
  </x:si>
  <x:si>
    <x:t>ÖZGAN</x:t>
  </x:si>
  <x:si>
    <x:t>TR400001009010721263605001</x:t>
  </x:si>
  <x:si>
    <x:t>10412675680</x:t>
  </x:si>
  <x:si>
    <x:t>MEDİNE</x:t>
  </x:si>
  <x:si>
    <x:t>SAKARYA</x:t>
  </x:si>
  <x:si>
    <x:t>TR270001009010734535405001</x:t>
  </x:si>
  <x:si>
    <x:t>10112713040</x:t>
  </x:si>
  <x:si>
    <x:t>MELİS</x:t>
  </x:si>
  <x:si>
    <x:t>KARADENİZ</x:t>
  </x:si>
  <x:si>
    <x:t>TR090001009010612007305001</x:t>
  </x:si>
  <x:si>
    <x:t>10267469656</x:t>
  </x:si>
  <x:si>
    <x:t>METİN</x:t>
  </x:si>
  <x:si>
    <x:t>TR440001000301704869035001</x:t>
  </x:si>
  <x:si>
    <x:t>53509519344</x:t>
  </x:si>
  <x:si>
    <x:t>MELİSA</x:t>
  </x:si>
  <x:si>
    <x:t>KUMLU</x:t>
  </x:si>
  <x:si>
    <x:t>TR350001002715876598195001</x:t>
  </x:si>
  <x:si>
    <x:t>51844559292</x:t>
  </x:si>
  <x:si>
    <x:t>OKUYUCU</x:t>
  </x:si>
  <x:si>
    <x:t>TR750006701000000040002130</x:t>
  </x:si>
  <x:si>
    <x:t>28885323830</x:t>
  </x:si>
  <x:si>
    <x:t>MERVE</x:t>
  </x:si>
  <x:si>
    <x:t>TR110001009010190699405001</x:t>
  </x:si>
  <x:si>
    <x:t>28033142924</x:t>
  </x:si>
  <x:si>
    <x:t>EZBERCİ</x:t>
  </x:si>
  <x:si>
    <x:t>TR520001009010533686705001</x:t>
  </x:si>
  <x:si>
    <x:t>15230987106</x:t>
  </x:si>
  <x:si>
    <x:t>POLAT</x:t>
  </x:si>
  <x:si>
    <x:t>TR510001009010745849005001</x:t>
  </x:si>
  <x:si>
    <x:t>11273332552</x:t>
  </x:si>
  <x:si>
    <x:t>MERVE CEREN</x:t>
  </x:si>
  <x:si>
    <x:t>İNCE</x:t>
  </x:si>
  <x:si>
    <x:t>TR280006400000115010287058</x:t>
  </x:si>
  <x:si>
    <x:t>10571458124</x:t>
  </x:si>
  <x:si>
    <x:t>MİNE</x:t>
  </x:si>
  <x:si>
    <x:t>AYHAN</x:t>
  </x:si>
  <x:si>
    <x:t>TR560001009010185848505001</x:t>
  </x:si>
  <x:si>
    <x:t>34438180034</x:t>
  </x:si>
  <x:si>
    <x:t>MİRAY</x:t>
  </x:si>
  <x:si>
    <x:t>TR400001009010250435305001</x:t>
  </x:si>
  <x:si>
    <x:t>23368084802</x:t>
  </x:si>
  <x:si>
    <x:t>MUHAMMED AHMET</x:t>
  </x:si>
  <x:si>
    <x:t>ASLAN</x:t>
  </x:si>
  <x:si>
    <x:t>TR350001009010283358605002</x:t>
  </x:si>
  <x:si>
    <x:t>10069201706</x:t>
  </x:si>
  <x:si>
    <x:t>MUHAMMED BAKİ</x:t>
  </x:si>
  <x:si>
    <x:t>ORAR</x:t>
  </x:si>
  <x:si>
    <x:t>TR110006400000122201242199</x:t>
  </x:si>
  <x:si>
    <x:t>10804913444</x:t>
  </x:si>
  <x:si>
    <x:t>MUHAMMED İSMAİL</x:t>
  </x:si>
  <x:si>
    <x:t>TR340001009010961953705001</x:t>
  </x:si>
  <x:si>
    <x:t>13763788092</x:t>
  </x:si>
  <x:si>
    <x:t>MUHAMMED YASİN</x:t>
  </x:si>
  <x:si>
    <x:t>TR070001009010773423105001</x:t>
  </x:si>
  <x:si>
    <x:t>10456830816</x:t>
  </x:si>
  <x:si>
    <x:t>MUHAMMET ALİ</x:t>
  </x:si>
  <x:si>
    <x:t>KARAMAN</x:t>
  </x:si>
  <x:si>
    <x:t>TR480006701000000079126402</x:t>
  </x:si>
  <x:si>
    <x:t>34918660636</x:t>
  </x:si>
  <x:si>
    <x:t>MUHAMMET TAHA</x:t>
  </x:si>
  <x:si>
    <x:t>ÖZAY</x:t>
  </x:si>
  <x:si>
    <x:t>TR140006701000000055070723</x:t>
  </x:si>
  <x:si>
    <x:t>32752953624</x:t>
  </x:si>
  <x:si>
    <x:t>MUHSİN</x:t>
  </x:si>
  <x:si>
    <x:t>TR390020500009169649500001</x:t>
  </x:si>
  <x:si>
    <x:t>19852021132</x:t>
  </x:si>
  <x:si>
    <x:t>MURAT CAN</x:t>
  </x:si>
  <x:si>
    <x:t>DEĞRİ</x:t>
  </x:si>
  <x:si>
    <x:t>TR090001009010152275805001</x:t>
  </x:si>
  <x:si>
    <x:t>10498595988</x:t>
  </x:si>
  <x:si>
    <x:t>MUSA</x:t>
  </x:si>
  <x:si>
    <x:t>ÇEÇEN</x:t>
  </x:si>
  <x:si>
    <x:t>TR950004600498888000207494</x:t>
  </x:si>
  <x:si>
    <x:t>11015801254</x:t>
  </x:si>
  <x:si>
    <x:t>SÜRME</x:t>
  </x:si>
  <x:si>
    <x:t>TR210006400000182300591065</x:t>
  </x:si>
  <x:si>
    <x:t>20317547234</x:t>
  </x:si>
  <x:si>
    <x:t>MÜSLÜM</x:t>
  </x:si>
  <x:si>
    <x:t>GÖNDER</x:t>
  </x:si>
  <x:si>
    <x:t>TR230006701000000012870808</x:t>
  </x:si>
  <x:si>
    <x:t>10451501322</x:t>
  </x:si>
  <x:si>
    <x:t>MUSTAFA</x:t>
  </x:si>
  <x:si>
    <x:t>GÖKTAŞ</x:t>
  </x:si>
  <x:si>
    <x:t>TR430003200000000146674690</x:t>
  </x:si>
  <x:si>
    <x:t>12511913564</x:t>
  </x:si>
  <x:si>
    <x:t>ORHAN</x:t>
  </x:si>
  <x:si>
    <x:t>TR900001000633779025355001</x:t>
  </x:si>
  <x:si>
    <x:t>46306663532</x:t>
  </x:si>
  <x:si>
    <x:t>SAYGILI</x:t>
  </x:si>
  <x:si>
    <x:t>TR190001000125833796085001</x:t>
  </x:si>
  <x:si>
    <x:t>43654206572</x:t>
  </x:si>
  <x:si>
    <x:t>MUSTAFA ALİ</x:t>
  </x:si>
  <x:si>
    <x:t>TR090001004030807029785009</x:t>
  </x:si>
  <x:si>
    <x:t>14613052462</x:t>
  </x:si>
  <x:si>
    <x:t>MUSTAFA YUSUF</x:t>
  </x:si>
  <x:si>
    <x:t>HASIRCI</x:t>
  </x:si>
  <x:si>
    <x:t>TR910001009011002452005001</x:t>
  </x:si>
  <x:si>
    <x:t>10256534488</x:t>
  </x:si>
  <x:si>
    <x:t>NATİA SELVİ</x:t>
  </x:si>
  <x:si>
    <x:t>GÖG</x:t>
  </x:si>
  <x:si>
    <x:t>TR810001200132900001130388</x:t>
  </x:si>
  <x:si>
    <x:t>10135362348</x:t>
  </x:si>
  <x:si>
    <x:t>NAZIM</x:t>
  </x:si>
  <x:si>
    <x:t>SEYDEL</x:t>
  </x:si>
  <x:si>
    <x:t>TR540006400000114201689158</x:t>
  </x:si>
  <x:si>
    <x:t>10039820036</x:t>
  </x:si>
  <x:si>
    <x:t>NERGİS</x:t>
  </x:si>
  <x:si>
    <x:t>TR430001500158007303954347</x:t>
  </x:si>
  <x:si>
    <x:t>43234882790</x:t>
  </x:si>
  <x:si>
    <x:t>NESİBE</x:t>
  </x:si>
  <x:si>
    <x:t>KARAGÖZ</x:t>
  </x:si>
  <x:si>
    <x:t>TR830001009010554091005001</x:t>
  </x:si>
  <x:si>
    <x:t>25301005400</x:t>
  </x:si>
  <x:si>
    <x:t>SUNA</x:t>
  </x:si>
  <x:si>
    <x:t>TR360001001799900530355002</x:t>
  </x:si>
  <x:si>
    <x:t>10334932038</x:t>
  </x:si>
  <x:si>
    <x:t>NİSA</x:t>
  </x:si>
  <x:si>
    <x:t>TR570001200132900001130820</x:t>
  </x:si>
  <x:si>
    <x:t>18557277776</x:t>
  </x:si>
  <x:si>
    <x:t>NİSANUR</x:t>
  </x:si>
  <x:si>
    <x:t>BİLGİN</x:t>
  </x:si>
  <x:si>
    <x:t>TR180006200122400006627913</x:t>
  </x:si>
  <x:si>
    <x:t>10756439870</x:t>
  </x:si>
  <x:si>
    <x:t>PAYAS</x:t>
  </x:si>
  <x:si>
    <x:t>TR420006701000000040095553</x:t>
  </x:si>
  <x:si>
    <x:t>24173691452</x:t>
  </x:si>
  <x:si>
    <x:t>NİZAMETTİN GÖKTUG</x:t>
  </x:si>
  <x:si>
    <x:t>DURU</x:t>
  </x:si>
  <x:si>
    <x:t>TR470001009010439732605001</x:t>
  </x:si>
  <x:si>
    <x:t>10043115746</x:t>
  </x:si>
  <x:si>
    <x:t>NUMAN</x:t>
  </x:si>
  <x:si>
    <x:t>EBCİ</x:t>
  </x:si>
  <x:si>
    <x:t>TR170004600562888000127419</x:t>
  </x:si>
  <x:si>
    <x:t>15499100896</x:t>
  </x:si>
  <x:si>
    <x:t>NURAY</x:t>
  </x:si>
  <x:si>
    <x:t>TR300001500158007314780169</x:t>
  </x:si>
  <x:si>
    <x:t>42403579936</x:t>
  </x:si>
  <x:si>
    <x:t>NURCAN</x:t>
  </x:si>
  <x:si>
    <x:t>TR130001200158900001113143</x:t>
  </x:si>
  <x:si>
    <x:t>12899996340</x:t>
  </x:si>
  <x:si>
    <x:t>NURSEL</x:t>
  </x:si>
  <x:si>
    <x:t>TR870001002329917285095001</x:t>
  </x:si>
  <x:si>
    <x:t>62986356106</x:t>
  </x:si>
  <x:si>
    <x:t>OĞUZHAN</x:t>
  </x:si>
  <x:si>
    <x:t>GÖNÜLAL</x:t>
  </x:si>
  <x:si>
    <x:t>TR470001001799836907185005</x:t>
  </x:si>
  <x:si>
    <x:t>35677395432</x:t>
  </x:si>
  <x:si>
    <x:t>ÖMER FARUK</x:t>
  </x:si>
  <x:si>
    <x:t>TR050006400000122190381314</x:t>
  </x:si>
  <x:si>
    <x:t>12340900278</x:t>
  </x:si>
  <x:si>
    <x:t>ÖYKÜ</x:t>
  </x:si>
  <x:si>
    <x:t>AKINGÜÇ</x:t>
  </x:si>
  <x:si>
    <x:t>TR440004600431888000217388</x:t>
  </x:si>
  <x:si>
    <x:t>10618964960</x:t>
  </x:si>
  <x:si>
    <x:t>ÖZLEM HİRA</x:t>
  </x:si>
  <x:si>
    <x:t>KUŞELİ</x:t>
  </x:si>
  <x:si>
    <x:t>TR140001009010379575805001</x:t>
  </x:si>
  <x:si>
    <x:t>38317050524</x:t>
  </x:si>
  <x:si>
    <x:t>ÖZNUR</x:t>
  </x:si>
  <x:si>
    <x:t>TOĞRUL</x:t>
  </x:si>
  <x:si>
    <x:t>31480811602</x:t>
  </x:si>
  <x:si>
    <x:t>PELİNSU</x:t>
  </x:si>
  <x:si>
    <x:t>ASLANTAŞ</x:t>
  </x:si>
  <x:si>
    <x:t>TR150006400000124030829840</x:t>
  </x:si>
  <x:si>
    <x:t>10484695074</x:t>
  </x:si>
  <x:si>
    <x:t>RABİA ŞEVVAL</x:t>
  </x:si>
  <x:si>
    <x:t>KONYALI</x:t>
  </x:si>
  <x:si>
    <x:t>TR660006200068700006888433</x:t>
  </x:si>
  <x:si>
    <x:t>40969927062</x:t>
  </x:si>
  <x:si>
    <x:t>RAHİME DİLARA</x:t>
  </x:si>
  <x:si>
    <x:t>BAŞ</x:t>
  </x:si>
  <x:si>
    <x:t>TR760001000002949148035001</x:t>
  </x:si>
  <x:si>
    <x:t>10649230522</x:t>
  </x:si>
  <x:si>
    <x:t>RESUL</x:t>
  </x:si>
  <x:si>
    <x:t>ARASLI</x:t>
  </x:si>
  <x:si>
    <x:t>TR030001009010039148705001</x:t>
  </x:si>
  <x:si>
    <x:t>20078478310</x:t>
  </x:si>
  <x:si>
    <x:t>RUKİYE</x:t>
  </x:si>
  <x:si>
    <x:t>TERUT</x:t>
  </x:si>
  <x:si>
    <x:t>TR480006200068700006612889</x:t>
  </x:si>
  <x:si>
    <x:t>10111237400</x:t>
  </x:si>
  <x:si>
    <x:t>RÜMEYSA NUR</x:t>
  </x:si>
  <x:si>
    <x:t>DÜZYURT</x:t>
  </x:si>
  <x:si>
    <x:t>TR340001009010259023805001</x:t>
  </x:si>
  <x:si>
    <x:t>15844611640</x:t>
  </x:si>
  <x:si>
    <x:t>RÜYA</x:t>
  </x:si>
  <x:si>
    <x:t>KARATAŞ</x:t>
  </x:si>
  <x:si>
    <x:t>TR790001009010728935409002</x:t>
  </x:si>
  <x:si>
    <x:t>10231640142</x:t>
  </x:si>
  <x:si>
    <x:t>SAMED</x:t>
  </x:si>
  <x:si>
    <x:t>ÇİNAZ</x:t>
  </x:si>
  <x:si>
    <x:t>TR290001200132900001131421</x:t>
  </x:si>
  <x:si>
    <x:t>59284104980</x:t>
  </x:si>
  <x:si>
    <x:t>SEBAHAT</x:t>
  </x:si>
  <x:si>
    <x:t>KALKAN</x:t>
  </x:si>
  <x:si>
    <x:t>TR470001200122800001111135</x:t>
  </x:si>
  <x:si>
    <x:t>11446687748</x:t>
  </x:si>
  <x:si>
    <x:t>SELİM</x:t>
  </x:si>
  <x:si>
    <x:t>MEYDAN</x:t>
  </x:si>
  <x:si>
    <x:t>TR810001001914710654405001</x:t>
  </x:si>
  <x:si>
    <x:t>11872933396</x:t>
  </x:si>
  <x:si>
    <x:t>SELVİ</x:t>
  </x:si>
  <x:si>
    <x:t>TR090001009010994867705002</x:t>
  </x:si>
  <x:si>
    <x:t>11587944526</x:t>
  </x:si>
  <x:si>
    <x:t>SEMİH</x:t>
  </x:si>
  <x:si>
    <x:t>OSMANLAR</x:t>
  </x:si>
  <x:si>
    <x:t>TR250006200068700006892081</x:t>
  </x:si>
  <x:si>
    <x:t>46162706664</x:t>
  </x:si>
  <x:si>
    <x:t>TR480006701000000038357108</x:t>
  </x:si>
  <x:si>
    <x:t>37468064794</x:t>
  </x:si>
  <x:si>
    <x:t>SENA</x:t>
  </x:si>
  <x:si>
    <x:t>KURTULUŞ</x:t>
  </x:si>
  <x:si>
    <x:t>TR070001009010758562705001</x:t>
  </x:si>
  <x:si>
    <x:t>10139214124</x:t>
  </x:si>
  <x:si>
    <x:t>SENA NAREN</x:t>
  </x:si>
  <x:si>
    <x:t>BİNGÖL</x:t>
  </x:si>
  <x:si>
    <x:t>TR500001500158007326228428</x:t>
  </x:si>
  <x:si>
    <x:t>28069506882</x:t>
  </x:si>
  <x:si>
    <x:t>SENEM NUR</x:t>
  </x:si>
  <x:si>
    <x:t>TR080001000054867052065001</x:t>
  </x:si>
  <x:si>
    <x:t>56965637782</x:t>
  </x:si>
  <x:si>
    <x:t>SEVDANUR</x:t>
  </x:si>
  <x:si>
    <x:t>NİŞ</x:t>
  </x:si>
  <x:si>
    <x:t>TR630001009010379269705002</x:t>
  </x:si>
  <x:si>
    <x:t>59413337814</x:t>
  </x:si>
  <x:si>
    <x:t>ŞEVVAL</x:t>
  </x:si>
  <x:si>
    <x:t>TR050001009010282804905001</x:t>
  </x:si>
  <x:si>
    <x:t>71035053262</x:t>
  </x:si>
  <x:si>
    <x:t>ŞEVVAL BÜŞRA</x:t>
  </x:si>
  <x:si>
    <x:t>ALTUNDAĞ</x:t>
  </x:si>
  <x:si>
    <x:t>TR320001009010279401605001</x:t>
  </x:si>
  <x:si>
    <x:t>10044124310</x:t>
  </x:si>
  <x:si>
    <x:t>SILA</x:t>
  </x:si>
  <x:si>
    <x:t>TR860001000472882357485002</x:t>
  </x:si>
  <x:si>
    <x:t>10099823732</x:t>
  </x:si>
  <x:si>
    <x:t>SUDE</x:t>
  </x:si>
  <x:si>
    <x:t>AK</x:t>
  </x:si>
  <x:si>
    <x:t>TR460001200132900001125295</x:t>
  </x:si>
  <x:si>
    <x:t>15296140996</x:t>
  </x:si>
  <x:si>
    <x:t>ŞUHEDA</x:t>
  </x:si>
  <x:si>
    <x:t>TEMUR</x:t>
  </x:si>
  <x:si>
    <x:t>TR260006200121500006880790</x:t>
  </x:si>
  <x:si>
    <x:t>12507116610</x:t>
  </x:si>
  <x:si>
    <x:t>ŞÜKRAN</x:t>
  </x:si>
  <x:si>
    <x:t>YANIK</x:t>
  </x:si>
  <x:si>
    <x:t>TR260004601179888000096019</x:t>
  </x:si>
  <x:si>
    <x:t>16252658296</x:t>
  </x:si>
  <x:si>
    <x:t>TAN KUTAY</x:t>
  </x:si>
  <x:si>
    <x:t>DEMİRCİ</x:t>
  </x:si>
  <x:si>
    <x:t>TR250011100000000155535775</x:t>
  </x:si>
  <x:si>
    <x:t>22685042762</x:t>
  </x:si>
  <x:si>
    <x:t>TARIK</x:t>
  </x:si>
  <x:si>
    <x:t>KAYA</x:t>
  </x:si>
  <x:si>
    <x:t>TR900004600461888000136102</x:t>
  </x:si>
  <x:si>
    <x:t>33574013466</x:t>
  </x:si>
  <x:si>
    <x:t>TUANA</x:t>
  </x:si>
  <x:si>
    <x:t>TR590001009010383813805001</x:t>
  </x:si>
  <x:si>
    <x:t>17923740340</x:t>
  </x:si>
  <x:si>
    <x:t>TUBANUR</x:t>
  </x:si>
  <x:si>
    <x:t>GÖLCÜ</x:t>
  </x:si>
  <x:si>
    <x:t>TR110006200033600006886231</x:t>
  </x:si>
  <x:si>
    <x:t>38440624326</x:t>
  </x:si>
  <x:si>
    <x:t>UĞUR KEMAL</x:t>
  </x:si>
  <x:si>
    <x:t>DURNA</x:t>
  </x:si>
  <x:si>
    <x:t>TR110001009010640954005001</x:t>
  </x:si>
  <x:si>
    <x:t>12517226354</x:t>
  </x:si>
  <x:si>
    <x:t>YAĞMUR</x:t>
  </x:si>
  <x:si>
    <x:t>GEÇİCİ</x:t>
  </x:si>
  <x:si>
    <x:t>TR660006400000122031272959</x:t>
  </x:si>
  <x:si>
    <x:t>26182732720</x:t>
  </x:si>
  <x:si>
    <x:t>ILGIN</x:t>
  </x:si>
  <x:si>
    <x:t>TR280001009010376999205001</x:t>
  </x:si>
  <x:si>
    <x:t>12855005062</x:t>
  </x:si>
  <x:si>
    <x:t>BAŞER</x:t>
  </x:si>
  <x:si>
    <x:t>TR220001001799835814175002</x:t>
  </x:si>
  <x:si>
    <x:t>17620702016</x:t>
  </x:si>
  <x:si>
    <x:t>YAREN</x:t>
  </x:si>
  <x:si>
    <x:t>BAL</x:t>
  </x:si>
  <x:si>
    <x:t>TR710001500158007318444867</x:t>
  </x:si>
  <x:si>
    <x:t>10196736362</x:t>
  </x:si>
  <x:si>
    <x:t>YASİN</x:t>
  </x:si>
  <x:si>
    <x:t>KURTTEKİN</x:t>
  </x:si>
  <x:si>
    <x:t>TR760001200132900001131448</x:t>
  </x:si>
  <x:si>
    <x:t>11168576870</x:t>
  </x:si>
  <x:si>
    <x:t>YİĞİT ALP</x:t>
  </x:si>
  <x:si>
    <x:t>ÖZMEN</x:t>
  </x:si>
  <x:si>
    <x:t>TR950001000112972964205001</x:t>
  </x:si>
  <x:si>
    <x:t>14771083360</x:t>
  </x:si>
  <x:si>
    <x:t>YUNUS EFDAL</x:t>
  </x:si>
  <x:si>
    <x:t>TR030001000932919356335001</x:t>
  </x:si>
  <x:si>
    <x:t>29677892268</x:t>
  </x:si>
  <x:si>
    <x:t>YUNUS EMRE</x:t>
  </x:si>
  <x:si>
    <x:t>TOGAÇ</x:t>
  </x:si>
  <x:si>
    <x:t>TR770015700000000096040566</x:t>
  </x:si>
  <x:si>
    <x:t>19117690486</x:t>
  </x:si>
  <x:si>
    <x:t>YUSUF</x:t>
  </x:si>
  <x:si>
    <x:t>KESKİN</x:t>
  </x:si>
  <x:si>
    <x:t>TR200001009010435783305001</x:t>
  </x:si>
  <x:si>
    <x:t>10486978632</x:t>
  </x:si>
  <x:si>
    <x:t>YİĞİT</x:t>
  </x:si>
  <x:si>
    <x:t>TR570006701000000033750610</x:t>
  </x:si>
  <x:si>
    <x:t>10412895460</x:t>
  </x:si>
  <x:si>
    <x:t>ZELİHA</x:t>
  </x:si>
  <x:si>
    <x:t>TR240001009010957551505002</x:t>
  </x:si>
  <x:si>
    <x:t>10276740210</x:t>
  </x:si>
  <x:si>
    <x:t>ZEYNEP</x:t>
  </x:si>
  <x:si>
    <x:t>DEMİRAYAK</x:t>
  </x:si>
  <x:si>
    <x:t>TR100006200145400006647374</x:t>
  </x:si>
  <x:si>
    <x:t>10339935744</x:t>
  </x:si>
  <x:si>
    <x:t>AKÇAM</x:t>
  </x:si>
  <x:si>
    <x:t>TR090001009010803873305001</x:t>
  </x:si>
  <x:si>
    <x:t>13101114484</x:t>
  </x:si>
  <x:si>
    <x:t>ABDULKADİR</x:t>
  </x:si>
  <x:si>
    <x:t>ERDEM</x:t>
  </x:si>
  <x:si>
    <x:t>TR610004600043888000436593</x:t>
  </x:si>
  <x:si>
    <x:t>42688289322</x:t>
  </x:si>
  <x:si>
    <x:t>ABDULLATİF OĞUZHAN</x:t>
  </x:si>
  <x:si>
    <x:t>TR620015700000000115993445</x:t>
  </x:si>
  <x:si>
    <x:t>28204137186</x:t>
  </x:si>
  <x:si>
    <x:t>ABDULSAMET</x:t>
  </x:si>
  <x:si>
    <x:t>AVAR</x:t>
  </x:si>
  <x:si>
    <x:t>TR810001009010094852305001</x:t>
  </x:si>
  <x:si>
    <x:t>11141874412</x:t>
  </x:si>
  <x:si>
    <x:t>TR500001009010711311205001</x:t>
  </x:si>
  <x:si>
    <x:t>10253110104</x:t>
  </x:si>
  <x:si>
    <x:t>ŞÜKÜN</x:t>
  </x:si>
  <x:si>
    <x:t>TR730001009010960503205002</x:t>
  </x:si>
  <x:si>
    <x:t>10265342722</x:t>
  </x:si>
  <x:si>
    <x:t>AHMET BAKİ</x:t>
  </x:si>
  <x:si>
    <x:t>TR160001009010064434405001</x:t>
  </x:si>
  <x:si>
    <x:t>29335435790</x:t>
  </x:si>
  <x:si>
    <x:t>AHMET EMİN</x:t>
  </x:si>
  <x:si>
    <x:t>YOLAŞAN</x:t>
  </x:si>
  <x:si>
    <x:t>TR770001009010554018805002</x:t>
  </x:si>
  <x:si>
    <x:t>24208798538</x:t>
  </x:si>
  <x:si>
    <x:t>ALİ</x:t>
  </x:si>
  <x:si>
    <x:t>TR650006701000000045370585</x:t>
  </x:si>
  <x:si>
    <x:t>28459377702</x:t>
  </x:si>
  <x:si>
    <x:t>KARACAKAYALILAR</x:t>
  </x:si>
  <x:si>
    <x:t>TR270001200967900001054981</x:t>
  </x:si>
  <x:si>
    <x:t>10146177108</x:t>
  </x:si>
  <x:si>
    <x:t>ALİ KAĞAN</x:t>
  </x:si>
  <x:si>
    <x:t>ŞEREN</x:t>
  </x:si>
  <x:si>
    <x:t>TR680001009010558945505004</x:t>
  </x:si>
  <x:si>
    <x:t>10175472748</x:t>
  </x:si>
  <x:si>
    <x:t>ALİ TAHA</x:t>
  </x:si>
  <x:si>
    <x:t>DIRAK</x:t>
  </x:si>
  <x:si>
    <x:t>TR450006400000171221035002</x:t>
  </x:si>
  <x:si>
    <x:t>10157933830</x:t>
  </x:si>
  <x:si>
    <x:t>ALPARSLAN</x:t>
  </x:si>
  <x:si>
    <x:t>TEMİZKANOĞLU</x:t>
  </x:si>
  <x:si>
    <x:t>TR660006400000119003715264</x:t>
  </x:si>
  <x:si>
    <x:t>11339820030</x:t>
  </x:si>
  <x:si>
    <x:t>ALPER</x:t>
  </x:si>
  <x:si>
    <x:t>CENGİZ</x:t>
  </x:si>
  <x:si>
    <x:t>TR780001001734736926245001</x:t>
  </x:si>
  <x:si>
    <x:t>53491749620</x:t>
  </x:si>
  <x:si>
    <x:t>ALTAY BURAK</x:t>
  </x:si>
  <x:si>
    <x:t>ÖZYAPICI</x:t>
  </x:si>
  <x:si>
    <x:t>TR120001009010083403805001</x:t>
  </x:si>
  <x:si>
    <x:t>28595059418</x:t>
  </x:si>
  <x:si>
    <x:t>AMİNE ZELİHA</x:t>
  </x:si>
  <x:si>
    <x:t>UĞURLU</x:t>
  </x:si>
  <x:si>
    <x:t>TR420001009010553505405002</x:t>
  </x:si>
  <x:si>
    <x:t>38065633116</x:t>
  </x:si>
  <x:si>
    <x:t>ARDA YUSUF</x:t>
  </x:si>
  <x:si>
    <x:t>ŞAYİR</x:t>
  </x:si>
  <x:si>
    <x:t>TR660020500009711463800001</x:t>
  </x:si>
  <x:si>
    <x:t>56902019350</x:t>
  </x:si>
  <x:si>
    <x:t>ASİYE AYŞE</x:t>
  </x:si>
  <x:si>
    <x:t>DELİCE</x:t>
  </x:si>
  <x:si>
    <x:t>TR600006200102000006647577</x:t>
  </x:si>
  <x:si>
    <x:t>37045875492</x:t>
  </x:si>
  <x:si>
    <x:t>ORDU</x:t>
  </x:si>
  <x:si>
    <x:t>TR350006701000000022000911</x:t>
  </x:si>
  <x:si>
    <x:t>10427699176</x:t>
  </x:si>
  <x:si>
    <x:t>ASYA</x:t>
  </x:si>
  <x:si>
    <x:t>TAŞTAN</x:t>
  </x:si>
  <x:si>
    <x:t>TR040006400000162310130643</x:t>
  </x:si>
  <x:si>
    <x:t>20750792338</x:t>
  </x:si>
  <x:si>
    <x:t>AYBARS</x:t>
  </x:si>
  <x:si>
    <x:t>TÜRK</x:t>
  </x:si>
  <x:si>
    <x:t>TR050001009010291777405001</x:t>
  </x:si>
  <x:si>
    <x:t>10136353260</x:t>
  </x:si>
  <x:si>
    <x:t>AYFER</x:t>
  </x:si>
  <x:si>
    <x:t>TR700006200068700006609292</x:t>
  </x:si>
  <x:si>
    <x:t>10373261014</x:t>
  </x:si>
  <x:si>
    <x:t>EĞE</x:t>
  </x:si>
  <x:si>
    <x:t>TR140001009010284544905001</x:t>
  </x:si>
  <x:si>
    <x:t>56230375494</x:t>
  </x:si>
  <x:si>
    <x:t>TR320001009010303806805001</x:t>
  </x:si>
  <x:si>
    <x:t>10030902960</x:t>
  </x:si>
  <x:si>
    <x:t>AYŞE ELİF</x:t>
  </x:si>
  <x:si>
    <x:t>SOLMAZ</x:t>
  </x:si>
  <x:si>
    <x:t>TR570001009010065653305002</x:t>
  </x:si>
  <x:si>
    <x:t>35666064028</x:t>
  </x:si>
  <x:si>
    <x:t>AYŞE İLAYDA</x:t>
  </x:si>
  <x:si>
    <x:t>TR800001009010512383005001</x:t>
  </x:si>
  <x:si>
    <x:t>10352802696</x:t>
  </x:si>
  <x:si>
    <x:t>TR630004600528888000095699</x:t>
  </x:si>
  <x:si>
    <x:t>17086492636</x:t>
  </x:si>
  <x:si>
    <x:t>BARAN MERT</x:t>
  </x:si>
  <x:si>
    <x:t>TR820001000478800190365001</x:t>
  </x:si>
  <x:si>
    <x:t>13601108730</x:t>
  </x:si>
  <x:si>
    <x:t>BARIŞ</x:t>
  </x:si>
  <x:si>
    <x:t>TR090006701000000079089468</x:t>
  </x:si>
  <x:si>
    <x:t>38614758260</x:t>
  </x:si>
  <x:si>
    <x:t>TR460001009010757794005004</x:t>
  </x:si>
  <x:si>
    <x:t>10366336750</x:t>
  </x:si>
  <x:si>
    <x:t>SOLAK</x:t>
  </x:si>
  <x:si>
    <x:t>TR550004600195888000129565</x:t>
  </x:si>
  <x:si>
    <x:t>18476297374</x:t>
  </x:si>
  <x:si>
    <x:t>BATUHAN</x:t>
  </x:si>
  <x:si>
    <x:t>KOÇAK</x:t>
  </x:si>
  <x:si>
    <x:t>TR880001000125867266495001</x:t>
  </x:si>
  <x:si>
    <x:t>43795201832</x:t>
  </x:si>
  <x:si>
    <x:t>BATURHAN</x:t>
  </x:si>
  <x:si>
    <x:t>KANBUR</x:t>
  </x:si>
  <x:si>
    <x:t>TR400001002199871886155002</x:t>
  </x:si>
  <x:si>
    <x:t>10909066236</x:t>
  </x:si>
  <x:si>
    <x:t>BEDİRHAN</x:t>
  </x:si>
  <x:si>
    <x:t>ALTUNKAYA</x:t>
  </x:si>
  <x:si>
    <x:t>TR580001000106963986095002</x:t>
  </x:si>
  <x:si>
    <x:t>29551825276</x:t>
  </x:si>
  <x:si>
    <x:t>BEHİYE</x:t>
  </x:si>
  <x:si>
    <x:t>BERBEROĞLU</x:t>
  </x:si>
  <x:si>
    <x:t>TR420001001922781857375001</x:t>
  </x:si>
  <x:si>
    <x:t>10129439414</x:t>
  </x:si>
  <x:si>
    <x:t>BENGÜSU</x:t>
  </x:si>
  <x:si>
    <x:t>KANAT</x:t>
  </x:si>
  <x:si>
    <x:t>TR540001009010540015805003</x:t>
  </x:si>
  <x:si>
    <x:t>10213779280</x:t>
  </x:si>
  <x:si>
    <x:t>BERİVAN</x:t>
  </x:si>
  <x:si>
    <x:t>SALMAN</x:t>
  </x:si>
  <x:si>
    <x:t>TR750006200126600006629393</x:t>
  </x:si>
  <x:si>
    <x:t>23443520058</x:t>
  </x:si>
  <x:si>
    <x:t>BERK</x:t>
  </x:si>
  <x:si>
    <x:t>ÖMEROĞLU</x:t>
  </x:si>
  <x:si>
    <x:t>TR550001200936200001061785</x:t>
  </x:si>
  <x:si>
    <x:t>43490017424</x:t>
  </x:si>
  <x:si>
    <x:t>BERKE</x:t>
  </x:si>
  <x:si>
    <x:t>ÇİFTCİ</x:t>
  </x:si>
  <x:si>
    <x:t>TR230001009010277671305001</x:t>
  </x:si>
  <x:si>
    <x:t>53530734280</x:t>
  </x:si>
  <x:si>
    <x:t>KARAKATIRLI</x:t>
  </x:si>
  <x:si>
    <x:t>TR450001009010605212705001</x:t>
  </x:si>
  <x:si>
    <x:t>11215939696</x:t>
  </x:si>
  <x:si>
    <x:t>BERNA</x:t>
  </x:si>
  <x:si>
    <x:t>AKGÜN</x:t>
  </x:si>
  <x:si>
    <x:t>TR510001009010267503205001</x:t>
  </x:si>
  <x:si>
    <x:t>12944130644</x:t>
  </x:si>
  <x:si>
    <x:t>KARASU</x:t>
  </x:si>
  <x:si>
    <x:t>TR770001009010719518805001</x:t>
  </x:si>
  <x:si>
    <x:t>10055008784</x:t>
  </x:si>
  <x:si>
    <x:t>BUKET NEJLA</x:t>
  </x:si>
  <x:si>
    <x:t>SEYHAN</x:t>
  </x:si>
  <x:si>
    <x:t>TR610001500158007333924986</x:t>
  </x:si>
  <x:si>
    <x:t>13946020476</x:t>
  </x:si>
  <x:si>
    <x:t>BURAK</x:t>
  </x:si>
  <x:si>
    <x:t>ŞENOL</x:t>
  </x:si>
  <x:si>
    <x:t>TR370001009010293418005001</x:t>
  </x:si>
  <x:si>
    <x:t>10127862658</x:t>
  </x:si>
  <x:si>
    <x:t>BURHAN</x:t>
  </x:si>
  <x:si>
    <x:t>NURDOĞAN</x:t>
  </x:si>
  <x:si>
    <x:t>TR410001009010300124505001</x:t>
  </x:si>
  <x:si>
    <x:t>13543216678</x:t>
  </x:si>
  <x:si>
    <x:t>SİVRİ</x:t>
  </x:si>
  <x:si>
    <x:t>TR330001009010282395005001</x:t>
  </x:si>
  <x:si>
    <x:t>10184702744</x:t>
  </x:si>
  <x:si>
    <x:t>BUSE BAŞAK</x:t>
  </x:si>
  <x:si>
    <x:t>ÇERKO</x:t>
  </x:si>
  <x:si>
    <x:t>TR970001009010798835305001</x:t>
  </x:si>
  <x:si>
    <x:t>24215097112</x:t>
  </x:si>
  <x:si>
    <x:t>BÜŞRA</x:t>
  </x:si>
  <x:si>
    <x:t>ECE</x:t>
  </x:si>
  <x:si>
    <x:t>TR270001000523915881835001</x:t>
  </x:si>
  <x:si>
    <x:t>10312617988</x:t>
  </x:si>
  <x:si>
    <x:t>TR060006400000134980521063</x:t>
  </x:si>
  <x:si>
    <x:t>32443167156</x:t>
  </x:si>
  <x:si>
    <x:t>ÇAĞKAN</x:t>
  </x:si>
  <x:si>
    <x:t>TOKLU</x:t>
  </x:si>
  <x:si>
    <x:t>TR760001001799969712435001</x:t>
  </x:si>
  <x:si>
    <x:t>24901272748</x:t>
  </x:si>
  <x:si>
    <x:t>ÇAĞLA</x:t>
  </x:si>
  <x:si>
    <x:t>TR880020500009652453300003</x:t>
  </x:si>
  <x:si>
    <x:t>18502916002</x:t>
  </x:si>
  <x:si>
    <x:t>CEM</x:t>
  </x:si>
  <x:si>
    <x:t>ULUDAĞ</x:t>
  </x:si>
  <x:si>
    <x:t>TR860001009010753259105001</x:t>
  </x:si>
  <x:si>
    <x:t>10674100470</x:t>
  </x:si>
  <x:si>
    <x:t>CEMAL</x:t>
  </x:si>
  <x:si>
    <x:t>TATAROĞLU</x:t>
  </x:si>
  <x:si>
    <x:t>TR590006200045800006608016</x:t>
  </x:si>
  <x:si>
    <x:t>40703106944</x:t>
  </x:si>
  <x:si>
    <x:t>ÖZER</x:t>
  </x:si>
  <x:si>
    <x:t>TR060001000359905939165002</x:t>
  </x:si>
  <x:si>
    <x:t>44164348004</x:t>
  </x:si>
  <x:si>
    <x:t>SAKALLI</x:t>
  </x:si>
  <x:si>
    <x:t>TR760001004012742760375005</x:t>
  </x:si>
  <x:si>
    <x:t>10163759912</x:t>
  </x:si>
  <x:si>
    <x:t>DERYA</x:t>
  </x:si>
  <x:si>
    <x:t>TR940006701000000035527857</x:t>
  </x:si>
  <x:si>
    <x:t>52336125940</x:t>
  </x:si>
  <x:si>
    <x:t>DİLA</x:t>
  </x:si>
  <x:si>
    <x:t>ÇAĞLAR</x:t>
  </x:si>
  <x:si>
    <x:t>TR870001000904761578705001</x:t>
  </x:si>
  <x:si>
    <x:t>23312153134</x:t>
  </x:si>
  <x:si>
    <x:t>DİLARA</x:t>
  </x:si>
  <x:si>
    <x:t>TR740001009010605148105001</x:t>
  </x:si>
  <x:si>
    <x:t>10274452184</x:t>
  </x:si>
  <x:si>
    <x:t>DİYAR</x:t>
  </x:si>
  <x:si>
    <x:t>IŞIK</x:t>
  </x:si>
  <x:si>
    <x:t>TR070006200068700006888428</x:t>
  </x:si>
  <x:si>
    <x:t>18821274586</x:t>
  </x:si>
  <x:si>
    <x:t>DUYGU</x:t>
  </x:si>
  <x:si>
    <x:t>ORAL</x:t>
  </x:si>
  <x:si>
    <x:t>TR600020500009949525200001</x:t>
  </x:si>
  <x:si>
    <x:t>14390942024</x:t>
  </x:si>
  <x:si>
    <x:t>EBRAR</x:t>
  </x:si>
  <x:si>
    <x:t>BAĞIŞ</x:t>
  </x:si>
  <x:si>
    <x:t>TR160001009010071243805001</x:t>
  </x:si>
  <x:si>
    <x:t>56740396088</x:t>
  </x:si>
  <x:si>
    <x:t>EBRU</x:t>
  </x:si>
  <x:si>
    <x:t>HAYKIR</x:t>
  </x:si>
  <x:si>
    <x:t>TR390001001799700799965003</x:t>
  </x:si>
  <x:si>
    <x:t>24083113204</x:t>
  </x:si>
  <x:si>
    <x:t>ECE ESİN</x:t>
  </x:si>
  <x:si>
    <x:t>RUŞAN</x:t>
  </x:si>
  <x:si>
    <x:t>TR480006200052200006843798</x:t>
  </x:si>
  <x:si>
    <x:t>10253385816</x:t>
  </x:si>
  <x:si>
    <x:t>TR630006200078000006544836</x:t>
  </x:si>
  <x:si>
    <x:t>32149834048</x:t>
  </x:si>
  <x:si>
    <x:t>TİRYAKİ</x:t>
  </x:si>
  <x:si>
    <x:t>TR640001200132900001130694</x:t>
  </x:si>
  <x:si>
    <x:t>10094077086</x:t>
  </x:si>
  <x:si>
    <x:t>EKİN</x:t>
  </x:si>
  <x:si>
    <x:t>KANDEMİR</x:t>
  </x:si>
  <x:si>
    <x:t>TR280001009010559449305003</x:t>
  </x:si>
  <x:si>
    <x:t>10054830720</x:t>
  </x:si>
  <x:si>
    <x:t>ELİFSU</x:t>
  </x:si>
  <x:si>
    <x:t>AYDEMİR</x:t>
  </x:si>
  <x:si>
    <x:t>TR550006400000152210410961</x:t>
  </x:si>
  <x:si>
    <x:t>10265654504</x:t>
  </x:si>
  <x:si>
    <x:t>EMİN</x:t>
  </x:si>
  <x:si>
    <x:t>DENİZ</x:t>
  </x:si>
  <x:si>
    <x:t>TR260001000123788360285002</x:t>
  </x:si>
  <x:si>
    <x:t>52237005600</x:t>
  </x:si>
  <x:si>
    <x:t>KİRİŞCİ</x:t>
  </x:si>
  <x:si>
    <x:t>TR690001200132900001129149</x:t>
  </x:si>
  <x:si>
    <x:t>58579468394</x:t>
  </x:si>
  <x:si>
    <x:t>KARAKEÇİ</x:t>
  </x:si>
  <x:si>
    <x:t>TR180006200068700006607900</x:t>
  </x:si>
  <x:si>
    <x:t>10417973316</x:t>
  </x:si>
  <x:si>
    <x:t>EMİR KAYRA</x:t>
  </x:si>
  <x:si>
    <x:t>TR810006200102200006620029</x:t>
  </x:si>
  <x:si>
    <x:t>23666124460</x:t>
  </x:si>
  <x:si>
    <x:t>EMİR YUSUF</x:t>
  </x:si>
  <x:si>
    <x:t>BAYRAM</x:t>
  </x:si>
  <x:si>
    <x:t>TR680006200030200006862483</x:t>
  </x:si>
  <x:si>
    <x:t>10906066390</x:t>
  </x:si>
  <x:si>
    <x:t>TR930001001239964540665001</x:t>
  </x:si>
  <x:si>
    <x:t>26566671638</x:t>
  </x:si>
  <x:si>
    <x:t>ARAZ</x:t>
  </x:si>
  <x:si>
    <x:t>TR130001009010555296605002</x:t>
  </x:si>
  <x:si>
    <x:t>10021819574</x:t>
  </x:si>
  <x:si>
    <x:t>SOLGAN</x:t>
  </x:si>
  <x:si>
    <x:t>TR150001009010562408605002</x:t>
  </x:si>
  <x:si>
    <x:t>26866807362</x:t>
  </x:si>
  <x:si>
    <x:t>KAPAN</x:t>
  </x:si>
  <x:si>
    <x:t>TR510006200068700006897433</x:t>
  </x:si>
  <x:si>
    <x:t>53608101914</x:t>
  </x:si>
  <x:si>
    <x:t>EMRE ENES</x:t>
  </x:si>
  <x:si>
    <x:t>ÇAKIROĞLU</x:t>
  </x:si>
  <x:si>
    <x:t>TR850001500158007317737194</x:t>
  </x:si>
  <x:si>
    <x:t>23713511014</x:t>
  </x:si>
  <x:si>
    <x:t>YÜZÜAK</x:t>
  </x:si>
  <x:si>
    <x:t>TR230004600111888000195645</x:t>
  </x:si>
  <x:si>
    <x:t>51046352196</x:t>
  </x:si>
  <x:si>
    <x:t>ENSAR</x:t>
  </x:si>
  <x:si>
    <x:t>GÖRGÜLÜ</x:t>
  </x:si>
  <x:si>
    <x:t>TR530006400000122460278391</x:t>
  </x:si>
  <x:si>
    <x:t>66520149834</x:t>
  </x:si>
  <x:si>
    <x:t>ENVER ORÇUN</x:t>
  </x:si>
  <x:si>
    <x:t>ÖZEK</x:t>
  </x:si>
  <x:si>
    <x:t>TR400001001799912186335001</x:t>
  </x:si>
  <x:si>
    <x:t>57766222030</x:t>
  </x:si>
  <x:si>
    <x:t>ERAY</x:t>
  </x:si>
  <x:si>
    <x:t>ÇAKALOĞULLARI</x:t>
  </x:si>
  <x:si>
    <x:t>TR160006701000000023456350</x:t>
  </x:si>
  <x:si>
    <x:t>52420771244</x:t>
  </x:si>
  <x:si>
    <x:t>TOPÇU</x:t>
  </x:si>
  <x:si>
    <x:t>TR620001200132900001130827</x:t>
  </x:si>
  <x:si>
    <x:t>10163806050</x:t>
  </x:si>
  <x:si>
    <x:t>BALCI</x:t>
  </x:si>
  <x:si>
    <x:t>TR140001002054959527765001</x:t>
  </x:si>
  <x:si>
    <x:t>41833421624</x:t>
  </x:si>
  <x:si>
    <x:t>TR250001009010035551505001</x:t>
  </x:si>
  <x:si>
    <x:t>17011171582</x:t>
  </x:si>
  <x:si>
    <x:t>ERVA CEYDA</x:t>
  </x:si>
  <x:si>
    <x:t>DAĞGEÇEN</x:t>
  </x:si>
  <x:si>
    <x:t>TR610001009010485306805001</x:t>
  </x:si>
  <x:si>
    <x:t>64927114868</x:t>
  </x:si>
  <x:si>
    <x:t>ESMA</x:t>
  </x:si>
  <x:si>
    <x:t>TOKSOY</x:t>
  </x:si>
  <x:si>
    <x:t>TR320001001799971664415002</x:t>
  </x:si>
  <x:si>
    <x:t>23719690850</x:t>
  </x:si>
  <x:si>
    <x:t>ESMANUR</x:t>
  </x:si>
  <x:si>
    <x:t>ODABAŞI</x:t>
  </x:si>
  <x:si>
    <x:t>TR240001009010524833105001</x:t>
  </x:si>
  <x:si>
    <x:t>10293133866</x:t>
  </x:si>
  <x:si>
    <x:t>EVRA</x:t>
  </x:si>
  <x:si>
    <x:t>AKDAĞ</x:t>
  </x:si>
  <x:si>
    <x:t>TR240001500158007313772835</x:t>
  </x:si>
  <x:si>
    <x:t>10092054034</x:t>
  </x:si>
  <x:si>
    <x:t>FAHRİ</x:t>
  </x:si>
  <x:si>
    <x:t>TR520001009010048629905002</x:t>
  </x:si>
  <x:si>
    <x:t>17320701012</x:t>
  </x:si>
  <x:si>
    <x:t>FATİH</x:t>
  </x:si>
  <x:si>
    <x:t>KILIC</x:t>
  </x:si>
  <x:si>
    <x:t>TR930001009010572852005002</x:t>
  </x:si>
  <x:si>
    <x:t>10988365718</x:t>
  </x:si>
  <x:si>
    <x:t>FATMA CANSU</x:t>
  </x:si>
  <x:si>
    <x:t>GARİP</x:t>
  </x:si>
  <x:si>
    <x:t>TR900020300009685520000001</x:t>
  </x:si>
  <x:si>
    <x:t>10045940698</x:t>
  </x:si>
  <x:si>
    <x:t>FATMA FİRDEVS</x:t>
  </x:si>
  <x:si>
    <x:t>BOZ</x:t>
  </x:si>
  <x:si>
    <x:t>TR300001000337962624445001</x:t>
  </x:si>
  <x:si>
    <x:t>10130199734</x:t>
  </x:si>
  <x:si>
    <x:t>BİNAY</x:t>
  </x:si>
  <x:si>
    <x:t>TR530011100000000158907476</x:t>
  </x:si>
  <x:si>
    <x:t>36538095706</x:t>
  </x:si>
  <x:si>
    <x:t>ATİK</x:t>
  </x:si>
  <x:si>
    <x:t>TR090006200119300006630073</x:t>
  </x:si>
  <x:si>
    <x:t>10436513890</x:t>
  </x:si>
  <x:si>
    <x:t>FURKAN MİRAÇ</x:t>
  </x:si>
  <x:si>
    <x:t>BOSTANCI</x:t>
  </x:si>
  <x:si>
    <x:t>TR640001009010279538705001</x:t>
  </x:si>
  <x:si>
    <x:t>28826170790</x:t>
  </x:si>
  <x:si>
    <x:t>GAMZE İKBAL</x:t>
  </x:si>
  <x:si>
    <x:t>PERKTAŞ</x:t>
  </x:si>
  <x:si>
    <x:t>TR770001009010559353805002</x:t>
  </x:si>
  <x:si>
    <x:t>10075852862</x:t>
  </x:si>
  <x:si>
    <x:t>AKKOYUN</x:t>
  </x:si>
  <x:si>
    <x:t>TR890001002475903711925001</x:t>
  </x:si>
  <x:si>
    <x:t>26545976600</x:t>
  </x:si>
  <x:si>
    <x:t>GÖKDENİZ</x:t>
  </x:si>
  <x:si>
    <x:t>KÖROĞLU</x:t>
  </x:si>
  <x:si>
    <x:t>TR120011100000000146573015</x:t>
  </x:si>
  <x:si>
    <x:t>10507292792</x:t>
  </x:si>
  <x:si>
    <x:t>GÖKTUĞ</x:t>
  </x:si>
  <x:si>
    <x:t>ALKAN</x:t>
  </x:si>
  <x:si>
    <x:t>TR560001009010030231405001</x:t>
  </x:si>
  <x:si>
    <x:t>31960012024</x:t>
  </x:si>
  <x:si>
    <x:t>GÜLAY</x:t>
  </x:si>
  <x:si>
    <x:t>TR690001009010533154805001</x:t>
  </x:si>
  <x:si>
    <x:t>10598351552</x:t>
  </x:si>
  <x:si>
    <x:t>GÜLNAZ</x:t>
  </x:si>
  <x:si>
    <x:t>ÖRNEK</x:t>
  </x:si>
  <x:si>
    <x:t>TR310001009010634658305001</x:t>
  </x:si>
  <x:si>
    <x:t>10102830498</x:t>
  </x:si>
  <x:si>
    <x:t>GÜLSEREN</x:t>
  </x:si>
  <x:si>
    <x:t>KAHRAMAN</x:t>
  </x:si>
  <x:si>
    <x:t>TR740001009010955338905002</x:t>
  </x:si>
  <x:si>
    <x:t>11837175328</x:t>
  </x:si>
  <x:si>
    <x:t>GURBET</x:t>
  </x:si>
  <x:si>
    <x:t>EROL</x:t>
  </x:si>
  <x:si>
    <x:t>TR400001009010375575005001</x:t>
  </x:si>
  <x:si>
    <x:t>30776408588</x:t>
  </x:si>
  <x:si>
    <x:t>HAKAN</x:t>
  </x:si>
  <x:si>
    <x:t>YALÇINKAYA</x:t>
  </x:si>
  <x:si>
    <x:t>TR420001000190968991475002</x:t>
  </x:si>
  <x:si>
    <x:t>57187231284</x:t>
  </x:si>
  <x:si>
    <x:t>HALİL</x:t>
  </x:si>
  <x:si>
    <x:t>UZAN</x:t>
  </x:si>
  <x:si>
    <x:t>TR400001002692819845535001</x:t>
  </x:si>
  <x:si>
    <x:t>17620726180</x:t>
  </x:si>
  <x:si>
    <x:t>TOPALOĞLU</x:t>
  </x:si>
  <x:si>
    <x:t>TR770006701000000035198945</x:t>
  </x:si>
  <x:si>
    <x:t>19226062020</x:t>
  </x:si>
  <x:si>
    <x:t>HANDAN BERİVAN</x:t>
  </x:si>
  <x:si>
    <x:t>YAŞARSOY</x:t>
  </x:si>
  <x:si>
    <x:t>TR790001000060749286595005</x:t>
  </x:si>
  <x:si>
    <x:t>15949806170</x:t>
  </x:si>
  <x:si>
    <x:t>HASAN MELİH</x:t>
  </x:si>
  <x:si>
    <x:t>TR250001009010284434105001</x:t>
  </x:si>
  <x:si>
    <x:t>43075708846</x:t>
  </x:si>
  <x:si>
    <x:t>HATİCE BEYZA</x:t>
  </x:si>
  <x:si>
    <x:t>TR620001001799789860485004</x:t>
  </x:si>
  <x:si>
    <x:t>10616842086</x:t>
  </x:si>
  <x:si>
    <x:t>HATİCE RAVZA</x:t>
  </x:si>
  <x:si>
    <x:t>ZORBİLMEZ</x:t>
  </x:si>
  <x:si>
    <x:t>TR280006400000167060111086</x:t>
  </x:si>
  <x:si>
    <x:t>12974988772</x:t>
  </x:si>
  <x:si>
    <x:t>HEJAR BERİVAN</x:t>
  </x:si>
  <x:si>
    <x:t>ÇİFTÇİ</x:t>
  </x:si>
  <x:si>
    <x:t>TR370001000771872391055002</x:t>
  </x:si>
  <x:si>
    <x:t>18673503520</x:t>
  </x:si>
  <x:si>
    <x:t>BIÇAKÇI</x:t>
  </x:si>
  <x:si>
    <x:t>TR530006400000122380160950</x:t>
  </x:si>
  <x:si>
    <x:t>13510863164</x:t>
  </x:si>
  <x:si>
    <x:t>GÜLEÇ</x:t>
  </x:si>
  <x:si>
    <x:t>TR380001009010097252405002</x:t>
  </x:si>
  <x:si>
    <x:t>32770483318</x:t>
  </x:si>
  <x:si>
    <x:t>HİRANUR</x:t>
  </x:si>
  <x:si>
    <x:t>İGAN</x:t>
  </x:si>
  <x:si>
    <x:t>TR390001009010118916905001</x:t>
  </x:si>
  <x:si>
    <x:t>23266498954</x:t>
  </x:si>
  <x:si>
    <x:t>HÜMEYRA</x:t>
  </x:si>
  <x:si>
    <x:t>TR400006200068700006891423</x:t>
  </x:si>
  <x:si>
    <x:t>21559272496</x:t>
  </x:si>
  <x:si>
    <x:t>HÜMEYSA</x:t>
  </x:si>
  <x:si>
    <x:t>ARUCU</x:t>
  </x:si>
  <x:si>
    <x:t>TR810001009010505991005004</x:t>
  </x:si>
  <x:si>
    <x:t>37967070616</x:t>
  </x:si>
  <x:si>
    <x:t>HÜSEYİN</x:t>
  </x:si>
  <x:si>
    <x:t>ANT</x:t>
  </x:si>
  <x:si>
    <x:t>TR440001500158007321960148</x:t>
  </x:si>
  <x:si>
    <x:t>10112803758</x:t>
  </x:si>
  <x:si>
    <x:t>HÜSNİYE</x:t>
  </x:si>
  <x:si>
    <x:t>TR550001002054969899475004</x:t>
  </x:si>
  <x:si>
    <x:t>64909052072</x:t>
  </x:si>
  <x:si>
    <x:t>HÜSNÜ</x:t>
  </x:si>
  <x:si>
    <x:t>KARATEPE</x:t>
  </x:si>
  <x:si>
    <x:t>TR440001000760698182435003</x:t>
  </x:si>
  <x:si>
    <x:t>51373739288</x:t>
  </x:si>
  <x:si>
    <x:t>İBRAHİM BİLAL</x:t>
  </x:si>
  <x:si>
    <x:t>PARLAK</x:t>
  </x:si>
  <x:si>
    <x:t>TR190001009010553351205001</x:t>
  </x:si>
  <x:si>
    <x:t>10115890106</x:t>
  </x:si>
  <x:si>
    <x:t>İCLAL</x:t>
  </x:si>
  <x:si>
    <x:t>ÖRER</x:t>
  </x:si>
  <x:si>
    <x:t>TR720001009010954831205001</x:t>
  </x:si>
  <x:si>
    <x:t>22751287240</x:t>
  </x:si>
  <x:si>
    <x:t>CİRİK</x:t>
  </x:si>
  <x:si>
    <x:t>15428993438</x:t>
  </x:si>
  <x:si>
    <x:t>TR720001009010084265905001</x:t>
  </x:si>
  <x:si>
    <x:t>54274152842</x:t>
  </x:si>
  <x:si>
    <x:t>SÖZBİR</x:t>
  </x:si>
  <x:si>
    <x:t>TR840001009010065653305001</x:t>
  </x:si>
  <x:si>
    <x:t>42883262656</x:t>
  </x:si>
  <x:si>
    <x:t>İLAYDA NUR</x:t>
  </x:si>
  <x:si>
    <x:t>YÜCEL</x:t>
  </x:si>
  <x:si>
    <x:t>TR320001200929200001032285</x:t>
  </x:si>
  <x:si>
    <x:t>10199688248</x:t>
  </x:si>
  <x:si>
    <x:t>ILGAZ</x:t>
  </x:si>
  <x:si>
    <x:t>GÜNDÜZ</x:t>
  </x:si>
  <x:si>
    <x:t>TR590013400002206403200001</x:t>
  </x:si>
  <x:si>
    <x:t>29894524812</x:t>
  </x:si>
  <x:si>
    <x:t>ODABAŞ</x:t>
  </x:si>
  <x:si>
    <x:t>TR540001000158948648665001</x:t>
  </x:si>
  <x:si>
    <x:t>10127641574</x:t>
  </x:si>
  <x:si>
    <x:t>ACAR</x:t>
  </x:si>
  <x:si>
    <x:t>TR820006400000122460270400</x:t>
  </x:si>
  <x:si>
    <x:t>22996534932</x:t>
  </x:si>
  <x:si>
    <x:t>İLSU</x:t>
  </x:si>
  <x:si>
    <x:t>BİLGİT</x:t>
  </x:si>
  <x:si>
    <x:t>TR220001009010292663105002</x:t>
  </x:si>
  <x:si>
    <x:t>10642603002</x:t>
  </x:si>
  <x:si>
    <x:t>İNAN</x:t>
  </x:si>
  <x:si>
    <x:t>KARTAL</x:t>
  </x:si>
  <x:si>
    <x:t>TR030004601020888000152301</x:t>
  </x:si>
  <x:si>
    <x:t>15071645234</x:t>
  </x:si>
  <x:si>
    <x:t>İREM NUR</x:t>
  </x:si>
  <x:si>
    <x:t>KUŞ</x:t>
  </x:si>
  <x:si>
    <x:t>TR080006701000000028033245</x:t>
  </x:si>
  <x:si>
    <x:t>10747867224</x:t>
  </x:si>
  <x:si>
    <x:t>İSHAK</x:t>
  </x:si>
  <x:si>
    <x:t>TAŞ</x:t>
  </x:si>
  <x:si>
    <x:t>TR580001009010749284605001</x:t>
  </x:si>
  <x:si>
    <x:t>10373727336</x:t>
  </x:si>
  <x:si>
    <x:t>KARPUZCU</x:t>
  </x:si>
  <x:si>
    <x:t>TR780001009010286536005001</x:t>
  </x:si>
  <x:si>
    <x:t>33463706912</x:t>
  </x:si>
  <x:si>
    <x:t>KASIM</x:t>
  </x:si>
  <x:si>
    <x:t>SAYMAZ</x:t>
  </x:si>
  <x:si>
    <x:t>TR800001000512963098615001</x:t>
  </x:si>
  <x:si>
    <x:t>10319257200</x:t>
  </x:si>
  <x:si>
    <x:t>KENAN</x:t>
  </x:si>
  <x:si>
    <x:t>TURGUT</x:t>
  </x:si>
  <x:si>
    <x:t>TR660001001799626617815001</x:t>
  </x:si>
  <x:si>
    <x:t>10205407290</x:t>
  </x:si>
  <x:si>
    <x:t>KERİMAN ESMA</x:t>
  </x:si>
  <x:si>
    <x:t>DİNÇEL</x:t>
  </x:si>
  <x:si>
    <x:t>TR660001009010579068305002</x:t>
  </x:si>
  <x:si>
    <x:t>10438968414</x:t>
  </x:si>
  <x:si>
    <x:t>İNANLI</x:t>
  </x:si>
  <x:si>
    <x:t>TR100006200115200006625022</x:t>
  </x:si>
  <x:si>
    <x:t>10238049030</x:t>
  </x:si>
  <x:si>
    <x:t>KILPELİT</x:t>
  </x:si>
  <x:si>
    <x:t>TR840015700000000093584303</x:t>
  </x:si>
  <x:si>
    <x:t>56101660094</x:t>
  </x:si>
  <x:si>
    <x:t>MAHMUT CAN</x:t>
  </x:si>
  <x:si>
    <x:t>ACEM</x:t>
  </x:si>
  <x:si>
    <x:t>TR120001009010783551205002</x:t>
  </x:si>
  <x:si>
    <x:t>28021940624</x:t>
  </x:si>
  <x:si>
    <x:t>MEHMET</x:t>
  </x:si>
  <x:si>
    <x:t>TR630001009010551908905001</x:t>
  </x:si>
  <x:si>
    <x:t>12065371858</x:t>
  </x:si>
  <x:si>
    <x:t>EVREN</x:t>
  </x:si>
  <x:si>
    <x:t>TR460001000473924340585001</x:t>
  </x:si>
  <x:si>
    <x:t>48829152302</x:t>
  </x:si>
  <x:si>
    <x:t>MEHMET AKİF</x:t>
  </x:si>
  <x:si>
    <x:t>DERECİ</x:t>
  </x:si>
  <x:si>
    <x:t>TR200001009010551049805002</x:t>
  </x:si>
  <x:si>
    <x:t>51184581250</x:t>
  </x:si>
  <x:si>
    <x:t>GÜNEŞ</x:t>
  </x:si>
  <x:si>
    <x:t>TR960001009010316729805001</x:t>
  </x:si>
  <x:si>
    <x:t>17420793788</x:t>
  </x:si>
  <x:si>
    <x:t>MEHMET EMİN</x:t>
  </x:si>
  <x:si>
    <x:t>TR790001009010534066405001</x:t>
  </x:si>
  <x:si>
    <x:t>15803377600</x:t>
  </x:si>
  <x:si>
    <x:t>MEHMET ERDEM</x:t>
  </x:si>
  <x:si>
    <x:t>ALÇIN</x:t>
  </x:si>
  <x:si>
    <x:t>TR390006701000000034102559</x:t>
  </x:si>
  <x:si>
    <x:t>20696184860</x:t>
  </x:si>
  <x:si>
    <x:t>MEHMET FAİK</x:t>
  </x:si>
  <x:si>
    <x:t>SOLAKOĞLU</x:t>
  </x:si>
  <x:si>
    <x:t>TR190001009010749718005001</x:t>
  </x:si>
  <x:si>
    <x:t>10072551034</x:t>
  </x:si>
  <x:si>
    <x:t>MEHMET OĞUZHAN</x:t>
  </x:si>
  <x:si>
    <x:t>TANRIVERDİ</x:t>
  </x:si>
  <x:si>
    <x:t>TR090006400000122100460011</x:t>
  </x:si>
  <x:si>
    <x:t>11704923298</x:t>
  </x:si>
  <x:si>
    <x:t>MELİH ARDA</x:t>
  </x:si>
  <x:si>
    <x:t>GÜVEN</x:t>
  </x:si>
  <x:si>
    <x:t>TR470001000523909836395001</x:t>
  </x:si>
  <x:si>
    <x:t>10201620822</x:t>
  </x:si>
  <x:si>
    <x:t>MELİK</x:t>
  </x:si>
  <x:si>
    <x:t>TR040001009010862432305001</x:t>
  </x:si>
  <x:si>
    <x:t>29402471706</x:t>
  </x:si>
  <x:si>
    <x:t>MELİKE KEVSER</x:t>
  </x:si>
  <x:si>
    <x:t>BAYINDIR</x:t>
  </x:si>
  <x:si>
    <x:t>TR070006200078400006987562</x:t>
  </x:si>
  <x:si>
    <x:t>12380412236</x:t>
  </x:si>
  <x:si>
    <x:t>MELTEM</x:t>
  </x:si>
  <x:si>
    <x:t>BUDAK</x:t>
  </x:si>
  <x:si>
    <x:t>TR230006400000144090362669</x:t>
  </x:si>
  <x:si>
    <x:t>15187807120</x:t>
  </x:si>
  <x:si>
    <x:t>MEMİŞ</x:t>
  </x:si>
  <x:si>
    <x:t>TR670006200074400006876393</x:t>
  </x:si>
  <x:si>
    <x:t>19961232092</x:t>
  </x:si>
  <x:si>
    <x:t>MERT</x:t>
  </x:si>
  <x:si>
    <x:t>KAYAALP</x:t>
  </x:si>
  <x:si>
    <x:t>TR960001009010812700505001</x:t>
  </x:si>
  <x:si>
    <x:t>10631684234</x:t>
  </x:si>
  <x:si>
    <x:t>TÜRKMEN</x:t>
  </x:si>
  <x:si>
    <x:t>TR610001009010493914905004</x:t>
  </x:si>
  <x:si>
    <x:t>10764134736</x:t>
  </x:si>
  <x:si>
    <x:t>TR640001009010072734705001</x:t>
  </x:si>
  <x:si>
    <x:t>46048245058</x:t>
  </x:si>
  <x:si>
    <x:t>SEYDİOĞLU</x:t>
  </x:si>
  <x:si>
    <x:t>TR480001009010467519205001</x:t>
  </x:si>
  <x:si>
    <x:t>11000678946</x:t>
  </x:si>
  <x:si>
    <x:t>MERYEM</x:t>
  </x:si>
  <x:si>
    <x:t>BAYRAKTAR</x:t>
  </x:si>
  <x:si>
    <x:t>TR820020500009091862400001</x:t>
  </x:si>
  <x:si>
    <x:t>21656252032</x:t>
  </x:si>
  <x:si>
    <x:t>KİREMİTÇİ</x:t>
  </x:si>
  <x:si>
    <x:t>TR090006200048800006838947</x:t>
  </x:si>
  <x:si>
    <x:t>10352760576</x:t>
  </x:si>
  <x:si>
    <x:t>SAĞLAM</x:t>
  </x:si>
  <x:si>
    <x:t>TR690006400000122310165365</x:t>
  </x:si>
  <x:si>
    <x:t>12829903172</x:t>
  </x:si>
  <x:si>
    <x:t>MUHAMMED BERİTAN</x:t>
  </x:si>
  <x:si>
    <x:t>CALAYIR</x:t>
  </x:si>
  <x:si>
    <x:t>TR820006400000119002202746</x:t>
  </x:si>
  <x:si>
    <x:t>25190264650</x:t>
  </x:si>
  <x:si>
    <x:t>MUHAMMED BURAK</x:t>
  </x:si>
  <x:si>
    <x:t>KASKARAGİL</x:t>
  </x:si>
  <x:si>
    <x:t>TR970015700000000123183716</x:t>
  </x:si>
  <x:si>
    <x:t>39439425986</x:t>
  </x:si>
  <x:si>
    <x:t>MUHAMMED EMİN</x:t>
  </x:si>
  <x:si>
    <x:t>TR060006701000000078448255</x:t>
  </x:si>
  <x:si>
    <x:t>26594239718</x:t>
  </x:si>
  <x:si>
    <x:t>MUHAMMED EMİRHAN</x:t>
  </x:si>
  <x:si>
    <x:t>KAPLANOĞLU</x:t>
  </x:si>
  <x:si>
    <x:t>TR360001500158007322371766</x:t>
  </x:si>
  <x:si>
    <x:t>13625829512</x:t>
  </x:si>
  <x:si>
    <x:t>DEMİR</x:t>
  </x:si>
  <x:si>
    <x:t>TR190006701000000036166012</x:t>
  </x:si>
  <x:si>
    <x:t>10062166316</x:t>
  </x:si>
  <x:si>
    <x:t>MUHAMMET ENES</x:t>
  </x:si>
  <x:si>
    <x:t>TR050001009010385120505001</x:t>
  </x:si>
  <x:si>
    <x:t>29881050508</x:t>
  </x:si>
  <x:si>
    <x:t>MÜNEVVER</x:t>
  </x:si>
  <x:si>
    <x:t>UZUN</x:t>
  </x:si>
  <x:si>
    <x:t>TR480001009010204911105001</x:t>
  </x:si>
  <x:si>
    <x:t>42025644524</x:t>
  </x:si>
  <x:si>
    <x:t>KULA</x:t>
  </x:si>
  <x:si>
    <x:t>25918437526</x:t>
  </x:si>
  <x:si>
    <x:t>TR650006200126600006626469</x:t>
  </x:si>
  <x:si>
    <x:t>10567965582</x:t>
  </x:si>
  <x:si>
    <x:t>TUNÇ</x:t>
  </x:si>
  <x:si>
    <x:t>TR940006200045400066819545</x:t>
  </x:si>
  <x:si>
    <x:t>10832558204</x:t>
  </x:si>
  <x:si>
    <x:t>TR050001009010333933605001</x:t>
  </x:si>
  <x:si>
    <x:t>36649260130</x:t>
  </x:si>
  <x:si>
    <x:t>MUSTAFA ATA</x:t>
  </x:si>
  <x:si>
    <x:t>TR440015700000000103407049</x:t>
  </x:si>
  <x:si>
    <x:t>43855950830</x:t>
  </x:si>
  <x:si>
    <x:t>MUSTAFA SERDAR</x:t>
  </x:si>
  <x:si>
    <x:t>TR250006400000122051128821</x:t>
  </x:si>
  <x:si>
    <x:t>32188226552</x:t>
  </x:si>
  <x:si>
    <x:t>NARİN NAZLI</x:t>
  </x:si>
  <x:si>
    <x:t>TR220001500158007317496507</x:t>
  </x:si>
  <x:si>
    <x:t>15230711404</x:t>
  </x:si>
  <x:si>
    <x:t>NEFYA BURCU</x:t>
  </x:si>
  <x:si>
    <x:t>ERKAN</x:t>
  </x:si>
  <x:si>
    <x:t>TR630001009010274444605004</x:t>
  </x:si>
  <x:si>
    <x:t>32221877024</x:t>
  </x:si>
  <x:si>
    <x:t>NERMİN</x:t>
  </x:si>
  <x:si>
    <x:t>ÇELİKKOL</x:t>
  </x:si>
  <x:si>
    <x:t>TR630001009010279164305001</x:t>
  </x:si>
  <x:si>
    <x:t>30724643672</x:t>
  </x:si>
  <x:si>
    <x:t>NİDANUR</x:t>
  </x:si>
  <x:si>
    <x:t>BAŞOCAK</x:t>
  </x:si>
  <x:si>
    <x:t>TR750006200068700006888368</x:t>
  </x:si>
  <x:si>
    <x:t>11491918644</x:t>
  </x:si>
  <x:si>
    <x:t>NİLSU</x:t>
  </x:si>
  <x:si>
    <x:t>MUTLU</x:t>
  </x:si>
  <x:si>
    <x:t>TR920001009010704735705001</x:t>
  </x:si>
  <x:si>
    <x:t>10114967144</x:t>
  </x:si>
  <x:si>
    <x:t>NİSA NUR</x:t>
  </x:si>
  <x:si>
    <x:t>ASA</x:t>
  </x:si>
  <x:si>
    <x:t>TR030006701000000037563876</x:t>
  </x:si>
  <x:si>
    <x:t>24325266538</x:t>
  </x:si>
  <x:si>
    <x:t>ÖZEN</x:t>
  </x:si>
  <x:si>
    <x:t>TR340006200072900006888799</x:t>
  </x:si>
  <x:si>
    <x:t>39115578852</x:t>
  </x:si>
  <x:si>
    <x:t>NUMAN SACİD</x:t>
  </x:si>
  <x:si>
    <x:t>TR030001009010411222705002</x:t>
  </x:si>
  <x:si>
    <x:t>10169163850</x:t>
  </x:si>
  <x:si>
    <x:t>NURSİMA</x:t>
  </x:si>
  <x:si>
    <x:t>TOPUZLAYAN</x:t>
  </x:si>
  <x:si>
    <x:t>TR980006200035400006628398</x:t>
  </x:si>
  <x:si>
    <x:t>11584941788</x:t>
  </x:si>
  <x:si>
    <x:t>OKTAY</x:t>
  </x:si>
  <x:si>
    <x:t>DÖNE</x:t>
  </x:si>
  <x:si>
    <x:t>TR390001002054958204185001</x:t>
  </x:si>
  <x:si>
    <x:t>28744113954</x:t>
  </x:si>
  <x:si>
    <x:t>KOCA</x:t>
  </x:si>
  <x:si>
    <x:t>TR370001009010278442605002</x:t>
  </x:si>
  <x:si>
    <x:t>59614328086</x:t>
  </x:si>
  <x:si>
    <x:t>ÖMER HAKAN</x:t>
  </x:si>
  <x:si>
    <x:t>AÇIKEL</x:t>
  </x:si>
  <x:si>
    <x:t>TR500001009010387990805001</x:t>
  </x:si>
  <x:si>
    <x:t>11329935676</x:t>
  </x:si>
  <x:si>
    <x:t>ÖNDER</x:t>
  </x:si>
  <x:si>
    <x:t>GÜRKAŞ</x:t>
  </x:si>
  <x:si>
    <x:t>TR900004600667888000204469</x:t>
  </x:si>
  <x:si>
    <x:t>17696598674</x:t>
  </x:si>
  <x:si>
    <x:t>OSMAN MELİH</x:t>
  </x:si>
  <x:si>
    <x:t>GÜN</x:t>
  </x:si>
  <x:si>
    <x:t>TR430006200068700006640721</x:t>
  </x:si>
  <x:si>
    <x:t>35573164330</x:t>
  </x:si>
  <x:si>
    <x:t>OZAN</x:t>
  </x:si>
  <x:si>
    <x:t>GÜLSEVEN</x:t>
  </x:si>
  <x:si>
    <x:t>TR930001001479701039655003</x:t>
  </x:si>
  <x:si>
    <x:t>27875394386</x:t>
  </x:si>
  <x:si>
    <x:t>TR450001200132900001131424</x:t>
  </x:si>
  <x:si>
    <x:t>10334454790</x:t>
  </x:si>
  <x:si>
    <x:t>PINAR</x:t>
  </x:si>
  <x:si>
    <x:t>TR200006400000157003240373</x:t>
  </x:si>
  <x:si>
    <x:t>17129227966</x:t>
  </x:si>
  <x:si>
    <x:t>GÜLMEZ</x:t>
  </x:si>
  <x:si>
    <x:t>TR100004600384888000124223</x:t>
  </x:si>
  <x:si>
    <x:t>10406095982</x:t>
  </x:si>
  <x:si>
    <x:t>RABİA FERHAN</x:t>
  </x:si>
  <x:si>
    <x:t>TR880006400000122051092961</x:t>
  </x:si>
  <x:si>
    <x:t>34471164640</x:t>
  </x:si>
  <x:si>
    <x:t>RAMİZ</x:t>
  </x:si>
  <x:si>
    <x:t>ÇILDIR</x:t>
  </x:si>
  <x:si>
    <x:t>TR100001000114972584045001</x:t>
  </x:si>
  <x:si>
    <x:t>10178211382</x:t>
  </x:si>
  <x:si>
    <x:t>RAŞİT</x:t>
  </x:si>
  <x:si>
    <x:t>ATEŞ</x:t>
  </x:si>
  <x:si>
    <x:t>TR660006200110600006631616</x:t>
  </x:si>
  <x:si>
    <x:t>10525603372</x:t>
  </x:si>
  <x:si>
    <x:t>RECEP</x:t>
  </x:si>
  <x:si>
    <x:t>PALİĞA</x:t>
  </x:si>
  <x:si>
    <x:t>TR860001009010756277205002</x:t>
  </x:si>
  <x:si>
    <x:t>14204274600</x:t>
  </x:si>
  <x:si>
    <x:t>RUMEYSA</x:t>
  </x:si>
  <x:si>
    <x:t>TR450006200051500006983664</x:t>
  </x:si>
  <x:si>
    <x:t>15080787208</x:t>
  </x:si>
  <x:si>
    <x:t>RÜMEYSA</x:t>
  </x:si>
  <x:si>
    <x:t>ÇOLAK</x:t>
  </x:si>
  <x:si>
    <x:t>TR630001009010328422305002</x:t>
  </x:si>
  <x:si>
    <x:t>17227753756</x:t>
  </x:si>
  <x:si>
    <x:t>DİREK</x:t>
  </x:si>
  <x:si>
    <x:t>TR710001000021838551235002</x:t>
  </x:si>
  <x:si>
    <x:t>10567549546</x:t>
  </x:si>
  <x:si>
    <x:t>RÜVEYDA</x:t>
  </x:si>
  <x:si>
    <x:t>KIZILDAĞ</x:t>
  </x:si>
  <x:si>
    <x:t>TR740006701000000010560611</x:t>
  </x:si>
  <x:si>
    <x:t>31672743148</x:t>
  </x:si>
  <x:si>
    <x:t>ŞAZİYE</x:t>
  </x:si>
  <x:si>
    <x:t>KILINÇ</x:t>
  </x:si>
  <x:si>
    <x:t>TR800006400000122400757056</x:t>
  </x:si>
  <x:si>
    <x:t>10228966408</x:t>
  </x:si>
  <x:si>
    <x:t>SELEN</x:t>
  </x:si>
  <x:si>
    <x:t>TR120006200050900006637804</x:t>
  </x:si>
  <x:si>
    <x:t>32347225648</x:t>
  </x:si>
  <x:si>
    <x:t>USTA</x:t>
  </x:si>
  <x:si>
    <x:t>TR760006701000000079949331</x:t>
  </x:si>
  <x:si>
    <x:t>13561875758</x:t>
  </x:si>
  <x:si>
    <x:t>SELİN</x:t>
  </x:si>
  <x:si>
    <x:t>KUVAN</x:t>
  </x:si>
  <x:si>
    <x:t>TR420004600678888000133197</x:t>
  </x:si>
  <x:si>
    <x:t>11795354926</x:t>
  </x:si>
  <x:si>
    <x:t>ŞENYÜREK</x:t>
  </x:si>
  <x:si>
    <x:t>TR860006200046300006878814</x:t>
  </x:si>
  <x:si>
    <x:t>10286913932</x:t>
  </x:si>
  <x:si>
    <x:t>SELİNAY</x:t>
  </x:si>
  <x:si>
    <x:t>ÖZDEN</x:t>
  </x:si>
  <x:si>
    <x:t>TR250001009010550614605003</x:t>
  </x:si>
  <x:si>
    <x:t>10018800424</x:t>
  </x:si>
  <x:si>
    <x:t>PERÇEN</x:t>
  </x:si>
  <x:si>
    <x:t>TR790001001225908916965001</x:t>
  </x:si>
  <x:si>
    <x:t>26870495562</x:t>
  </x:si>
  <x:si>
    <x:t>SEMA</x:t>
  </x:si>
  <x:si>
    <x:t>MATUR</x:t>
  </x:si>
  <x:si>
    <x:t>TR310004600870888000126802</x:t>
  </x:si>
  <x:si>
    <x:t>55879034618</x:t>
  </x:si>
  <x:si>
    <x:t>SEMA NUR</x:t>
  </x:si>
  <x:si>
    <x:t>BURUŞ</x:t>
  </x:si>
  <x:si>
    <x:t>TR790001200132900001129163</x:t>
  </x:si>
  <x:si>
    <x:t>10312975514</x:t>
  </x:si>
  <x:si>
    <x:t>TR220004600694888000189405</x:t>
  </x:si>
  <x:si>
    <x:t>16043648406</x:t>
  </x:si>
  <x:si>
    <x:t>SENEM</x:t>
  </x:si>
  <x:si>
    <x:t>DAĞLIER</x:t>
  </x:si>
  <x:si>
    <x:t>TR860001009010279307405001</x:t>
  </x:si>
  <x:si>
    <x:t>72898024178</x:t>
  </x:si>
  <x:si>
    <x:t>SERKAN</x:t>
  </x:si>
  <x:si>
    <x:t>ŞEREFLİ</x:t>
  </x:si>
  <x:si>
    <x:t>TR930001000767972260065001</x:t>
  </x:si>
  <x:si>
    <x:t>26713991008</x:t>
  </x:si>
  <x:si>
    <x:t>SEVAL</x:t>
  </x:si>
  <x:si>
    <x:t>ANIK</x:t>
  </x:si>
  <x:si>
    <x:t>TR020001009010551749105001</x:t>
  </x:si>
  <x:si>
    <x:t>38327259122</x:t>
  </x:si>
  <x:si>
    <x:t>SEVGİ</x:t>
  </x:si>
  <x:si>
    <x:t>TR530001009010605685905001</x:t>
  </x:si>
  <x:si>
    <x:t>10171667650</x:t>
  </x:si>
  <x:si>
    <x:t>ŞEVKİ MÜCAHİT</x:t>
  </x:si>
  <x:si>
    <x:t>DELLAL</x:t>
  </x:si>
  <x:si>
    <x:t>TR230006701000000035424569</x:t>
  </x:si>
  <x:si>
    <x:t>12044494974</x:t>
  </x:si>
  <x:si>
    <x:t>ŞEYMA</x:t>
  </x:si>
  <x:si>
    <x:t>TR650004600364888000216965</x:t>
  </x:si>
  <x:si>
    <x:t>10355970156</x:t>
  </x:si>
  <x:si>
    <x:t>ALAKUŞ</x:t>
  </x:si>
  <x:si>
    <x:t>TR420006400000122460247937</x:t>
  </x:si>
  <x:si>
    <x:t>10061696616</x:t>
  </x:si>
  <x:si>
    <x:t>MİNTAŞ</x:t>
  </x:si>
  <x:si>
    <x:t>TR280001200132900001131439</x:t>
  </x:si>
  <x:si>
    <x:t>36610852012</x:t>
  </x:si>
  <x:si>
    <x:t>YAĞAN</x:t>
  </x:si>
  <x:si>
    <x:t>TR270001009010164505205001</x:t>
  </x:si>
  <x:si>
    <x:t>66187081164</x:t>
  </x:si>
  <x:si>
    <x:t>SİMAY</x:t>
  </x:si>
  <x:si>
    <x:t>KUTLU</x:t>
  </x:si>
  <x:si>
    <x:t>TR750001009010796146905001</x:t>
  </x:si>
  <x:si>
    <x:t>10690972228</x:t>
  </x:si>
  <x:si>
    <x:t>ATAN</x:t>
  </x:si>
  <x:si>
    <x:t>TR410001009010282326405002</x:t>
  </x:si>
  <x:si>
    <x:t>39295683544</x:t>
  </x:si>
  <x:si>
    <x:t>ÇORBACI</x:t>
  </x:si>
  <x:si>
    <x:t>TR790001009010620260605001</x:t>
  </x:si>
  <x:si>
    <x:t>10394643752</x:t>
  </x:si>
  <x:si>
    <x:t>HASANBEŞE</x:t>
  </x:si>
  <x:si>
    <x:t>TR700006701000000026350634</x:t>
  </x:si>
  <x:si>
    <x:t>16196365816</x:t>
  </x:si>
  <x:si>
    <x:t>TR230006200122000006874902</x:t>
  </x:si>
  <x:si>
    <x:t>43390987148</x:t>
  </x:si>
  <x:si>
    <x:t>PERVANE</x:t>
  </x:si>
  <x:si>
    <x:t>TR850006701000000020911283</x:t>
  </x:si>
  <x:si>
    <x:t>10775599418</x:t>
  </x:si>
  <x:si>
    <x:t>SUDE NAZ</x:t>
  </x:si>
  <x:si>
    <x:t>ZINGAL</x:t>
  </x:si>
  <x:si>
    <x:t>TR630011100000000131996198</x:t>
  </x:si>
  <x:si>
    <x:t>10772687682</x:t>
  </x:si>
  <x:si>
    <x:t>SUDENAZ</x:t>
  </x:si>
  <x:si>
    <x:t>TR220006200011500006544534</x:t>
  </x:si>
  <x:si>
    <x:t>10120703330</x:t>
  </x:si>
  <x:si>
    <x:t>SÜLEYMAN</x:t>
  </x:si>
  <x:si>
    <x:t>KAVUKLU</x:t>
  </x:si>
  <x:si>
    <x:t>TR830001001799962064275002</x:t>
  </x:si>
  <x:si>
    <x:t>16415368802</x:t>
  </x:si>
  <x:si>
    <x:t>TALHA OSMAN</x:t>
  </x:si>
  <x:si>
    <x:t>OĞUZ</x:t>
  </x:si>
  <x:si>
    <x:t>TR120001009010605748805001</x:t>
  </x:si>
  <x:si>
    <x:t>10168989642</x:t>
  </x:si>
  <x:si>
    <x:t>TAYFUN</x:t>
  </x:si>
  <x:si>
    <x:t>AYMA</x:t>
  </x:si>
  <x:si>
    <x:t>TR700011100000000103631041</x:t>
  </x:si>
  <x:si>
    <x:t>46510495004</x:t>
  </x:si>
  <x:si>
    <x:t>TR620001009010557228405001</x:t>
  </x:si>
  <x:si>
    <x:t>33899453756</x:t>
  </x:si>
  <x:si>
    <x:t>TUBA</x:t>
  </x:si>
  <x:si>
    <x:t>UÇAR</x:t>
  </x:si>
  <x:si>
    <x:t>TR130001009010553686405002</x:t>
  </x:si>
  <x:si>
    <x:t>11695229836</x:t>
  </x:si>
  <x:si>
    <x:t>TUĞÇE NUR</x:t>
  </x:si>
  <x:si>
    <x:t>GÜRSOY</x:t>
  </x:si>
  <x:si>
    <x:t>TR200001200132900001131292</x:t>
  </x:si>
  <x:si>
    <x:t>21985142530</x:t>
  </x:si>
  <x:si>
    <x:t>TUĞRUL</x:t>
  </x:si>
  <x:si>
    <x:t>YAVUZ</x:t>
  </x:si>
  <x:si>
    <x:t>TR420001009010639921305001</x:t>
  </x:si>
  <x:si>
    <x:t>11632230468</x:t>
  </x:si>
  <x:si>
    <x:t>TUVA</x:t>
  </x:si>
  <x:si>
    <x:t>BAŞTUĞ</x:t>
  </x:si>
  <x:si>
    <x:t>TR970001009010278363805002</x:t>
  </x:si>
  <x:si>
    <x:t>10024230338</x:t>
  </x:si>
  <x:si>
    <x:t>UFUK</x:t>
  </x:si>
  <x:si>
    <x:t>SARIKAYA</x:t>
  </x:si>
  <x:si>
    <x:t>TR260001002164968926965001</x:t>
  </x:si>
  <x:si>
    <x:t>20492084166</x:t>
  </x:si>
  <x:si>
    <x:t>UFUK BERKAY</x:t>
  </x:si>
  <x:si>
    <x:t>TR630006400000122031272916</x:t>
  </x:si>
  <x:si>
    <x:t>27709389960</x:t>
  </x:si>
  <x:si>
    <x:t>UĞUR EMİRHAN</x:t>
  </x:si>
  <x:si>
    <x:t>AYÇİÇEK</x:t>
  </x:si>
  <x:si>
    <x:t>TR890001500158007338593092</x:t>
  </x:si>
  <x:si>
    <x:t>10925267068</x:t>
  </x:si>
  <x:si>
    <x:t>ÜMMET</x:t>
  </x:si>
  <x:si>
    <x:t>TR800001200132900001130794</x:t>
  </x:si>
  <x:si>
    <x:t>15949418236</x:t>
  </x:si>
  <x:si>
    <x:t>ÜMMÜ GÜLSÜM</x:t>
  </x:si>
  <x:si>
    <x:t>KARAKUŞ</x:t>
  </x:si>
  <x:si>
    <x:t>TR590001002199953354565003</x:t>
  </x:si>
  <x:si>
    <x:t>11255069346</x:t>
  </x:si>
  <x:si>
    <x:t>UMUT EREN</x:t>
  </x:si>
  <x:si>
    <x:t>DİKİCİ</x:t>
  </x:si>
  <x:si>
    <x:t>TR190006701000000041218936</x:t>
  </x:si>
  <x:si>
    <x:t>10453946350</x:t>
  </x:si>
  <x:si>
    <x:t>UTKU</x:t>
  </x:si>
  <x:si>
    <x:t>TR080006701000000037365130</x:t>
  </x:si>
  <x:si>
    <x:t>16490364126</x:t>
  </x:si>
  <x:si>
    <x:t>GENÇ</x:t>
  </x:si>
  <x:si>
    <x:t>TR130001009010224738605001</x:t>
  </x:si>
  <x:si>
    <x:t>47692271042</x:t>
  </x:si>
  <x:si>
    <x:t>YEDULLAH</x:t>
  </x:si>
  <x:si>
    <x:t>KAYNAK</x:t>
  </x:si>
  <x:si>
    <x:t>TR220001009010159655305001</x:t>
  </x:si>
  <x:si>
    <x:t>63832187424</x:t>
  </x:si>
  <x:si>
    <x:t>YELİZ</x:t>
  </x:si>
  <x:si>
    <x:t>DOĞAN</x:t>
  </x:si>
  <x:si>
    <x:t>TR130006701000000023060935</x:t>
  </x:si>
  <x:si>
    <x:t>10513688350</x:t>
  </x:si>
  <x:si>
    <x:t>TR310004600531888000161891</x:t>
  </x:si>
  <x:si>
    <x:t>10173173968</x:t>
  </x:si>
  <x:si>
    <x:t>YİĞİTHAN</x:t>
  </x:si>
  <x:si>
    <x:t>KORKMAZ</x:t>
  </x:si>
  <x:si>
    <x:t>TR850001002054788366825003</x:t>
  </x:si>
  <x:si>
    <x:t>11627386644</x:t>
  </x:si>
  <x:si>
    <x:t>AKYEL</x:t>
  </x:si>
  <x:si>
    <x:t>TR790015700000000111840375</x:t>
  </x:si>
  <x:si>
    <x:t>50479049390</x:t>
  </x:si>
  <x:si>
    <x:t>TR750001009010706654705001</x:t>
  </x:si>
  <x:si>
    <x:t>11027107122</x:t>
  </x:si>
  <x:si>
    <x:t>YUNUS</x:t>
  </x:si>
  <x:si>
    <x:t>TR360001000026790673105001</x:t>
  </x:si>
  <x:si>
    <x:t>10971108490</x:t>
  </x:si>
  <x:si>
    <x:t>TOPAL</x:t>
  </x:si>
  <x:si>
    <x:t>TR160001009010279351805004</x:t>
  </x:si>
  <x:si>
    <x:t>11766019618</x:t>
  </x:si>
  <x:si>
    <x:t>TR350006400000122460335072</x:t>
  </x:si>
  <x:si>
    <x:t>72049019350</x:t>
  </x:si>
  <x:si>
    <x:t>ULUSOY</x:t>
  </x:si>
  <x:si>
    <x:t>TR640001200953300001135846</x:t>
  </x:si>
  <x:si>
    <x:t>60580106882</x:t>
  </x:si>
  <x:si>
    <x:t>YUSUF MEHMET CAN</x:t>
  </x:si>
  <x:si>
    <x:t>TR610001200132900001131427</x:t>
  </x:si>
  <x:si>
    <x:t>10991966988</x:t>
  </x:si>
  <x:si>
    <x:t>ZEHRA</x:t>
  </x:si>
  <x:si>
    <x:t>EDİS</x:t>
  </x:si>
  <x:si>
    <x:t>TR700001002081944647285001</x:t>
  </x:si>
  <x:si>
    <x:t>27559158754</x:t>
  </x:si>
  <x:si>
    <x:t>KÜÇÜK</x:t>
  </x:si>
  <x:si>
    <x:t>TR120020500009467098600001</x:t>
  </x:si>
  <x:si>
    <x:t>30793705622</x:t>
  </x:si>
  <x:si>
    <x:t>ZEHRA BETÜL</x:t>
  </x:si>
  <x:si>
    <x:t>TR810001200981500001225698</x:t>
  </x:si>
  <x:si>
    <x:t>54505064616</x:t>
  </x:si>
  <x:si>
    <x:t>ZEHRA ESMA</x:t>
  </x:si>
  <x:si>
    <x:t>ÇÖPOĞLU</x:t>
  </x:si>
  <x:si>
    <x:t>TR830006701000000022648104</x:t>
  </x:si>
  <x:si>
    <x:t>10268071162</x:t>
  </x:si>
  <x:si>
    <x:t>ZEHRA SUEDA</x:t>
  </x:si>
  <x:si>
    <x:t>TR730001001799856000685004</x:t>
  </x:si>
  <x:si>
    <x:t>17746051012</x:t>
  </x:si>
  <x:si>
    <x:t>ZEMZEM</x:t>
  </x:si>
  <x:si>
    <x:t>DİKER</x:t>
  </x:si>
  <x:si>
    <x:t>TR510001002569566686135002</x:t>
  </x:si>
  <x:si>
    <x:t>35768070668</x:t>
  </x:si>
  <x:si>
    <x:t>TR480001009010017148205001</x:t>
  </x:si>
  <x:si>
    <x:t>41539425698</x:t>
  </x:si>
  <x:si>
    <x:t>ZEYNEP ASYA</x:t>
  </x:si>
  <x:si>
    <x:t>YÖRÜK</x:t>
  </x:si>
  <x:si>
    <x:t>TR390001009010089381805002</x:t>
  </x:si>
  <x:si>
    <x:t>11172091642</x:t>
  </x:si>
  <x:si>
    <x:t>ZEYNEP REFİA</x:t>
  </x:si>
  <x:si>
    <x:t>EZENGİN</x:t>
  </x:si>
  <x:si>
    <x:t>TR910001002351954317745002</x:t>
  </x:si>
  <x:si>
    <x:t>26545393568</x:t>
  </x:si>
  <x:si>
    <x:t>ZÜBEYDE</x:t>
  </x:si>
  <x:si>
    <x:t>TR500001009010309837905001</x:t>
  </x:si>
  <x:si>
    <x:t>10033945476</x:t>
  </x:si>
  <x:si>
    <x:t>ABDULAZİZ HAN</x:t>
  </x:si>
  <x:si>
    <x:t>İBİŞ</x:t>
  </x:si>
  <x:si>
    <x:t>TR160006200003700006629325</x:t>
  </x:si>
  <x:si>
    <x:t>22264532332</x:t>
  </x:si>
  <x:si>
    <x:t>DİLEK</x:t>
  </x:si>
  <x:si>
    <x:t>TR100001000125832436755002</x:t>
  </x:si>
  <x:si>
    <x:t>42664959522</x:t>
  </x:si>
  <x:si>
    <x:t>TR350004600425888000255195</x:t>
  </x:si>
  <x:si>
    <x:t>29120562052</x:t>
  </x:si>
  <x:si>
    <x:t>ABDULLAH</x:t>
  </x:si>
  <x:si>
    <x:t>ZORLU</x:t>
  </x:si>
  <x:si>
    <x:t>TR400001009010782674305001</x:t>
  </x:si>
  <x:si>
    <x:t>10328545558</x:t>
  </x:si>
  <x:si>
    <x:t>ABDULLAH BEKİR</x:t>
  </x:si>
  <x:si>
    <x:t>ÇETİNKAYA</x:t>
  </x:si>
  <x:si>
    <x:t>TR820001009010070608105001</x:t>
  </x:si>
  <x:si>
    <x:t>40633313306</x:t>
  </x:si>
  <x:si>
    <x:t>ABDULLAH ESEN</x:t>
  </x:si>
  <x:si>
    <x:t>TR110001009010191300805001</x:t>
  </x:si>
  <x:si>
    <x:t>10218054214</x:t>
  </x:si>
  <x:si>
    <x:t>TR890001009010637235405001</x:t>
  </x:si>
  <x:si>
    <x:t>10453604564</x:t>
  </x:si>
  <x:si>
    <x:t>ADEM</x:t>
  </x:si>
  <x:si>
    <x:t>MUSAOĞLU</x:t>
  </x:si>
  <x:si>
    <x:t>TR040001009010746655905003</x:t>
  </x:si>
  <x:si>
    <x:t>11661033382</x:t>
  </x:si>
  <x:si>
    <x:t>AHMED YASİN</x:t>
  </x:si>
  <x:si>
    <x:t>ÇALIŞGAN</x:t>
  </x:si>
  <x:si>
    <x:t>20665101348</x:t>
  </x:si>
  <x:si>
    <x:t>ALTAY</x:t>
  </x:si>
  <x:si>
    <x:t>TR560001009010555227305003</x:t>
  </x:si>
  <x:si>
    <x:t>10421758794</x:t>
  </x:si>
  <x:si>
    <x:t>ESEN</x:t>
  </x:si>
  <x:si>
    <x:t>TR220001500158007322600065</x:t>
  </x:si>
  <x:si>
    <x:t>39547600824</x:t>
  </x:si>
  <x:si>
    <x:t>İŞBİLEN</x:t>
  </x:si>
  <x:si>
    <x:t>TR430006200068700006898935</x:t>
  </x:si>
  <x:si>
    <x:t>14936146688</x:t>
  </x:si>
  <x:si>
    <x:t>TR440020500009913329000001</x:t>
  </x:si>
  <x:si>
    <x:t>16916036316</x:t>
  </x:si>
  <x:si>
    <x:t>AHMET BERAT ÇETİN</x:t>
  </x:si>
  <x:si>
    <x:t>TR020001009010623170205001</x:t>
  </x:si>
  <x:si>
    <x:t>12881433662</x:t>
  </x:si>
  <x:si>
    <x:t>AHMET BİLAL AYVAZ</x:t>
  </x:si>
  <x:si>
    <x:t>TR150006701000000035357783</x:t>
  </x:si>
  <x:si>
    <x:t>28273751498</x:t>
  </x:si>
  <x:si>
    <x:t>AHMET EFE</x:t>
  </x:si>
  <x:si>
    <x:t>AŞIKOĞLU</x:t>
  </x:si>
  <x:si>
    <x:t>TR210001009010846622905001</x:t>
  </x:si>
  <x:si>
    <x:t>11489943672</x:t>
  </x:si>
  <x:si>
    <x:t>KALBURCU</x:t>
  </x:si>
  <x:si>
    <x:t>TR240001002054742675225003</x:t>
  </x:si>
  <x:si>
    <x:t>10178956658</x:t>
  </x:si>
  <x:si>
    <x:t>AHMET SAFA</x:t>
  </x:si>
  <x:si>
    <x:t>TR850001009010961376505001</x:t>
  </x:si>
  <x:si>
    <x:t>35050735794</x:t>
  </x:si>
  <x:si>
    <x:t>AHMET SEMİH</x:t>
  </x:si>
  <x:si>
    <x:t>ÖZKUL</x:t>
  </x:si>
  <x:si>
    <x:t>TR560001009010549425305002</x:t>
  </x:si>
  <x:si>
    <x:t>13090131806</x:t>
  </x:si>
  <x:si>
    <x:t>AHMET YAVUZ</x:t>
  </x:si>
  <x:si>
    <x:t>TR030001000022955529475001</x:t>
  </x:si>
  <x:si>
    <x:t>23362085010</x:t>
  </x:si>
  <x:si>
    <x:t>ÇÜRÜK</x:t>
  </x:si>
  <x:si>
    <x:t>TR580001009010130870805001</x:t>
  </x:si>
  <x:si>
    <x:t>11213003528</x:t>
  </x:si>
  <x:si>
    <x:t>DEMİRAY</x:t>
  </x:si>
  <x:si>
    <x:t>TR910006200119300006665845</x:t>
  </x:si>
  <x:si>
    <x:t>10480952942</x:t>
  </x:si>
  <x:si>
    <x:t>ARDA</x:t>
  </x:si>
  <x:si>
    <x:t>DURSUN</x:t>
  </x:si>
  <x:si>
    <x:t>TR520001009010907340405001</x:t>
  </x:si>
  <x:si>
    <x:t>10373810014</x:t>
  </x:si>
  <x:si>
    <x:t>ARİFE NUR</x:t>
  </x:si>
  <x:si>
    <x:t>ÇAKAL</x:t>
  </x:si>
  <x:si>
    <x:t>TR260001000436880485245001</x:t>
  </x:si>
  <x:si>
    <x:t>10054863704</x:t>
  </x:si>
  <x:si>
    <x:t>ASLINUR</x:t>
  </x:si>
  <x:si>
    <x:t>ÇALIŞKAN</x:t>
  </x:si>
  <x:si>
    <x:t>TR960001009010243106805001</x:t>
  </x:si>
  <x:si>
    <x:t>17231865520</x:t>
  </x:si>
  <x:si>
    <x:t>AYBÜKE</x:t>
  </x:si>
  <x:si>
    <x:t>TR930001002691901413555001</x:t>
  </x:si>
  <x:si>
    <x:t>25177436094</x:t>
  </x:si>
  <x:si>
    <x:t>AYŞE ECE</x:t>
  </x:si>
  <x:si>
    <x:t>TR360001500158007304283497</x:t>
  </x:si>
  <x:si>
    <x:t>21167842876</x:t>
  </x:si>
  <x:si>
    <x:t>AYŞE MİNA</x:t>
  </x:si>
  <x:si>
    <x:t>KARA</x:t>
  </x:si>
  <x:si>
    <x:t>TR050001009010291817605002</x:t>
  </x:si>
  <x:si>
    <x:t>17156324324</x:t>
  </x:si>
  <x:si>
    <x:t>TR110001009010255805805001</x:t>
  </x:si>
  <x:si>
    <x:t>38125888272</x:t>
  </x:si>
  <x:si>
    <x:t>AYŞEGÜL</x:t>
  </x:si>
  <x:si>
    <x:t>YAĞIZ</x:t>
  </x:si>
  <x:si>
    <x:t>TR020006701000000010106298</x:t>
  </x:si>
  <x:si>
    <x:t>10844688784</x:t>
  </x:si>
  <x:si>
    <x:t>AYŞENAZ</x:t>
  </x:si>
  <x:si>
    <x:t>TR900001009010285601005004</x:t>
  </x:si>
  <x:si>
    <x:t>64342403646</x:t>
  </x:si>
  <x:si>
    <x:t>BALTA</x:t>
  </x:si>
  <x:si>
    <x:t>TR120001001799951913675002</x:t>
  </x:si>
  <x:si>
    <x:t>16531750390</x:t>
  </x:si>
  <x:si>
    <x:t>BOZOĞLU</x:t>
  </x:si>
  <x:si>
    <x:t>TR880001009010511886205001</x:t>
  </x:si>
  <x:si>
    <x:t>10136917424</x:t>
  </x:si>
  <x:si>
    <x:t>BEDRA SUDE</x:t>
  </x:si>
  <x:si>
    <x:t>ÇIKRIKÇI</x:t>
  </x:si>
  <x:si>
    <x:t>TR060006701000000035374823</x:t>
  </x:si>
  <x:si>
    <x:t>36421689852</x:t>
  </x:si>
  <x:si>
    <x:t>TR300001200132900001128299</x:t>
  </x:si>
  <x:si>
    <x:t>10156963562</x:t>
  </x:si>
  <x:si>
    <x:t>BEHLÜL</x:t>
  </x:si>
  <x:si>
    <x:t>BULCA</x:t>
  </x:si>
  <x:si>
    <x:t>TR900001009010796738305001</x:t>
  </x:si>
  <x:si>
    <x:t>11052096880</x:t>
  </x:si>
  <x:si>
    <x:t>TR450020500009137625800001</x:t>
  </x:si>
  <x:si>
    <x:t>10247953922</x:t>
  </x:si>
  <x:si>
    <x:t>BELİNAY</x:t>
  </x:si>
  <x:si>
    <x:t>BAŞARAN</x:t>
  </x:si>
  <x:si>
    <x:t>TR840001009010269296505002</x:t>
  </x:si>
  <x:si>
    <x:t>17311681132</x:t>
  </x:si>
  <x:si>
    <x:t>BENGİSU</x:t>
  </x:si>
  <x:si>
    <x:t>NEĞİŞ</x:t>
  </x:si>
  <x:si>
    <x:t>TR240006200119300006636690</x:t>
  </x:si>
  <x:si>
    <x:t>12139925710</x:t>
  </x:si>
  <x:si>
    <x:t>AKA</x:t>
  </x:si>
  <x:si>
    <x:t>TR810001500158007311678355</x:t>
  </x:si>
  <x:si>
    <x:t>44020528588</x:t>
  </x:si>
  <x:si>
    <x:t>ULUBABA</x:t>
  </x:si>
  <x:si>
    <x:t>TR450001001031528697795005</x:t>
  </x:si>
  <x:si>
    <x:t>10126938088</x:t>
  </x:si>
  <x:si>
    <x:t>BERİL</x:t>
  </x:si>
  <x:si>
    <x:t>TR810001009010063812305001</x:t>
  </x:si>
  <x:si>
    <x:t>36043530464</x:t>
  </x:si>
  <x:si>
    <x:t>ATARDAĞ</x:t>
  </x:si>
  <x:si>
    <x:t>TR470001009010278867805001</x:t>
  </x:si>
  <x:si>
    <x:t>57640306528</x:t>
  </x:si>
  <x:si>
    <x:t>TR720001009010437636905001</x:t>
  </x:si>
  <x:si>
    <x:t>10288959990</x:t>
  </x:si>
  <x:si>
    <x:t>BEYZA</x:t>
  </x:si>
  <x:si>
    <x:t>CAMBAZ</x:t>
  </x:si>
  <x:si>
    <x:t>TR920006701000000040092228</x:t>
  </x:si>
  <x:si>
    <x:t>33667179260</x:t>
  </x:si>
  <x:si>
    <x:t>TR580001000179969214975001</x:t>
  </x:si>
  <x:si>
    <x:t>15983571560</x:t>
  </x:si>
  <x:si>
    <x:t>ZEYBEK</x:t>
  </x:si>
  <x:si>
    <x:t>TR450001009010949213505001</x:t>
  </x:si>
  <x:si>
    <x:t>10320129480</x:t>
  </x:si>
  <x:si>
    <x:t>BEYZANUR</x:t>
  </x:si>
  <x:si>
    <x:t>IRMAK</x:t>
  </x:si>
  <x:si>
    <x:t>TR730001009010385476105001</x:t>
  </x:si>
  <x:si>
    <x:t>10811442944</x:t>
  </x:si>
  <x:si>
    <x:t>TIBIK</x:t>
  </x:si>
  <x:si>
    <x:t>TR650006400000122460414654</x:t>
  </x:si>
  <x:si>
    <x:t>19255335126</x:t>
  </x:si>
  <x:si>
    <x:t>TR740015700000000106594317</x:t>
  </x:si>
  <x:si>
    <x:t>33800313292</x:t>
  </x:si>
  <x:si>
    <x:t>YAŞAR</x:t>
  </x:si>
  <x:si>
    <x:t>TR550004600095888000236900</x:t>
  </x:si>
  <x:si>
    <x:t>42415922324</x:t>
  </x:si>
  <x:si>
    <x:t>DURAK</x:t>
  </x:si>
  <x:si>
    <x:t>TR320001009010286949605002</x:t>
  </x:si>
  <x:si>
    <x:t>10395187026</x:t>
  </x:si>
  <x:si>
    <x:t>LATİFLER</x:t>
  </x:si>
  <x:si>
    <x:t>TR780001000812974416115001</x:t>
  </x:si>
  <x:si>
    <x:t>49873146316</x:t>
  </x:si>
  <x:si>
    <x:t>BÜŞRA NUR</x:t>
  </x:si>
  <x:si>
    <x:t>TR140001000615958528315001</x:t>
  </x:si>
  <x:si>
    <x:t>36244105218</x:t>
  </x:si>
  <x:si>
    <x:t>CAN</x:t>
  </x:si>
  <x:si>
    <x:t>ÇALI</x:t>
  </x:si>
  <x:si>
    <x:t>TR140001001799839083665003</x:t>
  </x:si>
  <x:si>
    <x:t>12635368240</x:t>
  </x:si>
  <x:si>
    <x:t>CANSU</x:t>
  </x:si>
  <x:si>
    <x:t>HASANOĞLU</x:t>
  </x:si>
  <x:si>
    <x:t>TR380006701000000022427754</x:t>
  </x:si>
  <x:si>
    <x:t>20057192466</x:t>
  </x:si>
  <x:si>
    <x:t>TEKİN</x:t>
  </x:si>
  <x:si>
    <x:t>TR100001200132900001127592</x:t>
  </x:si>
  <x:si>
    <x:t>22804553414</x:t>
  </x:si>
  <x:si>
    <x:t>CEMAL EFE</x:t>
  </x:si>
  <x:si>
    <x:t>TR120001009010144960005001</x:t>
  </x:si>
  <x:si>
    <x:t>19363507194</x:t>
  </x:si>
  <x:si>
    <x:t>CEMİLE BEYZA</x:t>
  </x:si>
  <x:si>
    <x:t>GÜNDOĞAN</x:t>
  </x:si>
  <x:si>
    <x:t>TR360004600680888000136212</x:t>
  </x:si>
  <x:si>
    <x:t>34009194156</x:t>
  </x:si>
  <x:si>
    <x:t>KARABURUN</x:t>
  </x:si>
  <x:si>
    <x:t>TR530001500158007323058705</x:t>
  </x:si>
  <x:si>
    <x:t>15254352478</x:t>
  </x:si>
  <x:si>
    <x:t>CEREN NUR</x:t>
  </x:si>
  <x:si>
    <x:t>TR040001009010754626505001</x:t>
  </x:si>
  <x:si>
    <x:t>31030879922</x:t>
  </x:si>
  <x:si>
    <x:t>DAMLA</x:t>
  </x:si>
  <x:si>
    <x:t>TR260001009010915521905001</x:t>
  </x:si>
  <x:si>
    <x:t>12275280704</x:t>
  </x:si>
  <x:si>
    <x:t>DEVRAN</x:t>
  </x:si>
  <x:si>
    <x:t>TR210001009010098471605001</x:t>
  </x:si>
  <x:si>
    <x:t>20081155338</x:t>
  </x:si>
  <x:si>
    <x:t>DİLAN</x:t>
  </x:si>
  <x:si>
    <x:t>TR500001009010549089805002</x:t>
  </x:si>
  <x:si>
    <x:t>10226278930</x:t>
  </x:si>
  <x:si>
    <x:t>KATKAT</x:t>
  </x:si>
  <x:si>
    <x:t>TR930001009010097308105001</x:t>
  </x:si>
  <x:si>
    <x:t>65725127432</x:t>
  </x:si>
  <x:si>
    <x:t>TR920001009010550022105002</x:t>
  </x:si>
  <x:si>
    <x:t>34955180128</x:t>
  </x:si>
  <x:si>
    <x:t>DOĞUKAN EMRE</x:t>
  </x:si>
  <x:si>
    <x:t>TR320001009010466087805001</x:t>
  </x:si>
  <x:si>
    <x:t>10314100976</x:t>
  </x:si>
  <x:si>
    <x:t>TR070001009010277316605001</x:t>
  </x:si>
  <x:si>
    <x:t>29324170176</x:t>
  </x:si>
  <x:si>
    <x:t>TR150001001558968991245001</x:t>
  </x:si>
  <x:si>
    <x:t>13123231152</x:t>
  </x:si>
  <x:si>
    <x:t>EDA NUR</x:t>
  </x:si>
  <x:si>
    <x:t>TR170001009010171804005004</x:t>
  </x:si>
  <x:si>
    <x:t>13697189880</x:t>
  </x:si>
  <x:si>
    <x:t>EFDAL</x:t>
  </x:si>
  <x:si>
    <x:t>TR080006701000000022761877</x:t>
  </x:si>
  <x:si>
    <x:t>10984907288</x:t>
  </x:si>
  <x:si>
    <x:t>OKUMUŞ</x:t>
  </x:si>
  <x:si>
    <x:t>TR190006701000000022991763</x:t>
  </x:si>
  <x:si>
    <x:t>11485668616</x:t>
  </x:si>
  <x:si>
    <x:t>ELANUR</x:t>
  </x:si>
  <x:si>
    <x:t>TR280001009010067329505003</x:t>
  </x:si>
  <x:si>
    <x:t>15596992332</x:t>
  </x:si>
  <x:si>
    <x:t>ELANUR DİLAN</x:t>
  </x:si>
  <x:si>
    <x:t>DOĞRUYOL</x:t>
  </x:si>
  <x:si>
    <x:t>TR400001500158007322346663</x:t>
  </x:si>
  <x:si>
    <x:t>11160149362</x:t>
  </x:si>
  <x:si>
    <x:t>ALUÇ</x:t>
  </x:si>
  <x:si>
    <x:t>TR660001009010419860805001</x:t>
  </x:si>
  <x:si>
    <x:t>10075608322</x:t>
  </x:si>
  <x:si>
    <x:t>TR760001009010553284105001</x:t>
  </x:si>
  <x:si>
    <x:t>18313631422</x:t>
  </x:si>
  <x:si>
    <x:t>KURNAZ</x:t>
  </x:si>
  <x:si>
    <x:t>TR250006701000000026390244</x:t>
  </x:si>
  <x:si>
    <x:t>50806220430</x:t>
  </x:si>
  <x:si>
    <x:t>ZENCİRKIRAN</x:t>
  </x:si>
  <x:si>
    <x:t>TR840004600887888000164089</x:t>
  </x:si>
  <x:si>
    <x:t>10168932730</x:t>
  </x:si>
  <x:si>
    <x:t>ELİF SENA</x:t>
  </x:si>
  <x:si>
    <x:t>ARI</x:t>
  </x:si>
  <x:si>
    <x:t>TR140006701000000033304117</x:t>
  </x:si>
  <x:si>
    <x:t>10235995330</x:t>
  </x:si>
  <x:si>
    <x:t>ASAN</x:t>
  </x:si>
  <x:si>
    <x:t>TR280001001758865260145001</x:t>
  </x:si>
  <x:si>
    <x:t>28112496474</x:t>
  </x:si>
  <x:si>
    <x:t>ELİF SUDE</x:t>
  </x:si>
  <x:si>
    <x:t>TR540006200145400006657349</x:t>
  </x:si>
  <x:si>
    <x:t>33466162944</x:t>
  </x:si>
  <x:si>
    <x:t>ELİFNUR</x:t>
  </x:si>
  <x:si>
    <x:t>KURUCAN</x:t>
  </x:si>
  <x:si>
    <x:t>TR920001001145968890645001</x:t>
  </x:si>
  <x:si>
    <x:t>21607607560</x:t>
  </x:si>
  <x:si>
    <x:t>DÜNDAR</x:t>
  </x:si>
  <x:si>
    <x:t>TR950006701000000029187822</x:t>
  </x:si>
  <x:si>
    <x:t>10431183876</x:t>
  </x:si>
  <x:si>
    <x:t>EŞKİ</x:t>
  </x:si>
  <x:si>
    <x:t>TR420001002338923178245001</x:t>
  </x:si>
  <x:si>
    <x:t>10680177190</x:t>
  </x:si>
  <x:si>
    <x:t>KAPLAN</x:t>
  </x:si>
  <x:si>
    <x:t>TR850006701000000020848039</x:t>
  </x:si>
  <x:si>
    <x:t>16933268356</x:t>
  </x:si>
  <x:si>
    <x:t>TÜRSUN</x:t>
  </x:si>
  <x:si>
    <x:t>TR180006200072700006807035</x:t>
  </x:si>
  <x:si>
    <x:t>10651964170</x:t>
  </x:si>
  <x:si>
    <x:t>TR940001500158007332446015</x:t>
  </x:si>
  <x:si>
    <x:t>22799707182</x:t>
  </x:si>
  <x:si>
    <x:t>TR500001009010552300505002</x:t>
  </x:si>
  <x:si>
    <x:t>32332836460</x:t>
  </x:si>
  <x:si>
    <x:t>TR220006400000121002965790</x:t>
  </x:si>
  <x:si>
    <x:t>10498827874</x:t>
  </x:si>
  <x:si>
    <x:t>EMİRE</x:t>
  </x:si>
  <x:si>
    <x:t>MEŞE</x:t>
  </x:si>
  <x:si>
    <x:t>TR130001009010275192505004</x:t>
  </x:si>
  <x:si>
    <x:t>62512434872</x:t>
  </x:si>
  <x:si>
    <x:t>GÜRKAL</x:t>
  </x:si>
  <x:si>
    <x:t>TR400006400000122350308949</x:t>
  </x:si>
  <x:si>
    <x:t>23341905186</x:t>
  </x:si>
  <x:si>
    <x:t>TR410004600995888000174789</x:t>
  </x:si>
  <x:si>
    <x:t>10216705798</x:t>
  </x:si>
  <x:si>
    <x:t>DAĞ</x:t>
  </x:si>
  <x:si>
    <x:t>TR740006701000000096463423</x:t>
  </x:si>
  <x:si>
    <x:t>29575327718</x:t>
  </x:si>
  <x:si>
    <x:t>EMRE BERK</x:t>
  </x:si>
  <x:si>
    <x:t>TR480001004027902079155003</x:t>
  </x:si>
  <x:si>
    <x:t>40558594842</x:t>
  </x:si>
  <x:si>
    <x:t>EMRULLAH</x:t>
  </x:si>
  <x:si>
    <x:t>YANDI</x:t>
  </x:si>
  <x:si>
    <x:t>TR440006701000000077526847</x:t>
  </x:si>
  <x:si>
    <x:t>10891164606</x:t>
  </x:si>
  <x:si>
    <x:t>ATILGAN</x:t>
  </x:si>
  <x:si>
    <x:t>TR400001009010175469605005</x:t>
  </x:si>
  <x:si>
    <x:t>12761084212</x:t>
  </x:si>
  <x:si>
    <x:t>TR270001009010749628605001</x:t>
  </x:si>
  <x:si>
    <x:t>19076797646</x:t>
  </x:si>
  <x:si>
    <x:t>ENES ALİ</x:t>
  </x:si>
  <x:si>
    <x:t>TR900020500009933383800001</x:t>
  </x:si>
  <x:si>
    <x:t>11078894200</x:t>
  </x:si>
  <x:si>
    <x:t>ENES BURAK</x:t>
  </x:si>
  <x:si>
    <x:t>TR710001009010063744605001</x:t>
  </x:si>
  <x:si>
    <x:t>21787587218</x:t>
  </x:si>
  <x:si>
    <x:t>ERENAY</x:t>
  </x:si>
  <x:si>
    <x:t>TR460001009010106012205004</x:t>
  </x:si>
  <x:si>
    <x:t>11334048958</x:t>
  </x:si>
  <x:si>
    <x:t>ERHAN</x:t>
  </x:si>
  <x:si>
    <x:t>ATTAR</x:t>
  </x:si>
  <x:si>
    <x:t>TR820001001799952610675002</x:t>
  </x:si>
  <x:si>
    <x:t>36664105652</x:t>
  </x:si>
  <x:si>
    <x:t>ERSİN GİRAY</x:t>
  </x:si>
  <x:si>
    <x:t>GÜLTEKİN</x:t>
  </x:si>
  <x:si>
    <x:t>TR080006200052300006934335</x:t>
  </x:si>
  <x:si>
    <x:t>11237812410</x:t>
  </x:si>
  <x:si>
    <x:t>ERSEVER</x:t>
  </x:si>
  <x:si>
    <x:t>TR480001009010614057105001</x:t>
  </x:si>
  <x:si>
    <x:t>10525964046</x:t>
  </x:si>
  <x:si>
    <x:t>ESLEM</x:t>
  </x:si>
  <x:si>
    <x:t>SEVİK</x:t>
  </x:si>
  <x:si>
    <x:t>TR490001001799972536645001</x:t>
  </x:si>
  <x:si>
    <x:t>15499761776</x:t>
  </x:si>
  <x:si>
    <x:t>ŞİMŞEK</x:t>
  </x:si>
  <x:si>
    <x:t>TR370006701000000026173233</x:t>
  </x:si>
  <x:si>
    <x:t>10649517036</x:t>
  </x:si>
  <x:si>
    <x:t>ÇİÇEK</x:t>
  </x:si>
  <x:si>
    <x:t>TR330001009010861640205001</x:t>
  </x:si>
  <x:si>
    <x:t>11717522174</x:t>
  </x:si>
  <x:si>
    <x:t>MASATÇI</x:t>
  </x:si>
  <x:si>
    <x:t>TR970001001554620960185002</x:t>
  </x:si>
  <x:si>
    <x:t>15257083966</x:t>
  </x:si>
  <x:si>
    <x:t>ESMA GÜL</x:t>
  </x:si>
  <x:si>
    <x:t>TR980006200054100006645505</x:t>
  </x:si>
  <x:si>
    <x:t>26869391004</x:t>
  </x:si>
  <x:si>
    <x:t>ESMA HATUN</x:t>
  </x:si>
  <x:si>
    <x:t>TR230001009010016597205002</x:t>
  </x:si>
  <x:si>
    <x:t>14504435916</x:t>
  </x:si>
  <x:si>
    <x:t>ESMA HÜSNA</x:t>
  </x:si>
  <x:si>
    <x:t>TR560015700000000138032438</x:t>
  </x:si>
  <x:si>
    <x:t>10631254338</x:t>
  </x:si>
  <x:si>
    <x:t>ESMA NUR</x:t>
  </x:si>
  <x:si>
    <x:t>TR080001009010282589505001</x:t>
  </x:si>
  <x:si>
    <x:t>28774483294</x:t>
  </x:si>
  <x:si>
    <x:t>ESRA</x:t>
  </x:si>
  <x:si>
    <x:t>GEMALMAZ</x:t>
  </x:si>
  <x:si>
    <x:t>TR620001009010557703705001</x:t>
  </x:si>
  <x:si>
    <x:t>10508976950</x:t>
  </x:si>
  <x:si>
    <x:t>KASAP</x:t>
  </x:si>
  <x:si>
    <x:t>TR610001009010276533705001</x:t>
  </x:si>
  <x:si>
    <x:t>10064663882</x:t>
  </x:si>
  <x:si>
    <x:t>TONG</x:t>
  </x:si>
  <x:si>
    <x:t>TR380001009010516067905001</x:t>
  </x:si>
  <x:si>
    <x:t>10451574074</x:t>
  </x:si>
  <x:si>
    <x:t>TR420006400000112690206468</x:t>
  </x:si>
  <x:si>
    <x:t>20783212230</x:t>
  </x:si>
  <x:si>
    <x:t>EYLEM</x:t>
  </x:si>
  <x:si>
    <x:t>TR750006200068700006890017</x:t>
  </x:si>
  <x:si>
    <x:t>20084205214</x:t>
  </x:si>
  <x:si>
    <x:t>EYÜL İNCİ</x:t>
  </x:si>
  <x:si>
    <x:t>OTLU</x:t>
  </x:si>
  <x:si>
    <x:t>TR160001009010757588105002</x:t>
  </x:si>
  <x:si>
    <x:t>10411475250</x:t>
  </x:si>
  <x:si>
    <x:t>EYÜP</x:t>
  </x:si>
  <x:si>
    <x:t>BARUT</x:t>
  </x:si>
  <x:si>
    <x:t>TR260001009010044143205002</x:t>
  </x:si>
  <x:si>
    <x:t>12685904948</x:t>
  </x:si>
  <x:si>
    <x:t>AKTOLGA</x:t>
  </x:si>
  <x:si>
    <x:t>TR680001200918800001017607</x:t>
  </x:si>
  <x:si>
    <x:t>10054532808</x:t>
  </x:si>
  <x:si>
    <x:t>FADİME</x:t>
  </x:si>
  <x:si>
    <x:t>TR630006400000122460320309</x:t>
  </x:si>
  <x:si>
    <x:t>33233386764</x:t>
  </x:si>
  <x:si>
    <x:t>FATİH BUĞRA</x:t>
  </x:si>
  <x:si>
    <x:t>TR940001000705828399125001</x:t>
  </x:si>
  <x:si>
    <x:t>37966423314</x:t>
  </x:si>
  <x:si>
    <x:t>FATMA</x:t>
  </x:si>
  <x:si>
    <x:t>AKDEMİR</x:t>
  </x:si>
  <x:si>
    <x:t>TR250004601196888000188889</x:t>
  </x:si>
  <x:si>
    <x:t>29099129966</x:t>
  </x:si>
  <x:si>
    <x:t>TR690001200132900001128858</x:t>
  </x:si>
  <x:si>
    <x:t>20233639198</x:t>
  </x:si>
  <x:si>
    <x:t>FATMANUR</x:t>
  </x:si>
  <x:si>
    <x:t>AKIN</x:t>
  </x:si>
  <x:si>
    <x:t>TR860006200029900006631799</x:t>
  </x:si>
  <x:si>
    <x:t>26008446640</x:t>
  </x:si>
  <x:si>
    <x:t>TR060001000620877348035001</x:t>
  </x:si>
  <x:si>
    <x:t>14332085512</x:t>
  </x:si>
  <x:si>
    <x:t>FEYZA NUR</x:t>
  </x:si>
  <x:si>
    <x:t>ÇAKMAK</x:t>
  </x:si>
  <x:si>
    <x:t>TR830020500009956821400004</x:t>
  </x:si>
  <x:si>
    <x:t>11935100246</x:t>
  </x:si>
  <x:si>
    <x:t>FİKRİYE EBRAR</x:t>
  </x:si>
  <x:si>
    <x:t>TR050006200152700006662619</x:t>
  </x:si>
  <x:si>
    <x:t>12513084262</x:t>
  </x:si>
  <x:si>
    <x:t>YAKUT</x:t>
  </x:si>
  <x:si>
    <x:t>TR360001009010647588305001</x:t>
  </x:si>
  <x:si>
    <x:t>12357083964</x:t>
  </x:si>
  <x:si>
    <x:t>TR970006701000000033923326</x:t>
  </x:si>
  <x:si>
    <x:t>10193523194</x:t>
  </x:si>
  <x:si>
    <x:t>AKYÜZ</x:t>
  </x:si>
  <x:si>
    <x:t>TR120001009010220804305001</x:t>
  </x:si>
  <x:si>
    <x:t>39607305744</x:t>
  </x:si>
  <x:si>
    <x:t>TR670006701000000010002793</x:t>
  </x:si>
  <x:si>
    <x:t>59524519628</x:t>
  </x:si>
  <x:si>
    <x:t>TR440001000750619296985004</x:t>
  </x:si>
  <x:si>
    <x:t>33032118078</x:t>
  </x:si>
  <x:si>
    <x:t>TR020001002199843217595002</x:t>
  </x:si>
  <x:si>
    <x:t>41272763866</x:t>
  </x:si>
  <x:si>
    <x:t>TR770006200106000006604585</x:t>
  </x:si>
  <x:si>
    <x:t>27181998308</x:t>
  </x:si>
  <x:si>
    <x:t>DEMİRKAYA</x:t>
  </x:si>
  <x:si>
    <x:t>TR120001004025944091535015</x:t>
  </x:si>
  <x:si>
    <x:t>11246719618</x:t>
  </x:si>
  <x:si>
    <x:t>SÜLEK</x:t>
  </x:si>
  <x:si>
    <x:t>TR970001009010789988905001</x:t>
  </x:si>
  <x:si>
    <x:t>10508763482</x:t>
  </x:si>
  <x:si>
    <x:t>GAMZE</x:t>
  </x:si>
  <x:si>
    <x:t>EDE</x:t>
  </x:si>
  <x:si>
    <x:t>TR390001500158007314210908</x:t>
  </x:si>
  <x:si>
    <x:t>10606977354</x:t>
  </x:si>
  <x:si>
    <x:t>GAMZENUR</x:t>
  </x:si>
  <x:si>
    <x:t>AVCI</x:t>
  </x:si>
  <x:si>
    <x:t>TR140001009010238819105001</x:t>
  </x:si>
  <x:si>
    <x:t>53200658144</x:t>
  </x:si>
  <x:si>
    <x:t>GENCO</x:t>
  </x:si>
  <x:si>
    <x:t>GEYİKÇİ</x:t>
  </x:si>
  <x:si>
    <x:t>TR340001009010525890205001</x:t>
  </x:si>
  <x:si>
    <x:t>25262032552</x:t>
  </x:si>
  <x:si>
    <x:t>GÖKHAN</x:t>
  </x:si>
  <x:si>
    <x:t>KURU</x:t>
  </x:si>
  <x:si>
    <x:t>TR120006200033600006875349</x:t>
  </x:si>
  <x:si>
    <x:t>20786212862</x:t>
  </x:si>
  <x:si>
    <x:t>GÜL BERİL</x:t>
  </x:si>
  <x:si>
    <x:t>TR740001002358968889145001</x:t>
  </x:si>
  <x:si>
    <x:t>10055844726</x:t>
  </x:si>
  <x:si>
    <x:t>GÜLBAHAR</x:t>
  </x:si>
  <x:si>
    <x:t>TR550001009010284695405001</x:t>
  </x:si>
  <x:si>
    <x:t>45205439934</x:t>
  </x:si>
  <x:si>
    <x:t>GÜLİZAR</x:t>
  </x:si>
  <x:si>
    <x:t>TR660001500158007313291347</x:t>
  </x:si>
  <x:si>
    <x:t>34766258528</x:t>
  </x:si>
  <x:si>
    <x:t>GÜRLEN</x:t>
  </x:si>
  <x:si>
    <x:t>TR210001009010402139805001</x:t>
  </x:si>
  <x:si>
    <x:t>10125110102</x:t>
  </x:si>
  <x:si>
    <x:t>GÜLSENA</x:t>
  </x:si>
  <x:si>
    <x:t>ÖNAL</x:t>
  </x:si>
  <x:si>
    <x:t>TR530001009010279117405002</x:t>
  </x:si>
  <x:si>
    <x:t>35281977642</x:t>
  </x:si>
  <x:si>
    <x:t>HABİBE NİDA</x:t>
  </x:si>
  <x:si>
    <x:t>ARSLANTÜRK</x:t>
  </x:si>
  <x:si>
    <x:t>TR290006200048600006889910</x:t>
  </x:si>
  <x:si>
    <x:t>19285658554</x:t>
  </x:si>
  <x:si>
    <x:t>TR800006701000000037898401</x:t>
  </x:si>
  <x:si>
    <x:t>17825763560</x:t>
  </x:si>
  <x:si>
    <x:t>HAKKI</x:t>
  </x:si>
  <x:si>
    <x:t>KAPUKAYA</x:t>
  </x:si>
  <x:si>
    <x:t>TR220001009010212607605001</x:t>
  </x:si>
  <x:si>
    <x:t>37336865720</x:t>
  </x:si>
  <x:si>
    <x:t>TR700001009010758745205002</x:t>
  </x:si>
  <x:si>
    <x:t>14717412568</x:t>
  </x:si>
  <x:si>
    <x:t>HALİL İBRAHİM</x:t>
  </x:si>
  <x:si>
    <x:t>YABAR</x:t>
  </x:si>
  <x:si>
    <x:t>TR640001009010537865005005</x:t>
  </x:si>
  <x:si>
    <x:t>10244764750</x:t>
  </x:si>
  <x:si>
    <x:t>TR260001002402836840375001</x:t>
  </x:si>
  <x:si>
    <x:t>24532576420</x:t>
  </x:si>
  <x:si>
    <x:t>HALİME SENA</x:t>
  </x:si>
  <x:si>
    <x:t>EKMEKCİ</x:t>
  </x:si>
  <x:si>
    <x:t>TR700001009010757938705001</x:t>
  </x:si>
  <x:si>
    <x:t>10919680408</x:t>
  </x:si>
  <x:si>
    <x:t>IRK</x:t>
  </x:si>
  <x:si>
    <x:t>TR170001009010280953905001</x:t>
  </x:si>
  <x:si>
    <x:t>10863054546</x:t>
  </x:si>
  <x:si>
    <x:t>KIRBOĞA</x:t>
  </x:si>
  <x:si>
    <x:t>TR140001009010237732705001</x:t>
  </x:si>
  <x:si>
    <x:t>38614782166</x:t>
  </x:si>
  <x:si>
    <x:t>HATİCE KÜBRA</x:t>
  </x:si>
  <x:si>
    <x:t>EYMİR</x:t>
  </x:si>
  <x:si>
    <x:t>TR480006701000000020308512</x:t>
  </x:si>
  <x:si>
    <x:t>14618439084</x:t>
  </x:si>
  <x:si>
    <x:t>HATİCE NAZ</x:t>
  </x:si>
  <x:si>
    <x:t>SOYSAL</x:t>
  </x:si>
  <x:si>
    <x:t>TR910001009010527957105001</x:t>
  </x:si>
  <x:si>
    <x:t>17341594600</x:t>
  </x:si>
  <x:si>
    <x:t>HAYRUNNİSA</x:t>
  </x:si>
  <x:si>
    <x:t>TR550001001799971890715006</x:t>
  </x:si>
  <x:si>
    <x:t>10163937358</x:t>
  </x:si>
  <x:si>
    <x:t>OKUTAN</x:t>
  </x:si>
  <x:si>
    <x:t>TR780001009010209573505006</x:t>
  </x:si>
  <x:si>
    <x:t>14707992728</x:t>
  </x:si>
  <x:si>
    <x:t>TR730006200068700006608947</x:t>
  </x:si>
  <x:si>
    <x:t>14120431286</x:t>
  </x:si>
  <x:si>
    <x:t>HEVİN ŞEYDA</x:t>
  </x:si>
  <x:si>
    <x:t>BAYDUR</x:t>
  </x:si>
  <x:si>
    <x:t>TR740001009010099390105001</x:t>
  </x:si>
  <x:si>
    <x:t>10508440024</x:t>
  </x:si>
  <x:si>
    <x:t>TR380001500158007317535019</x:t>
  </x:si>
  <x:si>
    <x:t>14837257636</x:t>
  </x:si>
  <x:si>
    <x:t>DURUR</x:t>
  </x:si>
  <x:si>
    <x:t>TR410001009010041474005001</x:t>
  </x:si>
  <x:si>
    <x:t>30892174206</x:t>
  </x:si>
  <x:si>
    <x:t>EŞSİZ</x:t>
  </x:si>
  <x:si>
    <x:t>TR360006400000122510592015</x:t>
  </x:si>
  <x:si>
    <x:t>24118509538</x:t>
  </x:si>
  <x:si>
    <x:t>TR830001009010560436205002</x:t>
  </x:si>
  <x:si>
    <x:t>12252013264</x:t>
  </x:si>
  <x:si>
    <x:t>NEZİROĞLU</x:t>
  </x:si>
  <x:si>
    <x:t>TR480006200036800006628161</x:t>
  </x:si>
  <x:si>
    <x:t>29465513634</x:t>
  </x:si>
  <x:si>
    <x:t>HİRA NUR</x:t>
  </x:si>
  <x:si>
    <x:t>BARLIK</x:t>
  </x:si>
  <x:si>
    <x:t>TR040006701000000037204279</x:t>
  </x:si>
  <x:si>
    <x:t>12770474462</x:t>
  </x:si>
  <x:si>
    <x:t>İBRAHİM</x:t>
  </x:si>
  <x:si>
    <x:t>ÖZGENÇ</x:t>
  </x:si>
  <x:si>
    <x:t>TR490006200109000006614057</x:t>
  </x:si>
  <x:si>
    <x:t>10513551630</x:t>
  </x:si>
  <x:si>
    <x:t>İBRAHİM ALİ</x:t>
  </x:si>
  <x:si>
    <x:t>EMREM</x:t>
  </x:si>
  <x:si>
    <x:t>TR280004601196888000173800</x:t>
  </x:si>
  <x:si>
    <x:t>34300914576</x:t>
  </x:si>
  <x:si>
    <x:t>İHSAN SAMET</x:t>
  </x:si>
  <x:si>
    <x:t>TR720001009010212454205003</x:t>
  </x:si>
  <x:si>
    <x:t>31985318446</x:t>
  </x:si>
  <x:si>
    <x:t>TR700006200003200006848859</x:t>
  </x:si>
  <x:si>
    <x:t>10016733922</x:t>
  </x:si>
  <x:si>
    <x:t>MANAY</x:t>
  </x:si>
  <x:si>
    <x:t>TR570001200132900001127425</x:t>
  </x:si>
  <x:si>
    <x:t>10207087858</x:t>
  </x:si>
  <x:si>
    <x:t>İMRAN</x:t>
  </x:si>
  <x:si>
    <x:t>TR840006200075800006862534</x:t>
  </x:si>
  <x:si>
    <x:t>10102916932</x:t>
  </x:si>
  <x:si>
    <x:t>İREM</x:t>
  </x:si>
  <x:si>
    <x:t>AKTUĞ</x:t>
  </x:si>
  <x:si>
    <x:t>TR510006701000000028926520</x:t>
  </x:si>
  <x:si>
    <x:t>31381905066</x:t>
  </x:si>
  <x:si>
    <x:t>ARTÜN</x:t>
  </x:si>
  <x:si>
    <x:t>TR720001001799884263705002</x:t>
  </x:si>
  <x:si>
    <x:t>39661587476</x:t>
  </x:si>
  <x:si>
    <x:t>TR720001009010026961105003</x:t>
  </x:si>
  <x:si>
    <x:t>32767575552</x:t>
  </x:si>
  <x:si>
    <x:t>İREMNUR</x:t>
  </x:si>
  <x:si>
    <x:t>TR410001009010282006305002</x:t>
  </x:si>
  <x:si>
    <x:t>10159961428</x:t>
  </x:si>
  <x:si>
    <x:t>OKUŞ</x:t>
  </x:si>
  <x:si>
    <x:t>TR500006400000122300558730</x:t>
  </x:si>
  <x:si>
    <x:t>32944201342</x:t>
  </x:si>
  <x:si>
    <x:t>GEÇ</x:t>
  </x:si>
  <x:si>
    <x:t>TR700006701000000032737308</x:t>
  </x:si>
  <x:si>
    <x:t>35837068336</x:t>
  </x:si>
  <x:si>
    <x:t>İSA</x:t>
  </x:si>
  <x:si>
    <x:t>TR120001009010469774205001</x:t>
  </x:si>
  <x:si>
    <x:t>42202516866</x:t>
  </x:si>
  <x:si>
    <x:t>IŞIL</x:t>
  </x:si>
  <x:si>
    <x:t>BİRLİK</x:t>
  </x:si>
  <x:si>
    <x:t>TR450001009010714599605001</x:t>
  </x:si>
  <x:si>
    <x:t>13019809472</x:t>
  </x:si>
  <x:si>
    <x:t>İSMİNUR</x:t>
  </x:si>
  <x:si>
    <x:t>TR960004600611888000157788</x:t>
  </x:si>
  <x:si>
    <x:t>18098401180</x:t>
  </x:si>
  <x:si>
    <x:t>KADİR FURKAN</x:t>
  </x:si>
  <x:si>
    <x:t>TR890001200132900001130438</x:t>
  </x:si>
  <x:si>
    <x:t>30877298712</x:t>
  </x:si>
  <x:si>
    <x:t>KEMAL</x:t>
  </x:si>
  <x:si>
    <x:t>TR510006200148600006652781</x:t>
  </x:si>
  <x:si>
    <x:t>10621976912</x:t>
  </x:si>
  <x:si>
    <x:t>KEREM</x:t>
  </x:si>
  <x:si>
    <x:t>HACI</x:t>
  </x:si>
  <x:si>
    <x:t>TR910006200001300006865066</x:t>
  </x:si>
  <x:si>
    <x:t>10688364332</x:t>
  </x:si>
  <x:si>
    <x:t>KEVSER</x:t>
  </x:si>
  <x:si>
    <x:t>KURMAZ</x:t>
  </x:si>
  <x:si>
    <x:t>TR690006200116800006672380</x:t>
  </x:si>
  <x:si>
    <x:t>20996174806</x:t>
  </x:si>
  <x:si>
    <x:t>TR090001001799912355735001</x:t>
  </x:si>
  <x:si>
    <x:t>19081677278</x:t>
  </x:si>
  <x:si>
    <x:t>KARADAĞ</x:t>
  </x:si>
  <x:si>
    <x:t>TR830001009010282582505004</x:t>
  </x:si>
  <x:si>
    <x:t>57166428728</x:t>
  </x:si>
  <x:si>
    <x:t>TR850001009010567605005001</x:t>
  </x:si>
  <x:si>
    <x:t>10345947250</x:t>
  </x:si>
  <x:si>
    <x:t>KÜBRA NUR</x:t>
  </x:si>
  <x:si>
    <x:t>TR680001009010321097305001</x:t>
  </x:si>
  <x:si>
    <x:t>35218227482</x:t>
  </x:si>
  <x:si>
    <x:t>LÜTFÜ</x:t>
  </x:si>
  <x:si>
    <x:t>ÇAĞDAŞ</x:t>
  </x:si>
  <x:si>
    <x:t>TR080001009010599383205002</x:t>
  </x:si>
  <x:si>
    <x:t>10081350840</x:t>
  </x:si>
  <x:si>
    <x:t>GÖZÜKÜÇÜK</x:t>
  </x:si>
  <x:si>
    <x:t>TR260001004015867920955005</x:t>
  </x:si>
  <x:si>
    <x:t>17417248284</x:t>
  </x:si>
  <x:si>
    <x:t>AKYOL</x:t>
  </x:si>
  <x:si>
    <x:t>TR250001009010143978105001</x:t>
  </x:si>
  <x:si>
    <x:t>10874209270</x:t>
  </x:si>
  <x:si>
    <x:t>TR330001009010261947405001</x:t>
  </x:si>
  <x:si>
    <x:t>10336427174</x:t>
  </x:si>
  <x:si>
    <x:t>MEHMET KAAN</x:t>
  </x:si>
  <x:si>
    <x:t>TR900020500009741548300002</x:t>
  </x:si>
  <x:si>
    <x:t>33586988066</x:t>
  </x:si>
  <x:si>
    <x:t>MEHMET MİKAİL</x:t>
  </x:si>
  <x:si>
    <x:t>TR920001009010275239105001</x:t>
  </x:si>
  <x:si>
    <x:t>12470995816</x:t>
  </x:si>
  <x:si>
    <x:t>MEHMET NUR</x:t>
  </x:si>
  <x:si>
    <x:t>OKAY</x:t>
  </x:si>
  <x:si>
    <x:t>TR770006701000000037932599</x:t>
  </x:si>
  <x:si>
    <x:t>21424527782</x:t>
  </x:si>
  <x:si>
    <x:t>MEHMET SERDAR</x:t>
  </x:si>
  <x:si>
    <x:t>AKKAN</x:t>
  </x:si>
  <x:si>
    <x:t>TR310015700000000128813620</x:t>
  </x:si>
  <x:si>
    <x:t>16805083810</x:t>
  </x:si>
  <x:si>
    <x:t>MEHMET TALHA</x:t>
  </x:si>
  <x:si>
    <x:t>ÇAY</x:t>
  </x:si>
  <x:si>
    <x:t>TR270001500158007318356128</x:t>
  </x:si>
  <x:si>
    <x:t>28255344878</x:t>
  </x:si>
  <x:si>
    <x:t>MELEK</x:t>
  </x:si>
  <x:si>
    <x:t>TR420001009010392321905003</x:t>
  </x:si>
  <x:si>
    <x:t>10326001384</x:t>
  </x:si>
  <x:si>
    <x:t>BİLİR</x:t>
  </x:si>
  <x:si>
    <x:t>TR140001009010554138405002</x:t>
  </x:si>
  <x:si>
    <x:t>10897256558</x:t>
  </x:si>
  <x:si>
    <x:t>TR200001004023950071965017</x:t>
  </x:si>
  <x:si>
    <x:t>18293158940</x:t>
  </x:si>
  <x:si>
    <x:t>TR390006200039000006849082</x:t>
  </x:si>
  <x:si>
    <x:t>12202921458</x:t>
  </x:si>
  <x:si>
    <x:t>MELİKE</x:t>
  </x:si>
  <x:si>
    <x:t>ATEŞMEN</x:t>
  </x:si>
  <x:si>
    <x:t>TR660001009010115009205001</x:t>
  </x:si>
  <x:si>
    <x:t>46735461006</x:t>
  </x:si>
  <x:si>
    <x:t>MELİKE SENA</x:t>
  </x:si>
  <x:si>
    <x:t>YALMAN</x:t>
  </x:si>
  <x:si>
    <x:t>TR640001009010554601605001</x:t>
  </x:si>
  <x:si>
    <x:t>14165409202</x:t>
  </x:si>
  <x:si>
    <x:t>TR760006200089200006894212</x:t>
  </x:si>
  <x:si>
    <x:t>32867452838</x:t>
  </x:si>
  <x:si>
    <x:t>AYILMAZDIR</x:t>
  </x:si>
  <x:si>
    <x:t>TR400006400000122310098763</x:t>
  </x:si>
  <x:si>
    <x:t>22627466656</x:t>
  </x:si>
  <x:si>
    <x:t>TR460006701000000099380329</x:t>
  </x:si>
  <x:si>
    <x:t>36259836732</x:t>
  </x:si>
  <x:si>
    <x:t>ALBAYRAK</x:t>
  </x:si>
  <x:si>
    <x:t>TR700001009010798775705001</x:t>
  </x:si>
  <x:si>
    <x:t>11953931136</x:t>
  </x:si>
  <x:si>
    <x:t>ATLI</x:t>
  </x:si>
  <x:si>
    <x:t>TR070001009010391467605002</x:t>
  </x:si>
  <x:si>
    <x:t>22166506424</x:t>
  </x:si>
  <x:si>
    <x:t>METİN AZAT</x:t>
  </x:si>
  <x:si>
    <x:t>ERDEMİRCİ</x:t>
  </x:si>
  <x:si>
    <x:t>TR160001009010039652305002</x:t>
  </x:si>
  <x:si>
    <x:t>10147616040</x:t>
  </x:si>
  <x:si>
    <x:t>MİKAİL</x:t>
  </x:si>
  <x:si>
    <x:t>COŞKUN</x:t>
  </x:si>
  <x:si>
    <x:t>TR690001002572961981195001</x:t>
  </x:si>
  <x:si>
    <x:t>10713137924</x:t>
  </x:si>
  <x:si>
    <x:t>MİRAÇ ABDULLAH</x:t>
  </x:si>
  <x:si>
    <x:t>İNSEL</x:t>
  </x:si>
  <x:si>
    <x:t>TR970001009010748987005001</x:t>
  </x:si>
  <x:si>
    <x:t>10334980176</x:t>
  </x:si>
  <x:si>
    <x:t>MUAMMER EMRE</x:t>
  </x:si>
  <x:si>
    <x:t>TR970001009010284911305002</x:t>
  </x:si>
  <x:si>
    <x:t>30416453220</x:t>
  </x:si>
  <x:si>
    <x:t>MÜBECCEL ŞURA</x:t>
  </x:si>
  <x:si>
    <x:t>KORKUT</x:t>
  </x:si>
  <x:si>
    <x:t>TR490001000200733750045001</x:t>
  </x:si>
  <x:si>
    <x:t>55219378594</x:t>
  </x:si>
  <x:si>
    <x:t>MUHAMMED</x:t>
  </x:si>
  <x:si>
    <x:t>TR190001009010030346605001</x:t>
  </x:si>
  <x:si>
    <x:t>31351436668</x:t>
  </x:si>
  <x:si>
    <x:t>TR680001009010046299105003</x:t>
  </x:si>
  <x:si>
    <x:t>49255784396</x:t>
  </x:si>
  <x:si>
    <x:t>KOÇA</x:t>
  </x:si>
  <x:si>
    <x:t>TR260020500009869933500001</x:t>
  </x:si>
  <x:si>
    <x:t>10105861192</x:t>
  </x:si>
  <x:si>
    <x:t>CERİTOĞLU</x:t>
  </x:si>
  <x:si>
    <x:t>TR600011100000000139336533</x:t>
  </x:si>
  <x:si>
    <x:t>18310856316</x:t>
  </x:si>
  <x:si>
    <x:t>MUHAMMED FURKAN</x:t>
  </x:si>
  <x:si>
    <x:t>TR980004600264888000197218</x:t>
  </x:si>
  <x:si>
    <x:t>10244943322</x:t>
  </x:si>
  <x:si>
    <x:t>MUHAMMED HAMZA</x:t>
  </x:si>
  <x:si>
    <x:t>BAŞTÜRK</x:t>
  </x:si>
  <x:si>
    <x:t>TR580001009010550321005003</x:t>
  </x:si>
  <x:si>
    <x:t>10508569510</x:t>
  </x:si>
  <x:si>
    <x:t>MUHAMMED HUZEYFE</x:t>
  </x:si>
  <x:si>
    <x:t>TR620001009010061909105009</x:t>
  </x:si>
  <x:si>
    <x:t>16675903782</x:t>
  </x:si>
  <x:si>
    <x:t>MUHAMMED ROHAT</x:t>
  </x:si>
  <x:si>
    <x:t>YEŞİLIRMAK</x:t>
  </x:si>
  <x:si>
    <x:t>TR650013400002466805400001</x:t>
  </x:si>
  <x:si>
    <x:t>10075774720</x:t>
  </x:si>
  <x:si>
    <x:t>MUHAMMED SAKİ</x:t>
  </x:si>
  <x:si>
    <x:t>TR440010300000000068789607</x:t>
  </x:si>
  <x:si>
    <x:t>10061840156</x:t>
  </x:si>
  <x:si>
    <x:t>MUHAMMET TALHA</x:t>
  </x:si>
  <x:si>
    <x:t>TR960001001799960095345003</x:t>
  </x:si>
  <x:si>
    <x:t>11119943256</x:t>
  </x:si>
  <x:si>
    <x:t>MUHAMMET UBEYDE</x:t>
  </x:si>
  <x:si>
    <x:t>NARİN</x:t>
  </x:si>
  <x:si>
    <x:t>TR430020500009880459600001</x:t>
  </x:si>
  <x:si>
    <x:t>10046806184</x:t>
  </x:si>
  <x:si>
    <x:t>MUKADDES BETÜL</x:t>
  </x:si>
  <x:si>
    <x:t>ÖZOKCU</x:t>
  </x:si>
  <x:si>
    <x:t>TR880020500009920636100001</x:t>
  </x:si>
  <x:si>
    <x:t>10750961414</x:t>
  </x:si>
  <x:si>
    <x:t>MURAT EFE</x:t>
  </x:si>
  <x:si>
    <x:t>İHTİYAR</x:t>
  </x:si>
  <x:si>
    <x:t>TR810006200069500006872312</x:t>
  </x:si>
  <x:si>
    <x:t>65521348734</x:t>
  </x:si>
  <x:si>
    <x:t>ÜRESİN</x:t>
  </x:si>
  <x:si>
    <x:t>TR450001009010748017505002</x:t>
  </x:si>
  <x:si>
    <x:t>10265150112</x:t>
  </x:si>
  <x:si>
    <x:t>TR530006400000161081190589</x:t>
  </x:si>
  <x:si>
    <x:t>38014426738</x:t>
  </x:si>
  <x:si>
    <x:t>ERGÜVENOĞLU</x:t>
  </x:si>
  <x:si>
    <x:t>TR880006200050900006611604</x:t>
  </x:si>
  <x:si>
    <x:t>22225587104</x:t>
  </x:si>
  <x:si>
    <x:t>MUSTAFA OZAN</x:t>
  </x:si>
  <x:si>
    <x:t>TR880001009010331322105002</x:t>
  </x:si>
  <x:si>
    <x:t>10036957674</x:t>
  </x:si>
  <x:si>
    <x:t>MUSTAFA SAİD</x:t>
  </x:si>
  <x:si>
    <x:t>TR800001009010552222305002</x:t>
  </x:si>
  <x:si>
    <x:t>21224189098</x:t>
  </x:si>
  <x:si>
    <x:t>NAZLI</x:t>
  </x:si>
  <x:si>
    <x:t>TAVŞAN</x:t>
  </x:si>
  <x:si>
    <x:t>TR150006701000000069018141</x:t>
  </x:si>
  <x:si>
    <x:t>10336607422</x:t>
  </x:si>
  <x:si>
    <x:t>NAZLICAN</x:t>
  </x:si>
  <x:si>
    <x:t>GÜNDOĞDU</x:t>
  </x:si>
  <x:si>
    <x:t>TR850006400000122160480594</x:t>
  </x:si>
  <x:si>
    <x:t>20324235742</x:t>
  </x:si>
  <x:si>
    <x:t>TR520001500158007322414740</x:t>
  </x:si>
  <x:si>
    <x:t>10675947098</x:t>
  </x:si>
  <x:si>
    <x:t>NAZLIHAN</x:t>
  </x:si>
  <x:si>
    <x:t>MERD</x:t>
  </x:si>
  <x:si>
    <x:t>TR700001009010515273805001</x:t>
  </x:si>
  <x:si>
    <x:t>10268422230</x:t>
  </x:si>
  <x:si>
    <x:t>NECİBE GÜL</x:t>
  </x:si>
  <x:si>
    <x:t>DAĞLI</x:t>
  </x:si>
  <x:si>
    <x:t>TR320006701000000011547857</x:t>
  </x:si>
  <x:si>
    <x:t>23593536534</x:t>
  </x:si>
  <x:si>
    <x:t>NECLA</x:t>
  </x:si>
  <x:si>
    <x:t>TR910001000386821243865001</x:t>
  </x:si>
  <x:si>
    <x:t>10265592684</x:t>
  </x:si>
  <x:si>
    <x:t>NEHİR</x:t>
  </x:si>
  <x:si>
    <x:t>KÖKLÜCE</x:t>
  </x:si>
  <x:si>
    <x:t>TR590001200929900001154469</x:t>
  </x:si>
  <x:si>
    <x:t>33058197590</x:t>
  </x:si>
  <x:si>
    <x:t>TR070001009010262892705001</x:t>
  </x:si>
  <x:si>
    <x:t>20476381922</x:t>
  </x:si>
  <x:si>
    <x:t>KAYNAR</x:t>
  </x:si>
  <x:si>
    <x:t>TR790001009010957937005001</x:t>
  </x:si>
  <x:si>
    <x:t>10863102292</x:t>
  </x:si>
  <x:si>
    <x:t>TR400001009010560166005001</x:t>
  </x:si>
  <x:si>
    <x:t>18845273626</x:t>
  </x:si>
  <x:si>
    <x:t>NUR BANU</x:t>
  </x:si>
  <x:si>
    <x:t>SARAÇ</x:t>
  </x:si>
  <x:si>
    <x:t>TR500001200132900001129588</x:t>
  </x:si>
  <x:si>
    <x:t>14590803538</x:t>
  </x:si>
  <x:si>
    <x:t>ORUÇ</x:t>
  </x:si>
  <x:si>
    <x:t>TR060001009010367193805003</x:t>
  </x:si>
  <x:si>
    <x:t>23713443940</x:t>
  </x:si>
  <x:si>
    <x:t>GENÇLER</x:t>
  </x:si>
  <x:si>
    <x:t>TR180001009010550533805002</x:t>
  </x:si>
  <x:si>
    <x:t>10151256102</x:t>
  </x:si>
  <x:si>
    <x:t>NURGÜL</x:t>
  </x:si>
  <x:si>
    <x:t>TR180015700000000157572414</x:t>
  </x:si>
  <x:si>
    <x:t>10244083462</x:t>
  </x:si>
  <x:si>
    <x:t>NURGÜL EBRAR</x:t>
  </x:si>
  <x:si>
    <x:t>CANBULAT</x:t>
  </x:si>
  <x:si>
    <x:t>TR150006701000000022006315</x:t>
  </x:si>
  <x:si>
    <x:t>11335950434</x:t>
  </x:si>
  <x:si>
    <x:t>NURSENA</x:t>
  </x:si>
  <x:si>
    <x:t>TR740006701000000077014147</x:t>
  </x:si>
  <x:si>
    <x:t>35989114066</x:t>
  </x:si>
  <x:si>
    <x:t>AKARKAYA</x:t>
  </x:si>
  <x:si>
    <x:t>TR620001009010536974805001</x:t>
  </x:si>
  <x:si>
    <x:t>10280983832</x:t>
  </x:si>
  <x:si>
    <x:t>OLCAY</x:t>
  </x:si>
  <x:si>
    <x:t>SARIGÜL</x:t>
  </x:si>
  <x:si>
    <x:t>TR650001200132900001131452</x:t>
  </x:si>
  <x:si>
    <x:t>10979740142</x:t>
  </x:si>
  <x:si>
    <x:t>ÖMER TAHİR</x:t>
  </x:si>
  <x:si>
    <x:t>TR720001009010755924405002</x:t>
  </x:si>
  <x:si>
    <x:t>20612215098</x:t>
  </x:si>
  <x:si>
    <x:t>OSMAN</x:t>
  </x:si>
  <x:si>
    <x:t>KIRTAK</x:t>
  </x:si>
  <x:si>
    <x:t>TR120015700000000116769181</x:t>
  </x:si>
  <x:si>
    <x:t>26095560564</x:t>
  </x:si>
  <x:si>
    <x:t>İLHAN</x:t>
  </x:si>
  <x:si>
    <x:t>TR040001009010223929805001</x:t>
  </x:si>
  <x:si>
    <x:t>10060995550</x:t>
  </x:si>
  <x:si>
    <x:t>OSMAN ALİ</x:t>
  </x:si>
  <x:si>
    <x:t>ALLAK</x:t>
  </x:si>
  <x:si>
    <x:t>TR230001001799827433675005</x:t>
  </x:si>
  <x:si>
    <x:t>22384642348</x:t>
  </x:si>
  <x:si>
    <x:t>OSMAN EREN</x:t>
  </x:si>
  <x:si>
    <x:t>TR420001000271787440375001</x:t>
  </x:si>
  <x:si>
    <x:t>10531869946</x:t>
  </x:si>
  <x:si>
    <x:t>GÜLŞEN</x:t>
  </x:si>
  <x:si>
    <x:t>TR020006400000122310238157</x:t>
  </x:si>
  <x:si>
    <x:t>10588920294</x:t>
  </x:si>
  <x:si>
    <x:t>PELİN</x:t>
  </x:si>
  <x:si>
    <x:t>TR410001200132900001129265</x:t>
  </x:si>
  <x:si>
    <x:t>64042012650</x:t>
  </x:si>
  <x:si>
    <x:t>RABİA</x:t>
  </x:si>
  <x:si>
    <x:t>ATSAY</x:t>
  </x:si>
  <x:si>
    <x:t>TR100001002561911692905001</x:t>
  </x:si>
  <x:si>
    <x:t>18100724610</x:t>
  </x:si>
  <x:si>
    <x:t>AYVAZ</x:t>
  </x:si>
  <x:si>
    <x:t>TR120004600008888000317102</x:t>
  </x:si>
  <x:si>
    <x:t>10571135834</x:t>
  </x:si>
  <x:si>
    <x:t>RAMAZAN</x:t>
  </x:si>
  <x:si>
    <x:t>BİÇAK</x:t>
  </x:si>
  <x:si>
    <x:t>TR600001009010594358105001</x:t>
  </x:si>
  <x:si>
    <x:t>10205501554</x:t>
  </x:si>
  <x:si>
    <x:t>GÜL</x:t>
  </x:si>
  <x:si>
    <x:t>TR250001009010941725505001</x:t>
  </x:si>
  <x:si>
    <x:t>11884652476</x:t>
  </x:si>
  <x:si>
    <x:t>RECEP ERSAN</x:t>
  </x:si>
  <x:si>
    <x:t>SABANCI</x:t>
  </x:si>
  <x:si>
    <x:t>TR580001009010750362705002</x:t>
  </x:si>
  <x:si>
    <x:t>10204530746</x:t>
  </x:si>
  <x:si>
    <x:t>TR850001009010557410305001</x:t>
  </x:si>
  <x:si>
    <x:t>11704568024</x:t>
  </x:si>
  <x:si>
    <x:t>ROJDA</x:t>
  </x:si>
  <x:si>
    <x:t>ARAS</x:t>
  </x:si>
  <x:si>
    <x:t>TR070001009010287230005001</x:t>
  </x:si>
  <x:si>
    <x:t>24157403668</x:t>
  </x:si>
  <x:si>
    <x:t>GEYLAN</x:t>
  </x:si>
  <x:si>
    <x:t>TR900001009010716451405001</x:t>
  </x:si>
  <x:si>
    <x:t>18374882832</x:t>
  </x:si>
  <x:si>
    <x:t>ROJİN</x:t>
  </x:si>
  <x:si>
    <x:t>TR950001009010555586505001</x:t>
  </x:si>
  <x:si>
    <x:t>30319625694</x:t>
  </x:si>
  <x:si>
    <x:t>TR030011100000000127341957</x:t>
  </x:si>
  <x:si>
    <x:t>11974929754</x:t>
  </x:si>
  <x:si>
    <x:t>RUMEYSA NUR</x:t>
  </x:si>
  <x:si>
    <x:t>TR700001001799514072405003</x:t>
  </x:si>
  <x:si>
    <x:t>38989473898</x:t>
  </x:si>
  <x:si>
    <x:t>TR650004600043888000508980</x:t>
  </x:si>
  <x:si>
    <x:t>16139889454</x:t>
  </x:si>
  <x:si>
    <x:t>ŞABAN</x:t>
  </x:si>
  <x:si>
    <x:t>AYTAN</x:t>
  </x:si>
  <x:si>
    <x:t>TR920001009010281691005002</x:t>
  </x:si>
  <x:si>
    <x:t>19103082936</x:t>
  </x:si>
  <x:si>
    <x:t>SABİHA</x:t>
  </x:si>
  <x:si>
    <x:t>TR120001009010752433605002</x:t>
  </x:si>
  <x:si>
    <x:t>13998028628</x:t>
  </x:si>
  <x:si>
    <x:t>SABRİ</x:t>
  </x:si>
  <x:si>
    <x:t>CANDAN</x:t>
  </x:si>
  <x:si>
    <x:t>TR520001009010591110705001</x:t>
  </x:si>
  <x:si>
    <x:t>10223204284</x:t>
  </x:si>
  <x:si>
    <x:t>SAİT EMİN</x:t>
  </x:si>
  <x:si>
    <x:t>TR340006701000000078441252</x:t>
  </x:si>
  <x:si>
    <x:t>31633249450</x:t>
  </x:si>
  <x:si>
    <x:t>SAMET</x:t>
  </x:si>
  <x:si>
    <x:t>TR720001009010284726105001</x:t>
  </x:si>
  <x:si>
    <x:t>40123779384</x:t>
  </x:si>
  <x:si>
    <x:t>KAYHAN</x:t>
  </x:si>
  <x:si>
    <x:t>TR660006200060600006802896</x:t>
  </x:si>
  <x:si>
    <x:t>10474979900</x:t>
  </x:si>
  <x:si>
    <x:t>TR330001000051944791735001</x:t>
  </x:si>
  <x:si>
    <x:t>44068113142</x:t>
  </x:si>
  <x:si>
    <x:t>SAMET EFE</x:t>
  </x:si>
  <x:si>
    <x:t>TR770001500158007322704514</x:t>
  </x:si>
  <x:si>
    <x:t>24217468026</x:t>
  </x:si>
  <x:si>
    <x:t>ŞAZİME</x:t>
  </x:si>
  <x:si>
    <x:t>TAŞLI</x:t>
  </x:si>
  <x:si>
    <x:t>TR300015700000000110522251</x:t>
  </x:si>
  <x:si>
    <x:t>20570506870</x:t>
  </x:si>
  <x:si>
    <x:t>SEDAT</x:t>
  </x:si>
  <x:si>
    <x:t>ŞENAY</x:t>
  </x:si>
  <x:si>
    <x:t>TR540001000181504433515002</x:t>
  </x:si>
  <x:si>
    <x:t>38905813456</x:t>
  </x:si>
  <x:si>
    <x:t>SEFA FURKAN</x:t>
  </x:si>
  <x:si>
    <x:t>KESEN</x:t>
  </x:si>
  <x:si>
    <x:t>TR480001009010286829005002</x:t>
  </x:si>
  <x:si>
    <x:t>10046069152</x:t>
  </x:si>
  <x:si>
    <x:t>SEHER</x:t>
  </x:si>
  <x:si>
    <x:t>ÖVÜS</x:t>
  </x:si>
  <x:si>
    <x:t>TR640001009010748399305002</x:t>
  </x:si>
  <x:si>
    <x:t>11414411344</x:t>
  </x:si>
  <x:si>
    <x:t>SELDA</x:t>
  </x:si>
  <x:si>
    <x:t>SEZGİN</x:t>
  </x:si>
  <x:si>
    <x:t>TR080001009010607539505001</x:t>
  </x:si>
  <x:si>
    <x:t>10157229872</x:t>
  </x:si>
  <x:si>
    <x:t>TR390001001799958356415001</x:t>
  </x:si>
  <x:si>
    <x:t>14704837688</x:t>
  </x:si>
  <x:si>
    <x:t>ŞENER</x:t>
  </x:si>
  <x:si>
    <x:t>TR510001009010057119905001</x:t>
  </x:si>
  <x:si>
    <x:t>58189153246</x:t>
  </x:si>
  <x:si>
    <x:t>BUĞDAYCI</x:t>
  </x:si>
  <x:si>
    <x:t>TR610001001799624394565003</x:t>
  </x:si>
  <x:si>
    <x:t>10295356720</x:t>
  </x:si>
  <x:si>
    <x:t>TR150001004017904104005004</x:t>
  </x:si>
  <x:si>
    <x:t>10202770458</x:t>
  </x:si>
  <x:si>
    <x:t>KOCABEY</x:t>
  </x:si>
  <x:si>
    <x:t>TR200006200068700006611065</x:t>
  </x:si>
  <x:si>
    <x:t>41950965032</x:t>
  </x:si>
  <x:si>
    <x:t>TECER</x:t>
  </x:si>
  <x:si>
    <x:t>TR480001001799959327205001</x:t>
  </x:si>
  <x:si>
    <x:t>16886607158</x:t>
  </x:si>
  <x:si>
    <x:t>BOLAT</x:t>
  </x:si>
  <x:si>
    <x:t>TR500004600995888000155421</x:t>
  </x:si>
  <x:si>
    <x:t>14711623656</x:t>
  </x:si>
  <x:si>
    <x:t>CANKUL</x:t>
  </x:si>
  <x:si>
    <x:t>TR300001000147947227305001</x:t>
  </x:si>
  <x:si>
    <x:t>53947167800</x:t>
  </x:si>
  <x:si>
    <x:t>SERHAN</x:t>
  </x:si>
  <x:si>
    <x:t>TR400001009010291146205001</x:t>
  </x:si>
  <x:si>
    <x:t>13702675742</x:t>
  </x:si>
  <x:si>
    <x:t>SETTAR CAN</x:t>
  </x:si>
  <x:si>
    <x:t>TALUĞ</x:t>
  </x:si>
  <x:si>
    <x:t>TR360001009010552179105001</x:t>
  </x:si>
  <x:si>
    <x:t>54910722088</x:t>
  </x:si>
  <x:si>
    <x:t>SEVCAN</x:t>
  </x:si>
  <x:si>
    <x:t>TR350001009010555414505002</x:t>
  </x:si>
  <x:si>
    <x:t>10279939628</x:t>
  </x:si>
  <x:si>
    <x:t>SİL</x:t>
  </x:si>
  <x:si>
    <x:t>TR470001009010043817405001</x:t>
  </x:si>
  <x:si>
    <x:t>19720904710</x:t>
  </x:si>
  <x:si>
    <x:t>SEVDA</x:t>
  </x:si>
  <x:si>
    <x:t>TR640006701000000023994515</x:t>
  </x:si>
  <x:si>
    <x:t>22730116844</x:t>
  </x:si>
  <x:si>
    <x:t>SEVDE BETÜL</x:t>
  </x:si>
  <x:si>
    <x:t>DURMUŞ</x:t>
  </x:si>
  <x:si>
    <x:t>TR410001009010327818005001</x:t>
  </x:si>
  <x:si>
    <x:t>10427855978</x:t>
  </x:si>
  <x:si>
    <x:t>TR530001009010274004105001</x:t>
  </x:si>
  <x:si>
    <x:t>11224308674</x:t>
  </x:si>
  <x:si>
    <x:t>ŞEVİN</x:t>
  </x:si>
  <x:si>
    <x:t>ATALAY</x:t>
  </x:si>
  <x:si>
    <x:t>TR520015700000000136137615</x:t>
  </x:si>
  <x:si>
    <x:t>12605886040</x:t>
  </x:si>
  <x:si>
    <x:t>ŞEVVAL FATMA</x:t>
  </x:si>
  <x:si>
    <x:t>BIYIKLI</x:t>
  </x:si>
  <x:si>
    <x:t>TR780001001934905626695001</x:t>
  </x:si>
  <x:si>
    <x:t>51535063008</x:t>
  </x:si>
  <x:si>
    <x:t>ŞEVVAL RABİA</x:t>
  </x:si>
  <x:si>
    <x:t>AKAĞAÇ</x:t>
  </x:si>
  <x:si>
    <x:t>TR030006701000000011706780</x:t>
  </x:si>
  <x:si>
    <x:t>11317924132</x:t>
  </x:si>
  <x:si>
    <x:t>ŞEYDA</x:t>
  </x:si>
  <x:si>
    <x:t>ÇOBAN</x:t>
  </x:si>
  <x:si>
    <x:t>TR180001009010280241905001</x:t>
  </x:si>
  <x:si>
    <x:t>17329964708</x:t>
  </x:si>
  <x:si>
    <x:t>ŞEYDANUR</x:t>
  </x:si>
  <x:si>
    <x:t>ALTIN</x:t>
  </x:si>
  <x:si>
    <x:t>TR270001009010751685005001</x:t>
  </x:si>
  <x:si>
    <x:t>11129735346</x:t>
  </x:si>
  <x:si>
    <x:t>SEYDİ AHMET ENES</x:t>
  </x:si>
  <x:si>
    <x:t>MEMİŞOĞLU</x:t>
  </x:si>
  <x:si>
    <x:t>TR130001004018898234625006</x:t>
  </x:si>
  <x:si>
    <x:t>24046965680</x:t>
  </x:si>
  <x:si>
    <x:t>SEYHAN SELİN</x:t>
  </x:si>
  <x:si>
    <x:t>ÇELEBİ</x:t>
  </x:si>
  <x:si>
    <x:t>TR860006701000000035730634</x:t>
  </x:si>
  <x:si>
    <x:t>14774133482</x:t>
  </x:si>
  <x:si>
    <x:t>SEYİT</x:t>
  </x:si>
  <x:si>
    <x:t>TR480001009010554230305003</x:t>
  </x:si>
  <x:si>
    <x:t>11344049310</x:t>
  </x:si>
  <x:si>
    <x:t>KIRTIK</x:t>
  </x:si>
  <x:si>
    <x:t>TR960001000649908927285001</x:t>
  </x:si>
  <x:si>
    <x:t>43939226356</x:t>
  </x:si>
  <x:si>
    <x:t>SİBEL</x:t>
  </x:si>
  <x:si>
    <x:t>GÜRDAL</x:t>
  </x:si>
  <x:si>
    <x:t>TR080001009010538931405001</x:t>
  </x:si>
  <x:si>
    <x:t>22978635428</x:t>
  </x:si>
  <x:si>
    <x:t>AĞAR</x:t>
  </x:si>
  <x:si>
    <x:t>TR810001009010475192105003</x:t>
  </x:si>
  <x:si>
    <x:t>10109932386</x:t>
  </x:si>
  <x:si>
    <x:t>YENİKÖY</x:t>
  </x:si>
  <x:si>
    <x:t>TR640020500009959684900001</x:t>
  </x:si>
  <x:si>
    <x:t>23375122566</x:t>
  </x:si>
  <x:si>
    <x:t>TR060001009010558232505001</x:t>
  </x:si>
  <x:si>
    <x:t>10038074676</x:t>
  </x:si>
  <x:si>
    <x:t>SİNAN BORAN</x:t>
  </x:si>
  <x:si>
    <x:t>TR220006400000122310221598</x:t>
  </x:si>
  <x:si>
    <x:t>11419920940</x:t>
  </x:si>
  <x:si>
    <x:t>BAKIRCI</x:t>
  </x:si>
  <x:si>
    <x:t>TR880006200039000006850528</x:t>
  </x:si>
  <x:si>
    <x:t>10177948838</x:t>
  </x:si>
  <x:si>
    <x:t>TR340001000827912020155003</x:t>
  </x:si>
  <x:si>
    <x:t>35443974908</x:t>
  </x:si>
  <x:si>
    <x:t>KÖSE</x:t>
  </x:si>
  <x:si>
    <x:t>TR800006701000000052706421</x:t>
  </x:si>
  <x:si>
    <x:t>20695611572</x:t>
  </x:si>
  <x:si>
    <x:t>TR710001009010377316505001</x:t>
  </x:si>
  <x:si>
    <x:t>30508029524</x:t>
  </x:si>
  <x:si>
    <x:t>SUDEM</x:t>
  </x:si>
  <x:si>
    <x:t>TR400001009010514857305001</x:t>
  </x:si>
  <x:si>
    <x:t>15770668718</x:t>
  </x:si>
  <x:si>
    <x:t>ÇAVAŞ</x:t>
  </x:si>
  <x:si>
    <x:t>TR290001009010292236705001</x:t>
  </x:si>
  <x:si>
    <x:t>27110203916</x:t>
  </x:si>
  <x:si>
    <x:t>TALHA</x:t>
  </x:si>
  <x:si>
    <x:t>NAZLIM</x:t>
  </x:si>
  <x:si>
    <x:t>TR030006200048800006800449</x:t>
  </x:si>
  <x:si>
    <x:t>11000739630</x:t>
  </x:si>
  <x:si>
    <x:t>OLCA</x:t>
  </x:si>
  <x:si>
    <x:t>TR850001009010266507305001</x:t>
  </x:si>
  <x:si>
    <x:t>45748380762</x:t>
  </x:si>
  <x:si>
    <x:t>TALHA ENES</x:t>
  </x:si>
  <x:si>
    <x:t>ERATA</x:t>
  </x:si>
  <x:si>
    <x:t>TR690001009010795115805003</x:t>
  </x:si>
  <x:si>
    <x:t>10156978962</x:t>
  </x:si>
  <x:si>
    <x:t>DÖNMEZ</x:t>
  </x:si>
  <x:si>
    <x:t>TR930001009010613551805001</x:t>
  </x:si>
  <x:si>
    <x:t>11431948854</x:t>
  </x:si>
  <x:si>
    <x:t>YILMAZSOY</x:t>
  </x:si>
  <x:si>
    <x:t>TR230001009010285489505001</x:t>
  </x:si>
  <x:si>
    <x:t>34621747600</x:t>
  </x:si>
  <x:si>
    <x:t>TUĞÇE ALEYNA</x:t>
  </x:si>
  <x:si>
    <x:t>TOPTAŞ</x:t>
  </x:si>
  <x:si>
    <x:t>TR870001009010194981405001</x:t>
  </x:si>
  <x:si>
    <x:t>11010150234</x:t>
  </x:si>
  <x:si>
    <x:t>TÜLİN</x:t>
  </x:si>
  <x:si>
    <x:t>ÇEKİM</x:t>
  </x:si>
  <x:si>
    <x:t>TR760001009010465353605001</x:t>
  </x:si>
  <x:si>
    <x:t>10145346802</x:t>
  </x:si>
  <x:si>
    <x:t>ÜMİT</x:t>
  </x:si>
  <x:si>
    <x:t>KARAGÖL</x:t>
  </x:si>
  <x:si>
    <x:t>TR730015700000000152204705</x:t>
  </x:si>
  <x:si>
    <x:t>64876124840</x:t>
  </x:si>
  <x:si>
    <x:t>ÜMİT BURAK</x:t>
  </x:si>
  <x:si>
    <x:t>KİSBET</x:t>
  </x:si>
  <x:si>
    <x:t>TR170001009010803143705001</x:t>
  </x:si>
  <x:si>
    <x:t>10789958232</x:t>
  </x:si>
  <x:si>
    <x:t>ÜMİTCAN</x:t>
  </x:si>
  <x:si>
    <x:t>TR330001009010552423605001</x:t>
  </x:si>
  <x:si>
    <x:t>14962029542</x:t>
  </x:si>
  <x:si>
    <x:t>UMUR</x:t>
  </x:si>
  <x:si>
    <x:t>TR920001500158007314104321</x:t>
  </x:si>
  <x:si>
    <x:t>36478085584</x:t>
  </x:si>
  <x:si>
    <x:t>TR400001200132900001129865</x:t>
  </x:si>
  <x:si>
    <x:t>11812364006</x:t>
  </x:si>
  <x:si>
    <x:t>VİLDAN</x:t>
  </x:si>
  <x:si>
    <x:t>YIĞINGAN</x:t>
  </x:si>
  <x:si>
    <x:t>TR900006200119300006625802</x:t>
  </x:si>
  <x:si>
    <x:t>12037900888</x:t>
  </x:si>
  <x:si>
    <x:t>YAĞIZ ÖMER</x:t>
  </x:si>
  <x:si>
    <x:t>ACUR</x:t>
  </x:si>
  <x:si>
    <x:t>TR490006400000122410315509</x:t>
  </x:si>
  <x:si>
    <x:t>10552965238</x:t>
  </x:si>
  <x:si>
    <x:t>TR860006400000122410280117</x:t>
  </x:si>
  <x:si>
    <x:t>18232157942</x:t>
  </x:si>
  <x:si>
    <x:t>KUŞU</x:t>
  </x:si>
  <x:si>
    <x:t>TR230020500009805003700001</x:t>
  </x:si>
  <x:si>
    <x:t>48382268786</x:t>
  </x:si>
  <x:si>
    <x:t>YAĞMUR NİSA</x:t>
  </x:si>
  <x:si>
    <x:t>DEVECİ</x:t>
  </x:si>
  <x:si>
    <x:t>TR400006400000165300556866</x:t>
  </x:si>
  <x:si>
    <x:t>66556000604</x:t>
  </x:si>
  <x:si>
    <x:t>YAHYA</x:t>
  </x:si>
  <x:si>
    <x:t>TR500001009010045349405002</x:t>
  </x:si>
  <x:si>
    <x:t>60379113640</x:t>
  </x:si>
  <x:si>
    <x:t>YAKUP</x:t>
  </x:si>
  <x:si>
    <x:t>TR870001009010542202605001</x:t>
  </x:si>
  <x:si>
    <x:t>10173031220</x:t>
  </x:si>
  <x:si>
    <x:t>ÇİL</x:t>
  </x:si>
  <x:si>
    <x:t>TR640001000028949706305001</x:t>
  </x:si>
  <x:si>
    <x:t>46459703154</x:t>
  </x:si>
  <x:si>
    <x:t>YASEMİN</x:t>
  </x:si>
  <x:si>
    <x:t>TOPCU</x:t>
  </x:si>
  <x:si>
    <x:t>TR780006200042300006848118</x:t>
  </x:si>
  <x:si>
    <x:t>15961901518</x:t>
  </x:si>
  <x:si>
    <x:t>TR810001009010601337805001</x:t>
  </x:si>
  <x:si>
    <x:t>20257638306</x:t>
  </x:si>
  <x:si>
    <x:t>YİĞİT FAİK</x:t>
  </x:si>
  <x:si>
    <x:t>TR060006701000000040515823</x:t>
  </x:si>
  <x:si>
    <x:t>44968086522</x:t>
  </x:si>
  <x:si>
    <x:t>ÖRS</x:t>
  </x:si>
  <x:si>
    <x:t>TR880006200052600006628106</x:t>
  </x:si>
  <x:si>
    <x:t>11987069584</x:t>
  </x:si>
  <x:si>
    <x:t>TR310020500009849708900001</x:t>
  </x:si>
  <x:si>
    <x:t>18319154642</x:t>
  </x:si>
  <x:si>
    <x:t>AZARAK</x:t>
  </x:si>
  <x:si>
    <x:t>TR800001009010223420005001</x:t>
  </x:si>
  <x:si>
    <x:t>10258856892</x:t>
  </x:si>
  <x:si>
    <x:t>BORLU</x:t>
  </x:si>
  <x:si>
    <x:t>TR680004600060888000293609</x:t>
  </x:si>
  <x:si>
    <x:t>24725302072</x:t>
  </x:si>
  <x:si>
    <x:t>GÜRSUL</x:t>
  </x:si>
  <x:si>
    <x:t>TR530001009010527067405001</x:t>
  </x:si>
  <x:si>
    <x:t>12087011572</x:t>
  </x:si>
  <x:si>
    <x:t>HALHALLİ</x:t>
  </x:si>
  <x:si>
    <x:t>TR680015700000000157485960</x:t>
  </x:si>
  <x:si>
    <x:t>41977475262</x:t>
  </x:si>
  <x:si>
    <x:t>MERGEN</x:t>
  </x:si>
  <x:si>
    <x:t>TR300006701000000010119180</x:t>
  </x:si>
  <x:si>
    <x:t>16141789940</x:t>
  </x:si>
  <x:si>
    <x:t>YUSUF EMİR</x:t>
  </x:si>
  <x:si>
    <x:t>TR620001200141900001112626</x:t>
  </x:si>
  <x:si>
    <x:t>15758039424</x:t>
  </x:si>
  <x:si>
    <x:t>YUSUF İSLAM</x:t>
  </x:si>
  <x:si>
    <x:t>NEHRİ</x:t>
  </x:si>
  <x:si>
    <x:t>TR890006400000124231302385</x:t>
  </x:si>
  <x:si>
    <x:t>10697699692</x:t>
  </x:si>
  <x:si>
    <x:t>YUSUF KERİM</x:t>
  </x:si>
  <x:si>
    <x:t>TR280001009010523003605001</x:t>
  </x:si>
  <x:si>
    <x:t>10841975016</x:t>
  </x:si>
  <x:si>
    <x:t>TR730001009010555880205004</x:t>
  </x:si>
  <x:si>
    <x:t>10475859492</x:t>
  </x:si>
  <x:si>
    <x:t>YEŞİLMEN</x:t>
  </x:si>
  <x:si>
    <x:t>TR320001500158007323059471</x:t>
  </x:si>
  <x:si>
    <x:t>35029423424</x:t>
  </x:si>
  <x:si>
    <x:t>TR020001009010905663305001</x:t>
  </x:si>
  <x:si>
    <x:t>11857906940</x:t>
  </x:si>
  <x:si>
    <x:t>ZEHRA KÜBRA</x:t>
  </x:si>
  <x:si>
    <x:t>TR700001009010285724705002</x:t>
  </x:si>
  <x:si>
    <x:t>24491097578</x:t>
  </x:si>
  <x:si>
    <x:t>ZEHRA VİLDAN</x:t>
  </x:si>
  <x:si>
    <x:t>ŞİRİN</x:t>
  </x:si>
  <x:si>
    <x:t>TR770001009010518321405001</x:t>
  </x:si>
  <x:si>
    <x:t>10505483994</x:t>
  </x:si>
  <x:si>
    <x:t>ZELİHA İCLAL</x:t>
  </x:si>
  <x:si>
    <x:t>YÜRÜK</x:t>
  </x:si>
  <x:si>
    <x:t>TR310001009010205772805001</x:t>
  </x:si>
  <x:si>
    <x:t>13903463100</x:t>
  </x:si>
  <x:si>
    <x:t>ARIKAYA</x:t>
  </x:si>
  <x:si>
    <x:t>TR570006701000000020272072</x:t>
  </x:si>
  <x:si>
    <x:t>44414068034</x:t>
  </x:si>
  <x:si>
    <x:t>DEĞİRMENCİ</x:t>
  </x:si>
  <x:si>
    <x:t>TR900006400000113660249836</x:t>
  </x:si>
  <x:si>
    <x:t>36535663502</x:t>
  </x:si>
  <x:si>
    <x:t>GÜCLÜ</x:t>
  </x:si>
  <x:si>
    <x:t>TR200001009010276189205001</x:t>
  </x:si>
  <x:si>
    <x:t>16910036534</x:t>
  </x:si>
  <x:si>
    <x:t>KİBAR</x:t>
  </x:si>
  <x:si>
    <x:t>TR360001009010325937705002</x:t>
  </x:si>
  <x:si>
    <x:t>49774201688</x:t>
  </x:si>
  <x:si>
    <x:t>TR550001001799647953505004</x:t>
  </x:si>
  <x:si>
    <x:t>45913732464</x:t>
  </x:si>
  <x:si>
    <x:t>ZEYNEP ASEL</x:t>
  </x:si>
  <x:si>
    <x:t>TR620001009010754739805001</x:t>
  </x:si>
  <x:si>
    <x:t>13995017588</x:t>
  </x:si>
  <x:si>
    <x:t>ZEYNEP SENA</x:t>
  </x:si>
  <x:si>
    <x:t>ÖZSAYAN</x:t>
  </x:si>
  <x:si>
    <x:t>TR410006400000122460286949</x:t>
  </x:si>
  <x:si>
    <x:t>12396025840</x:t>
  </x:si>
  <x:si>
    <x:t>ZİLAN</x:t>
  </x:si>
  <x:si>
    <x:t>DURDU</x:t>
  </x:si>
  <x:si>
    <x:t>TR880001009010613532505001</x:t>
  </x:si>
  <x:si>
    <x:t>10600962240</x:t>
  </x:si>
  <x:si>
    <x:t>ZÜLAL</x:t>
  </x:si>
  <x:si>
    <x:t>SERBEST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</x:si>
</x:sst>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76" formatCode="_-* #,##0\ &quot;TL&quot;_-;\-* #,##0\ &quot;TL&quot;_-;_-* &quot;-&quot;\ &quot;TL&quot;_-;_-@_-"/>
    <x:numFmt numFmtId="177" formatCode="_-* #,##0\ _T_L_-;\-* #,##0\ _T_L_-;_-* &quot;-&quot;\ _T_L_-;_-@_-"/>
    <x:numFmt numFmtId="178" formatCode="_-* #,##0.00\ &quot;TL&quot;_-;\-* #,##0.00\ &quot;TL&quot;_-;_-* &quot;-&quot;??\ &quot;TL&quot;_-;_-@_-"/>
    <x:numFmt numFmtId="179" formatCode="_-* #,##0.00\ _T_L_-;\-* #,##0.00\ _T_L_-;_-* &quot;-&quot;??\ _T_L_-;_-@_-"/>
    <x:numFmt numFmtId="195" formatCode="dd/mm/yyyy;@"/>
    <x:numFmt numFmtId="209" formatCode="[$-41F]mmmm\ yy;@"/>
    <x:numFmt numFmtId="211" formatCode="[$-F800]dddd\,\ mmmm\ dd\,\ yyyy"/>
  </x:numFmts>
  <x:fonts count="60" x14ac:knownFonts="1">
    <x:font>
      <x:sz val="10"/>
      <x:name val="Arial Tur"/>
      <x:charset val="162"/>
    </x:font>
    <x:font>
      <x:sz val="10"/>
      <x:name val="Arial Tur"/>
      <x:charset val="162"/>
    </x:font>
    <x:font>
      <x:sz val="10"/>
      <x:color indexed="8"/>
      <x:name val="Arial"/>
      <x:family val="2"/>
      <x:charset val="162"/>
    </x:font>
    <x:font>
      <x:sz val="10"/>
      <x:name val="Arial"/>
      <x:family val="2"/>
      <x:charset val="162"/>
    </x:font>
    <x:font>
      <x:sz val="9"/>
      <x:name val="Arial"/>
      <x:family val="2"/>
      <x:charset val="162"/>
    </x:font>
    <x:font>
      <x:b/>
      <x:sz val="9"/>
      <x:name val="Arial"/>
      <x:family val="2"/>
      <x:charset val="162"/>
    </x:font>
    <x:font>
      <x:sz val="9"/>
      <x:name val="Arial Tur"/>
      <x:charset val="162"/>
    </x:font>
    <x:font>
      <x:sz val="8"/>
      <x:name val="Arial Tur"/>
      <x:charset val="162"/>
    </x:font>
    <x:font>
      <x:b/>
      <x:sz val="10"/>
      <x:name val="Arial Tur"/>
      <x:charset val="162"/>
    </x:font>
    <x:font>
      <x:sz val="7"/>
      <x:name val="Arial Tur"/>
      <x:charset val="162"/>
    </x:font>
    <x:font>
      <x:sz val="7"/>
      <x:name val="Arial"/>
      <x:family val="2"/>
      <x:charset val="162"/>
    </x:font>
    <x:font>
      <x:sz val="10"/>
      <x:name val="Arial Tur"/>
      <x:charset val="162"/>
    </x:font>
    <x:font>
      <x:b/>
      <x:sz val="12"/>
      <x:name val="Arial Tur"/>
      <x:charset val="162"/>
    </x:font>
    <x:font>
      <x:b/>
      <x:sz val="7"/>
      <x:name val="Arial Tur"/>
      <x:charset val="162"/>
    </x:font>
    <x:font>
      <x:b/>
      <x:sz val="11"/>
      <x:name val="Calibri"/>
      <x:family val="2"/>
      <x:charset val="162"/>
    </x:font>
    <x:font>
      <x:b/>
      <x:sz val="9"/>
      <x:name val="Arial Tur"/>
      <x:charset val="162"/>
    </x:font>
    <x:font>
      <x:b/>
      <x:sz val="8"/>
      <x:name val="Arial Tur"/>
      <x:charset val="162"/>
    </x:font>
    <x:font>
      <x:b/>
      <x:sz val="11"/>
      <x:name val="Arial Tur"/>
      <x:charset val="162"/>
    </x:font>
    <x:font>
      <x:sz val="10"/>
      <x:name val="Times New Roman"/>
      <x:family val="1"/>
      <x:charset val="162"/>
    </x:font>
    <x:font>
      <x:sz val="10"/>
      <x:color indexed="8"/>
      <x:name val="Times New Roman"/>
      <x:family val="1"/>
      <x:charset val="162"/>
    </x:font>
    <x:font>
      <x:sz val="11"/>
      <x:color indexed="8"/>
      <x:name val="Calibri"/>
      <x:family val="2"/>
      <x:charset val="162"/>
    </x:font>
    <x:font>
      <x:b/>
      <x:sz val="11"/>
      <x:color indexed="8"/>
      <x:name val="Calibri"/>
      <x:family val="2"/>
      <x:charset val="162"/>
    </x:font>
    <x:font>
      <x:sz val="11"/>
      <x:name val="Times New Roman"/>
      <x:family val="1"/>
      <x:charset val="162"/>
    </x:font>
    <x:font>
      <x:sz val="11"/>
      <x:color theme="1"/>
      <x:name val="Calibri"/>
      <x:family val="2"/>
      <x:charset val="162"/>
      <x:scheme val="minor"/>
    </x:font>
    <x:font>
      <x:sz val="11"/>
      <x:color theme="0"/>
      <x:name val="Calibri"/>
      <x:family val="2"/>
      <x:charset val="162"/>
      <x:scheme val="minor"/>
    </x:font>
    <x:font>
      <x:i/>
      <x:sz val="11"/>
      <x:color rgb="FF7F7F7F"/>
      <x:name val="Calibri"/>
      <x:family val="2"/>
      <x:charset val="162"/>
      <x:scheme val="minor"/>
    </x:font>
    <x:font>
      <x:sz val="18"/>
      <x:color theme="3"/>
      <x:name val="Cambria"/>
      <x:family val="2"/>
      <x:charset val="162"/>
      <x:scheme val="major"/>
    </x:font>
    <x:font>
      <x:sz val="11"/>
      <x:color rgb="FFFA7D00"/>
      <x:name val="Calibri"/>
      <x:family val="2"/>
      <x:charset val="162"/>
      <x:scheme val="minor"/>
    </x:font>
    <x:font>
      <x:b/>
      <x:sz val="15"/>
      <x:color theme="3"/>
      <x:name val="Calibri"/>
      <x:family val="2"/>
      <x:charset val="162"/>
      <x:scheme val="minor"/>
    </x:font>
    <x:font>
      <x:b/>
      <x:sz val="13"/>
      <x:color theme="3"/>
      <x:name val="Calibri"/>
      <x:family val="2"/>
      <x:charset val="162"/>
      <x:scheme val="minor"/>
    </x:font>
    <x:font>
      <x:b/>
      <x:sz val="11"/>
      <x:color theme="3"/>
      <x:name val="Calibri"/>
      <x:family val="2"/>
      <x:charset val="162"/>
      <x:scheme val="minor"/>
    </x:font>
    <x:font>
      <x:b/>
      <x:sz val="11"/>
      <x:color rgb="FF3F3F3F"/>
      <x:name val="Calibri"/>
      <x:family val="2"/>
      <x:charset val="162"/>
      <x:scheme val="minor"/>
    </x:font>
    <x:font>
      <x:sz val="11"/>
      <x:color rgb="FF3F3F76"/>
      <x:name val="Calibri"/>
      <x:family val="2"/>
      <x:charset val="162"/>
      <x:scheme val="minor"/>
    </x:font>
    <x:font>
      <x:b/>
      <x:sz val="11"/>
      <x:color rgb="FFFA7D00"/>
      <x:name val="Calibri"/>
      <x:family val="2"/>
      <x:charset val="162"/>
      <x:scheme val="minor"/>
    </x:font>
    <x:font>
      <x:b/>
      <x:sz val="11"/>
      <x:color theme="0"/>
      <x:name val="Calibri"/>
      <x:family val="2"/>
      <x:charset val="162"/>
      <x:scheme val="minor"/>
    </x:font>
    <x:font>
      <x:sz val="11"/>
      <x:color rgb="FF006100"/>
      <x:name val="Calibri"/>
      <x:family val="2"/>
      <x:charset val="162"/>
      <x:scheme val="minor"/>
    </x:font>
    <x:font>
      <x:sz val="11"/>
      <x:color rgb="FF9C0006"/>
      <x:name val="Calibri"/>
      <x:family val="2"/>
      <x:charset val="162"/>
      <x:scheme val="minor"/>
    </x:font>
    <x:font>
      <x:sz val="11"/>
      <x:color rgb="FF9C6500"/>
      <x:name val="Calibri"/>
      <x:family val="2"/>
      <x:charset val="162"/>
      <x:scheme val="minor"/>
    </x:font>
    <x:font>
      <x:b/>
      <x:sz val="11"/>
      <x:color theme="1"/>
      <x:name val="Calibri"/>
      <x:family val="2"/>
      <x:charset val="162"/>
      <x:scheme val="minor"/>
    </x:font>
    <x:font>
      <x:sz val="11"/>
      <x:color rgb="FFFF0000"/>
      <x:name val="Calibri"/>
      <x:family val="2"/>
      <x:charset val="162"/>
      <x:scheme val="minor"/>
    </x:font>
    <x:font>
      <x:sz val="11"/>
      <x:name val="Calibri"/>
      <x:family val="2"/>
      <x:charset val="162"/>
      <x:scheme val="minor"/>
    </x:font>
    <x:font>
      <x:b/>
      <x:sz val="11"/>
      <x:name val="Calibri"/>
      <x:family val="2"/>
      <x:charset val="162"/>
      <x:scheme val="minor"/>
    </x:font>
    <x:font>
      <x:sz val="10"/>
      <x:name val="Calibri"/>
      <x:family val="2"/>
      <x:charset val="162"/>
      <x:scheme val="minor"/>
    </x:font>
    <x:font>
      <x:b/>
      <x:sz val="10"/>
      <x:color theme="1"/>
      <x:name val="Calibri"/>
      <x:family val="2"/>
      <x:charset val="162"/>
      <x:scheme val="minor"/>
    </x:font>
    <x:font>
      <x:sz val="8"/>
      <x:color theme="1"/>
      <x:name val="Calibri"/>
      <x:family val="2"/>
      <x:charset val="162"/>
      <x:scheme val="minor"/>
    </x:font>
    <x:font>
      <x:b/>
      <x:sz val="8"/>
      <x:color theme="1"/>
      <x:name val="Calibri"/>
      <x:family val="2"/>
      <x:charset val="162"/>
      <x:scheme val="minor"/>
    </x:font>
    <x:font>
      <x:sz val="8"/>
      <x:name val="Calibri"/>
      <x:family val="2"/>
      <x:charset val="162"/>
      <x:scheme val="minor"/>
    </x:font>
    <x:font>
      <x:sz val="10"/>
      <x:color rgb="FFFF0000"/>
      <x:name val="Times New Roman"/>
      <x:family val="1"/>
      <x:charset val="162"/>
    </x:font>
    <x:font>
      <x:sz val="10"/>
      <x:color theme="1"/>
      <x:name val="Times New Roman"/>
      <x:family val="1"/>
      <x:charset val="162"/>
    </x:font>
    <x:font>
      <x:b/>
      <x:sz val="11"/>
      <x:color rgb="FFFF0000"/>
      <x:name val="Times New Roman"/>
      <x:family val="1"/>
      <x:charset val="162"/>
    </x:font>
    <x:font>
      <x:sz val="11"/>
      <x:color rgb="FF00B0F0"/>
      <x:name val="Calibri"/>
      <x:family val="2"/>
      <x:charset val="162"/>
      <x:scheme val="minor"/>
    </x:font>
    <x:font>
      <x:b/>
      <x:sz val="11"/>
      <x:color rgb="FFFF0000"/>
      <x:name val="Calibri"/>
      <x:family val="2"/>
      <x:charset val="162"/>
      <x:scheme val="minor"/>
    </x:font>
    <x:font>
      <x:sz val="11"/>
      <x:color rgb="FF000000"/>
      <x:name val="Times New Roman"/>
      <x:family val="1"/>
      <x:charset val="162"/>
    </x:font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Segoe UI"/>
      <x:family val="1"/>
      <x:charset val="162"/>
    </x:font>
    <x:font>
      <x:b/>
      <x:vertAlign val="baseline"/>
      <x:sz val="9"/>
      <x:color theme="1"/>
      <x:name val="Segoe UI"/>
      <x:family val="2"/>
      <x:charset val="162"/>
      <x:scheme val="minor"/>
    </x:font>
    <x:font>
      <x:b/>
      <x:vertAlign val="baseline"/>
      <x:sz val="9"/>
      <x:color rgb="FF000000"/>
      <x:name val="Segoe UI"/>
      <x:family val="2"/>
      <x:charset val="162"/>
      <x:scheme val="minor"/>
    </x:font>
    <x:font>
      <x:b/>
      <x:vertAlign val="baseline"/>
      <x:sz val="9"/>
      <x:color rgb="FFFF0000"/>
      <x:name val="Segoe UI"/>
      <x:family val="2"/>
      <x:charset val="162"/>
      <x:scheme val="minor"/>
    </x:font>
    <x:font>
      <x:vertAlign val="baseline"/>
      <x:sz val="9"/>
      <x:color rgb="FF000000"/>
      <x:name val="Segoe UI"/>
      <x:family val="2"/>
      <x:charset val="162"/>
      <x:scheme val="minor"/>
    </x:font>
    <x:font>
      <x:vertAlign val="baseline"/>
      <x:sz val="9"/>
      <x:color theme="1"/>
      <x:name val="Segoe UI"/>
      <x:family val="2"/>
      <x:charset val="162"/>
      <x:scheme val="minor"/>
    </x:font>
  </x:fonts>
  <x:fills count="43">
    <x:fill>
      <x:patternFill patternType="none"/>
    </x:fill>
    <x:fill>
      <x:patternFill patternType="gray125"/>
    </x:fill>
    <x:fill>
      <x:patternFill patternType="solid">
        <x:fgColor indexed="40"/>
        <x:bgColor indexed="6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2F2F2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FFCC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000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4" tint="0.79998168889431442"/>
        <x:bgColor indexed="64"/>
      </x:patternFill>
    </x:fill>
    <x:fill>
      <x:patternFill patternType="solid">
        <x:fgColor theme="6" tint="0.59999389629810485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theme="6" tint="0.79998168889431442"/>
        <x:bgColor indexed="64"/>
      </x:patternFill>
    </x:fill>
  </x:fills>
  <x:borders count="51">
    <x:border>
      <x:left/>
      <x:right/>
      <x:top/>
      <x:bottom/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 diagonalUp="0" diagonalDown="0"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 style="none">
        <x:color rgb="FF000000"/>
      </x:diagonal>
    </x:border>
  </x:borders>
  <x:cellStyleXfs count="217">
    <x:xf numFmtId="0" fontId="0" fillId="2" borderId="0"/>
    <x:xf numFmtId="0" fontId="23" fillId="3" borderId="0" applyNumberFormat="0" applyBorder="0" applyAlignment="0" applyProtection="0"/>
    <x:xf numFmtId="0" fontId="23" fillId="4" borderId="0" applyNumberFormat="0" applyBorder="0" applyAlignment="0" applyProtection="0"/>
    <x:xf numFmtId="0" fontId="23" fillId="5" borderId="0" applyNumberFormat="0" applyBorder="0" applyAlignment="0" applyProtection="0"/>
    <x:xf numFmtId="0" fontId="23" fillId="6" borderId="0" applyNumberFormat="0" applyBorder="0" applyAlignment="0" applyProtection="0"/>
    <x:xf numFmtId="0" fontId="23" fillId="7" borderId="0" applyNumberFormat="0" applyBorder="0" applyAlignment="0" applyProtection="0"/>
    <x:xf numFmtId="0" fontId="23" fillId="8" borderId="0" applyNumberFormat="0" applyBorder="0" applyAlignment="0" applyProtection="0"/>
    <x:xf numFmtId="0" fontId="23" fillId="9" borderId="0" applyNumberFormat="0" applyBorder="0" applyAlignment="0" applyProtection="0"/>
    <x:xf numFmtId="0" fontId="23" fillId="10" borderId="0" applyNumberFormat="0" applyBorder="0" applyAlignment="0" applyProtection="0"/>
    <x:xf numFmtId="0" fontId="23" fillId="11" borderId="0" applyNumberFormat="0" applyBorder="0" applyAlignment="0" applyProtection="0"/>
    <x:xf numFmtId="0" fontId="23" fillId="12" borderId="0" applyNumberFormat="0" applyBorder="0" applyAlignment="0" applyProtection="0"/>
    <x:xf numFmtId="0" fontId="23" fillId="13" borderId="0" applyNumberFormat="0" applyBorder="0" applyAlignment="0" applyProtection="0"/>
    <x:xf numFmtId="0" fontId="23" fillId="14" borderId="0" applyNumberFormat="0" applyBorder="0" applyAlignment="0" applyProtection="0"/>
    <x:xf numFmtId="0" fontId="24" fillId="15" borderId="0" applyNumberFormat="0" applyBorder="0" applyAlignment="0" applyProtection="0"/>
    <x:xf numFmtId="0" fontId="24" fillId="16" borderId="0" applyNumberFormat="0" applyBorder="0" applyAlignment="0" applyProtection="0"/>
    <x:xf numFmtId="0" fontId="24" fillId="17" borderId="0" applyNumberFormat="0" applyBorder="0" applyAlignment="0" applyProtection="0"/>
    <x:xf numFmtId="0" fontId="24" fillId="18" borderId="0" applyNumberFormat="0" applyBorder="0" applyAlignment="0" applyProtection="0"/>
    <x:xf numFmtId="0" fontId="24" fillId="19" borderId="0" applyNumberFormat="0" applyBorder="0" applyAlignment="0" applyProtection="0"/>
    <x:xf numFmtId="0" fontId="24" fillId="20" borderId="0" applyNumberFormat="0" applyBorder="0" applyAlignment="0" applyProtection="0"/>
    <x:xf numFmtId="0" fontId="25" fillId="0" borderId="0" applyNumberFormat="0" applyFill="0" applyBorder="0" applyAlignment="0" applyProtection="0"/>
    <x:xf numFmtId="0" fontId="26" fillId="0" borderId="0" applyNumberFormat="0" applyFill="0" applyBorder="0" applyAlignment="0" applyProtection="0"/>
    <x:xf numFmtId="3" fontId="2" fillId="0" borderId="1" applyFill="0" applyBorder="0" applyAlignment="0"/>
    <x:xf numFmtId="0" fontId="27" fillId="0" borderId="41" applyNumberFormat="0" applyFill="0" applyAlignment="0" applyProtection="0"/>
    <x:xf numFmtId="0" fontId="28" fillId="0" borderId="42" applyNumberFormat="0" applyFill="0" applyAlignment="0" applyProtection="0"/>
    <x:xf numFmtId="0" fontId="29" fillId="0" borderId="43" applyNumberFormat="0" applyFill="0" applyAlignment="0" applyProtection="0"/>
    <x:xf numFmtId="0" fontId="30" fillId="0" borderId="44" applyNumberFormat="0" applyFill="0" applyAlignment="0" applyProtection="0"/>
    <x:xf numFmtId="0" fontId="30" fillId="0" borderId="0" applyNumberFormat="0" applyFill="0" applyBorder="0" applyAlignment="0" applyProtection="0"/>
    <x:xf numFmtId="177" fontId="3" fillId="0" borderId="0" applyFont="0" applyFill="0" applyBorder="0" applyAlignment="0" applyProtection="0"/>
    <x:xf numFmtId="179" fontId="3" fillId="0" borderId="0" applyFont="0" applyFill="0" applyBorder="0" applyAlignment="0" applyProtection="0"/>
    <x:xf numFmtId="176" fontId="3" fillId="0" borderId="0" applyFont="0" applyFill="0" applyBorder="0" applyAlignment="0" applyProtection="0"/>
    <x:xf numFmtId="178" fontId="3" fillId="0" borderId="0" applyFont="0" applyFill="0" applyBorder="0" applyAlignment="0" applyProtection="0"/>
    <x:xf numFmtId="0" fontId="31" fillId="21" borderId="45" applyNumberFormat="0" applyAlignment="0" applyProtection="0"/>
    <x:xf numFmtId="0" fontId="32" fillId="22" borderId="46" applyNumberFormat="0" applyAlignment="0" applyProtection="0"/>
    <x:xf numFmtId="0" fontId="33" fillId="21" borderId="46" applyNumberFormat="0" applyAlignment="0" applyProtection="0"/>
    <x:xf numFmtId="0" fontId="34" fillId="23" borderId="47" applyNumberFormat="0" applyAlignment="0" applyProtection="0"/>
    <x:xf numFmtId="0" fontId="35" fillId="24" borderId="0" applyNumberFormat="0" applyBorder="0" applyAlignment="0" applyProtection="0"/>
    <x:xf numFmtId="0" fontId="36" fillId="25" borderId="0" applyNumberFormat="0" applyBorder="0" applyAlignment="0" applyProtection="0"/>
    <x:xf numFmtId="0" fontId="11" fillId="0" borderId="0"/>
    <x:xf numFmtId="0" fontId="3" fillId="0" borderId="0"/>
    <x:xf numFmtId="0" fontId="23" fillId="0" borderId="0"/>
    <x:xf numFmtId="0" fontId="1" fillId="0" borderId="0"/>
    <x:xf numFmtId="0" fontId="11" fillId="0" borderId="0"/>
    <x:xf numFmtId="0" fontId="23" fillId="26" borderId="48" applyNumberFormat="0" applyFont="0" applyAlignment="0" applyProtection="0"/>
    <x:xf numFmtId="0" fontId="37" fillId="27" borderId="0" applyNumberFormat="0" applyBorder="0" applyAlignment="0" applyProtection="0"/>
    <x:xf numFmtId="178" fontId="11" fillId="0" borderId="0" applyFont="0" applyFill="0" applyBorder="0" applyAlignment="0" applyProtection="0"/>
    <x:xf numFmtId="0" fontId="38" fillId="0" borderId="49" applyNumberFormat="0" applyFill="0" applyAlignment="0" applyProtection="0"/>
    <x:xf numFmtId="0" fontId="39" fillId="0" borderId="0" applyNumberFormat="0" applyFill="0" applyBorder="0" applyAlignment="0" applyProtection="0"/>
    <x:xf numFmtId="179" fontId="1" fillId="0" borderId="0" applyFont="0" applyFill="0" applyBorder="0" applyAlignment="0" applyProtection="0"/>
    <x:xf numFmtId="177" fontId="3" fillId="0" borderId="0" applyFont="0" applyFill="0" applyBorder="0" applyAlignment="0" applyProtection="0"/>
    <x:xf numFmtId="179" fontId="11" fillId="0" borderId="0" applyFont="0" applyFill="0" applyBorder="0" applyAlignment="0" applyProtection="0"/>
    <x:xf numFmtId="0" fontId="24" fillId="28" borderId="0" applyNumberFormat="0" applyBorder="0" applyAlignment="0" applyProtection="0"/>
    <x:xf numFmtId="0" fontId="24" fillId="29" borderId="0" applyNumberFormat="0" applyBorder="0" applyAlignment="0" applyProtection="0"/>
    <x:xf numFmtId="0" fontId="24" fillId="30" borderId="0" applyNumberFormat="0" applyBorder="0" applyAlignment="0" applyProtection="0"/>
    <x:xf numFmtId="0" fontId="24" fillId="31" borderId="0" applyNumberFormat="0" applyBorder="0" applyAlignment="0" applyProtection="0"/>
    <x:xf numFmtId="0" fontId="24" fillId="32" borderId="0" applyNumberFormat="0" applyBorder="0" applyAlignment="0" applyProtection="0"/>
    <x:xf numFmtId="0" fontId="24" fillId="33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0" fontId="44" fillId="0" borderId="0" applyNumberFormat="1" applyFill="1" applyBorder="0" applyAlignment="1" applyProtection="1">
      <x:protection locked="1" hidden="0"/>
    </x:xf>
    <x:xf numFmtId="0" fontId="38" fillId="0" borderId="0" applyNumberFormat="1" applyFill="1" applyBorder="0" applyAlignment="1" applyProtection="1">
      <x:protection locked="1" hidden="0"/>
    </x:xf>
    <x:xf numFmtId="0" fontId="38" fillId="13" borderId="0" applyNumberFormat="1" applyFill="0" applyBorder="0" applyAlignment="1" applyProtection="1">
      <x:protection locked="1" hidden="0"/>
    </x:xf>
    <x:xf numFmtId="0" fontId="38" fillId="5" borderId="0" applyNumberFormat="1" applyFill="0" applyBorder="0" applyAlignment="1" applyProtection="1">
      <x:protection locked="1" hidden="0"/>
    </x:xf>
    <x:xf numFmtId="0" fontId="23" fillId="0" borderId="7" applyNumberFormat="1" applyFill="1" applyBorder="1" applyAlignment="1" applyProtection="1">
      <x:protection locked="1" hidden="0"/>
    </x:xf>
    <x:xf numFmtId="0" fontId="38" fillId="0" borderId="23" applyNumberFormat="1" applyFill="1" applyBorder="1" applyAlignment="1" applyProtection="1">
      <x:protection locked="1" hidden="0"/>
    </x:xf>
    <x:xf numFmtId="0" fontId="38" fillId="0" borderId="25" applyNumberFormat="1" applyFill="1" applyBorder="1" applyAlignment="1" applyProtection="1">
      <x:protection locked="1" hidden="0"/>
    </x:xf>
    <x:xf numFmtId="0" fontId="38" fillId="0" borderId="26" applyNumberFormat="1" applyFill="1" applyBorder="1" applyAlignment="1" applyProtection="1">
      <x:protection locked="1" hidden="0"/>
    </x:xf>
    <x:xf numFmtId="211" fontId="23" fillId="3" borderId="21" quotePrefix="1" applyNumberFormat="1" applyFill="0" applyBorder="1" applyAlignment="1" applyProtection="1">
      <x:protection locked="1" hidden="0"/>
    </x:xf>
    <x:xf numFmtId="211" fontId="23" fillId="3" borderId="23" quotePrefix="1" applyNumberFormat="1" applyFill="0" applyBorder="1" applyAlignment="1" applyProtection="1">
      <x:protection locked="1" hidden="0"/>
    </x:xf>
    <x:xf numFmtId="0" fontId="51" fillId="0" borderId="19" applyNumberFormat="1" applyFill="1" applyBorder="1" applyAlignment="1" applyProtection="1">
      <x:protection locked="1" hidden="0"/>
    </x:xf>
    <x:xf numFmtId="0" fontId="51" fillId="0" borderId="20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45" fillId="0" borderId="2" applyNumberFormat="1" applyFill="1" applyBorder="1" applyAlignment="1" applyProtection="1">
      <x:protection locked="1" hidden="0"/>
    </x:xf>
    <x:xf numFmtId="0" fontId="38" fillId="0" borderId="16" applyNumberFormat="1" applyFill="1" applyBorder="1" applyAlignment="1" applyProtection="1">
      <x:protection locked="1" hidden="0"/>
    </x:xf>
    <x:xf numFmtId="0" fontId="38" fillId="0" borderId="17" applyNumberFormat="1" applyFill="1" applyBorder="1" applyAlignment="1" applyProtection="1">
      <x:protection locked="1" hidden="0"/>
    </x:xf>
    <x:xf numFmtId="0" fontId="38" fillId="0" borderId="27" applyNumberFormat="1" applyFill="1" applyBorder="1" applyAlignment="1" applyProtection="1">
      <x:protection locked="1" hidden="0"/>
    </x:xf>
    <x:xf numFmtId="0" fontId="38" fillId="0" borderId="28" applyNumberFormat="1" applyFill="1" applyBorder="1" applyAlignment="1" applyProtection="1">
      <x:protection locked="1" hidden="0"/>
    </x:xf>
    <x:xf numFmtId="211" fontId="23" fillId="3" borderId="22" quotePrefix="1" applyNumberFormat="1" applyFill="0" applyBorder="1" applyAlignment="1" applyProtection="1">
      <x:protection locked="1" hidden="0"/>
    </x:xf>
    <x:xf numFmtId="211" fontId="23" fillId="3" borderId="24" quotePrefix="1" applyNumberFormat="1" applyFill="0" applyBorder="1" applyAlignment="1" applyProtection="1">
      <x:protection locked="1" hidden="0"/>
    </x:xf>
    <x:xf numFmtId="0" fontId="51" fillId="0" borderId="18" applyNumberFormat="1" applyFill="1" applyBorder="1" applyAlignment="1" applyProtection="1">
      <x:protection locked="1" hidden="0"/>
    </x:xf>
    <x:xf numFmtId="0" fontId="51" fillId="0" borderId="6" applyNumberFormat="1" applyFill="1" applyBorder="1" applyAlignment="1" applyProtection="1">
      <x:protection locked="1" hidden="0"/>
    </x:xf>
    <x:xf numFmtId="0" fontId="23" fillId="11" borderId="2" applyNumberFormat="1" applyFill="0" applyBorder="1" applyAlignment="1" applyProtection="1">
      <x:protection locked="1" hidden="0"/>
    </x:xf>
    <x:xf numFmtId="0" fontId="23" fillId="0" borderId="11" applyNumberFormat="1" applyFill="1" applyBorder="1" applyAlignment="1" applyProtection="1">
      <x:protection locked="1" hidden="0"/>
    </x:xf>
    <x:xf numFmtId="0" fontId="38" fillId="5" borderId="2" applyNumberFormat="1" applyFill="0" applyBorder="1" applyAlignment="1" applyProtection="1">
      <x:protection locked="1" hidden="0"/>
    </x:xf>
    <x:xf numFmtId="211" fontId="43" fillId="37" borderId="2" quotePrefix="1" applyNumberFormat="1" applyFill="0" applyBorder="1" applyAlignment="1" applyProtection="1">
      <x:protection locked="1" hidden="0"/>
    </x:xf>
    <x:xf numFmtId="0" fontId="44" fillId="0" borderId="2" applyNumberFormat="1" applyFill="1" applyBorder="1" applyAlignment="1" applyProtection="1">
      <x:protection locked="1" hidden="0"/>
    </x:xf>
    <x:xf numFmtId="0" fontId="38" fillId="0" borderId="11" applyNumberFormat="1" applyFill="1" applyBorder="1" applyAlignment="1" applyProtection="1">
      <x:protection locked="1" hidden="0"/>
    </x:xf>
    <x:xf numFmtId="0" fontId="38" fillId="0" borderId="12" applyNumberFormat="1" applyFill="1" applyBorder="1" applyAlignment="1" applyProtection="1">
      <x:protection locked="1" hidden="0"/>
    </x:xf>
    <x:xf numFmtId="0" fontId="38" fillId="0" borderId="13" applyNumberFormat="1" applyFill="1" applyBorder="1" applyAlignment="1" applyProtection="1">
      <x:protection locked="1" hidden="0"/>
    </x:xf>
    <x:xf numFmtId="0" fontId="38" fillId="0" borderId="14" applyNumberFormat="1" applyFill="1" applyBorder="1" applyAlignment="1" applyProtection="1">
      <x:protection locked="1" hidden="0"/>
    </x:xf>
    <x:xf numFmtId="0" fontId="23" fillId="3" borderId="11" quotePrefix="1" applyNumberFormat="1" applyFill="0" applyBorder="1" applyAlignment="1" applyProtection="1">
      <x:protection locked="1" hidden="0"/>
    </x:xf>
    <x:xf numFmtId="0" fontId="51" fillId="0" borderId="15" applyNumberFormat="1" applyFill="1" applyBorder="1" applyAlignment="1" applyProtection="1">
      <x:protection locked="1" hidden="0"/>
    </x:xf>
    <x:xf numFmtId="0" fontId="51" fillId="0" borderId="3" applyNumberFormat="1" applyFill="1" applyBorder="1" applyAlignment="1" applyProtection="1">
      <x:protection locked="1" hidden="0"/>
    </x:xf>
    <x:xf numFmtId="0" fontId="18" fillId="37" borderId="2" applyNumberFormat="1" applyFill="0" applyBorder="1" applyAlignment="1" applyProtection="1">
      <x:protection locked="1" hidden="0"/>
    </x:xf>
    <x:xf numFmtId="0" fontId="38" fillId="37" borderId="2" applyNumberFormat="1" applyFill="0" applyBorder="1" applyAlignment="1" applyProtection="1">
      <x:protection locked="1" hidden="0"/>
    </x:xf>
    <x:xf numFmtId="0" fontId="38" fillId="37" borderId="2" quotePrefix="1" applyNumberFormat="1" applyFill="0" applyBorder="1" applyAlignment="1" applyProtection="1">
      <x:protection locked="1" hidden="0"/>
    </x:xf>
    <x:xf numFmtId="195" fontId="23" fillId="37" borderId="2" applyNumberFormat="1" applyFill="0" applyBorder="1" applyAlignment="1" applyProtection="1">
      <x:protection locked="1" hidden="0"/>
    </x:xf>
    <x:xf numFmtId="0" fontId="23" fillId="37" borderId="0" applyNumberFormat="1" applyFill="0" applyBorder="0" applyAlignment="1" applyProtection="1">
      <x:protection locked="1" hidden="0"/>
    </x:xf>
    <x:xf numFmtId="209" fontId="50" fillId="37" borderId="2" applyNumberFormat="1" applyFill="0" applyBorder="1" applyAlignment="1" applyProtection="1">
      <x:protection locked="1" hidden="1"/>
    </x:xf>
    <x:xf numFmtId="14" fontId="23" fillId="37" borderId="2" applyNumberFormat="1" applyFill="0" applyBorder="1" applyAlignment="1" applyProtection="1">
      <x:protection locked="1" hidden="0"/>
    </x:xf>
    <x:xf numFmtId="0" fontId="41" fillId="37" borderId="2" applyNumberFormat="1" applyFill="0" applyBorder="1" applyAlignment="1" applyProtection="1">
      <x:protection locked="1" hidden="0"/>
    </x:xf>
    <x:xf numFmtId="0" fontId="51" fillId="37" borderId="2" applyNumberFormat="1" applyFill="0" applyBorder="1" applyAlignment="1" applyProtection="1">
      <x:protection locked="1" hidden="0"/>
    </x:xf>
    <x:xf numFmtId="0" fontId="44" fillId="37" borderId="0" applyNumberFormat="1" applyFill="0" applyBorder="0" applyAlignment="1" applyProtection="1">
      <x:protection locked="1" hidden="0"/>
    </x:xf>
    <x:xf numFmtId="14" fontId="44" fillId="37" borderId="2" applyNumberFormat="1" applyFill="0" applyBorder="1" applyAlignment="1" applyProtection="1">
      <x:protection locked="1" hidden="0"/>
    </x:xf>
    <x:xf numFmtId="0" fontId="0" fillId="37" borderId="2" applyNumberFormat="1" applyFill="0" applyBorder="1" applyAlignment="1" applyProtection="1">
      <x:protection locked="1" hidden="0"/>
    </x:xf>
    <x:xf numFmtId="0" fontId="45" fillId="37" borderId="0" applyNumberFormat="1" applyFill="0" applyBorder="0" applyAlignment="1" applyProtection="1">
      <x:protection locked="1" hidden="0"/>
    </x:xf>
    <x:xf numFmtId="0" fontId="22" fillId="37" borderId="2" applyNumberFormat="1" applyFill="0" applyBorder="1" applyAlignment="1" applyProtection="1">
      <x:protection locked="1" hidden="0"/>
    </x:xf>
    <x:xf numFmtId="0" fontId="0" fillId="37" borderId="0" applyNumberFormat="1" applyFill="0" applyBorder="0" applyAlignment="1" applyProtection="1">
      <x:protection locked="1" hidden="0"/>
    </x:xf>
    <x:xf numFmtId="0" fontId="42" fillId="37" borderId="18" applyNumberFormat="1" applyFill="0" applyBorder="1" applyAlignment="1" applyProtection="1">
      <x:protection locked="1" hidden="0"/>
    </x:xf>
    <x:xf numFmtId="0" fontId="40" fillId="37" borderId="2" applyNumberFormat="1" applyFill="0" applyBorder="1" applyAlignment="1" applyProtection="1">
      <x:protection locked="1" hidden="0"/>
    </x:xf>
    <x:xf numFmtId="0" fontId="23" fillId="37" borderId="2" applyNumberFormat="1" applyFill="0" applyBorder="1" applyAlignment="1" applyProtection="1">
      <x:protection locked="1" hidden="0"/>
    </x:xf>
    <x:xf numFmtId="0" fontId="42" fillId="37" borderId="2" applyNumberFormat="1" applyFill="0" applyBorder="1" applyAlignment="1" applyProtection="1">
      <x:protection locked="1" hidden="0"/>
    </x:xf>
    <x:xf numFmtId="0" fontId="44" fillId="37" borderId="2" applyNumberFormat="1" applyFill="0" applyBorder="1" applyAlignment="1" applyProtection="1">
      <x:protection locked="1" hidden="0"/>
    </x:xf>
    <x:xf numFmtId="0" fontId="23" fillId="40" borderId="2" applyNumberFormat="1" applyFill="0" applyBorder="1" applyAlignment="1" applyProtection="1">
      <x:protection locked="1" hidden="0"/>
    </x:xf>
    <x:xf numFmtId="195" fontId="23" fillId="0" borderId="2" applyNumberFormat="1" applyFill="1" applyBorder="1" applyAlignment="1" applyProtection="1">
      <x:protection locked="1" hidden="0"/>
    </x:xf>
    <x:xf numFmtId="0" fontId="17" fillId="0" borderId="0" applyNumberFormat="1" applyFill="1" applyBorder="0" applyAlignment="1" applyProtection="1">
      <x:protection locked="1" hidden="0"/>
    </x:xf>
    <x:xf numFmtId="0" fontId="0" fillId="0" borderId="30" applyNumberFormat="1" applyFill="1" applyBorder="1" applyAlignment="1" applyProtection="1">
      <x:protection locked="1" hidden="0"/>
    </x:xf>
    <x:xf numFmtId="49" fontId="12" fillId="0" borderId="0" applyNumberFormat="1" applyFill="1" applyBorder="0" applyAlignment="1" applyProtection="1">
      <x:protection locked="1" hidden="0"/>
    </x:xf>
    <x:xf numFmtId="0" fontId="7" fillId="0" borderId="19" applyNumberFormat="1" applyFill="1" applyBorder="1" applyAlignment="1" applyProtection="1">
      <x:protection locked="1" hidden="0"/>
    </x:xf>
    <x:xf numFmtId="0" fontId="42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34" borderId="19" applyNumberFormat="1" applyFill="0" applyBorder="1" applyAlignment="1" applyProtection="1">
      <x:protection locked="1" hidden="0"/>
    </x:xf>
    <x:xf numFmtId="0" fontId="7" fillId="0" borderId="29" applyNumberFormat="1" applyFill="1" applyBorder="1" applyAlignment="1" applyProtection="1">
      <x:protection locked="1" hidden="0"/>
    </x:xf>
    <x:xf numFmtId="0" fontId="0" fillId="0" borderId="38" applyNumberFormat="1" applyFill="1" applyBorder="1" applyAlignment="1" applyProtection="1">
      <x:protection locked="1" hidden="0"/>
    </x:xf>
    <x:xf numFmtId="0" fontId="7" fillId="0" borderId="34" applyNumberFormat="1" applyFill="1" applyBorder="1" applyAlignment="1" applyProtection="1">
      <x:protection locked="1" hidden="0"/>
    </x:xf>
    <x:xf numFmtId="0" fontId="7" fillId="0" borderId="35" applyNumberFormat="1" applyFill="1" applyBorder="1" applyAlignment="1" applyProtection="1">
      <x:protection locked="1" hidden="0"/>
    </x:xf>
    <x:xf numFmtId="4" fontId="16" fillId="0" borderId="9" applyNumberFormat="1" applyFill="1" applyBorder="1" applyAlignment="1" applyProtection="1">
      <x:protection locked="1" hidden="0"/>
    </x:xf>
    <x:xf numFmtId="0" fontId="0" fillId="0" borderId="31" applyNumberFormat="1" applyFill="1" applyBorder="1" applyAlignment="1" applyProtection="1">
      <x:protection locked="1" hidden="0"/>
    </x:xf>
    <x:xf numFmtId="4" fontId="9" fillId="0" borderId="10" applyNumberFormat="1" applyFill="1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42" fillId="0" borderId="12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7" fillId="34" borderId="12" applyNumberFormat="1" applyFill="0" applyBorder="1" applyAlignment="1" applyProtection="1">
      <x:protection locked="1" hidden="0"/>
    </x:xf>
    <x:xf numFmtId="0" fontId="7" fillId="0" borderId="11" applyNumberFormat="1" applyFill="1" applyBorder="1" applyAlignment="1" applyProtection="1">
      <x:protection locked="1" hidden="0"/>
    </x:xf>
    <x:xf numFmtId="0" fontId="0" fillId="0" borderId="39" applyNumberFormat="1" applyFill="1" applyBorder="1" applyAlignment="1" applyProtection="1">
      <x:protection locked="1" hidden="0"/>
    </x:xf>
    <x:xf numFmtId="0" fontId="15" fillId="0" borderId="2" applyNumberFormat="1" applyFill="1" applyBorder="1" applyAlignment="1" applyProtection="1">
      <x:protection locked="1" hidden="0"/>
    </x:xf>
    <x:xf numFmtId="0" fontId="15" fillId="0" borderId="3" applyNumberFormat="1" applyFill="1" applyBorder="1" applyAlignment="1" applyProtection="1">
      <x:protection locked="1" hidden="0"/>
    </x:xf>
    <x:xf numFmtId="0" fontId="7" fillId="0" borderId="36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37" applyNumberFormat="1" applyFill="1" applyBorder="1" applyAlignment="1" applyProtection="1">
      <x:protection locked="1" hidden="0"/>
    </x:xf>
    <x:xf numFmtId="0" fontId="0" fillId="0" borderId="3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42" fillId="0" borderId="18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34" borderId="18" applyNumberFormat="1" applyFill="0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40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3" applyNumberFormat="1" applyFill="1" applyBorder="1" applyAlignment="1" applyProtection="1">
      <x:protection locked="1" hidden="0"/>
    </x:xf>
    <x:xf numFmtId="0" fontId="7" fillId="0" borderId="33" applyNumberFormat="1" applyFill="1" applyBorder="1" applyAlignment="1" applyProtection="1">
      <x:protection locked="1" hidden="0"/>
    </x:xf>
    <x:xf numFmtId="0" fontId="0" fillId="0" borderId="33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79" fontId="10" fillId="0" borderId="2" applyNumberFormat="1" applyFill="1" applyBorder="1" applyAlignment="1" applyProtection="1">
      <x:protection locked="1" hidden="0"/>
    </x:xf>
    <x:xf numFmtId="3" fontId="5" fillId="34" borderId="4" applyNumberFormat="1" applyFill="0" applyBorder="1" applyAlignment="1" applyProtection="1">
      <x:protection locked="1" hidden="0"/>
    </x:xf>
    <x:xf numFmtId="4" fontId="4" fillId="0" borderId="2" applyNumberFormat="1" applyFill="1" applyBorder="1" applyAlignment="1" applyProtection="1">
      <x:protection locked="1" hidden="0"/>
    </x:xf>
    <x:xf numFmtId="4" fontId="6" fillId="0" borderId="4" applyNumberFormat="1" applyFill="1" applyBorder="1" applyAlignment="1" applyProtection="1">
      <x:protection locked="1" hidden="0"/>
    </x:xf>
    <x:xf numFmtId="4" fontId="6" fillId="0" borderId="2" applyNumberFormat="1" applyFill="1" applyBorder="1" applyAlignment="1" applyProtection="1">
      <x:protection locked="1" hidden="0"/>
    </x:xf>
    <x:xf numFmtId="4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0" hidden="0"/>
    </x:xf>
    <x:xf numFmtId="3" fontId="9" fillId="0" borderId="4" applyNumberFormat="1" applyFill="1" applyBorder="1" applyAlignment="1" applyProtection="1">
      <x:protection locked="1" hidden="0"/>
    </x:xf>
    <x:xf numFmtId="4" fontId="9" fillId="0" borderId="4" applyNumberFormat="1" applyFill="1" applyBorder="1" applyAlignment="1" applyProtection="1">
      <x:protection locked="1" hidden="0"/>
    </x:xf>
    <x:xf numFmtId="4" fontId="9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195" fontId="8" fillId="0" borderId="0" applyNumberFormat="1" applyFill="1" applyBorder="0" applyAlignment="1" applyProtection="1">
      <x:protection locked="1" hidden="0"/>
    </x:xf>
    <x:xf numFmtId="0" fontId="40" fillId="0" borderId="0" applyNumberFormat="1" applyFill="1" applyBorder="0" applyAlignment="1" applyProtection="1">
      <x:protection locked="0" hidden="0"/>
    </x:xf>
    <x:xf numFmtId="0" fontId="40" fillId="0" borderId="0" applyNumberFormat="1" applyFill="1" applyBorder="0" applyAlignment="1" applyProtection="1">
      <x:protection locked="1" hidden="0"/>
    </x:xf>
    <x:xf numFmtId="0" fontId="42" fillId="0" borderId="0" applyNumberFormat="1" applyFill="1" applyBorder="0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41" fillId="0" borderId="0" applyNumberFormat="1" applyFill="1" applyBorder="0" applyAlignment="1" applyProtection="1">
      <x:protection locked="1" hidden="0"/>
    </x:xf>
    <x:xf numFmtId="0" fontId="40" fillId="0" borderId="2" applyNumberFormat="1" applyFill="1" applyBorder="1" applyAlignment="1" applyProtection="1">
      <x:protection locked="1" hidden="0"/>
    </x:xf>
    <x:xf numFmtId="0" fontId="40" fillId="0" borderId="3" applyNumberFormat="1" applyFill="1" applyBorder="1" applyAlignment="1" applyProtection="1">
      <x:protection locked="1" hidden="0"/>
    </x:xf>
    <x:xf numFmtId="0" fontId="40" fillId="0" borderId="5" applyNumberFormat="1" applyFill="1" applyBorder="1" applyAlignment="1" applyProtection="1">
      <x:protection locked="1" hidden="0"/>
    </x:xf>
    <x:xf numFmtId="195" fontId="39" fillId="0" borderId="5" applyNumberFormat="1" applyFill="1" applyBorder="1" applyAlignment="1" applyProtection="1">
      <x:protection locked="1" hidden="0"/>
    </x:xf>
    <x:xf numFmtId="49" fontId="39" fillId="0" borderId="4" applyNumberFormat="1" applyFill="1" applyBorder="1" applyAlignment="1" applyProtection="1">
      <x:protection locked="1" hidden="0"/>
    </x:xf>
    <x:xf numFmtId="0" fontId="40" fillId="0" borderId="6" applyNumberFormat="1" applyFill="1" applyBorder="1" applyAlignment="1" applyProtection="1">
      <x:protection locked="1" hidden="0"/>
    </x:xf>
    <x:xf numFmtId="0" fontId="40" fillId="0" borderId="7" applyNumberFormat="1" applyFill="1" applyBorder="1" applyAlignment="1" applyProtection="1">
      <x:protection locked="1" hidden="0"/>
    </x:xf>
    <x:xf numFmtId="0" fontId="40" fillId="0" borderId="8" applyNumberFormat="1" applyFill="1" applyBorder="1" applyAlignment="1" applyProtection="1">
      <x:protection locked="1" hidden="0"/>
    </x:xf>
    <x:xf numFmtId="49" fontId="41" fillId="0" borderId="2" applyNumberFormat="1" applyFill="1" applyBorder="1" applyAlignment="1" applyProtection="1">
      <x:protection locked="1" hidden="0"/>
    </x:xf>
    <x:xf numFmtId="0" fontId="42" fillId="0" borderId="2" applyNumberFormat="1" applyFill="1" applyBorder="1" applyAlignment="1" applyProtection="1">
      <x:protection locked="1" hidden="0"/>
    </x:xf>
    <x:xf numFmtId="4" fontId="41" fillId="0" borderId="2" applyNumberFormat="1" applyFill="1" applyBorder="1" applyAlignment="1" applyProtection="1">
      <x:protection locked="1" hidden="0"/>
    </x:xf>
    <x:xf numFmtId="0" fontId="46" fillId="0" borderId="2" applyNumberFormat="1" applyFill="1" applyBorder="1" applyAlignment="1" applyProtection="1">
      <x:protection locked="1" hidden="0"/>
    </x:xf>
    <x:xf numFmtId="0" fontId="40" fillId="0" borderId="0" quotePrefix="1" applyNumberFormat="1" applyFill="1" applyBorder="0" applyAlignment="1" applyProtection="1">
      <x:protection locked="1" hidden="0"/>
    </x:xf>
    <x:xf numFmtId="49" fontId="40" fillId="0" borderId="2" applyNumberFormat="1" applyFill="1" applyBorder="1" applyAlignment="1" applyProtection="1">
      <x:protection locked="1" hidden="0"/>
    </x:xf>
    <x:xf numFmtId="195" fontId="4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43" fillId="0" borderId="0" applyNumberFormat="1" applyFill="1" applyBorder="0" applyAlignment="1" applyProtection="1">
      <x:protection locked="1" hidden="0"/>
    </x:xf>
    <x:xf numFmtId="49" fontId="43" fillId="0" borderId="0" applyNumberFormat="1" applyFill="1" applyBorder="0" applyAlignment="1" applyProtection="1">
      <x:protection locked="1" hidden="0"/>
    </x:xf>
    <x:xf numFmtId="1" fontId="43" fillId="0" borderId="0" applyNumberFormat="1" applyFill="1" applyBorder="0" applyAlignment="1" applyProtection="1">
      <x:protection locked="1" hidden="0"/>
    </x:xf>
    <x:xf numFmtId="0" fontId="18" fillId="0" borderId="2" applyNumberFormat="1" applyFill="1" applyBorder="1" applyAlignment="1" applyProtection="1">
      <x:protection locked="1" hidden="0"/>
    </x:xf>
    <x:xf numFmtId="0" fontId="47" fillId="0" borderId="2" applyNumberFormat="1" applyFill="1" applyBorder="1" applyAlignment="1" applyProtection="1">
      <x:protection locked="1" hidden="0"/>
    </x:xf>
    <x:xf numFmtId="49" fontId="47" fillId="0" borderId="2" applyNumberFormat="1" applyFill="1" applyBorder="1" applyAlignment="1" applyProtection="1">
      <x:protection locked="1" hidden="0"/>
    </x:xf>
    <x:xf numFmtId="1" fontId="18" fillId="0" borderId="2" applyNumberFormat="1" applyFill="1" applyBorder="1" applyAlignment="1" applyProtection="1">
      <x:protection locked="1" hidden="0"/>
    </x:xf>
    <x:xf numFmtId="3" fontId="18" fillId="8" borderId="2" applyNumberFormat="1" applyFill="0" applyBorder="1" applyAlignment="1" applyProtection="1">
      <x:protection locked="1" hidden="0"/>
    </x:xf>
    <x:xf numFmtId="4" fontId="19" fillId="0" borderId="2" applyNumberFormat="1" applyFill="1" applyBorder="1" applyAlignment="1" applyProtection="1">
      <x:protection locked="1" hidden="0"/>
    </x:xf>
    <x:xf numFmtId="0" fontId="18" fillId="8" borderId="2" applyNumberFormat="1" applyFill="0" applyBorder="1" applyAlignment="1" applyProtection="1">
      <x:protection locked="1" hidden="0"/>
    </x:xf>
    <x:xf numFmtId="49" fontId="47" fillId="8" borderId="2" applyNumberFormat="1" applyFill="0" applyBorder="1" applyAlignment="1" applyProtection="1">
      <x:protection locked="1" hidden="0"/>
    </x:xf>
    <x:xf numFmtId="49" fontId="18" fillId="0" borderId="2" applyNumberFormat="1" applyFill="1" applyBorder="1" applyAlignment="1" applyProtection="1">
      <x:protection locked="1" hidden="0"/>
    </x:xf>
    <x:xf numFmtId="1" fontId="18" fillId="8" borderId="2" applyNumberFormat="1" applyFill="0" applyBorder="1" applyAlignment="1" applyProtection="1">
      <x:protection locked="1" hidden="0"/>
    </x:xf>
    <x:xf numFmtId="1" fontId="47" fillId="8" borderId="2" applyNumberFormat="1" applyFill="0" applyBorder="1" applyAlignment="1" applyProtection="1">
      <x:protection locked="1" hidden="0"/>
    </x:xf>
    <x:xf numFmtId="0" fontId="49" fillId="36" borderId="2" applyNumberFormat="1" applyFill="0" applyBorder="1" applyAlignment="1" applyProtection="1">
      <x:protection locked="1" hidden="0"/>
    </x:xf>
    <x:xf numFmtId="4" fontId="18" fillId="0" borderId="2" applyNumberFormat="1" applyFill="1" applyBorder="1" applyAlignment="1" applyProtection="1">
      <x:protection locked="1" hidden="0"/>
    </x:xf>
    <x:xf numFmtId="4" fontId="48" fillId="0" borderId="2" applyNumberFormat="1" applyFill="1" applyBorder="1" applyAlignment="1" applyProtection="1">
      <x:protection locked="1" hidden="0"/>
    </x:xf>
    <x:xf numFmtId="0" fontId="18" fillId="0" borderId="0" applyNumberFormat="1" applyFill="1" applyBorder="0" applyAlignment="1" applyProtection="1">
      <x:protection locked="1" hidden="0"/>
    </x:xf>
    <x:xf numFmtId="0" fontId="23" fillId="0" borderId="3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54" fillId="37" borderId="2" applyNumberFormat="1" applyFill="0" applyBorder="1" applyAlignment="1" applyProtection="1">
      <x:protection locked="1" hidden="0"/>
    </x:xf>
    <x:xf numFmtId="0" fontId="55" fillId="37" borderId="2" applyNumberFormat="1" applyFill="0" applyBorder="1" applyAlignment="1" applyProtection="1">
      <x:protection locked="1" hidden="0"/>
    </x:xf>
    <x:xf numFmtId="0" fontId="56" fillId="37" borderId="2" applyNumberFormat="1" applyFill="0" applyBorder="1" applyAlignment="1" applyProtection="1">
      <x:protection locked="1" hidden="0"/>
    </x:xf>
    <x:xf numFmtId="0" fontId="57" fillId="37" borderId="2" applyNumberFormat="1" applyFill="0" applyBorder="1" applyAlignment="1" applyProtection="1">
      <x:protection locked="1" hidden="0"/>
    </x:xf>
    <x:xf numFmtId="0" fontId="58" fillId="37" borderId="50" applyNumberFormat="1" applyFill="0" applyBorder="1" applyAlignment="1" applyProtection="1">
      <x:protection locked="1" hidden="0"/>
    </x:xf>
    <x:xf numFmtId="0" fontId="59" fillId="37" borderId="2" applyNumberFormat="1" applyFill="0" applyBorder="1" applyAlignment="1" applyProtection="1">
      <x:protection locked="1" hidden="0"/>
    </x:xf>
    <x:xf numFmtId="0" fontId="58" fillId="37" borderId="2" applyNumberFormat="1" applyFill="0" applyBorder="1" applyAlignment="1" applyProtection="1">
      <x:protection locked="1" hidden="0"/>
    </x:xf>
    <x:xf numFmtId="0" fontId="59" fillId="0" borderId="2" applyNumberFormat="1" applyFill="1" applyBorder="1" applyAlignment="1" applyProtection="1">
      <x:protection locked="1" hidden="0"/>
    </x:xf>
    <x:xf numFmtId="0" fontId="59" fillId="40" borderId="2" applyNumberFormat="1" applyFill="0" applyBorder="1" applyAlignment="1" applyProtection="1">
      <x:protection locked="1" hidden="0"/>
    </x:xf>
  </x:cellStyleXfs>
  <x:cellXfs count="287">
    <x:xf numFmtId="0" fontId="0" fillId="2" borderId="0" xfId="0"/>
    <x:xf numFmtId="0" fontId="0" fillId="0" borderId="0" xfId="0" applyFill="1"/>
    <x:xf numFmtId="0" fontId="11" fillId="0" borderId="0" xfId="0" applyFont="1" applyFill="1" applyAlignment="1">
      <x:alignment horizontal="center"/>
    </x:xf>
    <x:xf numFmtId="4" fontId="6" fillId="0" borderId="2" xfId="40" applyNumberFormat="1" applyFont="1" applyFill="1" applyBorder="1" applyAlignment="1">
      <x:alignment vertical="center"/>
    </x:xf>
    <x:xf numFmtId="179" fontId="10" fillId="0" borderId="2" xfId="47" applyFont="1" applyFill="1" applyBorder="1" applyAlignment="1">
      <x:alignment vertical="center" wrapText="1"/>
    </x:xf>
    <x:xf numFmtId="0" fontId="11" fillId="0" borderId="0" xfId="40" applyFont="1" applyFill="1" applyAlignment="1">
      <x:alignment horizontal="center" vertical="center"/>
    </x:xf>
    <x:xf numFmtId="0" fontId="11" fillId="0" borderId="0" xfId="40" applyFont="1" applyFill="1" applyAlignment="1">
      <x:alignment vertical="center"/>
    </x:xf>
    <x:xf numFmtId="49" fontId="12" fillId="0" borderId="0" xfId="40" applyNumberFormat="1" applyFont="1" applyFill="1" applyAlignment="1">
      <x:alignment horizontal="left" vertical="center"/>
    </x:xf>
    <x:xf numFmtId="14" fontId="11" fillId="0" borderId="0" xfId="40" applyNumberFormat="1" applyFont="1" applyFill="1" applyAlignment="1">
      <x:alignment vertical="center"/>
    </x:xf>
    <x:xf numFmtId="0" fontId="8" fillId="0" borderId="0" xfId="40" applyFont="1" applyFill="1" applyAlignment="1">
      <x:alignment horizontal="center" vertical="center"/>
    </x:xf>
    <x:xf numFmtId="4" fontId="6" fillId="0" borderId="2" xfId="40" applyNumberFormat="1" applyFont="1" applyFill="1" applyBorder="1" applyAlignment="1" applyProtection="1">
      <x:alignment vertical="center"/>
    </x:xf>
    <x:xf numFmtId="0" fontId="11" fillId="0" borderId="2" xfId="40" applyFont="1" applyFill="1" applyBorder="1" applyAlignment="1">
      <x:alignment horizontal="center" vertical="center"/>
    </x:xf>
    <x:xf numFmtId="0" fontId="40" fillId="0" borderId="3" xfId="40" applyFont="1" applyFill="1" applyBorder="1" applyAlignment="1">
      <x:alignment horizontal="left" vertical="center"/>
    </x:xf>
    <x:xf numFmtId="0" fontId="40" fillId="0" borderId="2" xfId="40" applyFont="1" applyFill="1" applyBorder="1" applyAlignment="1">
      <x:alignment horizontal="center" vertical="center" wrapText="1"/>
    </x:xf>
    <x:xf numFmtId="0" fontId="40" fillId="0" borderId="2" xfId="40" applyNumberFormat="1" applyFont="1" applyFill="1" applyBorder="1" applyAlignment="1">
      <x:alignment horizontal="center" vertical="center"/>
    </x:xf>
    <x:xf numFmtId="4" fontId="41" fillId="0" borderId="2" xfId="40" applyNumberFormat="1" applyFont="1" applyFill="1" applyBorder="1" applyAlignment="1">
      <x:alignment horizontal="right" vertical="center"/>
    </x:xf>
    <x:xf numFmtId="0" fontId="40" fillId="0" borderId="0" xfId="40" applyFont="1" applyFill="1" applyAlignment="1">
      <x:alignment horizontal="left" vertical="center"/>
    </x:xf>
    <x:xf numFmtId="0" fontId="40" fillId="0" borderId="0" xfId="0" applyFont="1" applyFill="1" applyAlignment="1">
      <x:alignment vertical="center"/>
    </x:xf>
    <x:xf numFmtId="0" fontId="40" fillId="0" borderId="0" xfId="37" applyFont="1" applyFill="1" applyAlignment="1" applyProtection="1">
      <x:alignment horizontal="center" vertical="center"/>
      <x:protection locked="0"/>
    </x:xf>
    <x:xf numFmtId="0" fontId="42" fillId="0" borderId="0" xfId="37" applyFont="1" applyFill="1" applyAlignment="1">
      <x:alignment horizontal="center" vertical="center"/>
    </x:xf>
    <x:xf numFmtId="0" fontId="42" fillId="0" borderId="2" xfId="40" applyFont="1" applyFill="1" applyBorder="1" applyAlignment="1">
      <x:alignment horizontal="center" vertical="center" wrapText="1"/>
    </x:xf>
    <x:xf numFmtId="0" fontId="40" fillId="0" borderId="0" xfId="0" applyFont="1" applyFill="1" applyAlignment="1">
      <x:alignment horizontal="center" vertical="center"/>
    </x:xf>
    <x:xf numFmtId="4" fontId="9" fillId="0" borderId="4" xfId="40" applyNumberFormat="1" applyFont="1" applyFill="1" applyBorder="1" applyAlignment="1">
      <x:alignment vertical="center"/>
    </x:xf>
    <x:xf numFmtId="0" fontId="43" fillId="0" borderId="0" xfId="0" applyFont="1" applyFill="1" applyAlignment="1">
      <x:alignment horizontal="center" vertical="center" wrapText="1"/>
    </x:xf>
    <x:xf numFmtId="0" fontId="43" fillId="0" borderId="0" xfId="0" applyFont="1" applyFill="1" applyAlignment="1">
      <x:alignment horizontal="center" vertical="center"/>
    </x:xf>
    <x:xf numFmtId="49" fontId="43" fillId="0" borderId="0" xfId="0" applyNumberFormat="1" applyFont="1" applyFill="1" applyAlignment="1">
      <x:alignment horizontal="center" vertical="center" wrapText="1"/>
    </x:xf>
    <x:xf numFmtId="49" fontId="0" fillId="0" borderId="0" xfId="0" applyNumberFormat="1" applyFill="1"/>
    <x:xf numFmtId="0" fontId="13" fillId="0" borderId="2" xfId="41" applyFont="1" applyFill="1" applyBorder="1" applyAlignment="1">
      <x:alignment horizontal="center" vertical="center" wrapText="1"/>
    </x:xf>
    <x:xf numFmtId="195" fontId="8" fillId="0" borderId="0" xfId="40" applyNumberFormat="1" applyFont="1" applyFill="1" applyAlignment="1">
      <x:alignment horizontal="center" vertical="center"/>
    </x:xf>
    <x:xf numFmtId="0" fontId="40" fillId="0" borderId="0" xfId="0" applyFont="1" applyFill="1" applyAlignment="1">
      <x:alignment horizontal="center" vertical="center"/>
    </x:xf>
    <x:xf numFmtId="0" fontId="9" fillId="0" borderId="0" xfId="40" applyFont="1" applyFill="1" applyBorder="1" applyAlignment="1">
      <x:alignment horizontal="center" vertical="center" wrapText="1"/>
    </x:xf>
    <x:xf numFmtId="4" fontId="6" fillId="0" borderId="0" xfId="40" applyNumberFormat="1" applyFont="1" applyFill="1" applyBorder="1" applyAlignment="1" applyProtection="1">
      <x:alignment vertical="center"/>
    </x:xf>
    <x:xf numFmtId="4" fontId="9" fillId="0" borderId="0" xfId="40" applyNumberFormat="1" applyFont="1" applyFill="1" applyBorder="1" applyAlignment="1">
      <x:alignment vertical="center"/>
    </x:xf>
    <x:xf numFmtId="4" fontId="4" fillId="0" borderId="2" xfId="49" applyNumberFormat="1" applyFont="1" applyFill="1" applyBorder="1" applyAlignment="1">
      <x:alignment horizontal="center" vertical="center" wrapText="1"/>
    </x:xf>
    <x:xf numFmtId="0" fontId="40" fillId="0" borderId="0" xfId="40" applyFont="1" applyFill="1" applyAlignment="1">
      <x:alignment horizontal="center" vertical="center"/>
    </x:xf>
    <x:xf numFmtId="3" fontId="5" fillId="34" borderId="4" xfId="47" applyNumberFormat="1" applyFont="1" applyFill="1" applyBorder="1" applyAlignment="1">
      <x:alignment horizontal="center" vertical="center" wrapText="1"/>
    </x:xf>
    <x:xf numFmtId="195" fontId="40" fillId="0" borderId="0" xfId="40" applyNumberFormat="1" applyFont="1" applyFill="1" applyAlignment="1">
      <x:alignment horizontal="center" vertical="center"/>
    </x:xf>
    <x:xf numFmtId="3" fontId="9" fillId="0" borderId="4" xfId="40" applyNumberFormat="1" applyFont="1" applyFill="1" applyBorder="1" applyAlignment="1">
      <x:alignment vertical="center"/>
    </x:xf>
    <x:xf numFmtId="0" fontId="0" fillId="0" borderId="0" xfId="0" applyFill="1" applyAlignment="1">
      <x:alignment vertical="center"/>
    </x:xf>
    <x:xf numFmtId="0" fontId="44" fillId="0" borderId="0" xfId="0" applyFont="1" applyFill="1"/>
    <x:xf numFmtId="0" fontId="40" fillId="0" borderId="0" xfId="0" applyFont="1" applyFill="1" applyAlignment="1">
      <x:alignment horizontal="center" vertical="center"/>
    </x:xf>
    <x:xf numFmtId="0" fontId="40" fillId="0" borderId="2" xfId="0" applyFont="1" applyFill="1" applyBorder="1" applyAlignment="1" applyProtection="1">
      <x:alignment vertical="center" wrapText="1"/>
    </x:xf>
    <x:xf numFmtId="0" fontId="40" fillId="0" borderId="2" xfId="0" applyFont="1" applyFill="1" applyBorder="1" applyAlignment="1" applyProtection="1">
      <x:alignment horizontal="center" vertical="center" wrapText="1"/>
    </x:xf>
    <x:xf numFmtId="49" fontId="41" fillId="0" borderId="2" xfId="40" applyNumberFormat="1" applyFont="1" applyFill="1" applyBorder="1" applyAlignment="1">
      <x:alignment horizontal="center" vertical="center" wrapText="1"/>
    </x:xf>
    <x:xf numFmtId="0" fontId="40" fillId="0" borderId="5" xfId="40" applyFont="1" applyFill="1" applyBorder="1" applyAlignment="1">
      <x:alignment horizontal="right" vertical="center"/>
    </x:xf>
    <x:xf numFmtId="0" fontId="40" fillId="0" borderId="6" xfId="41" applyFont="1" applyFill="1" applyBorder="1" applyAlignment="1">
      <x:alignment horizontal="left" vertical="center"/>
    </x:xf>
    <x:xf numFmtId="0" fontId="40" fillId="0" borderId="7" xfId="40" applyFont="1" applyFill="1" applyBorder="1" applyAlignment="1">
      <x:alignment horizontal="left" vertical="center"/>
    </x:xf>
    <x:xf numFmtId="0" fontId="40" fillId="0" borderId="8" xfId="40" applyFont="1" applyFill="1" applyBorder="1" applyAlignment="1">
      <x:alignment horizontal="left" vertical="center"/>
    </x:xf>
    <x:xf numFmtId="195" fontId="39" fillId="0" borderId="5" xfId="40" applyNumberFormat="1" applyFont="1" applyFill="1" applyBorder="1" applyAlignment="1">
      <x:alignment horizontal="right" vertical="center"/>
    </x:xf>
    <x:xf numFmtId="49" fontId="39" fillId="0" borderId="4" xfId="41" applyNumberFormat="1" applyFont="1" applyFill="1" applyBorder="1" applyAlignment="1">
      <x:alignment horizontal="left" vertical="center"/>
    </x:xf>
    <x:xf numFmtId="1" fontId="43" fillId="0" borderId="0" xfId="0" applyNumberFormat="1" applyFont="1" applyFill="1" applyAlignment="1">
      <x:alignment horizontal="center" vertical="center" wrapText="1"/>
    </x:xf>
    <x:xf numFmtId="1" fontId="0" fillId="0" borderId="0" xfId="0" applyNumberFormat="1" applyFill="1"/>
    <x:xf numFmtId="49" fontId="43" fillId="0" borderId="0" xfId="0" applyNumberFormat="1" applyFont="1" applyFill="1" applyAlignment="1">
      <x:alignment horizontal="right" vertical="center" wrapText="1"/>
    </x:xf>
    <x:xf numFmtId="1" fontId="43" fillId="0" borderId="0" xfId="0" applyNumberFormat="1" applyFont="1" applyFill="1" applyAlignment="1">
      <x:alignment horizontal="right" vertical="center" wrapText="1"/>
    </x:xf>
    <x:xf numFmtId="49" fontId="0" fillId="0" borderId="0" xfId="0" applyNumberFormat="1" applyFill="1" applyAlignment="1">
      <x:alignment horizontal="right"/>
    </x:xf>
    <x:xf numFmtId="1" fontId="0" fillId="0" borderId="0" xfId="0" applyNumberFormat="1" applyFill="1" applyAlignment="1">
      <x:alignment horizontal="right"/>
    </x:xf>
    <x:xf numFmtId="0" fontId="40" fillId="0" borderId="0" xfId="40" quotePrefix="1" applyFont="1" applyFill="1" applyAlignment="1">
      <x:alignment horizontal="left" vertical="center"/>
    </x:xf>
    <x:xf numFmtId="4" fontId="11" fillId="0" borderId="0" xfId="40" applyNumberFormat="1" applyFont="1" applyFill="1" applyAlignment="1">
      <x:alignment vertical="center"/>
    </x:xf>
    <x:xf numFmtId="0" fontId="7" fillId="0" borderId="2" xfId="41" applyFont="1" applyFill="1" applyBorder="1" applyAlignment="1">
      <x:alignment horizontal="center" vertical="center" wrapText="1"/>
    </x:xf>
    <x:xf numFmtId="0" fontId="13" fillId="0" borderId="3" xfId="41" applyFont="1" applyFill="1" applyBorder="1" applyAlignment="1">
      <x:alignment horizontal="center" vertical="center" wrapText="1"/>
    </x:xf>
    <x:xf numFmtId="4" fontId="16" fillId="0" borderId="9" xfId="41" applyNumberFormat="1" applyFont="1" applyFill="1" applyBorder="1" applyAlignment="1">
      <x:alignment horizontal="center" vertical="center" wrapText="1"/>
    </x:xf>
    <x:xf numFmtId="4" fontId="9" fillId="0" borderId="10" xfId="40" applyNumberFormat="1" applyFont="1" applyFill="1" applyBorder="1" applyAlignment="1">
      <x:alignment horizontal="center" vertical="center" wrapText="1"/>
    </x:xf>
    <x:xf numFmtId="4" fontId="6" fillId="0" borderId="4" xfId="40" applyNumberFormat="1" applyFont="1" applyFill="1" applyBorder="1" applyAlignment="1">
      <x:alignment vertical="center"/>
    </x:xf>
    <x:xf numFmtId="4" fontId="6" fillId="0" borderId="2" xfId="41" applyNumberFormat="1" applyFont="1" applyFill="1" applyBorder="1" applyAlignment="1">
      <x:alignment vertical="center"/>
    </x:xf>
    <x:xf numFmtId="0" fontId="40" fillId="0" borderId="0" xfId="0" applyFont="1" applyFill="1" applyAlignment="1">
      <x:alignment horizontal="center" vertical="center"/>
    </x:xf>
    <x:xf numFmtId="4" fontId="6" fillId="0" borderId="2" xfId="40" applyNumberFormat="1" applyFont="1" applyFill="1" applyBorder="1" applyAlignment="1">
      <x:alignment horizontal="center" vertical="center"/>
    </x:xf>
    <x:xf numFmtId="4" fontId="11" fillId="0" borderId="0" xfId="40" applyNumberFormat="1" applyFont="1" applyFill="1" applyAlignment="1">
      <x:alignment horizontal="center" vertical="center"/>
    </x:xf>
    <x:xf numFmtId="4" fontId="9" fillId="0" borderId="4" xfId="40" applyNumberFormat="1" applyFont="1" applyFill="1" applyBorder="1" applyAlignment="1">
      <x:alignment horizontal="center" vertical="center"/>
    </x:xf>
    <x:xf numFmtId="14" fontId="11" fillId="0" borderId="0" xfId="40" applyNumberFormat="1" applyFont="1" applyFill="1" applyAlignment="1">
      <x:alignment horizontal="center" vertical="center"/>
    </x:xf>
    <x:xf numFmtId="0" fontId="44" fillId="0" borderId="2" xfId="0" applyFont="1" applyFill="1" applyBorder="1"/>
    <x:xf numFmtId="0" fontId="45" fillId="0" borderId="2" xfId="0" applyFont="1" applyFill="1" applyBorder="1" applyAlignment="1">
      <x:alignment horizontal="center"/>
    </x:xf>
    <x:xf numFmtId="0" fontId="46" fillId="0" borderId="2" xfId="0" applyFont="1" applyFill="1" applyBorder="1" applyAlignment="1" applyProtection="1">
      <x:alignment horizontal="center" vertical="center" wrapText="1"/>
    </x:xf>
    <x:xf numFmtId="0" fontId="18" fillId="0" borderId="2" xfId="0" applyFont="1" applyFill="1" applyBorder="1"/>
    <x:xf numFmtId="0" fontId="47" fillId="0" borderId="2" xfId="0" applyFont="1" applyFill="1" applyBorder="1"/>
    <x:xf numFmtId="49" fontId="47" fillId="0" borderId="2" xfId="0" applyNumberFormat="1" applyFont="1" applyFill="1" applyBorder="1"/>
    <x:xf numFmtId="1" fontId="18" fillId="0" borderId="2" xfId="0" applyNumberFormat="1" applyFont="1" applyFill="1" applyBorder="1"/>
    <x:xf numFmtId="3" fontId="18" fillId="35" borderId="2" xfId="0" applyNumberFormat="1" applyFont="1" applyFill="1" applyBorder="1"/>
    <x:xf numFmtId="49" fontId="47" fillId="35" borderId="2" xfId="0" applyNumberFormat="1" applyFont="1" applyFill="1" applyBorder="1" applyAlignment="1">
      <x:alignment horizontal="right"/>
    </x:xf>
    <x:xf numFmtId="49" fontId="18" fillId="0" borderId="2" xfId="0" applyNumberFormat="1" applyFont="1" applyFill="1" applyBorder="1" applyAlignment="1">
      <x:alignment horizontal="right"/>
    </x:xf>
    <x:xf numFmtId="1" fontId="18" fillId="0" borderId="2" xfId="0" applyNumberFormat="1" applyFont="1" applyFill="1" applyBorder="1" applyAlignment="1">
      <x:alignment horizontal="right"/>
    </x:xf>
    <x:xf numFmtId="1" fontId="18" fillId="35" borderId="2" xfId="0" applyNumberFormat="1" applyFont="1" applyFill="1" applyBorder="1"/>
    <x:xf numFmtId="1" fontId="47" fillId="35" borderId="2" xfId="0" applyNumberFormat="1" applyFont="1" applyFill="1" applyBorder="1"/>
    <x:xf numFmtId="49" fontId="47" fillId="0" borderId="2" xfId="0" applyNumberFormat="1" applyFont="1" applyFill="1" applyBorder="1" applyAlignment="1">
      <x:alignment horizontal="center"/>
    </x:xf>
    <x:xf numFmtId="4" fontId="18" fillId="0" borderId="2" xfId="0" applyNumberFormat="1" applyFont="1" applyFill="1" applyBorder="1"/>
    <x:xf numFmtId="4" fontId="48" fillId="0" borderId="2" xfId="0" applyNumberFormat="1" applyFont="1" applyFill="1" applyBorder="1" applyAlignment="1">
      <x:alignment wrapText="1"/>
    </x:xf>
    <x:xf numFmtId="0" fontId="18" fillId="0" borderId="2" xfId="0" applyFont="1" applyFill="1" applyBorder="1" applyAlignment="1">
      <x:alignment vertical="center"/>
    </x:xf>
    <x:xf numFmtId="0" fontId="18" fillId="0" borderId="0" xfId="0" applyFont="1" applyFill="1"/>
    <x:xf numFmtId="4" fontId="19" fillId="0" borderId="2" xfId="0" applyNumberFormat="1" applyFont="1" applyFill="1" applyBorder="1" applyAlignment="1" applyProtection="1">
      <x:alignment vertical="center" wrapText="1"/>
    </x:xf>
    <x:xf numFmtId="4" fontId="19" fillId="0" borderId="2" xfId="0" applyNumberFormat="1" applyFont="1" applyFill="1" applyBorder="1" applyAlignment="1" applyProtection="1">
      <x:alignment vertical="top" wrapText="1"/>
    </x:xf>
    <x:xf numFmtId="0" fontId="49" fillId="36" borderId="2" xfId="0" applyFont="1" applyFill="1" applyBorder="1"/>
    <x:xf numFmtId="0" fontId="40" fillId="37" borderId="2" xfId="0" applyFont="1" applyFill="1" applyBorder="1" applyAlignment="1">
      <x:alignment horizontal="center" vertical="center"/>
    </x:xf>
    <x:xf numFmtId="0" fontId="42" fillId="37" borderId="2" xfId="0" applyFont="1" applyFill="1" applyBorder="1" applyAlignment="1">
      <x:alignment horizontal="left" vertical="center"/>
    </x:xf>
    <x:xf numFmtId="0" fontId="0" fillId="37" borderId="2" xfId="0" applyFont="1" applyFill="1" applyBorder="1"/>
    <x:xf numFmtId="0" fontId="0" fillId="37" borderId="0" xfId="0" applyFont="1" applyFill="1" applyBorder="1"/>
    <x:xf numFmtId="0" fontId="44" fillId="37" borderId="0" xfId="0" applyFont="1" applyFill="1"/>
    <x:xf numFmtId="209" fontId="50" fillId="37" borderId="2" xfId="0" applyNumberFormat="1" applyFont="1" applyFill="1" applyBorder="1" applyAlignment="1" applyProtection="1">
      <x:alignment horizontal="center" vertical="center"/>
      <x:protection hidden="1"/>
    </x:xf>
    <x:xf numFmtId="14" fontId="44" fillId="37" borderId="2" xfId="0" applyNumberFormat="1" applyFont="1" applyFill="1" applyBorder="1"/>
    <x:xf numFmtId="0" fontId="0" fillId="37" borderId="2" xfId="0" applyFill="1" applyBorder="1"/>
    <x:xf numFmtId="0" fontId="45" fillId="37" borderId="0" xfId="0" applyFont="1" applyFill="1" applyBorder="1" applyAlignment="1">
      <x:alignment vertical="center"/>
    </x:xf>
    <x:xf numFmtId="0" fontId="44" fillId="37" borderId="0" xfId="0" applyFont="1" applyFill="1" applyBorder="1"/>
    <x:xf numFmtId="0" fontId="40" fillId="37" borderId="2" xfId="0" applyFont="1" applyFill="1" applyBorder="1" applyAlignment="1">
      <x:alignment horizontal="left" vertical="center"/>
    </x:xf>
    <x:xf numFmtId="0" fontId="40" fillId="37" borderId="2" xfId="0" applyFont="1" applyFill="1" applyBorder="1"/>
    <x:xf numFmtId="0" fontId="38" fillId="37" borderId="2" xfId="0" applyFont="1" applyFill="1" applyBorder="1" applyAlignment="1">
      <x:alignment horizontal="center" vertical="center"/>
    </x:xf>
    <x:xf numFmtId="0" fontId="44" fillId="37" borderId="2" xfId="0" applyFont="1" applyFill="1" applyBorder="1"/>
    <x:xf numFmtId="49" fontId="40" fillId="0" borderId="2" xfId="40" applyNumberFormat="1" applyFont="1" applyFill="1" applyBorder="1" applyAlignment="1">
      <x:alignment vertical="center"/>
    </x:xf>
    <x:xf numFmtId="0" fontId="41" fillId="37" borderId="2" xfId="0" applyFont="1" applyFill="1" applyBorder="1" applyAlignment="1">
      <x:alignment horizontal="center" vertical="center"/>
    </x:xf>
    <x:xf numFmtId="0" fontId="51" fillId="37" borderId="2" xfId="0" applyFont="1" applyFill="1" applyBorder="1" applyAlignment="1">
      <x:alignment horizontal="center" vertical="center"/>
    </x:xf>
    <x:xf numFmtId="211" fontId="43" fillId="37" borderId="2" xfId="0" quotePrefix="1" applyNumberFormat="1" applyFont="1" applyFill="1" applyBorder="1" applyAlignment="1">
      <x:alignment horizontal="center"/>
    </x:xf>
    <x:xf numFmtId="0" fontId="38" fillId="0" borderId="11" xfId="0" applyFont="1" applyFill="1" applyBorder="1"/>
    <x:xf numFmtId="0" fontId="38" fillId="0" borderId="12" xfId="0" applyFont="1" applyFill="1" applyBorder="1"/>
    <x:xf numFmtId="0" fontId="38" fillId="0" borderId="13" xfId="0" applyFont="1" applyFill="1" applyBorder="1" applyAlignment="1">
      <x:alignment horizontal="center"/>
    </x:xf>
    <x:xf numFmtId="0" fontId="38" fillId="0" borderId="14" xfId="0" applyFont="1" applyFill="1" applyBorder="1" applyAlignment="1">
      <x:alignment horizontal="center"/>
    </x:xf>
    <x:xf numFmtId="0" fontId="23" fillId="38" borderId="11" xfId="0" quotePrefix="1" applyNumberFormat="1" applyFont="1" applyFill="1" applyBorder="1" applyAlignment="1">
      <x:alignment horizontal="center" shrinkToFit="1"/>
    </x:xf>
    <x:xf numFmtId="0" fontId="51" fillId="0" borderId="15" xfId="0" applyFont="1" applyFill="1" applyBorder="1" applyAlignment="1">
      <x:alignment horizontal="center" vertical="center" wrapText="1"/>
    </x:xf>
    <x:xf numFmtId="0" fontId="51" fillId="0" borderId="3" xfId="0" applyFont="1" applyFill="1" applyBorder="1" applyAlignment="1">
      <x:alignment horizontal="center" vertical="center" wrapText="1"/>
    </x:xf>
    <x:xf numFmtId="0" fontId="23" fillId="39" borderId="2" xfId="0" applyFont="1" applyFill="1" applyBorder="1" applyAlignment="1">
      <x:alignment vertical="center"/>
    </x:xf>
    <x:xf numFmtId="0" fontId="38" fillId="37" borderId="2" xfId="0" applyFont="1" applyFill="1" applyBorder="1"/>
    <x:xf numFmtId="0" fontId="38" fillId="37" borderId="2" xfId="0" quotePrefix="1" applyFont="1" applyFill="1" applyBorder="1" applyAlignment="1">
      <x:alignment horizontal="center"/>
    </x:xf>
    <x:xf numFmtId="0" fontId="38" fillId="37" borderId="2" xfId="0" applyFont="1" applyFill="1" applyBorder="1" applyAlignment="1">
      <x:alignment horizontal="center"/>
    </x:xf>
    <x:xf numFmtId="195" fontId="23" fillId="37" borderId="2" xfId="0" applyNumberFormat="1" applyFont="1" applyFill="1" applyBorder="1" applyAlignment="1">
      <x:alignment vertical="center"/>
    </x:xf>
    <x:xf numFmtId="0" fontId="23" fillId="37" borderId="2" xfId="0" applyFont="1" applyFill="1" applyBorder="1"/>
    <x:xf numFmtId="0" fontId="23" fillId="0" borderId="2" xfId="0" applyFont="1" applyFill="1" applyBorder="1"/>
    <x:xf numFmtId="0" fontId="23" fillId="40" borderId="2" xfId="0" applyFont="1" applyFill="1" applyBorder="1"/>
    <x:xf numFmtId="195" fontId="23" fillId="0" borderId="2" xfId="0" applyNumberFormat="1" applyFont="1" applyFill="1" applyBorder="1" applyAlignment="1">
      <x:alignment vertical="center"/>
    </x:xf>
    <x:xf numFmtId="0" fontId="23" fillId="0" borderId="0" xfId="0" applyFont="1" applyFill="1" applyAlignment="1"/>
    <x:xf numFmtId="0" fontId="38" fillId="41" borderId="0" xfId="0" applyFont="1" applyFill="1" applyBorder="1"/>
    <x:xf numFmtId="0" fontId="38" fillId="42" borderId="0" xfId="0" applyFont="1" applyFill="1" applyAlignment="1">
      <x:alignment horizontal="center"/>
    </x:xf>
    <x:xf numFmtId="0" fontId="23" fillId="0" borderId="0" xfId="0" applyFont="1" applyFill="1"/>
    <x:xf numFmtId="0" fontId="23" fillId="0" borderId="7" xfId="0" applyFont="1" applyFill="1" applyBorder="1" applyAlignment="1"/>
    <x:xf numFmtId="0" fontId="23" fillId="0" borderId="0" xfId="0" applyFont="1" applyFill="1" applyBorder="1"/>
    <x:xf numFmtId="0" fontId="23" fillId="0" borderId="0" xfId="0" applyFont="1" applyFill="1" applyBorder="1" applyAlignment="1">
      <x:alignment vertical="center" wrapText="1"/>
    </x:xf>
    <x:xf numFmtId="0" fontId="38" fillId="0" borderId="16" xfId="0" applyFont="1" applyFill="1" applyBorder="1"/>
    <x:xf numFmtId="0" fontId="38" fillId="0" borderId="17" xfId="0" applyFont="1" applyFill="1" applyBorder="1"/>
    <x:xf numFmtId="0" fontId="23" fillId="0" borderId="11" xfId="0" applyFont="1" applyFill="1" applyBorder="1" applyAlignment="1">
      <x:alignment vertical="center" wrapText="1"/>
    </x:xf>
    <x:xf numFmtId="0" fontId="38" fillId="42" borderId="2" xfId="0" applyFont="1" applyFill="1" applyBorder="1" applyAlignment="1">
      <x:alignment horizontal="center"/>
    </x:xf>
    <x:xf numFmtId="0" fontId="23" fillId="37" borderId="0" xfId="0" applyFont="1" applyFill="1"/>
    <x:xf numFmtId="14" fontId="23" fillId="37" borderId="2" xfId="0" applyNumberFormat="1" applyFont="1" applyFill="1" applyBorder="1"/>
    <x:xf numFmtId="0" fontId="18" fillId="37" borderId="2" xfId="0" applyFont="1" applyFill="1" applyBorder="1"/>
    <x:xf numFmtId="0" fontId="22" fillId="37" borderId="2" xfId="0" applyFont="1" applyFill="1" applyBorder="1"/>
    <x:xf numFmtId="0" fontId="52" fillId="37" borderId="2" xfId="0" applyNumberFormat="1" applyFont="1" applyFill="1" applyBorder="1" applyAlignment="1">
      <x:alignment vertical="top" wrapText="1" readingOrder="1"/>
    </x:xf>
    <x:xf numFmtId="0" fontId="18" fillId="37" borderId="2" xfId="0" applyNumberFormat="1" applyFont="1" applyFill="1" applyBorder="1" applyAlignment="1">
      <x:alignment horizontal="center" vertical="top" wrapText="1" readingOrder="1"/>
    </x:xf>
    <x:xf numFmtId="0" fontId="18" fillId="37" borderId="2" xfId="0" applyNumberFormat="1" applyFont="1" applyFill="1" applyBorder="1" applyAlignment="1">
      <x:alignment vertical="top" wrapText="1" readingOrder="1"/>
    </x:xf>
    <x:xf numFmtId="0" fontId="18" fillId="37" borderId="2" xfId="0" applyNumberFormat="1" applyFont="1" applyFill="1" applyBorder="1" applyAlignment="1">
      <x:alignment vertical="top" wrapText="1"/>
    </x:xf>
    <x:xf numFmtId="0" fontId="42" fillId="37" borderId="18" xfId="0" applyFont="1" applyFill="1" applyBorder="1" applyAlignment="1">
      <x:alignment horizontal="left" vertical="center"/>
    </x:xf>
    <x:xf numFmtId="0" fontId="18" fillId="35" borderId="2" xfId="0" applyFont="1" applyFill="1" applyBorder="1"/>
    <x:xf numFmtId="0" fontId="38" fillId="0" borderId="27" xfId="0" applyFont="1" applyFill="1" applyBorder="1" applyAlignment="1">
      <x:alignment horizontal="center"/>
    </x:xf>
    <x:xf numFmtId="0" fontId="38" fillId="0" borderId="28" xfId="0" applyFont="1" applyFill="1" applyBorder="1" applyAlignment="1">
      <x:alignment horizontal="center"/>
    </x:xf>
    <x:xf numFmtId="211" fontId="23" fillId="38" borderId="21" xfId="0" quotePrefix="1" applyNumberFormat="1" applyFont="1" applyFill="1" applyBorder="1" applyAlignment="1">
      <x:alignment horizontal="center" textRotation="90" shrinkToFit="1"/>
    </x:xf>
    <x:xf numFmtId="211" fontId="23" fillId="38" borderId="22" xfId="0" quotePrefix="1" applyNumberFormat="1" applyFont="1" applyFill="1" applyBorder="1" applyAlignment="1">
      <x:alignment horizontal="center" textRotation="90" shrinkToFit="1"/>
    </x:xf>
    <x:xf numFmtId="211" fontId="23" fillId="38" borderId="23" xfId="0" quotePrefix="1" applyNumberFormat="1" applyFont="1" applyFill="1" applyBorder="1" applyAlignment="1">
      <x:alignment horizontal="center" textRotation="90" shrinkToFit="1"/>
    </x:xf>
    <x:xf numFmtId="211" fontId="23" fillId="38" borderId="24" xfId="0" quotePrefix="1" applyNumberFormat="1" applyFont="1" applyFill="1" applyBorder="1" applyAlignment="1">
      <x:alignment horizontal="center" textRotation="90" shrinkToFit="1"/>
    </x:xf>
    <x:xf numFmtId="0" fontId="38" fillId="0" borderId="23" xfId="0" applyFont="1" applyFill="1" applyBorder="1" applyAlignment="1">
      <x:alignment horizontal="center" vertical="center"/>
    </x:xf>
    <x:xf numFmtId="0" fontId="38" fillId="0" borderId="25" xfId="0" applyFont="1" applyFill="1" applyBorder="1" applyAlignment="1">
      <x:alignment horizontal="center" vertical="center"/>
    </x:xf>
    <x:xf numFmtId="0" fontId="38" fillId="0" borderId="26" xfId="0" applyFont="1" applyFill="1" applyBorder="1" applyAlignment="1">
      <x:alignment horizontal="center" vertical="center"/>
    </x:xf>
    <x:xf numFmtId="0" fontId="51" fillId="0" borderId="19" xfId="0" applyFont="1" applyFill="1" applyBorder="1" applyAlignment="1">
      <x:alignment horizontal="center" vertical="center" wrapText="1"/>
    </x:xf>
    <x:xf numFmtId="0" fontId="51" fillId="0" borderId="18" xfId="0" applyFont="1" applyFill="1" applyBorder="1" applyAlignment="1">
      <x:alignment horizontal="center" vertical="center" wrapText="1"/>
    </x:xf>
    <x:xf numFmtId="0" fontId="51" fillId="0" borderId="20" xfId="0" applyFont="1" applyFill="1" applyBorder="1" applyAlignment="1">
      <x:alignment horizontal="center" vertical="center" wrapText="1"/>
    </x:xf>
    <x:xf numFmtId="0" fontId="51" fillId="0" borderId="6" xfId="0" applyFont="1" applyFill="1" applyBorder="1" applyAlignment="1">
      <x:alignment horizontal="center" vertical="center" wrapText="1"/>
    </x:xf>
    <x:xf numFmtId="0" fontId="23" fillId="0" borderId="2" xfId="0" applyFont="1" applyFill="1" applyBorder="1" applyAlignment="1">
      <x:alignment horizontal="center" wrapText="1"/>
    </x:xf>
    <x:xf numFmtId="0" fontId="38" fillId="0" borderId="0" xfId="0" applyFont="1" applyFill="1" applyBorder="1" applyAlignment="1">
      <x:alignment horizontal="center" vertical="center"/>
    </x:xf>
    <x:xf numFmtId="0" fontId="7" fillId="0" borderId="36" xfId="41" applyFont="1" applyFill="1" applyBorder="1" applyAlignment="1">
      <x:alignment horizontal="center" vertical="center" wrapText="1"/>
    </x:xf>
    <x:xf numFmtId="0" fontId="7" fillId="0" borderId="19" xfId="40" applyFont="1" applyFill="1" applyBorder="1" applyAlignment="1">
      <x:alignment horizontal="center" vertical="center"/>
    </x:xf>
    <x:xf numFmtId="0" fontId="7" fillId="0" borderId="12" xfId="40" applyFont="1" applyFill="1" applyBorder="1" applyAlignment="1">
      <x:alignment horizontal="center" vertical="center"/>
    </x:xf>
    <x:xf numFmtId="0" fontId="7" fillId="0" borderId="18" xfId="40" applyFont="1" applyFill="1" applyBorder="1" applyAlignment="1">
      <x:alignment horizontal="center" vertical="center"/>
    </x:xf>
    <x:xf numFmtId="0" fontId="15" fillId="0" borderId="2" xfId="41" applyFont="1" applyFill="1" applyBorder="1" applyAlignment="1">
      <x:alignment horizontal="center" vertical="center" wrapText="1"/>
    </x:xf>
    <x:xf numFmtId="0" fontId="15" fillId="0" borderId="3" xfId="41" applyFont="1" applyFill="1" applyBorder="1" applyAlignment="1">
      <x:alignment horizontal="center" vertical="center" wrapText="1"/>
    </x:xf>
    <x:xf numFmtId="0" fontId="7" fillId="0" borderId="37" xfId="40" applyFont="1" applyFill="1" applyBorder="1" applyAlignment="1">
      <x:alignment horizontal="center" vertical="center" wrapText="1"/>
    </x:xf>
    <x:xf numFmtId="0" fontId="7" fillId="0" borderId="33" xfId="40" applyFont="1" applyFill="1" applyBorder="1" applyAlignment="1">
      <x:alignment horizontal="center" vertical="center" wrapText="1"/>
    </x:xf>
    <x:xf numFmtId="0" fontId="6" fillId="0" borderId="3" xfId="41" applyFont="1" applyFill="1" applyBorder="1" applyAlignment="1">
      <x:alignment horizontal="center" vertical="center" wrapText="1"/>
    </x:xf>
    <x:xf numFmtId="0" fontId="11" fillId="0" borderId="38" xfId="40" applyFont="1" applyFill="1" applyBorder="1" applyAlignment="1">
      <x:alignment horizontal="center" vertical="center" wrapText="1"/>
    </x:xf>
    <x:xf numFmtId="0" fontId="11" fillId="0" borderId="39" xfId="40" applyFont="1" applyFill="1" applyBorder="1" applyAlignment="1">
      <x:alignment horizontal="center" vertical="center" wrapText="1"/>
    </x:xf>
    <x:xf numFmtId="0" fontId="11" fillId="0" borderId="40" xfId="40" applyFont="1" applyFill="1" applyBorder="1" applyAlignment="1">
      <x:alignment horizontal="center" vertical="center" wrapText="1"/>
    </x:xf>
    <x:xf numFmtId="0" fontId="17" fillId="0" borderId="0" xfId="41" applyFont="1" applyFill="1" applyBorder="1" applyAlignment="1">
      <x:alignment horizontal="center" vertical="center"/>
    </x:xf>
    <x:xf numFmtId="0" fontId="0" fillId="0" borderId="30" xfId="40" applyFont="1" applyFill="1" applyBorder="1" applyAlignment="1">
      <x:alignment horizontal="center" vertical="center"/>
    </x:xf>
    <x:xf numFmtId="0" fontId="11" fillId="0" borderId="30" xfId="40" applyFont="1" applyFill="1" applyBorder="1" applyAlignment="1">
      <x:alignment horizontal="center" vertical="center"/>
    </x:xf>
    <x:xf numFmtId="0" fontId="11" fillId="0" borderId="31" xfId="40" applyFont="1" applyFill="1" applyBorder="1" applyAlignment="1">
      <x:alignment horizontal="center" vertical="center" wrapText="1"/>
    </x:xf>
    <x:xf numFmtId="0" fontId="11" fillId="0" borderId="32" xfId="40" applyFont="1" applyFill="1" applyBorder="1" applyAlignment="1">
      <x:alignment horizontal="center" vertical="center" wrapText="1"/>
    </x:xf>
    <x:xf numFmtId="0" fontId="11" fillId="0" borderId="33" xfId="40" applyFont="1" applyFill="1" applyBorder="1" applyAlignment="1">
      <x:alignment horizontal="center" vertical="center" wrapText="1"/>
    </x:xf>
    <x:xf numFmtId="0" fontId="7" fillId="0" borderId="34" xfId="40" applyFont="1" applyFill="1" applyBorder="1" applyAlignment="1">
      <x:alignment horizontal="center" vertical="center" wrapText="1"/>
    </x:xf>
    <x:xf numFmtId="0" fontId="7" fillId="0" borderId="35" xfId="40" applyFont="1" applyFill="1" applyBorder="1" applyAlignment="1">
      <x:alignment horizontal="center" vertical="center" wrapText="1"/>
    </x:xf>
    <x:xf numFmtId="0" fontId="0" fillId="0" borderId="0" xfId="40" applyFont="1" applyFill="1" applyAlignment="1">
      <x:alignment horizontal="center" vertical="center"/>
    </x:xf>
    <x:xf numFmtId="0" fontId="11" fillId="0" borderId="0" xfId="40" applyFont="1" applyFill="1" applyAlignment="1">
      <x:alignment horizontal="center" vertical="center"/>
    </x:xf>
    <x:xf numFmtId="0" fontId="11" fillId="0" borderId="0" xfId="0" applyFont="1" applyFill="1" applyAlignment="1">
      <x:alignment horizontal="center"/>
    </x:xf>
    <x:xf numFmtId="0" fontId="8" fillId="0" borderId="2" xfId="40" applyFont="1" applyFill="1" applyBorder="1" applyAlignment="1" applyProtection="1">
      <x:alignment horizontal="center" vertical="center"/>
      <x:protection locked="0"/>
    </x:xf>
    <x:xf numFmtId="0" fontId="42" fillId="0" borderId="19" xfId="40" applyFont="1" applyFill="1" applyBorder="1" applyAlignment="1">
      <x:alignment horizontal="center" vertical="center" wrapText="1"/>
    </x:xf>
    <x:xf numFmtId="0" fontId="42" fillId="0" borderId="12" xfId="40" applyFont="1" applyFill="1" applyBorder="1" applyAlignment="1">
      <x:alignment horizontal="center" vertical="center" wrapText="1"/>
    </x:xf>
    <x:xf numFmtId="0" fontId="42" fillId="0" borderId="18" xfId="40" applyFont="1" applyFill="1" applyBorder="1" applyAlignment="1">
      <x:alignment horizontal="center" vertical="center" wrapText="1"/>
    </x:xf>
    <x:xf numFmtId="0" fontId="7" fillId="34" borderId="19" xfId="40" applyFont="1" applyFill="1" applyBorder="1" applyAlignment="1">
      <x:alignment horizontal="center" vertical="center" wrapText="1"/>
    </x:xf>
    <x:xf numFmtId="0" fontId="7" fillId="34" borderId="12" xfId="40" applyFont="1" applyFill="1" applyBorder="1" applyAlignment="1">
      <x:alignment horizontal="center" vertical="center" wrapText="1"/>
    </x:xf>
    <x:xf numFmtId="0" fontId="7" fillId="34" borderId="18" xfId="40" applyFont="1" applyFill="1" applyBorder="1" applyAlignment="1">
      <x:alignment horizontal="center" vertical="center" wrapText="1"/>
    </x:xf>
    <x:xf numFmtId="0" fontId="7" fillId="0" borderId="20" xfId="41" applyFont="1" applyFill="1" applyBorder="1" applyAlignment="1">
      <x:alignment horizontal="center" vertical="center" wrapText="1"/>
    </x:xf>
    <x:xf numFmtId="0" fontId="7" fillId="0" borderId="13" xfId="41" applyFont="1" applyFill="1" applyBorder="1" applyAlignment="1">
      <x:alignment horizontal="center" vertical="center" wrapText="1"/>
    </x:xf>
    <x:xf numFmtId="0" fontId="7" fillId="0" borderId="6" xfId="41" applyFont="1" applyFill="1" applyBorder="1" applyAlignment="1">
      <x:alignment horizontal="center" vertical="center" wrapText="1"/>
    </x:xf>
    <x:xf numFmtId="0" fontId="7" fillId="0" borderId="29" xfId="40" applyFont="1" applyFill="1" applyBorder="1" applyAlignment="1">
      <x:alignment horizontal="center" vertical="center" wrapText="1"/>
    </x:xf>
    <x:xf numFmtId="0" fontId="7" fillId="0" borderId="11" xfId="40" applyFont="1" applyFill="1" applyBorder="1" applyAlignment="1">
      <x:alignment horizontal="center" vertical="center" wrapText="1"/>
    </x:xf>
    <x:xf numFmtId="0" fontId="7" fillId="0" borderId="8" xfId="40" applyFont="1" applyFill="1" applyBorder="1" applyAlignment="1">
      <x:alignment horizontal="center" vertical="center" wrapText="1"/>
    </x:xf>
    <x:xf numFmtId="0" fontId="7" fillId="0" borderId="20" xfId="40" applyFont="1" applyFill="1" applyBorder="1" applyAlignment="1">
      <x:alignment horizontal="center" vertical="center" wrapText="1"/>
    </x:xf>
    <x:xf numFmtId="0" fontId="7" fillId="0" borderId="13" xfId="40" applyFont="1" applyFill="1" applyBorder="1" applyAlignment="1">
      <x:alignment horizontal="center" vertical="center" wrapText="1"/>
    </x:xf>
    <x:xf numFmtId="0" fontId="7" fillId="0" borderId="6" xfId="40" applyFont="1" applyFill="1" applyBorder="1" applyAlignment="1">
      <x:alignment horizontal="center" vertical="center" wrapText="1"/>
    </x:xf>
    <x:xf numFmtId="0" fontId="40" fillId="0" borderId="0" xfId="0" applyFont="1" applyFill="1" applyAlignment="1">
      <x:alignment horizontal="center" vertical="center"/>
    </x:xf>
    <x:xf numFmtId="0" fontId="14" fillId="0" borderId="0" xfId="40" applyFont="1" applyFill="1" applyBorder="1" applyAlignment="1">
      <x:alignment horizontal="center" vertical="center"/>
    </x:xf>
    <x:xf numFmtId="0" fontId="41" fillId="0" borderId="0" xfId="40" applyFont="1" applyFill="1" applyBorder="1" applyAlignment="1">
      <x:alignment horizontal="center" vertical="center"/>
    </x:xf>
    <x:xf numFmtId="0" fontId="40" fillId="0" borderId="2" xfId="40" applyFont="1" applyFill="1" applyBorder="1" applyAlignment="1">
      <x:alignment horizontal="left" vertical="center"/>
    </x:xf>
    <x:xf numFmtId="0" fontId="3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8" fillId="1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8" fillId="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11" fontId="23" fillId="3" borderId="21" xfId="0" quotePrefix="1" applyNumberFormat="1" applyFill="0" applyBorder="1" applyAlignment="1" applyProtection="1">
      <x:alignment horizontal="center" vertical="bottom" textRotation="90" wrapText="0" indent="0" relativeIndent="0" justifyLastLine="0" shrinkToFit="1" readingOrder="0"/>
      <x:protection locked="1" hidden="0"/>
    </x:xf>
    <x:xf numFmtId="211" fontId="23" fillId="3" borderId="23" xfId="0" quotePrefix="1" applyNumberFormat="1" applyFill="0" applyBorder="1" applyAlignment="1" applyProtection="1">
      <x:alignment horizontal="center" vertical="bottom" textRotation="90" wrapText="0" indent="0" relativeIndent="0" justifyLastLine="0" shrinkToFit="1" readingOrder="0"/>
      <x:protection locked="1" hidden="0"/>
    </x:xf>
    <x:xf numFmtId="0" fontId="23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211" fontId="23" fillId="3" borderId="22" xfId="0" quotePrefix="1" applyNumberFormat="1" applyFill="0" applyBorder="1" applyAlignment="1" applyProtection="1">
      <x:alignment horizontal="center" vertical="bottom" textRotation="90" wrapText="0" indent="0" relativeIndent="0" justifyLastLine="0" shrinkToFit="1" readingOrder="0"/>
      <x:protection locked="1" hidden="0"/>
    </x:xf>
    <x:xf numFmtId="211" fontId="23" fillId="3" borderId="24" xfId="0" quotePrefix="1" applyNumberFormat="1" applyFill="0" applyBorder="1" applyAlignment="1" applyProtection="1">
      <x:alignment horizontal="center" vertical="bottom" textRotation="90" wrapText="0" indent="0" relativeIndent="0" justifyLastLine="0" shrinkToFit="1" readingOrder="0"/>
      <x:protection locked="1" hidden="0"/>
    </x:xf>
    <x:xf numFmtId="0" fontId="23" fillId="11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8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11" fontId="43" fillId="37" borderId="2" xfId="0" quotePrefix="1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3" fillId="3" borderId="11" xfId="0" quotePrefix="1" applyNumberFormat="1" applyFill="0" applyBorder="1" applyAlignment="1" applyProtection="1">
      <x:alignment horizontal="center" vertical="bottom" textRotation="0" wrapText="0" indent="0" relativeIndent="0" justifyLastLine="0" shrinkToFit="1" readingOrder="0"/>
      <x:protection locked="1" hidden="0"/>
    </x:xf>
    <x:xf numFmtId="0" fontId="18" fillId="37" borderId="2" xfId="0" applyNumberFormat="1" applyFill="0" applyBorder="1" applyAlignment="1" applyProtection="1">
      <x:alignment horizontal="general" vertical="top" textRotation="0" wrapText="1" indent="0" relativeIndent="0" justifyLastLine="0" shrinkToFit="0" readingOrder="1"/>
      <x:protection locked="1" hidden="0"/>
    </x:xf>
    <x:xf numFmtId="0" fontId="38" fillId="3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7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1"/>
      <x:protection locked="1" hidden="0"/>
    </x:xf>
    <x:xf numFmtId="0" fontId="18" fillId="37" borderId="2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8" fillId="37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8" fillId="37" borderId="2" xfId="0" quotePrefix="1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8" fillId="37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95" fontId="23" fillId="37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3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09" fontId="50" fillId="37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1"/>
    </x:xf>
    <x:xf numFmtId="14" fontId="23" fillId="3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1" fillId="37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1" fillId="37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4" fillId="3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4" fillId="3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5" fillId="3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37" borderId="2" xfId="0" applyNumberFormat="1" applyFill="0" applyBorder="1" applyAlignment="1" applyProtection="1">
      <x:alignment horizontal="general" vertical="top" textRotation="0" wrapText="1" indent="0" relativeIndent="0" justifyLastLine="0" shrinkToFit="0" readingOrder="1"/>
      <x:protection locked="1" hidden="0"/>
    </x:xf>
    <x:xf numFmtId="0" fontId="0" fillId="3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2" fillId="37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0" fillId="3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3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2" fillId="37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0" fillId="37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0" fillId="37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4" fillId="3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40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4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4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4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4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3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6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3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8" fillId="8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8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47" fillId="8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8" fillId="8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47" fillId="8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9" fillId="3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0" borderId="3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3" fillId="0" borderId="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54" fillId="37" borderId="2" xfId="0" applyNumberFormat="1" applyFill="0" applyBorder="1" applyAlignment="1" applyProtection="1">
      <x:alignment horizontal="general" vertical="top" textRotation="0" wrapText="1" indent="0" relativeIndent="0" justifyLastLine="0" shrinkToFit="0" readingOrder="1"/>
      <x:protection locked="1" hidden="0"/>
    </x:xf>
    <x:xf numFmtId="0" fontId="54" fillId="37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1"/>
      <x:protection locked="1" hidden="0"/>
    </x:xf>
    <x:xf numFmtId="0" fontId="54" fillId="37" borderId="2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5" fillId="37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6" fillId="37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7" fillId="37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8" fillId="37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9" fillId="37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8" fillId="37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8" fillId="37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9" fillId="3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9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9" fillId="40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56">
    <x:cellStyle name="%20 - Vurgu1" xfId="1" builtinId="30" customBuiltin="1"/>
    <x:cellStyle name="%20 - Vurgu2" xfId="2" builtinId="34" customBuiltin="1"/>
    <x:cellStyle name="%20 - Vurgu3" xfId="3" builtinId="38" customBuiltin="1"/>
    <x:cellStyle name="%20 - Vurgu4" xfId="4" builtinId="42" customBuiltin="1"/>
    <x:cellStyle name="%20 - Vurgu5" xfId="5" builtinId="46" customBuiltin="1"/>
    <x:cellStyle name="%20 - Vurgu6" xfId="6" builtinId="50" customBuiltin="1"/>
    <x:cellStyle name="%40 - Vurgu1" xfId="7" builtinId="31" customBuiltin="1"/>
    <x:cellStyle name="%40 - Vurgu2" xfId="8" builtinId="35" customBuiltin="1"/>
    <x:cellStyle name="%40 - Vurgu3" xfId="9" builtinId="39" customBuiltin="1"/>
    <x:cellStyle name="%40 - Vurgu4" xfId="10" builtinId="43" customBuiltin="1"/>
    <x:cellStyle name="%40 - Vurgu5" xfId="11" builtinId="47" customBuiltin="1"/>
    <x:cellStyle name="%40 - Vurgu6" xfId="12" builtinId="51" customBuiltin="1"/>
    <x:cellStyle name="%60 - Vurgu1" xfId="13" builtinId="32" customBuiltin="1"/>
    <x:cellStyle name="%60 - Vurgu2" xfId="14" builtinId="36" customBuiltin="1"/>
    <x:cellStyle name="%60 - Vurgu3" xfId="15" builtinId="40" customBuiltin="1"/>
    <x:cellStyle name="%60 - Vurgu4" xfId="16" builtinId="44" customBuiltin="1"/>
    <x:cellStyle name="%60 - Vurgu5" xfId="17" builtinId="48" customBuiltin="1"/>
    <x:cellStyle name="%60 - Vurgu6" xfId="18" builtinId="52" customBuiltin="1"/>
    <x:cellStyle name="Açıklama Metni" xfId="19" builtinId="53" customBuiltin="1"/>
    <x:cellStyle name="Ana Başlık 2" xfId="20" xr:uid="{22D4A460-0145-4602-B912-AD64CB1C07C8}"/>
    <x:cellStyle name="askın" xfId="21" xr:uid="{4F14868D-3352-4C33-B173-C9248FB18C77}"/>
    <x:cellStyle name="Bağlı Hücre" xfId="22" builtinId="24" customBuiltin="1"/>
    <x:cellStyle name="Başlık 1" xfId="23" builtinId="16" customBuiltin="1"/>
    <x:cellStyle name="Başlık 2" xfId="24" builtinId="17" customBuiltin="1"/>
    <x:cellStyle name="Başlık 3" xfId="25" builtinId="18" customBuiltin="1"/>
    <x:cellStyle name="Başlık 4" xfId="26" builtinId="19" customBuiltin="1"/>
    <x:cellStyle name="Comma [0]_BOS_NAKİT" xfId="27" xr:uid="{99CFBC57-A2E4-43BA-AB41-17868C3E9F6B}"/>
    <x:cellStyle name="Comma_BOS_NAKİT" xfId="28" xr:uid="{68A3D1F9-AF22-48D0-AEDE-378D4BE82DC9}"/>
    <x:cellStyle name="Currency [0]_BOS_NAKİT" xfId="29" xr:uid="{E6985564-30FC-461F-B52B-B0ED89120ACB}"/>
    <x:cellStyle name="Currency_BOS_NAKİT" xfId="30" xr:uid="{2FD8DD00-8C43-4B24-9C9A-73C6D13A0C1F}"/>
    <x:cellStyle name="Çıkış" xfId="31" builtinId="21" customBuiltin="1"/>
    <x:cellStyle name="Giriş" xfId="32" builtinId="20" customBuiltin="1"/>
    <x:cellStyle name="Hesaplama" xfId="33" builtinId="22" customBuiltin="1"/>
    <x:cellStyle name="İşaretli Hücre" xfId="34" builtinId="23" customBuiltin="1"/>
    <x:cellStyle name="İyi" xfId="35" builtinId="26" customBuiltin="1"/>
    <x:cellStyle name="Kötü" xfId="36" builtinId="27" customBuiltin="1"/>
    <x:cellStyle name="Normal" xfId="0" builtinId="0"/>
    <x:cellStyle name="Normal 2" xfId="37" xr:uid="{46798E59-89B2-42E2-B32B-9A24457BD093}"/>
    <x:cellStyle name="Normal 2 2" xfId="38" xr:uid="{42B32B1F-3F54-4B86-B51F-4BDD4306CBD2}"/>
    <x:cellStyle name="Normal 3" xfId="39" xr:uid="{F6EBC79C-8513-4D48-B94A-CB50D757A83B}"/>
    <x:cellStyle name="Normal_Kısmı Zamanlı USTA ÖĞRETİCİLER 2008-ERGİN YEDEK" xfId="40" xr:uid="{FB0B6AEC-175F-4A0F-84CB-775BD4936F0C}"/>
    <x:cellStyle name="Normal_Kısmı Zamanlı USTA ÖĞRETİCİLER 2008-ERGİN YEDEK 2" xfId="41" xr:uid="{C21F2AA8-68E5-4CA3-906D-E514CEEB5B76}"/>
    <x:cellStyle name="Not 2" xfId="42" xr:uid="{D7BD6064-F9AE-4AFC-9CF9-66283ED94FFF}"/>
    <x:cellStyle name="Nötr" xfId="43" builtinId="28" customBuiltin="1"/>
    <x:cellStyle name="ParaBirimi 2" xfId="44" xr:uid="{718CA173-8CE8-4475-BFA0-02136BAA5452}"/>
    <x:cellStyle name="Toplam" xfId="45" builtinId="25" customBuiltin="1"/>
    <x:cellStyle name="Uyarı Metni" xfId="46" builtinId="11" customBuiltin="1"/>
    <x:cellStyle name="Virgül" xfId="47" builtinId="3"/>
    <x:cellStyle name="Virgül [0]_Arşiv" xfId="48" xr:uid="{ED5AB4E6-47CE-4372-BB1A-C9C26BDEE7DB}"/>
    <x:cellStyle name="Virgül 2" xfId="49" xr:uid="{D65DBEAB-3A43-426F-9FD3-778AAB9A66AE}"/>
    <x:cellStyle name="Vurgu1" xfId="50" builtinId="29" customBuiltin="1"/>
    <x:cellStyle name="Vurgu2" xfId="51" builtinId="33" customBuiltin="1"/>
    <x:cellStyle name="Vurgu3" xfId="52" builtinId="37" customBuiltin="1"/>
    <x:cellStyle name="Vurgu4" xfId="53" builtinId="41" customBuiltin="1"/>
    <x:cellStyle name="Vurgu5" xfId="54" builtinId="45" customBuiltin="1"/>
    <x:cellStyle name="Vurgu6" xfId="55" builtinId="49" customBuiltin="1"/>
  </x:cellStyles>
  <x:dxfs count="1">
    <x:dxf>
      <x:fill>
        <x:patternFill patternType="solid">
          <x:fgColor auto="1"/>
          <x:bgColor theme="9" tint="-0.249946592608417"/>
        </x:patternFill>
      </x:fill>
    </x:dxf>
  </x:dxf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FEE2FE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EBF8FF"/>
      <x:rgbColor rgb="00FFFF00"/>
      <x:rgbColor rgb="0000FFFF"/>
      <x:rgbColor rgb="00800080"/>
      <x:rgbColor rgb="00800000"/>
      <x:rgbColor rgb="00008080"/>
      <x:rgbColor rgb="000000FF"/>
      <x:rgbColor rgb="0000CCFF"/>
      <x:rgbColor rgb="00E1FFFF"/>
      <x:rgbColor rgb="00E1FFE1"/>
      <x:rgbColor rgb="00FFFFE5"/>
      <x:rgbColor rgb="00D9E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externalLink" Target="externalLinks/externalLink2.xml" Id="rId6" /><Relationship Type="http://schemas.openxmlformats.org/officeDocument/2006/relationships/externalLink" Target="externalLinks/externalLink1.xml" Id="rId5" /><Relationship Type="http://schemas.openxmlformats.org/officeDocument/2006/relationships/calcChain" Target="calcChain.xml" Id="rId10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Relationship Type="http://schemas.openxmlformats.org/officeDocument/2006/relationships/worksheet" Target="/xl/worksheets/sheet5.xml" Id="rId11" /><Relationship Type="http://schemas.openxmlformats.org/officeDocument/2006/relationships/worksheet" Target="/xl/worksheets/sheet6.xml" Id="rId12" /><Relationship Type="http://schemas.openxmlformats.org/officeDocument/2006/relationships/worksheet" Target="/xl/worksheets/sheet7.xml" Id="rId13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tartvin\Payla&#351;&#305;m%20Dosyas&#305;\Users\mustafa.erkeles\Desktop\MUH%20SGK\may&#305;s%20bahar%20sonnn%202020%20t&#252;m%20maa&#351;%20ve%20sigorta%20kesenek%20bes\nisan%20%20FAZLA%20&#199;ALI&#350;MA\fazla%20&#231;al&#305;&#351;malar\martmaas\&#246;zl&#252;k%20bil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uhasebat.gov.tr/Documents%20and%20Settings/Administrator/Local%20Settings/Temporary%20Internet%20Files/Content.IE5/VLJMCPFO/Son/DS&#304;MY%20Ekl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şlık"/>
      <sheetName val="tahakkuk müzekkeresi_1"/>
      <sheetName val="SAİ_yeni_2"/>
      <sheetName val="Env_Bilanço Defteri_5"/>
      <sheetName val="5_1"/>
      <sheetName val="5_2"/>
      <sheetName val="5_3"/>
      <sheetName val="5_4"/>
      <sheetName val="5_5"/>
      <sheetName val="5_6"/>
      <sheetName val="5_7"/>
      <sheetName val="5_8"/>
      <sheetName val="5_9"/>
      <sheetName val="5_10"/>
      <sheetName val="5_11"/>
      <sheetName val="5_12"/>
      <sheetName val="Günlük Kasa Defteri_6"/>
      <sheetName val="vezne alındısı_7"/>
      <sheetName val="sayman mutemedi alındısı_8"/>
      <sheetName val="banka kredi alındısı_9"/>
      <sheetName val="mahsup alındısı_10"/>
      <sheetName val="menkul kıymetler alındısı_11"/>
      <sheetName val="teslimat müzekkeresi_1_12"/>
      <sheetName val="teslimat müzekkeresi_2_12"/>
      <sheetName val="gönderme emri_13"/>
      <sheetName val="Ayniyat Alındısı_yeni_14"/>
      <sheetName val="ambar stok cıkıs fısı_15"/>
      <sheetName val="Stok_HAr_Def_16"/>
      <sheetName val="DipKoçanı_yeni_17"/>
      <sheetName val="Duran_Var_18"/>
      <sheetName val="İhtiyaç Pusulası_19"/>
      <sheetName val="Maliyet Pusulası_20"/>
      <sheetName val="Sipariş Pusulası_21"/>
      <sheetName val="İmalat Def._22"/>
      <sheetName val="Aylık Mizan_23"/>
      <sheetName val="Döner Ser.Aylık Has.Bild._24"/>
      <sheetName val="Döner Ser.Yıllık Has.Bild._25"/>
      <sheetName val="kesin mizan_26"/>
      <sheetName val="faaliyet raporu_27"/>
      <sheetName val="faaliyet raporu II_27"/>
      <sheetName val="faaliyet raporuIII_27_1"/>
      <sheetName val="faaliyet raporuIII_27_2"/>
      <sheetName val="faaliyet raporuIII_27_3"/>
      <sheetName val="faaliyet raporuIII_27_4"/>
      <sheetName val="faaliyet raporu IV_27"/>
      <sheetName val="faaliyet raporu V_27"/>
      <sheetName val="faaliyet raporu VI_27"/>
      <sheetName val="Fon_Ak_Tab"/>
      <sheetName val="Nakit "/>
      <sheetName val="Say.İl.Cet_28"/>
      <sheetName val="kayıt bıldırımı_29"/>
      <sheetName val="döner ser.hesap kartı_30"/>
      <sheetName val="kadro defteri_31"/>
      <sheetName val="kadro ve aylık kartı_32"/>
      <sheetName val="dava defteri_33"/>
      <sheetName val="alındı kayıt defteri_34"/>
      <sheetName val="Arşiv Defteri_35"/>
      <sheetName val="Devir Cetveli_36"/>
      <sheetName val="Devir Cetveli_36_1"/>
      <sheetName val="Devir Cetveli_36_2"/>
      <sheetName val="Devir Cetveli_36_3"/>
      <sheetName val="Devir Cetveli_36_4"/>
      <sheetName val="Devir Cetveli_36_5"/>
      <sheetName val="Devir Cetveli_36_6"/>
      <sheetName val="Devir Cetveli_36_7"/>
      <sheetName val="Devir Cetveli_36_8"/>
      <sheetName val="Devir Cetveli_36_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17D3873-AC78-4E9B-AFBE-EA60AA43092C}" mc:Ignorable="x14ac xr xr2 xr3">
  <x:sheetPr>
    <x:outlinePr summaryBelow="1" summaryRight="1"/>
  </x:sheetPr>
  <x:dimension ref="A1:AU424"/>
  <x:sheetViews>
    <x:sheetView workbookViewId="0">
      <x:pane xSplit="0" ySplit="4" topLeftCell="A5" activePane="bottomLeft" state="frozenSplit"/>
      <x:selection activeCell="A22" sqref="A22"/>
      <x:selection pane="bottomLeft" activeCell="A22" sqref="A22"/>
    </x:sheetView>
  </x:sheetViews>
  <x:sheetFormatPr defaultColWidth="9.140625" defaultRowHeight="11.25" x14ac:dyDescent="0.2"/>
  <x:cols>
    <x:col min="1" max="1" width="27.710938" style="39" bestFit="1" customWidth="1"/>
    <x:col min="2" max="2" width="5" style="39" bestFit="1" customWidth="1"/>
    <x:col min="3" max="3" width="12" style="39" bestFit="1" customWidth="1"/>
    <x:col min="4" max="4" width="26.570312" style="39" customWidth="1"/>
    <x:col min="5" max="5" width="14.285156" style="39" bestFit="1" customWidth="1"/>
    <x:col min="6" max="36" width="2.855469" style="39" customWidth="1"/>
    <x:col min="37" max="37" width="7.285156" style="39" customWidth="1"/>
    <x:col min="38" max="39" width="10.425781" style="39" customWidth="1"/>
    <x:col min="40" max="40" width="13.140625" style="39" customWidth="1"/>
    <x:col min="41" max="41" width="11.425781" style="39" customWidth="1"/>
    <x:col min="42" max="42" width="4.285156" style="39" customWidth="1"/>
    <x:col min="43" max="43" width="13.140625" style="39" hidden="1" customWidth="1"/>
    <x:col min="44" max="45" width="0" style="39" hidden="1" customWidth="1"/>
    <x:col min="46" max="46" width="9.140625" style="39" customWidth="1"/>
    <x:col min="47" max="47" width="19.285156" style="39" bestFit="1" customWidth="1"/>
    <x:col min="48" max="16384" width="9.140625" style="39" customWidth="1"/>
  </x:cols>
  <x:sheetData>
    <x:row r="1" spans="1:47" ht="14.25" customHeight="1" x14ac:dyDescent="0.25">
      <x:c r="B1" s="203" t="s">
        <x:v>0</x:v>
      </x:c>
      <x:c r="C1" s="203"/>
      <x:c r="D1" s="203"/>
      <x:c r="E1" s="203"/>
      <x:c r="F1" s="203"/>
      <x:c r="G1" s="203"/>
      <x:c r="H1" s="203"/>
      <x:c r="I1" s="203"/>
      <x:c r="J1" s="203"/>
      <x:c r="K1" s="203"/>
      <x:c r="L1" s="203"/>
      <x:c r="M1" s="203"/>
      <x:c r="N1" s="203"/>
      <x:c r="O1" s="203"/>
      <x:c r="P1" s="203"/>
      <x:c r="Q1" s="203"/>
      <x:c r="R1" s="203"/>
      <x:c r="S1" s="203"/>
      <x:c r="T1" s="203"/>
      <x:c r="U1" s="203"/>
      <x:c r="V1" s="203"/>
      <x:c r="W1" s="203"/>
      <x:c r="X1" s="203"/>
      <x:c r="Y1" s="203"/>
      <x:c r="Z1" s="203"/>
      <x:c r="AA1" s="203"/>
      <x:c r="AB1" s="203"/>
      <x:c r="AC1" s="203"/>
      <x:c r="AD1" s="203"/>
      <x:c r="AE1" s="203"/>
      <x:c r="AF1" s="203"/>
      <x:c r="AG1" s="203"/>
      <x:c r="AH1" s="203"/>
      <x:c r="AI1" s="203"/>
      <x:c r="AJ1" s="203"/>
      <x:c r="AK1" s="203"/>
      <x:c r="AL1" s="124"/>
      <x:c r="AM1" s="124"/>
      <x:c r="AN1" s="204" t="s">
        <x:v>1</x:v>
      </x:c>
      <x:c r="AO1" s="205">
        <x:v>2025</x:v>
      </x:c>
      <x:c r="AP1" s="124"/>
      <x:c r="AQ1" s="124"/>
      <x:c r="AR1" s="124"/>
      <x:c r="AS1" s="124"/>
      <x:c r="AT1" s="124"/>
    </x:row>
    <x:row r="2" spans="1:47" ht="15.75" customHeight="1" x14ac:dyDescent="0.3">
      <x:c r="B2" s="203"/>
      <x:c r="C2" s="203"/>
      <x:c r="D2" s="203"/>
      <x:c r="E2" s="203"/>
      <x:c r="F2" s="203"/>
      <x:c r="G2" s="203"/>
      <x:c r="H2" s="203"/>
      <x:c r="I2" s="203"/>
      <x:c r="J2" s="203"/>
      <x:c r="K2" s="203"/>
      <x:c r="L2" s="203"/>
      <x:c r="M2" s="203"/>
      <x:c r="N2" s="203"/>
      <x:c r="O2" s="203"/>
      <x:c r="P2" s="203"/>
      <x:c r="Q2" s="203"/>
      <x:c r="R2" s="203"/>
      <x:c r="S2" s="203"/>
      <x:c r="T2" s="203"/>
      <x:c r="U2" s="203"/>
      <x:c r="V2" s="203"/>
      <x:c r="W2" s="203"/>
      <x:c r="X2" s="203"/>
      <x:c r="Y2" s="203"/>
      <x:c r="Z2" s="203"/>
      <x:c r="AA2" s="203"/>
      <x:c r="AB2" s="203"/>
      <x:c r="AC2" s="203"/>
      <x:c r="AD2" s="203"/>
      <x:c r="AE2" s="203"/>
      <x:c r="AF2" s="203"/>
      <x:c r="AG2" s="203"/>
      <x:c r="AH2" s="203"/>
      <x:c r="AI2" s="203"/>
      <x:c r="AJ2" s="203"/>
      <x:c r="AK2" s="203"/>
      <x:c r="AL2" s="128"/>
      <x:c r="AM2" s="128"/>
      <x:c r="AN2" s="204" t="s">
        <x:v>2</x:v>
      </x:c>
      <x:c r="AO2" s="205" t="s">
        <x:v>3</x:v>
      </x:c>
      <x:c r="AP2" s="124"/>
      <x:c r="AQ2" s="124"/>
      <x:c r="AR2" s="124"/>
      <x:c r="AS2" s="124"/>
      <x:c r="AT2" s="124"/>
    </x:row>
    <x:row r="3" spans="1:47" ht="92.25" customHeight="1" x14ac:dyDescent="0.3">
      <x:c r="B3" s="151" t="s">
        <x:v>4</x:v>
      </x:c>
      <x:c r="C3" s="152"/>
      <x:c r="D3" s="152"/>
      <x:c r="E3" s="153"/>
      <x:c r="F3" s="206">
        <x:f>VLOOKUP($AO$2,$AQ$4:$AS$17,2,0)</x:f>
      </x:c>
      <x:c r="G3" s="206">
        <x:f>IF(MONTH(F3)=MONTH(F3+1),F3+1,"")</x:f>
      </x:c>
      <x:c r="H3" s="206">
        <x:f>IF(MONTH(G3)=MONTH(G3+1),G3+1,"")</x:f>
      </x:c>
      <x:c r="I3" s="206">
        <x:f>IF(MONTH(H3)=MONTH(H3+1),H3+1,"")</x:f>
      </x:c>
      <x:c r="J3" s="206">
        <x:f>IF(MONTH(I3)=MONTH(I3+1),I3+1,"")</x:f>
      </x:c>
      <x:c r="K3" s="206">
        <x:f>IF(MONTH(J3)=MONTH(J3+1),J3+1,"")</x:f>
      </x:c>
      <x:c r="L3" s="206">
        <x:f>IF(MONTH(K3)=MONTH(K3+1),K3+1,"")</x:f>
      </x:c>
      <x:c r="M3" s="206">
        <x:f>IF(MONTH(L3)=MONTH(L3+1),L3+1,"")</x:f>
      </x:c>
      <x:c r="N3" s="206">
        <x:f>IF(MONTH(M3)=MONTH(M3+1),M3+1,"")</x:f>
      </x:c>
      <x:c r="O3" s="206">
        <x:f>IF(MONTH(N3)=MONTH(N3+1),N3+1,"")</x:f>
      </x:c>
      <x:c r="P3" s="206">
        <x:f>IF(MONTH(O3)=MONTH(O3+1),O3+1,"")</x:f>
      </x:c>
      <x:c r="Q3" s="206">
        <x:f>IF(MONTH(P3)=MONTH(P3+1),P3+1,"")</x:f>
      </x:c>
      <x:c r="R3" s="206">
        <x:f>IF(MONTH(Q3)=MONTH(Q3+1),Q3+1,"")</x:f>
      </x:c>
      <x:c r="S3" s="206">
        <x:f>IF(MONTH(R3)=MONTH(R3+1),R3+1,"")</x:f>
      </x:c>
      <x:c r="T3" s="206">
        <x:f>IF(MONTH(S3)=MONTH(S3+1),S3+1,"")</x:f>
      </x:c>
      <x:c r="U3" s="206">
        <x:f>IF(MONTH(T3)=MONTH(T3+1),T3+1,"")</x:f>
      </x:c>
      <x:c r="V3" s="206">
        <x:f>IF(MONTH(U3)=MONTH(U3+1),U3+1,"")</x:f>
      </x:c>
      <x:c r="W3" s="206">
        <x:f>IF(MONTH(V3)=MONTH(V3+1),V3+1,"")</x:f>
      </x:c>
      <x:c r="X3" s="206">
        <x:f>IF(MONTH(W3)=MONTH(W3+1),W3+1,"")</x:f>
      </x:c>
      <x:c r="Y3" s="206">
        <x:f>IF(MONTH(X3)=MONTH(X3+1),X3+1,"")</x:f>
      </x:c>
      <x:c r="Z3" s="206">
        <x:f>IF(MONTH(Y3)=MONTH(Y3+1),Y3+1,"")</x:f>
      </x:c>
      <x:c r="AA3" s="206">
        <x:f>IF(MONTH(Z3)=MONTH(Z3+1),Z3+1,"")</x:f>
      </x:c>
      <x:c r="AB3" s="206">
        <x:f>IF(MONTH(AA3)=MONTH(AA3+1),AA3+1,"")</x:f>
      </x:c>
      <x:c r="AC3" s="206">
        <x:f>IF(MONTH(AB3)=MONTH(AB3+1),AB3+1,"")</x:f>
      </x:c>
      <x:c r="AD3" s="206">
        <x:f>IF(MONTH(AC3)=MONTH(AC3+1),AC3+1,"")</x:f>
      </x:c>
      <x:c r="AE3" s="206">
        <x:f>IF(MONTH(AD3)=MONTH(AD3+1),AD3+1,"")</x:f>
      </x:c>
      <x:c r="AF3" s="206">
        <x:f>IF(MONTH(AE3)=MONTH(AE3+1),AE3+1,"")</x:f>
      </x:c>
      <x:c r="AG3" s="206">
        <x:f>IF(MONTH(AF3)=MONTH(AF3+1),AF3+1,"")</x:f>
      </x:c>
      <x:c r="AH3" s="206">
        <x:f>IF(MONTH(AG3)=MONTH(AG3+1),AG3+1,"")</x:f>
      </x:c>
      <x:c r="AI3" s="206">
        <x:f>IF(MONTH(AH3)=MONTH(AH3+1),AH3+1,"")</x:f>
      </x:c>
      <x:c r="AJ3" s="207">
        <x:f>IF(MONTH(AI3)=MONTH(AI3+1),AI3+1,"")</x:f>
      </x:c>
      <x:c r="AK3" s="154" t="s">
        <x:v>5</x:v>
      </x:c>
      <x:c r="AL3" s="154" t="s">
        <x:v>6</x:v>
      </x:c>
      <x:c r="AM3" s="156" t="s">
        <x:v>7</x:v>
      </x:c>
      <x:c r="AN3" s="158" t="s">
        <x:v>8</x:v>
      </x:c>
      <x:c r="AO3" s="158"/>
      <x:c r="AP3" s="208"/>
      <x:c r="AQ3" s="124"/>
      <x:c r="AR3" s="124"/>
      <x:c r="AS3" s="124"/>
      <x:c r="AT3" s="124"/>
    </x:row>
    <x:row r="4" spans="1:47" ht="14.25" customHeight="1" x14ac:dyDescent="0.3">
      <x:c r="A4" s="70" t="s">
        <x:v>9</x:v>
      </x:c>
      <x:c r="B4" s="131" t="s">
        <x:v>10</x:v>
      </x:c>
      <x:c r="C4" s="132" t="s">
        <x:v>11</x:v>
      </x:c>
      <x:c r="D4" s="145" t="s">
        <x:v>12</x:v>
      </x:c>
      <x:c r="E4" s="146"/>
      <x:c r="F4" s="209"/>
      <x:c r="G4" s="209"/>
      <x:c r="H4" s="209"/>
      <x:c r="I4" s="209"/>
      <x:c r="J4" s="209"/>
      <x:c r="K4" s="209"/>
      <x:c r="L4" s="209"/>
      <x:c r="M4" s="209"/>
      <x:c r="N4" s="209"/>
      <x:c r="O4" s="209"/>
      <x:c r="P4" s="209"/>
      <x:c r="Q4" s="209"/>
      <x:c r="R4" s="209"/>
      <x:c r="S4" s="209"/>
      <x:c r="T4" s="209"/>
      <x:c r="U4" s="209"/>
      <x:c r="V4" s="209"/>
      <x:c r="W4" s="209"/>
      <x:c r="X4" s="209"/>
      <x:c r="Y4" s="209"/>
      <x:c r="Z4" s="209"/>
      <x:c r="AA4" s="209"/>
      <x:c r="AB4" s="209"/>
      <x:c r="AC4" s="209"/>
      <x:c r="AD4" s="209"/>
      <x:c r="AE4" s="209"/>
      <x:c r="AF4" s="209"/>
      <x:c r="AG4" s="209"/>
      <x:c r="AH4" s="209"/>
      <x:c r="AI4" s="209"/>
      <x:c r="AJ4" s="210"/>
      <x:c r="AK4" s="155"/>
      <x:c r="AL4" s="155"/>
      <x:c r="AM4" s="157"/>
      <x:c r="AN4" s="211" t="s">
        <x:v>13</x:v>
      </x:c>
      <x:c r="AO4" s="211" t="s">
        <x:v>14</x:v>
      </x:c>
      <x:c r="AP4" s="133"/>
      <x:c r="AQ4" s="212" t="s">
        <x:v>15</x:v>
      </x:c>
      <x:c r="AR4" s="212" t="s">
        <x:v>16</x:v>
      </x:c>
      <x:c r="AS4" s="212" t="s">
        <x:v>17</x:v>
      </x:c>
      <x:c r="AT4" s="124">
        <x:f>SUM(AK6:AK424)</x:f>
      </x:c>
      <x:c r="AU4" s="213"/>
    </x:row>
    <x:row r="5" spans="1:47" ht="15" customHeight="1" x14ac:dyDescent="0.25">
      <x:c r="A5" s="69"/>
      <x:c r="B5" s="108"/>
      <x:c r="C5" s="109"/>
      <x:c r="D5" s="110"/>
      <x:c r="E5" s="111"/>
      <x:c r="F5" s="214">
        <x:f>WEEKDAY(F3,2)</x:f>
      </x:c>
      <x:c r="G5" s="214">
        <x:f>WEEKDAY(G3,2)</x:f>
      </x:c>
      <x:c r="H5" s="214">
        <x:f>WEEKDAY(H3,2)</x:f>
      </x:c>
      <x:c r="I5" s="214">
        <x:f>WEEKDAY(I3,2)</x:f>
      </x:c>
      <x:c r="J5" s="214">
        <x:f>WEEKDAY(J3,2)</x:f>
      </x:c>
      <x:c r="K5" s="214">
        <x:f>WEEKDAY(K3,2)</x:f>
      </x:c>
      <x:c r="L5" s="214">
        <x:f>WEEKDAY(L3,2)</x:f>
      </x:c>
      <x:c r="M5" s="214">
        <x:f>WEEKDAY(M3,2)</x:f>
      </x:c>
      <x:c r="N5" s="214">
        <x:f>WEEKDAY(N3,2)</x:f>
      </x:c>
      <x:c r="O5" s="214">
        <x:f>WEEKDAY(O3,2)</x:f>
      </x:c>
      <x:c r="P5" s="214">
        <x:f>WEEKDAY(P3,2)</x:f>
      </x:c>
      <x:c r="Q5" s="214">
        <x:f>WEEKDAY(Q3,2)</x:f>
      </x:c>
      <x:c r="R5" s="214">
        <x:f>WEEKDAY(R3,2)</x:f>
      </x:c>
      <x:c r="S5" s="214">
        <x:f>WEEKDAY(S3,2)</x:f>
      </x:c>
      <x:c r="T5" s="214">
        <x:f>WEEKDAY(T3,2)</x:f>
      </x:c>
      <x:c r="U5" s="214">
        <x:f>WEEKDAY(U3,2)</x:f>
      </x:c>
      <x:c r="V5" s="214">
        <x:f>WEEKDAY(V3,2)</x:f>
      </x:c>
      <x:c r="W5" s="214">
        <x:f>WEEKDAY(W3,2)</x:f>
      </x:c>
      <x:c r="X5" s="214">
        <x:f>WEEKDAY(X3,2)</x:f>
      </x:c>
      <x:c r="Y5" s="214">
        <x:f>WEEKDAY(Y3,2)</x:f>
      </x:c>
      <x:c r="Z5" s="214">
        <x:f>WEEKDAY(Z3,2)</x:f>
      </x:c>
      <x:c r="AA5" s="214">
        <x:f>WEEKDAY(AA3,2)</x:f>
      </x:c>
      <x:c r="AB5" s="214">
        <x:f>WEEKDAY(AB3,2)</x:f>
      </x:c>
      <x:c r="AC5" s="214">
        <x:f>WEEKDAY(AC3,2)</x:f>
      </x:c>
      <x:c r="AD5" s="214">
        <x:f>WEEKDAY(AD3,2)</x:f>
      </x:c>
      <x:c r="AE5" s="214">
        <x:f>WEEKDAY(AE3,2)</x:f>
      </x:c>
      <x:c r="AF5" s="214">
        <x:f>WEEKDAY(AF3,2)</x:f>
      </x:c>
      <x:c r="AG5" s="214">
        <x:f>WEEKDAY(AG3,2)</x:f>
      </x:c>
      <x:c r="AH5" s="214">
        <x:f>WEEKDAY(AH3,2)</x:f>
      </x:c>
      <x:c r="AI5" s="214">
        <x:f>WEEKDAY(AI3,2)</x:f>
      </x:c>
      <x:c r="AJ5" s="214">
        <x:f>WEEKDAY(AJ3,2)</x:f>
      </x:c>
      <x:c r="AK5" s="113"/>
      <x:c r="AL5" s="114"/>
      <x:c r="AM5" s="114"/>
      <x:c r="AN5" s="211"/>
      <x:c r="AO5" s="211"/>
      <x:c r="AP5" s="208"/>
      <x:c r="AQ5" s="212"/>
      <x:c r="AR5" s="212"/>
      <x:c r="AS5" s="212"/>
      <x:c r="AT5" s="124"/>
    </x:row>
    <x:row r="6" spans="1:47" ht="19.9" customHeight="1" x14ac:dyDescent="0.25">
      <x:c r="A6" s="215"/>
      <x:c r="B6" s="216">
        <x:v>1</x:v>
      </x:c>
      <x:c r="C6" s="217"/>
      <x:c r="D6" s="215"/>
      <x:c r="E6" s="218"/>
      <x:c r="F6" s="219"/>
      <x:c r="G6" s="219"/>
      <x:c r="H6" s="219"/>
      <x:c r="I6" s="219"/>
      <x:c r="J6" s="219"/>
      <x:c r="K6" s="219"/>
      <x:c r="L6" s="219"/>
      <x:c r="M6" s="219"/>
      <x:c r="N6" s="219"/>
      <x:c r="O6" s="219"/>
      <x:c r="P6" s="219"/>
      <x:c r="Q6" s="219"/>
      <x:c r="R6" s="219"/>
      <x:c r="S6" s="219"/>
      <x:c r="T6" s="219"/>
      <x:c r="U6" s="219"/>
      <x:c r="V6" s="219"/>
      <x:c r="W6" s="219"/>
      <x:c r="X6" s="219"/>
      <x:c r="Y6" s="219"/>
      <x:c r="Z6" s="219"/>
      <x:c r="AA6" s="219"/>
      <x:c r="AB6" s="219"/>
      <x:c r="AC6" s="219"/>
      <x:c r="AD6" s="219"/>
      <x:c r="AE6" s="219"/>
      <x:c r="AF6" s="219"/>
      <x:c r="AG6" s="219"/>
      <x:c r="AH6" s="219"/>
      <x:c r="AI6" s="219"/>
      <x:c r="AJ6" s="219"/>
      <x:c r="AK6" s="220">
        <x:f>+COUNTIF(F6:AJ6,"X")+COUNTIF(F6:AJ6,"E")</x:f>
      </x:c>
      <x:c r="AL6" s="221">
        <x:f>+COUNTIF(F6:AJ6,"R")+COUNTIF(F6:AJ6,"T")+COUNTIF(F6:AJ6,"İ")</x:f>
      </x:c>
      <x:c r="AM6" s="221">
        <x:f>+COUNTIF(F6:AJ6,"İ")</x:f>
      </x:c>
      <x:c r="AN6" s="222"/>
      <x:c r="AO6" s="222"/>
      <x:c r="AP6" s="223"/>
      <x:c r="AQ6" s="224" t="s">
        <x:v>18</x:v>
      </x:c>
      <x:c r="AR6" s="225">
        <x:v>45658</x:v>
      </x:c>
      <x:c r="AS6" s="225">
        <x:f>EOMONTH(AR6,0)</x:f>
      </x:c>
      <x:c r="AT6" s="220">
        <x:f>+COUNTIF(F6:AJ424,"X")+COUNTIF(F6:AJ424,"E")</x:f>
      </x:c>
    </x:row>
    <x:row r="7" spans="1:47" ht="19.9" customHeight="1" x14ac:dyDescent="0.25">
      <x:c r="A7" s="215"/>
      <x:c r="B7" s="216">
        <x:v>2</x:v>
      </x:c>
      <x:c r="C7" s="217"/>
      <x:c r="D7" s="215"/>
      <x:c r="E7" s="218"/>
      <x:c r="F7" s="219"/>
      <x:c r="G7" s="219"/>
      <x:c r="H7" s="219"/>
      <x:c r="I7" s="219"/>
      <x:c r="J7" s="226"/>
      <x:c r="K7" s="219"/>
      <x:c r="L7" s="219"/>
      <x:c r="M7" s="219"/>
      <x:c r="N7" s="219"/>
      <x:c r="O7" s="219"/>
      <x:c r="P7" s="226"/>
      <x:c r="Q7" s="219"/>
      <x:c r="R7" s="219"/>
      <x:c r="S7" s="219"/>
      <x:c r="T7" s="219"/>
      <x:c r="U7" s="219"/>
      <x:c r="V7" s="219"/>
      <x:c r="W7" s="219"/>
      <x:c r="X7" s="219"/>
      <x:c r="Y7" s="219"/>
      <x:c r="Z7" s="219"/>
      <x:c r="AA7" s="219"/>
      <x:c r="AB7" s="219"/>
      <x:c r="AC7" s="219"/>
      <x:c r="AD7" s="219"/>
      <x:c r="AE7" s="227"/>
      <x:c r="AF7" s="219"/>
      <x:c r="AG7" s="219"/>
      <x:c r="AH7" s="219"/>
      <x:c r="AI7" s="219"/>
      <x:c r="AJ7" s="219"/>
      <x:c r="AK7" s="220">
        <x:f>+COUNTIF(F7:AJ7,"X")+COUNTIF(F7:AJ7,"E")</x:f>
      </x:c>
      <x:c r="AL7" s="221">
        <x:f>+COUNTIF(F7:AJ7,"R")+COUNTIF(F7:AJ7,"T")+COUNTIF(F7:AJ7,"İ")</x:f>
      </x:c>
      <x:c r="AM7" s="221">
        <x:f>+COUNTIF(F7:AJ7,"İ")</x:f>
      </x:c>
      <x:c r="AN7" s="222"/>
      <x:c r="AO7" s="222"/>
      <x:c r="AP7" s="228"/>
      <x:c r="AQ7" s="224" t="s">
        <x:v>19</x:v>
      </x:c>
      <x:c r="AR7" s="229">
        <x:v>45689</x:v>
      </x:c>
      <x:c r="AS7" s="229">
        <x:f>EOMONTH(AR7,0)</x:f>
      </x:c>
      <x:c r="AT7" s="230"/>
    </x:row>
    <x:row r="8" spans="1:47" ht="19.9" customHeight="1" x14ac:dyDescent="0.25">
      <x:c r="A8" s="215"/>
      <x:c r="B8" s="216">
        <x:v>3</x:v>
      </x:c>
      <x:c r="C8" s="217"/>
      <x:c r="D8" s="215"/>
      <x:c r="E8" s="218"/>
      <x:c r="F8" s="219"/>
      <x:c r="G8" s="219"/>
      <x:c r="H8" s="219"/>
      <x:c r="I8" s="219"/>
      <x:c r="J8" s="219"/>
      <x:c r="K8" s="219"/>
      <x:c r="L8" s="219"/>
      <x:c r="M8" s="219"/>
      <x:c r="N8" s="219"/>
      <x:c r="O8" s="219"/>
      <x:c r="P8" s="219"/>
      <x:c r="Q8" s="219"/>
      <x:c r="R8" s="219"/>
      <x:c r="S8" s="219"/>
      <x:c r="T8" s="219"/>
      <x:c r="U8" s="219"/>
      <x:c r="V8" s="219"/>
      <x:c r="W8" s="219"/>
      <x:c r="X8" s="219"/>
      <x:c r="Y8" s="219"/>
      <x:c r="Z8" s="219"/>
      <x:c r="AA8" s="219"/>
      <x:c r="AB8" s="219"/>
      <x:c r="AC8" s="219"/>
      <x:c r="AD8" s="219"/>
      <x:c r="AE8" s="219"/>
      <x:c r="AF8" s="219"/>
      <x:c r="AG8" s="219"/>
      <x:c r="AH8" s="219"/>
      <x:c r="AI8" s="219"/>
      <x:c r="AJ8" s="219"/>
      <x:c r="AK8" s="220">
        <x:f>+COUNTIF(F8:AJ8,"X")+COUNTIF(F8:AJ8,"E")</x:f>
      </x:c>
      <x:c r="AL8" s="221">
        <x:f>+COUNTIF(F8:AJ8,"R")+COUNTIF(F8:AJ8,"T")+COUNTIF(F8:AJ8,"İ")</x:f>
      </x:c>
      <x:c r="AM8" s="221">
        <x:f>+COUNTIF(F8:AJ8,"İ")</x:f>
      </x:c>
      <x:c r="AN8" s="222"/>
      <x:c r="AO8" s="222"/>
      <x:c r="AP8" s="228"/>
      <x:c r="AQ8" s="224" t="s">
        <x:v>20</x:v>
      </x:c>
      <x:c r="AR8" s="229">
        <x:v>45717</x:v>
      </x:c>
      <x:c r="AS8" s="229">
        <x:f>EOMONTH(AR8,0)</x:f>
      </x:c>
      <x:c r="AT8" s="230"/>
    </x:row>
    <x:row r="9" spans="1:47" ht="19.9" customHeight="1" x14ac:dyDescent="0.25">
      <x:c r="A9" s="215"/>
      <x:c r="B9" s="216">
        <x:v>4</x:v>
      </x:c>
      <x:c r="C9" s="217"/>
      <x:c r="D9" s="215"/>
      <x:c r="E9" s="218"/>
      <x:c r="F9" s="219"/>
      <x:c r="G9" s="219"/>
      <x:c r="H9" s="219"/>
      <x:c r="I9" s="219"/>
      <x:c r="J9" s="219"/>
      <x:c r="K9" s="219"/>
      <x:c r="L9" s="219"/>
      <x:c r="M9" s="219"/>
      <x:c r="N9" s="219"/>
      <x:c r="O9" s="219"/>
      <x:c r="P9" s="219"/>
      <x:c r="Q9" s="219"/>
      <x:c r="R9" s="219"/>
      <x:c r="S9" s="219"/>
      <x:c r="T9" s="219"/>
      <x:c r="U9" s="219"/>
      <x:c r="V9" s="219"/>
      <x:c r="W9" s="219"/>
      <x:c r="X9" s="219"/>
      <x:c r="Y9" s="219"/>
      <x:c r="Z9" s="219"/>
      <x:c r="AA9" s="219"/>
      <x:c r="AB9" s="219"/>
      <x:c r="AC9" s="219"/>
      <x:c r="AD9" s="219"/>
      <x:c r="AE9" s="219"/>
      <x:c r="AF9" s="219"/>
      <x:c r="AG9" s="219"/>
      <x:c r="AH9" s="219"/>
      <x:c r="AI9" s="219"/>
      <x:c r="AJ9" s="219"/>
      <x:c r="AK9" s="220">
        <x:f>+COUNTIF(F9:AJ9,"X")+COUNTIF(F9:AJ9,"E")</x:f>
      </x:c>
      <x:c r="AL9" s="221">
        <x:f>+COUNTIF(F9:AJ9,"R")+COUNTIF(F9:AJ9,"T")+COUNTIF(F9:AJ9,"İ")</x:f>
      </x:c>
      <x:c r="AM9" s="221">
        <x:f>+COUNTIF(F9:AJ9,"İ")</x:f>
      </x:c>
      <x:c r="AN9" s="222"/>
      <x:c r="AO9" s="222"/>
      <x:c r="AP9" s="228"/>
      <x:c r="AQ9" s="224" t="s">
        <x:v>21</x:v>
      </x:c>
      <x:c r="AR9" s="229">
        <x:v>45748</x:v>
      </x:c>
      <x:c r="AS9" s="229">
        <x:f>EOMONTH(AR9,0)</x:f>
      </x:c>
      <x:c r="AT9" s="230"/>
    </x:row>
    <x:row r="10" spans="1:47" ht="19.9" customHeight="1" x14ac:dyDescent="0.25">
      <x:c r="A10" s="215"/>
      <x:c r="B10" s="216">
        <x:v>5</x:v>
      </x:c>
      <x:c r="C10" s="217"/>
      <x:c r="D10" s="215"/>
      <x:c r="E10" s="218"/>
      <x:c r="F10" s="219"/>
      <x:c r="G10" s="219"/>
      <x:c r="H10" s="219"/>
      <x:c r="I10" s="219"/>
      <x:c r="J10" s="219"/>
      <x:c r="K10" s="219"/>
      <x:c r="L10" s="219"/>
      <x:c r="M10" s="219"/>
      <x:c r="N10" s="219"/>
      <x:c r="O10" s="219"/>
      <x:c r="P10" s="219"/>
      <x:c r="Q10" s="219"/>
      <x:c r="R10" s="219"/>
      <x:c r="S10" s="219"/>
      <x:c r="T10" s="219"/>
      <x:c r="U10" s="219"/>
      <x:c r="V10" s="219"/>
      <x:c r="W10" s="219"/>
      <x:c r="X10" s="219"/>
      <x:c r="Y10" s="219"/>
      <x:c r="Z10" s="219"/>
      <x:c r="AA10" s="219"/>
      <x:c r="AB10" s="219"/>
      <x:c r="AC10" s="219"/>
      <x:c r="AD10" s="219"/>
      <x:c r="AE10" s="219"/>
      <x:c r="AF10" s="219"/>
      <x:c r="AG10" s="219"/>
      <x:c r="AH10" s="219"/>
      <x:c r="AI10" s="219"/>
      <x:c r="AJ10" s="219"/>
      <x:c r="AK10" s="220">
        <x:f>+COUNTIF(F10:AJ10,"X")+COUNTIF(F10:AJ10,"E")</x:f>
      </x:c>
      <x:c r="AL10" s="221">
        <x:f>+COUNTIF(F10:AJ10,"R")+COUNTIF(F10:AJ10,"T")+COUNTIF(F10:AJ10,"İ")</x:f>
      </x:c>
      <x:c r="AM10" s="221">
        <x:f>+COUNTIF(F10:AJ10,"İ")</x:f>
      </x:c>
      <x:c r="AN10" s="222"/>
      <x:c r="AO10" s="222"/>
      <x:c r="AP10" s="228"/>
      <x:c r="AQ10" s="224" t="s">
        <x:v>22</x:v>
      </x:c>
      <x:c r="AR10" s="229">
        <x:v>45778</x:v>
      </x:c>
      <x:c r="AS10" s="229">
        <x:f>EOMONTH(AR10,0)</x:f>
      </x:c>
      <x:c r="AT10" s="230"/>
    </x:row>
    <x:row r="11" spans="1:47" ht="19.9" customHeight="1" x14ac:dyDescent="0.25">
      <x:c r="A11" s="215"/>
      <x:c r="B11" s="216">
        <x:v>6</x:v>
      </x:c>
      <x:c r="C11" s="217"/>
      <x:c r="D11" s="215"/>
      <x:c r="E11" s="218"/>
      <x:c r="F11" s="219"/>
      <x:c r="G11" s="219"/>
      <x:c r="H11" s="219"/>
      <x:c r="I11" s="219"/>
      <x:c r="J11" s="219"/>
      <x:c r="K11" s="219"/>
      <x:c r="L11" s="219"/>
      <x:c r="M11" s="219"/>
      <x:c r="N11" s="219"/>
      <x:c r="O11" s="219"/>
      <x:c r="P11" s="219"/>
      <x:c r="Q11" s="219"/>
      <x:c r="R11" s="219"/>
      <x:c r="S11" s="219"/>
      <x:c r="T11" s="219"/>
      <x:c r="U11" s="219"/>
      <x:c r="V11" s="219"/>
      <x:c r="W11" s="219"/>
      <x:c r="X11" s="219"/>
      <x:c r="Y11" s="219"/>
      <x:c r="Z11" s="219"/>
      <x:c r="AA11" s="219"/>
      <x:c r="AB11" s="219"/>
      <x:c r="AC11" s="219"/>
      <x:c r="AD11" s="219"/>
      <x:c r="AE11" s="219"/>
      <x:c r="AF11" s="219"/>
      <x:c r="AG11" s="219"/>
      <x:c r="AH11" s="219"/>
      <x:c r="AI11" s="219"/>
      <x:c r="AJ11" s="219"/>
      <x:c r="AK11" s="220">
        <x:f>+COUNTIF(F11:AJ11,"X")+COUNTIF(F11:AJ11,"E")</x:f>
      </x:c>
      <x:c r="AL11" s="221">
        <x:f>+COUNTIF(F11:AJ11,"R")+COUNTIF(F11:AJ11,"T")+COUNTIF(F11:AJ11,"İ")</x:f>
      </x:c>
      <x:c r="AM11" s="221">
        <x:f>+COUNTIF(F11:AJ11,"İ")</x:f>
      </x:c>
      <x:c r="AN11" s="222"/>
      <x:c r="AO11" s="222"/>
      <x:c r="AP11" s="228"/>
      <x:c r="AQ11" s="224" t="s">
        <x:v>23</x:v>
      </x:c>
      <x:c r="AR11" s="229">
        <x:v>45809</x:v>
      </x:c>
      <x:c r="AS11" s="229">
        <x:f>EOMONTH(AR11,0)</x:f>
      </x:c>
      <x:c r="AT11" s="230"/>
    </x:row>
    <x:row r="12" spans="1:47" ht="19.9" customHeight="1" x14ac:dyDescent="0.25">
      <x:c r="A12" s="215"/>
      <x:c r="B12" s="216">
        <x:v>7</x:v>
      </x:c>
      <x:c r="C12" s="217"/>
      <x:c r="D12" s="215"/>
      <x:c r="E12" s="218"/>
      <x:c r="F12" s="219"/>
      <x:c r="G12" s="219"/>
      <x:c r="H12" s="219"/>
      <x:c r="I12" s="219"/>
      <x:c r="J12" s="219"/>
      <x:c r="K12" s="219"/>
      <x:c r="L12" s="219"/>
      <x:c r="M12" s="219"/>
      <x:c r="N12" s="219"/>
      <x:c r="O12" s="219"/>
      <x:c r="P12" s="219"/>
      <x:c r="Q12" s="219"/>
      <x:c r="R12" s="219"/>
      <x:c r="S12" s="219"/>
      <x:c r="T12" s="219"/>
      <x:c r="U12" s="219"/>
      <x:c r="V12" s="219"/>
      <x:c r="W12" s="219"/>
      <x:c r="X12" s="219"/>
      <x:c r="Y12" s="219"/>
      <x:c r="Z12" s="219"/>
      <x:c r="AA12" s="219"/>
      <x:c r="AB12" s="219"/>
      <x:c r="AC12" s="219"/>
      <x:c r="AD12" s="219"/>
      <x:c r="AE12" s="219"/>
      <x:c r="AF12" s="219"/>
      <x:c r="AG12" s="219"/>
      <x:c r="AH12" s="219"/>
      <x:c r="AI12" s="219"/>
      <x:c r="AJ12" s="219"/>
      <x:c r="AK12" s="220">
        <x:f>+COUNTIF(F12:AJ12,"X")+COUNTIF(F12:AJ12,"E")</x:f>
      </x:c>
      <x:c r="AL12" s="221">
        <x:f>+COUNTIF(F12:AJ12,"R")+COUNTIF(F12:AJ12,"T")+COUNTIF(F12:AJ12,"İ")</x:f>
      </x:c>
      <x:c r="AM12" s="221">
        <x:f>+COUNTIF(F12:AJ12,"İ")</x:f>
      </x:c>
      <x:c r="AN12" s="222"/>
      <x:c r="AO12" s="222"/>
      <x:c r="AP12" s="228"/>
      <x:c r="AQ12" s="224" t="s">
        <x:v>24</x:v>
      </x:c>
      <x:c r="AR12" s="229">
        <x:v>45839</x:v>
      </x:c>
      <x:c r="AS12" s="229">
        <x:f>EOMONTH(AR12,0)</x:f>
      </x:c>
      <x:c r="AT12" s="230"/>
    </x:row>
    <x:row r="13" spans="1:47" ht="19.9" customHeight="1" x14ac:dyDescent="0.25">
      <x:c r="A13" s="215"/>
      <x:c r="B13" s="216">
        <x:v>8</x:v>
      </x:c>
      <x:c r="C13" s="217"/>
      <x:c r="D13" s="215"/>
      <x:c r="E13" s="218"/>
      <x:c r="F13" s="219"/>
      <x:c r="G13" s="219"/>
      <x:c r="H13" s="219"/>
      <x:c r="I13" s="219"/>
      <x:c r="J13" s="219"/>
      <x:c r="K13" s="219"/>
      <x:c r="L13" s="219"/>
      <x:c r="M13" s="219"/>
      <x:c r="N13" s="219"/>
      <x:c r="O13" s="219"/>
      <x:c r="P13" s="219"/>
      <x:c r="Q13" s="219"/>
      <x:c r="R13" s="219"/>
      <x:c r="S13" s="219"/>
      <x:c r="T13" s="219"/>
      <x:c r="U13" s="219"/>
      <x:c r="V13" s="219"/>
      <x:c r="W13" s="219"/>
      <x:c r="X13" s="219"/>
      <x:c r="Y13" s="219"/>
      <x:c r="Z13" s="219"/>
      <x:c r="AA13" s="219"/>
      <x:c r="AB13" s="219"/>
      <x:c r="AC13" s="219"/>
      <x:c r="AD13" s="219"/>
      <x:c r="AE13" s="219"/>
      <x:c r="AF13" s="219"/>
      <x:c r="AG13" s="219"/>
      <x:c r="AH13" s="219"/>
      <x:c r="AI13" s="219"/>
      <x:c r="AJ13" s="219"/>
      <x:c r="AK13" s="220">
        <x:f>+COUNTIF(F13:AJ13,"X")+COUNTIF(F13:AJ13,"E")</x:f>
      </x:c>
      <x:c r="AL13" s="221">
        <x:f>+COUNTIF(F13:AJ13,"R")+COUNTIF(F13:AJ13,"T")+COUNTIF(F13:AJ13,"İ")</x:f>
      </x:c>
      <x:c r="AM13" s="221">
        <x:f>+COUNTIF(F13:AJ13,"İ")</x:f>
      </x:c>
      <x:c r="AN13" s="222"/>
      <x:c r="AO13" s="222"/>
      <x:c r="AP13" s="228"/>
      <x:c r="AQ13" s="224" t="s">
        <x:v>25</x:v>
      </x:c>
      <x:c r="AR13" s="229">
        <x:v>45870</x:v>
      </x:c>
      <x:c r="AS13" s="229">
        <x:f>EOMONTH(AR13,0)</x:f>
      </x:c>
      <x:c r="AT13" s="230"/>
    </x:row>
    <x:row r="14" spans="1:47" ht="19.9" customHeight="1" x14ac:dyDescent="0.25">
      <x:c r="A14" s="215"/>
      <x:c r="B14" s="216">
        <x:v>9</x:v>
      </x:c>
      <x:c r="C14" s="217"/>
      <x:c r="D14" s="215"/>
      <x:c r="E14" s="218"/>
      <x:c r="F14" s="219"/>
      <x:c r="G14" s="219"/>
      <x:c r="H14" s="219"/>
      <x:c r="I14" s="219"/>
      <x:c r="J14" s="219"/>
      <x:c r="K14" s="219"/>
      <x:c r="L14" s="219"/>
      <x:c r="M14" s="219"/>
      <x:c r="N14" s="219"/>
      <x:c r="O14" s="219"/>
      <x:c r="P14" s="219"/>
      <x:c r="Q14" s="219"/>
      <x:c r="R14" s="219"/>
      <x:c r="S14" s="219"/>
      <x:c r="T14" s="219"/>
      <x:c r="U14" s="219"/>
      <x:c r="V14" s="219"/>
      <x:c r="W14" s="219"/>
      <x:c r="X14" s="219"/>
      <x:c r="Y14" s="219"/>
      <x:c r="Z14" s="219"/>
      <x:c r="AA14" s="219"/>
      <x:c r="AB14" s="219"/>
      <x:c r="AC14" s="219"/>
      <x:c r="AD14" s="219"/>
      <x:c r="AE14" s="219"/>
      <x:c r="AF14" s="219"/>
      <x:c r="AG14" s="219"/>
      <x:c r="AH14" s="219"/>
      <x:c r="AI14" s="219"/>
      <x:c r="AJ14" s="219"/>
      <x:c r="AK14" s="220">
        <x:f>+COUNTIF(F14:AJ14,"X")+COUNTIF(F14:AJ14,"E")</x:f>
      </x:c>
      <x:c r="AL14" s="221">
        <x:f>+COUNTIF(F14:AJ14,"R")+COUNTIF(F14:AJ14,"T")+COUNTIF(F14:AJ14,"İ")</x:f>
      </x:c>
      <x:c r="AM14" s="221">
        <x:f>+COUNTIF(F14:AJ14,"İ")</x:f>
      </x:c>
      <x:c r="AN14" s="222"/>
      <x:c r="AO14" s="222"/>
      <x:c r="AP14" s="228"/>
      <x:c r="AQ14" s="224" t="s">
        <x:v>26</x:v>
      </x:c>
      <x:c r="AR14" s="229">
        <x:v>45901</x:v>
      </x:c>
      <x:c r="AS14" s="229">
        <x:f>EOMONTH(AR14,0)</x:f>
      </x:c>
      <x:c r="AT14" s="230"/>
    </x:row>
    <x:row r="15" spans="1:47" ht="19.9" customHeight="1" x14ac:dyDescent="0.25">
      <x:c r="A15" s="215"/>
      <x:c r="B15" s="216">
        <x:v>10</x:v>
      </x:c>
      <x:c r="C15" s="217"/>
      <x:c r="D15" s="215"/>
      <x:c r="E15" s="218"/>
      <x:c r="F15" s="219"/>
      <x:c r="G15" s="219"/>
      <x:c r="H15" s="219"/>
      <x:c r="I15" s="219"/>
      <x:c r="J15" s="219"/>
      <x:c r="K15" s="219"/>
      <x:c r="L15" s="219"/>
      <x:c r="M15" s="219"/>
      <x:c r="N15" s="219"/>
      <x:c r="O15" s="219"/>
      <x:c r="P15" s="219"/>
      <x:c r="Q15" s="219"/>
      <x:c r="R15" s="219"/>
      <x:c r="S15" s="219"/>
      <x:c r="T15" s="219"/>
      <x:c r="U15" s="219"/>
      <x:c r="V15" s="219"/>
      <x:c r="W15" s="219"/>
      <x:c r="X15" s="219"/>
      <x:c r="Y15" s="219"/>
      <x:c r="Z15" s="219"/>
      <x:c r="AA15" s="219"/>
      <x:c r="AB15" s="219"/>
      <x:c r="AC15" s="219"/>
      <x:c r="AD15" s="219"/>
      <x:c r="AE15" s="219"/>
      <x:c r="AF15" s="219"/>
      <x:c r="AG15" s="219"/>
      <x:c r="AH15" s="219"/>
      <x:c r="AI15" s="219"/>
      <x:c r="AJ15" s="219"/>
      <x:c r="AK15" s="220">
        <x:f>+COUNTIF(F15:AJ15,"X")+COUNTIF(F15:AJ15,"E")</x:f>
      </x:c>
      <x:c r="AL15" s="221">
        <x:f>+COUNTIF(F15:AJ15,"R")+COUNTIF(F15:AJ15,"T")+COUNTIF(F15:AJ15,"İ")</x:f>
      </x:c>
      <x:c r="AM15" s="221">
        <x:f>+COUNTIF(F15:AJ15,"İ")</x:f>
      </x:c>
      <x:c r="AN15" s="222"/>
      <x:c r="AO15" s="222"/>
      <x:c r="AP15" s="228"/>
      <x:c r="AQ15" s="224" t="s">
        <x:v>27</x:v>
      </x:c>
      <x:c r="AR15" s="229">
        <x:v>45931</x:v>
      </x:c>
      <x:c r="AS15" s="229">
        <x:f>EOMONTH(AR15,0)</x:f>
      </x:c>
      <x:c r="AT15" s="230"/>
    </x:row>
    <x:row r="16" spans="1:47" ht="19.9" customHeight="1" x14ac:dyDescent="0.25">
      <x:c r="A16" s="215"/>
      <x:c r="B16" s="216">
        <x:v>11</x:v>
      </x:c>
      <x:c r="C16" s="217"/>
      <x:c r="D16" s="215"/>
      <x:c r="E16" s="218"/>
      <x:c r="F16" s="219"/>
      <x:c r="G16" s="219"/>
      <x:c r="H16" s="219"/>
      <x:c r="I16" s="219"/>
      <x:c r="J16" s="219"/>
      <x:c r="K16" s="219"/>
      <x:c r="L16" s="219"/>
      <x:c r="M16" s="219"/>
      <x:c r="N16" s="219"/>
      <x:c r="O16" s="219"/>
      <x:c r="P16" s="219"/>
      <x:c r="Q16" s="219"/>
      <x:c r="R16" s="219"/>
      <x:c r="S16" s="219"/>
      <x:c r="T16" s="219"/>
      <x:c r="U16" s="219"/>
      <x:c r="V16" s="219"/>
      <x:c r="W16" s="219"/>
      <x:c r="X16" s="219"/>
      <x:c r="Y16" s="219"/>
      <x:c r="Z16" s="219"/>
      <x:c r="AA16" s="219"/>
      <x:c r="AB16" s="219"/>
      <x:c r="AC16" s="219"/>
      <x:c r="AD16" s="219"/>
      <x:c r="AE16" s="219"/>
      <x:c r="AF16" s="219"/>
      <x:c r="AG16" s="219"/>
      <x:c r="AH16" s="219"/>
      <x:c r="AI16" s="219"/>
      <x:c r="AJ16" s="219"/>
      <x:c r="AK16" s="220">
        <x:f>+COUNTIF(F16:AJ16,"X")+COUNTIF(F16:AJ16,"E")</x:f>
      </x:c>
      <x:c r="AL16" s="221">
        <x:f>+COUNTIF(F16:AJ16,"R")+COUNTIF(F16:AJ16,"T")+COUNTIF(F16:AJ16,"İ")</x:f>
      </x:c>
      <x:c r="AM16" s="221">
        <x:f>+COUNTIF(F16:AJ16,"İ")</x:f>
      </x:c>
      <x:c r="AN16" s="222"/>
      <x:c r="AO16" s="222"/>
      <x:c r="AP16" s="228"/>
      <x:c r="AQ16" s="224" t="s">
        <x:v>3</x:v>
      </x:c>
      <x:c r="AR16" s="229">
        <x:v>45962</x:v>
      </x:c>
      <x:c r="AS16" s="229">
        <x:f>EOMONTH(AR16,0)</x:f>
      </x:c>
      <x:c r="AT16" s="230"/>
    </x:row>
    <x:row r="17" spans="1:47" ht="19.9" customHeight="1" x14ac:dyDescent="0.25">
      <x:c r="A17" s="215"/>
      <x:c r="B17" s="216">
        <x:v>12</x:v>
      </x:c>
      <x:c r="C17" s="217"/>
      <x:c r="D17" s="215"/>
      <x:c r="E17" s="218"/>
      <x:c r="F17" s="219"/>
      <x:c r="G17" s="219"/>
      <x:c r="H17" s="219"/>
      <x:c r="I17" s="219"/>
      <x:c r="J17" s="219"/>
      <x:c r="K17" s="219"/>
      <x:c r="L17" s="219"/>
      <x:c r="M17" s="219"/>
      <x:c r="N17" s="219"/>
      <x:c r="O17" s="219"/>
      <x:c r="P17" s="219"/>
      <x:c r="Q17" s="219"/>
      <x:c r="R17" s="219"/>
      <x:c r="S17" s="219"/>
      <x:c r="T17" s="219"/>
      <x:c r="U17" s="219"/>
      <x:c r="V17" s="219"/>
      <x:c r="W17" s="219"/>
      <x:c r="X17" s="219"/>
      <x:c r="Y17" s="219"/>
      <x:c r="Z17" s="219"/>
      <x:c r="AA17" s="219"/>
      <x:c r="AB17" s="219"/>
      <x:c r="AC17" s="219"/>
      <x:c r="AD17" s="219"/>
      <x:c r="AE17" s="219"/>
      <x:c r="AF17" s="219"/>
      <x:c r="AG17" s="219"/>
      <x:c r="AH17" s="219"/>
      <x:c r="AI17" s="219"/>
      <x:c r="AJ17" s="219"/>
      <x:c r="AK17" s="220">
        <x:f>+COUNTIF(F17:AJ17,"X")+COUNTIF(F17:AJ17,"E")</x:f>
      </x:c>
      <x:c r="AL17" s="221">
        <x:f>+COUNTIF(F17:AJ17,"R")+COUNTIF(F17:AJ17,"T")+COUNTIF(F17:AJ17,"İ")</x:f>
      </x:c>
      <x:c r="AM17" s="221">
        <x:f>+COUNTIF(F17:AJ17,"İ")</x:f>
      </x:c>
      <x:c r="AN17" s="222"/>
      <x:c r="AO17" s="222"/>
      <x:c r="AP17" s="228"/>
      <x:c r="AQ17" s="224" t="s">
        <x:v>28</x:v>
      </x:c>
      <x:c r="AR17" s="229">
        <x:v>45992</x:v>
      </x:c>
      <x:c r="AS17" s="229">
        <x:f>EOMONTH(AR17,0)</x:f>
      </x:c>
      <x:c r="AT17" s="230"/>
    </x:row>
    <x:row r="18" spans="1:47" ht="19.9" customHeight="1" x14ac:dyDescent="0.25">
      <x:c r="A18" s="215"/>
      <x:c r="B18" s="216">
        <x:v>13</x:v>
      </x:c>
      <x:c r="C18" s="217"/>
      <x:c r="D18" s="215"/>
      <x:c r="E18" s="218"/>
      <x:c r="F18" s="219"/>
      <x:c r="G18" s="219"/>
      <x:c r="H18" s="219"/>
      <x:c r="I18" s="219"/>
      <x:c r="J18" s="219"/>
      <x:c r="K18" s="219"/>
      <x:c r="L18" s="219"/>
      <x:c r="M18" s="219"/>
      <x:c r="N18" s="219"/>
      <x:c r="O18" s="219"/>
      <x:c r="P18" s="219"/>
      <x:c r="Q18" s="219"/>
      <x:c r="R18" s="219"/>
      <x:c r="S18" s="219"/>
      <x:c r="T18" s="219"/>
      <x:c r="U18" s="219"/>
      <x:c r="V18" s="219"/>
      <x:c r="W18" s="219"/>
      <x:c r="X18" s="219"/>
      <x:c r="Y18" s="219"/>
      <x:c r="Z18" s="219"/>
      <x:c r="AA18" s="219"/>
      <x:c r="AB18" s="219"/>
      <x:c r="AC18" s="219"/>
      <x:c r="AD18" s="219"/>
      <x:c r="AE18" s="219"/>
      <x:c r="AF18" s="219"/>
      <x:c r="AG18" s="219"/>
      <x:c r="AH18" s="219"/>
      <x:c r="AI18" s="219"/>
      <x:c r="AJ18" s="219"/>
      <x:c r="AK18" s="220">
        <x:f>+COUNTIF(F18:AJ18,"X")+COUNTIF(F18:AJ18,"E")</x:f>
      </x:c>
      <x:c r="AL18" s="221">
        <x:f>+COUNTIF(F18:AJ18,"R")+COUNTIF(F18:AJ18,"T")+COUNTIF(F18:AJ18,"İ")</x:f>
      </x:c>
      <x:c r="AM18" s="221">
        <x:f>+COUNTIF(F18:AJ18,"İ")</x:f>
      </x:c>
      <x:c r="AN18" s="222"/>
      <x:c r="AO18" s="222"/>
      <x:c r="AP18" s="228"/>
      <x:c r="AQ18" s="231"/>
      <x:c r="AR18" s="228"/>
      <x:c r="AS18" s="228"/>
      <x:c r="AT18" s="230"/>
    </x:row>
    <x:row r="19" spans="1:47" ht="19.9" customHeight="1" x14ac:dyDescent="0.25">
      <x:c r="A19" s="215"/>
      <x:c r="B19" s="216">
        <x:v>14</x:v>
      </x:c>
      <x:c r="C19" s="217"/>
      <x:c r="D19" s="215"/>
      <x:c r="E19" s="218"/>
      <x:c r="F19" s="219"/>
      <x:c r="G19" s="219"/>
      <x:c r="H19" s="219"/>
      <x:c r="I19" s="219"/>
      <x:c r="J19" s="219"/>
      <x:c r="K19" s="219"/>
      <x:c r="L19" s="219"/>
      <x:c r="M19" s="219"/>
      <x:c r="N19" s="219"/>
      <x:c r="O19" s="219"/>
      <x:c r="P19" s="219"/>
      <x:c r="Q19" s="219"/>
      <x:c r="R19" s="219"/>
      <x:c r="S19" s="219"/>
      <x:c r="T19" s="219"/>
      <x:c r="U19" s="219"/>
      <x:c r="V19" s="219"/>
      <x:c r="W19" s="219"/>
      <x:c r="X19" s="219"/>
      <x:c r="Y19" s="219"/>
      <x:c r="Z19" s="219"/>
      <x:c r="AA19" s="219"/>
      <x:c r="AB19" s="219"/>
      <x:c r="AC19" s="219"/>
      <x:c r="AD19" s="219"/>
      <x:c r="AE19" s="219"/>
      <x:c r="AF19" s="219"/>
      <x:c r="AG19" s="219"/>
      <x:c r="AH19" s="219"/>
      <x:c r="AI19" s="219"/>
      <x:c r="AJ19" s="219"/>
      <x:c r="AK19" s="220">
        <x:f>+COUNTIF(F19:AJ19,"X")+COUNTIF(F19:AJ19,"E")</x:f>
      </x:c>
      <x:c r="AL19" s="221">
        <x:f>+COUNTIF(F19:AJ19,"R")+COUNTIF(F19:AJ19,"T")+COUNTIF(F19:AJ19,"İ")</x:f>
      </x:c>
      <x:c r="AM19" s="221">
        <x:f>+COUNTIF(F19:AJ19,"İ")</x:f>
      </x:c>
      <x:c r="AN19" s="222"/>
      <x:c r="AO19" s="222"/>
      <x:c r="AP19" s="228"/>
      <x:c r="AQ19" s="228"/>
      <x:c r="AR19" s="228"/>
      <x:c r="AS19" s="228"/>
      <x:c r="AT19" s="230"/>
    </x:row>
    <x:row r="20" spans="1:47" ht="19.9" customHeight="1" x14ac:dyDescent="0.25">
      <x:c r="A20" s="215"/>
      <x:c r="B20" s="216">
        <x:v>15</x:v>
      </x:c>
      <x:c r="C20" s="217"/>
      <x:c r="D20" s="215"/>
      <x:c r="E20" s="218"/>
      <x:c r="F20" s="219"/>
      <x:c r="G20" s="219"/>
      <x:c r="H20" s="219"/>
      <x:c r="I20" s="219"/>
      <x:c r="J20" s="219"/>
      <x:c r="K20" s="219"/>
      <x:c r="L20" s="219"/>
      <x:c r="M20" s="219"/>
      <x:c r="N20" s="219"/>
      <x:c r="O20" s="219"/>
      <x:c r="P20" s="219"/>
      <x:c r="Q20" s="219"/>
      <x:c r="R20" s="219"/>
      <x:c r="S20" s="219"/>
      <x:c r="T20" s="219"/>
      <x:c r="U20" s="219"/>
      <x:c r="V20" s="219"/>
      <x:c r="W20" s="219"/>
      <x:c r="X20" s="219"/>
      <x:c r="Y20" s="219"/>
      <x:c r="Z20" s="219"/>
      <x:c r="AA20" s="219"/>
      <x:c r="AB20" s="219"/>
      <x:c r="AC20" s="219"/>
      <x:c r="AD20" s="219"/>
      <x:c r="AE20" s="219"/>
      <x:c r="AF20" s="219"/>
      <x:c r="AG20" s="219"/>
      <x:c r="AH20" s="219"/>
      <x:c r="AI20" s="219"/>
      <x:c r="AJ20" s="219"/>
      <x:c r="AK20" s="220">
        <x:f>+COUNTIF(F20:AJ20,"X")+COUNTIF(F20:AJ20,"E")</x:f>
      </x:c>
      <x:c r="AL20" s="221">
        <x:f>+COUNTIF(F20:AJ20,"R")+COUNTIF(F20:AJ20,"T")+COUNTIF(F20:AJ20,"İ")</x:f>
      </x:c>
      <x:c r="AM20" s="221">
        <x:f>+COUNTIF(F20:AJ20,"İ")</x:f>
      </x:c>
      <x:c r="AN20" s="222"/>
      <x:c r="AO20" s="222"/>
      <x:c r="AP20" s="228"/>
      <x:c r="AQ20" s="228"/>
      <x:c r="AR20" s="228"/>
      <x:c r="AS20" s="228"/>
      <x:c r="AT20" s="230"/>
    </x:row>
    <x:row r="21" spans="1:47" ht="19.9" customHeight="1" x14ac:dyDescent="0.25">
      <x:c r="A21" s="215"/>
      <x:c r="B21" s="216">
        <x:v>16</x:v>
      </x:c>
      <x:c r="C21" s="217"/>
      <x:c r="D21" s="215"/>
      <x:c r="E21" s="218"/>
      <x:c r="F21" s="219"/>
      <x:c r="G21" s="219"/>
      <x:c r="H21" s="219"/>
      <x:c r="I21" s="219"/>
      <x:c r="J21" s="219"/>
      <x:c r="K21" s="219"/>
      <x:c r="L21" s="219"/>
      <x:c r="M21" s="219"/>
      <x:c r="N21" s="219"/>
      <x:c r="O21" s="219"/>
      <x:c r="P21" s="219"/>
      <x:c r="Q21" s="219"/>
      <x:c r="R21" s="219"/>
      <x:c r="S21" s="219"/>
      <x:c r="T21" s="219"/>
      <x:c r="U21" s="219"/>
      <x:c r="V21" s="219"/>
      <x:c r="W21" s="219"/>
      <x:c r="X21" s="219"/>
      <x:c r="Y21" s="219"/>
      <x:c r="Z21" s="219"/>
      <x:c r="AA21" s="219"/>
      <x:c r="AB21" s="219"/>
      <x:c r="AC21" s="219"/>
      <x:c r="AD21" s="219"/>
      <x:c r="AE21" s="219"/>
      <x:c r="AF21" s="219"/>
      <x:c r="AG21" s="219"/>
      <x:c r="AH21" s="219"/>
      <x:c r="AI21" s="219"/>
      <x:c r="AJ21" s="219"/>
      <x:c r="AK21" s="220">
        <x:f>+COUNTIF(F21:AJ21,"X")+COUNTIF(F21:AJ21,"E")</x:f>
      </x:c>
      <x:c r="AL21" s="221">
        <x:f>+COUNTIF(F21:AJ21,"R")+COUNTIF(F21:AJ21,"T")+COUNTIF(F21:AJ21,"İ")</x:f>
      </x:c>
      <x:c r="AM21" s="221">
        <x:f>+COUNTIF(F21:AJ21,"İ")</x:f>
      </x:c>
      <x:c r="AN21" s="222"/>
      <x:c r="AO21" s="222"/>
      <x:c r="AP21" s="228"/>
      <x:c r="AQ21" s="228"/>
      <x:c r="AR21" s="228"/>
      <x:c r="AS21" s="228"/>
      <x:c r="AT21" s="230"/>
    </x:row>
    <x:row r="22" spans="1:47" ht="19.9" customHeight="1" x14ac:dyDescent="0.25">
      <x:c r="A22" s="215"/>
      <x:c r="B22" s="216">
        <x:v>17</x:v>
      </x:c>
      <x:c r="C22" s="217"/>
      <x:c r="D22" s="215"/>
      <x:c r="E22" s="218"/>
      <x:c r="F22" s="219"/>
      <x:c r="G22" s="219"/>
      <x:c r="H22" s="219"/>
      <x:c r="I22" s="219"/>
      <x:c r="J22" s="219"/>
      <x:c r="K22" s="219"/>
      <x:c r="L22" s="219"/>
      <x:c r="M22" s="219"/>
      <x:c r="N22" s="219"/>
      <x:c r="O22" s="219"/>
      <x:c r="P22" s="219"/>
      <x:c r="Q22" s="219"/>
      <x:c r="R22" s="219"/>
      <x:c r="S22" s="219"/>
      <x:c r="T22" s="219"/>
      <x:c r="U22" s="219"/>
      <x:c r="V22" s="219"/>
      <x:c r="W22" s="219"/>
      <x:c r="X22" s="219"/>
      <x:c r="Y22" s="219"/>
      <x:c r="Z22" s="219"/>
      <x:c r="AA22" s="219"/>
      <x:c r="AB22" s="219"/>
      <x:c r="AC22" s="219"/>
      <x:c r="AD22" s="219"/>
      <x:c r="AE22" s="219"/>
      <x:c r="AF22" s="219"/>
      <x:c r="AG22" s="219"/>
      <x:c r="AH22" s="219"/>
      <x:c r="AI22" s="219"/>
      <x:c r="AJ22" s="219"/>
      <x:c r="AK22" s="220">
        <x:f>+COUNTIF(F22:AJ22,"X")+COUNTIF(F22:AJ22,"E")</x:f>
      </x:c>
      <x:c r="AL22" s="221">
        <x:f>+COUNTIF(F22:AJ22,"R")+COUNTIF(F22:AJ22,"T")+COUNTIF(F22:AJ22,"İ")</x:f>
      </x:c>
      <x:c r="AM22" s="221">
        <x:f>+COUNTIF(F22:AJ22,"İ")</x:f>
      </x:c>
      <x:c r="AN22" s="222"/>
      <x:c r="AO22" s="222"/>
      <x:c r="AP22" s="228"/>
      <x:c r="AQ22" s="228"/>
      <x:c r="AR22" s="228"/>
      <x:c r="AS22" s="228"/>
      <x:c r="AT22" s="230"/>
    </x:row>
    <x:row r="23" spans="1:47" ht="19.9" customHeight="1" x14ac:dyDescent="0.25">
      <x:c r="A23" s="215"/>
      <x:c r="B23" s="216">
        <x:v>18</x:v>
      </x:c>
      <x:c r="C23" s="217"/>
      <x:c r="D23" s="215"/>
      <x:c r="E23" s="218"/>
      <x:c r="F23" s="219"/>
      <x:c r="G23" s="219"/>
      <x:c r="H23" s="219"/>
      <x:c r="I23" s="219"/>
      <x:c r="J23" s="219"/>
      <x:c r="K23" s="219"/>
      <x:c r="L23" s="219"/>
      <x:c r="M23" s="219"/>
      <x:c r="N23" s="219"/>
      <x:c r="O23" s="219"/>
      <x:c r="P23" s="219"/>
      <x:c r="Q23" s="219"/>
      <x:c r="R23" s="219"/>
      <x:c r="S23" s="219"/>
      <x:c r="T23" s="219"/>
      <x:c r="U23" s="219"/>
      <x:c r="V23" s="219"/>
      <x:c r="W23" s="219"/>
      <x:c r="X23" s="219"/>
      <x:c r="Y23" s="219"/>
      <x:c r="Z23" s="219"/>
      <x:c r="AA23" s="219"/>
      <x:c r="AB23" s="219"/>
      <x:c r="AC23" s="219"/>
      <x:c r="AD23" s="219"/>
      <x:c r="AE23" s="219"/>
      <x:c r="AF23" s="219"/>
      <x:c r="AG23" s="219"/>
      <x:c r="AH23" s="219"/>
      <x:c r="AI23" s="219"/>
      <x:c r="AJ23" s="219"/>
      <x:c r="AK23" s="220">
        <x:f>+COUNTIF(F23:AJ23,"X")+COUNTIF(F23:AJ23,"E")</x:f>
      </x:c>
      <x:c r="AL23" s="221">
        <x:f>+COUNTIF(F23:AJ23,"R")+COUNTIF(F23:AJ23,"T")+COUNTIF(F23:AJ23,"İ")</x:f>
      </x:c>
      <x:c r="AM23" s="221">
        <x:f>+COUNTIF(F23:AJ23,"İ")</x:f>
      </x:c>
      <x:c r="AN23" s="222"/>
      <x:c r="AO23" s="222"/>
      <x:c r="AP23" s="228"/>
      <x:c r="AQ23" s="228"/>
      <x:c r="AR23" s="228"/>
      <x:c r="AS23" s="228"/>
      <x:c r="AT23" s="230"/>
    </x:row>
    <x:row r="24" spans="1:47" ht="19.9" customHeight="1" x14ac:dyDescent="0.25">
      <x:c r="A24" s="215"/>
      <x:c r="B24" s="216">
        <x:v>19</x:v>
      </x:c>
      <x:c r="C24" s="217"/>
      <x:c r="D24" s="215"/>
      <x:c r="E24" s="218"/>
      <x:c r="F24" s="219"/>
      <x:c r="G24" s="219"/>
      <x:c r="H24" s="219"/>
      <x:c r="I24" s="219"/>
      <x:c r="J24" s="219"/>
      <x:c r="K24" s="219"/>
      <x:c r="L24" s="219"/>
      <x:c r="M24" s="219"/>
      <x:c r="N24" s="219"/>
      <x:c r="O24" s="219"/>
      <x:c r="P24" s="219"/>
      <x:c r="Q24" s="219"/>
      <x:c r="R24" s="219"/>
      <x:c r="S24" s="219"/>
      <x:c r="T24" s="219"/>
      <x:c r="U24" s="219"/>
      <x:c r="V24" s="219"/>
      <x:c r="W24" s="219"/>
      <x:c r="X24" s="219"/>
      <x:c r="Y24" s="219"/>
      <x:c r="Z24" s="219"/>
      <x:c r="AA24" s="219"/>
      <x:c r="AB24" s="219"/>
      <x:c r="AC24" s="219"/>
      <x:c r="AD24" s="219"/>
      <x:c r="AE24" s="219"/>
      <x:c r="AF24" s="219"/>
      <x:c r="AG24" s="219"/>
      <x:c r="AH24" s="219"/>
      <x:c r="AI24" s="219"/>
      <x:c r="AJ24" s="219"/>
      <x:c r="AK24" s="220">
        <x:f>+COUNTIF(F24:AJ24,"X")+COUNTIF(F24:AJ24,"E")</x:f>
      </x:c>
      <x:c r="AL24" s="221">
        <x:f>+COUNTIF(F24:AJ24,"R")+COUNTIF(F24:AJ24,"T")+COUNTIF(F24:AJ24,"İ")</x:f>
      </x:c>
      <x:c r="AM24" s="221">
        <x:f>+COUNTIF(F24:AJ24,"İ")</x:f>
      </x:c>
      <x:c r="AN24" s="222"/>
      <x:c r="AO24" s="222"/>
      <x:c r="AP24" s="228"/>
      <x:c r="AQ24" s="228"/>
      <x:c r="AR24" s="228"/>
      <x:c r="AS24" s="228"/>
      <x:c r="AT24" s="230"/>
    </x:row>
    <x:row r="25" spans="1:47" ht="19.9" customHeight="1" x14ac:dyDescent="0.25">
      <x:c r="A25" s="215"/>
      <x:c r="B25" s="216">
        <x:v>20</x:v>
      </x:c>
      <x:c r="C25" s="217"/>
      <x:c r="D25" s="215"/>
      <x:c r="E25" s="218"/>
      <x:c r="F25" s="219"/>
      <x:c r="G25" s="219"/>
      <x:c r="H25" s="219"/>
      <x:c r="I25" s="219"/>
      <x:c r="J25" s="219"/>
      <x:c r="K25" s="219"/>
      <x:c r="L25" s="219"/>
      <x:c r="M25" s="219"/>
      <x:c r="N25" s="219"/>
      <x:c r="O25" s="219"/>
      <x:c r="P25" s="219"/>
      <x:c r="Q25" s="219"/>
      <x:c r="R25" s="219"/>
      <x:c r="S25" s="219"/>
      <x:c r="T25" s="219"/>
      <x:c r="U25" s="219"/>
      <x:c r="V25" s="219"/>
      <x:c r="W25" s="219"/>
      <x:c r="X25" s="219"/>
      <x:c r="Y25" s="219"/>
      <x:c r="Z25" s="219"/>
      <x:c r="AA25" s="219"/>
      <x:c r="AB25" s="219"/>
      <x:c r="AC25" s="219"/>
      <x:c r="AD25" s="219"/>
      <x:c r="AE25" s="219"/>
      <x:c r="AF25" s="219"/>
      <x:c r="AG25" s="219"/>
      <x:c r="AH25" s="219"/>
      <x:c r="AI25" s="219"/>
      <x:c r="AJ25" s="219"/>
      <x:c r="AK25" s="220">
        <x:f>+COUNTIF(F25:AJ25,"X")+COUNTIF(F25:AJ25,"E")</x:f>
      </x:c>
      <x:c r="AL25" s="221">
        <x:f>+COUNTIF(F25:AJ25,"R")+COUNTIF(F25:AJ25,"T")+COUNTIF(F25:AJ25,"İ")</x:f>
      </x:c>
      <x:c r="AM25" s="221">
        <x:f>+COUNTIF(F25:AJ25,"İ")</x:f>
      </x:c>
      <x:c r="AN25" s="222"/>
      <x:c r="AO25" s="222"/>
      <x:c r="AP25" s="228"/>
      <x:c r="AQ25" s="228"/>
      <x:c r="AR25" s="228"/>
      <x:c r="AS25" s="228"/>
      <x:c r="AT25" s="230"/>
    </x:row>
    <x:row r="26" spans="1:47" ht="19.9" customHeight="1" x14ac:dyDescent="0.25">
      <x:c r="A26" s="215"/>
      <x:c r="B26" s="216">
        <x:v>21</x:v>
      </x:c>
      <x:c r="C26" s="217"/>
      <x:c r="D26" s="215"/>
      <x:c r="E26" s="218"/>
      <x:c r="F26" s="219"/>
      <x:c r="G26" s="219"/>
      <x:c r="H26" s="219"/>
      <x:c r="I26" s="219"/>
      <x:c r="J26" s="219"/>
      <x:c r="K26" s="219"/>
      <x:c r="L26" s="219"/>
      <x:c r="M26" s="219"/>
      <x:c r="N26" s="219"/>
      <x:c r="O26" s="219"/>
      <x:c r="P26" s="219"/>
      <x:c r="Q26" s="219"/>
      <x:c r="R26" s="219"/>
      <x:c r="S26" s="219"/>
      <x:c r="T26" s="219"/>
      <x:c r="U26" s="219"/>
      <x:c r="V26" s="219"/>
      <x:c r="W26" s="219"/>
      <x:c r="X26" s="219"/>
      <x:c r="Y26" s="219"/>
      <x:c r="Z26" s="219"/>
      <x:c r="AA26" s="219"/>
      <x:c r="AB26" s="219"/>
      <x:c r="AC26" s="219"/>
      <x:c r="AD26" s="219"/>
      <x:c r="AE26" s="219"/>
      <x:c r="AF26" s="219"/>
      <x:c r="AG26" s="219"/>
      <x:c r="AH26" s="219"/>
      <x:c r="AI26" s="219"/>
      <x:c r="AJ26" s="219"/>
      <x:c r="AK26" s="220">
        <x:f>+COUNTIF(F26:AJ26,"X")+COUNTIF(F26:AJ26,"E")</x:f>
      </x:c>
      <x:c r="AL26" s="221">
        <x:f>+COUNTIF(F26:AJ26,"R")+COUNTIF(F26:AJ26,"T")+COUNTIF(F26:AJ26,"İ")</x:f>
      </x:c>
      <x:c r="AM26" s="221">
        <x:f>+COUNTIF(F26:AJ26,"İ")</x:f>
      </x:c>
      <x:c r="AN26" s="222"/>
      <x:c r="AO26" s="222"/>
      <x:c r="AP26" s="228"/>
      <x:c r="AQ26" s="228"/>
      <x:c r="AR26" s="228"/>
      <x:c r="AS26" s="228"/>
      <x:c r="AT26" s="230"/>
    </x:row>
    <x:row r="27" spans="1:47" ht="19.9" customHeight="1" x14ac:dyDescent="0.25">
      <x:c r="A27" s="215"/>
      <x:c r="B27" s="216">
        <x:v>22</x:v>
      </x:c>
      <x:c r="C27" s="217"/>
      <x:c r="D27" s="215"/>
      <x:c r="E27" s="218"/>
      <x:c r="F27" s="219"/>
      <x:c r="G27" s="219"/>
      <x:c r="H27" s="219"/>
      <x:c r="I27" s="219"/>
      <x:c r="J27" s="219"/>
      <x:c r="K27" s="219"/>
      <x:c r="L27" s="219"/>
      <x:c r="M27" s="219"/>
      <x:c r="N27" s="219"/>
      <x:c r="O27" s="219"/>
      <x:c r="P27" s="219"/>
      <x:c r="Q27" s="219"/>
      <x:c r="R27" s="219"/>
      <x:c r="S27" s="219"/>
      <x:c r="T27" s="219"/>
      <x:c r="U27" s="219"/>
      <x:c r="V27" s="219"/>
      <x:c r="W27" s="219"/>
      <x:c r="X27" s="219"/>
      <x:c r="Y27" s="219"/>
      <x:c r="Z27" s="219"/>
      <x:c r="AA27" s="219"/>
      <x:c r="AB27" s="219"/>
      <x:c r="AC27" s="219"/>
      <x:c r="AD27" s="219"/>
      <x:c r="AE27" s="219"/>
      <x:c r="AF27" s="219"/>
      <x:c r="AG27" s="219"/>
      <x:c r="AH27" s="219"/>
      <x:c r="AI27" s="219"/>
      <x:c r="AJ27" s="219"/>
      <x:c r="AK27" s="220">
        <x:f>+COUNTIF(F27:AJ27,"X")+COUNTIF(F27:AJ27,"E")</x:f>
      </x:c>
      <x:c r="AL27" s="221">
        <x:f>+COUNTIF(F27:AJ27,"R")+COUNTIF(F27:AJ27,"T")+COUNTIF(F27:AJ27,"İ")</x:f>
      </x:c>
      <x:c r="AM27" s="221">
        <x:f>+COUNTIF(F27:AJ27,"İ")</x:f>
      </x:c>
      <x:c r="AN27" s="222"/>
      <x:c r="AO27" s="222"/>
      <x:c r="AP27" s="228"/>
      <x:c r="AQ27" s="228"/>
      <x:c r="AR27" s="228"/>
      <x:c r="AS27" s="228"/>
      <x:c r="AT27" s="230"/>
    </x:row>
    <x:row r="28" spans="1:47" ht="19.9" customHeight="1" x14ac:dyDescent="0.25">
      <x:c r="A28" s="215"/>
      <x:c r="B28" s="216">
        <x:v>23</x:v>
      </x:c>
      <x:c r="C28" s="217"/>
      <x:c r="D28" s="215"/>
      <x:c r="E28" s="218"/>
      <x:c r="F28" s="219"/>
      <x:c r="G28" s="219"/>
      <x:c r="H28" s="219"/>
      <x:c r="I28" s="219"/>
      <x:c r="J28" s="219"/>
      <x:c r="K28" s="219"/>
      <x:c r="L28" s="219"/>
      <x:c r="M28" s="219"/>
      <x:c r="N28" s="219"/>
      <x:c r="O28" s="219"/>
      <x:c r="P28" s="219"/>
      <x:c r="Q28" s="219"/>
      <x:c r="R28" s="219"/>
      <x:c r="S28" s="219"/>
      <x:c r="T28" s="219"/>
      <x:c r="U28" s="219"/>
      <x:c r="V28" s="219"/>
      <x:c r="W28" s="219"/>
      <x:c r="X28" s="219"/>
      <x:c r="Y28" s="219"/>
      <x:c r="Z28" s="219"/>
      <x:c r="AA28" s="219"/>
      <x:c r="AB28" s="219"/>
      <x:c r="AC28" s="219"/>
      <x:c r="AD28" s="219"/>
      <x:c r="AE28" s="219"/>
      <x:c r="AF28" s="219"/>
      <x:c r="AG28" s="219"/>
      <x:c r="AH28" s="219"/>
      <x:c r="AI28" s="219"/>
      <x:c r="AJ28" s="219"/>
      <x:c r="AK28" s="220">
        <x:f>+COUNTIF(F28:AJ28,"X")+COUNTIF(F28:AJ28,"E")</x:f>
      </x:c>
      <x:c r="AL28" s="221">
        <x:f>+COUNTIF(F28:AJ28,"R")+COUNTIF(F28:AJ28,"T")+COUNTIF(F28:AJ28,"İ")</x:f>
      </x:c>
      <x:c r="AM28" s="221">
        <x:f>+COUNTIF(F28:AJ28,"İ")</x:f>
      </x:c>
      <x:c r="AN28" s="222"/>
      <x:c r="AO28" s="222"/>
      <x:c r="AP28" s="228"/>
      <x:c r="AQ28" s="228"/>
      <x:c r="AR28" s="228"/>
      <x:c r="AS28" s="228"/>
      <x:c r="AT28" s="230"/>
    </x:row>
    <x:row r="29" spans="1:47" ht="19.9" customHeight="1" x14ac:dyDescent="0.25">
      <x:c r="A29" s="215"/>
      <x:c r="B29" s="216">
        <x:v>24</x:v>
      </x:c>
      <x:c r="C29" s="217"/>
      <x:c r="D29" s="215"/>
      <x:c r="E29" s="218"/>
      <x:c r="F29" s="219"/>
      <x:c r="G29" s="219"/>
      <x:c r="H29" s="219"/>
      <x:c r="I29" s="219"/>
      <x:c r="J29" s="219"/>
      <x:c r="K29" s="219"/>
      <x:c r="L29" s="219"/>
      <x:c r="M29" s="219"/>
      <x:c r="N29" s="219"/>
      <x:c r="O29" s="219"/>
      <x:c r="P29" s="219"/>
      <x:c r="Q29" s="219"/>
      <x:c r="R29" s="219"/>
      <x:c r="S29" s="219"/>
      <x:c r="T29" s="219"/>
      <x:c r="U29" s="219"/>
      <x:c r="V29" s="219"/>
      <x:c r="W29" s="219"/>
      <x:c r="X29" s="219"/>
      <x:c r="Y29" s="219"/>
      <x:c r="Z29" s="219"/>
      <x:c r="AA29" s="219"/>
      <x:c r="AB29" s="219"/>
      <x:c r="AC29" s="219"/>
      <x:c r="AD29" s="219"/>
      <x:c r="AE29" s="219"/>
      <x:c r="AF29" s="219"/>
      <x:c r="AG29" s="219"/>
      <x:c r="AH29" s="219"/>
      <x:c r="AI29" s="219"/>
      <x:c r="AJ29" s="219"/>
      <x:c r="AK29" s="220">
        <x:f>+COUNTIF(F29:AJ29,"X")+COUNTIF(F29:AJ29,"E")</x:f>
      </x:c>
      <x:c r="AL29" s="221">
        <x:f>+COUNTIF(F29:AJ29,"R")+COUNTIF(F29:AJ29,"T")+COUNTIF(F29:AJ29,"İ")</x:f>
      </x:c>
      <x:c r="AM29" s="221">
        <x:f>+COUNTIF(F29:AJ29,"İ")</x:f>
      </x:c>
      <x:c r="AN29" s="222"/>
      <x:c r="AO29" s="222"/>
      <x:c r="AP29" s="228"/>
      <x:c r="AQ29" s="228"/>
      <x:c r="AR29" s="228"/>
      <x:c r="AS29" s="228"/>
      <x:c r="AT29" s="230"/>
    </x:row>
    <x:row r="30" spans="1:47" ht="19.9" customHeight="1" x14ac:dyDescent="0.25">
      <x:c r="A30" s="215"/>
      <x:c r="B30" s="216">
        <x:v>25</x:v>
      </x:c>
      <x:c r="C30" s="217"/>
      <x:c r="D30" s="215"/>
      <x:c r="E30" s="218"/>
      <x:c r="F30" s="219"/>
      <x:c r="G30" s="219"/>
      <x:c r="H30" s="219"/>
      <x:c r="I30" s="219"/>
      <x:c r="J30" s="219"/>
      <x:c r="K30" s="219"/>
      <x:c r="L30" s="219"/>
      <x:c r="M30" s="219"/>
      <x:c r="N30" s="219"/>
      <x:c r="O30" s="219"/>
      <x:c r="P30" s="219"/>
      <x:c r="Q30" s="219"/>
      <x:c r="R30" s="219"/>
      <x:c r="S30" s="219"/>
      <x:c r="T30" s="219"/>
      <x:c r="U30" s="219"/>
      <x:c r="V30" s="219"/>
      <x:c r="W30" s="219"/>
      <x:c r="X30" s="219"/>
      <x:c r="Y30" s="219"/>
      <x:c r="Z30" s="219"/>
      <x:c r="AA30" s="219"/>
      <x:c r="AB30" s="219"/>
      <x:c r="AC30" s="219"/>
      <x:c r="AD30" s="219"/>
      <x:c r="AE30" s="219"/>
      <x:c r="AF30" s="219"/>
      <x:c r="AG30" s="219"/>
      <x:c r="AH30" s="219"/>
      <x:c r="AI30" s="219"/>
      <x:c r="AJ30" s="219"/>
      <x:c r="AK30" s="220">
        <x:f>+COUNTIF(F30:AJ30,"X")+COUNTIF(F30:AJ30,"E")</x:f>
      </x:c>
      <x:c r="AL30" s="221">
        <x:f>+COUNTIF(F30:AJ30,"R")+COUNTIF(F30:AJ30,"T")+COUNTIF(F30:AJ30,"İ")</x:f>
      </x:c>
      <x:c r="AM30" s="221">
        <x:f>+COUNTIF(F30:AJ30,"İ")</x:f>
      </x:c>
      <x:c r="AN30" s="222"/>
      <x:c r="AO30" s="222"/>
      <x:c r="AP30" s="228"/>
      <x:c r="AQ30" s="228"/>
      <x:c r="AR30" s="228"/>
      <x:c r="AS30" s="228"/>
      <x:c r="AT30" s="230"/>
    </x:row>
    <x:row r="31" spans="1:47" ht="19.9" customHeight="1" x14ac:dyDescent="0.25">
      <x:c r="A31" s="215"/>
      <x:c r="B31" s="216">
        <x:v>26</x:v>
      </x:c>
      <x:c r="C31" s="217"/>
      <x:c r="D31" s="215"/>
      <x:c r="E31" s="218"/>
      <x:c r="F31" s="219"/>
      <x:c r="G31" s="219"/>
      <x:c r="H31" s="219"/>
      <x:c r="I31" s="219"/>
      <x:c r="J31" s="219"/>
      <x:c r="K31" s="219"/>
      <x:c r="L31" s="219"/>
      <x:c r="M31" s="219"/>
      <x:c r="N31" s="219"/>
      <x:c r="O31" s="219"/>
      <x:c r="P31" s="219"/>
      <x:c r="Q31" s="219"/>
      <x:c r="R31" s="219"/>
      <x:c r="S31" s="219"/>
      <x:c r="T31" s="219"/>
      <x:c r="U31" s="219"/>
      <x:c r="V31" s="219"/>
      <x:c r="W31" s="219"/>
      <x:c r="X31" s="219"/>
      <x:c r="Y31" s="219"/>
      <x:c r="Z31" s="219"/>
      <x:c r="AA31" s="219"/>
      <x:c r="AB31" s="219"/>
      <x:c r="AC31" s="219"/>
      <x:c r="AD31" s="219"/>
      <x:c r="AE31" s="219"/>
      <x:c r="AF31" s="219"/>
      <x:c r="AG31" s="219"/>
      <x:c r="AH31" s="219"/>
      <x:c r="AI31" s="219"/>
      <x:c r="AJ31" s="219"/>
      <x:c r="AK31" s="220">
        <x:f>+COUNTIF(F31:AJ31,"X")+COUNTIF(F31:AJ31,"E")</x:f>
      </x:c>
      <x:c r="AL31" s="221">
        <x:f>+COUNTIF(F31:AJ31,"R")+COUNTIF(F31:AJ31,"T")+COUNTIF(F31:AJ31,"İ")</x:f>
      </x:c>
      <x:c r="AM31" s="221">
        <x:f>+COUNTIF(F31:AJ31,"İ")</x:f>
      </x:c>
      <x:c r="AN31" s="222"/>
      <x:c r="AO31" s="222"/>
      <x:c r="AP31" s="228"/>
      <x:c r="AQ31" s="228"/>
      <x:c r="AR31" s="228"/>
      <x:c r="AS31" s="228"/>
      <x:c r="AT31" s="230"/>
    </x:row>
    <x:row r="32" spans="1:47" ht="19.9" customHeight="1" x14ac:dyDescent="0.25">
      <x:c r="A32" s="215"/>
      <x:c r="B32" s="216">
        <x:v>27</x:v>
      </x:c>
      <x:c r="C32" s="217"/>
      <x:c r="D32" s="215"/>
      <x:c r="E32" s="218"/>
      <x:c r="F32" s="219"/>
      <x:c r="G32" s="219"/>
      <x:c r="H32" s="219"/>
      <x:c r="I32" s="219"/>
      <x:c r="J32" s="219"/>
      <x:c r="K32" s="219"/>
      <x:c r="L32" s="219"/>
      <x:c r="M32" s="219"/>
      <x:c r="N32" s="219"/>
      <x:c r="O32" s="219"/>
      <x:c r="P32" s="219"/>
      <x:c r="Q32" s="219"/>
      <x:c r="R32" s="219"/>
      <x:c r="S32" s="219"/>
      <x:c r="T32" s="219"/>
      <x:c r="U32" s="219"/>
      <x:c r="V32" s="219"/>
      <x:c r="W32" s="219"/>
      <x:c r="X32" s="219"/>
      <x:c r="Y32" s="219"/>
      <x:c r="Z32" s="219"/>
      <x:c r="AA32" s="219"/>
      <x:c r="AB32" s="219"/>
      <x:c r="AC32" s="219"/>
      <x:c r="AD32" s="219"/>
      <x:c r="AE32" s="219"/>
      <x:c r="AF32" s="219"/>
      <x:c r="AG32" s="219"/>
      <x:c r="AH32" s="219"/>
      <x:c r="AI32" s="219"/>
      <x:c r="AJ32" s="219"/>
      <x:c r="AK32" s="220">
        <x:f>+COUNTIF(F32:AJ32,"X")+COUNTIF(F32:AJ32,"E")</x:f>
      </x:c>
      <x:c r="AL32" s="221">
        <x:f>+COUNTIF(F32:AJ32,"R")+COUNTIF(F32:AJ32,"T")+COUNTIF(F32:AJ32,"İ")</x:f>
      </x:c>
      <x:c r="AM32" s="221">
        <x:f>+COUNTIF(F32:AJ32,"İ")</x:f>
      </x:c>
      <x:c r="AN32" s="222"/>
      <x:c r="AO32" s="222"/>
      <x:c r="AP32" s="228"/>
      <x:c r="AQ32" s="228"/>
      <x:c r="AR32" s="228"/>
      <x:c r="AS32" s="228"/>
      <x:c r="AT32" s="230"/>
    </x:row>
    <x:row r="33" spans="1:47" ht="19.9" customHeight="1" x14ac:dyDescent="0.25">
      <x:c r="A33" s="215"/>
      <x:c r="B33" s="216">
        <x:v>28</x:v>
      </x:c>
      <x:c r="C33" s="217"/>
      <x:c r="D33" s="215"/>
      <x:c r="E33" s="218"/>
      <x:c r="F33" s="219"/>
      <x:c r="G33" s="219"/>
      <x:c r="H33" s="219"/>
      <x:c r="I33" s="219"/>
      <x:c r="J33" s="219"/>
      <x:c r="K33" s="219"/>
      <x:c r="L33" s="219"/>
      <x:c r="M33" s="219"/>
      <x:c r="N33" s="219"/>
      <x:c r="O33" s="219"/>
      <x:c r="P33" s="219"/>
      <x:c r="Q33" s="219"/>
      <x:c r="R33" s="219"/>
      <x:c r="S33" s="219"/>
      <x:c r="T33" s="219"/>
      <x:c r="U33" s="219"/>
      <x:c r="V33" s="219"/>
      <x:c r="W33" s="219"/>
      <x:c r="X33" s="219"/>
      <x:c r="Y33" s="219"/>
      <x:c r="Z33" s="219"/>
      <x:c r="AA33" s="219"/>
      <x:c r="AB33" s="219"/>
      <x:c r="AC33" s="219"/>
      <x:c r="AD33" s="219"/>
      <x:c r="AE33" s="219"/>
      <x:c r="AF33" s="219"/>
      <x:c r="AG33" s="219"/>
      <x:c r="AH33" s="219"/>
      <x:c r="AI33" s="219"/>
      <x:c r="AJ33" s="219"/>
      <x:c r="AK33" s="220">
        <x:f>+COUNTIF(F33:AJ33,"X")+COUNTIF(F33:AJ33,"E")</x:f>
      </x:c>
      <x:c r="AL33" s="221">
        <x:f>+COUNTIF(F33:AJ33,"R")+COUNTIF(F33:AJ33,"T")+COUNTIF(F33:AJ33,"İ")</x:f>
      </x:c>
      <x:c r="AM33" s="221">
        <x:f>+COUNTIF(F33:AJ33,"İ")</x:f>
      </x:c>
      <x:c r="AN33" s="222"/>
      <x:c r="AO33" s="222"/>
      <x:c r="AP33" s="228"/>
      <x:c r="AQ33" s="228"/>
      <x:c r="AR33" s="228"/>
      <x:c r="AS33" s="228"/>
      <x:c r="AT33" s="230"/>
    </x:row>
    <x:row r="34" spans="1:47" ht="19.9" customHeight="1" x14ac:dyDescent="0.25">
      <x:c r="A34" s="215"/>
      <x:c r="B34" s="216">
        <x:v>29</x:v>
      </x:c>
      <x:c r="C34" s="217"/>
      <x:c r="D34" s="215"/>
      <x:c r="E34" s="218"/>
      <x:c r="F34" s="219"/>
      <x:c r="G34" s="219"/>
      <x:c r="H34" s="219"/>
      <x:c r="I34" s="219"/>
      <x:c r="J34" s="219"/>
      <x:c r="K34" s="219"/>
      <x:c r="L34" s="219"/>
      <x:c r="M34" s="219"/>
      <x:c r="N34" s="219"/>
      <x:c r="O34" s="219"/>
      <x:c r="P34" s="219"/>
      <x:c r="Q34" s="219"/>
      <x:c r="R34" s="219"/>
      <x:c r="S34" s="219"/>
      <x:c r="T34" s="219"/>
      <x:c r="U34" s="219"/>
      <x:c r="V34" s="219"/>
      <x:c r="W34" s="219"/>
      <x:c r="X34" s="219"/>
      <x:c r="Y34" s="219"/>
      <x:c r="Z34" s="219"/>
      <x:c r="AA34" s="219"/>
      <x:c r="AB34" s="219"/>
      <x:c r="AC34" s="219"/>
      <x:c r="AD34" s="219"/>
      <x:c r="AE34" s="219"/>
      <x:c r="AF34" s="219"/>
      <x:c r="AG34" s="219"/>
      <x:c r="AH34" s="219"/>
      <x:c r="AI34" s="219"/>
      <x:c r="AJ34" s="219"/>
      <x:c r="AK34" s="220">
        <x:f>+COUNTIF(F34:AJ34,"X")+COUNTIF(F34:AJ34,"E")</x:f>
      </x:c>
      <x:c r="AL34" s="221">
        <x:f>+COUNTIF(F34:AJ34,"R")+COUNTIF(F34:AJ34,"T")+COUNTIF(F34:AJ34,"İ")</x:f>
      </x:c>
      <x:c r="AM34" s="221">
        <x:f>+COUNTIF(F34:AJ34,"İ")</x:f>
      </x:c>
      <x:c r="AN34" s="222"/>
      <x:c r="AO34" s="222"/>
      <x:c r="AP34" s="228"/>
      <x:c r="AQ34" s="228"/>
      <x:c r="AR34" s="228"/>
      <x:c r="AS34" s="228"/>
      <x:c r="AT34" s="230"/>
    </x:row>
    <x:row r="35" spans="1:47" ht="19.9" customHeight="1" x14ac:dyDescent="0.25">
      <x:c r="A35" s="215"/>
      <x:c r="B35" s="216">
        <x:v>30</x:v>
      </x:c>
      <x:c r="C35" s="217"/>
      <x:c r="D35" s="215"/>
      <x:c r="E35" s="218"/>
      <x:c r="F35" s="219"/>
      <x:c r="G35" s="219"/>
      <x:c r="H35" s="219"/>
      <x:c r="I35" s="219"/>
      <x:c r="J35" s="219"/>
      <x:c r="K35" s="219"/>
      <x:c r="L35" s="219"/>
      <x:c r="M35" s="219"/>
      <x:c r="N35" s="219"/>
      <x:c r="O35" s="219"/>
      <x:c r="P35" s="219"/>
      <x:c r="Q35" s="219"/>
      <x:c r="R35" s="219"/>
      <x:c r="S35" s="219"/>
      <x:c r="T35" s="219"/>
      <x:c r="U35" s="219"/>
      <x:c r="V35" s="219"/>
      <x:c r="W35" s="219"/>
      <x:c r="X35" s="219"/>
      <x:c r="Y35" s="219"/>
      <x:c r="Z35" s="219"/>
      <x:c r="AA35" s="219"/>
      <x:c r="AB35" s="219"/>
      <x:c r="AC35" s="219"/>
      <x:c r="AD35" s="219"/>
      <x:c r="AE35" s="219"/>
      <x:c r="AF35" s="219"/>
      <x:c r="AG35" s="219"/>
      <x:c r="AH35" s="219"/>
      <x:c r="AI35" s="219"/>
      <x:c r="AJ35" s="219"/>
      <x:c r="AK35" s="220">
        <x:f>+COUNTIF(F35:AJ35,"X")+COUNTIF(F35:AJ35,"E")</x:f>
      </x:c>
      <x:c r="AL35" s="221">
        <x:f>+COUNTIF(F35:AJ35,"R")+COUNTIF(F35:AJ35,"T")+COUNTIF(F35:AJ35,"İ")</x:f>
      </x:c>
      <x:c r="AM35" s="221">
        <x:f>+COUNTIF(F35:AJ35,"İ")</x:f>
      </x:c>
      <x:c r="AN35" s="222"/>
      <x:c r="AO35" s="222"/>
      <x:c r="AP35" s="228"/>
      <x:c r="AQ35" s="228"/>
      <x:c r="AR35" s="228"/>
      <x:c r="AS35" s="228"/>
      <x:c r="AT35" s="230"/>
    </x:row>
    <x:row r="36" spans="1:47" ht="19.9" customHeight="1" x14ac:dyDescent="0.25">
      <x:c r="A36" s="215"/>
      <x:c r="B36" s="216">
        <x:v>31</x:v>
      </x:c>
      <x:c r="C36" s="217"/>
      <x:c r="D36" s="215"/>
      <x:c r="E36" s="218"/>
      <x:c r="F36" s="219"/>
      <x:c r="G36" s="219"/>
      <x:c r="H36" s="219"/>
      <x:c r="I36" s="219"/>
      <x:c r="J36" s="219"/>
      <x:c r="K36" s="219"/>
      <x:c r="L36" s="219"/>
      <x:c r="M36" s="219"/>
      <x:c r="N36" s="219"/>
      <x:c r="O36" s="219"/>
      <x:c r="P36" s="219"/>
      <x:c r="Q36" s="219"/>
      <x:c r="R36" s="219"/>
      <x:c r="S36" s="219"/>
      <x:c r="T36" s="219"/>
      <x:c r="U36" s="219"/>
      <x:c r="V36" s="219"/>
      <x:c r="W36" s="219"/>
      <x:c r="X36" s="219"/>
      <x:c r="Y36" s="219"/>
      <x:c r="Z36" s="219"/>
      <x:c r="AA36" s="219"/>
      <x:c r="AB36" s="219"/>
      <x:c r="AC36" s="219"/>
      <x:c r="AD36" s="219"/>
      <x:c r="AE36" s="219"/>
      <x:c r="AF36" s="219"/>
      <x:c r="AG36" s="219"/>
      <x:c r="AH36" s="219"/>
      <x:c r="AI36" s="219"/>
      <x:c r="AJ36" s="219"/>
      <x:c r="AK36" s="220">
        <x:f>+COUNTIF(F36:AJ36,"X")+COUNTIF(F36:AJ36,"E")</x:f>
      </x:c>
      <x:c r="AL36" s="221">
        <x:f>+COUNTIF(F36:AJ36,"R")+COUNTIF(F36:AJ36,"T")+COUNTIF(F36:AJ36,"İ")</x:f>
      </x:c>
      <x:c r="AM36" s="221">
        <x:f>+COUNTIF(F36:AJ36,"İ")</x:f>
      </x:c>
      <x:c r="AN36" s="222"/>
      <x:c r="AO36" s="222"/>
      <x:c r="AP36" s="228"/>
      <x:c r="AQ36" s="228"/>
      <x:c r="AR36" s="228"/>
      <x:c r="AS36" s="228"/>
      <x:c r="AT36" s="230"/>
    </x:row>
    <x:row r="37" spans="1:47" ht="19.9" customHeight="1" x14ac:dyDescent="0.25">
      <x:c r="A37" s="215"/>
      <x:c r="B37" s="216">
        <x:v>32</x:v>
      </x:c>
      <x:c r="C37" s="217"/>
      <x:c r="D37" s="215"/>
      <x:c r="E37" s="218"/>
      <x:c r="F37" s="219"/>
      <x:c r="G37" s="219"/>
      <x:c r="H37" s="219"/>
      <x:c r="I37" s="219"/>
      <x:c r="J37" s="219"/>
      <x:c r="K37" s="219"/>
      <x:c r="L37" s="219"/>
      <x:c r="M37" s="219"/>
      <x:c r="N37" s="219"/>
      <x:c r="O37" s="219"/>
      <x:c r="P37" s="219"/>
      <x:c r="Q37" s="219"/>
      <x:c r="R37" s="219"/>
      <x:c r="S37" s="219"/>
      <x:c r="T37" s="219"/>
      <x:c r="U37" s="219"/>
      <x:c r="V37" s="219"/>
      <x:c r="W37" s="219"/>
      <x:c r="X37" s="219"/>
      <x:c r="Y37" s="219"/>
      <x:c r="Z37" s="219"/>
      <x:c r="AA37" s="219"/>
      <x:c r="AB37" s="219"/>
      <x:c r="AC37" s="219"/>
      <x:c r="AD37" s="219"/>
      <x:c r="AE37" s="219"/>
      <x:c r="AF37" s="219"/>
      <x:c r="AG37" s="219"/>
      <x:c r="AH37" s="219"/>
      <x:c r="AI37" s="219"/>
      <x:c r="AJ37" s="219"/>
      <x:c r="AK37" s="220">
        <x:f>+COUNTIF(F37:AJ37,"X")+COUNTIF(F37:AJ37,"E")</x:f>
      </x:c>
      <x:c r="AL37" s="221">
        <x:f>+COUNTIF(F37:AJ37,"R")+COUNTIF(F37:AJ37,"T")+COUNTIF(F37:AJ37,"İ")</x:f>
      </x:c>
      <x:c r="AM37" s="221">
        <x:f>+COUNTIF(F37:AJ37,"İ")</x:f>
      </x:c>
      <x:c r="AN37" s="222"/>
      <x:c r="AO37" s="222"/>
      <x:c r="AP37" s="228"/>
      <x:c r="AQ37" s="228"/>
      <x:c r="AR37" s="228"/>
      <x:c r="AS37" s="228"/>
      <x:c r="AT37" s="230"/>
    </x:row>
    <x:row r="38" spans="1:47" ht="19.9" customHeight="1" x14ac:dyDescent="0.25">
      <x:c r="A38" s="215"/>
      <x:c r="B38" s="216">
        <x:v>33</x:v>
      </x:c>
      <x:c r="C38" s="217"/>
      <x:c r="D38" s="215"/>
      <x:c r="E38" s="218"/>
      <x:c r="F38" s="219"/>
      <x:c r="G38" s="219"/>
      <x:c r="H38" s="219"/>
      <x:c r="I38" s="219"/>
      <x:c r="J38" s="219"/>
      <x:c r="K38" s="219"/>
      <x:c r="L38" s="219"/>
      <x:c r="M38" s="219"/>
      <x:c r="N38" s="219"/>
      <x:c r="O38" s="219"/>
      <x:c r="P38" s="219"/>
      <x:c r="Q38" s="219"/>
      <x:c r="R38" s="219"/>
      <x:c r="S38" s="219"/>
      <x:c r="T38" s="219"/>
      <x:c r="U38" s="219"/>
      <x:c r="V38" s="219"/>
      <x:c r="W38" s="219"/>
      <x:c r="X38" s="219"/>
      <x:c r="Y38" s="219"/>
      <x:c r="Z38" s="219"/>
      <x:c r="AA38" s="219"/>
      <x:c r="AB38" s="219"/>
      <x:c r="AC38" s="219"/>
      <x:c r="AD38" s="219"/>
      <x:c r="AE38" s="219"/>
      <x:c r="AF38" s="219"/>
      <x:c r="AG38" s="219"/>
      <x:c r="AH38" s="219"/>
      <x:c r="AI38" s="219"/>
      <x:c r="AJ38" s="219"/>
      <x:c r="AK38" s="220">
        <x:f>+COUNTIF(F38:AJ38,"X")+COUNTIF(F38:AJ38,"E")</x:f>
      </x:c>
      <x:c r="AL38" s="221">
        <x:f>+COUNTIF(F38:AJ38,"R")+COUNTIF(F38:AJ38,"T")+COUNTIF(F38:AJ38,"İ")</x:f>
      </x:c>
      <x:c r="AM38" s="221">
        <x:f>+COUNTIF(F38:AJ38,"İ")</x:f>
      </x:c>
      <x:c r="AN38" s="222"/>
      <x:c r="AO38" s="222"/>
      <x:c r="AP38" s="228"/>
      <x:c r="AQ38" s="228"/>
      <x:c r="AR38" s="228"/>
      <x:c r="AS38" s="228"/>
      <x:c r="AT38" s="230"/>
    </x:row>
    <x:row r="39" spans="1:47" ht="19.9" customHeight="1" x14ac:dyDescent="0.25">
      <x:c r="A39" s="215"/>
      <x:c r="B39" s="216">
        <x:v>34</x:v>
      </x:c>
      <x:c r="C39" s="217"/>
      <x:c r="D39" s="215"/>
      <x:c r="E39" s="218"/>
      <x:c r="F39" s="219"/>
      <x:c r="G39" s="219"/>
      <x:c r="H39" s="219"/>
      <x:c r="I39" s="219"/>
      <x:c r="J39" s="219"/>
      <x:c r="K39" s="219"/>
      <x:c r="L39" s="219"/>
      <x:c r="M39" s="219"/>
      <x:c r="N39" s="219"/>
      <x:c r="O39" s="219"/>
      <x:c r="P39" s="219"/>
      <x:c r="Q39" s="219"/>
      <x:c r="R39" s="219"/>
      <x:c r="S39" s="219"/>
      <x:c r="T39" s="219"/>
      <x:c r="U39" s="219"/>
      <x:c r="V39" s="219"/>
      <x:c r="W39" s="219"/>
      <x:c r="X39" s="219"/>
      <x:c r="Y39" s="219"/>
      <x:c r="Z39" s="219"/>
      <x:c r="AA39" s="219"/>
      <x:c r="AB39" s="219"/>
      <x:c r="AC39" s="219"/>
      <x:c r="AD39" s="219"/>
      <x:c r="AE39" s="219"/>
      <x:c r="AF39" s="219"/>
      <x:c r="AG39" s="219"/>
      <x:c r="AH39" s="219"/>
      <x:c r="AI39" s="219"/>
      <x:c r="AJ39" s="219"/>
      <x:c r="AK39" s="220">
        <x:f>+COUNTIF(F39:AJ39,"X")+COUNTIF(F39:AJ39,"E")</x:f>
      </x:c>
      <x:c r="AL39" s="221">
        <x:f>+COUNTIF(F39:AJ39,"R")+COUNTIF(F39:AJ39,"T")+COUNTIF(F39:AJ39,"İ")</x:f>
      </x:c>
      <x:c r="AM39" s="221">
        <x:f>+COUNTIF(F39:AJ39,"İ")</x:f>
      </x:c>
      <x:c r="AN39" s="222"/>
      <x:c r="AO39" s="222"/>
      <x:c r="AP39" s="228"/>
      <x:c r="AQ39" s="228"/>
      <x:c r="AR39" s="228"/>
      <x:c r="AS39" s="228"/>
      <x:c r="AT39" s="230"/>
    </x:row>
    <x:row r="40" spans="1:47" ht="19.9" customHeight="1" x14ac:dyDescent="0.25">
      <x:c r="A40" s="215"/>
      <x:c r="B40" s="216">
        <x:v>35</x:v>
      </x:c>
      <x:c r="C40" s="217"/>
      <x:c r="D40" s="215"/>
      <x:c r="E40" s="218"/>
      <x:c r="F40" s="219"/>
      <x:c r="G40" s="219"/>
      <x:c r="H40" s="219"/>
      <x:c r="I40" s="219"/>
      <x:c r="J40" s="219"/>
      <x:c r="K40" s="219"/>
      <x:c r="L40" s="219"/>
      <x:c r="M40" s="219"/>
      <x:c r="N40" s="219"/>
      <x:c r="O40" s="219"/>
      <x:c r="P40" s="219"/>
      <x:c r="Q40" s="219"/>
      <x:c r="R40" s="219"/>
      <x:c r="S40" s="219"/>
      <x:c r="T40" s="219"/>
      <x:c r="U40" s="219"/>
      <x:c r="V40" s="219"/>
      <x:c r="W40" s="219"/>
      <x:c r="X40" s="219"/>
      <x:c r="Y40" s="219"/>
      <x:c r="Z40" s="219"/>
      <x:c r="AA40" s="219"/>
      <x:c r="AB40" s="219"/>
      <x:c r="AC40" s="219"/>
      <x:c r="AD40" s="219"/>
      <x:c r="AE40" s="219"/>
      <x:c r="AF40" s="219"/>
      <x:c r="AG40" s="219"/>
      <x:c r="AH40" s="219"/>
      <x:c r="AI40" s="219"/>
      <x:c r="AJ40" s="219"/>
      <x:c r="AK40" s="220">
        <x:f>+COUNTIF(F40:AJ40,"X")+COUNTIF(F40:AJ40,"E")</x:f>
      </x:c>
      <x:c r="AL40" s="221">
        <x:f>+COUNTIF(F40:AJ40,"R")+COUNTIF(F40:AJ40,"T")+COUNTIF(F40:AJ40,"İ")</x:f>
      </x:c>
      <x:c r="AM40" s="221">
        <x:f>+COUNTIF(F40:AJ40,"İ")</x:f>
      </x:c>
      <x:c r="AN40" s="222"/>
      <x:c r="AO40" s="222"/>
      <x:c r="AP40" s="228"/>
      <x:c r="AQ40" s="228"/>
      <x:c r="AR40" s="228"/>
      <x:c r="AS40" s="228"/>
      <x:c r="AT40" s="230"/>
    </x:row>
    <x:row r="41" spans="1:47" ht="19.9" customHeight="1" x14ac:dyDescent="0.25">
      <x:c r="A41" s="215"/>
      <x:c r="B41" s="216">
        <x:v>36</x:v>
      </x:c>
      <x:c r="C41" s="217"/>
      <x:c r="D41" s="215"/>
      <x:c r="E41" s="218"/>
      <x:c r="F41" s="219"/>
      <x:c r="G41" s="219"/>
      <x:c r="H41" s="219"/>
      <x:c r="I41" s="219"/>
      <x:c r="J41" s="219"/>
      <x:c r="K41" s="219"/>
      <x:c r="L41" s="219"/>
      <x:c r="M41" s="219"/>
      <x:c r="N41" s="219"/>
      <x:c r="O41" s="219"/>
      <x:c r="P41" s="219"/>
      <x:c r="Q41" s="219"/>
      <x:c r="R41" s="219"/>
      <x:c r="S41" s="219"/>
      <x:c r="T41" s="219"/>
      <x:c r="U41" s="219"/>
      <x:c r="V41" s="219"/>
      <x:c r="W41" s="219"/>
      <x:c r="X41" s="219"/>
      <x:c r="Y41" s="219"/>
      <x:c r="Z41" s="219"/>
      <x:c r="AA41" s="219"/>
      <x:c r="AB41" s="219"/>
      <x:c r="AC41" s="219"/>
      <x:c r="AD41" s="219"/>
      <x:c r="AE41" s="219"/>
      <x:c r="AF41" s="219"/>
      <x:c r="AG41" s="219"/>
      <x:c r="AH41" s="219"/>
      <x:c r="AI41" s="219"/>
      <x:c r="AJ41" s="219"/>
      <x:c r="AK41" s="220">
        <x:f>+COUNTIF(F41:AJ41,"X")+COUNTIF(F41:AJ41,"E")</x:f>
      </x:c>
      <x:c r="AL41" s="221">
        <x:f>+COUNTIF(F41:AJ41,"R")+COUNTIF(F41:AJ41,"T")+COUNTIF(F41:AJ41,"İ")</x:f>
      </x:c>
      <x:c r="AM41" s="221">
        <x:f>+COUNTIF(F41:AJ41,"İ")</x:f>
      </x:c>
      <x:c r="AN41" s="222"/>
      <x:c r="AO41" s="222"/>
      <x:c r="AP41" s="228"/>
      <x:c r="AQ41" s="228"/>
      <x:c r="AR41" s="228"/>
      <x:c r="AS41" s="228"/>
      <x:c r="AT41" s="230"/>
    </x:row>
    <x:row r="42" spans="1:47" ht="19.9" customHeight="1" x14ac:dyDescent="0.25">
      <x:c r="A42" s="215"/>
      <x:c r="B42" s="216">
        <x:v>37</x:v>
      </x:c>
      <x:c r="C42" s="217"/>
      <x:c r="D42" s="215"/>
      <x:c r="E42" s="218"/>
      <x:c r="F42" s="219"/>
      <x:c r="G42" s="219"/>
      <x:c r="H42" s="219"/>
      <x:c r="I42" s="219"/>
      <x:c r="J42" s="219"/>
      <x:c r="K42" s="219"/>
      <x:c r="L42" s="219"/>
      <x:c r="M42" s="219"/>
      <x:c r="N42" s="219"/>
      <x:c r="O42" s="219"/>
      <x:c r="P42" s="219"/>
      <x:c r="Q42" s="219"/>
      <x:c r="R42" s="219"/>
      <x:c r="S42" s="219"/>
      <x:c r="T42" s="219"/>
      <x:c r="U42" s="219"/>
      <x:c r="V42" s="219"/>
      <x:c r="W42" s="219"/>
      <x:c r="X42" s="219"/>
      <x:c r="Y42" s="219"/>
      <x:c r="Z42" s="219"/>
      <x:c r="AA42" s="219"/>
      <x:c r="AB42" s="219"/>
      <x:c r="AC42" s="219"/>
      <x:c r="AD42" s="219"/>
      <x:c r="AE42" s="219"/>
      <x:c r="AF42" s="219"/>
      <x:c r="AG42" s="219"/>
      <x:c r="AH42" s="219"/>
      <x:c r="AI42" s="219"/>
      <x:c r="AJ42" s="219"/>
      <x:c r="AK42" s="220">
        <x:f>+COUNTIF(F42:AJ42,"X")+COUNTIF(F42:AJ42,"E")</x:f>
      </x:c>
      <x:c r="AL42" s="221">
        <x:f>+COUNTIF(F42:AJ42,"R")+COUNTIF(F42:AJ42,"T")+COUNTIF(F42:AJ42,"İ")</x:f>
      </x:c>
      <x:c r="AM42" s="221">
        <x:f>+COUNTIF(F42:AJ42,"İ")</x:f>
      </x:c>
      <x:c r="AN42" s="222"/>
      <x:c r="AO42" s="222"/>
      <x:c r="AP42" s="228"/>
      <x:c r="AQ42" s="228"/>
      <x:c r="AR42" s="228"/>
      <x:c r="AS42" s="228"/>
      <x:c r="AT42" s="230"/>
    </x:row>
    <x:row r="43" spans="1:47" ht="19.9" customHeight="1" x14ac:dyDescent="0.25">
      <x:c r="A43" s="215"/>
      <x:c r="B43" s="216">
        <x:v>38</x:v>
      </x:c>
      <x:c r="C43" s="217"/>
      <x:c r="D43" s="215"/>
      <x:c r="E43" s="218"/>
      <x:c r="F43" s="219"/>
      <x:c r="G43" s="219"/>
      <x:c r="H43" s="219"/>
      <x:c r="I43" s="219"/>
      <x:c r="J43" s="219"/>
      <x:c r="K43" s="219"/>
      <x:c r="L43" s="219"/>
      <x:c r="M43" s="219"/>
      <x:c r="N43" s="219"/>
      <x:c r="O43" s="219"/>
      <x:c r="P43" s="219"/>
      <x:c r="Q43" s="219"/>
      <x:c r="R43" s="219"/>
      <x:c r="S43" s="219"/>
      <x:c r="T43" s="219"/>
      <x:c r="U43" s="219"/>
      <x:c r="V43" s="219"/>
      <x:c r="W43" s="219"/>
      <x:c r="X43" s="219"/>
      <x:c r="Y43" s="219"/>
      <x:c r="Z43" s="219"/>
      <x:c r="AA43" s="219"/>
      <x:c r="AB43" s="219"/>
      <x:c r="AC43" s="219"/>
      <x:c r="AD43" s="219"/>
      <x:c r="AE43" s="219"/>
      <x:c r="AF43" s="219"/>
      <x:c r="AG43" s="219"/>
      <x:c r="AH43" s="219"/>
      <x:c r="AI43" s="219"/>
      <x:c r="AJ43" s="219"/>
      <x:c r="AK43" s="220">
        <x:f>+COUNTIF(F43:AJ43,"X")+COUNTIF(F43:AJ43,"E")</x:f>
      </x:c>
      <x:c r="AL43" s="221">
        <x:f>+COUNTIF(F43:AJ43,"R")+COUNTIF(F43:AJ43,"T")+COUNTIF(F43:AJ43,"İ")</x:f>
      </x:c>
      <x:c r="AM43" s="221">
        <x:f>+COUNTIF(F43:AJ43,"İ")</x:f>
      </x:c>
      <x:c r="AN43" s="222"/>
      <x:c r="AO43" s="222"/>
      <x:c r="AP43" s="228"/>
      <x:c r="AQ43" s="228"/>
      <x:c r="AR43" s="228"/>
      <x:c r="AS43" s="228"/>
      <x:c r="AT43" s="230"/>
    </x:row>
    <x:row r="44" spans="1:47" ht="19.9" customHeight="1" x14ac:dyDescent="0.25">
      <x:c r="A44" s="215"/>
      <x:c r="B44" s="216">
        <x:v>39</x:v>
      </x:c>
      <x:c r="C44" s="217"/>
      <x:c r="D44" s="215"/>
      <x:c r="E44" s="218"/>
      <x:c r="F44" s="219"/>
      <x:c r="G44" s="219"/>
      <x:c r="H44" s="219"/>
      <x:c r="I44" s="219"/>
      <x:c r="J44" s="219"/>
      <x:c r="K44" s="219"/>
      <x:c r="L44" s="219"/>
      <x:c r="M44" s="219"/>
      <x:c r="N44" s="219"/>
      <x:c r="O44" s="219"/>
      <x:c r="P44" s="219"/>
      <x:c r="Q44" s="219"/>
      <x:c r="R44" s="219"/>
      <x:c r="S44" s="219"/>
      <x:c r="T44" s="219"/>
      <x:c r="U44" s="219"/>
      <x:c r="V44" s="219"/>
      <x:c r="W44" s="219"/>
      <x:c r="X44" s="219"/>
      <x:c r="Y44" s="219"/>
      <x:c r="Z44" s="219"/>
      <x:c r="AA44" s="219"/>
      <x:c r="AB44" s="219"/>
      <x:c r="AC44" s="219"/>
      <x:c r="AD44" s="219"/>
      <x:c r="AE44" s="219"/>
      <x:c r="AF44" s="219"/>
      <x:c r="AG44" s="219"/>
      <x:c r="AH44" s="219"/>
      <x:c r="AI44" s="219"/>
      <x:c r="AJ44" s="219"/>
      <x:c r="AK44" s="220">
        <x:f>+COUNTIF(F44:AJ44,"X")+COUNTIF(F44:AJ44,"E")</x:f>
      </x:c>
      <x:c r="AL44" s="221">
        <x:f>+COUNTIF(F44:AJ44,"R")+COUNTIF(F44:AJ44,"T")+COUNTIF(F44:AJ44,"İ")</x:f>
      </x:c>
      <x:c r="AM44" s="221">
        <x:f>+COUNTIF(F44:AJ44,"İ")</x:f>
      </x:c>
      <x:c r="AN44" s="222"/>
      <x:c r="AO44" s="222"/>
      <x:c r="AP44" s="228"/>
      <x:c r="AQ44" s="228"/>
      <x:c r="AR44" s="228"/>
      <x:c r="AS44" s="228"/>
      <x:c r="AT44" s="230"/>
    </x:row>
    <x:row r="45" spans="1:47" ht="19.9" customHeight="1" x14ac:dyDescent="0.25">
      <x:c r="A45" s="215"/>
      <x:c r="B45" s="216">
        <x:v>40</x:v>
      </x:c>
      <x:c r="C45" s="217"/>
      <x:c r="D45" s="215"/>
      <x:c r="E45" s="218"/>
      <x:c r="F45" s="219"/>
      <x:c r="G45" s="219"/>
      <x:c r="H45" s="219"/>
      <x:c r="I45" s="219"/>
      <x:c r="J45" s="219"/>
      <x:c r="K45" s="219"/>
      <x:c r="L45" s="219"/>
      <x:c r="M45" s="219"/>
      <x:c r="N45" s="219"/>
      <x:c r="O45" s="219"/>
      <x:c r="P45" s="219"/>
      <x:c r="Q45" s="219"/>
      <x:c r="R45" s="219"/>
      <x:c r="S45" s="219"/>
      <x:c r="T45" s="219"/>
      <x:c r="U45" s="219"/>
      <x:c r="V45" s="219"/>
      <x:c r="W45" s="219"/>
      <x:c r="X45" s="219"/>
      <x:c r="Y45" s="219"/>
      <x:c r="Z45" s="219"/>
      <x:c r="AA45" s="219"/>
      <x:c r="AB45" s="219"/>
      <x:c r="AC45" s="219"/>
      <x:c r="AD45" s="219"/>
      <x:c r="AE45" s="219"/>
      <x:c r="AF45" s="219"/>
      <x:c r="AG45" s="219"/>
      <x:c r="AH45" s="219"/>
      <x:c r="AI45" s="219"/>
      <x:c r="AJ45" s="219"/>
      <x:c r="AK45" s="220">
        <x:f>+COUNTIF(F45:AJ45,"X")+COUNTIF(F45:AJ45,"E")</x:f>
      </x:c>
      <x:c r="AL45" s="221">
        <x:f>+COUNTIF(F45:AJ45,"R")+COUNTIF(F45:AJ45,"T")+COUNTIF(F45:AJ45,"İ")</x:f>
      </x:c>
      <x:c r="AM45" s="221">
        <x:f>+COUNTIF(F45:AJ45,"İ")</x:f>
      </x:c>
      <x:c r="AN45" s="222"/>
      <x:c r="AO45" s="222"/>
      <x:c r="AP45" s="228"/>
      <x:c r="AQ45" s="228"/>
      <x:c r="AR45" s="228"/>
      <x:c r="AS45" s="228"/>
      <x:c r="AT45" s="230"/>
    </x:row>
    <x:row r="46" spans="1:47" ht="19.9" customHeight="1" x14ac:dyDescent="0.25">
      <x:c r="A46" s="215"/>
      <x:c r="B46" s="216">
        <x:v>41</x:v>
      </x:c>
      <x:c r="C46" s="217"/>
      <x:c r="D46" s="215"/>
      <x:c r="E46" s="218"/>
      <x:c r="F46" s="219"/>
      <x:c r="G46" s="219"/>
      <x:c r="H46" s="219"/>
      <x:c r="I46" s="219"/>
      <x:c r="J46" s="219"/>
      <x:c r="K46" s="219"/>
      <x:c r="L46" s="219"/>
      <x:c r="M46" s="219"/>
      <x:c r="N46" s="219"/>
      <x:c r="O46" s="219"/>
      <x:c r="P46" s="219"/>
      <x:c r="Q46" s="219"/>
      <x:c r="R46" s="219"/>
      <x:c r="S46" s="219"/>
      <x:c r="T46" s="219"/>
      <x:c r="U46" s="219"/>
      <x:c r="V46" s="219"/>
      <x:c r="W46" s="219"/>
      <x:c r="X46" s="219"/>
      <x:c r="Y46" s="219"/>
      <x:c r="Z46" s="219"/>
      <x:c r="AA46" s="219"/>
      <x:c r="AB46" s="219"/>
      <x:c r="AC46" s="219"/>
      <x:c r="AD46" s="219"/>
      <x:c r="AE46" s="219"/>
      <x:c r="AF46" s="219"/>
      <x:c r="AG46" s="219"/>
      <x:c r="AH46" s="219"/>
      <x:c r="AI46" s="219"/>
      <x:c r="AJ46" s="219"/>
      <x:c r="AK46" s="220">
        <x:f>+COUNTIF(F46:AJ46,"X")+COUNTIF(F46:AJ46,"E")</x:f>
      </x:c>
      <x:c r="AL46" s="221">
        <x:f>+COUNTIF(F46:AJ46,"R")+COUNTIF(F46:AJ46,"T")+COUNTIF(F46:AJ46,"İ")</x:f>
      </x:c>
      <x:c r="AM46" s="221">
        <x:f>+COUNTIF(F46:AJ46,"İ")</x:f>
      </x:c>
      <x:c r="AN46" s="222"/>
      <x:c r="AO46" s="222"/>
      <x:c r="AP46" s="228"/>
      <x:c r="AQ46" s="228"/>
      <x:c r="AR46" s="228"/>
      <x:c r="AS46" s="228"/>
      <x:c r="AT46" s="230"/>
    </x:row>
    <x:row r="47" spans="1:47" ht="19.9" customHeight="1" x14ac:dyDescent="0.25">
      <x:c r="A47" s="215"/>
      <x:c r="B47" s="216">
        <x:v>42</x:v>
      </x:c>
      <x:c r="C47" s="217"/>
      <x:c r="D47" s="215"/>
      <x:c r="E47" s="218"/>
      <x:c r="F47" s="219"/>
      <x:c r="G47" s="219"/>
      <x:c r="H47" s="219"/>
      <x:c r="I47" s="219"/>
      <x:c r="J47" s="219"/>
      <x:c r="K47" s="219"/>
      <x:c r="L47" s="219"/>
      <x:c r="M47" s="219"/>
      <x:c r="N47" s="219"/>
      <x:c r="O47" s="219"/>
      <x:c r="P47" s="219"/>
      <x:c r="Q47" s="219"/>
      <x:c r="R47" s="219"/>
      <x:c r="S47" s="219"/>
      <x:c r="T47" s="219"/>
      <x:c r="U47" s="219"/>
      <x:c r="V47" s="219"/>
      <x:c r="W47" s="219"/>
      <x:c r="X47" s="219"/>
      <x:c r="Y47" s="219"/>
      <x:c r="Z47" s="219"/>
      <x:c r="AA47" s="219"/>
      <x:c r="AB47" s="219"/>
      <x:c r="AC47" s="219"/>
      <x:c r="AD47" s="219"/>
      <x:c r="AE47" s="219"/>
      <x:c r="AF47" s="219"/>
      <x:c r="AG47" s="219"/>
      <x:c r="AH47" s="219"/>
      <x:c r="AI47" s="219"/>
      <x:c r="AJ47" s="219"/>
      <x:c r="AK47" s="220">
        <x:f>+COUNTIF(F47:AJ47,"X")+COUNTIF(F47:AJ47,"E")</x:f>
      </x:c>
      <x:c r="AL47" s="221">
        <x:f>+COUNTIF(F47:AJ47,"R")+COUNTIF(F47:AJ47,"T")+COUNTIF(F47:AJ47,"İ")</x:f>
      </x:c>
      <x:c r="AM47" s="221">
        <x:f>+COUNTIF(F47:AJ47,"İ")</x:f>
      </x:c>
      <x:c r="AN47" s="222"/>
      <x:c r="AO47" s="222"/>
      <x:c r="AP47" s="228"/>
      <x:c r="AQ47" s="228"/>
      <x:c r="AR47" s="228"/>
      <x:c r="AS47" s="228"/>
      <x:c r="AT47" s="230"/>
    </x:row>
    <x:row r="48" spans="1:47" ht="19.9" customHeight="1" x14ac:dyDescent="0.25">
      <x:c r="A48" s="215"/>
      <x:c r="B48" s="216">
        <x:v>43</x:v>
      </x:c>
      <x:c r="C48" s="217"/>
      <x:c r="D48" s="215"/>
      <x:c r="E48" s="218"/>
      <x:c r="F48" s="219"/>
      <x:c r="G48" s="219"/>
      <x:c r="H48" s="219"/>
      <x:c r="I48" s="219"/>
      <x:c r="J48" s="219"/>
      <x:c r="K48" s="219"/>
      <x:c r="L48" s="219"/>
      <x:c r="M48" s="219"/>
      <x:c r="N48" s="219"/>
      <x:c r="O48" s="219"/>
      <x:c r="P48" s="219"/>
      <x:c r="Q48" s="219"/>
      <x:c r="R48" s="219"/>
      <x:c r="S48" s="219"/>
      <x:c r="T48" s="219"/>
      <x:c r="U48" s="219"/>
      <x:c r="V48" s="219"/>
      <x:c r="W48" s="219"/>
      <x:c r="X48" s="219"/>
      <x:c r="Y48" s="219"/>
      <x:c r="Z48" s="219"/>
      <x:c r="AA48" s="219"/>
      <x:c r="AB48" s="219"/>
      <x:c r="AC48" s="219"/>
      <x:c r="AD48" s="219"/>
      <x:c r="AE48" s="219"/>
      <x:c r="AF48" s="219"/>
      <x:c r="AG48" s="219"/>
      <x:c r="AH48" s="219"/>
      <x:c r="AI48" s="219"/>
      <x:c r="AJ48" s="219"/>
      <x:c r="AK48" s="220">
        <x:f>+COUNTIF(F48:AJ48,"X")+COUNTIF(F48:AJ48,"E")</x:f>
      </x:c>
      <x:c r="AL48" s="221">
        <x:f>+COUNTIF(F48:AJ48,"R")+COUNTIF(F48:AJ48,"T")+COUNTIF(F48:AJ48,"İ")</x:f>
      </x:c>
      <x:c r="AM48" s="221">
        <x:f>+COUNTIF(F48:AJ48,"İ")</x:f>
      </x:c>
      <x:c r="AN48" s="222"/>
      <x:c r="AO48" s="222"/>
      <x:c r="AP48" s="228"/>
      <x:c r="AQ48" s="228"/>
      <x:c r="AR48" s="228"/>
      <x:c r="AS48" s="228"/>
      <x:c r="AT48" s="230"/>
    </x:row>
    <x:row r="49" spans="1:47" ht="19.9" customHeight="1" x14ac:dyDescent="0.25">
      <x:c r="A49" s="215"/>
      <x:c r="B49" s="216">
        <x:v>44</x:v>
      </x:c>
      <x:c r="C49" s="217"/>
      <x:c r="D49" s="215"/>
      <x:c r="E49" s="218"/>
      <x:c r="F49" s="219"/>
      <x:c r="G49" s="219"/>
      <x:c r="H49" s="219"/>
      <x:c r="I49" s="219"/>
      <x:c r="J49" s="219"/>
      <x:c r="K49" s="219"/>
      <x:c r="L49" s="219"/>
      <x:c r="M49" s="219"/>
      <x:c r="N49" s="219"/>
      <x:c r="O49" s="219"/>
      <x:c r="P49" s="219"/>
      <x:c r="Q49" s="219"/>
      <x:c r="R49" s="219"/>
      <x:c r="S49" s="219"/>
      <x:c r="T49" s="219"/>
      <x:c r="U49" s="219"/>
      <x:c r="V49" s="219"/>
      <x:c r="W49" s="219"/>
      <x:c r="X49" s="219"/>
      <x:c r="Y49" s="219"/>
      <x:c r="Z49" s="219"/>
      <x:c r="AA49" s="219"/>
      <x:c r="AB49" s="219"/>
      <x:c r="AC49" s="219"/>
      <x:c r="AD49" s="219"/>
      <x:c r="AE49" s="219"/>
      <x:c r="AF49" s="219"/>
      <x:c r="AG49" s="219"/>
      <x:c r="AH49" s="219"/>
      <x:c r="AI49" s="219"/>
      <x:c r="AJ49" s="219"/>
      <x:c r="AK49" s="220">
        <x:f>+COUNTIF(F49:AJ49,"X")+COUNTIF(F49:AJ49,"E")</x:f>
      </x:c>
      <x:c r="AL49" s="221">
        <x:f>+COUNTIF(F49:AJ49,"R")+COUNTIF(F49:AJ49,"T")+COUNTIF(F49:AJ49,"İ")</x:f>
      </x:c>
      <x:c r="AM49" s="221">
        <x:f>+COUNTIF(F49:AJ49,"İ")</x:f>
      </x:c>
      <x:c r="AN49" s="222"/>
      <x:c r="AO49" s="222"/>
      <x:c r="AP49" s="228"/>
      <x:c r="AQ49" s="228"/>
      <x:c r="AR49" s="228"/>
      <x:c r="AS49" s="228"/>
      <x:c r="AT49" s="230"/>
    </x:row>
    <x:row r="50" spans="1:47" ht="19.9" customHeight="1" x14ac:dyDescent="0.25">
      <x:c r="A50" s="215"/>
      <x:c r="B50" s="216">
        <x:v>45</x:v>
      </x:c>
      <x:c r="C50" s="217"/>
      <x:c r="D50" s="215"/>
      <x:c r="E50" s="218"/>
      <x:c r="F50" s="219"/>
      <x:c r="G50" s="219"/>
      <x:c r="H50" s="219"/>
      <x:c r="I50" s="219"/>
      <x:c r="J50" s="219"/>
      <x:c r="K50" s="219"/>
      <x:c r="L50" s="219"/>
      <x:c r="M50" s="219"/>
      <x:c r="N50" s="219"/>
      <x:c r="O50" s="219"/>
      <x:c r="P50" s="219"/>
      <x:c r="Q50" s="219"/>
      <x:c r="R50" s="219"/>
      <x:c r="S50" s="219"/>
      <x:c r="T50" s="219"/>
      <x:c r="U50" s="219"/>
      <x:c r="V50" s="219"/>
      <x:c r="W50" s="219"/>
      <x:c r="X50" s="219"/>
      <x:c r="Y50" s="219"/>
      <x:c r="Z50" s="219"/>
      <x:c r="AA50" s="219"/>
      <x:c r="AB50" s="219"/>
      <x:c r="AC50" s="219"/>
      <x:c r="AD50" s="219"/>
      <x:c r="AE50" s="219"/>
      <x:c r="AF50" s="219"/>
      <x:c r="AG50" s="219"/>
      <x:c r="AH50" s="219"/>
      <x:c r="AI50" s="219"/>
      <x:c r="AJ50" s="219"/>
      <x:c r="AK50" s="220">
        <x:f>+COUNTIF(F50:AJ50,"X")+COUNTIF(F50:AJ50,"E")</x:f>
      </x:c>
      <x:c r="AL50" s="221">
        <x:f>+COUNTIF(F50:AJ50,"R")+COUNTIF(F50:AJ50,"T")+COUNTIF(F50:AJ50,"İ")</x:f>
      </x:c>
      <x:c r="AM50" s="221">
        <x:f>+COUNTIF(F50:AJ50,"İ")</x:f>
      </x:c>
      <x:c r="AN50" s="222"/>
      <x:c r="AO50" s="222"/>
      <x:c r="AP50" s="228"/>
      <x:c r="AQ50" s="228"/>
      <x:c r="AR50" s="228"/>
      <x:c r="AS50" s="228"/>
      <x:c r="AT50" s="230"/>
    </x:row>
    <x:row r="51" spans="1:47" ht="19.9" customHeight="1" x14ac:dyDescent="0.25">
      <x:c r="A51" s="215"/>
      <x:c r="B51" s="216">
        <x:v>46</x:v>
      </x:c>
      <x:c r="C51" s="217"/>
      <x:c r="D51" s="215"/>
      <x:c r="E51" s="218"/>
      <x:c r="F51" s="219"/>
      <x:c r="G51" s="219"/>
      <x:c r="H51" s="219"/>
      <x:c r="I51" s="219"/>
      <x:c r="J51" s="219"/>
      <x:c r="K51" s="219"/>
      <x:c r="L51" s="219"/>
      <x:c r="M51" s="219"/>
      <x:c r="N51" s="219"/>
      <x:c r="O51" s="219"/>
      <x:c r="P51" s="219"/>
      <x:c r="Q51" s="219"/>
      <x:c r="R51" s="219"/>
      <x:c r="S51" s="219"/>
      <x:c r="T51" s="219"/>
      <x:c r="U51" s="219"/>
      <x:c r="V51" s="219"/>
      <x:c r="W51" s="219"/>
      <x:c r="X51" s="219"/>
      <x:c r="Y51" s="219"/>
      <x:c r="Z51" s="219"/>
      <x:c r="AA51" s="219"/>
      <x:c r="AB51" s="219"/>
      <x:c r="AC51" s="219"/>
      <x:c r="AD51" s="219"/>
      <x:c r="AE51" s="219"/>
      <x:c r="AF51" s="219"/>
      <x:c r="AG51" s="219"/>
      <x:c r="AH51" s="219"/>
      <x:c r="AI51" s="219"/>
      <x:c r="AJ51" s="219"/>
      <x:c r="AK51" s="220">
        <x:f>+COUNTIF(F51:AJ51,"X")+COUNTIF(F51:AJ51,"E")</x:f>
      </x:c>
      <x:c r="AL51" s="221">
        <x:f>+COUNTIF(F51:AJ51,"R")+COUNTIF(F51:AJ51,"T")+COUNTIF(F51:AJ51,"İ")</x:f>
      </x:c>
      <x:c r="AM51" s="221">
        <x:f>+COUNTIF(F51:AJ51,"İ")</x:f>
      </x:c>
      <x:c r="AN51" s="222"/>
      <x:c r="AO51" s="222"/>
      <x:c r="AP51" s="228"/>
      <x:c r="AQ51" s="228"/>
      <x:c r="AR51" s="228"/>
      <x:c r="AS51" s="228"/>
      <x:c r="AT51" s="230"/>
    </x:row>
    <x:row r="52" spans="1:47" ht="19.9" customHeight="1" x14ac:dyDescent="0.25">
      <x:c r="A52" s="215"/>
      <x:c r="B52" s="216">
        <x:v>47</x:v>
      </x:c>
      <x:c r="C52" s="217"/>
      <x:c r="D52" s="215"/>
      <x:c r="E52" s="218"/>
      <x:c r="F52" s="219"/>
      <x:c r="G52" s="219"/>
      <x:c r="H52" s="219"/>
      <x:c r="I52" s="219"/>
      <x:c r="J52" s="219"/>
      <x:c r="K52" s="219"/>
      <x:c r="L52" s="219"/>
      <x:c r="M52" s="219"/>
      <x:c r="N52" s="219"/>
      <x:c r="O52" s="219"/>
      <x:c r="P52" s="219"/>
      <x:c r="Q52" s="219"/>
      <x:c r="R52" s="219"/>
      <x:c r="S52" s="219"/>
      <x:c r="T52" s="219"/>
      <x:c r="U52" s="219"/>
      <x:c r="V52" s="219"/>
      <x:c r="W52" s="219"/>
      <x:c r="X52" s="219"/>
      <x:c r="Y52" s="219"/>
      <x:c r="Z52" s="219"/>
      <x:c r="AA52" s="219"/>
      <x:c r="AB52" s="219"/>
      <x:c r="AC52" s="219"/>
      <x:c r="AD52" s="219"/>
      <x:c r="AE52" s="219"/>
      <x:c r="AF52" s="219"/>
      <x:c r="AG52" s="219"/>
      <x:c r="AH52" s="219"/>
      <x:c r="AI52" s="219"/>
      <x:c r="AJ52" s="219"/>
      <x:c r="AK52" s="220">
        <x:f>+COUNTIF(F52:AJ52,"X")+COUNTIF(F52:AJ52,"E")</x:f>
      </x:c>
      <x:c r="AL52" s="221">
        <x:f>+COUNTIF(F52:AJ52,"R")+COUNTIF(F52:AJ52,"T")+COUNTIF(F52:AJ52,"İ")</x:f>
      </x:c>
      <x:c r="AM52" s="221">
        <x:f>+COUNTIF(F52:AJ52,"İ")</x:f>
      </x:c>
      <x:c r="AN52" s="222"/>
      <x:c r="AO52" s="222"/>
      <x:c r="AP52" s="228"/>
      <x:c r="AQ52" s="228"/>
      <x:c r="AR52" s="228"/>
      <x:c r="AS52" s="228"/>
      <x:c r="AT52" s="230"/>
    </x:row>
    <x:row r="53" spans="1:47" ht="19.9" customHeight="1" x14ac:dyDescent="0.25">
      <x:c r="A53" s="215"/>
      <x:c r="B53" s="216">
        <x:v>48</x:v>
      </x:c>
      <x:c r="C53" s="217"/>
      <x:c r="D53" s="215"/>
      <x:c r="E53" s="218"/>
      <x:c r="F53" s="219"/>
      <x:c r="G53" s="219"/>
      <x:c r="H53" s="219"/>
      <x:c r="I53" s="219"/>
      <x:c r="J53" s="219"/>
      <x:c r="K53" s="219"/>
      <x:c r="L53" s="219"/>
      <x:c r="M53" s="219"/>
      <x:c r="N53" s="219"/>
      <x:c r="O53" s="219"/>
      <x:c r="P53" s="219"/>
      <x:c r="Q53" s="219"/>
      <x:c r="R53" s="219"/>
      <x:c r="S53" s="219"/>
      <x:c r="T53" s="219"/>
      <x:c r="U53" s="219"/>
      <x:c r="V53" s="219"/>
      <x:c r="W53" s="219"/>
      <x:c r="X53" s="219"/>
      <x:c r="Y53" s="219"/>
      <x:c r="Z53" s="219"/>
      <x:c r="AA53" s="219"/>
      <x:c r="AB53" s="219"/>
      <x:c r="AC53" s="219"/>
      <x:c r="AD53" s="219"/>
      <x:c r="AE53" s="219"/>
      <x:c r="AF53" s="219"/>
      <x:c r="AG53" s="219"/>
      <x:c r="AH53" s="219"/>
      <x:c r="AI53" s="219"/>
      <x:c r="AJ53" s="219"/>
      <x:c r="AK53" s="220">
        <x:f>+COUNTIF(F53:AJ53,"X")+COUNTIF(F53:AJ53,"E")</x:f>
      </x:c>
      <x:c r="AL53" s="221">
        <x:f>+COUNTIF(F53:AJ53,"R")+COUNTIF(F53:AJ53,"T")+COUNTIF(F53:AJ53,"İ")</x:f>
      </x:c>
      <x:c r="AM53" s="221">
        <x:f>+COUNTIF(F53:AJ53,"İ")</x:f>
      </x:c>
      <x:c r="AN53" s="222"/>
      <x:c r="AO53" s="222"/>
      <x:c r="AP53" s="228"/>
      <x:c r="AQ53" s="228"/>
      <x:c r="AR53" s="228"/>
      <x:c r="AS53" s="228"/>
      <x:c r="AT53" s="230"/>
    </x:row>
    <x:row r="54" spans="1:47" ht="19.9" customHeight="1" x14ac:dyDescent="0.25">
      <x:c r="A54" s="215"/>
      <x:c r="B54" s="216">
        <x:v>49</x:v>
      </x:c>
      <x:c r="C54" s="217"/>
      <x:c r="D54" s="215"/>
      <x:c r="E54" s="218"/>
      <x:c r="F54" s="219"/>
      <x:c r="G54" s="219"/>
      <x:c r="H54" s="219"/>
      <x:c r="I54" s="219"/>
      <x:c r="J54" s="219"/>
      <x:c r="K54" s="219"/>
      <x:c r="L54" s="219"/>
      <x:c r="M54" s="219"/>
      <x:c r="N54" s="219"/>
      <x:c r="O54" s="219"/>
      <x:c r="P54" s="219"/>
      <x:c r="Q54" s="219"/>
      <x:c r="R54" s="219"/>
      <x:c r="S54" s="219"/>
      <x:c r="T54" s="219"/>
      <x:c r="U54" s="219"/>
      <x:c r="V54" s="219"/>
      <x:c r="W54" s="219"/>
      <x:c r="X54" s="219"/>
      <x:c r="Y54" s="219"/>
      <x:c r="Z54" s="219"/>
      <x:c r="AA54" s="219"/>
      <x:c r="AB54" s="219"/>
      <x:c r="AC54" s="219"/>
      <x:c r="AD54" s="219"/>
      <x:c r="AE54" s="219"/>
      <x:c r="AF54" s="219"/>
      <x:c r="AG54" s="219"/>
      <x:c r="AH54" s="219"/>
      <x:c r="AI54" s="219"/>
      <x:c r="AJ54" s="219"/>
      <x:c r="AK54" s="220">
        <x:f>+COUNTIF(F54:AJ54,"X")+COUNTIF(F54:AJ54,"E")</x:f>
      </x:c>
      <x:c r="AL54" s="221">
        <x:f>+COUNTIF(F54:AJ54,"R")+COUNTIF(F54:AJ54,"T")+COUNTIF(F54:AJ54,"İ")</x:f>
      </x:c>
      <x:c r="AM54" s="221">
        <x:f>+COUNTIF(F54:AJ54,"İ")</x:f>
      </x:c>
      <x:c r="AN54" s="222"/>
      <x:c r="AO54" s="222"/>
      <x:c r="AP54" s="228"/>
      <x:c r="AQ54" s="228"/>
      <x:c r="AR54" s="228"/>
      <x:c r="AS54" s="228"/>
      <x:c r="AT54" s="230"/>
    </x:row>
    <x:row r="55" spans="1:47" ht="19.9" customHeight="1" x14ac:dyDescent="0.25">
      <x:c r="A55" s="215"/>
      <x:c r="B55" s="216">
        <x:v>50</x:v>
      </x:c>
      <x:c r="C55" s="217"/>
      <x:c r="D55" s="215"/>
      <x:c r="E55" s="218"/>
      <x:c r="F55" s="219"/>
      <x:c r="G55" s="219"/>
      <x:c r="H55" s="219"/>
      <x:c r="I55" s="219"/>
      <x:c r="J55" s="219"/>
      <x:c r="K55" s="219"/>
      <x:c r="L55" s="219"/>
      <x:c r="M55" s="219"/>
      <x:c r="N55" s="219"/>
      <x:c r="O55" s="219"/>
      <x:c r="P55" s="219"/>
      <x:c r="Q55" s="219"/>
      <x:c r="R55" s="219"/>
      <x:c r="S55" s="219"/>
      <x:c r="T55" s="219"/>
      <x:c r="U55" s="219"/>
      <x:c r="V55" s="219"/>
      <x:c r="W55" s="219"/>
      <x:c r="X55" s="219"/>
      <x:c r="Y55" s="219"/>
      <x:c r="Z55" s="219"/>
      <x:c r="AA55" s="219"/>
      <x:c r="AB55" s="219"/>
      <x:c r="AC55" s="219"/>
      <x:c r="AD55" s="219"/>
      <x:c r="AE55" s="219"/>
      <x:c r="AF55" s="219"/>
      <x:c r="AG55" s="219"/>
      <x:c r="AH55" s="219"/>
      <x:c r="AI55" s="219"/>
      <x:c r="AJ55" s="219"/>
      <x:c r="AK55" s="220">
        <x:f>+COUNTIF(F55:AJ55,"X")+COUNTIF(F55:AJ55,"E")</x:f>
      </x:c>
      <x:c r="AL55" s="221">
        <x:f>+COUNTIF(F55:AJ55,"R")+COUNTIF(F55:AJ55,"T")+COUNTIF(F55:AJ55,"İ")</x:f>
      </x:c>
      <x:c r="AM55" s="221">
        <x:f>+COUNTIF(F55:AJ55,"İ")</x:f>
      </x:c>
      <x:c r="AN55" s="222"/>
      <x:c r="AO55" s="222"/>
      <x:c r="AP55" s="228"/>
      <x:c r="AQ55" s="228"/>
      <x:c r="AR55" s="228"/>
      <x:c r="AS55" s="228"/>
      <x:c r="AT55" s="230"/>
    </x:row>
    <x:row r="56" spans="1:47" ht="19.9" customHeight="1" x14ac:dyDescent="0.25">
      <x:c r="A56" s="215"/>
      <x:c r="B56" s="216">
        <x:v>51</x:v>
      </x:c>
      <x:c r="C56" s="217"/>
      <x:c r="D56" s="215"/>
      <x:c r="E56" s="218"/>
      <x:c r="F56" s="219"/>
      <x:c r="G56" s="219"/>
      <x:c r="H56" s="219"/>
      <x:c r="I56" s="219"/>
      <x:c r="J56" s="219"/>
      <x:c r="K56" s="219"/>
      <x:c r="L56" s="219"/>
      <x:c r="M56" s="219"/>
      <x:c r="N56" s="219"/>
      <x:c r="O56" s="219"/>
      <x:c r="P56" s="219"/>
      <x:c r="Q56" s="219"/>
      <x:c r="R56" s="219"/>
      <x:c r="S56" s="219"/>
      <x:c r="T56" s="219"/>
      <x:c r="U56" s="219"/>
      <x:c r="V56" s="219"/>
      <x:c r="W56" s="219"/>
      <x:c r="X56" s="219"/>
      <x:c r="Y56" s="219"/>
      <x:c r="Z56" s="219"/>
      <x:c r="AA56" s="219"/>
      <x:c r="AB56" s="219"/>
      <x:c r="AC56" s="219"/>
      <x:c r="AD56" s="219"/>
      <x:c r="AE56" s="219"/>
      <x:c r="AF56" s="219"/>
      <x:c r="AG56" s="219"/>
      <x:c r="AH56" s="219"/>
      <x:c r="AI56" s="219"/>
      <x:c r="AJ56" s="219"/>
      <x:c r="AK56" s="220">
        <x:f>+COUNTIF(F56:AJ56,"X")+COUNTIF(F56:AJ56,"E")</x:f>
      </x:c>
      <x:c r="AL56" s="221">
        <x:f>+COUNTIF(F56:AJ56,"R")+COUNTIF(F56:AJ56,"T")+COUNTIF(F56:AJ56,"İ")</x:f>
      </x:c>
      <x:c r="AM56" s="221">
        <x:f>+COUNTIF(F56:AJ56,"İ")</x:f>
      </x:c>
      <x:c r="AN56" s="222"/>
      <x:c r="AO56" s="222"/>
      <x:c r="AP56" s="228"/>
      <x:c r="AQ56" s="228"/>
      <x:c r="AR56" s="228"/>
      <x:c r="AS56" s="228"/>
      <x:c r="AT56" s="230"/>
    </x:row>
    <x:row r="57" spans="1:47" ht="19.9" customHeight="1" x14ac:dyDescent="0.25">
      <x:c r="A57" s="215"/>
      <x:c r="B57" s="216">
        <x:v>52</x:v>
      </x:c>
      <x:c r="C57" s="217"/>
      <x:c r="D57" s="215"/>
      <x:c r="E57" s="218"/>
      <x:c r="F57" s="219"/>
      <x:c r="G57" s="219"/>
      <x:c r="H57" s="219"/>
      <x:c r="I57" s="219"/>
      <x:c r="J57" s="219"/>
      <x:c r="K57" s="219"/>
      <x:c r="L57" s="219"/>
      <x:c r="M57" s="219"/>
      <x:c r="N57" s="219"/>
      <x:c r="O57" s="219"/>
      <x:c r="P57" s="219"/>
      <x:c r="Q57" s="219"/>
      <x:c r="R57" s="219"/>
      <x:c r="S57" s="219"/>
      <x:c r="T57" s="219"/>
      <x:c r="U57" s="219"/>
      <x:c r="V57" s="219"/>
      <x:c r="W57" s="219"/>
      <x:c r="X57" s="219"/>
      <x:c r="Y57" s="219"/>
      <x:c r="Z57" s="219"/>
      <x:c r="AA57" s="219"/>
      <x:c r="AB57" s="219"/>
      <x:c r="AC57" s="219"/>
      <x:c r="AD57" s="219"/>
      <x:c r="AE57" s="219"/>
      <x:c r="AF57" s="219"/>
      <x:c r="AG57" s="219"/>
      <x:c r="AH57" s="219"/>
      <x:c r="AI57" s="219"/>
      <x:c r="AJ57" s="219"/>
      <x:c r="AK57" s="220">
        <x:f>+COUNTIF(F57:AJ57,"X")+COUNTIF(F57:AJ57,"E")</x:f>
      </x:c>
      <x:c r="AL57" s="221">
        <x:f>+COUNTIF(F57:AJ57,"R")+COUNTIF(F57:AJ57,"T")+COUNTIF(F57:AJ57,"İ")</x:f>
      </x:c>
      <x:c r="AM57" s="221">
        <x:f>+COUNTIF(F57:AJ57,"İ")</x:f>
      </x:c>
      <x:c r="AN57" s="222"/>
      <x:c r="AO57" s="222"/>
      <x:c r="AP57" s="228"/>
      <x:c r="AQ57" s="228"/>
      <x:c r="AR57" s="228"/>
      <x:c r="AS57" s="228"/>
      <x:c r="AT57" s="230"/>
    </x:row>
    <x:row r="58" spans="1:47" ht="19.9" customHeight="1" x14ac:dyDescent="0.25">
      <x:c r="A58" s="215"/>
      <x:c r="B58" s="216">
        <x:v>53</x:v>
      </x:c>
      <x:c r="C58" s="217"/>
      <x:c r="D58" s="215"/>
      <x:c r="E58" s="218"/>
      <x:c r="F58" s="219"/>
      <x:c r="G58" s="219"/>
      <x:c r="H58" s="219"/>
      <x:c r="I58" s="219"/>
      <x:c r="J58" s="219"/>
      <x:c r="K58" s="219"/>
      <x:c r="L58" s="219"/>
      <x:c r="M58" s="219"/>
      <x:c r="N58" s="219"/>
      <x:c r="O58" s="219"/>
      <x:c r="P58" s="219"/>
      <x:c r="Q58" s="219"/>
      <x:c r="R58" s="219"/>
      <x:c r="S58" s="219"/>
      <x:c r="T58" s="219"/>
      <x:c r="U58" s="219"/>
      <x:c r="V58" s="219"/>
      <x:c r="W58" s="219"/>
      <x:c r="X58" s="219"/>
      <x:c r="Y58" s="219"/>
      <x:c r="Z58" s="219"/>
      <x:c r="AA58" s="219"/>
      <x:c r="AB58" s="219"/>
      <x:c r="AC58" s="219"/>
      <x:c r="AD58" s="219"/>
      <x:c r="AE58" s="219"/>
      <x:c r="AF58" s="219"/>
      <x:c r="AG58" s="219"/>
      <x:c r="AH58" s="219"/>
      <x:c r="AI58" s="219"/>
      <x:c r="AJ58" s="219"/>
      <x:c r="AK58" s="220">
        <x:f>+COUNTIF(F58:AJ58,"X")+COUNTIF(F58:AJ58,"E")</x:f>
      </x:c>
      <x:c r="AL58" s="221">
        <x:f>+COUNTIF(F58:AJ58,"R")+COUNTIF(F58:AJ58,"T")+COUNTIF(F58:AJ58,"İ")</x:f>
      </x:c>
      <x:c r="AM58" s="221">
        <x:f>+COUNTIF(F58:AJ58,"İ")</x:f>
      </x:c>
      <x:c r="AN58" s="222"/>
      <x:c r="AO58" s="222"/>
      <x:c r="AP58" s="228"/>
      <x:c r="AQ58" s="228"/>
      <x:c r="AR58" s="228"/>
      <x:c r="AS58" s="228"/>
      <x:c r="AT58" s="230"/>
    </x:row>
    <x:row r="59" spans="1:47" ht="19.9" customHeight="1" x14ac:dyDescent="0.25">
      <x:c r="A59" s="215"/>
      <x:c r="B59" s="216">
        <x:v>54</x:v>
      </x:c>
      <x:c r="C59" s="217"/>
      <x:c r="D59" s="215"/>
      <x:c r="E59" s="218"/>
      <x:c r="F59" s="219"/>
      <x:c r="G59" s="219"/>
      <x:c r="H59" s="219"/>
      <x:c r="I59" s="219"/>
      <x:c r="J59" s="219"/>
      <x:c r="K59" s="219"/>
      <x:c r="L59" s="219"/>
      <x:c r="M59" s="219"/>
      <x:c r="N59" s="219"/>
      <x:c r="O59" s="219"/>
      <x:c r="P59" s="219"/>
      <x:c r="Q59" s="219"/>
      <x:c r="R59" s="219"/>
      <x:c r="S59" s="219"/>
      <x:c r="T59" s="219"/>
      <x:c r="U59" s="219"/>
      <x:c r="V59" s="219"/>
      <x:c r="W59" s="219"/>
      <x:c r="X59" s="219"/>
      <x:c r="Y59" s="219"/>
      <x:c r="Z59" s="219"/>
      <x:c r="AA59" s="219"/>
      <x:c r="AB59" s="219"/>
      <x:c r="AC59" s="219"/>
      <x:c r="AD59" s="219"/>
      <x:c r="AE59" s="219"/>
      <x:c r="AF59" s="219"/>
      <x:c r="AG59" s="219"/>
      <x:c r="AH59" s="219"/>
      <x:c r="AI59" s="219"/>
      <x:c r="AJ59" s="219"/>
      <x:c r="AK59" s="220">
        <x:f>+COUNTIF(F59:AJ59,"X")+COUNTIF(F59:AJ59,"E")</x:f>
      </x:c>
      <x:c r="AL59" s="221">
        <x:f>+COUNTIF(F59:AJ59,"R")+COUNTIF(F59:AJ59,"T")+COUNTIF(F59:AJ59,"İ")</x:f>
      </x:c>
      <x:c r="AM59" s="221">
        <x:f>+COUNTIF(F59:AJ59,"İ")</x:f>
      </x:c>
      <x:c r="AN59" s="222"/>
      <x:c r="AO59" s="222"/>
      <x:c r="AP59" s="228"/>
      <x:c r="AQ59" s="228"/>
      <x:c r="AR59" s="228"/>
      <x:c r="AS59" s="228"/>
      <x:c r="AT59" s="230"/>
    </x:row>
    <x:row r="60" spans="1:47" ht="19.9" customHeight="1" x14ac:dyDescent="0.25">
      <x:c r="A60" s="215"/>
      <x:c r="B60" s="216">
        <x:v>55</x:v>
      </x:c>
      <x:c r="C60" s="217"/>
      <x:c r="D60" s="215"/>
      <x:c r="E60" s="218"/>
      <x:c r="F60" s="219"/>
      <x:c r="G60" s="219"/>
      <x:c r="H60" s="219"/>
      <x:c r="I60" s="219"/>
      <x:c r="J60" s="219"/>
      <x:c r="K60" s="219"/>
      <x:c r="L60" s="219"/>
      <x:c r="M60" s="219"/>
      <x:c r="N60" s="219"/>
      <x:c r="O60" s="219"/>
      <x:c r="P60" s="219"/>
      <x:c r="Q60" s="219"/>
      <x:c r="R60" s="219"/>
      <x:c r="S60" s="219"/>
      <x:c r="T60" s="219"/>
      <x:c r="U60" s="219"/>
      <x:c r="V60" s="219"/>
      <x:c r="W60" s="219"/>
      <x:c r="X60" s="219"/>
      <x:c r="Y60" s="219"/>
      <x:c r="Z60" s="219"/>
      <x:c r="AA60" s="219"/>
      <x:c r="AB60" s="219"/>
      <x:c r="AC60" s="219"/>
      <x:c r="AD60" s="219"/>
      <x:c r="AE60" s="219"/>
      <x:c r="AF60" s="219"/>
      <x:c r="AG60" s="219"/>
      <x:c r="AH60" s="219"/>
      <x:c r="AI60" s="219"/>
      <x:c r="AJ60" s="219"/>
      <x:c r="AK60" s="220">
        <x:f>+COUNTIF(F60:AJ60,"X")+COUNTIF(F60:AJ60,"E")</x:f>
      </x:c>
      <x:c r="AL60" s="221">
        <x:f>+COUNTIF(F60:AJ60,"R")+COUNTIF(F60:AJ60,"T")+COUNTIF(F60:AJ60,"İ")</x:f>
      </x:c>
      <x:c r="AM60" s="221">
        <x:f>+COUNTIF(F60:AJ60,"İ")</x:f>
      </x:c>
      <x:c r="AN60" s="222"/>
      <x:c r="AO60" s="222"/>
      <x:c r="AP60" s="228"/>
      <x:c r="AQ60" s="228"/>
      <x:c r="AR60" s="228"/>
      <x:c r="AS60" s="228"/>
      <x:c r="AT60" s="230"/>
    </x:row>
    <x:row r="61" spans="1:47" ht="19.9" customHeight="1" x14ac:dyDescent="0.25">
      <x:c r="A61" s="215"/>
      <x:c r="B61" s="216">
        <x:v>56</x:v>
      </x:c>
      <x:c r="C61" s="217"/>
      <x:c r="D61" s="215"/>
      <x:c r="E61" s="218"/>
      <x:c r="F61" s="219"/>
      <x:c r="G61" s="219"/>
      <x:c r="H61" s="219"/>
      <x:c r="I61" s="219"/>
      <x:c r="J61" s="219"/>
      <x:c r="K61" s="219"/>
      <x:c r="L61" s="219"/>
      <x:c r="M61" s="219"/>
      <x:c r="N61" s="219"/>
      <x:c r="O61" s="219"/>
      <x:c r="P61" s="219"/>
      <x:c r="Q61" s="219"/>
      <x:c r="R61" s="219"/>
      <x:c r="S61" s="219"/>
      <x:c r="T61" s="219"/>
      <x:c r="U61" s="219"/>
      <x:c r="V61" s="219"/>
      <x:c r="W61" s="219"/>
      <x:c r="X61" s="219"/>
      <x:c r="Y61" s="219"/>
      <x:c r="Z61" s="219"/>
      <x:c r="AA61" s="219"/>
      <x:c r="AB61" s="219"/>
      <x:c r="AC61" s="219"/>
      <x:c r="AD61" s="219"/>
      <x:c r="AE61" s="219"/>
      <x:c r="AF61" s="219"/>
      <x:c r="AG61" s="219"/>
      <x:c r="AH61" s="219"/>
      <x:c r="AI61" s="219"/>
      <x:c r="AJ61" s="219"/>
      <x:c r="AK61" s="220">
        <x:f>+COUNTIF(F61:AJ61,"X")+COUNTIF(F61:AJ61,"E")</x:f>
      </x:c>
      <x:c r="AL61" s="221">
        <x:f>+COUNTIF(F61:AJ61,"R")+COUNTIF(F61:AJ61,"T")+COUNTIF(F61:AJ61,"İ")</x:f>
      </x:c>
      <x:c r="AM61" s="221">
        <x:f>+COUNTIF(F61:AJ61,"İ")</x:f>
      </x:c>
      <x:c r="AN61" s="222"/>
      <x:c r="AO61" s="222"/>
      <x:c r="AP61" s="228"/>
      <x:c r="AQ61" s="228"/>
      <x:c r="AR61" s="228"/>
      <x:c r="AS61" s="228"/>
      <x:c r="AT61" s="230"/>
    </x:row>
    <x:row r="62" spans="1:47" ht="19.9" customHeight="1" x14ac:dyDescent="0.25">
      <x:c r="A62" s="215"/>
      <x:c r="B62" s="216">
        <x:v>57</x:v>
      </x:c>
      <x:c r="C62" s="217"/>
      <x:c r="D62" s="215"/>
      <x:c r="E62" s="218"/>
      <x:c r="F62" s="219"/>
      <x:c r="G62" s="219"/>
      <x:c r="H62" s="219"/>
      <x:c r="I62" s="219"/>
      <x:c r="J62" s="219"/>
      <x:c r="K62" s="219"/>
      <x:c r="L62" s="219"/>
      <x:c r="M62" s="219"/>
      <x:c r="N62" s="219"/>
      <x:c r="O62" s="219"/>
      <x:c r="P62" s="219"/>
      <x:c r="Q62" s="219"/>
      <x:c r="R62" s="219"/>
      <x:c r="S62" s="219"/>
      <x:c r="T62" s="219"/>
      <x:c r="U62" s="219"/>
      <x:c r="V62" s="219"/>
      <x:c r="W62" s="219"/>
      <x:c r="X62" s="219"/>
      <x:c r="Y62" s="219"/>
      <x:c r="Z62" s="219"/>
      <x:c r="AA62" s="219"/>
      <x:c r="AB62" s="219"/>
      <x:c r="AC62" s="219"/>
      <x:c r="AD62" s="219"/>
      <x:c r="AE62" s="219"/>
      <x:c r="AF62" s="219"/>
      <x:c r="AG62" s="219"/>
      <x:c r="AH62" s="219"/>
      <x:c r="AI62" s="219"/>
      <x:c r="AJ62" s="219"/>
      <x:c r="AK62" s="220">
        <x:f>+COUNTIF(F62:AJ62,"X")+COUNTIF(F62:AJ62,"E")</x:f>
      </x:c>
      <x:c r="AL62" s="221">
        <x:f>+COUNTIF(F62:AJ62,"R")+COUNTIF(F62:AJ62,"T")+COUNTIF(F62:AJ62,"İ")</x:f>
      </x:c>
      <x:c r="AM62" s="221">
        <x:f>+COUNTIF(F62:AJ62,"İ")</x:f>
      </x:c>
      <x:c r="AN62" s="222"/>
      <x:c r="AO62" s="222"/>
      <x:c r="AP62" s="228"/>
      <x:c r="AQ62" s="228"/>
      <x:c r="AR62" s="228"/>
      <x:c r="AS62" s="228"/>
      <x:c r="AT62" s="230"/>
    </x:row>
    <x:row r="63" spans="1:47" ht="19.9" customHeight="1" x14ac:dyDescent="0.25">
      <x:c r="A63" s="215"/>
      <x:c r="B63" s="216">
        <x:v>58</x:v>
      </x:c>
      <x:c r="C63" s="217"/>
      <x:c r="D63" s="215"/>
      <x:c r="E63" s="218"/>
      <x:c r="F63" s="219"/>
      <x:c r="G63" s="219"/>
      <x:c r="H63" s="219"/>
      <x:c r="I63" s="219"/>
      <x:c r="J63" s="219"/>
      <x:c r="K63" s="219"/>
      <x:c r="L63" s="219"/>
      <x:c r="M63" s="219"/>
      <x:c r="N63" s="219"/>
      <x:c r="O63" s="219"/>
      <x:c r="P63" s="219"/>
      <x:c r="Q63" s="219"/>
      <x:c r="R63" s="219"/>
      <x:c r="S63" s="219"/>
      <x:c r="T63" s="219"/>
      <x:c r="U63" s="219"/>
      <x:c r="V63" s="219"/>
      <x:c r="W63" s="219"/>
      <x:c r="X63" s="219"/>
      <x:c r="Y63" s="219"/>
      <x:c r="Z63" s="219"/>
      <x:c r="AA63" s="219"/>
      <x:c r="AB63" s="219"/>
      <x:c r="AC63" s="219"/>
      <x:c r="AD63" s="219"/>
      <x:c r="AE63" s="219"/>
      <x:c r="AF63" s="219"/>
      <x:c r="AG63" s="219"/>
      <x:c r="AH63" s="219"/>
      <x:c r="AI63" s="219"/>
      <x:c r="AJ63" s="219"/>
      <x:c r="AK63" s="220">
        <x:f>+COUNTIF(F63:AJ63,"X")+COUNTIF(F63:AJ63,"E")</x:f>
      </x:c>
      <x:c r="AL63" s="221">
        <x:f>+COUNTIF(F63:AJ63,"R")+COUNTIF(F63:AJ63,"T")+COUNTIF(F63:AJ63,"İ")</x:f>
      </x:c>
      <x:c r="AM63" s="221">
        <x:f>+COUNTIF(F63:AJ63,"İ")</x:f>
      </x:c>
      <x:c r="AN63" s="222"/>
      <x:c r="AO63" s="222"/>
      <x:c r="AP63" s="228"/>
      <x:c r="AQ63" s="228"/>
      <x:c r="AR63" s="228"/>
      <x:c r="AS63" s="228"/>
      <x:c r="AT63" s="230"/>
    </x:row>
    <x:row r="64" spans="1:47" ht="19.9" customHeight="1" x14ac:dyDescent="0.25">
      <x:c r="A64" s="215"/>
      <x:c r="B64" s="216">
        <x:v>59</x:v>
      </x:c>
      <x:c r="C64" s="217"/>
      <x:c r="D64" s="215"/>
      <x:c r="E64" s="218"/>
      <x:c r="F64" s="219"/>
      <x:c r="G64" s="219"/>
      <x:c r="H64" s="219"/>
      <x:c r="I64" s="219"/>
      <x:c r="J64" s="219"/>
      <x:c r="K64" s="219"/>
      <x:c r="L64" s="219"/>
      <x:c r="M64" s="219"/>
      <x:c r="N64" s="219"/>
      <x:c r="O64" s="219"/>
      <x:c r="P64" s="219"/>
      <x:c r="Q64" s="219"/>
      <x:c r="R64" s="219"/>
      <x:c r="S64" s="219"/>
      <x:c r="T64" s="219"/>
      <x:c r="U64" s="219"/>
      <x:c r="V64" s="219"/>
      <x:c r="W64" s="219"/>
      <x:c r="X64" s="219"/>
      <x:c r="Y64" s="219"/>
      <x:c r="Z64" s="219"/>
      <x:c r="AA64" s="219"/>
      <x:c r="AB64" s="219"/>
      <x:c r="AC64" s="219"/>
      <x:c r="AD64" s="219"/>
      <x:c r="AE64" s="219"/>
      <x:c r="AF64" s="219"/>
      <x:c r="AG64" s="219"/>
      <x:c r="AH64" s="219"/>
      <x:c r="AI64" s="219"/>
      <x:c r="AJ64" s="219"/>
      <x:c r="AK64" s="220">
        <x:f>+COUNTIF(F64:AJ64,"X")+COUNTIF(F64:AJ64,"E")</x:f>
      </x:c>
      <x:c r="AL64" s="221">
        <x:f>+COUNTIF(F64:AJ64,"R")+COUNTIF(F64:AJ64,"T")+COUNTIF(F64:AJ64,"İ")</x:f>
      </x:c>
      <x:c r="AM64" s="221">
        <x:f>+COUNTIF(F64:AJ64,"İ")</x:f>
      </x:c>
      <x:c r="AN64" s="222"/>
      <x:c r="AO64" s="222"/>
      <x:c r="AP64" s="228"/>
      <x:c r="AQ64" s="228"/>
      <x:c r="AR64" s="228"/>
      <x:c r="AS64" s="228"/>
      <x:c r="AT64" s="230"/>
    </x:row>
    <x:row r="65" spans="1:47" ht="19.9" customHeight="1" x14ac:dyDescent="0.25">
      <x:c r="A65" s="215"/>
      <x:c r="B65" s="216">
        <x:v>60</x:v>
      </x:c>
      <x:c r="C65" s="217"/>
      <x:c r="D65" s="215"/>
      <x:c r="E65" s="218"/>
      <x:c r="F65" s="219"/>
      <x:c r="G65" s="219"/>
      <x:c r="H65" s="219"/>
      <x:c r="I65" s="219"/>
      <x:c r="J65" s="219"/>
      <x:c r="K65" s="219"/>
      <x:c r="L65" s="219"/>
      <x:c r="M65" s="219"/>
      <x:c r="N65" s="219"/>
      <x:c r="O65" s="219"/>
      <x:c r="P65" s="219"/>
      <x:c r="Q65" s="219"/>
      <x:c r="R65" s="219"/>
      <x:c r="S65" s="219"/>
      <x:c r="T65" s="219"/>
      <x:c r="U65" s="219"/>
      <x:c r="V65" s="219"/>
      <x:c r="W65" s="219"/>
      <x:c r="X65" s="219"/>
      <x:c r="Y65" s="219"/>
      <x:c r="Z65" s="219"/>
      <x:c r="AA65" s="219"/>
      <x:c r="AB65" s="219"/>
      <x:c r="AC65" s="219"/>
      <x:c r="AD65" s="219"/>
      <x:c r="AE65" s="219"/>
      <x:c r="AF65" s="219"/>
      <x:c r="AG65" s="219"/>
      <x:c r="AH65" s="219"/>
      <x:c r="AI65" s="219"/>
      <x:c r="AJ65" s="219"/>
      <x:c r="AK65" s="220">
        <x:f>+COUNTIF(F65:AJ65,"X")+COUNTIF(F65:AJ65,"E")</x:f>
      </x:c>
      <x:c r="AL65" s="221">
        <x:f>+COUNTIF(F65:AJ65,"R")+COUNTIF(F65:AJ65,"T")+COUNTIF(F65:AJ65,"İ")</x:f>
      </x:c>
      <x:c r="AM65" s="221">
        <x:f>+COUNTIF(F65:AJ65,"İ")</x:f>
      </x:c>
      <x:c r="AN65" s="222"/>
      <x:c r="AO65" s="222"/>
      <x:c r="AP65" s="228"/>
      <x:c r="AQ65" s="228"/>
      <x:c r="AR65" s="228"/>
      <x:c r="AS65" s="228"/>
      <x:c r="AT65" s="230"/>
    </x:row>
    <x:row r="66" spans="1:47" ht="19.9" customHeight="1" x14ac:dyDescent="0.25">
      <x:c r="A66" s="215"/>
      <x:c r="B66" s="216">
        <x:v>61</x:v>
      </x:c>
      <x:c r="C66" s="217"/>
      <x:c r="D66" s="215"/>
      <x:c r="E66" s="218"/>
      <x:c r="F66" s="219"/>
      <x:c r="G66" s="219"/>
      <x:c r="H66" s="219"/>
      <x:c r="I66" s="219"/>
      <x:c r="J66" s="219"/>
      <x:c r="K66" s="219"/>
      <x:c r="L66" s="219"/>
      <x:c r="M66" s="219"/>
      <x:c r="N66" s="219"/>
      <x:c r="O66" s="219"/>
      <x:c r="P66" s="219"/>
      <x:c r="Q66" s="219"/>
      <x:c r="R66" s="219"/>
      <x:c r="S66" s="219"/>
      <x:c r="T66" s="219"/>
      <x:c r="U66" s="219"/>
      <x:c r="V66" s="219"/>
      <x:c r="W66" s="219"/>
      <x:c r="X66" s="219"/>
      <x:c r="Y66" s="219"/>
      <x:c r="Z66" s="219"/>
      <x:c r="AA66" s="219"/>
      <x:c r="AB66" s="219"/>
      <x:c r="AC66" s="219"/>
      <x:c r="AD66" s="219"/>
      <x:c r="AE66" s="219"/>
      <x:c r="AF66" s="219"/>
      <x:c r="AG66" s="219"/>
      <x:c r="AH66" s="219"/>
      <x:c r="AI66" s="219"/>
      <x:c r="AJ66" s="219"/>
      <x:c r="AK66" s="220">
        <x:f>+COUNTIF(F66:AJ66,"X")+COUNTIF(F66:AJ66,"E")</x:f>
      </x:c>
      <x:c r="AL66" s="221">
        <x:f>+COUNTIF(F66:AJ66,"R")+COUNTIF(F66:AJ66,"T")+COUNTIF(F66:AJ66,"İ")</x:f>
      </x:c>
      <x:c r="AM66" s="221">
        <x:f>+COUNTIF(F66:AJ66,"İ")</x:f>
      </x:c>
      <x:c r="AN66" s="222"/>
      <x:c r="AO66" s="222"/>
      <x:c r="AP66" s="228"/>
      <x:c r="AQ66" s="228"/>
      <x:c r="AR66" s="228"/>
      <x:c r="AS66" s="228"/>
      <x:c r="AT66" s="230"/>
    </x:row>
    <x:row r="67" spans="1:47" ht="19.9" customHeight="1" x14ac:dyDescent="0.25">
      <x:c r="A67" s="215"/>
      <x:c r="B67" s="216">
        <x:v>62</x:v>
      </x:c>
      <x:c r="C67" s="217"/>
      <x:c r="D67" s="215"/>
      <x:c r="E67" s="218"/>
      <x:c r="F67" s="219"/>
      <x:c r="G67" s="219"/>
      <x:c r="H67" s="219"/>
      <x:c r="I67" s="219"/>
      <x:c r="J67" s="219"/>
      <x:c r="K67" s="219"/>
      <x:c r="L67" s="219"/>
      <x:c r="M67" s="219"/>
      <x:c r="N67" s="219"/>
      <x:c r="O67" s="219"/>
      <x:c r="P67" s="219"/>
      <x:c r="Q67" s="219"/>
      <x:c r="R67" s="219"/>
      <x:c r="S67" s="219"/>
      <x:c r="T67" s="219"/>
      <x:c r="U67" s="219"/>
      <x:c r="V67" s="219"/>
      <x:c r="W67" s="219"/>
      <x:c r="X67" s="219"/>
      <x:c r="Y67" s="219"/>
      <x:c r="Z67" s="219"/>
      <x:c r="AA67" s="219"/>
      <x:c r="AB67" s="219"/>
      <x:c r="AC67" s="219"/>
      <x:c r="AD67" s="219"/>
      <x:c r="AE67" s="219"/>
      <x:c r="AF67" s="219"/>
      <x:c r="AG67" s="219"/>
      <x:c r="AH67" s="219"/>
      <x:c r="AI67" s="219"/>
      <x:c r="AJ67" s="219"/>
      <x:c r="AK67" s="220">
        <x:f>+COUNTIF(F67:AJ67,"X")+COUNTIF(F67:AJ67,"E")</x:f>
      </x:c>
      <x:c r="AL67" s="221">
        <x:f>+COUNTIF(F67:AJ67,"R")+COUNTIF(F67:AJ67,"T")+COUNTIF(F67:AJ67,"İ")</x:f>
      </x:c>
      <x:c r="AM67" s="221">
        <x:f>+COUNTIF(F67:AJ67,"İ")</x:f>
      </x:c>
      <x:c r="AN67" s="222"/>
      <x:c r="AO67" s="222"/>
      <x:c r="AP67" s="228"/>
      <x:c r="AQ67" s="228"/>
      <x:c r="AR67" s="228"/>
      <x:c r="AS67" s="228"/>
      <x:c r="AT67" s="230"/>
    </x:row>
    <x:row r="68" spans="1:47" ht="19.9" customHeight="1" x14ac:dyDescent="0.25">
      <x:c r="A68" s="232"/>
      <x:c r="B68" s="216">
        <x:v>63</x:v>
      </x:c>
      <x:c r="C68" s="217"/>
      <x:c r="D68" s="215"/>
      <x:c r="E68" s="218"/>
      <x:c r="F68" s="219"/>
      <x:c r="G68" s="219"/>
      <x:c r="H68" s="219"/>
      <x:c r="I68" s="219"/>
      <x:c r="J68" s="219"/>
      <x:c r="K68" s="219"/>
      <x:c r="L68" s="219"/>
      <x:c r="M68" s="219"/>
      <x:c r="N68" s="219"/>
      <x:c r="O68" s="219"/>
      <x:c r="P68" s="219"/>
      <x:c r="Q68" s="219"/>
      <x:c r="R68" s="219"/>
      <x:c r="S68" s="219"/>
      <x:c r="T68" s="219"/>
      <x:c r="U68" s="219"/>
      <x:c r="V68" s="219"/>
      <x:c r="W68" s="219"/>
      <x:c r="X68" s="219"/>
      <x:c r="Y68" s="219"/>
      <x:c r="Z68" s="219"/>
      <x:c r="AA68" s="219"/>
      <x:c r="AB68" s="219"/>
      <x:c r="AC68" s="219"/>
      <x:c r="AD68" s="219"/>
      <x:c r="AE68" s="219"/>
      <x:c r="AF68" s="219"/>
      <x:c r="AG68" s="219"/>
      <x:c r="AH68" s="219"/>
      <x:c r="AI68" s="219"/>
      <x:c r="AJ68" s="219"/>
      <x:c r="AK68" s="220">
        <x:f>+COUNTIF(F68:AJ68,"X")+COUNTIF(F68:AJ68,"E")</x:f>
      </x:c>
      <x:c r="AL68" s="221">
        <x:f>+COUNTIF(F68:AJ68,"R")+COUNTIF(F68:AJ68,"T")+COUNTIF(F68:AJ68,"İ")</x:f>
      </x:c>
      <x:c r="AM68" s="221">
        <x:f>+COUNTIF(F68:AJ68,"İ")</x:f>
      </x:c>
      <x:c r="AN68" s="222"/>
      <x:c r="AO68" s="222"/>
      <x:c r="AP68" s="228"/>
      <x:c r="AQ68" s="228"/>
      <x:c r="AR68" s="228"/>
      <x:c r="AS68" s="228"/>
      <x:c r="AT68" s="230"/>
    </x:row>
    <x:row r="69" spans="1:47" ht="19.9" customHeight="1" x14ac:dyDescent="0.25">
      <x:c r="A69" s="215"/>
      <x:c r="B69" s="216">
        <x:v>64</x:v>
      </x:c>
      <x:c r="C69" s="217"/>
      <x:c r="D69" s="215"/>
      <x:c r="E69" s="218"/>
      <x:c r="F69" s="219"/>
      <x:c r="G69" s="219"/>
      <x:c r="H69" s="219"/>
      <x:c r="I69" s="219"/>
      <x:c r="J69" s="219"/>
      <x:c r="K69" s="219"/>
      <x:c r="L69" s="219"/>
      <x:c r="M69" s="219"/>
      <x:c r="N69" s="219"/>
      <x:c r="O69" s="219"/>
      <x:c r="P69" s="219"/>
      <x:c r="Q69" s="219"/>
      <x:c r="R69" s="219"/>
      <x:c r="S69" s="219"/>
      <x:c r="T69" s="219"/>
      <x:c r="U69" s="219"/>
      <x:c r="V69" s="219"/>
      <x:c r="W69" s="219"/>
      <x:c r="X69" s="219"/>
      <x:c r="Y69" s="219"/>
      <x:c r="Z69" s="219"/>
      <x:c r="AA69" s="219"/>
      <x:c r="AB69" s="219"/>
      <x:c r="AC69" s="219"/>
      <x:c r="AD69" s="219"/>
      <x:c r="AE69" s="219"/>
      <x:c r="AF69" s="219"/>
      <x:c r="AG69" s="219"/>
      <x:c r="AH69" s="219"/>
      <x:c r="AI69" s="219"/>
      <x:c r="AJ69" s="219"/>
      <x:c r="AK69" s="220">
        <x:f>+COUNTIF(F69:AJ69,"X")+COUNTIF(F69:AJ69,"E")</x:f>
      </x:c>
      <x:c r="AL69" s="221">
        <x:f>+COUNTIF(F69:AJ69,"R")+COUNTIF(F69:AJ69,"T")+COUNTIF(F69:AJ69,"İ")</x:f>
      </x:c>
      <x:c r="AM69" s="221">
        <x:f>+COUNTIF(F69:AJ69,"İ")</x:f>
      </x:c>
      <x:c r="AN69" s="222"/>
      <x:c r="AO69" s="222"/>
      <x:c r="AP69" s="228"/>
      <x:c r="AQ69" s="228"/>
      <x:c r="AR69" s="228"/>
      <x:c r="AS69" s="228"/>
      <x:c r="AT69" s="230"/>
    </x:row>
    <x:row r="70" spans="1:47" ht="19.9" customHeight="1" x14ac:dyDescent="0.25">
      <x:c r="A70" s="215"/>
      <x:c r="B70" s="216">
        <x:v>65</x:v>
      </x:c>
      <x:c r="C70" s="217"/>
      <x:c r="D70" s="215"/>
      <x:c r="E70" s="218"/>
      <x:c r="F70" s="219"/>
      <x:c r="G70" s="219"/>
      <x:c r="H70" s="219"/>
      <x:c r="I70" s="219"/>
      <x:c r="J70" s="219"/>
      <x:c r="K70" s="219"/>
      <x:c r="L70" s="219"/>
      <x:c r="M70" s="219"/>
      <x:c r="N70" s="219"/>
      <x:c r="O70" s="219"/>
      <x:c r="P70" s="219"/>
      <x:c r="Q70" s="219"/>
      <x:c r="R70" s="219"/>
      <x:c r="S70" s="219"/>
      <x:c r="T70" s="219"/>
      <x:c r="U70" s="219"/>
      <x:c r="V70" s="219"/>
      <x:c r="W70" s="219"/>
      <x:c r="X70" s="219"/>
      <x:c r="Y70" s="219"/>
      <x:c r="Z70" s="219"/>
      <x:c r="AA70" s="219"/>
      <x:c r="AB70" s="219"/>
      <x:c r="AC70" s="219"/>
      <x:c r="AD70" s="219"/>
      <x:c r="AE70" s="219"/>
      <x:c r="AF70" s="219"/>
      <x:c r="AG70" s="219"/>
      <x:c r="AH70" s="219"/>
      <x:c r="AI70" s="219"/>
      <x:c r="AJ70" s="219"/>
      <x:c r="AK70" s="220">
        <x:f>+COUNTIF(F70:AJ70,"X")+COUNTIF(F70:AJ70,"E")</x:f>
      </x:c>
      <x:c r="AL70" s="221">
        <x:f>+COUNTIF(F70:AJ70,"R")+COUNTIF(F70:AJ70,"T")+COUNTIF(F70:AJ70,"İ")</x:f>
      </x:c>
      <x:c r="AM70" s="221">
        <x:f>+COUNTIF(F70:AJ70,"İ")</x:f>
      </x:c>
      <x:c r="AN70" s="222"/>
      <x:c r="AO70" s="222"/>
      <x:c r="AP70" s="228"/>
      <x:c r="AQ70" s="228"/>
      <x:c r="AR70" s="228"/>
      <x:c r="AS70" s="228"/>
      <x:c r="AT70" s="230"/>
    </x:row>
    <x:row r="71" spans="1:47" ht="19.9" customHeight="1" x14ac:dyDescent="0.25">
      <x:c r="A71" s="215"/>
      <x:c r="B71" s="216">
        <x:v>66</x:v>
      </x:c>
      <x:c r="C71" s="217"/>
      <x:c r="D71" s="215"/>
      <x:c r="E71" s="218"/>
      <x:c r="F71" s="219"/>
      <x:c r="G71" s="219"/>
      <x:c r="H71" s="219"/>
      <x:c r="I71" s="219"/>
      <x:c r="J71" s="219"/>
      <x:c r="K71" s="219"/>
      <x:c r="L71" s="219"/>
      <x:c r="M71" s="219"/>
      <x:c r="N71" s="219"/>
      <x:c r="O71" s="219"/>
      <x:c r="P71" s="219"/>
      <x:c r="Q71" s="219"/>
      <x:c r="R71" s="219"/>
      <x:c r="S71" s="219"/>
      <x:c r="T71" s="219"/>
      <x:c r="U71" s="219"/>
      <x:c r="V71" s="219"/>
      <x:c r="W71" s="219"/>
      <x:c r="X71" s="219"/>
      <x:c r="Y71" s="219"/>
      <x:c r="Z71" s="219"/>
      <x:c r="AA71" s="219"/>
      <x:c r="AB71" s="219"/>
      <x:c r="AC71" s="219"/>
      <x:c r="AD71" s="219"/>
      <x:c r="AE71" s="219"/>
      <x:c r="AF71" s="219"/>
      <x:c r="AG71" s="219"/>
      <x:c r="AH71" s="219"/>
      <x:c r="AI71" s="219"/>
      <x:c r="AJ71" s="219"/>
      <x:c r="AK71" s="220">
        <x:f>+COUNTIF(F71:AJ71,"X")+COUNTIF(F71:AJ71,"E")</x:f>
      </x:c>
      <x:c r="AL71" s="221">
        <x:f>+COUNTIF(F71:AJ71,"R")+COUNTIF(F71:AJ71,"T")+COUNTIF(F71:AJ71,"İ")</x:f>
      </x:c>
      <x:c r="AM71" s="221">
        <x:f>+COUNTIF(F71:AJ71,"İ")</x:f>
      </x:c>
      <x:c r="AN71" s="222"/>
      <x:c r="AO71" s="222"/>
      <x:c r="AP71" s="228"/>
      <x:c r="AQ71" s="228"/>
      <x:c r="AR71" s="228"/>
      <x:c r="AS71" s="228"/>
      <x:c r="AT71" s="230"/>
    </x:row>
    <x:row r="72" spans="1:47" ht="19.9" customHeight="1" x14ac:dyDescent="0.25">
      <x:c r="A72" s="215"/>
      <x:c r="B72" s="216">
        <x:v>67</x:v>
      </x:c>
      <x:c r="C72" s="217"/>
      <x:c r="D72" s="215"/>
      <x:c r="E72" s="218"/>
      <x:c r="F72" s="219"/>
      <x:c r="G72" s="219"/>
      <x:c r="H72" s="219"/>
      <x:c r="I72" s="219"/>
      <x:c r="J72" s="219"/>
      <x:c r="K72" s="219"/>
      <x:c r="L72" s="219"/>
      <x:c r="M72" s="219"/>
      <x:c r="N72" s="219"/>
      <x:c r="O72" s="219"/>
      <x:c r="P72" s="219"/>
      <x:c r="Q72" s="219"/>
      <x:c r="R72" s="219"/>
      <x:c r="S72" s="219"/>
      <x:c r="T72" s="219"/>
      <x:c r="U72" s="219"/>
      <x:c r="V72" s="219"/>
      <x:c r="W72" s="219"/>
      <x:c r="X72" s="219"/>
      <x:c r="Y72" s="219"/>
      <x:c r="Z72" s="219"/>
      <x:c r="AA72" s="219"/>
      <x:c r="AB72" s="219"/>
      <x:c r="AC72" s="219"/>
      <x:c r="AD72" s="219"/>
      <x:c r="AE72" s="219"/>
      <x:c r="AF72" s="219"/>
      <x:c r="AG72" s="219"/>
      <x:c r="AH72" s="219"/>
      <x:c r="AI72" s="219"/>
      <x:c r="AJ72" s="219"/>
      <x:c r="AK72" s="220">
        <x:f>+COUNTIF(F72:AJ72,"X")+COUNTIF(F72:AJ72,"E")</x:f>
      </x:c>
      <x:c r="AL72" s="221">
        <x:f>+COUNTIF(F72:AJ72,"R")+COUNTIF(F72:AJ72,"T")+COUNTIF(F72:AJ72,"İ")</x:f>
      </x:c>
      <x:c r="AM72" s="221">
        <x:f>+COUNTIF(F72:AJ72,"İ")</x:f>
      </x:c>
      <x:c r="AN72" s="222"/>
      <x:c r="AO72" s="222"/>
      <x:c r="AP72" s="228"/>
      <x:c r="AQ72" s="228"/>
      <x:c r="AR72" s="228"/>
      <x:c r="AS72" s="228"/>
      <x:c r="AT72" s="230"/>
    </x:row>
    <x:row r="73" spans="1:47" ht="19.9" customHeight="1" x14ac:dyDescent="0.25">
      <x:c r="A73" s="215"/>
      <x:c r="B73" s="216">
        <x:v>68</x:v>
      </x:c>
      <x:c r="C73" s="217"/>
      <x:c r="D73" s="215"/>
      <x:c r="E73" s="218"/>
      <x:c r="F73" s="219"/>
      <x:c r="G73" s="219"/>
      <x:c r="H73" s="219"/>
      <x:c r="I73" s="219"/>
      <x:c r="J73" s="219"/>
      <x:c r="K73" s="219"/>
      <x:c r="L73" s="219"/>
      <x:c r="M73" s="219"/>
      <x:c r="N73" s="219"/>
      <x:c r="O73" s="219"/>
      <x:c r="P73" s="219"/>
      <x:c r="Q73" s="219"/>
      <x:c r="R73" s="219"/>
      <x:c r="S73" s="219"/>
      <x:c r="T73" s="219"/>
      <x:c r="U73" s="219"/>
      <x:c r="V73" s="219"/>
      <x:c r="W73" s="219"/>
      <x:c r="X73" s="219"/>
      <x:c r="Y73" s="219"/>
      <x:c r="Z73" s="219"/>
      <x:c r="AA73" s="219"/>
      <x:c r="AB73" s="219"/>
      <x:c r="AC73" s="219"/>
      <x:c r="AD73" s="219"/>
      <x:c r="AE73" s="219"/>
      <x:c r="AF73" s="219"/>
      <x:c r="AG73" s="219"/>
      <x:c r="AH73" s="219"/>
      <x:c r="AI73" s="219"/>
      <x:c r="AJ73" s="219"/>
      <x:c r="AK73" s="220">
        <x:f>+COUNTIF(F73:AJ73,"X")+COUNTIF(F73:AJ73,"E")</x:f>
      </x:c>
      <x:c r="AL73" s="221">
        <x:f>+COUNTIF(F73:AJ73,"R")+COUNTIF(F73:AJ73,"T")+COUNTIF(F73:AJ73,"İ")</x:f>
      </x:c>
      <x:c r="AM73" s="221">
        <x:f>+COUNTIF(F73:AJ73,"İ")</x:f>
      </x:c>
      <x:c r="AN73" s="222"/>
      <x:c r="AO73" s="222"/>
      <x:c r="AP73" s="228"/>
      <x:c r="AQ73" s="228"/>
      <x:c r="AR73" s="228"/>
      <x:c r="AS73" s="228"/>
      <x:c r="AT73" s="230"/>
    </x:row>
    <x:row r="74" spans="1:47" ht="19.9" customHeight="1" x14ac:dyDescent="0.25">
      <x:c r="A74" s="215"/>
      <x:c r="B74" s="216">
        <x:v>69</x:v>
      </x:c>
      <x:c r="C74" s="217"/>
      <x:c r="D74" s="215"/>
      <x:c r="E74" s="218"/>
      <x:c r="F74" s="219"/>
      <x:c r="G74" s="219"/>
      <x:c r="H74" s="219"/>
      <x:c r="I74" s="219"/>
      <x:c r="J74" s="219"/>
      <x:c r="K74" s="219"/>
      <x:c r="L74" s="219"/>
      <x:c r="M74" s="219"/>
      <x:c r="N74" s="219"/>
      <x:c r="O74" s="219"/>
      <x:c r="P74" s="219"/>
      <x:c r="Q74" s="219"/>
      <x:c r="R74" s="219"/>
      <x:c r="S74" s="219"/>
      <x:c r="T74" s="219"/>
      <x:c r="U74" s="219"/>
      <x:c r="V74" s="219"/>
      <x:c r="W74" s="219"/>
      <x:c r="X74" s="219"/>
      <x:c r="Y74" s="219"/>
      <x:c r="Z74" s="219"/>
      <x:c r="AA74" s="219"/>
      <x:c r="AB74" s="219"/>
      <x:c r="AC74" s="219"/>
      <x:c r="AD74" s="219"/>
      <x:c r="AE74" s="219"/>
      <x:c r="AF74" s="219"/>
      <x:c r="AG74" s="219"/>
      <x:c r="AH74" s="219"/>
      <x:c r="AI74" s="219"/>
      <x:c r="AJ74" s="219"/>
      <x:c r="AK74" s="220">
        <x:f>+COUNTIF(F74:AJ74,"X")+COUNTIF(F74:AJ74,"E")</x:f>
      </x:c>
      <x:c r="AL74" s="221">
        <x:f>+COUNTIF(F74:AJ74,"R")+COUNTIF(F74:AJ74,"T")+COUNTIF(F74:AJ74,"İ")</x:f>
      </x:c>
      <x:c r="AM74" s="221">
        <x:f>+COUNTIF(F74:AJ74,"İ")</x:f>
      </x:c>
      <x:c r="AN74" s="222"/>
      <x:c r="AO74" s="222"/>
      <x:c r="AP74" s="228"/>
      <x:c r="AQ74" s="228"/>
      <x:c r="AR74" s="228"/>
      <x:c r="AS74" s="228"/>
      <x:c r="AT74" s="230"/>
    </x:row>
    <x:row r="75" spans="1:47" ht="19.9" customHeight="1" x14ac:dyDescent="0.25">
      <x:c r="A75" s="215"/>
      <x:c r="B75" s="216">
        <x:v>70</x:v>
      </x:c>
      <x:c r="C75" s="217"/>
      <x:c r="D75" s="215"/>
      <x:c r="E75" s="218"/>
      <x:c r="F75" s="219"/>
      <x:c r="G75" s="219"/>
      <x:c r="H75" s="219"/>
      <x:c r="I75" s="219"/>
      <x:c r="J75" s="219"/>
      <x:c r="K75" s="219"/>
      <x:c r="L75" s="219"/>
      <x:c r="M75" s="219"/>
      <x:c r="N75" s="219"/>
      <x:c r="O75" s="219"/>
      <x:c r="P75" s="219"/>
      <x:c r="Q75" s="219"/>
      <x:c r="R75" s="219"/>
      <x:c r="S75" s="219"/>
      <x:c r="T75" s="219"/>
      <x:c r="U75" s="219"/>
      <x:c r="V75" s="219"/>
      <x:c r="W75" s="219"/>
      <x:c r="X75" s="219"/>
      <x:c r="Y75" s="219"/>
      <x:c r="Z75" s="219"/>
      <x:c r="AA75" s="219"/>
      <x:c r="AB75" s="219"/>
      <x:c r="AC75" s="219"/>
      <x:c r="AD75" s="219"/>
      <x:c r="AE75" s="219"/>
      <x:c r="AF75" s="219"/>
      <x:c r="AG75" s="219"/>
      <x:c r="AH75" s="219"/>
      <x:c r="AI75" s="219"/>
      <x:c r="AJ75" s="219"/>
      <x:c r="AK75" s="220">
        <x:f>+COUNTIF(F75:AJ75,"X")+COUNTIF(F75:AJ75,"E")</x:f>
      </x:c>
      <x:c r="AL75" s="221">
        <x:f>+COUNTIF(F75:AJ75,"R")+COUNTIF(F75:AJ75,"T")+COUNTIF(F75:AJ75,"İ")</x:f>
      </x:c>
      <x:c r="AM75" s="221">
        <x:f>+COUNTIF(F75:AJ75,"İ")</x:f>
      </x:c>
      <x:c r="AN75" s="222"/>
      <x:c r="AO75" s="222"/>
      <x:c r="AP75" s="228"/>
      <x:c r="AQ75" s="228"/>
      <x:c r="AR75" s="228"/>
      <x:c r="AS75" s="228"/>
      <x:c r="AT75" s="233"/>
    </x:row>
    <x:row r="76" spans="1:47" ht="19.9" customHeight="1" x14ac:dyDescent="0.25">
      <x:c r="A76" s="215"/>
      <x:c r="B76" s="216">
        <x:v>71</x:v>
      </x:c>
      <x:c r="C76" s="217"/>
      <x:c r="D76" s="215"/>
      <x:c r="E76" s="218"/>
      <x:c r="F76" s="219"/>
      <x:c r="G76" s="219"/>
      <x:c r="H76" s="219"/>
      <x:c r="I76" s="219"/>
      <x:c r="J76" s="219"/>
      <x:c r="K76" s="219"/>
      <x:c r="L76" s="219"/>
      <x:c r="M76" s="219"/>
      <x:c r="N76" s="219"/>
      <x:c r="O76" s="219"/>
      <x:c r="P76" s="219"/>
      <x:c r="Q76" s="219"/>
      <x:c r="R76" s="219"/>
      <x:c r="S76" s="219"/>
      <x:c r="T76" s="219"/>
      <x:c r="U76" s="219"/>
      <x:c r="V76" s="219"/>
      <x:c r="W76" s="219"/>
      <x:c r="X76" s="219"/>
      <x:c r="Y76" s="219"/>
      <x:c r="Z76" s="219"/>
      <x:c r="AA76" s="219"/>
      <x:c r="AB76" s="219"/>
      <x:c r="AC76" s="219"/>
      <x:c r="AD76" s="219"/>
      <x:c r="AE76" s="219"/>
      <x:c r="AF76" s="219"/>
      <x:c r="AG76" s="219"/>
      <x:c r="AH76" s="219"/>
      <x:c r="AI76" s="219"/>
      <x:c r="AJ76" s="219"/>
      <x:c r="AK76" s="220">
        <x:f>+COUNTIF(F76:AJ76,"X")+COUNTIF(F76:AJ76,"E")</x:f>
      </x:c>
      <x:c r="AL76" s="221">
        <x:f>+COUNTIF(F76:AJ76,"R")+COUNTIF(F76:AJ76,"T")+COUNTIF(F76:AJ76,"İ")</x:f>
      </x:c>
      <x:c r="AM76" s="221">
        <x:f>+COUNTIF(F76:AJ76,"İ")</x:f>
      </x:c>
      <x:c r="AN76" s="222"/>
      <x:c r="AO76" s="222"/>
      <x:c r="AP76" s="228"/>
      <x:c r="AQ76" s="228"/>
      <x:c r="AR76" s="228"/>
      <x:c r="AS76" s="228"/>
      <x:c r="AT76" s="230"/>
    </x:row>
    <x:row r="77" spans="1:47" ht="19.9" customHeight="1" x14ac:dyDescent="0.25">
      <x:c r="A77" s="215"/>
      <x:c r="B77" s="216">
        <x:v>72</x:v>
      </x:c>
      <x:c r="C77" s="217"/>
      <x:c r="D77" s="215"/>
      <x:c r="E77" s="218"/>
      <x:c r="F77" s="219"/>
      <x:c r="G77" s="219"/>
      <x:c r="H77" s="219"/>
      <x:c r="I77" s="219"/>
      <x:c r="J77" s="219"/>
      <x:c r="K77" s="219"/>
      <x:c r="L77" s="219"/>
      <x:c r="M77" s="219"/>
      <x:c r="N77" s="219"/>
      <x:c r="O77" s="219"/>
      <x:c r="P77" s="219"/>
      <x:c r="Q77" s="219"/>
      <x:c r="R77" s="219"/>
      <x:c r="S77" s="219"/>
      <x:c r="T77" s="219"/>
      <x:c r="U77" s="219"/>
      <x:c r="V77" s="219"/>
      <x:c r="W77" s="219"/>
      <x:c r="X77" s="219"/>
      <x:c r="Y77" s="219"/>
      <x:c r="Z77" s="219"/>
      <x:c r="AA77" s="219"/>
      <x:c r="AB77" s="219"/>
      <x:c r="AC77" s="219"/>
      <x:c r="AD77" s="219"/>
      <x:c r="AE77" s="219"/>
      <x:c r="AF77" s="219"/>
      <x:c r="AG77" s="219"/>
      <x:c r="AH77" s="219"/>
      <x:c r="AI77" s="219"/>
      <x:c r="AJ77" s="219"/>
      <x:c r="AK77" s="220">
        <x:f>+COUNTIF(F77:AJ77,"X")+COUNTIF(F77:AJ77,"E")</x:f>
      </x:c>
      <x:c r="AL77" s="221">
        <x:f>+COUNTIF(F77:AJ77,"R")+COUNTIF(F77:AJ77,"T")+COUNTIF(F77:AJ77,"İ")</x:f>
      </x:c>
      <x:c r="AM77" s="221">
        <x:f>+COUNTIF(F77:AJ77,"İ")</x:f>
      </x:c>
      <x:c r="AN77" s="222"/>
      <x:c r="AO77" s="222"/>
      <x:c r="AP77" s="228"/>
      <x:c r="AQ77" s="228"/>
      <x:c r="AR77" s="228"/>
      <x:c r="AS77" s="228"/>
      <x:c r="AT77" s="230"/>
    </x:row>
    <x:row r="78" spans="1:47" ht="19.9" customHeight="1" x14ac:dyDescent="0.25">
      <x:c r="A78" s="215"/>
      <x:c r="B78" s="216">
        <x:v>73</x:v>
      </x:c>
      <x:c r="C78" s="217"/>
      <x:c r="D78" s="215"/>
      <x:c r="E78" s="218"/>
      <x:c r="F78" s="219"/>
      <x:c r="G78" s="219"/>
      <x:c r="H78" s="219"/>
      <x:c r="I78" s="219"/>
      <x:c r="J78" s="219"/>
      <x:c r="K78" s="219"/>
      <x:c r="L78" s="219"/>
      <x:c r="M78" s="219"/>
      <x:c r="N78" s="219"/>
      <x:c r="O78" s="219"/>
      <x:c r="P78" s="219"/>
      <x:c r="Q78" s="219"/>
      <x:c r="R78" s="219"/>
      <x:c r="S78" s="219"/>
      <x:c r="T78" s="219"/>
      <x:c r="U78" s="219"/>
      <x:c r="V78" s="219"/>
      <x:c r="W78" s="219"/>
      <x:c r="X78" s="219"/>
      <x:c r="Y78" s="219"/>
      <x:c r="Z78" s="219"/>
      <x:c r="AA78" s="219"/>
      <x:c r="AB78" s="219"/>
      <x:c r="AC78" s="219"/>
      <x:c r="AD78" s="219"/>
      <x:c r="AE78" s="219"/>
      <x:c r="AF78" s="219"/>
      <x:c r="AG78" s="219"/>
      <x:c r="AH78" s="219"/>
      <x:c r="AI78" s="219"/>
      <x:c r="AJ78" s="219"/>
      <x:c r="AK78" s="220">
        <x:f>+COUNTIF(F78:AJ78,"X")+COUNTIF(F78:AJ78,"E")</x:f>
      </x:c>
      <x:c r="AL78" s="221">
        <x:f>+COUNTIF(F78:AJ78,"R")+COUNTIF(F78:AJ78,"T")+COUNTIF(F78:AJ78,"İ")</x:f>
      </x:c>
      <x:c r="AM78" s="221">
        <x:f>+COUNTIF(F78:AJ78,"İ")</x:f>
      </x:c>
      <x:c r="AN78" s="222"/>
      <x:c r="AO78" s="222"/>
      <x:c r="AP78" s="228"/>
      <x:c r="AQ78" s="228"/>
      <x:c r="AR78" s="228"/>
      <x:c r="AS78" s="228"/>
      <x:c r="AT78" s="230"/>
    </x:row>
    <x:row r="79" spans="1:47" ht="19.9" customHeight="1" x14ac:dyDescent="0.25">
      <x:c r="A79" s="215"/>
      <x:c r="B79" s="216">
        <x:v>74</x:v>
      </x:c>
      <x:c r="C79" s="217"/>
      <x:c r="D79" s="215"/>
      <x:c r="E79" s="218"/>
      <x:c r="F79" s="219"/>
      <x:c r="G79" s="219"/>
      <x:c r="H79" s="219"/>
      <x:c r="I79" s="219"/>
      <x:c r="J79" s="219"/>
      <x:c r="K79" s="219"/>
      <x:c r="L79" s="219"/>
      <x:c r="M79" s="219"/>
      <x:c r="N79" s="219"/>
      <x:c r="O79" s="219"/>
      <x:c r="P79" s="219"/>
      <x:c r="Q79" s="219"/>
      <x:c r="R79" s="219"/>
      <x:c r="S79" s="219"/>
      <x:c r="T79" s="219"/>
      <x:c r="U79" s="219"/>
      <x:c r="V79" s="219"/>
      <x:c r="W79" s="219"/>
      <x:c r="X79" s="219"/>
      <x:c r="Y79" s="219"/>
      <x:c r="Z79" s="219"/>
      <x:c r="AA79" s="219"/>
      <x:c r="AB79" s="219"/>
      <x:c r="AC79" s="219"/>
      <x:c r="AD79" s="219"/>
      <x:c r="AE79" s="219"/>
      <x:c r="AF79" s="219"/>
      <x:c r="AG79" s="219"/>
      <x:c r="AH79" s="219"/>
      <x:c r="AI79" s="219"/>
      <x:c r="AJ79" s="219"/>
      <x:c r="AK79" s="220">
        <x:f>+COUNTIF(F79:AJ79,"X")+COUNTIF(F79:AJ79,"E")</x:f>
      </x:c>
      <x:c r="AL79" s="221">
        <x:f>+COUNTIF(F79:AJ79,"R")+COUNTIF(F79:AJ79,"T")+COUNTIF(F79:AJ79,"İ")</x:f>
      </x:c>
      <x:c r="AM79" s="221">
        <x:f>+COUNTIF(F79:AJ79,"İ")</x:f>
      </x:c>
      <x:c r="AN79" s="222"/>
      <x:c r="AO79" s="222"/>
      <x:c r="AP79" s="228"/>
      <x:c r="AQ79" s="228"/>
      <x:c r="AR79" s="228"/>
      <x:c r="AS79" s="228"/>
      <x:c r="AT79" s="230"/>
    </x:row>
    <x:row r="80" spans="1:47" ht="19.9" customHeight="1" x14ac:dyDescent="0.25">
      <x:c r="A80" s="215"/>
      <x:c r="B80" s="216">
        <x:v>75</x:v>
      </x:c>
      <x:c r="C80" s="217"/>
      <x:c r="D80" s="215"/>
      <x:c r="E80" s="218"/>
      <x:c r="F80" s="219"/>
      <x:c r="G80" s="219"/>
      <x:c r="H80" s="219"/>
      <x:c r="I80" s="219"/>
      <x:c r="J80" s="219"/>
      <x:c r="K80" s="219"/>
      <x:c r="L80" s="219"/>
      <x:c r="M80" s="219"/>
      <x:c r="N80" s="219"/>
      <x:c r="O80" s="219"/>
      <x:c r="P80" s="219"/>
      <x:c r="Q80" s="219"/>
      <x:c r="R80" s="219"/>
      <x:c r="S80" s="219"/>
      <x:c r="T80" s="219"/>
      <x:c r="U80" s="219"/>
      <x:c r="V80" s="219"/>
      <x:c r="W80" s="219"/>
      <x:c r="X80" s="219"/>
      <x:c r="Y80" s="219"/>
      <x:c r="Z80" s="219"/>
      <x:c r="AA80" s="219"/>
      <x:c r="AB80" s="219"/>
      <x:c r="AC80" s="219"/>
      <x:c r="AD80" s="219"/>
      <x:c r="AE80" s="219"/>
      <x:c r="AF80" s="219"/>
      <x:c r="AG80" s="219"/>
      <x:c r="AH80" s="219"/>
      <x:c r="AI80" s="219"/>
      <x:c r="AJ80" s="219"/>
      <x:c r="AK80" s="220">
        <x:f>+COUNTIF(F80:AJ80,"X")+COUNTIF(F80:AJ80,"E")</x:f>
      </x:c>
      <x:c r="AL80" s="221">
        <x:f>+COUNTIF(F80:AJ80,"R")+COUNTIF(F80:AJ80,"T")+COUNTIF(F80:AJ80,"İ")</x:f>
      </x:c>
      <x:c r="AM80" s="221">
        <x:f>+COUNTIF(F80:AJ80,"İ")</x:f>
      </x:c>
      <x:c r="AN80" s="222"/>
      <x:c r="AO80" s="222"/>
      <x:c r="AP80" s="228"/>
      <x:c r="AQ80" s="228"/>
      <x:c r="AR80" s="228"/>
      <x:c r="AS80" s="228"/>
      <x:c r="AT80" s="230"/>
    </x:row>
    <x:row r="81" spans="1:47" ht="19.9" customHeight="1" x14ac:dyDescent="0.25">
      <x:c r="A81" s="215"/>
      <x:c r="B81" s="216">
        <x:v>76</x:v>
      </x:c>
      <x:c r="C81" s="217"/>
      <x:c r="D81" s="215"/>
      <x:c r="E81" s="218"/>
      <x:c r="F81" s="219"/>
      <x:c r="G81" s="219"/>
      <x:c r="H81" s="219"/>
      <x:c r="I81" s="219"/>
      <x:c r="J81" s="219"/>
      <x:c r="K81" s="219"/>
      <x:c r="L81" s="219"/>
      <x:c r="M81" s="219"/>
      <x:c r="N81" s="219"/>
      <x:c r="O81" s="219"/>
      <x:c r="P81" s="219"/>
      <x:c r="Q81" s="219"/>
      <x:c r="R81" s="219"/>
      <x:c r="S81" s="219"/>
      <x:c r="T81" s="219"/>
      <x:c r="U81" s="219"/>
      <x:c r="V81" s="219"/>
      <x:c r="W81" s="219"/>
      <x:c r="X81" s="219"/>
      <x:c r="Y81" s="219"/>
      <x:c r="Z81" s="219"/>
      <x:c r="AA81" s="219"/>
      <x:c r="AB81" s="219"/>
      <x:c r="AC81" s="219"/>
      <x:c r="AD81" s="219"/>
      <x:c r="AE81" s="219"/>
      <x:c r="AF81" s="219"/>
      <x:c r="AG81" s="219"/>
      <x:c r="AH81" s="219"/>
      <x:c r="AI81" s="219"/>
      <x:c r="AJ81" s="219"/>
      <x:c r="AK81" s="220">
        <x:f>+COUNTIF(F81:AJ81,"X")+COUNTIF(F81:AJ81,"E")</x:f>
      </x:c>
      <x:c r="AL81" s="221">
        <x:f>+COUNTIF(F81:AJ81,"R")+COUNTIF(F81:AJ81,"T")+COUNTIF(F81:AJ81,"İ")</x:f>
      </x:c>
      <x:c r="AM81" s="221">
        <x:f>+COUNTIF(F81:AJ81,"İ")</x:f>
      </x:c>
      <x:c r="AN81" s="222"/>
      <x:c r="AO81" s="222"/>
      <x:c r="AP81" s="228"/>
      <x:c r="AQ81" s="228"/>
      <x:c r="AR81" s="228"/>
      <x:c r="AS81" s="228"/>
      <x:c r="AT81" s="230"/>
    </x:row>
    <x:row r="82" spans="1:47" ht="19.9" customHeight="1" x14ac:dyDescent="0.25">
      <x:c r="A82" s="215"/>
      <x:c r="B82" s="216">
        <x:v>77</x:v>
      </x:c>
      <x:c r="C82" s="217"/>
      <x:c r="D82" s="215"/>
      <x:c r="E82" s="218"/>
      <x:c r="F82" s="219"/>
      <x:c r="G82" s="219"/>
      <x:c r="H82" s="219"/>
      <x:c r="I82" s="219"/>
      <x:c r="J82" s="219"/>
      <x:c r="K82" s="219"/>
      <x:c r="L82" s="219"/>
      <x:c r="M82" s="219"/>
      <x:c r="N82" s="219"/>
      <x:c r="O82" s="219"/>
      <x:c r="P82" s="219"/>
      <x:c r="Q82" s="219"/>
      <x:c r="R82" s="219"/>
      <x:c r="S82" s="219"/>
      <x:c r="T82" s="219"/>
      <x:c r="U82" s="219"/>
      <x:c r="V82" s="219"/>
      <x:c r="W82" s="219"/>
      <x:c r="X82" s="219"/>
      <x:c r="Y82" s="219"/>
      <x:c r="Z82" s="219"/>
      <x:c r="AA82" s="219"/>
      <x:c r="AB82" s="219"/>
      <x:c r="AC82" s="219"/>
      <x:c r="AD82" s="219"/>
      <x:c r="AE82" s="219"/>
      <x:c r="AF82" s="219"/>
      <x:c r="AG82" s="219"/>
      <x:c r="AH82" s="219"/>
      <x:c r="AI82" s="219"/>
      <x:c r="AJ82" s="219"/>
      <x:c r="AK82" s="220">
        <x:f>+COUNTIF(F82:AJ82,"X")+COUNTIF(F82:AJ82,"E")</x:f>
      </x:c>
      <x:c r="AL82" s="221">
        <x:f>+COUNTIF(F82:AJ82,"R")+COUNTIF(F82:AJ82,"T")+COUNTIF(F82:AJ82,"İ")</x:f>
      </x:c>
      <x:c r="AM82" s="221">
        <x:f>+COUNTIF(F82:AJ82,"İ")</x:f>
      </x:c>
      <x:c r="AN82" s="222"/>
      <x:c r="AO82" s="222"/>
      <x:c r="AP82" s="228"/>
      <x:c r="AQ82" s="228"/>
      <x:c r="AR82" s="228"/>
      <x:c r="AS82" s="228"/>
      <x:c r="AT82" s="230"/>
    </x:row>
    <x:row r="83" spans="1:47" ht="19.9" customHeight="1" x14ac:dyDescent="0.25">
      <x:c r="A83" s="215"/>
      <x:c r="B83" s="216">
        <x:v>78</x:v>
      </x:c>
      <x:c r="C83" s="217"/>
      <x:c r="D83" s="215"/>
      <x:c r="E83" s="218"/>
      <x:c r="F83" s="219"/>
      <x:c r="G83" s="219"/>
      <x:c r="H83" s="219"/>
      <x:c r="I83" s="219"/>
      <x:c r="J83" s="219"/>
      <x:c r="K83" s="219"/>
      <x:c r="L83" s="219"/>
      <x:c r="M83" s="219"/>
      <x:c r="N83" s="219"/>
      <x:c r="O83" s="219"/>
      <x:c r="P83" s="219"/>
      <x:c r="Q83" s="219"/>
      <x:c r="R83" s="219"/>
      <x:c r="S83" s="219"/>
      <x:c r="T83" s="219"/>
      <x:c r="U83" s="219"/>
      <x:c r="V83" s="219"/>
      <x:c r="W83" s="219"/>
      <x:c r="X83" s="219"/>
      <x:c r="Y83" s="219"/>
      <x:c r="Z83" s="219"/>
      <x:c r="AA83" s="219"/>
      <x:c r="AB83" s="219"/>
      <x:c r="AC83" s="219"/>
      <x:c r="AD83" s="219"/>
      <x:c r="AE83" s="219"/>
      <x:c r="AF83" s="219"/>
      <x:c r="AG83" s="219"/>
      <x:c r="AH83" s="219"/>
      <x:c r="AI83" s="219"/>
      <x:c r="AJ83" s="219"/>
      <x:c r="AK83" s="220">
        <x:f>+COUNTIF(F83:AJ83,"X")+COUNTIF(F83:AJ83,"E")</x:f>
      </x:c>
      <x:c r="AL83" s="221">
        <x:f>+COUNTIF(F83:AJ83,"R")+COUNTIF(F83:AJ83,"T")+COUNTIF(F83:AJ83,"İ")</x:f>
      </x:c>
      <x:c r="AM83" s="221">
        <x:f>+COUNTIF(F83:AJ83,"İ")</x:f>
      </x:c>
      <x:c r="AN83" s="222"/>
      <x:c r="AO83" s="222"/>
      <x:c r="AP83" s="228"/>
      <x:c r="AQ83" s="228"/>
      <x:c r="AR83" s="228"/>
      <x:c r="AS83" s="228"/>
      <x:c r="AT83" s="230"/>
    </x:row>
    <x:row r="84" spans="1:47" ht="19.9" customHeight="1" x14ac:dyDescent="0.25">
      <x:c r="A84" s="215"/>
      <x:c r="B84" s="216">
        <x:v>79</x:v>
      </x:c>
      <x:c r="C84" s="217"/>
      <x:c r="D84" s="215"/>
      <x:c r="E84" s="218"/>
      <x:c r="F84" s="219"/>
      <x:c r="G84" s="219"/>
      <x:c r="H84" s="219"/>
      <x:c r="I84" s="219"/>
      <x:c r="J84" s="219"/>
      <x:c r="K84" s="219"/>
      <x:c r="L84" s="219"/>
      <x:c r="M84" s="219"/>
      <x:c r="N84" s="219"/>
      <x:c r="O84" s="219"/>
      <x:c r="P84" s="219"/>
      <x:c r="Q84" s="219"/>
      <x:c r="R84" s="219"/>
      <x:c r="S84" s="219"/>
      <x:c r="T84" s="219"/>
      <x:c r="U84" s="219"/>
      <x:c r="V84" s="219"/>
      <x:c r="W84" s="219"/>
      <x:c r="X84" s="219"/>
      <x:c r="Y84" s="219"/>
      <x:c r="Z84" s="219"/>
      <x:c r="AA84" s="219"/>
      <x:c r="AB84" s="219"/>
      <x:c r="AC84" s="219"/>
      <x:c r="AD84" s="219"/>
      <x:c r="AE84" s="219"/>
      <x:c r="AF84" s="219"/>
      <x:c r="AG84" s="219"/>
      <x:c r="AH84" s="219"/>
      <x:c r="AI84" s="219"/>
      <x:c r="AJ84" s="219"/>
      <x:c r="AK84" s="220">
        <x:f>+COUNTIF(F84:AJ84,"X")+COUNTIF(F84:AJ84,"E")</x:f>
      </x:c>
      <x:c r="AL84" s="221">
        <x:f>+COUNTIF(F84:AJ84,"R")+COUNTIF(F84:AJ84,"T")+COUNTIF(F84:AJ84,"İ")</x:f>
      </x:c>
      <x:c r="AM84" s="221">
        <x:f>+COUNTIF(F84:AJ84,"İ")</x:f>
      </x:c>
      <x:c r="AN84" s="222"/>
      <x:c r="AO84" s="222"/>
      <x:c r="AP84" s="228"/>
      <x:c r="AQ84" s="228"/>
      <x:c r="AR84" s="228"/>
      <x:c r="AS84" s="228"/>
      <x:c r="AT84" s="230"/>
    </x:row>
    <x:row r="85" spans="1:47" ht="19.9" customHeight="1" x14ac:dyDescent="0.25">
      <x:c r="A85" s="215"/>
      <x:c r="B85" s="216">
        <x:v>80</x:v>
      </x:c>
      <x:c r="C85" s="217"/>
      <x:c r="D85" s="215"/>
      <x:c r="E85" s="218"/>
      <x:c r="F85" s="219"/>
      <x:c r="G85" s="219"/>
      <x:c r="H85" s="219"/>
      <x:c r="I85" s="219"/>
      <x:c r="J85" s="219"/>
      <x:c r="K85" s="219"/>
      <x:c r="L85" s="219"/>
      <x:c r="M85" s="219"/>
      <x:c r="N85" s="219"/>
      <x:c r="O85" s="219"/>
      <x:c r="P85" s="219"/>
      <x:c r="Q85" s="219"/>
      <x:c r="R85" s="219"/>
      <x:c r="S85" s="219"/>
      <x:c r="T85" s="219"/>
      <x:c r="U85" s="219"/>
      <x:c r="V85" s="219"/>
      <x:c r="W85" s="219"/>
      <x:c r="X85" s="219"/>
      <x:c r="Y85" s="219"/>
      <x:c r="Z85" s="219"/>
      <x:c r="AA85" s="219"/>
      <x:c r="AB85" s="219"/>
      <x:c r="AC85" s="219"/>
      <x:c r="AD85" s="219"/>
      <x:c r="AE85" s="219"/>
      <x:c r="AF85" s="219"/>
      <x:c r="AG85" s="219"/>
      <x:c r="AH85" s="219"/>
      <x:c r="AI85" s="219"/>
      <x:c r="AJ85" s="219"/>
      <x:c r="AK85" s="220">
        <x:f>+COUNTIF(F85:AJ85,"X")+COUNTIF(F85:AJ85,"E")</x:f>
      </x:c>
      <x:c r="AL85" s="221">
        <x:f>+COUNTIF(F85:AJ85,"R")+COUNTIF(F85:AJ85,"T")+COUNTIF(F85:AJ85,"İ")</x:f>
      </x:c>
      <x:c r="AM85" s="221">
        <x:f>+COUNTIF(F85:AJ85,"İ")</x:f>
      </x:c>
      <x:c r="AN85" s="222"/>
      <x:c r="AO85" s="222"/>
      <x:c r="AP85" s="228"/>
      <x:c r="AQ85" s="228"/>
      <x:c r="AR85" s="228"/>
      <x:c r="AS85" s="228"/>
      <x:c r="AT85" s="230"/>
    </x:row>
    <x:row r="86" spans="1:47" ht="19.9" customHeight="1" x14ac:dyDescent="0.25">
      <x:c r="A86" s="215"/>
      <x:c r="B86" s="216">
        <x:v>81</x:v>
      </x:c>
      <x:c r="C86" s="217"/>
      <x:c r="D86" s="215"/>
      <x:c r="E86" s="218"/>
      <x:c r="F86" s="219"/>
      <x:c r="G86" s="219"/>
      <x:c r="H86" s="219"/>
      <x:c r="I86" s="219"/>
      <x:c r="J86" s="219"/>
      <x:c r="K86" s="219"/>
      <x:c r="L86" s="219"/>
      <x:c r="M86" s="219"/>
      <x:c r="N86" s="219"/>
      <x:c r="O86" s="219"/>
      <x:c r="P86" s="219"/>
      <x:c r="Q86" s="219"/>
      <x:c r="R86" s="219"/>
      <x:c r="S86" s="219"/>
      <x:c r="T86" s="219"/>
      <x:c r="U86" s="219"/>
      <x:c r="V86" s="219"/>
      <x:c r="W86" s="219"/>
      <x:c r="X86" s="219"/>
      <x:c r="Y86" s="219"/>
      <x:c r="Z86" s="219"/>
      <x:c r="AA86" s="219"/>
      <x:c r="AB86" s="219"/>
      <x:c r="AC86" s="219"/>
      <x:c r="AD86" s="219"/>
      <x:c r="AE86" s="219"/>
      <x:c r="AF86" s="219"/>
      <x:c r="AG86" s="219"/>
      <x:c r="AH86" s="219"/>
      <x:c r="AI86" s="219"/>
      <x:c r="AJ86" s="219"/>
      <x:c r="AK86" s="220">
        <x:f>+COUNTIF(F86:AJ86,"X")+COUNTIF(F86:AJ86,"E")</x:f>
      </x:c>
      <x:c r="AL86" s="221">
        <x:f>+COUNTIF(F86:AJ86,"R")+COUNTIF(F86:AJ86,"T")+COUNTIF(F86:AJ86,"İ")</x:f>
      </x:c>
      <x:c r="AM86" s="221">
        <x:f>+COUNTIF(F86:AJ86,"İ")</x:f>
      </x:c>
      <x:c r="AN86" s="222"/>
      <x:c r="AO86" s="222"/>
      <x:c r="AP86" s="228"/>
      <x:c r="AQ86" s="228"/>
      <x:c r="AR86" s="228"/>
      <x:c r="AS86" s="228"/>
      <x:c r="AT86" s="230"/>
    </x:row>
    <x:row r="87" spans="1:47" ht="19.9" customHeight="1" x14ac:dyDescent="0.25">
      <x:c r="A87" s="215"/>
      <x:c r="B87" s="216">
        <x:v>82</x:v>
      </x:c>
      <x:c r="C87" s="217"/>
      <x:c r="D87" s="215"/>
      <x:c r="E87" s="218"/>
      <x:c r="F87" s="219"/>
      <x:c r="G87" s="219"/>
      <x:c r="H87" s="219"/>
      <x:c r="I87" s="219"/>
      <x:c r="J87" s="219"/>
      <x:c r="K87" s="219"/>
      <x:c r="L87" s="219"/>
      <x:c r="M87" s="219"/>
      <x:c r="N87" s="219"/>
      <x:c r="O87" s="219"/>
      <x:c r="P87" s="219"/>
      <x:c r="Q87" s="219"/>
      <x:c r="R87" s="219"/>
      <x:c r="S87" s="219"/>
      <x:c r="T87" s="219"/>
      <x:c r="U87" s="219"/>
      <x:c r="V87" s="219"/>
      <x:c r="W87" s="219"/>
      <x:c r="X87" s="219"/>
      <x:c r="Y87" s="219"/>
      <x:c r="Z87" s="219"/>
      <x:c r="AA87" s="219"/>
      <x:c r="AB87" s="219"/>
      <x:c r="AC87" s="219"/>
      <x:c r="AD87" s="219"/>
      <x:c r="AE87" s="219"/>
      <x:c r="AF87" s="219"/>
      <x:c r="AG87" s="219"/>
      <x:c r="AH87" s="219"/>
      <x:c r="AI87" s="219"/>
      <x:c r="AJ87" s="219"/>
      <x:c r="AK87" s="220">
        <x:f>+COUNTIF(F87:AJ87,"X")+COUNTIF(F87:AJ87,"E")</x:f>
      </x:c>
      <x:c r="AL87" s="221">
        <x:f>+COUNTIF(F87:AJ87,"R")+COUNTIF(F87:AJ87,"T")+COUNTIF(F87:AJ87,"İ")</x:f>
      </x:c>
      <x:c r="AM87" s="221">
        <x:f>+COUNTIF(F87:AJ87,"İ")</x:f>
      </x:c>
      <x:c r="AN87" s="222"/>
      <x:c r="AO87" s="222"/>
      <x:c r="AP87" s="228"/>
      <x:c r="AQ87" s="228"/>
      <x:c r="AR87" s="228"/>
      <x:c r="AS87" s="228"/>
      <x:c r="AT87" s="230"/>
    </x:row>
    <x:row r="88" spans="1:47" ht="19.9" customHeight="1" x14ac:dyDescent="0.25">
      <x:c r="A88" s="215"/>
      <x:c r="B88" s="216">
        <x:v>83</x:v>
      </x:c>
      <x:c r="C88" s="217"/>
      <x:c r="D88" s="215"/>
      <x:c r="E88" s="218"/>
      <x:c r="F88" s="219"/>
      <x:c r="G88" s="219"/>
      <x:c r="H88" s="219"/>
      <x:c r="I88" s="219"/>
      <x:c r="J88" s="219"/>
      <x:c r="K88" s="219"/>
      <x:c r="L88" s="219"/>
      <x:c r="M88" s="219"/>
      <x:c r="N88" s="219"/>
      <x:c r="O88" s="219"/>
      <x:c r="P88" s="219"/>
      <x:c r="Q88" s="219"/>
      <x:c r="R88" s="219"/>
      <x:c r="S88" s="219"/>
      <x:c r="T88" s="219"/>
      <x:c r="U88" s="219"/>
      <x:c r="V88" s="219"/>
      <x:c r="W88" s="219"/>
      <x:c r="X88" s="219"/>
      <x:c r="Y88" s="219"/>
      <x:c r="Z88" s="219"/>
      <x:c r="AA88" s="219"/>
      <x:c r="AB88" s="219"/>
      <x:c r="AC88" s="219"/>
      <x:c r="AD88" s="219"/>
      <x:c r="AE88" s="219"/>
      <x:c r="AF88" s="219"/>
      <x:c r="AG88" s="219"/>
      <x:c r="AH88" s="219"/>
      <x:c r="AI88" s="219"/>
      <x:c r="AJ88" s="219"/>
      <x:c r="AK88" s="220">
        <x:f>+COUNTIF(F88:AJ88,"X")+COUNTIF(F88:AJ88,"E")</x:f>
      </x:c>
      <x:c r="AL88" s="221">
        <x:f>+COUNTIF(F88:AJ88,"R")+COUNTIF(F88:AJ88,"T")+COUNTIF(F88:AJ88,"İ")</x:f>
      </x:c>
      <x:c r="AM88" s="221">
        <x:f>+COUNTIF(F88:AJ88,"İ")</x:f>
      </x:c>
      <x:c r="AN88" s="222"/>
      <x:c r="AO88" s="222"/>
      <x:c r="AP88" s="228"/>
      <x:c r="AQ88" s="228"/>
      <x:c r="AR88" s="228"/>
      <x:c r="AS88" s="228"/>
      <x:c r="AT88" s="230"/>
    </x:row>
    <x:row r="89" spans="1:47" ht="19.9" customHeight="1" x14ac:dyDescent="0.25">
      <x:c r="A89" s="215"/>
      <x:c r="B89" s="216">
        <x:v>84</x:v>
      </x:c>
      <x:c r="C89" s="217"/>
      <x:c r="D89" s="215"/>
      <x:c r="E89" s="218"/>
      <x:c r="F89" s="219"/>
      <x:c r="G89" s="219"/>
      <x:c r="H89" s="219"/>
      <x:c r="I89" s="219"/>
      <x:c r="J89" s="219"/>
      <x:c r="K89" s="219"/>
      <x:c r="L89" s="219"/>
      <x:c r="M89" s="219"/>
      <x:c r="N89" s="219"/>
      <x:c r="O89" s="219"/>
      <x:c r="P89" s="219"/>
      <x:c r="Q89" s="219"/>
      <x:c r="R89" s="219"/>
      <x:c r="S89" s="219"/>
      <x:c r="T89" s="219"/>
      <x:c r="U89" s="219"/>
      <x:c r="V89" s="219"/>
      <x:c r="W89" s="219"/>
      <x:c r="X89" s="219"/>
      <x:c r="Y89" s="219"/>
      <x:c r="Z89" s="219"/>
      <x:c r="AA89" s="219"/>
      <x:c r="AB89" s="219"/>
      <x:c r="AC89" s="219"/>
      <x:c r="AD89" s="219"/>
      <x:c r="AE89" s="219"/>
      <x:c r="AF89" s="219"/>
      <x:c r="AG89" s="219"/>
      <x:c r="AH89" s="219"/>
      <x:c r="AI89" s="219"/>
      <x:c r="AJ89" s="219"/>
      <x:c r="AK89" s="220">
        <x:f>+COUNTIF(F89:AJ89,"X")+COUNTIF(F89:AJ89,"E")</x:f>
      </x:c>
      <x:c r="AL89" s="221">
        <x:f>+COUNTIF(F89:AJ89,"R")+COUNTIF(F89:AJ89,"T")+COUNTIF(F89:AJ89,"İ")</x:f>
      </x:c>
      <x:c r="AM89" s="221">
        <x:f>+COUNTIF(F89:AJ89,"İ")</x:f>
      </x:c>
      <x:c r="AN89" s="222"/>
      <x:c r="AO89" s="222"/>
      <x:c r="AP89" s="228"/>
      <x:c r="AQ89" s="228"/>
      <x:c r="AR89" s="228"/>
      <x:c r="AS89" s="228"/>
      <x:c r="AT89" s="230"/>
    </x:row>
    <x:row r="90" spans="1:47" ht="19.9" customHeight="1" x14ac:dyDescent="0.25">
      <x:c r="A90" s="215"/>
      <x:c r="B90" s="216">
        <x:v>85</x:v>
      </x:c>
      <x:c r="C90" s="217"/>
      <x:c r="D90" s="215"/>
      <x:c r="E90" s="218"/>
      <x:c r="F90" s="219"/>
      <x:c r="G90" s="219"/>
      <x:c r="H90" s="219"/>
      <x:c r="I90" s="219"/>
      <x:c r="J90" s="219"/>
      <x:c r="K90" s="219"/>
      <x:c r="L90" s="219"/>
      <x:c r="M90" s="219"/>
      <x:c r="N90" s="219"/>
      <x:c r="O90" s="219"/>
      <x:c r="P90" s="219"/>
      <x:c r="Q90" s="219"/>
      <x:c r="R90" s="219"/>
      <x:c r="S90" s="219"/>
      <x:c r="T90" s="219"/>
      <x:c r="U90" s="219"/>
      <x:c r="V90" s="219"/>
      <x:c r="W90" s="219"/>
      <x:c r="X90" s="219"/>
      <x:c r="Y90" s="219"/>
      <x:c r="Z90" s="219"/>
      <x:c r="AA90" s="219"/>
      <x:c r="AB90" s="219"/>
      <x:c r="AC90" s="219"/>
      <x:c r="AD90" s="219"/>
      <x:c r="AE90" s="219"/>
      <x:c r="AF90" s="219"/>
      <x:c r="AG90" s="219"/>
      <x:c r="AH90" s="219"/>
      <x:c r="AI90" s="219"/>
      <x:c r="AJ90" s="219"/>
      <x:c r="AK90" s="220">
        <x:f>+COUNTIF(F90:AJ90,"X")+COUNTIF(F90:AJ90,"E")</x:f>
      </x:c>
      <x:c r="AL90" s="221">
        <x:f>+COUNTIF(F90:AJ90,"R")+COUNTIF(F90:AJ90,"T")+COUNTIF(F90:AJ90,"İ")</x:f>
      </x:c>
      <x:c r="AM90" s="221">
        <x:f>+COUNTIF(F90:AJ90,"İ")</x:f>
      </x:c>
      <x:c r="AN90" s="222"/>
      <x:c r="AO90" s="222"/>
      <x:c r="AP90" s="228"/>
      <x:c r="AQ90" s="228"/>
      <x:c r="AR90" s="228"/>
      <x:c r="AS90" s="228"/>
      <x:c r="AT90" s="230"/>
    </x:row>
    <x:row r="91" spans="1:47" ht="19.9" customHeight="1" x14ac:dyDescent="0.25">
      <x:c r="A91" s="215"/>
      <x:c r="B91" s="216">
        <x:v>86</x:v>
      </x:c>
      <x:c r="C91" s="217"/>
      <x:c r="D91" s="215"/>
      <x:c r="E91" s="218"/>
      <x:c r="F91" s="219"/>
      <x:c r="G91" s="219"/>
      <x:c r="H91" s="219"/>
      <x:c r="I91" s="219"/>
      <x:c r="J91" s="219"/>
      <x:c r="K91" s="219"/>
      <x:c r="L91" s="219"/>
      <x:c r="M91" s="219"/>
      <x:c r="N91" s="219"/>
      <x:c r="O91" s="219"/>
      <x:c r="P91" s="219"/>
      <x:c r="Q91" s="219"/>
      <x:c r="R91" s="219"/>
      <x:c r="S91" s="219"/>
      <x:c r="T91" s="219"/>
      <x:c r="U91" s="219"/>
      <x:c r="V91" s="219"/>
      <x:c r="W91" s="219"/>
      <x:c r="X91" s="219"/>
      <x:c r="Y91" s="219"/>
      <x:c r="Z91" s="219"/>
      <x:c r="AA91" s="219"/>
      <x:c r="AB91" s="219"/>
      <x:c r="AC91" s="219"/>
      <x:c r="AD91" s="219"/>
      <x:c r="AE91" s="219"/>
      <x:c r="AF91" s="219"/>
      <x:c r="AG91" s="219"/>
      <x:c r="AH91" s="219"/>
      <x:c r="AI91" s="219"/>
      <x:c r="AJ91" s="219"/>
      <x:c r="AK91" s="220">
        <x:f>+COUNTIF(F91:AJ91,"X")+COUNTIF(F91:AJ91,"E")</x:f>
      </x:c>
      <x:c r="AL91" s="221">
        <x:f>+COUNTIF(F91:AJ91,"R")+COUNTIF(F91:AJ91,"T")+COUNTIF(F91:AJ91,"İ")</x:f>
      </x:c>
      <x:c r="AM91" s="221">
        <x:f>+COUNTIF(F91:AJ91,"İ")</x:f>
      </x:c>
      <x:c r="AN91" s="222"/>
      <x:c r="AO91" s="222"/>
      <x:c r="AP91" s="228"/>
      <x:c r="AQ91" s="228"/>
      <x:c r="AR91" s="228"/>
      <x:c r="AS91" s="228"/>
      <x:c r="AT91" s="230"/>
    </x:row>
    <x:row r="92" spans="1:47" ht="19.9" customHeight="1" x14ac:dyDescent="0.25">
      <x:c r="A92" s="215"/>
      <x:c r="B92" s="216">
        <x:v>87</x:v>
      </x:c>
      <x:c r="C92" s="217"/>
      <x:c r="D92" s="215"/>
      <x:c r="E92" s="218"/>
      <x:c r="F92" s="219"/>
      <x:c r="G92" s="219"/>
      <x:c r="H92" s="219"/>
      <x:c r="I92" s="219"/>
      <x:c r="J92" s="219"/>
      <x:c r="K92" s="219"/>
      <x:c r="L92" s="219"/>
      <x:c r="M92" s="219"/>
      <x:c r="N92" s="219"/>
      <x:c r="O92" s="219"/>
      <x:c r="P92" s="219"/>
      <x:c r="Q92" s="219"/>
      <x:c r="R92" s="219"/>
      <x:c r="S92" s="219"/>
      <x:c r="T92" s="219"/>
      <x:c r="U92" s="219"/>
      <x:c r="V92" s="219"/>
      <x:c r="W92" s="219"/>
      <x:c r="X92" s="219"/>
      <x:c r="Y92" s="219"/>
      <x:c r="Z92" s="219"/>
      <x:c r="AA92" s="219"/>
      <x:c r="AB92" s="219"/>
      <x:c r="AC92" s="219"/>
      <x:c r="AD92" s="219"/>
      <x:c r="AE92" s="219"/>
      <x:c r="AF92" s="219"/>
      <x:c r="AG92" s="219"/>
      <x:c r="AH92" s="219"/>
      <x:c r="AI92" s="219"/>
      <x:c r="AJ92" s="219"/>
      <x:c r="AK92" s="220">
        <x:f>+COUNTIF(F92:AJ92,"X")+COUNTIF(F92:AJ92,"E")</x:f>
      </x:c>
      <x:c r="AL92" s="221">
        <x:f>+COUNTIF(F92:AJ92,"R")+COUNTIF(F92:AJ92,"T")+COUNTIF(F92:AJ92,"İ")</x:f>
      </x:c>
      <x:c r="AM92" s="221">
        <x:f>+COUNTIF(F92:AJ92,"İ")</x:f>
      </x:c>
      <x:c r="AN92" s="222"/>
      <x:c r="AO92" s="222"/>
      <x:c r="AP92" s="228"/>
      <x:c r="AQ92" s="228"/>
      <x:c r="AR92" s="228"/>
      <x:c r="AS92" s="228"/>
      <x:c r="AT92" s="230"/>
    </x:row>
    <x:row r="93" spans="1:47" ht="19.9" customHeight="1" x14ac:dyDescent="0.25">
      <x:c r="A93" s="215"/>
      <x:c r="B93" s="216">
        <x:v>88</x:v>
      </x:c>
      <x:c r="C93" s="217"/>
      <x:c r="D93" s="215"/>
      <x:c r="E93" s="218"/>
      <x:c r="F93" s="219"/>
      <x:c r="G93" s="219"/>
      <x:c r="H93" s="219"/>
      <x:c r="I93" s="219"/>
      <x:c r="J93" s="219"/>
      <x:c r="K93" s="219"/>
      <x:c r="L93" s="219"/>
      <x:c r="M93" s="219"/>
      <x:c r="N93" s="219"/>
      <x:c r="O93" s="219"/>
      <x:c r="P93" s="219"/>
      <x:c r="Q93" s="219"/>
      <x:c r="R93" s="219"/>
      <x:c r="S93" s="219"/>
      <x:c r="T93" s="219"/>
      <x:c r="U93" s="219"/>
      <x:c r="V93" s="219"/>
      <x:c r="W93" s="219"/>
      <x:c r="X93" s="219"/>
      <x:c r="Y93" s="219"/>
      <x:c r="Z93" s="219"/>
      <x:c r="AA93" s="219"/>
      <x:c r="AB93" s="219"/>
      <x:c r="AC93" s="219"/>
      <x:c r="AD93" s="219"/>
      <x:c r="AE93" s="219"/>
      <x:c r="AF93" s="219"/>
      <x:c r="AG93" s="219"/>
      <x:c r="AH93" s="219"/>
      <x:c r="AI93" s="219"/>
      <x:c r="AJ93" s="219"/>
      <x:c r="AK93" s="220">
        <x:f>+COUNTIF(F93:AJ93,"X")+COUNTIF(F93:AJ93,"E")</x:f>
      </x:c>
      <x:c r="AL93" s="221">
        <x:f>+COUNTIF(F93:AJ93,"R")+COUNTIF(F93:AJ93,"T")+COUNTIF(F93:AJ93,"İ")</x:f>
      </x:c>
      <x:c r="AM93" s="221">
        <x:f>+COUNTIF(F93:AJ93,"İ")</x:f>
      </x:c>
      <x:c r="AN93" s="222"/>
      <x:c r="AO93" s="222"/>
      <x:c r="AP93" s="228"/>
      <x:c r="AQ93" s="228"/>
      <x:c r="AR93" s="228"/>
      <x:c r="AS93" s="228"/>
      <x:c r="AT93" s="230"/>
    </x:row>
    <x:row r="94" spans="1:47" ht="19.9" customHeight="1" x14ac:dyDescent="0.25">
      <x:c r="A94" s="234"/>
      <x:c r="B94" s="216">
        <x:v>89</x:v>
      </x:c>
      <x:c r="C94" s="217"/>
      <x:c r="D94" s="215"/>
      <x:c r="E94" s="218"/>
      <x:c r="F94" s="219"/>
      <x:c r="G94" s="219"/>
      <x:c r="H94" s="219"/>
      <x:c r="I94" s="219"/>
      <x:c r="J94" s="219"/>
      <x:c r="K94" s="219"/>
      <x:c r="L94" s="219"/>
      <x:c r="M94" s="219"/>
      <x:c r="N94" s="219"/>
      <x:c r="O94" s="219"/>
      <x:c r="P94" s="219"/>
      <x:c r="Q94" s="219"/>
      <x:c r="R94" s="219"/>
      <x:c r="S94" s="219"/>
      <x:c r="T94" s="219"/>
      <x:c r="U94" s="219"/>
      <x:c r="V94" s="219"/>
      <x:c r="W94" s="219"/>
      <x:c r="X94" s="219"/>
      <x:c r="Y94" s="219"/>
      <x:c r="Z94" s="219"/>
      <x:c r="AA94" s="219"/>
      <x:c r="AB94" s="219"/>
      <x:c r="AC94" s="219"/>
      <x:c r="AD94" s="219"/>
      <x:c r="AE94" s="219"/>
      <x:c r="AF94" s="219"/>
      <x:c r="AG94" s="219"/>
      <x:c r="AH94" s="219"/>
      <x:c r="AI94" s="219"/>
      <x:c r="AJ94" s="219"/>
      <x:c r="AK94" s="220">
        <x:f>+COUNTIF(F94:AJ94,"X")+COUNTIF(F94:AJ94,"E")</x:f>
      </x:c>
      <x:c r="AL94" s="221">
        <x:f>+COUNTIF(F94:AJ94,"R")+COUNTIF(F94:AJ94,"T")+COUNTIF(F94:AJ94,"İ")</x:f>
      </x:c>
      <x:c r="AM94" s="221">
        <x:f>+COUNTIF(F94:AJ94,"İ")</x:f>
      </x:c>
      <x:c r="AN94" s="222"/>
      <x:c r="AO94" s="222"/>
      <x:c r="AP94" s="228"/>
      <x:c r="AQ94" s="228"/>
      <x:c r="AR94" s="228"/>
      <x:c r="AS94" s="228"/>
      <x:c r="AT94" s="230"/>
    </x:row>
    <x:row r="95" spans="1:47" ht="19.9" customHeight="1" x14ac:dyDescent="0.25">
      <x:c r="A95" s="215"/>
      <x:c r="B95" s="216">
        <x:v>90</x:v>
      </x:c>
      <x:c r="C95" s="217"/>
      <x:c r="D95" s="215"/>
      <x:c r="E95" s="218"/>
      <x:c r="F95" s="219"/>
      <x:c r="G95" s="219"/>
      <x:c r="H95" s="219"/>
      <x:c r="I95" s="219"/>
      <x:c r="J95" s="219"/>
      <x:c r="K95" s="219"/>
      <x:c r="L95" s="219"/>
      <x:c r="M95" s="219"/>
      <x:c r="N95" s="219"/>
      <x:c r="O95" s="219"/>
      <x:c r="P95" s="219"/>
      <x:c r="Q95" s="219"/>
      <x:c r="R95" s="219"/>
      <x:c r="S95" s="219"/>
      <x:c r="T95" s="219"/>
      <x:c r="U95" s="219"/>
      <x:c r="V95" s="219"/>
      <x:c r="W95" s="219"/>
      <x:c r="X95" s="219"/>
      <x:c r="Y95" s="219"/>
      <x:c r="Z95" s="219"/>
      <x:c r="AA95" s="219"/>
      <x:c r="AB95" s="219"/>
      <x:c r="AC95" s="219"/>
      <x:c r="AD95" s="219"/>
      <x:c r="AE95" s="219"/>
      <x:c r="AF95" s="219"/>
      <x:c r="AG95" s="219"/>
      <x:c r="AH95" s="219"/>
      <x:c r="AI95" s="219"/>
      <x:c r="AJ95" s="219"/>
      <x:c r="AK95" s="220">
        <x:f>+COUNTIF(F95:AJ95,"X")+COUNTIF(F95:AJ95,"E")</x:f>
      </x:c>
      <x:c r="AL95" s="221">
        <x:f>+COUNTIF(F95:AJ95,"R")+COUNTIF(F95:AJ95,"T")+COUNTIF(F95:AJ95,"İ")</x:f>
      </x:c>
      <x:c r="AM95" s="221">
        <x:f>+COUNTIF(F95:AJ95,"İ")</x:f>
      </x:c>
      <x:c r="AN95" s="222"/>
      <x:c r="AO95" s="222"/>
      <x:c r="AP95" s="228"/>
      <x:c r="AQ95" s="228"/>
      <x:c r="AR95" s="228"/>
      <x:c r="AS95" s="228"/>
      <x:c r="AT95" s="230"/>
    </x:row>
    <x:row r="96" spans="1:47" ht="19.9" customHeight="1" x14ac:dyDescent="0.25">
      <x:c r="A96" s="215"/>
      <x:c r="B96" s="216">
        <x:v>91</x:v>
      </x:c>
      <x:c r="C96" s="217"/>
      <x:c r="D96" s="215"/>
      <x:c r="E96" s="218"/>
      <x:c r="F96" s="219"/>
      <x:c r="G96" s="219"/>
      <x:c r="H96" s="219"/>
      <x:c r="I96" s="219"/>
      <x:c r="J96" s="219"/>
      <x:c r="K96" s="219"/>
      <x:c r="L96" s="219"/>
      <x:c r="M96" s="219"/>
      <x:c r="N96" s="219"/>
      <x:c r="O96" s="219"/>
      <x:c r="P96" s="219"/>
      <x:c r="Q96" s="219"/>
      <x:c r="R96" s="219"/>
      <x:c r="S96" s="219"/>
      <x:c r="T96" s="219"/>
      <x:c r="U96" s="219"/>
      <x:c r="V96" s="219"/>
      <x:c r="W96" s="219"/>
      <x:c r="X96" s="219"/>
      <x:c r="Y96" s="219"/>
      <x:c r="Z96" s="219"/>
      <x:c r="AA96" s="219"/>
      <x:c r="AB96" s="219"/>
      <x:c r="AC96" s="219"/>
      <x:c r="AD96" s="219"/>
      <x:c r="AE96" s="219"/>
      <x:c r="AF96" s="219"/>
      <x:c r="AG96" s="219"/>
      <x:c r="AH96" s="219"/>
      <x:c r="AI96" s="219"/>
      <x:c r="AJ96" s="219"/>
      <x:c r="AK96" s="220">
        <x:f>+COUNTIF(F96:AJ96,"X")+COUNTIF(F96:AJ96,"E")</x:f>
      </x:c>
      <x:c r="AL96" s="221">
        <x:f>+COUNTIF(F96:AJ96,"R")+COUNTIF(F96:AJ96,"T")+COUNTIF(F96:AJ96,"İ")</x:f>
      </x:c>
      <x:c r="AM96" s="221">
        <x:f>+COUNTIF(F96:AJ96,"İ")</x:f>
      </x:c>
      <x:c r="AN96" s="222"/>
      <x:c r="AO96" s="222"/>
      <x:c r="AP96" s="228"/>
      <x:c r="AQ96" s="228"/>
      <x:c r="AR96" s="228"/>
      <x:c r="AS96" s="228"/>
      <x:c r="AT96" s="230"/>
    </x:row>
    <x:row r="97" spans="1:47" ht="19.9" customHeight="1" x14ac:dyDescent="0.25">
      <x:c r="A97" s="215"/>
      <x:c r="B97" s="216">
        <x:v>92</x:v>
      </x:c>
      <x:c r="C97" s="217"/>
      <x:c r="D97" s="215"/>
      <x:c r="E97" s="218"/>
      <x:c r="F97" s="219"/>
      <x:c r="G97" s="219"/>
      <x:c r="H97" s="219"/>
      <x:c r="I97" s="219"/>
      <x:c r="J97" s="219"/>
      <x:c r="K97" s="219"/>
      <x:c r="L97" s="219"/>
      <x:c r="M97" s="219"/>
      <x:c r="N97" s="219"/>
      <x:c r="O97" s="219"/>
      <x:c r="P97" s="219"/>
      <x:c r="Q97" s="219"/>
      <x:c r="R97" s="219"/>
      <x:c r="S97" s="219"/>
      <x:c r="T97" s="219"/>
      <x:c r="U97" s="219"/>
      <x:c r="V97" s="219"/>
      <x:c r="W97" s="219"/>
      <x:c r="X97" s="219"/>
      <x:c r="Y97" s="219"/>
      <x:c r="Z97" s="219"/>
      <x:c r="AA97" s="219"/>
      <x:c r="AB97" s="219"/>
      <x:c r="AC97" s="219"/>
      <x:c r="AD97" s="219"/>
      <x:c r="AE97" s="219"/>
      <x:c r="AF97" s="219"/>
      <x:c r="AG97" s="219"/>
      <x:c r="AH97" s="219"/>
      <x:c r="AI97" s="219"/>
      <x:c r="AJ97" s="219"/>
      <x:c r="AK97" s="220">
        <x:f>+COUNTIF(F97:AJ97,"X")+COUNTIF(F97:AJ97,"E")</x:f>
      </x:c>
      <x:c r="AL97" s="221">
        <x:f>+COUNTIF(F97:AJ97,"R")+COUNTIF(F97:AJ97,"T")+COUNTIF(F97:AJ97,"İ")</x:f>
      </x:c>
      <x:c r="AM97" s="221">
        <x:f>+COUNTIF(F97:AJ97,"İ")</x:f>
      </x:c>
      <x:c r="AN97" s="222"/>
      <x:c r="AO97" s="222"/>
      <x:c r="AP97" s="228"/>
      <x:c r="AQ97" s="228"/>
      <x:c r="AR97" s="228"/>
      <x:c r="AS97" s="228"/>
      <x:c r="AT97" s="230"/>
    </x:row>
    <x:row r="98" spans="1:47" ht="19.9" customHeight="1" x14ac:dyDescent="0.25">
      <x:c r="A98" s="215"/>
      <x:c r="B98" s="216">
        <x:v>93</x:v>
      </x:c>
      <x:c r="C98" s="217"/>
      <x:c r="D98" s="215"/>
      <x:c r="E98" s="218"/>
      <x:c r="F98" s="219"/>
      <x:c r="G98" s="219"/>
      <x:c r="H98" s="219"/>
      <x:c r="I98" s="219"/>
      <x:c r="J98" s="219"/>
      <x:c r="K98" s="219"/>
      <x:c r="L98" s="219"/>
      <x:c r="M98" s="219"/>
      <x:c r="N98" s="219"/>
      <x:c r="O98" s="219"/>
      <x:c r="P98" s="219"/>
      <x:c r="Q98" s="219"/>
      <x:c r="R98" s="219"/>
      <x:c r="S98" s="219"/>
      <x:c r="T98" s="219"/>
      <x:c r="U98" s="219"/>
      <x:c r="V98" s="219"/>
      <x:c r="W98" s="219"/>
      <x:c r="X98" s="219"/>
      <x:c r="Y98" s="219"/>
      <x:c r="Z98" s="219"/>
      <x:c r="AA98" s="219"/>
      <x:c r="AB98" s="219"/>
      <x:c r="AC98" s="219"/>
      <x:c r="AD98" s="219"/>
      <x:c r="AE98" s="219"/>
      <x:c r="AF98" s="219"/>
      <x:c r="AG98" s="219"/>
      <x:c r="AH98" s="219"/>
      <x:c r="AI98" s="219"/>
      <x:c r="AJ98" s="219"/>
      <x:c r="AK98" s="220">
        <x:f>+COUNTIF(F98:AJ98,"X")+COUNTIF(F98:AJ98,"E")</x:f>
      </x:c>
      <x:c r="AL98" s="221">
        <x:f>+COUNTIF(F98:AJ98,"R")+COUNTIF(F98:AJ98,"T")+COUNTIF(F98:AJ98,"İ")</x:f>
      </x:c>
      <x:c r="AM98" s="221">
        <x:f>+COUNTIF(F98:AJ98,"İ")</x:f>
      </x:c>
      <x:c r="AN98" s="222"/>
      <x:c r="AO98" s="222"/>
      <x:c r="AP98" s="228"/>
      <x:c r="AQ98" s="228"/>
      <x:c r="AR98" s="228"/>
      <x:c r="AS98" s="228"/>
      <x:c r="AT98" s="230"/>
    </x:row>
    <x:row r="99" spans="1:47" ht="19.9" customHeight="1" x14ac:dyDescent="0.25">
      <x:c r="A99" s="215"/>
      <x:c r="B99" s="216">
        <x:v>94</x:v>
      </x:c>
      <x:c r="C99" s="217"/>
      <x:c r="D99" s="215"/>
      <x:c r="E99" s="218"/>
      <x:c r="F99" s="219"/>
      <x:c r="G99" s="219"/>
      <x:c r="H99" s="219"/>
      <x:c r="I99" s="219"/>
      <x:c r="J99" s="219"/>
      <x:c r="K99" s="219"/>
      <x:c r="L99" s="219"/>
      <x:c r="M99" s="219"/>
      <x:c r="N99" s="219"/>
      <x:c r="O99" s="219"/>
      <x:c r="P99" s="219"/>
      <x:c r="Q99" s="219"/>
      <x:c r="R99" s="219"/>
      <x:c r="S99" s="219"/>
      <x:c r="T99" s="219"/>
      <x:c r="U99" s="219"/>
      <x:c r="V99" s="219"/>
      <x:c r="W99" s="219"/>
      <x:c r="X99" s="219"/>
      <x:c r="Y99" s="219"/>
      <x:c r="Z99" s="219"/>
      <x:c r="AA99" s="219"/>
      <x:c r="AB99" s="219"/>
      <x:c r="AC99" s="219"/>
      <x:c r="AD99" s="219"/>
      <x:c r="AE99" s="219"/>
      <x:c r="AF99" s="219"/>
      <x:c r="AG99" s="219"/>
      <x:c r="AH99" s="219"/>
      <x:c r="AI99" s="219"/>
      <x:c r="AJ99" s="219"/>
      <x:c r="AK99" s="220">
        <x:f>+COUNTIF(F99:AJ99,"X")+COUNTIF(F99:AJ99,"E")</x:f>
      </x:c>
      <x:c r="AL99" s="221">
        <x:f>+COUNTIF(F99:AJ99,"R")+COUNTIF(F99:AJ99,"T")+COUNTIF(F99:AJ99,"İ")</x:f>
      </x:c>
      <x:c r="AM99" s="221">
        <x:f>+COUNTIF(F99:AJ99,"İ")</x:f>
      </x:c>
      <x:c r="AN99" s="222"/>
      <x:c r="AO99" s="222"/>
      <x:c r="AP99" s="228"/>
      <x:c r="AQ99" s="228"/>
      <x:c r="AR99" s="228"/>
      <x:c r="AS99" s="228"/>
      <x:c r="AT99" s="230"/>
    </x:row>
    <x:row r="100" spans="1:47" ht="19.9" customHeight="1" x14ac:dyDescent="0.25">
      <x:c r="A100" s="215"/>
      <x:c r="B100" s="216">
        <x:v>95</x:v>
      </x:c>
      <x:c r="C100" s="217"/>
      <x:c r="D100" s="215"/>
      <x:c r="E100" s="218"/>
      <x:c r="F100" s="219"/>
      <x:c r="G100" s="219"/>
      <x:c r="H100" s="219"/>
      <x:c r="I100" s="219"/>
      <x:c r="J100" s="219"/>
      <x:c r="K100" s="219"/>
      <x:c r="L100" s="219"/>
      <x:c r="M100" s="219"/>
      <x:c r="N100" s="219"/>
      <x:c r="O100" s="219"/>
      <x:c r="P100" s="219"/>
      <x:c r="Q100" s="219"/>
      <x:c r="R100" s="219"/>
      <x:c r="S100" s="219"/>
      <x:c r="T100" s="219"/>
      <x:c r="U100" s="219"/>
      <x:c r="V100" s="219"/>
      <x:c r="W100" s="219"/>
      <x:c r="X100" s="219"/>
      <x:c r="Y100" s="219"/>
      <x:c r="Z100" s="219"/>
      <x:c r="AA100" s="219"/>
      <x:c r="AB100" s="219"/>
      <x:c r="AC100" s="219"/>
      <x:c r="AD100" s="219"/>
      <x:c r="AE100" s="219"/>
      <x:c r="AF100" s="219"/>
      <x:c r="AG100" s="219"/>
      <x:c r="AH100" s="219"/>
      <x:c r="AI100" s="219"/>
      <x:c r="AJ100" s="219"/>
      <x:c r="AK100" s="220">
        <x:f>+COUNTIF(F100:AJ100,"X")+COUNTIF(F100:AJ100,"E")</x:f>
      </x:c>
      <x:c r="AL100" s="221">
        <x:f>+COUNTIF(F100:AJ100,"R")+COUNTIF(F100:AJ100,"T")+COUNTIF(F100:AJ100,"İ")</x:f>
      </x:c>
      <x:c r="AM100" s="221">
        <x:f>+COUNTIF(F100:AJ100,"İ")</x:f>
      </x:c>
      <x:c r="AN100" s="222"/>
      <x:c r="AO100" s="222"/>
      <x:c r="AP100" s="228"/>
      <x:c r="AQ100" s="228"/>
      <x:c r="AR100" s="228"/>
      <x:c r="AS100" s="228"/>
      <x:c r="AT100" s="230"/>
    </x:row>
    <x:row r="101" spans="1:47" ht="19.9" customHeight="1" x14ac:dyDescent="0.25">
      <x:c r="A101" s="215"/>
      <x:c r="B101" s="216">
        <x:v>96</x:v>
      </x:c>
      <x:c r="C101" s="217"/>
      <x:c r="D101" s="215"/>
      <x:c r="E101" s="218"/>
      <x:c r="F101" s="219"/>
      <x:c r="G101" s="219"/>
      <x:c r="H101" s="219"/>
      <x:c r="I101" s="219"/>
      <x:c r="J101" s="219"/>
      <x:c r="K101" s="219"/>
      <x:c r="L101" s="219"/>
      <x:c r="M101" s="219"/>
      <x:c r="N101" s="219"/>
      <x:c r="O101" s="219"/>
      <x:c r="P101" s="219"/>
      <x:c r="Q101" s="219"/>
      <x:c r="R101" s="219"/>
      <x:c r="S101" s="219"/>
      <x:c r="T101" s="219"/>
      <x:c r="U101" s="219"/>
      <x:c r="V101" s="219"/>
      <x:c r="W101" s="219"/>
      <x:c r="X101" s="219"/>
      <x:c r="Y101" s="219"/>
      <x:c r="Z101" s="219"/>
      <x:c r="AA101" s="219"/>
      <x:c r="AB101" s="219"/>
      <x:c r="AC101" s="219"/>
      <x:c r="AD101" s="219"/>
      <x:c r="AE101" s="219"/>
      <x:c r="AF101" s="219"/>
      <x:c r="AG101" s="219"/>
      <x:c r="AH101" s="219"/>
      <x:c r="AI101" s="219"/>
      <x:c r="AJ101" s="219"/>
      <x:c r="AK101" s="220">
        <x:f>+COUNTIF(F101:AJ101,"X")+COUNTIF(F101:AJ101,"E")</x:f>
      </x:c>
      <x:c r="AL101" s="221">
        <x:f>+COUNTIF(F101:AJ101,"R")+COUNTIF(F101:AJ101,"T")+COUNTIF(F101:AJ101,"İ")</x:f>
      </x:c>
      <x:c r="AM101" s="221">
        <x:f>+COUNTIF(F101:AJ101,"İ")</x:f>
      </x:c>
      <x:c r="AN101" s="222"/>
      <x:c r="AO101" s="222"/>
      <x:c r="AP101" s="228"/>
      <x:c r="AQ101" s="228"/>
      <x:c r="AR101" s="228"/>
      <x:c r="AS101" s="228"/>
      <x:c r="AT101" s="230"/>
    </x:row>
    <x:row r="102" spans="1:47" ht="19.9" customHeight="1" x14ac:dyDescent="0.25">
      <x:c r="A102" s="215"/>
      <x:c r="B102" s="216">
        <x:v>97</x:v>
      </x:c>
      <x:c r="C102" s="217"/>
      <x:c r="D102" s="215"/>
      <x:c r="E102" s="218"/>
      <x:c r="F102" s="219"/>
      <x:c r="G102" s="219"/>
      <x:c r="H102" s="219"/>
      <x:c r="I102" s="219"/>
      <x:c r="J102" s="219"/>
      <x:c r="K102" s="219"/>
      <x:c r="L102" s="219"/>
      <x:c r="M102" s="219"/>
      <x:c r="N102" s="219"/>
      <x:c r="O102" s="219"/>
      <x:c r="P102" s="219"/>
      <x:c r="Q102" s="219"/>
      <x:c r="R102" s="219"/>
      <x:c r="S102" s="219"/>
      <x:c r="T102" s="219"/>
      <x:c r="U102" s="219"/>
      <x:c r="V102" s="219"/>
      <x:c r="W102" s="219"/>
      <x:c r="X102" s="219"/>
      <x:c r="Y102" s="219"/>
      <x:c r="Z102" s="219"/>
      <x:c r="AA102" s="219"/>
      <x:c r="AB102" s="219"/>
      <x:c r="AC102" s="219"/>
      <x:c r="AD102" s="219"/>
      <x:c r="AE102" s="219"/>
      <x:c r="AF102" s="219"/>
      <x:c r="AG102" s="219"/>
      <x:c r="AH102" s="219"/>
      <x:c r="AI102" s="219"/>
      <x:c r="AJ102" s="219"/>
      <x:c r="AK102" s="220">
        <x:f>+COUNTIF(F102:AJ102,"X")+COUNTIF(F102:AJ102,"E")</x:f>
      </x:c>
      <x:c r="AL102" s="221">
        <x:f>+COUNTIF(F102:AJ102,"R")+COUNTIF(F102:AJ102,"T")+COUNTIF(F102:AJ102,"İ")</x:f>
      </x:c>
      <x:c r="AM102" s="221">
        <x:f>+COUNTIF(F102:AJ102,"İ")</x:f>
      </x:c>
      <x:c r="AN102" s="222"/>
      <x:c r="AO102" s="222"/>
      <x:c r="AP102" s="228"/>
      <x:c r="AQ102" s="228"/>
      <x:c r="AR102" s="228"/>
      <x:c r="AS102" s="228"/>
      <x:c r="AT102" s="230"/>
    </x:row>
    <x:row r="103" spans="1:47" ht="19.9" customHeight="1" x14ac:dyDescent="0.25">
      <x:c r="A103" s="215"/>
      <x:c r="B103" s="216">
        <x:v>98</x:v>
      </x:c>
      <x:c r="C103" s="217"/>
      <x:c r="D103" s="215"/>
      <x:c r="E103" s="218"/>
      <x:c r="F103" s="219"/>
      <x:c r="G103" s="219"/>
      <x:c r="H103" s="219"/>
      <x:c r="I103" s="219"/>
      <x:c r="J103" s="219"/>
      <x:c r="K103" s="219"/>
      <x:c r="L103" s="219"/>
      <x:c r="M103" s="219"/>
      <x:c r="N103" s="219"/>
      <x:c r="O103" s="219"/>
      <x:c r="P103" s="219"/>
      <x:c r="Q103" s="219"/>
      <x:c r="R103" s="219"/>
      <x:c r="S103" s="219"/>
      <x:c r="T103" s="219"/>
      <x:c r="U103" s="219"/>
      <x:c r="V103" s="219"/>
      <x:c r="W103" s="219"/>
      <x:c r="X103" s="219"/>
      <x:c r="Y103" s="219"/>
      <x:c r="Z103" s="219"/>
      <x:c r="AA103" s="219"/>
      <x:c r="AB103" s="219"/>
      <x:c r="AC103" s="219"/>
      <x:c r="AD103" s="219"/>
      <x:c r="AE103" s="219"/>
      <x:c r="AF103" s="219"/>
      <x:c r="AG103" s="219"/>
      <x:c r="AH103" s="219"/>
      <x:c r="AI103" s="219"/>
      <x:c r="AJ103" s="219"/>
      <x:c r="AK103" s="220">
        <x:f>+COUNTIF(F103:AJ103,"X")+COUNTIF(F103:AJ103,"E")</x:f>
      </x:c>
      <x:c r="AL103" s="221">
        <x:f>+COUNTIF(F103:AJ103,"R")+COUNTIF(F103:AJ103,"T")+COUNTIF(F103:AJ103,"İ")</x:f>
      </x:c>
      <x:c r="AM103" s="221">
        <x:f>+COUNTIF(F103:AJ103,"İ")</x:f>
      </x:c>
      <x:c r="AN103" s="222"/>
      <x:c r="AO103" s="222"/>
      <x:c r="AP103" s="228"/>
      <x:c r="AQ103" s="228"/>
      <x:c r="AR103" s="228"/>
      <x:c r="AS103" s="228"/>
      <x:c r="AT103" s="230"/>
    </x:row>
    <x:row r="104" spans="1:47" ht="19.9" customHeight="1" x14ac:dyDescent="0.25">
      <x:c r="A104" s="215"/>
      <x:c r="B104" s="216">
        <x:v>99</x:v>
      </x:c>
      <x:c r="C104" s="217"/>
      <x:c r="D104" s="215"/>
      <x:c r="E104" s="218"/>
      <x:c r="F104" s="219"/>
      <x:c r="G104" s="219"/>
      <x:c r="H104" s="219"/>
      <x:c r="I104" s="219"/>
      <x:c r="J104" s="219"/>
      <x:c r="K104" s="219"/>
      <x:c r="L104" s="219"/>
      <x:c r="M104" s="219"/>
      <x:c r="N104" s="219"/>
      <x:c r="O104" s="219"/>
      <x:c r="P104" s="219"/>
      <x:c r="Q104" s="219"/>
      <x:c r="R104" s="219"/>
      <x:c r="S104" s="219"/>
      <x:c r="T104" s="219"/>
      <x:c r="U104" s="219"/>
      <x:c r="V104" s="219"/>
      <x:c r="W104" s="219"/>
      <x:c r="X104" s="219"/>
      <x:c r="Y104" s="219"/>
      <x:c r="Z104" s="219"/>
      <x:c r="AA104" s="219"/>
      <x:c r="AB104" s="219"/>
      <x:c r="AC104" s="219"/>
      <x:c r="AD104" s="219"/>
      <x:c r="AE104" s="219"/>
      <x:c r="AF104" s="219"/>
      <x:c r="AG104" s="219"/>
      <x:c r="AH104" s="219"/>
      <x:c r="AI104" s="219"/>
      <x:c r="AJ104" s="219"/>
      <x:c r="AK104" s="220">
        <x:f>+COUNTIF(F104:AJ104,"X")+COUNTIF(F104:AJ104,"E")</x:f>
      </x:c>
      <x:c r="AL104" s="221">
        <x:f>+COUNTIF(F104:AJ104,"R")+COUNTIF(F104:AJ104,"T")+COUNTIF(F104:AJ104,"İ")</x:f>
      </x:c>
      <x:c r="AM104" s="221">
        <x:f>+COUNTIF(F104:AJ104,"İ")</x:f>
      </x:c>
      <x:c r="AN104" s="222"/>
      <x:c r="AO104" s="222"/>
      <x:c r="AP104" s="228"/>
      <x:c r="AQ104" s="228"/>
      <x:c r="AR104" s="228"/>
      <x:c r="AS104" s="228"/>
      <x:c r="AT104" s="230"/>
    </x:row>
    <x:row r="105" spans="1:47" ht="19.9" customHeight="1" x14ac:dyDescent="0.25">
      <x:c r="A105" s="215"/>
      <x:c r="B105" s="216">
        <x:v>100</x:v>
      </x:c>
      <x:c r="C105" s="217"/>
      <x:c r="D105" s="215"/>
      <x:c r="E105" s="218"/>
      <x:c r="F105" s="219"/>
      <x:c r="G105" s="219"/>
      <x:c r="H105" s="219"/>
      <x:c r="I105" s="219"/>
      <x:c r="J105" s="219"/>
      <x:c r="K105" s="219"/>
      <x:c r="L105" s="219"/>
      <x:c r="M105" s="219"/>
      <x:c r="N105" s="219"/>
      <x:c r="O105" s="219"/>
      <x:c r="P105" s="219"/>
      <x:c r="Q105" s="219"/>
      <x:c r="R105" s="219"/>
      <x:c r="S105" s="219"/>
      <x:c r="T105" s="219"/>
      <x:c r="U105" s="219"/>
      <x:c r="V105" s="219"/>
      <x:c r="W105" s="219"/>
      <x:c r="X105" s="219"/>
      <x:c r="Y105" s="219"/>
      <x:c r="Z105" s="219"/>
      <x:c r="AA105" s="219"/>
      <x:c r="AB105" s="219"/>
      <x:c r="AC105" s="219"/>
      <x:c r="AD105" s="219"/>
      <x:c r="AE105" s="219"/>
      <x:c r="AF105" s="219"/>
      <x:c r="AG105" s="219"/>
      <x:c r="AH105" s="219"/>
      <x:c r="AI105" s="219"/>
      <x:c r="AJ105" s="219"/>
      <x:c r="AK105" s="220">
        <x:f>+COUNTIF(F105:AJ105,"X")+COUNTIF(F105:AJ105,"E")</x:f>
      </x:c>
      <x:c r="AL105" s="221">
        <x:f>+COUNTIF(F105:AJ105,"R")+COUNTIF(F105:AJ105,"T")+COUNTIF(F105:AJ105,"İ")</x:f>
      </x:c>
      <x:c r="AM105" s="221">
        <x:f>+COUNTIF(F105:AJ105,"İ")</x:f>
      </x:c>
      <x:c r="AN105" s="222"/>
      <x:c r="AO105" s="222"/>
      <x:c r="AP105" s="228"/>
      <x:c r="AQ105" s="228"/>
      <x:c r="AR105" s="228"/>
      <x:c r="AS105" s="228"/>
      <x:c r="AT105" s="233"/>
    </x:row>
    <x:row r="106" spans="1:47" ht="19.9" customHeight="1" x14ac:dyDescent="0.25">
      <x:c r="A106" s="215"/>
      <x:c r="B106" s="216">
        <x:v>101</x:v>
      </x:c>
      <x:c r="C106" s="217"/>
      <x:c r="D106" s="215"/>
      <x:c r="E106" s="218"/>
      <x:c r="F106" s="219"/>
      <x:c r="G106" s="219"/>
      <x:c r="H106" s="219"/>
      <x:c r="I106" s="219"/>
      <x:c r="J106" s="219"/>
      <x:c r="K106" s="219"/>
      <x:c r="L106" s="219"/>
      <x:c r="M106" s="219"/>
      <x:c r="N106" s="219"/>
      <x:c r="O106" s="219"/>
      <x:c r="P106" s="219"/>
      <x:c r="Q106" s="219"/>
      <x:c r="R106" s="219"/>
      <x:c r="S106" s="219"/>
      <x:c r="T106" s="219"/>
      <x:c r="U106" s="219"/>
      <x:c r="V106" s="219"/>
      <x:c r="W106" s="219"/>
      <x:c r="X106" s="219"/>
      <x:c r="Y106" s="219"/>
      <x:c r="Z106" s="219"/>
      <x:c r="AA106" s="219"/>
      <x:c r="AB106" s="219"/>
      <x:c r="AC106" s="219"/>
      <x:c r="AD106" s="219"/>
      <x:c r="AE106" s="219"/>
      <x:c r="AF106" s="219"/>
      <x:c r="AG106" s="219"/>
      <x:c r="AH106" s="219"/>
      <x:c r="AI106" s="219"/>
      <x:c r="AJ106" s="219"/>
      <x:c r="AK106" s="220">
        <x:f>+COUNTIF(F106:AJ106,"X")+COUNTIF(F106:AJ106,"E")</x:f>
      </x:c>
      <x:c r="AL106" s="221">
        <x:f>+COUNTIF(F106:AJ106,"R")+COUNTIF(F106:AJ106,"T")+COUNTIF(F106:AJ106,"İ")</x:f>
      </x:c>
      <x:c r="AM106" s="221">
        <x:f>+COUNTIF(F106:AJ106,"İ")</x:f>
      </x:c>
      <x:c r="AN106" s="222"/>
      <x:c r="AO106" s="222"/>
      <x:c r="AP106" s="228"/>
      <x:c r="AQ106" s="228"/>
      <x:c r="AR106" s="228"/>
      <x:c r="AS106" s="228"/>
      <x:c r="AT106" s="230"/>
    </x:row>
    <x:row r="107" spans="1:47" ht="19.9" customHeight="1" x14ac:dyDescent="0.25">
      <x:c r="A107" s="215"/>
      <x:c r="B107" s="216">
        <x:v>102</x:v>
      </x:c>
      <x:c r="C107" s="217"/>
      <x:c r="D107" s="215"/>
      <x:c r="E107" s="218"/>
      <x:c r="F107" s="219"/>
      <x:c r="G107" s="219"/>
      <x:c r="H107" s="219"/>
      <x:c r="I107" s="219"/>
      <x:c r="J107" s="219"/>
      <x:c r="K107" s="219"/>
      <x:c r="L107" s="219"/>
      <x:c r="M107" s="219"/>
      <x:c r="N107" s="219"/>
      <x:c r="O107" s="219"/>
      <x:c r="P107" s="219"/>
      <x:c r="Q107" s="219"/>
      <x:c r="R107" s="219"/>
      <x:c r="S107" s="219"/>
      <x:c r="T107" s="219"/>
      <x:c r="U107" s="219"/>
      <x:c r="V107" s="219"/>
      <x:c r="W107" s="219"/>
      <x:c r="X107" s="219"/>
      <x:c r="Y107" s="219"/>
      <x:c r="Z107" s="219"/>
      <x:c r="AA107" s="219"/>
      <x:c r="AB107" s="219"/>
      <x:c r="AC107" s="219"/>
      <x:c r="AD107" s="219"/>
      <x:c r="AE107" s="219"/>
      <x:c r="AF107" s="219"/>
      <x:c r="AG107" s="219"/>
      <x:c r="AH107" s="219"/>
      <x:c r="AI107" s="219"/>
      <x:c r="AJ107" s="219"/>
      <x:c r="AK107" s="220">
        <x:f>+COUNTIF(F107:AJ107,"X")+COUNTIF(F107:AJ107,"E")</x:f>
      </x:c>
      <x:c r="AL107" s="221">
        <x:f>+COUNTIF(F107:AJ107,"R")+COUNTIF(F107:AJ107,"T")+COUNTIF(F107:AJ107,"İ")</x:f>
      </x:c>
      <x:c r="AM107" s="221">
        <x:f>+COUNTIF(F107:AJ107,"İ")</x:f>
      </x:c>
      <x:c r="AN107" s="222"/>
      <x:c r="AO107" s="222"/>
      <x:c r="AP107" s="228"/>
      <x:c r="AQ107" s="228"/>
      <x:c r="AR107" s="228"/>
      <x:c r="AS107" s="228"/>
      <x:c r="AT107" s="230"/>
    </x:row>
    <x:row r="108" spans="1:47" ht="19.9" customHeight="1" x14ac:dyDescent="0.25">
      <x:c r="A108" s="215"/>
      <x:c r="B108" s="216">
        <x:v>103</x:v>
      </x:c>
      <x:c r="C108" s="217"/>
      <x:c r="D108" s="215"/>
      <x:c r="E108" s="218"/>
      <x:c r="F108" s="219"/>
      <x:c r="G108" s="219"/>
      <x:c r="H108" s="219"/>
      <x:c r="I108" s="219"/>
      <x:c r="J108" s="219"/>
      <x:c r="K108" s="219"/>
      <x:c r="L108" s="219"/>
      <x:c r="M108" s="219"/>
      <x:c r="N108" s="219"/>
      <x:c r="O108" s="219"/>
      <x:c r="P108" s="219"/>
      <x:c r="Q108" s="219"/>
      <x:c r="R108" s="219"/>
      <x:c r="S108" s="219"/>
      <x:c r="T108" s="219"/>
      <x:c r="U108" s="219"/>
      <x:c r="V108" s="219"/>
      <x:c r="W108" s="219"/>
      <x:c r="X108" s="219"/>
      <x:c r="Y108" s="219"/>
      <x:c r="Z108" s="219"/>
      <x:c r="AA108" s="219"/>
      <x:c r="AB108" s="219"/>
      <x:c r="AC108" s="219"/>
      <x:c r="AD108" s="219"/>
      <x:c r="AE108" s="219"/>
      <x:c r="AF108" s="219"/>
      <x:c r="AG108" s="219"/>
      <x:c r="AH108" s="219"/>
      <x:c r="AI108" s="219"/>
      <x:c r="AJ108" s="219"/>
      <x:c r="AK108" s="220">
        <x:f>+COUNTIF(F108:AJ108,"X")+COUNTIF(F108:AJ108,"E")</x:f>
      </x:c>
      <x:c r="AL108" s="221">
        <x:f>+COUNTIF(F108:AJ108,"R")+COUNTIF(F108:AJ108,"T")+COUNTIF(F108:AJ108,"İ")</x:f>
      </x:c>
      <x:c r="AM108" s="221">
        <x:f>+COUNTIF(F108:AJ108,"İ")</x:f>
      </x:c>
      <x:c r="AN108" s="222"/>
      <x:c r="AO108" s="222"/>
      <x:c r="AP108" s="228"/>
      <x:c r="AQ108" s="228"/>
      <x:c r="AR108" s="228"/>
      <x:c r="AS108" s="228"/>
      <x:c r="AT108" s="230"/>
    </x:row>
    <x:row r="109" spans="1:47" ht="19.9" customHeight="1" x14ac:dyDescent="0.25">
      <x:c r="A109" s="215"/>
      <x:c r="B109" s="216">
        <x:v>104</x:v>
      </x:c>
      <x:c r="C109" s="217"/>
      <x:c r="D109" s="215"/>
      <x:c r="E109" s="218"/>
      <x:c r="F109" s="219"/>
      <x:c r="G109" s="219"/>
      <x:c r="H109" s="219"/>
      <x:c r="I109" s="219"/>
      <x:c r="J109" s="219"/>
      <x:c r="K109" s="219"/>
      <x:c r="L109" s="219"/>
      <x:c r="M109" s="219"/>
      <x:c r="N109" s="219"/>
      <x:c r="O109" s="219"/>
      <x:c r="P109" s="219"/>
      <x:c r="Q109" s="219"/>
      <x:c r="R109" s="219"/>
      <x:c r="S109" s="219"/>
      <x:c r="T109" s="219"/>
      <x:c r="U109" s="219"/>
      <x:c r="V109" s="219"/>
      <x:c r="W109" s="219"/>
      <x:c r="X109" s="219"/>
      <x:c r="Y109" s="219"/>
      <x:c r="Z109" s="219"/>
      <x:c r="AA109" s="219"/>
      <x:c r="AB109" s="219"/>
      <x:c r="AC109" s="219"/>
      <x:c r="AD109" s="219"/>
      <x:c r="AE109" s="219"/>
      <x:c r="AF109" s="219"/>
      <x:c r="AG109" s="219"/>
      <x:c r="AH109" s="219"/>
      <x:c r="AI109" s="219"/>
      <x:c r="AJ109" s="219"/>
      <x:c r="AK109" s="220">
        <x:f>+COUNTIF(F109:AJ109,"X")+COUNTIF(F109:AJ109,"E")</x:f>
      </x:c>
      <x:c r="AL109" s="221">
        <x:f>+COUNTIF(F109:AJ109,"R")+COUNTIF(F109:AJ109,"T")+COUNTIF(F109:AJ109,"İ")</x:f>
      </x:c>
      <x:c r="AM109" s="221">
        <x:f>+COUNTIF(F109:AJ109,"İ")</x:f>
      </x:c>
      <x:c r="AN109" s="222"/>
      <x:c r="AO109" s="222"/>
      <x:c r="AP109" s="228"/>
      <x:c r="AQ109" s="228"/>
      <x:c r="AR109" s="228"/>
      <x:c r="AS109" s="228"/>
      <x:c r="AT109" s="230"/>
    </x:row>
    <x:row r="110" spans="1:47" ht="19.9" customHeight="1" x14ac:dyDescent="0.25">
      <x:c r="A110" s="215"/>
      <x:c r="B110" s="216">
        <x:v>105</x:v>
      </x:c>
      <x:c r="C110" s="217"/>
      <x:c r="D110" s="215"/>
      <x:c r="E110" s="218"/>
      <x:c r="F110" s="219"/>
      <x:c r="G110" s="219"/>
      <x:c r="H110" s="219"/>
      <x:c r="I110" s="219"/>
      <x:c r="J110" s="219"/>
      <x:c r="K110" s="219"/>
      <x:c r="L110" s="219"/>
      <x:c r="M110" s="219"/>
      <x:c r="N110" s="219"/>
      <x:c r="O110" s="219"/>
      <x:c r="P110" s="219"/>
      <x:c r="Q110" s="219"/>
      <x:c r="R110" s="219"/>
      <x:c r="S110" s="219"/>
      <x:c r="T110" s="219"/>
      <x:c r="U110" s="219"/>
      <x:c r="V110" s="219"/>
      <x:c r="W110" s="219"/>
      <x:c r="X110" s="219"/>
      <x:c r="Y110" s="219"/>
      <x:c r="Z110" s="219"/>
      <x:c r="AA110" s="219"/>
      <x:c r="AB110" s="219"/>
      <x:c r="AC110" s="219"/>
      <x:c r="AD110" s="219"/>
      <x:c r="AE110" s="219"/>
      <x:c r="AF110" s="219"/>
      <x:c r="AG110" s="219"/>
      <x:c r="AH110" s="219"/>
      <x:c r="AI110" s="219"/>
      <x:c r="AJ110" s="219"/>
      <x:c r="AK110" s="220">
        <x:f>+COUNTIF(F110:AJ110,"X")+COUNTIF(F110:AJ110,"E")</x:f>
      </x:c>
      <x:c r="AL110" s="221">
        <x:f>+COUNTIF(F110:AJ110,"R")+COUNTIF(F110:AJ110,"T")+COUNTIF(F110:AJ110,"İ")</x:f>
      </x:c>
      <x:c r="AM110" s="221">
        <x:f>+COUNTIF(F110:AJ110,"İ")</x:f>
      </x:c>
      <x:c r="AN110" s="222"/>
      <x:c r="AO110" s="222"/>
      <x:c r="AP110" s="228"/>
      <x:c r="AQ110" s="228"/>
      <x:c r="AR110" s="228"/>
      <x:c r="AS110" s="228"/>
      <x:c r="AT110" s="230"/>
    </x:row>
    <x:row r="111" spans="1:47" ht="19.9" customHeight="1" x14ac:dyDescent="0.25">
      <x:c r="A111" s="215"/>
      <x:c r="B111" s="216">
        <x:v>106</x:v>
      </x:c>
      <x:c r="C111" s="217"/>
      <x:c r="D111" s="215"/>
      <x:c r="E111" s="218"/>
      <x:c r="F111" s="219"/>
      <x:c r="G111" s="219"/>
      <x:c r="H111" s="219"/>
      <x:c r="I111" s="219"/>
      <x:c r="J111" s="219"/>
      <x:c r="K111" s="219"/>
      <x:c r="L111" s="219"/>
      <x:c r="M111" s="219"/>
      <x:c r="N111" s="219"/>
      <x:c r="O111" s="219"/>
      <x:c r="P111" s="219"/>
      <x:c r="Q111" s="219"/>
      <x:c r="R111" s="219"/>
      <x:c r="S111" s="219"/>
      <x:c r="T111" s="219"/>
      <x:c r="U111" s="219"/>
      <x:c r="V111" s="219"/>
      <x:c r="W111" s="219"/>
      <x:c r="X111" s="219"/>
      <x:c r="Y111" s="219"/>
      <x:c r="Z111" s="219"/>
      <x:c r="AA111" s="219"/>
      <x:c r="AB111" s="219"/>
      <x:c r="AC111" s="219"/>
      <x:c r="AD111" s="219"/>
      <x:c r="AE111" s="219"/>
      <x:c r="AF111" s="219"/>
      <x:c r="AG111" s="219"/>
      <x:c r="AH111" s="219"/>
      <x:c r="AI111" s="219"/>
      <x:c r="AJ111" s="219"/>
      <x:c r="AK111" s="220">
        <x:f>+COUNTIF(F111:AJ111,"X")+COUNTIF(F111:AJ111,"E")</x:f>
      </x:c>
      <x:c r="AL111" s="221">
        <x:f>+COUNTIF(F111:AJ111,"R")+COUNTIF(F111:AJ111,"T")+COUNTIF(F111:AJ111,"İ")</x:f>
      </x:c>
      <x:c r="AM111" s="221">
        <x:f>+COUNTIF(F111:AJ111,"İ")</x:f>
      </x:c>
      <x:c r="AN111" s="222"/>
      <x:c r="AO111" s="222"/>
      <x:c r="AP111" s="228"/>
      <x:c r="AQ111" s="228"/>
      <x:c r="AR111" s="228"/>
      <x:c r="AS111" s="228"/>
      <x:c r="AT111" s="230"/>
    </x:row>
    <x:row r="112" spans="1:47" ht="19.9" customHeight="1" x14ac:dyDescent="0.25">
      <x:c r="A112" s="215"/>
      <x:c r="B112" s="216">
        <x:v>107</x:v>
      </x:c>
      <x:c r="C112" s="217"/>
      <x:c r="D112" s="215"/>
      <x:c r="E112" s="218"/>
      <x:c r="F112" s="219"/>
      <x:c r="G112" s="219"/>
      <x:c r="H112" s="219"/>
      <x:c r="I112" s="219"/>
      <x:c r="J112" s="219"/>
      <x:c r="K112" s="219"/>
      <x:c r="L112" s="219"/>
      <x:c r="M112" s="219"/>
      <x:c r="N112" s="219"/>
      <x:c r="O112" s="219"/>
      <x:c r="P112" s="219"/>
      <x:c r="Q112" s="219"/>
      <x:c r="R112" s="219"/>
      <x:c r="S112" s="219"/>
      <x:c r="T112" s="219"/>
      <x:c r="U112" s="219"/>
      <x:c r="V112" s="219"/>
      <x:c r="W112" s="219"/>
      <x:c r="X112" s="219"/>
      <x:c r="Y112" s="219"/>
      <x:c r="Z112" s="219"/>
      <x:c r="AA112" s="219"/>
      <x:c r="AB112" s="219"/>
      <x:c r="AC112" s="219"/>
      <x:c r="AD112" s="219"/>
      <x:c r="AE112" s="219"/>
      <x:c r="AF112" s="219"/>
      <x:c r="AG112" s="219"/>
      <x:c r="AH112" s="219"/>
      <x:c r="AI112" s="219"/>
      <x:c r="AJ112" s="219"/>
      <x:c r="AK112" s="220">
        <x:f>+COUNTIF(F112:AJ112,"X")+COUNTIF(F112:AJ112,"E")</x:f>
      </x:c>
      <x:c r="AL112" s="221">
        <x:f>+COUNTIF(F112:AJ112,"R")+COUNTIF(F112:AJ112,"T")+COUNTIF(F112:AJ112,"İ")</x:f>
      </x:c>
      <x:c r="AM112" s="221">
        <x:f>+COUNTIF(F112:AJ112,"İ")</x:f>
      </x:c>
      <x:c r="AN112" s="222"/>
      <x:c r="AO112" s="222"/>
      <x:c r="AP112" s="228"/>
      <x:c r="AQ112" s="228"/>
      <x:c r="AR112" s="228"/>
      <x:c r="AS112" s="228"/>
      <x:c r="AT112" s="230"/>
    </x:row>
    <x:row r="113" spans="1:47" ht="19.9" customHeight="1" x14ac:dyDescent="0.25">
      <x:c r="A113" s="215"/>
      <x:c r="B113" s="216">
        <x:v>108</x:v>
      </x:c>
      <x:c r="C113" s="217"/>
      <x:c r="D113" s="215"/>
      <x:c r="E113" s="218"/>
      <x:c r="F113" s="219"/>
      <x:c r="G113" s="219"/>
      <x:c r="H113" s="219"/>
      <x:c r="I113" s="219"/>
      <x:c r="J113" s="219"/>
      <x:c r="K113" s="219"/>
      <x:c r="L113" s="219"/>
      <x:c r="M113" s="219"/>
      <x:c r="N113" s="219"/>
      <x:c r="O113" s="219"/>
      <x:c r="P113" s="219"/>
      <x:c r="Q113" s="219"/>
      <x:c r="R113" s="219"/>
      <x:c r="S113" s="219"/>
      <x:c r="T113" s="219"/>
      <x:c r="U113" s="219"/>
      <x:c r="V113" s="219"/>
      <x:c r="W113" s="219"/>
      <x:c r="X113" s="219"/>
      <x:c r="Y113" s="219"/>
      <x:c r="Z113" s="219"/>
      <x:c r="AA113" s="219"/>
      <x:c r="AB113" s="219"/>
      <x:c r="AC113" s="219"/>
      <x:c r="AD113" s="219"/>
      <x:c r="AE113" s="219"/>
      <x:c r="AF113" s="219"/>
      <x:c r="AG113" s="219"/>
      <x:c r="AH113" s="219"/>
      <x:c r="AI113" s="219"/>
      <x:c r="AJ113" s="219"/>
      <x:c r="AK113" s="220">
        <x:f>+COUNTIF(F113:AJ113,"X")+COUNTIF(F113:AJ113,"E")</x:f>
      </x:c>
      <x:c r="AL113" s="221">
        <x:f>+COUNTIF(F113:AJ113,"R")+COUNTIF(F113:AJ113,"T")+COUNTIF(F113:AJ113,"İ")</x:f>
      </x:c>
      <x:c r="AM113" s="221">
        <x:f>+COUNTIF(F113:AJ113,"İ")</x:f>
      </x:c>
      <x:c r="AN113" s="222"/>
      <x:c r="AO113" s="222"/>
      <x:c r="AP113" s="228"/>
      <x:c r="AQ113" s="228"/>
      <x:c r="AR113" s="228"/>
      <x:c r="AS113" s="228"/>
      <x:c r="AT113" s="230"/>
    </x:row>
    <x:row r="114" spans="1:47" ht="19.9" customHeight="1" x14ac:dyDescent="0.25">
      <x:c r="A114" s="215"/>
      <x:c r="B114" s="216">
        <x:v>109</x:v>
      </x:c>
      <x:c r="C114" s="217"/>
      <x:c r="D114" s="215"/>
      <x:c r="E114" s="218"/>
      <x:c r="F114" s="219"/>
      <x:c r="G114" s="219"/>
      <x:c r="H114" s="219"/>
      <x:c r="I114" s="219"/>
      <x:c r="J114" s="219"/>
      <x:c r="K114" s="219"/>
      <x:c r="L114" s="219"/>
      <x:c r="M114" s="219"/>
      <x:c r="N114" s="219"/>
      <x:c r="O114" s="219"/>
      <x:c r="P114" s="219"/>
      <x:c r="Q114" s="219"/>
      <x:c r="R114" s="219"/>
      <x:c r="S114" s="219"/>
      <x:c r="T114" s="219"/>
      <x:c r="U114" s="219"/>
      <x:c r="V114" s="219"/>
      <x:c r="W114" s="219"/>
      <x:c r="X114" s="219"/>
      <x:c r="Y114" s="219"/>
      <x:c r="Z114" s="219"/>
      <x:c r="AA114" s="219"/>
      <x:c r="AB114" s="219"/>
      <x:c r="AC114" s="219"/>
      <x:c r="AD114" s="219"/>
      <x:c r="AE114" s="219"/>
      <x:c r="AF114" s="219"/>
      <x:c r="AG114" s="219"/>
      <x:c r="AH114" s="219"/>
      <x:c r="AI114" s="219"/>
      <x:c r="AJ114" s="219"/>
      <x:c r="AK114" s="220">
        <x:f>+COUNTIF(F114:AJ114,"X")+COUNTIF(F114:AJ114,"E")</x:f>
      </x:c>
      <x:c r="AL114" s="221">
        <x:f>+COUNTIF(F114:AJ114,"R")+COUNTIF(F114:AJ114,"T")+COUNTIF(F114:AJ114,"İ")</x:f>
      </x:c>
      <x:c r="AM114" s="221">
        <x:f>+COUNTIF(F114:AJ114,"İ")</x:f>
      </x:c>
      <x:c r="AN114" s="222"/>
      <x:c r="AO114" s="222"/>
      <x:c r="AP114" s="228"/>
      <x:c r="AQ114" s="228"/>
      <x:c r="AR114" s="228"/>
      <x:c r="AS114" s="228"/>
      <x:c r="AT114" s="230"/>
    </x:row>
    <x:row r="115" spans="1:47" ht="19.9" customHeight="1" x14ac:dyDescent="0.25">
      <x:c r="A115" s="215"/>
      <x:c r="B115" s="216">
        <x:v>110</x:v>
      </x:c>
      <x:c r="C115" s="217"/>
      <x:c r="D115" s="215"/>
      <x:c r="E115" s="218"/>
      <x:c r="F115" s="219"/>
      <x:c r="G115" s="219"/>
      <x:c r="H115" s="219"/>
      <x:c r="I115" s="219"/>
      <x:c r="J115" s="219"/>
      <x:c r="K115" s="219"/>
      <x:c r="L115" s="219"/>
      <x:c r="M115" s="219"/>
      <x:c r="N115" s="219"/>
      <x:c r="O115" s="219"/>
      <x:c r="P115" s="219"/>
      <x:c r="Q115" s="219"/>
      <x:c r="R115" s="219"/>
      <x:c r="S115" s="219"/>
      <x:c r="T115" s="219"/>
      <x:c r="U115" s="219"/>
      <x:c r="V115" s="219"/>
      <x:c r="W115" s="219"/>
      <x:c r="X115" s="219"/>
      <x:c r="Y115" s="219"/>
      <x:c r="Z115" s="219"/>
      <x:c r="AA115" s="219"/>
      <x:c r="AB115" s="219"/>
      <x:c r="AC115" s="219"/>
      <x:c r="AD115" s="219"/>
      <x:c r="AE115" s="219"/>
      <x:c r="AF115" s="219"/>
      <x:c r="AG115" s="219"/>
      <x:c r="AH115" s="219"/>
      <x:c r="AI115" s="219"/>
      <x:c r="AJ115" s="219"/>
      <x:c r="AK115" s="220">
        <x:f>+COUNTIF(F115:AJ115,"X")+COUNTIF(F115:AJ115,"E")</x:f>
      </x:c>
      <x:c r="AL115" s="221">
        <x:f>+COUNTIF(F115:AJ115,"R")+COUNTIF(F115:AJ115,"T")+COUNTIF(F115:AJ115,"İ")</x:f>
      </x:c>
      <x:c r="AM115" s="221">
        <x:f>+COUNTIF(F115:AJ115,"İ")</x:f>
      </x:c>
      <x:c r="AN115" s="222"/>
      <x:c r="AO115" s="222"/>
      <x:c r="AP115" s="228"/>
      <x:c r="AQ115" s="228"/>
      <x:c r="AR115" s="228"/>
      <x:c r="AS115" s="228"/>
      <x:c r="AT115" s="230"/>
    </x:row>
    <x:row r="116" spans="1:47" ht="19.9" customHeight="1" x14ac:dyDescent="0.25">
      <x:c r="A116" s="215"/>
      <x:c r="B116" s="216">
        <x:v>111</x:v>
      </x:c>
      <x:c r="C116" s="217"/>
      <x:c r="D116" s="215"/>
      <x:c r="E116" s="218"/>
      <x:c r="F116" s="219"/>
      <x:c r="G116" s="219"/>
      <x:c r="H116" s="219"/>
      <x:c r="I116" s="219"/>
      <x:c r="J116" s="219"/>
      <x:c r="K116" s="219"/>
      <x:c r="L116" s="219"/>
      <x:c r="M116" s="219"/>
      <x:c r="N116" s="219"/>
      <x:c r="O116" s="219"/>
      <x:c r="P116" s="219"/>
      <x:c r="Q116" s="219"/>
      <x:c r="R116" s="219"/>
      <x:c r="S116" s="219"/>
      <x:c r="T116" s="219"/>
      <x:c r="U116" s="219"/>
      <x:c r="V116" s="219"/>
      <x:c r="W116" s="219"/>
      <x:c r="X116" s="219"/>
      <x:c r="Y116" s="219"/>
      <x:c r="Z116" s="219"/>
      <x:c r="AA116" s="219"/>
      <x:c r="AB116" s="219"/>
      <x:c r="AC116" s="219"/>
      <x:c r="AD116" s="219"/>
      <x:c r="AE116" s="219"/>
      <x:c r="AF116" s="219"/>
      <x:c r="AG116" s="219"/>
      <x:c r="AH116" s="219"/>
      <x:c r="AI116" s="219"/>
      <x:c r="AJ116" s="219"/>
      <x:c r="AK116" s="220">
        <x:f>+COUNTIF(F116:AJ116,"X")+COUNTIF(F116:AJ116,"E")</x:f>
      </x:c>
      <x:c r="AL116" s="221">
        <x:f>+COUNTIF(F116:AJ116,"R")+COUNTIF(F116:AJ116,"T")+COUNTIF(F116:AJ116,"İ")</x:f>
      </x:c>
      <x:c r="AM116" s="221">
        <x:f>+COUNTIF(F116:AJ116,"İ")</x:f>
      </x:c>
      <x:c r="AN116" s="222"/>
      <x:c r="AO116" s="222"/>
      <x:c r="AP116" s="228"/>
      <x:c r="AQ116" s="228"/>
      <x:c r="AR116" s="228"/>
      <x:c r="AS116" s="228"/>
      <x:c r="AT116" s="230"/>
    </x:row>
    <x:row r="117" spans="1:47" ht="19.9" customHeight="1" x14ac:dyDescent="0.25">
      <x:c r="A117" s="215"/>
      <x:c r="B117" s="216">
        <x:v>112</x:v>
      </x:c>
      <x:c r="C117" s="217"/>
      <x:c r="D117" s="215"/>
      <x:c r="E117" s="218"/>
      <x:c r="F117" s="219"/>
      <x:c r="G117" s="219"/>
      <x:c r="H117" s="219"/>
      <x:c r="I117" s="219"/>
      <x:c r="J117" s="219"/>
      <x:c r="K117" s="219"/>
      <x:c r="L117" s="219"/>
      <x:c r="M117" s="219"/>
      <x:c r="N117" s="219"/>
      <x:c r="O117" s="219"/>
      <x:c r="P117" s="219"/>
      <x:c r="Q117" s="219"/>
      <x:c r="R117" s="219"/>
      <x:c r="S117" s="219"/>
      <x:c r="T117" s="219"/>
      <x:c r="U117" s="219"/>
      <x:c r="V117" s="219"/>
      <x:c r="W117" s="219"/>
      <x:c r="X117" s="219"/>
      <x:c r="Y117" s="219"/>
      <x:c r="Z117" s="219"/>
      <x:c r="AA117" s="219"/>
      <x:c r="AB117" s="219"/>
      <x:c r="AC117" s="219"/>
      <x:c r="AD117" s="219"/>
      <x:c r="AE117" s="219"/>
      <x:c r="AF117" s="219"/>
      <x:c r="AG117" s="219"/>
      <x:c r="AH117" s="219"/>
      <x:c r="AI117" s="219"/>
      <x:c r="AJ117" s="219"/>
      <x:c r="AK117" s="220">
        <x:f>+COUNTIF(F117:AJ117,"X")+COUNTIF(F117:AJ117,"E")</x:f>
      </x:c>
      <x:c r="AL117" s="221">
        <x:f>+COUNTIF(F117:AJ117,"R")+COUNTIF(F117:AJ117,"T")+COUNTIF(F117:AJ117,"İ")</x:f>
      </x:c>
      <x:c r="AM117" s="221">
        <x:f>+COUNTIF(F117:AJ117,"İ")</x:f>
      </x:c>
      <x:c r="AN117" s="222"/>
      <x:c r="AO117" s="222"/>
      <x:c r="AP117" s="228"/>
      <x:c r="AQ117" s="228"/>
      <x:c r="AR117" s="228"/>
      <x:c r="AS117" s="228"/>
      <x:c r="AT117" s="230"/>
    </x:row>
    <x:row r="118" spans="1:47" ht="19.9" customHeight="1" x14ac:dyDescent="0.25">
      <x:c r="A118" s="215"/>
      <x:c r="B118" s="216">
        <x:v>113</x:v>
      </x:c>
      <x:c r="C118" s="217"/>
      <x:c r="D118" s="215"/>
      <x:c r="E118" s="218"/>
      <x:c r="F118" s="227"/>
      <x:c r="G118" s="227"/>
      <x:c r="H118" s="227"/>
      <x:c r="I118" s="227"/>
      <x:c r="J118" s="227"/>
      <x:c r="K118" s="227"/>
      <x:c r="L118" s="227"/>
      <x:c r="M118" s="227"/>
      <x:c r="N118" s="227"/>
      <x:c r="O118" s="227"/>
      <x:c r="P118" s="227"/>
      <x:c r="Q118" s="227"/>
      <x:c r="R118" s="227"/>
      <x:c r="S118" s="227"/>
      <x:c r="T118" s="227"/>
      <x:c r="U118" s="227"/>
      <x:c r="V118" s="227"/>
      <x:c r="W118" s="227"/>
      <x:c r="X118" s="227"/>
      <x:c r="Y118" s="227"/>
      <x:c r="Z118" s="227"/>
      <x:c r="AA118" s="227"/>
      <x:c r="AB118" s="227"/>
      <x:c r="AC118" s="227"/>
      <x:c r="AD118" s="227"/>
      <x:c r="AE118" s="227"/>
      <x:c r="AF118" s="227"/>
      <x:c r="AG118" s="227"/>
      <x:c r="AH118" s="227"/>
      <x:c r="AI118" s="227"/>
      <x:c r="AJ118" s="227"/>
      <x:c r="AK118" s="220">
        <x:f>+COUNTIF(F118:AJ118,"X")+COUNTIF(F118:AJ118,"E")</x:f>
      </x:c>
      <x:c r="AL118" s="221">
        <x:f>+COUNTIF(F118:AJ118,"R")+COUNTIF(F118:AJ118,"T")+COUNTIF(F118:AJ118,"İ")</x:f>
      </x:c>
      <x:c r="AM118" s="221">
        <x:f>+COUNTIF(F118:AJ118,"İ")</x:f>
      </x:c>
      <x:c r="AN118" s="222"/>
      <x:c r="AO118" s="222"/>
      <x:c r="AP118" s="228"/>
      <x:c r="AQ118" s="228"/>
      <x:c r="AR118" s="228"/>
      <x:c r="AS118" s="228"/>
      <x:c r="AT118" s="230"/>
    </x:row>
    <x:row r="119" spans="1:47" ht="19.9" customHeight="1" x14ac:dyDescent="0.25">
      <x:c r="A119" s="215"/>
      <x:c r="B119" s="216">
        <x:v>114</x:v>
      </x:c>
      <x:c r="C119" s="217"/>
      <x:c r="D119" s="215"/>
      <x:c r="E119" s="218"/>
      <x:c r="F119" s="219"/>
      <x:c r="G119" s="219"/>
      <x:c r="H119" s="219"/>
      <x:c r="I119" s="219"/>
      <x:c r="J119" s="219"/>
      <x:c r="K119" s="219"/>
      <x:c r="L119" s="219"/>
      <x:c r="M119" s="219"/>
      <x:c r="N119" s="219"/>
      <x:c r="O119" s="219"/>
      <x:c r="P119" s="219"/>
      <x:c r="Q119" s="219"/>
      <x:c r="R119" s="219"/>
      <x:c r="S119" s="219"/>
      <x:c r="T119" s="219"/>
      <x:c r="U119" s="219"/>
      <x:c r="V119" s="219"/>
      <x:c r="W119" s="219"/>
      <x:c r="X119" s="219"/>
      <x:c r="Y119" s="219"/>
      <x:c r="Z119" s="219"/>
      <x:c r="AA119" s="219"/>
      <x:c r="AB119" s="219"/>
      <x:c r="AC119" s="219"/>
      <x:c r="AD119" s="219"/>
      <x:c r="AE119" s="219"/>
      <x:c r="AF119" s="219"/>
      <x:c r="AG119" s="219"/>
      <x:c r="AH119" s="219"/>
      <x:c r="AI119" s="219"/>
      <x:c r="AJ119" s="219"/>
      <x:c r="AK119" s="220">
        <x:f>+COUNTIF(F119:AJ119,"X")+COUNTIF(F119:AJ119,"E")</x:f>
      </x:c>
      <x:c r="AL119" s="221">
        <x:f>+COUNTIF(F119:AJ119,"R")+COUNTIF(F119:AJ119,"T")+COUNTIF(F119:AJ119,"İ")</x:f>
      </x:c>
      <x:c r="AM119" s="221">
        <x:f>+COUNTIF(F119:AJ119,"İ")</x:f>
      </x:c>
      <x:c r="AN119" s="222"/>
      <x:c r="AO119" s="222"/>
      <x:c r="AP119" s="228"/>
      <x:c r="AQ119" s="228"/>
      <x:c r="AR119" s="228"/>
      <x:c r="AS119" s="228"/>
      <x:c r="AT119" s="230"/>
    </x:row>
    <x:row r="120" spans="1:47" ht="19.9" customHeight="1" x14ac:dyDescent="0.25">
      <x:c r="A120" s="215"/>
      <x:c r="B120" s="216">
        <x:v>115</x:v>
      </x:c>
      <x:c r="C120" s="217"/>
      <x:c r="D120" s="215"/>
      <x:c r="E120" s="218"/>
      <x:c r="F120" s="219"/>
      <x:c r="G120" s="219"/>
      <x:c r="H120" s="219"/>
      <x:c r="I120" s="219"/>
      <x:c r="J120" s="219"/>
      <x:c r="K120" s="219"/>
      <x:c r="L120" s="219"/>
      <x:c r="M120" s="219"/>
      <x:c r="N120" s="219"/>
      <x:c r="O120" s="219"/>
      <x:c r="P120" s="219"/>
      <x:c r="Q120" s="219"/>
      <x:c r="R120" s="219"/>
      <x:c r="S120" s="219"/>
      <x:c r="T120" s="219"/>
      <x:c r="U120" s="219"/>
      <x:c r="V120" s="219"/>
      <x:c r="W120" s="219"/>
      <x:c r="X120" s="219"/>
      <x:c r="Y120" s="219"/>
      <x:c r="Z120" s="219"/>
      <x:c r="AA120" s="219"/>
      <x:c r="AB120" s="219"/>
      <x:c r="AC120" s="219"/>
      <x:c r="AD120" s="219"/>
      <x:c r="AE120" s="219"/>
      <x:c r="AF120" s="219"/>
      <x:c r="AG120" s="219"/>
      <x:c r="AH120" s="219"/>
      <x:c r="AI120" s="219"/>
      <x:c r="AJ120" s="219"/>
      <x:c r="AK120" s="220">
        <x:f>+COUNTIF(F120:AJ120,"X")+COUNTIF(F120:AJ120,"E")</x:f>
      </x:c>
      <x:c r="AL120" s="221">
        <x:f>+COUNTIF(F120:AJ120,"R")+COUNTIF(F120:AJ120,"T")+COUNTIF(F120:AJ120,"İ")</x:f>
      </x:c>
      <x:c r="AM120" s="221">
        <x:f>+COUNTIF(F120:AJ120,"İ")</x:f>
      </x:c>
      <x:c r="AN120" s="222"/>
      <x:c r="AO120" s="222"/>
      <x:c r="AP120" s="228"/>
      <x:c r="AQ120" s="228"/>
      <x:c r="AR120" s="228"/>
      <x:c r="AS120" s="228"/>
      <x:c r="AT120" s="230"/>
    </x:row>
    <x:row r="121" spans="1:47" ht="19.9" customHeight="1" x14ac:dyDescent="0.25">
      <x:c r="A121" s="215"/>
      <x:c r="B121" s="216">
        <x:v>116</x:v>
      </x:c>
      <x:c r="C121" s="217"/>
      <x:c r="D121" s="215"/>
      <x:c r="E121" s="218"/>
      <x:c r="F121" s="219"/>
      <x:c r="G121" s="219"/>
      <x:c r="H121" s="219"/>
      <x:c r="I121" s="219"/>
      <x:c r="J121" s="219"/>
      <x:c r="K121" s="219"/>
      <x:c r="L121" s="219"/>
      <x:c r="M121" s="219"/>
      <x:c r="N121" s="219"/>
      <x:c r="O121" s="219"/>
      <x:c r="P121" s="219"/>
      <x:c r="Q121" s="219"/>
      <x:c r="R121" s="219"/>
      <x:c r="S121" s="219"/>
      <x:c r="T121" s="219"/>
      <x:c r="U121" s="219"/>
      <x:c r="V121" s="219"/>
      <x:c r="W121" s="219"/>
      <x:c r="X121" s="219"/>
      <x:c r="Y121" s="219"/>
      <x:c r="Z121" s="219"/>
      <x:c r="AA121" s="219"/>
      <x:c r="AB121" s="219"/>
      <x:c r="AC121" s="219"/>
      <x:c r="AD121" s="219"/>
      <x:c r="AE121" s="219"/>
      <x:c r="AF121" s="219"/>
      <x:c r="AG121" s="219"/>
      <x:c r="AH121" s="219"/>
      <x:c r="AI121" s="219"/>
      <x:c r="AJ121" s="219"/>
      <x:c r="AK121" s="220">
        <x:f>+COUNTIF(F121:AJ121,"X")+COUNTIF(F121:AJ121,"E")</x:f>
      </x:c>
      <x:c r="AL121" s="221">
        <x:f>+COUNTIF(F121:AJ121,"R")+COUNTIF(F121:AJ121,"T")+COUNTIF(F121:AJ121,"İ")</x:f>
      </x:c>
      <x:c r="AM121" s="221">
        <x:f>+COUNTIF(F121:AJ121,"İ")</x:f>
      </x:c>
      <x:c r="AN121" s="222"/>
      <x:c r="AO121" s="222"/>
      <x:c r="AP121" s="228"/>
      <x:c r="AQ121" s="228"/>
      <x:c r="AR121" s="228"/>
      <x:c r="AS121" s="228"/>
      <x:c r="AT121" s="230"/>
    </x:row>
    <x:row r="122" spans="1:47" ht="19.9" customHeight="1" x14ac:dyDescent="0.25">
      <x:c r="A122" s="215"/>
      <x:c r="B122" s="216">
        <x:v>117</x:v>
      </x:c>
      <x:c r="C122" s="217"/>
      <x:c r="D122" s="215"/>
      <x:c r="E122" s="218"/>
      <x:c r="F122" s="219"/>
      <x:c r="G122" s="219"/>
      <x:c r="H122" s="219"/>
      <x:c r="I122" s="219"/>
      <x:c r="J122" s="219"/>
      <x:c r="K122" s="219"/>
      <x:c r="L122" s="219"/>
      <x:c r="M122" s="219"/>
      <x:c r="N122" s="219"/>
      <x:c r="O122" s="219"/>
      <x:c r="P122" s="219"/>
      <x:c r="Q122" s="219"/>
      <x:c r="R122" s="219"/>
      <x:c r="S122" s="219"/>
      <x:c r="T122" s="219"/>
      <x:c r="U122" s="219"/>
      <x:c r="V122" s="219"/>
      <x:c r="W122" s="219"/>
      <x:c r="X122" s="219"/>
      <x:c r="Y122" s="219"/>
      <x:c r="Z122" s="219"/>
      <x:c r="AA122" s="219"/>
      <x:c r="AB122" s="219"/>
      <x:c r="AC122" s="219"/>
      <x:c r="AD122" s="219"/>
      <x:c r="AE122" s="219"/>
      <x:c r="AF122" s="219"/>
      <x:c r="AG122" s="219"/>
      <x:c r="AH122" s="219"/>
      <x:c r="AI122" s="219"/>
      <x:c r="AJ122" s="219"/>
      <x:c r="AK122" s="220">
        <x:f>+COUNTIF(F122:AJ122,"X")+COUNTIF(F122:AJ122,"E")</x:f>
      </x:c>
      <x:c r="AL122" s="221">
        <x:f>+COUNTIF(F122:AJ122,"R")+COUNTIF(F122:AJ122,"T")+COUNTIF(F122:AJ122,"İ")</x:f>
      </x:c>
      <x:c r="AM122" s="221">
        <x:f>+COUNTIF(F122:AJ122,"İ")</x:f>
      </x:c>
      <x:c r="AN122" s="222"/>
      <x:c r="AO122" s="222"/>
      <x:c r="AP122" s="228"/>
      <x:c r="AQ122" s="228"/>
      <x:c r="AR122" s="228"/>
      <x:c r="AS122" s="228"/>
      <x:c r="AT122" s="230"/>
    </x:row>
    <x:row r="123" spans="1:47" ht="19.9" customHeight="1" x14ac:dyDescent="0.25">
      <x:c r="A123" s="215"/>
      <x:c r="B123" s="216">
        <x:v>118</x:v>
      </x:c>
      <x:c r="C123" s="217"/>
      <x:c r="D123" s="215"/>
      <x:c r="E123" s="218"/>
      <x:c r="F123" s="219"/>
      <x:c r="G123" s="219"/>
      <x:c r="H123" s="219"/>
      <x:c r="I123" s="219"/>
      <x:c r="J123" s="219"/>
      <x:c r="K123" s="219"/>
      <x:c r="L123" s="219"/>
      <x:c r="M123" s="219"/>
      <x:c r="N123" s="219"/>
      <x:c r="O123" s="219"/>
      <x:c r="P123" s="219"/>
      <x:c r="Q123" s="219"/>
      <x:c r="R123" s="219"/>
      <x:c r="S123" s="219"/>
      <x:c r="T123" s="219"/>
      <x:c r="U123" s="219"/>
      <x:c r="V123" s="219"/>
      <x:c r="W123" s="219"/>
      <x:c r="X123" s="219"/>
      <x:c r="Y123" s="219"/>
      <x:c r="Z123" s="219"/>
      <x:c r="AA123" s="219"/>
      <x:c r="AB123" s="219"/>
      <x:c r="AC123" s="219"/>
      <x:c r="AD123" s="219"/>
      <x:c r="AE123" s="219"/>
      <x:c r="AF123" s="219"/>
      <x:c r="AG123" s="219"/>
      <x:c r="AH123" s="219"/>
      <x:c r="AI123" s="219"/>
      <x:c r="AJ123" s="219"/>
      <x:c r="AK123" s="220">
        <x:f>+COUNTIF(F123:AJ123,"X")+COUNTIF(F123:AJ123,"E")</x:f>
      </x:c>
      <x:c r="AL123" s="221">
        <x:f>+COUNTIF(F123:AJ123,"R")+COUNTIF(F123:AJ123,"T")+COUNTIF(F123:AJ123,"İ")</x:f>
      </x:c>
      <x:c r="AM123" s="221">
        <x:f>+COUNTIF(F123:AJ123,"İ")</x:f>
      </x:c>
      <x:c r="AN123" s="222"/>
      <x:c r="AO123" s="222"/>
      <x:c r="AP123" s="228"/>
      <x:c r="AQ123" s="228"/>
      <x:c r="AR123" s="228"/>
      <x:c r="AS123" s="228"/>
      <x:c r="AT123" s="230"/>
    </x:row>
    <x:row r="124" spans="1:47" ht="19.9" customHeight="1" x14ac:dyDescent="0.25">
      <x:c r="A124" s="215"/>
      <x:c r="B124" s="216">
        <x:v>119</x:v>
      </x:c>
      <x:c r="C124" s="217"/>
      <x:c r="D124" s="215"/>
      <x:c r="E124" s="218"/>
      <x:c r="F124" s="219"/>
      <x:c r="G124" s="219"/>
      <x:c r="H124" s="219"/>
      <x:c r="I124" s="219"/>
      <x:c r="J124" s="219"/>
      <x:c r="K124" s="219"/>
      <x:c r="L124" s="219"/>
      <x:c r="M124" s="219"/>
      <x:c r="N124" s="219"/>
      <x:c r="O124" s="219"/>
      <x:c r="P124" s="219"/>
      <x:c r="Q124" s="219"/>
      <x:c r="R124" s="219"/>
      <x:c r="S124" s="219"/>
      <x:c r="T124" s="219"/>
      <x:c r="U124" s="219"/>
      <x:c r="V124" s="219"/>
      <x:c r="W124" s="219"/>
      <x:c r="X124" s="219"/>
      <x:c r="Y124" s="219"/>
      <x:c r="Z124" s="219"/>
      <x:c r="AA124" s="219"/>
      <x:c r="AB124" s="219"/>
      <x:c r="AC124" s="219"/>
      <x:c r="AD124" s="219"/>
      <x:c r="AE124" s="219"/>
      <x:c r="AF124" s="219"/>
      <x:c r="AG124" s="219"/>
      <x:c r="AH124" s="219"/>
      <x:c r="AI124" s="219"/>
      <x:c r="AJ124" s="219"/>
      <x:c r="AK124" s="220">
        <x:f>+COUNTIF(F124:AJ124,"X")+COUNTIF(F124:AJ124,"E")</x:f>
      </x:c>
      <x:c r="AL124" s="221">
        <x:f>+COUNTIF(F124:AJ124,"R")+COUNTIF(F124:AJ124,"T")+COUNTIF(F124:AJ124,"İ")</x:f>
      </x:c>
      <x:c r="AM124" s="221">
        <x:f>+COUNTIF(F124:AJ124,"İ")</x:f>
      </x:c>
      <x:c r="AN124" s="222"/>
      <x:c r="AO124" s="222"/>
      <x:c r="AP124" s="228"/>
      <x:c r="AQ124" s="228"/>
      <x:c r="AR124" s="228"/>
      <x:c r="AS124" s="228"/>
      <x:c r="AT124" s="230"/>
    </x:row>
    <x:row r="125" spans="1:47" ht="19.9" customHeight="1" x14ac:dyDescent="0.25">
      <x:c r="A125" s="215"/>
      <x:c r="B125" s="216">
        <x:v>120</x:v>
      </x:c>
      <x:c r="C125" s="217"/>
      <x:c r="D125" s="215"/>
      <x:c r="E125" s="218"/>
      <x:c r="F125" s="219"/>
      <x:c r="G125" s="219"/>
      <x:c r="H125" s="219"/>
      <x:c r="I125" s="219"/>
      <x:c r="J125" s="219"/>
      <x:c r="K125" s="219"/>
      <x:c r="L125" s="219"/>
      <x:c r="M125" s="219"/>
      <x:c r="N125" s="219"/>
      <x:c r="O125" s="219"/>
      <x:c r="P125" s="219"/>
      <x:c r="Q125" s="219"/>
      <x:c r="R125" s="219"/>
      <x:c r="S125" s="219"/>
      <x:c r="T125" s="219"/>
      <x:c r="U125" s="219"/>
      <x:c r="V125" s="219"/>
      <x:c r="W125" s="219"/>
      <x:c r="X125" s="219"/>
      <x:c r="Y125" s="219"/>
      <x:c r="Z125" s="219"/>
      <x:c r="AA125" s="219"/>
      <x:c r="AB125" s="219"/>
      <x:c r="AC125" s="219"/>
      <x:c r="AD125" s="219"/>
      <x:c r="AE125" s="219"/>
      <x:c r="AF125" s="219"/>
      <x:c r="AG125" s="219"/>
      <x:c r="AH125" s="219"/>
      <x:c r="AI125" s="219"/>
      <x:c r="AJ125" s="219"/>
      <x:c r="AK125" s="220">
        <x:f>+COUNTIF(F125:AJ125,"X")+COUNTIF(F125:AJ125,"E")</x:f>
      </x:c>
      <x:c r="AL125" s="221">
        <x:f>+COUNTIF(F125:AJ125,"R")+COUNTIF(F125:AJ125,"T")+COUNTIF(F125:AJ125,"İ")</x:f>
      </x:c>
      <x:c r="AM125" s="221">
        <x:f>+COUNTIF(F125:AJ125,"İ")</x:f>
      </x:c>
      <x:c r="AN125" s="222"/>
      <x:c r="AO125" s="222"/>
      <x:c r="AP125" s="228"/>
      <x:c r="AQ125" s="228"/>
      <x:c r="AR125" s="228"/>
      <x:c r="AS125" s="228"/>
      <x:c r="AT125" s="230"/>
    </x:row>
    <x:row r="126" spans="1:47" ht="19.9" customHeight="1" x14ac:dyDescent="0.25">
      <x:c r="A126" s="215"/>
      <x:c r="B126" s="216">
        <x:v>121</x:v>
      </x:c>
      <x:c r="C126" s="217"/>
      <x:c r="D126" s="215"/>
      <x:c r="E126" s="218"/>
      <x:c r="F126" s="219"/>
      <x:c r="G126" s="219"/>
      <x:c r="H126" s="219"/>
      <x:c r="I126" s="219"/>
      <x:c r="J126" s="219"/>
      <x:c r="K126" s="219"/>
      <x:c r="L126" s="219"/>
      <x:c r="M126" s="219"/>
      <x:c r="N126" s="219"/>
      <x:c r="O126" s="219"/>
      <x:c r="P126" s="219"/>
      <x:c r="Q126" s="219"/>
      <x:c r="R126" s="219"/>
      <x:c r="S126" s="219"/>
      <x:c r="T126" s="219"/>
      <x:c r="U126" s="219"/>
      <x:c r="V126" s="219"/>
      <x:c r="W126" s="219"/>
      <x:c r="X126" s="219"/>
      <x:c r="Y126" s="219"/>
      <x:c r="Z126" s="219"/>
      <x:c r="AA126" s="219"/>
      <x:c r="AB126" s="219"/>
      <x:c r="AC126" s="219"/>
      <x:c r="AD126" s="219"/>
      <x:c r="AE126" s="219"/>
      <x:c r="AF126" s="219"/>
      <x:c r="AG126" s="219"/>
      <x:c r="AH126" s="219"/>
      <x:c r="AI126" s="219"/>
      <x:c r="AJ126" s="219"/>
      <x:c r="AK126" s="220">
        <x:f>+COUNTIF(F126:AJ126,"X")+COUNTIF(F126:AJ126,"E")</x:f>
      </x:c>
      <x:c r="AL126" s="221">
        <x:f>+COUNTIF(F126:AJ126,"R")+COUNTIF(F126:AJ126,"T")+COUNTIF(F126:AJ126,"İ")</x:f>
      </x:c>
      <x:c r="AM126" s="221">
        <x:f>+COUNTIF(F126:AJ126,"İ")</x:f>
      </x:c>
      <x:c r="AN126" s="222"/>
      <x:c r="AO126" s="222"/>
      <x:c r="AP126" s="228"/>
      <x:c r="AQ126" s="228"/>
      <x:c r="AR126" s="228"/>
      <x:c r="AS126" s="228"/>
      <x:c r="AT126" s="230"/>
    </x:row>
    <x:row r="127" spans="1:47" ht="19.9" customHeight="1" x14ac:dyDescent="0.25">
      <x:c r="A127" s="215"/>
      <x:c r="B127" s="216">
        <x:v>122</x:v>
      </x:c>
      <x:c r="C127" s="217"/>
      <x:c r="D127" s="215"/>
      <x:c r="E127" s="218"/>
      <x:c r="F127" s="219"/>
      <x:c r="G127" s="219"/>
      <x:c r="H127" s="219"/>
      <x:c r="I127" s="219"/>
      <x:c r="J127" s="219"/>
      <x:c r="K127" s="219"/>
      <x:c r="L127" s="219"/>
      <x:c r="M127" s="219"/>
      <x:c r="N127" s="219"/>
      <x:c r="O127" s="219"/>
      <x:c r="P127" s="219"/>
      <x:c r="Q127" s="219"/>
      <x:c r="R127" s="219"/>
      <x:c r="S127" s="219"/>
      <x:c r="T127" s="219"/>
      <x:c r="U127" s="219"/>
      <x:c r="V127" s="219"/>
      <x:c r="W127" s="219"/>
      <x:c r="X127" s="219"/>
      <x:c r="Y127" s="219"/>
      <x:c r="Z127" s="219"/>
      <x:c r="AA127" s="219"/>
      <x:c r="AB127" s="219"/>
      <x:c r="AC127" s="219"/>
      <x:c r="AD127" s="219"/>
      <x:c r="AE127" s="219"/>
      <x:c r="AF127" s="219"/>
      <x:c r="AG127" s="219"/>
      <x:c r="AH127" s="219"/>
      <x:c r="AI127" s="219"/>
      <x:c r="AJ127" s="219"/>
      <x:c r="AK127" s="220">
        <x:f>+COUNTIF(F127:AJ127,"X")+COUNTIF(F127:AJ127,"E")</x:f>
      </x:c>
      <x:c r="AL127" s="221">
        <x:f>+COUNTIF(F127:AJ127,"R")+COUNTIF(F127:AJ127,"T")+COUNTIF(F127:AJ127,"İ")</x:f>
      </x:c>
      <x:c r="AM127" s="221">
        <x:f>+COUNTIF(F127:AJ127,"İ")</x:f>
      </x:c>
      <x:c r="AN127" s="222"/>
      <x:c r="AO127" s="222"/>
      <x:c r="AP127" s="228"/>
      <x:c r="AQ127" s="228"/>
      <x:c r="AR127" s="228"/>
      <x:c r="AS127" s="228"/>
      <x:c r="AT127" s="230"/>
    </x:row>
    <x:row r="128" spans="1:47" ht="19.9" customHeight="1" x14ac:dyDescent="0.25">
      <x:c r="A128" s="215"/>
      <x:c r="B128" s="216">
        <x:v>123</x:v>
      </x:c>
      <x:c r="C128" s="217"/>
      <x:c r="D128" s="215"/>
      <x:c r="E128" s="218"/>
      <x:c r="F128" s="219"/>
      <x:c r="G128" s="219"/>
      <x:c r="H128" s="219"/>
      <x:c r="I128" s="219"/>
      <x:c r="J128" s="219"/>
      <x:c r="K128" s="219"/>
      <x:c r="L128" s="219"/>
      <x:c r="M128" s="219"/>
      <x:c r="N128" s="219"/>
      <x:c r="O128" s="219"/>
      <x:c r="P128" s="219"/>
      <x:c r="Q128" s="219"/>
      <x:c r="R128" s="219"/>
      <x:c r="S128" s="219"/>
      <x:c r="T128" s="219"/>
      <x:c r="U128" s="219"/>
      <x:c r="V128" s="219"/>
      <x:c r="W128" s="219"/>
      <x:c r="X128" s="219"/>
      <x:c r="Y128" s="219"/>
      <x:c r="Z128" s="219"/>
      <x:c r="AA128" s="219"/>
      <x:c r="AB128" s="219"/>
      <x:c r="AC128" s="219"/>
      <x:c r="AD128" s="219"/>
      <x:c r="AE128" s="219"/>
      <x:c r="AF128" s="219"/>
      <x:c r="AG128" s="219"/>
      <x:c r="AH128" s="219"/>
      <x:c r="AI128" s="219"/>
      <x:c r="AJ128" s="219"/>
      <x:c r="AK128" s="220">
        <x:f>+COUNTIF(F128:AJ128,"X")+COUNTIF(F128:AJ128,"E")</x:f>
      </x:c>
      <x:c r="AL128" s="221">
        <x:f>+COUNTIF(F128:AJ128,"R")+COUNTIF(F128:AJ128,"T")+COUNTIF(F128:AJ128,"İ")</x:f>
      </x:c>
      <x:c r="AM128" s="221">
        <x:f>+COUNTIF(F128:AJ128,"İ")</x:f>
      </x:c>
      <x:c r="AN128" s="222"/>
      <x:c r="AO128" s="222"/>
      <x:c r="AP128" s="228"/>
      <x:c r="AQ128" s="228"/>
      <x:c r="AR128" s="228"/>
      <x:c r="AS128" s="228"/>
      <x:c r="AT128" s="230"/>
    </x:row>
    <x:row r="129" spans="1:47" ht="19.9" customHeight="1" x14ac:dyDescent="0.25">
      <x:c r="A129" s="215"/>
      <x:c r="B129" s="216">
        <x:v>124</x:v>
      </x:c>
      <x:c r="C129" s="217"/>
      <x:c r="D129" s="215"/>
      <x:c r="E129" s="218"/>
      <x:c r="F129" s="219"/>
      <x:c r="G129" s="219"/>
      <x:c r="H129" s="219"/>
      <x:c r="I129" s="219"/>
      <x:c r="J129" s="219"/>
      <x:c r="K129" s="219"/>
      <x:c r="L129" s="219"/>
      <x:c r="M129" s="219"/>
      <x:c r="N129" s="219"/>
      <x:c r="O129" s="219"/>
      <x:c r="P129" s="219"/>
      <x:c r="Q129" s="219"/>
      <x:c r="R129" s="219"/>
      <x:c r="S129" s="219"/>
      <x:c r="T129" s="219"/>
      <x:c r="U129" s="219"/>
      <x:c r="V129" s="219"/>
      <x:c r="W129" s="219"/>
      <x:c r="X129" s="219"/>
      <x:c r="Y129" s="219"/>
      <x:c r="Z129" s="219"/>
      <x:c r="AA129" s="219"/>
      <x:c r="AB129" s="219"/>
      <x:c r="AC129" s="219"/>
      <x:c r="AD129" s="219"/>
      <x:c r="AE129" s="219"/>
      <x:c r="AF129" s="219"/>
      <x:c r="AG129" s="219"/>
      <x:c r="AH129" s="219"/>
      <x:c r="AI129" s="219"/>
      <x:c r="AJ129" s="219"/>
      <x:c r="AK129" s="220">
        <x:f>+COUNTIF(F129:AJ129,"X")+COUNTIF(F129:AJ129,"E")</x:f>
      </x:c>
      <x:c r="AL129" s="221">
        <x:f>+COUNTIF(F129:AJ129,"R")+COUNTIF(F129:AJ129,"T")+COUNTIF(F129:AJ129,"İ")</x:f>
      </x:c>
      <x:c r="AM129" s="221">
        <x:f>+COUNTIF(F129:AJ129,"İ")</x:f>
      </x:c>
      <x:c r="AN129" s="222"/>
      <x:c r="AO129" s="222"/>
      <x:c r="AP129" s="228"/>
      <x:c r="AQ129" s="228"/>
      <x:c r="AR129" s="228"/>
      <x:c r="AS129" s="228"/>
      <x:c r="AT129" s="230"/>
    </x:row>
    <x:row r="130" spans="1:47" ht="19.9" customHeight="1" x14ac:dyDescent="0.25">
      <x:c r="A130" s="215"/>
      <x:c r="B130" s="216">
        <x:v>125</x:v>
      </x:c>
      <x:c r="C130" s="217"/>
      <x:c r="D130" s="215"/>
      <x:c r="E130" s="218"/>
      <x:c r="F130" s="219"/>
      <x:c r="G130" s="219"/>
      <x:c r="H130" s="219"/>
      <x:c r="I130" s="219"/>
      <x:c r="J130" s="219"/>
      <x:c r="K130" s="219"/>
      <x:c r="L130" s="219"/>
      <x:c r="M130" s="219"/>
      <x:c r="N130" s="219"/>
      <x:c r="O130" s="219"/>
      <x:c r="P130" s="219"/>
      <x:c r="Q130" s="219"/>
      <x:c r="R130" s="219"/>
      <x:c r="S130" s="219"/>
      <x:c r="T130" s="219"/>
      <x:c r="U130" s="219"/>
      <x:c r="V130" s="219"/>
      <x:c r="W130" s="219"/>
      <x:c r="X130" s="219"/>
      <x:c r="Y130" s="219"/>
      <x:c r="Z130" s="219"/>
      <x:c r="AA130" s="219"/>
      <x:c r="AB130" s="219"/>
      <x:c r="AC130" s="219"/>
      <x:c r="AD130" s="219"/>
      <x:c r="AE130" s="219"/>
      <x:c r="AF130" s="219"/>
      <x:c r="AG130" s="219"/>
      <x:c r="AH130" s="219"/>
      <x:c r="AI130" s="219"/>
      <x:c r="AJ130" s="219"/>
      <x:c r="AK130" s="220">
        <x:f>+COUNTIF(F130:AJ130,"X")+COUNTIF(F130:AJ130,"E")</x:f>
      </x:c>
      <x:c r="AL130" s="221">
        <x:f>+COUNTIF(F130:AJ130,"R")+COUNTIF(F130:AJ130,"T")+COUNTIF(F130:AJ130,"İ")</x:f>
      </x:c>
      <x:c r="AM130" s="221">
        <x:f>+COUNTIF(F130:AJ130,"İ")</x:f>
      </x:c>
      <x:c r="AN130" s="222"/>
      <x:c r="AO130" s="222"/>
      <x:c r="AP130" s="228"/>
      <x:c r="AQ130" s="228"/>
      <x:c r="AR130" s="228"/>
      <x:c r="AS130" s="228"/>
      <x:c r="AT130" s="230"/>
    </x:row>
    <x:row r="131" spans="1:47" ht="19.9" customHeight="1" x14ac:dyDescent="0.25">
      <x:c r="A131" s="215"/>
      <x:c r="B131" s="216">
        <x:v>126</x:v>
      </x:c>
      <x:c r="C131" s="217"/>
      <x:c r="D131" s="215"/>
      <x:c r="E131" s="218"/>
      <x:c r="F131" s="219"/>
      <x:c r="G131" s="219"/>
      <x:c r="H131" s="219"/>
      <x:c r="I131" s="219"/>
      <x:c r="J131" s="219"/>
      <x:c r="K131" s="219"/>
      <x:c r="L131" s="219"/>
      <x:c r="M131" s="219"/>
      <x:c r="N131" s="219"/>
      <x:c r="O131" s="219"/>
      <x:c r="P131" s="219"/>
      <x:c r="Q131" s="219"/>
      <x:c r="R131" s="219"/>
      <x:c r="S131" s="219"/>
      <x:c r="T131" s="219"/>
      <x:c r="U131" s="219"/>
      <x:c r="V131" s="219"/>
      <x:c r="W131" s="219"/>
      <x:c r="X131" s="219"/>
      <x:c r="Y131" s="219"/>
      <x:c r="Z131" s="219"/>
      <x:c r="AA131" s="219"/>
      <x:c r="AB131" s="219"/>
      <x:c r="AC131" s="219"/>
      <x:c r="AD131" s="219"/>
      <x:c r="AE131" s="219"/>
      <x:c r="AF131" s="219"/>
      <x:c r="AG131" s="219"/>
      <x:c r="AH131" s="219"/>
      <x:c r="AI131" s="219"/>
      <x:c r="AJ131" s="219"/>
      <x:c r="AK131" s="220">
        <x:f>+COUNTIF(F131:AJ131,"X")+COUNTIF(F131:AJ131,"E")</x:f>
      </x:c>
      <x:c r="AL131" s="221">
        <x:f>+COUNTIF(F131:AJ131,"R")+COUNTIF(F131:AJ131,"T")+COUNTIF(F131:AJ131,"İ")</x:f>
      </x:c>
      <x:c r="AM131" s="221">
        <x:f>+COUNTIF(F131:AJ131,"İ")</x:f>
      </x:c>
      <x:c r="AN131" s="222"/>
      <x:c r="AO131" s="222"/>
      <x:c r="AP131" s="228"/>
      <x:c r="AQ131" s="228"/>
      <x:c r="AR131" s="228"/>
      <x:c r="AS131" s="228"/>
      <x:c r="AT131" s="230"/>
    </x:row>
    <x:row r="132" spans="1:47" ht="19.9" customHeight="1" x14ac:dyDescent="0.25">
      <x:c r="A132" s="215"/>
      <x:c r="B132" s="216">
        <x:v>127</x:v>
      </x:c>
      <x:c r="C132" s="217"/>
      <x:c r="D132" s="215"/>
      <x:c r="E132" s="218"/>
      <x:c r="F132" s="219"/>
      <x:c r="G132" s="219"/>
      <x:c r="H132" s="219"/>
      <x:c r="I132" s="219"/>
      <x:c r="J132" s="219"/>
      <x:c r="K132" s="219"/>
      <x:c r="L132" s="219"/>
      <x:c r="M132" s="219"/>
      <x:c r="N132" s="219"/>
      <x:c r="O132" s="219"/>
      <x:c r="P132" s="219"/>
      <x:c r="Q132" s="219"/>
      <x:c r="R132" s="219"/>
      <x:c r="S132" s="219"/>
      <x:c r="T132" s="219"/>
      <x:c r="U132" s="219"/>
      <x:c r="V132" s="219"/>
      <x:c r="W132" s="219"/>
      <x:c r="X132" s="219"/>
      <x:c r="Y132" s="219"/>
      <x:c r="Z132" s="219"/>
      <x:c r="AA132" s="219"/>
      <x:c r="AB132" s="219"/>
      <x:c r="AC132" s="219"/>
      <x:c r="AD132" s="219"/>
      <x:c r="AE132" s="219"/>
      <x:c r="AF132" s="219"/>
      <x:c r="AG132" s="219"/>
      <x:c r="AH132" s="219"/>
      <x:c r="AI132" s="219"/>
      <x:c r="AJ132" s="219"/>
      <x:c r="AK132" s="220">
        <x:f>+COUNTIF(F132:AJ132,"X")+COUNTIF(F132:AJ132,"E")</x:f>
      </x:c>
      <x:c r="AL132" s="221">
        <x:f>+COUNTIF(F132:AJ132,"R")+COUNTIF(F132:AJ132,"T")+COUNTIF(F132:AJ132,"İ")</x:f>
      </x:c>
      <x:c r="AM132" s="221">
        <x:f>+COUNTIF(F132:AJ132,"İ")</x:f>
      </x:c>
      <x:c r="AN132" s="222"/>
      <x:c r="AO132" s="222"/>
      <x:c r="AP132" s="228"/>
      <x:c r="AQ132" s="228"/>
      <x:c r="AR132" s="228"/>
      <x:c r="AS132" s="228"/>
      <x:c r="AT132" s="230"/>
    </x:row>
    <x:row r="133" spans="1:47" ht="19.9" customHeight="1" x14ac:dyDescent="0.25">
      <x:c r="A133" s="215"/>
      <x:c r="B133" s="216">
        <x:v>128</x:v>
      </x:c>
      <x:c r="C133" s="217"/>
      <x:c r="D133" s="215"/>
      <x:c r="E133" s="218"/>
      <x:c r="F133" s="219"/>
      <x:c r="G133" s="219"/>
      <x:c r="H133" s="219"/>
      <x:c r="I133" s="219"/>
      <x:c r="J133" s="219"/>
      <x:c r="K133" s="219"/>
      <x:c r="L133" s="219"/>
      <x:c r="M133" s="219"/>
      <x:c r="N133" s="219"/>
      <x:c r="O133" s="219"/>
      <x:c r="P133" s="219"/>
      <x:c r="Q133" s="219"/>
      <x:c r="R133" s="219"/>
      <x:c r="S133" s="219"/>
      <x:c r="T133" s="219"/>
      <x:c r="U133" s="219"/>
      <x:c r="V133" s="219"/>
      <x:c r="W133" s="219"/>
      <x:c r="X133" s="219"/>
      <x:c r="Y133" s="219"/>
      <x:c r="Z133" s="219"/>
      <x:c r="AA133" s="219"/>
      <x:c r="AB133" s="219"/>
      <x:c r="AC133" s="219"/>
      <x:c r="AD133" s="219"/>
      <x:c r="AE133" s="219"/>
      <x:c r="AF133" s="219"/>
      <x:c r="AG133" s="219"/>
      <x:c r="AH133" s="219"/>
      <x:c r="AI133" s="219"/>
      <x:c r="AJ133" s="219"/>
      <x:c r="AK133" s="220">
        <x:f>+COUNTIF(F133:AJ133,"X")+COUNTIF(F133:AJ133,"E")</x:f>
      </x:c>
      <x:c r="AL133" s="221">
        <x:f>+COUNTIF(F133:AJ133,"R")+COUNTIF(F133:AJ133,"T")+COUNTIF(F133:AJ133,"İ")</x:f>
      </x:c>
      <x:c r="AM133" s="221">
        <x:f>+COUNTIF(F133:AJ133,"İ")</x:f>
      </x:c>
      <x:c r="AN133" s="222"/>
      <x:c r="AO133" s="222"/>
      <x:c r="AP133" s="228"/>
      <x:c r="AQ133" s="228"/>
      <x:c r="AR133" s="228"/>
      <x:c r="AS133" s="228"/>
      <x:c r="AT133" s="230"/>
    </x:row>
    <x:row r="134" spans="1:47" ht="19.9" customHeight="1" x14ac:dyDescent="0.25">
      <x:c r="A134" s="215"/>
      <x:c r="B134" s="216">
        <x:v>129</x:v>
      </x:c>
      <x:c r="C134" s="217"/>
      <x:c r="D134" s="215"/>
      <x:c r="E134" s="218"/>
      <x:c r="F134" s="219"/>
      <x:c r="G134" s="219"/>
      <x:c r="H134" s="219"/>
      <x:c r="I134" s="219"/>
      <x:c r="J134" s="219"/>
      <x:c r="K134" s="219"/>
      <x:c r="L134" s="219"/>
      <x:c r="M134" s="219"/>
      <x:c r="N134" s="219"/>
      <x:c r="O134" s="219"/>
      <x:c r="P134" s="219"/>
      <x:c r="Q134" s="219"/>
      <x:c r="R134" s="219"/>
      <x:c r="S134" s="219"/>
      <x:c r="T134" s="219"/>
      <x:c r="U134" s="219"/>
      <x:c r="V134" s="219"/>
      <x:c r="W134" s="219"/>
      <x:c r="X134" s="219"/>
      <x:c r="Y134" s="219"/>
      <x:c r="Z134" s="219"/>
      <x:c r="AA134" s="219"/>
      <x:c r="AB134" s="219"/>
      <x:c r="AC134" s="219"/>
      <x:c r="AD134" s="219"/>
      <x:c r="AE134" s="219"/>
      <x:c r="AF134" s="219"/>
      <x:c r="AG134" s="219"/>
      <x:c r="AH134" s="219"/>
      <x:c r="AI134" s="219"/>
      <x:c r="AJ134" s="219"/>
      <x:c r="AK134" s="220">
        <x:f>+COUNTIF(F134:AJ134,"X")+COUNTIF(F134:AJ134,"E")</x:f>
      </x:c>
      <x:c r="AL134" s="221">
        <x:f>+COUNTIF(F134:AJ134,"R")+COUNTIF(F134:AJ134,"T")+COUNTIF(F134:AJ134,"İ")</x:f>
      </x:c>
      <x:c r="AM134" s="221">
        <x:f>+COUNTIF(F134:AJ134,"İ")</x:f>
      </x:c>
      <x:c r="AN134" s="222"/>
      <x:c r="AO134" s="222"/>
      <x:c r="AP134" s="228"/>
      <x:c r="AQ134" s="228"/>
      <x:c r="AR134" s="228"/>
      <x:c r="AS134" s="228"/>
      <x:c r="AT134" s="230"/>
    </x:row>
    <x:row r="135" spans="1:47" ht="19.9" customHeight="1" x14ac:dyDescent="0.25">
      <x:c r="A135" s="215"/>
      <x:c r="B135" s="216">
        <x:v>130</x:v>
      </x:c>
      <x:c r="C135" s="217"/>
      <x:c r="D135" s="215"/>
      <x:c r="E135" s="218"/>
      <x:c r="F135" s="219"/>
      <x:c r="G135" s="219"/>
      <x:c r="H135" s="219"/>
      <x:c r="I135" s="219"/>
      <x:c r="J135" s="219"/>
      <x:c r="K135" s="219"/>
      <x:c r="L135" s="219"/>
      <x:c r="M135" s="219"/>
      <x:c r="N135" s="219"/>
      <x:c r="O135" s="219"/>
      <x:c r="P135" s="219"/>
      <x:c r="Q135" s="219"/>
      <x:c r="R135" s="219"/>
      <x:c r="S135" s="219"/>
      <x:c r="T135" s="219"/>
      <x:c r="U135" s="219"/>
      <x:c r="V135" s="219"/>
      <x:c r="W135" s="219"/>
      <x:c r="X135" s="219"/>
      <x:c r="Y135" s="219"/>
      <x:c r="Z135" s="219"/>
      <x:c r="AA135" s="219"/>
      <x:c r="AB135" s="219"/>
      <x:c r="AC135" s="219"/>
      <x:c r="AD135" s="219"/>
      <x:c r="AE135" s="219"/>
      <x:c r="AF135" s="219"/>
      <x:c r="AG135" s="219"/>
      <x:c r="AH135" s="219"/>
      <x:c r="AI135" s="219"/>
      <x:c r="AJ135" s="219"/>
      <x:c r="AK135" s="220">
        <x:f>+COUNTIF(F135:AJ135,"X")+COUNTIF(F135:AJ135,"E")</x:f>
      </x:c>
      <x:c r="AL135" s="221">
        <x:f>+COUNTIF(F135:AJ135,"R")+COUNTIF(F135:AJ135,"T")+COUNTIF(F135:AJ135,"İ")</x:f>
      </x:c>
      <x:c r="AM135" s="221">
        <x:f>+COUNTIF(F135:AJ135,"İ")</x:f>
      </x:c>
      <x:c r="AN135" s="222"/>
      <x:c r="AO135" s="222"/>
      <x:c r="AP135" s="228"/>
      <x:c r="AQ135" s="228"/>
      <x:c r="AR135" s="228"/>
      <x:c r="AS135" s="228"/>
      <x:c r="AT135" s="230"/>
    </x:row>
    <x:row r="136" spans="1:47" ht="19.9" customHeight="1" x14ac:dyDescent="0.25">
      <x:c r="A136" s="215"/>
      <x:c r="B136" s="216">
        <x:v>131</x:v>
      </x:c>
      <x:c r="C136" s="217"/>
      <x:c r="D136" s="215"/>
      <x:c r="E136" s="218"/>
      <x:c r="F136" s="219"/>
      <x:c r="G136" s="219"/>
      <x:c r="H136" s="219"/>
      <x:c r="I136" s="219"/>
      <x:c r="J136" s="219"/>
      <x:c r="K136" s="219"/>
      <x:c r="L136" s="219"/>
      <x:c r="M136" s="219"/>
      <x:c r="N136" s="219"/>
      <x:c r="O136" s="219"/>
      <x:c r="P136" s="219"/>
      <x:c r="Q136" s="219"/>
      <x:c r="R136" s="219"/>
      <x:c r="S136" s="219"/>
      <x:c r="T136" s="219"/>
      <x:c r="U136" s="219"/>
      <x:c r="V136" s="219"/>
      <x:c r="W136" s="219"/>
      <x:c r="X136" s="219"/>
      <x:c r="Y136" s="219"/>
      <x:c r="Z136" s="219"/>
      <x:c r="AA136" s="219"/>
      <x:c r="AB136" s="219"/>
      <x:c r="AC136" s="219"/>
      <x:c r="AD136" s="219"/>
      <x:c r="AE136" s="219"/>
      <x:c r="AF136" s="219"/>
      <x:c r="AG136" s="219"/>
      <x:c r="AH136" s="219"/>
      <x:c r="AI136" s="219"/>
      <x:c r="AJ136" s="219"/>
      <x:c r="AK136" s="220">
        <x:f>+COUNTIF(F136:AJ136,"X")+COUNTIF(F136:AJ136,"E")</x:f>
      </x:c>
      <x:c r="AL136" s="221">
        <x:f>+COUNTIF(F136:AJ136,"R")+COUNTIF(F136:AJ136,"T")+COUNTIF(F136:AJ136,"İ")</x:f>
      </x:c>
      <x:c r="AM136" s="221">
        <x:f>+COUNTIF(F136:AJ136,"İ")</x:f>
      </x:c>
      <x:c r="AN136" s="222"/>
      <x:c r="AO136" s="222"/>
      <x:c r="AP136" s="228"/>
      <x:c r="AQ136" s="228"/>
      <x:c r="AR136" s="228"/>
      <x:c r="AS136" s="228"/>
      <x:c r="AT136" s="230"/>
    </x:row>
    <x:row r="137" spans="1:47" ht="19.9" customHeight="1" x14ac:dyDescent="0.25">
      <x:c r="A137" s="215"/>
      <x:c r="B137" s="216">
        <x:v>132</x:v>
      </x:c>
      <x:c r="C137" s="217"/>
      <x:c r="D137" s="215"/>
      <x:c r="E137" s="218"/>
      <x:c r="F137" s="219"/>
      <x:c r="G137" s="219"/>
      <x:c r="H137" s="219"/>
      <x:c r="I137" s="219"/>
      <x:c r="J137" s="219"/>
      <x:c r="K137" s="219"/>
      <x:c r="L137" s="219"/>
      <x:c r="M137" s="219"/>
      <x:c r="N137" s="219"/>
      <x:c r="O137" s="219"/>
      <x:c r="P137" s="219"/>
      <x:c r="Q137" s="219"/>
      <x:c r="R137" s="219"/>
      <x:c r="S137" s="219"/>
      <x:c r="T137" s="219"/>
      <x:c r="U137" s="219"/>
      <x:c r="V137" s="219"/>
      <x:c r="W137" s="219"/>
      <x:c r="X137" s="219"/>
      <x:c r="Y137" s="219"/>
      <x:c r="Z137" s="219"/>
      <x:c r="AA137" s="219"/>
      <x:c r="AB137" s="219"/>
      <x:c r="AC137" s="219"/>
      <x:c r="AD137" s="219"/>
      <x:c r="AE137" s="219"/>
      <x:c r="AF137" s="219"/>
      <x:c r="AG137" s="219"/>
      <x:c r="AH137" s="219"/>
      <x:c r="AI137" s="219"/>
      <x:c r="AJ137" s="219"/>
      <x:c r="AK137" s="220">
        <x:f>+COUNTIF(F137:AJ137,"X")+COUNTIF(F137:AJ137,"E")</x:f>
      </x:c>
      <x:c r="AL137" s="221">
        <x:f>+COUNTIF(F137:AJ137,"R")+COUNTIF(F137:AJ137,"T")+COUNTIF(F137:AJ137,"İ")</x:f>
      </x:c>
      <x:c r="AM137" s="221">
        <x:f>+COUNTIF(F137:AJ137,"İ")</x:f>
      </x:c>
      <x:c r="AN137" s="222"/>
      <x:c r="AO137" s="222"/>
      <x:c r="AP137" s="228"/>
      <x:c r="AQ137" s="228"/>
      <x:c r="AR137" s="228"/>
      <x:c r="AS137" s="228"/>
      <x:c r="AT137" s="230"/>
    </x:row>
    <x:row r="138" spans="1:47" ht="19.9" customHeight="1" x14ac:dyDescent="0.25">
      <x:c r="A138" s="215"/>
      <x:c r="B138" s="216">
        <x:v>133</x:v>
      </x:c>
      <x:c r="C138" s="217"/>
      <x:c r="D138" s="215"/>
      <x:c r="E138" s="218"/>
      <x:c r="F138" s="219"/>
      <x:c r="G138" s="219"/>
      <x:c r="H138" s="219"/>
      <x:c r="I138" s="219"/>
      <x:c r="J138" s="219"/>
      <x:c r="K138" s="219"/>
      <x:c r="L138" s="219"/>
      <x:c r="M138" s="219"/>
      <x:c r="N138" s="219"/>
      <x:c r="O138" s="219"/>
      <x:c r="P138" s="219"/>
      <x:c r="Q138" s="219"/>
      <x:c r="R138" s="219"/>
      <x:c r="S138" s="219"/>
      <x:c r="T138" s="219"/>
      <x:c r="U138" s="219"/>
      <x:c r="V138" s="219"/>
      <x:c r="W138" s="219"/>
      <x:c r="X138" s="219"/>
      <x:c r="Y138" s="219"/>
      <x:c r="Z138" s="219"/>
      <x:c r="AA138" s="219"/>
      <x:c r="AB138" s="219"/>
      <x:c r="AC138" s="219"/>
      <x:c r="AD138" s="219"/>
      <x:c r="AE138" s="219"/>
      <x:c r="AF138" s="219"/>
      <x:c r="AG138" s="219"/>
      <x:c r="AH138" s="219"/>
      <x:c r="AI138" s="219"/>
      <x:c r="AJ138" s="219"/>
      <x:c r="AK138" s="220">
        <x:f>+COUNTIF(F138:AJ138,"X")+COUNTIF(F138:AJ138,"E")</x:f>
      </x:c>
      <x:c r="AL138" s="221">
        <x:f>+COUNTIF(F138:AJ138,"R")+COUNTIF(F138:AJ138,"T")+COUNTIF(F138:AJ138,"İ")</x:f>
      </x:c>
      <x:c r="AM138" s="221">
        <x:f>+COUNTIF(F138:AJ138,"İ")</x:f>
      </x:c>
      <x:c r="AN138" s="222"/>
      <x:c r="AO138" s="222"/>
      <x:c r="AP138" s="228"/>
      <x:c r="AQ138" s="228"/>
      <x:c r="AR138" s="228"/>
      <x:c r="AS138" s="228"/>
      <x:c r="AT138" s="230"/>
    </x:row>
    <x:row r="139" spans="1:47" ht="19.9" customHeight="1" x14ac:dyDescent="0.25">
      <x:c r="A139" s="215"/>
      <x:c r="B139" s="216">
        <x:v>134</x:v>
      </x:c>
      <x:c r="C139" s="217"/>
      <x:c r="D139" s="215"/>
      <x:c r="E139" s="218"/>
      <x:c r="F139" s="219"/>
      <x:c r="G139" s="219"/>
      <x:c r="H139" s="219"/>
      <x:c r="I139" s="219"/>
      <x:c r="J139" s="219"/>
      <x:c r="K139" s="219"/>
      <x:c r="L139" s="219"/>
      <x:c r="M139" s="219"/>
      <x:c r="N139" s="219"/>
      <x:c r="O139" s="219"/>
      <x:c r="P139" s="219"/>
      <x:c r="Q139" s="219"/>
      <x:c r="R139" s="219"/>
      <x:c r="S139" s="219"/>
      <x:c r="T139" s="219"/>
      <x:c r="U139" s="219"/>
      <x:c r="V139" s="219"/>
      <x:c r="W139" s="219"/>
      <x:c r="X139" s="219"/>
      <x:c r="Y139" s="219"/>
      <x:c r="Z139" s="219"/>
      <x:c r="AA139" s="219"/>
      <x:c r="AB139" s="219"/>
      <x:c r="AC139" s="219"/>
      <x:c r="AD139" s="219"/>
      <x:c r="AE139" s="219"/>
      <x:c r="AF139" s="219"/>
      <x:c r="AG139" s="219"/>
      <x:c r="AH139" s="219"/>
      <x:c r="AI139" s="219"/>
      <x:c r="AJ139" s="219"/>
      <x:c r="AK139" s="220">
        <x:f>+COUNTIF(F139:AJ139,"X")+COUNTIF(F139:AJ139,"E")</x:f>
      </x:c>
      <x:c r="AL139" s="221">
        <x:f>+COUNTIF(F139:AJ139,"R")+COUNTIF(F139:AJ139,"T")+COUNTIF(F139:AJ139,"İ")</x:f>
      </x:c>
      <x:c r="AM139" s="221">
        <x:f>+COUNTIF(F139:AJ139,"İ")</x:f>
      </x:c>
      <x:c r="AN139" s="222"/>
      <x:c r="AO139" s="222"/>
      <x:c r="AP139" s="228"/>
      <x:c r="AQ139" s="228"/>
      <x:c r="AR139" s="228"/>
      <x:c r="AS139" s="228"/>
      <x:c r="AT139" s="233"/>
    </x:row>
    <x:row r="140" spans="1:47" ht="19.9" customHeight="1" x14ac:dyDescent="0.25">
      <x:c r="A140" s="215"/>
      <x:c r="B140" s="216">
        <x:v>135</x:v>
      </x:c>
      <x:c r="C140" s="217"/>
      <x:c r="D140" s="215"/>
      <x:c r="E140" s="218"/>
      <x:c r="F140" s="219"/>
      <x:c r="G140" s="219"/>
      <x:c r="H140" s="219"/>
      <x:c r="I140" s="219"/>
      <x:c r="J140" s="219"/>
      <x:c r="K140" s="219"/>
      <x:c r="L140" s="219"/>
      <x:c r="M140" s="219"/>
      <x:c r="N140" s="219"/>
      <x:c r="O140" s="219"/>
      <x:c r="P140" s="219"/>
      <x:c r="Q140" s="219"/>
      <x:c r="R140" s="219"/>
      <x:c r="S140" s="219"/>
      <x:c r="T140" s="219"/>
      <x:c r="U140" s="219"/>
      <x:c r="V140" s="219"/>
      <x:c r="W140" s="219"/>
      <x:c r="X140" s="219"/>
      <x:c r="Y140" s="219"/>
      <x:c r="Z140" s="219"/>
      <x:c r="AA140" s="219"/>
      <x:c r="AB140" s="219"/>
      <x:c r="AC140" s="219"/>
      <x:c r="AD140" s="219"/>
      <x:c r="AE140" s="219"/>
      <x:c r="AF140" s="219"/>
      <x:c r="AG140" s="219"/>
      <x:c r="AH140" s="219"/>
      <x:c r="AI140" s="219"/>
      <x:c r="AJ140" s="219"/>
      <x:c r="AK140" s="220">
        <x:f>+COUNTIF(F140:AJ140,"X")+COUNTIF(F140:AJ140,"E")</x:f>
      </x:c>
      <x:c r="AL140" s="221">
        <x:f>+COUNTIF(F140:AJ140,"R")+COUNTIF(F140:AJ140,"T")+COUNTIF(F140:AJ140,"İ")</x:f>
      </x:c>
      <x:c r="AM140" s="221">
        <x:f>+COUNTIF(F140:AJ140,"İ")</x:f>
      </x:c>
      <x:c r="AN140" s="222"/>
      <x:c r="AO140" s="222"/>
      <x:c r="AP140" s="228"/>
      <x:c r="AQ140" s="228"/>
      <x:c r="AR140" s="228"/>
      <x:c r="AS140" s="228"/>
      <x:c r="AT140" s="230"/>
    </x:row>
    <x:row r="141" spans="1:47" ht="19.9" customHeight="1" x14ac:dyDescent="0.25">
      <x:c r="A141" s="215"/>
      <x:c r="B141" s="216">
        <x:v>136</x:v>
      </x:c>
      <x:c r="C141" s="217"/>
      <x:c r="D141" s="215"/>
      <x:c r="E141" s="218"/>
      <x:c r="F141" s="219"/>
      <x:c r="G141" s="219"/>
      <x:c r="H141" s="219"/>
      <x:c r="I141" s="219"/>
      <x:c r="J141" s="219"/>
      <x:c r="K141" s="219"/>
      <x:c r="L141" s="219"/>
      <x:c r="M141" s="219"/>
      <x:c r="N141" s="219"/>
      <x:c r="O141" s="219"/>
      <x:c r="P141" s="219"/>
      <x:c r="Q141" s="219"/>
      <x:c r="R141" s="219"/>
      <x:c r="S141" s="219"/>
      <x:c r="T141" s="219"/>
      <x:c r="U141" s="219"/>
      <x:c r="V141" s="219"/>
      <x:c r="W141" s="219"/>
      <x:c r="X141" s="219"/>
      <x:c r="Y141" s="219"/>
      <x:c r="Z141" s="219"/>
      <x:c r="AA141" s="219"/>
      <x:c r="AB141" s="219"/>
      <x:c r="AC141" s="219"/>
      <x:c r="AD141" s="219"/>
      <x:c r="AE141" s="219"/>
      <x:c r="AF141" s="219"/>
      <x:c r="AG141" s="219"/>
      <x:c r="AH141" s="219"/>
      <x:c r="AI141" s="219"/>
      <x:c r="AJ141" s="219"/>
      <x:c r="AK141" s="220">
        <x:f>+COUNTIF(F141:AJ141,"X")+COUNTIF(F141:AJ141,"E")</x:f>
      </x:c>
      <x:c r="AL141" s="221">
        <x:f>+COUNTIF(F141:AJ141,"R")+COUNTIF(F141:AJ141,"T")+COUNTIF(F141:AJ141,"İ")</x:f>
      </x:c>
      <x:c r="AM141" s="221">
        <x:f>+COUNTIF(F141:AJ141,"İ")</x:f>
      </x:c>
      <x:c r="AN141" s="222"/>
      <x:c r="AO141" s="222"/>
      <x:c r="AP141" s="228"/>
      <x:c r="AQ141" s="228"/>
      <x:c r="AR141" s="228"/>
      <x:c r="AS141" s="228"/>
      <x:c r="AT141" s="230"/>
    </x:row>
    <x:row r="142" spans="1:47" ht="19.9" customHeight="1" x14ac:dyDescent="0.25">
      <x:c r="A142" s="215"/>
      <x:c r="B142" s="216">
        <x:v>137</x:v>
      </x:c>
      <x:c r="C142" s="217"/>
      <x:c r="D142" s="215"/>
      <x:c r="E142" s="218"/>
      <x:c r="F142" s="219"/>
      <x:c r="G142" s="219"/>
      <x:c r="H142" s="219"/>
      <x:c r="I142" s="219"/>
      <x:c r="J142" s="219"/>
      <x:c r="K142" s="219"/>
      <x:c r="L142" s="219"/>
      <x:c r="M142" s="219"/>
      <x:c r="N142" s="219"/>
      <x:c r="O142" s="219"/>
      <x:c r="P142" s="219"/>
      <x:c r="Q142" s="219"/>
      <x:c r="R142" s="219"/>
      <x:c r="S142" s="219"/>
      <x:c r="T142" s="219"/>
      <x:c r="U142" s="219"/>
      <x:c r="V142" s="219"/>
      <x:c r="W142" s="219"/>
      <x:c r="X142" s="219"/>
      <x:c r="Y142" s="219"/>
      <x:c r="Z142" s="219"/>
      <x:c r="AA142" s="219"/>
      <x:c r="AB142" s="219"/>
      <x:c r="AC142" s="219"/>
      <x:c r="AD142" s="219"/>
      <x:c r="AE142" s="219"/>
      <x:c r="AF142" s="219"/>
      <x:c r="AG142" s="219"/>
      <x:c r="AH142" s="219"/>
      <x:c r="AI142" s="219"/>
      <x:c r="AJ142" s="219"/>
      <x:c r="AK142" s="220">
        <x:f>+COUNTIF(F142:AJ142,"X")+COUNTIF(F142:AJ142,"E")</x:f>
      </x:c>
      <x:c r="AL142" s="221">
        <x:f>+COUNTIF(F142:AJ142,"R")+COUNTIF(F142:AJ142,"T")+COUNTIF(F142:AJ142,"İ")</x:f>
      </x:c>
      <x:c r="AM142" s="221">
        <x:f>+COUNTIF(F142:AJ142,"İ")</x:f>
      </x:c>
      <x:c r="AN142" s="222"/>
      <x:c r="AO142" s="222"/>
      <x:c r="AP142" s="228"/>
      <x:c r="AQ142" s="228"/>
      <x:c r="AR142" s="228"/>
      <x:c r="AS142" s="228"/>
      <x:c r="AT142" s="230"/>
    </x:row>
    <x:row r="143" spans="1:47" ht="19.9" customHeight="1" x14ac:dyDescent="0.25">
      <x:c r="A143" s="215"/>
      <x:c r="B143" s="216">
        <x:v>138</x:v>
      </x:c>
      <x:c r="C143" s="217"/>
      <x:c r="D143" s="215"/>
      <x:c r="E143" s="218"/>
      <x:c r="F143" s="219"/>
      <x:c r="G143" s="219"/>
      <x:c r="H143" s="219"/>
      <x:c r="I143" s="219"/>
      <x:c r="J143" s="219"/>
      <x:c r="K143" s="219"/>
      <x:c r="L143" s="219"/>
      <x:c r="M143" s="219"/>
      <x:c r="N143" s="219"/>
      <x:c r="O143" s="219"/>
      <x:c r="P143" s="219"/>
      <x:c r="Q143" s="219"/>
      <x:c r="R143" s="219"/>
      <x:c r="S143" s="219"/>
      <x:c r="T143" s="219"/>
      <x:c r="U143" s="219"/>
      <x:c r="V143" s="219"/>
      <x:c r="W143" s="219"/>
      <x:c r="X143" s="219"/>
      <x:c r="Y143" s="219"/>
      <x:c r="Z143" s="219"/>
      <x:c r="AA143" s="219"/>
      <x:c r="AB143" s="219"/>
      <x:c r="AC143" s="219"/>
      <x:c r="AD143" s="219"/>
      <x:c r="AE143" s="219"/>
      <x:c r="AF143" s="219"/>
      <x:c r="AG143" s="219"/>
      <x:c r="AH143" s="219"/>
      <x:c r="AI143" s="219"/>
      <x:c r="AJ143" s="219"/>
      <x:c r="AK143" s="220">
        <x:f>+COUNTIF(F143:AJ143,"X")+COUNTIF(F143:AJ143,"E")</x:f>
      </x:c>
      <x:c r="AL143" s="221">
        <x:f>+COUNTIF(F143:AJ143,"R")+COUNTIF(F143:AJ143,"T")+COUNTIF(F143:AJ143,"İ")</x:f>
      </x:c>
      <x:c r="AM143" s="221">
        <x:f>+COUNTIF(F143:AJ143,"İ")</x:f>
      </x:c>
      <x:c r="AN143" s="222"/>
      <x:c r="AO143" s="222"/>
      <x:c r="AP143" s="228"/>
      <x:c r="AQ143" s="228"/>
      <x:c r="AR143" s="228"/>
      <x:c r="AS143" s="228"/>
      <x:c r="AT143" s="230"/>
    </x:row>
    <x:row r="144" spans="1:47" ht="19.9" customHeight="1" x14ac:dyDescent="0.25">
      <x:c r="A144" s="215"/>
      <x:c r="B144" s="216">
        <x:v>139</x:v>
      </x:c>
      <x:c r="C144" s="217"/>
      <x:c r="D144" s="215"/>
      <x:c r="E144" s="218"/>
      <x:c r="F144" s="219"/>
      <x:c r="G144" s="219"/>
      <x:c r="H144" s="219"/>
      <x:c r="I144" s="219"/>
      <x:c r="J144" s="219"/>
      <x:c r="K144" s="219"/>
      <x:c r="L144" s="219"/>
      <x:c r="M144" s="219"/>
      <x:c r="N144" s="219"/>
      <x:c r="O144" s="219"/>
      <x:c r="P144" s="219"/>
      <x:c r="Q144" s="219"/>
      <x:c r="R144" s="219"/>
      <x:c r="S144" s="219"/>
      <x:c r="T144" s="219"/>
      <x:c r="U144" s="219"/>
      <x:c r="V144" s="219"/>
      <x:c r="W144" s="219"/>
      <x:c r="X144" s="219"/>
      <x:c r="Y144" s="219"/>
      <x:c r="Z144" s="219"/>
      <x:c r="AA144" s="219"/>
      <x:c r="AB144" s="219"/>
      <x:c r="AC144" s="219"/>
      <x:c r="AD144" s="219"/>
      <x:c r="AE144" s="219"/>
      <x:c r="AF144" s="219"/>
      <x:c r="AG144" s="219"/>
      <x:c r="AH144" s="219"/>
      <x:c r="AI144" s="219"/>
      <x:c r="AJ144" s="219"/>
      <x:c r="AK144" s="220">
        <x:f>+COUNTIF(F144:AJ144,"X")+COUNTIF(F144:AJ144,"E")</x:f>
      </x:c>
      <x:c r="AL144" s="221">
        <x:f>+COUNTIF(F144:AJ144,"R")+COUNTIF(F144:AJ144,"T")+COUNTIF(F144:AJ144,"İ")</x:f>
      </x:c>
      <x:c r="AM144" s="221">
        <x:f>+COUNTIF(F144:AJ144,"İ")</x:f>
      </x:c>
      <x:c r="AN144" s="222"/>
      <x:c r="AO144" s="222"/>
      <x:c r="AP144" s="228"/>
      <x:c r="AQ144" s="228"/>
      <x:c r="AR144" s="228"/>
      <x:c r="AS144" s="228"/>
      <x:c r="AT144" s="230"/>
    </x:row>
    <x:row r="145" spans="1:47" ht="19.9" customHeight="1" x14ac:dyDescent="0.25">
      <x:c r="A145" s="215"/>
      <x:c r="B145" s="216">
        <x:v>140</x:v>
      </x:c>
      <x:c r="C145" s="217"/>
      <x:c r="D145" s="215"/>
      <x:c r="E145" s="218"/>
      <x:c r="F145" s="219"/>
      <x:c r="G145" s="219"/>
      <x:c r="H145" s="219"/>
      <x:c r="I145" s="219"/>
      <x:c r="J145" s="219"/>
      <x:c r="K145" s="219"/>
      <x:c r="L145" s="219"/>
      <x:c r="M145" s="219"/>
      <x:c r="N145" s="219"/>
      <x:c r="O145" s="219"/>
      <x:c r="P145" s="219"/>
      <x:c r="Q145" s="219"/>
      <x:c r="R145" s="219"/>
      <x:c r="S145" s="219"/>
      <x:c r="T145" s="219"/>
      <x:c r="U145" s="219"/>
      <x:c r="V145" s="219"/>
      <x:c r="W145" s="219"/>
      <x:c r="X145" s="219"/>
      <x:c r="Y145" s="219"/>
      <x:c r="Z145" s="219"/>
      <x:c r="AA145" s="219"/>
      <x:c r="AB145" s="219"/>
      <x:c r="AC145" s="219"/>
      <x:c r="AD145" s="219"/>
      <x:c r="AE145" s="219"/>
      <x:c r="AF145" s="219"/>
      <x:c r="AG145" s="219"/>
      <x:c r="AH145" s="219"/>
      <x:c r="AI145" s="219"/>
      <x:c r="AJ145" s="219"/>
      <x:c r="AK145" s="220">
        <x:f>+COUNTIF(F145:AJ145,"X")+COUNTIF(F145:AJ145,"E")</x:f>
      </x:c>
      <x:c r="AL145" s="221">
        <x:f>+COUNTIF(F145:AJ145,"R")+COUNTIF(F145:AJ145,"T")+COUNTIF(F145:AJ145,"İ")</x:f>
      </x:c>
      <x:c r="AM145" s="221">
        <x:f>+COUNTIF(F145:AJ145,"İ")</x:f>
      </x:c>
      <x:c r="AN145" s="222"/>
      <x:c r="AO145" s="222"/>
      <x:c r="AP145" s="228"/>
      <x:c r="AQ145" s="228"/>
      <x:c r="AR145" s="228"/>
      <x:c r="AS145" s="228"/>
      <x:c r="AT145" s="230"/>
    </x:row>
    <x:row r="146" spans="1:47" ht="19.9" customHeight="1" x14ac:dyDescent="0.25">
      <x:c r="A146" s="215"/>
      <x:c r="B146" s="216">
        <x:v>141</x:v>
      </x:c>
      <x:c r="C146" s="217"/>
      <x:c r="D146" s="215"/>
      <x:c r="E146" s="218"/>
      <x:c r="F146" s="219"/>
      <x:c r="G146" s="219"/>
      <x:c r="H146" s="219"/>
      <x:c r="I146" s="219"/>
      <x:c r="J146" s="219"/>
      <x:c r="K146" s="219"/>
      <x:c r="L146" s="219"/>
      <x:c r="M146" s="219"/>
      <x:c r="N146" s="219"/>
      <x:c r="O146" s="219"/>
      <x:c r="P146" s="219"/>
      <x:c r="Q146" s="219"/>
      <x:c r="R146" s="219"/>
      <x:c r="S146" s="219"/>
      <x:c r="T146" s="219"/>
      <x:c r="U146" s="219"/>
      <x:c r="V146" s="219"/>
      <x:c r="W146" s="219"/>
      <x:c r="X146" s="219"/>
      <x:c r="Y146" s="219"/>
      <x:c r="Z146" s="219"/>
      <x:c r="AA146" s="219"/>
      <x:c r="AB146" s="219"/>
      <x:c r="AC146" s="219"/>
      <x:c r="AD146" s="219"/>
      <x:c r="AE146" s="219"/>
      <x:c r="AF146" s="219"/>
      <x:c r="AG146" s="219"/>
      <x:c r="AH146" s="219"/>
      <x:c r="AI146" s="219"/>
      <x:c r="AJ146" s="219"/>
      <x:c r="AK146" s="220">
        <x:f>+COUNTIF(F146:AJ146,"X")+COUNTIF(F146:AJ146,"E")</x:f>
      </x:c>
      <x:c r="AL146" s="221">
        <x:f>+COUNTIF(F146:AJ146,"R")+COUNTIF(F146:AJ146,"T")+COUNTIF(F146:AJ146,"İ")</x:f>
      </x:c>
      <x:c r="AM146" s="221">
        <x:f>+COUNTIF(F146:AJ146,"İ")</x:f>
      </x:c>
      <x:c r="AN146" s="222"/>
      <x:c r="AO146" s="222"/>
      <x:c r="AP146" s="228"/>
      <x:c r="AQ146" s="228"/>
      <x:c r="AR146" s="228"/>
      <x:c r="AS146" s="228"/>
      <x:c r="AT146" s="230"/>
    </x:row>
    <x:row r="147" spans="1:47" ht="19.9" customHeight="1" x14ac:dyDescent="0.25">
      <x:c r="A147" s="215"/>
      <x:c r="B147" s="216">
        <x:v>142</x:v>
      </x:c>
      <x:c r="C147" s="217"/>
      <x:c r="D147" s="215"/>
      <x:c r="E147" s="218"/>
      <x:c r="F147" s="219"/>
      <x:c r="G147" s="219"/>
      <x:c r="H147" s="219"/>
      <x:c r="I147" s="219"/>
      <x:c r="J147" s="219"/>
      <x:c r="K147" s="219"/>
      <x:c r="L147" s="219"/>
      <x:c r="M147" s="219"/>
      <x:c r="N147" s="219"/>
      <x:c r="O147" s="219"/>
      <x:c r="P147" s="219"/>
      <x:c r="Q147" s="219"/>
      <x:c r="R147" s="219"/>
      <x:c r="S147" s="219"/>
      <x:c r="T147" s="219"/>
      <x:c r="U147" s="219"/>
      <x:c r="V147" s="219"/>
      <x:c r="W147" s="219"/>
      <x:c r="X147" s="219"/>
      <x:c r="Y147" s="219"/>
      <x:c r="Z147" s="219"/>
      <x:c r="AA147" s="219"/>
      <x:c r="AB147" s="219"/>
      <x:c r="AC147" s="219"/>
      <x:c r="AD147" s="219"/>
      <x:c r="AE147" s="219"/>
      <x:c r="AF147" s="219"/>
      <x:c r="AG147" s="219"/>
      <x:c r="AH147" s="219"/>
      <x:c r="AI147" s="219"/>
      <x:c r="AJ147" s="219"/>
      <x:c r="AK147" s="220">
        <x:f>+COUNTIF(F147:AJ147,"X")+COUNTIF(F147:AJ147,"E")</x:f>
      </x:c>
      <x:c r="AL147" s="221">
        <x:f>+COUNTIF(F147:AJ147,"R")+COUNTIF(F147:AJ147,"T")+COUNTIF(F147:AJ147,"İ")</x:f>
      </x:c>
      <x:c r="AM147" s="221">
        <x:f>+COUNTIF(F147:AJ147,"İ")</x:f>
      </x:c>
      <x:c r="AN147" s="222"/>
      <x:c r="AO147" s="222"/>
      <x:c r="AP147" s="228"/>
      <x:c r="AQ147" s="228"/>
      <x:c r="AR147" s="228"/>
      <x:c r="AS147" s="228"/>
      <x:c r="AT147" s="230"/>
    </x:row>
    <x:row r="148" spans="1:47" ht="19.9" customHeight="1" x14ac:dyDescent="0.25">
      <x:c r="A148" s="215"/>
      <x:c r="B148" s="216">
        <x:v>143</x:v>
      </x:c>
      <x:c r="C148" s="217"/>
      <x:c r="D148" s="215"/>
      <x:c r="E148" s="218"/>
      <x:c r="F148" s="219"/>
      <x:c r="G148" s="219"/>
      <x:c r="H148" s="219"/>
      <x:c r="I148" s="219"/>
      <x:c r="J148" s="219"/>
      <x:c r="K148" s="219"/>
      <x:c r="L148" s="219"/>
      <x:c r="M148" s="219"/>
      <x:c r="N148" s="219"/>
      <x:c r="O148" s="219"/>
      <x:c r="P148" s="219"/>
      <x:c r="Q148" s="219"/>
      <x:c r="R148" s="219"/>
      <x:c r="S148" s="219"/>
      <x:c r="T148" s="219"/>
      <x:c r="U148" s="219"/>
      <x:c r="V148" s="219"/>
      <x:c r="W148" s="219"/>
      <x:c r="X148" s="219"/>
      <x:c r="Y148" s="219"/>
      <x:c r="Z148" s="219"/>
      <x:c r="AA148" s="219"/>
      <x:c r="AB148" s="219"/>
      <x:c r="AC148" s="219"/>
      <x:c r="AD148" s="219"/>
      <x:c r="AE148" s="219"/>
      <x:c r="AF148" s="219"/>
      <x:c r="AG148" s="219"/>
      <x:c r="AH148" s="219"/>
      <x:c r="AI148" s="219"/>
      <x:c r="AJ148" s="219"/>
      <x:c r="AK148" s="220">
        <x:f>+COUNTIF(F148:AJ148,"X")+COUNTIF(F148:AJ148,"E")</x:f>
      </x:c>
      <x:c r="AL148" s="221">
        <x:f>+COUNTIF(F148:AJ148,"R")+COUNTIF(F148:AJ148,"T")+COUNTIF(F148:AJ148,"İ")</x:f>
      </x:c>
      <x:c r="AM148" s="221">
        <x:f>+COUNTIF(F148:AJ148,"İ")</x:f>
      </x:c>
      <x:c r="AN148" s="222"/>
      <x:c r="AO148" s="222"/>
      <x:c r="AP148" s="228"/>
      <x:c r="AQ148" s="228"/>
      <x:c r="AR148" s="228"/>
      <x:c r="AS148" s="228"/>
      <x:c r="AT148" s="230"/>
    </x:row>
    <x:row r="149" spans="1:47" ht="19.9" customHeight="1" x14ac:dyDescent="0.25">
      <x:c r="A149" s="215"/>
      <x:c r="B149" s="216">
        <x:v>144</x:v>
      </x:c>
      <x:c r="C149" s="217"/>
      <x:c r="D149" s="215"/>
      <x:c r="E149" s="218"/>
      <x:c r="F149" s="219"/>
      <x:c r="G149" s="219"/>
      <x:c r="H149" s="219"/>
      <x:c r="I149" s="219"/>
      <x:c r="J149" s="219"/>
      <x:c r="K149" s="219"/>
      <x:c r="L149" s="219"/>
      <x:c r="M149" s="219"/>
      <x:c r="N149" s="219"/>
      <x:c r="O149" s="219"/>
      <x:c r="P149" s="219"/>
      <x:c r="Q149" s="219"/>
      <x:c r="R149" s="219"/>
      <x:c r="S149" s="219"/>
      <x:c r="T149" s="219"/>
      <x:c r="U149" s="219"/>
      <x:c r="V149" s="219"/>
      <x:c r="W149" s="219"/>
      <x:c r="X149" s="219"/>
      <x:c r="Y149" s="219"/>
      <x:c r="Z149" s="219"/>
      <x:c r="AA149" s="219"/>
      <x:c r="AB149" s="219"/>
      <x:c r="AC149" s="219"/>
      <x:c r="AD149" s="219"/>
      <x:c r="AE149" s="219"/>
      <x:c r="AF149" s="219"/>
      <x:c r="AG149" s="219"/>
      <x:c r="AH149" s="219"/>
      <x:c r="AI149" s="219"/>
      <x:c r="AJ149" s="219"/>
      <x:c r="AK149" s="220">
        <x:f>+COUNTIF(F149:AJ149,"X")+COUNTIF(F149:AJ149,"E")</x:f>
      </x:c>
      <x:c r="AL149" s="221">
        <x:f>+COUNTIF(F149:AJ149,"R")+COUNTIF(F149:AJ149,"T")+COUNTIF(F149:AJ149,"İ")</x:f>
      </x:c>
      <x:c r="AM149" s="221">
        <x:f>+COUNTIF(F149:AJ149,"İ")</x:f>
      </x:c>
      <x:c r="AN149" s="222"/>
      <x:c r="AO149" s="222"/>
      <x:c r="AP149" s="228"/>
      <x:c r="AQ149" s="228"/>
      <x:c r="AR149" s="228"/>
      <x:c r="AS149" s="228"/>
      <x:c r="AT149" s="230"/>
    </x:row>
    <x:row r="150" spans="1:47" ht="19.9" customHeight="1" x14ac:dyDescent="0.25">
      <x:c r="A150" s="215"/>
      <x:c r="B150" s="216">
        <x:v>145</x:v>
      </x:c>
      <x:c r="C150" s="217"/>
      <x:c r="D150" s="215"/>
      <x:c r="E150" s="218"/>
      <x:c r="F150" s="219"/>
      <x:c r="G150" s="219"/>
      <x:c r="H150" s="219"/>
      <x:c r="I150" s="219"/>
      <x:c r="J150" s="219"/>
      <x:c r="K150" s="219"/>
      <x:c r="L150" s="219"/>
      <x:c r="M150" s="219"/>
      <x:c r="N150" s="219"/>
      <x:c r="O150" s="219"/>
      <x:c r="P150" s="219"/>
      <x:c r="Q150" s="219"/>
      <x:c r="R150" s="219"/>
      <x:c r="S150" s="219"/>
      <x:c r="T150" s="219"/>
      <x:c r="U150" s="219"/>
      <x:c r="V150" s="219"/>
      <x:c r="W150" s="219"/>
      <x:c r="X150" s="219"/>
      <x:c r="Y150" s="219"/>
      <x:c r="Z150" s="219"/>
      <x:c r="AA150" s="219"/>
      <x:c r="AB150" s="219"/>
      <x:c r="AC150" s="219"/>
      <x:c r="AD150" s="219"/>
      <x:c r="AE150" s="219"/>
      <x:c r="AF150" s="219"/>
      <x:c r="AG150" s="219"/>
      <x:c r="AH150" s="219"/>
      <x:c r="AI150" s="219"/>
      <x:c r="AJ150" s="219"/>
      <x:c r="AK150" s="220">
        <x:f>+COUNTIF(F150:AJ150,"X")+COUNTIF(F150:AJ150,"E")</x:f>
      </x:c>
      <x:c r="AL150" s="221">
        <x:f>+COUNTIF(F150:AJ150,"R")+COUNTIF(F150:AJ150,"T")+COUNTIF(F150:AJ150,"İ")</x:f>
      </x:c>
      <x:c r="AM150" s="221">
        <x:f>+COUNTIF(F150:AJ150,"İ")</x:f>
      </x:c>
      <x:c r="AN150" s="222"/>
      <x:c r="AO150" s="222"/>
      <x:c r="AP150" s="228"/>
      <x:c r="AQ150" s="228"/>
      <x:c r="AR150" s="228"/>
      <x:c r="AS150" s="228"/>
      <x:c r="AT150" s="230"/>
    </x:row>
    <x:row r="151" spans="1:47" ht="19.9" customHeight="1" x14ac:dyDescent="0.25">
      <x:c r="A151" s="215"/>
      <x:c r="B151" s="216">
        <x:v>146</x:v>
      </x:c>
      <x:c r="C151" s="217"/>
      <x:c r="D151" s="215"/>
      <x:c r="E151" s="218"/>
      <x:c r="F151" s="219"/>
      <x:c r="G151" s="219"/>
      <x:c r="H151" s="219"/>
      <x:c r="I151" s="219"/>
      <x:c r="J151" s="219"/>
      <x:c r="K151" s="219"/>
      <x:c r="L151" s="219"/>
      <x:c r="M151" s="219"/>
      <x:c r="N151" s="219"/>
      <x:c r="O151" s="219"/>
      <x:c r="P151" s="219"/>
      <x:c r="Q151" s="219"/>
      <x:c r="R151" s="219"/>
      <x:c r="S151" s="219"/>
      <x:c r="T151" s="219"/>
      <x:c r="U151" s="219"/>
      <x:c r="V151" s="219"/>
      <x:c r="W151" s="219"/>
      <x:c r="X151" s="219"/>
      <x:c r="Y151" s="219"/>
      <x:c r="Z151" s="219"/>
      <x:c r="AA151" s="219"/>
      <x:c r="AB151" s="219"/>
      <x:c r="AC151" s="219"/>
      <x:c r="AD151" s="219"/>
      <x:c r="AE151" s="219"/>
      <x:c r="AF151" s="219"/>
      <x:c r="AG151" s="219"/>
      <x:c r="AH151" s="219"/>
      <x:c r="AI151" s="219"/>
      <x:c r="AJ151" s="219"/>
      <x:c r="AK151" s="220">
        <x:f>+COUNTIF(F151:AJ151,"X")+COUNTIF(F151:AJ151,"E")</x:f>
      </x:c>
      <x:c r="AL151" s="221">
        <x:f>+COUNTIF(F151:AJ151,"R")+COUNTIF(F151:AJ151,"T")+COUNTIF(F151:AJ151,"İ")</x:f>
      </x:c>
      <x:c r="AM151" s="221">
        <x:f>+COUNTIF(F151:AJ151,"İ")</x:f>
      </x:c>
      <x:c r="AN151" s="222"/>
      <x:c r="AO151" s="222"/>
      <x:c r="AP151" s="228"/>
      <x:c r="AQ151" s="228"/>
      <x:c r="AR151" s="228"/>
      <x:c r="AS151" s="228"/>
      <x:c r="AT151" s="230"/>
    </x:row>
    <x:row r="152" spans="1:47" ht="19.9" customHeight="1" x14ac:dyDescent="0.25">
      <x:c r="A152" s="215"/>
      <x:c r="B152" s="216">
        <x:v>147</x:v>
      </x:c>
      <x:c r="C152" s="217"/>
      <x:c r="D152" s="215"/>
      <x:c r="E152" s="218"/>
      <x:c r="F152" s="219"/>
      <x:c r="G152" s="219"/>
      <x:c r="H152" s="219"/>
      <x:c r="I152" s="219"/>
      <x:c r="J152" s="219"/>
      <x:c r="K152" s="219"/>
      <x:c r="L152" s="219"/>
      <x:c r="M152" s="219"/>
      <x:c r="N152" s="219"/>
      <x:c r="O152" s="219"/>
      <x:c r="P152" s="219"/>
      <x:c r="Q152" s="219"/>
      <x:c r="R152" s="219"/>
      <x:c r="S152" s="219"/>
      <x:c r="T152" s="219"/>
      <x:c r="U152" s="219"/>
      <x:c r="V152" s="219"/>
      <x:c r="W152" s="219"/>
      <x:c r="X152" s="219"/>
      <x:c r="Y152" s="219"/>
      <x:c r="Z152" s="219"/>
      <x:c r="AA152" s="219"/>
      <x:c r="AB152" s="219"/>
      <x:c r="AC152" s="219"/>
      <x:c r="AD152" s="219"/>
      <x:c r="AE152" s="219"/>
      <x:c r="AF152" s="219"/>
      <x:c r="AG152" s="219"/>
      <x:c r="AH152" s="219"/>
      <x:c r="AI152" s="219"/>
      <x:c r="AJ152" s="219"/>
      <x:c r="AK152" s="220">
        <x:f>+COUNTIF(F152:AJ152,"X")+COUNTIF(F152:AJ152,"E")</x:f>
      </x:c>
      <x:c r="AL152" s="221">
        <x:f>+COUNTIF(F152:AJ152,"R")+COUNTIF(F152:AJ152,"T")+COUNTIF(F152:AJ152,"İ")</x:f>
      </x:c>
      <x:c r="AM152" s="221">
        <x:f>+COUNTIF(F152:AJ152,"İ")</x:f>
      </x:c>
      <x:c r="AN152" s="222"/>
      <x:c r="AO152" s="222"/>
      <x:c r="AP152" s="228"/>
      <x:c r="AQ152" s="228"/>
      <x:c r="AR152" s="228"/>
      <x:c r="AS152" s="228"/>
      <x:c r="AT152" s="230"/>
    </x:row>
    <x:row r="153" spans="1:47" ht="19.9" customHeight="1" x14ac:dyDescent="0.25">
      <x:c r="A153" s="215"/>
      <x:c r="B153" s="216">
        <x:v>148</x:v>
      </x:c>
      <x:c r="C153" s="217"/>
      <x:c r="D153" s="215"/>
      <x:c r="E153" s="218"/>
      <x:c r="F153" s="219"/>
      <x:c r="G153" s="219"/>
      <x:c r="H153" s="219"/>
      <x:c r="I153" s="219"/>
      <x:c r="J153" s="219"/>
      <x:c r="K153" s="219"/>
      <x:c r="L153" s="219"/>
      <x:c r="M153" s="219"/>
      <x:c r="N153" s="219"/>
      <x:c r="O153" s="219"/>
      <x:c r="P153" s="219"/>
      <x:c r="Q153" s="219"/>
      <x:c r="R153" s="219"/>
      <x:c r="S153" s="219"/>
      <x:c r="T153" s="219"/>
      <x:c r="U153" s="219"/>
      <x:c r="V153" s="219"/>
      <x:c r="W153" s="219"/>
      <x:c r="X153" s="219"/>
      <x:c r="Y153" s="219"/>
      <x:c r="Z153" s="219"/>
      <x:c r="AA153" s="219"/>
      <x:c r="AB153" s="219"/>
      <x:c r="AC153" s="219"/>
      <x:c r="AD153" s="219"/>
      <x:c r="AE153" s="219"/>
      <x:c r="AF153" s="219"/>
      <x:c r="AG153" s="219"/>
      <x:c r="AH153" s="219"/>
      <x:c r="AI153" s="219"/>
      <x:c r="AJ153" s="219"/>
      <x:c r="AK153" s="220">
        <x:f>+COUNTIF(F153:AJ153,"X")+COUNTIF(F153:AJ153,"E")</x:f>
      </x:c>
      <x:c r="AL153" s="221">
        <x:f>+COUNTIF(F153:AJ153,"R")+COUNTIF(F153:AJ153,"T")+COUNTIF(F153:AJ153,"İ")</x:f>
      </x:c>
      <x:c r="AM153" s="221">
        <x:f>+COUNTIF(F153:AJ153,"İ")</x:f>
      </x:c>
      <x:c r="AN153" s="222"/>
      <x:c r="AO153" s="222"/>
      <x:c r="AP153" s="228"/>
      <x:c r="AQ153" s="228"/>
      <x:c r="AR153" s="228"/>
      <x:c r="AS153" s="228"/>
      <x:c r="AT153" s="230"/>
    </x:row>
    <x:row r="154" spans="1:47" ht="19.9" customHeight="1" x14ac:dyDescent="0.25">
      <x:c r="A154" s="215"/>
      <x:c r="B154" s="216">
        <x:v>149</x:v>
      </x:c>
      <x:c r="C154" s="217"/>
      <x:c r="D154" s="215"/>
      <x:c r="E154" s="218"/>
      <x:c r="F154" s="219"/>
      <x:c r="G154" s="219"/>
      <x:c r="H154" s="219"/>
      <x:c r="I154" s="219"/>
      <x:c r="J154" s="219"/>
      <x:c r="K154" s="219"/>
      <x:c r="L154" s="219"/>
      <x:c r="M154" s="219"/>
      <x:c r="N154" s="219"/>
      <x:c r="O154" s="219"/>
      <x:c r="P154" s="219"/>
      <x:c r="Q154" s="219"/>
      <x:c r="R154" s="219"/>
      <x:c r="S154" s="219"/>
      <x:c r="T154" s="219"/>
      <x:c r="U154" s="219"/>
      <x:c r="V154" s="219"/>
      <x:c r="W154" s="219"/>
      <x:c r="X154" s="219"/>
      <x:c r="Y154" s="219"/>
      <x:c r="Z154" s="219"/>
      <x:c r="AA154" s="219"/>
      <x:c r="AB154" s="219"/>
      <x:c r="AC154" s="219"/>
      <x:c r="AD154" s="219"/>
      <x:c r="AE154" s="219"/>
      <x:c r="AF154" s="219"/>
      <x:c r="AG154" s="219"/>
      <x:c r="AH154" s="219"/>
      <x:c r="AI154" s="219"/>
      <x:c r="AJ154" s="219"/>
      <x:c r="AK154" s="220">
        <x:f>+COUNTIF(F154:AJ154,"X")+COUNTIF(F154:AJ154,"E")</x:f>
      </x:c>
      <x:c r="AL154" s="221">
        <x:f>+COUNTIF(F154:AJ154,"R")+COUNTIF(F154:AJ154,"T")+COUNTIF(F154:AJ154,"İ")</x:f>
      </x:c>
      <x:c r="AM154" s="221">
        <x:f>+COUNTIF(F154:AJ154,"İ")</x:f>
      </x:c>
      <x:c r="AN154" s="222"/>
      <x:c r="AO154" s="222"/>
      <x:c r="AP154" s="228"/>
      <x:c r="AQ154" s="228"/>
      <x:c r="AR154" s="228"/>
      <x:c r="AS154" s="228"/>
      <x:c r="AT154" s="230"/>
    </x:row>
    <x:row r="155" spans="1:47" ht="19.9" customHeight="1" x14ac:dyDescent="0.25">
      <x:c r="A155" s="215"/>
      <x:c r="B155" s="216">
        <x:v>150</x:v>
      </x:c>
      <x:c r="C155" s="217"/>
      <x:c r="D155" s="215"/>
      <x:c r="E155" s="218"/>
      <x:c r="F155" s="219"/>
      <x:c r="G155" s="219"/>
      <x:c r="H155" s="219"/>
      <x:c r="I155" s="219"/>
      <x:c r="J155" s="219"/>
      <x:c r="K155" s="219"/>
      <x:c r="L155" s="219"/>
      <x:c r="M155" s="219"/>
      <x:c r="N155" s="219"/>
      <x:c r="O155" s="219"/>
      <x:c r="P155" s="219"/>
      <x:c r="Q155" s="219"/>
      <x:c r="R155" s="219"/>
      <x:c r="S155" s="219"/>
      <x:c r="T155" s="219"/>
      <x:c r="U155" s="219"/>
      <x:c r="V155" s="219"/>
      <x:c r="W155" s="219"/>
      <x:c r="X155" s="219"/>
      <x:c r="Y155" s="219"/>
      <x:c r="Z155" s="219"/>
      <x:c r="AA155" s="219"/>
      <x:c r="AB155" s="219"/>
      <x:c r="AC155" s="219"/>
      <x:c r="AD155" s="219"/>
      <x:c r="AE155" s="219"/>
      <x:c r="AF155" s="219"/>
      <x:c r="AG155" s="219"/>
      <x:c r="AH155" s="219"/>
      <x:c r="AI155" s="219"/>
      <x:c r="AJ155" s="219"/>
      <x:c r="AK155" s="220">
        <x:f>+COUNTIF(F155:AJ155,"X")+COUNTIF(F155:AJ155,"E")</x:f>
      </x:c>
      <x:c r="AL155" s="221">
        <x:f>+COUNTIF(F155:AJ155,"R")+COUNTIF(F155:AJ155,"T")+COUNTIF(F155:AJ155,"İ")</x:f>
      </x:c>
      <x:c r="AM155" s="221">
        <x:f>+COUNTIF(F155:AJ155,"İ")</x:f>
      </x:c>
      <x:c r="AN155" s="222"/>
      <x:c r="AO155" s="222"/>
      <x:c r="AP155" s="228"/>
      <x:c r="AQ155" s="228"/>
      <x:c r="AR155" s="228"/>
      <x:c r="AS155" s="228"/>
      <x:c r="AT155" s="230"/>
    </x:row>
    <x:row r="156" spans="1:47" ht="19.9" customHeight="1" x14ac:dyDescent="0.25">
      <x:c r="A156" s="215"/>
      <x:c r="B156" s="216">
        <x:v>151</x:v>
      </x:c>
      <x:c r="C156" s="217"/>
      <x:c r="D156" s="215"/>
      <x:c r="E156" s="218"/>
      <x:c r="F156" s="219"/>
      <x:c r="G156" s="219"/>
      <x:c r="H156" s="219"/>
      <x:c r="I156" s="219"/>
      <x:c r="J156" s="219"/>
      <x:c r="K156" s="219"/>
      <x:c r="L156" s="219"/>
      <x:c r="M156" s="219"/>
      <x:c r="N156" s="219"/>
      <x:c r="O156" s="219"/>
      <x:c r="P156" s="219"/>
      <x:c r="Q156" s="219"/>
      <x:c r="R156" s="219"/>
      <x:c r="S156" s="219"/>
      <x:c r="T156" s="219"/>
      <x:c r="U156" s="219"/>
      <x:c r="V156" s="219"/>
      <x:c r="W156" s="219"/>
      <x:c r="X156" s="219"/>
      <x:c r="Y156" s="219"/>
      <x:c r="Z156" s="219"/>
      <x:c r="AA156" s="219"/>
      <x:c r="AB156" s="219"/>
      <x:c r="AC156" s="219"/>
      <x:c r="AD156" s="219"/>
      <x:c r="AE156" s="219"/>
      <x:c r="AF156" s="219"/>
      <x:c r="AG156" s="219"/>
      <x:c r="AH156" s="219"/>
      <x:c r="AI156" s="219"/>
      <x:c r="AJ156" s="219"/>
      <x:c r="AK156" s="220">
        <x:f>+COUNTIF(F156:AJ156,"X")+COUNTIF(F156:AJ156,"E")</x:f>
      </x:c>
      <x:c r="AL156" s="221">
        <x:f>+COUNTIF(F156:AJ156,"R")+COUNTIF(F156:AJ156,"T")+COUNTIF(F156:AJ156,"İ")</x:f>
      </x:c>
      <x:c r="AM156" s="221">
        <x:f>+COUNTIF(F156:AJ156,"İ")</x:f>
      </x:c>
      <x:c r="AN156" s="222"/>
      <x:c r="AO156" s="222"/>
      <x:c r="AP156" s="228"/>
      <x:c r="AQ156" s="228"/>
      <x:c r="AR156" s="228"/>
      <x:c r="AS156" s="228"/>
      <x:c r="AT156" s="230"/>
    </x:row>
    <x:row r="157" spans="1:47" ht="19.9" customHeight="1" x14ac:dyDescent="0.25">
      <x:c r="A157" s="215"/>
      <x:c r="B157" s="216">
        <x:v>152</x:v>
      </x:c>
      <x:c r="C157" s="217"/>
      <x:c r="D157" s="215"/>
      <x:c r="E157" s="218"/>
      <x:c r="F157" s="219"/>
      <x:c r="G157" s="219"/>
      <x:c r="H157" s="219"/>
      <x:c r="I157" s="219"/>
      <x:c r="J157" s="219"/>
      <x:c r="K157" s="219"/>
      <x:c r="L157" s="219"/>
      <x:c r="M157" s="219"/>
      <x:c r="N157" s="219"/>
      <x:c r="O157" s="219"/>
      <x:c r="P157" s="219"/>
      <x:c r="Q157" s="219"/>
      <x:c r="R157" s="219"/>
      <x:c r="S157" s="219"/>
      <x:c r="T157" s="219"/>
      <x:c r="U157" s="219"/>
      <x:c r="V157" s="219"/>
      <x:c r="W157" s="219"/>
      <x:c r="X157" s="219"/>
      <x:c r="Y157" s="219"/>
      <x:c r="Z157" s="219"/>
      <x:c r="AA157" s="219"/>
      <x:c r="AB157" s="219"/>
      <x:c r="AC157" s="219"/>
      <x:c r="AD157" s="219"/>
      <x:c r="AE157" s="219"/>
      <x:c r="AF157" s="219"/>
      <x:c r="AG157" s="219"/>
      <x:c r="AH157" s="219"/>
      <x:c r="AI157" s="219"/>
      <x:c r="AJ157" s="219"/>
      <x:c r="AK157" s="220">
        <x:f>+COUNTIF(F157:AJ157,"X")+COUNTIF(F157:AJ157,"E")</x:f>
      </x:c>
      <x:c r="AL157" s="221">
        <x:f>+COUNTIF(F157:AJ157,"R")+COUNTIF(F157:AJ157,"T")+COUNTIF(F157:AJ157,"İ")</x:f>
      </x:c>
      <x:c r="AM157" s="221">
        <x:f>+COUNTIF(F157:AJ157,"İ")</x:f>
      </x:c>
      <x:c r="AN157" s="222"/>
      <x:c r="AO157" s="222"/>
      <x:c r="AP157" s="228"/>
      <x:c r="AQ157" s="228"/>
      <x:c r="AR157" s="228"/>
      <x:c r="AS157" s="228"/>
      <x:c r="AT157" s="230"/>
    </x:row>
    <x:row r="158" spans="1:47" ht="19.9" customHeight="1" x14ac:dyDescent="0.25">
      <x:c r="A158" s="215"/>
      <x:c r="B158" s="216">
        <x:v>153</x:v>
      </x:c>
      <x:c r="C158" s="217"/>
      <x:c r="D158" s="215"/>
      <x:c r="E158" s="218"/>
      <x:c r="F158" s="219"/>
      <x:c r="G158" s="219"/>
      <x:c r="H158" s="219"/>
      <x:c r="I158" s="219"/>
      <x:c r="J158" s="219"/>
      <x:c r="K158" s="219"/>
      <x:c r="L158" s="219"/>
      <x:c r="M158" s="219"/>
      <x:c r="N158" s="219"/>
      <x:c r="O158" s="219"/>
      <x:c r="P158" s="219"/>
      <x:c r="Q158" s="219"/>
      <x:c r="R158" s="219"/>
      <x:c r="S158" s="219"/>
      <x:c r="T158" s="219"/>
      <x:c r="U158" s="219"/>
      <x:c r="V158" s="219"/>
      <x:c r="W158" s="219"/>
      <x:c r="X158" s="219"/>
      <x:c r="Y158" s="219"/>
      <x:c r="Z158" s="219"/>
      <x:c r="AA158" s="219"/>
      <x:c r="AB158" s="219"/>
      <x:c r="AC158" s="219"/>
      <x:c r="AD158" s="219"/>
      <x:c r="AE158" s="219"/>
      <x:c r="AF158" s="219"/>
      <x:c r="AG158" s="219"/>
      <x:c r="AH158" s="219"/>
      <x:c r="AI158" s="219"/>
      <x:c r="AJ158" s="219"/>
      <x:c r="AK158" s="220">
        <x:f>+COUNTIF(F158:AJ158,"X")+COUNTIF(F158:AJ158,"E")</x:f>
      </x:c>
      <x:c r="AL158" s="221">
        <x:f>+COUNTIF(F158:AJ158,"R")+COUNTIF(F158:AJ158,"T")+COUNTIF(F158:AJ158,"İ")</x:f>
      </x:c>
      <x:c r="AM158" s="221">
        <x:f>+COUNTIF(F158:AJ158,"İ")</x:f>
      </x:c>
      <x:c r="AN158" s="222"/>
      <x:c r="AO158" s="222"/>
      <x:c r="AP158" s="228"/>
      <x:c r="AQ158" s="228"/>
      <x:c r="AR158" s="228"/>
      <x:c r="AS158" s="228"/>
      <x:c r="AT158" s="230"/>
    </x:row>
    <x:row r="159" spans="1:47" ht="19.9" customHeight="1" x14ac:dyDescent="0.25">
      <x:c r="A159" s="215"/>
      <x:c r="B159" s="216">
        <x:v>154</x:v>
      </x:c>
      <x:c r="C159" s="217"/>
      <x:c r="D159" s="215"/>
      <x:c r="E159" s="218"/>
      <x:c r="F159" s="219"/>
      <x:c r="G159" s="219"/>
      <x:c r="H159" s="219"/>
      <x:c r="I159" s="219"/>
      <x:c r="J159" s="219"/>
      <x:c r="K159" s="219"/>
      <x:c r="L159" s="219"/>
      <x:c r="M159" s="219"/>
      <x:c r="N159" s="219"/>
      <x:c r="O159" s="219"/>
      <x:c r="P159" s="219"/>
      <x:c r="Q159" s="219"/>
      <x:c r="R159" s="219"/>
      <x:c r="S159" s="219"/>
      <x:c r="T159" s="219"/>
      <x:c r="U159" s="219"/>
      <x:c r="V159" s="219"/>
      <x:c r="W159" s="219"/>
      <x:c r="X159" s="219"/>
      <x:c r="Y159" s="219"/>
      <x:c r="Z159" s="219"/>
      <x:c r="AA159" s="219"/>
      <x:c r="AB159" s="219"/>
      <x:c r="AC159" s="219"/>
      <x:c r="AD159" s="219"/>
      <x:c r="AE159" s="219"/>
      <x:c r="AF159" s="219"/>
      <x:c r="AG159" s="219"/>
      <x:c r="AH159" s="219"/>
      <x:c r="AI159" s="219"/>
      <x:c r="AJ159" s="219"/>
      <x:c r="AK159" s="220">
        <x:f>+COUNTIF(F159:AJ159,"X")+COUNTIF(F159:AJ159,"E")</x:f>
      </x:c>
      <x:c r="AL159" s="221">
        <x:f>+COUNTIF(F159:AJ159,"R")+COUNTIF(F159:AJ159,"T")+COUNTIF(F159:AJ159,"İ")</x:f>
      </x:c>
      <x:c r="AM159" s="221">
        <x:f>+COUNTIF(F159:AJ159,"İ")</x:f>
      </x:c>
      <x:c r="AN159" s="222"/>
      <x:c r="AO159" s="222"/>
      <x:c r="AP159" s="228"/>
      <x:c r="AQ159" s="228"/>
      <x:c r="AR159" s="228"/>
      <x:c r="AS159" s="228"/>
      <x:c r="AT159" s="230"/>
    </x:row>
    <x:row r="160" spans="1:47" ht="19.9" customHeight="1" x14ac:dyDescent="0.25">
      <x:c r="A160" s="215"/>
      <x:c r="B160" s="216">
        <x:v>155</x:v>
      </x:c>
      <x:c r="C160" s="217"/>
      <x:c r="D160" s="215"/>
      <x:c r="E160" s="218"/>
      <x:c r="F160" s="219"/>
      <x:c r="G160" s="219"/>
      <x:c r="H160" s="219"/>
      <x:c r="I160" s="219"/>
      <x:c r="J160" s="219"/>
      <x:c r="K160" s="219"/>
      <x:c r="L160" s="219"/>
      <x:c r="M160" s="219"/>
      <x:c r="N160" s="219"/>
      <x:c r="O160" s="219"/>
      <x:c r="P160" s="219"/>
      <x:c r="Q160" s="219"/>
      <x:c r="R160" s="219"/>
      <x:c r="S160" s="219"/>
      <x:c r="T160" s="219"/>
      <x:c r="U160" s="219"/>
      <x:c r="V160" s="219"/>
      <x:c r="W160" s="219"/>
      <x:c r="X160" s="219"/>
      <x:c r="Y160" s="219"/>
      <x:c r="Z160" s="219"/>
      <x:c r="AA160" s="219"/>
      <x:c r="AB160" s="219"/>
      <x:c r="AC160" s="219"/>
      <x:c r="AD160" s="219"/>
      <x:c r="AE160" s="219"/>
      <x:c r="AF160" s="219"/>
      <x:c r="AG160" s="219"/>
      <x:c r="AH160" s="219"/>
      <x:c r="AI160" s="219"/>
      <x:c r="AJ160" s="219"/>
      <x:c r="AK160" s="220">
        <x:f>+COUNTIF(F160:AJ160,"X")+COUNTIF(F160:AJ160,"E")</x:f>
      </x:c>
      <x:c r="AL160" s="221">
        <x:f>+COUNTIF(F160:AJ160,"R")+COUNTIF(F160:AJ160,"T")+COUNTIF(F160:AJ160,"İ")</x:f>
      </x:c>
      <x:c r="AM160" s="221">
        <x:f>+COUNTIF(F160:AJ160,"İ")</x:f>
      </x:c>
      <x:c r="AN160" s="222"/>
      <x:c r="AO160" s="222"/>
      <x:c r="AP160" s="228"/>
      <x:c r="AQ160" s="228"/>
      <x:c r="AR160" s="228"/>
      <x:c r="AS160" s="228"/>
      <x:c r="AT160" s="230"/>
    </x:row>
    <x:row r="161" spans="1:47" ht="19.9" customHeight="1" x14ac:dyDescent="0.25">
      <x:c r="A161" s="215"/>
      <x:c r="B161" s="216">
        <x:v>156</x:v>
      </x:c>
      <x:c r="C161" s="217"/>
      <x:c r="D161" s="215"/>
      <x:c r="E161" s="218"/>
      <x:c r="F161" s="219"/>
      <x:c r="G161" s="219"/>
      <x:c r="H161" s="219"/>
      <x:c r="I161" s="219"/>
      <x:c r="J161" s="219"/>
      <x:c r="K161" s="219"/>
      <x:c r="L161" s="219"/>
      <x:c r="M161" s="219"/>
      <x:c r="N161" s="219"/>
      <x:c r="O161" s="219"/>
      <x:c r="P161" s="219"/>
      <x:c r="Q161" s="219"/>
      <x:c r="R161" s="219"/>
      <x:c r="S161" s="219"/>
      <x:c r="T161" s="219"/>
      <x:c r="U161" s="219"/>
      <x:c r="V161" s="219"/>
      <x:c r="W161" s="219"/>
      <x:c r="X161" s="219"/>
      <x:c r="Y161" s="219"/>
      <x:c r="Z161" s="219"/>
      <x:c r="AA161" s="219"/>
      <x:c r="AB161" s="219"/>
      <x:c r="AC161" s="219"/>
      <x:c r="AD161" s="219"/>
      <x:c r="AE161" s="219"/>
      <x:c r="AF161" s="219"/>
      <x:c r="AG161" s="219"/>
      <x:c r="AH161" s="219"/>
      <x:c r="AI161" s="219"/>
      <x:c r="AJ161" s="219"/>
      <x:c r="AK161" s="220">
        <x:f>+COUNTIF(F161:AJ161,"X")+COUNTIF(F161:AJ161,"E")</x:f>
      </x:c>
      <x:c r="AL161" s="221">
        <x:f>+COUNTIF(F161:AJ161,"R")+COUNTIF(F161:AJ161,"T")+COUNTIF(F161:AJ161,"İ")</x:f>
      </x:c>
      <x:c r="AM161" s="221">
        <x:f>+COUNTIF(F161:AJ161,"İ")</x:f>
      </x:c>
      <x:c r="AN161" s="222"/>
      <x:c r="AO161" s="222"/>
      <x:c r="AP161" s="228"/>
      <x:c r="AQ161" s="228"/>
      <x:c r="AR161" s="228"/>
      <x:c r="AS161" s="228"/>
      <x:c r="AT161" s="230"/>
    </x:row>
    <x:row r="162" spans="1:47" ht="19.9" customHeight="1" x14ac:dyDescent="0.25">
      <x:c r="A162" s="215"/>
      <x:c r="B162" s="216">
        <x:v>157</x:v>
      </x:c>
      <x:c r="C162" s="217"/>
      <x:c r="D162" s="215"/>
      <x:c r="E162" s="218"/>
      <x:c r="F162" s="219"/>
      <x:c r="G162" s="219"/>
      <x:c r="H162" s="219"/>
      <x:c r="I162" s="219"/>
      <x:c r="J162" s="219"/>
      <x:c r="K162" s="219"/>
      <x:c r="L162" s="219"/>
      <x:c r="M162" s="219"/>
      <x:c r="N162" s="219"/>
      <x:c r="O162" s="219"/>
      <x:c r="P162" s="219"/>
      <x:c r="Q162" s="219"/>
      <x:c r="R162" s="219"/>
      <x:c r="S162" s="219"/>
      <x:c r="T162" s="219"/>
      <x:c r="U162" s="219"/>
      <x:c r="V162" s="219"/>
      <x:c r="W162" s="219"/>
      <x:c r="X162" s="219"/>
      <x:c r="Y162" s="219"/>
      <x:c r="Z162" s="219"/>
      <x:c r="AA162" s="219"/>
      <x:c r="AB162" s="219"/>
      <x:c r="AC162" s="219"/>
      <x:c r="AD162" s="219"/>
      <x:c r="AE162" s="219"/>
      <x:c r="AF162" s="219"/>
      <x:c r="AG162" s="219"/>
      <x:c r="AH162" s="219"/>
      <x:c r="AI162" s="219"/>
      <x:c r="AJ162" s="219"/>
      <x:c r="AK162" s="220">
        <x:f>+COUNTIF(F162:AJ162,"X")+COUNTIF(F162:AJ162,"E")</x:f>
      </x:c>
      <x:c r="AL162" s="221">
        <x:f>+COUNTIF(F162:AJ162,"R")+COUNTIF(F162:AJ162,"T")+COUNTIF(F162:AJ162,"İ")</x:f>
      </x:c>
      <x:c r="AM162" s="221">
        <x:f>+COUNTIF(F162:AJ162,"İ")</x:f>
      </x:c>
      <x:c r="AN162" s="222"/>
      <x:c r="AO162" s="222"/>
      <x:c r="AP162" s="228"/>
      <x:c r="AQ162" s="228"/>
      <x:c r="AR162" s="228"/>
      <x:c r="AS162" s="228"/>
      <x:c r="AT162" s="230"/>
    </x:row>
    <x:row r="163" spans="1:47" ht="19.9" customHeight="1" x14ac:dyDescent="0.25">
      <x:c r="A163" s="215"/>
      <x:c r="B163" s="216">
        <x:v>158</x:v>
      </x:c>
      <x:c r="C163" s="217"/>
      <x:c r="D163" s="215"/>
      <x:c r="E163" s="218"/>
      <x:c r="F163" s="219"/>
      <x:c r="G163" s="219"/>
      <x:c r="H163" s="219"/>
      <x:c r="I163" s="219"/>
      <x:c r="J163" s="219"/>
      <x:c r="K163" s="219"/>
      <x:c r="L163" s="219"/>
      <x:c r="M163" s="219"/>
      <x:c r="N163" s="219"/>
      <x:c r="O163" s="219"/>
      <x:c r="P163" s="219"/>
      <x:c r="Q163" s="219"/>
      <x:c r="R163" s="219"/>
      <x:c r="S163" s="219"/>
      <x:c r="T163" s="219"/>
      <x:c r="U163" s="219"/>
      <x:c r="V163" s="219"/>
      <x:c r="W163" s="219"/>
      <x:c r="X163" s="219"/>
      <x:c r="Y163" s="219"/>
      <x:c r="Z163" s="219"/>
      <x:c r="AA163" s="219"/>
      <x:c r="AB163" s="219"/>
      <x:c r="AC163" s="219"/>
      <x:c r="AD163" s="219"/>
      <x:c r="AE163" s="219"/>
      <x:c r="AF163" s="219"/>
      <x:c r="AG163" s="219"/>
      <x:c r="AH163" s="219"/>
      <x:c r="AI163" s="219"/>
      <x:c r="AJ163" s="219"/>
      <x:c r="AK163" s="220">
        <x:f>+COUNTIF(F163:AJ163,"X")+COUNTIF(F163:AJ163,"E")</x:f>
      </x:c>
      <x:c r="AL163" s="221">
        <x:f>+COUNTIF(F163:AJ163,"R")+COUNTIF(F163:AJ163,"T")+COUNTIF(F163:AJ163,"İ")</x:f>
      </x:c>
      <x:c r="AM163" s="221">
        <x:f>+COUNTIF(F163:AJ163,"İ")</x:f>
      </x:c>
      <x:c r="AN163" s="222"/>
      <x:c r="AO163" s="222"/>
      <x:c r="AP163" s="228"/>
      <x:c r="AQ163" s="228"/>
      <x:c r="AR163" s="228"/>
      <x:c r="AS163" s="228"/>
      <x:c r="AT163" s="230"/>
    </x:row>
    <x:row r="164" spans="1:47" ht="19.9" customHeight="1" x14ac:dyDescent="0.25">
      <x:c r="A164" s="215"/>
      <x:c r="B164" s="216">
        <x:v>159</x:v>
      </x:c>
      <x:c r="C164" s="217"/>
      <x:c r="D164" s="215"/>
      <x:c r="E164" s="218"/>
      <x:c r="F164" s="219"/>
      <x:c r="G164" s="219"/>
      <x:c r="H164" s="219"/>
      <x:c r="I164" s="219"/>
      <x:c r="J164" s="219"/>
      <x:c r="K164" s="219"/>
      <x:c r="L164" s="219"/>
      <x:c r="M164" s="219"/>
      <x:c r="N164" s="219"/>
      <x:c r="O164" s="219"/>
      <x:c r="P164" s="219"/>
      <x:c r="Q164" s="219"/>
      <x:c r="R164" s="219"/>
      <x:c r="S164" s="219"/>
      <x:c r="T164" s="219"/>
      <x:c r="U164" s="219"/>
      <x:c r="V164" s="219"/>
      <x:c r="W164" s="219"/>
      <x:c r="X164" s="219"/>
      <x:c r="Y164" s="219"/>
      <x:c r="Z164" s="219"/>
      <x:c r="AA164" s="219"/>
      <x:c r="AB164" s="219"/>
      <x:c r="AC164" s="219"/>
      <x:c r="AD164" s="219"/>
      <x:c r="AE164" s="219"/>
      <x:c r="AF164" s="219"/>
      <x:c r="AG164" s="219"/>
      <x:c r="AH164" s="219"/>
      <x:c r="AI164" s="219"/>
      <x:c r="AJ164" s="219"/>
      <x:c r="AK164" s="220">
        <x:f>+COUNTIF(F164:AJ164,"X")+COUNTIF(F164:AJ164,"E")</x:f>
      </x:c>
      <x:c r="AL164" s="221">
        <x:f>+COUNTIF(F164:AJ164,"R")+COUNTIF(F164:AJ164,"T")+COUNTIF(F164:AJ164,"İ")</x:f>
      </x:c>
      <x:c r="AM164" s="221">
        <x:f>+COUNTIF(F164:AJ164,"İ")</x:f>
      </x:c>
      <x:c r="AN164" s="222"/>
      <x:c r="AO164" s="222"/>
      <x:c r="AP164" s="228"/>
      <x:c r="AQ164" s="228"/>
      <x:c r="AR164" s="228"/>
      <x:c r="AS164" s="228"/>
      <x:c r="AT164" s="230"/>
    </x:row>
    <x:row r="165" spans="1:47" ht="19.9" customHeight="1" x14ac:dyDescent="0.25">
      <x:c r="A165" s="215"/>
      <x:c r="B165" s="216">
        <x:v>160</x:v>
      </x:c>
      <x:c r="C165" s="217"/>
      <x:c r="D165" s="215"/>
      <x:c r="E165" s="218"/>
      <x:c r="F165" s="219"/>
      <x:c r="G165" s="219"/>
      <x:c r="H165" s="219"/>
      <x:c r="I165" s="219"/>
      <x:c r="J165" s="219"/>
      <x:c r="K165" s="219"/>
      <x:c r="L165" s="219"/>
      <x:c r="M165" s="219"/>
      <x:c r="N165" s="219"/>
      <x:c r="O165" s="219"/>
      <x:c r="P165" s="219"/>
      <x:c r="Q165" s="219"/>
      <x:c r="R165" s="219"/>
      <x:c r="S165" s="219"/>
      <x:c r="T165" s="219"/>
      <x:c r="U165" s="219"/>
      <x:c r="V165" s="219"/>
      <x:c r="W165" s="219"/>
      <x:c r="X165" s="219"/>
      <x:c r="Y165" s="219"/>
      <x:c r="Z165" s="219"/>
      <x:c r="AA165" s="219"/>
      <x:c r="AB165" s="219"/>
      <x:c r="AC165" s="219"/>
      <x:c r="AD165" s="219"/>
      <x:c r="AE165" s="219"/>
      <x:c r="AF165" s="219"/>
      <x:c r="AG165" s="219"/>
      <x:c r="AH165" s="219"/>
      <x:c r="AI165" s="219"/>
      <x:c r="AJ165" s="219"/>
      <x:c r="AK165" s="220">
        <x:f>+COUNTIF(F165:AJ165,"X")+COUNTIF(F165:AJ165,"E")</x:f>
      </x:c>
      <x:c r="AL165" s="221">
        <x:f>+COUNTIF(F165:AJ165,"R")+COUNTIF(F165:AJ165,"T")+COUNTIF(F165:AJ165,"İ")</x:f>
      </x:c>
      <x:c r="AM165" s="221">
        <x:f>+COUNTIF(F165:AJ165,"İ")</x:f>
      </x:c>
      <x:c r="AN165" s="222"/>
      <x:c r="AO165" s="222"/>
      <x:c r="AP165" s="228"/>
      <x:c r="AQ165" s="228"/>
      <x:c r="AR165" s="228"/>
      <x:c r="AS165" s="228"/>
      <x:c r="AT165" s="230"/>
    </x:row>
    <x:row r="166" spans="1:47" ht="19.9" customHeight="1" x14ac:dyDescent="0.25">
      <x:c r="A166" s="215"/>
      <x:c r="B166" s="216">
        <x:v>161</x:v>
      </x:c>
      <x:c r="C166" s="217"/>
      <x:c r="D166" s="215"/>
      <x:c r="E166" s="218"/>
      <x:c r="F166" s="219"/>
      <x:c r="G166" s="219"/>
      <x:c r="H166" s="219"/>
      <x:c r="I166" s="219"/>
      <x:c r="J166" s="219"/>
      <x:c r="K166" s="219"/>
      <x:c r="L166" s="219"/>
      <x:c r="M166" s="219"/>
      <x:c r="N166" s="219"/>
      <x:c r="O166" s="219"/>
      <x:c r="P166" s="219"/>
      <x:c r="Q166" s="219"/>
      <x:c r="R166" s="219"/>
      <x:c r="S166" s="219"/>
      <x:c r="T166" s="219"/>
      <x:c r="U166" s="219"/>
      <x:c r="V166" s="219"/>
      <x:c r="W166" s="219"/>
      <x:c r="X166" s="219"/>
      <x:c r="Y166" s="219"/>
      <x:c r="Z166" s="219"/>
      <x:c r="AA166" s="219"/>
      <x:c r="AB166" s="219"/>
      <x:c r="AC166" s="219"/>
      <x:c r="AD166" s="219"/>
      <x:c r="AE166" s="219"/>
      <x:c r="AF166" s="219"/>
      <x:c r="AG166" s="219"/>
      <x:c r="AH166" s="219"/>
      <x:c r="AI166" s="219"/>
      <x:c r="AJ166" s="219"/>
      <x:c r="AK166" s="220">
        <x:f>+COUNTIF(F166:AJ166,"X")+COUNTIF(F166:AJ166,"E")</x:f>
      </x:c>
      <x:c r="AL166" s="221">
        <x:f>+COUNTIF(F166:AJ166,"R")+COUNTIF(F166:AJ166,"T")+COUNTIF(F166:AJ166,"İ")</x:f>
      </x:c>
      <x:c r="AM166" s="221">
        <x:f>+COUNTIF(F166:AJ166,"İ")</x:f>
      </x:c>
      <x:c r="AN166" s="222"/>
      <x:c r="AO166" s="222"/>
      <x:c r="AP166" s="228"/>
      <x:c r="AQ166" s="228"/>
      <x:c r="AR166" s="228"/>
      <x:c r="AS166" s="228"/>
      <x:c r="AT166" s="230"/>
    </x:row>
    <x:row r="167" spans="1:47" ht="19.9" customHeight="1" x14ac:dyDescent="0.25">
      <x:c r="A167" s="215"/>
      <x:c r="B167" s="216">
        <x:v>162</x:v>
      </x:c>
      <x:c r="C167" s="217"/>
      <x:c r="D167" s="215"/>
      <x:c r="E167" s="218"/>
      <x:c r="F167" s="219"/>
      <x:c r="G167" s="219"/>
      <x:c r="H167" s="219"/>
      <x:c r="I167" s="219"/>
      <x:c r="J167" s="219"/>
      <x:c r="K167" s="219"/>
      <x:c r="L167" s="219"/>
      <x:c r="M167" s="219"/>
      <x:c r="N167" s="219"/>
      <x:c r="O167" s="219"/>
      <x:c r="P167" s="219"/>
      <x:c r="Q167" s="219"/>
      <x:c r="R167" s="219"/>
      <x:c r="S167" s="219"/>
      <x:c r="T167" s="219"/>
      <x:c r="U167" s="219"/>
      <x:c r="V167" s="219"/>
      <x:c r="W167" s="219"/>
      <x:c r="X167" s="219"/>
      <x:c r="Y167" s="219"/>
      <x:c r="Z167" s="219"/>
      <x:c r="AA167" s="219"/>
      <x:c r="AB167" s="219"/>
      <x:c r="AC167" s="219"/>
      <x:c r="AD167" s="219"/>
      <x:c r="AE167" s="219"/>
      <x:c r="AF167" s="219"/>
      <x:c r="AG167" s="219"/>
      <x:c r="AH167" s="219"/>
      <x:c r="AI167" s="219"/>
      <x:c r="AJ167" s="219"/>
      <x:c r="AK167" s="220">
        <x:f>+COUNTIF(F167:AJ167,"X")+COUNTIF(F167:AJ167,"E")</x:f>
      </x:c>
      <x:c r="AL167" s="221">
        <x:f>+COUNTIF(F167:AJ167,"R")+COUNTIF(F167:AJ167,"T")+COUNTIF(F167:AJ167,"İ")</x:f>
      </x:c>
      <x:c r="AM167" s="221">
        <x:f>+COUNTIF(F167:AJ167,"İ")</x:f>
      </x:c>
      <x:c r="AN167" s="222"/>
      <x:c r="AO167" s="222"/>
      <x:c r="AP167" s="228"/>
      <x:c r="AQ167" s="228"/>
      <x:c r="AR167" s="228"/>
      <x:c r="AS167" s="228"/>
      <x:c r="AT167" s="230"/>
    </x:row>
    <x:row r="168" spans="1:47" ht="19.9" customHeight="1" x14ac:dyDescent="0.25">
      <x:c r="A168" s="215"/>
      <x:c r="B168" s="216">
        <x:v>163</x:v>
      </x:c>
      <x:c r="C168" s="217"/>
      <x:c r="D168" s="215"/>
      <x:c r="E168" s="218"/>
      <x:c r="F168" s="219"/>
      <x:c r="G168" s="219"/>
      <x:c r="H168" s="219"/>
      <x:c r="I168" s="219"/>
      <x:c r="J168" s="219"/>
      <x:c r="K168" s="219"/>
      <x:c r="L168" s="219"/>
      <x:c r="M168" s="219"/>
      <x:c r="N168" s="219"/>
      <x:c r="O168" s="219"/>
      <x:c r="P168" s="219"/>
      <x:c r="Q168" s="219"/>
      <x:c r="R168" s="219"/>
      <x:c r="S168" s="219"/>
      <x:c r="T168" s="219"/>
      <x:c r="U168" s="219"/>
      <x:c r="V168" s="219"/>
      <x:c r="W168" s="219"/>
      <x:c r="X168" s="219"/>
      <x:c r="Y168" s="219"/>
      <x:c r="Z168" s="219"/>
      <x:c r="AA168" s="219"/>
      <x:c r="AB168" s="219"/>
      <x:c r="AC168" s="219"/>
      <x:c r="AD168" s="219"/>
      <x:c r="AE168" s="219"/>
      <x:c r="AF168" s="219"/>
      <x:c r="AG168" s="219"/>
      <x:c r="AH168" s="219"/>
      <x:c r="AI168" s="219"/>
      <x:c r="AJ168" s="219"/>
      <x:c r="AK168" s="220">
        <x:f>+COUNTIF(F168:AJ168,"X")+COUNTIF(F168:AJ168,"E")</x:f>
      </x:c>
      <x:c r="AL168" s="221">
        <x:f>+COUNTIF(F168:AJ168,"R")+COUNTIF(F168:AJ168,"T")+COUNTIF(F168:AJ168,"İ")</x:f>
      </x:c>
      <x:c r="AM168" s="221">
        <x:f>+COUNTIF(F168:AJ168,"İ")</x:f>
      </x:c>
      <x:c r="AN168" s="222"/>
      <x:c r="AO168" s="222"/>
      <x:c r="AP168" s="228"/>
      <x:c r="AQ168" s="228"/>
      <x:c r="AR168" s="228"/>
      <x:c r="AS168" s="228"/>
      <x:c r="AT168" s="230"/>
    </x:row>
    <x:row r="169" spans="1:47" ht="19.9" customHeight="1" x14ac:dyDescent="0.25">
      <x:c r="A169" s="215"/>
      <x:c r="B169" s="216">
        <x:v>164</x:v>
      </x:c>
      <x:c r="C169" s="217"/>
      <x:c r="D169" s="215"/>
      <x:c r="E169" s="218"/>
      <x:c r="F169" s="219"/>
      <x:c r="G169" s="219"/>
      <x:c r="H169" s="219"/>
      <x:c r="I169" s="219"/>
      <x:c r="J169" s="219"/>
      <x:c r="K169" s="219"/>
      <x:c r="L169" s="219"/>
      <x:c r="M169" s="219"/>
      <x:c r="N169" s="219"/>
      <x:c r="O169" s="219"/>
      <x:c r="P169" s="219"/>
      <x:c r="Q169" s="219"/>
      <x:c r="R169" s="219"/>
      <x:c r="S169" s="219"/>
      <x:c r="T169" s="219"/>
      <x:c r="U169" s="219"/>
      <x:c r="V169" s="219"/>
      <x:c r="W169" s="219"/>
      <x:c r="X169" s="219"/>
      <x:c r="Y169" s="219"/>
      <x:c r="Z169" s="219"/>
      <x:c r="AA169" s="219"/>
      <x:c r="AB169" s="219"/>
      <x:c r="AC169" s="219"/>
      <x:c r="AD169" s="219"/>
      <x:c r="AE169" s="219"/>
      <x:c r="AF169" s="219"/>
      <x:c r="AG169" s="219"/>
      <x:c r="AH169" s="219"/>
      <x:c r="AI169" s="219"/>
      <x:c r="AJ169" s="219"/>
      <x:c r="AK169" s="220">
        <x:f>+COUNTIF(F169:AJ169,"X")+COUNTIF(F169:AJ169,"E")</x:f>
      </x:c>
      <x:c r="AL169" s="221">
        <x:f>+COUNTIF(F169:AJ169,"R")+COUNTIF(F169:AJ169,"T")+COUNTIF(F169:AJ169,"İ")</x:f>
      </x:c>
      <x:c r="AM169" s="221">
        <x:f>+COUNTIF(F169:AJ169,"İ")</x:f>
      </x:c>
      <x:c r="AN169" s="222"/>
      <x:c r="AO169" s="222"/>
      <x:c r="AP169" s="228"/>
      <x:c r="AQ169" s="228"/>
      <x:c r="AR169" s="228"/>
      <x:c r="AS169" s="228"/>
      <x:c r="AT169" s="230"/>
    </x:row>
    <x:row r="170" spans="1:47" ht="19.9" customHeight="1" x14ac:dyDescent="0.25">
      <x:c r="A170" s="215"/>
      <x:c r="B170" s="216">
        <x:v>165</x:v>
      </x:c>
      <x:c r="C170" s="217"/>
      <x:c r="D170" s="215"/>
      <x:c r="E170" s="218"/>
      <x:c r="F170" s="219"/>
      <x:c r="G170" s="219"/>
      <x:c r="H170" s="219"/>
      <x:c r="I170" s="219"/>
      <x:c r="J170" s="219"/>
      <x:c r="K170" s="219"/>
      <x:c r="L170" s="219"/>
      <x:c r="M170" s="219"/>
      <x:c r="N170" s="219"/>
      <x:c r="O170" s="219"/>
      <x:c r="P170" s="219"/>
      <x:c r="Q170" s="219"/>
      <x:c r="R170" s="219"/>
      <x:c r="S170" s="219"/>
      <x:c r="T170" s="219"/>
      <x:c r="U170" s="219"/>
      <x:c r="V170" s="219"/>
      <x:c r="W170" s="219"/>
      <x:c r="X170" s="219"/>
      <x:c r="Y170" s="219"/>
      <x:c r="Z170" s="219"/>
      <x:c r="AA170" s="219"/>
      <x:c r="AB170" s="219"/>
      <x:c r="AC170" s="219"/>
      <x:c r="AD170" s="219"/>
      <x:c r="AE170" s="219"/>
      <x:c r="AF170" s="219"/>
      <x:c r="AG170" s="219"/>
      <x:c r="AH170" s="219"/>
      <x:c r="AI170" s="219"/>
      <x:c r="AJ170" s="219"/>
      <x:c r="AK170" s="220">
        <x:f>+COUNTIF(F170:AJ170,"X")+COUNTIF(F170:AJ170,"E")</x:f>
      </x:c>
      <x:c r="AL170" s="221">
        <x:f>+COUNTIF(F170:AJ170,"R")+COUNTIF(F170:AJ170,"T")+COUNTIF(F170:AJ170,"İ")</x:f>
      </x:c>
      <x:c r="AM170" s="221">
        <x:f>+COUNTIF(F170:AJ170,"İ")</x:f>
      </x:c>
      <x:c r="AN170" s="222"/>
      <x:c r="AO170" s="222"/>
      <x:c r="AP170" s="228"/>
      <x:c r="AQ170" s="228"/>
      <x:c r="AR170" s="228"/>
      <x:c r="AS170" s="228"/>
      <x:c r="AT170" s="233"/>
    </x:row>
    <x:row r="171" spans="1:47" ht="19.9" customHeight="1" x14ac:dyDescent="0.25">
      <x:c r="A171" s="215"/>
      <x:c r="B171" s="216">
        <x:v>166</x:v>
      </x:c>
      <x:c r="C171" s="217"/>
      <x:c r="D171" s="215"/>
      <x:c r="E171" s="218"/>
      <x:c r="F171" s="219"/>
      <x:c r="G171" s="219"/>
      <x:c r="H171" s="219"/>
      <x:c r="I171" s="219"/>
      <x:c r="J171" s="219"/>
      <x:c r="K171" s="219"/>
      <x:c r="L171" s="219"/>
      <x:c r="M171" s="219"/>
      <x:c r="N171" s="219"/>
      <x:c r="O171" s="219"/>
      <x:c r="P171" s="219"/>
      <x:c r="Q171" s="219"/>
      <x:c r="R171" s="219"/>
      <x:c r="S171" s="219"/>
      <x:c r="T171" s="219"/>
      <x:c r="U171" s="219"/>
      <x:c r="V171" s="219"/>
      <x:c r="W171" s="219"/>
      <x:c r="X171" s="219"/>
      <x:c r="Y171" s="219"/>
      <x:c r="Z171" s="219"/>
      <x:c r="AA171" s="219"/>
      <x:c r="AB171" s="219"/>
      <x:c r="AC171" s="219"/>
      <x:c r="AD171" s="219"/>
      <x:c r="AE171" s="219"/>
      <x:c r="AF171" s="219"/>
      <x:c r="AG171" s="219"/>
      <x:c r="AH171" s="219"/>
      <x:c r="AI171" s="219"/>
      <x:c r="AJ171" s="219"/>
      <x:c r="AK171" s="220">
        <x:f>+COUNTIF(F171:AJ171,"X")+COUNTIF(F171:AJ171,"E")</x:f>
      </x:c>
      <x:c r="AL171" s="221">
        <x:f>+COUNTIF(F171:AJ171,"R")+COUNTIF(F171:AJ171,"T")+COUNTIF(F171:AJ171,"İ")</x:f>
      </x:c>
      <x:c r="AM171" s="221">
        <x:f>+COUNTIF(F171:AJ171,"İ")</x:f>
      </x:c>
      <x:c r="AN171" s="222"/>
      <x:c r="AO171" s="222"/>
      <x:c r="AP171" s="228"/>
      <x:c r="AQ171" s="228"/>
      <x:c r="AR171" s="228"/>
      <x:c r="AS171" s="228"/>
      <x:c r="AT171" s="230"/>
    </x:row>
    <x:row r="172" spans="1:47" ht="19.9" customHeight="1" x14ac:dyDescent="0.25">
      <x:c r="A172" s="215"/>
      <x:c r="B172" s="216">
        <x:v>167</x:v>
      </x:c>
      <x:c r="C172" s="217"/>
      <x:c r="D172" s="215"/>
      <x:c r="E172" s="218"/>
      <x:c r="F172" s="219"/>
      <x:c r="G172" s="219"/>
      <x:c r="H172" s="219"/>
      <x:c r="I172" s="219"/>
      <x:c r="J172" s="219"/>
      <x:c r="K172" s="219"/>
      <x:c r="L172" s="219"/>
      <x:c r="M172" s="219"/>
      <x:c r="N172" s="219"/>
      <x:c r="O172" s="219"/>
      <x:c r="P172" s="219"/>
      <x:c r="Q172" s="219"/>
      <x:c r="R172" s="219"/>
      <x:c r="S172" s="219"/>
      <x:c r="T172" s="219"/>
      <x:c r="U172" s="219"/>
      <x:c r="V172" s="219"/>
      <x:c r="W172" s="219"/>
      <x:c r="X172" s="219"/>
      <x:c r="Y172" s="219"/>
      <x:c r="Z172" s="219"/>
      <x:c r="AA172" s="219"/>
      <x:c r="AB172" s="219"/>
      <x:c r="AC172" s="219"/>
      <x:c r="AD172" s="219"/>
      <x:c r="AE172" s="219"/>
      <x:c r="AF172" s="219"/>
      <x:c r="AG172" s="219"/>
      <x:c r="AH172" s="219"/>
      <x:c r="AI172" s="219"/>
      <x:c r="AJ172" s="219"/>
      <x:c r="AK172" s="220">
        <x:f>+COUNTIF(F172:AJ172,"X")+COUNTIF(F172:AJ172,"E")</x:f>
      </x:c>
      <x:c r="AL172" s="221">
        <x:f>+COUNTIF(F172:AJ172,"R")+COUNTIF(F172:AJ172,"T")+COUNTIF(F172:AJ172,"İ")</x:f>
      </x:c>
      <x:c r="AM172" s="221">
        <x:f>+COUNTIF(F172:AJ172,"İ")</x:f>
      </x:c>
      <x:c r="AN172" s="222"/>
      <x:c r="AO172" s="222"/>
      <x:c r="AP172" s="228"/>
      <x:c r="AQ172" s="228"/>
      <x:c r="AR172" s="228"/>
      <x:c r="AS172" s="228"/>
      <x:c r="AT172" s="230"/>
    </x:row>
    <x:row r="173" spans="1:47" ht="19.9" customHeight="1" x14ac:dyDescent="0.25">
      <x:c r="A173" s="215"/>
      <x:c r="B173" s="216">
        <x:v>168</x:v>
      </x:c>
      <x:c r="C173" s="217"/>
      <x:c r="D173" s="215"/>
      <x:c r="E173" s="218"/>
      <x:c r="F173" s="219"/>
      <x:c r="G173" s="219"/>
      <x:c r="H173" s="219"/>
      <x:c r="I173" s="219"/>
      <x:c r="J173" s="219"/>
      <x:c r="K173" s="219"/>
      <x:c r="L173" s="219"/>
      <x:c r="M173" s="219"/>
      <x:c r="N173" s="219"/>
      <x:c r="O173" s="219"/>
      <x:c r="P173" s="219"/>
      <x:c r="Q173" s="219"/>
      <x:c r="R173" s="219"/>
      <x:c r="S173" s="219"/>
      <x:c r="T173" s="219"/>
      <x:c r="U173" s="219"/>
      <x:c r="V173" s="219"/>
      <x:c r="W173" s="219"/>
      <x:c r="X173" s="219"/>
      <x:c r="Y173" s="219"/>
      <x:c r="Z173" s="219"/>
      <x:c r="AA173" s="219"/>
      <x:c r="AB173" s="219"/>
      <x:c r="AC173" s="219"/>
      <x:c r="AD173" s="219"/>
      <x:c r="AE173" s="219"/>
      <x:c r="AF173" s="219"/>
      <x:c r="AG173" s="219"/>
      <x:c r="AH173" s="219"/>
      <x:c r="AI173" s="219"/>
      <x:c r="AJ173" s="219"/>
      <x:c r="AK173" s="220">
        <x:f>+COUNTIF(F173:AJ173,"X")+COUNTIF(F173:AJ173,"E")</x:f>
      </x:c>
      <x:c r="AL173" s="221">
        <x:f>+COUNTIF(F173:AJ173,"R")+COUNTIF(F173:AJ173,"T")+COUNTIF(F173:AJ173,"İ")</x:f>
      </x:c>
      <x:c r="AM173" s="221">
        <x:f>+COUNTIF(F173:AJ173,"İ")</x:f>
      </x:c>
      <x:c r="AN173" s="222"/>
      <x:c r="AO173" s="222"/>
      <x:c r="AP173" s="228"/>
      <x:c r="AQ173" s="228"/>
      <x:c r="AR173" s="228"/>
      <x:c r="AS173" s="228"/>
      <x:c r="AT173" s="230"/>
    </x:row>
    <x:row r="174" spans="1:47" ht="19.9" customHeight="1" x14ac:dyDescent="0.25">
      <x:c r="A174" s="215"/>
      <x:c r="B174" s="216">
        <x:v>169</x:v>
      </x:c>
      <x:c r="C174" s="217"/>
      <x:c r="D174" s="215"/>
      <x:c r="E174" s="218"/>
      <x:c r="F174" s="219"/>
      <x:c r="G174" s="219"/>
      <x:c r="H174" s="219"/>
      <x:c r="I174" s="219"/>
      <x:c r="J174" s="219"/>
      <x:c r="K174" s="219"/>
      <x:c r="L174" s="219"/>
      <x:c r="M174" s="219"/>
      <x:c r="N174" s="219"/>
      <x:c r="O174" s="219"/>
      <x:c r="P174" s="219"/>
      <x:c r="Q174" s="219"/>
      <x:c r="R174" s="219"/>
      <x:c r="S174" s="219"/>
      <x:c r="T174" s="219"/>
      <x:c r="U174" s="219"/>
      <x:c r="V174" s="219"/>
      <x:c r="W174" s="219"/>
      <x:c r="X174" s="219"/>
      <x:c r="Y174" s="219"/>
      <x:c r="Z174" s="219"/>
      <x:c r="AA174" s="219"/>
      <x:c r="AB174" s="219"/>
      <x:c r="AC174" s="219"/>
      <x:c r="AD174" s="219"/>
      <x:c r="AE174" s="219"/>
      <x:c r="AF174" s="219"/>
      <x:c r="AG174" s="219"/>
      <x:c r="AH174" s="219"/>
      <x:c r="AI174" s="219"/>
      <x:c r="AJ174" s="219"/>
      <x:c r="AK174" s="220">
        <x:f>+COUNTIF(F174:AJ174,"X")+COUNTIF(F174:AJ174,"E")</x:f>
      </x:c>
      <x:c r="AL174" s="221">
        <x:f>+COUNTIF(F174:AJ174,"R")+COUNTIF(F174:AJ174,"T")+COUNTIF(F174:AJ174,"İ")</x:f>
      </x:c>
      <x:c r="AM174" s="221">
        <x:f>+COUNTIF(F174:AJ174,"İ")</x:f>
      </x:c>
      <x:c r="AN174" s="222"/>
      <x:c r="AO174" s="222"/>
      <x:c r="AP174" s="228"/>
      <x:c r="AQ174" s="228"/>
      <x:c r="AR174" s="228"/>
      <x:c r="AS174" s="228"/>
      <x:c r="AT174" s="233"/>
    </x:row>
    <x:row r="175" spans="1:47" ht="19.9" customHeight="1" x14ac:dyDescent="0.25">
      <x:c r="A175" s="215"/>
      <x:c r="B175" s="216">
        <x:v>170</x:v>
      </x:c>
      <x:c r="C175" s="217"/>
      <x:c r="D175" s="215"/>
      <x:c r="E175" s="218"/>
      <x:c r="F175" s="219"/>
      <x:c r="G175" s="219"/>
      <x:c r="H175" s="219"/>
      <x:c r="I175" s="219"/>
      <x:c r="J175" s="219"/>
      <x:c r="K175" s="219"/>
      <x:c r="L175" s="219"/>
      <x:c r="M175" s="219"/>
      <x:c r="N175" s="219"/>
      <x:c r="O175" s="219"/>
      <x:c r="P175" s="219"/>
      <x:c r="Q175" s="219"/>
      <x:c r="R175" s="219"/>
      <x:c r="S175" s="219"/>
      <x:c r="T175" s="219"/>
      <x:c r="U175" s="219"/>
      <x:c r="V175" s="219"/>
      <x:c r="W175" s="219"/>
      <x:c r="X175" s="219"/>
      <x:c r="Y175" s="219"/>
      <x:c r="Z175" s="219"/>
      <x:c r="AA175" s="219"/>
      <x:c r="AB175" s="219"/>
      <x:c r="AC175" s="219"/>
      <x:c r="AD175" s="219"/>
      <x:c r="AE175" s="219"/>
      <x:c r="AF175" s="219"/>
      <x:c r="AG175" s="219"/>
      <x:c r="AH175" s="219"/>
      <x:c r="AI175" s="219"/>
      <x:c r="AJ175" s="219"/>
      <x:c r="AK175" s="220">
        <x:f>+COUNTIF(F175:AJ175,"X")+COUNTIF(F175:AJ175,"E")</x:f>
      </x:c>
      <x:c r="AL175" s="221">
        <x:f>+COUNTIF(F175:AJ175,"R")+COUNTIF(F175:AJ175,"T")+COUNTIF(F175:AJ175,"İ")</x:f>
      </x:c>
      <x:c r="AM175" s="221">
        <x:f>+COUNTIF(F175:AJ175,"İ")</x:f>
      </x:c>
      <x:c r="AN175" s="222"/>
      <x:c r="AO175" s="222"/>
      <x:c r="AP175" s="228"/>
      <x:c r="AQ175" s="228"/>
      <x:c r="AR175" s="228"/>
      <x:c r="AS175" s="228"/>
      <x:c r="AT175" s="230"/>
    </x:row>
    <x:row r="176" spans="1:47" ht="19.9" customHeight="1" x14ac:dyDescent="0.25">
      <x:c r="A176" s="215"/>
      <x:c r="B176" s="216">
        <x:v>171</x:v>
      </x:c>
      <x:c r="C176" s="217"/>
      <x:c r="D176" s="215"/>
      <x:c r="E176" s="218"/>
      <x:c r="F176" s="219"/>
      <x:c r="G176" s="219"/>
      <x:c r="H176" s="219"/>
      <x:c r="I176" s="219"/>
      <x:c r="J176" s="219"/>
      <x:c r="K176" s="219"/>
      <x:c r="L176" s="219"/>
      <x:c r="M176" s="219"/>
      <x:c r="N176" s="219"/>
      <x:c r="O176" s="219"/>
      <x:c r="P176" s="219"/>
      <x:c r="Q176" s="219"/>
      <x:c r="R176" s="219"/>
      <x:c r="S176" s="219"/>
      <x:c r="T176" s="219"/>
      <x:c r="U176" s="219"/>
      <x:c r="V176" s="219"/>
      <x:c r="W176" s="219"/>
      <x:c r="X176" s="219"/>
      <x:c r="Y176" s="219"/>
      <x:c r="Z176" s="219"/>
      <x:c r="AA176" s="219"/>
      <x:c r="AB176" s="219"/>
      <x:c r="AC176" s="219"/>
      <x:c r="AD176" s="219"/>
      <x:c r="AE176" s="219"/>
      <x:c r="AF176" s="219"/>
      <x:c r="AG176" s="219"/>
      <x:c r="AH176" s="219"/>
      <x:c r="AI176" s="219"/>
      <x:c r="AJ176" s="219"/>
      <x:c r="AK176" s="220">
        <x:f>+COUNTIF(F176:AJ176,"X")+COUNTIF(F176:AJ176,"E")</x:f>
      </x:c>
      <x:c r="AL176" s="221">
        <x:f>+COUNTIF(F176:AJ176,"R")+COUNTIF(F176:AJ176,"T")+COUNTIF(F176:AJ176,"İ")</x:f>
      </x:c>
      <x:c r="AM176" s="221">
        <x:f>+COUNTIF(F176:AJ176,"İ")</x:f>
      </x:c>
      <x:c r="AN176" s="222"/>
      <x:c r="AO176" s="222"/>
      <x:c r="AP176" s="228"/>
      <x:c r="AQ176" s="228"/>
      <x:c r="AR176" s="228"/>
      <x:c r="AS176" s="228"/>
      <x:c r="AT176" s="230"/>
    </x:row>
    <x:row r="177" spans="1:47" ht="19.9" customHeight="1" x14ac:dyDescent="0.25">
      <x:c r="A177" s="215"/>
      <x:c r="B177" s="216">
        <x:v>172</x:v>
      </x:c>
      <x:c r="C177" s="217"/>
      <x:c r="D177" s="215"/>
      <x:c r="E177" s="218"/>
      <x:c r="F177" s="219"/>
      <x:c r="G177" s="219"/>
      <x:c r="H177" s="219"/>
      <x:c r="I177" s="219"/>
      <x:c r="J177" s="219"/>
      <x:c r="K177" s="219"/>
      <x:c r="L177" s="219"/>
      <x:c r="M177" s="219"/>
      <x:c r="N177" s="219"/>
      <x:c r="O177" s="219"/>
      <x:c r="P177" s="219"/>
      <x:c r="Q177" s="219"/>
      <x:c r="R177" s="219"/>
      <x:c r="S177" s="219"/>
      <x:c r="T177" s="219"/>
      <x:c r="U177" s="219"/>
      <x:c r="V177" s="219"/>
      <x:c r="W177" s="219"/>
      <x:c r="X177" s="219"/>
      <x:c r="Y177" s="219"/>
      <x:c r="Z177" s="219"/>
      <x:c r="AA177" s="219"/>
      <x:c r="AB177" s="219"/>
      <x:c r="AC177" s="219"/>
      <x:c r="AD177" s="219"/>
      <x:c r="AE177" s="219"/>
      <x:c r="AF177" s="219"/>
      <x:c r="AG177" s="219"/>
      <x:c r="AH177" s="219"/>
      <x:c r="AI177" s="219"/>
      <x:c r="AJ177" s="219"/>
      <x:c r="AK177" s="220">
        <x:f>+COUNTIF(F177:AJ177,"X")+COUNTIF(F177:AJ177,"E")</x:f>
      </x:c>
      <x:c r="AL177" s="221">
        <x:f>+COUNTIF(F177:AJ177,"R")+COUNTIF(F177:AJ177,"T")+COUNTIF(F177:AJ177,"İ")</x:f>
      </x:c>
      <x:c r="AM177" s="221">
        <x:f>+COUNTIF(F177:AJ177,"İ")</x:f>
      </x:c>
      <x:c r="AN177" s="222"/>
      <x:c r="AO177" s="222"/>
      <x:c r="AP177" s="228"/>
      <x:c r="AQ177" s="228"/>
      <x:c r="AR177" s="228"/>
      <x:c r="AS177" s="228"/>
      <x:c r="AT177" s="230"/>
    </x:row>
    <x:row r="178" spans="1:47" ht="19.9" customHeight="1" x14ac:dyDescent="0.25">
      <x:c r="A178" s="215"/>
      <x:c r="B178" s="216">
        <x:v>173</x:v>
      </x:c>
      <x:c r="C178" s="217"/>
      <x:c r="D178" s="215"/>
      <x:c r="E178" s="218"/>
      <x:c r="F178" s="219"/>
      <x:c r="G178" s="219"/>
      <x:c r="H178" s="219"/>
      <x:c r="I178" s="219"/>
      <x:c r="J178" s="219"/>
      <x:c r="K178" s="219"/>
      <x:c r="L178" s="219"/>
      <x:c r="M178" s="219"/>
      <x:c r="N178" s="219"/>
      <x:c r="O178" s="219"/>
      <x:c r="P178" s="219"/>
      <x:c r="Q178" s="219"/>
      <x:c r="R178" s="219"/>
      <x:c r="S178" s="219"/>
      <x:c r="T178" s="219"/>
      <x:c r="U178" s="219"/>
      <x:c r="V178" s="219"/>
      <x:c r="W178" s="219"/>
      <x:c r="X178" s="219"/>
      <x:c r="Y178" s="219"/>
      <x:c r="Z178" s="219"/>
      <x:c r="AA178" s="219"/>
      <x:c r="AB178" s="219"/>
      <x:c r="AC178" s="219"/>
      <x:c r="AD178" s="219"/>
      <x:c r="AE178" s="219"/>
      <x:c r="AF178" s="219"/>
      <x:c r="AG178" s="219"/>
      <x:c r="AH178" s="219"/>
      <x:c r="AI178" s="219"/>
      <x:c r="AJ178" s="219"/>
      <x:c r="AK178" s="220">
        <x:f>+COUNTIF(F178:AJ178,"X")+COUNTIF(F178:AJ178,"E")</x:f>
      </x:c>
      <x:c r="AL178" s="221">
        <x:f>+COUNTIF(F178:AJ178,"R")+COUNTIF(F178:AJ178,"T")+COUNTIF(F178:AJ178,"İ")</x:f>
      </x:c>
      <x:c r="AM178" s="221">
        <x:f>+COUNTIF(F178:AJ178,"İ")</x:f>
      </x:c>
      <x:c r="AN178" s="222"/>
      <x:c r="AO178" s="222"/>
      <x:c r="AP178" s="228"/>
      <x:c r="AQ178" s="228"/>
      <x:c r="AR178" s="228"/>
      <x:c r="AS178" s="228"/>
      <x:c r="AT178" s="230"/>
    </x:row>
    <x:row r="179" spans="1:47" ht="19.9" customHeight="1" x14ac:dyDescent="0.25">
      <x:c r="A179" s="215"/>
      <x:c r="B179" s="216">
        <x:v>174</x:v>
      </x:c>
      <x:c r="C179" s="217"/>
      <x:c r="D179" s="215"/>
      <x:c r="E179" s="218"/>
      <x:c r="F179" s="219"/>
      <x:c r="G179" s="219"/>
      <x:c r="H179" s="219"/>
      <x:c r="I179" s="219"/>
      <x:c r="J179" s="219"/>
      <x:c r="K179" s="219"/>
      <x:c r="L179" s="219"/>
      <x:c r="M179" s="219"/>
      <x:c r="N179" s="219"/>
      <x:c r="O179" s="219"/>
      <x:c r="P179" s="219"/>
      <x:c r="Q179" s="219"/>
      <x:c r="R179" s="219"/>
      <x:c r="S179" s="219"/>
      <x:c r="T179" s="219"/>
      <x:c r="U179" s="219"/>
      <x:c r="V179" s="219"/>
      <x:c r="W179" s="219"/>
      <x:c r="X179" s="219"/>
      <x:c r="Y179" s="219"/>
      <x:c r="Z179" s="219"/>
      <x:c r="AA179" s="219"/>
      <x:c r="AB179" s="219"/>
      <x:c r="AC179" s="219"/>
      <x:c r="AD179" s="219"/>
      <x:c r="AE179" s="219"/>
      <x:c r="AF179" s="219"/>
      <x:c r="AG179" s="219"/>
      <x:c r="AH179" s="219"/>
      <x:c r="AI179" s="219"/>
      <x:c r="AJ179" s="219"/>
      <x:c r="AK179" s="220">
        <x:f>+COUNTIF(F179:AJ179,"X")+COUNTIF(F179:AJ179,"E")</x:f>
      </x:c>
      <x:c r="AL179" s="221">
        <x:f>+COUNTIF(F179:AJ179,"R")+COUNTIF(F179:AJ179,"T")+COUNTIF(F179:AJ179,"İ")</x:f>
      </x:c>
      <x:c r="AM179" s="221">
        <x:f>+COUNTIF(F179:AJ179,"İ")</x:f>
      </x:c>
      <x:c r="AN179" s="222"/>
      <x:c r="AO179" s="222"/>
      <x:c r="AP179" s="228"/>
      <x:c r="AQ179" s="228"/>
      <x:c r="AR179" s="228"/>
      <x:c r="AS179" s="228"/>
      <x:c r="AT179" s="230"/>
    </x:row>
    <x:row r="180" spans="1:47" ht="19.9" customHeight="1" x14ac:dyDescent="0.25">
      <x:c r="A180" s="215"/>
      <x:c r="B180" s="216">
        <x:v>175</x:v>
      </x:c>
      <x:c r="C180" s="217"/>
      <x:c r="D180" s="215"/>
      <x:c r="E180" s="218"/>
      <x:c r="F180" s="219"/>
      <x:c r="G180" s="219"/>
      <x:c r="H180" s="219"/>
      <x:c r="I180" s="219"/>
      <x:c r="J180" s="219"/>
      <x:c r="K180" s="219"/>
      <x:c r="L180" s="219"/>
      <x:c r="M180" s="219"/>
      <x:c r="N180" s="219"/>
      <x:c r="O180" s="219"/>
      <x:c r="P180" s="219"/>
      <x:c r="Q180" s="219"/>
      <x:c r="R180" s="219"/>
      <x:c r="S180" s="219"/>
      <x:c r="T180" s="219"/>
      <x:c r="U180" s="219"/>
      <x:c r="V180" s="219"/>
      <x:c r="W180" s="219"/>
      <x:c r="X180" s="219"/>
      <x:c r="Y180" s="219"/>
      <x:c r="Z180" s="219"/>
      <x:c r="AA180" s="219"/>
      <x:c r="AB180" s="219"/>
      <x:c r="AC180" s="219"/>
      <x:c r="AD180" s="219"/>
      <x:c r="AE180" s="219"/>
      <x:c r="AF180" s="219"/>
      <x:c r="AG180" s="219"/>
      <x:c r="AH180" s="219"/>
      <x:c r="AI180" s="219"/>
      <x:c r="AJ180" s="219"/>
      <x:c r="AK180" s="220">
        <x:f>+COUNTIF(F180:AJ180,"X")+COUNTIF(F180:AJ180,"E")</x:f>
      </x:c>
      <x:c r="AL180" s="221">
        <x:f>+COUNTIF(F180:AJ180,"R")+COUNTIF(F180:AJ180,"T")+COUNTIF(F180:AJ180,"İ")</x:f>
      </x:c>
      <x:c r="AM180" s="221">
        <x:f>+COUNTIF(F180:AJ180,"İ")</x:f>
      </x:c>
      <x:c r="AN180" s="222"/>
      <x:c r="AO180" s="222"/>
      <x:c r="AP180" s="228"/>
      <x:c r="AQ180" s="228"/>
      <x:c r="AR180" s="228"/>
      <x:c r="AS180" s="228"/>
      <x:c r="AT180" s="230"/>
    </x:row>
    <x:row r="181" spans="1:47" ht="19.9" customHeight="1" x14ac:dyDescent="0.25">
      <x:c r="A181" s="215"/>
      <x:c r="B181" s="216">
        <x:v>176</x:v>
      </x:c>
      <x:c r="C181" s="217"/>
      <x:c r="D181" s="215"/>
      <x:c r="E181" s="218"/>
      <x:c r="F181" s="219"/>
      <x:c r="G181" s="219"/>
      <x:c r="H181" s="219"/>
      <x:c r="I181" s="219"/>
      <x:c r="J181" s="219"/>
      <x:c r="K181" s="219"/>
      <x:c r="L181" s="219"/>
      <x:c r="M181" s="219"/>
      <x:c r="N181" s="219"/>
      <x:c r="O181" s="219"/>
      <x:c r="P181" s="219"/>
      <x:c r="Q181" s="219"/>
      <x:c r="R181" s="219"/>
      <x:c r="S181" s="219"/>
      <x:c r="T181" s="219"/>
      <x:c r="U181" s="219"/>
      <x:c r="V181" s="219"/>
      <x:c r="W181" s="219"/>
      <x:c r="X181" s="219"/>
      <x:c r="Y181" s="219"/>
      <x:c r="Z181" s="219"/>
      <x:c r="AA181" s="219"/>
      <x:c r="AB181" s="219"/>
      <x:c r="AC181" s="219"/>
      <x:c r="AD181" s="219"/>
      <x:c r="AE181" s="219"/>
      <x:c r="AF181" s="219"/>
      <x:c r="AG181" s="219"/>
      <x:c r="AH181" s="219"/>
      <x:c r="AI181" s="219"/>
      <x:c r="AJ181" s="219"/>
      <x:c r="AK181" s="220">
        <x:f>+COUNTIF(F181:AJ181,"X")+COUNTIF(F181:AJ181,"E")</x:f>
      </x:c>
      <x:c r="AL181" s="221">
        <x:f>+COUNTIF(F181:AJ181,"R")+COUNTIF(F181:AJ181,"T")+COUNTIF(F181:AJ181,"İ")</x:f>
      </x:c>
      <x:c r="AM181" s="221">
        <x:f>+COUNTIF(F181:AJ181,"İ")</x:f>
      </x:c>
      <x:c r="AN181" s="222"/>
      <x:c r="AO181" s="222"/>
      <x:c r="AP181" s="228"/>
      <x:c r="AQ181" s="228"/>
      <x:c r="AR181" s="228"/>
      <x:c r="AS181" s="228"/>
      <x:c r="AT181" s="230"/>
    </x:row>
    <x:row r="182" spans="1:47" ht="19.9" customHeight="1" x14ac:dyDescent="0.25">
      <x:c r="A182" s="215"/>
      <x:c r="B182" s="216">
        <x:v>177</x:v>
      </x:c>
      <x:c r="C182" s="217"/>
      <x:c r="D182" s="215"/>
      <x:c r="E182" s="218"/>
      <x:c r="F182" s="219"/>
      <x:c r="G182" s="219"/>
      <x:c r="H182" s="219"/>
      <x:c r="I182" s="219"/>
      <x:c r="J182" s="219"/>
      <x:c r="K182" s="219"/>
      <x:c r="L182" s="219"/>
      <x:c r="M182" s="219"/>
      <x:c r="N182" s="219"/>
      <x:c r="O182" s="219"/>
      <x:c r="P182" s="219"/>
      <x:c r="Q182" s="219"/>
      <x:c r="R182" s="219"/>
      <x:c r="S182" s="219"/>
      <x:c r="T182" s="219"/>
      <x:c r="U182" s="219"/>
      <x:c r="V182" s="219"/>
      <x:c r="W182" s="219"/>
      <x:c r="X182" s="219"/>
      <x:c r="Y182" s="219"/>
      <x:c r="Z182" s="219"/>
      <x:c r="AA182" s="219"/>
      <x:c r="AB182" s="219"/>
      <x:c r="AC182" s="219"/>
      <x:c r="AD182" s="219"/>
      <x:c r="AE182" s="219"/>
      <x:c r="AF182" s="219"/>
      <x:c r="AG182" s="219"/>
      <x:c r="AH182" s="219"/>
      <x:c r="AI182" s="219"/>
      <x:c r="AJ182" s="219"/>
      <x:c r="AK182" s="220">
        <x:f>+COUNTIF(F182:AJ182,"X")+COUNTIF(F182:AJ182,"E")</x:f>
      </x:c>
      <x:c r="AL182" s="221">
        <x:f>+COUNTIF(F182:AJ182,"R")+COUNTIF(F182:AJ182,"T")+COUNTIF(F182:AJ182,"İ")</x:f>
      </x:c>
      <x:c r="AM182" s="221">
        <x:f>+COUNTIF(F182:AJ182,"İ")</x:f>
      </x:c>
      <x:c r="AN182" s="222"/>
      <x:c r="AO182" s="222"/>
      <x:c r="AP182" s="228"/>
      <x:c r="AQ182" s="228"/>
      <x:c r="AR182" s="228"/>
      <x:c r="AS182" s="228"/>
      <x:c r="AT182" s="230"/>
    </x:row>
    <x:row r="183" spans="1:47" ht="19.9" customHeight="1" x14ac:dyDescent="0.25">
      <x:c r="A183" s="215"/>
      <x:c r="B183" s="216">
        <x:v>178</x:v>
      </x:c>
      <x:c r="C183" s="217"/>
      <x:c r="D183" s="215"/>
      <x:c r="E183" s="218"/>
      <x:c r="F183" s="219"/>
      <x:c r="G183" s="219"/>
      <x:c r="H183" s="219"/>
      <x:c r="I183" s="219"/>
      <x:c r="J183" s="219"/>
      <x:c r="K183" s="219"/>
      <x:c r="L183" s="219"/>
      <x:c r="M183" s="219"/>
      <x:c r="N183" s="219"/>
      <x:c r="O183" s="219"/>
      <x:c r="P183" s="219"/>
      <x:c r="Q183" s="219"/>
      <x:c r="R183" s="219"/>
      <x:c r="S183" s="219"/>
      <x:c r="T183" s="219"/>
      <x:c r="U183" s="219"/>
      <x:c r="V183" s="219"/>
      <x:c r="W183" s="219"/>
      <x:c r="X183" s="219"/>
      <x:c r="Y183" s="219"/>
      <x:c r="Z183" s="219"/>
      <x:c r="AA183" s="219"/>
      <x:c r="AB183" s="219"/>
      <x:c r="AC183" s="219"/>
      <x:c r="AD183" s="219"/>
      <x:c r="AE183" s="219"/>
      <x:c r="AF183" s="219"/>
      <x:c r="AG183" s="219"/>
      <x:c r="AH183" s="219"/>
      <x:c r="AI183" s="219"/>
      <x:c r="AJ183" s="219"/>
      <x:c r="AK183" s="220">
        <x:f>+COUNTIF(F183:AJ183,"X")+COUNTIF(F183:AJ183,"E")</x:f>
      </x:c>
      <x:c r="AL183" s="221">
        <x:f>+COUNTIF(F183:AJ183,"R")+COUNTIF(F183:AJ183,"T")+COUNTIF(F183:AJ183,"İ")</x:f>
      </x:c>
      <x:c r="AM183" s="221">
        <x:f>+COUNTIF(F183:AJ183,"İ")</x:f>
      </x:c>
      <x:c r="AN183" s="222"/>
      <x:c r="AO183" s="222"/>
      <x:c r="AP183" s="228"/>
      <x:c r="AQ183" s="228"/>
      <x:c r="AR183" s="228"/>
      <x:c r="AS183" s="228"/>
      <x:c r="AT183" s="230"/>
    </x:row>
    <x:row r="184" spans="1:47" ht="19.9" customHeight="1" x14ac:dyDescent="0.25">
      <x:c r="A184" s="215"/>
      <x:c r="B184" s="216">
        <x:v>179</x:v>
      </x:c>
      <x:c r="C184" s="217"/>
      <x:c r="D184" s="215"/>
      <x:c r="E184" s="218"/>
      <x:c r="F184" s="219"/>
      <x:c r="G184" s="219"/>
      <x:c r="H184" s="219"/>
      <x:c r="I184" s="219"/>
      <x:c r="J184" s="219"/>
      <x:c r="K184" s="219"/>
      <x:c r="L184" s="219"/>
      <x:c r="M184" s="219"/>
      <x:c r="N184" s="219"/>
      <x:c r="O184" s="219"/>
      <x:c r="P184" s="219"/>
      <x:c r="Q184" s="219"/>
      <x:c r="R184" s="219"/>
      <x:c r="S184" s="219"/>
      <x:c r="T184" s="219"/>
      <x:c r="U184" s="219"/>
      <x:c r="V184" s="219"/>
      <x:c r="W184" s="219"/>
      <x:c r="X184" s="219"/>
      <x:c r="Y184" s="219"/>
      <x:c r="Z184" s="219"/>
      <x:c r="AA184" s="219"/>
      <x:c r="AB184" s="219"/>
      <x:c r="AC184" s="219"/>
      <x:c r="AD184" s="219"/>
      <x:c r="AE184" s="219"/>
      <x:c r="AF184" s="219"/>
      <x:c r="AG184" s="219"/>
      <x:c r="AH184" s="219"/>
      <x:c r="AI184" s="219"/>
      <x:c r="AJ184" s="219"/>
      <x:c r="AK184" s="220">
        <x:f>+COUNTIF(F184:AJ184,"X")+COUNTIF(F184:AJ184,"E")</x:f>
      </x:c>
      <x:c r="AL184" s="221">
        <x:f>+COUNTIF(F184:AJ184,"R")+COUNTIF(F184:AJ184,"T")+COUNTIF(F184:AJ184,"İ")</x:f>
      </x:c>
      <x:c r="AM184" s="221">
        <x:f>+COUNTIF(F184:AJ184,"İ")</x:f>
      </x:c>
      <x:c r="AN184" s="222"/>
      <x:c r="AO184" s="222"/>
      <x:c r="AP184" s="228"/>
      <x:c r="AQ184" s="228"/>
      <x:c r="AR184" s="228"/>
      <x:c r="AS184" s="228"/>
      <x:c r="AT184" s="230"/>
    </x:row>
    <x:row r="185" spans="1:47" ht="19.9" customHeight="1" x14ac:dyDescent="0.25">
      <x:c r="A185" s="215"/>
      <x:c r="B185" s="216">
        <x:v>180</x:v>
      </x:c>
      <x:c r="C185" s="217"/>
      <x:c r="D185" s="215"/>
      <x:c r="E185" s="218"/>
      <x:c r="F185" s="219"/>
      <x:c r="G185" s="219"/>
      <x:c r="H185" s="219"/>
      <x:c r="I185" s="219"/>
      <x:c r="J185" s="219"/>
      <x:c r="K185" s="219"/>
      <x:c r="L185" s="219"/>
      <x:c r="M185" s="219"/>
      <x:c r="N185" s="219"/>
      <x:c r="O185" s="219"/>
      <x:c r="P185" s="219"/>
      <x:c r="Q185" s="219"/>
      <x:c r="R185" s="219"/>
      <x:c r="S185" s="219"/>
      <x:c r="T185" s="219"/>
      <x:c r="U185" s="219"/>
      <x:c r="V185" s="219"/>
      <x:c r="W185" s="219"/>
      <x:c r="X185" s="219"/>
      <x:c r="Y185" s="219"/>
      <x:c r="Z185" s="219"/>
      <x:c r="AA185" s="219"/>
      <x:c r="AB185" s="219"/>
      <x:c r="AC185" s="219"/>
      <x:c r="AD185" s="219"/>
      <x:c r="AE185" s="219"/>
      <x:c r="AF185" s="219"/>
      <x:c r="AG185" s="219"/>
      <x:c r="AH185" s="219"/>
      <x:c r="AI185" s="219"/>
      <x:c r="AJ185" s="219"/>
      <x:c r="AK185" s="220">
        <x:f>+COUNTIF(F185:AJ185,"X")+COUNTIF(F185:AJ185,"E")</x:f>
      </x:c>
      <x:c r="AL185" s="221">
        <x:f>+COUNTIF(F185:AJ185,"R")+COUNTIF(F185:AJ185,"T")+COUNTIF(F185:AJ185,"İ")</x:f>
      </x:c>
      <x:c r="AM185" s="221">
        <x:f>+COUNTIF(F185:AJ185,"İ")</x:f>
      </x:c>
      <x:c r="AN185" s="222"/>
      <x:c r="AO185" s="222"/>
      <x:c r="AP185" s="228"/>
      <x:c r="AQ185" s="228"/>
      <x:c r="AR185" s="228"/>
      <x:c r="AS185" s="228"/>
      <x:c r="AT185" s="235"/>
    </x:row>
    <x:row r="186" spans="1:47" ht="19.9" customHeight="1" x14ac:dyDescent="0.25">
      <x:c r="A186" s="215"/>
      <x:c r="B186" s="216">
        <x:v>181</x:v>
      </x:c>
      <x:c r="C186" s="217"/>
      <x:c r="D186" s="215"/>
      <x:c r="E186" s="218"/>
      <x:c r="F186" s="219"/>
      <x:c r="G186" s="219"/>
      <x:c r="H186" s="219"/>
      <x:c r="I186" s="219"/>
      <x:c r="J186" s="219"/>
      <x:c r="K186" s="219"/>
      <x:c r="L186" s="219"/>
      <x:c r="M186" s="219"/>
      <x:c r="N186" s="219"/>
      <x:c r="O186" s="219"/>
      <x:c r="P186" s="219"/>
      <x:c r="Q186" s="219"/>
      <x:c r="R186" s="219"/>
      <x:c r="S186" s="219"/>
      <x:c r="T186" s="219"/>
      <x:c r="U186" s="219"/>
      <x:c r="V186" s="219"/>
      <x:c r="W186" s="219"/>
      <x:c r="X186" s="219"/>
      <x:c r="Y186" s="219"/>
      <x:c r="Z186" s="219"/>
      <x:c r="AA186" s="219"/>
      <x:c r="AB186" s="219"/>
      <x:c r="AC186" s="219"/>
      <x:c r="AD186" s="219"/>
      <x:c r="AE186" s="219"/>
      <x:c r="AF186" s="219"/>
      <x:c r="AG186" s="219"/>
      <x:c r="AH186" s="219"/>
      <x:c r="AI186" s="219"/>
      <x:c r="AJ186" s="219"/>
      <x:c r="AK186" s="220">
        <x:f>+COUNTIF(F186:AJ186,"X")+COUNTIF(F186:AJ186,"E")</x:f>
      </x:c>
      <x:c r="AL186" s="221">
        <x:f>+COUNTIF(F186:AJ186,"R")+COUNTIF(F186:AJ186,"T")+COUNTIF(F186:AJ186,"İ")</x:f>
      </x:c>
      <x:c r="AM186" s="221">
        <x:f>+COUNTIF(F186:AJ186,"İ")</x:f>
      </x:c>
      <x:c r="AN186" s="222"/>
      <x:c r="AO186" s="222"/>
      <x:c r="AP186" s="228"/>
      <x:c r="AQ186" s="228"/>
      <x:c r="AR186" s="228"/>
      <x:c r="AS186" s="228"/>
      <x:c r="AT186" s="230"/>
    </x:row>
    <x:row r="187" spans="1:47" ht="19.9" customHeight="1" x14ac:dyDescent="0.25">
      <x:c r="A187" s="215"/>
      <x:c r="B187" s="216">
        <x:v>182</x:v>
      </x:c>
      <x:c r="C187" s="217"/>
      <x:c r="D187" s="215"/>
      <x:c r="E187" s="218"/>
      <x:c r="F187" s="219"/>
      <x:c r="G187" s="219"/>
      <x:c r="H187" s="219"/>
      <x:c r="I187" s="219"/>
      <x:c r="J187" s="219"/>
      <x:c r="K187" s="219"/>
      <x:c r="L187" s="219"/>
      <x:c r="M187" s="219"/>
      <x:c r="N187" s="219"/>
      <x:c r="O187" s="219"/>
      <x:c r="P187" s="219"/>
      <x:c r="Q187" s="219"/>
      <x:c r="R187" s="219"/>
      <x:c r="S187" s="219"/>
      <x:c r="T187" s="219"/>
      <x:c r="U187" s="219"/>
      <x:c r="V187" s="219"/>
      <x:c r="W187" s="219"/>
      <x:c r="X187" s="219"/>
      <x:c r="Y187" s="219"/>
      <x:c r="Z187" s="219"/>
      <x:c r="AA187" s="219"/>
      <x:c r="AB187" s="219"/>
      <x:c r="AC187" s="219"/>
      <x:c r="AD187" s="219"/>
      <x:c r="AE187" s="219"/>
      <x:c r="AF187" s="219"/>
      <x:c r="AG187" s="219"/>
      <x:c r="AH187" s="219"/>
      <x:c r="AI187" s="219"/>
      <x:c r="AJ187" s="219"/>
      <x:c r="AK187" s="220">
        <x:f>+COUNTIF(F187:AJ187,"X")+COUNTIF(F187:AJ187,"E")</x:f>
      </x:c>
      <x:c r="AL187" s="221">
        <x:f>+COUNTIF(F187:AJ187,"R")+COUNTIF(F187:AJ187,"T")+COUNTIF(F187:AJ187,"İ")</x:f>
      </x:c>
      <x:c r="AM187" s="221">
        <x:f>+COUNTIF(F187:AJ187,"İ")</x:f>
      </x:c>
      <x:c r="AN187" s="222"/>
      <x:c r="AO187" s="222"/>
      <x:c r="AP187" s="228"/>
      <x:c r="AQ187" s="228"/>
      <x:c r="AR187" s="228"/>
      <x:c r="AS187" s="228"/>
      <x:c r="AT187" s="230"/>
    </x:row>
    <x:row r="188" spans="1:47" ht="19.9" customHeight="1" x14ac:dyDescent="0.25">
      <x:c r="A188" s="215"/>
      <x:c r="B188" s="216">
        <x:v>183</x:v>
      </x:c>
      <x:c r="C188" s="217"/>
      <x:c r="D188" s="215"/>
      <x:c r="E188" s="218"/>
      <x:c r="F188" s="219"/>
      <x:c r="G188" s="219"/>
      <x:c r="H188" s="219"/>
      <x:c r="I188" s="219"/>
      <x:c r="J188" s="219"/>
      <x:c r="K188" s="219"/>
      <x:c r="L188" s="219"/>
      <x:c r="M188" s="219"/>
      <x:c r="N188" s="219"/>
      <x:c r="O188" s="219"/>
      <x:c r="P188" s="219"/>
      <x:c r="Q188" s="219"/>
      <x:c r="R188" s="219"/>
      <x:c r="S188" s="219"/>
      <x:c r="T188" s="219"/>
      <x:c r="U188" s="219"/>
      <x:c r="V188" s="219"/>
      <x:c r="W188" s="219"/>
      <x:c r="X188" s="219"/>
      <x:c r="Y188" s="219"/>
      <x:c r="Z188" s="219"/>
      <x:c r="AA188" s="219"/>
      <x:c r="AB188" s="219"/>
      <x:c r="AC188" s="219"/>
      <x:c r="AD188" s="219"/>
      <x:c r="AE188" s="219"/>
      <x:c r="AF188" s="219"/>
      <x:c r="AG188" s="219"/>
      <x:c r="AH188" s="219"/>
      <x:c r="AI188" s="219"/>
      <x:c r="AJ188" s="219"/>
      <x:c r="AK188" s="220">
        <x:f>+COUNTIF(F188:AJ188,"X")+COUNTIF(F188:AJ188,"E")</x:f>
      </x:c>
      <x:c r="AL188" s="221">
        <x:f>+COUNTIF(F188:AJ188,"R")+COUNTIF(F188:AJ188,"T")+COUNTIF(F188:AJ188,"İ")</x:f>
      </x:c>
      <x:c r="AM188" s="221">
        <x:f>+COUNTIF(F188:AJ188,"İ")</x:f>
      </x:c>
      <x:c r="AN188" s="222"/>
      <x:c r="AO188" s="222"/>
      <x:c r="AP188" s="228"/>
      <x:c r="AQ188" s="228"/>
      <x:c r="AR188" s="228"/>
      <x:c r="AS188" s="228"/>
      <x:c r="AT188" s="230"/>
    </x:row>
    <x:row r="189" spans="1:47" ht="19.9" customHeight="1" x14ac:dyDescent="0.25">
      <x:c r="A189" s="215"/>
      <x:c r="B189" s="216">
        <x:v>184</x:v>
      </x:c>
      <x:c r="C189" s="217"/>
      <x:c r="D189" s="215"/>
      <x:c r="E189" s="218"/>
      <x:c r="F189" s="236"/>
      <x:c r="G189" s="236"/>
      <x:c r="H189" s="236"/>
      <x:c r="I189" s="236"/>
      <x:c r="J189" s="236"/>
      <x:c r="K189" s="236"/>
      <x:c r="L189" s="236"/>
      <x:c r="M189" s="236"/>
      <x:c r="N189" s="236"/>
      <x:c r="O189" s="236"/>
      <x:c r="P189" s="236"/>
      <x:c r="Q189" s="236"/>
      <x:c r="R189" s="236"/>
      <x:c r="S189" s="236"/>
      <x:c r="T189" s="236"/>
      <x:c r="U189" s="236"/>
      <x:c r="V189" s="236"/>
      <x:c r="W189" s="236"/>
      <x:c r="X189" s="236"/>
      <x:c r="Y189" s="236"/>
      <x:c r="Z189" s="236"/>
      <x:c r="AA189" s="236"/>
      <x:c r="AB189" s="236"/>
      <x:c r="AC189" s="236"/>
      <x:c r="AD189" s="236"/>
      <x:c r="AE189" s="236"/>
      <x:c r="AF189" s="236"/>
      <x:c r="AG189" s="236"/>
      <x:c r="AH189" s="236"/>
      <x:c r="AI189" s="236"/>
      <x:c r="AJ189" s="236"/>
      <x:c r="AK189" s="220">
        <x:f>+COUNTIF(F189:AJ189,"X")+COUNTIF(F189:AJ189,"E")</x:f>
      </x:c>
      <x:c r="AL189" s="221">
        <x:f>+COUNTIF(F189:AJ189,"R")+COUNTIF(F189:AJ189,"T")+COUNTIF(F189:AJ189,"İ")</x:f>
      </x:c>
      <x:c r="AM189" s="221">
        <x:f>+COUNTIF(F189:AJ189,"İ")</x:f>
      </x:c>
      <x:c r="AN189" s="222"/>
      <x:c r="AO189" s="222"/>
      <x:c r="AP189" s="228"/>
      <x:c r="AQ189" s="228"/>
      <x:c r="AR189" s="228"/>
      <x:c r="AS189" s="228"/>
      <x:c r="AT189" s="230"/>
    </x:row>
    <x:row r="190" spans="1:47" ht="19.9" customHeight="1" x14ac:dyDescent="0.25">
      <x:c r="A190" s="215"/>
      <x:c r="B190" s="216">
        <x:v>185</x:v>
      </x:c>
      <x:c r="C190" s="217"/>
      <x:c r="D190" s="215"/>
      <x:c r="E190" s="218"/>
      <x:c r="F190" s="219"/>
      <x:c r="G190" s="219"/>
      <x:c r="H190" s="219"/>
      <x:c r="I190" s="219"/>
      <x:c r="J190" s="219"/>
      <x:c r="K190" s="219"/>
      <x:c r="L190" s="219"/>
      <x:c r="M190" s="219"/>
      <x:c r="N190" s="219"/>
      <x:c r="O190" s="219"/>
      <x:c r="P190" s="219"/>
      <x:c r="Q190" s="219"/>
      <x:c r="R190" s="219"/>
      <x:c r="S190" s="219"/>
      <x:c r="T190" s="219"/>
      <x:c r="U190" s="219"/>
      <x:c r="V190" s="219"/>
      <x:c r="W190" s="219"/>
      <x:c r="X190" s="219"/>
      <x:c r="Y190" s="219"/>
      <x:c r="Z190" s="219"/>
      <x:c r="AA190" s="219"/>
      <x:c r="AB190" s="219"/>
      <x:c r="AC190" s="219"/>
      <x:c r="AD190" s="219"/>
      <x:c r="AE190" s="219"/>
      <x:c r="AF190" s="219"/>
      <x:c r="AG190" s="219"/>
      <x:c r="AH190" s="219"/>
      <x:c r="AI190" s="219"/>
      <x:c r="AJ190" s="219"/>
      <x:c r="AK190" s="220">
        <x:f>+COUNTIF(F190:AJ190,"X")+COUNTIF(F190:AJ190,"E")</x:f>
      </x:c>
      <x:c r="AL190" s="221">
        <x:f>+COUNTIF(F190:AJ190,"R")+COUNTIF(F190:AJ190,"T")+COUNTIF(F190:AJ190,"İ")</x:f>
      </x:c>
      <x:c r="AM190" s="221">
        <x:f>+COUNTIF(F190:AJ190,"İ")</x:f>
      </x:c>
      <x:c r="AN190" s="222"/>
      <x:c r="AO190" s="222"/>
      <x:c r="AP190" s="228"/>
      <x:c r="AQ190" s="228"/>
      <x:c r="AR190" s="228"/>
      <x:c r="AS190" s="228"/>
      <x:c r="AT190" s="230"/>
    </x:row>
    <x:row r="191" spans="1:47" ht="19.9" customHeight="1" x14ac:dyDescent="0.25">
      <x:c r="A191" s="215"/>
      <x:c r="B191" s="216">
        <x:v>186</x:v>
      </x:c>
      <x:c r="C191" s="217"/>
      <x:c r="D191" s="215"/>
      <x:c r="E191" s="218"/>
      <x:c r="F191" s="219"/>
      <x:c r="G191" s="219"/>
      <x:c r="H191" s="219"/>
      <x:c r="I191" s="219"/>
      <x:c r="J191" s="219"/>
      <x:c r="K191" s="219"/>
      <x:c r="L191" s="219"/>
      <x:c r="M191" s="219"/>
      <x:c r="N191" s="219"/>
      <x:c r="O191" s="219"/>
      <x:c r="P191" s="219"/>
      <x:c r="Q191" s="219"/>
      <x:c r="R191" s="219"/>
      <x:c r="S191" s="219"/>
      <x:c r="T191" s="219"/>
      <x:c r="U191" s="219"/>
      <x:c r="V191" s="219"/>
      <x:c r="W191" s="219"/>
      <x:c r="X191" s="219"/>
      <x:c r="Y191" s="219"/>
      <x:c r="Z191" s="219"/>
      <x:c r="AA191" s="219"/>
      <x:c r="AB191" s="219"/>
      <x:c r="AC191" s="219"/>
      <x:c r="AD191" s="219"/>
      <x:c r="AE191" s="219"/>
      <x:c r="AF191" s="219"/>
      <x:c r="AG191" s="219"/>
      <x:c r="AH191" s="219"/>
      <x:c r="AI191" s="219"/>
      <x:c r="AJ191" s="219"/>
      <x:c r="AK191" s="220">
        <x:f>+COUNTIF(F191:AJ191,"X")+COUNTIF(F191:AJ191,"E")</x:f>
      </x:c>
      <x:c r="AL191" s="221">
        <x:f>+COUNTIF(F191:AJ191,"R")+COUNTIF(F191:AJ191,"T")+COUNTIF(F191:AJ191,"İ")</x:f>
      </x:c>
      <x:c r="AM191" s="221">
        <x:f>+COUNTIF(F191:AJ191,"İ")</x:f>
      </x:c>
      <x:c r="AN191" s="222"/>
      <x:c r="AO191" s="222"/>
      <x:c r="AP191" s="228"/>
      <x:c r="AQ191" s="228"/>
      <x:c r="AR191" s="228"/>
      <x:c r="AS191" s="228"/>
      <x:c r="AT191" s="230"/>
    </x:row>
    <x:row r="192" spans="1:47" ht="19.9" customHeight="1" x14ac:dyDescent="0.25">
      <x:c r="A192" s="215"/>
      <x:c r="B192" s="216">
        <x:v>187</x:v>
      </x:c>
      <x:c r="C192" s="217"/>
      <x:c r="D192" s="215"/>
      <x:c r="E192" s="218"/>
      <x:c r="F192" s="219"/>
      <x:c r="G192" s="219"/>
      <x:c r="H192" s="219"/>
      <x:c r="I192" s="219"/>
      <x:c r="J192" s="219"/>
      <x:c r="K192" s="219"/>
      <x:c r="L192" s="219"/>
      <x:c r="M192" s="219"/>
      <x:c r="N192" s="219"/>
      <x:c r="O192" s="219"/>
      <x:c r="P192" s="219"/>
      <x:c r="Q192" s="219"/>
      <x:c r="R192" s="219"/>
      <x:c r="S192" s="219"/>
      <x:c r="T192" s="219"/>
      <x:c r="U192" s="219"/>
      <x:c r="V192" s="219"/>
      <x:c r="W192" s="219"/>
      <x:c r="X192" s="219"/>
      <x:c r="Y192" s="219"/>
      <x:c r="Z192" s="219"/>
      <x:c r="AA192" s="219"/>
      <x:c r="AB192" s="219"/>
      <x:c r="AC192" s="219"/>
      <x:c r="AD192" s="219"/>
      <x:c r="AE192" s="219"/>
      <x:c r="AF192" s="219"/>
      <x:c r="AG192" s="219"/>
      <x:c r="AH192" s="219"/>
      <x:c r="AI192" s="219"/>
      <x:c r="AJ192" s="219"/>
      <x:c r="AK192" s="220">
        <x:f>+COUNTIF(F192:AJ192,"X")+COUNTIF(F192:AJ192,"E")</x:f>
      </x:c>
      <x:c r="AL192" s="221">
        <x:f>+COUNTIF(F192:AJ192,"R")+COUNTIF(F192:AJ192,"T")+COUNTIF(F192:AJ192,"İ")</x:f>
      </x:c>
      <x:c r="AM192" s="221">
        <x:f>+COUNTIF(F192:AJ192,"İ")</x:f>
      </x:c>
      <x:c r="AN192" s="222"/>
      <x:c r="AO192" s="222"/>
      <x:c r="AP192" s="228"/>
      <x:c r="AQ192" s="228"/>
      <x:c r="AR192" s="228"/>
      <x:c r="AS192" s="228"/>
      <x:c r="AT192" s="233"/>
    </x:row>
    <x:row r="193" spans="1:47" ht="15" customHeight="1" x14ac:dyDescent="0.25">
      <x:c r="A193" s="215"/>
      <x:c r="B193" s="216">
        <x:v>188</x:v>
      </x:c>
      <x:c r="C193" s="217"/>
      <x:c r="D193" s="215"/>
      <x:c r="E193" s="218"/>
      <x:c r="F193" s="219"/>
      <x:c r="G193" s="219"/>
      <x:c r="H193" s="219"/>
      <x:c r="I193" s="219"/>
      <x:c r="J193" s="219"/>
      <x:c r="K193" s="219"/>
      <x:c r="L193" s="219"/>
      <x:c r="M193" s="219"/>
      <x:c r="N193" s="219"/>
      <x:c r="O193" s="219"/>
      <x:c r="P193" s="219"/>
      <x:c r="Q193" s="219"/>
      <x:c r="R193" s="219"/>
      <x:c r="S193" s="219"/>
      <x:c r="T193" s="219"/>
      <x:c r="U193" s="219"/>
      <x:c r="V193" s="219"/>
      <x:c r="W193" s="219"/>
      <x:c r="X193" s="219"/>
      <x:c r="Y193" s="219"/>
      <x:c r="Z193" s="219"/>
      <x:c r="AA193" s="219"/>
      <x:c r="AB193" s="219"/>
      <x:c r="AC193" s="219"/>
      <x:c r="AD193" s="219"/>
      <x:c r="AE193" s="219"/>
      <x:c r="AF193" s="219"/>
      <x:c r="AG193" s="219"/>
      <x:c r="AH193" s="219"/>
      <x:c r="AI193" s="219"/>
      <x:c r="AJ193" s="219"/>
      <x:c r="AK193" s="220">
        <x:f>+COUNTIF(F193:AJ193,"X")+COUNTIF(F193:AJ193,"E")</x:f>
      </x:c>
      <x:c r="AL193" s="221">
        <x:f>+COUNTIF(F193:AJ193,"R")+COUNTIF(F193:AJ193,"T")+COUNTIF(F193:AJ193,"İ")</x:f>
      </x:c>
      <x:c r="AM193" s="221">
        <x:f>+COUNTIF(F193:AJ193,"İ")</x:f>
      </x:c>
      <x:c r="AN193" s="222"/>
      <x:c r="AO193" s="222"/>
      <x:c r="AP193" s="228"/>
      <x:c r="AQ193" s="228"/>
      <x:c r="AR193" s="228"/>
      <x:c r="AS193" s="228"/>
      <x:c r="AT193" s="230"/>
    </x:row>
    <x:row r="194" spans="1:47" ht="15" customHeight="1" x14ac:dyDescent="0.25">
      <x:c r="A194" s="237"/>
      <x:c r="B194" s="216">
        <x:v>189</x:v>
      </x:c>
      <x:c r="C194" s="238"/>
      <x:c r="D194" s="239"/>
      <x:c r="E194" s="239"/>
      <x:c r="F194" s="219"/>
      <x:c r="G194" s="219"/>
      <x:c r="H194" s="219"/>
      <x:c r="I194" s="219"/>
      <x:c r="J194" s="219"/>
      <x:c r="K194" s="219"/>
      <x:c r="L194" s="219"/>
      <x:c r="M194" s="219"/>
      <x:c r="N194" s="219"/>
      <x:c r="O194" s="219"/>
      <x:c r="P194" s="219"/>
      <x:c r="Q194" s="219"/>
      <x:c r="R194" s="219"/>
      <x:c r="S194" s="219"/>
      <x:c r="T194" s="219"/>
      <x:c r="U194" s="219"/>
      <x:c r="V194" s="219"/>
      <x:c r="W194" s="219"/>
      <x:c r="X194" s="219"/>
      <x:c r="Y194" s="219"/>
      <x:c r="Z194" s="219"/>
      <x:c r="AA194" s="219"/>
      <x:c r="AB194" s="219"/>
      <x:c r="AC194" s="219"/>
      <x:c r="AD194" s="219"/>
      <x:c r="AE194" s="219"/>
      <x:c r="AF194" s="219"/>
      <x:c r="AG194" s="219"/>
      <x:c r="AH194" s="219"/>
      <x:c r="AI194" s="219"/>
      <x:c r="AJ194" s="219"/>
      <x:c r="AK194" s="220">
        <x:f>+COUNTIF(F194:AJ194,"X")+COUNTIF(F194:AJ194,"E")</x:f>
      </x:c>
      <x:c r="AL194" s="221">
        <x:f>+COUNTIF(F194:AJ194,"R")+COUNTIF(F194:AJ194,"T")+COUNTIF(F194:AJ194,"İ")</x:f>
      </x:c>
      <x:c r="AM194" s="221">
        <x:f>+COUNTIF(F194:AJ194,"İ")</x:f>
      </x:c>
      <x:c r="AN194" s="222"/>
      <x:c r="AO194" s="222"/>
      <x:c r="AP194" s="228"/>
      <x:c r="AQ194" s="228"/>
      <x:c r="AR194" s="228"/>
      <x:c r="AS194" s="228"/>
      <x:c r="AT194" s="230"/>
    </x:row>
    <x:row r="195" spans="1:47" ht="15" customHeight="1" x14ac:dyDescent="0.25">
      <x:c r="A195" s="237"/>
      <x:c r="B195" s="216">
        <x:v>190</x:v>
      </x:c>
      <x:c r="C195" s="238"/>
      <x:c r="D195" s="239"/>
      <x:c r="E195" s="239"/>
      <x:c r="F195" s="219"/>
      <x:c r="G195" s="219"/>
      <x:c r="H195" s="219"/>
      <x:c r="I195" s="219"/>
      <x:c r="J195" s="219"/>
      <x:c r="K195" s="219"/>
      <x:c r="L195" s="219"/>
      <x:c r="M195" s="219"/>
      <x:c r="N195" s="219"/>
      <x:c r="O195" s="219"/>
      <x:c r="P195" s="219"/>
      <x:c r="Q195" s="219"/>
      <x:c r="R195" s="219"/>
      <x:c r="S195" s="219"/>
      <x:c r="T195" s="219"/>
      <x:c r="U195" s="219"/>
      <x:c r="V195" s="219"/>
      <x:c r="W195" s="219"/>
      <x:c r="X195" s="219"/>
      <x:c r="Y195" s="219"/>
      <x:c r="Z195" s="219"/>
      <x:c r="AA195" s="219"/>
      <x:c r="AB195" s="219"/>
      <x:c r="AC195" s="219"/>
      <x:c r="AD195" s="219"/>
      <x:c r="AE195" s="219"/>
      <x:c r="AF195" s="219"/>
      <x:c r="AG195" s="219"/>
      <x:c r="AH195" s="219"/>
      <x:c r="AI195" s="219"/>
      <x:c r="AJ195" s="219"/>
      <x:c r="AK195" s="220">
        <x:f>+COUNTIF(F195:AJ195,"X")+COUNTIF(F195:AJ195,"E")</x:f>
      </x:c>
      <x:c r="AL195" s="221">
        <x:f>+COUNTIF(F195:AJ195,"R")+COUNTIF(F195:AJ195,"T")+COUNTIF(F195:AJ195,"İ")</x:f>
      </x:c>
      <x:c r="AM195" s="221">
        <x:f>+COUNTIF(F195:AJ195,"İ")</x:f>
      </x:c>
      <x:c r="AN195" s="222"/>
      <x:c r="AO195" s="222"/>
      <x:c r="AP195" s="228"/>
      <x:c r="AQ195" s="228"/>
      <x:c r="AR195" s="228"/>
      <x:c r="AS195" s="228"/>
      <x:c r="AT195" s="230"/>
    </x:row>
    <x:row r="196" spans="1:47" ht="15" customHeight="1" x14ac:dyDescent="0.25">
      <x:c r="A196" s="237"/>
      <x:c r="B196" s="216">
        <x:v>191</x:v>
      </x:c>
      <x:c r="C196" s="238"/>
      <x:c r="D196" s="239"/>
      <x:c r="E196" s="239"/>
      <x:c r="F196" s="236"/>
      <x:c r="G196" s="236"/>
      <x:c r="H196" s="236"/>
      <x:c r="I196" s="236"/>
      <x:c r="J196" s="236"/>
      <x:c r="K196" s="236"/>
      <x:c r="L196" s="236"/>
      <x:c r="M196" s="236"/>
      <x:c r="N196" s="236"/>
      <x:c r="O196" s="236"/>
      <x:c r="P196" s="236"/>
      <x:c r="Q196" s="236"/>
      <x:c r="R196" s="236"/>
      <x:c r="S196" s="236"/>
      <x:c r="T196" s="236"/>
      <x:c r="U196" s="236"/>
      <x:c r="V196" s="236"/>
      <x:c r="W196" s="236"/>
      <x:c r="X196" s="236"/>
      <x:c r="Y196" s="236"/>
      <x:c r="Z196" s="236"/>
      <x:c r="AA196" s="236"/>
      <x:c r="AB196" s="236"/>
      <x:c r="AC196" s="236"/>
      <x:c r="AD196" s="236"/>
      <x:c r="AE196" s="236"/>
      <x:c r="AF196" s="236"/>
      <x:c r="AG196" s="236"/>
      <x:c r="AH196" s="236"/>
      <x:c r="AI196" s="236"/>
      <x:c r="AJ196" s="236"/>
      <x:c r="AK196" s="220">
        <x:f>+COUNTIF(F196:AJ196,"X")+COUNTIF(F196:AJ196,"E")</x:f>
      </x:c>
      <x:c r="AL196" s="221">
        <x:f>+COUNTIF(F196:AJ196,"R")+COUNTIF(F196:AJ196,"T")+COUNTIF(F196:AJ196,"İ")</x:f>
      </x:c>
      <x:c r="AM196" s="221">
        <x:f>+COUNTIF(F196:AJ196,"İ")</x:f>
      </x:c>
      <x:c r="AN196" s="222"/>
      <x:c r="AO196" s="222"/>
      <x:c r="AP196" s="228"/>
      <x:c r="AQ196" s="228"/>
      <x:c r="AR196" s="228"/>
      <x:c r="AS196" s="228"/>
      <x:c r="AT196" s="230"/>
    </x:row>
    <x:row r="197" spans="1:47" ht="15" customHeight="1" x14ac:dyDescent="0.25">
      <x:c r="A197" s="237"/>
      <x:c r="B197" s="216">
        <x:v>192</x:v>
      </x:c>
      <x:c r="C197" s="238"/>
      <x:c r="D197" s="239"/>
      <x:c r="E197" s="239"/>
      <x:c r="F197" s="219"/>
      <x:c r="G197" s="219"/>
      <x:c r="H197" s="219"/>
      <x:c r="I197" s="219"/>
      <x:c r="J197" s="219"/>
      <x:c r="K197" s="219"/>
      <x:c r="L197" s="219"/>
      <x:c r="M197" s="219"/>
      <x:c r="N197" s="219"/>
      <x:c r="O197" s="219"/>
      <x:c r="P197" s="219"/>
      <x:c r="Q197" s="219"/>
      <x:c r="R197" s="219"/>
      <x:c r="S197" s="219"/>
      <x:c r="T197" s="219"/>
      <x:c r="U197" s="219"/>
      <x:c r="V197" s="219"/>
      <x:c r="W197" s="219"/>
      <x:c r="X197" s="219"/>
      <x:c r="Y197" s="219"/>
      <x:c r="Z197" s="219"/>
      <x:c r="AA197" s="219"/>
      <x:c r="AB197" s="219"/>
      <x:c r="AC197" s="219"/>
      <x:c r="AD197" s="219"/>
      <x:c r="AE197" s="219"/>
      <x:c r="AF197" s="219"/>
      <x:c r="AG197" s="219"/>
      <x:c r="AH197" s="219"/>
      <x:c r="AI197" s="219"/>
      <x:c r="AJ197" s="219"/>
      <x:c r="AK197" s="220">
        <x:f>+COUNTIF(F197:AJ197,"X")+COUNTIF(F197:AJ197,"E")</x:f>
      </x:c>
      <x:c r="AL197" s="221">
        <x:f>+COUNTIF(F197:AJ197,"R")+COUNTIF(F197:AJ197,"T")+COUNTIF(F197:AJ197,"İ")</x:f>
      </x:c>
      <x:c r="AM197" s="221">
        <x:f>+COUNTIF(F197:AJ197,"İ")</x:f>
      </x:c>
      <x:c r="AN197" s="222"/>
      <x:c r="AO197" s="222"/>
      <x:c r="AP197" s="228"/>
      <x:c r="AQ197" s="228"/>
      <x:c r="AR197" s="228"/>
      <x:c r="AS197" s="228"/>
      <x:c r="AT197" s="230"/>
    </x:row>
    <x:row r="198" spans="1:47" ht="15" customHeight="1" x14ac:dyDescent="0.25">
      <x:c r="A198" s="237"/>
      <x:c r="B198" s="216">
        <x:v>193</x:v>
      </x:c>
      <x:c r="C198" s="238"/>
      <x:c r="D198" s="239"/>
      <x:c r="E198" s="239"/>
      <x:c r="F198" s="236"/>
      <x:c r="G198" s="236"/>
      <x:c r="H198" s="236"/>
      <x:c r="I198" s="236"/>
      <x:c r="J198" s="236"/>
      <x:c r="K198" s="236"/>
      <x:c r="L198" s="236"/>
      <x:c r="M198" s="236"/>
      <x:c r="N198" s="236"/>
      <x:c r="O198" s="236"/>
      <x:c r="P198" s="236"/>
      <x:c r="Q198" s="236"/>
      <x:c r="R198" s="236"/>
      <x:c r="S198" s="236"/>
      <x:c r="T198" s="236"/>
      <x:c r="U198" s="236"/>
      <x:c r="V198" s="236"/>
      <x:c r="W198" s="236"/>
      <x:c r="X198" s="236"/>
      <x:c r="Y198" s="236"/>
      <x:c r="Z198" s="236"/>
      <x:c r="AA198" s="236"/>
      <x:c r="AB198" s="236"/>
      <x:c r="AC198" s="236"/>
      <x:c r="AD198" s="236"/>
      <x:c r="AE198" s="236"/>
      <x:c r="AF198" s="236"/>
      <x:c r="AG198" s="236"/>
      <x:c r="AH198" s="236"/>
      <x:c r="AI198" s="236"/>
      <x:c r="AJ198" s="236"/>
      <x:c r="AK198" s="220">
        <x:f>+COUNTIF(F198:AJ198,"X")+COUNTIF(F198:AJ198,"E")</x:f>
      </x:c>
      <x:c r="AL198" s="221">
        <x:f>+COUNTIF(F198:AJ198,"R")+COUNTIF(F198:AJ198,"T")+COUNTIF(F198:AJ198,"İ")</x:f>
      </x:c>
      <x:c r="AM198" s="221">
        <x:f>+COUNTIF(F198:AJ198,"İ")</x:f>
      </x:c>
      <x:c r="AN198" s="222"/>
      <x:c r="AO198" s="222"/>
      <x:c r="AP198" s="228"/>
      <x:c r="AQ198" s="228"/>
      <x:c r="AR198" s="228"/>
      <x:c r="AS198" s="228"/>
      <x:c r="AT198" s="230"/>
    </x:row>
    <x:row r="199" spans="1:47" ht="15" customHeight="1" x14ac:dyDescent="0.25">
      <x:c r="A199" s="237"/>
      <x:c r="B199" s="216">
        <x:v>194</x:v>
      </x:c>
      <x:c r="C199" s="238"/>
      <x:c r="D199" s="239"/>
      <x:c r="E199" s="239"/>
      <x:c r="F199" s="236"/>
      <x:c r="G199" s="236"/>
      <x:c r="H199" s="236"/>
      <x:c r="I199" s="236"/>
      <x:c r="J199" s="236"/>
      <x:c r="K199" s="236"/>
      <x:c r="L199" s="236"/>
      <x:c r="M199" s="236"/>
      <x:c r="N199" s="236"/>
      <x:c r="O199" s="236"/>
      <x:c r="P199" s="236"/>
      <x:c r="Q199" s="236"/>
      <x:c r="R199" s="236"/>
      <x:c r="S199" s="236"/>
      <x:c r="T199" s="236"/>
      <x:c r="U199" s="236"/>
      <x:c r="V199" s="236"/>
      <x:c r="W199" s="236"/>
      <x:c r="X199" s="236"/>
      <x:c r="Y199" s="236"/>
      <x:c r="Z199" s="236"/>
      <x:c r="AA199" s="236"/>
      <x:c r="AB199" s="236"/>
      <x:c r="AC199" s="236"/>
      <x:c r="AD199" s="236"/>
      <x:c r="AE199" s="236"/>
      <x:c r="AF199" s="236"/>
      <x:c r="AG199" s="236"/>
      <x:c r="AH199" s="236"/>
      <x:c r="AI199" s="236"/>
      <x:c r="AJ199" s="236"/>
      <x:c r="AK199" s="220">
        <x:f>+COUNTIF(F199:AJ199,"X")+COUNTIF(F199:AJ199,"E")</x:f>
      </x:c>
      <x:c r="AL199" s="221">
        <x:f>+COUNTIF(F199:AJ199,"R")+COUNTIF(F199:AJ199,"T")+COUNTIF(F199:AJ199,"İ")</x:f>
      </x:c>
      <x:c r="AM199" s="221">
        <x:f>+COUNTIF(F199:AJ199,"İ")</x:f>
      </x:c>
      <x:c r="AN199" s="222"/>
      <x:c r="AO199" s="222"/>
      <x:c r="AP199" s="228"/>
      <x:c r="AQ199" s="228"/>
      <x:c r="AR199" s="228"/>
      <x:c r="AS199" s="228"/>
      <x:c r="AT199" s="230"/>
    </x:row>
    <x:row r="200" spans="1:47" ht="15" customHeight="1" x14ac:dyDescent="0.25">
      <x:c r="A200" s="237"/>
      <x:c r="B200" s="216">
        <x:v>195</x:v>
      </x:c>
      <x:c r="C200" s="238"/>
      <x:c r="D200" s="239"/>
      <x:c r="E200" s="239"/>
      <x:c r="F200" s="219"/>
      <x:c r="G200" s="219"/>
      <x:c r="H200" s="219"/>
      <x:c r="I200" s="219"/>
      <x:c r="J200" s="219"/>
      <x:c r="K200" s="219"/>
      <x:c r="L200" s="219"/>
      <x:c r="M200" s="219"/>
      <x:c r="N200" s="219"/>
      <x:c r="O200" s="219"/>
      <x:c r="P200" s="219"/>
      <x:c r="Q200" s="219"/>
      <x:c r="R200" s="219"/>
      <x:c r="S200" s="219"/>
      <x:c r="T200" s="219"/>
      <x:c r="U200" s="219"/>
      <x:c r="V200" s="219"/>
      <x:c r="W200" s="219"/>
      <x:c r="X200" s="219"/>
      <x:c r="Y200" s="219"/>
      <x:c r="Z200" s="219"/>
      <x:c r="AA200" s="219"/>
      <x:c r="AB200" s="219"/>
      <x:c r="AC200" s="219"/>
      <x:c r="AD200" s="219"/>
      <x:c r="AE200" s="219"/>
      <x:c r="AF200" s="219"/>
      <x:c r="AG200" s="219"/>
      <x:c r="AH200" s="219"/>
      <x:c r="AI200" s="219"/>
      <x:c r="AJ200" s="219"/>
      <x:c r="AK200" s="220">
        <x:f>+COUNTIF(F200:AJ200,"X")+COUNTIF(F200:AJ200,"E")</x:f>
      </x:c>
      <x:c r="AL200" s="221">
        <x:f>+COUNTIF(F200:AJ200,"R")+COUNTIF(F200:AJ200,"T")+COUNTIF(F200:AJ200,"İ")</x:f>
      </x:c>
      <x:c r="AM200" s="221">
        <x:f>+COUNTIF(F200:AJ200,"İ")</x:f>
      </x:c>
      <x:c r="AN200" s="222"/>
      <x:c r="AO200" s="222"/>
      <x:c r="AP200" s="228"/>
      <x:c r="AQ200" s="228"/>
      <x:c r="AR200" s="228"/>
      <x:c r="AS200" s="228"/>
      <x:c r="AT200" s="230"/>
    </x:row>
    <x:row r="201" spans="1:47" ht="15" customHeight="1" x14ac:dyDescent="0.25">
      <x:c r="A201" s="237"/>
      <x:c r="B201" s="216">
        <x:v>196</x:v>
      </x:c>
      <x:c r="C201" s="238"/>
      <x:c r="D201" s="239"/>
      <x:c r="E201" s="239"/>
      <x:c r="F201" s="219"/>
      <x:c r="G201" s="219"/>
      <x:c r="H201" s="219"/>
      <x:c r="I201" s="219"/>
      <x:c r="J201" s="219"/>
      <x:c r="K201" s="219"/>
      <x:c r="L201" s="219"/>
      <x:c r="M201" s="219"/>
      <x:c r="N201" s="219"/>
      <x:c r="O201" s="219"/>
      <x:c r="P201" s="219"/>
      <x:c r="Q201" s="219"/>
      <x:c r="R201" s="219"/>
      <x:c r="S201" s="219"/>
      <x:c r="T201" s="219"/>
      <x:c r="U201" s="219"/>
      <x:c r="V201" s="219"/>
      <x:c r="W201" s="219"/>
      <x:c r="X201" s="219"/>
      <x:c r="Y201" s="219"/>
      <x:c r="Z201" s="219"/>
      <x:c r="AA201" s="219"/>
      <x:c r="AB201" s="219"/>
      <x:c r="AC201" s="219"/>
      <x:c r="AD201" s="219"/>
      <x:c r="AE201" s="219"/>
      <x:c r="AF201" s="219"/>
      <x:c r="AG201" s="219"/>
      <x:c r="AH201" s="219"/>
      <x:c r="AI201" s="219"/>
      <x:c r="AJ201" s="219"/>
      <x:c r="AK201" s="220">
        <x:f>+COUNTIF(F201:AJ201,"X")+COUNTIF(F201:AJ201,"E")</x:f>
      </x:c>
      <x:c r="AL201" s="221">
        <x:f>+COUNTIF(F201:AJ201,"R")+COUNTIF(F201:AJ201,"T")+COUNTIF(F201:AJ201,"İ")</x:f>
      </x:c>
      <x:c r="AM201" s="221">
        <x:f>+COUNTIF(F201:AJ201,"İ")</x:f>
      </x:c>
      <x:c r="AN201" s="222"/>
      <x:c r="AO201" s="222"/>
      <x:c r="AP201" s="228"/>
      <x:c r="AQ201" s="228"/>
      <x:c r="AR201" s="228"/>
      <x:c r="AS201" s="228"/>
      <x:c r="AT201" s="230"/>
    </x:row>
    <x:row r="202" spans="1:47" ht="15" customHeight="1" x14ac:dyDescent="0.25">
      <x:c r="A202" s="237"/>
      <x:c r="B202" s="216">
        <x:v>197</x:v>
      </x:c>
      <x:c r="C202" s="238"/>
      <x:c r="D202" s="239"/>
      <x:c r="E202" s="239"/>
      <x:c r="F202" s="219"/>
      <x:c r="G202" s="219"/>
      <x:c r="H202" s="219"/>
      <x:c r="I202" s="219"/>
      <x:c r="J202" s="219"/>
      <x:c r="K202" s="219"/>
      <x:c r="L202" s="219"/>
      <x:c r="M202" s="219"/>
      <x:c r="N202" s="219"/>
      <x:c r="O202" s="219"/>
      <x:c r="P202" s="219"/>
      <x:c r="Q202" s="219"/>
      <x:c r="R202" s="219"/>
      <x:c r="S202" s="219"/>
      <x:c r="T202" s="219"/>
      <x:c r="U202" s="219"/>
      <x:c r="V202" s="219"/>
      <x:c r="W202" s="219"/>
      <x:c r="X202" s="219"/>
      <x:c r="Y202" s="219"/>
      <x:c r="Z202" s="219"/>
      <x:c r="AA202" s="219"/>
      <x:c r="AB202" s="219"/>
      <x:c r="AC202" s="219"/>
      <x:c r="AD202" s="219"/>
      <x:c r="AE202" s="219"/>
      <x:c r="AF202" s="219"/>
      <x:c r="AG202" s="219"/>
      <x:c r="AH202" s="219"/>
      <x:c r="AI202" s="219"/>
      <x:c r="AJ202" s="219"/>
      <x:c r="AK202" s="220">
        <x:f>+COUNTIF(F202:AJ202,"X")+COUNTIF(F202:AJ202,"E")</x:f>
      </x:c>
      <x:c r="AL202" s="221">
        <x:f>+COUNTIF(F202:AJ202,"R")+COUNTIF(F202:AJ202,"T")+COUNTIF(F202:AJ202,"İ")</x:f>
      </x:c>
      <x:c r="AM202" s="221">
        <x:f>+COUNTIF(F202:AJ202,"İ")</x:f>
      </x:c>
      <x:c r="AN202" s="222"/>
      <x:c r="AO202" s="222"/>
      <x:c r="AP202" s="228"/>
      <x:c r="AQ202" s="228"/>
      <x:c r="AR202" s="228"/>
      <x:c r="AS202" s="228"/>
      <x:c r="AT202" s="230"/>
    </x:row>
    <x:row r="203" spans="1:47" ht="15" customHeight="1" x14ac:dyDescent="0.25">
      <x:c r="A203" s="237"/>
      <x:c r="B203" s="216">
        <x:v>198</x:v>
      </x:c>
      <x:c r="C203" s="238"/>
      <x:c r="D203" s="239"/>
      <x:c r="E203" s="239"/>
      <x:c r="F203" s="236"/>
      <x:c r="G203" s="236"/>
      <x:c r="H203" s="236"/>
      <x:c r="I203" s="236"/>
      <x:c r="J203" s="236"/>
      <x:c r="K203" s="236"/>
      <x:c r="L203" s="236"/>
      <x:c r="M203" s="236"/>
      <x:c r="N203" s="236"/>
      <x:c r="O203" s="236"/>
      <x:c r="P203" s="236"/>
      <x:c r="Q203" s="236"/>
      <x:c r="R203" s="236"/>
      <x:c r="S203" s="236"/>
      <x:c r="T203" s="236"/>
      <x:c r="U203" s="236"/>
      <x:c r="V203" s="236"/>
      <x:c r="W203" s="236"/>
      <x:c r="X203" s="236"/>
      <x:c r="Y203" s="236"/>
      <x:c r="Z203" s="236"/>
      <x:c r="AA203" s="236"/>
      <x:c r="AB203" s="236"/>
      <x:c r="AC203" s="236"/>
      <x:c r="AD203" s="236"/>
      <x:c r="AE203" s="236"/>
      <x:c r="AF203" s="236"/>
      <x:c r="AG203" s="236"/>
      <x:c r="AH203" s="236"/>
      <x:c r="AI203" s="236"/>
      <x:c r="AJ203" s="236"/>
      <x:c r="AK203" s="220">
        <x:f>+COUNTIF(F203:AJ203,"X")+COUNTIF(F203:AJ203,"E")</x:f>
      </x:c>
      <x:c r="AL203" s="221">
        <x:f>+COUNTIF(F203:AJ203,"R")+COUNTIF(F203:AJ203,"T")+COUNTIF(F203:AJ203,"İ")</x:f>
      </x:c>
      <x:c r="AM203" s="221">
        <x:f>+COUNTIF(F203:AJ203,"İ")</x:f>
      </x:c>
      <x:c r="AN203" s="222"/>
      <x:c r="AO203" s="222"/>
      <x:c r="AP203" s="228"/>
      <x:c r="AQ203" s="228"/>
      <x:c r="AR203" s="228"/>
      <x:c r="AS203" s="228"/>
      <x:c r="AT203" s="230"/>
    </x:row>
    <x:row r="204" spans="1:47" ht="15" customHeight="1" x14ac:dyDescent="0.25">
      <x:c r="A204" s="237"/>
      <x:c r="B204" s="216">
        <x:v>199</x:v>
      </x:c>
      <x:c r="C204" s="238"/>
      <x:c r="D204" s="239"/>
      <x:c r="E204" s="239"/>
      <x:c r="F204" s="236"/>
      <x:c r="G204" s="236"/>
      <x:c r="H204" s="236"/>
      <x:c r="I204" s="236"/>
      <x:c r="J204" s="236"/>
      <x:c r="K204" s="236"/>
      <x:c r="L204" s="236"/>
      <x:c r="M204" s="236"/>
      <x:c r="N204" s="236"/>
      <x:c r="O204" s="236"/>
      <x:c r="P204" s="236"/>
      <x:c r="Q204" s="236"/>
      <x:c r="R204" s="236"/>
      <x:c r="S204" s="236"/>
      <x:c r="T204" s="236"/>
      <x:c r="U204" s="236"/>
      <x:c r="V204" s="236"/>
      <x:c r="W204" s="236"/>
      <x:c r="X204" s="236"/>
      <x:c r="Y204" s="236"/>
      <x:c r="Z204" s="236"/>
      <x:c r="AA204" s="236"/>
      <x:c r="AB204" s="236"/>
      <x:c r="AC204" s="236"/>
      <x:c r="AD204" s="236"/>
      <x:c r="AE204" s="236"/>
      <x:c r="AF204" s="236"/>
      <x:c r="AG204" s="236"/>
      <x:c r="AH204" s="236"/>
      <x:c r="AI204" s="236"/>
      <x:c r="AJ204" s="236"/>
      <x:c r="AK204" s="220">
        <x:f>+COUNTIF(F204:AJ204,"X")+COUNTIF(F204:AJ204,"E")</x:f>
      </x:c>
      <x:c r="AL204" s="221">
        <x:f>+COUNTIF(F204:AJ204,"R")+COUNTIF(F204:AJ204,"T")+COUNTIF(F204:AJ204,"İ")</x:f>
      </x:c>
      <x:c r="AM204" s="221">
        <x:f>+COUNTIF(F204:AJ204,"İ")</x:f>
      </x:c>
      <x:c r="AN204" s="222"/>
      <x:c r="AO204" s="222"/>
      <x:c r="AP204" s="228"/>
      <x:c r="AQ204" s="228"/>
      <x:c r="AR204" s="228"/>
      <x:c r="AS204" s="228"/>
      <x:c r="AT204" s="230"/>
    </x:row>
    <x:row r="205" spans="1:47" ht="15" customHeight="1" x14ac:dyDescent="0.25">
      <x:c r="A205" s="237"/>
      <x:c r="B205" s="216">
        <x:v>200</x:v>
      </x:c>
      <x:c r="C205" s="238"/>
      <x:c r="D205" s="239"/>
      <x:c r="E205" s="239"/>
      <x:c r="F205" s="236"/>
      <x:c r="G205" s="236"/>
      <x:c r="H205" s="236"/>
      <x:c r="I205" s="236"/>
      <x:c r="J205" s="236"/>
      <x:c r="K205" s="236"/>
      <x:c r="L205" s="236"/>
      <x:c r="M205" s="236"/>
      <x:c r="N205" s="236"/>
      <x:c r="O205" s="236"/>
      <x:c r="P205" s="236"/>
      <x:c r="Q205" s="236"/>
      <x:c r="R205" s="236"/>
      <x:c r="S205" s="236"/>
      <x:c r="T205" s="236"/>
      <x:c r="U205" s="236"/>
      <x:c r="V205" s="236"/>
      <x:c r="W205" s="236"/>
      <x:c r="X205" s="236"/>
      <x:c r="Y205" s="236"/>
      <x:c r="Z205" s="236"/>
      <x:c r="AA205" s="236"/>
      <x:c r="AB205" s="236"/>
      <x:c r="AC205" s="236"/>
      <x:c r="AD205" s="236"/>
      <x:c r="AE205" s="236"/>
      <x:c r="AF205" s="236"/>
      <x:c r="AG205" s="236"/>
      <x:c r="AH205" s="236"/>
      <x:c r="AI205" s="236"/>
      <x:c r="AJ205" s="236"/>
      <x:c r="AK205" s="220">
        <x:f>+COUNTIF(F205:AJ205,"X")+COUNTIF(F205:AJ205,"E")</x:f>
      </x:c>
      <x:c r="AL205" s="221">
        <x:f>+COUNTIF(F205:AJ205,"R")+COUNTIF(F205:AJ205,"T")+COUNTIF(F205:AJ205,"İ")</x:f>
      </x:c>
      <x:c r="AM205" s="221">
        <x:f>+COUNTIF(F205:AJ205,"İ")</x:f>
      </x:c>
      <x:c r="AN205" s="222"/>
      <x:c r="AO205" s="222"/>
      <x:c r="AP205" s="228"/>
      <x:c r="AQ205" s="228"/>
      <x:c r="AR205" s="228"/>
      <x:c r="AS205" s="228"/>
      <x:c r="AT205" s="230"/>
    </x:row>
    <x:row r="206" spans="1:47" ht="15" customHeight="1" x14ac:dyDescent="0.25">
      <x:c r="A206" s="237"/>
      <x:c r="B206" s="216">
        <x:v>201</x:v>
      </x:c>
      <x:c r="C206" s="238"/>
      <x:c r="D206" s="239"/>
      <x:c r="E206" s="239"/>
      <x:c r="F206" s="219"/>
      <x:c r="G206" s="219"/>
      <x:c r="H206" s="219"/>
      <x:c r="I206" s="219"/>
      <x:c r="J206" s="219"/>
      <x:c r="K206" s="219"/>
      <x:c r="L206" s="219"/>
      <x:c r="M206" s="219"/>
      <x:c r="N206" s="219"/>
      <x:c r="O206" s="219"/>
      <x:c r="P206" s="219"/>
      <x:c r="Q206" s="219"/>
      <x:c r="R206" s="219"/>
      <x:c r="S206" s="219"/>
      <x:c r="T206" s="219"/>
      <x:c r="U206" s="219"/>
      <x:c r="V206" s="219"/>
      <x:c r="W206" s="219"/>
      <x:c r="X206" s="219"/>
      <x:c r="Y206" s="219"/>
      <x:c r="Z206" s="219"/>
      <x:c r="AA206" s="219"/>
      <x:c r="AB206" s="219"/>
      <x:c r="AC206" s="219"/>
      <x:c r="AD206" s="219"/>
      <x:c r="AE206" s="219"/>
      <x:c r="AF206" s="219"/>
      <x:c r="AG206" s="219"/>
      <x:c r="AH206" s="219"/>
      <x:c r="AI206" s="219"/>
      <x:c r="AJ206" s="219"/>
      <x:c r="AK206" s="220">
        <x:f>+COUNTIF(F206:AJ206,"X")+COUNTIF(F206:AJ206,"E")</x:f>
      </x:c>
      <x:c r="AL206" s="221">
        <x:f>+COUNTIF(F206:AJ206,"R")+COUNTIF(F206:AJ206,"T")+COUNTIF(F206:AJ206,"İ")</x:f>
      </x:c>
      <x:c r="AM206" s="221">
        <x:f>+COUNTIF(F206:AJ206,"İ")</x:f>
      </x:c>
      <x:c r="AN206" s="222"/>
      <x:c r="AO206" s="222"/>
      <x:c r="AP206" s="228"/>
      <x:c r="AQ206" s="228"/>
      <x:c r="AR206" s="228"/>
      <x:c r="AS206" s="228"/>
      <x:c r="AT206" s="230"/>
    </x:row>
    <x:row r="207" spans="1:47" ht="15" customHeight="1" x14ac:dyDescent="0.25">
      <x:c r="A207" s="237"/>
      <x:c r="B207" s="216">
        <x:v>202</x:v>
      </x:c>
      <x:c r="C207" s="238"/>
      <x:c r="D207" s="239"/>
      <x:c r="E207" s="239"/>
      <x:c r="F207" s="219"/>
      <x:c r="G207" s="219"/>
      <x:c r="H207" s="219"/>
      <x:c r="I207" s="219"/>
      <x:c r="J207" s="219"/>
      <x:c r="K207" s="219"/>
      <x:c r="L207" s="219"/>
      <x:c r="M207" s="219"/>
      <x:c r="N207" s="219"/>
      <x:c r="O207" s="219"/>
      <x:c r="P207" s="219"/>
      <x:c r="Q207" s="219"/>
      <x:c r="R207" s="219"/>
      <x:c r="S207" s="219"/>
      <x:c r="T207" s="219"/>
      <x:c r="U207" s="219"/>
      <x:c r="V207" s="219"/>
      <x:c r="W207" s="219"/>
      <x:c r="X207" s="219"/>
      <x:c r="Y207" s="219"/>
      <x:c r="Z207" s="219"/>
      <x:c r="AA207" s="219"/>
      <x:c r="AB207" s="219"/>
      <x:c r="AC207" s="219"/>
      <x:c r="AD207" s="219"/>
      <x:c r="AE207" s="219"/>
      <x:c r="AF207" s="219"/>
      <x:c r="AG207" s="219"/>
      <x:c r="AH207" s="219"/>
      <x:c r="AI207" s="219"/>
      <x:c r="AJ207" s="219"/>
      <x:c r="AK207" s="220">
        <x:f>+COUNTIF(F207:AJ207,"X")+COUNTIF(F207:AJ207,"E")</x:f>
      </x:c>
      <x:c r="AL207" s="221">
        <x:f>+COUNTIF(F207:AJ207,"R")+COUNTIF(F207:AJ207,"T")+COUNTIF(F207:AJ207,"İ")</x:f>
      </x:c>
      <x:c r="AM207" s="221">
        <x:f>+COUNTIF(F207:AJ207,"İ")</x:f>
      </x:c>
      <x:c r="AN207" s="222"/>
      <x:c r="AO207" s="222"/>
      <x:c r="AP207" s="228"/>
      <x:c r="AQ207" s="228"/>
      <x:c r="AR207" s="228"/>
      <x:c r="AS207" s="228"/>
      <x:c r="AT207" s="230"/>
    </x:row>
    <x:row r="208" spans="1:47" ht="15" customHeight="1" x14ac:dyDescent="0.25">
      <x:c r="A208" s="237"/>
      <x:c r="B208" s="216">
        <x:v>203</x:v>
      </x:c>
      <x:c r="C208" s="238"/>
      <x:c r="D208" s="239"/>
      <x:c r="E208" s="239"/>
      <x:c r="F208" s="236"/>
      <x:c r="G208" s="236"/>
      <x:c r="H208" s="236"/>
      <x:c r="I208" s="236"/>
      <x:c r="J208" s="236"/>
      <x:c r="K208" s="236"/>
      <x:c r="L208" s="236"/>
      <x:c r="M208" s="236"/>
      <x:c r="N208" s="236"/>
      <x:c r="O208" s="236"/>
      <x:c r="P208" s="236"/>
      <x:c r="Q208" s="236"/>
      <x:c r="R208" s="236"/>
      <x:c r="S208" s="236"/>
      <x:c r="T208" s="236"/>
      <x:c r="U208" s="236"/>
      <x:c r="V208" s="236"/>
      <x:c r="W208" s="236"/>
      <x:c r="X208" s="236"/>
      <x:c r="Y208" s="236"/>
      <x:c r="Z208" s="236"/>
      <x:c r="AA208" s="236"/>
      <x:c r="AB208" s="236"/>
      <x:c r="AC208" s="236"/>
      <x:c r="AD208" s="236"/>
      <x:c r="AE208" s="236"/>
      <x:c r="AF208" s="236"/>
      <x:c r="AG208" s="236"/>
      <x:c r="AH208" s="236"/>
      <x:c r="AI208" s="236"/>
      <x:c r="AJ208" s="236"/>
      <x:c r="AK208" s="220">
        <x:f>+COUNTIF(F208:AJ208,"X")+COUNTIF(F208:AJ208,"E")</x:f>
      </x:c>
      <x:c r="AL208" s="221">
        <x:f>+COUNTIF(F208:AJ208,"R")+COUNTIF(F208:AJ208,"T")+COUNTIF(F208:AJ208,"İ")</x:f>
      </x:c>
      <x:c r="AM208" s="221">
        <x:f>+COUNTIF(F208:AJ208,"İ")</x:f>
      </x:c>
      <x:c r="AN208" s="222"/>
      <x:c r="AO208" s="222"/>
      <x:c r="AP208" s="228"/>
      <x:c r="AQ208" s="228"/>
      <x:c r="AR208" s="228"/>
      <x:c r="AS208" s="228"/>
      <x:c r="AT208" s="230"/>
    </x:row>
    <x:row r="209" spans="1:47" ht="15" customHeight="1" x14ac:dyDescent="0.25">
      <x:c r="A209" s="237"/>
      <x:c r="B209" s="216">
        <x:v>204</x:v>
      </x:c>
      <x:c r="C209" s="238"/>
      <x:c r="D209" s="239"/>
      <x:c r="E209" s="239"/>
      <x:c r="F209" s="219"/>
      <x:c r="G209" s="219"/>
      <x:c r="H209" s="219"/>
      <x:c r="I209" s="219"/>
      <x:c r="J209" s="219"/>
      <x:c r="K209" s="219"/>
      <x:c r="L209" s="219"/>
      <x:c r="M209" s="219"/>
      <x:c r="N209" s="219"/>
      <x:c r="O209" s="219"/>
      <x:c r="P209" s="219"/>
      <x:c r="Q209" s="219"/>
      <x:c r="R209" s="219"/>
      <x:c r="S209" s="219"/>
      <x:c r="T209" s="219"/>
      <x:c r="U209" s="219"/>
      <x:c r="V209" s="219"/>
      <x:c r="W209" s="219"/>
      <x:c r="X209" s="219"/>
      <x:c r="Y209" s="219"/>
      <x:c r="Z209" s="219"/>
      <x:c r="AA209" s="219"/>
      <x:c r="AB209" s="219"/>
      <x:c r="AC209" s="219"/>
      <x:c r="AD209" s="219"/>
      <x:c r="AE209" s="219"/>
      <x:c r="AF209" s="219"/>
      <x:c r="AG209" s="219"/>
      <x:c r="AH209" s="219"/>
      <x:c r="AI209" s="219"/>
      <x:c r="AJ209" s="219"/>
      <x:c r="AK209" s="220">
        <x:f>+COUNTIF(F209:AJ209,"X")+COUNTIF(F209:AJ209,"E")</x:f>
      </x:c>
      <x:c r="AL209" s="221">
        <x:f>+COUNTIF(F209:AJ209,"R")+COUNTIF(F209:AJ209,"T")+COUNTIF(F209:AJ209,"İ")</x:f>
      </x:c>
      <x:c r="AM209" s="221">
        <x:f>+COUNTIF(F209:AJ209,"İ")</x:f>
      </x:c>
      <x:c r="AN209" s="222"/>
      <x:c r="AO209" s="222"/>
      <x:c r="AP209" s="228"/>
      <x:c r="AQ209" s="228"/>
      <x:c r="AR209" s="228"/>
      <x:c r="AS209" s="228"/>
      <x:c r="AT209" s="230"/>
    </x:row>
    <x:row r="210" spans="1:47" ht="15" customHeight="1" x14ac:dyDescent="0.25">
      <x:c r="A210" s="237"/>
      <x:c r="B210" s="216">
        <x:v>205</x:v>
      </x:c>
      <x:c r="C210" s="238"/>
      <x:c r="D210" s="239"/>
      <x:c r="E210" s="239"/>
      <x:c r="F210" s="219"/>
      <x:c r="G210" s="219"/>
      <x:c r="H210" s="219"/>
      <x:c r="I210" s="219"/>
      <x:c r="J210" s="219"/>
      <x:c r="K210" s="219"/>
      <x:c r="L210" s="219"/>
      <x:c r="M210" s="219"/>
      <x:c r="N210" s="219"/>
      <x:c r="O210" s="219"/>
      <x:c r="P210" s="219"/>
      <x:c r="Q210" s="219"/>
      <x:c r="R210" s="219"/>
      <x:c r="S210" s="219"/>
      <x:c r="T210" s="219"/>
      <x:c r="U210" s="219"/>
      <x:c r="V210" s="219"/>
      <x:c r="W210" s="219"/>
      <x:c r="X210" s="219"/>
      <x:c r="Y210" s="219"/>
      <x:c r="Z210" s="219"/>
      <x:c r="AA210" s="219"/>
      <x:c r="AB210" s="219"/>
      <x:c r="AC210" s="219"/>
      <x:c r="AD210" s="219"/>
      <x:c r="AE210" s="219"/>
      <x:c r="AF210" s="219"/>
      <x:c r="AG210" s="219"/>
      <x:c r="AH210" s="219"/>
      <x:c r="AI210" s="219"/>
      <x:c r="AJ210" s="219"/>
      <x:c r="AK210" s="220">
        <x:f>+COUNTIF(F210:AJ210,"X")+COUNTIF(F210:AJ210,"E")</x:f>
      </x:c>
      <x:c r="AL210" s="221">
        <x:f>+COUNTIF(F210:AJ210,"R")+COUNTIF(F210:AJ210,"T")+COUNTIF(F210:AJ210,"İ")</x:f>
      </x:c>
      <x:c r="AM210" s="221">
        <x:f>+COUNTIF(F210:AJ210,"İ")</x:f>
      </x:c>
      <x:c r="AN210" s="222"/>
      <x:c r="AO210" s="222"/>
      <x:c r="AP210" s="228"/>
      <x:c r="AQ210" s="228"/>
      <x:c r="AR210" s="228"/>
      <x:c r="AS210" s="228"/>
      <x:c r="AT210" s="230"/>
    </x:row>
    <x:row r="211" spans="1:47" ht="15" customHeight="1" x14ac:dyDescent="0.25">
      <x:c r="A211" s="237"/>
      <x:c r="B211" s="216">
        <x:v>206</x:v>
      </x:c>
      <x:c r="C211" s="238"/>
      <x:c r="D211" s="239"/>
      <x:c r="E211" s="239"/>
      <x:c r="F211" s="219"/>
      <x:c r="G211" s="219"/>
      <x:c r="H211" s="219"/>
      <x:c r="I211" s="219"/>
      <x:c r="J211" s="219"/>
      <x:c r="K211" s="219"/>
      <x:c r="L211" s="219"/>
      <x:c r="M211" s="219"/>
      <x:c r="N211" s="219"/>
      <x:c r="O211" s="219"/>
      <x:c r="P211" s="219"/>
      <x:c r="Q211" s="219"/>
      <x:c r="R211" s="219"/>
      <x:c r="S211" s="219"/>
      <x:c r="T211" s="219"/>
      <x:c r="U211" s="219"/>
      <x:c r="V211" s="219"/>
      <x:c r="W211" s="219"/>
      <x:c r="X211" s="219"/>
      <x:c r="Y211" s="219"/>
      <x:c r="Z211" s="219"/>
      <x:c r="AA211" s="219"/>
      <x:c r="AB211" s="219"/>
      <x:c r="AC211" s="219"/>
      <x:c r="AD211" s="219"/>
      <x:c r="AE211" s="219"/>
      <x:c r="AF211" s="219"/>
      <x:c r="AG211" s="219"/>
      <x:c r="AH211" s="219"/>
      <x:c r="AI211" s="219"/>
      <x:c r="AJ211" s="219"/>
      <x:c r="AK211" s="220">
        <x:f>+COUNTIF(F211:AJ211,"X")+COUNTIF(F211:AJ211,"E")</x:f>
      </x:c>
      <x:c r="AL211" s="221">
        <x:f>+COUNTIF(F211:AJ211,"R")+COUNTIF(F211:AJ211,"T")+COUNTIF(F211:AJ211,"İ")</x:f>
      </x:c>
      <x:c r="AM211" s="221">
        <x:f>+COUNTIF(F211:AJ211,"İ")</x:f>
      </x:c>
      <x:c r="AN211" s="222"/>
      <x:c r="AO211" s="222"/>
      <x:c r="AP211" s="228"/>
      <x:c r="AQ211" s="228"/>
      <x:c r="AR211" s="228"/>
      <x:c r="AS211" s="228"/>
      <x:c r="AT211" s="230"/>
    </x:row>
    <x:row r="212" spans="1:47" ht="15" customHeight="1" x14ac:dyDescent="0.25">
      <x:c r="A212" s="237"/>
      <x:c r="B212" s="216">
        <x:v>207</x:v>
      </x:c>
      <x:c r="C212" s="238"/>
      <x:c r="D212" s="239"/>
      <x:c r="E212" s="239"/>
      <x:c r="F212" s="236"/>
      <x:c r="G212" s="236"/>
      <x:c r="H212" s="236"/>
      <x:c r="I212" s="236"/>
      <x:c r="J212" s="236"/>
      <x:c r="K212" s="236"/>
      <x:c r="L212" s="236"/>
      <x:c r="M212" s="236"/>
      <x:c r="N212" s="236"/>
      <x:c r="O212" s="236"/>
      <x:c r="P212" s="236"/>
      <x:c r="Q212" s="236"/>
      <x:c r="R212" s="236"/>
      <x:c r="S212" s="236"/>
      <x:c r="T212" s="236"/>
      <x:c r="U212" s="236"/>
      <x:c r="V212" s="236"/>
      <x:c r="W212" s="236"/>
      <x:c r="X212" s="236"/>
      <x:c r="Y212" s="236"/>
      <x:c r="Z212" s="236"/>
      <x:c r="AA212" s="236"/>
      <x:c r="AB212" s="236"/>
      <x:c r="AC212" s="236"/>
      <x:c r="AD212" s="236"/>
      <x:c r="AE212" s="236"/>
      <x:c r="AF212" s="236"/>
      <x:c r="AG212" s="236"/>
      <x:c r="AH212" s="236"/>
      <x:c r="AI212" s="236"/>
      <x:c r="AJ212" s="236"/>
      <x:c r="AK212" s="220">
        <x:f>+COUNTIF(F212:AJ212,"X")+COUNTIF(F212:AJ212,"E")</x:f>
      </x:c>
      <x:c r="AL212" s="221">
        <x:f>+COUNTIF(F212:AJ212,"R")+COUNTIF(F212:AJ212,"T")+COUNTIF(F212:AJ212,"İ")</x:f>
      </x:c>
      <x:c r="AM212" s="221">
        <x:f>+COUNTIF(F212:AJ212,"İ")</x:f>
      </x:c>
      <x:c r="AN212" s="222"/>
      <x:c r="AO212" s="222"/>
      <x:c r="AP212" s="228"/>
      <x:c r="AQ212" s="228"/>
      <x:c r="AR212" s="228"/>
      <x:c r="AS212" s="228"/>
      <x:c r="AT212" s="230"/>
    </x:row>
    <x:row r="213" spans="1:47" ht="15" customHeight="1" x14ac:dyDescent="0.25">
      <x:c r="A213" s="237"/>
      <x:c r="B213" s="216">
        <x:v>208</x:v>
      </x:c>
      <x:c r="C213" s="238"/>
      <x:c r="D213" s="239"/>
      <x:c r="E213" s="239"/>
      <x:c r="F213" s="236"/>
      <x:c r="G213" s="236"/>
      <x:c r="H213" s="236"/>
      <x:c r="I213" s="236"/>
      <x:c r="J213" s="236"/>
      <x:c r="K213" s="236"/>
      <x:c r="L213" s="236"/>
      <x:c r="M213" s="236"/>
      <x:c r="N213" s="236"/>
      <x:c r="O213" s="236"/>
      <x:c r="P213" s="236"/>
      <x:c r="Q213" s="236"/>
      <x:c r="R213" s="236"/>
      <x:c r="S213" s="236"/>
      <x:c r="T213" s="236"/>
      <x:c r="U213" s="236"/>
      <x:c r="V213" s="236"/>
      <x:c r="W213" s="236"/>
      <x:c r="X213" s="236"/>
      <x:c r="Y213" s="236"/>
      <x:c r="Z213" s="236"/>
      <x:c r="AA213" s="236"/>
      <x:c r="AB213" s="236"/>
      <x:c r="AC213" s="236"/>
      <x:c r="AD213" s="236"/>
      <x:c r="AE213" s="236"/>
      <x:c r="AF213" s="236"/>
      <x:c r="AG213" s="236"/>
      <x:c r="AH213" s="236"/>
      <x:c r="AI213" s="236"/>
      <x:c r="AJ213" s="236"/>
      <x:c r="AK213" s="220">
        <x:f>+COUNTIF(F213:AJ213,"X")+COUNTIF(F213:AJ213,"E")</x:f>
      </x:c>
      <x:c r="AL213" s="221">
        <x:f>+COUNTIF(F213:AJ213,"R")+COUNTIF(F213:AJ213,"T")+COUNTIF(F213:AJ213,"İ")</x:f>
      </x:c>
      <x:c r="AM213" s="221">
        <x:f>+COUNTIF(F213:AJ213,"İ")</x:f>
      </x:c>
      <x:c r="AN213" s="222"/>
      <x:c r="AO213" s="222"/>
      <x:c r="AP213" s="228"/>
      <x:c r="AQ213" s="228"/>
      <x:c r="AR213" s="228"/>
      <x:c r="AS213" s="228"/>
      <x:c r="AT213" s="230"/>
    </x:row>
    <x:row r="214" spans="1:47" ht="15" customHeight="1" x14ac:dyDescent="0.25">
      <x:c r="A214" s="237"/>
      <x:c r="B214" s="216">
        <x:v>209</x:v>
      </x:c>
      <x:c r="C214" s="238"/>
      <x:c r="D214" s="239"/>
      <x:c r="E214" s="239"/>
      <x:c r="F214" s="219"/>
      <x:c r="G214" s="219"/>
      <x:c r="H214" s="219"/>
      <x:c r="I214" s="219"/>
      <x:c r="J214" s="219"/>
      <x:c r="K214" s="219"/>
      <x:c r="L214" s="219"/>
      <x:c r="M214" s="219"/>
      <x:c r="N214" s="219"/>
      <x:c r="O214" s="219"/>
      <x:c r="P214" s="219"/>
      <x:c r="Q214" s="219"/>
      <x:c r="R214" s="219"/>
      <x:c r="S214" s="219"/>
      <x:c r="T214" s="219"/>
      <x:c r="U214" s="219"/>
      <x:c r="V214" s="219"/>
      <x:c r="W214" s="219"/>
      <x:c r="X214" s="219"/>
      <x:c r="Y214" s="219"/>
      <x:c r="Z214" s="219"/>
      <x:c r="AA214" s="219"/>
      <x:c r="AB214" s="219"/>
      <x:c r="AC214" s="219"/>
      <x:c r="AD214" s="219"/>
      <x:c r="AE214" s="219"/>
      <x:c r="AF214" s="219"/>
      <x:c r="AG214" s="219"/>
      <x:c r="AH214" s="219"/>
      <x:c r="AI214" s="219"/>
      <x:c r="AJ214" s="219"/>
      <x:c r="AK214" s="220">
        <x:f>+COUNTIF(F214:AJ214,"X")+COUNTIF(F214:AJ214,"E")</x:f>
      </x:c>
      <x:c r="AL214" s="221">
        <x:f>+COUNTIF(F214:AJ214,"R")+COUNTIF(F214:AJ214,"T")+COUNTIF(F214:AJ214,"İ")</x:f>
      </x:c>
      <x:c r="AM214" s="221">
        <x:f>+COUNTIF(F214:AJ214,"İ")</x:f>
      </x:c>
      <x:c r="AN214" s="222"/>
      <x:c r="AO214" s="222"/>
      <x:c r="AP214" s="228"/>
      <x:c r="AQ214" s="228"/>
      <x:c r="AR214" s="228"/>
      <x:c r="AS214" s="228"/>
      <x:c r="AT214" s="230"/>
    </x:row>
    <x:row r="215" spans="1:47" ht="15" customHeight="1" x14ac:dyDescent="0.25">
      <x:c r="A215" s="237"/>
      <x:c r="B215" s="216">
        <x:v>210</x:v>
      </x:c>
      <x:c r="C215" s="238"/>
      <x:c r="D215" s="239"/>
      <x:c r="E215" s="239"/>
      <x:c r="F215" s="236"/>
      <x:c r="G215" s="236"/>
      <x:c r="H215" s="236"/>
      <x:c r="I215" s="236"/>
      <x:c r="J215" s="236"/>
      <x:c r="K215" s="236"/>
      <x:c r="L215" s="236"/>
      <x:c r="M215" s="236"/>
      <x:c r="N215" s="236"/>
      <x:c r="O215" s="236"/>
      <x:c r="P215" s="236"/>
      <x:c r="Q215" s="236"/>
      <x:c r="R215" s="236"/>
      <x:c r="S215" s="236"/>
      <x:c r="T215" s="236"/>
      <x:c r="U215" s="236"/>
      <x:c r="V215" s="236"/>
      <x:c r="W215" s="236"/>
      <x:c r="X215" s="236"/>
      <x:c r="Y215" s="236"/>
      <x:c r="Z215" s="236"/>
      <x:c r="AA215" s="236"/>
      <x:c r="AB215" s="236"/>
      <x:c r="AC215" s="236"/>
      <x:c r="AD215" s="236"/>
      <x:c r="AE215" s="236"/>
      <x:c r="AF215" s="236"/>
      <x:c r="AG215" s="236"/>
      <x:c r="AH215" s="236"/>
      <x:c r="AI215" s="236"/>
      <x:c r="AJ215" s="236"/>
      <x:c r="AK215" s="220">
        <x:f>+COUNTIF(F215:AJ215,"X")+COUNTIF(F215:AJ215,"E")</x:f>
      </x:c>
      <x:c r="AL215" s="221">
        <x:f>+COUNTIF(F215:AJ215,"R")+COUNTIF(F215:AJ215,"T")+COUNTIF(F215:AJ215,"İ")</x:f>
      </x:c>
      <x:c r="AM215" s="221">
        <x:f>+COUNTIF(F215:AJ215,"İ")</x:f>
      </x:c>
      <x:c r="AN215" s="222"/>
      <x:c r="AO215" s="222"/>
      <x:c r="AP215" s="228"/>
      <x:c r="AQ215" s="228"/>
      <x:c r="AR215" s="228"/>
      <x:c r="AS215" s="228"/>
      <x:c r="AT215" s="230"/>
    </x:row>
    <x:row r="216" spans="1:47" ht="15" customHeight="1" x14ac:dyDescent="0.25">
      <x:c r="A216" s="237"/>
      <x:c r="B216" s="216">
        <x:v>211</x:v>
      </x:c>
      <x:c r="C216" s="238"/>
      <x:c r="D216" s="239"/>
      <x:c r="E216" s="239"/>
      <x:c r="F216" s="219"/>
      <x:c r="G216" s="219"/>
      <x:c r="H216" s="219"/>
      <x:c r="I216" s="219"/>
      <x:c r="J216" s="219"/>
      <x:c r="K216" s="219"/>
      <x:c r="L216" s="219"/>
      <x:c r="M216" s="219"/>
      <x:c r="N216" s="219"/>
      <x:c r="O216" s="219"/>
      <x:c r="P216" s="219"/>
      <x:c r="Q216" s="219"/>
      <x:c r="R216" s="219"/>
      <x:c r="S216" s="219"/>
      <x:c r="T216" s="219"/>
      <x:c r="U216" s="219"/>
      <x:c r="V216" s="219"/>
      <x:c r="W216" s="219"/>
      <x:c r="X216" s="219"/>
      <x:c r="Y216" s="219"/>
      <x:c r="Z216" s="219"/>
      <x:c r="AA216" s="219"/>
      <x:c r="AB216" s="219"/>
      <x:c r="AC216" s="219"/>
      <x:c r="AD216" s="219"/>
      <x:c r="AE216" s="219"/>
      <x:c r="AF216" s="219"/>
      <x:c r="AG216" s="219"/>
      <x:c r="AH216" s="219"/>
      <x:c r="AI216" s="219"/>
      <x:c r="AJ216" s="219"/>
      <x:c r="AK216" s="220">
        <x:f>+COUNTIF(F216:AJ216,"X")+COUNTIF(F216:AJ216,"E")</x:f>
      </x:c>
      <x:c r="AL216" s="221">
        <x:f>+COUNTIF(F216:AJ216,"R")+COUNTIF(F216:AJ216,"T")+COUNTIF(F216:AJ216,"İ")</x:f>
      </x:c>
      <x:c r="AM216" s="221">
        <x:f>+COUNTIF(F216:AJ216,"İ")</x:f>
      </x:c>
      <x:c r="AN216" s="222"/>
      <x:c r="AO216" s="222"/>
      <x:c r="AP216" s="228"/>
      <x:c r="AQ216" s="228"/>
      <x:c r="AR216" s="228"/>
      <x:c r="AS216" s="228"/>
      <x:c r="AT216" s="230"/>
    </x:row>
    <x:row r="217" spans="1:47" ht="15" customHeight="1" x14ac:dyDescent="0.25">
      <x:c r="A217" s="237"/>
      <x:c r="B217" s="216">
        <x:v>212</x:v>
      </x:c>
      <x:c r="C217" s="238"/>
      <x:c r="D217" s="239"/>
      <x:c r="E217" s="239"/>
      <x:c r="F217" s="219"/>
      <x:c r="G217" s="219"/>
      <x:c r="H217" s="219"/>
      <x:c r="I217" s="219"/>
      <x:c r="J217" s="219"/>
      <x:c r="K217" s="219"/>
      <x:c r="L217" s="219"/>
      <x:c r="M217" s="219"/>
      <x:c r="N217" s="219"/>
      <x:c r="O217" s="219"/>
      <x:c r="P217" s="219"/>
      <x:c r="Q217" s="219"/>
      <x:c r="R217" s="219"/>
      <x:c r="S217" s="219"/>
      <x:c r="T217" s="219"/>
      <x:c r="U217" s="219"/>
      <x:c r="V217" s="219"/>
      <x:c r="W217" s="219"/>
      <x:c r="X217" s="219"/>
      <x:c r="Y217" s="219"/>
      <x:c r="Z217" s="219"/>
      <x:c r="AA217" s="219"/>
      <x:c r="AB217" s="219"/>
      <x:c r="AC217" s="219"/>
      <x:c r="AD217" s="219"/>
      <x:c r="AE217" s="219"/>
      <x:c r="AF217" s="219"/>
      <x:c r="AG217" s="219"/>
      <x:c r="AH217" s="219"/>
      <x:c r="AI217" s="219"/>
      <x:c r="AJ217" s="219"/>
      <x:c r="AK217" s="220">
        <x:f>+COUNTIF(F217:AJ217,"X")+COUNTIF(F217:AJ217,"E")</x:f>
      </x:c>
      <x:c r="AL217" s="221">
        <x:f>+COUNTIF(F217:AJ217,"R")+COUNTIF(F217:AJ217,"T")+COUNTIF(F217:AJ217,"İ")</x:f>
      </x:c>
      <x:c r="AM217" s="221">
        <x:f>+COUNTIF(F217:AJ217,"İ")</x:f>
      </x:c>
      <x:c r="AN217" s="222"/>
      <x:c r="AO217" s="222"/>
      <x:c r="AP217" s="228"/>
      <x:c r="AQ217" s="228"/>
      <x:c r="AR217" s="228"/>
      <x:c r="AS217" s="228"/>
      <x:c r="AT217" s="233"/>
    </x:row>
    <x:row r="218" spans="1:47" ht="15" customHeight="1" x14ac:dyDescent="0.25">
      <x:c r="A218" s="237"/>
      <x:c r="B218" s="216">
        <x:v>213</x:v>
      </x:c>
      <x:c r="C218" s="238"/>
      <x:c r="D218" s="239"/>
      <x:c r="E218" s="239"/>
      <x:c r="F218" s="219"/>
      <x:c r="G218" s="219"/>
      <x:c r="H218" s="219"/>
      <x:c r="I218" s="219"/>
      <x:c r="J218" s="219"/>
      <x:c r="K218" s="219"/>
      <x:c r="L218" s="219"/>
      <x:c r="M218" s="219"/>
      <x:c r="N218" s="219"/>
      <x:c r="O218" s="219"/>
      <x:c r="P218" s="219"/>
      <x:c r="Q218" s="219"/>
      <x:c r="R218" s="219"/>
      <x:c r="S218" s="219"/>
      <x:c r="T218" s="219"/>
      <x:c r="U218" s="219"/>
      <x:c r="V218" s="219"/>
      <x:c r="W218" s="219"/>
      <x:c r="X218" s="219"/>
      <x:c r="Y218" s="219"/>
      <x:c r="Z218" s="219"/>
      <x:c r="AA218" s="219"/>
      <x:c r="AB218" s="219"/>
      <x:c r="AC218" s="219"/>
      <x:c r="AD218" s="219"/>
      <x:c r="AE218" s="219"/>
      <x:c r="AF218" s="219"/>
      <x:c r="AG218" s="219"/>
      <x:c r="AH218" s="219"/>
      <x:c r="AI218" s="219"/>
      <x:c r="AJ218" s="219"/>
      <x:c r="AK218" s="220">
        <x:f>+COUNTIF(F218:AJ218,"X")+COUNTIF(F218:AJ218,"E")</x:f>
      </x:c>
      <x:c r="AL218" s="221">
        <x:f>+COUNTIF(F218:AJ218,"R")+COUNTIF(F218:AJ218,"T")+COUNTIF(F218:AJ218,"İ")</x:f>
      </x:c>
      <x:c r="AM218" s="221">
        <x:f>+COUNTIF(F218:AJ218,"İ")</x:f>
      </x:c>
      <x:c r="AN218" s="222"/>
      <x:c r="AO218" s="222"/>
      <x:c r="AP218" s="228"/>
      <x:c r="AQ218" s="228"/>
      <x:c r="AR218" s="228"/>
      <x:c r="AS218" s="228"/>
      <x:c r="AT218" s="230"/>
    </x:row>
    <x:row r="219" spans="1:47" ht="15" customHeight="1" x14ac:dyDescent="0.25">
      <x:c r="A219" s="237"/>
      <x:c r="B219" s="216">
        <x:v>214</x:v>
      </x:c>
      <x:c r="C219" s="238"/>
      <x:c r="D219" s="239"/>
      <x:c r="E219" s="239"/>
      <x:c r="F219" s="236"/>
      <x:c r="G219" s="236"/>
      <x:c r="H219" s="236"/>
      <x:c r="I219" s="236"/>
      <x:c r="J219" s="236"/>
      <x:c r="K219" s="236"/>
      <x:c r="L219" s="236"/>
      <x:c r="M219" s="236"/>
      <x:c r="N219" s="236"/>
      <x:c r="O219" s="236"/>
      <x:c r="P219" s="236"/>
      <x:c r="Q219" s="236"/>
      <x:c r="R219" s="236"/>
      <x:c r="S219" s="236"/>
      <x:c r="T219" s="236"/>
      <x:c r="U219" s="236"/>
      <x:c r="V219" s="236"/>
      <x:c r="W219" s="236"/>
      <x:c r="X219" s="236"/>
      <x:c r="Y219" s="236"/>
      <x:c r="Z219" s="236"/>
      <x:c r="AA219" s="236"/>
      <x:c r="AB219" s="236"/>
      <x:c r="AC219" s="236"/>
      <x:c r="AD219" s="236"/>
      <x:c r="AE219" s="236"/>
      <x:c r="AF219" s="236"/>
      <x:c r="AG219" s="236"/>
      <x:c r="AH219" s="236"/>
      <x:c r="AI219" s="236"/>
      <x:c r="AJ219" s="236"/>
      <x:c r="AK219" s="220">
        <x:f>+COUNTIF(F219:AJ219,"X")+COUNTIF(F219:AJ219,"E")</x:f>
      </x:c>
      <x:c r="AL219" s="221">
        <x:f>+COUNTIF(F219:AJ219,"R")+COUNTIF(F219:AJ219,"T")+COUNTIF(F219:AJ219,"İ")</x:f>
      </x:c>
      <x:c r="AM219" s="221">
        <x:f>+COUNTIF(F219:AJ219,"İ")</x:f>
      </x:c>
      <x:c r="AN219" s="222"/>
      <x:c r="AO219" s="222"/>
      <x:c r="AP219" s="228"/>
      <x:c r="AQ219" s="228"/>
      <x:c r="AR219" s="228"/>
      <x:c r="AS219" s="228"/>
      <x:c r="AT219" s="230"/>
    </x:row>
    <x:row r="220" spans="1:47" ht="15" customHeight="1" x14ac:dyDescent="0.25">
      <x:c r="A220" s="237"/>
      <x:c r="B220" s="216">
        <x:v>215</x:v>
      </x:c>
      <x:c r="C220" s="238"/>
      <x:c r="D220" s="239"/>
      <x:c r="E220" s="239"/>
      <x:c r="F220" s="219"/>
      <x:c r="G220" s="219"/>
      <x:c r="H220" s="219"/>
      <x:c r="I220" s="219"/>
      <x:c r="J220" s="219"/>
      <x:c r="K220" s="219"/>
      <x:c r="L220" s="219"/>
      <x:c r="M220" s="219"/>
      <x:c r="N220" s="219"/>
      <x:c r="O220" s="219"/>
      <x:c r="P220" s="219"/>
      <x:c r="Q220" s="219"/>
      <x:c r="R220" s="219"/>
      <x:c r="S220" s="219"/>
      <x:c r="T220" s="219"/>
      <x:c r="U220" s="219"/>
      <x:c r="V220" s="219"/>
      <x:c r="W220" s="219"/>
      <x:c r="X220" s="219"/>
      <x:c r="Y220" s="219"/>
      <x:c r="Z220" s="219"/>
      <x:c r="AA220" s="219"/>
      <x:c r="AB220" s="219"/>
      <x:c r="AC220" s="219"/>
      <x:c r="AD220" s="219"/>
      <x:c r="AE220" s="219"/>
      <x:c r="AF220" s="219"/>
      <x:c r="AG220" s="219"/>
      <x:c r="AH220" s="219"/>
      <x:c r="AI220" s="219"/>
      <x:c r="AJ220" s="219"/>
      <x:c r="AK220" s="220">
        <x:f>+COUNTIF(F220:AJ220,"X")+COUNTIF(F220:AJ220,"E")</x:f>
      </x:c>
      <x:c r="AL220" s="221">
        <x:f>+COUNTIF(F220:AJ220,"R")+COUNTIF(F220:AJ220,"T")+COUNTIF(F220:AJ220,"İ")</x:f>
      </x:c>
      <x:c r="AM220" s="221">
        <x:f>+COUNTIF(F220:AJ220,"İ")</x:f>
      </x:c>
      <x:c r="AN220" s="222"/>
      <x:c r="AO220" s="222"/>
      <x:c r="AP220" s="228"/>
      <x:c r="AQ220" s="228"/>
      <x:c r="AR220" s="228"/>
      <x:c r="AS220" s="228"/>
      <x:c r="AT220" s="230"/>
    </x:row>
    <x:row r="221" spans="1:47" ht="15" customHeight="1" x14ac:dyDescent="0.25">
      <x:c r="A221" s="237"/>
      <x:c r="B221" s="216">
        <x:v>216</x:v>
      </x:c>
      <x:c r="C221" s="238"/>
      <x:c r="D221" s="239"/>
      <x:c r="E221" s="239"/>
      <x:c r="F221" s="219"/>
      <x:c r="G221" s="219"/>
      <x:c r="H221" s="219"/>
      <x:c r="I221" s="219"/>
      <x:c r="J221" s="219"/>
      <x:c r="K221" s="219"/>
      <x:c r="L221" s="219"/>
      <x:c r="M221" s="219"/>
      <x:c r="N221" s="219"/>
      <x:c r="O221" s="219"/>
      <x:c r="P221" s="219"/>
      <x:c r="Q221" s="219"/>
      <x:c r="R221" s="219"/>
      <x:c r="S221" s="219"/>
      <x:c r="T221" s="219"/>
      <x:c r="U221" s="219"/>
      <x:c r="V221" s="219"/>
      <x:c r="W221" s="219"/>
      <x:c r="X221" s="219"/>
      <x:c r="Y221" s="219"/>
      <x:c r="Z221" s="219"/>
      <x:c r="AA221" s="219"/>
      <x:c r="AB221" s="219"/>
      <x:c r="AC221" s="219"/>
      <x:c r="AD221" s="219"/>
      <x:c r="AE221" s="219"/>
      <x:c r="AF221" s="219"/>
      <x:c r="AG221" s="219"/>
      <x:c r="AH221" s="219"/>
      <x:c r="AI221" s="219"/>
      <x:c r="AJ221" s="219"/>
      <x:c r="AK221" s="220">
        <x:f>+COUNTIF(F221:AJ221,"X")+COUNTIF(F221:AJ221,"E")</x:f>
      </x:c>
      <x:c r="AL221" s="221">
        <x:f>+COUNTIF(F221:AJ221,"R")+COUNTIF(F221:AJ221,"T")+COUNTIF(F221:AJ221,"İ")</x:f>
      </x:c>
      <x:c r="AM221" s="221">
        <x:f>+COUNTIF(F221:AJ221,"İ")</x:f>
      </x:c>
      <x:c r="AN221" s="222"/>
      <x:c r="AO221" s="222"/>
      <x:c r="AP221" s="228"/>
      <x:c r="AQ221" s="228"/>
      <x:c r="AR221" s="228"/>
      <x:c r="AS221" s="228"/>
      <x:c r="AT221" s="230"/>
    </x:row>
    <x:row r="222" spans="1:47" ht="15" customHeight="1" x14ac:dyDescent="0.25">
      <x:c r="A222" s="237"/>
      <x:c r="B222" s="216">
        <x:v>217</x:v>
      </x:c>
      <x:c r="C222" s="238"/>
      <x:c r="D222" s="239"/>
      <x:c r="E222" s="239"/>
      <x:c r="F222" s="219"/>
      <x:c r="G222" s="219"/>
      <x:c r="H222" s="219"/>
      <x:c r="I222" s="219"/>
      <x:c r="J222" s="219"/>
      <x:c r="K222" s="219"/>
      <x:c r="L222" s="219"/>
      <x:c r="M222" s="219"/>
      <x:c r="N222" s="219"/>
      <x:c r="O222" s="219"/>
      <x:c r="P222" s="219"/>
      <x:c r="Q222" s="219"/>
      <x:c r="R222" s="219"/>
      <x:c r="S222" s="219"/>
      <x:c r="T222" s="219"/>
      <x:c r="U222" s="219"/>
      <x:c r="V222" s="219"/>
      <x:c r="W222" s="219"/>
      <x:c r="X222" s="219"/>
      <x:c r="Y222" s="219"/>
      <x:c r="Z222" s="219"/>
      <x:c r="AA222" s="219"/>
      <x:c r="AB222" s="219"/>
      <x:c r="AC222" s="219"/>
      <x:c r="AD222" s="219"/>
      <x:c r="AE222" s="219"/>
      <x:c r="AF222" s="219"/>
      <x:c r="AG222" s="219"/>
      <x:c r="AH222" s="219"/>
      <x:c r="AI222" s="219"/>
      <x:c r="AJ222" s="219"/>
      <x:c r="AK222" s="220">
        <x:f>+COUNTIF(F222:AJ222,"X")+COUNTIF(F222:AJ222,"E")</x:f>
      </x:c>
      <x:c r="AL222" s="221">
        <x:f>+COUNTIF(F222:AJ222,"R")+COUNTIF(F222:AJ222,"T")+COUNTIF(F222:AJ222,"İ")</x:f>
      </x:c>
      <x:c r="AM222" s="221">
        <x:f>+COUNTIF(F222:AJ222,"İ")</x:f>
      </x:c>
      <x:c r="AN222" s="222"/>
      <x:c r="AO222" s="222"/>
      <x:c r="AP222" s="228"/>
      <x:c r="AQ222" s="228"/>
      <x:c r="AR222" s="228"/>
      <x:c r="AS222" s="228"/>
      <x:c r="AT222" s="230"/>
    </x:row>
    <x:row r="223" spans="1:47" ht="15" customHeight="1" x14ac:dyDescent="0.25">
      <x:c r="A223" s="237"/>
      <x:c r="B223" s="216">
        <x:v>218</x:v>
      </x:c>
      <x:c r="C223" s="238"/>
      <x:c r="D223" s="239"/>
      <x:c r="E223" s="239"/>
      <x:c r="F223" s="219"/>
      <x:c r="G223" s="219"/>
      <x:c r="H223" s="219"/>
      <x:c r="I223" s="219"/>
      <x:c r="J223" s="219"/>
      <x:c r="K223" s="219"/>
      <x:c r="L223" s="219"/>
      <x:c r="M223" s="219"/>
      <x:c r="N223" s="219"/>
      <x:c r="O223" s="219"/>
      <x:c r="P223" s="219"/>
      <x:c r="Q223" s="219"/>
      <x:c r="R223" s="219"/>
      <x:c r="S223" s="219"/>
      <x:c r="T223" s="219"/>
      <x:c r="U223" s="219"/>
      <x:c r="V223" s="219"/>
      <x:c r="W223" s="219"/>
      <x:c r="X223" s="219"/>
      <x:c r="Y223" s="219"/>
      <x:c r="Z223" s="219"/>
      <x:c r="AA223" s="219"/>
      <x:c r="AB223" s="219"/>
      <x:c r="AC223" s="219"/>
      <x:c r="AD223" s="219"/>
      <x:c r="AE223" s="219"/>
      <x:c r="AF223" s="219"/>
      <x:c r="AG223" s="219"/>
      <x:c r="AH223" s="219"/>
      <x:c r="AI223" s="219"/>
      <x:c r="AJ223" s="219"/>
      <x:c r="AK223" s="220">
        <x:f>+COUNTIF(F223:AJ223,"X")+COUNTIF(F223:AJ223,"E")</x:f>
      </x:c>
      <x:c r="AL223" s="221">
        <x:f>+COUNTIF(F223:AJ223,"R")+COUNTIF(F223:AJ223,"T")+COUNTIF(F223:AJ223,"İ")</x:f>
      </x:c>
      <x:c r="AM223" s="221">
        <x:f>+COUNTIF(F223:AJ223,"İ")</x:f>
      </x:c>
      <x:c r="AN223" s="222"/>
      <x:c r="AO223" s="222"/>
      <x:c r="AP223" s="228"/>
      <x:c r="AQ223" s="228"/>
      <x:c r="AR223" s="228"/>
      <x:c r="AS223" s="228"/>
      <x:c r="AT223" s="230"/>
    </x:row>
    <x:row r="224" spans="1:47" ht="15" customHeight="1" x14ac:dyDescent="0.25">
      <x:c r="A224" s="237"/>
      <x:c r="B224" s="216">
        <x:v>219</x:v>
      </x:c>
      <x:c r="C224" s="238"/>
      <x:c r="D224" s="239"/>
      <x:c r="E224" s="239"/>
      <x:c r="F224" s="236"/>
      <x:c r="G224" s="236"/>
      <x:c r="H224" s="236"/>
      <x:c r="I224" s="236"/>
      <x:c r="J224" s="236"/>
      <x:c r="K224" s="236"/>
      <x:c r="L224" s="236"/>
      <x:c r="M224" s="236"/>
      <x:c r="N224" s="236"/>
      <x:c r="O224" s="236"/>
      <x:c r="P224" s="236"/>
      <x:c r="Q224" s="236"/>
      <x:c r="R224" s="236"/>
      <x:c r="S224" s="236"/>
      <x:c r="T224" s="236"/>
      <x:c r="U224" s="236"/>
      <x:c r="V224" s="236"/>
      <x:c r="W224" s="236"/>
      <x:c r="X224" s="236"/>
      <x:c r="Y224" s="236"/>
      <x:c r="Z224" s="236"/>
      <x:c r="AA224" s="236"/>
      <x:c r="AB224" s="236"/>
      <x:c r="AC224" s="236"/>
      <x:c r="AD224" s="236"/>
      <x:c r="AE224" s="236"/>
      <x:c r="AF224" s="236"/>
      <x:c r="AG224" s="236"/>
      <x:c r="AH224" s="236"/>
      <x:c r="AI224" s="236"/>
      <x:c r="AJ224" s="236"/>
      <x:c r="AK224" s="220">
        <x:f>+COUNTIF(F224:AJ224,"X")+COUNTIF(F224:AJ224,"E")</x:f>
      </x:c>
      <x:c r="AL224" s="221">
        <x:f>+COUNTIF(F224:AJ224,"R")+COUNTIF(F224:AJ224,"T")+COUNTIF(F224:AJ224,"İ")</x:f>
      </x:c>
      <x:c r="AM224" s="221">
        <x:f>+COUNTIF(F224:AJ224,"İ")</x:f>
      </x:c>
      <x:c r="AN224" s="222"/>
      <x:c r="AO224" s="222"/>
      <x:c r="AP224" s="228"/>
      <x:c r="AQ224" s="228"/>
      <x:c r="AR224" s="228"/>
      <x:c r="AS224" s="228"/>
      <x:c r="AT224" s="230"/>
    </x:row>
    <x:row r="225" spans="1:47" ht="15" customHeight="1" x14ac:dyDescent="0.25">
      <x:c r="A225" s="237"/>
      <x:c r="B225" s="216">
        <x:v>220</x:v>
      </x:c>
      <x:c r="C225" s="238"/>
      <x:c r="D225" s="239"/>
      <x:c r="E225" s="239"/>
      <x:c r="F225" s="219"/>
      <x:c r="G225" s="219"/>
      <x:c r="H225" s="219"/>
      <x:c r="I225" s="219"/>
      <x:c r="J225" s="219"/>
      <x:c r="K225" s="219"/>
      <x:c r="L225" s="219"/>
      <x:c r="M225" s="219"/>
      <x:c r="N225" s="219"/>
      <x:c r="O225" s="219"/>
      <x:c r="P225" s="219"/>
      <x:c r="Q225" s="219"/>
      <x:c r="R225" s="219"/>
      <x:c r="S225" s="219"/>
      <x:c r="T225" s="219"/>
      <x:c r="U225" s="219"/>
      <x:c r="V225" s="219"/>
      <x:c r="W225" s="219"/>
      <x:c r="X225" s="219"/>
      <x:c r="Y225" s="219"/>
      <x:c r="Z225" s="219"/>
      <x:c r="AA225" s="219"/>
      <x:c r="AB225" s="219"/>
      <x:c r="AC225" s="219"/>
      <x:c r="AD225" s="219"/>
      <x:c r="AE225" s="219"/>
      <x:c r="AF225" s="219"/>
      <x:c r="AG225" s="219"/>
      <x:c r="AH225" s="219"/>
      <x:c r="AI225" s="219"/>
      <x:c r="AJ225" s="219"/>
      <x:c r="AK225" s="220">
        <x:f>+COUNTIF(F225:AJ225,"X")+COUNTIF(F225:AJ225,"E")</x:f>
      </x:c>
      <x:c r="AL225" s="221">
        <x:f>+COUNTIF(F225:AJ225,"R")+COUNTIF(F225:AJ225,"T")+COUNTIF(F225:AJ225,"İ")</x:f>
      </x:c>
      <x:c r="AM225" s="221">
        <x:f>+COUNTIF(F225:AJ225,"İ")</x:f>
      </x:c>
      <x:c r="AN225" s="222"/>
      <x:c r="AO225" s="222"/>
      <x:c r="AP225" s="228"/>
      <x:c r="AQ225" s="228"/>
      <x:c r="AR225" s="228"/>
      <x:c r="AS225" s="228"/>
      <x:c r="AT225" s="230"/>
    </x:row>
    <x:row r="226" spans="1:47" ht="15" customHeight="1" x14ac:dyDescent="0.25">
      <x:c r="A226" s="237"/>
      <x:c r="B226" s="216">
        <x:v>221</x:v>
      </x:c>
      <x:c r="C226" s="238"/>
      <x:c r="D226" s="239"/>
      <x:c r="E226" s="239"/>
      <x:c r="F226" s="236"/>
      <x:c r="G226" s="236"/>
      <x:c r="H226" s="236"/>
      <x:c r="I226" s="236"/>
      <x:c r="J226" s="236"/>
      <x:c r="K226" s="236"/>
      <x:c r="L226" s="236"/>
      <x:c r="M226" s="236"/>
      <x:c r="N226" s="236"/>
      <x:c r="O226" s="236"/>
      <x:c r="P226" s="236"/>
      <x:c r="Q226" s="236"/>
      <x:c r="R226" s="236"/>
      <x:c r="S226" s="236"/>
      <x:c r="T226" s="236"/>
      <x:c r="U226" s="236"/>
      <x:c r="V226" s="236"/>
      <x:c r="W226" s="236"/>
      <x:c r="X226" s="236"/>
      <x:c r="Y226" s="236"/>
      <x:c r="Z226" s="236"/>
      <x:c r="AA226" s="236"/>
      <x:c r="AB226" s="236"/>
      <x:c r="AC226" s="236"/>
      <x:c r="AD226" s="236"/>
      <x:c r="AE226" s="236"/>
      <x:c r="AF226" s="236"/>
      <x:c r="AG226" s="236"/>
      <x:c r="AH226" s="236"/>
      <x:c r="AI226" s="236"/>
      <x:c r="AJ226" s="236"/>
      <x:c r="AK226" s="220">
        <x:f>+COUNTIF(F226:AJ226,"X")+COUNTIF(F226:AJ226,"E")</x:f>
      </x:c>
      <x:c r="AL226" s="221">
        <x:f>+COUNTIF(F226:AJ226,"R")+COUNTIF(F226:AJ226,"T")+COUNTIF(F226:AJ226,"İ")</x:f>
      </x:c>
      <x:c r="AM226" s="221">
        <x:f>+COUNTIF(F226:AJ226,"İ")</x:f>
      </x:c>
      <x:c r="AN226" s="222"/>
      <x:c r="AO226" s="222"/>
      <x:c r="AP226" s="228"/>
      <x:c r="AQ226" s="228"/>
      <x:c r="AR226" s="228"/>
      <x:c r="AS226" s="228"/>
      <x:c r="AT226" s="230"/>
    </x:row>
    <x:row r="227" spans="1:47" ht="15" customHeight="1" x14ac:dyDescent="0.25">
      <x:c r="A227" s="237"/>
      <x:c r="B227" s="216">
        <x:v>222</x:v>
      </x:c>
      <x:c r="C227" s="238"/>
      <x:c r="D227" s="239"/>
      <x:c r="E227" s="239"/>
      <x:c r="F227" s="219"/>
      <x:c r="G227" s="219"/>
      <x:c r="H227" s="219"/>
      <x:c r="I227" s="219"/>
      <x:c r="J227" s="219"/>
      <x:c r="K227" s="219"/>
      <x:c r="L227" s="219"/>
      <x:c r="M227" s="219"/>
      <x:c r="N227" s="219"/>
      <x:c r="O227" s="219"/>
      <x:c r="P227" s="219"/>
      <x:c r="Q227" s="219"/>
      <x:c r="R227" s="219"/>
      <x:c r="S227" s="219"/>
      <x:c r="T227" s="219"/>
      <x:c r="U227" s="219"/>
      <x:c r="V227" s="219"/>
      <x:c r="W227" s="219"/>
      <x:c r="X227" s="219"/>
      <x:c r="Y227" s="219"/>
      <x:c r="Z227" s="219"/>
      <x:c r="AA227" s="219"/>
      <x:c r="AB227" s="219"/>
      <x:c r="AC227" s="219"/>
      <x:c r="AD227" s="219"/>
      <x:c r="AE227" s="219"/>
      <x:c r="AF227" s="219"/>
      <x:c r="AG227" s="219"/>
      <x:c r="AH227" s="219"/>
      <x:c r="AI227" s="219"/>
      <x:c r="AJ227" s="219"/>
      <x:c r="AK227" s="220">
        <x:f>+COUNTIF(F227:AJ227,"X")+COUNTIF(F227:AJ227,"E")</x:f>
      </x:c>
      <x:c r="AL227" s="221">
        <x:f>+COUNTIF(F227:AJ227,"R")+COUNTIF(F227:AJ227,"T")+COUNTIF(F227:AJ227,"İ")</x:f>
      </x:c>
      <x:c r="AM227" s="221">
        <x:f>+COUNTIF(F227:AJ227,"İ")</x:f>
      </x:c>
      <x:c r="AN227" s="222"/>
      <x:c r="AO227" s="222"/>
      <x:c r="AP227" s="228"/>
      <x:c r="AQ227" s="228"/>
      <x:c r="AR227" s="228"/>
      <x:c r="AS227" s="228"/>
      <x:c r="AT227" s="230"/>
    </x:row>
    <x:row r="228" spans="1:47" ht="15" customHeight="1" x14ac:dyDescent="0.25">
      <x:c r="A228" s="237"/>
      <x:c r="B228" s="216">
        <x:v>223</x:v>
      </x:c>
      <x:c r="C228" s="238"/>
      <x:c r="D228" s="239"/>
      <x:c r="E228" s="239"/>
      <x:c r="F228" s="219"/>
      <x:c r="G228" s="219"/>
      <x:c r="H228" s="219"/>
      <x:c r="I228" s="219"/>
      <x:c r="J228" s="219"/>
      <x:c r="K228" s="219"/>
      <x:c r="L228" s="219"/>
      <x:c r="M228" s="219"/>
      <x:c r="N228" s="219"/>
      <x:c r="O228" s="219"/>
      <x:c r="P228" s="219"/>
      <x:c r="Q228" s="219"/>
      <x:c r="R228" s="219"/>
      <x:c r="S228" s="219"/>
      <x:c r="T228" s="219"/>
      <x:c r="U228" s="219"/>
      <x:c r="V228" s="219"/>
      <x:c r="W228" s="219"/>
      <x:c r="X228" s="219"/>
      <x:c r="Y228" s="219"/>
      <x:c r="Z228" s="219"/>
      <x:c r="AA228" s="219"/>
      <x:c r="AB228" s="219"/>
      <x:c r="AC228" s="219"/>
      <x:c r="AD228" s="219"/>
      <x:c r="AE228" s="219"/>
      <x:c r="AF228" s="219"/>
      <x:c r="AG228" s="219"/>
      <x:c r="AH228" s="219"/>
      <x:c r="AI228" s="219"/>
      <x:c r="AJ228" s="219"/>
      <x:c r="AK228" s="220">
        <x:f>+COUNTIF(F228:AJ228,"X")+COUNTIF(F228:AJ228,"E")</x:f>
      </x:c>
      <x:c r="AL228" s="221">
        <x:f>+COUNTIF(F228:AJ228,"R")+COUNTIF(F228:AJ228,"T")+COUNTIF(F228:AJ228,"İ")</x:f>
      </x:c>
      <x:c r="AM228" s="221">
        <x:f>+COUNTIF(F228:AJ228,"İ")</x:f>
      </x:c>
      <x:c r="AN228" s="222"/>
      <x:c r="AO228" s="222"/>
      <x:c r="AP228" s="228"/>
      <x:c r="AQ228" s="228"/>
      <x:c r="AR228" s="228"/>
      <x:c r="AS228" s="228"/>
      <x:c r="AT228" s="230"/>
    </x:row>
    <x:row r="229" spans="1:47" ht="15" customHeight="1" x14ac:dyDescent="0.25">
      <x:c r="A229" s="237"/>
      <x:c r="B229" s="216">
        <x:v>224</x:v>
      </x:c>
      <x:c r="C229" s="238"/>
      <x:c r="D229" s="239"/>
      <x:c r="E229" s="239"/>
      <x:c r="F229" s="219"/>
      <x:c r="G229" s="219"/>
      <x:c r="H229" s="219"/>
      <x:c r="I229" s="219"/>
      <x:c r="J229" s="219"/>
      <x:c r="K229" s="219"/>
      <x:c r="L229" s="219"/>
      <x:c r="M229" s="219"/>
      <x:c r="N229" s="219"/>
      <x:c r="O229" s="219"/>
      <x:c r="P229" s="219"/>
      <x:c r="Q229" s="219"/>
      <x:c r="R229" s="219"/>
      <x:c r="S229" s="219"/>
      <x:c r="T229" s="219"/>
      <x:c r="U229" s="219"/>
      <x:c r="V229" s="219"/>
      <x:c r="W229" s="219"/>
      <x:c r="X229" s="219"/>
      <x:c r="Y229" s="219"/>
      <x:c r="Z229" s="219"/>
      <x:c r="AA229" s="219"/>
      <x:c r="AB229" s="219"/>
      <x:c r="AC229" s="219"/>
      <x:c r="AD229" s="219"/>
      <x:c r="AE229" s="219"/>
      <x:c r="AF229" s="219"/>
      <x:c r="AG229" s="219"/>
      <x:c r="AH229" s="219"/>
      <x:c r="AI229" s="219"/>
      <x:c r="AJ229" s="219"/>
      <x:c r="AK229" s="220">
        <x:f>+COUNTIF(F229:AJ229,"X")+COUNTIF(F229:AJ229,"E")</x:f>
      </x:c>
      <x:c r="AL229" s="221">
        <x:f>+COUNTIF(F229:AJ229,"R")+COUNTIF(F229:AJ229,"T")+COUNTIF(F229:AJ229,"İ")</x:f>
      </x:c>
      <x:c r="AM229" s="221">
        <x:f>+COUNTIF(F229:AJ229,"İ")</x:f>
      </x:c>
      <x:c r="AN229" s="222"/>
      <x:c r="AO229" s="222"/>
      <x:c r="AP229" s="228"/>
      <x:c r="AQ229" s="228"/>
      <x:c r="AR229" s="228"/>
      <x:c r="AS229" s="228"/>
      <x:c r="AT229" s="230"/>
    </x:row>
    <x:row r="230" spans="1:47" ht="15" customHeight="1" x14ac:dyDescent="0.25">
      <x:c r="A230" s="237"/>
      <x:c r="B230" s="216">
        <x:v>225</x:v>
      </x:c>
      <x:c r="C230" s="238"/>
      <x:c r="D230" s="239"/>
      <x:c r="E230" s="239"/>
      <x:c r="F230" s="219"/>
      <x:c r="G230" s="219"/>
      <x:c r="H230" s="219"/>
      <x:c r="I230" s="219"/>
      <x:c r="J230" s="219"/>
      <x:c r="K230" s="219"/>
      <x:c r="L230" s="219"/>
      <x:c r="M230" s="219"/>
      <x:c r="N230" s="219"/>
      <x:c r="O230" s="219"/>
      <x:c r="P230" s="219"/>
      <x:c r="Q230" s="219"/>
      <x:c r="R230" s="219"/>
      <x:c r="S230" s="219"/>
      <x:c r="T230" s="219"/>
      <x:c r="U230" s="219"/>
      <x:c r="V230" s="219"/>
      <x:c r="W230" s="219"/>
      <x:c r="X230" s="219"/>
      <x:c r="Y230" s="219"/>
      <x:c r="Z230" s="219"/>
      <x:c r="AA230" s="219"/>
      <x:c r="AB230" s="219"/>
      <x:c r="AC230" s="219"/>
      <x:c r="AD230" s="219"/>
      <x:c r="AE230" s="219"/>
      <x:c r="AF230" s="219"/>
      <x:c r="AG230" s="219"/>
      <x:c r="AH230" s="219"/>
      <x:c r="AI230" s="219"/>
      <x:c r="AJ230" s="219"/>
      <x:c r="AK230" s="220">
        <x:f>+COUNTIF(F230:AJ230,"X")+COUNTIF(F230:AJ230,"E")</x:f>
      </x:c>
      <x:c r="AL230" s="221">
        <x:f>+COUNTIF(F230:AJ230,"R")+COUNTIF(F230:AJ230,"T")+COUNTIF(F230:AJ230,"İ")</x:f>
      </x:c>
      <x:c r="AM230" s="221">
        <x:f>+COUNTIF(F230:AJ230,"İ")</x:f>
      </x:c>
      <x:c r="AN230" s="222"/>
      <x:c r="AO230" s="222"/>
      <x:c r="AP230" s="228"/>
      <x:c r="AQ230" s="228"/>
      <x:c r="AR230" s="228"/>
      <x:c r="AS230" s="228"/>
      <x:c r="AT230" s="233"/>
    </x:row>
    <x:row r="231" spans="1:47" ht="15" customHeight="1" x14ac:dyDescent="0.25">
      <x:c r="A231" s="237"/>
      <x:c r="B231" s="216">
        <x:v>226</x:v>
      </x:c>
      <x:c r="C231" s="238"/>
      <x:c r="D231" s="239"/>
      <x:c r="E231" s="239"/>
      <x:c r="F231" s="219"/>
      <x:c r="G231" s="219"/>
      <x:c r="H231" s="219"/>
      <x:c r="I231" s="219"/>
      <x:c r="J231" s="219"/>
      <x:c r="K231" s="219"/>
      <x:c r="L231" s="219"/>
      <x:c r="M231" s="219"/>
      <x:c r="N231" s="219"/>
      <x:c r="O231" s="219"/>
      <x:c r="P231" s="219"/>
      <x:c r="Q231" s="219"/>
      <x:c r="R231" s="219"/>
      <x:c r="S231" s="219"/>
      <x:c r="T231" s="219"/>
      <x:c r="U231" s="219"/>
      <x:c r="V231" s="219"/>
      <x:c r="W231" s="219"/>
      <x:c r="X231" s="219"/>
      <x:c r="Y231" s="219"/>
      <x:c r="Z231" s="219"/>
      <x:c r="AA231" s="219"/>
      <x:c r="AB231" s="219"/>
      <x:c r="AC231" s="219"/>
      <x:c r="AD231" s="219"/>
      <x:c r="AE231" s="219"/>
      <x:c r="AF231" s="219"/>
      <x:c r="AG231" s="219"/>
      <x:c r="AH231" s="219"/>
      <x:c r="AI231" s="219"/>
      <x:c r="AJ231" s="219"/>
      <x:c r="AK231" s="220">
        <x:f>+COUNTIF(F231:AJ231,"X")+COUNTIF(F231:AJ231,"E")</x:f>
      </x:c>
      <x:c r="AL231" s="221">
        <x:f>+COUNTIF(F231:AJ231,"R")+COUNTIF(F231:AJ231,"T")+COUNTIF(F231:AJ231,"İ")</x:f>
      </x:c>
      <x:c r="AM231" s="221">
        <x:f>+COUNTIF(F231:AJ231,"İ")</x:f>
      </x:c>
      <x:c r="AN231" s="222"/>
      <x:c r="AO231" s="222"/>
      <x:c r="AP231" s="228"/>
      <x:c r="AQ231" s="228"/>
      <x:c r="AR231" s="228"/>
      <x:c r="AS231" s="228"/>
      <x:c r="AT231" s="230"/>
    </x:row>
    <x:row r="232" spans="1:47" ht="15" customHeight="1" x14ac:dyDescent="0.25">
      <x:c r="A232" s="237"/>
      <x:c r="B232" s="216">
        <x:v>227</x:v>
      </x:c>
      <x:c r="C232" s="238"/>
      <x:c r="D232" s="239"/>
      <x:c r="E232" s="239"/>
      <x:c r="F232" s="219"/>
      <x:c r="G232" s="219"/>
      <x:c r="H232" s="219"/>
      <x:c r="I232" s="219"/>
      <x:c r="J232" s="219"/>
      <x:c r="K232" s="219"/>
      <x:c r="L232" s="219"/>
      <x:c r="M232" s="219"/>
      <x:c r="N232" s="219"/>
      <x:c r="O232" s="219"/>
      <x:c r="P232" s="219"/>
      <x:c r="Q232" s="219"/>
      <x:c r="R232" s="219"/>
      <x:c r="S232" s="219"/>
      <x:c r="T232" s="219"/>
      <x:c r="U232" s="219"/>
      <x:c r="V232" s="219"/>
      <x:c r="W232" s="219"/>
      <x:c r="X232" s="219"/>
      <x:c r="Y232" s="219"/>
      <x:c r="Z232" s="219"/>
      <x:c r="AA232" s="219"/>
      <x:c r="AB232" s="219"/>
      <x:c r="AC232" s="219"/>
      <x:c r="AD232" s="219"/>
      <x:c r="AE232" s="219"/>
      <x:c r="AF232" s="219"/>
      <x:c r="AG232" s="219"/>
      <x:c r="AH232" s="219"/>
      <x:c r="AI232" s="219"/>
      <x:c r="AJ232" s="219"/>
      <x:c r="AK232" s="220">
        <x:f>+COUNTIF(F232:AJ232,"X")+COUNTIF(F232:AJ232,"E")</x:f>
      </x:c>
      <x:c r="AL232" s="221">
        <x:f>+COUNTIF(F232:AJ232,"R")+COUNTIF(F232:AJ232,"T")+COUNTIF(F232:AJ232,"İ")</x:f>
      </x:c>
      <x:c r="AM232" s="221">
        <x:f>+COUNTIF(F232:AJ232,"İ")</x:f>
      </x:c>
      <x:c r="AN232" s="222"/>
      <x:c r="AO232" s="222"/>
      <x:c r="AP232" s="228"/>
      <x:c r="AQ232" s="228"/>
      <x:c r="AR232" s="228"/>
      <x:c r="AS232" s="228"/>
      <x:c r="AT232" s="230"/>
    </x:row>
    <x:row r="233" spans="1:47" ht="15" customHeight="1" x14ac:dyDescent="0.25">
      <x:c r="A233" s="237"/>
      <x:c r="B233" s="216">
        <x:v>228</x:v>
      </x:c>
      <x:c r="C233" s="238"/>
      <x:c r="D233" s="239"/>
      <x:c r="E233" s="239"/>
      <x:c r="F233" s="236"/>
      <x:c r="G233" s="236"/>
      <x:c r="H233" s="236"/>
      <x:c r="I233" s="236"/>
      <x:c r="J233" s="236"/>
      <x:c r="K233" s="236"/>
      <x:c r="L233" s="236"/>
      <x:c r="M233" s="236"/>
      <x:c r="N233" s="236"/>
      <x:c r="O233" s="236"/>
      <x:c r="P233" s="236"/>
      <x:c r="Q233" s="236"/>
      <x:c r="R233" s="236"/>
      <x:c r="S233" s="236"/>
      <x:c r="T233" s="236"/>
      <x:c r="U233" s="236"/>
      <x:c r="V233" s="236"/>
      <x:c r="W233" s="236"/>
      <x:c r="X233" s="236"/>
      <x:c r="Y233" s="236"/>
      <x:c r="Z233" s="236"/>
      <x:c r="AA233" s="236"/>
      <x:c r="AB233" s="236"/>
      <x:c r="AC233" s="236"/>
      <x:c r="AD233" s="236"/>
      <x:c r="AE233" s="236"/>
      <x:c r="AF233" s="236"/>
      <x:c r="AG233" s="236"/>
      <x:c r="AH233" s="236"/>
      <x:c r="AI233" s="236"/>
      <x:c r="AJ233" s="236"/>
      <x:c r="AK233" s="220">
        <x:f>+COUNTIF(F233:AJ233,"X")+COUNTIF(F233:AJ233,"E")</x:f>
      </x:c>
      <x:c r="AL233" s="221">
        <x:f>+COUNTIF(F233:AJ233,"R")+COUNTIF(F233:AJ233,"T")+COUNTIF(F233:AJ233,"İ")</x:f>
      </x:c>
      <x:c r="AM233" s="221">
        <x:f>+COUNTIF(F233:AJ233,"İ")</x:f>
      </x:c>
      <x:c r="AN233" s="222"/>
      <x:c r="AO233" s="222"/>
      <x:c r="AP233" s="228"/>
      <x:c r="AQ233" s="228"/>
      <x:c r="AR233" s="228"/>
      <x:c r="AS233" s="228"/>
      <x:c r="AT233" s="230"/>
    </x:row>
    <x:row r="234" spans="1:47" ht="15" customHeight="1" x14ac:dyDescent="0.25">
      <x:c r="A234" s="237"/>
      <x:c r="B234" s="216">
        <x:v>229</x:v>
      </x:c>
      <x:c r="C234" s="238"/>
      <x:c r="D234" s="239"/>
      <x:c r="E234" s="239"/>
      <x:c r="F234" s="236"/>
      <x:c r="G234" s="236"/>
      <x:c r="H234" s="236"/>
      <x:c r="I234" s="236"/>
      <x:c r="J234" s="236"/>
      <x:c r="K234" s="236"/>
      <x:c r="L234" s="236"/>
      <x:c r="M234" s="236"/>
      <x:c r="N234" s="236"/>
      <x:c r="O234" s="236"/>
      <x:c r="P234" s="236"/>
      <x:c r="Q234" s="236"/>
      <x:c r="R234" s="236"/>
      <x:c r="S234" s="236"/>
      <x:c r="T234" s="236"/>
      <x:c r="U234" s="236"/>
      <x:c r="V234" s="236"/>
      <x:c r="W234" s="236"/>
      <x:c r="X234" s="236"/>
      <x:c r="Y234" s="236"/>
      <x:c r="Z234" s="236"/>
      <x:c r="AA234" s="236"/>
      <x:c r="AB234" s="236"/>
      <x:c r="AC234" s="236"/>
      <x:c r="AD234" s="236"/>
      <x:c r="AE234" s="236"/>
      <x:c r="AF234" s="236"/>
      <x:c r="AG234" s="236"/>
      <x:c r="AH234" s="236"/>
      <x:c r="AI234" s="236"/>
      <x:c r="AJ234" s="236"/>
      <x:c r="AK234" s="220">
        <x:f>+COUNTIF(F234:AJ234,"X")+COUNTIF(F234:AJ234,"E")</x:f>
      </x:c>
      <x:c r="AL234" s="221">
        <x:f>+COUNTIF(F234:AJ234,"R")+COUNTIF(F234:AJ234,"T")+COUNTIF(F234:AJ234,"İ")</x:f>
      </x:c>
      <x:c r="AM234" s="221">
        <x:f>+COUNTIF(F234:AJ234,"İ")</x:f>
      </x:c>
      <x:c r="AN234" s="222"/>
      <x:c r="AO234" s="222"/>
      <x:c r="AP234" s="228"/>
      <x:c r="AQ234" s="228"/>
      <x:c r="AR234" s="228"/>
      <x:c r="AS234" s="228"/>
      <x:c r="AT234" s="230"/>
    </x:row>
    <x:row r="235" spans="1:47" ht="15" customHeight="1" x14ac:dyDescent="0.25">
      <x:c r="A235" s="237"/>
      <x:c r="B235" s="216">
        <x:v>230</x:v>
      </x:c>
      <x:c r="C235" s="238"/>
      <x:c r="D235" s="239"/>
      <x:c r="E235" s="239"/>
      <x:c r="F235" s="219"/>
      <x:c r="G235" s="219"/>
      <x:c r="H235" s="219"/>
      <x:c r="I235" s="219"/>
      <x:c r="J235" s="219"/>
      <x:c r="K235" s="219"/>
      <x:c r="L235" s="219"/>
      <x:c r="M235" s="219"/>
      <x:c r="N235" s="219"/>
      <x:c r="O235" s="219"/>
      <x:c r="P235" s="219"/>
      <x:c r="Q235" s="219"/>
      <x:c r="R235" s="219"/>
      <x:c r="S235" s="219"/>
      <x:c r="T235" s="219"/>
      <x:c r="U235" s="219"/>
      <x:c r="V235" s="219"/>
      <x:c r="W235" s="219"/>
      <x:c r="X235" s="219"/>
      <x:c r="Y235" s="219"/>
      <x:c r="Z235" s="219"/>
      <x:c r="AA235" s="219"/>
      <x:c r="AB235" s="219"/>
      <x:c r="AC235" s="219"/>
      <x:c r="AD235" s="219"/>
      <x:c r="AE235" s="219"/>
      <x:c r="AF235" s="219"/>
      <x:c r="AG235" s="219"/>
      <x:c r="AH235" s="219"/>
      <x:c r="AI235" s="219"/>
      <x:c r="AJ235" s="219"/>
      <x:c r="AK235" s="220">
        <x:f>+COUNTIF(F235:AJ235,"X")+COUNTIF(F235:AJ235,"E")</x:f>
      </x:c>
      <x:c r="AL235" s="221">
        <x:f>+COUNTIF(F235:AJ235,"R")+COUNTIF(F235:AJ235,"T")+COUNTIF(F235:AJ235,"İ")</x:f>
      </x:c>
      <x:c r="AM235" s="221">
        <x:f>+COUNTIF(F235:AJ235,"İ")</x:f>
      </x:c>
      <x:c r="AN235" s="222"/>
      <x:c r="AO235" s="222"/>
      <x:c r="AP235" s="228"/>
      <x:c r="AQ235" s="228"/>
      <x:c r="AR235" s="228"/>
      <x:c r="AS235" s="228"/>
      <x:c r="AT235" s="230"/>
    </x:row>
    <x:row r="236" spans="1:47" ht="15" customHeight="1" x14ac:dyDescent="0.25">
      <x:c r="A236" s="237"/>
      <x:c r="B236" s="216">
        <x:v>231</x:v>
      </x:c>
      <x:c r="C236" s="238"/>
      <x:c r="D236" s="239"/>
      <x:c r="E236" s="239"/>
      <x:c r="F236" s="236"/>
      <x:c r="G236" s="236"/>
      <x:c r="H236" s="236"/>
      <x:c r="I236" s="236"/>
      <x:c r="J236" s="236"/>
      <x:c r="K236" s="236"/>
      <x:c r="L236" s="236"/>
      <x:c r="M236" s="236"/>
      <x:c r="N236" s="236"/>
      <x:c r="O236" s="236"/>
      <x:c r="P236" s="236"/>
      <x:c r="Q236" s="236"/>
      <x:c r="R236" s="236"/>
      <x:c r="S236" s="236"/>
      <x:c r="T236" s="236"/>
      <x:c r="U236" s="236"/>
      <x:c r="V236" s="236"/>
      <x:c r="W236" s="236"/>
      <x:c r="X236" s="236"/>
      <x:c r="Y236" s="236"/>
      <x:c r="Z236" s="236"/>
      <x:c r="AA236" s="236"/>
      <x:c r="AB236" s="236"/>
      <x:c r="AC236" s="236"/>
      <x:c r="AD236" s="236"/>
      <x:c r="AE236" s="236"/>
      <x:c r="AF236" s="236"/>
      <x:c r="AG236" s="236"/>
      <x:c r="AH236" s="236"/>
      <x:c r="AI236" s="236"/>
      <x:c r="AJ236" s="236"/>
      <x:c r="AK236" s="220">
        <x:f>+COUNTIF(F236:AJ236,"X")+COUNTIF(F236:AJ236,"E")</x:f>
      </x:c>
      <x:c r="AL236" s="221">
        <x:f>+COUNTIF(F236:AJ236,"R")+COUNTIF(F236:AJ236,"T")+COUNTIF(F236:AJ236,"İ")</x:f>
      </x:c>
      <x:c r="AM236" s="221">
        <x:f>+COUNTIF(F236:AJ236,"İ")</x:f>
      </x:c>
      <x:c r="AN236" s="222"/>
      <x:c r="AO236" s="222"/>
      <x:c r="AP236" s="228"/>
      <x:c r="AQ236" s="228"/>
      <x:c r="AR236" s="228"/>
      <x:c r="AS236" s="228"/>
      <x:c r="AT236" s="230"/>
    </x:row>
    <x:row r="237" spans="1:47" ht="15" customHeight="1" x14ac:dyDescent="0.25">
      <x:c r="A237" s="237"/>
      <x:c r="B237" s="216">
        <x:v>232</x:v>
      </x:c>
      <x:c r="C237" s="238"/>
      <x:c r="D237" s="239"/>
      <x:c r="E237" s="239"/>
      <x:c r="F237" s="236"/>
      <x:c r="G237" s="236"/>
      <x:c r="H237" s="236"/>
      <x:c r="I237" s="236"/>
      <x:c r="J237" s="236"/>
      <x:c r="K237" s="236"/>
      <x:c r="L237" s="236"/>
      <x:c r="M237" s="236"/>
      <x:c r="N237" s="236"/>
      <x:c r="O237" s="236"/>
      <x:c r="P237" s="236"/>
      <x:c r="Q237" s="236"/>
      <x:c r="R237" s="236"/>
      <x:c r="S237" s="236"/>
      <x:c r="T237" s="236"/>
      <x:c r="U237" s="236"/>
      <x:c r="V237" s="236"/>
      <x:c r="W237" s="236"/>
      <x:c r="X237" s="236"/>
      <x:c r="Y237" s="236"/>
      <x:c r="Z237" s="236"/>
      <x:c r="AA237" s="236"/>
      <x:c r="AB237" s="236"/>
      <x:c r="AC237" s="236"/>
      <x:c r="AD237" s="236"/>
      <x:c r="AE237" s="236"/>
      <x:c r="AF237" s="236"/>
      <x:c r="AG237" s="236"/>
      <x:c r="AH237" s="236"/>
      <x:c r="AI237" s="236"/>
      <x:c r="AJ237" s="236"/>
      <x:c r="AK237" s="220">
        <x:f>+COUNTIF(F237:AJ237,"X")+COUNTIF(F237:AJ237,"E")</x:f>
      </x:c>
      <x:c r="AL237" s="221">
        <x:f>+COUNTIF(F237:AJ237,"R")+COUNTIF(F237:AJ237,"T")+COUNTIF(F237:AJ237,"İ")</x:f>
      </x:c>
      <x:c r="AM237" s="221">
        <x:f>+COUNTIF(F237:AJ237,"İ")</x:f>
      </x:c>
      <x:c r="AN237" s="222"/>
      <x:c r="AO237" s="222"/>
      <x:c r="AP237" s="228"/>
      <x:c r="AQ237" s="228"/>
      <x:c r="AR237" s="228"/>
      <x:c r="AS237" s="228"/>
      <x:c r="AT237" s="230"/>
    </x:row>
    <x:row r="238" spans="1:47" ht="15" customHeight="1" x14ac:dyDescent="0.25">
      <x:c r="A238" s="237"/>
      <x:c r="B238" s="216">
        <x:v>233</x:v>
      </x:c>
      <x:c r="C238" s="238"/>
      <x:c r="D238" s="239"/>
      <x:c r="E238" s="239"/>
      <x:c r="F238" s="219"/>
      <x:c r="G238" s="219"/>
      <x:c r="H238" s="219"/>
      <x:c r="I238" s="219"/>
      <x:c r="J238" s="219"/>
      <x:c r="K238" s="219"/>
      <x:c r="L238" s="219"/>
      <x:c r="M238" s="219"/>
      <x:c r="N238" s="219"/>
      <x:c r="O238" s="219"/>
      <x:c r="P238" s="219"/>
      <x:c r="Q238" s="219"/>
      <x:c r="R238" s="219"/>
      <x:c r="S238" s="219"/>
      <x:c r="T238" s="219"/>
      <x:c r="U238" s="219"/>
      <x:c r="V238" s="219"/>
      <x:c r="W238" s="219"/>
      <x:c r="X238" s="219"/>
      <x:c r="Y238" s="219"/>
      <x:c r="Z238" s="219"/>
      <x:c r="AA238" s="219"/>
      <x:c r="AB238" s="219"/>
      <x:c r="AC238" s="219"/>
      <x:c r="AD238" s="219"/>
      <x:c r="AE238" s="219"/>
      <x:c r="AF238" s="219"/>
      <x:c r="AG238" s="219"/>
      <x:c r="AH238" s="219"/>
      <x:c r="AI238" s="219"/>
      <x:c r="AJ238" s="219"/>
      <x:c r="AK238" s="220">
        <x:f>+COUNTIF(F238:AJ238,"X")+COUNTIF(F238:AJ238,"E")</x:f>
      </x:c>
      <x:c r="AL238" s="221">
        <x:f>+COUNTIF(F238:AJ238,"R")+COUNTIF(F238:AJ238,"T")+COUNTIF(F238:AJ238,"İ")</x:f>
      </x:c>
      <x:c r="AM238" s="221">
        <x:f>+COUNTIF(F238:AJ238,"İ")</x:f>
      </x:c>
      <x:c r="AN238" s="222"/>
      <x:c r="AO238" s="222"/>
      <x:c r="AP238" s="228"/>
      <x:c r="AQ238" s="228"/>
      <x:c r="AR238" s="228"/>
      <x:c r="AS238" s="228"/>
      <x:c r="AT238" s="230"/>
    </x:row>
    <x:row r="239" spans="1:47" ht="15" customHeight="1" x14ac:dyDescent="0.25">
      <x:c r="A239" s="237"/>
      <x:c r="B239" s="216">
        <x:v>234</x:v>
      </x:c>
      <x:c r="C239" s="238"/>
      <x:c r="D239" s="239"/>
      <x:c r="E239" s="239"/>
      <x:c r="F239" s="219"/>
      <x:c r="G239" s="219"/>
      <x:c r="H239" s="219"/>
      <x:c r="I239" s="219"/>
      <x:c r="J239" s="219"/>
      <x:c r="K239" s="219"/>
      <x:c r="L239" s="219"/>
      <x:c r="M239" s="219"/>
      <x:c r="N239" s="219"/>
      <x:c r="O239" s="219"/>
      <x:c r="P239" s="219"/>
      <x:c r="Q239" s="219"/>
      <x:c r="R239" s="219"/>
      <x:c r="S239" s="219"/>
      <x:c r="T239" s="219"/>
      <x:c r="U239" s="219"/>
      <x:c r="V239" s="219"/>
      <x:c r="W239" s="219"/>
      <x:c r="X239" s="219"/>
      <x:c r="Y239" s="219"/>
      <x:c r="Z239" s="219"/>
      <x:c r="AA239" s="219"/>
      <x:c r="AB239" s="219"/>
      <x:c r="AC239" s="219"/>
      <x:c r="AD239" s="219"/>
      <x:c r="AE239" s="219"/>
      <x:c r="AF239" s="219"/>
      <x:c r="AG239" s="219"/>
      <x:c r="AH239" s="219"/>
      <x:c r="AI239" s="219"/>
      <x:c r="AJ239" s="219"/>
      <x:c r="AK239" s="220">
        <x:f>+COUNTIF(F239:AJ239,"X")+COUNTIF(F239:AJ239,"E")</x:f>
      </x:c>
      <x:c r="AL239" s="221">
        <x:f>+COUNTIF(F239:AJ239,"R")+COUNTIF(F239:AJ239,"T")+COUNTIF(F239:AJ239,"İ")</x:f>
      </x:c>
      <x:c r="AM239" s="221">
        <x:f>+COUNTIF(F239:AJ239,"İ")</x:f>
      </x:c>
      <x:c r="AN239" s="222"/>
      <x:c r="AO239" s="222"/>
      <x:c r="AP239" s="228"/>
      <x:c r="AQ239" s="228"/>
      <x:c r="AR239" s="228"/>
      <x:c r="AS239" s="228"/>
      <x:c r="AT239" s="230"/>
    </x:row>
    <x:row r="240" spans="1:47" ht="15" customHeight="1" x14ac:dyDescent="0.25">
      <x:c r="A240" s="237"/>
      <x:c r="B240" s="216">
        <x:v>235</x:v>
      </x:c>
      <x:c r="C240" s="238"/>
      <x:c r="D240" s="239"/>
      <x:c r="E240" s="239"/>
      <x:c r="F240" s="236"/>
      <x:c r="G240" s="236"/>
      <x:c r="H240" s="236"/>
      <x:c r="I240" s="236"/>
      <x:c r="J240" s="236"/>
      <x:c r="K240" s="236"/>
      <x:c r="L240" s="236"/>
      <x:c r="M240" s="236"/>
      <x:c r="N240" s="236"/>
      <x:c r="O240" s="236"/>
      <x:c r="P240" s="236"/>
      <x:c r="Q240" s="236"/>
      <x:c r="R240" s="236"/>
      <x:c r="S240" s="236"/>
      <x:c r="T240" s="236"/>
      <x:c r="U240" s="236"/>
      <x:c r="V240" s="236"/>
      <x:c r="W240" s="236"/>
      <x:c r="X240" s="236"/>
      <x:c r="Y240" s="236"/>
      <x:c r="Z240" s="236"/>
      <x:c r="AA240" s="236"/>
      <x:c r="AB240" s="236"/>
      <x:c r="AC240" s="236"/>
      <x:c r="AD240" s="236"/>
      <x:c r="AE240" s="236"/>
      <x:c r="AF240" s="236"/>
      <x:c r="AG240" s="236"/>
      <x:c r="AH240" s="236"/>
      <x:c r="AI240" s="236"/>
      <x:c r="AJ240" s="236"/>
      <x:c r="AK240" s="220">
        <x:f>+COUNTIF(F240:AJ240,"X")+COUNTIF(F240:AJ240,"E")</x:f>
      </x:c>
      <x:c r="AL240" s="221">
        <x:f>+COUNTIF(F240:AJ240,"R")+COUNTIF(F240:AJ240,"T")+COUNTIF(F240:AJ240,"İ")</x:f>
      </x:c>
      <x:c r="AM240" s="221">
        <x:f>+COUNTIF(F240:AJ240,"İ")</x:f>
      </x:c>
      <x:c r="AN240" s="222"/>
      <x:c r="AO240" s="222"/>
      <x:c r="AP240" s="228"/>
      <x:c r="AQ240" s="228"/>
      <x:c r="AR240" s="228"/>
      <x:c r="AS240" s="228"/>
      <x:c r="AT240" s="233"/>
    </x:row>
    <x:row r="241" spans="1:47" ht="15" customHeight="1" x14ac:dyDescent="0.25">
      <x:c r="A241" s="237"/>
      <x:c r="B241" s="216">
        <x:v>236</x:v>
      </x:c>
      <x:c r="C241" s="238"/>
      <x:c r="D241" s="239"/>
      <x:c r="E241" s="239"/>
      <x:c r="F241" s="219"/>
      <x:c r="G241" s="219"/>
      <x:c r="H241" s="219"/>
      <x:c r="I241" s="219"/>
      <x:c r="J241" s="219"/>
      <x:c r="K241" s="219"/>
      <x:c r="L241" s="219"/>
      <x:c r="M241" s="219"/>
      <x:c r="N241" s="219"/>
      <x:c r="O241" s="219"/>
      <x:c r="P241" s="219"/>
      <x:c r="Q241" s="219"/>
      <x:c r="R241" s="219"/>
      <x:c r="S241" s="219"/>
      <x:c r="T241" s="219"/>
      <x:c r="U241" s="219"/>
      <x:c r="V241" s="219"/>
      <x:c r="W241" s="219"/>
      <x:c r="X241" s="219"/>
      <x:c r="Y241" s="219"/>
      <x:c r="Z241" s="219"/>
      <x:c r="AA241" s="219"/>
      <x:c r="AB241" s="219"/>
      <x:c r="AC241" s="219"/>
      <x:c r="AD241" s="219"/>
      <x:c r="AE241" s="219"/>
      <x:c r="AF241" s="219"/>
      <x:c r="AG241" s="219"/>
      <x:c r="AH241" s="219"/>
      <x:c r="AI241" s="219"/>
      <x:c r="AJ241" s="219"/>
      <x:c r="AK241" s="220">
        <x:f>+COUNTIF(F241:AJ241,"X")+COUNTIF(F241:AJ241,"E")</x:f>
      </x:c>
      <x:c r="AL241" s="221">
        <x:f>+COUNTIF(F241:AJ241,"R")+COUNTIF(F241:AJ241,"T")+COUNTIF(F241:AJ241,"İ")</x:f>
      </x:c>
      <x:c r="AM241" s="221">
        <x:f>+COUNTIF(F241:AJ241,"İ")</x:f>
      </x:c>
      <x:c r="AN241" s="222"/>
      <x:c r="AO241" s="222"/>
      <x:c r="AP241" s="228"/>
      <x:c r="AQ241" s="228"/>
      <x:c r="AR241" s="228"/>
      <x:c r="AS241" s="228"/>
      <x:c r="AT241" s="230"/>
    </x:row>
    <x:row r="242" spans="1:47" ht="15" customHeight="1" x14ac:dyDescent="0.25">
      <x:c r="A242" s="237"/>
      <x:c r="B242" s="216">
        <x:v>237</x:v>
      </x:c>
      <x:c r="C242" s="238"/>
      <x:c r="D242" s="239"/>
      <x:c r="E242" s="239"/>
      <x:c r="F242" s="236"/>
      <x:c r="G242" s="236"/>
      <x:c r="H242" s="236"/>
      <x:c r="I242" s="236"/>
      <x:c r="J242" s="236"/>
      <x:c r="K242" s="236"/>
      <x:c r="L242" s="236"/>
      <x:c r="M242" s="236"/>
      <x:c r="N242" s="236"/>
      <x:c r="O242" s="236"/>
      <x:c r="P242" s="236"/>
      <x:c r="Q242" s="236"/>
      <x:c r="R242" s="236"/>
      <x:c r="S242" s="236"/>
      <x:c r="T242" s="236"/>
      <x:c r="U242" s="236"/>
      <x:c r="V242" s="236"/>
      <x:c r="W242" s="236"/>
      <x:c r="X242" s="236"/>
      <x:c r="Y242" s="236"/>
      <x:c r="Z242" s="236"/>
      <x:c r="AA242" s="236"/>
      <x:c r="AB242" s="236"/>
      <x:c r="AC242" s="236"/>
      <x:c r="AD242" s="236"/>
      <x:c r="AE242" s="236"/>
      <x:c r="AF242" s="236"/>
      <x:c r="AG242" s="236"/>
      <x:c r="AH242" s="236"/>
      <x:c r="AI242" s="236"/>
      <x:c r="AJ242" s="236"/>
      <x:c r="AK242" s="220">
        <x:f>+COUNTIF(F242:AJ242,"X")+COUNTIF(F242:AJ242,"E")</x:f>
      </x:c>
      <x:c r="AL242" s="221">
        <x:f>+COUNTIF(F242:AJ242,"R")+COUNTIF(F242:AJ242,"T")+COUNTIF(F242:AJ242,"İ")</x:f>
      </x:c>
      <x:c r="AM242" s="221">
        <x:f>+COUNTIF(F242:AJ242,"İ")</x:f>
      </x:c>
      <x:c r="AN242" s="222"/>
      <x:c r="AO242" s="222"/>
      <x:c r="AP242" s="228"/>
      <x:c r="AQ242" s="228"/>
      <x:c r="AR242" s="228"/>
      <x:c r="AS242" s="228"/>
      <x:c r="AT242" s="230"/>
    </x:row>
    <x:row r="243" spans="1:47" ht="15" customHeight="1" x14ac:dyDescent="0.25">
      <x:c r="A243" s="237"/>
      <x:c r="B243" s="216">
        <x:v>238</x:v>
      </x:c>
      <x:c r="C243" s="238"/>
      <x:c r="D243" s="239"/>
      <x:c r="E243" s="239"/>
      <x:c r="F243" s="219"/>
      <x:c r="G243" s="219"/>
      <x:c r="H243" s="219"/>
      <x:c r="I243" s="219"/>
      <x:c r="J243" s="219"/>
      <x:c r="K243" s="219"/>
      <x:c r="L243" s="219"/>
      <x:c r="M243" s="219"/>
      <x:c r="N243" s="219"/>
      <x:c r="O243" s="219"/>
      <x:c r="P243" s="219"/>
      <x:c r="Q243" s="219"/>
      <x:c r="R243" s="219"/>
      <x:c r="S243" s="219"/>
      <x:c r="T243" s="219"/>
      <x:c r="U243" s="219"/>
      <x:c r="V243" s="219"/>
      <x:c r="W243" s="219"/>
      <x:c r="X243" s="219"/>
      <x:c r="Y243" s="219"/>
      <x:c r="Z243" s="219"/>
      <x:c r="AA243" s="219"/>
      <x:c r="AB243" s="219"/>
      <x:c r="AC243" s="219"/>
      <x:c r="AD243" s="219"/>
      <x:c r="AE243" s="219"/>
      <x:c r="AF243" s="219"/>
      <x:c r="AG243" s="219"/>
      <x:c r="AH243" s="219"/>
      <x:c r="AI243" s="219"/>
      <x:c r="AJ243" s="219"/>
      <x:c r="AK243" s="220">
        <x:f>+COUNTIF(F243:AJ243,"X")+COUNTIF(F243:AJ243,"E")</x:f>
      </x:c>
      <x:c r="AL243" s="221">
        <x:f>+COUNTIF(F243:AJ243,"R")+COUNTIF(F243:AJ243,"T")+COUNTIF(F243:AJ243,"İ")</x:f>
      </x:c>
      <x:c r="AM243" s="221">
        <x:f>+COUNTIF(F243:AJ243,"İ")</x:f>
      </x:c>
      <x:c r="AN243" s="222"/>
      <x:c r="AO243" s="222"/>
      <x:c r="AP243" s="228"/>
      <x:c r="AQ243" s="228"/>
      <x:c r="AR243" s="228"/>
      <x:c r="AS243" s="228"/>
      <x:c r="AT243" s="230"/>
    </x:row>
    <x:row r="244" spans="1:47" ht="15" customHeight="1" x14ac:dyDescent="0.25">
      <x:c r="A244" s="237"/>
      <x:c r="B244" s="216">
        <x:v>239</x:v>
      </x:c>
      <x:c r="C244" s="238"/>
      <x:c r="D244" s="239"/>
      <x:c r="E244" s="239"/>
      <x:c r="F244" s="236"/>
      <x:c r="G244" s="236"/>
      <x:c r="H244" s="236"/>
      <x:c r="I244" s="236"/>
      <x:c r="J244" s="236"/>
      <x:c r="K244" s="236"/>
      <x:c r="L244" s="236"/>
      <x:c r="M244" s="236"/>
      <x:c r="N244" s="236"/>
      <x:c r="O244" s="236"/>
      <x:c r="P244" s="236"/>
      <x:c r="Q244" s="236"/>
      <x:c r="R244" s="236"/>
      <x:c r="S244" s="236"/>
      <x:c r="T244" s="236"/>
      <x:c r="U244" s="236"/>
      <x:c r="V244" s="236"/>
      <x:c r="W244" s="236"/>
      <x:c r="X244" s="236"/>
      <x:c r="Y244" s="236"/>
      <x:c r="Z244" s="236"/>
      <x:c r="AA244" s="236"/>
      <x:c r="AB244" s="236"/>
      <x:c r="AC244" s="236"/>
      <x:c r="AD244" s="236"/>
      <x:c r="AE244" s="236"/>
      <x:c r="AF244" s="236"/>
      <x:c r="AG244" s="236"/>
      <x:c r="AH244" s="236"/>
      <x:c r="AI244" s="236"/>
      <x:c r="AJ244" s="236"/>
      <x:c r="AK244" s="220">
        <x:f>+COUNTIF(F244:AJ244,"X")+COUNTIF(F244:AJ244,"E")</x:f>
      </x:c>
      <x:c r="AL244" s="221">
        <x:f>+COUNTIF(F244:AJ244,"R")+COUNTIF(F244:AJ244,"T")+COUNTIF(F244:AJ244,"İ")</x:f>
      </x:c>
      <x:c r="AM244" s="221">
        <x:f>+COUNTIF(F244:AJ244,"İ")</x:f>
      </x:c>
      <x:c r="AN244" s="222"/>
      <x:c r="AO244" s="222"/>
      <x:c r="AP244" s="228"/>
      <x:c r="AQ244" s="228"/>
      <x:c r="AR244" s="228"/>
      <x:c r="AS244" s="228"/>
      <x:c r="AT244" s="230"/>
    </x:row>
    <x:row r="245" spans="1:47" ht="15" customHeight="1" x14ac:dyDescent="0.25">
      <x:c r="A245" s="237"/>
      <x:c r="B245" s="216">
        <x:v>240</x:v>
      </x:c>
      <x:c r="C245" s="238"/>
      <x:c r="D245" s="239"/>
      <x:c r="E245" s="239"/>
      <x:c r="F245" s="219"/>
      <x:c r="G245" s="219"/>
      <x:c r="H245" s="219"/>
      <x:c r="I245" s="219"/>
      <x:c r="J245" s="219"/>
      <x:c r="K245" s="219"/>
      <x:c r="L245" s="219"/>
      <x:c r="M245" s="219"/>
      <x:c r="N245" s="219"/>
      <x:c r="O245" s="219"/>
      <x:c r="P245" s="219"/>
      <x:c r="Q245" s="219"/>
      <x:c r="R245" s="219"/>
      <x:c r="S245" s="219"/>
      <x:c r="T245" s="219"/>
      <x:c r="U245" s="219"/>
      <x:c r="V245" s="219"/>
      <x:c r="W245" s="219"/>
      <x:c r="X245" s="219"/>
      <x:c r="Y245" s="219"/>
      <x:c r="Z245" s="219"/>
      <x:c r="AA245" s="219"/>
      <x:c r="AB245" s="219"/>
      <x:c r="AC245" s="219"/>
      <x:c r="AD245" s="219"/>
      <x:c r="AE245" s="219"/>
      <x:c r="AF245" s="219"/>
      <x:c r="AG245" s="219"/>
      <x:c r="AH245" s="219"/>
      <x:c r="AI245" s="219"/>
      <x:c r="AJ245" s="219"/>
      <x:c r="AK245" s="220">
        <x:f>+COUNTIF(F245:AJ245,"X")+COUNTIF(F245:AJ245,"E")</x:f>
      </x:c>
      <x:c r="AL245" s="221">
        <x:f>+COUNTIF(F245:AJ245,"R")+COUNTIF(F245:AJ245,"T")+COUNTIF(F245:AJ245,"İ")</x:f>
      </x:c>
      <x:c r="AM245" s="221">
        <x:f>+COUNTIF(F245:AJ245,"İ")</x:f>
      </x:c>
      <x:c r="AN245" s="222"/>
      <x:c r="AO245" s="222"/>
      <x:c r="AP245" s="228"/>
      <x:c r="AQ245" s="228"/>
      <x:c r="AR245" s="228"/>
      <x:c r="AS245" s="228"/>
      <x:c r="AT245" s="230"/>
    </x:row>
    <x:row r="246" spans="1:47" ht="15" customHeight="1" x14ac:dyDescent="0.25">
      <x:c r="A246" s="237"/>
      <x:c r="B246" s="216">
        <x:v>241</x:v>
      </x:c>
      <x:c r="C246" s="238"/>
      <x:c r="D246" s="239"/>
      <x:c r="E246" s="239"/>
      <x:c r="F246" s="236"/>
      <x:c r="G246" s="236"/>
      <x:c r="H246" s="236"/>
      <x:c r="I246" s="236"/>
      <x:c r="J246" s="236"/>
      <x:c r="K246" s="236"/>
      <x:c r="L246" s="236"/>
      <x:c r="M246" s="236"/>
      <x:c r="N246" s="236"/>
      <x:c r="O246" s="236"/>
      <x:c r="P246" s="236"/>
      <x:c r="Q246" s="236"/>
      <x:c r="R246" s="236"/>
      <x:c r="S246" s="236"/>
      <x:c r="T246" s="236"/>
      <x:c r="U246" s="236"/>
      <x:c r="V246" s="236"/>
      <x:c r="W246" s="236"/>
      <x:c r="X246" s="236"/>
      <x:c r="Y246" s="236"/>
      <x:c r="Z246" s="236"/>
      <x:c r="AA246" s="236"/>
      <x:c r="AB246" s="236"/>
      <x:c r="AC246" s="236"/>
      <x:c r="AD246" s="236"/>
      <x:c r="AE246" s="236"/>
      <x:c r="AF246" s="236"/>
      <x:c r="AG246" s="236"/>
      <x:c r="AH246" s="236"/>
      <x:c r="AI246" s="236"/>
      <x:c r="AJ246" s="236"/>
      <x:c r="AK246" s="220">
        <x:f>+COUNTIF(F246:AJ246,"X")+COUNTIF(F246:AJ246,"E")</x:f>
      </x:c>
      <x:c r="AL246" s="221">
        <x:f>+COUNTIF(F246:AJ246,"R")+COUNTIF(F246:AJ246,"T")+COUNTIF(F246:AJ246,"İ")</x:f>
      </x:c>
      <x:c r="AM246" s="221">
        <x:f>+COUNTIF(F246:AJ246,"İ")</x:f>
      </x:c>
      <x:c r="AN246" s="222"/>
      <x:c r="AO246" s="222"/>
      <x:c r="AP246" s="228"/>
      <x:c r="AQ246" s="228"/>
      <x:c r="AR246" s="228"/>
      <x:c r="AS246" s="228"/>
      <x:c r="AT246" s="230"/>
    </x:row>
    <x:row r="247" spans="1:47" ht="15" customHeight="1" x14ac:dyDescent="0.25">
      <x:c r="A247" s="237"/>
      <x:c r="B247" s="216">
        <x:v>242</x:v>
      </x:c>
      <x:c r="C247" s="238"/>
      <x:c r="D247" s="239"/>
      <x:c r="E247" s="239"/>
      <x:c r="F247" s="236"/>
      <x:c r="G247" s="236"/>
      <x:c r="H247" s="236"/>
      <x:c r="I247" s="236"/>
      <x:c r="J247" s="236"/>
      <x:c r="K247" s="236"/>
      <x:c r="L247" s="236"/>
      <x:c r="M247" s="236"/>
      <x:c r="N247" s="236"/>
      <x:c r="O247" s="236"/>
      <x:c r="P247" s="236"/>
      <x:c r="Q247" s="236"/>
      <x:c r="R247" s="236"/>
      <x:c r="S247" s="236"/>
      <x:c r="T247" s="236"/>
      <x:c r="U247" s="236"/>
      <x:c r="V247" s="236"/>
      <x:c r="W247" s="236"/>
      <x:c r="X247" s="236"/>
      <x:c r="Y247" s="236"/>
      <x:c r="Z247" s="236"/>
      <x:c r="AA247" s="236"/>
      <x:c r="AB247" s="236"/>
      <x:c r="AC247" s="236"/>
      <x:c r="AD247" s="236"/>
      <x:c r="AE247" s="236"/>
      <x:c r="AF247" s="236"/>
      <x:c r="AG247" s="236"/>
      <x:c r="AH247" s="236"/>
      <x:c r="AI247" s="236"/>
      <x:c r="AJ247" s="236"/>
      <x:c r="AK247" s="220">
        <x:f>+COUNTIF(F247:AJ247,"X")+COUNTIF(F247:AJ247,"E")</x:f>
      </x:c>
      <x:c r="AL247" s="221">
        <x:f>+COUNTIF(F247:AJ247,"R")+COUNTIF(F247:AJ247,"T")+COUNTIF(F247:AJ247,"İ")</x:f>
      </x:c>
      <x:c r="AM247" s="221">
        <x:f>+COUNTIF(F247:AJ247,"İ")</x:f>
      </x:c>
      <x:c r="AN247" s="222"/>
      <x:c r="AO247" s="222"/>
      <x:c r="AP247" s="228"/>
      <x:c r="AQ247" s="228"/>
      <x:c r="AR247" s="228"/>
      <x:c r="AS247" s="228"/>
      <x:c r="AT247" s="230"/>
    </x:row>
    <x:row r="248" spans="1:47" ht="15" customHeight="1" x14ac:dyDescent="0.25">
      <x:c r="A248" s="237"/>
      <x:c r="B248" s="216">
        <x:v>243</x:v>
      </x:c>
      <x:c r="C248" s="238"/>
      <x:c r="D248" s="239"/>
      <x:c r="E248" s="239"/>
      <x:c r="F248" s="236"/>
      <x:c r="G248" s="236"/>
      <x:c r="H248" s="236"/>
      <x:c r="I248" s="236"/>
      <x:c r="J248" s="236"/>
      <x:c r="K248" s="236"/>
      <x:c r="L248" s="236"/>
      <x:c r="M248" s="236"/>
      <x:c r="N248" s="236"/>
      <x:c r="O248" s="236"/>
      <x:c r="P248" s="236"/>
      <x:c r="Q248" s="236"/>
      <x:c r="R248" s="236"/>
      <x:c r="S248" s="236"/>
      <x:c r="T248" s="236"/>
      <x:c r="U248" s="236"/>
      <x:c r="V248" s="236"/>
      <x:c r="W248" s="236"/>
      <x:c r="X248" s="236"/>
      <x:c r="Y248" s="236"/>
      <x:c r="Z248" s="236"/>
      <x:c r="AA248" s="236"/>
      <x:c r="AB248" s="236"/>
      <x:c r="AC248" s="236"/>
      <x:c r="AD248" s="236"/>
      <x:c r="AE248" s="236"/>
      <x:c r="AF248" s="236"/>
      <x:c r="AG248" s="236"/>
      <x:c r="AH248" s="236"/>
      <x:c r="AI248" s="236"/>
      <x:c r="AJ248" s="236"/>
      <x:c r="AK248" s="220">
        <x:f>+COUNTIF(F248:AJ248,"X")+COUNTIF(F248:AJ248,"E")</x:f>
      </x:c>
      <x:c r="AL248" s="221">
        <x:f>+COUNTIF(F248:AJ248,"R")+COUNTIF(F248:AJ248,"T")+COUNTIF(F248:AJ248,"İ")</x:f>
      </x:c>
      <x:c r="AM248" s="221">
        <x:f>+COUNTIF(F248:AJ248,"İ")</x:f>
      </x:c>
      <x:c r="AN248" s="222"/>
      <x:c r="AO248" s="222"/>
      <x:c r="AP248" s="228"/>
      <x:c r="AQ248" s="228"/>
      <x:c r="AR248" s="228"/>
      <x:c r="AS248" s="228"/>
      <x:c r="AT248" s="230"/>
    </x:row>
    <x:row r="249" spans="1:47" ht="15" customHeight="1" x14ac:dyDescent="0.25">
      <x:c r="A249" s="237"/>
      <x:c r="B249" s="216">
        <x:v>244</x:v>
      </x:c>
      <x:c r="C249" s="238"/>
      <x:c r="D249" s="239"/>
      <x:c r="E249" s="239"/>
      <x:c r="F249" s="219"/>
      <x:c r="G249" s="219"/>
      <x:c r="H249" s="219"/>
      <x:c r="I249" s="219"/>
      <x:c r="J249" s="219"/>
      <x:c r="K249" s="219"/>
      <x:c r="L249" s="219"/>
      <x:c r="M249" s="219"/>
      <x:c r="N249" s="219"/>
      <x:c r="O249" s="219"/>
      <x:c r="P249" s="219"/>
      <x:c r="Q249" s="219"/>
      <x:c r="R249" s="219"/>
      <x:c r="S249" s="219"/>
      <x:c r="T249" s="219"/>
      <x:c r="U249" s="219"/>
      <x:c r="V249" s="219"/>
      <x:c r="W249" s="219"/>
      <x:c r="X249" s="219"/>
      <x:c r="Y249" s="219"/>
      <x:c r="Z249" s="219"/>
      <x:c r="AA249" s="219"/>
      <x:c r="AB249" s="219"/>
      <x:c r="AC249" s="219"/>
      <x:c r="AD249" s="219"/>
      <x:c r="AE249" s="219"/>
      <x:c r="AF249" s="219"/>
      <x:c r="AG249" s="219"/>
      <x:c r="AH249" s="219"/>
      <x:c r="AI249" s="219"/>
      <x:c r="AJ249" s="219"/>
      <x:c r="AK249" s="220">
        <x:f>+COUNTIF(F249:AJ249,"X")+COUNTIF(F249:AJ249,"E")</x:f>
      </x:c>
      <x:c r="AL249" s="221">
        <x:f>+COUNTIF(F249:AJ249,"R")+COUNTIF(F249:AJ249,"T")+COUNTIF(F249:AJ249,"İ")</x:f>
      </x:c>
      <x:c r="AM249" s="221">
        <x:f>+COUNTIF(F249:AJ249,"İ")</x:f>
      </x:c>
      <x:c r="AN249" s="222"/>
      <x:c r="AO249" s="222"/>
      <x:c r="AP249" s="228"/>
      <x:c r="AQ249" s="228"/>
      <x:c r="AR249" s="228"/>
      <x:c r="AS249" s="228"/>
      <x:c r="AT249" s="230"/>
    </x:row>
    <x:row r="250" spans="1:47" ht="15" customHeight="1" x14ac:dyDescent="0.25">
      <x:c r="A250" s="237"/>
      <x:c r="B250" s="216">
        <x:v>245</x:v>
      </x:c>
      <x:c r="C250" s="238"/>
      <x:c r="D250" s="239"/>
      <x:c r="E250" s="239"/>
      <x:c r="F250" s="219"/>
      <x:c r="G250" s="219"/>
      <x:c r="H250" s="219"/>
      <x:c r="I250" s="219"/>
      <x:c r="J250" s="219"/>
      <x:c r="K250" s="219"/>
      <x:c r="L250" s="219"/>
      <x:c r="M250" s="219"/>
      <x:c r="N250" s="219"/>
      <x:c r="O250" s="219"/>
      <x:c r="P250" s="219"/>
      <x:c r="Q250" s="219"/>
      <x:c r="R250" s="219"/>
      <x:c r="S250" s="219"/>
      <x:c r="T250" s="219"/>
      <x:c r="U250" s="219"/>
      <x:c r="V250" s="219"/>
      <x:c r="W250" s="219"/>
      <x:c r="X250" s="219"/>
      <x:c r="Y250" s="219"/>
      <x:c r="Z250" s="219"/>
      <x:c r="AA250" s="219"/>
      <x:c r="AB250" s="219"/>
      <x:c r="AC250" s="219"/>
      <x:c r="AD250" s="219"/>
      <x:c r="AE250" s="219"/>
      <x:c r="AF250" s="219"/>
      <x:c r="AG250" s="219"/>
      <x:c r="AH250" s="219"/>
      <x:c r="AI250" s="219"/>
      <x:c r="AJ250" s="219"/>
      <x:c r="AK250" s="220">
        <x:f>+COUNTIF(F250:AJ250,"X")+COUNTIF(F250:AJ250,"E")</x:f>
      </x:c>
      <x:c r="AL250" s="221">
        <x:f>+COUNTIF(F250:AJ250,"R")+COUNTIF(F250:AJ250,"T")+COUNTIF(F250:AJ250,"İ")</x:f>
      </x:c>
      <x:c r="AM250" s="221">
        <x:f>+COUNTIF(F250:AJ250,"İ")</x:f>
      </x:c>
      <x:c r="AN250" s="222"/>
      <x:c r="AO250" s="222"/>
      <x:c r="AP250" s="228"/>
      <x:c r="AQ250" s="228"/>
      <x:c r="AR250" s="228"/>
      <x:c r="AS250" s="228"/>
      <x:c r="AT250" s="230"/>
    </x:row>
    <x:row r="251" spans="1:47" ht="15" customHeight="1" x14ac:dyDescent="0.25">
      <x:c r="A251" s="237"/>
      <x:c r="B251" s="216">
        <x:v>246</x:v>
      </x:c>
      <x:c r="C251" s="238"/>
      <x:c r="D251" s="239"/>
      <x:c r="E251" s="239"/>
      <x:c r="F251" s="236"/>
      <x:c r="G251" s="236"/>
      <x:c r="H251" s="236"/>
      <x:c r="I251" s="236"/>
      <x:c r="J251" s="236"/>
      <x:c r="K251" s="236"/>
      <x:c r="L251" s="236"/>
      <x:c r="M251" s="236"/>
      <x:c r="N251" s="236"/>
      <x:c r="O251" s="236"/>
      <x:c r="P251" s="236"/>
      <x:c r="Q251" s="236"/>
      <x:c r="R251" s="236"/>
      <x:c r="S251" s="236"/>
      <x:c r="T251" s="236"/>
      <x:c r="U251" s="236"/>
      <x:c r="V251" s="236"/>
      <x:c r="W251" s="236"/>
      <x:c r="X251" s="236"/>
      <x:c r="Y251" s="236"/>
      <x:c r="Z251" s="236"/>
      <x:c r="AA251" s="236"/>
      <x:c r="AB251" s="236"/>
      <x:c r="AC251" s="236"/>
      <x:c r="AD251" s="236"/>
      <x:c r="AE251" s="236"/>
      <x:c r="AF251" s="236"/>
      <x:c r="AG251" s="236"/>
      <x:c r="AH251" s="236"/>
      <x:c r="AI251" s="236"/>
      <x:c r="AJ251" s="236"/>
      <x:c r="AK251" s="220">
        <x:f>+COUNTIF(F251:AJ251,"X")+COUNTIF(F251:AJ251,"E")</x:f>
      </x:c>
      <x:c r="AL251" s="221">
        <x:f>+COUNTIF(F251:AJ251,"R")+COUNTIF(F251:AJ251,"T")+COUNTIF(F251:AJ251,"İ")</x:f>
      </x:c>
      <x:c r="AM251" s="221">
        <x:f>+COUNTIF(F251:AJ251,"İ")</x:f>
      </x:c>
      <x:c r="AN251" s="222"/>
      <x:c r="AO251" s="222"/>
      <x:c r="AP251" s="228"/>
      <x:c r="AQ251" s="228"/>
      <x:c r="AR251" s="228"/>
      <x:c r="AS251" s="228"/>
      <x:c r="AT251" s="230"/>
    </x:row>
    <x:row r="252" spans="1:47" ht="15" customHeight="1" x14ac:dyDescent="0.25">
      <x:c r="A252" s="237"/>
      <x:c r="B252" s="216">
        <x:v>247</x:v>
      </x:c>
      <x:c r="C252" s="238"/>
      <x:c r="D252" s="239"/>
      <x:c r="E252" s="239"/>
      <x:c r="F252" s="219"/>
      <x:c r="G252" s="219"/>
      <x:c r="H252" s="219"/>
      <x:c r="I252" s="219"/>
      <x:c r="J252" s="219"/>
      <x:c r="K252" s="219"/>
      <x:c r="L252" s="219"/>
      <x:c r="M252" s="219"/>
      <x:c r="N252" s="219"/>
      <x:c r="O252" s="219"/>
      <x:c r="P252" s="219"/>
      <x:c r="Q252" s="219"/>
      <x:c r="R252" s="219"/>
      <x:c r="S252" s="219"/>
      <x:c r="T252" s="219"/>
      <x:c r="U252" s="219"/>
      <x:c r="V252" s="219"/>
      <x:c r="W252" s="219"/>
      <x:c r="X252" s="219"/>
      <x:c r="Y252" s="219"/>
      <x:c r="Z252" s="219"/>
      <x:c r="AA252" s="219"/>
      <x:c r="AB252" s="219"/>
      <x:c r="AC252" s="219"/>
      <x:c r="AD252" s="219"/>
      <x:c r="AE252" s="219"/>
      <x:c r="AF252" s="219"/>
      <x:c r="AG252" s="219"/>
      <x:c r="AH252" s="219"/>
      <x:c r="AI252" s="219"/>
      <x:c r="AJ252" s="219"/>
      <x:c r="AK252" s="220">
        <x:f>+COUNTIF(F252:AJ252,"X")+COUNTIF(F252:AJ252,"E")</x:f>
      </x:c>
      <x:c r="AL252" s="221">
        <x:f>+COUNTIF(F252:AJ252,"R")+COUNTIF(F252:AJ252,"T")+COUNTIF(F252:AJ252,"İ")</x:f>
      </x:c>
      <x:c r="AM252" s="221">
        <x:f>+COUNTIF(F252:AJ252,"İ")</x:f>
      </x:c>
      <x:c r="AN252" s="222"/>
      <x:c r="AO252" s="222"/>
      <x:c r="AP252" s="228"/>
      <x:c r="AQ252" s="228"/>
      <x:c r="AR252" s="228"/>
      <x:c r="AS252" s="228"/>
      <x:c r="AT252" s="230"/>
    </x:row>
    <x:row r="253" spans="1:47" ht="15" customHeight="1" x14ac:dyDescent="0.25">
      <x:c r="A253" s="237"/>
      <x:c r="B253" s="216">
        <x:v>248</x:v>
      </x:c>
      <x:c r="C253" s="238"/>
      <x:c r="D253" s="239"/>
      <x:c r="E253" s="239"/>
      <x:c r="F253" s="219"/>
      <x:c r="G253" s="219"/>
      <x:c r="H253" s="219"/>
      <x:c r="I253" s="219"/>
      <x:c r="J253" s="219"/>
      <x:c r="K253" s="219"/>
      <x:c r="L253" s="219"/>
      <x:c r="M253" s="219"/>
      <x:c r="N253" s="219"/>
      <x:c r="O253" s="219"/>
      <x:c r="P253" s="219"/>
      <x:c r="Q253" s="219"/>
      <x:c r="R253" s="219"/>
      <x:c r="S253" s="219"/>
      <x:c r="T253" s="219"/>
      <x:c r="U253" s="219"/>
      <x:c r="V253" s="219"/>
      <x:c r="W253" s="219"/>
      <x:c r="X253" s="219"/>
      <x:c r="Y253" s="219"/>
      <x:c r="Z253" s="219"/>
      <x:c r="AA253" s="219"/>
      <x:c r="AB253" s="219"/>
      <x:c r="AC253" s="219"/>
      <x:c r="AD253" s="219"/>
      <x:c r="AE253" s="219"/>
      <x:c r="AF253" s="219"/>
      <x:c r="AG253" s="219"/>
      <x:c r="AH253" s="219"/>
      <x:c r="AI253" s="219"/>
      <x:c r="AJ253" s="219"/>
      <x:c r="AK253" s="220">
        <x:f>+COUNTIF(F253:AJ253,"X")+COUNTIF(F253:AJ253,"E")</x:f>
      </x:c>
      <x:c r="AL253" s="221">
        <x:f>+COUNTIF(F253:AJ253,"R")+COUNTIF(F253:AJ253,"T")+COUNTIF(F253:AJ253,"İ")</x:f>
      </x:c>
      <x:c r="AM253" s="221">
        <x:f>+COUNTIF(F253:AJ253,"İ")</x:f>
      </x:c>
      <x:c r="AN253" s="222"/>
      <x:c r="AO253" s="222"/>
      <x:c r="AP253" s="228"/>
      <x:c r="AQ253" s="228"/>
      <x:c r="AR253" s="228"/>
      <x:c r="AS253" s="228"/>
      <x:c r="AT253" s="230"/>
    </x:row>
    <x:row r="254" spans="1:47" ht="15" customHeight="1" x14ac:dyDescent="0.25">
      <x:c r="A254" s="237"/>
      <x:c r="B254" s="216">
        <x:v>249</x:v>
      </x:c>
      <x:c r="C254" s="238"/>
      <x:c r="D254" s="239"/>
      <x:c r="E254" s="239"/>
      <x:c r="F254" s="219"/>
      <x:c r="G254" s="219"/>
      <x:c r="H254" s="219"/>
      <x:c r="I254" s="219"/>
      <x:c r="J254" s="219"/>
      <x:c r="K254" s="219"/>
      <x:c r="L254" s="219"/>
      <x:c r="M254" s="219"/>
      <x:c r="N254" s="219"/>
      <x:c r="O254" s="219"/>
      <x:c r="P254" s="219"/>
      <x:c r="Q254" s="219"/>
      <x:c r="R254" s="219"/>
      <x:c r="S254" s="219"/>
      <x:c r="T254" s="219"/>
      <x:c r="U254" s="219"/>
      <x:c r="V254" s="219"/>
      <x:c r="W254" s="219"/>
      <x:c r="X254" s="219"/>
      <x:c r="Y254" s="219"/>
      <x:c r="Z254" s="219"/>
      <x:c r="AA254" s="219"/>
      <x:c r="AB254" s="219"/>
      <x:c r="AC254" s="219"/>
      <x:c r="AD254" s="219"/>
      <x:c r="AE254" s="219"/>
      <x:c r="AF254" s="219"/>
      <x:c r="AG254" s="219"/>
      <x:c r="AH254" s="219"/>
      <x:c r="AI254" s="219"/>
      <x:c r="AJ254" s="219"/>
      <x:c r="AK254" s="220">
        <x:f>+COUNTIF(F254:AJ254,"X")+COUNTIF(F254:AJ254,"E")</x:f>
      </x:c>
      <x:c r="AL254" s="221">
        <x:f>+COUNTIF(F254:AJ254,"R")+COUNTIF(F254:AJ254,"T")+COUNTIF(F254:AJ254,"İ")</x:f>
      </x:c>
      <x:c r="AM254" s="221">
        <x:f>+COUNTIF(F254:AJ254,"İ")</x:f>
      </x:c>
      <x:c r="AN254" s="222"/>
      <x:c r="AO254" s="222"/>
      <x:c r="AP254" s="228"/>
      <x:c r="AQ254" s="228"/>
      <x:c r="AR254" s="228"/>
      <x:c r="AS254" s="228"/>
      <x:c r="AT254" s="230"/>
    </x:row>
    <x:row r="255" spans="1:47" ht="15" customHeight="1" x14ac:dyDescent="0.25">
      <x:c r="A255" s="237"/>
      <x:c r="B255" s="216">
        <x:v>250</x:v>
      </x:c>
      <x:c r="C255" s="238"/>
      <x:c r="D255" s="239"/>
      <x:c r="E255" s="239"/>
      <x:c r="F255" s="236"/>
      <x:c r="G255" s="236"/>
      <x:c r="H255" s="236"/>
      <x:c r="I255" s="236"/>
      <x:c r="J255" s="236"/>
      <x:c r="K255" s="236"/>
      <x:c r="L255" s="236"/>
      <x:c r="M255" s="236"/>
      <x:c r="N255" s="236"/>
      <x:c r="O255" s="236"/>
      <x:c r="P255" s="236"/>
      <x:c r="Q255" s="236"/>
      <x:c r="R255" s="236"/>
      <x:c r="S255" s="236"/>
      <x:c r="T255" s="236"/>
      <x:c r="U255" s="236"/>
      <x:c r="V255" s="236"/>
      <x:c r="W255" s="236"/>
      <x:c r="X255" s="236"/>
      <x:c r="Y255" s="236"/>
      <x:c r="Z255" s="236"/>
      <x:c r="AA255" s="236"/>
      <x:c r="AB255" s="236"/>
      <x:c r="AC255" s="236"/>
      <x:c r="AD255" s="236"/>
      <x:c r="AE255" s="236"/>
      <x:c r="AF255" s="236"/>
      <x:c r="AG255" s="236"/>
      <x:c r="AH255" s="236"/>
      <x:c r="AI255" s="236"/>
      <x:c r="AJ255" s="236"/>
      <x:c r="AK255" s="220">
        <x:f>+COUNTIF(F255:AJ255,"X")+COUNTIF(F255:AJ255,"E")</x:f>
      </x:c>
      <x:c r="AL255" s="221">
        <x:f>+COUNTIF(F255:AJ255,"R")+COUNTIF(F255:AJ255,"T")+COUNTIF(F255:AJ255,"İ")</x:f>
      </x:c>
      <x:c r="AM255" s="221">
        <x:f>+COUNTIF(F255:AJ255,"İ")</x:f>
      </x:c>
      <x:c r="AN255" s="222"/>
      <x:c r="AO255" s="222"/>
      <x:c r="AP255" s="228"/>
      <x:c r="AQ255" s="228"/>
      <x:c r="AR255" s="228"/>
      <x:c r="AS255" s="228"/>
      <x:c r="AT255" s="230"/>
    </x:row>
    <x:row r="256" spans="1:47" ht="15" customHeight="1" x14ac:dyDescent="0.25">
      <x:c r="A256" s="237"/>
      <x:c r="B256" s="216">
        <x:v>251</x:v>
      </x:c>
      <x:c r="C256" s="238"/>
      <x:c r="D256" s="239"/>
      <x:c r="E256" s="239"/>
      <x:c r="F256" s="219"/>
      <x:c r="G256" s="219"/>
      <x:c r="H256" s="219"/>
      <x:c r="I256" s="219"/>
      <x:c r="J256" s="219"/>
      <x:c r="K256" s="219"/>
      <x:c r="L256" s="219"/>
      <x:c r="M256" s="219"/>
      <x:c r="N256" s="219"/>
      <x:c r="O256" s="219"/>
      <x:c r="P256" s="219"/>
      <x:c r="Q256" s="219"/>
      <x:c r="R256" s="219"/>
      <x:c r="S256" s="219"/>
      <x:c r="T256" s="219"/>
      <x:c r="U256" s="219"/>
      <x:c r="V256" s="219"/>
      <x:c r="W256" s="219"/>
      <x:c r="X256" s="219"/>
      <x:c r="Y256" s="219"/>
      <x:c r="Z256" s="219"/>
      <x:c r="AA256" s="219"/>
      <x:c r="AB256" s="219"/>
      <x:c r="AC256" s="219"/>
      <x:c r="AD256" s="219"/>
      <x:c r="AE256" s="219"/>
      <x:c r="AF256" s="219"/>
      <x:c r="AG256" s="219"/>
      <x:c r="AH256" s="219"/>
      <x:c r="AI256" s="219"/>
      <x:c r="AJ256" s="219"/>
      <x:c r="AK256" s="220">
        <x:f>+COUNTIF(F256:AJ256,"X")+COUNTIF(F256:AJ256,"E")</x:f>
      </x:c>
      <x:c r="AL256" s="221">
        <x:f>+COUNTIF(F256:AJ256,"R")+COUNTIF(F256:AJ256,"T")+COUNTIF(F256:AJ256,"İ")</x:f>
      </x:c>
      <x:c r="AM256" s="221">
        <x:f>+COUNTIF(F256:AJ256,"İ")</x:f>
      </x:c>
      <x:c r="AN256" s="222"/>
      <x:c r="AO256" s="222"/>
      <x:c r="AP256" s="228"/>
      <x:c r="AQ256" s="228"/>
      <x:c r="AR256" s="228"/>
      <x:c r="AS256" s="228"/>
      <x:c r="AT256" s="230"/>
    </x:row>
    <x:row r="257" spans="1:47" ht="15" customHeight="1" x14ac:dyDescent="0.25">
      <x:c r="A257" s="237"/>
      <x:c r="B257" s="216">
        <x:v>252</x:v>
      </x:c>
      <x:c r="C257" s="238"/>
      <x:c r="D257" s="239"/>
      <x:c r="E257" s="239"/>
      <x:c r="F257" s="219"/>
      <x:c r="G257" s="219"/>
      <x:c r="H257" s="219"/>
      <x:c r="I257" s="219"/>
      <x:c r="J257" s="219"/>
      <x:c r="K257" s="219"/>
      <x:c r="L257" s="219"/>
      <x:c r="M257" s="219"/>
      <x:c r="N257" s="219"/>
      <x:c r="O257" s="219"/>
      <x:c r="P257" s="219"/>
      <x:c r="Q257" s="219"/>
      <x:c r="R257" s="219"/>
      <x:c r="S257" s="219"/>
      <x:c r="T257" s="219"/>
      <x:c r="U257" s="219"/>
      <x:c r="V257" s="219"/>
      <x:c r="W257" s="219"/>
      <x:c r="X257" s="219"/>
      <x:c r="Y257" s="219"/>
      <x:c r="Z257" s="219"/>
      <x:c r="AA257" s="219"/>
      <x:c r="AB257" s="219"/>
      <x:c r="AC257" s="219"/>
      <x:c r="AD257" s="219"/>
      <x:c r="AE257" s="219"/>
      <x:c r="AF257" s="219"/>
      <x:c r="AG257" s="219"/>
      <x:c r="AH257" s="219"/>
      <x:c r="AI257" s="219"/>
      <x:c r="AJ257" s="219"/>
      <x:c r="AK257" s="220">
        <x:f>+COUNTIF(F257:AJ257,"X")+COUNTIF(F257:AJ257,"E")</x:f>
      </x:c>
      <x:c r="AL257" s="221">
        <x:f>+COUNTIF(F257:AJ257,"R")+COUNTIF(F257:AJ257,"T")+COUNTIF(F257:AJ257,"İ")</x:f>
      </x:c>
      <x:c r="AM257" s="221">
        <x:f>+COUNTIF(F257:AJ257,"İ")</x:f>
      </x:c>
      <x:c r="AN257" s="222"/>
      <x:c r="AO257" s="222"/>
      <x:c r="AP257" s="228"/>
      <x:c r="AQ257" s="228"/>
      <x:c r="AR257" s="228"/>
      <x:c r="AS257" s="228"/>
      <x:c r="AT257" s="230"/>
    </x:row>
    <x:row r="258" spans="1:47" ht="15" customHeight="1" x14ac:dyDescent="0.25">
      <x:c r="A258" s="237"/>
      <x:c r="B258" s="216">
        <x:v>253</x:v>
      </x:c>
      <x:c r="C258" s="238"/>
      <x:c r="D258" s="239"/>
      <x:c r="E258" s="239"/>
      <x:c r="F258" s="219"/>
      <x:c r="G258" s="219"/>
      <x:c r="H258" s="219"/>
      <x:c r="I258" s="219"/>
      <x:c r="J258" s="219"/>
      <x:c r="K258" s="219"/>
      <x:c r="L258" s="219"/>
      <x:c r="M258" s="219"/>
      <x:c r="N258" s="219"/>
      <x:c r="O258" s="219"/>
      <x:c r="P258" s="219"/>
      <x:c r="Q258" s="219"/>
      <x:c r="R258" s="219"/>
      <x:c r="S258" s="219"/>
      <x:c r="T258" s="219"/>
      <x:c r="U258" s="219"/>
      <x:c r="V258" s="219"/>
      <x:c r="W258" s="219"/>
      <x:c r="X258" s="219"/>
      <x:c r="Y258" s="219"/>
      <x:c r="Z258" s="219"/>
      <x:c r="AA258" s="219"/>
      <x:c r="AB258" s="219"/>
      <x:c r="AC258" s="219"/>
      <x:c r="AD258" s="219"/>
      <x:c r="AE258" s="219"/>
      <x:c r="AF258" s="219"/>
      <x:c r="AG258" s="219"/>
      <x:c r="AH258" s="219"/>
      <x:c r="AI258" s="219"/>
      <x:c r="AJ258" s="219"/>
      <x:c r="AK258" s="220">
        <x:f>+COUNTIF(F258:AJ258,"X")+COUNTIF(F258:AJ258,"E")</x:f>
      </x:c>
      <x:c r="AL258" s="221">
        <x:f>+COUNTIF(F258:AJ258,"R")+COUNTIF(F258:AJ258,"T")+COUNTIF(F258:AJ258,"İ")</x:f>
      </x:c>
      <x:c r="AM258" s="221">
        <x:f>+COUNTIF(F258:AJ258,"İ")</x:f>
      </x:c>
      <x:c r="AN258" s="222"/>
      <x:c r="AO258" s="222"/>
      <x:c r="AP258" s="228"/>
      <x:c r="AQ258" s="228"/>
      <x:c r="AR258" s="228"/>
      <x:c r="AS258" s="228"/>
      <x:c r="AT258" s="230"/>
    </x:row>
    <x:row r="259" spans="1:47" ht="15" customHeight="1" x14ac:dyDescent="0.25">
      <x:c r="A259" s="237"/>
      <x:c r="B259" s="216">
        <x:v>254</x:v>
      </x:c>
      <x:c r="C259" s="238"/>
      <x:c r="D259" s="239"/>
      <x:c r="E259" s="239"/>
      <x:c r="F259" s="219"/>
      <x:c r="G259" s="219"/>
      <x:c r="H259" s="219"/>
      <x:c r="I259" s="219"/>
      <x:c r="J259" s="219"/>
      <x:c r="K259" s="219"/>
      <x:c r="L259" s="219"/>
      <x:c r="M259" s="219"/>
      <x:c r="N259" s="219"/>
      <x:c r="O259" s="219"/>
      <x:c r="P259" s="219"/>
      <x:c r="Q259" s="219"/>
      <x:c r="R259" s="219"/>
      <x:c r="S259" s="219"/>
      <x:c r="T259" s="219"/>
      <x:c r="U259" s="219"/>
      <x:c r="V259" s="219"/>
      <x:c r="W259" s="219"/>
      <x:c r="X259" s="219"/>
      <x:c r="Y259" s="219"/>
      <x:c r="Z259" s="219"/>
      <x:c r="AA259" s="219"/>
      <x:c r="AB259" s="219"/>
      <x:c r="AC259" s="219"/>
      <x:c r="AD259" s="219"/>
      <x:c r="AE259" s="219"/>
      <x:c r="AF259" s="219"/>
      <x:c r="AG259" s="219"/>
      <x:c r="AH259" s="219"/>
      <x:c r="AI259" s="219"/>
      <x:c r="AJ259" s="219"/>
      <x:c r="AK259" s="220">
        <x:f>+COUNTIF(F259:AJ259,"X")+COUNTIF(F259:AJ259,"E")</x:f>
      </x:c>
      <x:c r="AL259" s="221">
        <x:f>+COUNTIF(F259:AJ259,"R")+COUNTIF(F259:AJ259,"T")+COUNTIF(F259:AJ259,"İ")</x:f>
      </x:c>
      <x:c r="AM259" s="221">
        <x:f>+COUNTIF(F259:AJ259,"İ")</x:f>
      </x:c>
      <x:c r="AN259" s="222"/>
      <x:c r="AO259" s="222"/>
      <x:c r="AP259" s="228"/>
      <x:c r="AQ259" s="228"/>
      <x:c r="AR259" s="228"/>
      <x:c r="AS259" s="228"/>
      <x:c r="AT259" s="230"/>
    </x:row>
    <x:row r="260" spans="1:47" ht="15" customHeight="1" x14ac:dyDescent="0.25">
      <x:c r="A260" s="237"/>
      <x:c r="B260" s="216">
        <x:v>255</x:v>
      </x:c>
      <x:c r="C260" s="238"/>
      <x:c r="D260" s="239"/>
      <x:c r="E260" s="239"/>
      <x:c r="F260" s="219"/>
      <x:c r="G260" s="219"/>
      <x:c r="H260" s="219"/>
      <x:c r="I260" s="219"/>
      <x:c r="J260" s="219"/>
      <x:c r="K260" s="219"/>
      <x:c r="L260" s="219"/>
      <x:c r="M260" s="219"/>
      <x:c r="N260" s="219"/>
      <x:c r="O260" s="219"/>
      <x:c r="P260" s="219"/>
      <x:c r="Q260" s="219"/>
      <x:c r="R260" s="219"/>
      <x:c r="S260" s="219"/>
      <x:c r="T260" s="219"/>
      <x:c r="U260" s="219"/>
      <x:c r="V260" s="219"/>
      <x:c r="W260" s="219"/>
      <x:c r="X260" s="219"/>
      <x:c r="Y260" s="219"/>
      <x:c r="Z260" s="219"/>
      <x:c r="AA260" s="219"/>
      <x:c r="AB260" s="219"/>
      <x:c r="AC260" s="219"/>
      <x:c r="AD260" s="219"/>
      <x:c r="AE260" s="219"/>
      <x:c r="AF260" s="219"/>
      <x:c r="AG260" s="219"/>
      <x:c r="AH260" s="219"/>
      <x:c r="AI260" s="219"/>
      <x:c r="AJ260" s="219"/>
      <x:c r="AK260" s="220">
        <x:f>+COUNTIF(F260:AJ260,"X")+COUNTIF(F260:AJ260,"E")</x:f>
      </x:c>
      <x:c r="AL260" s="221">
        <x:f>+COUNTIF(F260:AJ260,"R")+COUNTIF(F260:AJ260,"T")+COUNTIF(F260:AJ260,"İ")</x:f>
      </x:c>
      <x:c r="AM260" s="221">
        <x:f>+COUNTIF(F260:AJ260,"İ")</x:f>
      </x:c>
      <x:c r="AN260" s="222"/>
      <x:c r="AO260" s="222"/>
      <x:c r="AP260" s="228"/>
      <x:c r="AQ260" s="228"/>
      <x:c r="AR260" s="228"/>
      <x:c r="AS260" s="228"/>
      <x:c r="AT260" s="230"/>
    </x:row>
    <x:row r="261" spans="1:47" ht="15" customHeight="1" x14ac:dyDescent="0.25">
      <x:c r="A261" s="237"/>
      <x:c r="B261" s="216">
        <x:v>256</x:v>
      </x:c>
      <x:c r="C261" s="238"/>
      <x:c r="D261" s="239"/>
      <x:c r="E261" s="239"/>
      <x:c r="F261" s="236"/>
      <x:c r="G261" s="236"/>
      <x:c r="H261" s="236"/>
      <x:c r="I261" s="236"/>
      <x:c r="J261" s="236"/>
      <x:c r="K261" s="236"/>
      <x:c r="L261" s="236"/>
      <x:c r="M261" s="236"/>
      <x:c r="N261" s="236"/>
      <x:c r="O261" s="236"/>
      <x:c r="P261" s="236"/>
      <x:c r="Q261" s="236"/>
      <x:c r="R261" s="236"/>
      <x:c r="S261" s="236"/>
      <x:c r="T261" s="236"/>
      <x:c r="U261" s="236"/>
      <x:c r="V261" s="236"/>
      <x:c r="W261" s="236"/>
      <x:c r="X261" s="236"/>
      <x:c r="Y261" s="236"/>
      <x:c r="Z261" s="236"/>
      <x:c r="AA261" s="236"/>
      <x:c r="AB261" s="236"/>
      <x:c r="AC261" s="236"/>
      <x:c r="AD261" s="236"/>
      <x:c r="AE261" s="236"/>
      <x:c r="AF261" s="236"/>
      <x:c r="AG261" s="236"/>
      <x:c r="AH261" s="236"/>
      <x:c r="AI261" s="236"/>
      <x:c r="AJ261" s="236"/>
      <x:c r="AK261" s="220">
        <x:f>+COUNTIF(F261:AJ261,"X")+COUNTIF(F261:AJ261,"E")</x:f>
      </x:c>
      <x:c r="AL261" s="221">
        <x:f>+COUNTIF(F261:AJ261,"R")+COUNTIF(F261:AJ261,"T")+COUNTIF(F261:AJ261,"İ")</x:f>
      </x:c>
      <x:c r="AM261" s="221">
        <x:f>+COUNTIF(F261:AJ261,"İ")</x:f>
      </x:c>
      <x:c r="AN261" s="222"/>
      <x:c r="AO261" s="222"/>
      <x:c r="AP261" s="228"/>
      <x:c r="AQ261" s="228"/>
      <x:c r="AR261" s="228"/>
      <x:c r="AS261" s="228"/>
      <x:c r="AT261" s="230"/>
    </x:row>
    <x:row r="262" spans="1:47" ht="15" customHeight="1" x14ac:dyDescent="0.25">
      <x:c r="A262" s="237"/>
      <x:c r="B262" s="216">
        <x:v>257</x:v>
      </x:c>
      <x:c r="C262" s="238"/>
      <x:c r="D262" s="239"/>
      <x:c r="E262" s="239"/>
      <x:c r="F262" s="236"/>
      <x:c r="G262" s="236"/>
      <x:c r="H262" s="236"/>
      <x:c r="I262" s="236"/>
      <x:c r="J262" s="236"/>
      <x:c r="K262" s="236"/>
      <x:c r="L262" s="236"/>
      <x:c r="M262" s="236"/>
      <x:c r="N262" s="236"/>
      <x:c r="O262" s="236"/>
      <x:c r="P262" s="236"/>
      <x:c r="Q262" s="236"/>
      <x:c r="R262" s="236"/>
      <x:c r="S262" s="236"/>
      <x:c r="T262" s="236"/>
      <x:c r="U262" s="236"/>
      <x:c r="V262" s="236"/>
      <x:c r="W262" s="236"/>
      <x:c r="X262" s="236"/>
      <x:c r="Y262" s="236"/>
      <x:c r="Z262" s="236"/>
      <x:c r="AA262" s="236"/>
      <x:c r="AB262" s="236"/>
      <x:c r="AC262" s="236"/>
      <x:c r="AD262" s="236"/>
      <x:c r="AE262" s="236"/>
      <x:c r="AF262" s="236"/>
      <x:c r="AG262" s="236"/>
      <x:c r="AH262" s="236"/>
      <x:c r="AI262" s="236"/>
      <x:c r="AJ262" s="236"/>
      <x:c r="AK262" s="220">
        <x:f>+COUNTIF(F262:AJ262,"X")+COUNTIF(F262:AJ262,"E")</x:f>
      </x:c>
      <x:c r="AL262" s="221">
        <x:f>+COUNTIF(F262:AJ262,"R")+COUNTIF(F262:AJ262,"T")+COUNTIF(F262:AJ262,"İ")</x:f>
      </x:c>
      <x:c r="AM262" s="221">
        <x:f>+COUNTIF(F262:AJ262,"İ")</x:f>
      </x:c>
      <x:c r="AN262" s="222"/>
      <x:c r="AO262" s="222"/>
      <x:c r="AP262" s="228"/>
      <x:c r="AQ262" s="228"/>
      <x:c r="AR262" s="228"/>
      <x:c r="AS262" s="228"/>
      <x:c r="AT262" s="230"/>
    </x:row>
    <x:row r="263" spans="1:47" ht="15" customHeight="1" x14ac:dyDescent="0.25">
      <x:c r="A263" s="237"/>
      <x:c r="B263" s="216">
        <x:v>258</x:v>
      </x:c>
      <x:c r="C263" s="238"/>
      <x:c r="D263" s="239"/>
      <x:c r="E263" s="239"/>
      <x:c r="F263" s="236"/>
      <x:c r="G263" s="236"/>
      <x:c r="H263" s="236"/>
      <x:c r="I263" s="236"/>
      <x:c r="J263" s="236"/>
      <x:c r="K263" s="236"/>
      <x:c r="L263" s="236"/>
      <x:c r="M263" s="236"/>
      <x:c r="N263" s="236"/>
      <x:c r="O263" s="236"/>
      <x:c r="P263" s="236"/>
      <x:c r="Q263" s="236"/>
      <x:c r="R263" s="236"/>
      <x:c r="S263" s="236"/>
      <x:c r="T263" s="236"/>
      <x:c r="U263" s="236"/>
      <x:c r="V263" s="236"/>
      <x:c r="W263" s="236"/>
      <x:c r="X263" s="236"/>
      <x:c r="Y263" s="236"/>
      <x:c r="Z263" s="236"/>
      <x:c r="AA263" s="236"/>
      <x:c r="AB263" s="236"/>
      <x:c r="AC263" s="236"/>
      <x:c r="AD263" s="236"/>
      <x:c r="AE263" s="236"/>
      <x:c r="AF263" s="236"/>
      <x:c r="AG263" s="236"/>
      <x:c r="AH263" s="236"/>
      <x:c r="AI263" s="236"/>
      <x:c r="AJ263" s="236"/>
      <x:c r="AK263" s="220">
        <x:f>+COUNTIF(F263:AJ263,"X")+COUNTIF(F263:AJ263,"E")</x:f>
      </x:c>
      <x:c r="AL263" s="221">
        <x:f>+COUNTIF(F263:AJ263,"R")+COUNTIF(F263:AJ263,"T")+COUNTIF(F263:AJ263,"İ")</x:f>
      </x:c>
      <x:c r="AM263" s="221">
        <x:f>+COUNTIF(F263:AJ263,"İ")</x:f>
      </x:c>
      <x:c r="AN263" s="222"/>
      <x:c r="AO263" s="222"/>
      <x:c r="AP263" s="228"/>
      <x:c r="AQ263" s="228"/>
      <x:c r="AR263" s="228"/>
      <x:c r="AS263" s="228"/>
      <x:c r="AT263" s="230"/>
    </x:row>
    <x:row r="264" spans="1:47" ht="15" customHeight="1" x14ac:dyDescent="0.25">
      <x:c r="A264" s="237"/>
      <x:c r="B264" s="216">
        <x:v>259</x:v>
      </x:c>
      <x:c r="C264" s="238"/>
      <x:c r="D264" s="239"/>
      <x:c r="E264" s="239"/>
      <x:c r="F264" s="219"/>
      <x:c r="G264" s="219"/>
      <x:c r="H264" s="219"/>
      <x:c r="I264" s="219"/>
      <x:c r="J264" s="219"/>
      <x:c r="K264" s="219"/>
      <x:c r="L264" s="219"/>
      <x:c r="M264" s="219"/>
      <x:c r="N264" s="219"/>
      <x:c r="O264" s="219"/>
      <x:c r="P264" s="219"/>
      <x:c r="Q264" s="219"/>
      <x:c r="R264" s="219"/>
      <x:c r="S264" s="219"/>
      <x:c r="T264" s="219"/>
      <x:c r="U264" s="219"/>
      <x:c r="V264" s="219"/>
      <x:c r="W264" s="219"/>
      <x:c r="X264" s="219"/>
      <x:c r="Y264" s="219"/>
      <x:c r="Z264" s="219"/>
      <x:c r="AA264" s="219"/>
      <x:c r="AB264" s="219"/>
      <x:c r="AC264" s="219"/>
      <x:c r="AD264" s="219"/>
      <x:c r="AE264" s="219"/>
      <x:c r="AF264" s="219"/>
      <x:c r="AG264" s="219"/>
      <x:c r="AH264" s="219"/>
      <x:c r="AI264" s="219"/>
      <x:c r="AJ264" s="219"/>
      <x:c r="AK264" s="220">
        <x:f>+COUNTIF(F264:AJ264,"X")+COUNTIF(F264:AJ264,"E")</x:f>
      </x:c>
      <x:c r="AL264" s="221">
        <x:f>+COUNTIF(F264:AJ264,"R")+COUNTIF(F264:AJ264,"T")+COUNTIF(F264:AJ264,"İ")</x:f>
      </x:c>
      <x:c r="AM264" s="221">
        <x:f>+COUNTIF(F264:AJ264,"İ")</x:f>
      </x:c>
      <x:c r="AN264" s="222"/>
      <x:c r="AO264" s="222"/>
      <x:c r="AP264" s="228"/>
      <x:c r="AQ264" s="228"/>
      <x:c r="AR264" s="228"/>
      <x:c r="AS264" s="228"/>
      <x:c r="AT264" s="230"/>
    </x:row>
    <x:row r="265" spans="1:47" ht="15" customHeight="1" x14ac:dyDescent="0.25">
      <x:c r="A265" s="237"/>
      <x:c r="B265" s="216">
        <x:v>260</x:v>
      </x:c>
      <x:c r="C265" s="238"/>
      <x:c r="D265" s="239"/>
      <x:c r="E265" s="239"/>
      <x:c r="F265" s="219"/>
      <x:c r="G265" s="219"/>
      <x:c r="H265" s="219"/>
      <x:c r="I265" s="219"/>
      <x:c r="J265" s="219"/>
      <x:c r="K265" s="219"/>
      <x:c r="L265" s="219"/>
      <x:c r="M265" s="219"/>
      <x:c r="N265" s="219"/>
      <x:c r="O265" s="219"/>
      <x:c r="P265" s="219"/>
      <x:c r="Q265" s="219"/>
      <x:c r="R265" s="219"/>
      <x:c r="S265" s="219"/>
      <x:c r="T265" s="219"/>
      <x:c r="U265" s="219"/>
      <x:c r="V265" s="219"/>
      <x:c r="W265" s="219"/>
      <x:c r="X265" s="219"/>
      <x:c r="Y265" s="219"/>
      <x:c r="Z265" s="219"/>
      <x:c r="AA265" s="219"/>
      <x:c r="AB265" s="219"/>
      <x:c r="AC265" s="219"/>
      <x:c r="AD265" s="219"/>
      <x:c r="AE265" s="219"/>
      <x:c r="AF265" s="219"/>
      <x:c r="AG265" s="219"/>
      <x:c r="AH265" s="219"/>
      <x:c r="AI265" s="219"/>
      <x:c r="AJ265" s="219"/>
      <x:c r="AK265" s="220">
        <x:f>+COUNTIF(F265:AJ265,"X")+COUNTIF(F265:AJ265,"E")</x:f>
      </x:c>
      <x:c r="AL265" s="221">
        <x:f>+COUNTIF(F265:AJ265,"R")+COUNTIF(F265:AJ265,"T")+COUNTIF(F265:AJ265,"İ")</x:f>
      </x:c>
      <x:c r="AM265" s="221">
        <x:f>+COUNTIF(F265:AJ265,"İ")</x:f>
      </x:c>
      <x:c r="AN265" s="222"/>
      <x:c r="AO265" s="222"/>
      <x:c r="AP265" s="228"/>
      <x:c r="AQ265" s="228"/>
      <x:c r="AR265" s="228"/>
      <x:c r="AS265" s="228"/>
      <x:c r="AT265" s="230"/>
    </x:row>
    <x:row r="266" spans="1:47" ht="15" customHeight="1" x14ac:dyDescent="0.25">
      <x:c r="A266" s="237"/>
      <x:c r="B266" s="216">
        <x:v>261</x:v>
      </x:c>
      <x:c r="C266" s="238"/>
      <x:c r="D266" s="239"/>
      <x:c r="E266" s="239"/>
      <x:c r="F266" s="219"/>
      <x:c r="G266" s="219"/>
      <x:c r="H266" s="219"/>
      <x:c r="I266" s="219"/>
      <x:c r="J266" s="219"/>
      <x:c r="K266" s="219"/>
      <x:c r="L266" s="219"/>
      <x:c r="M266" s="219"/>
      <x:c r="N266" s="219"/>
      <x:c r="O266" s="219"/>
      <x:c r="P266" s="219"/>
      <x:c r="Q266" s="219"/>
      <x:c r="R266" s="219"/>
      <x:c r="S266" s="219"/>
      <x:c r="T266" s="219"/>
      <x:c r="U266" s="219"/>
      <x:c r="V266" s="219"/>
      <x:c r="W266" s="219"/>
      <x:c r="X266" s="219"/>
      <x:c r="Y266" s="219"/>
      <x:c r="Z266" s="219"/>
      <x:c r="AA266" s="219"/>
      <x:c r="AB266" s="219"/>
      <x:c r="AC266" s="219"/>
      <x:c r="AD266" s="219"/>
      <x:c r="AE266" s="219"/>
      <x:c r="AF266" s="219"/>
      <x:c r="AG266" s="219"/>
      <x:c r="AH266" s="219"/>
      <x:c r="AI266" s="219"/>
      <x:c r="AJ266" s="219"/>
      <x:c r="AK266" s="220">
        <x:f>+COUNTIF(F266:AJ266,"X")+COUNTIF(F266:AJ266,"E")</x:f>
      </x:c>
      <x:c r="AL266" s="221">
        <x:f>+COUNTIF(F266:AJ266,"R")+COUNTIF(F266:AJ266,"T")+COUNTIF(F266:AJ266,"İ")</x:f>
      </x:c>
      <x:c r="AM266" s="221">
        <x:f>+COUNTIF(F266:AJ266,"İ")</x:f>
      </x:c>
      <x:c r="AN266" s="222"/>
      <x:c r="AO266" s="222"/>
      <x:c r="AP266" s="228"/>
      <x:c r="AQ266" s="228"/>
      <x:c r="AR266" s="228"/>
      <x:c r="AS266" s="228"/>
      <x:c r="AT266" s="230"/>
    </x:row>
    <x:row r="267" spans="1:47" ht="15" customHeight="1" x14ac:dyDescent="0.25">
      <x:c r="A267" s="237"/>
      <x:c r="B267" s="216">
        <x:v>262</x:v>
      </x:c>
      <x:c r="C267" s="238"/>
      <x:c r="D267" s="239"/>
      <x:c r="E267" s="239"/>
      <x:c r="F267" s="219"/>
      <x:c r="G267" s="219"/>
      <x:c r="H267" s="219"/>
      <x:c r="I267" s="219"/>
      <x:c r="J267" s="219"/>
      <x:c r="K267" s="219"/>
      <x:c r="L267" s="219"/>
      <x:c r="M267" s="219"/>
      <x:c r="N267" s="219"/>
      <x:c r="O267" s="219"/>
      <x:c r="P267" s="219"/>
      <x:c r="Q267" s="219"/>
      <x:c r="R267" s="219"/>
      <x:c r="S267" s="219"/>
      <x:c r="T267" s="219"/>
      <x:c r="U267" s="219"/>
      <x:c r="V267" s="219"/>
      <x:c r="W267" s="219"/>
      <x:c r="X267" s="219"/>
      <x:c r="Y267" s="219"/>
      <x:c r="Z267" s="219"/>
      <x:c r="AA267" s="219"/>
      <x:c r="AB267" s="219"/>
      <x:c r="AC267" s="219"/>
      <x:c r="AD267" s="219"/>
      <x:c r="AE267" s="219"/>
      <x:c r="AF267" s="219"/>
      <x:c r="AG267" s="219"/>
      <x:c r="AH267" s="219"/>
      <x:c r="AI267" s="219"/>
      <x:c r="AJ267" s="219"/>
      <x:c r="AK267" s="220">
        <x:f>+COUNTIF(F267:AJ267,"X")+COUNTIF(F267:AJ267,"E")</x:f>
      </x:c>
      <x:c r="AL267" s="221">
        <x:f>+COUNTIF(F267:AJ267,"R")+COUNTIF(F267:AJ267,"T")+COUNTIF(F267:AJ267,"İ")</x:f>
      </x:c>
      <x:c r="AM267" s="221">
        <x:f>+COUNTIF(F267:AJ267,"İ")</x:f>
      </x:c>
      <x:c r="AN267" s="222"/>
      <x:c r="AO267" s="222"/>
      <x:c r="AP267" s="228"/>
      <x:c r="AQ267" s="228"/>
      <x:c r="AR267" s="228"/>
      <x:c r="AS267" s="228"/>
      <x:c r="AT267" s="230"/>
    </x:row>
    <x:row r="268" spans="1:47" ht="15" customHeight="1" x14ac:dyDescent="0.25">
      <x:c r="A268" s="237"/>
      <x:c r="B268" s="216">
        <x:v>263</x:v>
      </x:c>
      <x:c r="C268" s="238"/>
      <x:c r="D268" s="239"/>
      <x:c r="E268" s="239"/>
      <x:c r="F268" s="236"/>
      <x:c r="G268" s="236"/>
      <x:c r="H268" s="236"/>
      <x:c r="I268" s="236"/>
      <x:c r="J268" s="236"/>
      <x:c r="K268" s="236"/>
      <x:c r="L268" s="236"/>
      <x:c r="M268" s="236"/>
      <x:c r="N268" s="236"/>
      <x:c r="O268" s="236"/>
      <x:c r="P268" s="236"/>
      <x:c r="Q268" s="236"/>
      <x:c r="R268" s="236"/>
      <x:c r="S268" s="236"/>
      <x:c r="T268" s="236"/>
      <x:c r="U268" s="236"/>
      <x:c r="V268" s="236"/>
      <x:c r="W268" s="236"/>
      <x:c r="X268" s="236"/>
      <x:c r="Y268" s="236"/>
      <x:c r="Z268" s="236"/>
      <x:c r="AA268" s="236"/>
      <x:c r="AB268" s="236"/>
      <x:c r="AC268" s="236"/>
      <x:c r="AD268" s="236"/>
      <x:c r="AE268" s="236"/>
      <x:c r="AF268" s="236"/>
      <x:c r="AG268" s="236"/>
      <x:c r="AH268" s="236"/>
      <x:c r="AI268" s="236"/>
      <x:c r="AJ268" s="236"/>
      <x:c r="AK268" s="220">
        <x:f>+COUNTIF(F268:AJ268,"X")+COUNTIF(F268:AJ268,"E")</x:f>
      </x:c>
      <x:c r="AL268" s="221">
        <x:f>+COUNTIF(F268:AJ268,"R")+COUNTIF(F268:AJ268,"T")+COUNTIF(F268:AJ268,"İ")</x:f>
      </x:c>
      <x:c r="AM268" s="221">
        <x:f>+COUNTIF(F268:AJ268,"İ")</x:f>
      </x:c>
      <x:c r="AN268" s="222"/>
      <x:c r="AO268" s="222"/>
      <x:c r="AP268" s="228"/>
      <x:c r="AQ268" s="228"/>
      <x:c r="AR268" s="228"/>
      <x:c r="AS268" s="228"/>
      <x:c r="AT268" s="230"/>
    </x:row>
    <x:row r="269" spans="1:47" ht="15" customHeight="1" x14ac:dyDescent="0.25">
      <x:c r="A269" s="237"/>
      <x:c r="B269" s="216">
        <x:v>264</x:v>
      </x:c>
      <x:c r="C269" s="238"/>
      <x:c r="D269" s="239"/>
      <x:c r="E269" s="239"/>
      <x:c r="F269" s="219"/>
      <x:c r="G269" s="219"/>
      <x:c r="H269" s="219"/>
      <x:c r="I269" s="219"/>
      <x:c r="J269" s="219"/>
      <x:c r="K269" s="219"/>
      <x:c r="L269" s="219"/>
      <x:c r="M269" s="219"/>
      <x:c r="N269" s="219"/>
      <x:c r="O269" s="219"/>
      <x:c r="P269" s="219"/>
      <x:c r="Q269" s="219"/>
      <x:c r="R269" s="219"/>
      <x:c r="S269" s="219"/>
      <x:c r="T269" s="219"/>
      <x:c r="U269" s="219"/>
      <x:c r="V269" s="219"/>
      <x:c r="W269" s="219"/>
      <x:c r="X269" s="219"/>
      <x:c r="Y269" s="219"/>
      <x:c r="Z269" s="219"/>
      <x:c r="AA269" s="219"/>
      <x:c r="AB269" s="219"/>
      <x:c r="AC269" s="219"/>
      <x:c r="AD269" s="219"/>
      <x:c r="AE269" s="219"/>
      <x:c r="AF269" s="219"/>
      <x:c r="AG269" s="219"/>
      <x:c r="AH269" s="219"/>
      <x:c r="AI269" s="219"/>
      <x:c r="AJ269" s="219"/>
      <x:c r="AK269" s="220">
        <x:f>+COUNTIF(F269:AJ269,"X")+COUNTIF(F269:AJ269,"E")</x:f>
      </x:c>
      <x:c r="AL269" s="221">
        <x:f>+COUNTIF(F269:AJ269,"R")+COUNTIF(F269:AJ269,"T")+COUNTIF(F269:AJ269,"İ")</x:f>
      </x:c>
      <x:c r="AM269" s="221">
        <x:f>+COUNTIF(F269:AJ269,"İ")</x:f>
      </x:c>
      <x:c r="AN269" s="222"/>
      <x:c r="AO269" s="222"/>
      <x:c r="AP269" s="228"/>
      <x:c r="AQ269" s="228"/>
      <x:c r="AR269" s="228"/>
      <x:c r="AS269" s="228"/>
      <x:c r="AT269" s="230"/>
    </x:row>
    <x:row r="270" spans="1:47" ht="15" customHeight="1" x14ac:dyDescent="0.25">
      <x:c r="A270" s="237"/>
      <x:c r="B270" s="216">
        <x:v>265</x:v>
      </x:c>
      <x:c r="C270" s="238"/>
      <x:c r="D270" s="239"/>
      <x:c r="E270" s="239"/>
      <x:c r="F270" s="236"/>
      <x:c r="G270" s="236"/>
      <x:c r="H270" s="236"/>
      <x:c r="I270" s="236"/>
      <x:c r="J270" s="236"/>
      <x:c r="K270" s="236"/>
      <x:c r="L270" s="236"/>
      <x:c r="M270" s="236"/>
      <x:c r="N270" s="236"/>
      <x:c r="O270" s="236"/>
      <x:c r="P270" s="236"/>
      <x:c r="Q270" s="236"/>
      <x:c r="R270" s="236"/>
      <x:c r="S270" s="236"/>
      <x:c r="T270" s="236"/>
      <x:c r="U270" s="236"/>
      <x:c r="V270" s="236"/>
      <x:c r="W270" s="236"/>
      <x:c r="X270" s="236"/>
      <x:c r="Y270" s="236"/>
      <x:c r="Z270" s="236"/>
      <x:c r="AA270" s="236"/>
      <x:c r="AB270" s="236"/>
      <x:c r="AC270" s="236"/>
      <x:c r="AD270" s="236"/>
      <x:c r="AE270" s="236"/>
      <x:c r="AF270" s="236"/>
      <x:c r="AG270" s="236"/>
      <x:c r="AH270" s="236"/>
      <x:c r="AI270" s="236"/>
      <x:c r="AJ270" s="236"/>
      <x:c r="AK270" s="220">
        <x:f>+COUNTIF(F270:AJ270,"X")+COUNTIF(F270:AJ270,"E")</x:f>
      </x:c>
      <x:c r="AL270" s="221">
        <x:f>+COUNTIF(F270:AJ270,"R")+COUNTIF(F270:AJ270,"T")+COUNTIF(F270:AJ270,"İ")</x:f>
      </x:c>
      <x:c r="AM270" s="221">
        <x:f>+COUNTIF(F270:AJ270,"İ")</x:f>
      </x:c>
      <x:c r="AN270" s="222"/>
      <x:c r="AO270" s="222"/>
      <x:c r="AP270" s="228"/>
      <x:c r="AQ270" s="228"/>
      <x:c r="AR270" s="228"/>
      <x:c r="AS270" s="228"/>
      <x:c r="AT270" s="230"/>
    </x:row>
    <x:row r="271" spans="1:47" ht="15" customHeight="1" x14ac:dyDescent="0.25">
      <x:c r="A271" s="237"/>
      <x:c r="B271" s="216">
        <x:v>266</x:v>
      </x:c>
      <x:c r="C271" s="238"/>
      <x:c r="D271" s="239"/>
      <x:c r="E271" s="239"/>
      <x:c r="F271" s="219"/>
      <x:c r="G271" s="219"/>
      <x:c r="H271" s="219"/>
      <x:c r="I271" s="219"/>
      <x:c r="J271" s="219"/>
      <x:c r="K271" s="219"/>
      <x:c r="L271" s="219"/>
      <x:c r="M271" s="219"/>
      <x:c r="N271" s="219"/>
      <x:c r="O271" s="219"/>
      <x:c r="P271" s="219"/>
      <x:c r="Q271" s="219"/>
      <x:c r="R271" s="219"/>
      <x:c r="S271" s="219"/>
      <x:c r="T271" s="219"/>
      <x:c r="U271" s="219"/>
      <x:c r="V271" s="219"/>
      <x:c r="W271" s="219"/>
      <x:c r="X271" s="219"/>
      <x:c r="Y271" s="219"/>
      <x:c r="Z271" s="219"/>
      <x:c r="AA271" s="219"/>
      <x:c r="AB271" s="219"/>
      <x:c r="AC271" s="219"/>
      <x:c r="AD271" s="219"/>
      <x:c r="AE271" s="219"/>
      <x:c r="AF271" s="219"/>
      <x:c r="AG271" s="219"/>
      <x:c r="AH271" s="219"/>
      <x:c r="AI271" s="219"/>
      <x:c r="AJ271" s="219"/>
      <x:c r="AK271" s="220">
        <x:f>+COUNTIF(F271:AJ271,"X")+COUNTIF(F271:AJ271,"E")</x:f>
      </x:c>
      <x:c r="AL271" s="221">
        <x:f>+COUNTIF(F271:AJ271,"R")+COUNTIF(F271:AJ271,"T")+COUNTIF(F271:AJ271,"İ")</x:f>
      </x:c>
      <x:c r="AM271" s="221">
        <x:f>+COUNTIF(F271:AJ271,"İ")</x:f>
      </x:c>
      <x:c r="AN271" s="222"/>
      <x:c r="AO271" s="222"/>
      <x:c r="AP271" s="228"/>
      <x:c r="AQ271" s="228"/>
      <x:c r="AR271" s="228"/>
      <x:c r="AS271" s="228"/>
      <x:c r="AT271" s="230"/>
    </x:row>
    <x:row r="272" spans="1:47" ht="15" customHeight="1" x14ac:dyDescent="0.25">
      <x:c r="A272" s="237"/>
      <x:c r="B272" s="216">
        <x:v>267</x:v>
      </x:c>
      <x:c r="C272" s="238"/>
      <x:c r="D272" s="239"/>
      <x:c r="E272" s="239"/>
      <x:c r="F272" s="219"/>
      <x:c r="G272" s="219"/>
      <x:c r="H272" s="219"/>
      <x:c r="I272" s="219"/>
      <x:c r="J272" s="219"/>
      <x:c r="K272" s="219"/>
      <x:c r="L272" s="219"/>
      <x:c r="M272" s="219"/>
      <x:c r="N272" s="219"/>
      <x:c r="O272" s="219"/>
      <x:c r="P272" s="219"/>
      <x:c r="Q272" s="219"/>
      <x:c r="R272" s="219"/>
      <x:c r="S272" s="219"/>
      <x:c r="T272" s="219"/>
      <x:c r="U272" s="219"/>
      <x:c r="V272" s="219"/>
      <x:c r="W272" s="219"/>
      <x:c r="X272" s="219"/>
      <x:c r="Y272" s="219"/>
      <x:c r="Z272" s="219"/>
      <x:c r="AA272" s="219"/>
      <x:c r="AB272" s="219"/>
      <x:c r="AC272" s="219"/>
      <x:c r="AD272" s="219"/>
      <x:c r="AE272" s="219"/>
      <x:c r="AF272" s="219"/>
      <x:c r="AG272" s="219"/>
      <x:c r="AH272" s="219"/>
      <x:c r="AI272" s="219"/>
      <x:c r="AJ272" s="219"/>
      <x:c r="AK272" s="220">
        <x:f>+COUNTIF(F272:AJ272,"X")+COUNTIF(F272:AJ272,"E")</x:f>
      </x:c>
      <x:c r="AL272" s="221">
        <x:f>+COUNTIF(F272:AJ272,"R")+COUNTIF(F272:AJ272,"T")+COUNTIF(F272:AJ272,"İ")</x:f>
      </x:c>
      <x:c r="AM272" s="221">
        <x:f>+COUNTIF(F272:AJ272,"İ")</x:f>
      </x:c>
      <x:c r="AN272" s="222"/>
      <x:c r="AO272" s="222"/>
      <x:c r="AP272" s="228"/>
      <x:c r="AQ272" s="228"/>
      <x:c r="AR272" s="228"/>
      <x:c r="AS272" s="228"/>
      <x:c r="AT272" s="230"/>
    </x:row>
    <x:row r="273" spans="1:47" ht="15" customHeight="1" x14ac:dyDescent="0.25">
      <x:c r="A273" s="237"/>
      <x:c r="B273" s="216">
        <x:v>268</x:v>
      </x:c>
      <x:c r="C273" s="238"/>
      <x:c r="D273" s="239"/>
      <x:c r="E273" s="239"/>
      <x:c r="F273" s="219"/>
      <x:c r="G273" s="219"/>
      <x:c r="H273" s="219"/>
      <x:c r="I273" s="219"/>
      <x:c r="J273" s="219"/>
      <x:c r="K273" s="219"/>
      <x:c r="L273" s="219"/>
      <x:c r="M273" s="219"/>
      <x:c r="N273" s="219"/>
      <x:c r="O273" s="219"/>
      <x:c r="P273" s="219"/>
      <x:c r="Q273" s="219"/>
      <x:c r="R273" s="219"/>
      <x:c r="S273" s="219"/>
      <x:c r="T273" s="219"/>
      <x:c r="U273" s="219"/>
      <x:c r="V273" s="219"/>
      <x:c r="W273" s="219"/>
      <x:c r="X273" s="219"/>
      <x:c r="Y273" s="219"/>
      <x:c r="Z273" s="219"/>
      <x:c r="AA273" s="219"/>
      <x:c r="AB273" s="219"/>
      <x:c r="AC273" s="219"/>
      <x:c r="AD273" s="219"/>
      <x:c r="AE273" s="219"/>
      <x:c r="AF273" s="219"/>
      <x:c r="AG273" s="219"/>
      <x:c r="AH273" s="219"/>
      <x:c r="AI273" s="219"/>
      <x:c r="AJ273" s="219"/>
      <x:c r="AK273" s="220">
        <x:f>+COUNTIF(F273:AJ273,"X")+COUNTIF(F273:AJ273,"E")</x:f>
      </x:c>
      <x:c r="AL273" s="221">
        <x:f>+COUNTIF(F273:AJ273,"R")+COUNTIF(F273:AJ273,"T")+COUNTIF(F273:AJ273,"İ")</x:f>
      </x:c>
      <x:c r="AM273" s="221">
        <x:f>+COUNTIF(F273:AJ273,"İ")</x:f>
      </x:c>
      <x:c r="AN273" s="222"/>
      <x:c r="AO273" s="222"/>
      <x:c r="AP273" s="228"/>
      <x:c r="AQ273" s="228"/>
      <x:c r="AR273" s="228"/>
      <x:c r="AS273" s="228"/>
      <x:c r="AT273" s="230"/>
    </x:row>
    <x:row r="274" spans="1:47" ht="15" customHeight="1" x14ac:dyDescent="0.25">
      <x:c r="A274" s="237"/>
      <x:c r="B274" s="216">
        <x:v>269</x:v>
      </x:c>
      <x:c r="C274" s="238"/>
      <x:c r="D274" s="239"/>
      <x:c r="E274" s="239"/>
      <x:c r="F274" s="219"/>
      <x:c r="G274" s="219"/>
      <x:c r="H274" s="219"/>
      <x:c r="I274" s="219"/>
      <x:c r="J274" s="219"/>
      <x:c r="K274" s="219"/>
      <x:c r="L274" s="219"/>
      <x:c r="M274" s="219"/>
      <x:c r="N274" s="219"/>
      <x:c r="O274" s="219"/>
      <x:c r="P274" s="219"/>
      <x:c r="Q274" s="219"/>
      <x:c r="R274" s="219"/>
      <x:c r="S274" s="219"/>
      <x:c r="T274" s="219"/>
      <x:c r="U274" s="219"/>
      <x:c r="V274" s="219"/>
      <x:c r="W274" s="219"/>
      <x:c r="X274" s="219"/>
      <x:c r="Y274" s="219"/>
      <x:c r="Z274" s="219"/>
      <x:c r="AA274" s="219"/>
      <x:c r="AB274" s="219"/>
      <x:c r="AC274" s="219"/>
      <x:c r="AD274" s="219"/>
      <x:c r="AE274" s="219"/>
      <x:c r="AF274" s="219"/>
      <x:c r="AG274" s="219"/>
      <x:c r="AH274" s="219"/>
      <x:c r="AI274" s="219"/>
      <x:c r="AJ274" s="219"/>
      <x:c r="AK274" s="220">
        <x:f>+COUNTIF(F274:AJ274,"X")+COUNTIF(F274:AJ274,"E")</x:f>
      </x:c>
      <x:c r="AL274" s="221">
        <x:f>+COUNTIF(F274:AJ274,"R")+COUNTIF(F274:AJ274,"T")+COUNTIF(F274:AJ274,"İ")</x:f>
      </x:c>
      <x:c r="AM274" s="221">
        <x:f>+COUNTIF(F274:AJ274,"İ")</x:f>
      </x:c>
      <x:c r="AN274" s="222"/>
      <x:c r="AO274" s="222"/>
      <x:c r="AP274" s="228"/>
      <x:c r="AQ274" s="228"/>
      <x:c r="AR274" s="228"/>
      <x:c r="AS274" s="228"/>
      <x:c r="AT274" s="230"/>
    </x:row>
    <x:row r="275" spans="1:47" ht="15" customHeight="1" x14ac:dyDescent="0.25">
      <x:c r="A275" s="237"/>
      <x:c r="B275" s="216">
        <x:v>270</x:v>
      </x:c>
      <x:c r="C275" s="238"/>
      <x:c r="D275" s="239"/>
      <x:c r="E275" s="239"/>
      <x:c r="F275" s="236"/>
      <x:c r="G275" s="236"/>
      <x:c r="H275" s="236"/>
      <x:c r="I275" s="236"/>
      <x:c r="J275" s="236"/>
      <x:c r="K275" s="236"/>
      <x:c r="L275" s="236"/>
      <x:c r="M275" s="236"/>
      <x:c r="N275" s="236"/>
      <x:c r="O275" s="236"/>
      <x:c r="P275" s="236"/>
      <x:c r="Q275" s="236"/>
      <x:c r="R275" s="236"/>
      <x:c r="S275" s="236"/>
      <x:c r="T275" s="236"/>
      <x:c r="U275" s="236"/>
      <x:c r="V275" s="236"/>
      <x:c r="W275" s="236"/>
      <x:c r="X275" s="236"/>
      <x:c r="Y275" s="236"/>
      <x:c r="Z275" s="236"/>
      <x:c r="AA275" s="236"/>
      <x:c r="AB275" s="236"/>
      <x:c r="AC275" s="236"/>
      <x:c r="AD275" s="236"/>
      <x:c r="AE275" s="236"/>
      <x:c r="AF275" s="236"/>
      <x:c r="AG275" s="236"/>
      <x:c r="AH275" s="236"/>
      <x:c r="AI275" s="236"/>
      <x:c r="AJ275" s="236"/>
      <x:c r="AK275" s="220">
        <x:f>+COUNTIF(F275:AJ275,"X")+COUNTIF(F275:AJ275,"E")</x:f>
      </x:c>
      <x:c r="AL275" s="221">
        <x:f>+COUNTIF(F275:AJ275,"R")+COUNTIF(F275:AJ275,"T")+COUNTIF(F275:AJ275,"İ")</x:f>
      </x:c>
      <x:c r="AM275" s="221">
        <x:f>+COUNTIF(F275:AJ275,"İ")</x:f>
      </x:c>
      <x:c r="AN275" s="222"/>
      <x:c r="AO275" s="222"/>
      <x:c r="AP275" s="228"/>
      <x:c r="AQ275" s="228"/>
      <x:c r="AR275" s="228"/>
      <x:c r="AS275" s="228"/>
      <x:c r="AT275" s="230"/>
    </x:row>
    <x:row r="276" spans="1:47" ht="15" customHeight="1" x14ac:dyDescent="0.25">
      <x:c r="A276" s="237"/>
      <x:c r="B276" s="216">
        <x:v>271</x:v>
      </x:c>
      <x:c r="C276" s="238"/>
      <x:c r="D276" s="239"/>
      <x:c r="E276" s="239"/>
      <x:c r="F276" s="236"/>
      <x:c r="G276" s="236"/>
      <x:c r="H276" s="236"/>
      <x:c r="I276" s="236"/>
      <x:c r="J276" s="236"/>
      <x:c r="K276" s="236"/>
      <x:c r="L276" s="236"/>
      <x:c r="M276" s="236"/>
      <x:c r="N276" s="236"/>
      <x:c r="O276" s="236"/>
      <x:c r="P276" s="236"/>
      <x:c r="Q276" s="236"/>
      <x:c r="R276" s="236"/>
      <x:c r="S276" s="236"/>
      <x:c r="T276" s="236"/>
      <x:c r="U276" s="236"/>
      <x:c r="V276" s="236"/>
      <x:c r="W276" s="236"/>
      <x:c r="X276" s="236"/>
      <x:c r="Y276" s="236"/>
      <x:c r="Z276" s="236"/>
      <x:c r="AA276" s="236"/>
      <x:c r="AB276" s="236"/>
      <x:c r="AC276" s="236"/>
      <x:c r="AD276" s="236"/>
      <x:c r="AE276" s="236"/>
      <x:c r="AF276" s="236"/>
      <x:c r="AG276" s="236"/>
      <x:c r="AH276" s="236"/>
      <x:c r="AI276" s="236"/>
      <x:c r="AJ276" s="236"/>
      <x:c r="AK276" s="220">
        <x:f>+COUNTIF(F276:AJ276,"X")+COUNTIF(F276:AJ276,"E")</x:f>
      </x:c>
      <x:c r="AL276" s="221">
        <x:f>+COUNTIF(F276:AJ276,"R")+COUNTIF(F276:AJ276,"T")+COUNTIF(F276:AJ276,"İ")</x:f>
      </x:c>
      <x:c r="AM276" s="221">
        <x:f>+COUNTIF(F276:AJ276,"İ")</x:f>
      </x:c>
      <x:c r="AN276" s="222"/>
      <x:c r="AO276" s="222"/>
      <x:c r="AP276" s="228"/>
      <x:c r="AQ276" s="228"/>
      <x:c r="AR276" s="228"/>
      <x:c r="AS276" s="228"/>
      <x:c r="AT276" s="230"/>
    </x:row>
    <x:row r="277" spans="1:47" ht="15" customHeight="1" x14ac:dyDescent="0.25">
      <x:c r="A277" s="237"/>
      <x:c r="B277" s="216">
        <x:v>272</x:v>
      </x:c>
      <x:c r="C277" s="238"/>
      <x:c r="D277" s="239"/>
      <x:c r="E277" s="239"/>
      <x:c r="F277" s="236"/>
      <x:c r="G277" s="236"/>
      <x:c r="H277" s="236"/>
      <x:c r="I277" s="236"/>
      <x:c r="J277" s="236"/>
      <x:c r="K277" s="236"/>
      <x:c r="L277" s="236"/>
      <x:c r="M277" s="236"/>
      <x:c r="N277" s="236"/>
      <x:c r="O277" s="236"/>
      <x:c r="P277" s="236"/>
      <x:c r="Q277" s="236"/>
      <x:c r="R277" s="236"/>
      <x:c r="S277" s="236"/>
      <x:c r="T277" s="236"/>
      <x:c r="U277" s="236"/>
      <x:c r="V277" s="236"/>
      <x:c r="W277" s="236"/>
      <x:c r="X277" s="236"/>
      <x:c r="Y277" s="236"/>
      <x:c r="Z277" s="236"/>
      <x:c r="AA277" s="236"/>
      <x:c r="AB277" s="236"/>
      <x:c r="AC277" s="236"/>
      <x:c r="AD277" s="236"/>
      <x:c r="AE277" s="236"/>
      <x:c r="AF277" s="236"/>
      <x:c r="AG277" s="236"/>
      <x:c r="AH277" s="236"/>
      <x:c r="AI277" s="236"/>
      <x:c r="AJ277" s="236"/>
      <x:c r="AK277" s="220">
        <x:f>+COUNTIF(F277:AJ277,"X")+COUNTIF(F277:AJ277,"E")</x:f>
      </x:c>
      <x:c r="AL277" s="221">
        <x:f>+COUNTIF(F277:AJ277,"R")+COUNTIF(F277:AJ277,"T")+COUNTIF(F277:AJ277,"İ")</x:f>
      </x:c>
      <x:c r="AM277" s="221">
        <x:f>+COUNTIF(F277:AJ277,"İ")</x:f>
      </x:c>
      <x:c r="AN277" s="222"/>
      <x:c r="AO277" s="222"/>
      <x:c r="AP277" s="228"/>
      <x:c r="AQ277" s="228"/>
      <x:c r="AR277" s="228"/>
      <x:c r="AS277" s="228"/>
      <x:c r="AT277" s="230"/>
    </x:row>
    <x:row r="278" spans="1:47" ht="15" customHeight="1" x14ac:dyDescent="0.25">
      <x:c r="A278" s="237"/>
      <x:c r="B278" s="216">
        <x:v>273</x:v>
      </x:c>
      <x:c r="C278" s="238"/>
      <x:c r="D278" s="239"/>
      <x:c r="E278" s="239"/>
      <x:c r="F278" s="219"/>
      <x:c r="G278" s="219"/>
      <x:c r="H278" s="219"/>
      <x:c r="I278" s="219"/>
      <x:c r="J278" s="219"/>
      <x:c r="K278" s="219"/>
      <x:c r="L278" s="219"/>
      <x:c r="M278" s="219"/>
      <x:c r="N278" s="219"/>
      <x:c r="O278" s="219"/>
      <x:c r="P278" s="219"/>
      <x:c r="Q278" s="219"/>
      <x:c r="R278" s="219"/>
      <x:c r="S278" s="219"/>
      <x:c r="T278" s="219"/>
      <x:c r="U278" s="219"/>
      <x:c r="V278" s="219"/>
      <x:c r="W278" s="219"/>
      <x:c r="X278" s="219"/>
      <x:c r="Y278" s="219"/>
      <x:c r="Z278" s="219"/>
      <x:c r="AA278" s="219"/>
      <x:c r="AB278" s="219"/>
      <x:c r="AC278" s="219"/>
      <x:c r="AD278" s="219"/>
      <x:c r="AE278" s="219"/>
      <x:c r="AF278" s="219"/>
      <x:c r="AG278" s="219"/>
      <x:c r="AH278" s="219"/>
      <x:c r="AI278" s="219"/>
      <x:c r="AJ278" s="219"/>
      <x:c r="AK278" s="220">
        <x:f>+COUNTIF(F278:AJ278,"X")+COUNTIF(F278:AJ278,"E")</x:f>
      </x:c>
      <x:c r="AL278" s="221">
        <x:f>+COUNTIF(F278:AJ278,"R")+COUNTIF(F278:AJ278,"T")+COUNTIF(F278:AJ278,"İ")</x:f>
      </x:c>
      <x:c r="AM278" s="221">
        <x:f>+COUNTIF(F278:AJ278,"İ")</x:f>
      </x:c>
      <x:c r="AN278" s="222"/>
      <x:c r="AO278" s="222"/>
      <x:c r="AP278" s="228"/>
      <x:c r="AQ278" s="228"/>
      <x:c r="AR278" s="228"/>
      <x:c r="AS278" s="228"/>
      <x:c r="AT278" s="230"/>
    </x:row>
    <x:row r="279" spans="1:47" ht="15" customHeight="1" x14ac:dyDescent="0.25">
      <x:c r="A279" s="237"/>
      <x:c r="B279" s="216">
        <x:v>274</x:v>
      </x:c>
      <x:c r="C279" s="238"/>
      <x:c r="D279" s="239"/>
      <x:c r="E279" s="239"/>
      <x:c r="F279" s="219"/>
      <x:c r="G279" s="219"/>
      <x:c r="H279" s="219"/>
      <x:c r="I279" s="219"/>
      <x:c r="J279" s="219"/>
      <x:c r="K279" s="219"/>
      <x:c r="L279" s="219"/>
      <x:c r="M279" s="219"/>
      <x:c r="N279" s="219"/>
      <x:c r="O279" s="219"/>
      <x:c r="P279" s="219"/>
      <x:c r="Q279" s="219"/>
      <x:c r="R279" s="219"/>
      <x:c r="S279" s="219"/>
      <x:c r="T279" s="219"/>
      <x:c r="U279" s="219"/>
      <x:c r="V279" s="219"/>
      <x:c r="W279" s="219"/>
      <x:c r="X279" s="219"/>
      <x:c r="Y279" s="219"/>
      <x:c r="Z279" s="219"/>
      <x:c r="AA279" s="219"/>
      <x:c r="AB279" s="219"/>
      <x:c r="AC279" s="219"/>
      <x:c r="AD279" s="219"/>
      <x:c r="AE279" s="219"/>
      <x:c r="AF279" s="219"/>
      <x:c r="AG279" s="219"/>
      <x:c r="AH279" s="219"/>
      <x:c r="AI279" s="219"/>
      <x:c r="AJ279" s="219"/>
      <x:c r="AK279" s="220">
        <x:f>+COUNTIF(F279:AJ279,"X")+COUNTIF(F279:AJ279,"E")</x:f>
      </x:c>
      <x:c r="AL279" s="221">
        <x:f>+COUNTIF(F279:AJ279,"R")+COUNTIF(F279:AJ279,"T")+COUNTIF(F279:AJ279,"İ")</x:f>
      </x:c>
      <x:c r="AM279" s="221">
        <x:f>+COUNTIF(F279:AJ279,"İ")</x:f>
      </x:c>
      <x:c r="AN279" s="222"/>
      <x:c r="AO279" s="222"/>
      <x:c r="AP279" s="228"/>
      <x:c r="AQ279" s="228"/>
      <x:c r="AR279" s="228"/>
      <x:c r="AS279" s="228"/>
      <x:c r="AT279" s="230"/>
    </x:row>
    <x:row r="280" spans="1:47" ht="15" customHeight="1" x14ac:dyDescent="0.25">
      <x:c r="A280" s="237"/>
      <x:c r="B280" s="216">
        <x:v>275</x:v>
      </x:c>
      <x:c r="C280" s="238"/>
      <x:c r="D280" s="239"/>
      <x:c r="E280" s="239"/>
      <x:c r="F280" s="236"/>
      <x:c r="G280" s="236"/>
      <x:c r="H280" s="236"/>
      <x:c r="I280" s="236"/>
      <x:c r="J280" s="236"/>
      <x:c r="K280" s="236"/>
      <x:c r="L280" s="236"/>
      <x:c r="M280" s="236"/>
      <x:c r="N280" s="236"/>
      <x:c r="O280" s="236"/>
      <x:c r="P280" s="236"/>
      <x:c r="Q280" s="236"/>
      <x:c r="R280" s="236"/>
      <x:c r="S280" s="236"/>
      <x:c r="T280" s="236"/>
      <x:c r="U280" s="236"/>
      <x:c r="V280" s="236"/>
      <x:c r="W280" s="236"/>
      <x:c r="X280" s="236"/>
      <x:c r="Y280" s="236"/>
      <x:c r="Z280" s="236"/>
      <x:c r="AA280" s="236"/>
      <x:c r="AB280" s="236"/>
      <x:c r="AC280" s="236"/>
      <x:c r="AD280" s="236"/>
      <x:c r="AE280" s="236"/>
      <x:c r="AF280" s="236"/>
      <x:c r="AG280" s="236"/>
      <x:c r="AH280" s="236"/>
      <x:c r="AI280" s="236"/>
      <x:c r="AJ280" s="236"/>
      <x:c r="AK280" s="220">
        <x:f>+COUNTIF(F280:AJ280,"X")+COUNTIF(F280:AJ280,"E")</x:f>
      </x:c>
      <x:c r="AL280" s="221">
        <x:f>+COUNTIF(F280:AJ280,"R")+COUNTIF(F280:AJ280,"T")+COUNTIF(F280:AJ280,"İ")</x:f>
      </x:c>
      <x:c r="AM280" s="221">
        <x:f>+COUNTIF(F280:AJ280,"İ")</x:f>
      </x:c>
      <x:c r="AN280" s="222"/>
      <x:c r="AO280" s="222"/>
      <x:c r="AP280" s="228"/>
      <x:c r="AQ280" s="228"/>
      <x:c r="AR280" s="228"/>
      <x:c r="AS280" s="228"/>
      <x:c r="AT280" s="230"/>
    </x:row>
    <x:row r="281" spans="1:47" ht="15" customHeight="1" x14ac:dyDescent="0.25">
      <x:c r="A281" s="237"/>
      <x:c r="B281" s="216">
        <x:v>276</x:v>
      </x:c>
      <x:c r="C281" s="238"/>
      <x:c r="D281" s="239"/>
      <x:c r="E281" s="239"/>
      <x:c r="F281" s="219"/>
      <x:c r="G281" s="219"/>
      <x:c r="H281" s="219"/>
      <x:c r="I281" s="219"/>
      <x:c r="J281" s="219"/>
      <x:c r="K281" s="219"/>
      <x:c r="L281" s="219"/>
      <x:c r="M281" s="219"/>
      <x:c r="N281" s="219"/>
      <x:c r="O281" s="219"/>
      <x:c r="P281" s="219"/>
      <x:c r="Q281" s="219"/>
      <x:c r="R281" s="219"/>
      <x:c r="S281" s="219"/>
      <x:c r="T281" s="219"/>
      <x:c r="U281" s="219"/>
      <x:c r="V281" s="219"/>
      <x:c r="W281" s="219"/>
      <x:c r="X281" s="219"/>
      <x:c r="Y281" s="219"/>
      <x:c r="Z281" s="219"/>
      <x:c r="AA281" s="219"/>
      <x:c r="AB281" s="219"/>
      <x:c r="AC281" s="219"/>
      <x:c r="AD281" s="219"/>
      <x:c r="AE281" s="219"/>
      <x:c r="AF281" s="219"/>
      <x:c r="AG281" s="219"/>
      <x:c r="AH281" s="219"/>
      <x:c r="AI281" s="219"/>
      <x:c r="AJ281" s="219"/>
      <x:c r="AK281" s="220">
        <x:f>+COUNTIF(F281:AJ281,"X")+COUNTIF(F281:AJ281,"E")</x:f>
      </x:c>
      <x:c r="AL281" s="221">
        <x:f>+COUNTIF(F281:AJ281,"R")+COUNTIF(F281:AJ281,"T")+COUNTIF(F281:AJ281,"İ")</x:f>
      </x:c>
      <x:c r="AM281" s="221">
        <x:f>+COUNTIF(F281:AJ281,"İ")</x:f>
      </x:c>
      <x:c r="AN281" s="222"/>
      <x:c r="AO281" s="222"/>
      <x:c r="AP281" s="228"/>
      <x:c r="AQ281" s="228"/>
      <x:c r="AR281" s="228"/>
      <x:c r="AS281" s="228"/>
      <x:c r="AT281" s="230"/>
    </x:row>
    <x:row r="282" spans="1:47" ht="15" customHeight="1" x14ac:dyDescent="0.25">
      <x:c r="A282" s="237"/>
      <x:c r="B282" s="216">
        <x:v>277</x:v>
      </x:c>
      <x:c r="C282" s="238"/>
      <x:c r="D282" s="239"/>
      <x:c r="E282" s="239"/>
      <x:c r="F282" s="219"/>
      <x:c r="G282" s="219"/>
      <x:c r="H282" s="219"/>
      <x:c r="I282" s="219"/>
      <x:c r="J282" s="219"/>
      <x:c r="K282" s="219"/>
      <x:c r="L282" s="219"/>
      <x:c r="M282" s="219"/>
      <x:c r="N282" s="219"/>
      <x:c r="O282" s="219"/>
      <x:c r="P282" s="219"/>
      <x:c r="Q282" s="219"/>
      <x:c r="R282" s="219"/>
      <x:c r="S282" s="219"/>
      <x:c r="T282" s="219"/>
      <x:c r="U282" s="219"/>
      <x:c r="V282" s="219"/>
      <x:c r="W282" s="219"/>
      <x:c r="X282" s="219"/>
      <x:c r="Y282" s="219"/>
      <x:c r="Z282" s="219"/>
      <x:c r="AA282" s="219"/>
      <x:c r="AB282" s="219"/>
      <x:c r="AC282" s="219"/>
      <x:c r="AD282" s="219"/>
      <x:c r="AE282" s="219"/>
      <x:c r="AF282" s="219"/>
      <x:c r="AG282" s="219"/>
      <x:c r="AH282" s="219"/>
      <x:c r="AI282" s="219"/>
      <x:c r="AJ282" s="219"/>
      <x:c r="AK282" s="220">
        <x:f>+COUNTIF(F282:AJ282,"X")+COUNTIF(F282:AJ282,"E")</x:f>
      </x:c>
      <x:c r="AL282" s="221">
        <x:f>+COUNTIF(F282:AJ282,"R")+COUNTIF(F282:AJ282,"T")+COUNTIF(F282:AJ282,"İ")</x:f>
      </x:c>
      <x:c r="AM282" s="221">
        <x:f>+COUNTIF(F282:AJ282,"İ")</x:f>
      </x:c>
      <x:c r="AN282" s="222"/>
      <x:c r="AO282" s="222"/>
      <x:c r="AP282" s="228"/>
      <x:c r="AQ282" s="228"/>
      <x:c r="AR282" s="228"/>
      <x:c r="AS282" s="228"/>
      <x:c r="AT282" s="230"/>
    </x:row>
    <x:row r="283" spans="1:47" ht="15" customHeight="1" x14ac:dyDescent="0.25">
      <x:c r="A283" s="237"/>
      <x:c r="B283" s="216">
        <x:v>278</x:v>
      </x:c>
      <x:c r="C283" s="238"/>
      <x:c r="D283" s="239"/>
      <x:c r="E283" s="239"/>
      <x:c r="F283" s="219"/>
      <x:c r="G283" s="219"/>
      <x:c r="H283" s="219"/>
      <x:c r="I283" s="219"/>
      <x:c r="J283" s="219"/>
      <x:c r="K283" s="219"/>
      <x:c r="L283" s="219"/>
      <x:c r="M283" s="219"/>
      <x:c r="N283" s="219"/>
      <x:c r="O283" s="219"/>
      <x:c r="P283" s="219"/>
      <x:c r="Q283" s="219"/>
      <x:c r="R283" s="219"/>
      <x:c r="S283" s="219"/>
      <x:c r="T283" s="219"/>
      <x:c r="U283" s="219"/>
      <x:c r="V283" s="219"/>
      <x:c r="W283" s="219"/>
      <x:c r="X283" s="219"/>
      <x:c r="Y283" s="219"/>
      <x:c r="Z283" s="219"/>
      <x:c r="AA283" s="219"/>
      <x:c r="AB283" s="219"/>
      <x:c r="AC283" s="219"/>
      <x:c r="AD283" s="219"/>
      <x:c r="AE283" s="219"/>
      <x:c r="AF283" s="219"/>
      <x:c r="AG283" s="219"/>
      <x:c r="AH283" s="219"/>
      <x:c r="AI283" s="219"/>
      <x:c r="AJ283" s="219"/>
      <x:c r="AK283" s="220">
        <x:f>+COUNTIF(F283:AJ283,"X")+COUNTIF(F283:AJ283,"E")</x:f>
      </x:c>
      <x:c r="AL283" s="221">
        <x:f>+COUNTIF(F283:AJ283,"R")+COUNTIF(F283:AJ283,"T")+COUNTIF(F283:AJ283,"İ")</x:f>
      </x:c>
      <x:c r="AM283" s="221">
        <x:f>+COUNTIF(F283:AJ283,"İ")</x:f>
      </x:c>
      <x:c r="AN283" s="222"/>
      <x:c r="AO283" s="222"/>
      <x:c r="AP283" s="228"/>
      <x:c r="AQ283" s="228"/>
      <x:c r="AR283" s="228"/>
      <x:c r="AS283" s="228"/>
      <x:c r="AT283" s="230"/>
    </x:row>
    <x:row r="284" spans="1:47" ht="15" customHeight="1" x14ac:dyDescent="0.25">
      <x:c r="A284" s="237"/>
      <x:c r="B284" s="216">
        <x:v>279</x:v>
      </x:c>
      <x:c r="C284" s="238"/>
      <x:c r="D284" s="239"/>
      <x:c r="E284" s="239"/>
      <x:c r="F284" s="236"/>
      <x:c r="G284" s="236"/>
      <x:c r="H284" s="236"/>
      <x:c r="I284" s="236"/>
      <x:c r="J284" s="236"/>
      <x:c r="K284" s="236"/>
      <x:c r="L284" s="236"/>
      <x:c r="M284" s="236"/>
      <x:c r="N284" s="236"/>
      <x:c r="O284" s="236"/>
      <x:c r="P284" s="236"/>
      <x:c r="Q284" s="236"/>
      <x:c r="R284" s="236"/>
      <x:c r="S284" s="236"/>
      <x:c r="T284" s="236"/>
      <x:c r="U284" s="236"/>
      <x:c r="V284" s="236"/>
      <x:c r="W284" s="236"/>
      <x:c r="X284" s="236"/>
      <x:c r="Y284" s="236"/>
      <x:c r="Z284" s="236"/>
      <x:c r="AA284" s="236"/>
      <x:c r="AB284" s="236"/>
      <x:c r="AC284" s="236"/>
      <x:c r="AD284" s="236"/>
      <x:c r="AE284" s="236"/>
      <x:c r="AF284" s="236"/>
      <x:c r="AG284" s="236"/>
      <x:c r="AH284" s="236"/>
      <x:c r="AI284" s="236"/>
      <x:c r="AJ284" s="236"/>
      <x:c r="AK284" s="220">
        <x:f>+COUNTIF(F284:AJ284,"X")+COUNTIF(F284:AJ284,"E")</x:f>
      </x:c>
      <x:c r="AL284" s="221">
        <x:f>+COUNTIF(F284:AJ284,"R")+COUNTIF(F284:AJ284,"T")+COUNTIF(F284:AJ284,"İ")</x:f>
      </x:c>
      <x:c r="AM284" s="221">
        <x:f>+COUNTIF(F284:AJ284,"İ")</x:f>
      </x:c>
      <x:c r="AN284" s="222"/>
      <x:c r="AO284" s="222"/>
      <x:c r="AP284" s="228"/>
      <x:c r="AQ284" s="228"/>
      <x:c r="AR284" s="228"/>
      <x:c r="AS284" s="228"/>
      <x:c r="AT284" s="230"/>
    </x:row>
    <x:row r="285" spans="1:47" ht="15" customHeight="1" x14ac:dyDescent="0.25">
      <x:c r="A285" s="237"/>
      <x:c r="B285" s="216">
        <x:v>280</x:v>
      </x:c>
      <x:c r="C285" s="238"/>
      <x:c r="D285" s="239"/>
      <x:c r="E285" s="239"/>
      <x:c r="F285" s="236"/>
      <x:c r="G285" s="236"/>
      <x:c r="H285" s="236"/>
      <x:c r="I285" s="236"/>
      <x:c r="J285" s="236"/>
      <x:c r="K285" s="236"/>
      <x:c r="L285" s="236"/>
      <x:c r="M285" s="236"/>
      <x:c r="N285" s="236"/>
      <x:c r="O285" s="236"/>
      <x:c r="P285" s="236"/>
      <x:c r="Q285" s="236"/>
      <x:c r="R285" s="236"/>
      <x:c r="S285" s="236"/>
      <x:c r="T285" s="236"/>
      <x:c r="U285" s="236"/>
      <x:c r="V285" s="236"/>
      <x:c r="W285" s="236"/>
      <x:c r="X285" s="236"/>
      <x:c r="Y285" s="236"/>
      <x:c r="Z285" s="236"/>
      <x:c r="AA285" s="236"/>
      <x:c r="AB285" s="236"/>
      <x:c r="AC285" s="236"/>
      <x:c r="AD285" s="236"/>
      <x:c r="AE285" s="236"/>
      <x:c r="AF285" s="236"/>
      <x:c r="AG285" s="236"/>
      <x:c r="AH285" s="236"/>
      <x:c r="AI285" s="236"/>
      <x:c r="AJ285" s="236"/>
      <x:c r="AK285" s="220">
        <x:f>+COUNTIF(F285:AJ285,"X")+COUNTIF(F285:AJ285,"E")</x:f>
      </x:c>
      <x:c r="AL285" s="221">
        <x:f>+COUNTIF(F285:AJ285,"R")+COUNTIF(F285:AJ285,"T")+COUNTIF(F285:AJ285,"İ")</x:f>
      </x:c>
      <x:c r="AM285" s="221">
        <x:f>+COUNTIF(F285:AJ285,"İ")</x:f>
      </x:c>
      <x:c r="AN285" s="222"/>
      <x:c r="AO285" s="222"/>
      <x:c r="AP285" s="228"/>
      <x:c r="AQ285" s="228"/>
      <x:c r="AR285" s="228"/>
      <x:c r="AS285" s="228"/>
      <x:c r="AT285" s="230"/>
    </x:row>
    <x:row r="286" spans="1:47" ht="15" customHeight="1" x14ac:dyDescent="0.25">
      <x:c r="A286" s="237"/>
      <x:c r="B286" s="216">
        <x:v>281</x:v>
      </x:c>
      <x:c r="C286" s="238"/>
      <x:c r="D286" s="239"/>
      <x:c r="E286" s="239"/>
      <x:c r="F286" s="219"/>
      <x:c r="G286" s="219"/>
      <x:c r="H286" s="219"/>
      <x:c r="I286" s="219"/>
      <x:c r="J286" s="219"/>
      <x:c r="K286" s="219"/>
      <x:c r="L286" s="219"/>
      <x:c r="M286" s="219"/>
      <x:c r="N286" s="219"/>
      <x:c r="O286" s="219"/>
      <x:c r="P286" s="219"/>
      <x:c r="Q286" s="219"/>
      <x:c r="R286" s="219"/>
      <x:c r="S286" s="219"/>
      <x:c r="T286" s="219"/>
      <x:c r="U286" s="219"/>
      <x:c r="V286" s="219"/>
      <x:c r="W286" s="219"/>
      <x:c r="X286" s="219"/>
      <x:c r="Y286" s="219"/>
      <x:c r="Z286" s="219"/>
      <x:c r="AA286" s="219"/>
      <x:c r="AB286" s="219"/>
      <x:c r="AC286" s="219"/>
      <x:c r="AD286" s="219"/>
      <x:c r="AE286" s="219"/>
      <x:c r="AF286" s="219"/>
      <x:c r="AG286" s="219"/>
      <x:c r="AH286" s="219"/>
      <x:c r="AI286" s="219"/>
      <x:c r="AJ286" s="219"/>
      <x:c r="AK286" s="220">
        <x:f>+COUNTIF(F286:AJ286,"X")+COUNTIF(F286:AJ286,"E")</x:f>
      </x:c>
      <x:c r="AL286" s="221">
        <x:f>+COUNTIF(F286:AJ286,"R")+COUNTIF(F286:AJ286,"T")+COUNTIF(F286:AJ286,"İ")</x:f>
      </x:c>
      <x:c r="AM286" s="221">
        <x:f>+COUNTIF(F286:AJ286,"İ")</x:f>
      </x:c>
      <x:c r="AN286" s="222"/>
      <x:c r="AO286" s="222"/>
      <x:c r="AP286" s="228"/>
      <x:c r="AQ286" s="228"/>
      <x:c r="AR286" s="228"/>
      <x:c r="AS286" s="228"/>
      <x:c r="AT286" s="230"/>
    </x:row>
    <x:row r="287" spans="1:47" ht="15" customHeight="1" x14ac:dyDescent="0.25">
      <x:c r="A287" s="237"/>
      <x:c r="B287" s="216">
        <x:v>282</x:v>
      </x:c>
      <x:c r="C287" s="238"/>
      <x:c r="D287" s="239"/>
      <x:c r="E287" s="239"/>
      <x:c r="F287" s="236"/>
      <x:c r="G287" s="236"/>
      <x:c r="H287" s="236"/>
      <x:c r="I287" s="236"/>
      <x:c r="J287" s="236"/>
      <x:c r="K287" s="236"/>
      <x:c r="L287" s="236"/>
      <x:c r="M287" s="236"/>
      <x:c r="N287" s="236"/>
      <x:c r="O287" s="236"/>
      <x:c r="P287" s="236"/>
      <x:c r="Q287" s="236"/>
      <x:c r="R287" s="236"/>
      <x:c r="S287" s="236"/>
      <x:c r="T287" s="236"/>
      <x:c r="U287" s="236"/>
      <x:c r="V287" s="236"/>
      <x:c r="W287" s="236"/>
      <x:c r="X287" s="236"/>
      <x:c r="Y287" s="236"/>
      <x:c r="Z287" s="236"/>
      <x:c r="AA287" s="236"/>
      <x:c r="AB287" s="236"/>
      <x:c r="AC287" s="236"/>
      <x:c r="AD287" s="236"/>
      <x:c r="AE287" s="236"/>
      <x:c r="AF287" s="236"/>
      <x:c r="AG287" s="236"/>
      <x:c r="AH287" s="236"/>
      <x:c r="AI287" s="236"/>
      <x:c r="AJ287" s="236"/>
      <x:c r="AK287" s="220">
        <x:f>+COUNTIF(F287:AJ287,"X")+COUNTIF(F287:AJ287,"E")</x:f>
      </x:c>
      <x:c r="AL287" s="221">
        <x:f>+COUNTIF(F287:AJ287,"R")+COUNTIF(F287:AJ287,"T")+COUNTIF(F287:AJ287,"İ")</x:f>
      </x:c>
      <x:c r="AM287" s="221">
        <x:f>+COUNTIF(F287:AJ287,"İ")</x:f>
      </x:c>
      <x:c r="AN287" s="222"/>
      <x:c r="AO287" s="222"/>
      <x:c r="AP287" s="228"/>
      <x:c r="AQ287" s="228"/>
      <x:c r="AR287" s="228"/>
      <x:c r="AS287" s="228"/>
      <x:c r="AT287" s="230"/>
    </x:row>
    <x:row r="288" spans="1:47" ht="15" customHeight="1" x14ac:dyDescent="0.25">
      <x:c r="A288" s="237"/>
      <x:c r="B288" s="216">
        <x:v>283</x:v>
      </x:c>
      <x:c r="C288" s="238"/>
      <x:c r="D288" s="239"/>
      <x:c r="E288" s="239"/>
      <x:c r="F288" s="219"/>
      <x:c r="G288" s="219"/>
      <x:c r="H288" s="219"/>
      <x:c r="I288" s="219"/>
      <x:c r="J288" s="219"/>
      <x:c r="K288" s="219"/>
      <x:c r="L288" s="219"/>
      <x:c r="M288" s="219"/>
      <x:c r="N288" s="219"/>
      <x:c r="O288" s="219"/>
      <x:c r="P288" s="219"/>
      <x:c r="Q288" s="219"/>
      <x:c r="R288" s="219"/>
      <x:c r="S288" s="219"/>
      <x:c r="T288" s="219"/>
      <x:c r="U288" s="219"/>
      <x:c r="V288" s="219"/>
      <x:c r="W288" s="219"/>
      <x:c r="X288" s="219"/>
      <x:c r="Y288" s="219"/>
      <x:c r="Z288" s="219"/>
      <x:c r="AA288" s="219"/>
      <x:c r="AB288" s="219"/>
      <x:c r="AC288" s="219"/>
      <x:c r="AD288" s="219"/>
      <x:c r="AE288" s="219"/>
      <x:c r="AF288" s="219"/>
      <x:c r="AG288" s="219"/>
      <x:c r="AH288" s="219"/>
      <x:c r="AI288" s="219"/>
      <x:c r="AJ288" s="219"/>
      <x:c r="AK288" s="220">
        <x:f>+COUNTIF(F288:AJ288,"X")+COUNTIF(F288:AJ288,"E")</x:f>
      </x:c>
      <x:c r="AL288" s="221">
        <x:f>+COUNTIF(F288:AJ288,"R")+COUNTIF(F288:AJ288,"T")+COUNTIF(F288:AJ288,"İ")</x:f>
      </x:c>
      <x:c r="AM288" s="221">
        <x:f>+COUNTIF(F288:AJ288,"İ")</x:f>
      </x:c>
      <x:c r="AN288" s="222"/>
      <x:c r="AO288" s="222"/>
      <x:c r="AP288" s="228"/>
      <x:c r="AQ288" s="228"/>
      <x:c r="AR288" s="228"/>
      <x:c r="AS288" s="228"/>
      <x:c r="AT288" s="230"/>
    </x:row>
    <x:row r="289" spans="1:47" ht="15" customHeight="1" x14ac:dyDescent="0.25">
      <x:c r="A289" s="237"/>
      <x:c r="B289" s="216">
        <x:v>284</x:v>
      </x:c>
      <x:c r="C289" s="238"/>
      <x:c r="D289" s="239"/>
      <x:c r="E289" s="239"/>
      <x:c r="F289" s="219"/>
      <x:c r="G289" s="219"/>
      <x:c r="H289" s="219"/>
      <x:c r="I289" s="219"/>
      <x:c r="J289" s="219"/>
      <x:c r="K289" s="219"/>
      <x:c r="L289" s="219"/>
      <x:c r="M289" s="219"/>
      <x:c r="N289" s="219"/>
      <x:c r="O289" s="219"/>
      <x:c r="P289" s="219"/>
      <x:c r="Q289" s="219"/>
      <x:c r="R289" s="219"/>
      <x:c r="S289" s="219"/>
      <x:c r="T289" s="219"/>
      <x:c r="U289" s="219"/>
      <x:c r="V289" s="219"/>
      <x:c r="W289" s="219"/>
      <x:c r="X289" s="219"/>
      <x:c r="Y289" s="219"/>
      <x:c r="Z289" s="219"/>
      <x:c r="AA289" s="219"/>
      <x:c r="AB289" s="219"/>
      <x:c r="AC289" s="219"/>
      <x:c r="AD289" s="219"/>
      <x:c r="AE289" s="219"/>
      <x:c r="AF289" s="219"/>
      <x:c r="AG289" s="219"/>
      <x:c r="AH289" s="219"/>
      <x:c r="AI289" s="219"/>
      <x:c r="AJ289" s="219"/>
      <x:c r="AK289" s="220">
        <x:f>+COUNTIF(F289:AJ289,"X")+COUNTIF(F289:AJ289,"E")</x:f>
      </x:c>
      <x:c r="AL289" s="221">
        <x:f>+COUNTIF(F289:AJ289,"R")+COUNTIF(F289:AJ289,"T")+COUNTIF(F289:AJ289,"İ")</x:f>
      </x:c>
      <x:c r="AM289" s="221">
        <x:f>+COUNTIF(F289:AJ289,"İ")</x:f>
      </x:c>
      <x:c r="AN289" s="222"/>
      <x:c r="AO289" s="222"/>
      <x:c r="AP289" s="228"/>
      <x:c r="AQ289" s="228"/>
      <x:c r="AR289" s="228"/>
      <x:c r="AS289" s="228"/>
      <x:c r="AT289" s="230"/>
    </x:row>
    <x:row r="290" spans="1:47" ht="15" customHeight="1" x14ac:dyDescent="0.25">
      <x:c r="A290" s="237"/>
      <x:c r="B290" s="216">
        <x:v>285</x:v>
      </x:c>
      <x:c r="C290" s="238"/>
      <x:c r="D290" s="239"/>
      <x:c r="E290" s="239"/>
      <x:c r="F290" s="236"/>
      <x:c r="G290" s="236"/>
      <x:c r="H290" s="236"/>
      <x:c r="I290" s="236"/>
      <x:c r="J290" s="236"/>
      <x:c r="K290" s="236"/>
      <x:c r="L290" s="236"/>
      <x:c r="M290" s="236"/>
      <x:c r="N290" s="236"/>
      <x:c r="O290" s="236"/>
      <x:c r="P290" s="236"/>
      <x:c r="Q290" s="236"/>
      <x:c r="R290" s="236"/>
      <x:c r="S290" s="236"/>
      <x:c r="T290" s="236"/>
      <x:c r="U290" s="236"/>
      <x:c r="V290" s="236"/>
      <x:c r="W290" s="236"/>
      <x:c r="X290" s="236"/>
      <x:c r="Y290" s="236"/>
      <x:c r="Z290" s="236"/>
      <x:c r="AA290" s="236"/>
      <x:c r="AB290" s="236"/>
      <x:c r="AC290" s="236"/>
      <x:c r="AD290" s="236"/>
      <x:c r="AE290" s="236"/>
      <x:c r="AF290" s="236"/>
      <x:c r="AG290" s="236"/>
      <x:c r="AH290" s="236"/>
      <x:c r="AI290" s="236"/>
      <x:c r="AJ290" s="236"/>
      <x:c r="AK290" s="220">
        <x:f>+COUNTIF(F290:AJ290,"X")+COUNTIF(F290:AJ290,"E")</x:f>
      </x:c>
      <x:c r="AL290" s="221">
        <x:f>+COUNTIF(F290:AJ290,"R")+COUNTIF(F290:AJ290,"T")+COUNTIF(F290:AJ290,"İ")</x:f>
      </x:c>
      <x:c r="AM290" s="221">
        <x:f>+COUNTIF(F290:AJ290,"İ")</x:f>
      </x:c>
      <x:c r="AN290" s="222"/>
      <x:c r="AO290" s="222"/>
      <x:c r="AP290" s="228"/>
      <x:c r="AQ290" s="228"/>
      <x:c r="AR290" s="228"/>
      <x:c r="AS290" s="228"/>
      <x:c r="AT290" s="233"/>
    </x:row>
    <x:row r="291" spans="1:47" ht="15" customHeight="1" x14ac:dyDescent="0.25">
      <x:c r="A291" s="237"/>
      <x:c r="B291" s="216">
        <x:v>286</x:v>
      </x:c>
      <x:c r="C291" s="238"/>
      <x:c r="D291" s="239"/>
      <x:c r="E291" s="239"/>
      <x:c r="F291" s="219"/>
      <x:c r="G291" s="219"/>
      <x:c r="H291" s="219"/>
      <x:c r="I291" s="219"/>
      <x:c r="J291" s="219"/>
      <x:c r="K291" s="219"/>
      <x:c r="L291" s="219"/>
      <x:c r="M291" s="219"/>
      <x:c r="N291" s="219"/>
      <x:c r="O291" s="219"/>
      <x:c r="P291" s="219"/>
      <x:c r="Q291" s="219"/>
      <x:c r="R291" s="219"/>
      <x:c r="S291" s="219"/>
      <x:c r="T291" s="219"/>
      <x:c r="U291" s="219"/>
      <x:c r="V291" s="219"/>
      <x:c r="W291" s="219"/>
      <x:c r="X291" s="219"/>
      <x:c r="Y291" s="219"/>
      <x:c r="Z291" s="219"/>
      <x:c r="AA291" s="219"/>
      <x:c r="AB291" s="219"/>
      <x:c r="AC291" s="219"/>
      <x:c r="AD291" s="219"/>
      <x:c r="AE291" s="219"/>
      <x:c r="AF291" s="219"/>
      <x:c r="AG291" s="219"/>
      <x:c r="AH291" s="219"/>
      <x:c r="AI291" s="219"/>
      <x:c r="AJ291" s="219"/>
      <x:c r="AK291" s="220">
        <x:f>+COUNTIF(F291:AJ291,"X")+COUNTIF(F291:AJ291,"E")</x:f>
      </x:c>
      <x:c r="AL291" s="221">
        <x:f>+COUNTIF(F291:AJ291,"R")+COUNTIF(F291:AJ291,"T")+COUNTIF(F291:AJ291,"İ")</x:f>
      </x:c>
      <x:c r="AM291" s="221">
        <x:f>+COUNTIF(F291:AJ291,"İ")</x:f>
      </x:c>
      <x:c r="AN291" s="222"/>
      <x:c r="AO291" s="222"/>
      <x:c r="AP291" s="228"/>
      <x:c r="AQ291" s="228"/>
      <x:c r="AR291" s="228"/>
      <x:c r="AS291" s="228"/>
      <x:c r="AT291" s="230"/>
    </x:row>
    <x:row r="292" spans="1:47" ht="15" customHeight="1" x14ac:dyDescent="0.25">
      <x:c r="A292" s="237"/>
      <x:c r="B292" s="216">
        <x:v>287</x:v>
      </x:c>
      <x:c r="C292" s="238"/>
      <x:c r="D292" s="239"/>
      <x:c r="E292" s="239"/>
      <x:c r="F292" s="219"/>
      <x:c r="G292" s="219"/>
      <x:c r="H292" s="219"/>
      <x:c r="I292" s="219"/>
      <x:c r="J292" s="219"/>
      <x:c r="K292" s="219"/>
      <x:c r="L292" s="219"/>
      <x:c r="M292" s="219"/>
      <x:c r="N292" s="219"/>
      <x:c r="O292" s="219"/>
      <x:c r="P292" s="219"/>
      <x:c r="Q292" s="219"/>
      <x:c r="R292" s="219"/>
      <x:c r="S292" s="219"/>
      <x:c r="T292" s="219"/>
      <x:c r="U292" s="219"/>
      <x:c r="V292" s="219"/>
      <x:c r="W292" s="219"/>
      <x:c r="X292" s="219"/>
      <x:c r="Y292" s="219"/>
      <x:c r="Z292" s="219"/>
      <x:c r="AA292" s="219"/>
      <x:c r="AB292" s="219"/>
      <x:c r="AC292" s="219"/>
      <x:c r="AD292" s="219"/>
      <x:c r="AE292" s="219"/>
      <x:c r="AF292" s="219"/>
      <x:c r="AG292" s="219"/>
      <x:c r="AH292" s="219"/>
      <x:c r="AI292" s="219"/>
      <x:c r="AJ292" s="219"/>
      <x:c r="AK292" s="220">
        <x:f>+COUNTIF(F292:AJ292,"X")+COUNTIF(F292:AJ292,"E")</x:f>
      </x:c>
      <x:c r="AL292" s="221">
        <x:f>+COUNTIF(F292:AJ292,"R")+COUNTIF(F292:AJ292,"T")+COUNTIF(F292:AJ292,"İ")</x:f>
      </x:c>
      <x:c r="AM292" s="221">
        <x:f>+COUNTIF(F292:AJ292,"İ")</x:f>
      </x:c>
      <x:c r="AN292" s="222"/>
      <x:c r="AO292" s="222"/>
      <x:c r="AP292" s="228"/>
      <x:c r="AQ292" s="228"/>
      <x:c r="AR292" s="228"/>
      <x:c r="AS292" s="228"/>
      <x:c r="AT292" s="230"/>
    </x:row>
    <x:row r="293" spans="1:47" ht="15" customHeight="1" x14ac:dyDescent="0.25">
      <x:c r="A293" s="237"/>
      <x:c r="B293" s="216">
        <x:v>288</x:v>
      </x:c>
      <x:c r="C293" s="238"/>
      <x:c r="D293" s="239"/>
      <x:c r="E293" s="239"/>
      <x:c r="F293" s="236"/>
      <x:c r="G293" s="236"/>
      <x:c r="H293" s="236"/>
      <x:c r="I293" s="236"/>
      <x:c r="J293" s="236"/>
      <x:c r="K293" s="236"/>
      <x:c r="L293" s="236"/>
      <x:c r="M293" s="236"/>
      <x:c r="N293" s="236"/>
      <x:c r="O293" s="236"/>
      <x:c r="P293" s="236"/>
      <x:c r="Q293" s="236"/>
      <x:c r="R293" s="236"/>
      <x:c r="S293" s="236"/>
      <x:c r="T293" s="236"/>
      <x:c r="U293" s="236"/>
      <x:c r="V293" s="236"/>
      <x:c r="W293" s="236"/>
      <x:c r="X293" s="236"/>
      <x:c r="Y293" s="236"/>
      <x:c r="Z293" s="236"/>
      <x:c r="AA293" s="236"/>
      <x:c r="AB293" s="236"/>
      <x:c r="AC293" s="236"/>
      <x:c r="AD293" s="236"/>
      <x:c r="AE293" s="236"/>
      <x:c r="AF293" s="236"/>
      <x:c r="AG293" s="236"/>
      <x:c r="AH293" s="236"/>
      <x:c r="AI293" s="236"/>
      <x:c r="AJ293" s="236"/>
      <x:c r="AK293" s="220">
        <x:f>+COUNTIF(F293:AJ293,"X")+COUNTIF(F293:AJ293,"E")</x:f>
      </x:c>
      <x:c r="AL293" s="221">
        <x:f>+COUNTIF(F293:AJ293,"R")+COUNTIF(F293:AJ293,"T")+COUNTIF(F293:AJ293,"İ")</x:f>
      </x:c>
      <x:c r="AM293" s="221">
        <x:f>+COUNTIF(F293:AJ293,"İ")</x:f>
      </x:c>
      <x:c r="AN293" s="222"/>
      <x:c r="AO293" s="222"/>
      <x:c r="AP293" s="228"/>
      <x:c r="AQ293" s="228"/>
      <x:c r="AR293" s="228"/>
      <x:c r="AS293" s="228"/>
      <x:c r="AT293" s="230"/>
    </x:row>
    <x:row r="294" spans="1:47" ht="15" customHeight="1" x14ac:dyDescent="0.25">
      <x:c r="A294" s="237"/>
      <x:c r="B294" s="216">
        <x:v>289</x:v>
      </x:c>
      <x:c r="C294" s="238"/>
      <x:c r="D294" s="239"/>
      <x:c r="E294" s="239"/>
      <x:c r="F294" s="236"/>
      <x:c r="G294" s="236"/>
      <x:c r="H294" s="236"/>
      <x:c r="I294" s="236"/>
      <x:c r="J294" s="236"/>
      <x:c r="K294" s="236"/>
      <x:c r="L294" s="236"/>
      <x:c r="M294" s="236"/>
      <x:c r="N294" s="236"/>
      <x:c r="O294" s="236"/>
      <x:c r="P294" s="236"/>
      <x:c r="Q294" s="236"/>
      <x:c r="R294" s="236"/>
      <x:c r="S294" s="236"/>
      <x:c r="T294" s="236"/>
      <x:c r="U294" s="236"/>
      <x:c r="V294" s="236"/>
      <x:c r="W294" s="236"/>
      <x:c r="X294" s="236"/>
      <x:c r="Y294" s="236"/>
      <x:c r="Z294" s="236"/>
      <x:c r="AA294" s="236"/>
      <x:c r="AB294" s="236"/>
      <x:c r="AC294" s="236"/>
      <x:c r="AD294" s="236"/>
      <x:c r="AE294" s="236"/>
      <x:c r="AF294" s="236"/>
      <x:c r="AG294" s="236"/>
      <x:c r="AH294" s="236"/>
      <x:c r="AI294" s="236"/>
      <x:c r="AJ294" s="236"/>
      <x:c r="AK294" s="220">
        <x:f>+COUNTIF(F294:AJ294,"X")+COUNTIF(F294:AJ294,"E")</x:f>
      </x:c>
      <x:c r="AL294" s="221">
        <x:f>+COUNTIF(F294:AJ294,"R")+COUNTIF(F294:AJ294,"T")+COUNTIF(F294:AJ294,"İ")</x:f>
      </x:c>
      <x:c r="AM294" s="221">
        <x:f>+COUNTIF(F294:AJ294,"İ")</x:f>
      </x:c>
      <x:c r="AN294" s="222"/>
      <x:c r="AO294" s="222"/>
      <x:c r="AP294" s="228"/>
      <x:c r="AQ294" s="228"/>
      <x:c r="AR294" s="228"/>
      <x:c r="AS294" s="228"/>
      <x:c r="AT294" s="230"/>
    </x:row>
    <x:row r="295" spans="1:47" ht="15" customHeight="1" x14ac:dyDescent="0.25">
      <x:c r="A295" s="237"/>
      <x:c r="B295" s="216">
        <x:v>290</x:v>
      </x:c>
      <x:c r="C295" s="238"/>
      <x:c r="D295" s="239"/>
      <x:c r="E295" s="239"/>
      <x:c r="F295" s="236"/>
      <x:c r="G295" s="236"/>
      <x:c r="H295" s="236"/>
      <x:c r="I295" s="236"/>
      <x:c r="J295" s="236"/>
      <x:c r="K295" s="236"/>
      <x:c r="L295" s="236"/>
      <x:c r="M295" s="236"/>
      <x:c r="N295" s="236"/>
      <x:c r="O295" s="236"/>
      <x:c r="P295" s="236"/>
      <x:c r="Q295" s="236"/>
      <x:c r="R295" s="236"/>
      <x:c r="S295" s="236"/>
      <x:c r="T295" s="236"/>
      <x:c r="U295" s="236"/>
      <x:c r="V295" s="236"/>
      <x:c r="W295" s="236"/>
      <x:c r="X295" s="236"/>
      <x:c r="Y295" s="236"/>
      <x:c r="Z295" s="236"/>
      <x:c r="AA295" s="236"/>
      <x:c r="AB295" s="236"/>
      <x:c r="AC295" s="236"/>
      <x:c r="AD295" s="236"/>
      <x:c r="AE295" s="236"/>
      <x:c r="AF295" s="236"/>
      <x:c r="AG295" s="236"/>
      <x:c r="AH295" s="236"/>
      <x:c r="AI295" s="236"/>
      <x:c r="AJ295" s="236"/>
      <x:c r="AK295" s="220">
        <x:f>+COUNTIF(F295:AJ295,"X")+COUNTIF(F295:AJ295,"E")</x:f>
      </x:c>
      <x:c r="AL295" s="221">
        <x:f>+COUNTIF(F295:AJ295,"R")+COUNTIF(F295:AJ295,"T")+COUNTIF(F295:AJ295,"İ")</x:f>
      </x:c>
      <x:c r="AM295" s="221">
        <x:f>+COUNTIF(F295:AJ295,"İ")</x:f>
      </x:c>
      <x:c r="AN295" s="222"/>
      <x:c r="AO295" s="222"/>
      <x:c r="AP295" s="228"/>
      <x:c r="AQ295" s="228"/>
      <x:c r="AR295" s="228"/>
      <x:c r="AS295" s="228"/>
      <x:c r="AT295" s="230"/>
    </x:row>
    <x:row r="296" spans="1:47" ht="15" customHeight="1" x14ac:dyDescent="0.25">
      <x:c r="A296" s="237"/>
      <x:c r="B296" s="216">
        <x:v>291</x:v>
      </x:c>
      <x:c r="C296" s="238"/>
      <x:c r="D296" s="239"/>
      <x:c r="E296" s="239"/>
      <x:c r="F296" s="236"/>
      <x:c r="G296" s="236"/>
      <x:c r="H296" s="236"/>
      <x:c r="I296" s="236"/>
      <x:c r="J296" s="236"/>
      <x:c r="K296" s="236"/>
      <x:c r="L296" s="236"/>
      <x:c r="M296" s="236"/>
      <x:c r="N296" s="236"/>
      <x:c r="O296" s="236"/>
      <x:c r="P296" s="236"/>
      <x:c r="Q296" s="236"/>
      <x:c r="R296" s="236"/>
      <x:c r="S296" s="236"/>
      <x:c r="T296" s="236"/>
      <x:c r="U296" s="236"/>
      <x:c r="V296" s="236"/>
      <x:c r="W296" s="236"/>
      <x:c r="X296" s="236"/>
      <x:c r="Y296" s="236"/>
      <x:c r="Z296" s="236"/>
      <x:c r="AA296" s="236"/>
      <x:c r="AB296" s="236"/>
      <x:c r="AC296" s="236"/>
      <x:c r="AD296" s="236"/>
      <x:c r="AE296" s="236"/>
      <x:c r="AF296" s="236"/>
      <x:c r="AG296" s="236"/>
      <x:c r="AH296" s="236"/>
      <x:c r="AI296" s="236"/>
      <x:c r="AJ296" s="236"/>
      <x:c r="AK296" s="220">
        <x:f>+COUNTIF(F296:AJ296,"X")+COUNTIF(F296:AJ296,"E")</x:f>
      </x:c>
      <x:c r="AL296" s="221">
        <x:f>+COUNTIF(F296:AJ296,"R")+COUNTIF(F296:AJ296,"T")+COUNTIF(F296:AJ296,"İ")</x:f>
      </x:c>
      <x:c r="AM296" s="221">
        <x:f>+COUNTIF(F296:AJ296,"İ")</x:f>
      </x:c>
      <x:c r="AN296" s="222"/>
      <x:c r="AO296" s="222"/>
      <x:c r="AP296" s="228"/>
      <x:c r="AQ296" s="228"/>
      <x:c r="AR296" s="228"/>
      <x:c r="AS296" s="228"/>
      <x:c r="AT296" s="230"/>
    </x:row>
    <x:row r="297" spans="1:47" ht="15" customHeight="1" x14ac:dyDescent="0.25">
      <x:c r="A297" s="237"/>
      <x:c r="B297" s="216">
        <x:v>292</x:v>
      </x:c>
      <x:c r="C297" s="238"/>
      <x:c r="D297" s="239"/>
      <x:c r="E297" s="239"/>
      <x:c r="F297" s="236"/>
      <x:c r="G297" s="236"/>
      <x:c r="H297" s="236"/>
      <x:c r="I297" s="236"/>
      <x:c r="J297" s="236"/>
      <x:c r="K297" s="236"/>
      <x:c r="L297" s="236"/>
      <x:c r="M297" s="236"/>
      <x:c r="N297" s="236"/>
      <x:c r="O297" s="236"/>
      <x:c r="P297" s="236"/>
      <x:c r="Q297" s="236"/>
      <x:c r="R297" s="236"/>
      <x:c r="S297" s="236"/>
      <x:c r="T297" s="236"/>
      <x:c r="U297" s="236"/>
      <x:c r="V297" s="236"/>
      <x:c r="W297" s="236"/>
      <x:c r="X297" s="236"/>
      <x:c r="Y297" s="236"/>
      <x:c r="Z297" s="236"/>
      <x:c r="AA297" s="236"/>
      <x:c r="AB297" s="236"/>
      <x:c r="AC297" s="236"/>
      <x:c r="AD297" s="236"/>
      <x:c r="AE297" s="236"/>
      <x:c r="AF297" s="236"/>
      <x:c r="AG297" s="236"/>
      <x:c r="AH297" s="236"/>
      <x:c r="AI297" s="236"/>
      <x:c r="AJ297" s="236"/>
      <x:c r="AK297" s="220">
        <x:f>+COUNTIF(F297:AJ297,"X")+COUNTIF(F297:AJ297,"E")</x:f>
      </x:c>
      <x:c r="AL297" s="221">
        <x:f>+COUNTIF(F297:AJ297,"R")+COUNTIF(F297:AJ297,"T")+COUNTIF(F297:AJ297,"İ")</x:f>
      </x:c>
      <x:c r="AM297" s="221">
        <x:f>+COUNTIF(F297:AJ297,"İ")</x:f>
      </x:c>
      <x:c r="AN297" s="222"/>
      <x:c r="AO297" s="222"/>
      <x:c r="AP297" s="228"/>
      <x:c r="AQ297" s="228"/>
      <x:c r="AR297" s="228"/>
      <x:c r="AS297" s="228"/>
      <x:c r="AT297" s="230"/>
    </x:row>
    <x:row r="298" spans="1:47" ht="15" customHeight="1" x14ac:dyDescent="0.25">
      <x:c r="A298" s="237"/>
      <x:c r="B298" s="216">
        <x:v>293</x:v>
      </x:c>
      <x:c r="C298" s="238"/>
      <x:c r="D298" s="239"/>
      <x:c r="E298" s="239"/>
      <x:c r="F298" s="236"/>
      <x:c r="G298" s="236"/>
      <x:c r="H298" s="236"/>
      <x:c r="I298" s="236"/>
      <x:c r="J298" s="236"/>
      <x:c r="K298" s="236"/>
      <x:c r="L298" s="236"/>
      <x:c r="M298" s="236"/>
      <x:c r="N298" s="236"/>
      <x:c r="O298" s="236"/>
      <x:c r="P298" s="236"/>
      <x:c r="Q298" s="236"/>
      <x:c r="R298" s="236"/>
      <x:c r="S298" s="236"/>
      <x:c r="T298" s="236"/>
      <x:c r="U298" s="236"/>
      <x:c r="V298" s="236"/>
      <x:c r="W298" s="236"/>
      <x:c r="X298" s="236"/>
      <x:c r="Y298" s="236"/>
      <x:c r="Z298" s="236"/>
      <x:c r="AA298" s="236"/>
      <x:c r="AB298" s="236"/>
      <x:c r="AC298" s="236"/>
      <x:c r="AD298" s="236"/>
      <x:c r="AE298" s="236"/>
      <x:c r="AF298" s="236"/>
      <x:c r="AG298" s="236"/>
      <x:c r="AH298" s="236"/>
      <x:c r="AI298" s="236"/>
      <x:c r="AJ298" s="236"/>
      <x:c r="AK298" s="220">
        <x:f>+COUNTIF(F298:AJ298,"X")+COUNTIF(F298:AJ298,"E")</x:f>
      </x:c>
      <x:c r="AL298" s="221">
        <x:f>+COUNTIF(F298:AJ298,"R")+COUNTIF(F298:AJ298,"T")+COUNTIF(F298:AJ298,"İ")</x:f>
      </x:c>
      <x:c r="AM298" s="221">
        <x:f>+COUNTIF(F298:AJ298,"İ")</x:f>
      </x:c>
      <x:c r="AN298" s="222"/>
      <x:c r="AO298" s="222"/>
      <x:c r="AP298" s="228"/>
      <x:c r="AQ298" s="228"/>
      <x:c r="AR298" s="228"/>
      <x:c r="AS298" s="228"/>
      <x:c r="AT298" s="230"/>
    </x:row>
    <x:row r="299" spans="1:47" ht="15" customHeight="1" x14ac:dyDescent="0.25">
      <x:c r="A299" s="237"/>
      <x:c r="B299" s="216">
        <x:v>294</x:v>
      </x:c>
      <x:c r="C299" s="238"/>
      <x:c r="D299" s="239"/>
      <x:c r="E299" s="239"/>
      <x:c r="F299" s="236"/>
      <x:c r="G299" s="236"/>
      <x:c r="H299" s="236"/>
      <x:c r="I299" s="236"/>
      <x:c r="J299" s="236"/>
      <x:c r="K299" s="236"/>
      <x:c r="L299" s="236"/>
      <x:c r="M299" s="236"/>
      <x:c r="N299" s="236"/>
      <x:c r="O299" s="236"/>
      <x:c r="P299" s="236"/>
      <x:c r="Q299" s="236"/>
      <x:c r="R299" s="236"/>
      <x:c r="S299" s="236"/>
      <x:c r="T299" s="236"/>
      <x:c r="U299" s="236"/>
      <x:c r="V299" s="236"/>
      <x:c r="W299" s="236"/>
      <x:c r="X299" s="236"/>
      <x:c r="Y299" s="236"/>
      <x:c r="Z299" s="236"/>
      <x:c r="AA299" s="236"/>
      <x:c r="AB299" s="236"/>
      <x:c r="AC299" s="236"/>
      <x:c r="AD299" s="236"/>
      <x:c r="AE299" s="236"/>
      <x:c r="AF299" s="236"/>
      <x:c r="AG299" s="236"/>
      <x:c r="AH299" s="236"/>
      <x:c r="AI299" s="236"/>
      <x:c r="AJ299" s="236"/>
      <x:c r="AK299" s="220">
        <x:f>+COUNTIF(F299:AJ299,"X")+COUNTIF(F299:AJ299,"E")</x:f>
      </x:c>
      <x:c r="AL299" s="221">
        <x:f>+COUNTIF(F299:AJ299,"R")+COUNTIF(F299:AJ299,"T")+COUNTIF(F299:AJ299,"İ")</x:f>
      </x:c>
      <x:c r="AM299" s="221">
        <x:f>+COUNTIF(F299:AJ299,"İ")</x:f>
      </x:c>
      <x:c r="AN299" s="222"/>
      <x:c r="AO299" s="222"/>
      <x:c r="AP299" s="228"/>
      <x:c r="AQ299" s="228"/>
      <x:c r="AR299" s="228"/>
      <x:c r="AS299" s="228"/>
      <x:c r="AT299" s="230"/>
    </x:row>
    <x:row r="300" spans="1:47" ht="15" customHeight="1" x14ac:dyDescent="0.25">
      <x:c r="A300" s="237"/>
      <x:c r="B300" s="216">
        <x:v>295</x:v>
      </x:c>
      <x:c r="C300" s="238"/>
      <x:c r="D300" s="239"/>
      <x:c r="E300" s="239"/>
      <x:c r="F300" s="236"/>
      <x:c r="G300" s="236"/>
      <x:c r="H300" s="236"/>
      <x:c r="I300" s="236"/>
      <x:c r="J300" s="236"/>
      <x:c r="K300" s="236"/>
      <x:c r="L300" s="236"/>
      <x:c r="M300" s="236"/>
      <x:c r="N300" s="236"/>
      <x:c r="O300" s="236"/>
      <x:c r="P300" s="236"/>
      <x:c r="Q300" s="236"/>
      <x:c r="R300" s="236"/>
      <x:c r="S300" s="236"/>
      <x:c r="T300" s="236"/>
      <x:c r="U300" s="236"/>
      <x:c r="V300" s="236"/>
      <x:c r="W300" s="236"/>
      <x:c r="X300" s="236"/>
      <x:c r="Y300" s="236"/>
      <x:c r="Z300" s="236"/>
      <x:c r="AA300" s="236"/>
      <x:c r="AB300" s="236"/>
      <x:c r="AC300" s="236"/>
      <x:c r="AD300" s="236"/>
      <x:c r="AE300" s="236"/>
      <x:c r="AF300" s="236"/>
      <x:c r="AG300" s="236"/>
      <x:c r="AH300" s="236"/>
      <x:c r="AI300" s="236"/>
      <x:c r="AJ300" s="236"/>
      <x:c r="AK300" s="220">
        <x:f>+COUNTIF(F300:AJ300,"X")+COUNTIF(F300:AJ300,"E")</x:f>
      </x:c>
      <x:c r="AL300" s="221">
        <x:f>+COUNTIF(F300:AJ300,"R")+COUNTIF(F300:AJ300,"T")+COUNTIF(F300:AJ300,"İ")</x:f>
      </x:c>
      <x:c r="AM300" s="221">
        <x:f>+COUNTIF(F300:AJ300,"İ")</x:f>
      </x:c>
      <x:c r="AN300" s="222"/>
      <x:c r="AO300" s="222"/>
      <x:c r="AP300" s="228"/>
      <x:c r="AQ300" s="228"/>
      <x:c r="AR300" s="228"/>
      <x:c r="AS300" s="228"/>
      <x:c r="AT300" s="230"/>
    </x:row>
    <x:row r="301" spans="1:47" ht="15" customHeight="1" x14ac:dyDescent="0.25">
      <x:c r="A301" s="237"/>
      <x:c r="B301" s="216">
        <x:v>296</x:v>
      </x:c>
      <x:c r="C301" s="238"/>
      <x:c r="D301" s="239"/>
      <x:c r="E301" s="239"/>
      <x:c r="F301" s="236"/>
      <x:c r="G301" s="236"/>
      <x:c r="H301" s="236"/>
      <x:c r="I301" s="236"/>
      <x:c r="J301" s="236"/>
      <x:c r="K301" s="236"/>
      <x:c r="L301" s="236"/>
      <x:c r="M301" s="236"/>
      <x:c r="N301" s="236"/>
      <x:c r="O301" s="236"/>
      <x:c r="P301" s="236"/>
      <x:c r="Q301" s="236"/>
      <x:c r="R301" s="236"/>
      <x:c r="S301" s="236"/>
      <x:c r="T301" s="236"/>
      <x:c r="U301" s="236"/>
      <x:c r="V301" s="236"/>
      <x:c r="W301" s="236"/>
      <x:c r="X301" s="236"/>
      <x:c r="Y301" s="236"/>
      <x:c r="Z301" s="236"/>
      <x:c r="AA301" s="236"/>
      <x:c r="AB301" s="236"/>
      <x:c r="AC301" s="236"/>
      <x:c r="AD301" s="236"/>
      <x:c r="AE301" s="236"/>
      <x:c r="AF301" s="236"/>
      <x:c r="AG301" s="236"/>
      <x:c r="AH301" s="236"/>
      <x:c r="AI301" s="236"/>
      <x:c r="AJ301" s="236"/>
      <x:c r="AK301" s="220">
        <x:f>+COUNTIF(F301:AJ301,"X")+COUNTIF(F301:AJ301,"E")</x:f>
      </x:c>
      <x:c r="AL301" s="221">
        <x:f>+COUNTIF(F301:AJ301,"R")+COUNTIF(F301:AJ301,"T")+COUNTIF(F301:AJ301,"İ")</x:f>
      </x:c>
      <x:c r="AM301" s="221">
        <x:f>+COUNTIF(F301:AJ301,"İ")</x:f>
      </x:c>
      <x:c r="AN301" s="222"/>
      <x:c r="AO301" s="222"/>
      <x:c r="AP301" s="228"/>
      <x:c r="AQ301" s="228"/>
      <x:c r="AR301" s="228"/>
      <x:c r="AS301" s="228"/>
      <x:c r="AT301" s="230"/>
    </x:row>
    <x:row r="302" spans="1:47" ht="15" customHeight="1" x14ac:dyDescent="0.25">
      <x:c r="A302" s="237"/>
      <x:c r="B302" s="216">
        <x:v>297</x:v>
      </x:c>
      <x:c r="C302" s="238"/>
      <x:c r="D302" s="239"/>
      <x:c r="E302" s="239"/>
      <x:c r="F302" s="236"/>
      <x:c r="G302" s="236"/>
      <x:c r="H302" s="236"/>
      <x:c r="I302" s="236"/>
      <x:c r="J302" s="236"/>
      <x:c r="K302" s="236"/>
      <x:c r="L302" s="236"/>
      <x:c r="M302" s="236"/>
      <x:c r="N302" s="236"/>
      <x:c r="O302" s="236"/>
      <x:c r="P302" s="236"/>
      <x:c r="Q302" s="236"/>
      <x:c r="R302" s="236"/>
      <x:c r="S302" s="236"/>
      <x:c r="T302" s="236"/>
      <x:c r="U302" s="236"/>
      <x:c r="V302" s="236"/>
      <x:c r="W302" s="236"/>
      <x:c r="X302" s="236"/>
      <x:c r="Y302" s="236"/>
      <x:c r="Z302" s="236"/>
      <x:c r="AA302" s="236"/>
      <x:c r="AB302" s="236"/>
      <x:c r="AC302" s="236"/>
      <x:c r="AD302" s="236"/>
      <x:c r="AE302" s="236"/>
      <x:c r="AF302" s="236"/>
      <x:c r="AG302" s="236"/>
      <x:c r="AH302" s="236"/>
      <x:c r="AI302" s="236"/>
      <x:c r="AJ302" s="236"/>
      <x:c r="AK302" s="220">
        <x:f>+COUNTIF(F302:AJ302,"X")+COUNTIF(F302:AJ302,"E")</x:f>
      </x:c>
      <x:c r="AL302" s="221">
        <x:f>+COUNTIF(F302:AJ302,"R")+COUNTIF(F302:AJ302,"T")+COUNTIF(F302:AJ302,"İ")</x:f>
      </x:c>
      <x:c r="AM302" s="221">
        <x:f>+COUNTIF(F302:AJ302,"İ")</x:f>
      </x:c>
      <x:c r="AN302" s="222"/>
      <x:c r="AO302" s="222"/>
      <x:c r="AP302" s="228"/>
      <x:c r="AQ302" s="228"/>
      <x:c r="AR302" s="228"/>
      <x:c r="AS302" s="228"/>
      <x:c r="AT302" s="230"/>
    </x:row>
    <x:row r="303" spans="1:47" ht="15" customHeight="1" x14ac:dyDescent="0.25">
      <x:c r="A303" s="237"/>
      <x:c r="B303" s="216">
        <x:v>298</x:v>
      </x:c>
      <x:c r="C303" s="238"/>
      <x:c r="D303" s="239"/>
      <x:c r="E303" s="239"/>
      <x:c r="F303" s="236"/>
      <x:c r="G303" s="236"/>
      <x:c r="H303" s="236"/>
      <x:c r="I303" s="236"/>
      <x:c r="J303" s="236"/>
      <x:c r="K303" s="236"/>
      <x:c r="L303" s="236"/>
      <x:c r="M303" s="236"/>
      <x:c r="N303" s="236"/>
      <x:c r="O303" s="236"/>
      <x:c r="P303" s="236"/>
      <x:c r="Q303" s="236"/>
      <x:c r="R303" s="236"/>
      <x:c r="S303" s="236"/>
      <x:c r="T303" s="236"/>
      <x:c r="U303" s="236"/>
      <x:c r="V303" s="236"/>
      <x:c r="W303" s="236"/>
      <x:c r="X303" s="236"/>
      <x:c r="Y303" s="236"/>
      <x:c r="Z303" s="236"/>
      <x:c r="AA303" s="236"/>
      <x:c r="AB303" s="236"/>
      <x:c r="AC303" s="236"/>
      <x:c r="AD303" s="236"/>
      <x:c r="AE303" s="236"/>
      <x:c r="AF303" s="236"/>
      <x:c r="AG303" s="236"/>
      <x:c r="AH303" s="236"/>
      <x:c r="AI303" s="236"/>
      <x:c r="AJ303" s="236"/>
      <x:c r="AK303" s="220">
        <x:f>+COUNTIF(F303:AJ303,"X")+COUNTIF(F303:AJ303,"E")</x:f>
      </x:c>
      <x:c r="AL303" s="221">
        <x:f>+COUNTIF(F303:AJ303,"R")+COUNTIF(F303:AJ303,"T")+COUNTIF(F303:AJ303,"İ")</x:f>
      </x:c>
      <x:c r="AM303" s="221">
        <x:f>+COUNTIF(F303:AJ303,"İ")</x:f>
      </x:c>
      <x:c r="AN303" s="222"/>
      <x:c r="AO303" s="222"/>
      <x:c r="AP303" s="228"/>
      <x:c r="AQ303" s="228"/>
      <x:c r="AR303" s="228"/>
      <x:c r="AS303" s="228"/>
      <x:c r="AT303" s="230"/>
    </x:row>
    <x:row r="304" spans="1:47" ht="15" customHeight="1" x14ac:dyDescent="0.25">
      <x:c r="A304" s="237"/>
      <x:c r="B304" s="216">
        <x:v>299</x:v>
      </x:c>
      <x:c r="C304" s="238"/>
      <x:c r="D304" s="239"/>
      <x:c r="E304" s="239"/>
      <x:c r="F304" s="236"/>
      <x:c r="G304" s="236"/>
      <x:c r="H304" s="236"/>
      <x:c r="I304" s="236"/>
      <x:c r="J304" s="236"/>
      <x:c r="K304" s="236"/>
      <x:c r="L304" s="236"/>
      <x:c r="M304" s="236"/>
      <x:c r="N304" s="236"/>
      <x:c r="O304" s="236"/>
      <x:c r="P304" s="236"/>
      <x:c r="Q304" s="236"/>
      <x:c r="R304" s="236"/>
      <x:c r="S304" s="236"/>
      <x:c r="T304" s="236"/>
      <x:c r="U304" s="236"/>
      <x:c r="V304" s="236"/>
      <x:c r="W304" s="236"/>
      <x:c r="X304" s="236"/>
      <x:c r="Y304" s="236"/>
      <x:c r="Z304" s="236"/>
      <x:c r="AA304" s="236"/>
      <x:c r="AB304" s="236"/>
      <x:c r="AC304" s="236"/>
      <x:c r="AD304" s="236"/>
      <x:c r="AE304" s="236"/>
      <x:c r="AF304" s="236"/>
      <x:c r="AG304" s="236"/>
      <x:c r="AH304" s="236"/>
      <x:c r="AI304" s="236"/>
      <x:c r="AJ304" s="236"/>
      <x:c r="AK304" s="220">
        <x:f>+COUNTIF(F304:AJ304,"X")+COUNTIF(F304:AJ304,"E")</x:f>
      </x:c>
      <x:c r="AL304" s="221">
        <x:f>+COUNTIF(F304:AJ304,"R")+COUNTIF(F304:AJ304,"T")+COUNTIF(F304:AJ304,"İ")</x:f>
      </x:c>
      <x:c r="AM304" s="221">
        <x:f>+COUNTIF(F304:AJ304,"İ")</x:f>
      </x:c>
      <x:c r="AN304" s="222"/>
      <x:c r="AO304" s="222"/>
      <x:c r="AP304" s="228"/>
      <x:c r="AQ304" s="228"/>
      <x:c r="AR304" s="228"/>
      <x:c r="AS304" s="228"/>
      <x:c r="AT304" s="230"/>
    </x:row>
    <x:row r="305" spans="1:47" ht="15" customHeight="1" x14ac:dyDescent="0.25">
      <x:c r="A305" s="237"/>
      <x:c r="B305" s="216">
        <x:v>300</x:v>
      </x:c>
      <x:c r="C305" s="238"/>
      <x:c r="D305" s="239"/>
      <x:c r="E305" s="239"/>
      <x:c r="F305" s="236"/>
      <x:c r="G305" s="236"/>
      <x:c r="H305" s="236"/>
      <x:c r="I305" s="236"/>
      <x:c r="J305" s="236"/>
      <x:c r="K305" s="236"/>
      <x:c r="L305" s="236"/>
      <x:c r="M305" s="236"/>
      <x:c r="N305" s="236"/>
      <x:c r="O305" s="236"/>
      <x:c r="P305" s="236"/>
      <x:c r="Q305" s="236"/>
      <x:c r="R305" s="236"/>
      <x:c r="S305" s="236"/>
      <x:c r="T305" s="236"/>
      <x:c r="U305" s="236"/>
      <x:c r="V305" s="236"/>
      <x:c r="W305" s="236"/>
      <x:c r="X305" s="236"/>
      <x:c r="Y305" s="236"/>
      <x:c r="Z305" s="236"/>
      <x:c r="AA305" s="236"/>
      <x:c r="AB305" s="236"/>
      <x:c r="AC305" s="236"/>
      <x:c r="AD305" s="236"/>
      <x:c r="AE305" s="236"/>
      <x:c r="AF305" s="236"/>
      <x:c r="AG305" s="236"/>
      <x:c r="AH305" s="236"/>
      <x:c r="AI305" s="236"/>
      <x:c r="AJ305" s="236"/>
      <x:c r="AK305" s="220">
        <x:f>+COUNTIF(F305:AJ305,"X")+COUNTIF(F305:AJ305,"E")</x:f>
      </x:c>
      <x:c r="AL305" s="221">
        <x:f>+COUNTIF(F305:AJ305,"R")+COUNTIF(F305:AJ305,"T")+COUNTIF(F305:AJ305,"İ")</x:f>
      </x:c>
      <x:c r="AM305" s="221">
        <x:f>+COUNTIF(F305:AJ305,"İ")</x:f>
      </x:c>
      <x:c r="AN305" s="222"/>
      <x:c r="AO305" s="222"/>
      <x:c r="AP305" s="228"/>
      <x:c r="AQ305" s="228"/>
      <x:c r="AR305" s="228"/>
      <x:c r="AS305" s="228"/>
      <x:c r="AT305" s="230"/>
    </x:row>
    <x:row r="306" spans="1:47" ht="15" customHeight="1" x14ac:dyDescent="0.25">
      <x:c r="A306" s="237"/>
      <x:c r="B306" s="216">
        <x:v>301</x:v>
      </x:c>
      <x:c r="C306" s="238"/>
      <x:c r="D306" s="239"/>
      <x:c r="E306" s="239"/>
      <x:c r="F306" s="236"/>
      <x:c r="G306" s="236"/>
      <x:c r="H306" s="236"/>
      <x:c r="I306" s="236"/>
      <x:c r="J306" s="236"/>
      <x:c r="K306" s="236"/>
      <x:c r="L306" s="236"/>
      <x:c r="M306" s="236"/>
      <x:c r="N306" s="236"/>
      <x:c r="O306" s="236"/>
      <x:c r="P306" s="236"/>
      <x:c r="Q306" s="236"/>
      <x:c r="R306" s="236"/>
      <x:c r="S306" s="236"/>
      <x:c r="T306" s="236"/>
      <x:c r="U306" s="236"/>
      <x:c r="V306" s="236"/>
      <x:c r="W306" s="236"/>
      <x:c r="X306" s="236"/>
      <x:c r="Y306" s="236"/>
      <x:c r="Z306" s="236"/>
      <x:c r="AA306" s="236"/>
      <x:c r="AB306" s="236"/>
      <x:c r="AC306" s="236"/>
      <x:c r="AD306" s="236"/>
      <x:c r="AE306" s="236"/>
      <x:c r="AF306" s="236"/>
      <x:c r="AG306" s="236"/>
      <x:c r="AH306" s="236"/>
      <x:c r="AI306" s="236"/>
      <x:c r="AJ306" s="236"/>
      <x:c r="AK306" s="220">
        <x:f>+COUNTIF(F306:AJ306,"X")+COUNTIF(F306:AJ306,"E")</x:f>
      </x:c>
      <x:c r="AL306" s="221">
        <x:f>+COUNTIF(F306:AJ306,"R")+COUNTIF(F306:AJ306,"T")+COUNTIF(F306:AJ306,"İ")</x:f>
      </x:c>
      <x:c r="AM306" s="221">
        <x:f>+COUNTIF(F306:AJ306,"İ")</x:f>
      </x:c>
      <x:c r="AN306" s="222"/>
      <x:c r="AO306" s="222"/>
      <x:c r="AP306" s="228"/>
      <x:c r="AQ306" s="228"/>
      <x:c r="AR306" s="228"/>
      <x:c r="AS306" s="228"/>
      <x:c r="AT306" s="230"/>
    </x:row>
    <x:row r="307" spans="1:47" ht="15" customHeight="1" x14ac:dyDescent="0.25">
      <x:c r="A307" s="237"/>
      <x:c r="B307" s="216">
        <x:v>302</x:v>
      </x:c>
      <x:c r="C307" s="238"/>
      <x:c r="D307" s="239"/>
      <x:c r="E307" s="239"/>
      <x:c r="F307" s="236"/>
      <x:c r="G307" s="236"/>
      <x:c r="H307" s="236"/>
      <x:c r="I307" s="236"/>
      <x:c r="J307" s="236"/>
      <x:c r="K307" s="236"/>
      <x:c r="L307" s="236"/>
      <x:c r="M307" s="236"/>
      <x:c r="N307" s="236"/>
      <x:c r="O307" s="236"/>
      <x:c r="P307" s="236"/>
      <x:c r="Q307" s="236"/>
      <x:c r="R307" s="236"/>
      <x:c r="S307" s="236"/>
      <x:c r="T307" s="236"/>
      <x:c r="U307" s="236"/>
      <x:c r="V307" s="236"/>
      <x:c r="W307" s="236"/>
      <x:c r="X307" s="236"/>
      <x:c r="Y307" s="236"/>
      <x:c r="Z307" s="236"/>
      <x:c r="AA307" s="236"/>
      <x:c r="AB307" s="236"/>
      <x:c r="AC307" s="236"/>
      <x:c r="AD307" s="236"/>
      <x:c r="AE307" s="236"/>
      <x:c r="AF307" s="236"/>
      <x:c r="AG307" s="236"/>
      <x:c r="AH307" s="236"/>
      <x:c r="AI307" s="236"/>
      <x:c r="AJ307" s="236"/>
      <x:c r="AK307" s="220">
        <x:f>+COUNTIF(F307:AJ307,"X")+COUNTIF(F307:AJ307,"E")</x:f>
      </x:c>
      <x:c r="AL307" s="221">
        <x:f>+COUNTIF(F307:AJ307,"R")+COUNTIF(F307:AJ307,"T")+COUNTIF(F307:AJ307,"İ")</x:f>
      </x:c>
      <x:c r="AM307" s="221">
        <x:f>+COUNTIF(F307:AJ307,"İ")</x:f>
      </x:c>
      <x:c r="AN307" s="222"/>
      <x:c r="AO307" s="222"/>
      <x:c r="AP307" s="228"/>
      <x:c r="AQ307" s="228"/>
      <x:c r="AR307" s="228"/>
      <x:c r="AS307" s="228"/>
      <x:c r="AT307" s="230"/>
    </x:row>
    <x:row r="308" spans="1:47" ht="15" customHeight="1" x14ac:dyDescent="0.25">
      <x:c r="A308" s="237"/>
      <x:c r="B308" s="216">
        <x:v>303</x:v>
      </x:c>
      <x:c r="C308" s="238"/>
      <x:c r="D308" s="239"/>
      <x:c r="E308" s="239"/>
      <x:c r="F308" s="236"/>
      <x:c r="G308" s="236"/>
      <x:c r="H308" s="236"/>
      <x:c r="I308" s="236"/>
      <x:c r="J308" s="236"/>
      <x:c r="K308" s="236"/>
      <x:c r="L308" s="236"/>
      <x:c r="M308" s="236"/>
      <x:c r="N308" s="236"/>
      <x:c r="O308" s="236"/>
      <x:c r="P308" s="236"/>
      <x:c r="Q308" s="236"/>
      <x:c r="R308" s="236"/>
      <x:c r="S308" s="236"/>
      <x:c r="T308" s="236"/>
      <x:c r="U308" s="236"/>
      <x:c r="V308" s="236"/>
      <x:c r="W308" s="236"/>
      <x:c r="X308" s="236"/>
      <x:c r="Y308" s="236"/>
      <x:c r="Z308" s="236"/>
      <x:c r="AA308" s="236"/>
      <x:c r="AB308" s="236"/>
      <x:c r="AC308" s="236"/>
      <x:c r="AD308" s="236"/>
      <x:c r="AE308" s="236"/>
      <x:c r="AF308" s="236"/>
      <x:c r="AG308" s="236"/>
      <x:c r="AH308" s="236"/>
      <x:c r="AI308" s="236"/>
      <x:c r="AJ308" s="236"/>
      <x:c r="AK308" s="220">
        <x:f>+COUNTIF(F308:AJ308,"X")+COUNTIF(F308:AJ308,"E")</x:f>
      </x:c>
      <x:c r="AL308" s="221">
        <x:f>+COUNTIF(F308:AJ308,"R")+COUNTIF(F308:AJ308,"T")+COUNTIF(F308:AJ308,"İ")</x:f>
      </x:c>
      <x:c r="AM308" s="221">
        <x:f>+COUNTIF(F308:AJ308,"İ")</x:f>
      </x:c>
      <x:c r="AN308" s="222"/>
      <x:c r="AO308" s="222"/>
      <x:c r="AP308" s="228"/>
      <x:c r="AQ308" s="228"/>
      <x:c r="AR308" s="228"/>
      <x:c r="AS308" s="228"/>
      <x:c r="AT308" s="230"/>
    </x:row>
    <x:row r="309" spans="1:47" ht="15" customHeight="1" x14ac:dyDescent="0.25">
      <x:c r="A309" s="237"/>
      <x:c r="B309" s="216">
        <x:v>304</x:v>
      </x:c>
      <x:c r="C309" s="238"/>
      <x:c r="D309" s="239"/>
      <x:c r="E309" s="239"/>
      <x:c r="F309" s="236"/>
      <x:c r="G309" s="236"/>
      <x:c r="H309" s="236"/>
      <x:c r="I309" s="236"/>
      <x:c r="J309" s="236"/>
      <x:c r="K309" s="236"/>
      <x:c r="L309" s="236"/>
      <x:c r="M309" s="236"/>
      <x:c r="N309" s="236"/>
      <x:c r="O309" s="236"/>
      <x:c r="P309" s="236"/>
      <x:c r="Q309" s="236"/>
      <x:c r="R309" s="236"/>
      <x:c r="S309" s="236"/>
      <x:c r="T309" s="236"/>
      <x:c r="U309" s="236"/>
      <x:c r="V309" s="236"/>
      <x:c r="W309" s="236"/>
      <x:c r="X309" s="236"/>
      <x:c r="Y309" s="236"/>
      <x:c r="Z309" s="236"/>
      <x:c r="AA309" s="236"/>
      <x:c r="AB309" s="236"/>
      <x:c r="AC309" s="236"/>
      <x:c r="AD309" s="236"/>
      <x:c r="AE309" s="236"/>
      <x:c r="AF309" s="236"/>
      <x:c r="AG309" s="236"/>
      <x:c r="AH309" s="236"/>
      <x:c r="AI309" s="236"/>
      <x:c r="AJ309" s="236"/>
      <x:c r="AK309" s="220">
        <x:f>+COUNTIF(F309:AJ309,"X")+COUNTIF(F309:AJ309,"E")</x:f>
      </x:c>
      <x:c r="AL309" s="221">
        <x:f>+COUNTIF(F309:AJ309,"R")+COUNTIF(F309:AJ309,"T")+COUNTIF(F309:AJ309,"İ")</x:f>
      </x:c>
      <x:c r="AM309" s="221">
        <x:f>+COUNTIF(F309:AJ309,"İ")</x:f>
      </x:c>
      <x:c r="AN309" s="222"/>
      <x:c r="AO309" s="222"/>
      <x:c r="AP309" s="228"/>
      <x:c r="AQ309" s="228"/>
      <x:c r="AR309" s="228"/>
      <x:c r="AS309" s="228"/>
      <x:c r="AT309" s="230"/>
    </x:row>
    <x:row r="310" spans="1:47" ht="15" customHeight="1" x14ac:dyDescent="0.25">
      <x:c r="A310" s="237"/>
      <x:c r="B310" s="216">
        <x:v>305</x:v>
      </x:c>
      <x:c r="C310" s="238"/>
      <x:c r="D310" s="239"/>
      <x:c r="E310" s="239"/>
      <x:c r="F310" s="236"/>
      <x:c r="G310" s="236"/>
      <x:c r="H310" s="236"/>
      <x:c r="I310" s="236"/>
      <x:c r="J310" s="236"/>
      <x:c r="K310" s="236"/>
      <x:c r="L310" s="236"/>
      <x:c r="M310" s="236"/>
      <x:c r="N310" s="236"/>
      <x:c r="O310" s="236"/>
      <x:c r="P310" s="236"/>
      <x:c r="Q310" s="236"/>
      <x:c r="R310" s="236"/>
      <x:c r="S310" s="236"/>
      <x:c r="T310" s="236"/>
      <x:c r="U310" s="236"/>
      <x:c r="V310" s="236"/>
      <x:c r="W310" s="236"/>
      <x:c r="X310" s="236"/>
      <x:c r="Y310" s="236"/>
      <x:c r="Z310" s="236"/>
      <x:c r="AA310" s="236"/>
      <x:c r="AB310" s="236"/>
      <x:c r="AC310" s="236"/>
      <x:c r="AD310" s="236"/>
      <x:c r="AE310" s="236"/>
      <x:c r="AF310" s="236"/>
      <x:c r="AG310" s="236"/>
      <x:c r="AH310" s="236"/>
      <x:c r="AI310" s="236"/>
      <x:c r="AJ310" s="236"/>
      <x:c r="AK310" s="220">
        <x:f>+COUNTIF(F310:AJ310,"X")+COUNTIF(F310:AJ310,"E")</x:f>
      </x:c>
      <x:c r="AL310" s="221">
        <x:f>+COUNTIF(F310:AJ310,"R")+COUNTIF(F310:AJ310,"T")+COUNTIF(F310:AJ310,"İ")</x:f>
      </x:c>
      <x:c r="AM310" s="221">
        <x:f>+COUNTIF(F310:AJ310,"İ")</x:f>
      </x:c>
      <x:c r="AN310" s="222"/>
      <x:c r="AO310" s="222"/>
      <x:c r="AP310" s="228"/>
      <x:c r="AQ310" s="228"/>
      <x:c r="AR310" s="228"/>
      <x:c r="AS310" s="228"/>
      <x:c r="AT310" s="230"/>
    </x:row>
    <x:row r="311" spans="1:47" ht="15" customHeight="1" x14ac:dyDescent="0.25">
      <x:c r="A311" s="237"/>
      <x:c r="B311" s="216">
        <x:v>306</x:v>
      </x:c>
      <x:c r="C311" s="238"/>
      <x:c r="D311" s="239"/>
      <x:c r="E311" s="239"/>
      <x:c r="F311" s="236"/>
      <x:c r="G311" s="236"/>
      <x:c r="H311" s="236"/>
      <x:c r="I311" s="236"/>
      <x:c r="J311" s="236"/>
      <x:c r="K311" s="236"/>
      <x:c r="L311" s="236"/>
      <x:c r="M311" s="236"/>
      <x:c r="N311" s="236"/>
      <x:c r="O311" s="236"/>
      <x:c r="P311" s="236"/>
      <x:c r="Q311" s="236"/>
      <x:c r="R311" s="236"/>
      <x:c r="S311" s="236"/>
      <x:c r="T311" s="236"/>
      <x:c r="U311" s="236"/>
      <x:c r="V311" s="236"/>
      <x:c r="W311" s="236"/>
      <x:c r="X311" s="236"/>
      <x:c r="Y311" s="236"/>
      <x:c r="Z311" s="236"/>
      <x:c r="AA311" s="236"/>
      <x:c r="AB311" s="236"/>
      <x:c r="AC311" s="236"/>
      <x:c r="AD311" s="236"/>
      <x:c r="AE311" s="236"/>
      <x:c r="AF311" s="236"/>
      <x:c r="AG311" s="236"/>
      <x:c r="AH311" s="236"/>
      <x:c r="AI311" s="236"/>
      <x:c r="AJ311" s="236"/>
      <x:c r="AK311" s="220">
        <x:f>+COUNTIF(F311:AJ311,"X")+COUNTIF(F311:AJ311,"E")</x:f>
      </x:c>
      <x:c r="AL311" s="221">
        <x:f>+COUNTIF(F311:AJ311,"R")+COUNTIF(F311:AJ311,"T")+COUNTIF(F311:AJ311,"İ")</x:f>
      </x:c>
      <x:c r="AM311" s="221">
        <x:f>+COUNTIF(F311:AJ311,"İ")</x:f>
      </x:c>
      <x:c r="AN311" s="222"/>
      <x:c r="AO311" s="222"/>
      <x:c r="AP311" s="228"/>
      <x:c r="AQ311" s="228"/>
      <x:c r="AR311" s="228"/>
      <x:c r="AS311" s="228"/>
      <x:c r="AT311" s="230"/>
    </x:row>
    <x:row r="312" spans="1:47" ht="15" customHeight="1" x14ac:dyDescent="0.25">
      <x:c r="A312" s="237"/>
      <x:c r="B312" s="216">
        <x:v>307</x:v>
      </x:c>
      <x:c r="C312" s="238"/>
      <x:c r="D312" s="239"/>
      <x:c r="E312" s="239"/>
      <x:c r="F312" s="236"/>
      <x:c r="G312" s="236"/>
      <x:c r="H312" s="236"/>
      <x:c r="I312" s="236"/>
      <x:c r="J312" s="236"/>
      <x:c r="K312" s="236"/>
      <x:c r="L312" s="236"/>
      <x:c r="M312" s="236"/>
      <x:c r="N312" s="236"/>
      <x:c r="O312" s="236"/>
      <x:c r="P312" s="236"/>
      <x:c r="Q312" s="236"/>
      <x:c r="R312" s="236"/>
      <x:c r="S312" s="236"/>
      <x:c r="T312" s="236"/>
      <x:c r="U312" s="236"/>
      <x:c r="V312" s="236"/>
      <x:c r="W312" s="236"/>
      <x:c r="X312" s="236"/>
      <x:c r="Y312" s="236"/>
      <x:c r="Z312" s="236"/>
      <x:c r="AA312" s="236"/>
      <x:c r="AB312" s="236"/>
      <x:c r="AC312" s="236"/>
      <x:c r="AD312" s="236"/>
      <x:c r="AE312" s="236"/>
      <x:c r="AF312" s="236"/>
      <x:c r="AG312" s="236"/>
      <x:c r="AH312" s="236"/>
      <x:c r="AI312" s="236"/>
      <x:c r="AJ312" s="236"/>
      <x:c r="AK312" s="220">
        <x:f>+COUNTIF(F312:AJ312,"X")+COUNTIF(F312:AJ312,"E")</x:f>
      </x:c>
      <x:c r="AL312" s="221">
        <x:f>+COUNTIF(F312:AJ312,"R")+COUNTIF(F312:AJ312,"T")+COUNTIF(F312:AJ312,"İ")</x:f>
      </x:c>
      <x:c r="AM312" s="221">
        <x:f>+COUNTIF(F312:AJ312,"İ")</x:f>
      </x:c>
      <x:c r="AN312" s="222"/>
      <x:c r="AO312" s="222"/>
      <x:c r="AP312" s="228"/>
      <x:c r="AQ312" s="228"/>
      <x:c r="AR312" s="228"/>
      <x:c r="AS312" s="228"/>
      <x:c r="AT312" s="230"/>
    </x:row>
    <x:row r="313" spans="1:47" ht="15" customHeight="1" x14ac:dyDescent="0.25">
      <x:c r="A313" s="237"/>
      <x:c r="B313" s="216">
        <x:v>308</x:v>
      </x:c>
      <x:c r="C313" s="238"/>
      <x:c r="D313" s="239"/>
      <x:c r="E313" s="239"/>
      <x:c r="F313" s="236"/>
      <x:c r="G313" s="236"/>
      <x:c r="H313" s="236"/>
      <x:c r="I313" s="236"/>
      <x:c r="J313" s="236"/>
      <x:c r="K313" s="236"/>
      <x:c r="L313" s="236"/>
      <x:c r="M313" s="236"/>
      <x:c r="N313" s="236"/>
      <x:c r="O313" s="236"/>
      <x:c r="P313" s="236"/>
      <x:c r="Q313" s="236"/>
      <x:c r="R313" s="236"/>
      <x:c r="S313" s="236"/>
      <x:c r="T313" s="236"/>
      <x:c r="U313" s="236"/>
      <x:c r="V313" s="236"/>
      <x:c r="W313" s="236"/>
      <x:c r="X313" s="236"/>
      <x:c r="Y313" s="236"/>
      <x:c r="Z313" s="236"/>
      <x:c r="AA313" s="236"/>
      <x:c r="AB313" s="236"/>
      <x:c r="AC313" s="236"/>
      <x:c r="AD313" s="236"/>
      <x:c r="AE313" s="236"/>
      <x:c r="AF313" s="236"/>
      <x:c r="AG313" s="236"/>
      <x:c r="AH313" s="236"/>
      <x:c r="AI313" s="236"/>
      <x:c r="AJ313" s="236"/>
      <x:c r="AK313" s="220">
        <x:f>+COUNTIF(F313:AJ313,"X")+COUNTIF(F313:AJ313,"E")</x:f>
      </x:c>
      <x:c r="AL313" s="221">
        <x:f>+COUNTIF(F313:AJ313,"R")+COUNTIF(F313:AJ313,"T")+COUNTIF(F313:AJ313,"İ")</x:f>
      </x:c>
      <x:c r="AM313" s="221">
        <x:f>+COUNTIF(F313:AJ313,"İ")</x:f>
      </x:c>
      <x:c r="AN313" s="222"/>
      <x:c r="AO313" s="222"/>
      <x:c r="AP313" s="228"/>
      <x:c r="AQ313" s="228"/>
      <x:c r="AR313" s="228"/>
      <x:c r="AS313" s="228"/>
      <x:c r="AT313" s="230"/>
    </x:row>
    <x:row r="314" spans="1:47" ht="15" customHeight="1" x14ac:dyDescent="0.25">
      <x:c r="A314" s="237"/>
      <x:c r="B314" s="216">
        <x:v>309</x:v>
      </x:c>
      <x:c r="C314" s="238"/>
      <x:c r="D314" s="239"/>
      <x:c r="E314" s="239"/>
      <x:c r="F314" s="236"/>
      <x:c r="G314" s="236"/>
      <x:c r="H314" s="236"/>
      <x:c r="I314" s="236"/>
      <x:c r="J314" s="236"/>
      <x:c r="K314" s="236"/>
      <x:c r="L314" s="236"/>
      <x:c r="M314" s="236"/>
      <x:c r="N314" s="236"/>
      <x:c r="O314" s="236"/>
      <x:c r="P314" s="236"/>
      <x:c r="Q314" s="236"/>
      <x:c r="R314" s="236"/>
      <x:c r="S314" s="236"/>
      <x:c r="T314" s="236"/>
      <x:c r="U314" s="236"/>
      <x:c r="V314" s="236"/>
      <x:c r="W314" s="236"/>
      <x:c r="X314" s="236"/>
      <x:c r="Y314" s="236"/>
      <x:c r="Z314" s="236"/>
      <x:c r="AA314" s="236"/>
      <x:c r="AB314" s="236"/>
      <x:c r="AC314" s="236"/>
      <x:c r="AD314" s="236"/>
      <x:c r="AE314" s="236"/>
      <x:c r="AF314" s="236"/>
      <x:c r="AG314" s="236"/>
      <x:c r="AH314" s="236"/>
      <x:c r="AI314" s="236"/>
      <x:c r="AJ314" s="236"/>
      <x:c r="AK314" s="220">
        <x:f>+COUNTIF(F314:AJ314,"X")+COUNTIF(F314:AJ314,"E")</x:f>
      </x:c>
      <x:c r="AL314" s="221">
        <x:f>+COUNTIF(F314:AJ314,"R")+COUNTIF(F314:AJ314,"T")+COUNTIF(F314:AJ314,"İ")</x:f>
      </x:c>
      <x:c r="AM314" s="221">
        <x:f>+COUNTIF(F314:AJ314,"İ")</x:f>
      </x:c>
      <x:c r="AN314" s="222"/>
      <x:c r="AO314" s="222"/>
      <x:c r="AP314" s="228"/>
      <x:c r="AQ314" s="228"/>
      <x:c r="AR314" s="228"/>
      <x:c r="AS314" s="228"/>
      <x:c r="AT314" s="230"/>
    </x:row>
    <x:row r="315" spans="1:47" ht="15" customHeight="1" x14ac:dyDescent="0.25">
      <x:c r="A315" s="237"/>
      <x:c r="B315" s="216">
        <x:v>310</x:v>
      </x:c>
      <x:c r="C315" s="238"/>
      <x:c r="D315" s="239"/>
      <x:c r="E315" s="239"/>
      <x:c r="F315" s="236"/>
      <x:c r="G315" s="236"/>
      <x:c r="H315" s="236"/>
      <x:c r="I315" s="236"/>
      <x:c r="J315" s="236"/>
      <x:c r="K315" s="236"/>
      <x:c r="L315" s="236"/>
      <x:c r="M315" s="236"/>
      <x:c r="N315" s="236"/>
      <x:c r="O315" s="236"/>
      <x:c r="P315" s="236"/>
      <x:c r="Q315" s="236"/>
      <x:c r="R315" s="236"/>
      <x:c r="S315" s="236"/>
      <x:c r="T315" s="236"/>
      <x:c r="U315" s="236"/>
      <x:c r="V315" s="236"/>
      <x:c r="W315" s="236"/>
      <x:c r="X315" s="236"/>
      <x:c r="Y315" s="236"/>
      <x:c r="Z315" s="236"/>
      <x:c r="AA315" s="236"/>
      <x:c r="AB315" s="236"/>
      <x:c r="AC315" s="236"/>
      <x:c r="AD315" s="236"/>
      <x:c r="AE315" s="236"/>
      <x:c r="AF315" s="236"/>
      <x:c r="AG315" s="236"/>
      <x:c r="AH315" s="236"/>
      <x:c r="AI315" s="236"/>
      <x:c r="AJ315" s="236"/>
      <x:c r="AK315" s="220">
        <x:f>+COUNTIF(F315:AJ315,"X")+COUNTIF(F315:AJ315,"E")</x:f>
      </x:c>
      <x:c r="AL315" s="221">
        <x:f>+COUNTIF(F315:AJ315,"R")+COUNTIF(F315:AJ315,"T")+COUNTIF(F315:AJ315,"İ")</x:f>
      </x:c>
      <x:c r="AM315" s="221">
        <x:f>+COUNTIF(F315:AJ315,"İ")</x:f>
      </x:c>
      <x:c r="AN315" s="222"/>
      <x:c r="AO315" s="222"/>
      <x:c r="AP315" s="228"/>
      <x:c r="AQ315" s="228"/>
      <x:c r="AR315" s="228"/>
      <x:c r="AS315" s="228"/>
      <x:c r="AT315" s="230"/>
    </x:row>
    <x:row r="316" spans="1:47" ht="15" customHeight="1" x14ac:dyDescent="0.25">
      <x:c r="A316" s="237"/>
      <x:c r="B316" s="216">
        <x:v>311</x:v>
      </x:c>
      <x:c r="C316" s="238"/>
      <x:c r="D316" s="239"/>
      <x:c r="E316" s="239"/>
      <x:c r="F316" s="236"/>
      <x:c r="G316" s="236"/>
      <x:c r="H316" s="236"/>
      <x:c r="I316" s="236"/>
      <x:c r="J316" s="236"/>
      <x:c r="K316" s="236"/>
      <x:c r="L316" s="236"/>
      <x:c r="M316" s="236"/>
      <x:c r="N316" s="236"/>
      <x:c r="O316" s="236"/>
      <x:c r="P316" s="236"/>
      <x:c r="Q316" s="236"/>
      <x:c r="R316" s="236"/>
      <x:c r="S316" s="236"/>
      <x:c r="T316" s="236"/>
      <x:c r="U316" s="236"/>
      <x:c r="V316" s="236"/>
      <x:c r="W316" s="236"/>
      <x:c r="X316" s="236"/>
      <x:c r="Y316" s="236"/>
      <x:c r="Z316" s="236"/>
      <x:c r="AA316" s="236"/>
      <x:c r="AB316" s="236"/>
      <x:c r="AC316" s="236"/>
      <x:c r="AD316" s="236"/>
      <x:c r="AE316" s="236"/>
      <x:c r="AF316" s="236"/>
      <x:c r="AG316" s="236"/>
      <x:c r="AH316" s="236"/>
      <x:c r="AI316" s="236"/>
      <x:c r="AJ316" s="236"/>
      <x:c r="AK316" s="220">
        <x:f>+COUNTIF(F316:AJ316,"X")+COUNTIF(F316:AJ316,"E")</x:f>
      </x:c>
      <x:c r="AL316" s="221">
        <x:f>+COUNTIF(F316:AJ316,"R")+COUNTIF(F316:AJ316,"T")+COUNTIF(F316:AJ316,"İ")</x:f>
      </x:c>
      <x:c r="AM316" s="221">
        <x:f>+COUNTIF(F316:AJ316,"İ")</x:f>
      </x:c>
      <x:c r="AN316" s="222"/>
      <x:c r="AO316" s="222"/>
      <x:c r="AP316" s="228"/>
      <x:c r="AQ316" s="228"/>
      <x:c r="AR316" s="228"/>
      <x:c r="AS316" s="228"/>
      <x:c r="AT316" s="230"/>
    </x:row>
    <x:row r="317" spans="1:47" ht="15" customHeight="1" x14ac:dyDescent="0.25">
      <x:c r="A317" s="237"/>
      <x:c r="B317" s="216">
        <x:v>312</x:v>
      </x:c>
      <x:c r="C317" s="238"/>
      <x:c r="D317" s="239"/>
      <x:c r="E317" s="239"/>
      <x:c r="F317" s="236"/>
      <x:c r="G317" s="236"/>
      <x:c r="H317" s="236"/>
      <x:c r="I317" s="236"/>
      <x:c r="J317" s="236"/>
      <x:c r="K317" s="236"/>
      <x:c r="L317" s="236"/>
      <x:c r="M317" s="236"/>
      <x:c r="N317" s="236"/>
      <x:c r="O317" s="236"/>
      <x:c r="P317" s="236"/>
      <x:c r="Q317" s="236"/>
      <x:c r="R317" s="236"/>
      <x:c r="S317" s="236"/>
      <x:c r="T317" s="236"/>
      <x:c r="U317" s="236"/>
      <x:c r="V317" s="236"/>
      <x:c r="W317" s="236"/>
      <x:c r="X317" s="236"/>
      <x:c r="Y317" s="236"/>
      <x:c r="Z317" s="236"/>
      <x:c r="AA317" s="236"/>
      <x:c r="AB317" s="236"/>
      <x:c r="AC317" s="236"/>
      <x:c r="AD317" s="236"/>
      <x:c r="AE317" s="236"/>
      <x:c r="AF317" s="236"/>
      <x:c r="AG317" s="236"/>
      <x:c r="AH317" s="236"/>
      <x:c r="AI317" s="236"/>
      <x:c r="AJ317" s="236"/>
      <x:c r="AK317" s="220">
        <x:f>+COUNTIF(F317:AJ317,"X")+COUNTIF(F317:AJ317,"E")</x:f>
      </x:c>
      <x:c r="AL317" s="221">
        <x:f>+COUNTIF(F317:AJ317,"R")+COUNTIF(F317:AJ317,"T")+COUNTIF(F317:AJ317,"İ")</x:f>
      </x:c>
      <x:c r="AM317" s="221">
        <x:f>+COUNTIF(F317:AJ317,"İ")</x:f>
      </x:c>
      <x:c r="AN317" s="222"/>
      <x:c r="AO317" s="222"/>
      <x:c r="AP317" s="228"/>
      <x:c r="AQ317" s="228"/>
      <x:c r="AR317" s="228"/>
      <x:c r="AS317" s="228"/>
      <x:c r="AT317" s="230"/>
    </x:row>
    <x:row r="318" spans="1:47" ht="15" customHeight="1" x14ac:dyDescent="0.25">
      <x:c r="A318" s="237"/>
      <x:c r="B318" s="216">
        <x:v>313</x:v>
      </x:c>
      <x:c r="C318" s="238"/>
      <x:c r="D318" s="239"/>
      <x:c r="E318" s="239"/>
      <x:c r="F318" s="236"/>
      <x:c r="G318" s="236"/>
      <x:c r="H318" s="236"/>
      <x:c r="I318" s="236"/>
      <x:c r="J318" s="236"/>
      <x:c r="K318" s="236"/>
      <x:c r="L318" s="236"/>
      <x:c r="M318" s="236"/>
      <x:c r="N318" s="236"/>
      <x:c r="O318" s="236"/>
      <x:c r="P318" s="236"/>
      <x:c r="Q318" s="236"/>
      <x:c r="R318" s="236"/>
      <x:c r="S318" s="236"/>
      <x:c r="T318" s="236"/>
      <x:c r="U318" s="236"/>
      <x:c r="V318" s="236"/>
      <x:c r="W318" s="236"/>
      <x:c r="X318" s="236"/>
      <x:c r="Y318" s="236"/>
      <x:c r="Z318" s="236"/>
      <x:c r="AA318" s="236"/>
      <x:c r="AB318" s="236"/>
      <x:c r="AC318" s="236"/>
      <x:c r="AD318" s="236"/>
      <x:c r="AE318" s="236"/>
      <x:c r="AF318" s="236"/>
      <x:c r="AG318" s="236"/>
      <x:c r="AH318" s="236"/>
      <x:c r="AI318" s="236"/>
      <x:c r="AJ318" s="236"/>
      <x:c r="AK318" s="220">
        <x:f>+COUNTIF(F318:AJ318,"X")+COUNTIF(F318:AJ318,"E")</x:f>
      </x:c>
      <x:c r="AL318" s="221">
        <x:f>+COUNTIF(F318:AJ318,"R")+COUNTIF(F318:AJ318,"T")+COUNTIF(F318:AJ318,"İ")</x:f>
      </x:c>
      <x:c r="AM318" s="221">
        <x:f>+COUNTIF(F318:AJ318,"İ")</x:f>
      </x:c>
      <x:c r="AN318" s="222"/>
      <x:c r="AO318" s="222"/>
      <x:c r="AP318" s="228"/>
      <x:c r="AQ318" s="228"/>
      <x:c r="AR318" s="228"/>
      <x:c r="AS318" s="228"/>
      <x:c r="AT318" s="230"/>
    </x:row>
    <x:row r="319" spans="1:47" ht="15" customHeight="1" x14ac:dyDescent="0.25">
      <x:c r="A319" s="237"/>
      <x:c r="B319" s="216">
        <x:v>314</x:v>
      </x:c>
      <x:c r="C319" s="238"/>
      <x:c r="D319" s="239"/>
      <x:c r="E319" s="239"/>
      <x:c r="F319" s="236"/>
      <x:c r="G319" s="236"/>
      <x:c r="H319" s="236"/>
      <x:c r="I319" s="236"/>
      <x:c r="J319" s="236"/>
      <x:c r="K319" s="236"/>
      <x:c r="L319" s="236"/>
      <x:c r="M319" s="236"/>
      <x:c r="N319" s="236"/>
      <x:c r="O319" s="236"/>
      <x:c r="P319" s="236"/>
      <x:c r="Q319" s="236"/>
      <x:c r="R319" s="236"/>
      <x:c r="S319" s="236"/>
      <x:c r="T319" s="236"/>
      <x:c r="U319" s="236"/>
      <x:c r="V319" s="236"/>
      <x:c r="W319" s="236"/>
      <x:c r="X319" s="236"/>
      <x:c r="Y319" s="236"/>
      <x:c r="Z319" s="236"/>
      <x:c r="AA319" s="236"/>
      <x:c r="AB319" s="236"/>
      <x:c r="AC319" s="236"/>
      <x:c r="AD319" s="236"/>
      <x:c r="AE319" s="236"/>
      <x:c r="AF319" s="236"/>
      <x:c r="AG319" s="236"/>
      <x:c r="AH319" s="236"/>
      <x:c r="AI319" s="236"/>
      <x:c r="AJ319" s="236"/>
      <x:c r="AK319" s="220">
        <x:f>+COUNTIF(F319:AJ319,"X")+COUNTIF(F319:AJ319,"E")</x:f>
      </x:c>
      <x:c r="AL319" s="221">
        <x:f>+COUNTIF(F319:AJ319,"R")+COUNTIF(F319:AJ319,"T")+COUNTIF(F319:AJ319,"İ")</x:f>
      </x:c>
      <x:c r="AM319" s="221">
        <x:f>+COUNTIF(F319:AJ319,"İ")</x:f>
      </x:c>
      <x:c r="AN319" s="222"/>
      <x:c r="AO319" s="222"/>
      <x:c r="AP319" s="228"/>
      <x:c r="AQ319" s="228"/>
      <x:c r="AR319" s="228"/>
      <x:c r="AS319" s="228"/>
      <x:c r="AT319" s="230"/>
    </x:row>
    <x:row r="320" spans="1:47" ht="15" customHeight="1" x14ac:dyDescent="0.25">
      <x:c r="A320" s="237"/>
      <x:c r="B320" s="216">
        <x:v>315</x:v>
      </x:c>
      <x:c r="C320" s="238"/>
      <x:c r="D320" s="239"/>
      <x:c r="E320" s="239"/>
      <x:c r="F320" s="236"/>
      <x:c r="G320" s="236"/>
      <x:c r="H320" s="236"/>
      <x:c r="I320" s="236"/>
      <x:c r="J320" s="236"/>
      <x:c r="K320" s="236"/>
      <x:c r="L320" s="236"/>
      <x:c r="M320" s="236"/>
      <x:c r="N320" s="236"/>
      <x:c r="O320" s="236"/>
      <x:c r="P320" s="236"/>
      <x:c r="Q320" s="236"/>
      <x:c r="R320" s="236"/>
      <x:c r="S320" s="236"/>
      <x:c r="T320" s="236"/>
      <x:c r="U320" s="236"/>
      <x:c r="V320" s="236"/>
      <x:c r="W320" s="236"/>
      <x:c r="X320" s="236"/>
      <x:c r="Y320" s="236"/>
      <x:c r="Z320" s="236"/>
      <x:c r="AA320" s="236"/>
      <x:c r="AB320" s="236"/>
      <x:c r="AC320" s="236"/>
      <x:c r="AD320" s="236"/>
      <x:c r="AE320" s="236"/>
      <x:c r="AF320" s="236"/>
      <x:c r="AG320" s="236"/>
      <x:c r="AH320" s="236"/>
      <x:c r="AI320" s="236"/>
      <x:c r="AJ320" s="236"/>
      <x:c r="AK320" s="220">
        <x:f>+COUNTIF(F320:AJ320,"X")+COUNTIF(F320:AJ320,"E")</x:f>
      </x:c>
      <x:c r="AL320" s="221">
        <x:f>+COUNTIF(F320:AJ320,"R")+COUNTIF(F320:AJ320,"T")+COUNTIF(F320:AJ320,"İ")</x:f>
      </x:c>
      <x:c r="AM320" s="221">
        <x:f>+COUNTIF(F320:AJ320,"İ")</x:f>
      </x:c>
      <x:c r="AN320" s="222"/>
      <x:c r="AO320" s="222"/>
      <x:c r="AP320" s="228"/>
      <x:c r="AQ320" s="228"/>
      <x:c r="AR320" s="228"/>
      <x:c r="AS320" s="228"/>
      <x:c r="AT320" s="230"/>
    </x:row>
    <x:row r="321" spans="1:47" ht="15" customHeight="1" x14ac:dyDescent="0.25">
      <x:c r="A321" s="237"/>
      <x:c r="B321" s="216">
        <x:v>316</x:v>
      </x:c>
      <x:c r="C321" s="238"/>
      <x:c r="D321" s="239"/>
      <x:c r="E321" s="239"/>
      <x:c r="F321" s="236"/>
      <x:c r="G321" s="236"/>
      <x:c r="H321" s="236"/>
      <x:c r="I321" s="236"/>
      <x:c r="J321" s="236"/>
      <x:c r="K321" s="236"/>
      <x:c r="L321" s="236"/>
      <x:c r="M321" s="236"/>
      <x:c r="N321" s="236"/>
      <x:c r="O321" s="236"/>
      <x:c r="P321" s="236"/>
      <x:c r="Q321" s="236"/>
      <x:c r="R321" s="236"/>
      <x:c r="S321" s="236"/>
      <x:c r="T321" s="236"/>
      <x:c r="U321" s="236"/>
      <x:c r="V321" s="236"/>
      <x:c r="W321" s="236"/>
      <x:c r="X321" s="236"/>
      <x:c r="Y321" s="236"/>
      <x:c r="Z321" s="236"/>
      <x:c r="AA321" s="236"/>
      <x:c r="AB321" s="236"/>
      <x:c r="AC321" s="236"/>
      <x:c r="AD321" s="236"/>
      <x:c r="AE321" s="236"/>
      <x:c r="AF321" s="236"/>
      <x:c r="AG321" s="236"/>
      <x:c r="AH321" s="236"/>
      <x:c r="AI321" s="236"/>
      <x:c r="AJ321" s="236"/>
      <x:c r="AK321" s="220">
        <x:f>+COUNTIF(F321:AJ321,"X")+COUNTIF(F321:AJ321,"E")</x:f>
      </x:c>
      <x:c r="AL321" s="221">
        <x:f>+COUNTIF(F321:AJ321,"R")+COUNTIF(F321:AJ321,"T")+COUNTIF(F321:AJ321,"İ")</x:f>
      </x:c>
      <x:c r="AM321" s="221">
        <x:f>+COUNTIF(F321:AJ321,"İ")</x:f>
      </x:c>
      <x:c r="AN321" s="222"/>
      <x:c r="AO321" s="222"/>
      <x:c r="AP321" s="228"/>
      <x:c r="AQ321" s="228"/>
      <x:c r="AR321" s="228"/>
      <x:c r="AS321" s="228"/>
      <x:c r="AT321" s="230"/>
    </x:row>
    <x:row r="322" spans="1:47" ht="15" customHeight="1" x14ac:dyDescent="0.25">
      <x:c r="A322" s="237"/>
      <x:c r="B322" s="216">
        <x:v>317</x:v>
      </x:c>
      <x:c r="C322" s="238"/>
      <x:c r="D322" s="239"/>
      <x:c r="E322" s="239"/>
      <x:c r="F322" s="236"/>
      <x:c r="G322" s="236"/>
      <x:c r="H322" s="236"/>
      <x:c r="I322" s="236"/>
      <x:c r="J322" s="236"/>
      <x:c r="K322" s="236"/>
      <x:c r="L322" s="236"/>
      <x:c r="M322" s="236"/>
      <x:c r="N322" s="236"/>
      <x:c r="O322" s="236"/>
      <x:c r="P322" s="236"/>
      <x:c r="Q322" s="236"/>
      <x:c r="R322" s="236"/>
      <x:c r="S322" s="236"/>
      <x:c r="T322" s="236"/>
      <x:c r="U322" s="236"/>
      <x:c r="V322" s="236"/>
      <x:c r="W322" s="236"/>
      <x:c r="X322" s="236"/>
      <x:c r="Y322" s="236"/>
      <x:c r="Z322" s="236"/>
      <x:c r="AA322" s="236"/>
      <x:c r="AB322" s="236"/>
      <x:c r="AC322" s="236"/>
      <x:c r="AD322" s="236"/>
      <x:c r="AE322" s="236"/>
      <x:c r="AF322" s="236"/>
      <x:c r="AG322" s="236"/>
      <x:c r="AH322" s="236"/>
      <x:c r="AI322" s="236"/>
      <x:c r="AJ322" s="236"/>
      <x:c r="AK322" s="220">
        <x:f>+COUNTIF(F322:AJ322,"X")+COUNTIF(F322:AJ322,"E")</x:f>
      </x:c>
      <x:c r="AL322" s="221">
        <x:f>+COUNTIF(F322:AJ322,"R")+COUNTIF(F322:AJ322,"T")+COUNTIF(F322:AJ322,"İ")</x:f>
      </x:c>
      <x:c r="AM322" s="221">
        <x:f>+COUNTIF(F322:AJ322,"İ")</x:f>
      </x:c>
      <x:c r="AN322" s="222"/>
      <x:c r="AO322" s="222"/>
      <x:c r="AP322" s="228"/>
      <x:c r="AQ322" s="228"/>
      <x:c r="AR322" s="228"/>
      <x:c r="AS322" s="228"/>
      <x:c r="AT322" s="230"/>
    </x:row>
    <x:row r="323" spans="1:47" ht="15" customHeight="1" x14ac:dyDescent="0.25">
      <x:c r="A323" s="237"/>
      <x:c r="B323" s="216">
        <x:v>318</x:v>
      </x:c>
      <x:c r="C323" s="238"/>
      <x:c r="D323" s="239"/>
      <x:c r="E323" s="239"/>
      <x:c r="F323" s="236"/>
      <x:c r="G323" s="236"/>
      <x:c r="H323" s="236"/>
      <x:c r="I323" s="236"/>
      <x:c r="J323" s="236"/>
      <x:c r="K323" s="236"/>
      <x:c r="L323" s="236"/>
      <x:c r="M323" s="236"/>
      <x:c r="N323" s="236"/>
      <x:c r="O323" s="236"/>
      <x:c r="P323" s="236"/>
      <x:c r="Q323" s="236"/>
      <x:c r="R323" s="236"/>
      <x:c r="S323" s="236"/>
      <x:c r="T323" s="236"/>
      <x:c r="U323" s="236"/>
      <x:c r="V323" s="236"/>
      <x:c r="W323" s="236"/>
      <x:c r="X323" s="236"/>
      <x:c r="Y323" s="236"/>
      <x:c r="Z323" s="236"/>
      <x:c r="AA323" s="236"/>
      <x:c r="AB323" s="236"/>
      <x:c r="AC323" s="236"/>
      <x:c r="AD323" s="236"/>
      <x:c r="AE323" s="236"/>
      <x:c r="AF323" s="236"/>
      <x:c r="AG323" s="236"/>
      <x:c r="AH323" s="236"/>
      <x:c r="AI323" s="236"/>
      <x:c r="AJ323" s="236"/>
      <x:c r="AK323" s="220">
        <x:f>+COUNTIF(F323:AJ323,"X")+COUNTIF(F323:AJ323,"E")</x:f>
      </x:c>
      <x:c r="AL323" s="221">
        <x:f>+COUNTIF(F323:AJ323,"R")+COUNTIF(F323:AJ323,"T")+COUNTIF(F323:AJ323,"İ")</x:f>
      </x:c>
      <x:c r="AM323" s="221">
        <x:f>+COUNTIF(F323:AJ323,"İ")</x:f>
      </x:c>
      <x:c r="AN323" s="222"/>
      <x:c r="AO323" s="222"/>
      <x:c r="AP323" s="228"/>
      <x:c r="AQ323" s="228"/>
      <x:c r="AR323" s="228"/>
      <x:c r="AS323" s="228"/>
      <x:c r="AT323" s="230"/>
    </x:row>
    <x:row r="324" spans="1:47" ht="15" customHeight="1" x14ac:dyDescent="0.25">
      <x:c r="A324" s="237"/>
      <x:c r="B324" s="216">
        <x:v>319</x:v>
      </x:c>
      <x:c r="C324" s="238"/>
      <x:c r="D324" s="239"/>
      <x:c r="E324" s="239"/>
      <x:c r="F324" s="236"/>
      <x:c r="G324" s="236"/>
      <x:c r="H324" s="236"/>
      <x:c r="I324" s="236"/>
      <x:c r="J324" s="236"/>
      <x:c r="K324" s="236"/>
      <x:c r="L324" s="236"/>
      <x:c r="M324" s="236"/>
      <x:c r="N324" s="236"/>
      <x:c r="O324" s="236"/>
      <x:c r="P324" s="236"/>
      <x:c r="Q324" s="236"/>
      <x:c r="R324" s="236"/>
      <x:c r="S324" s="236"/>
      <x:c r="T324" s="236"/>
      <x:c r="U324" s="236"/>
      <x:c r="V324" s="236"/>
      <x:c r="W324" s="236"/>
      <x:c r="X324" s="236"/>
      <x:c r="Y324" s="236"/>
      <x:c r="Z324" s="236"/>
      <x:c r="AA324" s="236"/>
      <x:c r="AB324" s="236"/>
      <x:c r="AC324" s="236"/>
      <x:c r="AD324" s="236"/>
      <x:c r="AE324" s="236"/>
      <x:c r="AF324" s="236"/>
      <x:c r="AG324" s="236"/>
      <x:c r="AH324" s="236"/>
      <x:c r="AI324" s="236"/>
      <x:c r="AJ324" s="236"/>
      <x:c r="AK324" s="220">
        <x:f>+COUNTIF(F324:AJ324,"X")+COUNTIF(F324:AJ324,"E")</x:f>
      </x:c>
      <x:c r="AL324" s="221">
        <x:f>+COUNTIF(F324:AJ324,"R")+COUNTIF(F324:AJ324,"T")+COUNTIF(F324:AJ324,"İ")</x:f>
      </x:c>
      <x:c r="AM324" s="221">
        <x:f>+COUNTIF(F324:AJ324,"İ")</x:f>
      </x:c>
      <x:c r="AN324" s="222"/>
      <x:c r="AO324" s="222"/>
      <x:c r="AP324" s="228"/>
      <x:c r="AQ324" s="228"/>
      <x:c r="AR324" s="228"/>
      <x:c r="AS324" s="228"/>
      <x:c r="AT324" s="230"/>
    </x:row>
    <x:row r="325" spans="1:47" ht="15" customHeight="1" x14ac:dyDescent="0.25">
      <x:c r="A325" s="237"/>
      <x:c r="B325" s="216">
        <x:v>320</x:v>
      </x:c>
      <x:c r="C325" s="238"/>
      <x:c r="D325" s="239"/>
      <x:c r="E325" s="239"/>
      <x:c r="F325" s="236"/>
      <x:c r="G325" s="236"/>
      <x:c r="H325" s="236"/>
      <x:c r="I325" s="236"/>
      <x:c r="J325" s="236"/>
      <x:c r="K325" s="236"/>
      <x:c r="L325" s="236"/>
      <x:c r="M325" s="236"/>
      <x:c r="N325" s="236"/>
      <x:c r="O325" s="236"/>
      <x:c r="P325" s="236"/>
      <x:c r="Q325" s="236"/>
      <x:c r="R325" s="236"/>
      <x:c r="S325" s="236"/>
      <x:c r="T325" s="236"/>
      <x:c r="U325" s="236"/>
      <x:c r="V325" s="236"/>
      <x:c r="W325" s="236"/>
      <x:c r="X325" s="236"/>
      <x:c r="Y325" s="236"/>
      <x:c r="Z325" s="236"/>
      <x:c r="AA325" s="236"/>
      <x:c r="AB325" s="236"/>
      <x:c r="AC325" s="236"/>
      <x:c r="AD325" s="236"/>
      <x:c r="AE325" s="236"/>
      <x:c r="AF325" s="236"/>
      <x:c r="AG325" s="236"/>
      <x:c r="AH325" s="236"/>
      <x:c r="AI325" s="236"/>
      <x:c r="AJ325" s="236"/>
      <x:c r="AK325" s="220">
        <x:f>+COUNTIF(F325:AJ325,"X")+COUNTIF(F325:AJ325,"E")</x:f>
      </x:c>
      <x:c r="AL325" s="221">
        <x:f>+COUNTIF(F325:AJ325,"R")+COUNTIF(F325:AJ325,"T")+COUNTIF(F325:AJ325,"İ")</x:f>
      </x:c>
      <x:c r="AM325" s="221">
        <x:f>+COUNTIF(F325:AJ325,"İ")</x:f>
      </x:c>
      <x:c r="AN325" s="222"/>
      <x:c r="AO325" s="222"/>
      <x:c r="AP325" s="228"/>
      <x:c r="AQ325" s="228"/>
      <x:c r="AR325" s="228"/>
      <x:c r="AS325" s="228"/>
      <x:c r="AT325" s="230"/>
    </x:row>
    <x:row r="326" spans="1:47" ht="15" customHeight="1" x14ac:dyDescent="0.25">
      <x:c r="A326" s="237"/>
      <x:c r="B326" s="216">
        <x:v>321</x:v>
      </x:c>
      <x:c r="C326" s="238"/>
      <x:c r="D326" s="239"/>
      <x:c r="E326" s="239"/>
      <x:c r="F326" s="236"/>
      <x:c r="G326" s="236"/>
      <x:c r="H326" s="236"/>
      <x:c r="I326" s="236"/>
      <x:c r="J326" s="236"/>
      <x:c r="K326" s="236"/>
      <x:c r="L326" s="236"/>
      <x:c r="M326" s="236"/>
      <x:c r="N326" s="236"/>
      <x:c r="O326" s="236"/>
      <x:c r="P326" s="236"/>
      <x:c r="Q326" s="236"/>
      <x:c r="R326" s="236"/>
      <x:c r="S326" s="236"/>
      <x:c r="T326" s="236"/>
      <x:c r="U326" s="236"/>
      <x:c r="V326" s="236"/>
      <x:c r="W326" s="236"/>
      <x:c r="X326" s="236"/>
      <x:c r="Y326" s="236"/>
      <x:c r="Z326" s="236"/>
      <x:c r="AA326" s="236"/>
      <x:c r="AB326" s="236"/>
      <x:c r="AC326" s="236"/>
      <x:c r="AD326" s="236"/>
      <x:c r="AE326" s="236"/>
      <x:c r="AF326" s="236"/>
      <x:c r="AG326" s="236"/>
      <x:c r="AH326" s="236"/>
      <x:c r="AI326" s="236"/>
      <x:c r="AJ326" s="236"/>
      <x:c r="AK326" s="220">
        <x:f>+COUNTIF(F326:AJ326,"X")+COUNTIF(F326:AJ326,"E")</x:f>
      </x:c>
      <x:c r="AL326" s="221">
        <x:f>+COUNTIF(F326:AJ326,"R")+COUNTIF(F326:AJ326,"T")+COUNTIF(F326:AJ326,"İ")</x:f>
      </x:c>
      <x:c r="AM326" s="221">
        <x:f>+COUNTIF(F326:AJ326,"İ")</x:f>
      </x:c>
      <x:c r="AN326" s="222"/>
      <x:c r="AO326" s="222"/>
      <x:c r="AP326" s="228"/>
      <x:c r="AQ326" s="228"/>
      <x:c r="AR326" s="228"/>
      <x:c r="AS326" s="228"/>
      <x:c r="AT326" s="230"/>
    </x:row>
    <x:row r="327" spans="1:47" ht="15" customHeight="1" x14ac:dyDescent="0.25">
      <x:c r="A327" s="237"/>
      <x:c r="B327" s="216">
        <x:v>322</x:v>
      </x:c>
      <x:c r="C327" s="238"/>
      <x:c r="D327" s="239"/>
      <x:c r="E327" s="239"/>
      <x:c r="F327" s="236"/>
      <x:c r="G327" s="236"/>
      <x:c r="H327" s="236"/>
      <x:c r="I327" s="236"/>
      <x:c r="J327" s="236"/>
      <x:c r="K327" s="236"/>
      <x:c r="L327" s="236"/>
      <x:c r="M327" s="236"/>
      <x:c r="N327" s="236"/>
      <x:c r="O327" s="236"/>
      <x:c r="P327" s="236"/>
      <x:c r="Q327" s="236"/>
      <x:c r="R327" s="236"/>
      <x:c r="S327" s="236"/>
      <x:c r="T327" s="236"/>
      <x:c r="U327" s="236"/>
      <x:c r="V327" s="236"/>
      <x:c r="W327" s="236"/>
      <x:c r="X327" s="236"/>
      <x:c r="Y327" s="236"/>
      <x:c r="Z327" s="236"/>
      <x:c r="AA327" s="236"/>
      <x:c r="AB327" s="236"/>
      <x:c r="AC327" s="236"/>
      <x:c r="AD327" s="236"/>
      <x:c r="AE327" s="236"/>
      <x:c r="AF327" s="236"/>
      <x:c r="AG327" s="236"/>
      <x:c r="AH327" s="236"/>
      <x:c r="AI327" s="236"/>
      <x:c r="AJ327" s="236"/>
      <x:c r="AK327" s="220">
        <x:f>+COUNTIF(F327:AJ327,"X")+COUNTIF(F327:AJ327,"E")</x:f>
      </x:c>
      <x:c r="AL327" s="221">
        <x:f>+COUNTIF(F327:AJ327,"R")+COUNTIF(F327:AJ327,"T")+COUNTIF(F327:AJ327,"İ")</x:f>
      </x:c>
      <x:c r="AM327" s="221">
        <x:f>+COUNTIF(F327:AJ327,"İ")</x:f>
      </x:c>
      <x:c r="AN327" s="222"/>
      <x:c r="AO327" s="222"/>
      <x:c r="AP327" s="228"/>
      <x:c r="AQ327" s="228"/>
      <x:c r="AR327" s="228"/>
      <x:c r="AS327" s="228"/>
      <x:c r="AT327" s="230"/>
    </x:row>
    <x:row r="328" spans="1:47" ht="15" customHeight="1" x14ac:dyDescent="0.25">
      <x:c r="A328" s="237"/>
      <x:c r="B328" s="216">
        <x:v>323</x:v>
      </x:c>
      <x:c r="C328" s="238"/>
      <x:c r="D328" s="239"/>
      <x:c r="E328" s="239"/>
      <x:c r="F328" s="236"/>
      <x:c r="G328" s="236"/>
      <x:c r="H328" s="236"/>
      <x:c r="I328" s="236"/>
      <x:c r="J328" s="236"/>
      <x:c r="K328" s="236"/>
      <x:c r="L328" s="236"/>
      <x:c r="M328" s="236"/>
      <x:c r="N328" s="236"/>
      <x:c r="O328" s="236"/>
      <x:c r="P328" s="236"/>
      <x:c r="Q328" s="236"/>
      <x:c r="R328" s="236"/>
      <x:c r="S328" s="236"/>
      <x:c r="T328" s="236"/>
      <x:c r="U328" s="236"/>
      <x:c r="V328" s="236"/>
      <x:c r="W328" s="236"/>
      <x:c r="X328" s="236"/>
      <x:c r="Y328" s="236"/>
      <x:c r="Z328" s="236"/>
      <x:c r="AA328" s="236"/>
      <x:c r="AB328" s="236"/>
      <x:c r="AC328" s="236"/>
      <x:c r="AD328" s="236"/>
      <x:c r="AE328" s="236"/>
      <x:c r="AF328" s="236"/>
      <x:c r="AG328" s="236"/>
      <x:c r="AH328" s="236"/>
      <x:c r="AI328" s="236"/>
      <x:c r="AJ328" s="236"/>
      <x:c r="AK328" s="220">
        <x:f>+COUNTIF(F328:AJ328,"X")+COUNTIF(F328:AJ328,"E")</x:f>
      </x:c>
      <x:c r="AL328" s="221">
        <x:f>+COUNTIF(F328:AJ328,"R")+COUNTIF(F328:AJ328,"T")+COUNTIF(F328:AJ328,"İ")</x:f>
      </x:c>
      <x:c r="AM328" s="221">
        <x:f>+COUNTIF(F328:AJ328,"İ")</x:f>
      </x:c>
      <x:c r="AN328" s="222"/>
      <x:c r="AO328" s="222"/>
      <x:c r="AP328" s="228"/>
      <x:c r="AQ328" s="228"/>
      <x:c r="AR328" s="228"/>
      <x:c r="AS328" s="228"/>
      <x:c r="AT328" s="230"/>
    </x:row>
    <x:row r="329" spans="1:47" ht="15" customHeight="1" x14ac:dyDescent="0.25">
      <x:c r="A329" s="237"/>
      <x:c r="B329" s="216">
        <x:v>324</x:v>
      </x:c>
      <x:c r="C329" s="238"/>
      <x:c r="D329" s="239"/>
      <x:c r="E329" s="239"/>
      <x:c r="F329" s="236"/>
      <x:c r="G329" s="236"/>
      <x:c r="H329" s="236"/>
      <x:c r="I329" s="236"/>
      <x:c r="J329" s="236"/>
      <x:c r="K329" s="236"/>
      <x:c r="L329" s="236"/>
      <x:c r="M329" s="236"/>
      <x:c r="N329" s="236"/>
      <x:c r="O329" s="236"/>
      <x:c r="P329" s="236"/>
      <x:c r="Q329" s="236"/>
      <x:c r="R329" s="236"/>
      <x:c r="S329" s="236"/>
      <x:c r="T329" s="236"/>
      <x:c r="U329" s="236"/>
      <x:c r="V329" s="236"/>
      <x:c r="W329" s="236"/>
      <x:c r="X329" s="236"/>
      <x:c r="Y329" s="236"/>
      <x:c r="Z329" s="236"/>
      <x:c r="AA329" s="236"/>
      <x:c r="AB329" s="236"/>
      <x:c r="AC329" s="236"/>
      <x:c r="AD329" s="236"/>
      <x:c r="AE329" s="236"/>
      <x:c r="AF329" s="236"/>
      <x:c r="AG329" s="236"/>
      <x:c r="AH329" s="236"/>
      <x:c r="AI329" s="236"/>
      <x:c r="AJ329" s="236"/>
      <x:c r="AK329" s="220">
        <x:f>+COUNTIF(F329:AJ329,"X")+COUNTIF(F329:AJ329,"E")</x:f>
      </x:c>
      <x:c r="AL329" s="221">
        <x:f>+COUNTIF(F329:AJ329,"R")+COUNTIF(F329:AJ329,"T")+COUNTIF(F329:AJ329,"İ")</x:f>
      </x:c>
      <x:c r="AM329" s="221">
        <x:f>+COUNTIF(F329:AJ329,"İ")</x:f>
      </x:c>
      <x:c r="AN329" s="222"/>
      <x:c r="AO329" s="222"/>
      <x:c r="AP329" s="228"/>
      <x:c r="AQ329" s="228"/>
      <x:c r="AR329" s="228"/>
      <x:c r="AS329" s="228"/>
      <x:c r="AT329" s="230"/>
    </x:row>
    <x:row r="330" spans="1:47" ht="15" customHeight="1" x14ac:dyDescent="0.25">
      <x:c r="A330" s="237"/>
      <x:c r="B330" s="216">
        <x:v>325</x:v>
      </x:c>
      <x:c r="C330" s="238"/>
      <x:c r="D330" s="239"/>
      <x:c r="E330" s="239"/>
      <x:c r="F330" s="236"/>
      <x:c r="G330" s="236"/>
      <x:c r="H330" s="236"/>
      <x:c r="I330" s="236"/>
      <x:c r="J330" s="236"/>
      <x:c r="K330" s="236"/>
      <x:c r="L330" s="236"/>
      <x:c r="M330" s="236"/>
      <x:c r="N330" s="236"/>
      <x:c r="O330" s="236"/>
      <x:c r="P330" s="236"/>
      <x:c r="Q330" s="236"/>
      <x:c r="R330" s="236"/>
      <x:c r="S330" s="236"/>
      <x:c r="T330" s="236"/>
      <x:c r="U330" s="236"/>
      <x:c r="V330" s="236"/>
      <x:c r="W330" s="236"/>
      <x:c r="X330" s="236"/>
      <x:c r="Y330" s="236"/>
      <x:c r="Z330" s="236"/>
      <x:c r="AA330" s="236"/>
      <x:c r="AB330" s="236"/>
      <x:c r="AC330" s="236"/>
      <x:c r="AD330" s="236"/>
      <x:c r="AE330" s="236"/>
      <x:c r="AF330" s="236"/>
      <x:c r="AG330" s="236"/>
      <x:c r="AH330" s="236"/>
      <x:c r="AI330" s="236"/>
      <x:c r="AJ330" s="236"/>
      <x:c r="AK330" s="220">
        <x:f>+COUNTIF(F330:AJ330,"X")+COUNTIF(F330:AJ330,"E")</x:f>
      </x:c>
      <x:c r="AL330" s="221">
        <x:f>+COUNTIF(F330:AJ330,"R")+COUNTIF(F330:AJ330,"T")+COUNTIF(F330:AJ330,"İ")</x:f>
      </x:c>
      <x:c r="AM330" s="221">
        <x:f>+COUNTIF(F330:AJ330,"İ")</x:f>
      </x:c>
      <x:c r="AN330" s="222"/>
      <x:c r="AO330" s="222"/>
      <x:c r="AP330" s="228"/>
      <x:c r="AQ330" s="228"/>
      <x:c r="AR330" s="228"/>
      <x:c r="AS330" s="228"/>
      <x:c r="AT330" s="230"/>
    </x:row>
    <x:row r="331" spans="1:47" ht="15" customHeight="1" x14ac:dyDescent="0.25">
      <x:c r="A331" s="237"/>
      <x:c r="B331" s="216">
        <x:v>326</x:v>
      </x:c>
      <x:c r="C331" s="238"/>
      <x:c r="D331" s="239"/>
      <x:c r="E331" s="239"/>
      <x:c r="F331" s="236"/>
      <x:c r="G331" s="236"/>
      <x:c r="H331" s="236"/>
      <x:c r="I331" s="236"/>
      <x:c r="J331" s="236"/>
      <x:c r="K331" s="236"/>
      <x:c r="L331" s="236"/>
      <x:c r="M331" s="236"/>
      <x:c r="N331" s="236"/>
      <x:c r="O331" s="236"/>
      <x:c r="P331" s="236"/>
      <x:c r="Q331" s="236"/>
      <x:c r="R331" s="236"/>
      <x:c r="S331" s="236"/>
      <x:c r="T331" s="236"/>
      <x:c r="U331" s="236"/>
      <x:c r="V331" s="236"/>
      <x:c r="W331" s="236"/>
      <x:c r="X331" s="236"/>
      <x:c r="Y331" s="236"/>
      <x:c r="Z331" s="236"/>
      <x:c r="AA331" s="236"/>
      <x:c r="AB331" s="236"/>
      <x:c r="AC331" s="236"/>
      <x:c r="AD331" s="236"/>
      <x:c r="AE331" s="236"/>
      <x:c r="AF331" s="236"/>
      <x:c r="AG331" s="236"/>
      <x:c r="AH331" s="236"/>
      <x:c r="AI331" s="236"/>
      <x:c r="AJ331" s="236"/>
      <x:c r="AK331" s="220">
        <x:f>+COUNTIF(F331:AJ331,"X")+COUNTIF(F331:AJ331,"E")</x:f>
      </x:c>
      <x:c r="AL331" s="221">
        <x:f>+COUNTIF(F331:AJ331,"R")+COUNTIF(F331:AJ331,"T")+COUNTIF(F331:AJ331,"İ")</x:f>
      </x:c>
      <x:c r="AM331" s="221">
        <x:f>+COUNTIF(F331:AJ331,"İ")</x:f>
      </x:c>
      <x:c r="AN331" s="222"/>
      <x:c r="AO331" s="222"/>
      <x:c r="AP331" s="228"/>
      <x:c r="AQ331" s="228"/>
      <x:c r="AR331" s="228"/>
      <x:c r="AS331" s="228"/>
      <x:c r="AT331" s="230"/>
    </x:row>
    <x:row r="332" spans="1:47" ht="15" customHeight="1" x14ac:dyDescent="0.25">
      <x:c r="A332" s="237"/>
      <x:c r="B332" s="216">
        <x:v>327</x:v>
      </x:c>
      <x:c r="C332" s="238"/>
      <x:c r="D332" s="239"/>
      <x:c r="E332" s="239"/>
      <x:c r="F332" s="236"/>
      <x:c r="G332" s="236"/>
      <x:c r="H332" s="236"/>
      <x:c r="I332" s="236"/>
      <x:c r="J332" s="236"/>
      <x:c r="K332" s="236"/>
      <x:c r="L332" s="236"/>
      <x:c r="M332" s="236"/>
      <x:c r="N332" s="236"/>
      <x:c r="O332" s="236"/>
      <x:c r="P332" s="236"/>
      <x:c r="Q332" s="236"/>
      <x:c r="R332" s="236"/>
      <x:c r="S332" s="236"/>
      <x:c r="T332" s="236"/>
      <x:c r="U332" s="236"/>
      <x:c r="V332" s="236"/>
      <x:c r="W332" s="236"/>
      <x:c r="X332" s="236"/>
      <x:c r="Y332" s="236"/>
      <x:c r="Z332" s="236"/>
      <x:c r="AA332" s="236"/>
      <x:c r="AB332" s="236"/>
      <x:c r="AC332" s="236"/>
      <x:c r="AD332" s="236"/>
      <x:c r="AE332" s="236"/>
      <x:c r="AF332" s="236"/>
      <x:c r="AG332" s="236"/>
      <x:c r="AH332" s="236"/>
      <x:c r="AI332" s="236"/>
      <x:c r="AJ332" s="236"/>
      <x:c r="AK332" s="220">
        <x:f>+COUNTIF(F332:AJ332,"X")+COUNTIF(F332:AJ332,"E")</x:f>
      </x:c>
      <x:c r="AL332" s="221">
        <x:f>+COUNTIF(F332:AJ332,"R")+COUNTIF(F332:AJ332,"T")+COUNTIF(F332:AJ332,"İ")</x:f>
      </x:c>
      <x:c r="AM332" s="221">
        <x:f>+COUNTIF(F332:AJ332,"İ")</x:f>
      </x:c>
      <x:c r="AN332" s="222"/>
      <x:c r="AO332" s="222"/>
      <x:c r="AP332" s="228"/>
      <x:c r="AQ332" s="228"/>
      <x:c r="AR332" s="228"/>
      <x:c r="AS332" s="228"/>
      <x:c r="AT332" s="230"/>
    </x:row>
    <x:row r="333" spans="1:47" ht="15" customHeight="1" x14ac:dyDescent="0.25">
      <x:c r="A333" s="237"/>
      <x:c r="B333" s="216">
        <x:v>328</x:v>
      </x:c>
      <x:c r="C333" s="238"/>
      <x:c r="D333" s="239"/>
      <x:c r="E333" s="239"/>
      <x:c r="F333" s="236"/>
      <x:c r="G333" s="236"/>
      <x:c r="H333" s="236"/>
      <x:c r="I333" s="236"/>
      <x:c r="J333" s="236"/>
      <x:c r="K333" s="236"/>
      <x:c r="L333" s="236"/>
      <x:c r="M333" s="236"/>
      <x:c r="N333" s="236"/>
      <x:c r="O333" s="236"/>
      <x:c r="P333" s="236"/>
      <x:c r="Q333" s="236"/>
      <x:c r="R333" s="236"/>
      <x:c r="S333" s="236"/>
      <x:c r="T333" s="236"/>
      <x:c r="U333" s="236"/>
      <x:c r="V333" s="236"/>
      <x:c r="W333" s="236"/>
      <x:c r="X333" s="236"/>
      <x:c r="Y333" s="236"/>
      <x:c r="Z333" s="236"/>
      <x:c r="AA333" s="236"/>
      <x:c r="AB333" s="236"/>
      <x:c r="AC333" s="236"/>
      <x:c r="AD333" s="236"/>
      <x:c r="AE333" s="236"/>
      <x:c r="AF333" s="236"/>
      <x:c r="AG333" s="236"/>
      <x:c r="AH333" s="236"/>
      <x:c r="AI333" s="236"/>
      <x:c r="AJ333" s="236"/>
      <x:c r="AK333" s="220">
        <x:f>+COUNTIF(F333:AJ333,"X")+COUNTIF(F333:AJ333,"E")</x:f>
      </x:c>
      <x:c r="AL333" s="221">
        <x:f>+COUNTIF(F333:AJ333,"R")+COUNTIF(F333:AJ333,"T")+COUNTIF(F333:AJ333,"İ")</x:f>
      </x:c>
      <x:c r="AM333" s="221">
        <x:f>+COUNTIF(F333:AJ333,"İ")</x:f>
      </x:c>
      <x:c r="AN333" s="222"/>
      <x:c r="AO333" s="222"/>
      <x:c r="AP333" s="228"/>
      <x:c r="AQ333" s="228"/>
      <x:c r="AR333" s="228"/>
      <x:c r="AS333" s="228"/>
      <x:c r="AT333" s="230"/>
    </x:row>
    <x:row r="334" spans="1:47" ht="15" customHeight="1" x14ac:dyDescent="0.25">
      <x:c r="A334" s="237"/>
      <x:c r="B334" s="216">
        <x:v>329</x:v>
      </x:c>
      <x:c r="C334" s="238"/>
      <x:c r="D334" s="239"/>
      <x:c r="E334" s="239"/>
      <x:c r="F334" s="236"/>
      <x:c r="G334" s="236"/>
      <x:c r="H334" s="236"/>
      <x:c r="I334" s="236"/>
      <x:c r="J334" s="236"/>
      <x:c r="K334" s="236"/>
      <x:c r="L334" s="236"/>
      <x:c r="M334" s="236"/>
      <x:c r="N334" s="236"/>
      <x:c r="O334" s="236"/>
      <x:c r="P334" s="236"/>
      <x:c r="Q334" s="236"/>
      <x:c r="R334" s="236"/>
      <x:c r="S334" s="236"/>
      <x:c r="T334" s="236"/>
      <x:c r="U334" s="236"/>
      <x:c r="V334" s="236"/>
      <x:c r="W334" s="236"/>
      <x:c r="X334" s="236"/>
      <x:c r="Y334" s="236"/>
      <x:c r="Z334" s="236"/>
      <x:c r="AA334" s="236"/>
      <x:c r="AB334" s="236"/>
      <x:c r="AC334" s="236"/>
      <x:c r="AD334" s="236"/>
      <x:c r="AE334" s="236"/>
      <x:c r="AF334" s="236"/>
      <x:c r="AG334" s="236"/>
      <x:c r="AH334" s="236"/>
      <x:c r="AI334" s="236"/>
      <x:c r="AJ334" s="236"/>
      <x:c r="AK334" s="220">
        <x:f>+COUNTIF(F334:AJ334,"X")+COUNTIF(F334:AJ334,"E")</x:f>
      </x:c>
      <x:c r="AL334" s="221">
        <x:f>+COUNTIF(F334:AJ334,"R")+COUNTIF(F334:AJ334,"T")+COUNTIF(F334:AJ334,"İ")</x:f>
      </x:c>
      <x:c r="AM334" s="221">
        <x:f>+COUNTIF(F334:AJ334,"İ")</x:f>
      </x:c>
      <x:c r="AN334" s="222"/>
      <x:c r="AO334" s="222"/>
      <x:c r="AP334" s="228"/>
      <x:c r="AQ334" s="228"/>
      <x:c r="AR334" s="228"/>
      <x:c r="AS334" s="228"/>
      <x:c r="AT334" s="230"/>
    </x:row>
    <x:row r="335" spans="1:47" ht="15" customHeight="1" x14ac:dyDescent="0.25">
      <x:c r="A335" s="237"/>
      <x:c r="B335" s="216">
        <x:v>330</x:v>
      </x:c>
      <x:c r="C335" s="238"/>
      <x:c r="D335" s="239"/>
      <x:c r="E335" s="239"/>
      <x:c r="F335" s="236"/>
      <x:c r="G335" s="236"/>
      <x:c r="H335" s="236"/>
      <x:c r="I335" s="236"/>
      <x:c r="J335" s="236"/>
      <x:c r="K335" s="236"/>
      <x:c r="L335" s="236"/>
      <x:c r="M335" s="236"/>
      <x:c r="N335" s="236"/>
      <x:c r="O335" s="236"/>
      <x:c r="P335" s="236"/>
      <x:c r="Q335" s="236"/>
      <x:c r="R335" s="236"/>
      <x:c r="S335" s="236"/>
      <x:c r="T335" s="236"/>
      <x:c r="U335" s="236"/>
      <x:c r="V335" s="236"/>
      <x:c r="W335" s="236"/>
      <x:c r="X335" s="236"/>
      <x:c r="Y335" s="236"/>
      <x:c r="Z335" s="236"/>
      <x:c r="AA335" s="236"/>
      <x:c r="AB335" s="236"/>
      <x:c r="AC335" s="236"/>
      <x:c r="AD335" s="236"/>
      <x:c r="AE335" s="236"/>
      <x:c r="AF335" s="236"/>
      <x:c r="AG335" s="236"/>
      <x:c r="AH335" s="236"/>
      <x:c r="AI335" s="236"/>
      <x:c r="AJ335" s="236"/>
      <x:c r="AK335" s="220">
        <x:f>+COUNTIF(F335:AJ335,"X")+COUNTIF(F335:AJ335,"E")</x:f>
      </x:c>
      <x:c r="AL335" s="221">
        <x:f>+COUNTIF(F335:AJ335,"R")+COUNTIF(F335:AJ335,"T")+COUNTIF(F335:AJ335,"İ")</x:f>
      </x:c>
      <x:c r="AM335" s="221">
        <x:f>+COUNTIF(F335:AJ335,"İ")</x:f>
      </x:c>
      <x:c r="AN335" s="222"/>
      <x:c r="AO335" s="222"/>
      <x:c r="AP335" s="228"/>
      <x:c r="AQ335" s="228"/>
      <x:c r="AR335" s="228"/>
      <x:c r="AS335" s="228"/>
      <x:c r="AT335" s="230"/>
    </x:row>
    <x:row r="336" spans="1:47" ht="15" customHeight="1" x14ac:dyDescent="0.25">
      <x:c r="A336" s="237"/>
      <x:c r="B336" s="216">
        <x:v>331</x:v>
      </x:c>
      <x:c r="C336" s="238"/>
      <x:c r="D336" s="239"/>
      <x:c r="E336" s="239"/>
      <x:c r="F336" s="236"/>
      <x:c r="G336" s="236"/>
      <x:c r="H336" s="236"/>
      <x:c r="I336" s="236"/>
      <x:c r="J336" s="236"/>
      <x:c r="K336" s="236"/>
      <x:c r="L336" s="236"/>
      <x:c r="M336" s="236"/>
      <x:c r="N336" s="236"/>
      <x:c r="O336" s="236"/>
      <x:c r="P336" s="236"/>
      <x:c r="Q336" s="236"/>
      <x:c r="R336" s="236"/>
      <x:c r="S336" s="236"/>
      <x:c r="T336" s="236"/>
      <x:c r="U336" s="236"/>
      <x:c r="V336" s="236"/>
      <x:c r="W336" s="236"/>
      <x:c r="X336" s="236"/>
      <x:c r="Y336" s="236"/>
      <x:c r="Z336" s="236"/>
      <x:c r="AA336" s="236"/>
      <x:c r="AB336" s="236"/>
      <x:c r="AC336" s="236"/>
      <x:c r="AD336" s="236"/>
      <x:c r="AE336" s="236"/>
      <x:c r="AF336" s="236"/>
      <x:c r="AG336" s="236"/>
      <x:c r="AH336" s="236"/>
      <x:c r="AI336" s="236"/>
      <x:c r="AJ336" s="236"/>
      <x:c r="AK336" s="220">
        <x:f>+COUNTIF(F336:AJ336,"X")+COUNTIF(F336:AJ336,"E")</x:f>
      </x:c>
      <x:c r="AL336" s="221">
        <x:f>+COUNTIF(F336:AJ336,"R")+COUNTIF(F336:AJ336,"T")+COUNTIF(F336:AJ336,"İ")</x:f>
      </x:c>
      <x:c r="AM336" s="221">
        <x:f>+COUNTIF(F336:AJ336,"İ")</x:f>
      </x:c>
      <x:c r="AN336" s="222"/>
      <x:c r="AO336" s="222"/>
      <x:c r="AP336" s="228"/>
      <x:c r="AQ336" s="228"/>
      <x:c r="AR336" s="228"/>
      <x:c r="AS336" s="228"/>
      <x:c r="AT336" s="230"/>
    </x:row>
    <x:row r="337" spans="1:47" ht="15" customHeight="1" x14ac:dyDescent="0.25">
      <x:c r="A337" s="237"/>
      <x:c r="B337" s="216">
        <x:v>332</x:v>
      </x:c>
      <x:c r="C337" s="238"/>
      <x:c r="D337" s="239"/>
      <x:c r="E337" s="239"/>
      <x:c r="F337" s="236"/>
      <x:c r="G337" s="236"/>
      <x:c r="H337" s="236"/>
      <x:c r="I337" s="236"/>
      <x:c r="J337" s="236"/>
      <x:c r="K337" s="236"/>
      <x:c r="L337" s="236"/>
      <x:c r="M337" s="236"/>
      <x:c r="N337" s="236"/>
      <x:c r="O337" s="236"/>
      <x:c r="P337" s="236"/>
      <x:c r="Q337" s="236"/>
      <x:c r="R337" s="236"/>
      <x:c r="S337" s="236"/>
      <x:c r="T337" s="236"/>
      <x:c r="U337" s="236"/>
      <x:c r="V337" s="236"/>
      <x:c r="W337" s="236"/>
      <x:c r="X337" s="236"/>
      <x:c r="Y337" s="236"/>
      <x:c r="Z337" s="236"/>
      <x:c r="AA337" s="236"/>
      <x:c r="AB337" s="236"/>
      <x:c r="AC337" s="236"/>
      <x:c r="AD337" s="236"/>
      <x:c r="AE337" s="236"/>
      <x:c r="AF337" s="236"/>
      <x:c r="AG337" s="236"/>
      <x:c r="AH337" s="236"/>
      <x:c r="AI337" s="236"/>
      <x:c r="AJ337" s="236"/>
      <x:c r="AK337" s="220">
        <x:f>+COUNTIF(F337:AJ337,"X")+COUNTIF(F337:AJ337,"E")</x:f>
      </x:c>
      <x:c r="AL337" s="221">
        <x:f>+COUNTIF(F337:AJ337,"R")+COUNTIF(F337:AJ337,"T")+COUNTIF(F337:AJ337,"İ")</x:f>
      </x:c>
      <x:c r="AM337" s="221">
        <x:f>+COUNTIF(F337:AJ337,"İ")</x:f>
      </x:c>
      <x:c r="AN337" s="222"/>
      <x:c r="AO337" s="222"/>
      <x:c r="AP337" s="228"/>
      <x:c r="AQ337" s="228"/>
      <x:c r="AR337" s="228"/>
      <x:c r="AS337" s="228"/>
      <x:c r="AT337" s="230"/>
    </x:row>
    <x:row r="338" spans="1:47" ht="15" customHeight="1" x14ac:dyDescent="0.25">
      <x:c r="A338" s="237"/>
      <x:c r="B338" s="216">
        <x:v>333</x:v>
      </x:c>
      <x:c r="C338" s="238"/>
      <x:c r="D338" s="239"/>
      <x:c r="E338" s="239"/>
      <x:c r="F338" s="236"/>
      <x:c r="G338" s="236"/>
      <x:c r="H338" s="236"/>
      <x:c r="I338" s="236"/>
      <x:c r="J338" s="236"/>
      <x:c r="K338" s="236"/>
      <x:c r="L338" s="236"/>
      <x:c r="M338" s="236"/>
      <x:c r="N338" s="236"/>
      <x:c r="O338" s="236"/>
      <x:c r="P338" s="236"/>
      <x:c r="Q338" s="236"/>
      <x:c r="R338" s="236"/>
      <x:c r="S338" s="236"/>
      <x:c r="T338" s="236"/>
      <x:c r="U338" s="236"/>
      <x:c r="V338" s="236"/>
      <x:c r="W338" s="236"/>
      <x:c r="X338" s="236"/>
      <x:c r="Y338" s="236"/>
      <x:c r="Z338" s="236"/>
      <x:c r="AA338" s="236"/>
      <x:c r="AB338" s="236"/>
      <x:c r="AC338" s="236"/>
      <x:c r="AD338" s="236"/>
      <x:c r="AE338" s="236"/>
      <x:c r="AF338" s="236"/>
      <x:c r="AG338" s="236"/>
      <x:c r="AH338" s="236"/>
      <x:c r="AI338" s="236"/>
      <x:c r="AJ338" s="236"/>
      <x:c r="AK338" s="220">
        <x:f>+COUNTIF(F338:AJ338,"X")+COUNTIF(F338:AJ338,"E")</x:f>
      </x:c>
      <x:c r="AL338" s="221">
        <x:f>+COUNTIF(F338:AJ338,"R")+COUNTIF(F338:AJ338,"T")+COUNTIF(F338:AJ338,"İ")</x:f>
      </x:c>
      <x:c r="AM338" s="221">
        <x:f>+COUNTIF(F338:AJ338,"İ")</x:f>
      </x:c>
      <x:c r="AN338" s="222"/>
      <x:c r="AO338" s="222"/>
      <x:c r="AP338" s="228"/>
      <x:c r="AQ338" s="228"/>
      <x:c r="AR338" s="228"/>
      <x:c r="AS338" s="228"/>
      <x:c r="AT338" s="230"/>
    </x:row>
    <x:row r="339" spans="1:47" ht="15" customHeight="1" x14ac:dyDescent="0.25">
      <x:c r="A339" s="237"/>
      <x:c r="B339" s="216">
        <x:v>334</x:v>
      </x:c>
      <x:c r="C339" s="238"/>
      <x:c r="D339" s="239"/>
      <x:c r="E339" s="239"/>
      <x:c r="F339" s="236"/>
      <x:c r="G339" s="236"/>
      <x:c r="H339" s="236"/>
      <x:c r="I339" s="236"/>
      <x:c r="J339" s="236"/>
      <x:c r="K339" s="236"/>
      <x:c r="L339" s="236"/>
      <x:c r="M339" s="236"/>
      <x:c r="N339" s="236"/>
      <x:c r="O339" s="236"/>
      <x:c r="P339" s="236"/>
      <x:c r="Q339" s="236"/>
      <x:c r="R339" s="236"/>
      <x:c r="S339" s="236"/>
      <x:c r="T339" s="236"/>
      <x:c r="U339" s="236"/>
      <x:c r="V339" s="236"/>
      <x:c r="W339" s="236"/>
      <x:c r="X339" s="236"/>
      <x:c r="Y339" s="236"/>
      <x:c r="Z339" s="236"/>
      <x:c r="AA339" s="236"/>
      <x:c r="AB339" s="236"/>
      <x:c r="AC339" s="236"/>
      <x:c r="AD339" s="236"/>
      <x:c r="AE339" s="236"/>
      <x:c r="AF339" s="236"/>
      <x:c r="AG339" s="236"/>
      <x:c r="AH339" s="236"/>
      <x:c r="AI339" s="236"/>
      <x:c r="AJ339" s="236"/>
      <x:c r="AK339" s="220">
        <x:f>+COUNTIF(F339:AJ339,"X")+COUNTIF(F339:AJ339,"E")</x:f>
      </x:c>
      <x:c r="AL339" s="221">
        <x:f>+COUNTIF(F339:AJ339,"R")+COUNTIF(F339:AJ339,"T")+COUNTIF(F339:AJ339,"İ")</x:f>
      </x:c>
      <x:c r="AM339" s="221">
        <x:f>+COUNTIF(F339:AJ339,"İ")</x:f>
      </x:c>
      <x:c r="AN339" s="222"/>
      <x:c r="AO339" s="222"/>
      <x:c r="AP339" s="228"/>
      <x:c r="AQ339" s="228"/>
      <x:c r="AR339" s="228"/>
      <x:c r="AS339" s="228"/>
      <x:c r="AT339" s="230"/>
    </x:row>
    <x:row r="340" spans="1:47" ht="15" customHeight="1" x14ac:dyDescent="0.25">
      <x:c r="A340" s="237"/>
      <x:c r="B340" s="216">
        <x:v>335</x:v>
      </x:c>
      <x:c r="C340" s="238"/>
      <x:c r="D340" s="239"/>
      <x:c r="E340" s="239"/>
      <x:c r="F340" s="236"/>
      <x:c r="G340" s="236"/>
      <x:c r="H340" s="236"/>
      <x:c r="I340" s="236"/>
      <x:c r="J340" s="236"/>
      <x:c r="K340" s="236"/>
      <x:c r="L340" s="236"/>
      <x:c r="M340" s="236"/>
      <x:c r="N340" s="236"/>
      <x:c r="O340" s="236"/>
      <x:c r="P340" s="236"/>
      <x:c r="Q340" s="236"/>
      <x:c r="R340" s="236"/>
      <x:c r="S340" s="236"/>
      <x:c r="T340" s="236"/>
      <x:c r="U340" s="236"/>
      <x:c r="V340" s="236"/>
      <x:c r="W340" s="236"/>
      <x:c r="X340" s="236"/>
      <x:c r="Y340" s="236"/>
      <x:c r="Z340" s="236"/>
      <x:c r="AA340" s="236"/>
      <x:c r="AB340" s="236"/>
      <x:c r="AC340" s="236"/>
      <x:c r="AD340" s="236"/>
      <x:c r="AE340" s="236"/>
      <x:c r="AF340" s="236"/>
      <x:c r="AG340" s="236"/>
      <x:c r="AH340" s="236"/>
      <x:c r="AI340" s="236"/>
      <x:c r="AJ340" s="236"/>
      <x:c r="AK340" s="220">
        <x:f>+COUNTIF(F340:AJ340,"X")+COUNTIF(F340:AJ340,"E")</x:f>
      </x:c>
      <x:c r="AL340" s="221">
        <x:f>+COUNTIF(F340:AJ340,"R")+COUNTIF(F340:AJ340,"T")+COUNTIF(F340:AJ340,"İ")</x:f>
      </x:c>
      <x:c r="AM340" s="221">
        <x:f>+COUNTIF(F340:AJ340,"İ")</x:f>
      </x:c>
      <x:c r="AN340" s="222"/>
      <x:c r="AO340" s="222"/>
      <x:c r="AP340" s="228"/>
      <x:c r="AQ340" s="228"/>
      <x:c r="AR340" s="228"/>
      <x:c r="AS340" s="228"/>
      <x:c r="AT340" s="230"/>
    </x:row>
    <x:row r="341" spans="1:47" ht="15" customHeight="1" x14ac:dyDescent="0.25">
      <x:c r="A341" s="237"/>
      <x:c r="B341" s="216">
        <x:v>336</x:v>
      </x:c>
      <x:c r="C341" s="238"/>
      <x:c r="D341" s="239"/>
      <x:c r="E341" s="239"/>
      <x:c r="F341" s="236"/>
      <x:c r="G341" s="236"/>
      <x:c r="H341" s="236"/>
      <x:c r="I341" s="236"/>
      <x:c r="J341" s="236"/>
      <x:c r="K341" s="236"/>
      <x:c r="L341" s="236"/>
      <x:c r="M341" s="236"/>
      <x:c r="N341" s="236"/>
      <x:c r="O341" s="236"/>
      <x:c r="P341" s="236"/>
      <x:c r="Q341" s="236"/>
      <x:c r="R341" s="236"/>
      <x:c r="S341" s="236"/>
      <x:c r="T341" s="236"/>
      <x:c r="U341" s="236"/>
      <x:c r="V341" s="236"/>
      <x:c r="W341" s="236"/>
      <x:c r="X341" s="236"/>
      <x:c r="Y341" s="236"/>
      <x:c r="Z341" s="236"/>
      <x:c r="AA341" s="236"/>
      <x:c r="AB341" s="236"/>
      <x:c r="AC341" s="236"/>
      <x:c r="AD341" s="236"/>
      <x:c r="AE341" s="236"/>
      <x:c r="AF341" s="236"/>
      <x:c r="AG341" s="236"/>
      <x:c r="AH341" s="236"/>
      <x:c r="AI341" s="236"/>
      <x:c r="AJ341" s="236"/>
      <x:c r="AK341" s="220">
        <x:f>+COUNTIF(F341:AJ341,"X")+COUNTIF(F341:AJ341,"E")</x:f>
      </x:c>
      <x:c r="AL341" s="221">
        <x:f>+COUNTIF(F341:AJ341,"R")+COUNTIF(F341:AJ341,"T")+COUNTIF(F341:AJ341,"İ")</x:f>
      </x:c>
      <x:c r="AM341" s="221">
        <x:f>+COUNTIF(F341:AJ341,"İ")</x:f>
      </x:c>
      <x:c r="AN341" s="222"/>
      <x:c r="AO341" s="222"/>
      <x:c r="AP341" s="228"/>
      <x:c r="AQ341" s="228"/>
      <x:c r="AR341" s="228"/>
      <x:c r="AS341" s="228"/>
      <x:c r="AT341" s="230"/>
    </x:row>
    <x:row r="342" spans="1:47" ht="15" customHeight="1" x14ac:dyDescent="0.25">
      <x:c r="A342" s="237"/>
      <x:c r="B342" s="216">
        <x:v>337</x:v>
      </x:c>
      <x:c r="C342" s="238"/>
      <x:c r="D342" s="239"/>
      <x:c r="E342" s="239"/>
      <x:c r="F342" s="236"/>
      <x:c r="G342" s="236"/>
      <x:c r="H342" s="236"/>
      <x:c r="I342" s="236"/>
      <x:c r="J342" s="236"/>
      <x:c r="K342" s="236"/>
      <x:c r="L342" s="236"/>
      <x:c r="M342" s="236"/>
      <x:c r="N342" s="236"/>
      <x:c r="O342" s="236"/>
      <x:c r="P342" s="236"/>
      <x:c r="Q342" s="236"/>
      <x:c r="R342" s="236"/>
      <x:c r="S342" s="236"/>
      <x:c r="T342" s="236"/>
      <x:c r="U342" s="236"/>
      <x:c r="V342" s="236"/>
      <x:c r="W342" s="236"/>
      <x:c r="X342" s="236"/>
      <x:c r="Y342" s="236"/>
      <x:c r="Z342" s="236"/>
      <x:c r="AA342" s="236"/>
      <x:c r="AB342" s="236"/>
      <x:c r="AC342" s="236"/>
      <x:c r="AD342" s="236"/>
      <x:c r="AE342" s="236"/>
      <x:c r="AF342" s="236"/>
      <x:c r="AG342" s="236"/>
      <x:c r="AH342" s="236"/>
      <x:c r="AI342" s="236"/>
      <x:c r="AJ342" s="236"/>
      <x:c r="AK342" s="220">
        <x:f>+COUNTIF(F342:AJ342,"X")+COUNTIF(F342:AJ342,"E")</x:f>
      </x:c>
      <x:c r="AL342" s="221">
        <x:f>+COUNTIF(F342:AJ342,"R")+COUNTIF(F342:AJ342,"T")+COUNTIF(F342:AJ342,"İ")</x:f>
      </x:c>
      <x:c r="AM342" s="221">
        <x:f>+COUNTIF(F342:AJ342,"İ")</x:f>
      </x:c>
      <x:c r="AN342" s="222"/>
      <x:c r="AO342" s="222"/>
      <x:c r="AP342" s="228"/>
      <x:c r="AQ342" s="228"/>
      <x:c r="AR342" s="228"/>
      <x:c r="AS342" s="228"/>
      <x:c r="AT342" s="230"/>
    </x:row>
    <x:row r="343" spans="1:47" ht="15" customHeight="1" x14ac:dyDescent="0.25">
      <x:c r="A343" s="237"/>
      <x:c r="B343" s="216">
        <x:v>338</x:v>
      </x:c>
      <x:c r="C343" s="238"/>
      <x:c r="D343" s="239"/>
      <x:c r="E343" s="239"/>
      <x:c r="F343" s="236"/>
      <x:c r="G343" s="236"/>
      <x:c r="H343" s="236"/>
      <x:c r="I343" s="236"/>
      <x:c r="J343" s="236"/>
      <x:c r="K343" s="236"/>
      <x:c r="L343" s="236"/>
      <x:c r="M343" s="236"/>
      <x:c r="N343" s="236"/>
      <x:c r="O343" s="236"/>
      <x:c r="P343" s="236"/>
      <x:c r="Q343" s="236"/>
      <x:c r="R343" s="236"/>
      <x:c r="S343" s="236"/>
      <x:c r="T343" s="236"/>
      <x:c r="U343" s="236"/>
      <x:c r="V343" s="236"/>
      <x:c r="W343" s="236"/>
      <x:c r="X343" s="236"/>
      <x:c r="Y343" s="236"/>
      <x:c r="Z343" s="236"/>
      <x:c r="AA343" s="236"/>
      <x:c r="AB343" s="236"/>
      <x:c r="AC343" s="236"/>
      <x:c r="AD343" s="236"/>
      <x:c r="AE343" s="236"/>
      <x:c r="AF343" s="236"/>
      <x:c r="AG343" s="236"/>
      <x:c r="AH343" s="236"/>
      <x:c r="AI343" s="236"/>
      <x:c r="AJ343" s="236"/>
      <x:c r="AK343" s="220">
        <x:f>+COUNTIF(F343:AJ343,"X")+COUNTIF(F343:AJ343,"E")</x:f>
      </x:c>
      <x:c r="AL343" s="221">
        <x:f>+COUNTIF(F343:AJ343,"R")+COUNTIF(F343:AJ343,"T")+COUNTIF(F343:AJ343,"İ")</x:f>
      </x:c>
      <x:c r="AM343" s="221">
        <x:f>+COUNTIF(F343:AJ343,"İ")</x:f>
      </x:c>
      <x:c r="AN343" s="222"/>
      <x:c r="AO343" s="222"/>
      <x:c r="AP343" s="228"/>
      <x:c r="AQ343" s="228"/>
      <x:c r="AR343" s="228"/>
      <x:c r="AS343" s="228"/>
      <x:c r="AT343" s="230"/>
    </x:row>
    <x:row r="344" spans="1:47" ht="15" customHeight="1" x14ac:dyDescent="0.25">
      <x:c r="A344" s="237"/>
      <x:c r="B344" s="216">
        <x:v>339</x:v>
      </x:c>
      <x:c r="C344" s="238"/>
      <x:c r="D344" s="239"/>
      <x:c r="E344" s="239"/>
      <x:c r="F344" s="236"/>
      <x:c r="G344" s="236"/>
      <x:c r="H344" s="236"/>
      <x:c r="I344" s="236"/>
      <x:c r="J344" s="236"/>
      <x:c r="K344" s="236"/>
      <x:c r="L344" s="236"/>
      <x:c r="M344" s="236"/>
      <x:c r="N344" s="236"/>
      <x:c r="O344" s="236"/>
      <x:c r="P344" s="236"/>
      <x:c r="Q344" s="236"/>
      <x:c r="R344" s="236"/>
      <x:c r="S344" s="236"/>
      <x:c r="T344" s="236"/>
      <x:c r="U344" s="236"/>
      <x:c r="V344" s="236"/>
      <x:c r="W344" s="236"/>
      <x:c r="X344" s="236"/>
      <x:c r="Y344" s="236"/>
      <x:c r="Z344" s="236"/>
      <x:c r="AA344" s="236"/>
      <x:c r="AB344" s="236"/>
      <x:c r="AC344" s="236"/>
      <x:c r="AD344" s="236"/>
      <x:c r="AE344" s="236"/>
      <x:c r="AF344" s="236"/>
      <x:c r="AG344" s="236"/>
      <x:c r="AH344" s="236"/>
      <x:c r="AI344" s="236"/>
      <x:c r="AJ344" s="236"/>
      <x:c r="AK344" s="220">
        <x:f>+COUNTIF(F344:AJ344,"X")+COUNTIF(F344:AJ344,"E")</x:f>
      </x:c>
      <x:c r="AL344" s="221">
        <x:f>+COUNTIF(F344:AJ344,"R")+COUNTIF(F344:AJ344,"T")+COUNTIF(F344:AJ344,"İ")</x:f>
      </x:c>
      <x:c r="AM344" s="221">
        <x:f>+COUNTIF(F344:AJ344,"İ")</x:f>
      </x:c>
      <x:c r="AN344" s="222"/>
      <x:c r="AO344" s="222"/>
      <x:c r="AP344" s="228"/>
      <x:c r="AQ344" s="228"/>
      <x:c r="AR344" s="228"/>
      <x:c r="AS344" s="228"/>
      <x:c r="AT344" s="230"/>
    </x:row>
    <x:row r="345" spans="1:47" ht="15" customHeight="1" x14ac:dyDescent="0.25">
      <x:c r="A345" s="237"/>
      <x:c r="B345" s="216">
        <x:v>340</x:v>
      </x:c>
      <x:c r="C345" s="238"/>
      <x:c r="D345" s="239"/>
      <x:c r="E345" s="239"/>
      <x:c r="F345" s="236"/>
      <x:c r="G345" s="236"/>
      <x:c r="H345" s="236"/>
      <x:c r="I345" s="236"/>
      <x:c r="J345" s="236"/>
      <x:c r="K345" s="236"/>
      <x:c r="L345" s="236"/>
      <x:c r="M345" s="236"/>
      <x:c r="N345" s="236"/>
      <x:c r="O345" s="236"/>
      <x:c r="P345" s="236"/>
      <x:c r="Q345" s="236"/>
      <x:c r="R345" s="236"/>
      <x:c r="S345" s="236"/>
      <x:c r="T345" s="236"/>
      <x:c r="U345" s="236"/>
      <x:c r="V345" s="236"/>
      <x:c r="W345" s="236"/>
      <x:c r="X345" s="236"/>
      <x:c r="Y345" s="236"/>
      <x:c r="Z345" s="236"/>
      <x:c r="AA345" s="236"/>
      <x:c r="AB345" s="236"/>
      <x:c r="AC345" s="236"/>
      <x:c r="AD345" s="236"/>
      <x:c r="AE345" s="236"/>
      <x:c r="AF345" s="236"/>
      <x:c r="AG345" s="236"/>
      <x:c r="AH345" s="236"/>
      <x:c r="AI345" s="236"/>
      <x:c r="AJ345" s="236"/>
      <x:c r="AK345" s="220">
        <x:f>+COUNTIF(F345:AJ345,"X")+COUNTIF(F345:AJ345,"E")</x:f>
      </x:c>
      <x:c r="AL345" s="221">
        <x:f>+COUNTIF(F345:AJ345,"R")+COUNTIF(F345:AJ345,"T")+COUNTIF(F345:AJ345,"İ")</x:f>
      </x:c>
      <x:c r="AM345" s="221">
        <x:f>+COUNTIF(F345:AJ345,"İ")</x:f>
      </x:c>
      <x:c r="AN345" s="222"/>
      <x:c r="AO345" s="222"/>
      <x:c r="AP345" s="228"/>
      <x:c r="AQ345" s="228"/>
      <x:c r="AR345" s="228"/>
      <x:c r="AS345" s="228"/>
      <x:c r="AT345" s="230"/>
    </x:row>
    <x:row r="346" spans="1:47" ht="15" customHeight="1" x14ac:dyDescent="0.25">
      <x:c r="A346" s="237"/>
      <x:c r="B346" s="216">
        <x:v>341</x:v>
      </x:c>
      <x:c r="C346" s="238"/>
      <x:c r="D346" s="239"/>
      <x:c r="E346" s="239"/>
      <x:c r="F346" s="236"/>
      <x:c r="G346" s="236"/>
      <x:c r="H346" s="236"/>
      <x:c r="I346" s="236"/>
      <x:c r="J346" s="236"/>
      <x:c r="K346" s="236"/>
      <x:c r="L346" s="236"/>
      <x:c r="M346" s="236"/>
      <x:c r="N346" s="236"/>
      <x:c r="O346" s="236"/>
      <x:c r="P346" s="236"/>
      <x:c r="Q346" s="236"/>
      <x:c r="R346" s="236"/>
      <x:c r="S346" s="236"/>
      <x:c r="T346" s="236"/>
      <x:c r="U346" s="236"/>
      <x:c r="V346" s="236"/>
      <x:c r="W346" s="236"/>
      <x:c r="X346" s="236"/>
      <x:c r="Y346" s="236"/>
      <x:c r="Z346" s="236"/>
      <x:c r="AA346" s="236"/>
      <x:c r="AB346" s="236"/>
      <x:c r="AC346" s="236"/>
      <x:c r="AD346" s="236"/>
      <x:c r="AE346" s="236"/>
      <x:c r="AF346" s="236"/>
      <x:c r="AG346" s="236"/>
      <x:c r="AH346" s="236"/>
      <x:c r="AI346" s="236"/>
      <x:c r="AJ346" s="236"/>
      <x:c r="AK346" s="220">
        <x:f>+COUNTIF(F346:AJ346,"X")+COUNTIF(F346:AJ346,"E")</x:f>
      </x:c>
      <x:c r="AL346" s="221">
        <x:f>+COUNTIF(F346:AJ346,"R")+COUNTIF(F346:AJ346,"T")+COUNTIF(F346:AJ346,"İ")</x:f>
      </x:c>
      <x:c r="AM346" s="221">
        <x:f>+COUNTIF(F346:AJ346,"İ")</x:f>
      </x:c>
      <x:c r="AN346" s="222"/>
      <x:c r="AO346" s="222"/>
      <x:c r="AP346" s="228"/>
      <x:c r="AQ346" s="228"/>
      <x:c r="AR346" s="228"/>
      <x:c r="AS346" s="228"/>
      <x:c r="AT346" s="230"/>
    </x:row>
    <x:row r="347" spans="1:47" ht="15" customHeight="1" x14ac:dyDescent="0.25">
      <x:c r="A347" s="237"/>
      <x:c r="B347" s="216">
        <x:v>342</x:v>
      </x:c>
      <x:c r="C347" s="238"/>
      <x:c r="D347" s="239"/>
      <x:c r="E347" s="239"/>
      <x:c r="F347" s="236"/>
      <x:c r="G347" s="236"/>
      <x:c r="H347" s="236"/>
      <x:c r="I347" s="236"/>
      <x:c r="J347" s="236"/>
      <x:c r="K347" s="236"/>
      <x:c r="L347" s="236"/>
      <x:c r="M347" s="236"/>
      <x:c r="N347" s="236"/>
      <x:c r="O347" s="236"/>
      <x:c r="P347" s="236"/>
      <x:c r="Q347" s="236"/>
      <x:c r="R347" s="236"/>
      <x:c r="S347" s="236"/>
      <x:c r="T347" s="236"/>
      <x:c r="U347" s="236"/>
      <x:c r="V347" s="236"/>
      <x:c r="W347" s="236"/>
      <x:c r="X347" s="236"/>
      <x:c r="Y347" s="236"/>
      <x:c r="Z347" s="236"/>
      <x:c r="AA347" s="236"/>
      <x:c r="AB347" s="236"/>
      <x:c r="AC347" s="236"/>
      <x:c r="AD347" s="236"/>
      <x:c r="AE347" s="236"/>
      <x:c r="AF347" s="236"/>
      <x:c r="AG347" s="236"/>
      <x:c r="AH347" s="236"/>
      <x:c r="AI347" s="236"/>
      <x:c r="AJ347" s="236"/>
      <x:c r="AK347" s="220">
        <x:f>+COUNTIF(F347:AJ347,"X")+COUNTIF(F347:AJ347,"E")</x:f>
      </x:c>
      <x:c r="AL347" s="221">
        <x:f>+COUNTIF(F347:AJ347,"R")+COUNTIF(F347:AJ347,"T")+COUNTIF(F347:AJ347,"İ")</x:f>
      </x:c>
      <x:c r="AM347" s="221">
        <x:f>+COUNTIF(F347:AJ347,"İ")</x:f>
      </x:c>
      <x:c r="AN347" s="222"/>
      <x:c r="AO347" s="222"/>
      <x:c r="AP347" s="228"/>
      <x:c r="AQ347" s="228"/>
      <x:c r="AR347" s="228"/>
      <x:c r="AS347" s="228"/>
      <x:c r="AT347" s="230"/>
    </x:row>
    <x:row r="348" spans="1:47" ht="15" customHeight="1" x14ac:dyDescent="0.25">
      <x:c r="A348" s="237"/>
      <x:c r="B348" s="216">
        <x:v>343</x:v>
      </x:c>
      <x:c r="C348" s="238"/>
      <x:c r="D348" s="239"/>
      <x:c r="E348" s="239"/>
      <x:c r="F348" s="236"/>
      <x:c r="G348" s="236"/>
      <x:c r="H348" s="236"/>
      <x:c r="I348" s="236"/>
      <x:c r="J348" s="236"/>
      <x:c r="K348" s="236"/>
      <x:c r="L348" s="236"/>
      <x:c r="M348" s="236"/>
      <x:c r="N348" s="236"/>
      <x:c r="O348" s="236"/>
      <x:c r="P348" s="236"/>
      <x:c r="Q348" s="236"/>
      <x:c r="R348" s="236"/>
      <x:c r="S348" s="236"/>
      <x:c r="T348" s="236"/>
      <x:c r="U348" s="236"/>
      <x:c r="V348" s="236"/>
      <x:c r="W348" s="236"/>
      <x:c r="X348" s="236"/>
      <x:c r="Y348" s="236"/>
      <x:c r="Z348" s="236"/>
      <x:c r="AA348" s="236"/>
      <x:c r="AB348" s="236"/>
      <x:c r="AC348" s="236"/>
      <x:c r="AD348" s="236"/>
      <x:c r="AE348" s="236"/>
      <x:c r="AF348" s="236"/>
      <x:c r="AG348" s="236"/>
      <x:c r="AH348" s="236"/>
      <x:c r="AI348" s="236"/>
      <x:c r="AJ348" s="236"/>
      <x:c r="AK348" s="220">
        <x:f>+COUNTIF(F348:AJ348,"X")+COUNTIF(F348:AJ348,"E")</x:f>
      </x:c>
      <x:c r="AL348" s="221">
        <x:f>+COUNTIF(F348:AJ348,"R")+COUNTIF(F348:AJ348,"T")+COUNTIF(F348:AJ348,"İ")</x:f>
      </x:c>
      <x:c r="AM348" s="221">
        <x:f>+COUNTIF(F348:AJ348,"İ")</x:f>
      </x:c>
      <x:c r="AN348" s="222"/>
      <x:c r="AO348" s="222"/>
      <x:c r="AP348" s="228"/>
      <x:c r="AQ348" s="228"/>
      <x:c r="AR348" s="228"/>
      <x:c r="AS348" s="228"/>
      <x:c r="AT348" s="230"/>
    </x:row>
    <x:row r="349" spans="1:47" ht="15" customHeight="1" x14ac:dyDescent="0.25">
      <x:c r="A349" s="237"/>
      <x:c r="B349" s="216">
        <x:v>344</x:v>
      </x:c>
      <x:c r="C349" s="238"/>
      <x:c r="D349" s="239"/>
      <x:c r="E349" s="239"/>
      <x:c r="F349" s="236"/>
      <x:c r="G349" s="236"/>
      <x:c r="H349" s="236"/>
      <x:c r="I349" s="236"/>
      <x:c r="J349" s="236"/>
      <x:c r="K349" s="236"/>
      <x:c r="L349" s="236"/>
      <x:c r="M349" s="236"/>
      <x:c r="N349" s="236"/>
      <x:c r="O349" s="236"/>
      <x:c r="P349" s="236"/>
      <x:c r="Q349" s="236"/>
      <x:c r="R349" s="236"/>
      <x:c r="S349" s="236"/>
      <x:c r="T349" s="236"/>
      <x:c r="U349" s="236"/>
      <x:c r="V349" s="236"/>
      <x:c r="W349" s="236"/>
      <x:c r="X349" s="236"/>
      <x:c r="Y349" s="236"/>
      <x:c r="Z349" s="236"/>
      <x:c r="AA349" s="236"/>
      <x:c r="AB349" s="236"/>
      <x:c r="AC349" s="236"/>
      <x:c r="AD349" s="236"/>
      <x:c r="AE349" s="236"/>
      <x:c r="AF349" s="236"/>
      <x:c r="AG349" s="236"/>
      <x:c r="AH349" s="236"/>
      <x:c r="AI349" s="236"/>
      <x:c r="AJ349" s="236"/>
      <x:c r="AK349" s="220">
        <x:f>+COUNTIF(F349:AJ349,"X")+COUNTIF(F349:AJ349,"E")</x:f>
      </x:c>
      <x:c r="AL349" s="221">
        <x:f>+COUNTIF(F349:AJ349,"R")+COUNTIF(F349:AJ349,"T")+COUNTIF(F349:AJ349,"İ")</x:f>
      </x:c>
      <x:c r="AM349" s="221">
        <x:f>+COUNTIF(F349:AJ349,"İ")</x:f>
      </x:c>
      <x:c r="AN349" s="222"/>
      <x:c r="AO349" s="222"/>
      <x:c r="AP349" s="228"/>
      <x:c r="AQ349" s="228"/>
      <x:c r="AR349" s="228"/>
      <x:c r="AS349" s="228"/>
      <x:c r="AT349" s="230"/>
    </x:row>
    <x:row r="350" spans="1:47" ht="15" customHeight="1" x14ac:dyDescent="0.25">
      <x:c r="A350" s="237"/>
      <x:c r="B350" s="216">
        <x:v>345</x:v>
      </x:c>
      <x:c r="C350" s="238"/>
      <x:c r="D350" s="239"/>
      <x:c r="E350" s="239"/>
      <x:c r="F350" s="236"/>
      <x:c r="G350" s="236"/>
      <x:c r="H350" s="236"/>
      <x:c r="I350" s="236"/>
      <x:c r="J350" s="236"/>
      <x:c r="K350" s="236"/>
      <x:c r="L350" s="236"/>
      <x:c r="M350" s="236"/>
      <x:c r="N350" s="236"/>
      <x:c r="O350" s="236"/>
      <x:c r="P350" s="236"/>
      <x:c r="Q350" s="236"/>
      <x:c r="R350" s="236"/>
      <x:c r="S350" s="236"/>
      <x:c r="T350" s="236"/>
      <x:c r="U350" s="236"/>
      <x:c r="V350" s="236"/>
      <x:c r="W350" s="236"/>
      <x:c r="X350" s="236"/>
      <x:c r="Y350" s="236"/>
      <x:c r="Z350" s="236"/>
      <x:c r="AA350" s="236"/>
      <x:c r="AB350" s="236"/>
      <x:c r="AC350" s="236"/>
      <x:c r="AD350" s="236"/>
      <x:c r="AE350" s="236"/>
      <x:c r="AF350" s="236"/>
      <x:c r="AG350" s="236"/>
      <x:c r="AH350" s="236"/>
      <x:c r="AI350" s="236"/>
      <x:c r="AJ350" s="236"/>
      <x:c r="AK350" s="220">
        <x:f>+COUNTIF(F350:AJ350,"X")+COUNTIF(F350:AJ350,"E")</x:f>
      </x:c>
      <x:c r="AL350" s="221">
        <x:f>+COUNTIF(F350:AJ350,"R")+COUNTIF(F350:AJ350,"T")+COUNTIF(F350:AJ350,"İ")</x:f>
      </x:c>
      <x:c r="AM350" s="221">
        <x:f>+COUNTIF(F350:AJ350,"İ")</x:f>
      </x:c>
      <x:c r="AN350" s="222"/>
      <x:c r="AO350" s="222"/>
      <x:c r="AP350" s="228"/>
      <x:c r="AQ350" s="228"/>
      <x:c r="AR350" s="228"/>
      <x:c r="AS350" s="228"/>
      <x:c r="AT350" s="230"/>
    </x:row>
    <x:row r="351" spans="1:47" ht="15" customHeight="1" x14ac:dyDescent="0.25">
      <x:c r="A351" s="240"/>
      <x:c r="B351" s="216">
        <x:v>346</x:v>
      </x:c>
      <x:c r="C351" s="236"/>
      <x:c r="D351" s="236"/>
      <x:c r="E351" s="236"/>
      <x:c r="F351" s="236"/>
      <x:c r="G351" s="236"/>
      <x:c r="H351" s="236"/>
      <x:c r="I351" s="236"/>
      <x:c r="J351" s="236"/>
      <x:c r="K351" s="236"/>
      <x:c r="L351" s="236"/>
      <x:c r="M351" s="236"/>
      <x:c r="N351" s="236"/>
      <x:c r="O351" s="236"/>
      <x:c r="P351" s="236"/>
      <x:c r="Q351" s="236"/>
      <x:c r="R351" s="236"/>
      <x:c r="S351" s="236"/>
      <x:c r="T351" s="236"/>
      <x:c r="U351" s="236"/>
      <x:c r="V351" s="236"/>
      <x:c r="W351" s="236"/>
      <x:c r="X351" s="236"/>
      <x:c r="Y351" s="236"/>
      <x:c r="Z351" s="236"/>
      <x:c r="AA351" s="236"/>
      <x:c r="AB351" s="236"/>
      <x:c r="AC351" s="236"/>
      <x:c r="AD351" s="236"/>
      <x:c r="AE351" s="236"/>
      <x:c r="AF351" s="236"/>
      <x:c r="AG351" s="236"/>
      <x:c r="AH351" s="236"/>
      <x:c r="AI351" s="236"/>
      <x:c r="AJ351" s="236"/>
      <x:c r="AK351" s="220">
        <x:f>+COUNTIF(F351:AJ351,"X")+COUNTIF(F351:AJ351,"E")</x:f>
      </x:c>
      <x:c r="AL351" s="221">
        <x:f>+COUNTIF(F351:AJ351,"R")+COUNTIF(F351:AJ351,"T")+COUNTIF(F351:AJ351,"İ")</x:f>
      </x:c>
      <x:c r="AM351" s="221">
        <x:f>+COUNTIF(F351:AJ351,"İ")</x:f>
      </x:c>
      <x:c r="AN351" s="222"/>
      <x:c r="AO351" s="222"/>
      <x:c r="AP351" s="228"/>
      <x:c r="AQ351" s="228"/>
      <x:c r="AR351" s="228"/>
      <x:c r="AS351" s="228"/>
      <x:c r="AT351" s="228"/>
    </x:row>
    <x:row r="352" spans="1:47" ht="15" customHeight="1" x14ac:dyDescent="0.25">
      <x:c r="A352" s="240"/>
      <x:c r="B352" s="216">
        <x:v>347</x:v>
      </x:c>
      <x:c r="C352" s="236"/>
      <x:c r="D352" s="236"/>
      <x:c r="E352" s="236"/>
      <x:c r="F352" s="236"/>
      <x:c r="G352" s="236"/>
      <x:c r="H352" s="236"/>
      <x:c r="I352" s="236"/>
      <x:c r="J352" s="236"/>
      <x:c r="K352" s="236"/>
      <x:c r="L352" s="236"/>
      <x:c r="M352" s="236"/>
      <x:c r="N352" s="236"/>
      <x:c r="O352" s="236"/>
      <x:c r="P352" s="236"/>
      <x:c r="Q352" s="236"/>
      <x:c r="R352" s="236"/>
      <x:c r="S352" s="236"/>
      <x:c r="T352" s="236"/>
      <x:c r="U352" s="236"/>
      <x:c r="V352" s="236"/>
      <x:c r="W352" s="236"/>
      <x:c r="X352" s="236"/>
      <x:c r="Y352" s="236"/>
      <x:c r="Z352" s="236"/>
      <x:c r="AA352" s="236"/>
      <x:c r="AB352" s="236"/>
      <x:c r="AC352" s="236"/>
      <x:c r="AD352" s="236"/>
      <x:c r="AE352" s="236"/>
      <x:c r="AF352" s="236"/>
      <x:c r="AG352" s="236"/>
      <x:c r="AH352" s="236"/>
      <x:c r="AI352" s="236"/>
      <x:c r="AJ352" s="236"/>
      <x:c r="AK352" s="220">
        <x:f>+COUNTIF(F352:AJ352,"X")+COUNTIF(F352:AJ352,"E")</x:f>
      </x:c>
      <x:c r="AL352" s="221">
        <x:f>+COUNTIF(F352:AJ352,"R")+COUNTIF(F352:AJ352,"T")+COUNTIF(F352:AJ352,"İ")</x:f>
      </x:c>
      <x:c r="AM352" s="221">
        <x:f>+COUNTIF(F352:AJ352,"İ")</x:f>
      </x:c>
      <x:c r="AN352" s="222"/>
      <x:c r="AO352" s="222"/>
      <x:c r="AP352" s="228"/>
      <x:c r="AQ352" s="228"/>
      <x:c r="AR352" s="228"/>
      <x:c r="AS352" s="228"/>
      <x:c r="AT352" s="228"/>
    </x:row>
    <x:row r="353" spans="1:47" ht="15" customHeight="1" x14ac:dyDescent="0.25">
      <x:c r="A353" s="240"/>
      <x:c r="B353" s="216">
        <x:v>348</x:v>
      </x:c>
      <x:c r="C353" s="236"/>
      <x:c r="D353" s="236"/>
      <x:c r="E353" s="236"/>
      <x:c r="F353" s="236"/>
      <x:c r="G353" s="236"/>
      <x:c r="H353" s="236"/>
      <x:c r="I353" s="236"/>
      <x:c r="J353" s="236"/>
      <x:c r="K353" s="236"/>
      <x:c r="L353" s="236"/>
      <x:c r="M353" s="236"/>
      <x:c r="N353" s="236"/>
      <x:c r="O353" s="236"/>
      <x:c r="P353" s="236"/>
      <x:c r="Q353" s="236"/>
      <x:c r="R353" s="236"/>
      <x:c r="S353" s="236"/>
      <x:c r="T353" s="236"/>
      <x:c r="U353" s="236"/>
      <x:c r="V353" s="236"/>
      <x:c r="W353" s="236"/>
      <x:c r="X353" s="236"/>
      <x:c r="Y353" s="236"/>
      <x:c r="Z353" s="236"/>
      <x:c r="AA353" s="236"/>
      <x:c r="AB353" s="236"/>
      <x:c r="AC353" s="236"/>
      <x:c r="AD353" s="236"/>
      <x:c r="AE353" s="236"/>
      <x:c r="AF353" s="236"/>
      <x:c r="AG353" s="236"/>
      <x:c r="AH353" s="236"/>
      <x:c r="AI353" s="236"/>
      <x:c r="AJ353" s="236"/>
      <x:c r="AK353" s="220">
        <x:f>+COUNTIF(F353:AJ353,"X")+COUNTIF(F353:AJ353,"E")</x:f>
      </x:c>
      <x:c r="AL353" s="221">
        <x:f>+COUNTIF(F353:AJ353,"R")+COUNTIF(F353:AJ353,"T")+COUNTIF(F353:AJ353,"İ")</x:f>
      </x:c>
      <x:c r="AM353" s="221">
        <x:f>+COUNTIF(F353:AJ353,"İ")</x:f>
      </x:c>
      <x:c r="AN353" s="222"/>
      <x:c r="AO353" s="222"/>
      <x:c r="AP353" s="228"/>
      <x:c r="AQ353" s="228"/>
      <x:c r="AR353" s="228"/>
      <x:c r="AS353" s="228"/>
      <x:c r="AT353" s="228"/>
    </x:row>
    <x:row r="354" spans="1:47" ht="15" customHeight="1" x14ac:dyDescent="0.25">
      <x:c r="A354" s="69"/>
      <x:c r="B354" s="216">
        <x:v>349</x:v>
      </x:c>
      <x:c r="C354" s="121"/>
      <x:c r="D354" s="121"/>
      <x:c r="E354" s="121"/>
      <x:c r="F354" s="241"/>
      <x:c r="G354" s="241"/>
      <x:c r="H354" s="241"/>
      <x:c r="I354" s="241"/>
      <x:c r="J354" s="241"/>
      <x:c r="K354" s="241"/>
      <x:c r="L354" s="241"/>
      <x:c r="M354" s="241"/>
      <x:c r="N354" s="241"/>
      <x:c r="O354" s="241"/>
      <x:c r="P354" s="241"/>
      <x:c r="Q354" s="241"/>
      <x:c r="R354" s="241"/>
      <x:c r="S354" s="241"/>
      <x:c r="T354" s="241"/>
      <x:c r="U354" s="241"/>
      <x:c r="V354" s="241"/>
      <x:c r="W354" s="241"/>
      <x:c r="X354" s="241"/>
      <x:c r="Y354" s="241"/>
      <x:c r="Z354" s="241"/>
      <x:c r="AA354" s="241"/>
      <x:c r="AB354" s="241"/>
      <x:c r="AC354" s="241"/>
      <x:c r="AD354" s="241"/>
      <x:c r="AE354" s="241"/>
      <x:c r="AF354" s="241"/>
      <x:c r="AG354" s="241"/>
      <x:c r="AH354" s="241"/>
      <x:c r="AI354" s="241"/>
      <x:c r="AJ354" s="241"/>
      <x:c r="AK354" s="220">
        <x:f>+COUNTIF(F354:AJ354,"X")+COUNTIF(F354:AJ354,"E")</x:f>
      </x:c>
      <x:c r="AL354" s="221">
        <x:f>+COUNTIF(F354:AJ354,"R")+COUNTIF(F354:AJ354,"T")+COUNTIF(F354:AJ354,"İ")</x:f>
      </x:c>
      <x:c r="AM354" s="221">
        <x:f>+COUNTIF(F354:AJ354,"İ")</x:f>
      </x:c>
      <x:c r="AN354" s="123"/>
      <x:c r="AO354" s="123"/>
    </x:row>
    <x:row r="355" spans="1:47" ht="15" customHeight="1" x14ac:dyDescent="0.25">
      <x:c r="A355" s="69"/>
      <x:c r="B355" s="216">
        <x:v>350</x:v>
      </x:c>
      <x:c r="C355" s="121"/>
      <x:c r="D355" s="121"/>
      <x:c r="E355" s="121"/>
      <x:c r="F355" s="241"/>
      <x:c r="G355" s="241"/>
      <x:c r="H355" s="241"/>
      <x:c r="I355" s="241"/>
      <x:c r="J355" s="241"/>
      <x:c r="K355" s="241"/>
      <x:c r="L355" s="241"/>
      <x:c r="M355" s="241"/>
      <x:c r="N355" s="241"/>
      <x:c r="O355" s="241"/>
      <x:c r="P355" s="241"/>
      <x:c r="Q355" s="241"/>
      <x:c r="R355" s="241"/>
      <x:c r="S355" s="241"/>
      <x:c r="T355" s="241"/>
      <x:c r="U355" s="241"/>
      <x:c r="V355" s="241"/>
      <x:c r="W355" s="241"/>
      <x:c r="X355" s="241"/>
      <x:c r="Y355" s="241"/>
      <x:c r="Z355" s="241"/>
      <x:c r="AA355" s="241"/>
      <x:c r="AB355" s="241"/>
      <x:c r="AC355" s="241"/>
      <x:c r="AD355" s="241"/>
      <x:c r="AE355" s="241"/>
      <x:c r="AF355" s="241"/>
      <x:c r="AG355" s="241"/>
      <x:c r="AH355" s="241"/>
      <x:c r="AI355" s="241"/>
      <x:c r="AJ355" s="241"/>
      <x:c r="AK355" s="220">
        <x:f>+COUNTIF(F355:AJ355,"X")+COUNTIF(F355:AJ355,"E")</x:f>
      </x:c>
      <x:c r="AL355" s="221">
        <x:f>+COUNTIF(F355:AJ355,"R")+COUNTIF(F355:AJ355,"T")+COUNTIF(F355:AJ355,"İ")</x:f>
      </x:c>
      <x:c r="AM355" s="221">
        <x:f>+COUNTIF(F355:AJ355,"İ")</x:f>
      </x:c>
      <x:c r="AN355" s="123"/>
      <x:c r="AO355" s="123"/>
    </x:row>
    <x:row r="356" spans="1:47" ht="15" customHeight="1" x14ac:dyDescent="0.25">
      <x:c r="A356" s="69"/>
      <x:c r="B356" s="216">
        <x:v>351</x:v>
      </x:c>
      <x:c r="C356" s="121"/>
      <x:c r="D356" s="121"/>
      <x:c r="E356" s="121"/>
      <x:c r="F356" s="241"/>
      <x:c r="G356" s="241"/>
      <x:c r="H356" s="241"/>
      <x:c r="I356" s="241"/>
      <x:c r="J356" s="241"/>
      <x:c r="K356" s="241"/>
      <x:c r="L356" s="241"/>
      <x:c r="M356" s="241"/>
      <x:c r="N356" s="241"/>
      <x:c r="O356" s="241"/>
      <x:c r="P356" s="241"/>
      <x:c r="Q356" s="241"/>
      <x:c r="R356" s="241"/>
      <x:c r="S356" s="241"/>
      <x:c r="T356" s="241"/>
      <x:c r="U356" s="241"/>
      <x:c r="V356" s="241"/>
      <x:c r="W356" s="241"/>
      <x:c r="X356" s="241"/>
      <x:c r="Y356" s="241"/>
      <x:c r="Z356" s="241"/>
      <x:c r="AA356" s="241"/>
      <x:c r="AB356" s="241"/>
      <x:c r="AC356" s="241"/>
      <x:c r="AD356" s="241"/>
      <x:c r="AE356" s="241"/>
      <x:c r="AF356" s="241"/>
      <x:c r="AG356" s="241"/>
      <x:c r="AH356" s="241"/>
      <x:c r="AI356" s="241"/>
      <x:c r="AJ356" s="241"/>
      <x:c r="AK356" s="220">
        <x:f>+COUNTIF(F356:AJ356,"X")+COUNTIF(F356:AJ356,"E")</x:f>
      </x:c>
      <x:c r="AL356" s="221">
        <x:f>+COUNTIF(F356:AJ356,"R")+COUNTIF(F356:AJ356,"T")+COUNTIF(F356:AJ356,"İ")</x:f>
      </x:c>
      <x:c r="AM356" s="221">
        <x:f>+COUNTIF(F356:AJ356,"İ")</x:f>
      </x:c>
      <x:c r="AN356" s="123"/>
      <x:c r="AO356" s="123"/>
    </x:row>
    <x:row r="357" spans="1:47" ht="15" customHeight="1" x14ac:dyDescent="0.25">
      <x:c r="A357" s="69"/>
      <x:c r="B357" s="216">
        <x:v>352</x:v>
      </x:c>
      <x:c r="C357" s="121"/>
      <x:c r="D357" s="121"/>
      <x:c r="E357" s="121"/>
      <x:c r="F357" s="241"/>
      <x:c r="G357" s="241"/>
      <x:c r="H357" s="241"/>
      <x:c r="I357" s="241"/>
      <x:c r="J357" s="241"/>
      <x:c r="K357" s="241"/>
      <x:c r="L357" s="241"/>
      <x:c r="M357" s="241"/>
      <x:c r="N357" s="241"/>
      <x:c r="O357" s="241"/>
      <x:c r="P357" s="241"/>
      <x:c r="Q357" s="241"/>
      <x:c r="R357" s="241"/>
      <x:c r="S357" s="241"/>
      <x:c r="T357" s="241"/>
      <x:c r="U357" s="241"/>
      <x:c r="V357" s="241"/>
      <x:c r="W357" s="241"/>
      <x:c r="X357" s="241"/>
      <x:c r="Y357" s="241"/>
      <x:c r="Z357" s="241"/>
      <x:c r="AA357" s="241"/>
      <x:c r="AB357" s="241"/>
      <x:c r="AC357" s="241"/>
      <x:c r="AD357" s="241"/>
      <x:c r="AE357" s="241"/>
      <x:c r="AF357" s="241"/>
      <x:c r="AG357" s="241"/>
      <x:c r="AH357" s="241"/>
      <x:c r="AI357" s="241"/>
      <x:c r="AJ357" s="241"/>
      <x:c r="AK357" s="220">
        <x:f>+COUNTIF(F357:AJ357,"X")+COUNTIF(F357:AJ357,"E")</x:f>
      </x:c>
      <x:c r="AL357" s="221">
        <x:f>+COUNTIF(F357:AJ357,"R")+COUNTIF(F357:AJ357,"T")+COUNTIF(F357:AJ357,"İ")</x:f>
      </x:c>
      <x:c r="AM357" s="221">
        <x:f>+COUNTIF(F357:AJ357,"İ")</x:f>
      </x:c>
      <x:c r="AN357" s="123"/>
      <x:c r="AO357" s="123"/>
    </x:row>
    <x:row r="358" spans="1:47" ht="15" customHeight="1" x14ac:dyDescent="0.25">
      <x:c r="A358" s="69"/>
      <x:c r="B358" s="216">
        <x:v>353</x:v>
      </x:c>
      <x:c r="C358" s="121"/>
      <x:c r="D358" s="121"/>
      <x:c r="E358" s="121"/>
      <x:c r="F358" s="241"/>
      <x:c r="G358" s="241"/>
      <x:c r="H358" s="241"/>
      <x:c r="I358" s="241"/>
      <x:c r="J358" s="241"/>
      <x:c r="K358" s="241"/>
      <x:c r="L358" s="241"/>
      <x:c r="M358" s="241"/>
      <x:c r="N358" s="241"/>
      <x:c r="O358" s="241"/>
      <x:c r="P358" s="241"/>
      <x:c r="Q358" s="241"/>
      <x:c r="R358" s="241"/>
      <x:c r="S358" s="241"/>
      <x:c r="T358" s="241"/>
      <x:c r="U358" s="241"/>
      <x:c r="V358" s="241"/>
      <x:c r="W358" s="241"/>
      <x:c r="X358" s="241"/>
      <x:c r="Y358" s="241"/>
      <x:c r="Z358" s="241"/>
      <x:c r="AA358" s="241"/>
      <x:c r="AB358" s="241"/>
      <x:c r="AC358" s="241"/>
      <x:c r="AD358" s="241"/>
      <x:c r="AE358" s="241"/>
      <x:c r="AF358" s="241"/>
      <x:c r="AG358" s="241"/>
      <x:c r="AH358" s="241"/>
      <x:c r="AI358" s="241"/>
      <x:c r="AJ358" s="241"/>
      <x:c r="AK358" s="220">
        <x:f>+COUNTIF(F358:AJ358,"X")+COUNTIF(F358:AJ358,"E")</x:f>
      </x:c>
      <x:c r="AL358" s="221">
        <x:f>+COUNTIF(F358:AJ358,"R")+COUNTIF(F358:AJ358,"T")+COUNTIF(F358:AJ358,"İ")</x:f>
      </x:c>
      <x:c r="AM358" s="221">
        <x:f>+COUNTIF(F358:AJ358,"İ")</x:f>
      </x:c>
      <x:c r="AN358" s="123"/>
      <x:c r="AO358" s="123"/>
    </x:row>
    <x:row r="359" spans="1:47" ht="15" customHeight="1" x14ac:dyDescent="0.25">
      <x:c r="A359" s="69"/>
      <x:c r="B359" s="216">
        <x:v>354</x:v>
      </x:c>
      <x:c r="C359" s="121"/>
      <x:c r="D359" s="121"/>
      <x:c r="E359" s="121"/>
      <x:c r="F359" s="241"/>
      <x:c r="G359" s="241"/>
      <x:c r="H359" s="241"/>
      <x:c r="I359" s="241"/>
      <x:c r="J359" s="241"/>
      <x:c r="K359" s="241"/>
      <x:c r="L359" s="241"/>
      <x:c r="M359" s="241"/>
      <x:c r="N359" s="241"/>
      <x:c r="O359" s="241"/>
      <x:c r="P359" s="241"/>
      <x:c r="Q359" s="241"/>
      <x:c r="R359" s="241"/>
      <x:c r="S359" s="241"/>
      <x:c r="T359" s="241"/>
      <x:c r="U359" s="241"/>
      <x:c r="V359" s="241"/>
      <x:c r="W359" s="241"/>
      <x:c r="X359" s="241"/>
      <x:c r="Y359" s="241"/>
      <x:c r="Z359" s="241"/>
      <x:c r="AA359" s="241"/>
      <x:c r="AB359" s="241"/>
      <x:c r="AC359" s="241"/>
      <x:c r="AD359" s="241"/>
      <x:c r="AE359" s="241"/>
      <x:c r="AF359" s="241"/>
      <x:c r="AG359" s="241"/>
      <x:c r="AH359" s="241"/>
      <x:c r="AI359" s="241"/>
      <x:c r="AJ359" s="241"/>
      <x:c r="AK359" s="220">
        <x:f>+COUNTIF(F359:AJ359,"X")+COUNTIF(F359:AJ359,"E")</x:f>
      </x:c>
      <x:c r="AL359" s="221">
        <x:f>+COUNTIF(F359:AJ359,"R")+COUNTIF(F359:AJ359,"T")+COUNTIF(F359:AJ359,"İ")</x:f>
      </x:c>
      <x:c r="AM359" s="221">
        <x:f>+COUNTIF(F359:AJ359,"İ")</x:f>
      </x:c>
      <x:c r="AN359" s="123"/>
      <x:c r="AO359" s="123"/>
    </x:row>
    <x:row r="360" spans="1:47" ht="15" customHeight="1" x14ac:dyDescent="0.25">
      <x:c r="A360" s="69"/>
      <x:c r="B360" s="216">
        <x:v>355</x:v>
      </x:c>
      <x:c r="C360" s="121"/>
      <x:c r="D360" s="121"/>
      <x:c r="E360" s="121"/>
      <x:c r="F360" s="241"/>
      <x:c r="G360" s="241"/>
      <x:c r="H360" s="241"/>
      <x:c r="I360" s="241"/>
      <x:c r="J360" s="241"/>
      <x:c r="K360" s="241"/>
      <x:c r="L360" s="241"/>
      <x:c r="M360" s="241"/>
      <x:c r="N360" s="241"/>
      <x:c r="O360" s="241"/>
      <x:c r="P360" s="241"/>
      <x:c r="Q360" s="241"/>
      <x:c r="R360" s="241"/>
      <x:c r="S360" s="241"/>
      <x:c r="T360" s="241"/>
      <x:c r="U360" s="241"/>
      <x:c r="V360" s="241"/>
      <x:c r="W360" s="241"/>
      <x:c r="X360" s="241"/>
      <x:c r="Y360" s="241"/>
      <x:c r="Z360" s="241"/>
      <x:c r="AA360" s="241"/>
      <x:c r="AB360" s="241"/>
      <x:c r="AC360" s="241"/>
      <x:c r="AD360" s="241"/>
      <x:c r="AE360" s="241"/>
      <x:c r="AF360" s="241"/>
      <x:c r="AG360" s="241"/>
      <x:c r="AH360" s="241"/>
      <x:c r="AI360" s="241"/>
      <x:c r="AJ360" s="241"/>
      <x:c r="AK360" s="220">
        <x:f>+COUNTIF(F360:AJ360,"X")+COUNTIF(F360:AJ360,"E")</x:f>
      </x:c>
      <x:c r="AL360" s="221">
        <x:f>+COUNTIF(F360:AJ360,"R")+COUNTIF(F360:AJ360,"T")+COUNTIF(F360:AJ360,"İ")</x:f>
      </x:c>
      <x:c r="AM360" s="221">
        <x:f>+COUNTIF(F360:AJ360,"İ")</x:f>
      </x:c>
      <x:c r="AN360" s="123"/>
      <x:c r="AO360" s="123"/>
    </x:row>
    <x:row r="361" spans="1:47" ht="15" customHeight="1" x14ac:dyDescent="0.25">
      <x:c r="A361" s="69"/>
      <x:c r="B361" s="216">
        <x:v>356</x:v>
      </x:c>
      <x:c r="C361" s="121"/>
      <x:c r="D361" s="121"/>
      <x:c r="E361" s="121"/>
      <x:c r="F361" s="241"/>
      <x:c r="G361" s="241"/>
      <x:c r="H361" s="241"/>
      <x:c r="I361" s="241"/>
      <x:c r="J361" s="241"/>
      <x:c r="K361" s="241"/>
      <x:c r="L361" s="241"/>
      <x:c r="M361" s="241"/>
      <x:c r="N361" s="241"/>
      <x:c r="O361" s="241"/>
      <x:c r="P361" s="241"/>
      <x:c r="Q361" s="241"/>
      <x:c r="R361" s="241"/>
      <x:c r="S361" s="241"/>
      <x:c r="T361" s="241"/>
      <x:c r="U361" s="241"/>
      <x:c r="V361" s="241"/>
      <x:c r="W361" s="241"/>
      <x:c r="X361" s="241"/>
      <x:c r="Y361" s="241"/>
      <x:c r="Z361" s="241"/>
      <x:c r="AA361" s="241"/>
      <x:c r="AB361" s="241"/>
      <x:c r="AC361" s="241"/>
      <x:c r="AD361" s="241"/>
      <x:c r="AE361" s="241"/>
      <x:c r="AF361" s="241"/>
      <x:c r="AG361" s="241"/>
      <x:c r="AH361" s="241"/>
      <x:c r="AI361" s="241"/>
      <x:c r="AJ361" s="241"/>
      <x:c r="AK361" s="220">
        <x:f>+COUNTIF(F361:AJ361,"X")+COUNTIF(F361:AJ361,"E")</x:f>
      </x:c>
      <x:c r="AL361" s="221">
        <x:f>+COUNTIF(F361:AJ361,"R")+COUNTIF(F361:AJ361,"T")+COUNTIF(F361:AJ361,"İ")</x:f>
      </x:c>
      <x:c r="AM361" s="221">
        <x:f>+COUNTIF(F361:AJ361,"İ")</x:f>
      </x:c>
      <x:c r="AN361" s="123"/>
      <x:c r="AO361" s="123"/>
    </x:row>
    <x:row r="362" spans="1:47" ht="15" customHeight="1" x14ac:dyDescent="0.25">
      <x:c r="A362" s="69"/>
      <x:c r="B362" s="216">
        <x:v>357</x:v>
      </x:c>
      <x:c r="C362" s="121"/>
      <x:c r="D362" s="121"/>
      <x:c r="E362" s="121"/>
      <x:c r="F362" s="241"/>
      <x:c r="G362" s="241"/>
      <x:c r="H362" s="241"/>
      <x:c r="I362" s="241"/>
      <x:c r="J362" s="241"/>
      <x:c r="K362" s="241"/>
      <x:c r="L362" s="241"/>
      <x:c r="M362" s="241"/>
      <x:c r="N362" s="241"/>
      <x:c r="O362" s="241"/>
      <x:c r="P362" s="241"/>
      <x:c r="Q362" s="241"/>
      <x:c r="R362" s="241"/>
      <x:c r="S362" s="241"/>
      <x:c r="T362" s="241"/>
      <x:c r="U362" s="241"/>
      <x:c r="V362" s="241"/>
      <x:c r="W362" s="241"/>
      <x:c r="X362" s="241"/>
      <x:c r="Y362" s="241"/>
      <x:c r="Z362" s="241"/>
      <x:c r="AA362" s="241"/>
      <x:c r="AB362" s="241"/>
      <x:c r="AC362" s="241"/>
      <x:c r="AD362" s="241"/>
      <x:c r="AE362" s="241"/>
      <x:c r="AF362" s="241"/>
      <x:c r="AG362" s="241"/>
      <x:c r="AH362" s="241"/>
      <x:c r="AI362" s="241"/>
      <x:c r="AJ362" s="241"/>
      <x:c r="AK362" s="220">
        <x:f>+COUNTIF(F362:AJ362,"X")+COUNTIF(F362:AJ362,"E")</x:f>
      </x:c>
      <x:c r="AL362" s="221">
        <x:f>+COUNTIF(F362:AJ362,"R")+COUNTIF(F362:AJ362,"T")+COUNTIF(F362:AJ362,"İ")</x:f>
      </x:c>
      <x:c r="AM362" s="221">
        <x:f>+COUNTIF(F362:AJ362,"İ")</x:f>
      </x:c>
      <x:c r="AN362" s="123"/>
      <x:c r="AO362" s="123"/>
    </x:row>
    <x:row r="363" spans="1:47" ht="15" customHeight="1" x14ac:dyDescent="0.25">
      <x:c r="A363" s="69"/>
      <x:c r="B363" s="216">
        <x:v>358</x:v>
      </x:c>
      <x:c r="C363" s="121"/>
      <x:c r="D363" s="121"/>
      <x:c r="E363" s="121"/>
      <x:c r="F363" s="241"/>
      <x:c r="G363" s="241"/>
      <x:c r="H363" s="241"/>
      <x:c r="I363" s="241"/>
      <x:c r="J363" s="241"/>
      <x:c r="K363" s="241"/>
      <x:c r="L363" s="241"/>
      <x:c r="M363" s="241"/>
      <x:c r="N363" s="241"/>
      <x:c r="O363" s="241"/>
      <x:c r="P363" s="241"/>
      <x:c r="Q363" s="241"/>
      <x:c r="R363" s="241"/>
      <x:c r="S363" s="241"/>
      <x:c r="T363" s="241"/>
      <x:c r="U363" s="241"/>
      <x:c r="V363" s="241"/>
      <x:c r="W363" s="241"/>
      <x:c r="X363" s="241"/>
      <x:c r="Y363" s="241"/>
      <x:c r="Z363" s="241"/>
      <x:c r="AA363" s="241"/>
      <x:c r="AB363" s="241"/>
      <x:c r="AC363" s="241"/>
      <x:c r="AD363" s="241"/>
      <x:c r="AE363" s="241"/>
      <x:c r="AF363" s="241"/>
      <x:c r="AG363" s="241"/>
      <x:c r="AH363" s="241"/>
      <x:c r="AI363" s="241"/>
      <x:c r="AJ363" s="241"/>
      <x:c r="AK363" s="220">
        <x:f>+COUNTIF(F363:AJ363,"X")+COUNTIF(F363:AJ363,"E")</x:f>
      </x:c>
      <x:c r="AL363" s="221">
        <x:f>+COUNTIF(F363:AJ363,"R")+COUNTIF(F363:AJ363,"T")+COUNTIF(F363:AJ363,"İ")</x:f>
      </x:c>
      <x:c r="AM363" s="221">
        <x:f>+COUNTIF(F363:AJ363,"İ")</x:f>
      </x:c>
      <x:c r="AN363" s="123"/>
      <x:c r="AO363" s="123"/>
    </x:row>
    <x:row r="364" spans="1:47" ht="15" customHeight="1" x14ac:dyDescent="0.25">
      <x:c r="A364" s="69"/>
      <x:c r="B364" s="216">
        <x:v>359</x:v>
      </x:c>
      <x:c r="C364" s="121"/>
      <x:c r="D364" s="121"/>
      <x:c r="E364" s="121"/>
      <x:c r="F364" s="241"/>
      <x:c r="G364" s="241"/>
      <x:c r="H364" s="241"/>
      <x:c r="I364" s="241"/>
      <x:c r="J364" s="241"/>
      <x:c r="K364" s="241"/>
      <x:c r="L364" s="241"/>
      <x:c r="M364" s="241"/>
      <x:c r="N364" s="241"/>
      <x:c r="O364" s="241"/>
      <x:c r="P364" s="241"/>
      <x:c r="Q364" s="241"/>
      <x:c r="R364" s="241"/>
      <x:c r="S364" s="241"/>
      <x:c r="T364" s="241"/>
      <x:c r="U364" s="241"/>
      <x:c r="V364" s="241"/>
      <x:c r="W364" s="241"/>
      <x:c r="X364" s="241"/>
      <x:c r="Y364" s="241"/>
      <x:c r="Z364" s="241"/>
      <x:c r="AA364" s="241"/>
      <x:c r="AB364" s="241"/>
      <x:c r="AC364" s="241"/>
      <x:c r="AD364" s="241"/>
      <x:c r="AE364" s="241"/>
      <x:c r="AF364" s="241"/>
      <x:c r="AG364" s="241"/>
      <x:c r="AH364" s="241"/>
      <x:c r="AI364" s="241"/>
      <x:c r="AJ364" s="241"/>
      <x:c r="AK364" s="220">
        <x:f>+COUNTIF(F364:AJ364,"X")+COUNTIF(F364:AJ364,"E")</x:f>
      </x:c>
      <x:c r="AL364" s="221">
        <x:f>+COUNTIF(F364:AJ364,"R")+COUNTIF(F364:AJ364,"T")+COUNTIF(F364:AJ364,"İ")</x:f>
      </x:c>
      <x:c r="AM364" s="221">
        <x:f>+COUNTIF(F364:AJ364,"İ")</x:f>
      </x:c>
      <x:c r="AN364" s="123"/>
      <x:c r="AO364" s="123"/>
    </x:row>
    <x:row r="365" spans="1:47" ht="15" customHeight="1" x14ac:dyDescent="0.25">
      <x:c r="A365" s="69"/>
      <x:c r="B365" s="216">
        <x:v>360</x:v>
      </x:c>
      <x:c r="C365" s="121"/>
      <x:c r="D365" s="121"/>
      <x:c r="E365" s="121"/>
      <x:c r="F365" s="241"/>
      <x:c r="G365" s="241"/>
      <x:c r="H365" s="241"/>
      <x:c r="I365" s="241"/>
      <x:c r="J365" s="241"/>
      <x:c r="K365" s="241"/>
      <x:c r="L365" s="241"/>
      <x:c r="M365" s="241"/>
      <x:c r="N365" s="241"/>
      <x:c r="O365" s="241"/>
      <x:c r="P365" s="241"/>
      <x:c r="Q365" s="241"/>
      <x:c r="R365" s="241"/>
      <x:c r="S365" s="241"/>
      <x:c r="T365" s="241"/>
      <x:c r="U365" s="241"/>
      <x:c r="V365" s="241"/>
      <x:c r="W365" s="241"/>
      <x:c r="X365" s="241"/>
      <x:c r="Y365" s="241"/>
      <x:c r="Z365" s="241"/>
      <x:c r="AA365" s="241"/>
      <x:c r="AB365" s="241"/>
      <x:c r="AC365" s="241"/>
      <x:c r="AD365" s="241"/>
      <x:c r="AE365" s="241"/>
      <x:c r="AF365" s="241"/>
      <x:c r="AG365" s="241"/>
      <x:c r="AH365" s="241"/>
      <x:c r="AI365" s="241"/>
      <x:c r="AJ365" s="241"/>
      <x:c r="AK365" s="220">
        <x:f>+COUNTIF(F365:AJ365,"X")+COUNTIF(F365:AJ365,"E")</x:f>
      </x:c>
      <x:c r="AL365" s="221">
        <x:f>+COUNTIF(F365:AJ365,"R")+COUNTIF(F365:AJ365,"T")+COUNTIF(F365:AJ365,"İ")</x:f>
      </x:c>
      <x:c r="AM365" s="221">
        <x:f>+COUNTIF(F365:AJ365,"İ")</x:f>
      </x:c>
      <x:c r="AN365" s="123"/>
      <x:c r="AO365" s="123"/>
    </x:row>
    <x:row r="366" spans="1:47" ht="15" customHeight="1" x14ac:dyDescent="0.25">
      <x:c r="A366" s="69"/>
      <x:c r="B366" s="216">
        <x:v>361</x:v>
      </x:c>
      <x:c r="C366" s="121"/>
      <x:c r="D366" s="121"/>
      <x:c r="E366" s="121"/>
      <x:c r="F366" s="241"/>
      <x:c r="G366" s="241"/>
      <x:c r="H366" s="241"/>
      <x:c r="I366" s="241"/>
      <x:c r="J366" s="241"/>
      <x:c r="K366" s="241"/>
      <x:c r="L366" s="241"/>
      <x:c r="M366" s="241"/>
      <x:c r="N366" s="241"/>
      <x:c r="O366" s="241"/>
      <x:c r="P366" s="241"/>
      <x:c r="Q366" s="241"/>
      <x:c r="R366" s="241"/>
      <x:c r="S366" s="241"/>
      <x:c r="T366" s="241"/>
      <x:c r="U366" s="241"/>
      <x:c r="V366" s="241"/>
      <x:c r="W366" s="241"/>
      <x:c r="X366" s="241"/>
      <x:c r="Y366" s="241"/>
      <x:c r="Z366" s="241"/>
      <x:c r="AA366" s="241"/>
      <x:c r="AB366" s="241"/>
      <x:c r="AC366" s="241"/>
      <x:c r="AD366" s="241"/>
      <x:c r="AE366" s="241"/>
      <x:c r="AF366" s="241"/>
      <x:c r="AG366" s="241"/>
      <x:c r="AH366" s="241"/>
      <x:c r="AI366" s="241"/>
      <x:c r="AJ366" s="241"/>
      <x:c r="AK366" s="220">
        <x:f>+COUNTIF(F366:AJ366,"X")+COUNTIF(F366:AJ366,"E")</x:f>
      </x:c>
      <x:c r="AL366" s="221">
        <x:f>+COUNTIF(F366:AJ366,"R")+COUNTIF(F366:AJ366,"T")+COUNTIF(F366:AJ366,"İ")</x:f>
      </x:c>
      <x:c r="AM366" s="221">
        <x:f>+COUNTIF(F366:AJ366,"İ")</x:f>
      </x:c>
      <x:c r="AN366" s="123"/>
      <x:c r="AO366" s="123"/>
    </x:row>
    <x:row r="367" spans="1:47" ht="15" customHeight="1" x14ac:dyDescent="0.25">
      <x:c r="A367" s="69"/>
      <x:c r="B367" s="216">
        <x:v>362</x:v>
      </x:c>
      <x:c r="C367" s="121"/>
      <x:c r="D367" s="121"/>
      <x:c r="E367" s="121"/>
      <x:c r="F367" s="241"/>
      <x:c r="G367" s="241"/>
      <x:c r="H367" s="241"/>
      <x:c r="I367" s="241"/>
      <x:c r="J367" s="241"/>
      <x:c r="K367" s="241"/>
      <x:c r="L367" s="241"/>
      <x:c r="M367" s="241"/>
      <x:c r="N367" s="241"/>
      <x:c r="O367" s="241"/>
      <x:c r="P367" s="241"/>
      <x:c r="Q367" s="241"/>
      <x:c r="R367" s="241"/>
      <x:c r="S367" s="241"/>
      <x:c r="T367" s="241"/>
      <x:c r="U367" s="241"/>
      <x:c r="V367" s="241"/>
      <x:c r="W367" s="241"/>
      <x:c r="X367" s="241"/>
      <x:c r="Y367" s="241"/>
      <x:c r="Z367" s="241"/>
      <x:c r="AA367" s="241"/>
      <x:c r="AB367" s="241"/>
      <x:c r="AC367" s="241"/>
      <x:c r="AD367" s="241"/>
      <x:c r="AE367" s="241"/>
      <x:c r="AF367" s="241"/>
      <x:c r="AG367" s="241"/>
      <x:c r="AH367" s="241"/>
      <x:c r="AI367" s="241"/>
      <x:c r="AJ367" s="241"/>
      <x:c r="AK367" s="220">
        <x:f>+COUNTIF(F367:AJ367,"X")+COUNTIF(F367:AJ367,"E")</x:f>
      </x:c>
      <x:c r="AL367" s="221">
        <x:f>+COUNTIF(F367:AJ367,"R")+COUNTIF(F367:AJ367,"T")+COUNTIF(F367:AJ367,"İ")</x:f>
      </x:c>
      <x:c r="AM367" s="221">
        <x:f>+COUNTIF(F367:AJ367,"İ")</x:f>
      </x:c>
      <x:c r="AN367" s="123"/>
      <x:c r="AO367" s="123"/>
    </x:row>
    <x:row r="368" spans="1:47" ht="15" customHeight="1" x14ac:dyDescent="0.25">
      <x:c r="A368" s="69"/>
      <x:c r="B368" s="216">
        <x:v>363</x:v>
      </x:c>
      <x:c r="C368" s="121"/>
      <x:c r="D368" s="121"/>
      <x:c r="E368" s="121"/>
      <x:c r="F368" s="241"/>
      <x:c r="G368" s="241"/>
      <x:c r="H368" s="241"/>
      <x:c r="I368" s="241"/>
      <x:c r="J368" s="241"/>
      <x:c r="K368" s="241"/>
      <x:c r="L368" s="241"/>
      <x:c r="M368" s="241"/>
      <x:c r="N368" s="241"/>
      <x:c r="O368" s="241"/>
      <x:c r="P368" s="241"/>
      <x:c r="Q368" s="241"/>
      <x:c r="R368" s="241"/>
      <x:c r="S368" s="241"/>
      <x:c r="T368" s="241"/>
      <x:c r="U368" s="241"/>
      <x:c r="V368" s="241"/>
      <x:c r="W368" s="241"/>
      <x:c r="X368" s="241"/>
      <x:c r="Y368" s="241"/>
      <x:c r="Z368" s="241"/>
      <x:c r="AA368" s="241"/>
      <x:c r="AB368" s="241"/>
      <x:c r="AC368" s="241"/>
      <x:c r="AD368" s="241"/>
      <x:c r="AE368" s="241"/>
      <x:c r="AF368" s="241"/>
      <x:c r="AG368" s="241"/>
      <x:c r="AH368" s="241"/>
      <x:c r="AI368" s="241"/>
      <x:c r="AJ368" s="241"/>
      <x:c r="AK368" s="220">
        <x:f>+COUNTIF(F368:AJ368,"X")+COUNTIF(F368:AJ368,"E")</x:f>
      </x:c>
      <x:c r="AL368" s="221">
        <x:f>+COUNTIF(F368:AJ368,"R")+COUNTIF(F368:AJ368,"T")+COUNTIF(F368:AJ368,"İ")</x:f>
      </x:c>
      <x:c r="AM368" s="221">
        <x:f>+COUNTIF(F368:AJ368,"İ")</x:f>
      </x:c>
      <x:c r="AN368" s="123"/>
      <x:c r="AO368" s="123"/>
    </x:row>
    <x:row r="369" spans="1:47" ht="15" customHeight="1" x14ac:dyDescent="0.25">
      <x:c r="A369" s="69"/>
      <x:c r="B369" s="216">
        <x:v>364</x:v>
      </x:c>
      <x:c r="C369" s="121"/>
      <x:c r="D369" s="121"/>
      <x:c r="E369" s="121"/>
      <x:c r="F369" s="241"/>
      <x:c r="G369" s="241"/>
      <x:c r="H369" s="241"/>
      <x:c r="I369" s="241"/>
      <x:c r="J369" s="241"/>
      <x:c r="K369" s="241"/>
      <x:c r="L369" s="241"/>
      <x:c r="M369" s="241"/>
      <x:c r="N369" s="241"/>
      <x:c r="O369" s="241"/>
      <x:c r="P369" s="241"/>
      <x:c r="Q369" s="241"/>
      <x:c r="R369" s="241"/>
      <x:c r="S369" s="241"/>
      <x:c r="T369" s="241"/>
      <x:c r="U369" s="241"/>
      <x:c r="V369" s="241"/>
      <x:c r="W369" s="241"/>
      <x:c r="X369" s="241"/>
      <x:c r="Y369" s="241"/>
      <x:c r="Z369" s="241"/>
      <x:c r="AA369" s="241"/>
      <x:c r="AB369" s="241"/>
      <x:c r="AC369" s="241"/>
      <x:c r="AD369" s="241"/>
      <x:c r="AE369" s="241"/>
      <x:c r="AF369" s="241"/>
      <x:c r="AG369" s="241"/>
      <x:c r="AH369" s="241"/>
      <x:c r="AI369" s="241"/>
      <x:c r="AJ369" s="241"/>
      <x:c r="AK369" s="220">
        <x:f>+COUNTIF(F369:AJ369,"X")+COUNTIF(F369:AJ369,"E")</x:f>
      </x:c>
      <x:c r="AL369" s="221">
        <x:f>+COUNTIF(F369:AJ369,"R")+COUNTIF(F369:AJ369,"T")+COUNTIF(F369:AJ369,"İ")</x:f>
      </x:c>
      <x:c r="AM369" s="221">
        <x:f>+COUNTIF(F369:AJ369,"İ")</x:f>
      </x:c>
      <x:c r="AN369" s="123"/>
      <x:c r="AO369" s="123"/>
    </x:row>
    <x:row r="370" spans="1:47" ht="15" customHeight="1" x14ac:dyDescent="0.25">
      <x:c r="A370" s="69"/>
      <x:c r="B370" s="216">
        <x:v>365</x:v>
      </x:c>
      <x:c r="C370" s="121"/>
      <x:c r="D370" s="121"/>
      <x:c r="E370" s="121"/>
      <x:c r="F370" s="241"/>
      <x:c r="G370" s="241"/>
      <x:c r="H370" s="241"/>
      <x:c r="I370" s="241"/>
      <x:c r="J370" s="241"/>
      <x:c r="K370" s="241"/>
      <x:c r="L370" s="241"/>
      <x:c r="M370" s="241"/>
      <x:c r="N370" s="241"/>
      <x:c r="O370" s="241"/>
      <x:c r="P370" s="241"/>
      <x:c r="Q370" s="241"/>
      <x:c r="R370" s="241"/>
      <x:c r="S370" s="241"/>
      <x:c r="T370" s="241"/>
      <x:c r="U370" s="241"/>
      <x:c r="V370" s="241"/>
      <x:c r="W370" s="241"/>
      <x:c r="X370" s="241"/>
      <x:c r="Y370" s="241"/>
      <x:c r="Z370" s="241"/>
      <x:c r="AA370" s="241"/>
      <x:c r="AB370" s="241"/>
      <x:c r="AC370" s="241"/>
      <x:c r="AD370" s="241"/>
      <x:c r="AE370" s="241"/>
      <x:c r="AF370" s="241"/>
      <x:c r="AG370" s="241"/>
      <x:c r="AH370" s="241"/>
      <x:c r="AI370" s="241"/>
      <x:c r="AJ370" s="241"/>
      <x:c r="AK370" s="220">
        <x:f>+COUNTIF(F370:AJ370,"X")+COUNTIF(F370:AJ370,"E")</x:f>
      </x:c>
      <x:c r="AL370" s="221">
        <x:f>+COUNTIF(F370:AJ370,"R")+COUNTIF(F370:AJ370,"T")+COUNTIF(F370:AJ370,"İ")</x:f>
      </x:c>
      <x:c r="AM370" s="221">
        <x:f>+COUNTIF(F370:AJ370,"İ")</x:f>
      </x:c>
      <x:c r="AN370" s="123"/>
      <x:c r="AO370" s="123"/>
    </x:row>
    <x:row r="371" spans="1:47" ht="15" customHeight="1" x14ac:dyDescent="0.25">
      <x:c r="A371" s="69"/>
      <x:c r="B371" s="216">
        <x:v>366</x:v>
      </x:c>
      <x:c r="C371" s="121"/>
      <x:c r="D371" s="121"/>
      <x:c r="E371" s="121"/>
      <x:c r="F371" s="241"/>
      <x:c r="G371" s="241"/>
      <x:c r="H371" s="241"/>
      <x:c r="I371" s="241"/>
      <x:c r="J371" s="241"/>
      <x:c r="K371" s="241"/>
      <x:c r="L371" s="241"/>
      <x:c r="M371" s="241"/>
      <x:c r="N371" s="241"/>
      <x:c r="O371" s="241"/>
      <x:c r="P371" s="241"/>
      <x:c r="Q371" s="241"/>
      <x:c r="R371" s="241"/>
      <x:c r="S371" s="241"/>
      <x:c r="T371" s="241"/>
      <x:c r="U371" s="241"/>
      <x:c r="V371" s="241"/>
      <x:c r="W371" s="241"/>
      <x:c r="X371" s="241"/>
      <x:c r="Y371" s="241"/>
      <x:c r="Z371" s="241"/>
      <x:c r="AA371" s="241"/>
      <x:c r="AB371" s="241"/>
      <x:c r="AC371" s="241"/>
      <x:c r="AD371" s="241"/>
      <x:c r="AE371" s="241"/>
      <x:c r="AF371" s="241"/>
      <x:c r="AG371" s="241"/>
      <x:c r="AH371" s="241"/>
      <x:c r="AI371" s="241"/>
      <x:c r="AJ371" s="241"/>
      <x:c r="AK371" s="220">
        <x:f>+COUNTIF(F371:AJ371,"X")+COUNTIF(F371:AJ371,"E")</x:f>
      </x:c>
      <x:c r="AL371" s="221">
        <x:f>+COUNTIF(F371:AJ371,"R")+COUNTIF(F371:AJ371,"T")+COUNTIF(F371:AJ371,"İ")</x:f>
      </x:c>
      <x:c r="AM371" s="221">
        <x:f>+COUNTIF(F371:AJ371,"İ")</x:f>
      </x:c>
      <x:c r="AN371" s="123"/>
      <x:c r="AO371" s="123"/>
    </x:row>
    <x:row r="372" spans="1:47" ht="15" customHeight="1" x14ac:dyDescent="0.25">
      <x:c r="A372" s="69"/>
      <x:c r="B372" s="216">
        <x:v>367</x:v>
      </x:c>
      <x:c r="C372" s="121"/>
      <x:c r="D372" s="121"/>
      <x:c r="E372" s="121"/>
      <x:c r="F372" s="241"/>
      <x:c r="G372" s="241"/>
      <x:c r="H372" s="241"/>
      <x:c r="I372" s="241"/>
      <x:c r="J372" s="241"/>
      <x:c r="K372" s="241"/>
      <x:c r="L372" s="241"/>
      <x:c r="M372" s="241"/>
      <x:c r="N372" s="241"/>
      <x:c r="O372" s="241"/>
      <x:c r="P372" s="241"/>
      <x:c r="Q372" s="241"/>
      <x:c r="R372" s="241"/>
      <x:c r="S372" s="241"/>
      <x:c r="T372" s="241"/>
      <x:c r="U372" s="241"/>
      <x:c r="V372" s="241"/>
      <x:c r="W372" s="241"/>
      <x:c r="X372" s="241"/>
      <x:c r="Y372" s="241"/>
      <x:c r="Z372" s="241"/>
      <x:c r="AA372" s="241"/>
      <x:c r="AB372" s="241"/>
      <x:c r="AC372" s="241"/>
      <x:c r="AD372" s="241"/>
      <x:c r="AE372" s="241"/>
      <x:c r="AF372" s="241"/>
      <x:c r="AG372" s="241"/>
      <x:c r="AH372" s="241"/>
      <x:c r="AI372" s="241"/>
      <x:c r="AJ372" s="241"/>
      <x:c r="AK372" s="220">
        <x:f>+COUNTIF(F372:AJ372,"X")+COUNTIF(F372:AJ372,"E")</x:f>
      </x:c>
      <x:c r="AL372" s="221">
        <x:f>+COUNTIF(F372:AJ372,"R")+COUNTIF(F372:AJ372,"T")+COUNTIF(F372:AJ372,"İ")</x:f>
      </x:c>
      <x:c r="AM372" s="221">
        <x:f>+COUNTIF(F372:AJ372,"İ")</x:f>
      </x:c>
      <x:c r="AN372" s="123"/>
      <x:c r="AO372" s="123"/>
    </x:row>
    <x:row r="373" spans="1:47" ht="15" customHeight="1" x14ac:dyDescent="0.25">
      <x:c r="A373" s="69"/>
      <x:c r="B373" s="216">
        <x:v>368</x:v>
      </x:c>
      <x:c r="C373" s="121"/>
      <x:c r="D373" s="121"/>
      <x:c r="E373" s="121"/>
      <x:c r="F373" s="241"/>
      <x:c r="G373" s="241"/>
      <x:c r="H373" s="241"/>
      <x:c r="I373" s="241"/>
      <x:c r="J373" s="241"/>
      <x:c r="K373" s="241"/>
      <x:c r="L373" s="241"/>
      <x:c r="M373" s="241"/>
      <x:c r="N373" s="241"/>
      <x:c r="O373" s="241"/>
      <x:c r="P373" s="241"/>
      <x:c r="Q373" s="241"/>
      <x:c r="R373" s="241"/>
      <x:c r="S373" s="241"/>
      <x:c r="T373" s="241"/>
      <x:c r="U373" s="241"/>
      <x:c r="V373" s="241"/>
      <x:c r="W373" s="241"/>
      <x:c r="X373" s="241"/>
      <x:c r="Y373" s="241"/>
      <x:c r="Z373" s="241"/>
      <x:c r="AA373" s="241"/>
      <x:c r="AB373" s="241"/>
      <x:c r="AC373" s="241"/>
      <x:c r="AD373" s="241"/>
      <x:c r="AE373" s="241"/>
      <x:c r="AF373" s="241"/>
      <x:c r="AG373" s="241"/>
      <x:c r="AH373" s="241"/>
      <x:c r="AI373" s="241"/>
      <x:c r="AJ373" s="241"/>
      <x:c r="AK373" s="220">
        <x:f>+COUNTIF(F373:AJ373,"X")+COUNTIF(F373:AJ373,"E")</x:f>
      </x:c>
      <x:c r="AL373" s="221">
        <x:f>+COUNTIF(F373:AJ373,"R")+COUNTIF(F373:AJ373,"T")+COUNTIF(F373:AJ373,"İ")</x:f>
      </x:c>
      <x:c r="AM373" s="221">
        <x:f>+COUNTIF(F373:AJ373,"İ")</x:f>
      </x:c>
      <x:c r="AN373" s="123"/>
      <x:c r="AO373" s="123"/>
    </x:row>
    <x:row r="374" spans="1:47" ht="15" customHeight="1" x14ac:dyDescent="0.25">
      <x:c r="A374" s="69"/>
      <x:c r="B374" s="216">
        <x:v>369</x:v>
      </x:c>
      <x:c r="C374" s="121"/>
      <x:c r="D374" s="121"/>
      <x:c r="E374" s="121"/>
      <x:c r="F374" s="241"/>
      <x:c r="G374" s="241"/>
      <x:c r="H374" s="241"/>
      <x:c r="I374" s="241"/>
      <x:c r="J374" s="241"/>
      <x:c r="K374" s="241"/>
      <x:c r="L374" s="241"/>
      <x:c r="M374" s="241"/>
      <x:c r="N374" s="241"/>
      <x:c r="O374" s="241"/>
      <x:c r="P374" s="241"/>
      <x:c r="Q374" s="241"/>
      <x:c r="R374" s="241"/>
      <x:c r="S374" s="241"/>
      <x:c r="T374" s="241"/>
      <x:c r="U374" s="241"/>
      <x:c r="V374" s="241"/>
      <x:c r="W374" s="241"/>
      <x:c r="X374" s="241"/>
      <x:c r="Y374" s="241"/>
      <x:c r="Z374" s="241"/>
      <x:c r="AA374" s="241"/>
      <x:c r="AB374" s="241"/>
      <x:c r="AC374" s="241"/>
      <x:c r="AD374" s="241"/>
      <x:c r="AE374" s="241"/>
      <x:c r="AF374" s="241"/>
      <x:c r="AG374" s="241"/>
      <x:c r="AH374" s="241"/>
      <x:c r="AI374" s="241"/>
      <x:c r="AJ374" s="241"/>
      <x:c r="AK374" s="220">
        <x:f>+COUNTIF(F374:AJ374,"X")+COUNTIF(F374:AJ374,"E")</x:f>
      </x:c>
      <x:c r="AL374" s="221">
        <x:f>+COUNTIF(F374:AJ374,"R")+COUNTIF(F374:AJ374,"T")+COUNTIF(F374:AJ374,"İ")</x:f>
      </x:c>
      <x:c r="AM374" s="221">
        <x:f>+COUNTIF(F374:AJ374,"İ")</x:f>
      </x:c>
      <x:c r="AN374" s="123"/>
      <x:c r="AO374" s="123"/>
    </x:row>
    <x:row r="375" spans="1:47" ht="15" customHeight="1" x14ac:dyDescent="0.25">
      <x:c r="A375" s="69"/>
      <x:c r="B375" s="216">
        <x:v>370</x:v>
      </x:c>
      <x:c r="C375" s="121"/>
      <x:c r="D375" s="121"/>
      <x:c r="E375" s="121"/>
      <x:c r="F375" s="241"/>
      <x:c r="G375" s="241"/>
      <x:c r="H375" s="241"/>
      <x:c r="I375" s="241"/>
      <x:c r="J375" s="241"/>
      <x:c r="K375" s="241"/>
      <x:c r="L375" s="241"/>
      <x:c r="M375" s="241"/>
      <x:c r="N375" s="241"/>
      <x:c r="O375" s="241"/>
      <x:c r="P375" s="241"/>
      <x:c r="Q375" s="241"/>
      <x:c r="R375" s="241"/>
      <x:c r="S375" s="241"/>
      <x:c r="T375" s="241"/>
      <x:c r="U375" s="241"/>
      <x:c r="V375" s="241"/>
      <x:c r="W375" s="241"/>
      <x:c r="X375" s="241"/>
      <x:c r="Y375" s="241"/>
      <x:c r="Z375" s="241"/>
      <x:c r="AA375" s="241"/>
      <x:c r="AB375" s="241"/>
      <x:c r="AC375" s="241"/>
      <x:c r="AD375" s="241"/>
      <x:c r="AE375" s="241"/>
      <x:c r="AF375" s="241"/>
      <x:c r="AG375" s="241"/>
      <x:c r="AH375" s="241"/>
      <x:c r="AI375" s="241"/>
      <x:c r="AJ375" s="241"/>
      <x:c r="AK375" s="220">
        <x:f>+COUNTIF(F375:AJ375,"X")+COUNTIF(F375:AJ375,"E")</x:f>
      </x:c>
      <x:c r="AL375" s="221">
        <x:f>+COUNTIF(F375:AJ375,"R")+COUNTIF(F375:AJ375,"T")+COUNTIF(F375:AJ375,"İ")</x:f>
      </x:c>
      <x:c r="AM375" s="221">
        <x:f>+COUNTIF(F375:AJ375,"İ")</x:f>
      </x:c>
      <x:c r="AN375" s="123"/>
      <x:c r="AO375" s="123"/>
    </x:row>
    <x:row r="376" spans="1:47" ht="15" customHeight="1" x14ac:dyDescent="0.25">
      <x:c r="A376" s="69"/>
      <x:c r="B376" s="216">
        <x:v>371</x:v>
      </x:c>
      <x:c r="C376" s="121"/>
      <x:c r="D376" s="121"/>
      <x:c r="E376" s="121"/>
      <x:c r="F376" s="241"/>
      <x:c r="G376" s="241"/>
      <x:c r="H376" s="241"/>
      <x:c r="I376" s="241"/>
      <x:c r="J376" s="241"/>
      <x:c r="K376" s="241"/>
      <x:c r="L376" s="241"/>
      <x:c r="M376" s="241"/>
      <x:c r="N376" s="241"/>
      <x:c r="O376" s="241"/>
      <x:c r="P376" s="241"/>
      <x:c r="Q376" s="241"/>
      <x:c r="R376" s="241"/>
      <x:c r="S376" s="241"/>
      <x:c r="T376" s="241"/>
      <x:c r="U376" s="241"/>
      <x:c r="V376" s="241"/>
      <x:c r="W376" s="241"/>
      <x:c r="X376" s="241"/>
      <x:c r="Y376" s="241"/>
      <x:c r="Z376" s="241"/>
      <x:c r="AA376" s="241"/>
      <x:c r="AB376" s="241"/>
      <x:c r="AC376" s="241"/>
      <x:c r="AD376" s="241"/>
      <x:c r="AE376" s="241"/>
      <x:c r="AF376" s="241"/>
      <x:c r="AG376" s="241"/>
      <x:c r="AH376" s="241"/>
      <x:c r="AI376" s="241"/>
      <x:c r="AJ376" s="241"/>
      <x:c r="AK376" s="220">
        <x:f>+COUNTIF(F376:AJ376,"X")+COUNTIF(F376:AJ376,"E")</x:f>
      </x:c>
      <x:c r="AL376" s="221">
        <x:f>+COUNTIF(F376:AJ376,"R")+COUNTIF(F376:AJ376,"T")+COUNTIF(F376:AJ376,"İ")</x:f>
      </x:c>
      <x:c r="AM376" s="221">
        <x:f>+COUNTIF(F376:AJ376,"İ")</x:f>
      </x:c>
      <x:c r="AN376" s="123"/>
      <x:c r="AO376" s="123"/>
    </x:row>
    <x:row r="377" spans="1:47" ht="15" customHeight="1" x14ac:dyDescent="0.25">
      <x:c r="A377" s="69"/>
      <x:c r="B377" s="216">
        <x:v>372</x:v>
      </x:c>
      <x:c r="C377" s="121"/>
      <x:c r="D377" s="121"/>
      <x:c r="E377" s="121"/>
      <x:c r="F377" s="241"/>
      <x:c r="G377" s="241"/>
      <x:c r="H377" s="241"/>
      <x:c r="I377" s="241"/>
      <x:c r="J377" s="241"/>
      <x:c r="K377" s="241"/>
      <x:c r="L377" s="241"/>
      <x:c r="M377" s="241"/>
      <x:c r="N377" s="241"/>
      <x:c r="O377" s="241"/>
      <x:c r="P377" s="241"/>
      <x:c r="Q377" s="241"/>
      <x:c r="R377" s="241"/>
      <x:c r="S377" s="241"/>
      <x:c r="T377" s="241"/>
      <x:c r="U377" s="241"/>
      <x:c r="V377" s="241"/>
      <x:c r="W377" s="241"/>
      <x:c r="X377" s="241"/>
      <x:c r="Y377" s="241"/>
      <x:c r="Z377" s="241"/>
      <x:c r="AA377" s="241"/>
      <x:c r="AB377" s="241"/>
      <x:c r="AC377" s="241"/>
      <x:c r="AD377" s="241"/>
      <x:c r="AE377" s="241"/>
      <x:c r="AF377" s="241"/>
      <x:c r="AG377" s="241"/>
      <x:c r="AH377" s="241"/>
      <x:c r="AI377" s="241"/>
      <x:c r="AJ377" s="241"/>
      <x:c r="AK377" s="220">
        <x:f>+COUNTIF(F377:AJ377,"X")+COUNTIF(F377:AJ377,"E")</x:f>
      </x:c>
      <x:c r="AL377" s="221">
        <x:f>+COUNTIF(F377:AJ377,"R")+COUNTIF(F377:AJ377,"T")+COUNTIF(F377:AJ377,"İ")</x:f>
      </x:c>
      <x:c r="AM377" s="221">
        <x:f>+COUNTIF(F377:AJ377,"İ")</x:f>
      </x:c>
      <x:c r="AN377" s="123"/>
      <x:c r="AO377" s="123"/>
    </x:row>
    <x:row r="378" spans="1:47" ht="15" customHeight="1" x14ac:dyDescent="0.25">
      <x:c r="A378" s="69"/>
      <x:c r="B378" s="216">
        <x:v>373</x:v>
      </x:c>
      <x:c r="C378" s="121"/>
      <x:c r="D378" s="121"/>
      <x:c r="E378" s="121"/>
      <x:c r="F378" s="241"/>
      <x:c r="G378" s="241"/>
      <x:c r="H378" s="241"/>
      <x:c r="I378" s="241"/>
      <x:c r="J378" s="241"/>
      <x:c r="K378" s="241"/>
      <x:c r="L378" s="241"/>
      <x:c r="M378" s="241"/>
      <x:c r="N378" s="241"/>
      <x:c r="O378" s="241"/>
      <x:c r="P378" s="241"/>
      <x:c r="Q378" s="241"/>
      <x:c r="R378" s="241"/>
      <x:c r="S378" s="241"/>
      <x:c r="T378" s="241"/>
      <x:c r="U378" s="241"/>
      <x:c r="V378" s="241"/>
      <x:c r="W378" s="241"/>
      <x:c r="X378" s="241"/>
      <x:c r="Y378" s="241"/>
      <x:c r="Z378" s="241"/>
      <x:c r="AA378" s="241"/>
      <x:c r="AB378" s="241"/>
      <x:c r="AC378" s="241"/>
      <x:c r="AD378" s="241"/>
      <x:c r="AE378" s="241"/>
      <x:c r="AF378" s="241"/>
      <x:c r="AG378" s="241"/>
      <x:c r="AH378" s="241"/>
      <x:c r="AI378" s="241"/>
      <x:c r="AJ378" s="241"/>
      <x:c r="AK378" s="220">
        <x:f>+COUNTIF(F378:AJ378,"X")+COUNTIF(F378:AJ378,"E")</x:f>
      </x:c>
      <x:c r="AL378" s="221">
        <x:f>+COUNTIF(F378:AJ378,"R")+COUNTIF(F378:AJ378,"T")+COUNTIF(F378:AJ378,"İ")</x:f>
      </x:c>
      <x:c r="AM378" s="221">
        <x:f>+COUNTIF(F378:AJ378,"İ")</x:f>
      </x:c>
      <x:c r="AN378" s="123"/>
      <x:c r="AO378" s="123"/>
    </x:row>
    <x:row r="379" spans="1:47" ht="15" customHeight="1" x14ac:dyDescent="0.25">
      <x:c r="A379" s="69"/>
      <x:c r="B379" s="216">
        <x:v>374</x:v>
      </x:c>
      <x:c r="C379" s="121"/>
      <x:c r="D379" s="121"/>
      <x:c r="E379" s="121"/>
      <x:c r="F379" s="241"/>
      <x:c r="G379" s="241"/>
      <x:c r="H379" s="241"/>
      <x:c r="I379" s="241"/>
      <x:c r="J379" s="241"/>
      <x:c r="K379" s="241"/>
      <x:c r="L379" s="241"/>
      <x:c r="M379" s="241"/>
      <x:c r="N379" s="241"/>
      <x:c r="O379" s="241"/>
      <x:c r="P379" s="241"/>
      <x:c r="Q379" s="241"/>
      <x:c r="R379" s="241"/>
      <x:c r="S379" s="241"/>
      <x:c r="T379" s="241"/>
      <x:c r="U379" s="241"/>
      <x:c r="V379" s="241"/>
      <x:c r="W379" s="241"/>
      <x:c r="X379" s="241"/>
      <x:c r="Y379" s="241"/>
      <x:c r="Z379" s="241"/>
      <x:c r="AA379" s="241"/>
      <x:c r="AB379" s="241"/>
      <x:c r="AC379" s="241"/>
      <x:c r="AD379" s="241"/>
      <x:c r="AE379" s="241"/>
      <x:c r="AF379" s="241"/>
      <x:c r="AG379" s="241"/>
      <x:c r="AH379" s="241"/>
      <x:c r="AI379" s="241"/>
      <x:c r="AJ379" s="241"/>
      <x:c r="AK379" s="220">
        <x:f>+COUNTIF(F379:AJ379,"X")+COUNTIF(F379:AJ379,"E")</x:f>
      </x:c>
      <x:c r="AL379" s="221">
        <x:f>+COUNTIF(F379:AJ379,"R")+COUNTIF(F379:AJ379,"T")+COUNTIF(F379:AJ379,"İ")</x:f>
      </x:c>
      <x:c r="AM379" s="221">
        <x:f>+COUNTIF(F379:AJ379,"İ")</x:f>
      </x:c>
      <x:c r="AN379" s="123"/>
      <x:c r="AO379" s="123"/>
    </x:row>
    <x:row r="380" spans="1:47" ht="15" customHeight="1" x14ac:dyDescent="0.25">
      <x:c r="A380" s="69"/>
      <x:c r="B380" s="216">
        <x:v>375</x:v>
      </x:c>
      <x:c r="C380" s="121"/>
      <x:c r="D380" s="121"/>
      <x:c r="E380" s="121"/>
      <x:c r="F380" s="241"/>
      <x:c r="G380" s="241"/>
      <x:c r="H380" s="241"/>
      <x:c r="I380" s="241"/>
      <x:c r="J380" s="241"/>
      <x:c r="K380" s="241"/>
      <x:c r="L380" s="241"/>
      <x:c r="M380" s="241"/>
      <x:c r="N380" s="241"/>
      <x:c r="O380" s="241"/>
      <x:c r="P380" s="241"/>
      <x:c r="Q380" s="241"/>
      <x:c r="R380" s="241"/>
      <x:c r="S380" s="241"/>
      <x:c r="T380" s="241"/>
      <x:c r="U380" s="241"/>
      <x:c r="V380" s="241"/>
      <x:c r="W380" s="241"/>
      <x:c r="X380" s="241"/>
      <x:c r="Y380" s="241"/>
      <x:c r="Z380" s="241"/>
      <x:c r="AA380" s="241"/>
      <x:c r="AB380" s="241"/>
      <x:c r="AC380" s="241"/>
      <x:c r="AD380" s="241"/>
      <x:c r="AE380" s="241"/>
      <x:c r="AF380" s="241"/>
      <x:c r="AG380" s="241"/>
      <x:c r="AH380" s="241"/>
      <x:c r="AI380" s="241"/>
      <x:c r="AJ380" s="241"/>
      <x:c r="AK380" s="220">
        <x:f>+COUNTIF(F380:AJ380,"X")+COUNTIF(F380:AJ380,"E")</x:f>
      </x:c>
      <x:c r="AL380" s="221">
        <x:f>+COUNTIF(F380:AJ380,"R")+COUNTIF(F380:AJ380,"T")+COUNTIF(F380:AJ380,"İ")</x:f>
      </x:c>
      <x:c r="AM380" s="221">
        <x:f>+COUNTIF(F380:AJ380,"İ")</x:f>
      </x:c>
      <x:c r="AN380" s="123"/>
      <x:c r="AO380" s="123"/>
    </x:row>
    <x:row r="381" spans="1:47" ht="15" customHeight="1" x14ac:dyDescent="0.25">
      <x:c r="A381" s="69"/>
      <x:c r="B381" s="216">
        <x:v>376</x:v>
      </x:c>
      <x:c r="C381" s="121"/>
      <x:c r="D381" s="121"/>
      <x:c r="E381" s="121"/>
      <x:c r="F381" s="241"/>
      <x:c r="G381" s="241"/>
      <x:c r="H381" s="241"/>
      <x:c r="I381" s="241"/>
      <x:c r="J381" s="241"/>
      <x:c r="K381" s="241"/>
      <x:c r="L381" s="241"/>
      <x:c r="M381" s="241"/>
      <x:c r="N381" s="241"/>
      <x:c r="O381" s="241"/>
      <x:c r="P381" s="241"/>
      <x:c r="Q381" s="241"/>
      <x:c r="R381" s="241"/>
      <x:c r="S381" s="241"/>
      <x:c r="T381" s="241"/>
      <x:c r="U381" s="241"/>
      <x:c r="V381" s="241"/>
      <x:c r="W381" s="241"/>
      <x:c r="X381" s="241"/>
      <x:c r="Y381" s="241"/>
      <x:c r="Z381" s="241"/>
      <x:c r="AA381" s="241"/>
      <x:c r="AB381" s="241"/>
      <x:c r="AC381" s="241"/>
      <x:c r="AD381" s="241"/>
      <x:c r="AE381" s="241"/>
      <x:c r="AF381" s="241"/>
      <x:c r="AG381" s="241"/>
      <x:c r="AH381" s="241"/>
      <x:c r="AI381" s="241"/>
      <x:c r="AJ381" s="241"/>
      <x:c r="AK381" s="220">
        <x:f>+COUNTIF(F381:AJ381,"X")+COUNTIF(F381:AJ381,"E")</x:f>
      </x:c>
      <x:c r="AL381" s="221">
        <x:f>+COUNTIF(F381:AJ381,"R")+COUNTIF(F381:AJ381,"T")+COUNTIF(F381:AJ381,"İ")</x:f>
      </x:c>
      <x:c r="AM381" s="221">
        <x:f>+COUNTIF(F381:AJ381,"İ")</x:f>
      </x:c>
      <x:c r="AN381" s="123"/>
      <x:c r="AO381" s="123"/>
    </x:row>
    <x:row r="382" spans="1:47" ht="15" customHeight="1" x14ac:dyDescent="0.25">
      <x:c r="A382" s="69"/>
      <x:c r="B382" s="216">
        <x:v>377</x:v>
      </x:c>
      <x:c r="C382" s="121"/>
      <x:c r="D382" s="121"/>
      <x:c r="E382" s="121"/>
      <x:c r="F382" s="241"/>
      <x:c r="G382" s="241"/>
      <x:c r="H382" s="241"/>
      <x:c r="I382" s="241"/>
      <x:c r="J382" s="241"/>
      <x:c r="K382" s="241"/>
      <x:c r="L382" s="241"/>
      <x:c r="M382" s="241"/>
      <x:c r="N382" s="241"/>
      <x:c r="O382" s="241"/>
      <x:c r="P382" s="241"/>
      <x:c r="Q382" s="241"/>
      <x:c r="R382" s="241"/>
      <x:c r="S382" s="241"/>
      <x:c r="T382" s="241"/>
      <x:c r="U382" s="241"/>
      <x:c r="V382" s="241"/>
      <x:c r="W382" s="241"/>
      <x:c r="X382" s="241"/>
      <x:c r="Y382" s="241"/>
      <x:c r="Z382" s="241"/>
      <x:c r="AA382" s="241"/>
      <x:c r="AB382" s="241"/>
      <x:c r="AC382" s="241"/>
      <x:c r="AD382" s="241"/>
      <x:c r="AE382" s="241"/>
      <x:c r="AF382" s="241"/>
      <x:c r="AG382" s="241"/>
      <x:c r="AH382" s="241"/>
      <x:c r="AI382" s="241"/>
      <x:c r="AJ382" s="241"/>
      <x:c r="AK382" s="220">
        <x:f>+COUNTIF(F382:AJ382,"X")+COUNTIF(F382:AJ382,"E")</x:f>
      </x:c>
      <x:c r="AL382" s="221">
        <x:f>+COUNTIF(F382:AJ382,"R")+COUNTIF(F382:AJ382,"T")+COUNTIF(F382:AJ382,"İ")</x:f>
      </x:c>
      <x:c r="AM382" s="221">
        <x:f>+COUNTIF(F382:AJ382,"İ")</x:f>
      </x:c>
      <x:c r="AN382" s="123"/>
      <x:c r="AO382" s="123"/>
    </x:row>
    <x:row r="383" spans="1:47" ht="15" customHeight="1" x14ac:dyDescent="0.25">
      <x:c r="A383" s="69"/>
      <x:c r="B383" s="216">
        <x:v>378</x:v>
      </x:c>
      <x:c r="C383" s="121"/>
      <x:c r="D383" s="121"/>
      <x:c r="E383" s="121"/>
      <x:c r="F383" s="241"/>
      <x:c r="G383" s="241"/>
      <x:c r="H383" s="241"/>
      <x:c r="I383" s="241"/>
      <x:c r="J383" s="241"/>
      <x:c r="K383" s="241"/>
      <x:c r="L383" s="241"/>
      <x:c r="M383" s="241"/>
      <x:c r="N383" s="241"/>
      <x:c r="O383" s="241"/>
      <x:c r="P383" s="241"/>
      <x:c r="Q383" s="241"/>
      <x:c r="R383" s="241"/>
      <x:c r="S383" s="241"/>
      <x:c r="T383" s="241"/>
      <x:c r="U383" s="241"/>
      <x:c r="V383" s="241"/>
      <x:c r="W383" s="241"/>
      <x:c r="X383" s="241"/>
      <x:c r="Y383" s="241"/>
      <x:c r="Z383" s="241"/>
      <x:c r="AA383" s="241"/>
      <x:c r="AB383" s="241"/>
      <x:c r="AC383" s="241"/>
      <x:c r="AD383" s="241"/>
      <x:c r="AE383" s="241"/>
      <x:c r="AF383" s="241"/>
      <x:c r="AG383" s="241"/>
      <x:c r="AH383" s="241"/>
      <x:c r="AI383" s="241"/>
      <x:c r="AJ383" s="241"/>
      <x:c r="AK383" s="220">
        <x:f>+COUNTIF(F383:AJ383,"X")+COUNTIF(F383:AJ383,"E")</x:f>
      </x:c>
      <x:c r="AL383" s="221">
        <x:f>+COUNTIF(F383:AJ383,"R")+COUNTIF(F383:AJ383,"T")+COUNTIF(F383:AJ383,"İ")</x:f>
      </x:c>
      <x:c r="AM383" s="221">
        <x:f>+COUNTIF(F383:AJ383,"İ")</x:f>
      </x:c>
      <x:c r="AN383" s="123"/>
      <x:c r="AO383" s="123"/>
    </x:row>
    <x:row r="384" spans="1:47" ht="15" customHeight="1" x14ac:dyDescent="0.25">
      <x:c r="A384" s="69"/>
      <x:c r="B384" s="216">
        <x:v>379</x:v>
      </x:c>
      <x:c r="C384" s="121"/>
      <x:c r="D384" s="121"/>
      <x:c r="E384" s="121"/>
      <x:c r="F384" s="241"/>
      <x:c r="G384" s="241"/>
      <x:c r="H384" s="241"/>
      <x:c r="I384" s="241"/>
      <x:c r="J384" s="241"/>
      <x:c r="K384" s="241"/>
      <x:c r="L384" s="241"/>
      <x:c r="M384" s="241"/>
      <x:c r="N384" s="241"/>
      <x:c r="O384" s="241"/>
      <x:c r="P384" s="241"/>
      <x:c r="Q384" s="241"/>
      <x:c r="R384" s="241"/>
      <x:c r="S384" s="241"/>
      <x:c r="T384" s="241"/>
      <x:c r="U384" s="241"/>
      <x:c r="V384" s="241"/>
      <x:c r="W384" s="241"/>
      <x:c r="X384" s="241"/>
      <x:c r="Y384" s="241"/>
      <x:c r="Z384" s="241"/>
      <x:c r="AA384" s="241"/>
      <x:c r="AB384" s="241"/>
      <x:c r="AC384" s="241"/>
      <x:c r="AD384" s="241"/>
      <x:c r="AE384" s="241"/>
      <x:c r="AF384" s="241"/>
      <x:c r="AG384" s="241"/>
      <x:c r="AH384" s="241"/>
      <x:c r="AI384" s="241"/>
      <x:c r="AJ384" s="241"/>
      <x:c r="AK384" s="220">
        <x:f>+COUNTIF(F384:AJ384,"X")+COUNTIF(F384:AJ384,"E")</x:f>
      </x:c>
      <x:c r="AL384" s="221">
        <x:f>+COUNTIF(F384:AJ384,"R")+COUNTIF(F384:AJ384,"T")+COUNTIF(F384:AJ384,"İ")</x:f>
      </x:c>
      <x:c r="AM384" s="221">
        <x:f>+COUNTIF(F384:AJ384,"İ")</x:f>
      </x:c>
      <x:c r="AN384" s="123"/>
      <x:c r="AO384" s="123"/>
    </x:row>
    <x:row r="385" spans="1:47" ht="15" customHeight="1" x14ac:dyDescent="0.25">
      <x:c r="A385" s="69"/>
      <x:c r="B385" s="216">
        <x:v>380</x:v>
      </x:c>
      <x:c r="C385" s="121"/>
      <x:c r="D385" s="121"/>
      <x:c r="E385" s="121"/>
      <x:c r="F385" s="241"/>
      <x:c r="G385" s="241"/>
      <x:c r="H385" s="241"/>
      <x:c r="I385" s="241"/>
      <x:c r="J385" s="241"/>
      <x:c r="K385" s="241"/>
      <x:c r="L385" s="241"/>
      <x:c r="M385" s="241"/>
      <x:c r="N385" s="241"/>
      <x:c r="O385" s="241"/>
      <x:c r="P385" s="241"/>
      <x:c r="Q385" s="241"/>
      <x:c r="R385" s="241"/>
      <x:c r="S385" s="241"/>
      <x:c r="T385" s="241"/>
      <x:c r="U385" s="241"/>
      <x:c r="V385" s="241"/>
      <x:c r="W385" s="241"/>
      <x:c r="X385" s="241"/>
      <x:c r="Y385" s="241"/>
      <x:c r="Z385" s="241"/>
      <x:c r="AA385" s="241"/>
      <x:c r="AB385" s="241"/>
      <x:c r="AC385" s="241"/>
      <x:c r="AD385" s="241"/>
      <x:c r="AE385" s="241"/>
      <x:c r="AF385" s="241"/>
      <x:c r="AG385" s="241"/>
      <x:c r="AH385" s="241"/>
      <x:c r="AI385" s="241"/>
      <x:c r="AJ385" s="241"/>
      <x:c r="AK385" s="220">
        <x:f>+COUNTIF(F385:AJ385,"X")+COUNTIF(F385:AJ385,"E")</x:f>
      </x:c>
      <x:c r="AL385" s="221">
        <x:f>+COUNTIF(F385:AJ385,"R")+COUNTIF(F385:AJ385,"T")+COUNTIF(F385:AJ385,"İ")</x:f>
      </x:c>
      <x:c r="AM385" s="221">
        <x:f>+COUNTIF(F385:AJ385,"İ")</x:f>
      </x:c>
      <x:c r="AN385" s="123"/>
      <x:c r="AO385" s="123"/>
    </x:row>
    <x:row r="386" spans="1:47" ht="15" customHeight="1" x14ac:dyDescent="0.25">
      <x:c r="A386" s="69"/>
      <x:c r="B386" s="216">
        <x:v>381</x:v>
      </x:c>
      <x:c r="C386" s="121"/>
      <x:c r="D386" s="121"/>
      <x:c r="E386" s="121"/>
      <x:c r="F386" s="241"/>
      <x:c r="G386" s="241"/>
      <x:c r="H386" s="241"/>
      <x:c r="I386" s="241"/>
      <x:c r="J386" s="241"/>
      <x:c r="K386" s="241"/>
      <x:c r="L386" s="241"/>
      <x:c r="M386" s="241"/>
      <x:c r="N386" s="241"/>
      <x:c r="O386" s="241"/>
      <x:c r="P386" s="241"/>
      <x:c r="Q386" s="241"/>
      <x:c r="R386" s="241"/>
      <x:c r="S386" s="241"/>
      <x:c r="T386" s="241"/>
      <x:c r="U386" s="241"/>
      <x:c r="V386" s="241"/>
      <x:c r="W386" s="241"/>
      <x:c r="X386" s="241"/>
      <x:c r="Y386" s="241"/>
      <x:c r="Z386" s="241"/>
      <x:c r="AA386" s="241"/>
      <x:c r="AB386" s="241"/>
      <x:c r="AC386" s="241"/>
      <x:c r="AD386" s="241"/>
      <x:c r="AE386" s="241"/>
      <x:c r="AF386" s="241"/>
      <x:c r="AG386" s="241"/>
      <x:c r="AH386" s="241"/>
      <x:c r="AI386" s="241"/>
      <x:c r="AJ386" s="241"/>
      <x:c r="AK386" s="220">
        <x:f>+COUNTIF(F386:AJ386,"X")+COUNTIF(F386:AJ386,"E")</x:f>
      </x:c>
      <x:c r="AL386" s="221">
        <x:f>+COUNTIF(F386:AJ386,"R")+COUNTIF(F386:AJ386,"T")+COUNTIF(F386:AJ386,"İ")</x:f>
      </x:c>
      <x:c r="AM386" s="221">
        <x:f>+COUNTIF(F386:AJ386,"İ")</x:f>
      </x:c>
      <x:c r="AN386" s="123"/>
      <x:c r="AO386" s="123"/>
    </x:row>
    <x:row r="387" spans="1:47" ht="15" customHeight="1" x14ac:dyDescent="0.25">
      <x:c r="A387" s="69"/>
      <x:c r="B387" s="216">
        <x:v>382</x:v>
      </x:c>
      <x:c r="C387" s="121"/>
      <x:c r="D387" s="121"/>
      <x:c r="E387" s="121"/>
      <x:c r="F387" s="241"/>
      <x:c r="G387" s="241"/>
      <x:c r="H387" s="241"/>
      <x:c r="I387" s="241"/>
      <x:c r="J387" s="241"/>
      <x:c r="K387" s="241"/>
      <x:c r="L387" s="241"/>
      <x:c r="M387" s="241"/>
      <x:c r="N387" s="241"/>
      <x:c r="O387" s="241"/>
      <x:c r="P387" s="241"/>
      <x:c r="Q387" s="241"/>
      <x:c r="R387" s="241"/>
      <x:c r="S387" s="241"/>
      <x:c r="T387" s="241"/>
      <x:c r="U387" s="241"/>
      <x:c r="V387" s="241"/>
      <x:c r="W387" s="241"/>
      <x:c r="X387" s="241"/>
      <x:c r="Y387" s="241"/>
      <x:c r="Z387" s="241"/>
      <x:c r="AA387" s="241"/>
      <x:c r="AB387" s="241"/>
      <x:c r="AC387" s="241"/>
      <x:c r="AD387" s="241"/>
      <x:c r="AE387" s="241"/>
      <x:c r="AF387" s="241"/>
      <x:c r="AG387" s="241"/>
      <x:c r="AH387" s="241"/>
      <x:c r="AI387" s="241"/>
      <x:c r="AJ387" s="241"/>
      <x:c r="AK387" s="220">
        <x:f>+COUNTIF(F387:AJ387,"X")+COUNTIF(F387:AJ387,"E")</x:f>
      </x:c>
      <x:c r="AL387" s="221">
        <x:f>+COUNTIF(F387:AJ387,"R")+COUNTIF(F387:AJ387,"T")+COUNTIF(F387:AJ387,"İ")</x:f>
      </x:c>
      <x:c r="AM387" s="221">
        <x:f>+COUNTIF(F387:AJ387,"İ")</x:f>
      </x:c>
      <x:c r="AN387" s="123"/>
      <x:c r="AO387" s="123"/>
    </x:row>
    <x:row r="388" spans="1:47" ht="15" customHeight="1" x14ac:dyDescent="0.25">
      <x:c r="A388" s="69"/>
      <x:c r="B388" s="216">
        <x:v>383</x:v>
      </x:c>
      <x:c r="C388" s="121"/>
      <x:c r="D388" s="121"/>
      <x:c r="E388" s="121"/>
      <x:c r="F388" s="241"/>
      <x:c r="G388" s="241"/>
      <x:c r="H388" s="241"/>
      <x:c r="I388" s="241"/>
      <x:c r="J388" s="241"/>
      <x:c r="K388" s="241"/>
      <x:c r="L388" s="241"/>
      <x:c r="M388" s="241"/>
      <x:c r="N388" s="241"/>
      <x:c r="O388" s="241"/>
      <x:c r="P388" s="241"/>
      <x:c r="Q388" s="241"/>
      <x:c r="R388" s="241"/>
      <x:c r="S388" s="241"/>
      <x:c r="T388" s="241"/>
      <x:c r="U388" s="241"/>
      <x:c r="V388" s="241"/>
      <x:c r="W388" s="241"/>
      <x:c r="X388" s="241"/>
      <x:c r="Y388" s="241"/>
      <x:c r="Z388" s="241"/>
      <x:c r="AA388" s="241"/>
      <x:c r="AB388" s="241"/>
      <x:c r="AC388" s="241"/>
      <x:c r="AD388" s="241"/>
      <x:c r="AE388" s="241"/>
      <x:c r="AF388" s="241"/>
      <x:c r="AG388" s="241"/>
      <x:c r="AH388" s="241"/>
      <x:c r="AI388" s="241"/>
      <x:c r="AJ388" s="241"/>
      <x:c r="AK388" s="220">
        <x:f>+COUNTIF(F388:AJ388,"X")+COUNTIF(F388:AJ388,"E")</x:f>
      </x:c>
      <x:c r="AL388" s="221">
        <x:f>+COUNTIF(F388:AJ388,"R")+COUNTIF(F388:AJ388,"T")+COUNTIF(F388:AJ388,"İ")</x:f>
      </x:c>
      <x:c r="AM388" s="221">
        <x:f>+COUNTIF(F388:AJ388,"İ")</x:f>
      </x:c>
      <x:c r="AN388" s="123"/>
      <x:c r="AO388" s="123"/>
    </x:row>
    <x:row r="389" spans="1:47" ht="15" customHeight="1" x14ac:dyDescent="0.25">
      <x:c r="A389" s="69"/>
      <x:c r="B389" s="216">
        <x:v>384</x:v>
      </x:c>
      <x:c r="C389" s="121"/>
      <x:c r="D389" s="121"/>
      <x:c r="E389" s="121"/>
      <x:c r="F389" s="241"/>
      <x:c r="G389" s="241"/>
      <x:c r="H389" s="241"/>
      <x:c r="I389" s="241"/>
      <x:c r="J389" s="241"/>
      <x:c r="K389" s="241"/>
      <x:c r="L389" s="241"/>
      <x:c r="M389" s="241"/>
      <x:c r="N389" s="241"/>
      <x:c r="O389" s="241"/>
      <x:c r="P389" s="241"/>
      <x:c r="Q389" s="241"/>
      <x:c r="R389" s="241"/>
      <x:c r="S389" s="241"/>
      <x:c r="T389" s="241"/>
      <x:c r="U389" s="241"/>
      <x:c r="V389" s="241"/>
      <x:c r="W389" s="241"/>
      <x:c r="X389" s="241"/>
      <x:c r="Y389" s="241"/>
      <x:c r="Z389" s="241"/>
      <x:c r="AA389" s="241"/>
      <x:c r="AB389" s="241"/>
      <x:c r="AC389" s="241"/>
      <x:c r="AD389" s="241"/>
      <x:c r="AE389" s="241"/>
      <x:c r="AF389" s="241"/>
      <x:c r="AG389" s="241"/>
      <x:c r="AH389" s="241"/>
      <x:c r="AI389" s="241"/>
      <x:c r="AJ389" s="241"/>
      <x:c r="AK389" s="220">
        <x:f>+COUNTIF(F389:AJ389,"X")+COUNTIF(F389:AJ389,"E")</x:f>
      </x:c>
      <x:c r="AL389" s="221">
        <x:f>+COUNTIF(F389:AJ389,"R")+COUNTIF(F389:AJ389,"T")+COUNTIF(F389:AJ389,"İ")</x:f>
      </x:c>
      <x:c r="AM389" s="221">
        <x:f>+COUNTIF(F389:AJ389,"İ")</x:f>
      </x:c>
      <x:c r="AN389" s="123"/>
      <x:c r="AO389" s="123"/>
    </x:row>
    <x:row r="390" spans="1:47" ht="15" customHeight="1" x14ac:dyDescent="0.25">
      <x:c r="A390" s="69"/>
      <x:c r="B390" s="216">
        <x:v>385</x:v>
      </x:c>
      <x:c r="C390" s="121"/>
      <x:c r="D390" s="121"/>
      <x:c r="E390" s="121"/>
      <x:c r="F390" s="241"/>
      <x:c r="G390" s="241"/>
      <x:c r="H390" s="241"/>
      <x:c r="I390" s="241"/>
      <x:c r="J390" s="241"/>
      <x:c r="K390" s="241"/>
      <x:c r="L390" s="241"/>
      <x:c r="M390" s="241"/>
      <x:c r="N390" s="241"/>
      <x:c r="O390" s="241"/>
      <x:c r="P390" s="241"/>
      <x:c r="Q390" s="241"/>
      <x:c r="R390" s="241"/>
      <x:c r="S390" s="241"/>
      <x:c r="T390" s="241"/>
      <x:c r="U390" s="241"/>
      <x:c r="V390" s="241"/>
      <x:c r="W390" s="241"/>
      <x:c r="X390" s="241"/>
      <x:c r="Y390" s="241"/>
      <x:c r="Z390" s="241"/>
      <x:c r="AA390" s="241"/>
      <x:c r="AB390" s="241"/>
      <x:c r="AC390" s="241"/>
      <x:c r="AD390" s="241"/>
      <x:c r="AE390" s="241"/>
      <x:c r="AF390" s="241"/>
      <x:c r="AG390" s="241"/>
      <x:c r="AH390" s="241"/>
      <x:c r="AI390" s="241"/>
      <x:c r="AJ390" s="241"/>
      <x:c r="AK390" s="220">
        <x:f>+COUNTIF(F390:AJ390,"X")+COUNTIF(F390:AJ390,"E")</x:f>
      </x:c>
      <x:c r="AL390" s="221">
        <x:f>+COUNTIF(F390:AJ390,"R")+COUNTIF(F390:AJ390,"T")+COUNTIF(F390:AJ390,"İ")</x:f>
      </x:c>
      <x:c r="AM390" s="221">
        <x:f>+COUNTIF(F390:AJ390,"İ")</x:f>
      </x:c>
      <x:c r="AN390" s="123"/>
      <x:c r="AO390" s="123"/>
    </x:row>
    <x:row r="391" spans="1:47" ht="15" customHeight="1" x14ac:dyDescent="0.25">
      <x:c r="A391" s="69"/>
      <x:c r="B391" s="216">
        <x:v>386</x:v>
      </x:c>
      <x:c r="C391" s="121"/>
      <x:c r="D391" s="121"/>
      <x:c r="E391" s="121"/>
      <x:c r="F391" s="241"/>
      <x:c r="G391" s="241"/>
      <x:c r="H391" s="241"/>
      <x:c r="I391" s="241"/>
      <x:c r="J391" s="241"/>
      <x:c r="K391" s="241"/>
      <x:c r="L391" s="241"/>
      <x:c r="M391" s="241"/>
      <x:c r="N391" s="241"/>
      <x:c r="O391" s="241"/>
      <x:c r="P391" s="241"/>
      <x:c r="Q391" s="241"/>
      <x:c r="R391" s="241"/>
      <x:c r="S391" s="241"/>
      <x:c r="T391" s="241"/>
      <x:c r="U391" s="241"/>
      <x:c r="V391" s="241"/>
      <x:c r="W391" s="241"/>
      <x:c r="X391" s="241"/>
      <x:c r="Y391" s="241"/>
      <x:c r="Z391" s="241"/>
      <x:c r="AA391" s="241"/>
      <x:c r="AB391" s="241"/>
      <x:c r="AC391" s="241"/>
      <x:c r="AD391" s="241"/>
      <x:c r="AE391" s="241"/>
      <x:c r="AF391" s="241"/>
      <x:c r="AG391" s="241"/>
      <x:c r="AH391" s="241"/>
      <x:c r="AI391" s="241"/>
      <x:c r="AJ391" s="241"/>
      <x:c r="AK391" s="220">
        <x:f>+COUNTIF(F391:AJ391,"X")+COUNTIF(F391:AJ391,"E")</x:f>
      </x:c>
      <x:c r="AL391" s="221">
        <x:f>+COUNTIF(F391:AJ391,"R")+COUNTIF(F391:AJ391,"T")+COUNTIF(F391:AJ391,"İ")</x:f>
      </x:c>
      <x:c r="AM391" s="221">
        <x:f>+COUNTIF(F391:AJ391,"İ")</x:f>
      </x:c>
      <x:c r="AN391" s="123"/>
      <x:c r="AO391" s="123"/>
    </x:row>
    <x:row r="392" spans="1:47" ht="15" customHeight="1" x14ac:dyDescent="0.25">
      <x:c r="A392" s="69"/>
      <x:c r="B392" s="216">
        <x:v>387</x:v>
      </x:c>
      <x:c r="C392" s="121"/>
      <x:c r="D392" s="121"/>
      <x:c r="E392" s="121"/>
      <x:c r="F392" s="241"/>
      <x:c r="G392" s="241"/>
      <x:c r="H392" s="241"/>
      <x:c r="I392" s="241"/>
      <x:c r="J392" s="241"/>
      <x:c r="K392" s="241"/>
      <x:c r="L392" s="241"/>
      <x:c r="M392" s="241"/>
      <x:c r="N392" s="241"/>
      <x:c r="O392" s="241"/>
      <x:c r="P392" s="241"/>
      <x:c r="Q392" s="241"/>
      <x:c r="R392" s="241"/>
      <x:c r="S392" s="241"/>
      <x:c r="T392" s="241"/>
      <x:c r="U392" s="241"/>
      <x:c r="V392" s="241"/>
      <x:c r="W392" s="241"/>
      <x:c r="X392" s="241"/>
      <x:c r="Y392" s="241"/>
      <x:c r="Z392" s="241"/>
      <x:c r="AA392" s="241"/>
      <x:c r="AB392" s="241"/>
      <x:c r="AC392" s="241"/>
      <x:c r="AD392" s="241"/>
      <x:c r="AE392" s="241"/>
      <x:c r="AF392" s="241"/>
      <x:c r="AG392" s="241"/>
      <x:c r="AH392" s="241"/>
      <x:c r="AI392" s="241"/>
      <x:c r="AJ392" s="241"/>
      <x:c r="AK392" s="220">
        <x:f>+COUNTIF(F392:AJ392,"X")+COUNTIF(F392:AJ392,"E")</x:f>
      </x:c>
      <x:c r="AL392" s="221">
        <x:f>+COUNTIF(F392:AJ392,"R")+COUNTIF(F392:AJ392,"T")+COUNTIF(F392:AJ392,"İ")</x:f>
      </x:c>
      <x:c r="AM392" s="221">
        <x:f>+COUNTIF(F392:AJ392,"İ")</x:f>
      </x:c>
      <x:c r="AN392" s="123"/>
      <x:c r="AO392" s="123"/>
    </x:row>
    <x:row r="393" spans="1:47" ht="15" customHeight="1" x14ac:dyDescent="0.25">
      <x:c r="A393" s="69"/>
      <x:c r="B393" s="216">
        <x:v>388</x:v>
      </x:c>
      <x:c r="C393" s="121"/>
      <x:c r="D393" s="121"/>
      <x:c r="E393" s="121"/>
      <x:c r="F393" s="241"/>
      <x:c r="G393" s="241"/>
      <x:c r="H393" s="241"/>
      <x:c r="I393" s="241"/>
      <x:c r="J393" s="241"/>
      <x:c r="K393" s="241"/>
      <x:c r="L393" s="241"/>
      <x:c r="M393" s="241"/>
      <x:c r="N393" s="241"/>
      <x:c r="O393" s="241"/>
      <x:c r="P393" s="241"/>
      <x:c r="Q393" s="241"/>
      <x:c r="R393" s="241"/>
      <x:c r="S393" s="241"/>
      <x:c r="T393" s="241"/>
      <x:c r="U393" s="241"/>
      <x:c r="V393" s="241"/>
      <x:c r="W393" s="241"/>
      <x:c r="X393" s="241"/>
      <x:c r="Y393" s="241"/>
      <x:c r="Z393" s="241"/>
      <x:c r="AA393" s="241"/>
      <x:c r="AB393" s="241"/>
      <x:c r="AC393" s="241"/>
      <x:c r="AD393" s="241"/>
      <x:c r="AE393" s="241"/>
      <x:c r="AF393" s="241"/>
      <x:c r="AG393" s="241"/>
      <x:c r="AH393" s="241"/>
      <x:c r="AI393" s="241"/>
      <x:c r="AJ393" s="241"/>
      <x:c r="AK393" s="220">
        <x:f>+COUNTIF(F393:AJ393,"X")+COUNTIF(F393:AJ393,"E")</x:f>
      </x:c>
      <x:c r="AL393" s="221">
        <x:f>+COUNTIF(F393:AJ393,"R")+COUNTIF(F393:AJ393,"T")+COUNTIF(F393:AJ393,"İ")</x:f>
      </x:c>
      <x:c r="AM393" s="221">
        <x:f>+COUNTIF(F393:AJ393,"İ")</x:f>
      </x:c>
      <x:c r="AN393" s="123"/>
      <x:c r="AO393" s="123"/>
    </x:row>
    <x:row r="394" spans="1:47" ht="15" customHeight="1" x14ac:dyDescent="0.25">
      <x:c r="A394" s="69"/>
      <x:c r="B394" s="216">
        <x:v>389</x:v>
      </x:c>
      <x:c r="C394" s="121"/>
      <x:c r="D394" s="121"/>
      <x:c r="E394" s="121"/>
      <x:c r="F394" s="241"/>
      <x:c r="G394" s="241"/>
      <x:c r="H394" s="241"/>
      <x:c r="I394" s="241"/>
      <x:c r="J394" s="241"/>
      <x:c r="K394" s="241"/>
      <x:c r="L394" s="241"/>
      <x:c r="M394" s="241"/>
      <x:c r="N394" s="241"/>
      <x:c r="O394" s="241"/>
      <x:c r="P394" s="241"/>
      <x:c r="Q394" s="241"/>
      <x:c r="R394" s="241"/>
      <x:c r="S394" s="241"/>
      <x:c r="T394" s="241"/>
      <x:c r="U394" s="241"/>
      <x:c r="V394" s="241"/>
      <x:c r="W394" s="241"/>
      <x:c r="X394" s="241"/>
      <x:c r="Y394" s="241"/>
      <x:c r="Z394" s="241"/>
      <x:c r="AA394" s="241"/>
      <x:c r="AB394" s="241"/>
      <x:c r="AC394" s="241"/>
      <x:c r="AD394" s="241"/>
      <x:c r="AE394" s="241"/>
      <x:c r="AF394" s="241"/>
      <x:c r="AG394" s="241"/>
      <x:c r="AH394" s="241"/>
      <x:c r="AI394" s="241"/>
      <x:c r="AJ394" s="241"/>
      <x:c r="AK394" s="220">
        <x:f>+COUNTIF(F394:AJ394,"X")+COUNTIF(F394:AJ394,"E")</x:f>
      </x:c>
      <x:c r="AL394" s="221">
        <x:f>+COUNTIF(F394:AJ394,"R")+COUNTIF(F394:AJ394,"T")+COUNTIF(F394:AJ394,"İ")</x:f>
      </x:c>
      <x:c r="AM394" s="221">
        <x:f>+COUNTIF(F394:AJ394,"İ")</x:f>
      </x:c>
      <x:c r="AN394" s="123"/>
      <x:c r="AO394" s="123"/>
    </x:row>
    <x:row r="395" spans="1:47" ht="15" customHeight="1" x14ac:dyDescent="0.25">
      <x:c r="A395" s="69"/>
      <x:c r="B395" s="216">
        <x:v>390</x:v>
      </x:c>
      <x:c r="C395" s="121"/>
      <x:c r="D395" s="121"/>
      <x:c r="E395" s="121"/>
      <x:c r="F395" s="241"/>
      <x:c r="G395" s="241"/>
      <x:c r="H395" s="241"/>
      <x:c r="I395" s="241"/>
      <x:c r="J395" s="241"/>
      <x:c r="K395" s="241"/>
      <x:c r="L395" s="241"/>
      <x:c r="M395" s="241"/>
      <x:c r="N395" s="241"/>
      <x:c r="O395" s="241"/>
      <x:c r="P395" s="241"/>
      <x:c r="Q395" s="241"/>
      <x:c r="R395" s="241"/>
      <x:c r="S395" s="241"/>
      <x:c r="T395" s="241"/>
      <x:c r="U395" s="241"/>
      <x:c r="V395" s="241"/>
      <x:c r="W395" s="241"/>
      <x:c r="X395" s="241"/>
      <x:c r="Y395" s="241"/>
      <x:c r="Z395" s="241"/>
      <x:c r="AA395" s="241"/>
      <x:c r="AB395" s="241"/>
      <x:c r="AC395" s="241"/>
      <x:c r="AD395" s="241"/>
      <x:c r="AE395" s="241"/>
      <x:c r="AF395" s="241"/>
      <x:c r="AG395" s="241"/>
      <x:c r="AH395" s="241"/>
      <x:c r="AI395" s="241"/>
      <x:c r="AJ395" s="241"/>
      <x:c r="AK395" s="220">
        <x:f>+COUNTIF(F395:AJ395,"X")+COUNTIF(F395:AJ395,"E")</x:f>
      </x:c>
      <x:c r="AL395" s="221">
        <x:f>+COUNTIF(F395:AJ395,"R")+COUNTIF(F395:AJ395,"T")+COUNTIF(F395:AJ395,"İ")</x:f>
      </x:c>
      <x:c r="AM395" s="221">
        <x:f>+COUNTIF(F395:AJ395,"İ")</x:f>
      </x:c>
      <x:c r="AN395" s="123"/>
      <x:c r="AO395" s="123"/>
    </x:row>
    <x:row r="396" spans="1:47" ht="15" customHeight="1" x14ac:dyDescent="0.25">
      <x:c r="A396" s="69"/>
      <x:c r="B396" s="216">
        <x:v>391</x:v>
      </x:c>
      <x:c r="C396" s="121"/>
      <x:c r="D396" s="121"/>
      <x:c r="E396" s="121"/>
      <x:c r="F396" s="241"/>
      <x:c r="G396" s="241"/>
      <x:c r="H396" s="241"/>
      <x:c r="I396" s="241"/>
      <x:c r="J396" s="241"/>
      <x:c r="K396" s="241"/>
      <x:c r="L396" s="241"/>
      <x:c r="M396" s="241"/>
      <x:c r="N396" s="241"/>
      <x:c r="O396" s="241"/>
      <x:c r="P396" s="241"/>
      <x:c r="Q396" s="241"/>
      <x:c r="R396" s="241"/>
      <x:c r="S396" s="241"/>
      <x:c r="T396" s="241"/>
      <x:c r="U396" s="241"/>
      <x:c r="V396" s="241"/>
      <x:c r="W396" s="241"/>
      <x:c r="X396" s="241"/>
      <x:c r="Y396" s="241"/>
      <x:c r="Z396" s="241"/>
      <x:c r="AA396" s="241"/>
      <x:c r="AB396" s="241"/>
      <x:c r="AC396" s="241"/>
      <x:c r="AD396" s="241"/>
      <x:c r="AE396" s="241"/>
      <x:c r="AF396" s="241"/>
      <x:c r="AG396" s="241"/>
      <x:c r="AH396" s="241"/>
      <x:c r="AI396" s="241"/>
      <x:c r="AJ396" s="241"/>
      <x:c r="AK396" s="220">
        <x:f>+COUNTIF(F396:AJ396,"X")+COUNTIF(F396:AJ396,"E")</x:f>
      </x:c>
      <x:c r="AL396" s="221">
        <x:f>+COUNTIF(F396:AJ396,"R")+COUNTIF(F396:AJ396,"T")+COUNTIF(F396:AJ396,"İ")</x:f>
      </x:c>
      <x:c r="AM396" s="221">
        <x:f>+COUNTIF(F396:AJ396,"İ")</x:f>
      </x:c>
      <x:c r="AN396" s="123"/>
      <x:c r="AO396" s="123"/>
    </x:row>
    <x:row r="397" spans="1:47" ht="15" customHeight="1" x14ac:dyDescent="0.25">
      <x:c r="A397" s="69"/>
      <x:c r="B397" s="216">
        <x:v>392</x:v>
      </x:c>
      <x:c r="C397" s="121"/>
      <x:c r="D397" s="121"/>
      <x:c r="E397" s="121"/>
      <x:c r="F397" s="241"/>
      <x:c r="G397" s="241"/>
      <x:c r="H397" s="241"/>
      <x:c r="I397" s="241"/>
      <x:c r="J397" s="241"/>
      <x:c r="K397" s="241"/>
      <x:c r="L397" s="241"/>
      <x:c r="M397" s="241"/>
      <x:c r="N397" s="241"/>
      <x:c r="O397" s="241"/>
      <x:c r="P397" s="241"/>
      <x:c r="Q397" s="241"/>
      <x:c r="R397" s="241"/>
      <x:c r="S397" s="241"/>
      <x:c r="T397" s="241"/>
      <x:c r="U397" s="241"/>
      <x:c r="V397" s="241"/>
      <x:c r="W397" s="241"/>
      <x:c r="X397" s="241"/>
      <x:c r="Y397" s="241"/>
      <x:c r="Z397" s="241"/>
      <x:c r="AA397" s="241"/>
      <x:c r="AB397" s="241"/>
      <x:c r="AC397" s="241"/>
      <x:c r="AD397" s="241"/>
      <x:c r="AE397" s="241"/>
      <x:c r="AF397" s="241"/>
      <x:c r="AG397" s="241"/>
      <x:c r="AH397" s="241"/>
      <x:c r="AI397" s="241"/>
      <x:c r="AJ397" s="241"/>
      <x:c r="AK397" s="220">
        <x:f>+COUNTIF(F397:AJ397,"X")+COUNTIF(F397:AJ397,"E")</x:f>
      </x:c>
      <x:c r="AL397" s="221">
        <x:f>+COUNTIF(F397:AJ397,"R")+COUNTIF(F397:AJ397,"T")+COUNTIF(F397:AJ397,"İ")</x:f>
      </x:c>
      <x:c r="AM397" s="221">
        <x:f>+COUNTIF(F397:AJ397,"İ")</x:f>
      </x:c>
      <x:c r="AN397" s="123"/>
      <x:c r="AO397" s="123"/>
    </x:row>
    <x:row r="398" spans="1:47" ht="15" customHeight="1" x14ac:dyDescent="0.25">
      <x:c r="A398" s="69"/>
      <x:c r="B398" s="216">
        <x:v>393</x:v>
      </x:c>
      <x:c r="C398" s="121"/>
      <x:c r="D398" s="121"/>
      <x:c r="E398" s="121"/>
      <x:c r="F398" s="241"/>
      <x:c r="G398" s="241"/>
      <x:c r="H398" s="241"/>
      <x:c r="I398" s="241"/>
      <x:c r="J398" s="241"/>
      <x:c r="K398" s="241"/>
      <x:c r="L398" s="241"/>
      <x:c r="M398" s="241"/>
      <x:c r="N398" s="241"/>
      <x:c r="O398" s="241"/>
      <x:c r="P398" s="241"/>
      <x:c r="Q398" s="241"/>
      <x:c r="R398" s="241"/>
      <x:c r="S398" s="241"/>
      <x:c r="T398" s="241"/>
      <x:c r="U398" s="241"/>
      <x:c r="V398" s="241"/>
      <x:c r="W398" s="241"/>
      <x:c r="X398" s="241"/>
      <x:c r="Y398" s="241"/>
      <x:c r="Z398" s="241"/>
      <x:c r="AA398" s="241"/>
      <x:c r="AB398" s="241"/>
      <x:c r="AC398" s="241"/>
      <x:c r="AD398" s="241"/>
      <x:c r="AE398" s="241"/>
      <x:c r="AF398" s="241"/>
      <x:c r="AG398" s="241"/>
      <x:c r="AH398" s="241"/>
      <x:c r="AI398" s="241"/>
      <x:c r="AJ398" s="241"/>
      <x:c r="AK398" s="220">
        <x:f>+COUNTIF(F398:AJ398,"X")+COUNTIF(F398:AJ398,"E")</x:f>
      </x:c>
      <x:c r="AL398" s="221">
        <x:f>+COUNTIF(F398:AJ398,"R")+COUNTIF(F398:AJ398,"T")+COUNTIF(F398:AJ398,"İ")</x:f>
      </x:c>
      <x:c r="AM398" s="221">
        <x:f>+COUNTIF(F398:AJ398,"İ")</x:f>
      </x:c>
      <x:c r="AN398" s="123"/>
      <x:c r="AO398" s="123"/>
    </x:row>
    <x:row r="399" spans="1:47" ht="15" customHeight="1" x14ac:dyDescent="0.25">
      <x:c r="A399" s="69"/>
      <x:c r="B399" s="216">
        <x:v>394</x:v>
      </x:c>
      <x:c r="C399" s="121"/>
      <x:c r="D399" s="121"/>
      <x:c r="E399" s="121"/>
      <x:c r="F399" s="241"/>
      <x:c r="G399" s="241"/>
      <x:c r="H399" s="241"/>
      <x:c r="I399" s="241"/>
      <x:c r="J399" s="241"/>
      <x:c r="K399" s="241"/>
      <x:c r="L399" s="241"/>
      <x:c r="M399" s="241"/>
      <x:c r="N399" s="241"/>
      <x:c r="O399" s="241"/>
      <x:c r="P399" s="241"/>
      <x:c r="Q399" s="241"/>
      <x:c r="R399" s="241"/>
      <x:c r="S399" s="241"/>
      <x:c r="T399" s="241"/>
      <x:c r="U399" s="241"/>
      <x:c r="V399" s="241"/>
      <x:c r="W399" s="241"/>
      <x:c r="X399" s="241"/>
      <x:c r="Y399" s="241"/>
      <x:c r="Z399" s="241"/>
      <x:c r="AA399" s="241"/>
      <x:c r="AB399" s="241"/>
      <x:c r="AC399" s="241"/>
      <x:c r="AD399" s="241"/>
      <x:c r="AE399" s="241"/>
      <x:c r="AF399" s="241"/>
      <x:c r="AG399" s="241"/>
      <x:c r="AH399" s="241"/>
      <x:c r="AI399" s="241"/>
      <x:c r="AJ399" s="241"/>
      <x:c r="AK399" s="220">
        <x:f>+COUNTIF(F399:AJ399,"X")+COUNTIF(F399:AJ399,"E")</x:f>
      </x:c>
      <x:c r="AL399" s="221">
        <x:f>+COUNTIF(F399:AJ399,"R")+COUNTIF(F399:AJ399,"T")+COUNTIF(F399:AJ399,"İ")</x:f>
      </x:c>
      <x:c r="AM399" s="221">
        <x:f>+COUNTIF(F399:AJ399,"İ")</x:f>
      </x:c>
      <x:c r="AN399" s="123"/>
      <x:c r="AO399" s="123"/>
    </x:row>
    <x:row r="400" spans="1:47" ht="15" customHeight="1" x14ac:dyDescent="0.25">
      <x:c r="A400" s="69"/>
      <x:c r="B400" s="216">
        <x:v>395</x:v>
      </x:c>
      <x:c r="C400" s="121"/>
      <x:c r="D400" s="121"/>
      <x:c r="E400" s="121"/>
      <x:c r="F400" s="241"/>
      <x:c r="G400" s="241"/>
      <x:c r="H400" s="241"/>
      <x:c r="I400" s="241"/>
      <x:c r="J400" s="241"/>
      <x:c r="K400" s="241"/>
      <x:c r="L400" s="241"/>
      <x:c r="M400" s="241"/>
      <x:c r="N400" s="241"/>
      <x:c r="O400" s="241"/>
      <x:c r="P400" s="241"/>
      <x:c r="Q400" s="241"/>
      <x:c r="R400" s="241"/>
      <x:c r="S400" s="241"/>
      <x:c r="T400" s="241"/>
      <x:c r="U400" s="241"/>
      <x:c r="V400" s="241"/>
      <x:c r="W400" s="241"/>
      <x:c r="X400" s="241"/>
      <x:c r="Y400" s="241"/>
      <x:c r="Z400" s="241"/>
      <x:c r="AA400" s="241"/>
      <x:c r="AB400" s="241"/>
      <x:c r="AC400" s="241"/>
      <x:c r="AD400" s="241"/>
      <x:c r="AE400" s="241"/>
      <x:c r="AF400" s="241"/>
      <x:c r="AG400" s="241"/>
      <x:c r="AH400" s="241"/>
      <x:c r="AI400" s="241"/>
      <x:c r="AJ400" s="241"/>
      <x:c r="AK400" s="220">
        <x:f>+COUNTIF(F400:AJ400,"X")+COUNTIF(F400:AJ400,"E")</x:f>
      </x:c>
      <x:c r="AL400" s="221">
        <x:f>+COUNTIF(F400:AJ400,"R")+COUNTIF(F400:AJ400,"T")+COUNTIF(F400:AJ400,"İ")</x:f>
      </x:c>
      <x:c r="AM400" s="221">
        <x:f>+COUNTIF(F400:AJ400,"İ")</x:f>
      </x:c>
      <x:c r="AN400" s="123"/>
      <x:c r="AO400" s="123"/>
    </x:row>
    <x:row r="401" spans="1:47" ht="15" customHeight="1" x14ac:dyDescent="0.25">
      <x:c r="A401" s="69"/>
      <x:c r="B401" s="216">
        <x:v>396</x:v>
      </x:c>
      <x:c r="C401" s="121"/>
      <x:c r="D401" s="121"/>
      <x:c r="E401" s="121"/>
      <x:c r="F401" s="241"/>
      <x:c r="G401" s="241"/>
      <x:c r="H401" s="241"/>
      <x:c r="I401" s="241"/>
      <x:c r="J401" s="241"/>
      <x:c r="K401" s="241"/>
      <x:c r="L401" s="241"/>
      <x:c r="M401" s="241"/>
      <x:c r="N401" s="241"/>
      <x:c r="O401" s="241"/>
      <x:c r="P401" s="241"/>
      <x:c r="Q401" s="241"/>
      <x:c r="R401" s="241"/>
      <x:c r="S401" s="241"/>
      <x:c r="T401" s="241"/>
      <x:c r="U401" s="241"/>
      <x:c r="V401" s="241"/>
      <x:c r="W401" s="241"/>
      <x:c r="X401" s="241"/>
      <x:c r="Y401" s="241"/>
      <x:c r="Z401" s="241"/>
      <x:c r="AA401" s="241"/>
      <x:c r="AB401" s="241"/>
      <x:c r="AC401" s="241"/>
      <x:c r="AD401" s="241"/>
      <x:c r="AE401" s="241"/>
      <x:c r="AF401" s="241"/>
      <x:c r="AG401" s="241"/>
      <x:c r="AH401" s="241"/>
      <x:c r="AI401" s="241"/>
      <x:c r="AJ401" s="241"/>
      <x:c r="AK401" s="220">
        <x:f>+COUNTIF(F401:AJ401,"X")+COUNTIF(F401:AJ401,"E")</x:f>
      </x:c>
      <x:c r="AL401" s="221">
        <x:f>+COUNTIF(F401:AJ401,"R")+COUNTIF(F401:AJ401,"T")+COUNTIF(F401:AJ401,"İ")</x:f>
      </x:c>
      <x:c r="AM401" s="221">
        <x:f>+COUNTIF(F401:AJ401,"İ")</x:f>
      </x:c>
      <x:c r="AN401" s="123"/>
      <x:c r="AO401" s="123"/>
    </x:row>
    <x:row r="402" spans="1:47" ht="15" customHeight="1" x14ac:dyDescent="0.25">
      <x:c r="A402" s="69"/>
      <x:c r="B402" s="216">
        <x:v>397</x:v>
      </x:c>
      <x:c r="C402" s="121"/>
      <x:c r="D402" s="121"/>
      <x:c r="E402" s="121"/>
      <x:c r="F402" s="241"/>
      <x:c r="G402" s="241"/>
      <x:c r="H402" s="241"/>
      <x:c r="I402" s="241"/>
      <x:c r="J402" s="241"/>
      <x:c r="K402" s="241"/>
      <x:c r="L402" s="241"/>
      <x:c r="M402" s="241"/>
      <x:c r="N402" s="241"/>
      <x:c r="O402" s="241"/>
      <x:c r="P402" s="241"/>
      <x:c r="Q402" s="241"/>
      <x:c r="R402" s="241"/>
      <x:c r="S402" s="241"/>
      <x:c r="T402" s="241"/>
      <x:c r="U402" s="241"/>
      <x:c r="V402" s="241"/>
      <x:c r="W402" s="241"/>
      <x:c r="X402" s="241"/>
      <x:c r="Y402" s="241"/>
      <x:c r="Z402" s="241"/>
      <x:c r="AA402" s="241"/>
      <x:c r="AB402" s="241"/>
      <x:c r="AC402" s="241"/>
      <x:c r="AD402" s="241"/>
      <x:c r="AE402" s="241"/>
      <x:c r="AF402" s="241"/>
      <x:c r="AG402" s="241"/>
      <x:c r="AH402" s="241"/>
      <x:c r="AI402" s="241"/>
      <x:c r="AJ402" s="241"/>
      <x:c r="AK402" s="220">
        <x:f>+COUNTIF(F402:AJ402,"X")+COUNTIF(F402:AJ402,"E")</x:f>
      </x:c>
      <x:c r="AL402" s="221">
        <x:f>+COUNTIF(F402:AJ402,"R")+COUNTIF(F402:AJ402,"T")+COUNTIF(F402:AJ402,"İ")</x:f>
      </x:c>
      <x:c r="AM402" s="221">
        <x:f>+COUNTIF(F402:AJ402,"İ")</x:f>
      </x:c>
      <x:c r="AN402" s="123"/>
      <x:c r="AO402" s="123"/>
    </x:row>
    <x:row r="403" spans="1:47" ht="15" customHeight="1" x14ac:dyDescent="0.25">
      <x:c r="A403" s="69"/>
      <x:c r="B403" s="216">
        <x:v>398</x:v>
      </x:c>
      <x:c r="C403" s="121"/>
      <x:c r="D403" s="121"/>
      <x:c r="E403" s="121"/>
      <x:c r="F403" s="241"/>
      <x:c r="G403" s="241"/>
      <x:c r="H403" s="241"/>
      <x:c r="I403" s="241"/>
      <x:c r="J403" s="241"/>
      <x:c r="K403" s="241"/>
      <x:c r="L403" s="241"/>
      <x:c r="M403" s="241"/>
      <x:c r="N403" s="241"/>
      <x:c r="O403" s="241"/>
      <x:c r="P403" s="241"/>
      <x:c r="Q403" s="241"/>
      <x:c r="R403" s="241"/>
      <x:c r="S403" s="241"/>
      <x:c r="T403" s="241"/>
      <x:c r="U403" s="241"/>
      <x:c r="V403" s="241"/>
      <x:c r="W403" s="241"/>
      <x:c r="X403" s="241"/>
      <x:c r="Y403" s="241"/>
      <x:c r="Z403" s="241"/>
      <x:c r="AA403" s="241"/>
      <x:c r="AB403" s="241"/>
      <x:c r="AC403" s="241"/>
      <x:c r="AD403" s="241"/>
      <x:c r="AE403" s="241"/>
      <x:c r="AF403" s="241"/>
      <x:c r="AG403" s="241"/>
      <x:c r="AH403" s="241"/>
      <x:c r="AI403" s="241"/>
      <x:c r="AJ403" s="241"/>
      <x:c r="AK403" s="220">
        <x:f>+COUNTIF(F403:AJ403,"X")+COUNTIF(F403:AJ403,"E")</x:f>
      </x:c>
      <x:c r="AL403" s="221">
        <x:f>+COUNTIF(F403:AJ403,"R")+COUNTIF(F403:AJ403,"T")+COUNTIF(F403:AJ403,"İ")</x:f>
      </x:c>
      <x:c r="AM403" s="221">
        <x:f>+COUNTIF(F403:AJ403,"İ")</x:f>
      </x:c>
      <x:c r="AN403" s="123"/>
      <x:c r="AO403" s="123"/>
    </x:row>
    <x:row r="404" spans="1:47" ht="15" customHeight="1" x14ac:dyDescent="0.25">
      <x:c r="A404" s="69"/>
      <x:c r="B404" s="216">
        <x:v>399</x:v>
      </x:c>
      <x:c r="C404" s="121"/>
      <x:c r="D404" s="121"/>
      <x:c r="E404" s="121"/>
      <x:c r="F404" s="241"/>
      <x:c r="G404" s="241"/>
      <x:c r="H404" s="241"/>
      <x:c r="I404" s="241"/>
      <x:c r="J404" s="241"/>
      <x:c r="K404" s="241"/>
      <x:c r="L404" s="241"/>
      <x:c r="M404" s="241"/>
      <x:c r="N404" s="241"/>
      <x:c r="O404" s="241"/>
      <x:c r="P404" s="241"/>
      <x:c r="Q404" s="241"/>
      <x:c r="R404" s="241"/>
      <x:c r="S404" s="241"/>
      <x:c r="T404" s="241"/>
      <x:c r="U404" s="241"/>
      <x:c r="V404" s="241"/>
      <x:c r="W404" s="241"/>
      <x:c r="X404" s="241"/>
      <x:c r="Y404" s="241"/>
      <x:c r="Z404" s="241"/>
      <x:c r="AA404" s="241"/>
      <x:c r="AB404" s="241"/>
      <x:c r="AC404" s="241"/>
      <x:c r="AD404" s="241"/>
      <x:c r="AE404" s="241"/>
      <x:c r="AF404" s="241"/>
      <x:c r="AG404" s="241"/>
      <x:c r="AH404" s="241"/>
      <x:c r="AI404" s="241"/>
      <x:c r="AJ404" s="241"/>
      <x:c r="AK404" s="220">
        <x:f>+COUNTIF(F404:AJ404,"X")+COUNTIF(F404:AJ404,"E")</x:f>
      </x:c>
      <x:c r="AL404" s="221">
        <x:f>+COUNTIF(F404:AJ404,"R")+COUNTIF(F404:AJ404,"T")+COUNTIF(F404:AJ404,"İ")</x:f>
      </x:c>
      <x:c r="AM404" s="221">
        <x:f>+COUNTIF(F404:AJ404,"İ")</x:f>
      </x:c>
      <x:c r="AN404" s="123"/>
      <x:c r="AO404" s="123"/>
    </x:row>
    <x:row r="405" spans="1:47" ht="15" customHeight="1" x14ac:dyDescent="0.25">
      <x:c r="A405" s="69"/>
      <x:c r="B405" s="216">
        <x:v>400</x:v>
      </x:c>
      <x:c r="C405" s="121"/>
      <x:c r="D405" s="121"/>
      <x:c r="E405" s="121"/>
      <x:c r="F405" s="241"/>
      <x:c r="G405" s="241"/>
      <x:c r="H405" s="241"/>
      <x:c r="I405" s="241"/>
      <x:c r="J405" s="241"/>
      <x:c r="K405" s="241"/>
      <x:c r="L405" s="241"/>
      <x:c r="M405" s="241"/>
      <x:c r="N405" s="241"/>
      <x:c r="O405" s="241"/>
      <x:c r="P405" s="241"/>
      <x:c r="Q405" s="241"/>
      <x:c r="R405" s="241"/>
      <x:c r="S405" s="241"/>
      <x:c r="T405" s="241"/>
      <x:c r="U405" s="241"/>
      <x:c r="V405" s="241"/>
      <x:c r="W405" s="241"/>
      <x:c r="X405" s="241"/>
      <x:c r="Y405" s="241"/>
      <x:c r="Z405" s="241"/>
      <x:c r="AA405" s="241"/>
      <x:c r="AB405" s="241"/>
      <x:c r="AC405" s="241"/>
      <x:c r="AD405" s="241"/>
      <x:c r="AE405" s="241"/>
      <x:c r="AF405" s="241"/>
      <x:c r="AG405" s="241"/>
      <x:c r="AH405" s="241"/>
      <x:c r="AI405" s="241"/>
      <x:c r="AJ405" s="241"/>
      <x:c r="AK405" s="220">
        <x:f>+COUNTIF(F405:AJ405,"X")+COUNTIF(F405:AJ405,"E")</x:f>
      </x:c>
      <x:c r="AL405" s="221">
        <x:f>+COUNTIF(F405:AJ405,"R")+COUNTIF(F405:AJ405,"T")+COUNTIF(F405:AJ405,"İ")</x:f>
      </x:c>
      <x:c r="AM405" s="221">
        <x:f>+COUNTIF(F405:AJ405,"İ")</x:f>
      </x:c>
      <x:c r="AN405" s="123"/>
      <x:c r="AO405" s="123"/>
    </x:row>
    <x:row r="406" spans="1:47" ht="15" customHeight="1" x14ac:dyDescent="0.25">
      <x:c r="A406" s="69"/>
      <x:c r="B406" s="216">
        <x:v>401</x:v>
      </x:c>
      <x:c r="C406" s="121"/>
      <x:c r="D406" s="121"/>
      <x:c r="E406" s="121"/>
      <x:c r="F406" s="121"/>
      <x:c r="G406" s="121"/>
      <x:c r="H406" s="121"/>
      <x:c r="I406" s="121"/>
      <x:c r="J406" s="121"/>
      <x:c r="K406" s="121"/>
      <x:c r="L406" s="121"/>
      <x:c r="M406" s="121"/>
      <x:c r="N406" s="121"/>
      <x:c r="O406" s="121"/>
      <x:c r="P406" s="121"/>
      <x:c r="Q406" s="121"/>
      <x:c r="R406" s="121"/>
      <x:c r="S406" s="121"/>
      <x:c r="T406" s="121"/>
      <x:c r="U406" s="121"/>
      <x:c r="V406" s="121"/>
      <x:c r="W406" s="121"/>
      <x:c r="X406" s="121"/>
      <x:c r="Y406" s="121"/>
      <x:c r="Z406" s="121"/>
      <x:c r="AA406" s="121"/>
      <x:c r="AB406" s="121"/>
      <x:c r="AC406" s="121"/>
      <x:c r="AD406" s="121"/>
      <x:c r="AE406" s="121"/>
      <x:c r="AF406" s="121"/>
      <x:c r="AG406" s="121"/>
      <x:c r="AH406" s="121"/>
      <x:c r="AI406" s="121"/>
      <x:c r="AJ406" s="121"/>
      <x:c r="AK406" s="220">
        <x:f>+COUNTIF(F406:AJ406,"X")+COUNTIF(F406:AJ406,"E")</x:f>
      </x:c>
      <x:c r="AL406" s="221">
        <x:f>+COUNTIF(F406:AJ406,"R")+COUNTIF(F406:AJ406,"T")+COUNTIF(F406:AJ406,"İ")</x:f>
      </x:c>
      <x:c r="AM406" s="221">
        <x:f>+COUNTIF(F406:AJ406,"İ")</x:f>
      </x:c>
      <x:c r="AN406" s="121"/>
      <x:c r="AO406" s="121"/>
    </x:row>
    <x:row r="407" spans="1:47" ht="15" customHeight="1" x14ac:dyDescent="0.25">
      <x:c r="A407" s="69"/>
      <x:c r="B407" s="216">
        <x:v>402</x:v>
      </x:c>
      <x:c r="C407" s="121"/>
      <x:c r="D407" s="121"/>
      <x:c r="E407" s="121"/>
      <x:c r="F407" s="121"/>
      <x:c r="G407" s="121"/>
      <x:c r="H407" s="121"/>
      <x:c r="I407" s="121"/>
      <x:c r="J407" s="121"/>
      <x:c r="K407" s="121"/>
      <x:c r="L407" s="121"/>
      <x:c r="M407" s="121"/>
      <x:c r="N407" s="121"/>
      <x:c r="O407" s="121"/>
      <x:c r="P407" s="121"/>
      <x:c r="Q407" s="121"/>
      <x:c r="R407" s="121"/>
      <x:c r="S407" s="121"/>
      <x:c r="T407" s="121"/>
      <x:c r="U407" s="121"/>
      <x:c r="V407" s="121"/>
      <x:c r="W407" s="121"/>
      <x:c r="X407" s="121"/>
      <x:c r="Y407" s="121"/>
      <x:c r="Z407" s="121"/>
      <x:c r="AA407" s="121"/>
      <x:c r="AB407" s="121"/>
      <x:c r="AC407" s="121"/>
      <x:c r="AD407" s="121"/>
      <x:c r="AE407" s="121"/>
      <x:c r="AF407" s="121"/>
      <x:c r="AG407" s="121"/>
      <x:c r="AH407" s="121"/>
      <x:c r="AI407" s="121"/>
      <x:c r="AJ407" s="121"/>
      <x:c r="AK407" s="220">
        <x:f>+COUNTIF(F407:AJ407,"X")+COUNTIF(F407:AJ407,"E")</x:f>
      </x:c>
      <x:c r="AL407" s="221">
        <x:f>+COUNTIF(F407:AJ407,"R")+COUNTIF(F407:AJ407,"T")+COUNTIF(F407:AJ407,"İ")</x:f>
      </x:c>
      <x:c r="AM407" s="221">
        <x:f>+COUNTIF(F407:AJ407,"İ")</x:f>
      </x:c>
      <x:c r="AN407" s="121"/>
      <x:c r="AO407" s="121"/>
    </x:row>
    <x:row r="408" spans="1:47" ht="15" customHeight="1" x14ac:dyDescent="0.25">
      <x:c r="A408" s="69"/>
      <x:c r="B408" s="216">
        <x:v>403</x:v>
      </x:c>
      <x:c r="C408" s="121"/>
      <x:c r="D408" s="121"/>
      <x:c r="E408" s="121"/>
      <x:c r="F408" s="121"/>
      <x:c r="G408" s="121"/>
      <x:c r="H408" s="121"/>
      <x:c r="I408" s="121"/>
      <x:c r="J408" s="121"/>
      <x:c r="K408" s="121"/>
      <x:c r="L408" s="121"/>
      <x:c r="M408" s="121"/>
      <x:c r="N408" s="121"/>
      <x:c r="O408" s="121"/>
      <x:c r="P408" s="121"/>
      <x:c r="Q408" s="121"/>
      <x:c r="R408" s="121"/>
      <x:c r="S408" s="121"/>
      <x:c r="T408" s="121"/>
      <x:c r="U408" s="121"/>
      <x:c r="V408" s="121"/>
      <x:c r="W408" s="121"/>
      <x:c r="X408" s="121"/>
      <x:c r="Y408" s="121"/>
      <x:c r="Z408" s="121"/>
      <x:c r="AA408" s="121"/>
      <x:c r="AB408" s="121"/>
      <x:c r="AC408" s="121"/>
      <x:c r="AD408" s="121"/>
      <x:c r="AE408" s="121"/>
      <x:c r="AF408" s="121"/>
      <x:c r="AG408" s="121"/>
      <x:c r="AH408" s="121"/>
      <x:c r="AI408" s="121"/>
      <x:c r="AJ408" s="121"/>
      <x:c r="AK408" s="220">
        <x:f>+COUNTIF(F408:AJ408,"X")+COUNTIF(F408:AJ408,"E")</x:f>
      </x:c>
      <x:c r="AL408" s="221">
        <x:f>+COUNTIF(F408:AJ408,"R")+COUNTIF(F408:AJ408,"T")+COUNTIF(F408:AJ408,"İ")</x:f>
      </x:c>
      <x:c r="AM408" s="221">
        <x:f>+COUNTIF(F408:AJ408,"İ")</x:f>
      </x:c>
      <x:c r="AN408" s="121"/>
      <x:c r="AO408" s="121"/>
    </x:row>
    <x:row r="409" spans="1:47" ht="15" customHeight="1" x14ac:dyDescent="0.25">
      <x:c r="A409" s="69"/>
      <x:c r="B409" s="216">
        <x:v>404</x:v>
      </x:c>
      <x:c r="C409" s="121"/>
      <x:c r="D409" s="121"/>
      <x:c r="E409" s="121"/>
      <x:c r="F409" s="121"/>
      <x:c r="G409" s="121"/>
      <x:c r="H409" s="121"/>
      <x:c r="I409" s="121"/>
      <x:c r="J409" s="121"/>
      <x:c r="K409" s="121"/>
      <x:c r="L409" s="121"/>
      <x:c r="M409" s="121"/>
      <x:c r="N409" s="121"/>
      <x:c r="O409" s="121"/>
      <x:c r="P409" s="121"/>
      <x:c r="Q409" s="121"/>
      <x:c r="R409" s="121"/>
      <x:c r="S409" s="121"/>
      <x:c r="T409" s="121"/>
      <x:c r="U409" s="121"/>
      <x:c r="V409" s="121"/>
      <x:c r="W409" s="121"/>
      <x:c r="X409" s="121"/>
      <x:c r="Y409" s="121"/>
      <x:c r="Z409" s="121"/>
      <x:c r="AA409" s="121"/>
      <x:c r="AB409" s="121"/>
      <x:c r="AC409" s="121"/>
      <x:c r="AD409" s="121"/>
      <x:c r="AE409" s="121"/>
      <x:c r="AF409" s="121"/>
      <x:c r="AG409" s="121"/>
      <x:c r="AH409" s="121"/>
      <x:c r="AI409" s="121"/>
      <x:c r="AJ409" s="121"/>
      <x:c r="AK409" s="220">
        <x:f>+COUNTIF(F409:AJ409,"X")+COUNTIF(F409:AJ409,"E")</x:f>
      </x:c>
      <x:c r="AL409" s="221">
        <x:f>+COUNTIF(F409:AJ409,"R")+COUNTIF(F409:AJ409,"T")+COUNTIF(F409:AJ409,"İ")</x:f>
      </x:c>
      <x:c r="AM409" s="221">
        <x:f>+COUNTIF(F409:AJ409,"İ")</x:f>
      </x:c>
      <x:c r="AN409" s="121"/>
      <x:c r="AO409" s="121"/>
    </x:row>
    <x:row r="410" spans="1:47" ht="15" customHeight="1" x14ac:dyDescent="0.25">
      <x:c r="A410" s="69"/>
      <x:c r="B410" s="216">
        <x:v>405</x:v>
      </x:c>
      <x:c r="C410" s="121"/>
      <x:c r="D410" s="121"/>
      <x:c r="E410" s="121"/>
      <x:c r="F410" s="121"/>
      <x:c r="G410" s="121"/>
      <x:c r="H410" s="121"/>
      <x:c r="I410" s="121"/>
      <x:c r="J410" s="121"/>
      <x:c r="K410" s="121"/>
      <x:c r="L410" s="121"/>
      <x:c r="M410" s="121"/>
      <x:c r="N410" s="121"/>
      <x:c r="O410" s="121"/>
      <x:c r="P410" s="121"/>
      <x:c r="Q410" s="121"/>
      <x:c r="R410" s="121"/>
      <x:c r="S410" s="121"/>
      <x:c r="T410" s="121"/>
      <x:c r="U410" s="121"/>
      <x:c r="V410" s="121"/>
      <x:c r="W410" s="121"/>
      <x:c r="X410" s="121"/>
      <x:c r="Y410" s="121"/>
      <x:c r="Z410" s="121"/>
      <x:c r="AA410" s="121"/>
      <x:c r="AB410" s="121"/>
      <x:c r="AC410" s="121"/>
      <x:c r="AD410" s="121"/>
      <x:c r="AE410" s="121"/>
      <x:c r="AF410" s="121"/>
      <x:c r="AG410" s="121"/>
      <x:c r="AH410" s="121"/>
      <x:c r="AI410" s="121"/>
      <x:c r="AJ410" s="121"/>
      <x:c r="AK410" s="220">
        <x:f>+COUNTIF(F410:AJ410,"X")+COUNTIF(F410:AJ410,"E")</x:f>
      </x:c>
      <x:c r="AL410" s="221">
        <x:f>+COUNTIF(F410:AJ410,"R")+COUNTIF(F410:AJ410,"T")+COUNTIF(F410:AJ410,"İ")</x:f>
      </x:c>
      <x:c r="AM410" s="221">
        <x:f>+COUNTIF(F410:AJ410,"İ")</x:f>
      </x:c>
      <x:c r="AN410" s="121"/>
      <x:c r="AO410" s="121"/>
    </x:row>
    <x:row r="411" spans="1:47" ht="15" customHeight="1" x14ac:dyDescent="0.25">
      <x:c r="A411" s="69"/>
      <x:c r="B411" s="216">
        <x:v>406</x:v>
      </x:c>
      <x:c r="C411" s="121"/>
      <x:c r="D411" s="121"/>
      <x:c r="E411" s="121"/>
      <x:c r="F411" s="121"/>
      <x:c r="G411" s="121"/>
      <x:c r="H411" s="121"/>
      <x:c r="I411" s="121"/>
      <x:c r="J411" s="121"/>
      <x:c r="K411" s="121"/>
      <x:c r="L411" s="121"/>
      <x:c r="M411" s="121"/>
      <x:c r="N411" s="121"/>
      <x:c r="O411" s="121"/>
      <x:c r="P411" s="121"/>
      <x:c r="Q411" s="121"/>
      <x:c r="R411" s="121"/>
      <x:c r="S411" s="121"/>
      <x:c r="T411" s="121"/>
      <x:c r="U411" s="121"/>
      <x:c r="V411" s="121"/>
      <x:c r="W411" s="121"/>
      <x:c r="X411" s="121"/>
      <x:c r="Y411" s="121"/>
      <x:c r="Z411" s="121"/>
      <x:c r="AA411" s="121"/>
      <x:c r="AB411" s="121"/>
      <x:c r="AC411" s="121"/>
      <x:c r="AD411" s="121"/>
      <x:c r="AE411" s="121"/>
      <x:c r="AF411" s="121"/>
      <x:c r="AG411" s="121"/>
      <x:c r="AH411" s="121"/>
      <x:c r="AI411" s="121"/>
      <x:c r="AJ411" s="121"/>
      <x:c r="AK411" s="220">
        <x:f>+COUNTIF(F411:AJ411,"X")+COUNTIF(F411:AJ411,"E")</x:f>
      </x:c>
      <x:c r="AL411" s="221">
        <x:f>+COUNTIF(F411:AJ411,"R")+COUNTIF(F411:AJ411,"T")+COUNTIF(F411:AJ411,"İ")</x:f>
      </x:c>
      <x:c r="AM411" s="221">
        <x:f>+COUNTIF(F411:AJ411,"İ")</x:f>
      </x:c>
      <x:c r="AN411" s="121"/>
      <x:c r="AO411" s="121"/>
    </x:row>
    <x:row r="412" spans="1:47" ht="15" customHeight="1" x14ac:dyDescent="0.25">
      <x:c r="A412" s="69"/>
      <x:c r="B412" s="216">
        <x:v>407</x:v>
      </x:c>
      <x:c r="C412" s="121"/>
      <x:c r="D412" s="121"/>
      <x:c r="E412" s="121"/>
      <x:c r="F412" s="121"/>
      <x:c r="G412" s="121"/>
      <x:c r="H412" s="121"/>
      <x:c r="I412" s="121"/>
      <x:c r="J412" s="121"/>
      <x:c r="K412" s="121"/>
      <x:c r="L412" s="121"/>
      <x:c r="M412" s="121"/>
      <x:c r="N412" s="121"/>
      <x:c r="O412" s="121"/>
      <x:c r="P412" s="121"/>
      <x:c r="Q412" s="121"/>
      <x:c r="R412" s="121"/>
      <x:c r="S412" s="121"/>
      <x:c r="T412" s="121"/>
      <x:c r="U412" s="121"/>
      <x:c r="V412" s="121"/>
      <x:c r="W412" s="121"/>
      <x:c r="X412" s="121"/>
      <x:c r="Y412" s="121"/>
      <x:c r="Z412" s="121"/>
      <x:c r="AA412" s="121"/>
      <x:c r="AB412" s="121"/>
      <x:c r="AC412" s="121"/>
      <x:c r="AD412" s="121"/>
      <x:c r="AE412" s="121"/>
      <x:c r="AF412" s="121"/>
      <x:c r="AG412" s="121"/>
      <x:c r="AH412" s="121"/>
      <x:c r="AI412" s="121"/>
      <x:c r="AJ412" s="121"/>
      <x:c r="AK412" s="220">
        <x:f>+COUNTIF(F412:AJ412,"X")+COUNTIF(F412:AJ412,"E")</x:f>
      </x:c>
      <x:c r="AL412" s="221">
        <x:f>+COUNTIF(F412:AJ412,"R")+COUNTIF(F412:AJ412,"T")+COUNTIF(F412:AJ412,"İ")</x:f>
      </x:c>
      <x:c r="AM412" s="221">
        <x:f>+COUNTIF(F412:AJ412,"İ")</x:f>
      </x:c>
      <x:c r="AN412" s="121"/>
      <x:c r="AO412" s="121"/>
    </x:row>
    <x:row r="413" spans="1:47" ht="15" customHeight="1" x14ac:dyDescent="0.25">
      <x:c r="A413" s="69"/>
      <x:c r="B413" s="216">
        <x:v>408</x:v>
      </x:c>
      <x:c r="C413" s="121"/>
      <x:c r="D413" s="121"/>
      <x:c r="E413" s="121"/>
      <x:c r="F413" s="121"/>
      <x:c r="G413" s="121"/>
      <x:c r="H413" s="121"/>
      <x:c r="I413" s="121"/>
      <x:c r="J413" s="121"/>
      <x:c r="K413" s="121"/>
      <x:c r="L413" s="121"/>
      <x:c r="M413" s="121"/>
      <x:c r="N413" s="121"/>
      <x:c r="O413" s="121"/>
      <x:c r="P413" s="121"/>
      <x:c r="Q413" s="121"/>
      <x:c r="R413" s="121"/>
      <x:c r="S413" s="121"/>
      <x:c r="T413" s="121"/>
      <x:c r="U413" s="121"/>
      <x:c r="V413" s="121"/>
      <x:c r="W413" s="121"/>
      <x:c r="X413" s="121"/>
      <x:c r="Y413" s="121"/>
      <x:c r="Z413" s="121"/>
      <x:c r="AA413" s="121"/>
      <x:c r="AB413" s="121"/>
      <x:c r="AC413" s="121"/>
      <x:c r="AD413" s="121"/>
      <x:c r="AE413" s="121"/>
      <x:c r="AF413" s="121"/>
      <x:c r="AG413" s="121"/>
      <x:c r="AH413" s="121"/>
      <x:c r="AI413" s="121"/>
      <x:c r="AJ413" s="121"/>
      <x:c r="AK413" s="220">
        <x:f>+COUNTIF(F413:AJ413,"X")+COUNTIF(F413:AJ413,"E")</x:f>
      </x:c>
      <x:c r="AL413" s="221">
        <x:f>+COUNTIF(F413:AJ413,"R")+COUNTIF(F413:AJ413,"T")+COUNTIF(F413:AJ413,"İ")</x:f>
      </x:c>
      <x:c r="AM413" s="221">
        <x:f>+COUNTIF(F413:AJ413,"İ")</x:f>
      </x:c>
      <x:c r="AN413" s="121"/>
      <x:c r="AO413" s="121"/>
    </x:row>
    <x:row r="414" spans="1:47" ht="15" customHeight="1" x14ac:dyDescent="0.25">
      <x:c r="A414" s="69"/>
      <x:c r="B414" s="216">
        <x:v>409</x:v>
      </x:c>
      <x:c r="C414" s="121"/>
      <x:c r="D414" s="121"/>
      <x:c r="E414" s="121"/>
      <x:c r="F414" s="121"/>
      <x:c r="G414" s="121"/>
      <x:c r="H414" s="121"/>
      <x:c r="I414" s="121"/>
      <x:c r="J414" s="121"/>
      <x:c r="K414" s="121"/>
      <x:c r="L414" s="121"/>
      <x:c r="M414" s="121"/>
      <x:c r="N414" s="121"/>
      <x:c r="O414" s="121"/>
      <x:c r="P414" s="121"/>
      <x:c r="Q414" s="121"/>
      <x:c r="R414" s="121"/>
      <x:c r="S414" s="121"/>
      <x:c r="T414" s="121"/>
      <x:c r="U414" s="121"/>
      <x:c r="V414" s="121"/>
      <x:c r="W414" s="121"/>
      <x:c r="X414" s="121"/>
      <x:c r="Y414" s="121"/>
      <x:c r="Z414" s="121"/>
      <x:c r="AA414" s="121"/>
      <x:c r="AB414" s="121"/>
      <x:c r="AC414" s="121"/>
      <x:c r="AD414" s="121"/>
      <x:c r="AE414" s="121"/>
      <x:c r="AF414" s="121"/>
      <x:c r="AG414" s="121"/>
      <x:c r="AH414" s="121"/>
      <x:c r="AI414" s="121"/>
      <x:c r="AJ414" s="121"/>
      <x:c r="AK414" s="220">
        <x:f>+COUNTIF(F414:AJ414,"X")+COUNTIF(F414:AJ414,"E")</x:f>
      </x:c>
      <x:c r="AL414" s="221">
        <x:f>+COUNTIF(F414:AJ414,"R")+COUNTIF(F414:AJ414,"T")+COUNTIF(F414:AJ414,"İ")</x:f>
      </x:c>
      <x:c r="AM414" s="221">
        <x:f>+COUNTIF(F414:AJ414,"İ")</x:f>
      </x:c>
      <x:c r="AN414" s="121"/>
      <x:c r="AO414" s="121"/>
    </x:row>
    <x:row r="415" spans="1:47" ht="15" customHeight="1" x14ac:dyDescent="0.25">
      <x:c r="A415" s="69"/>
      <x:c r="B415" s="216">
        <x:v>410</x:v>
      </x:c>
      <x:c r="C415" s="121"/>
      <x:c r="D415" s="121"/>
      <x:c r="E415" s="121"/>
      <x:c r="F415" s="121"/>
      <x:c r="G415" s="121"/>
      <x:c r="H415" s="121"/>
      <x:c r="I415" s="121"/>
      <x:c r="J415" s="121"/>
      <x:c r="K415" s="121"/>
      <x:c r="L415" s="121"/>
      <x:c r="M415" s="121"/>
      <x:c r="N415" s="121"/>
      <x:c r="O415" s="121"/>
      <x:c r="P415" s="121"/>
      <x:c r="Q415" s="121"/>
      <x:c r="R415" s="121"/>
      <x:c r="S415" s="121"/>
      <x:c r="T415" s="121"/>
      <x:c r="U415" s="121"/>
      <x:c r="V415" s="121"/>
      <x:c r="W415" s="121"/>
      <x:c r="X415" s="121"/>
      <x:c r="Y415" s="121"/>
      <x:c r="Z415" s="121"/>
      <x:c r="AA415" s="121"/>
      <x:c r="AB415" s="121"/>
      <x:c r="AC415" s="121"/>
      <x:c r="AD415" s="121"/>
      <x:c r="AE415" s="121"/>
      <x:c r="AF415" s="121"/>
      <x:c r="AG415" s="121"/>
      <x:c r="AH415" s="121"/>
      <x:c r="AI415" s="121"/>
      <x:c r="AJ415" s="121"/>
      <x:c r="AK415" s="220">
        <x:f>+COUNTIF(F415:AJ415,"X")+COUNTIF(F415:AJ415,"E")</x:f>
      </x:c>
      <x:c r="AL415" s="221">
        <x:f>+COUNTIF(F415:AJ415,"R")+COUNTIF(F415:AJ415,"T")+COUNTIF(F415:AJ415,"İ")</x:f>
      </x:c>
      <x:c r="AM415" s="221">
        <x:f>+COUNTIF(F415:AJ415,"İ")</x:f>
      </x:c>
      <x:c r="AN415" s="121"/>
      <x:c r="AO415" s="121"/>
    </x:row>
    <x:row r="416" spans="1:47" ht="15" customHeight="1" x14ac:dyDescent="0.25">
      <x:c r="A416" s="69"/>
      <x:c r="B416" s="216">
        <x:v>411</x:v>
      </x:c>
      <x:c r="C416" s="121"/>
      <x:c r="D416" s="121"/>
      <x:c r="E416" s="121"/>
      <x:c r="F416" s="121"/>
      <x:c r="G416" s="121"/>
      <x:c r="H416" s="121"/>
      <x:c r="I416" s="121"/>
      <x:c r="J416" s="121"/>
      <x:c r="K416" s="121"/>
      <x:c r="L416" s="121"/>
      <x:c r="M416" s="121"/>
      <x:c r="N416" s="121"/>
      <x:c r="O416" s="121"/>
      <x:c r="P416" s="121"/>
      <x:c r="Q416" s="121"/>
      <x:c r="R416" s="121"/>
      <x:c r="S416" s="121"/>
      <x:c r="T416" s="121"/>
      <x:c r="U416" s="121"/>
      <x:c r="V416" s="121"/>
      <x:c r="W416" s="121"/>
      <x:c r="X416" s="121"/>
      <x:c r="Y416" s="121"/>
      <x:c r="Z416" s="121"/>
      <x:c r="AA416" s="121"/>
      <x:c r="AB416" s="121"/>
      <x:c r="AC416" s="121"/>
      <x:c r="AD416" s="121"/>
      <x:c r="AE416" s="121"/>
      <x:c r="AF416" s="121"/>
      <x:c r="AG416" s="121"/>
      <x:c r="AH416" s="121"/>
      <x:c r="AI416" s="121"/>
      <x:c r="AJ416" s="121"/>
      <x:c r="AK416" s="220">
        <x:f>+COUNTIF(F416:AJ416,"X")+COUNTIF(F416:AJ416,"E")</x:f>
      </x:c>
      <x:c r="AL416" s="221">
        <x:f>+COUNTIF(F416:AJ416,"R")+COUNTIF(F416:AJ416,"T")+COUNTIF(F416:AJ416,"İ")</x:f>
      </x:c>
      <x:c r="AM416" s="221">
        <x:f>+COUNTIF(F416:AJ416,"İ")</x:f>
      </x:c>
      <x:c r="AN416" s="121"/>
      <x:c r="AO416" s="121"/>
    </x:row>
    <x:row r="417" spans="1:47" ht="15" customHeight="1" x14ac:dyDescent="0.25">
      <x:c r="A417" s="69"/>
      <x:c r="B417" s="216">
        <x:v>412</x:v>
      </x:c>
      <x:c r="C417" s="121"/>
      <x:c r="D417" s="121"/>
      <x:c r="E417" s="121"/>
      <x:c r="F417" s="121"/>
      <x:c r="G417" s="121"/>
      <x:c r="H417" s="121"/>
      <x:c r="I417" s="121"/>
      <x:c r="J417" s="121"/>
      <x:c r="K417" s="121"/>
      <x:c r="L417" s="121"/>
      <x:c r="M417" s="121"/>
      <x:c r="N417" s="121"/>
      <x:c r="O417" s="121"/>
      <x:c r="P417" s="121"/>
      <x:c r="Q417" s="121"/>
      <x:c r="R417" s="121"/>
      <x:c r="S417" s="121"/>
      <x:c r="T417" s="121"/>
      <x:c r="U417" s="121"/>
      <x:c r="V417" s="121"/>
      <x:c r="W417" s="121"/>
      <x:c r="X417" s="121"/>
      <x:c r="Y417" s="121"/>
      <x:c r="Z417" s="121"/>
      <x:c r="AA417" s="121"/>
      <x:c r="AB417" s="121"/>
      <x:c r="AC417" s="121"/>
      <x:c r="AD417" s="121"/>
      <x:c r="AE417" s="121"/>
      <x:c r="AF417" s="121"/>
      <x:c r="AG417" s="121"/>
      <x:c r="AH417" s="121"/>
      <x:c r="AI417" s="121"/>
      <x:c r="AJ417" s="121"/>
      <x:c r="AK417" s="220">
        <x:f>+COUNTIF(F417:AJ417,"X")+COUNTIF(F417:AJ417,"E")</x:f>
      </x:c>
      <x:c r="AL417" s="221">
        <x:f>+COUNTIF(F417:AJ417,"R")+COUNTIF(F417:AJ417,"T")+COUNTIF(F417:AJ417,"İ")</x:f>
      </x:c>
      <x:c r="AM417" s="221">
        <x:f>+COUNTIF(F417:AJ417,"İ")</x:f>
      </x:c>
      <x:c r="AN417" s="121"/>
      <x:c r="AO417" s="121"/>
    </x:row>
    <x:row r="418" spans="1:47" ht="15" customHeight="1" x14ac:dyDescent="0.25">
      <x:c r="A418" s="69"/>
      <x:c r="B418" s="216">
        <x:v>413</x:v>
      </x:c>
      <x:c r="C418" s="121"/>
      <x:c r="D418" s="121"/>
      <x:c r="E418" s="121"/>
      <x:c r="F418" s="121"/>
      <x:c r="G418" s="121"/>
      <x:c r="H418" s="121"/>
      <x:c r="I418" s="121"/>
      <x:c r="J418" s="121"/>
      <x:c r="K418" s="121"/>
      <x:c r="L418" s="121"/>
      <x:c r="M418" s="121"/>
      <x:c r="N418" s="121"/>
      <x:c r="O418" s="121"/>
      <x:c r="P418" s="121"/>
      <x:c r="Q418" s="121"/>
      <x:c r="R418" s="121"/>
      <x:c r="S418" s="121"/>
      <x:c r="T418" s="121"/>
      <x:c r="U418" s="121"/>
      <x:c r="V418" s="121"/>
      <x:c r="W418" s="121"/>
      <x:c r="X418" s="121"/>
      <x:c r="Y418" s="121"/>
      <x:c r="Z418" s="121"/>
      <x:c r="AA418" s="121"/>
      <x:c r="AB418" s="121"/>
      <x:c r="AC418" s="121"/>
      <x:c r="AD418" s="121"/>
      <x:c r="AE418" s="121"/>
      <x:c r="AF418" s="121"/>
      <x:c r="AG418" s="121"/>
      <x:c r="AH418" s="121"/>
      <x:c r="AI418" s="121"/>
      <x:c r="AJ418" s="121"/>
      <x:c r="AK418" s="220">
        <x:f>+COUNTIF(F418:AJ418,"X")+COUNTIF(F418:AJ418,"E")</x:f>
      </x:c>
      <x:c r="AL418" s="221">
        <x:f>+COUNTIF(F418:AJ418,"R")+COUNTIF(F418:AJ418,"T")+COUNTIF(F418:AJ418,"İ")</x:f>
      </x:c>
      <x:c r="AM418" s="221">
        <x:f>+COUNTIF(F418:AJ418,"İ")</x:f>
      </x:c>
      <x:c r="AN418" s="121"/>
      <x:c r="AO418" s="121"/>
    </x:row>
    <x:row r="419" spans="1:47" ht="15" customHeight="1" x14ac:dyDescent="0.25">
      <x:c r="A419" s="69"/>
      <x:c r="B419" s="216">
        <x:v>414</x:v>
      </x:c>
      <x:c r="C419" s="121"/>
      <x:c r="D419" s="121"/>
      <x:c r="E419" s="121"/>
      <x:c r="F419" s="121"/>
      <x:c r="G419" s="121"/>
      <x:c r="H419" s="121"/>
      <x:c r="I419" s="121"/>
      <x:c r="J419" s="121"/>
      <x:c r="K419" s="121"/>
      <x:c r="L419" s="121"/>
      <x:c r="M419" s="121"/>
      <x:c r="N419" s="121"/>
      <x:c r="O419" s="121"/>
      <x:c r="P419" s="121"/>
      <x:c r="Q419" s="121"/>
      <x:c r="R419" s="121"/>
      <x:c r="S419" s="121"/>
      <x:c r="T419" s="121"/>
      <x:c r="U419" s="121"/>
      <x:c r="V419" s="121"/>
      <x:c r="W419" s="121"/>
      <x:c r="X419" s="121"/>
      <x:c r="Y419" s="121"/>
      <x:c r="Z419" s="121"/>
      <x:c r="AA419" s="121"/>
      <x:c r="AB419" s="121"/>
      <x:c r="AC419" s="121"/>
      <x:c r="AD419" s="121"/>
      <x:c r="AE419" s="121"/>
      <x:c r="AF419" s="121"/>
      <x:c r="AG419" s="121"/>
      <x:c r="AH419" s="121"/>
      <x:c r="AI419" s="121"/>
      <x:c r="AJ419" s="121"/>
      <x:c r="AK419" s="220">
        <x:f>+COUNTIF(F419:AJ419,"X")+COUNTIF(F419:AJ419,"E")</x:f>
      </x:c>
      <x:c r="AL419" s="221">
        <x:f>+COUNTIF(F419:AJ419,"R")+COUNTIF(F419:AJ419,"T")+COUNTIF(F419:AJ419,"İ")</x:f>
      </x:c>
      <x:c r="AM419" s="221">
        <x:f>+COUNTIF(F419:AJ419,"İ")</x:f>
      </x:c>
      <x:c r="AN419" s="121"/>
      <x:c r="AO419" s="121"/>
    </x:row>
    <x:row r="420" spans="1:47" ht="15" customHeight="1" x14ac:dyDescent="0.25">
      <x:c r="A420" s="69"/>
      <x:c r="B420" s="216">
        <x:v>415</x:v>
      </x:c>
      <x:c r="C420" s="121"/>
      <x:c r="D420" s="121"/>
      <x:c r="E420" s="121"/>
      <x:c r="F420" s="121"/>
      <x:c r="G420" s="121"/>
      <x:c r="H420" s="121"/>
      <x:c r="I420" s="121"/>
      <x:c r="J420" s="121"/>
      <x:c r="K420" s="121"/>
      <x:c r="L420" s="121"/>
      <x:c r="M420" s="121"/>
      <x:c r="N420" s="121"/>
      <x:c r="O420" s="121"/>
      <x:c r="P420" s="121"/>
      <x:c r="Q420" s="121"/>
      <x:c r="R420" s="121"/>
      <x:c r="S420" s="121"/>
      <x:c r="T420" s="121"/>
      <x:c r="U420" s="121"/>
      <x:c r="V420" s="121"/>
      <x:c r="W420" s="121"/>
      <x:c r="X420" s="121"/>
      <x:c r="Y420" s="121"/>
      <x:c r="Z420" s="121"/>
      <x:c r="AA420" s="121"/>
      <x:c r="AB420" s="121"/>
      <x:c r="AC420" s="121"/>
      <x:c r="AD420" s="121"/>
      <x:c r="AE420" s="121"/>
      <x:c r="AF420" s="121"/>
      <x:c r="AG420" s="121"/>
      <x:c r="AH420" s="121"/>
      <x:c r="AI420" s="121"/>
      <x:c r="AJ420" s="121"/>
      <x:c r="AK420" s="220">
        <x:f>+COUNTIF(F420:AJ420,"X")+COUNTIF(F420:AJ420,"E")</x:f>
      </x:c>
      <x:c r="AL420" s="221">
        <x:f>+COUNTIF(F420:AJ420,"R")+COUNTIF(F420:AJ420,"T")+COUNTIF(F420:AJ420,"İ")</x:f>
      </x:c>
      <x:c r="AM420" s="221">
        <x:f>+COUNTIF(F420:AJ420,"İ")</x:f>
      </x:c>
      <x:c r="AN420" s="121"/>
      <x:c r="AO420" s="121"/>
    </x:row>
    <x:row r="421" spans="1:47" ht="15" customHeight="1" x14ac:dyDescent="0.25">
      <x:c r="A421" s="69"/>
      <x:c r="B421" s="216">
        <x:v>416</x:v>
      </x:c>
      <x:c r="C421" s="121"/>
      <x:c r="D421" s="121"/>
      <x:c r="E421" s="121"/>
      <x:c r="F421" s="121"/>
      <x:c r="G421" s="121"/>
      <x:c r="H421" s="121"/>
      <x:c r="I421" s="121"/>
      <x:c r="J421" s="121"/>
      <x:c r="K421" s="121"/>
      <x:c r="L421" s="121"/>
      <x:c r="M421" s="121"/>
      <x:c r="N421" s="121"/>
      <x:c r="O421" s="121"/>
      <x:c r="P421" s="121"/>
      <x:c r="Q421" s="121"/>
      <x:c r="R421" s="121"/>
      <x:c r="S421" s="121"/>
      <x:c r="T421" s="121"/>
      <x:c r="U421" s="121"/>
      <x:c r="V421" s="121"/>
      <x:c r="W421" s="121"/>
      <x:c r="X421" s="121"/>
      <x:c r="Y421" s="121"/>
      <x:c r="Z421" s="121"/>
      <x:c r="AA421" s="121"/>
      <x:c r="AB421" s="121"/>
      <x:c r="AC421" s="121"/>
      <x:c r="AD421" s="121"/>
      <x:c r="AE421" s="121"/>
      <x:c r="AF421" s="121"/>
      <x:c r="AG421" s="121"/>
      <x:c r="AH421" s="121"/>
      <x:c r="AI421" s="121"/>
      <x:c r="AJ421" s="121"/>
      <x:c r="AK421" s="220">
        <x:f>+COUNTIF(F421:AJ421,"X")+COUNTIF(F421:AJ421,"E")</x:f>
      </x:c>
      <x:c r="AL421" s="221">
        <x:f>+COUNTIF(F421:AJ421,"R")+COUNTIF(F421:AJ421,"T")+COUNTIF(F421:AJ421,"İ")</x:f>
      </x:c>
      <x:c r="AM421" s="221">
        <x:f>+COUNTIF(F421:AJ421,"İ")</x:f>
      </x:c>
      <x:c r="AN421" s="121"/>
      <x:c r="AO421" s="121"/>
    </x:row>
    <x:row r="422" spans="1:47" ht="15" customHeight="1" x14ac:dyDescent="0.25">
      <x:c r="A422" s="69"/>
      <x:c r="B422" s="216">
        <x:v>417</x:v>
      </x:c>
      <x:c r="C422" s="121"/>
      <x:c r="D422" s="121"/>
      <x:c r="E422" s="121"/>
      <x:c r="F422" s="121"/>
      <x:c r="G422" s="121"/>
      <x:c r="H422" s="121"/>
      <x:c r="I422" s="121"/>
      <x:c r="J422" s="121"/>
      <x:c r="K422" s="121"/>
      <x:c r="L422" s="121"/>
      <x:c r="M422" s="121"/>
      <x:c r="N422" s="121"/>
      <x:c r="O422" s="121"/>
      <x:c r="P422" s="121"/>
      <x:c r="Q422" s="121"/>
      <x:c r="R422" s="121"/>
      <x:c r="S422" s="121"/>
      <x:c r="T422" s="121"/>
      <x:c r="U422" s="121"/>
      <x:c r="V422" s="121"/>
      <x:c r="W422" s="121"/>
      <x:c r="X422" s="121"/>
      <x:c r="Y422" s="121"/>
      <x:c r="Z422" s="121"/>
      <x:c r="AA422" s="121"/>
      <x:c r="AB422" s="121"/>
      <x:c r="AC422" s="121"/>
      <x:c r="AD422" s="121"/>
      <x:c r="AE422" s="121"/>
      <x:c r="AF422" s="121"/>
      <x:c r="AG422" s="121"/>
      <x:c r="AH422" s="121"/>
      <x:c r="AI422" s="121"/>
      <x:c r="AJ422" s="121"/>
      <x:c r="AK422" s="220">
        <x:f>+COUNTIF(F422:AJ422,"X")+COUNTIF(F422:AJ422,"E")</x:f>
      </x:c>
      <x:c r="AL422" s="221">
        <x:f>+COUNTIF(F422:AJ422,"R")+COUNTIF(F422:AJ422,"T")+COUNTIF(F422:AJ422,"İ")</x:f>
      </x:c>
      <x:c r="AM422" s="221">
        <x:f>+COUNTIF(F422:AJ422,"İ")</x:f>
      </x:c>
      <x:c r="AN422" s="121"/>
      <x:c r="AO422" s="121"/>
    </x:row>
    <x:row r="423" spans="1:47" ht="15" customHeight="1" x14ac:dyDescent="0.25">
      <x:c r="A423" s="69"/>
      <x:c r="B423" s="216">
        <x:v>418</x:v>
      </x:c>
      <x:c r="C423" s="121"/>
      <x:c r="D423" s="121"/>
      <x:c r="E423" s="121"/>
      <x:c r="F423" s="121"/>
      <x:c r="G423" s="121"/>
      <x:c r="H423" s="121"/>
      <x:c r="I423" s="121"/>
      <x:c r="J423" s="121"/>
      <x:c r="K423" s="121"/>
      <x:c r="L423" s="121"/>
      <x:c r="M423" s="121"/>
      <x:c r="N423" s="121"/>
      <x:c r="O423" s="121"/>
      <x:c r="P423" s="121"/>
      <x:c r="Q423" s="121"/>
      <x:c r="R423" s="121"/>
      <x:c r="S423" s="121"/>
      <x:c r="T423" s="121"/>
      <x:c r="U423" s="121"/>
      <x:c r="V423" s="121"/>
      <x:c r="W423" s="121"/>
      <x:c r="X423" s="121"/>
      <x:c r="Y423" s="121"/>
      <x:c r="Z423" s="121"/>
      <x:c r="AA423" s="121"/>
      <x:c r="AB423" s="121"/>
      <x:c r="AC423" s="121"/>
      <x:c r="AD423" s="121"/>
      <x:c r="AE423" s="121"/>
      <x:c r="AF423" s="121"/>
      <x:c r="AG423" s="121"/>
      <x:c r="AH423" s="121"/>
      <x:c r="AI423" s="121"/>
      <x:c r="AJ423" s="121"/>
      <x:c r="AK423" s="220">
        <x:f>+COUNTIF(F423:AJ423,"X")+COUNTIF(F423:AJ423,"E")</x:f>
      </x:c>
      <x:c r="AL423" s="221">
        <x:f>+COUNTIF(F423:AJ423,"R")+COUNTIF(F423:AJ423,"T")+COUNTIF(F423:AJ423,"İ")</x:f>
      </x:c>
      <x:c r="AM423" s="221">
        <x:f>+COUNTIF(F423:AJ423,"İ")</x:f>
      </x:c>
      <x:c r="AN423" s="121"/>
      <x:c r="AO423" s="121"/>
    </x:row>
    <x:row r="424" spans="1:47" ht="15" customHeight="1" x14ac:dyDescent="0.25">
      <x:c r="A424" s="69"/>
      <x:c r="B424" s="216">
        <x:v>419</x:v>
      </x:c>
      <x:c r="C424" s="121"/>
      <x:c r="D424" s="121"/>
      <x:c r="E424" s="121"/>
      <x:c r="F424" s="121"/>
      <x:c r="G424" s="121"/>
      <x:c r="H424" s="121"/>
      <x:c r="I424" s="121"/>
      <x:c r="J424" s="121"/>
      <x:c r="K424" s="121"/>
      <x:c r="L424" s="121"/>
      <x:c r="M424" s="121"/>
      <x:c r="N424" s="121"/>
      <x:c r="O424" s="121"/>
      <x:c r="P424" s="121"/>
      <x:c r="Q424" s="121"/>
      <x:c r="R424" s="121"/>
      <x:c r="S424" s="121"/>
      <x:c r="T424" s="121"/>
      <x:c r="U424" s="121"/>
      <x:c r="V424" s="121"/>
      <x:c r="W424" s="121"/>
      <x:c r="X424" s="121"/>
      <x:c r="Y424" s="121"/>
      <x:c r="Z424" s="121"/>
      <x:c r="AA424" s="121"/>
      <x:c r="AB424" s="121"/>
      <x:c r="AC424" s="121"/>
      <x:c r="AD424" s="121"/>
      <x:c r="AE424" s="121"/>
      <x:c r="AF424" s="121"/>
      <x:c r="AG424" s="121"/>
      <x:c r="AH424" s="121"/>
      <x:c r="AI424" s="121"/>
      <x:c r="AJ424" s="121"/>
      <x:c r="AK424" s="220">
        <x:f>+COUNTIF(F424:AJ424,"X")+COUNTIF(F424:AJ424,"E")</x:f>
      </x:c>
      <x:c r="AL424" s="221">
        <x:f>+COUNTIF(F424:AJ424,"R")+COUNTIF(F424:AJ424,"T")+COUNTIF(F424:AJ424,"İ")</x:f>
      </x:c>
      <x:c r="AM424" s="221">
        <x:f>+COUNTIF(F424:AJ424,"İ")</x:f>
      </x:c>
      <x:c r="AN424" s="121"/>
      <x:c r="AO424" s="121"/>
    </x:row>
  </x:sheetData>
  <x:autoFilter ref="A5:AO424"/>
  <x:mergeCells count="38">
    <x:mergeCell ref="B1:AK2"/>
    <x:mergeCell ref="B3:E3"/>
    <x:mergeCell ref="F3:F4"/>
    <x:mergeCell ref="G3:G4"/>
    <x:mergeCell ref="H3:H4"/>
    <x:mergeCell ref="I3:I4"/>
    <x:mergeCell ref="J3:J4"/>
    <x:mergeCell ref="K3:K4"/>
    <x:mergeCell ref="L3:L4"/>
    <x:mergeCell ref="M3:M4"/>
    <x:mergeCell ref="N3:N4"/>
    <x:mergeCell ref="O3:O4"/>
    <x:mergeCell ref="P3:P4"/>
    <x:mergeCell ref="Q3:Q4"/>
    <x:mergeCell ref="R3:R4"/>
    <x:mergeCell ref="S3:S4"/>
    <x:mergeCell ref="T3:T4"/>
    <x:mergeCell ref="U3:U4"/>
    <x:mergeCell ref="V3:V4"/>
    <x:mergeCell ref="W3:W4"/>
    <x:mergeCell ref="X3:X4"/>
    <x:mergeCell ref="Y3:Y4"/>
    <x:mergeCell ref="Z3:Z4"/>
    <x:mergeCell ref="AA3:AA4"/>
    <x:mergeCell ref="AB3:AB4"/>
    <x:mergeCell ref="AC3:AC4"/>
    <x:mergeCell ref="AD3:AD4"/>
    <x:mergeCell ref="AE3:AE4"/>
    <x:mergeCell ref="AF3:AF4"/>
    <x:mergeCell ref="AG3:AG4"/>
    <x:mergeCell ref="AH3:AH4"/>
    <x:mergeCell ref="AI3:AI4"/>
    <x:mergeCell ref="AJ3:AJ4"/>
    <x:mergeCell ref="AK3:AK4"/>
    <x:mergeCell ref="AL3:AL4"/>
    <x:mergeCell ref="AM3:AM4"/>
    <x:mergeCell ref="AN3:AO3"/>
    <x:mergeCell ref="D4:E4"/>
  </x:mergeCells>
  <x:conditionalFormatting sqref="F3:AJ4">
    <x:cfRule type="expression" dxfId="0" priority="1" stopIfTrue="1" operator="equal">
      <x:formula>F$5&gt;=6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AO2:AO2">
      <x:formula1>$AQ$6:$AQ$17</x:formula1>
      <x:formula2/>
    </x:dataValidation>
  </x:dataValidations>
  <x:printOptions horizontalCentered="0" verticalCentered="0" headings="0" gridLines="0"/>
  <x:pageMargins left="0.70866141732283472" right="0.11811023622047245" top="0.35433070866141736" bottom="0.35433070866141736" header="0.31496062992125984" footer="0.31496062992125984"/>
  <x:pageSetup paperSize="9" scale="95" pageOrder="downThenOver" orientation="landscape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9754A17-C8DB-475D-9A08-AF1A1C3F59CC}" mc:Ignorable="x14ac xr xr2 xr3">
  <x:sheetPr>
    <x:outlinePr summaryBelow="1" summaryRight="1"/>
  </x:sheetPr>
  <x:dimension ref="A1:U430"/>
  <x:sheetViews>
    <x:sheetView workbookViewId="0">
      <x:selection activeCell="F9" sqref="F9"/>
    </x:sheetView>
  </x:sheetViews>
  <x:sheetFormatPr defaultColWidth="9.140625" defaultRowHeight="12.75" x14ac:dyDescent="0.2"/>
  <x:cols>
    <x:col min="1" max="1" width="5.570312" style="38" customWidth="1"/>
    <x:col min="2" max="2" width="14.140625" style="38" customWidth="1"/>
    <x:col min="3" max="3" width="22.710938" style="38" customWidth="1"/>
    <x:col min="4" max="4" width="8.855469" style="38" customWidth="1"/>
    <x:col min="5" max="5" width="24.285156" style="38" bestFit="1" customWidth="1"/>
    <x:col min="6" max="6" width="8.285156" style="38" customWidth="1"/>
    <x:col min="7" max="7" width="9.285156" style="38" customWidth="1"/>
    <x:col min="8" max="8" width="9.855469" style="38" customWidth="1"/>
    <x:col min="9" max="9" width="11.140625" style="38" customWidth="1"/>
    <x:col min="10" max="11" width="10.285156" style="38" customWidth="1"/>
    <x:col min="12" max="12" width="10.710938" style="38" customWidth="1"/>
    <x:col min="13" max="13" width="11.710938" style="38" bestFit="1" customWidth="1"/>
    <x:col min="14" max="14" width="9.425781" style="38" customWidth="1"/>
    <x:col min="15" max="16" width="8.855469" style="38" customWidth="1"/>
    <x:col min="17" max="17" width="13.570312" style="180" customWidth="1"/>
    <x:col min="18" max="18" width="10" style="38" customWidth="1"/>
    <x:col min="19" max="21" width="9.855469" style="38" customWidth="1"/>
    <x:col min="22" max="16384" width="9.140625" style="38" customWidth="1"/>
  </x:cols>
  <x:sheetData>
    <x:row r="1" spans="1:21" ht="6" customHeight="1" x14ac:dyDescent="0.2"/>
    <x:row r="2" spans="1:21" ht="20.25" customHeight="1" x14ac:dyDescent="0.25">
      <x:c r="A2" s="242" t="s">
        <x:v>29</x:v>
      </x:c>
      <x:c r="B2" s="242"/>
      <x:c r="C2" s="242"/>
      <x:c r="D2" s="242"/>
      <x:c r="E2" s="242"/>
      <x:c r="F2" s="242"/>
      <x:c r="G2" s="242"/>
      <x:c r="H2" s="242"/>
      <x:c r="I2" s="242"/>
      <x:c r="J2" s="242"/>
      <x:c r="K2" s="242"/>
      <x:c r="L2" s="242"/>
      <x:c r="M2" s="242"/>
      <x:c r="N2" s="242"/>
      <x:c r="O2" s="242"/>
      <x:c r="P2" s="242"/>
      <x:c r="Q2" s="173" t="s">
        <x:v>30</x:v>
      </x:c>
      <x:c r="R2" s="173"/>
      <x:c r="S2" s="173"/>
      <x:c r="T2" s="173"/>
      <x:c r="U2" s="7"/>
    </x:row>
    <x:row r="3" spans="1:21" ht="19.5" customHeight="1" x14ac:dyDescent="0.2">
      <x:c r="A3" s="161" t="s">
        <x:v>31</x:v>
      </x:c>
      <x:c r="B3" s="184" t="s">
        <x:v>32</x:v>
      </x:c>
      <x:c r="C3" s="161" t="s">
        <x:v>33</x:v>
      </x:c>
      <x:c r="D3" s="161" t="s">
        <x:v>34</x:v>
      </x:c>
      <x:c r="E3" s="190" t="s">
        <x:v>35</x:v>
      </x:c>
      <x:c r="F3" s="243" t="s">
        <x:v>36</x:v>
      </x:c>
      <x:c r="G3" s="190" t="s">
        <x:v>37</x:v>
      </x:c>
      <x:c r="H3" s="193" t="s">
        <x:v>38</x:v>
      </x:c>
      <x:c r="I3" s="244" t="s">
        <x:v>39</x:v>
      </x:c>
      <x:c r="J3" s="178" t="s">
        <x:v>40</x:v>
      </x:c>
      <x:c r="K3" s="178"/>
      <x:c r="L3" s="178"/>
      <x:c r="M3" s="178"/>
      <x:c r="N3" s="178"/>
      <x:c r="O3" s="178"/>
      <x:c r="P3" s="178"/>
      <x:c r="Q3" s="178"/>
      <x:c r="R3" s="179"/>
      <x:c r="S3" s="60"/>
      <x:c r="T3" s="245" t="s">
        <x:v>41</x:v>
      </x:c>
      <x:c r="U3" s="61"/>
    </x:row>
    <x:row r="4" spans="1:21" ht="48.75" customHeight="1" x14ac:dyDescent="0.2">
      <x:c r="A4" s="162"/>
      <x:c r="B4" s="185"/>
      <x:c r="C4" s="162"/>
      <x:c r="D4" s="162"/>
      <x:c r="E4" s="191"/>
      <x:c r="F4" s="246"/>
      <x:c r="G4" s="191"/>
      <x:c r="H4" s="194"/>
      <x:c r="I4" s="247"/>
      <x:c r="J4" s="164" t="s">
        <x:v>42</x:v>
      </x:c>
      <x:c r="K4" s="164"/>
      <x:c r="L4" s="164"/>
      <x:c r="M4" s="164"/>
      <x:c r="N4" s="164" t="s">
        <x:v>43</x:v>
      </x:c>
      <x:c r="O4" s="164"/>
      <x:c r="P4" s="165"/>
      <x:c r="Q4" s="160" t="s">
        <x:v>44</x:v>
      </x:c>
      <x:c r="R4" s="168" t="s">
        <x:v>45</x:v>
      </x:c>
      <x:c r="S4" s="166" t="s">
        <x:v>46</x:v>
      </x:c>
      <x:c r="T4" s="248"/>
      <x:c r="U4" s="249"/>
    </x:row>
    <x:row r="5" spans="1:21" ht="39" customHeight="1" x14ac:dyDescent="0.2">
      <x:c r="A5" s="163"/>
      <x:c r="B5" s="186"/>
      <x:c r="C5" s="163"/>
      <x:c r="D5" s="163"/>
      <x:c r="E5" s="192"/>
      <x:c r="F5" s="250"/>
      <x:c r="G5" s="192"/>
      <x:c r="H5" s="195"/>
      <x:c r="I5" s="251"/>
      <x:c r="J5" s="58" t="s">
        <x:v>47</x:v>
      </x:c>
      <x:c r="K5" s="58" t="s">
        <x:v>48</x:v>
      </x:c>
      <x:c r="L5" s="58" t="s">
        <x:v>49</x:v>
      </x:c>
      <x:c r="M5" s="27" t="s">
        <x:v>50</x:v>
      </x:c>
      <x:c r="N5" s="58" t="s">
        <x:v>51</x:v>
      </x:c>
      <x:c r="O5" s="58" t="s">
        <x:v>52</x:v>
      </x:c>
      <x:c r="P5" s="59" t="s">
        <x:v>53</x:v>
      </x:c>
      <x:c r="Q5" s="160"/>
      <x:c r="R5" s="168"/>
      <x:c r="S5" s="167"/>
      <x:c r="T5" s="252"/>
      <x:c r="U5" s="249"/>
    </x:row>
    <x:row r="6" spans="1:21" ht="21" customHeight="1" x14ac:dyDescent="0.2">
      <x:c r="A6" s="253">
        <x:f>+'Banka Lis.'!B5</x:f>
      </x:c>
      <x:c r="B6" s="253">
        <x:f>+Puantaj!C6</x:f>
      </x:c>
      <x:c r="C6" s="4">
        <x:f>+Puantaj!D6</x:f>
      </x:c>
      <x:c r="D6" s="4">
        <x:f>+Puantaj!E6</x:f>
      </x:c>
      <x:c r="E6" s="4">
        <x:f>+'Banka Lis.'!H5</x:f>
      </x:c>
      <x:c r="F6" s="254">
        <x:f>+Puantaj!AK6</x:f>
      </x:c>
      <x:c r="G6" s="33">
        <x:f>F6*1083</x:f>
      </x:c>
      <x:c r="H6" s="62">
        <x:f>G6*0.055</x:f>
      </x:c>
      <x:c r="I6" s="3">
        <x:f>G6+H6</x:f>
      </x:c>
      <x:c r="J6" s="3">
        <x:f>+G6</x:f>
      </x:c>
      <x:c r="K6" s="3">
        <x:f>J6*0.15</x:f>
      </x:c>
      <x:c r="L6" s="3">
        <x:f>IF(J6*0.15&gt;K6,K6,J6*0.15)</x:f>
      </x:c>
      <x:c r="M6" s="65">
        <x:f>IF(K6-L6&gt;0,K6-L6,0)</x:f>
      </x:c>
      <x:c r="N6" s="3">
        <x:f>G6*0.00759</x:f>
      </x:c>
      <x:c r="O6" s="3">
        <x:f>IF(G6*0.00759&gt;G6,197.38,G6*0.00759)</x:f>
      </x:c>
      <x:c r="P6" s="3">
        <x:f>IF(N6-O6&gt;0,N6-O6,0)</x:f>
      </x:c>
      <x:c r="Q6" s="65">
        <x:f>+H6</x:f>
      </x:c>
      <x:c r="R6" s="65">
        <x:v>0</x:v>
      </x:c>
      <x:c r="S6" s="3">
        <x:f>R6+Q6</x:f>
      </x:c>
      <x:c r="T6" s="3">
        <x:f>I6-S6</x:f>
      </x:c>
      <x:c r="U6" s="255"/>
    </x:row>
    <x:row r="7" spans="1:21" ht="21" customHeight="1" x14ac:dyDescent="0.2">
      <x:c r="A7" s="253">
        <x:f>+'Banka Lis.'!B6</x:f>
      </x:c>
      <x:c r="B7" s="253">
        <x:f>+Puantaj!C7</x:f>
      </x:c>
      <x:c r="C7" s="4">
        <x:f>+Puantaj!D7</x:f>
      </x:c>
      <x:c r="D7" s="4">
        <x:f>+Puantaj!E7</x:f>
      </x:c>
      <x:c r="E7" s="4">
        <x:f>+'Banka Lis.'!H6</x:f>
      </x:c>
      <x:c r="F7" s="254">
        <x:f>+Puantaj!AK7</x:f>
      </x:c>
      <x:c r="G7" s="33">
        <x:f>F7*1083</x:f>
      </x:c>
      <x:c r="H7" s="62">
        <x:f>G7*0.055</x:f>
      </x:c>
      <x:c r="I7" s="3">
        <x:f>G7+H7</x:f>
      </x:c>
      <x:c r="J7" s="3">
        <x:f>+G7</x:f>
      </x:c>
      <x:c r="K7" s="3">
        <x:f>J7*0.15</x:f>
      </x:c>
      <x:c r="L7" s="3">
        <x:f>IF(J7*0.15&gt;K7,K7,J7*0.15)</x:f>
      </x:c>
      <x:c r="M7" s="65">
        <x:f>IF(K7-L7&gt;0,K7-L7,0)</x:f>
      </x:c>
      <x:c r="N7" s="3">
        <x:f>G7*0.00759</x:f>
      </x:c>
      <x:c r="O7" s="3">
        <x:f>IF(G7*0.00759&gt;G7,197.38,G7*0.00759)</x:f>
      </x:c>
      <x:c r="P7" s="3">
        <x:f>IF(N7-O7&gt;0,N7-O7,0)</x:f>
      </x:c>
      <x:c r="Q7" s="65">
        <x:f>+H7</x:f>
      </x:c>
      <x:c r="R7" s="65">
        <x:v>0</x:v>
      </x:c>
      <x:c r="S7" s="3">
        <x:f>R7+Q7</x:f>
      </x:c>
      <x:c r="T7" s="3">
        <x:f>I7-S7</x:f>
      </x:c>
      <x:c r="U7" s="255"/>
    </x:row>
    <x:row r="8" spans="1:21" ht="21" customHeight="1" x14ac:dyDescent="0.2">
      <x:c r="A8" s="253">
        <x:f>+'Banka Lis.'!B7</x:f>
      </x:c>
      <x:c r="B8" s="253">
        <x:f>+Puantaj!C8</x:f>
      </x:c>
      <x:c r="C8" s="4">
        <x:f>+Puantaj!D8</x:f>
      </x:c>
      <x:c r="D8" s="4">
        <x:f>+Puantaj!E8</x:f>
      </x:c>
      <x:c r="E8" s="4">
        <x:f>+'Banka Lis.'!H7</x:f>
      </x:c>
      <x:c r="F8" s="254">
        <x:f>+Puantaj!AK8</x:f>
      </x:c>
      <x:c r="G8" s="33">
        <x:f>F8*1083</x:f>
      </x:c>
      <x:c r="H8" s="62">
        <x:f>G8*0.055</x:f>
      </x:c>
      <x:c r="I8" s="3">
        <x:f>G8+H8</x:f>
      </x:c>
      <x:c r="J8" s="3">
        <x:f>+G8</x:f>
      </x:c>
      <x:c r="K8" s="3">
        <x:f>J8*0.15</x:f>
      </x:c>
      <x:c r="L8" s="3">
        <x:f>IF(J8*0.15&gt;K8,K8,J8*0.15)</x:f>
      </x:c>
      <x:c r="M8" s="65">
        <x:f>IF(K8-L8&gt;0,K8-L8,0)</x:f>
      </x:c>
      <x:c r="N8" s="3">
        <x:f>G8*0.00759</x:f>
      </x:c>
      <x:c r="O8" s="3">
        <x:f>IF(G8*0.00759&gt;G8,197.38,G8*0.00759)</x:f>
      </x:c>
      <x:c r="P8" s="3">
        <x:f>IF(N8-O8&gt;0,N8-O8,0)</x:f>
      </x:c>
      <x:c r="Q8" s="65">
        <x:f>+H8</x:f>
      </x:c>
      <x:c r="R8" s="65">
        <x:v>0</x:v>
      </x:c>
      <x:c r="S8" s="3">
        <x:f>R8+Q8</x:f>
      </x:c>
      <x:c r="T8" s="3">
        <x:f>I8-S8</x:f>
      </x:c>
      <x:c r="U8" s="255"/>
    </x:row>
    <x:row r="9" spans="1:21" ht="21" customHeight="1" x14ac:dyDescent="0.2">
      <x:c r="A9" s="253">
        <x:f>+'Banka Lis.'!B8</x:f>
      </x:c>
      <x:c r="B9" s="253">
        <x:f>+Puantaj!C9</x:f>
      </x:c>
      <x:c r="C9" s="4">
        <x:f>+Puantaj!D9</x:f>
      </x:c>
      <x:c r="D9" s="4">
        <x:f>+Puantaj!E9</x:f>
      </x:c>
      <x:c r="E9" s="4">
        <x:f>+'Banka Lis.'!H8</x:f>
      </x:c>
      <x:c r="F9" s="254">
        <x:f>+Puantaj!AK9</x:f>
      </x:c>
      <x:c r="G9" s="33">
        <x:f>F9*1083</x:f>
      </x:c>
      <x:c r="H9" s="62">
        <x:f>G9*0.055</x:f>
      </x:c>
      <x:c r="I9" s="3">
        <x:f>G9+H9</x:f>
      </x:c>
      <x:c r="J9" s="3">
        <x:f>+G9</x:f>
      </x:c>
      <x:c r="K9" s="3">
        <x:f>J9*0.15</x:f>
      </x:c>
      <x:c r="L9" s="3">
        <x:f>IF(J9*0.15&gt;K9,K9,J9*0.15)</x:f>
      </x:c>
      <x:c r="M9" s="65">
        <x:f>IF(K9-L9&gt;0,K9-L9,0)</x:f>
      </x:c>
      <x:c r="N9" s="3">
        <x:f>G9*0.00759</x:f>
      </x:c>
      <x:c r="O9" s="3">
        <x:f>IF(G9*0.00759&gt;G9,197.38,G9*0.00759)</x:f>
      </x:c>
      <x:c r="P9" s="3">
        <x:f>IF(N9-O9&gt;0,N9-O9,0)</x:f>
      </x:c>
      <x:c r="Q9" s="65">
        <x:f>+H9</x:f>
      </x:c>
      <x:c r="R9" s="65">
        <x:v>0</x:v>
      </x:c>
      <x:c r="S9" s="3">
        <x:f>R9+Q9</x:f>
      </x:c>
      <x:c r="T9" s="3">
        <x:f>I9-S9</x:f>
      </x:c>
      <x:c r="U9" s="255"/>
    </x:row>
    <x:row r="10" spans="1:21" ht="21" customHeight="1" x14ac:dyDescent="0.2">
      <x:c r="A10" s="253">
        <x:f>+'Banka Lis.'!B9</x:f>
      </x:c>
      <x:c r="B10" s="253">
        <x:f>+Puantaj!C10</x:f>
      </x:c>
      <x:c r="C10" s="4">
        <x:f>+Puantaj!D10</x:f>
      </x:c>
      <x:c r="D10" s="4">
        <x:f>+Puantaj!E10</x:f>
      </x:c>
      <x:c r="E10" s="4">
        <x:f>+'Banka Lis.'!H9</x:f>
      </x:c>
      <x:c r="F10" s="254">
        <x:f>+Puantaj!AK10</x:f>
      </x:c>
      <x:c r="G10" s="33">
        <x:f>F10*1083</x:f>
      </x:c>
      <x:c r="H10" s="62">
        <x:f>G10*0.055</x:f>
      </x:c>
      <x:c r="I10" s="3">
        <x:f>G10+H10</x:f>
      </x:c>
      <x:c r="J10" s="3">
        <x:f>+G10</x:f>
      </x:c>
      <x:c r="K10" s="3">
        <x:f>J10*0.15</x:f>
      </x:c>
      <x:c r="L10" s="3">
        <x:f>IF(J10*0.15&gt;K10,K10,J10*0.15)</x:f>
      </x:c>
      <x:c r="M10" s="65">
        <x:f>IF(K10-L10&gt;0,K10-L10,0)</x:f>
      </x:c>
      <x:c r="N10" s="3">
        <x:f>G10*0.00759</x:f>
      </x:c>
      <x:c r="O10" s="3">
        <x:f>IF(G10*0.00759&gt;G10,197.38,G10*0.00759)</x:f>
      </x:c>
      <x:c r="P10" s="3">
        <x:f>IF(N10-O10&gt;0,N10-O10,0)</x:f>
      </x:c>
      <x:c r="Q10" s="65">
        <x:f>+H10</x:f>
      </x:c>
      <x:c r="R10" s="65">
        <x:v>0</x:v>
      </x:c>
      <x:c r="S10" s="3">
        <x:f>R10+Q10</x:f>
      </x:c>
      <x:c r="T10" s="3">
        <x:f>I10-S10</x:f>
      </x:c>
      <x:c r="U10" s="255"/>
    </x:row>
    <x:row r="11" spans="1:21" ht="21" customHeight="1" x14ac:dyDescent="0.2">
      <x:c r="A11" s="253">
        <x:f>+'Banka Lis.'!B10</x:f>
      </x:c>
      <x:c r="B11" s="253">
        <x:f>+Puantaj!C11</x:f>
      </x:c>
      <x:c r="C11" s="4">
        <x:f>+Puantaj!D11</x:f>
      </x:c>
      <x:c r="D11" s="4">
        <x:f>+Puantaj!E11</x:f>
      </x:c>
      <x:c r="E11" s="4">
        <x:f>+'Banka Lis.'!H10</x:f>
      </x:c>
      <x:c r="F11" s="254">
        <x:f>+Puantaj!AK11</x:f>
      </x:c>
      <x:c r="G11" s="33">
        <x:f>F11*1083</x:f>
      </x:c>
      <x:c r="H11" s="62">
        <x:f>G11*0.055</x:f>
      </x:c>
      <x:c r="I11" s="3">
        <x:f>G11+H11</x:f>
      </x:c>
      <x:c r="J11" s="3">
        <x:f>+G11</x:f>
      </x:c>
      <x:c r="K11" s="3">
        <x:f>J11*0.15</x:f>
      </x:c>
      <x:c r="L11" s="3">
        <x:f>IF(J11*0.15&gt;K11,K11,J11*0.15)</x:f>
      </x:c>
      <x:c r="M11" s="65">
        <x:f>IF(K11-L11&gt;0,K11-L11,0)</x:f>
      </x:c>
      <x:c r="N11" s="3">
        <x:f>G11*0.00759</x:f>
      </x:c>
      <x:c r="O11" s="3">
        <x:f>IF(G11*0.00759&gt;G11,197.38,G11*0.00759)</x:f>
      </x:c>
      <x:c r="P11" s="3">
        <x:f>IF(N11-O11&gt;0,N11-O11,0)</x:f>
      </x:c>
      <x:c r="Q11" s="65">
        <x:f>+H11</x:f>
      </x:c>
      <x:c r="R11" s="65">
        <x:v>0</x:v>
      </x:c>
      <x:c r="S11" s="3">
        <x:f>R11+Q11</x:f>
      </x:c>
      <x:c r="T11" s="3">
        <x:f>I11-S11</x:f>
      </x:c>
      <x:c r="U11" s="255"/>
    </x:row>
    <x:row r="12" spans="1:21" ht="21" customHeight="1" x14ac:dyDescent="0.2">
      <x:c r="A12" s="253">
        <x:f>+'Banka Lis.'!B11</x:f>
      </x:c>
      <x:c r="B12" s="253">
        <x:f>+Puantaj!C12</x:f>
      </x:c>
      <x:c r="C12" s="4">
        <x:f>+Puantaj!D12</x:f>
      </x:c>
      <x:c r="D12" s="4">
        <x:f>+Puantaj!E12</x:f>
      </x:c>
      <x:c r="E12" s="4">
        <x:f>+'Banka Lis.'!H11</x:f>
      </x:c>
      <x:c r="F12" s="254">
        <x:f>+Puantaj!AK12</x:f>
      </x:c>
      <x:c r="G12" s="33">
        <x:f>F12*1083</x:f>
      </x:c>
      <x:c r="H12" s="62">
        <x:f>G12*0.055</x:f>
      </x:c>
      <x:c r="I12" s="3">
        <x:f>G12+H12</x:f>
      </x:c>
      <x:c r="J12" s="3">
        <x:f>+G12</x:f>
      </x:c>
      <x:c r="K12" s="3">
        <x:f>J12*0.15</x:f>
      </x:c>
      <x:c r="L12" s="3">
        <x:f>IF(J12*0.15&gt;K12,K12,J12*0.15)</x:f>
      </x:c>
      <x:c r="M12" s="65">
        <x:f>IF(K12-L12&gt;0,K12-L12,0)</x:f>
      </x:c>
      <x:c r="N12" s="3">
        <x:f>G12*0.00759</x:f>
      </x:c>
      <x:c r="O12" s="3">
        <x:f>IF(G12*0.00759&gt;G12,197.38,G12*0.00759)</x:f>
      </x:c>
      <x:c r="P12" s="3">
        <x:f>IF(N12-O12&gt;0,N12-O12,0)</x:f>
      </x:c>
      <x:c r="Q12" s="65">
        <x:f>+H12</x:f>
      </x:c>
      <x:c r="R12" s="65">
        <x:v>0</x:v>
      </x:c>
      <x:c r="S12" s="3">
        <x:f>R12+Q12</x:f>
      </x:c>
      <x:c r="T12" s="3">
        <x:f>I12-S12</x:f>
      </x:c>
      <x:c r="U12" s="255"/>
    </x:row>
    <x:row r="13" spans="1:21" ht="21" customHeight="1" x14ac:dyDescent="0.2">
      <x:c r="A13" s="253">
        <x:f>+'Banka Lis.'!B12</x:f>
      </x:c>
      <x:c r="B13" s="253">
        <x:f>+Puantaj!C13</x:f>
      </x:c>
      <x:c r="C13" s="4">
        <x:f>+Puantaj!D13</x:f>
      </x:c>
      <x:c r="D13" s="4">
        <x:f>+Puantaj!E13</x:f>
      </x:c>
      <x:c r="E13" s="4">
        <x:f>+'Banka Lis.'!H12</x:f>
      </x:c>
      <x:c r="F13" s="254">
        <x:f>+Puantaj!AK13</x:f>
      </x:c>
      <x:c r="G13" s="33">
        <x:f>F13*1083</x:f>
      </x:c>
      <x:c r="H13" s="62">
        <x:f>G13*0.055</x:f>
      </x:c>
      <x:c r="I13" s="3">
        <x:f>G13+H13</x:f>
      </x:c>
      <x:c r="J13" s="3">
        <x:f>+G13</x:f>
      </x:c>
      <x:c r="K13" s="3">
        <x:f>J13*0.15</x:f>
      </x:c>
      <x:c r="L13" s="3">
        <x:f>IF(J13*0.15&gt;K13,K13,J13*0.15)</x:f>
      </x:c>
      <x:c r="M13" s="65">
        <x:f>IF(K13-L13&gt;0,K13-L13,0)</x:f>
      </x:c>
      <x:c r="N13" s="3">
        <x:f>G13*0.00759</x:f>
      </x:c>
      <x:c r="O13" s="3">
        <x:f>IF(G13*0.00759&gt;G13,197.38,G13*0.00759)</x:f>
      </x:c>
      <x:c r="P13" s="3">
        <x:f>IF(N13-O13&gt;0,N13-O13,0)</x:f>
      </x:c>
      <x:c r="Q13" s="65">
        <x:f>+H13</x:f>
      </x:c>
      <x:c r="R13" s="65">
        <x:v>0</x:v>
      </x:c>
      <x:c r="S13" s="3">
        <x:f>R13+Q13</x:f>
      </x:c>
      <x:c r="T13" s="3">
        <x:f>I13-S13</x:f>
      </x:c>
      <x:c r="U13" s="255"/>
    </x:row>
    <x:row r="14" spans="1:21" ht="21" customHeight="1" x14ac:dyDescent="0.2">
      <x:c r="A14" s="253">
        <x:f>+'Banka Lis.'!B13</x:f>
      </x:c>
      <x:c r="B14" s="253">
        <x:f>+Puantaj!C14</x:f>
      </x:c>
      <x:c r="C14" s="4">
        <x:f>+Puantaj!D14</x:f>
      </x:c>
      <x:c r="D14" s="4">
        <x:f>+Puantaj!E14</x:f>
      </x:c>
      <x:c r="E14" s="4">
        <x:f>+'Banka Lis.'!H13</x:f>
      </x:c>
      <x:c r="F14" s="254">
        <x:f>+Puantaj!AK14</x:f>
      </x:c>
      <x:c r="G14" s="33">
        <x:f>F14*1083</x:f>
      </x:c>
      <x:c r="H14" s="62">
        <x:f>G14*0.055</x:f>
      </x:c>
      <x:c r="I14" s="3">
        <x:f>G14+H14</x:f>
      </x:c>
      <x:c r="J14" s="3">
        <x:f>+G14</x:f>
      </x:c>
      <x:c r="K14" s="3">
        <x:f>J14*0.15</x:f>
      </x:c>
      <x:c r="L14" s="3">
        <x:f>IF(J14*0.15&gt;K14,K14,J14*0.15)</x:f>
      </x:c>
      <x:c r="M14" s="65">
        <x:f>IF(K14-L14&gt;0,K14-L14,0)</x:f>
      </x:c>
      <x:c r="N14" s="3">
        <x:f>G14*0.00759</x:f>
      </x:c>
      <x:c r="O14" s="3">
        <x:f>IF(G14*0.00759&gt;G14,197.38,G14*0.00759)</x:f>
      </x:c>
      <x:c r="P14" s="3">
        <x:f>IF(N14-O14&gt;0,N14-O14,0)</x:f>
      </x:c>
      <x:c r="Q14" s="65">
        <x:f>+H14</x:f>
      </x:c>
      <x:c r="R14" s="65">
        <x:v>0</x:v>
      </x:c>
      <x:c r="S14" s="3">
        <x:f>R14+Q14</x:f>
      </x:c>
      <x:c r="T14" s="3">
        <x:f>I14-S14</x:f>
      </x:c>
      <x:c r="U14" s="255"/>
    </x:row>
    <x:row r="15" spans="1:21" ht="21" customHeight="1" x14ac:dyDescent="0.2">
      <x:c r="A15" s="253">
        <x:f>+'Banka Lis.'!B14</x:f>
      </x:c>
      <x:c r="B15" s="253">
        <x:f>+Puantaj!C15</x:f>
      </x:c>
      <x:c r="C15" s="4">
        <x:f>+Puantaj!D15</x:f>
      </x:c>
      <x:c r="D15" s="4">
        <x:f>+Puantaj!E15</x:f>
      </x:c>
      <x:c r="E15" s="4">
        <x:f>+'Banka Lis.'!H14</x:f>
      </x:c>
      <x:c r="F15" s="254">
        <x:f>+Puantaj!AK15</x:f>
      </x:c>
      <x:c r="G15" s="33">
        <x:f>F15*1083</x:f>
      </x:c>
      <x:c r="H15" s="62">
        <x:f>G15*0.055</x:f>
      </x:c>
      <x:c r="I15" s="3">
        <x:f>G15+H15</x:f>
      </x:c>
      <x:c r="J15" s="3">
        <x:f>+G15</x:f>
      </x:c>
      <x:c r="K15" s="3">
        <x:f>J15*0.15</x:f>
      </x:c>
      <x:c r="L15" s="3">
        <x:f>IF(J15*0.15&gt;K15,K15,J15*0.15)</x:f>
      </x:c>
      <x:c r="M15" s="65">
        <x:f>IF(K15-L15&gt;0,K15-L15,0)</x:f>
      </x:c>
      <x:c r="N15" s="3">
        <x:f>G15*0.00759</x:f>
      </x:c>
      <x:c r="O15" s="3">
        <x:f>IF(G15*0.00759&gt;G15,197.38,G15*0.00759)</x:f>
      </x:c>
      <x:c r="P15" s="3">
        <x:f>IF(N15-O15&gt;0,N15-O15,0)</x:f>
      </x:c>
      <x:c r="Q15" s="65">
        <x:f>+H15</x:f>
      </x:c>
      <x:c r="R15" s="65">
        <x:v>0</x:v>
      </x:c>
      <x:c r="S15" s="3">
        <x:f>R15+Q15</x:f>
      </x:c>
      <x:c r="T15" s="3">
        <x:f>I15-S15</x:f>
      </x:c>
      <x:c r="U15" s="255"/>
    </x:row>
    <x:row r="16" spans="1:21" ht="21" customHeight="1" x14ac:dyDescent="0.2">
      <x:c r="A16" s="253">
        <x:f>+'Banka Lis.'!B15</x:f>
      </x:c>
      <x:c r="B16" s="253">
        <x:f>+Puantaj!C16</x:f>
      </x:c>
      <x:c r="C16" s="4">
        <x:f>+Puantaj!D16</x:f>
      </x:c>
      <x:c r="D16" s="4">
        <x:f>+Puantaj!E16</x:f>
      </x:c>
      <x:c r="E16" s="4">
        <x:f>+'Banka Lis.'!H15</x:f>
      </x:c>
      <x:c r="F16" s="254">
        <x:f>+Puantaj!AK16</x:f>
      </x:c>
      <x:c r="G16" s="33">
        <x:f>F16*1083</x:f>
      </x:c>
      <x:c r="H16" s="62">
        <x:f>G16*0.055</x:f>
      </x:c>
      <x:c r="I16" s="3">
        <x:f>G16+H16</x:f>
      </x:c>
      <x:c r="J16" s="3">
        <x:f>+G16</x:f>
      </x:c>
      <x:c r="K16" s="3">
        <x:f>J16*0.15</x:f>
      </x:c>
      <x:c r="L16" s="3">
        <x:f>IF(J16*0.15&gt;K16,K16,J16*0.15)</x:f>
      </x:c>
      <x:c r="M16" s="65">
        <x:f>IF(K16-L16&gt;0,K16-L16,0)</x:f>
      </x:c>
      <x:c r="N16" s="3">
        <x:f>G16*0.00759</x:f>
      </x:c>
      <x:c r="O16" s="3">
        <x:f>IF(G16*0.00759&gt;G16,197.38,G16*0.00759)</x:f>
      </x:c>
      <x:c r="P16" s="3">
        <x:f>IF(N16-O16&gt;0,N16-O16,0)</x:f>
      </x:c>
      <x:c r="Q16" s="65">
        <x:f>+H16</x:f>
      </x:c>
      <x:c r="R16" s="65">
        <x:v>0</x:v>
      </x:c>
      <x:c r="S16" s="3">
        <x:f>R16+Q16</x:f>
      </x:c>
      <x:c r="T16" s="3">
        <x:f>I16-S16</x:f>
      </x:c>
      <x:c r="U16" s="255"/>
    </x:row>
    <x:row r="17" spans="1:21" ht="21" customHeight="1" x14ac:dyDescent="0.2">
      <x:c r="A17" s="253">
        <x:f>+'Banka Lis.'!B16</x:f>
      </x:c>
      <x:c r="B17" s="253">
        <x:f>+Puantaj!C17</x:f>
      </x:c>
      <x:c r="C17" s="4">
        <x:f>+Puantaj!D17</x:f>
      </x:c>
      <x:c r="D17" s="4">
        <x:f>+Puantaj!E17</x:f>
      </x:c>
      <x:c r="E17" s="4">
        <x:f>+'Banka Lis.'!H16</x:f>
      </x:c>
      <x:c r="F17" s="254">
        <x:f>+Puantaj!AK17</x:f>
      </x:c>
      <x:c r="G17" s="33">
        <x:f>F17*1083</x:f>
      </x:c>
      <x:c r="H17" s="62">
        <x:f>G17*0.055</x:f>
      </x:c>
      <x:c r="I17" s="3">
        <x:f>G17+H17</x:f>
      </x:c>
      <x:c r="J17" s="3">
        <x:f>+G17</x:f>
      </x:c>
      <x:c r="K17" s="3">
        <x:f>J17*0.15</x:f>
      </x:c>
      <x:c r="L17" s="3">
        <x:f>IF(J17*0.15&gt;K17,K17,J17*0.15)</x:f>
      </x:c>
      <x:c r="M17" s="65">
        <x:f>IF(K17-L17&gt;0,K17-L17,0)</x:f>
      </x:c>
      <x:c r="N17" s="3">
        <x:f>G17*0.00759</x:f>
      </x:c>
      <x:c r="O17" s="3">
        <x:f>IF(G17*0.00759&gt;G17,197.38,G17*0.00759)</x:f>
      </x:c>
      <x:c r="P17" s="3">
        <x:f>IF(N17-O17&gt;0,N17-O17,0)</x:f>
      </x:c>
      <x:c r="Q17" s="65">
        <x:f>+H17</x:f>
      </x:c>
      <x:c r="R17" s="65">
        <x:v>0</x:v>
      </x:c>
      <x:c r="S17" s="3">
        <x:f>R17+Q17</x:f>
      </x:c>
      <x:c r="T17" s="3">
        <x:f>I17-S17</x:f>
      </x:c>
      <x:c r="U17" s="255"/>
    </x:row>
    <x:row r="18" spans="1:21" ht="21" customHeight="1" x14ac:dyDescent="0.2">
      <x:c r="A18" s="253">
        <x:f>+'Banka Lis.'!B17</x:f>
      </x:c>
      <x:c r="B18" s="253">
        <x:f>+Puantaj!C18</x:f>
      </x:c>
      <x:c r="C18" s="4">
        <x:f>+Puantaj!D18</x:f>
      </x:c>
      <x:c r="D18" s="4">
        <x:f>+Puantaj!E18</x:f>
      </x:c>
      <x:c r="E18" s="4">
        <x:f>+'Banka Lis.'!H17</x:f>
      </x:c>
      <x:c r="F18" s="254">
        <x:f>+Puantaj!AK18</x:f>
      </x:c>
      <x:c r="G18" s="33">
        <x:f>F18*1083</x:f>
      </x:c>
      <x:c r="H18" s="62">
        <x:f>G18*0.055</x:f>
      </x:c>
      <x:c r="I18" s="3">
        <x:f>G18+H18</x:f>
      </x:c>
      <x:c r="J18" s="3">
        <x:f>+G18</x:f>
      </x:c>
      <x:c r="K18" s="3">
        <x:f>J18*0.15</x:f>
      </x:c>
      <x:c r="L18" s="3">
        <x:f>IF(J18*0.15&gt;K18,K18,J18*0.15)</x:f>
      </x:c>
      <x:c r="M18" s="65">
        <x:f>IF(K18-L18&gt;0,K18-L18,0)</x:f>
      </x:c>
      <x:c r="N18" s="3">
        <x:f>G18*0.00759</x:f>
      </x:c>
      <x:c r="O18" s="3">
        <x:f>IF(G18*0.00759&gt;G18,197.38,G18*0.00759)</x:f>
      </x:c>
      <x:c r="P18" s="3">
        <x:f>IF(N18-O18&gt;0,N18-O18,0)</x:f>
      </x:c>
      <x:c r="Q18" s="65">
        <x:f>+H18</x:f>
      </x:c>
      <x:c r="R18" s="65">
        <x:v>0</x:v>
      </x:c>
      <x:c r="S18" s="3">
        <x:f>R18+Q18</x:f>
      </x:c>
      <x:c r="T18" s="3">
        <x:f>I18-S18</x:f>
      </x:c>
      <x:c r="U18" s="255"/>
    </x:row>
    <x:row r="19" spans="1:21" ht="21" customHeight="1" x14ac:dyDescent="0.2">
      <x:c r="A19" s="253">
        <x:f>+'Banka Lis.'!B18</x:f>
      </x:c>
      <x:c r="B19" s="253">
        <x:f>+Puantaj!C19</x:f>
      </x:c>
      <x:c r="C19" s="4">
        <x:f>+Puantaj!D19</x:f>
      </x:c>
      <x:c r="D19" s="4">
        <x:f>+Puantaj!E19</x:f>
      </x:c>
      <x:c r="E19" s="4">
        <x:f>+'Banka Lis.'!H18</x:f>
      </x:c>
      <x:c r="F19" s="254">
        <x:f>+Puantaj!AK19</x:f>
      </x:c>
      <x:c r="G19" s="33">
        <x:f>F19*1083</x:f>
      </x:c>
      <x:c r="H19" s="62">
        <x:f>G19*0.055</x:f>
      </x:c>
      <x:c r="I19" s="3">
        <x:f>G19+H19</x:f>
      </x:c>
      <x:c r="J19" s="3">
        <x:f>+G19</x:f>
      </x:c>
      <x:c r="K19" s="3">
        <x:f>J19*0.15</x:f>
      </x:c>
      <x:c r="L19" s="3">
        <x:f>IF(J19*0.15&gt;K19,K19,J19*0.15)</x:f>
      </x:c>
      <x:c r="M19" s="65">
        <x:f>IF(K19-L19&gt;0,K19-L19,0)</x:f>
      </x:c>
      <x:c r="N19" s="3">
        <x:f>G19*0.00759</x:f>
      </x:c>
      <x:c r="O19" s="3">
        <x:f>IF(G19*0.00759&gt;G19,197.38,G19*0.00759)</x:f>
      </x:c>
      <x:c r="P19" s="3">
        <x:f>IF(N19-O19&gt;0,N19-O19,0)</x:f>
      </x:c>
      <x:c r="Q19" s="65">
        <x:f>+H19</x:f>
      </x:c>
      <x:c r="R19" s="65">
        <x:v>0</x:v>
      </x:c>
      <x:c r="S19" s="3">
        <x:f>R19+Q19</x:f>
      </x:c>
      <x:c r="T19" s="3">
        <x:f>I19-S19</x:f>
      </x:c>
      <x:c r="U19" s="255"/>
    </x:row>
    <x:row r="20" spans="1:21" ht="21" customHeight="1" x14ac:dyDescent="0.2">
      <x:c r="A20" s="253">
        <x:f>+'Banka Lis.'!B19</x:f>
      </x:c>
      <x:c r="B20" s="253">
        <x:f>+Puantaj!C20</x:f>
      </x:c>
      <x:c r="C20" s="4">
        <x:f>+Puantaj!D20</x:f>
      </x:c>
      <x:c r="D20" s="4">
        <x:f>+Puantaj!E20</x:f>
      </x:c>
      <x:c r="E20" s="4">
        <x:f>+'Banka Lis.'!H19</x:f>
      </x:c>
      <x:c r="F20" s="254">
        <x:f>+Puantaj!AK20</x:f>
      </x:c>
      <x:c r="G20" s="33">
        <x:f>F20*1083</x:f>
      </x:c>
      <x:c r="H20" s="62">
        <x:f>G20*0.055</x:f>
      </x:c>
      <x:c r="I20" s="3">
        <x:f>G20+H20</x:f>
      </x:c>
      <x:c r="J20" s="3">
        <x:f>+G20</x:f>
      </x:c>
      <x:c r="K20" s="3">
        <x:f>J20*0.15</x:f>
      </x:c>
      <x:c r="L20" s="3">
        <x:f>IF(J20*0.15&gt;K20,K20,J20*0.15)</x:f>
      </x:c>
      <x:c r="M20" s="65">
        <x:f>IF(K20-L20&gt;0,K20-L20,0)</x:f>
      </x:c>
      <x:c r="N20" s="3">
        <x:f>G20*0.00759</x:f>
      </x:c>
      <x:c r="O20" s="3">
        <x:f>IF(G20*0.00759&gt;G20,197.38,G20*0.00759)</x:f>
      </x:c>
      <x:c r="P20" s="3">
        <x:f>IF(N20-O20&gt;0,N20-O20,0)</x:f>
      </x:c>
      <x:c r="Q20" s="65">
        <x:f>+H20</x:f>
      </x:c>
      <x:c r="R20" s="65">
        <x:v>0</x:v>
      </x:c>
      <x:c r="S20" s="3">
        <x:f>R20+Q20</x:f>
      </x:c>
      <x:c r="T20" s="3">
        <x:f>I20-S20</x:f>
      </x:c>
      <x:c r="U20" s="255"/>
    </x:row>
    <x:row r="21" spans="1:21" ht="21" customHeight="1" x14ac:dyDescent="0.2">
      <x:c r="A21" s="253">
        <x:f>+'Banka Lis.'!B20</x:f>
      </x:c>
      <x:c r="B21" s="253">
        <x:f>+Puantaj!C21</x:f>
      </x:c>
      <x:c r="C21" s="4">
        <x:f>+Puantaj!D21</x:f>
      </x:c>
      <x:c r="D21" s="4">
        <x:f>+Puantaj!E21</x:f>
      </x:c>
      <x:c r="E21" s="4">
        <x:f>+'Banka Lis.'!H20</x:f>
      </x:c>
      <x:c r="F21" s="254">
        <x:f>+Puantaj!AK21</x:f>
      </x:c>
      <x:c r="G21" s="33">
        <x:f>F21*1083</x:f>
      </x:c>
      <x:c r="H21" s="62">
        <x:f>G21*0.055</x:f>
      </x:c>
      <x:c r="I21" s="3">
        <x:f>G21+H21</x:f>
      </x:c>
      <x:c r="J21" s="3">
        <x:f>+G21</x:f>
      </x:c>
      <x:c r="K21" s="3">
        <x:f>J21*0.15</x:f>
      </x:c>
      <x:c r="L21" s="3">
        <x:f>IF(J21*0.15&gt;K21,K21,J21*0.15)</x:f>
      </x:c>
      <x:c r="M21" s="65">
        <x:f>IF(K21-L21&gt;0,K21-L21,0)</x:f>
      </x:c>
      <x:c r="N21" s="3">
        <x:f>G21*0.00759</x:f>
      </x:c>
      <x:c r="O21" s="3">
        <x:f>IF(G21*0.00759&gt;G21,197.38,G21*0.00759)</x:f>
      </x:c>
      <x:c r="P21" s="3">
        <x:f>IF(N21-O21&gt;0,N21-O21,0)</x:f>
      </x:c>
      <x:c r="Q21" s="65">
        <x:f>+H21</x:f>
      </x:c>
      <x:c r="R21" s="65">
        <x:v>0</x:v>
      </x:c>
      <x:c r="S21" s="3">
        <x:f>R21+Q21</x:f>
      </x:c>
      <x:c r="T21" s="3">
        <x:f>I21-S21</x:f>
      </x:c>
      <x:c r="U21" s="255"/>
    </x:row>
    <x:row r="22" spans="1:21" ht="21" customHeight="1" x14ac:dyDescent="0.2">
      <x:c r="A22" s="253">
        <x:f>+'Banka Lis.'!B21</x:f>
      </x:c>
      <x:c r="B22" s="253">
        <x:f>+Puantaj!C22</x:f>
      </x:c>
      <x:c r="C22" s="4">
        <x:f>+Puantaj!D22</x:f>
      </x:c>
      <x:c r="D22" s="4">
        <x:f>+Puantaj!E22</x:f>
      </x:c>
      <x:c r="E22" s="4">
        <x:f>+'Banka Lis.'!H21</x:f>
      </x:c>
      <x:c r="F22" s="254">
        <x:f>+Puantaj!AK22</x:f>
      </x:c>
      <x:c r="G22" s="33">
        <x:f>F22*1083</x:f>
      </x:c>
      <x:c r="H22" s="62">
        <x:f>G22*0.055</x:f>
      </x:c>
      <x:c r="I22" s="3">
        <x:f>G22+H22</x:f>
      </x:c>
      <x:c r="J22" s="3">
        <x:f>+G22</x:f>
      </x:c>
      <x:c r="K22" s="3">
        <x:f>J22*0.15</x:f>
      </x:c>
      <x:c r="L22" s="3">
        <x:f>IF(J22*0.15&gt;K22,K22,J22*0.15)</x:f>
      </x:c>
      <x:c r="M22" s="65">
        <x:f>IF(K22-L22&gt;0,K22-L22,0)</x:f>
      </x:c>
      <x:c r="N22" s="3">
        <x:f>G22*0.00759</x:f>
      </x:c>
      <x:c r="O22" s="3">
        <x:f>IF(G22*0.00759&gt;G22,197.38,G22*0.00759)</x:f>
      </x:c>
      <x:c r="P22" s="3">
        <x:f>IF(N22-O22&gt;0,N22-O22,0)</x:f>
      </x:c>
      <x:c r="Q22" s="65">
        <x:f>+H22</x:f>
      </x:c>
      <x:c r="R22" s="65">
        <x:v>0</x:v>
      </x:c>
      <x:c r="S22" s="3">
        <x:f>R22+Q22</x:f>
      </x:c>
      <x:c r="T22" s="3">
        <x:f>I22-S22</x:f>
      </x:c>
      <x:c r="U22" s="255"/>
    </x:row>
    <x:row r="23" spans="1:21" ht="21" customHeight="1" x14ac:dyDescent="0.2">
      <x:c r="A23" s="253">
        <x:f>+'Banka Lis.'!B22</x:f>
      </x:c>
      <x:c r="B23" s="253">
        <x:f>+Puantaj!C23</x:f>
      </x:c>
      <x:c r="C23" s="4">
        <x:f>+Puantaj!D23</x:f>
      </x:c>
      <x:c r="D23" s="4">
        <x:f>+Puantaj!E23</x:f>
      </x:c>
      <x:c r="E23" s="4">
        <x:f>+'Banka Lis.'!H22</x:f>
      </x:c>
      <x:c r="F23" s="254">
        <x:f>+Puantaj!AK23</x:f>
      </x:c>
      <x:c r="G23" s="33">
        <x:f>F23*1083</x:f>
      </x:c>
      <x:c r="H23" s="62">
        <x:f>G23*0.055</x:f>
      </x:c>
      <x:c r="I23" s="3">
        <x:f>G23+H23</x:f>
      </x:c>
      <x:c r="J23" s="3">
        <x:f>+G23</x:f>
      </x:c>
      <x:c r="K23" s="3">
        <x:f>J23*0.15</x:f>
      </x:c>
      <x:c r="L23" s="3">
        <x:f>IF(J23*0.15&gt;K23,K23,J23*0.15)</x:f>
      </x:c>
      <x:c r="M23" s="65">
        <x:f>IF(K23-L23&gt;0,K23-L23,0)</x:f>
      </x:c>
      <x:c r="N23" s="3">
        <x:f>G23*0.00759</x:f>
      </x:c>
      <x:c r="O23" s="3">
        <x:f>IF(G23*0.00759&gt;G23,197.38,G23*0.00759)</x:f>
      </x:c>
      <x:c r="P23" s="3">
        <x:f>IF(N23-O23&gt;0,N23-O23,0)</x:f>
      </x:c>
      <x:c r="Q23" s="65">
        <x:f>+H23</x:f>
      </x:c>
      <x:c r="R23" s="65">
        <x:v>0</x:v>
      </x:c>
      <x:c r="S23" s="3">
        <x:f>R23+Q23</x:f>
      </x:c>
      <x:c r="T23" s="3">
        <x:f>I23-S23</x:f>
      </x:c>
      <x:c r="U23" s="255"/>
    </x:row>
    <x:row r="24" spans="1:21" ht="21" customHeight="1" x14ac:dyDescent="0.2">
      <x:c r="A24" s="253">
        <x:f>+'Banka Lis.'!B23</x:f>
      </x:c>
      <x:c r="B24" s="253">
        <x:f>+Puantaj!C24</x:f>
      </x:c>
      <x:c r="C24" s="4">
        <x:f>+Puantaj!D24</x:f>
      </x:c>
      <x:c r="D24" s="4">
        <x:f>+Puantaj!E24</x:f>
      </x:c>
      <x:c r="E24" s="4">
        <x:f>+'Banka Lis.'!H23</x:f>
      </x:c>
      <x:c r="F24" s="254">
        <x:f>+Puantaj!AK24</x:f>
      </x:c>
      <x:c r="G24" s="33">
        <x:f>F24*1083</x:f>
      </x:c>
      <x:c r="H24" s="62">
        <x:f>G24*0.055</x:f>
      </x:c>
      <x:c r="I24" s="3">
        <x:f>G24+H24</x:f>
      </x:c>
      <x:c r="J24" s="3">
        <x:f>+G24</x:f>
      </x:c>
      <x:c r="K24" s="3">
        <x:f>J24*0.15</x:f>
      </x:c>
      <x:c r="L24" s="3">
        <x:f>IF(J24*0.15&gt;K24,K24,J24*0.15)</x:f>
      </x:c>
      <x:c r="M24" s="65">
        <x:f>IF(K24-L24&gt;0,K24-L24,0)</x:f>
      </x:c>
      <x:c r="N24" s="3">
        <x:f>G24*0.00759</x:f>
      </x:c>
      <x:c r="O24" s="3">
        <x:f>IF(G24*0.00759&gt;G24,197.38,G24*0.00759)</x:f>
      </x:c>
      <x:c r="P24" s="3">
        <x:f>IF(N24-O24&gt;0,N24-O24,0)</x:f>
      </x:c>
      <x:c r="Q24" s="65">
        <x:f>+H24</x:f>
      </x:c>
      <x:c r="R24" s="65">
        <x:v>0</x:v>
      </x:c>
      <x:c r="S24" s="3">
        <x:f>R24+Q24</x:f>
      </x:c>
      <x:c r="T24" s="3">
        <x:f>I24-S24</x:f>
      </x:c>
      <x:c r="U24" s="255"/>
    </x:row>
    <x:row r="25" spans="1:21" ht="21" customHeight="1" x14ac:dyDescent="0.2">
      <x:c r="A25" s="253">
        <x:f>+'Banka Lis.'!B24</x:f>
      </x:c>
      <x:c r="B25" s="253">
        <x:f>+Puantaj!C25</x:f>
      </x:c>
      <x:c r="C25" s="4">
        <x:f>+Puantaj!D25</x:f>
      </x:c>
      <x:c r="D25" s="4">
        <x:f>+Puantaj!E25</x:f>
      </x:c>
      <x:c r="E25" s="4">
        <x:f>+'Banka Lis.'!H24</x:f>
      </x:c>
      <x:c r="F25" s="254">
        <x:f>+Puantaj!AK25</x:f>
      </x:c>
      <x:c r="G25" s="33">
        <x:f>F25*1083</x:f>
      </x:c>
      <x:c r="H25" s="62">
        <x:f>G25*0.055</x:f>
      </x:c>
      <x:c r="I25" s="3">
        <x:f>G25+H25</x:f>
      </x:c>
      <x:c r="J25" s="3">
        <x:f>+G25</x:f>
      </x:c>
      <x:c r="K25" s="3">
        <x:f>J25*0.15</x:f>
      </x:c>
      <x:c r="L25" s="3">
        <x:f>IF(J25*0.15&gt;K25,K25,J25*0.15)</x:f>
      </x:c>
      <x:c r="M25" s="65">
        <x:f>IF(K25-L25&gt;0,K25-L25,0)</x:f>
      </x:c>
      <x:c r="N25" s="3">
        <x:f>G25*0.00759</x:f>
      </x:c>
      <x:c r="O25" s="3">
        <x:f>IF(G25*0.00759&gt;G25,197.38,G25*0.00759)</x:f>
      </x:c>
      <x:c r="P25" s="3">
        <x:f>IF(N25-O25&gt;0,N25-O25,0)</x:f>
      </x:c>
      <x:c r="Q25" s="65">
        <x:f>+H25</x:f>
      </x:c>
      <x:c r="R25" s="65">
        <x:v>0</x:v>
      </x:c>
      <x:c r="S25" s="3">
        <x:f>R25+Q25</x:f>
      </x:c>
      <x:c r="T25" s="3">
        <x:f>I25-S25</x:f>
      </x:c>
      <x:c r="U25" s="255"/>
    </x:row>
    <x:row r="26" spans="1:21" ht="21" customHeight="1" x14ac:dyDescent="0.2">
      <x:c r="A26" s="253">
        <x:f>+'Banka Lis.'!B25</x:f>
      </x:c>
      <x:c r="B26" s="253">
        <x:f>+Puantaj!C26</x:f>
      </x:c>
      <x:c r="C26" s="4">
        <x:f>+Puantaj!D26</x:f>
      </x:c>
      <x:c r="D26" s="4">
        <x:f>+Puantaj!E26</x:f>
      </x:c>
      <x:c r="E26" s="4">
        <x:f>+'Banka Lis.'!H25</x:f>
      </x:c>
      <x:c r="F26" s="254">
        <x:f>+Puantaj!AK26</x:f>
      </x:c>
      <x:c r="G26" s="33">
        <x:f>F26*1083</x:f>
      </x:c>
      <x:c r="H26" s="62">
        <x:f>G26*0.055</x:f>
      </x:c>
      <x:c r="I26" s="3">
        <x:f>G26+H26</x:f>
      </x:c>
      <x:c r="J26" s="3">
        <x:f>+G26</x:f>
      </x:c>
      <x:c r="K26" s="3">
        <x:f>J26*0.15</x:f>
      </x:c>
      <x:c r="L26" s="3">
        <x:f>IF(J26*0.15&gt;K26,K26,J26*0.15)</x:f>
      </x:c>
      <x:c r="M26" s="65">
        <x:f>IF(K26-L26&gt;0,K26-L26,0)</x:f>
      </x:c>
      <x:c r="N26" s="3">
        <x:f>G26*0.00759</x:f>
      </x:c>
      <x:c r="O26" s="3">
        <x:f>IF(G26*0.00759&gt;G26,197.38,G26*0.00759)</x:f>
      </x:c>
      <x:c r="P26" s="3">
        <x:f>IF(N26-O26&gt;0,N26-O26,0)</x:f>
      </x:c>
      <x:c r="Q26" s="65">
        <x:f>+H26</x:f>
      </x:c>
      <x:c r="R26" s="65">
        <x:v>0</x:v>
      </x:c>
      <x:c r="S26" s="3">
        <x:f>R26+Q26</x:f>
      </x:c>
      <x:c r="T26" s="3">
        <x:f>I26-S26</x:f>
      </x:c>
      <x:c r="U26" s="255"/>
    </x:row>
    <x:row r="27" spans="1:21" ht="21" customHeight="1" x14ac:dyDescent="0.2">
      <x:c r="A27" s="253">
        <x:f>+'Banka Lis.'!B26</x:f>
      </x:c>
      <x:c r="B27" s="253">
        <x:f>+Puantaj!C27</x:f>
      </x:c>
      <x:c r="C27" s="4">
        <x:f>+Puantaj!D27</x:f>
      </x:c>
      <x:c r="D27" s="4">
        <x:f>+Puantaj!E27</x:f>
      </x:c>
      <x:c r="E27" s="4">
        <x:f>+'Banka Lis.'!H26</x:f>
      </x:c>
      <x:c r="F27" s="254">
        <x:f>+Puantaj!AK27</x:f>
      </x:c>
      <x:c r="G27" s="33">
        <x:f>F27*1083</x:f>
      </x:c>
      <x:c r="H27" s="62">
        <x:f>G27*0.055</x:f>
      </x:c>
      <x:c r="I27" s="3">
        <x:f>G27+H27</x:f>
      </x:c>
      <x:c r="J27" s="3">
        <x:f>+G27</x:f>
      </x:c>
      <x:c r="K27" s="3">
        <x:f>J27*0.15</x:f>
      </x:c>
      <x:c r="L27" s="3">
        <x:f>IF(J27*0.15&gt;K27,K27,J27*0.15)</x:f>
      </x:c>
      <x:c r="M27" s="65">
        <x:f>IF(K27-L27&gt;0,K27-L27,0)</x:f>
      </x:c>
      <x:c r="N27" s="3">
        <x:f>G27*0.00759</x:f>
      </x:c>
      <x:c r="O27" s="3">
        <x:f>IF(G27*0.00759&gt;G27,197.38,G27*0.00759)</x:f>
      </x:c>
      <x:c r="P27" s="3">
        <x:f>IF(N27-O27&gt;0,N27-O27,0)</x:f>
      </x:c>
      <x:c r="Q27" s="65">
        <x:f>+H27</x:f>
      </x:c>
      <x:c r="R27" s="65">
        <x:v>0</x:v>
      </x:c>
      <x:c r="S27" s="3">
        <x:f>R27+Q27</x:f>
      </x:c>
      <x:c r="T27" s="3">
        <x:f>I27-S27</x:f>
      </x:c>
      <x:c r="U27" s="255"/>
    </x:row>
    <x:row r="28" spans="1:21" ht="21" customHeight="1" x14ac:dyDescent="0.2">
      <x:c r="A28" s="253">
        <x:f>+'Banka Lis.'!B27</x:f>
      </x:c>
      <x:c r="B28" s="253">
        <x:f>+Puantaj!C28</x:f>
      </x:c>
      <x:c r="C28" s="4">
        <x:f>+Puantaj!D28</x:f>
      </x:c>
      <x:c r="D28" s="4">
        <x:f>+Puantaj!E28</x:f>
      </x:c>
      <x:c r="E28" s="4">
        <x:f>+'Banka Lis.'!H27</x:f>
      </x:c>
      <x:c r="F28" s="254">
        <x:f>+Puantaj!AK28</x:f>
      </x:c>
      <x:c r="G28" s="33">
        <x:f>F28*1083</x:f>
      </x:c>
      <x:c r="H28" s="62">
        <x:f>G28*0.055</x:f>
      </x:c>
      <x:c r="I28" s="3">
        <x:f>G28+H28</x:f>
      </x:c>
      <x:c r="J28" s="3">
        <x:f>+G28</x:f>
      </x:c>
      <x:c r="K28" s="3">
        <x:f>J28*0.15</x:f>
      </x:c>
      <x:c r="L28" s="3">
        <x:f>IF(J28*0.15&gt;K28,K28,J28*0.15)</x:f>
      </x:c>
      <x:c r="M28" s="65">
        <x:f>IF(K28-L28&gt;0,K28-L28,0)</x:f>
      </x:c>
      <x:c r="N28" s="3">
        <x:f>G28*0.00759</x:f>
      </x:c>
      <x:c r="O28" s="3">
        <x:f>IF(G28*0.00759&gt;G28,197.38,G28*0.00759)</x:f>
      </x:c>
      <x:c r="P28" s="3">
        <x:f>IF(N28-O28&gt;0,N28-O28,0)</x:f>
      </x:c>
      <x:c r="Q28" s="65">
        <x:f>+H28</x:f>
      </x:c>
      <x:c r="R28" s="65">
        <x:v>0</x:v>
      </x:c>
      <x:c r="S28" s="3">
        <x:f>R28+Q28</x:f>
      </x:c>
      <x:c r="T28" s="3">
        <x:f>I28-S28</x:f>
      </x:c>
      <x:c r="U28" s="255"/>
    </x:row>
    <x:row r="29" spans="1:21" ht="21" customHeight="1" x14ac:dyDescent="0.2">
      <x:c r="A29" s="253">
        <x:f>+'Banka Lis.'!B28</x:f>
      </x:c>
      <x:c r="B29" s="253">
        <x:f>+Puantaj!C29</x:f>
      </x:c>
      <x:c r="C29" s="4">
        <x:f>+Puantaj!D29</x:f>
      </x:c>
      <x:c r="D29" s="4">
        <x:f>+Puantaj!E29</x:f>
      </x:c>
      <x:c r="E29" s="4">
        <x:f>+'Banka Lis.'!H28</x:f>
      </x:c>
      <x:c r="F29" s="254">
        <x:f>+Puantaj!AK29</x:f>
      </x:c>
      <x:c r="G29" s="33">
        <x:f>F29*1083</x:f>
      </x:c>
      <x:c r="H29" s="62">
        <x:f>G29*0.055</x:f>
      </x:c>
      <x:c r="I29" s="3">
        <x:f>G29+H29</x:f>
      </x:c>
      <x:c r="J29" s="3">
        <x:f>+G29</x:f>
      </x:c>
      <x:c r="K29" s="3">
        <x:f>J29*0.15</x:f>
      </x:c>
      <x:c r="L29" s="3">
        <x:f>IF(J29*0.15&gt;K29,K29,J29*0.15)</x:f>
      </x:c>
      <x:c r="M29" s="65">
        <x:f>IF(K29-L29&gt;0,K29-L29,0)</x:f>
      </x:c>
      <x:c r="N29" s="3">
        <x:f>G29*0.00759</x:f>
      </x:c>
      <x:c r="O29" s="3">
        <x:f>IF(G29*0.00759&gt;G29,197.38,G29*0.00759)</x:f>
      </x:c>
      <x:c r="P29" s="3">
        <x:f>IF(N29-O29&gt;0,N29-O29,0)</x:f>
      </x:c>
      <x:c r="Q29" s="65">
        <x:f>+H29</x:f>
      </x:c>
      <x:c r="R29" s="65">
        <x:v>0</x:v>
      </x:c>
      <x:c r="S29" s="3">
        <x:f>R29+Q29</x:f>
      </x:c>
      <x:c r="T29" s="3">
        <x:f>I29-S29</x:f>
      </x:c>
      <x:c r="U29" s="255"/>
    </x:row>
    <x:row r="30" spans="1:21" ht="21" customHeight="1" x14ac:dyDescent="0.2">
      <x:c r="A30" s="253">
        <x:f>+'Banka Lis.'!B29</x:f>
      </x:c>
      <x:c r="B30" s="253">
        <x:f>+Puantaj!C30</x:f>
      </x:c>
      <x:c r="C30" s="4">
        <x:f>+Puantaj!D30</x:f>
      </x:c>
      <x:c r="D30" s="4">
        <x:f>+Puantaj!E30</x:f>
      </x:c>
      <x:c r="E30" s="4">
        <x:f>+'Banka Lis.'!H29</x:f>
      </x:c>
      <x:c r="F30" s="254">
        <x:f>+Puantaj!AK30</x:f>
      </x:c>
      <x:c r="G30" s="33">
        <x:f>F30*1083</x:f>
      </x:c>
      <x:c r="H30" s="62">
        <x:f>G30*0.055</x:f>
      </x:c>
      <x:c r="I30" s="3">
        <x:f>G30+H30</x:f>
      </x:c>
      <x:c r="J30" s="3">
        <x:f>+G30</x:f>
      </x:c>
      <x:c r="K30" s="3">
        <x:f>J30*0.15</x:f>
      </x:c>
      <x:c r="L30" s="3">
        <x:f>IF(J30*0.15&gt;K30,K30,J30*0.15)</x:f>
      </x:c>
      <x:c r="M30" s="65">
        <x:f>IF(K30-L30&gt;0,K30-L30,0)</x:f>
      </x:c>
      <x:c r="N30" s="3">
        <x:f>G30*0.00759</x:f>
      </x:c>
      <x:c r="O30" s="3">
        <x:f>IF(G30*0.00759&gt;G30,197.38,G30*0.00759)</x:f>
      </x:c>
      <x:c r="P30" s="3">
        <x:f>IF(N30-O30&gt;0,N30-O30,0)</x:f>
      </x:c>
      <x:c r="Q30" s="65">
        <x:f>+H30</x:f>
      </x:c>
      <x:c r="R30" s="65">
        <x:v>0</x:v>
      </x:c>
      <x:c r="S30" s="3">
        <x:f>R30+Q30</x:f>
      </x:c>
      <x:c r="T30" s="3">
        <x:f>I30-S30</x:f>
      </x:c>
      <x:c r="U30" s="255"/>
    </x:row>
    <x:row r="31" spans="1:21" ht="21" customHeight="1" x14ac:dyDescent="0.2">
      <x:c r="A31" s="253">
        <x:f>+'Banka Lis.'!B30</x:f>
      </x:c>
      <x:c r="B31" s="253">
        <x:f>+Puantaj!C31</x:f>
      </x:c>
      <x:c r="C31" s="4">
        <x:f>+Puantaj!D31</x:f>
      </x:c>
      <x:c r="D31" s="4">
        <x:f>+Puantaj!E31</x:f>
      </x:c>
      <x:c r="E31" s="4">
        <x:f>+'Banka Lis.'!H30</x:f>
      </x:c>
      <x:c r="F31" s="254">
        <x:f>+Puantaj!AK31</x:f>
      </x:c>
      <x:c r="G31" s="33">
        <x:f>F31*1083</x:f>
      </x:c>
      <x:c r="H31" s="62">
        <x:f>G31*0.055</x:f>
      </x:c>
      <x:c r="I31" s="3">
        <x:f>G31+H31</x:f>
      </x:c>
      <x:c r="J31" s="3">
        <x:f>+G31</x:f>
      </x:c>
      <x:c r="K31" s="3">
        <x:f>J31*0.15</x:f>
      </x:c>
      <x:c r="L31" s="3">
        <x:f>IF(J31*0.15&gt;K31,K31,J31*0.15)</x:f>
      </x:c>
      <x:c r="M31" s="65">
        <x:f>IF(K31-L31&gt;0,K31-L31,0)</x:f>
      </x:c>
      <x:c r="N31" s="3">
        <x:f>G31*0.00759</x:f>
      </x:c>
      <x:c r="O31" s="3">
        <x:f>IF(G31*0.00759&gt;G31,197.38,G31*0.00759)</x:f>
      </x:c>
      <x:c r="P31" s="3">
        <x:f>IF(N31-O31&gt;0,N31-O31,0)</x:f>
      </x:c>
      <x:c r="Q31" s="65">
        <x:f>+H31</x:f>
      </x:c>
      <x:c r="R31" s="65">
        <x:v>0</x:v>
      </x:c>
      <x:c r="S31" s="3">
        <x:f>R31+Q31</x:f>
      </x:c>
      <x:c r="T31" s="3">
        <x:f>I31-S31</x:f>
      </x:c>
      <x:c r="U31" s="255"/>
    </x:row>
    <x:row r="32" spans="1:21" ht="21" customHeight="1" x14ac:dyDescent="0.2">
      <x:c r="A32" s="253">
        <x:f>+'Banka Lis.'!B31</x:f>
      </x:c>
      <x:c r="B32" s="253">
        <x:f>+Puantaj!C32</x:f>
      </x:c>
      <x:c r="C32" s="4">
        <x:f>+Puantaj!D32</x:f>
      </x:c>
      <x:c r="D32" s="4">
        <x:f>+Puantaj!E32</x:f>
      </x:c>
      <x:c r="E32" s="4">
        <x:f>+'Banka Lis.'!H31</x:f>
      </x:c>
      <x:c r="F32" s="254">
        <x:f>+Puantaj!AK32</x:f>
      </x:c>
      <x:c r="G32" s="33">
        <x:f>F32*1083</x:f>
      </x:c>
      <x:c r="H32" s="62">
        <x:f>G32*0.055</x:f>
      </x:c>
      <x:c r="I32" s="3">
        <x:f>G32+H32</x:f>
      </x:c>
      <x:c r="J32" s="3">
        <x:f>+G32</x:f>
      </x:c>
      <x:c r="K32" s="3">
        <x:f>J32*0.15</x:f>
      </x:c>
      <x:c r="L32" s="3">
        <x:f>IF(J32*0.15&gt;K32,K32,J32*0.15)</x:f>
      </x:c>
      <x:c r="M32" s="65">
        <x:f>IF(K32-L32&gt;0,K32-L32,0)</x:f>
      </x:c>
      <x:c r="N32" s="3">
        <x:f>G32*0.00759</x:f>
      </x:c>
      <x:c r="O32" s="3">
        <x:f>IF(G32*0.00759&gt;G32,197.38,G32*0.00759)</x:f>
      </x:c>
      <x:c r="P32" s="3">
        <x:f>IF(N32-O32&gt;0,N32-O32,0)</x:f>
      </x:c>
      <x:c r="Q32" s="65">
        <x:f>+H32</x:f>
      </x:c>
      <x:c r="R32" s="65">
        <x:v>0</x:v>
      </x:c>
      <x:c r="S32" s="3">
        <x:f>R32+Q32</x:f>
      </x:c>
      <x:c r="T32" s="3">
        <x:f>I32-S32</x:f>
      </x:c>
      <x:c r="U32" s="255"/>
    </x:row>
    <x:row r="33" spans="1:21" ht="21" customHeight="1" x14ac:dyDescent="0.2">
      <x:c r="A33" s="253">
        <x:f>+'Banka Lis.'!B32</x:f>
      </x:c>
      <x:c r="B33" s="253">
        <x:f>+Puantaj!C33</x:f>
      </x:c>
      <x:c r="C33" s="4">
        <x:f>+Puantaj!D33</x:f>
      </x:c>
      <x:c r="D33" s="4">
        <x:f>+Puantaj!E33</x:f>
      </x:c>
      <x:c r="E33" s="4">
        <x:f>+'Banka Lis.'!H32</x:f>
      </x:c>
      <x:c r="F33" s="254">
        <x:f>+Puantaj!AK33</x:f>
      </x:c>
      <x:c r="G33" s="33">
        <x:f>F33*1083</x:f>
      </x:c>
      <x:c r="H33" s="62">
        <x:f>G33*0.055</x:f>
      </x:c>
      <x:c r="I33" s="3">
        <x:f>G33+H33</x:f>
      </x:c>
      <x:c r="J33" s="3">
        <x:f>+G33</x:f>
      </x:c>
      <x:c r="K33" s="3">
        <x:f>J33*0.15</x:f>
      </x:c>
      <x:c r="L33" s="3">
        <x:f>IF(J33*0.15&gt;K33,K33,J33*0.15)</x:f>
      </x:c>
      <x:c r="M33" s="65">
        <x:f>IF(K33-L33&gt;0,K33-L33,0)</x:f>
      </x:c>
      <x:c r="N33" s="3">
        <x:f>G33*0.00759</x:f>
      </x:c>
      <x:c r="O33" s="3">
        <x:f>IF(G33*0.00759&gt;G33,197.38,G33*0.00759)</x:f>
      </x:c>
      <x:c r="P33" s="3">
        <x:f>IF(N33-O33&gt;0,N33-O33,0)</x:f>
      </x:c>
      <x:c r="Q33" s="65">
        <x:f>+H33</x:f>
      </x:c>
      <x:c r="R33" s="65">
        <x:v>0</x:v>
      </x:c>
      <x:c r="S33" s="3">
        <x:f>R33+Q33</x:f>
      </x:c>
      <x:c r="T33" s="3">
        <x:f>I33-S33</x:f>
      </x:c>
      <x:c r="U33" s="255"/>
    </x:row>
    <x:row r="34" spans="1:21" ht="21" customHeight="1" x14ac:dyDescent="0.2">
      <x:c r="A34" s="253">
        <x:f>+'Banka Lis.'!B33</x:f>
      </x:c>
      <x:c r="B34" s="253">
        <x:f>+Puantaj!C34</x:f>
      </x:c>
      <x:c r="C34" s="4">
        <x:f>+Puantaj!D34</x:f>
      </x:c>
      <x:c r="D34" s="4">
        <x:f>+Puantaj!E34</x:f>
      </x:c>
      <x:c r="E34" s="4">
        <x:f>+'Banka Lis.'!H33</x:f>
      </x:c>
      <x:c r="F34" s="254">
        <x:f>+Puantaj!AK34</x:f>
      </x:c>
      <x:c r="G34" s="33">
        <x:f>F34*1083</x:f>
      </x:c>
      <x:c r="H34" s="62">
        <x:f>G34*0.055</x:f>
      </x:c>
      <x:c r="I34" s="3">
        <x:f>G34+H34</x:f>
      </x:c>
      <x:c r="J34" s="3">
        <x:f>+G34</x:f>
      </x:c>
      <x:c r="K34" s="3">
        <x:f>J34*0.15</x:f>
      </x:c>
      <x:c r="L34" s="3">
        <x:f>IF(J34*0.15&gt;K34,K34,J34*0.15)</x:f>
      </x:c>
      <x:c r="M34" s="65">
        <x:f>IF(K34-L34&gt;0,K34-L34,0)</x:f>
      </x:c>
      <x:c r="N34" s="3">
        <x:f>G34*0.00759</x:f>
      </x:c>
      <x:c r="O34" s="3">
        <x:f>IF(G34*0.00759&gt;G34,197.38,G34*0.00759)</x:f>
      </x:c>
      <x:c r="P34" s="3">
        <x:f>IF(N34-O34&gt;0,N34-O34,0)</x:f>
      </x:c>
      <x:c r="Q34" s="65">
        <x:f>+H34</x:f>
      </x:c>
      <x:c r="R34" s="65">
        <x:v>0</x:v>
      </x:c>
      <x:c r="S34" s="3">
        <x:f>R34+Q34</x:f>
      </x:c>
      <x:c r="T34" s="3">
        <x:f>I34-S34</x:f>
      </x:c>
      <x:c r="U34" s="255"/>
    </x:row>
    <x:row r="35" spans="1:21" ht="21" customHeight="1" x14ac:dyDescent="0.2">
      <x:c r="A35" s="253">
        <x:f>+'Banka Lis.'!B34</x:f>
      </x:c>
      <x:c r="B35" s="253">
        <x:f>+Puantaj!C35</x:f>
      </x:c>
      <x:c r="C35" s="4">
        <x:f>+Puantaj!D35</x:f>
      </x:c>
      <x:c r="D35" s="4">
        <x:f>+Puantaj!E35</x:f>
      </x:c>
      <x:c r="E35" s="4">
        <x:f>+'Banka Lis.'!H34</x:f>
      </x:c>
      <x:c r="F35" s="254">
        <x:f>+Puantaj!AK35</x:f>
      </x:c>
      <x:c r="G35" s="33">
        <x:f>F35*1083</x:f>
      </x:c>
      <x:c r="H35" s="62">
        <x:f>G35*0.055</x:f>
      </x:c>
      <x:c r="I35" s="3">
        <x:f>G35+H35</x:f>
      </x:c>
      <x:c r="J35" s="3">
        <x:f>+G35</x:f>
      </x:c>
      <x:c r="K35" s="3">
        <x:f>J35*0.15</x:f>
      </x:c>
      <x:c r="L35" s="3">
        <x:f>IF(J35*0.15&gt;K35,K35,J35*0.15)</x:f>
      </x:c>
      <x:c r="M35" s="65">
        <x:f>IF(K35-L35&gt;0,K35-L35,0)</x:f>
      </x:c>
      <x:c r="N35" s="3">
        <x:f>G35*0.00759</x:f>
      </x:c>
      <x:c r="O35" s="3">
        <x:f>IF(G35*0.00759&gt;G35,197.38,G35*0.00759)</x:f>
      </x:c>
      <x:c r="P35" s="3">
        <x:f>IF(N35-O35&gt;0,N35-O35,0)</x:f>
      </x:c>
      <x:c r="Q35" s="65">
        <x:f>+H35</x:f>
      </x:c>
      <x:c r="R35" s="65">
        <x:v>0</x:v>
      </x:c>
      <x:c r="S35" s="3">
        <x:f>R35+Q35</x:f>
      </x:c>
      <x:c r="T35" s="3">
        <x:f>I35-S35</x:f>
      </x:c>
      <x:c r="U35" s="255"/>
    </x:row>
    <x:row r="36" spans="1:21" ht="21" customHeight="1" x14ac:dyDescent="0.2">
      <x:c r="A36" s="253">
        <x:f>+'Banka Lis.'!B35</x:f>
      </x:c>
      <x:c r="B36" s="253">
        <x:f>+Puantaj!C36</x:f>
      </x:c>
      <x:c r="C36" s="4">
        <x:f>+Puantaj!D36</x:f>
      </x:c>
      <x:c r="D36" s="4">
        <x:f>+Puantaj!E36</x:f>
      </x:c>
      <x:c r="E36" s="4">
        <x:f>+'Banka Lis.'!H35</x:f>
      </x:c>
      <x:c r="F36" s="254">
        <x:f>+Puantaj!AK36</x:f>
      </x:c>
      <x:c r="G36" s="33">
        <x:f>F36*1083</x:f>
      </x:c>
      <x:c r="H36" s="62">
        <x:f>G36*0.055</x:f>
      </x:c>
      <x:c r="I36" s="3">
        <x:f>G36+H36</x:f>
      </x:c>
      <x:c r="J36" s="3">
        <x:f>+G36</x:f>
      </x:c>
      <x:c r="K36" s="3">
        <x:f>J36*0.15</x:f>
      </x:c>
      <x:c r="L36" s="3">
        <x:f>IF(J36*0.15&gt;K36,K36,J36*0.15)</x:f>
      </x:c>
      <x:c r="M36" s="65">
        <x:f>IF(K36-L36&gt;0,K36-L36,0)</x:f>
      </x:c>
      <x:c r="N36" s="3">
        <x:f>G36*0.00759</x:f>
      </x:c>
      <x:c r="O36" s="3">
        <x:f>IF(G36*0.00759&gt;G36,197.38,G36*0.00759)</x:f>
      </x:c>
      <x:c r="P36" s="3">
        <x:f>IF(N36-O36&gt;0,N36-O36,0)</x:f>
      </x:c>
      <x:c r="Q36" s="65">
        <x:f>+H36</x:f>
      </x:c>
      <x:c r="R36" s="65">
        <x:v>0</x:v>
      </x:c>
      <x:c r="S36" s="3">
        <x:f>R36+Q36</x:f>
      </x:c>
      <x:c r="T36" s="3">
        <x:f>I36-S36</x:f>
      </x:c>
      <x:c r="U36" s="255"/>
    </x:row>
    <x:row r="37" spans="1:21" ht="21" customHeight="1" x14ac:dyDescent="0.2">
      <x:c r="A37" s="253">
        <x:f>+'Banka Lis.'!B36</x:f>
      </x:c>
      <x:c r="B37" s="253">
        <x:f>+Puantaj!C37</x:f>
      </x:c>
      <x:c r="C37" s="4">
        <x:f>+Puantaj!D37</x:f>
      </x:c>
      <x:c r="D37" s="4">
        <x:f>+Puantaj!E37</x:f>
      </x:c>
      <x:c r="E37" s="4">
        <x:f>+'Banka Lis.'!H36</x:f>
      </x:c>
      <x:c r="F37" s="254">
        <x:f>+Puantaj!AK37</x:f>
      </x:c>
      <x:c r="G37" s="33">
        <x:f>F37*1083</x:f>
      </x:c>
      <x:c r="H37" s="62">
        <x:f>G37*0.055</x:f>
      </x:c>
      <x:c r="I37" s="3">
        <x:f>G37+H37</x:f>
      </x:c>
      <x:c r="J37" s="3">
        <x:f>+G37</x:f>
      </x:c>
      <x:c r="K37" s="3">
        <x:f>J37*0.15</x:f>
      </x:c>
      <x:c r="L37" s="3">
        <x:f>IF(J37*0.15&gt;K37,K37,J37*0.15)</x:f>
      </x:c>
      <x:c r="M37" s="65">
        <x:f>IF(K37-L37&gt;0,K37-L37,0)</x:f>
      </x:c>
      <x:c r="N37" s="3">
        <x:f>G37*0.00759</x:f>
      </x:c>
      <x:c r="O37" s="3">
        <x:f>IF(G37*0.00759&gt;G37,197.38,G37*0.00759)</x:f>
      </x:c>
      <x:c r="P37" s="3">
        <x:f>IF(N37-O37&gt;0,N37-O37,0)</x:f>
      </x:c>
      <x:c r="Q37" s="65">
        <x:f>+H37</x:f>
      </x:c>
      <x:c r="R37" s="65">
        <x:v>0</x:v>
      </x:c>
      <x:c r="S37" s="3">
        <x:f>R37+Q37</x:f>
      </x:c>
      <x:c r="T37" s="3">
        <x:f>I37-S37</x:f>
      </x:c>
      <x:c r="U37" s="255"/>
    </x:row>
    <x:row r="38" spans="1:21" ht="21" customHeight="1" x14ac:dyDescent="0.2">
      <x:c r="A38" s="253">
        <x:f>+'Banka Lis.'!B37</x:f>
      </x:c>
      <x:c r="B38" s="253">
        <x:f>+Puantaj!C38</x:f>
      </x:c>
      <x:c r="C38" s="4">
        <x:f>+Puantaj!D38</x:f>
      </x:c>
      <x:c r="D38" s="4">
        <x:f>+Puantaj!E38</x:f>
      </x:c>
      <x:c r="E38" s="4">
        <x:f>+'Banka Lis.'!H37</x:f>
      </x:c>
      <x:c r="F38" s="254">
        <x:f>+Puantaj!AK38</x:f>
      </x:c>
      <x:c r="G38" s="33">
        <x:f>F38*1083</x:f>
      </x:c>
      <x:c r="H38" s="62">
        <x:f>G38*0.055</x:f>
      </x:c>
      <x:c r="I38" s="3">
        <x:f>G38+H38</x:f>
      </x:c>
      <x:c r="J38" s="3">
        <x:f>+G38</x:f>
      </x:c>
      <x:c r="K38" s="3">
        <x:f>J38*0.15</x:f>
      </x:c>
      <x:c r="L38" s="3">
        <x:f>IF(J38*0.15&gt;K38,K38,J38*0.15)</x:f>
      </x:c>
      <x:c r="M38" s="65">
        <x:f>IF(K38-L38&gt;0,K38-L38,0)</x:f>
      </x:c>
      <x:c r="N38" s="3">
        <x:f>G38*0.00759</x:f>
      </x:c>
      <x:c r="O38" s="3">
        <x:f>IF(G38*0.00759&gt;G38,197.38,G38*0.00759)</x:f>
      </x:c>
      <x:c r="P38" s="3">
        <x:f>IF(N38-O38&gt;0,N38-O38,0)</x:f>
      </x:c>
      <x:c r="Q38" s="65">
        <x:f>+H38</x:f>
      </x:c>
      <x:c r="R38" s="65">
        <x:v>0</x:v>
      </x:c>
      <x:c r="S38" s="3">
        <x:f>R38+Q38</x:f>
      </x:c>
      <x:c r="T38" s="3">
        <x:f>I38-S38</x:f>
      </x:c>
      <x:c r="U38" s="255"/>
    </x:row>
    <x:row r="39" spans="1:21" ht="21" customHeight="1" x14ac:dyDescent="0.2">
      <x:c r="A39" s="253">
        <x:f>+'Banka Lis.'!B38</x:f>
      </x:c>
      <x:c r="B39" s="253">
        <x:f>+Puantaj!C39</x:f>
      </x:c>
      <x:c r="C39" s="4">
        <x:f>+Puantaj!D39</x:f>
      </x:c>
      <x:c r="D39" s="4">
        <x:f>+Puantaj!E39</x:f>
      </x:c>
      <x:c r="E39" s="4">
        <x:f>+'Banka Lis.'!H38</x:f>
      </x:c>
      <x:c r="F39" s="254">
        <x:f>+Puantaj!AK39</x:f>
      </x:c>
      <x:c r="G39" s="33">
        <x:f>F39*1083</x:f>
      </x:c>
      <x:c r="H39" s="62">
        <x:f>G39*0.055</x:f>
      </x:c>
      <x:c r="I39" s="3">
        <x:f>G39+H39</x:f>
      </x:c>
      <x:c r="J39" s="3">
        <x:f>+G39</x:f>
      </x:c>
      <x:c r="K39" s="3">
        <x:f>J39*0.15</x:f>
      </x:c>
      <x:c r="L39" s="3">
        <x:f>IF(J39*0.15&gt;K39,K39,J39*0.15)</x:f>
      </x:c>
      <x:c r="M39" s="65">
        <x:f>IF(K39-L39&gt;0,K39-L39,0)</x:f>
      </x:c>
      <x:c r="N39" s="3">
        <x:f>G39*0.00759</x:f>
      </x:c>
      <x:c r="O39" s="3">
        <x:f>IF(G39*0.00759&gt;G39,197.38,G39*0.00759)</x:f>
      </x:c>
      <x:c r="P39" s="3">
        <x:f>IF(N39-O39&gt;0,N39-O39,0)</x:f>
      </x:c>
      <x:c r="Q39" s="65">
        <x:f>+H39</x:f>
      </x:c>
      <x:c r="R39" s="65">
        <x:v>0</x:v>
      </x:c>
      <x:c r="S39" s="3">
        <x:f>R39+Q39</x:f>
      </x:c>
      <x:c r="T39" s="3">
        <x:f>I39-S39</x:f>
      </x:c>
      <x:c r="U39" s="255"/>
    </x:row>
    <x:row r="40" spans="1:21" ht="21" customHeight="1" x14ac:dyDescent="0.2">
      <x:c r="A40" s="253">
        <x:f>+'Banka Lis.'!B39</x:f>
      </x:c>
      <x:c r="B40" s="253">
        <x:f>+Puantaj!C40</x:f>
      </x:c>
      <x:c r="C40" s="4">
        <x:f>+Puantaj!D40</x:f>
      </x:c>
      <x:c r="D40" s="4">
        <x:f>+Puantaj!E40</x:f>
      </x:c>
      <x:c r="E40" s="4">
        <x:f>+'Banka Lis.'!H39</x:f>
      </x:c>
      <x:c r="F40" s="254">
        <x:f>+Puantaj!AK40</x:f>
      </x:c>
      <x:c r="G40" s="33">
        <x:f>F40*1083</x:f>
      </x:c>
      <x:c r="H40" s="62">
        <x:f>G40*0.055</x:f>
      </x:c>
      <x:c r="I40" s="3">
        <x:f>G40+H40</x:f>
      </x:c>
      <x:c r="J40" s="3">
        <x:f>+G40</x:f>
      </x:c>
      <x:c r="K40" s="3">
        <x:f>J40*0.15</x:f>
      </x:c>
      <x:c r="L40" s="3">
        <x:f>IF(J40*0.15&gt;K40,K40,J40*0.15)</x:f>
      </x:c>
      <x:c r="M40" s="65">
        <x:f>IF(K40-L40&gt;0,K40-L40,0)</x:f>
      </x:c>
      <x:c r="N40" s="3">
        <x:f>G40*0.00759</x:f>
      </x:c>
      <x:c r="O40" s="3">
        <x:f>IF(G40*0.00759&gt;G40,197.38,G40*0.00759)</x:f>
      </x:c>
      <x:c r="P40" s="3">
        <x:f>IF(N40-O40&gt;0,N40-O40,0)</x:f>
      </x:c>
      <x:c r="Q40" s="65">
        <x:f>+H40</x:f>
      </x:c>
      <x:c r="R40" s="65">
        <x:v>0</x:v>
      </x:c>
      <x:c r="S40" s="3">
        <x:f>R40+Q40</x:f>
      </x:c>
      <x:c r="T40" s="3">
        <x:f>I40-S40</x:f>
      </x:c>
      <x:c r="U40" s="255"/>
    </x:row>
    <x:row r="41" spans="1:21" ht="21" customHeight="1" x14ac:dyDescent="0.2">
      <x:c r="A41" s="253">
        <x:f>+'Banka Lis.'!B40</x:f>
      </x:c>
      <x:c r="B41" s="253">
        <x:f>+Puantaj!C41</x:f>
      </x:c>
      <x:c r="C41" s="4">
        <x:f>+Puantaj!D41</x:f>
      </x:c>
      <x:c r="D41" s="4">
        <x:f>+Puantaj!E41</x:f>
      </x:c>
      <x:c r="E41" s="4">
        <x:f>+'Banka Lis.'!H40</x:f>
      </x:c>
      <x:c r="F41" s="254">
        <x:f>+Puantaj!AK41</x:f>
      </x:c>
      <x:c r="G41" s="33">
        <x:f>F41*1083</x:f>
      </x:c>
      <x:c r="H41" s="62">
        <x:f>G41*0.055</x:f>
      </x:c>
      <x:c r="I41" s="3">
        <x:f>G41+H41</x:f>
      </x:c>
      <x:c r="J41" s="3">
        <x:f>+G41</x:f>
      </x:c>
      <x:c r="K41" s="3">
        <x:f>J41*0.15</x:f>
      </x:c>
      <x:c r="L41" s="3">
        <x:f>IF(J41*0.15&gt;K41,K41,J41*0.15)</x:f>
      </x:c>
      <x:c r="M41" s="65">
        <x:f>IF(K41-L41&gt;0,K41-L41,0)</x:f>
      </x:c>
      <x:c r="N41" s="3">
        <x:f>G41*0.00759</x:f>
      </x:c>
      <x:c r="O41" s="3">
        <x:f>IF(G41*0.00759&gt;G41,197.38,G41*0.00759)</x:f>
      </x:c>
      <x:c r="P41" s="3">
        <x:f>IF(N41-O41&gt;0,N41-O41,0)</x:f>
      </x:c>
      <x:c r="Q41" s="65">
        <x:f>+H41</x:f>
      </x:c>
      <x:c r="R41" s="65">
        <x:v>0</x:v>
      </x:c>
      <x:c r="S41" s="3">
        <x:f>R41+Q41</x:f>
      </x:c>
      <x:c r="T41" s="3">
        <x:f>I41-S41</x:f>
      </x:c>
      <x:c r="U41" s="255"/>
    </x:row>
    <x:row r="42" spans="1:21" ht="21" customHeight="1" x14ac:dyDescent="0.2">
      <x:c r="A42" s="253">
        <x:f>+'Banka Lis.'!B41</x:f>
      </x:c>
      <x:c r="B42" s="253">
        <x:f>+Puantaj!C42</x:f>
      </x:c>
      <x:c r="C42" s="4">
        <x:f>+Puantaj!D42</x:f>
      </x:c>
      <x:c r="D42" s="4">
        <x:f>+Puantaj!E42</x:f>
      </x:c>
      <x:c r="E42" s="4">
        <x:f>+'Banka Lis.'!H41</x:f>
      </x:c>
      <x:c r="F42" s="254">
        <x:f>+Puantaj!AK42</x:f>
      </x:c>
      <x:c r="G42" s="33">
        <x:f>F42*1083</x:f>
      </x:c>
      <x:c r="H42" s="62">
        <x:f>G42*0.055</x:f>
      </x:c>
      <x:c r="I42" s="3">
        <x:f>G42+H42</x:f>
      </x:c>
      <x:c r="J42" s="3">
        <x:f>+G42</x:f>
      </x:c>
      <x:c r="K42" s="3">
        <x:f>J42*0.15</x:f>
      </x:c>
      <x:c r="L42" s="3">
        <x:f>IF(J42*0.15&gt;K42,K42,J42*0.15)</x:f>
      </x:c>
      <x:c r="M42" s="65">
        <x:f>IF(K42-L42&gt;0,K42-L42,0)</x:f>
      </x:c>
      <x:c r="N42" s="3">
        <x:f>G42*0.00759</x:f>
      </x:c>
      <x:c r="O42" s="3">
        <x:f>IF(G42*0.00759&gt;G42,197.38,G42*0.00759)</x:f>
      </x:c>
      <x:c r="P42" s="3">
        <x:f>IF(N42-O42&gt;0,N42-O42,0)</x:f>
      </x:c>
      <x:c r="Q42" s="65">
        <x:f>+H42</x:f>
      </x:c>
      <x:c r="R42" s="65">
        <x:v>0</x:v>
      </x:c>
      <x:c r="S42" s="3">
        <x:f>R42+Q42</x:f>
      </x:c>
      <x:c r="T42" s="3">
        <x:f>I42-S42</x:f>
      </x:c>
      <x:c r="U42" s="255"/>
    </x:row>
    <x:row r="43" spans="1:21" ht="21" customHeight="1" x14ac:dyDescent="0.2">
      <x:c r="A43" s="253">
        <x:f>+'Banka Lis.'!B42</x:f>
      </x:c>
      <x:c r="B43" s="253">
        <x:f>+Puantaj!C43</x:f>
      </x:c>
      <x:c r="C43" s="4">
        <x:f>+Puantaj!D43</x:f>
      </x:c>
      <x:c r="D43" s="4">
        <x:f>+Puantaj!E43</x:f>
      </x:c>
      <x:c r="E43" s="4">
        <x:f>+'Banka Lis.'!H42</x:f>
      </x:c>
      <x:c r="F43" s="254">
        <x:f>+Puantaj!AK43</x:f>
      </x:c>
      <x:c r="G43" s="33">
        <x:f>F43*1083</x:f>
      </x:c>
      <x:c r="H43" s="62">
        <x:f>G43*0.055</x:f>
      </x:c>
      <x:c r="I43" s="3">
        <x:f>G43+H43</x:f>
      </x:c>
      <x:c r="J43" s="3">
        <x:f>+G43</x:f>
      </x:c>
      <x:c r="K43" s="3">
        <x:f>J43*0.15</x:f>
      </x:c>
      <x:c r="L43" s="3">
        <x:f>IF(J43*0.15&gt;K43,K43,J43*0.15)</x:f>
      </x:c>
      <x:c r="M43" s="65">
        <x:f>IF(K43-L43&gt;0,K43-L43,0)</x:f>
      </x:c>
      <x:c r="N43" s="3">
        <x:f>G43*0.00759</x:f>
      </x:c>
      <x:c r="O43" s="3">
        <x:f>IF(G43*0.00759&gt;G43,197.38,G43*0.00759)</x:f>
      </x:c>
      <x:c r="P43" s="3">
        <x:f>IF(N43-O43&gt;0,N43-O43,0)</x:f>
      </x:c>
      <x:c r="Q43" s="65">
        <x:f>+H43</x:f>
      </x:c>
      <x:c r="R43" s="65">
        <x:v>0</x:v>
      </x:c>
      <x:c r="S43" s="3">
        <x:f>R43+Q43</x:f>
      </x:c>
      <x:c r="T43" s="3">
        <x:f>I43-S43</x:f>
      </x:c>
      <x:c r="U43" s="255"/>
    </x:row>
    <x:row r="44" spans="1:21" ht="21" customHeight="1" x14ac:dyDescent="0.2">
      <x:c r="A44" s="253">
        <x:f>+'Banka Lis.'!B43</x:f>
      </x:c>
      <x:c r="B44" s="253">
        <x:f>+Puantaj!C44</x:f>
      </x:c>
      <x:c r="C44" s="4">
        <x:f>+Puantaj!D44</x:f>
      </x:c>
      <x:c r="D44" s="4">
        <x:f>+Puantaj!E44</x:f>
      </x:c>
      <x:c r="E44" s="4">
        <x:f>+'Banka Lis.'!H43</x:f>
      </x:c>
      <x:c r="F44" s="254">
        <x:f>+Puantaj!AK44</x:f>
      </x:c>
      <x:c r="G44" s="33">
        <x:f>F44*1083</x:f>
      </x:c>
      <x:c r="H44" s="62">
        <x:f>G44*0.055</x:f>
      </x:c>
      <x:c r="I44" s="3">
        <x:f>G44+H44</x:f>
      </x:c>
      <x:c r="J44" s="3">
        <x:f>+G44</x:f>
      </x:c>
      <x:c r="K44" s="3">
        <x:f>J44*0.15</x:f>
      </x:c>
      <x:c r="L44" s="3">
        <x:f>IF(J44*0.15&gt;K44,K44,J44*0.15)</x:f>
      </x:c>
      <x:c r="M44" s="65">
        <x:f>IF(K44-L44&gt;0,K44-L44,0)</x:f>
      </x:c>
      <x:c r="N44" s="3">
        <x:f>G44*0.00759</x:f>
      </x:c>
      <x:c r="O44" s="3">
        <x:f>IF(G44*0.00759&gt;G44,197.38,G44*0.00759)</x:f>
      </x:c>
      <x:c r="P44" s="3">
        <x:f>IF(N44-O44&gt;0,N44-O44,0)</x:f>
      </x:c>
      <x:c r="Q44" s="65">
        <x:f>+H44</x:f>
      </x:c>
      <x:c r="R44" s="65">
        <x:v>0</x:v>
      </x:c>
      <x:c r="S44" s="3">
        <x:f>R44+Q44</x:f>
      </x:c>
      <x:c r="T44" s="3">
        <x:f>I44-S44</x:f>
      </x:c>
      <x:c r="U44" s="255"/>
    </x:row>
    <x:row r="45" spans="1:21" ht="21" customHeight="1" x14ac:dyDescent="0.2">
      <x:c r="A45" s="253">
        <x:f>+'Banka Lis.'!B44</x:f>
      </x:c>
      <x:c r="B45" s="253">
        <x:f>+Puantaj!C45</x:f>
      </x:c>
      <x:c r="C45" s="4">
        <x:f>+Puantaj!D45</x:f>
      </x:c>
      <x:c r="D45" s="4">
        <x:f>+Puantaj!E45</x:f>
      </x:c>
      <x:c r="E45" s="4">
        <x:f>+'Banka Lis.'!H44</x:f>
      </x:c>
      <x:c r="F45" s="254">
        <x:f>+Puantaj!AK45</x:f>
      </x:c>
      <x:c r="G45" s="33">
        <x:f>F45*1083</x:f>
      </x:c>
      <x:c r="H45" s="62">
        <x:f>G45*0.055</x:f>
      </x:c>
      <x:c r="I45" s="3">
        <x:f>G45+H45</x:f>
      </x:c>
      <x:c r="J45" s="3">
        <x:f>+G45</x:f>
      </x:c>
      <x:c r="K45" s="3">
        <x:f>J45*0.15</x:f>
      </x:c>
      <x:c r="L45" s="3">
        <x:f>IF(J45*0.15&gt;K45,K45,J45*0.15)</x:f>
      </x:c>
      <x:c r="M45" s="65">
        <x:f>IF(K45-L45&gt;0,K45-L45,0)</x:f>
      </x:c>
      <x:c r="N45" s="3">
        <x:f>G45*0.00759</x:f>
      </x:c>
      <x:c r="O45" s="3">
        <x:f>IF(G45*0.00759&gt;G45,197.38,G45*0.00759)</x:f>
      </x:c>
      <x:c r="P45" s="3">
        <x:f>IF(N45-O45&gt;0,N45-O45,0)</x:f>
      </x:c>
      <x:c r="Q45" s="65">
        <x:f>+H45</x:f>
      </x:c>
      <x:c r="R45" s="65">
        <x:v>0</x:v>
      </x:c>
      <x:c r="S45" s="3">
        <x:f>R45+Q45</x:f>
      </x:c>
      <x:c r="T45" s="3">
        <x:f>I45-S45</x:f>
      </x:c>
      <x:c r="U45" s="255"/>
    </x:row>
    <x:row r="46" spans="1:21" ht="21" customHeight="1" x14ac:dyDescent="0.2">
      <x:c r="A46" s="253">
        <x:f>+'Banka Lis.'!B45</x:f>
      </x:c>
      <x:c r="B46" s="253">
        <x:f>+Puantaj!C46</x:f>
      </x:c>
      <x:c r="C46" s="4">
        <x:f>+Puantaj!D46</x:f>
      </x:c>
      <x:c r="D46" s="4">
        <x:f>+Puantaj!E46</x:f>
      </x:c>
      <x:c r="E46" s="4">
        <x:f>+'Banka Lis.'!H45</x:f>
      </x:c>
      <x:c r="F46" s="254">
        <x:f>+Puantaj!AK46</x:f>
      </x:c>
      <x:c r="G46" s="33">
        <x:f>F46*1083</x:f>
      </x:c>
      <x:c r="H46" s="62">
        <x:f>G46*0.055</x:f>
      </x:c>
      <x:c r="I46" s="3">
        <x:f>G46+H46</x:f>
      </x:c>
      <x:c r="J46" s="3">
        <x:f>+G46</x:f>
      </x:c>
      <x:c r="K46" s="3">
        <x:f>J46*0.15</x:f>
      </x:c>
      <x:c r="L46" s="3">
        <x:f>IF(J46*0.15&gt;K46,K46,J46*0.15)</x:f>
      </x:c>
      <x:c r="M46" s="65">
        <x:f>IF(K46-L46&gt;0,K46-L46,0)</x:f>
      </x:c>
      <x:c r="N46" s="3">
        <x:f>G46*0.00759</x:f>
      </x:c>
      <x:c r="O46" s="3">
        <x:f>IF(G46*0.00759&gt;G46,197.38,G46*0.00759)</x:f>
      </x:c>
      <x:c r="P46" s="3">
        <x:f>IF(N46-O46&gt;0,N46-O46,0)</x:f>
      </x:c>
      <x:c r="Q46" s="65">
        <x:f>+H46</x:f>
      </x:c>
      <x:c r="R46" s="65">
        <x:v>0</x:v>
      </x:c>
      <x:c r="S46" s="3">
        <x:f>R46+Q46</x:f>
      </x:c>
      <x:c r="T46" s="3">
        <x:f>I46-S46</x:f>
      </x:c>
      <x:c r="U46" s="255"/>
    </x:row>
    <x:row r="47" spans="1:21" ht="21" customHeight="1" x14ac:dyDescent="0.2">
      <x:c r="A47" s="253">
        <x:f>+'Banka Lis.'!B46</x:f>
      </x:c>
      <x:c r="B47" s="253">
        <x:f>+Puantaj!C47</x:f>
      </x:c>
      <x:c r="C47" s="4">
        <x:f>+Puantaj!D47</x:f>
      </x:c>
      <x:c r="D47" s="4">
        <x:f>+Puantaj!E47</x:f>
      </x:c>
      <x:c r="E47" s="4">
        <x:f>+'Banka Lis.'!H46</x:f>
      </x:c>
      <x:c r="F47" s="254">
        <x:f>+Puantaj!AK47</x:f>
      </x:c>
      <x:c r="G47" s="33">
        <x:f>F47*1083</x:f>
      </x:c>
      <x:c r="H47" s="62">
        <x:f>G47*0.055</x:f>
      </x:c>
      <x:c r="I47" s="3">
        <x:f>G47+H47</x:f>
      </x:c>
      <x:c r="J47" s="3">
        <x:f>+G47</x:f>
      </x:c>
      <x:c r="K47" s="3">
        <x:f>J47*0.15</x:f>
      </x:c>
      <x:c r="L47" s="3">
        <x:f>IF(J47*0.15&gt;K47,K47,J47*0.15)</x:f>
      </x:c>
      <x:c r="M47" s="65">
        <x:f>IF(K47-L47&gt;0,K47-L47,0)</x:f>
      </x:c>
      <x:c r="N47" s="3">
        <x:f>G47*0.00759</x:f>
      </x:c>
      <x:c r="O47" s="3">
        <x:f>IF(G47*0.00759&gt;G47,197.38,G47*0.00759)</x:f>
      </x:c>
      <x:c r="P47" s="3">
        <x:f>IF(N47-O47&gt;0,N47-O47,0)</x:f>
      </x:c>
      <x:c r="Q47" s="65">
        <x:f>+H47</x:f>
      </x:c>
      <x:c r="R47" s="65">
        <x:v>0</x:v>
      </x:c>
      <x:c r="S47" s="3">
        <x:f>R47+Q47</x:f>
      </x:c>
      <x:c r="T47" s="3">
        <x:f>I47-S47</x:f>
      </x:c>
      <x:c r="U47" s="255"/>
    </x:row>
    <x:row r="48" spans="1:21" ht="21" customHeight="1" x14ac:dyDescent="0.2">
      <x:c r="A48" s="253">
        <x:f>+'Banka Lis.'!B47</x:f>
      </x:c>
      <x:c r="B48" s="253">
        <x:f>+Puantaj!C48</x:f>
      </x:c>
      <x:c r="C48" s="4">
        <x:f>+Puantaj!D48</x:f>
      </x:c>
      <x:c r="D48" s="4">
        <x:f>+Puantaj!E48</x:f>
      </x:c>
      <x:c r="E48" s="4">
        <x:f>+'Banka Lis.'!H47</x:f>
      </x:c>
      <x:c r="F48" s="254">
        <x:f>+Puantaj!AK48</x:f>
      </x:c>
      <x:c r="G48" s="33">
        <x:f>F48*1083</x:f>
      </x:c>
      <x:c r="H48" s="62">
        <x:f>G48*0.055</x:f>
      </x:c>
      <x:c r="I48" s="3">
        <x:f>G48+H48</x:f>
      </x:c>
      <x:c r="J48" s="3">
        <x:f>+G48</x:f>
      </x:c>
      <x:c r="K48" s="3">
        <x:f>J48*0.15</x:f>
      </x:c>
      <x:c r="L48" s="3">
        <x:f>IF(J48*0.15&gt;K48,K48,J48*0.15)</x:f>
      </x:c>
      <x:c r="M48" s="65">
        <x:f>IF(K48-L48&gt;0,K48-L48,0)</x:f>
      </x:c>
      <x:c r="N48" s="3">
        <x:f>G48*0.00759</x:f>
      </x:c>
      <x:c r="O48" s="3">
        <x:f>IF(G48*0.00759&gt;G48,197.38,G48*0.00759)</x:f>
      </x:c>
      <x:c r="P48" s="3">
        <x:f>IF(N48-O48&gt;0,N48-O48,0)</x:f>
      </x:c>
      <x:c r="Q48" s="65">
        <x:f>+H48</x:f>
      </x:c>
      <x:c r="R48" s="65">
        <x:v>0</x:v>
      </x:c>
      <x:c r="S48" s="3">
        <x:f>R48+Q48</x:f>
      </x:c>
      <x:c r="T48" s="3">
        <x:f>I48-S48</x:f>
      </x:c>
      <x:c r="U48" s="255"/>
    </x:row>
    <x:row r="49" spans="1:21" ht="21" customHeight="1" x14ac:dyDescent="0.2">
      <x:c r="A49" s="253">
        <x:f>+'Banka Lis.'!B48</x:f>
      </x:c>
      <x:c r="B49" s="253">
        <x:f>+Puantaj!C49</x:f>
      </x:c>
      <x:c r="C49" s="4">
        <x:f>+Puantaj!D49</x:f>
      </x:c>
      <x:c r="D49" s="4">
        <x:f>+Puantaj!E49</x:f>
      </x:c>
      <x:c r="E49" s="4">
        <x:f>+'Banka Lis.'!H48</x:f>
      </x:c>
      <x:c r="F49" s="254">
        <x:f>+Puantaj!AK49</x:f>
      </x:c>
      <x:c r="G49" s="33">
        <x:f>F49*1083</x:f>
      </x:c>
      <x:c r="H49" s="62">
        <x:f>G49*0.055</x:f>
      </x:c>
      <x:c r="I49" s="3">
        <x:f>G49+H49</x:f>
      </x:c>
      <x:c r="J49" s="3">
        <x:f>+G49</x:f>
      </x:c>
      <x:c r="K49" s="3">
        <x:f>J49*0.15</x:f>
      </x:c>
      <x:c r="L49" s="3">
        <x:f>IF(J49*0.15&gt;K49,K49,J49*0.15)</x:f>
      </x:c>
      <x:c r="M49" s="65">
        <x:f>IF(K49-L49&gt;0,K49-L49,0)</x:f>
      </x:c>
      <x:c r="N49" s="3">
        <x:f>G49*0.00759</x:f>
      </x:c>
      <x:c r="O49" s="3">
        <x:f>IF(G49*0.00759&gt;G49,197.38,G49*0.00759)</x:f>
      </x:c>
      <x:c r="P49" s="3">
        <x:f>IF(N49-O49&gt;0,N49-O49,0)</x:f>
      </x:c>
      <x:c r="Q49" s="65">
        <x:f>+H49</x:f>
      </x:c>
      <x:c r="R49" s="65">
        <x:v>0</x:v>
      </x:c>
      <x:c r="S49" s="3">
        <x:f>R49+Q49</x:f>
      </x:c>
      <x:c r="T49" s="3">
        <x:f>I49-S49</x:f>
      </x:c>
      <x:c r="U49" s="255"/>
    </x:row>
    <x:row r="50" spans="1:21" ht="21" customHeight="1" x14ac:dyDescent="0.2">
      <x:c r="A50" s="253">
        <x:f>+'Banka Lis.'!B49</x:f>
      </x:c>
      <x:c r="B50" s="253">
        <x:f>+Puantaj!C50</x:f>
      </x:c>
      <x:c r="C50" s="4">
        <x:f>+Puantaj!D50</x:f>
      </x:c>
      <x:c r="D50" s="4">
        <x:f>+Puantaj!E50</x:f>
      </x:c>
      <x:c r="E50" s="4">
        <x:f>+'Banka Lis.'!H49</x:f>
      </x:c>
      <x:c r="F50" s="254">
        <x:f>+Puantaj!AK50</x:f>
      </x:c>
      <x:c r="G50" s="33">
        <x:f>F50*1083</x:f>
      </x:c>
      <x:c r="H50" s="62">
        <x:f>G50*0.055</x:f>
      </x:c>
      <x:c r="I50" s="3">
        <x:f>G50+H50</x:f>
      </x:c>
      <x:c r="J50" s="3">
        <x:f>+G50</x:f>
      </x:c>
      <x:c r="K50" s="3">
        <x:f>J50*0.15</x:f>
      </x:c>
      <x:c r="L50" s="3">
        <x:f>IF(J50*0.15&gt;K50,K50,J50*0.15)</x:f>
      </x:c>
      <x:c r="M50" s="65">
        <x:f>IF(K50-L50&gt;0,K50-L50,0)</x:f>
      </x:c>
      <x:c r="N50" s="3">
        <x:f>G50*0.00759</x:f>
      </x:c>
      <x:c r="O50" s="3">
        <x:f>IF(G50*0.00759&gt;G50,197.38,G50*0.00759)</x:f>
      </x:c>
      <x:c r="P50" s="3">
        <x:f>IF(N50-O50&gt;0,N50-O50,0)</x:f>
      </x:c>
      <x:c r="Q50" s="65">
        <x:f>+H50</x:f>
      </x:c>
      <x:c r="R50" s="65">
        <x:v>0</x:v>
      </x:c>
      <x:c r="S50" s="3">
        <x:f>R50+Q50</x:f>
      </x:c>
      <x:c r="T50" s="3">
        <x:f>I50-S50</x:f>
      </x:c>
      <x:c r="U50" s="255"/>
    </x:row>
    <x:row r="51" spans="1:21" ht="21" customHeight="1" x14ac:dyDescent="0.2">
      <x:c r="A51" s="253">
        <x:f>+'Banka Lis.'!B50</x:f>
      </x:c>
      <x:c r="B51" s="253">
        <x:f>+Puantaj!C51</x:f>
      </x:c>
      <x:c r="C51" s="4">
        <x:f>+Puantaj!D51</x:f>
      </x:c>
      <x:c r="D51" s="4">
        <x:f>+Puantaj!E51</x:f>
      </x:c>
      <x:c r="E51" s="4">
        <x:f>+'Banka Lis.'!H50</x:f>
      </x:c>
      <x:c r="F51" s="254">
        <x:f>+Puantaj!AK51</x:f>
      </x:c>
      <x:c r="G51" s="33">
        <x:f>F51*1083</x:f>
      </x:c>
      <x:c r="H51" s="62">
        <x:f>G51*0.055</x:f>
      </x:c>
      <x:c r="I51" s="3">
        <x:f>G51+H51</x:f>
      </x:c>
      <x:c r="J51" s="3">
        <x:f>+G51</x:f>
      </x:c>
      <x:c r="K51" s="3">
        <x:f>J51*0.15</x:f>
      </x:c>
      <x:c r="L51" s="3">
        <x:f>IF(J51*0.15&gt;K51,K51,J51*0.15)</x:f>
      </x:c>
      <x:c r="M51" s="65">
        <x:f>IF(K51-L51&gt;0,K51-L51,0)</x:f>
      </x:c>
      <x:c r="N51" s="3">
        <x:f>G51*0.00759</x:f>
      </x:c>
      <x:c r="O51" s="3">
        <x:f>IF(G51*0.00759&gt;G51,197.38,G51*0.00759)</x:f>
      </x:c>
      <x:c r="P51" s="3">
        <x:f>IF(N51-O51&gt;0,N51-O51,0)</x:f>
      </x:c>
      <x:c r="Q51" s="65">
        <x:f>+H51</x:f>
      </x:c>
      <x:c r="R51" s="65">
        <x:v>0</x:v>
      </x:c>
      <x:c r="S51" s="3">
        <x:f>R51+Q51</x:f>
      </x:c>
      <x:c r="T51" s="3">
        <x:f>I51-S51</x:f>
      </x:c>
      <x:c r="U51" s="255"/>
    </x:row>
    <x:row r="52" spans="1:21" ht="21" customHeight="1" x14ac:dyDescent="0.2">
      <x:c r="A52" s="253">
        <x:f>+'Banka Lis.'!B51</x:f>
      </x:c>
      <x:c r="B52" s="253">
        <x:f>+Puantaj!C52</x:f>
      </x:c>
      <x:c r="C52" s="4">
        <x:f>+Puantaj!D52</x:f>
      </x:c>
      <x:c r="D52" s="4">
        <x:f>+Puantaj!E52</x:f>
      </x:c>
      <x:c r="E52" s="4">
        <x:f>+'Banka Lis.'!H51</x:f>
      </x:c>
      <x:c r="F52" s="254">
        <x:f>+Puantaj!AK52</x:f>
      </x:c>
      <x:c r="G52" s="33">
        <x:f>F52*1083</x:f>
      </x:c>
      <x:c r="H52" s="62">
        <x:f>G52*0.055</x:f>
      </x:c>
      <x:c r="I52" s="3">
        <x:f>G52+H52</x:f>
      </x:c>
      <x:c r="J52" s="3">
        <x:f>+G52</x:f>
      </x:c>
      <x:c r="K52" s="3">
        <x:f>J52*0.15</x:f>
      </x:c>
      <x:c r="L52" s="3">
        <x:f>IF(J52*0.15&gt;K52,K52,J52*0.15)</x:f>
      </x:c>
      <x:c r="M52" s="65">
        <x:f>IF(K52-L52&gt;0,K52-L52,0)</x:f>
      </x:c>
      <x:c r="N52" s="3">
        <x:f>G52*0.00759</x:f>
      </x:c>
      <x:c r="O52" s="3">
        <x:f>IF(G52*0.00759&gt;G52,197.38,G52*0.00759)</x:f>
      </x:c>
      <x:c r="P52" s="3">
        <x:f>IF(N52-O52&gt;0,N52-O52,0)</x:f>
      </x:c>
      <x:c r="Q52" s="65">
        <x:f>+H52</x:f>
      </x:c>
      <x:c r="R52" s="65">
        <x:v>0</x:v>
      </x:c>
      <x:c r="S52" s="3">
        <x:f>R52+Q52</x:f>
      </x:c>
      <x:c r="T52" s="3">
        <x:f>I52-S52</x:f>
      </x:c>
      <x:c r="U52" s="255"/>
    </x:row>
    <x:row r="53" spans="1:21" ht="21" customHeight="1" x14ac:dyDescent="0.2">
      <x:c r="A53" s="253">
        <x:f>+'Banka Lis.'!B52</x:f>
      </x:c>
      <x:c r="B53" s="253">
        <x:f>+Puantaj!C53</x:f>
      </x:c>
      <x:c r="C53" s="4">
        <x:f>+Puantaj!D53</x:f>
      </x:c>
      <x:c r="D53" s="4">
        <x:f>+Puantaj!E53</x:f>
      </x:c>
      <x:c r="E53" s="4">
        <x:f>+'Banka Lis.'!H52</x:f>
      </x:c>
      <x:c r="F53" s="254">
        <x:f>+Puantaj!AK53</x:f>
      </x:c>
      <x:c r="G53" s="33">
        <x:f>F53*1083</x:f>
      </x:c>
      <x:c r="H53" s="62">
        <x:f>G53*0.055</x:f>
      </x:c>
      <x:c r="I53" s="3">
        <x:f>G53+H53</x:f>
      </x:c>
      <x:c r="J53" s="3">
        <x:f>+G53</x:f>
      </x:c>
      <x:c r="K53" s="3">
        <x:f>J53*0.15</x:f>
      </x:c>
      <x:c r="L53" s="3">
        <x:f>IF(J53*0.15&gt;K53,K53,J53*0.15)</x:f>
      </x:c>
      <x:c r="M53" s="65">
        <x:f>IF(K53-L53&gt;0,K53-L53,0)</x:f>
      </x:c>
      <x:c r="N53" s="3">
        <x:f>G53*0.00759</x:f>
      </x:c>
      <x:c r="O53" s="3">
        <x:f>IF(G53*0.00759&gt;G53,197.38,G53*0.00759)</x:f>
      </x:c>
      <x:c r="P53" s="3">
        <x:f>IF(N53-O53&gt;0,N53-O53,0)</x:f>
      </x:c>
      <x:c r="Q53" s="65">
        <x:f>+H53</x:f>
      </x:c>
      <x:c r="R53" s="65">
        <x:v>0</x:v>
      </x:c>
      <x:c r="S53" s="3">
        <x:f>R53+Q53</x:f>
      </x:c>
      <x:c r="T53" s="3">
        <x:f>I53-S53</x:f>
      </x:c>
      <x:c r="U53" s="255"/>
    </x:row>
    <x:row r="54" spans="1:21" ht="21" customHeight="1" x14ac:dyDescent="0.2">
      <x:c r="A54" s="253">
        <x:f>+'Banka Lis.'!B53</x:f>
      </x:c>
      <x:c r="B54" s="253">
        <x:f>+Puantaj!C54</x:f>
      </x:c>
      <x:c r="C54" s="4">
        <x:f>+Puantaj!D54</x:f>
      </x:c>
      <x:c r="D54" s="4">
        <x:f>+Puantaj!E54</x:f>
      </x:c>
      <x:c r="E54" s="4">
        <x:f>+'Banka Lis.'!H53</x:f>
      </x:c>
      <x:c r="F54" s="254">
        <x:f>+Puantaj!AK54</x:f>
      </x:c>
      <x:c r="G54" s="33">
        <x:f>F54*1083</x:f>
      </x:c>
      <x:c r="H54" s="62">
        <x:f>G54*0.055</x:f>
      </x:c>
      <x:c r="I54" s="3">
        <x:f>G54+H54</x:f>
      </x:c>
      <x:c r="J54" s="3">
        <x:f>+G54</x:f>
      </x:c>
      <x:c r="K54" s="3">
        <x:f>J54*0.15</x:f>
      </x:c>
      <x:c r="L54" s="3">
        <x:f>IF(J54*0.15&gt;K54,K54,J54*0.15)</x:f>
      </x:c>
      <x:c r="M54" s="65">
        <x:f>IF(K54-L54&gt;0,K54-L54,0)</x:f>
      </x:c>
      <x:c r="N54" s="3">
        <x:f>G54*0.00759</x:f>
      </x:c>
      <x:c r="O54" s="3">
        <x:f>IF(G54*0.00759&gt;G54,197.38,G54*0.00759)</x:f>
      </x:c>
      <x:c r="P54" s="3">
        <x:f>IF(N54-O54&gt;0,N54-O54,0)</x:f>
      </x:c>
      <x:c r="Q54" s="65">
        <x:f>+H54</x:f>
      </x:c>
      <x:c r="R54" s="65">
        <x:v>0</x:v>
      </x:c>
      <x:c r="S54" s="3">
        <x:f>R54+Q54</x:f>
      </x:c>
      <x:c r="T54" s="3">
        <x:f>I54-S54</x:f>
      </x:c>
      <x:c r="U54" s="255"/>
    </x:row>
    <x:row r="55" spans="1:21" ht="21" customHeight="1" x14ac:dyDescent="0.2">
      <x:c r="A55" s="253">
        <x:f>+'Banka Lis.'!B54</x:f>
      </x:c>
      <x:c r="B55" s="253">
        <x:f>+Puantaj!C55</x:f>
      </x:c>
      <x:c r="C55" s="4">
        <x:f>+Puantaj!D55</x:f>
      </x:c>
      <x:c r="D55" s="4">
        <x:f>+Puantaj!E55</x:f>
      </x:c>
      <x:c r="E55" s="4">
        <x:f>+'Banka Lis.'!H54</x:f>
      </x:c>
      <x:c r="F55" s="254">
        <x:f>+Puantaj!AK55</x:f>
      </x:c>
      <x:c r="G55" s="33">
        <x:f>F55*1083</x:f>
      </x:c>
      <x:c r="H55" s="62">
        <x:f>G55*0.055</x:f>
      </x:c>
      <x:c r="I55" s="3">
        <x:f>G55+H55</x:f>
      </x:c>
      <x:c r="J55" s="3">
        <x:f>+G55</x:f>
      </x:c>
      <x:c r="K55" s="3">
        <x:f>J55*0.15</x:f>
      </x:c>
      <x:c r="L55" s="3">
        <x:f>IF(J55*0.15&gt;K55,K55,J55*0.15)</x:f>
      </x:c>
      <x:c r="M55" s="65">
        <x:f>IF(K55-L55&gt;0,K55-L55,0)</x:f>
      </x:c>
      <x:c r="N55" s="3">
        <x:f>G55*0.00759</x:f>
      </x:c>
      <x:c r="O55" s="3">
        <x:f>IF(G55*0.00759&gt;G55,197.38,G55*0.00759)</x:f>
      </x:c>
      <x:c r="P55" s="3">
        <x:f>IF(N55-O55&gt;0,N55-O55,0)</x:f>
      </x:c>
      <x:c r="Q55" s="65">
        <x:f>+H55</x:f>
      </x:c>
      <x:c r="R55" s="65">
        <x:v>0</x:v>
      </x:c>
      <x:c r="S55" s="3">
        <x:f>R55+Q55</x:f>
      </x:c>
      <x:c r="T55" s="3">
        <x:f>I55-S55</x:f>
      </x:c>
      <x:c r="U55" s="255"/>
    </x:row>
    <x:row r="56" spans="1:21" ht="21" customHeight="1" x14ac:dyDescent="0.2">
      <x:c r="A56" s="253">
        <x:f>+'Banka Lis.'!B55</x:f>
      </x:c>
      <x:c r="B56" s="253">
        <x:f>+Puantaj!C56</x:f>
      </x:c>
      <x:c r="C56" s="4">
        <x:f>+Puantaj!D56</x:f>
      </x:c>
      <x:c r="D56" s="4">
        <x:f>+Puantaj!E56</x:f>
      </x:c>
      <x:c r="E56" s="4">
        <x:f>+'Banka Lis.'!H55</x:f>
      </x:c>
      <x:c r="F56" s="254">
        <x:f>+Puantaj!AK56</x:f>
      </x:c>
      <x:c r="G56" s="33">
        <x:f>F56*1083</x:f>
      </x:c>
      <x:c r="H56" s="62">
        <x:f>G56*0.055</x:f>
      </x:c>
      <x:c r="I56" s="3">
        <x:f>G56+H56</x:f>
      </x:c>
      <x:c r="J56" s="3">
        <x:f>+G56</x:f>
      </x:c>
      <x:c r="K56" s="3">
        <x:f>J56*0.15</x:f>
      </x:c>
      <x:c r="L56" s="3">
        <x:f>IF(J56*0.15&gt;K56,K56,J56*0.15)</x:f>
      </x:c>
      <x:c r="M56" s="65">
        <x:f>IF(K56-L56&gt;0,K56-L56,0)</x:f>
      </x:c>
      <x:c r="N56" s="3">
        <x:f>G56*0.00759</x:f>
      </x:c>
      <x:c r="O56" s="3">
        <x:f>IF(G56*0.00759&gt;G56,197.38,G56*0.00759)</x:f>
      </x:c>
      <x:c r="P56" s="3">
        <x:f>IF(N56-O56&gt;0,N56-O56,0)</x:f>
      </x:c>
      <x:c r="Q56" s="65">
        <x:f>+H56</x:f>
      </x:c>
      <x:c r="R56" s="65">
        <x:v>0</x:v>
      </x:c>
      <x:c r="S56" s="3">
        <x:f>R56+Q56</x:f>
      </x:c>
      <x:c r="T56" s="3">
        <x:f>I56-S56</x:f>
      </x:c>
      <x:c r="U56" s="255"/>
    </x:row>
    <x:row r="57" spans="1:21" ht="21" customHeight="1" x14ac:dyDescent="0.2">
      <x:c r="A57" s="253">
        <x:f>+'Banka Lis.'!B56</x:f>
      </x:c>
      <x:c r="B57" s="253">
        <x:f>+Puantaj!C57</x:f>
      </x:c>
      <x:c r="C57" s="4">
        <x:f>+Puantaj!D57</x:f>
      </x:c>
      <x:c r="D57" s="4">
        <x:f>+Puantaj!E57</x:f>
      </x:c>
      <x:c r="E57" s="4">
        <x:f>+'Banka Lis.'!H56</x:f>
      </x:c>
      <x:c r="F57" s="254">
        <x:f>+Puantaj!AK57</x:f>
      </x:c>
      <x:c r="G57" s="33">
        <x:f>F57*1083</x:f>
      </x:c>
      <x:c r="H57" s="62">
        <x:f>G57*0.055</x:f>
      </x:c>
      <x:c r="I57" s="3">
        <x:f>G57+H57</x:f>
      </x:c>
      <x:c r="J57" s="3">
        <x:f>+G57</x:f>
      </x:c>
      <x:c r="K57" s="3">
        <x:f>J57*0.15</x:f>
      </x:c>
      <x:c r="L57" s="3">
        <x:f>IF(J57*0.15&gt;K57,K57,J57*0.15)</x:f>
      </x:c>
      <x:c r="M57" s="65">
        <x:f>IF(K57-L57&gt;0,K57-L57,0)</x:f>
      </x:c>
      <x:c r="N57" s="3">
        <x:f>G57*0.00759</x:f>
      </x:c>
      <x:c r="O57" s="3">
        <x:f>IF(G57*0.00759&gt;G57,197.38,G57*0.00759)</x:f>
      </x:c>
      <x:c r="P57" s="3">
        <x:f>IF(N57-O57&gt;0,N57-O57,0)</x:f>
      </x:c>
      <x:c r="Q57" s="65">
        <x:f>+H57</x:f>
      </x:c>
      <x:c r="R57" s="65">
        <x:v>0</x:v>
      </x:c>
      <x:c r="S57" s="3">
        <x:f>R57+Q57</x:f>
      </x:c>
      <x:c r="T57" s="3">
        <x:f>I57-S57</x:f>
      </x:c>
      <x:c r="U57" s="255"/>
    </x:row>
    <x:row r="58" spans="1:21" ht="21" customHeight="1" x14ac:dyDescent="0.2">
      <x:c r="A58" s="253">
        <x:f>+'Banka Lis.'!B57</x:f>
      </x:c>
      <x:c r="B58" s="253">
        <x:f>+Puantaj!C58</x:f>
      </x:c>
      <x:c r="C58" s="4">
        <x:f>+Puantaj!D58</x:f>
      </x:c>
      <x:c r="D58" s="4">
        <x:f>+Puantaj!E58</x:f>
      </x:c>
      <x:c r="E58" s="4">
        <x:f>+'Banka Lis.'!H57</x:f>
      </x:c>
      <x:c r="F58" s="254">
        <x:f>+Puantaj!AK58</x:f>
      </x:c>
      <x:c r="G58" s="33">
        <x:f>F58*1083</x:f>
      </x:c>
      <x:c r="H58" s="62">
        <x:f>G58*0.055</x:f>
      </x:c>
      <x:c r="I58" s="3">
        <x:f>G58+H58</x:f>
      </x:c>
      <x:c r="J58" s="3">
        <x:f>+G58</x:f>
      </x:c>
      <x:c r="K58" s="3">
        <x:f>J58*0.15</x:f>
      </x:c>
      <x:c r="L58" s="3">
        <x:f>IF(J58*0.15&gt;K58,K58,J58*0.15)</x:f>
      </x:c>
      <x:c r="M58" s="65">
        <x:f>IF(K58-L58&gt;0,K58-L58,0)</x:f>
      </x:c>
      <x:c r="N58" s="3">
        <x:f>G58*0.00759</x:f>
      </x:c>
      <x:c r="O58" s="3">
        <x:f>IF(G58*0.00759&gt;G58,197.38,G58*0.00759)</x:f>
      </x:c>
      <x:c r="P58" s="3">
        <x:f>IF(N58-O58&gt;0,N58-O58,0)</x:f>
      </x:c>
      <x:c r="Q58" s="65">
        <x:f>+H58</x:f>
      </x:c>
      <x:c r="R58" s="65">
        <x:v>0</x:v>
      </x:c>
      <x:c r="S58" s="3">
        <x:f>R58+Q58</x:f>
      </x:c>
      <x:c r="T58" s="3">
        <x:f>I58-S58</x:f>
      </x:c>
      <x:c r="U58" s="255"/>
    </x:row>
    <x:row r="59" spans="1:21" ht="21" customHeight="1" x14ac:dyDescent="0.2">
      <x:c r="A59" s="253">
        <x:f>+'Banka Lis.'!B58</x:f>
      </x:c>
      <x:c r="B59" s="253">
        <x:f>+Puantaj!C59</x:f>
      </x:c>
      <x:c r="C59" s="4">
        <x:f>+Puantaj!D59</x:f>
      </x:c>
      <x:c r="D59" s="4">
        <x:f>+Puantaj!E59</x:f>
      </x:c>
      <x:c r="E59" s="4">
        <x:f>+'Banka Lis.'!H58</x:f>
      </x:c>
      <x:c r="F59" s="254">
        <x:f>+Puantaj!AK59</x:f>
      </x:c>
      <x:c r="G59" s="33">
        <x:f>F59*1083</x:f>
      </x:c>
      <x:c r="H59" s="62">
        <x:f>G59*0.055</x:f>
      </x:c>
      <x:c r="I59" s="3">
        <x:f>G59+H59</x:f>
      </x:c>
      <x:c r="J59" s="3">
        <x:f>+G59</x:f>
      </x:c>
      <x:c r="K59" s="3">
        <x:f>J59*0.15</x:f>
      </x:c>
      <x:c r="L59" s="3">
        <x:f>IF(J59*0.15&gt;K59,K59,J59*0.15)</x:f>
      </x:c>
      <x:c r="M59" s="65">
        <x:f>IF(K59-L59&gt;0,K59-L59,0)</x:f>
      </x:c>
      <x:c r="N59" s="3">
        <x:f>G59*0.00759</x:f>
      </x:c>
      <x:c r="O59" s="3">
        <x:f>IF(G59*0.00759&gt;G59,197.38,G59*0.00759)</x:f>
      </x:c>
      <x:c r="P59" s="3">
        <x:f>IF(N59-O59&gt;0,N59-O59,0)</x:f>
      </x:c>
      <x:c r="Q59" s="65">
        <x:f>+H59</x:f>
      </x:c>
      <x:c r="R59" s="65">
        <x:v>0</x:v>
      </x:c>
      <x:c r="S59" s="3">
        <x:f>R59+Q59</x:f>
      </x:c>
      <x:c r="T59" s="3">
        <x:f>I59-S59</x:f>
      </x:c>
      <x:c r="U59" s="255"/>
    </x:row>
    <x:row r="60" spans="1:21" ht="21" customHeight="1" x14ac:dyDescent="0.2">
      <x:c r="A60" s="253">
        <x:f>+'Banka Lis.'!B59</x:f>
      </x:c>
      <x:c r="B60" s="253">
        <x:f>+Puantaj!C60</x:f>
      </x:c>
      <x:c r="C60" s="4">
        <x:f>+Puantaj!D60</x:f>
      </x:c>
      <x:c r="D60" s="4">
        <x:f>+Puantaj!E60</x:f>
      </x:c>
      <x:c r="E60" s="4">
        <x:f>+'Banka Lis.'!H59</x:f>
      </x:c>
      <x:c r="F60" s="254">
        <x:f>+Puantaj!AK60</x:f>
      </x:c>
      <x:c r="G60" s="33">
        <x:f>F60*1083</x:f>
      </x:c>
      <x:c r="H60" s="62">
        <x:f>G60*0.055</x:f>
      </x:c>
      <x:c r="I60" s="3">
        <x:f>G60+H60</x:f>
      </x:c>
      <x:c r="J60" s="3">
        <x:f>+G60</x:f>
      </x:c>
      <x:c r="K60" s="3">
        <x:f>J60*0.15</x:f>
      </x:c>
      <x:c r="L60" s="3">
        <x:f>IF(J60*0.15&gt;K60,K60,J60*0.15)</x:f>
      </x:c>
      <x:c r="M60" s="65">
        <x:f>IF(K60-L60&gt;0,K60-L60,0)</x:f>
      </x:c>
      <x:c r="N60" s="3">
        <x:f>G60*0.00759</x:f>
      </x:c>
      <x:c r="O60" s="3">
        <x:f>IF(G60*0.00759&gt;G60,197.38,G60*0.00759)</x:f>
      </x:c>
      <x:c r="P60" s="3">
        <x:f>IF(N60-O60&gt;0,N60-O60,0)</x:f>
      </x:c>
      <x:c r="Q60" s="65">
        <x:f>+H60</x:f>
      </x:c>
      <x:c r="R60" s="65">
        <x:v>0</x:v>
      </x:c>
      <x:c r="S60" s="3">
        <x:f>R60+Q60</x:f>
      </x:c>
      <x:c r="T60" s="3">
        <x:f>I60-S60</x:f>
      </x:c>
      <x:c r="U60" s="255"/>
    </x:row>
    <x:row r="61" spans="1:21" ht="21" customHeight="1" x14ac:dyDescent="0.2">
      <x:c r="A61" s="253">
        <x:f>+'Banka Lis.'!B60</x:f>
      </x:c>
      <x:c r="B61" s="253">
        <x:f>+Puantaj!C61</x:f>
      </x:c>
      <x:c r="C61" s="4">
        <x:f>+Puantaj!D61</x:f>
      </x:c>
      <x:c r="D61" s="4">
        <x:f>+Puantaj!E61</x:f>
      </x:c>
      <x:c r="E61" s="4">
        <x:f>+'Banka Lis.'!H60</x:f>
      </x:c>
      <x:c r="F61" s="254">
        <x:f>+Puantaj!AK61</x:f>
      </x:c>
      <x:c r="G61" s="33">
        <x:f>F61*1083</x:f>
      </x:c>
      <x:c r="H61" s="62">
        <x:f>G61*0.055</x:f>
      </x:c>
      <x:c r="I61" s="3">
        <x:f>G61+H61</x:f>
      </x:c>
      <x:c r="J61" s="3">
        <x:f>+G61</x:f>
      </x:c>
      <x:c r="K61" s="3">
        <x:f>J61*0.15</x:f>
      </x:c>
      <x:c r="L61" s="3">
        <x:f>IF(J61*0.15&gt;K61,K61,J61*0.15)</x:f>
      </x:c>
      <x:c r="M61" s="65">
        <x:f>IF(K61-L61&gt;0,K61-L61,0)</x:f>
      </x:c>
      <x:c r="N61" s="3">
        <x:f>G61*0.00759</x:f>
      </x:c>
      <x:c r="O61" s="3">
        <x:f>IF(G61*0.00759&gt;G61,197.38,G61*0.00759)</x:f>
      </x:c>
      <x:c r="P61" s="3">
        <x:f>IF(N61-O61&gt;0,N61-O61,0)</x:f>
      </x:c>
      <x:c r="Q61" s="65">
        <x:f>+H61</x:f>
      </x:c>
      <x:c r="R61" s="65">
        <x:v>0</x:v>
      </x:c>
      <x:c r="S61" s="3">
        <x:f>R61+Q61</x:f>
      </x:c>
      <x:c r="T61" s="3">
        <x:f>I61-S61</x:f>
      </x:c>
      <x:c r="U61" s="255"/>
    </x:row>
    <x:row r="62" spans="1:21" ht="21" customHeight="1" x14ac:dyDescent="0.2">
      <x:c r="A62" s="253">
        <x:f>+'Banka Lis.'!B61</x:f>
      </x:c>
      <x:c r="B62" s="253">
        <x:f>+Puantaj!C62</x:f>
      </x:c>
      <x:c r="C62" s="4">
        <x:f>+Puantaj!D62</x:f>
      </x:c>
      <x:c r="D62" s="4">
        <x:f>+Puantaj!E62</x:f>
      </x:c>
      <x:c r="E62" s="4">
        <x:f>+'Banka Lis.'!H61</x:f>
      </x:c>
      <x:c r="F62" s="254">
        <x:f>+Puantaj!AK62</x:f>
      </x:c>
      <x:c r="G62" s="33">
        <x:f>F62*1083</x:f>
      </x:c>
      <x:c r="H62" s="62">
        <x:f>G62*0.055</x:f>
      </x:c>
      <x:c r="I62" s="3">
        <x:f>G62+H62</x:f>
      </x:c>
      <x:c r="J62" s="3">
        <x:f>+G62</x:f>
      </x:c>
      <x:c r="K62" s="3">
        <x:f>J62*0.15</x:f>
      </x:c>
      <x:c r="L62" s="3">
        <x:f>IF(J62*0.15&gt;K62,K62,J62*0.15)</x:f>
      </x:c>
      <x:c r="M62" s="65">
        <x:f>IF(K62-L62&gt;0,K62-L62,0)</x:f>
      </x:c>
      <x:c r="N62" s="3">
        <x:f>G62*0.00759</x:f>
      </x:c>
      <x:c r="O62" s="3">
        <x:f>IF(G62*0.00759&gt;G62,197.38,G62*0.00759)</x:f>
      </x:c>
      <x:c r="P62" s="3">
        <x:f>IF(N62-O62&gt;0,N62-O62,0)</x:f>
      </x:c>
      <x:c r="Q62" s="65">
        <x:f>+H62</x:f>
      </x:c>
      <x:c r="R62" s="65">
        <x:v>0</x:v>
      </x:c>
      <x:c r="S62" s="3">
        <x:f>R62+Q62</x:f>
      </x:c>
      <x:c r="T62" s="3">
        <x:f>I62-S62</x:f>
      </x:c>
      <x:c r="U62" s="255"/>
    </x:row>
    <x:row r="63" spans="1:21" ht="21" customHeight="1" x14ac:dyDescent="0.2">
      <x:c r="A63" s="253">
        <x:f>+'Banka Lis.'!B62</x:f>
      </x:c>
      <x:c r="B63" s="253">
        <x:f>+Puantaj!C63</x:f>
      </x:c>
      <x:c r="C63" s="4">
        <x:f>+Puantaj!D63</x:f>
      </x:c>
      <x:c r="D63" s="4">
        <x:f>+Puantaj!E63</x:f>
      </x:c>
      <x:c r="E63" s="4">
        <x:f>+'Banka Lis.'!H62</x:f>
      </x:c>
      <x:c r="F63" s="254">
        <x:f>+Puantaj!AK63</x:f>
      </x:c>
      <x:c r="G63" s="33">
        <x:f>F63*1083</x:f>
      </x:c>
      <x:c r="H63" s="62">
        <x:f>G63*0.055</x:f>
      </x:c>
      <x:c r="I63" s="3">
        <x:f>G63+H63</x:f>
      </x:c>
      <x:c r="J63" s="3">
        <x:f>+G63</x:f>
      </x:c>
      <x:c r="K63" s="3">
        <x:f>J63*0.15</x:f>
      </x:c>
      <x:c r="L63" s="3">
        <x:f>IF(J63*0.15&gt;K63,K63,J63*0.15)</x:f>
      </x:c>
      <x:c r="M63" s="65">
        <x:f>IF(K63-L63&gt;0,K63-L63,0)</x:f>
      </x:c>
      <x:c r="N63" s="3">
        <x:f>G63*0.00759</x:f>
      </x:c>
      <x:c r="O63" s="3">
        <x:f>IF(G63*0.00759&gt;G63,197.38,G63*0.00759)</x:f>
      </x:c>
      <x:c r="P63" s="3">
        <x:f>IF(N63-O63&gt;0,N63-O63,0)</x:f>
      </x:c>
      <x:c r="Q63" s="65">
        <x:f>+H63</x:f>
      </x:c>
      <x:c r="R63" s="65">
        <x:v>0</x:v>
      </x:c>
      <x:c r="S63" s="3">
        <x:f>R63+Q63</x:f>
      </x:c>
      <x:c r="T63" s="3">
        <x:f>I63-S63</x:f>
      </x:c>
      <x:c r="U63" s="255"/>
    </x:row>
    <x:row r="64" spans="1:21" ht="21" customHeight="1" x14ac:dyDescent="0.2">
      <x:c r="A64" s="253">
        <x:f>+'Banka Lis.'!B63</x:f>
      </x:c>
      <x:c r="B64" s="253">
        <x:f>+Puantaj!C64</x:f>
      </x:c>
      <x:c r="C64" s="4">
        <x:f>+Puantaj!D64</x:f>
      </x:c>
      <x:c r="D64" s="4">
        <x:f>+Puantaj!E64</x:f>
      </x:c>
      <x:c r="E64" s="4">
        <x:f>+'Banka Lis.'!H63</x:f>
      </x:c>
      <x:c r="F64" s="254">
        <x:f>+Puantaj!AK64</x:f>
      </x:c>
      <x:c r="G64" s="33">
        <x:f>F64*1083</x:f>
      </x:c>
      <x:c r="H64" s="62">
        <x:f>G64*0.055</x:f>
      </x:c>
      <x:c r="I64" s="3">
        <x:f>G64+H64</x:f>
      </x:c>
      <x:c r="J64" s="3">
        <x:f>+G64</x:f>
      </x:c>
      <x:c r="K64" s="3">
        <x:f>J64*0.15</x:f>
      </x:c>
      <x:c r="L64" s="3">
        <x:f>IF(J64*0.15&gt;K64,K64,J64*0.15)</x:f>
      </x:c>
      <x:c r="M64" s="65">
        <x:f>IF(K64-L64&gt;0,K64-L64,0)</x:f>
      </x:c>
      <x:c r="N64" s="3">
        <x:f>G64*0.00759</x:f>
      </x:c>
      <x:c r="O64" s="3">
        <x:f>IF(G64*0.00759&gt;G64,197.38,G64*0.00759)</x:f>
      </x:c>
      <x:c r="P64" s="3">
        <x:f>IF(N64-O64&gt;0,N64-O64,0)</x:f>
      </x:c>
      <x:c r="Q64" s="65">
        <x:f>+H64</x:f>
      </x:c>
      <x:c r="R64" s="65">
        <x:v>0</x:v>
      </x:c>
      <x:c r="S64" s="3">
        <x:f>R64+Q64</x:f>
      </x:c>
      <x:c r="T64" s="3">
        <x:f>I64-S64</x:f>
      </x:c>
      <x:c r="U64" s="255"/>
    </x:row>
    <x:row r="65" spans="1:21" ht="21" customHeight="1" x14ac:dyDescent="0.2">
      <x:c r="A65" s="253">
        <x:f>+'Banka Lis.'!B64</x:f>
      </x:c>
      <x:c r="B65" s="253">
        <x:f>+Puantaj!C65</x:f>
      </x:c>
      <x:c r="C65" s="4">
        <x:f>+Puantaj!D65</x:f>
      </x:c>
      <x:c r="D65" s="4">
        <x:f>+Puantaj!E65</x:f>
      </x:c>
      <x:c r="E65" s="4">
        <x:f>+'Banka Lis.'!H64</x:f>
      </x:c>
      <x:c r="F65" s="254">
        <x:f>+Puantaj!AK65</x:f>
      </x:c>
      <x:c r="G65" s="33">
        <x:f>F65*1083</x:f>
      </x:c>
      <x:c r="H65" s="62">
        <x:f>G65*0.055</x:f>
      </x:c>
      <x:c r="I65" s="3">
        <x:f>G65+H65</x:f>
      </x:c>
      <x:c r="J65" s="3">
        <x:f>+G65</x:f>
      </x:c>
      <x:c r="K65" s="3">
        <x:f>J65*0.15</x:f>
      </x:c>
      <x:c r="L65" s="3">
        <x:f>IF(J65*0.15&gt;K65,K65,J65*0.15)</x:f>
      </x:c>
      <x:c r="M65" s="65">
        <x:f>IF(K65-L65&gt;0,K65-L65,0)</x:f>
      </x:c>
      <x:c r="N65" s="3">
        <x:f>G65*0.00759</x:f>
      </x:c>
      <x:c r="O65" s="3">
        <x:f>IF(G65*0.00759&gt;G65,197.38,G65*0.00759)</x:f>
      </x:c>
      <x:c r="P65" s="3">
        <x:f>IF(N65-O65&gt;0,N65-O65,0)</x:f>
      </x:c>
      <x:c r="Q65" s="65">
        <x:f>+H65</x:f>
      </x:c>
      <x:c r="R65" s="65">
        <x:v>0</x:v>
      </x:c>
      <x:c r="S65" s="3">
        <x:f>R65+Q65</x:f>
      </x:c>
      <x:c r="T65" s="3">
        <x:f>I65-S65</x:f>
      </x:c>
      <x:c r="U65" s="255"/>
    </x:row>
    <x:row r="66" spans="1:21" ht="21" customHeight="1" x14ac:dyDescent="0.2">
      <x:c r="A66" s="253">
        <x:f>+'Banka Lis.'!B65</x:f>
      </x:c>
      <x:c r="B66" s="253">
        <x:f>+Puantaj!C66</x:f>
      </x:c>
      <x:c r="C66" s="4">
        <x:f>+Puantaj!D66</x:f>
      </x:c>
      <x:c r="D66" s="4">
        <x:f>+Puantaj!E66</x:f>
      </x:c>
      <x:c r="E66" s="4">
        <x:f>+'Banka Lis.'!H65</x:f>
      </x:c>
      <x:c r="F66" s="254">
        <x:f>+Puantaj!AK66</x:f>
      </x:c>
      <x:c r="G66" s="33">
        <x:f>F66*1083</x:f>
      </x:c>
      <x:c r="H66" s="62">
        <x:f>G66*0.055</x:f>
      </x:c>
      <x:c r="I66" s="3">
        <x:f>G66+H66</x:f>
      </x:c>
      <x:c r="J66" s="3">
        <x:f>+G66</x:f>
      </x:c>
      <x:c r="K66" s="3">
        <x:f>J66*0.15</x:f>
      </x:c>
      <x:c r="L66" s="3">
        <x:f>IF(J66*0.15&gt;K66,K66,J66*0.15)</x:f>
      </x:c>
      <x:c r="M66" s="65">
        <x:f>IF(K66-L66&gt;0,K66-L66,0)</x:f>
      </x:c>
      <x:c r="N66" s="3">
        <x:f>G66*0.00759</x:f>
      </x:c>
      <x:c r="O66" s="3">
        <x:f>IF(G66*0.00759&gt;G66,197.38,G66*0.00759)</x:f>
      </x:c>
      <x:c r="P66" s="3">
        <x:f>IF(N66-O66&gt;0,N66-O66,0)</x:f>
      </x:c>
      <x:c r="Q66" s="65">
        <x:f>+H66</x:f>
      </x:c>
      <x:c r="R66" s="65">
        <x:v>0</x:v>
      </x:c>
      <x:c r="S66" s="3">
        <x:f>R66+Q66</x:f>
      </x:c>
      <x:c r="T66" s="3">
        <x:f>I66-S66</x:f>
      </x:c>
      <x:c r="U66" s="255"/>
    </x:row>
    <x:row r="67" spans="1:21" ht="21" customHeight="1" x14ac:dyDescent="0.2">
      <x:c r="A67" s="253">
        <x:f>+'Banka Lis.'!B66</x:f>
      </x:c>
      <x:c r="B67" s="253">
        <x:f>+Puantaj!C67</x:f>
      </x:c>
      <x:c r="C67" s="4">
        <x:f>+Puantaj!D67</x:f>
      </x:c>
      <x:c r="D67" s="4">
        <x:f>+Puantaj!E67</x:f>
      </x:c>
      <x:c r="E67" s="4">
        <x:f>+'Banka Lis.'!H66</x:f>
      </x:c>
      <x:c r="F67" s="254">
        <x:f>+Puantaj!AK67</x:f>
      </x:c>
      <x:c r="G67" s="33">
        <x:f>F67*1083</x:f>
      </x:c>
      <x:c r="H67" s="62">
        <x:f>G67*0.055</x:f>
      </x:c>
      <x:c r="I67" s="3">
        <x:f>G67+H67</x:f>
      </x:c>
      <x:c r="J67" s="3">
        <x:f>+G67</x:f>
      </x:c>
      <x:c r="K67" s="3">
        <x:f>J67*0.15</x:f>
      </x:c>
      <x:c r="L67" s="3">
        <x:f>IF(J67*0.15&gt;K67,K67,J67*0.15)</x:f>
      </x:c>
      <x:c r="M67" s="65">
        <x:f>IF(K67-L67&gt;0,K67-L67,0)</x:f>
      </x:c>
      <x:c r="N67" s="3">
        <x:f>G67*0.00759</x:f>
      </x:c>
      <x:c r="O67" s="3">
        <x:f>IF(G67*0.00759&gt;G67,197.38,G67*0.00759)</x:f>
      </x:c>
      <x:c r="P67" s="3">
        <x:f>IF(N67-O67&gt;0,N67-O67,0)</x:f>
      </x:c>
      <x:c r="Q67" s="65">
        <x:f>+H67</x:f>
      </x:c>
      <x:c r="R67" s="65">
        <x:v>0</x:v>
      </x:c>
      <x:c r="S67" s="3">
        <x:f>R67+Q67</x:f>
      </x:c>
      <x:c r="T67" s="3">
        <x:f>I67-S67</x:f>
      </x:c>
      <x:c r="U67" s="255"/>
    </x:row>
    <x:row r="68" spans="1:21" ht="21" customHeight="1" x14ac:dyDescent="0.2">
      <x:c r="A68" s="253">
        <x:f>+'Banka Lis.'!B67</x:f>
      </x:c>
      <x:c r="B68" s="253">
        <x:f>+Puantaj!C68</x:f>
      </x:c>
      <x:c r="C68" s="4">
        <x:f>+Puantaj!D68</x:f>
      </x:c>
      <x:c r="D68" s="4">
        <x:f>+Puantaj!E68</x:f>
      </x:c>
      <x:c r="E68" s="4">
        <x:f>+'Banka Lis.'!H67</x:f>
      </x:c>
      <x:c r="F68" s="254">
        <x:f>+Puantaj!AK68</x:f>
      </x:c>
      <x:c r="G68" s="33">
        <x:f>F68*1083</x:f>
      </x:c>
      <x:c r="H68" s="62">
        <x:f>G68*0.055</x:f>
      </x:c>
      <x:c r="I68" s="3">
        <x:f>G68+H68</x:f>
      </x:c>
      <x:c r="J68" s="3">
        <x:f>+G68</x:f>
      </x:c>
      <x:c r="K68" s="3">
        <x:f>J68*0.15</x:f>
      </x:c>
      <x:c r="L68" s="3">
        <x:f>IF(J68*0.15&gt;K68,K68,J68*0.15)</x:f>
      </x:c>
      <x:c r="M68" s="65">
        <x:f>IF(K68-L68&gt;0,K68-L68,0)</x:f>
      </x:c>
      <x:c r="N68" s="3">
        <x:f>G68*0.00759</x:f>
      </x:c>
      <x:c r="O68" s="3">
        <x:f>IF(G68*0.00759&gt;G68,197.38,G68*0.00759)</x:f>
      </x:c>
      <x:c r="P68" s="3">
        <x:f>IF(N68-O68&gt;0,N68-O68,0)</x:f>
      </x:c>
      <x:c r="Q68" s="65">
        <x:f>+H68</x:f>
      </x:c>
      <x:c r="R68" s="65">
        <x:v>0</x:v>
      </x:c>
      <x:c r="S68" s="3">
        <x:f>R68+Q68</x:f>
      </x:c>
      <x:c r="T68" s="3">
        <x:f>I68-S68</x:f>
      </x:c>
      <x:c r="U68" s="255"/>
    </x:row>
    <x:row r="69" spans="1:21" ht="21" customHeight="1" x14ac:dyDescent="0.2">
      <x:c r="A69" s="253">
        <x:f>+'Banka Lis.'!B68</x:f>
      </x:c>
      <x:c r="B69" s="253">
        <x:f>+Puantaj!C69</x:f>
      </x:c>
      <x:c r="C69" s="4">
        <x:f>+Puantaj!D69</x:f>
      </x:c>
      <x:c r="D69" s="4">
        <x:f>+Puantaj!E69</x:f>
      </x:c>
      <x:c r="E69" s="4">
        <x:f>+'Banka Lis.'!H68</x:f>
      </x:c>
      <x:c r="F69" s="254">
        <x:f>+Puantaj!AK69</x:f>
      </x:c>
      <x:c r="G69" s="33">
        <x:f>F69*1083</x:f>
      </x:c>
      <x:c r="H69" s="62">
        <x:f>G69*0.055</x:f>
      </x:c>
      <x:c r="I69" s="3">
        <x:f>G69+H69</x:f>
      </x:c>
      <x:c r="J69" s="3">
        <x:f>+G69</x:f>
      </x:c>
      <x:c r="K69" s="3">
        <x:f>J69*0.15</x:f>
      </x:c>
      <x:c r="L69" s="3">
        <x:f>IF(J69*0.15&gt;K69,K69,J69*0.15)</x:f>
      </x:c>
      <x:c r="M69" s="65">
        <x:f>IF(K69-L69&gt;0,K69-L69,0)</x:f>
      </x:c>
      <x:c r="N69" s="3">
        <x:f>G69*0.00759</x:f>
      </x:c>
      <x:c r="O69" s="3">
        <x:f>IF(G69*0.00759&gt;G69,197.38,G69*0.00759)</x:f>
      </x:c>
      <x:c r="P69" s="3">
        <x:f>IF(N69-O69&gt;0,N69-O69,0)</x:f>
      </x:c>
      <x:c r="Q69" s="65">
        <x:f>+H69</x:f>
      </x:c>
      <x:c r="R69" s="65">
        <x:v>0</x:v>
      </x:c>
      <x:c r="S69" s="3">
        <x:f>R69+Q69</x:f>
      </x:c>
      <x:c r="T69" s="3">
        <x:f>I69-S69</x:f>
      </x:c>
      <x:c r="U69" s="255"/>
    </x:row>
    <x:row r="70" spans="1:21" ht="21" customHeight="1" x14ac:dyDescent="0.2">
      <x:c r="A70" s="253">
        <x:f>+'Banka Lis.'!B69</x:f>
      </x:c>
      <x:c r="B70" s="253">
        <x:f>+Puantaj!C70</x:f>
      </x:c>
      <x:c r="C70" s="4">
        <x:f>+Puantaj!D70</x:f>
      </x:c>
      <x:c r="D70" s="4">
        <x:f>+Puantaj!E70</x:f>
      </x:c>
      <x:c r="E70" s="4">
        <x:f>+'Banka Lis.'!H69</x:f>
      </x:c>
      <x:c r="F70" s="254">
        <x:f>+Puantaj!AK70</x:f>
      </x:c>
      <x:c r="G70" s="33">
        <x:f>F70*1083</x:f>
      </x:c>
      <x:c r="H70" s="62">
        <x:f>G70*0.055</x:f>
      </x:c>
      <x:c r="I70" s="3">
        <x:f>G70+H70</x:f>
      </x:c>
      <x:c r="J70" s="3">
        <x:f>+G70</x:f>
      </x:c>
      <x:c r="K70" s="3">
        <x:f>J70*0.15</x:f>
      </x:c>
      <x:c r="L70" s="3">
        <x:f>IF(J70*0.15&gt;K70,K70,J70*0.15)</x:f>
      </x:c>
      <x:c r="M70" s="65">
        <x:f>IF(K70-L70&gt;0,K70-L70,0)</x:f>
      </x:c>
      <x:c r="N70" s="3">
        <x:f>G70*0.00759</x:f>
      </x:c>
      <x:c r="O70" s="3">
        <x:f>IF(G70*0.00759&gt;G70,197.38,G70*0.00759)</x:f>
      </x:c>
      <x:c r="P70" s="3">
        <x:f>IF(N70-O70&gt;0,N70-O70,0)</x:f>
      </x:c>
      <x:c r="Q70" s="65">
        <x:f>+H70</x:f>
      </x:c>
      <x:c r="R70" s="65">
        <x:v>0</x:v>
      </x:c>
      <x:c r="S70" s="3">
        <x:f>R70+Q70</x:f>
      </x:c>
      <x:c r="T70" s="3">
        <x:f>I70-S70</x:f>
      </x:c>
      <x:c r="U70" s="255"/>
    </x:row>
    <x:row r="71" spans="1:21" ht="21" customHeight="1" x14ac:dyDescent="0.2">
      <x:c r="A71" s="253">
        <x:f>+'Banka Lis.'!B70</x:f>
      </x:c>
      <x:c r="B71" s="253">
        <x:f>+Puantaj!C71</x:f>
      </x:c>
      <x:c r="C71" s="4">
        <x:f>+Puantaj!D71</x:f>
      </x:c>
      <x:c r="D71" s="4">
        <x:f>+Puantaj!E71</x:f>
      </x:c>
      <x:c r="E71" s="4">
        <x:f>+'Banka Lis.'!H70</x:f>
      </x:c>
      <x:c r="F71" s="254">
        <x:f>+Puantaj!AK71</x:f>
      </x:c>
      <x:c r="G71" s="33">
        <x:f>F71*1083</x:f>
      </x:c>
      <x:c r="H71" s="62">
        <x:f>G71*0.055</x:f>
      </x:c>
      <x:c r="I71" s="3">
        <x:f>G71+H71</x:f>
      </x:c>
      <x:c r="J71" s="3">
        <x:f>+G71</x:f>
      </x:c>
      <x:c r="K71" s="3">
        <x:f>J71*0.15</x:f>
      </x:c>
      <x:c r="L71" s="3">
        <x:f>IF(J71*0.15&gt;K71,K71,J71*0.15)</x:f>
      </x:c>
      <x:c r="M71" s="65">
        <x:f>IF(K71-L71&gt;0,K71-L71,0)</x:f>
      </x:c>
      <x:c r="N71" s="3">
        <x:f>G71*0.00759</x:f>
      </x:c>
      <x:c r="O71" s="3">
        <x:f>IF(G71*0.00759&gt;G71,197.38,G71*0.00759)</x:f>
      </x:c>
      <x:c r="P71" s="3">
        <x:f>IF(N71-O71&gt;0,N71-O71,0)</x:f>
      </x:c>
      <x:c r="Q71" s="65">
        <x:f>+H71</x:f>
      </x:c>
      <x:c r="R71" s="65">
        <x:v>0</x:v>
      </x:c>
      <x:c r="S71" s="3">
        <x:f>R71+Q71</x:f>
      </x:c>
      <x:c r="T71" s="3">
        <x:f>I71-S71</x:f>
      </x:c>
      <x:c r="U71" s="255"/>
    </x:row>
    <x:row r="72" spans="1:21" ht="21" customHeight="1" x14ac:dyDescent="0.2">
      <x:c r="A72" s="253">
        <x:f>+'Banka Lis.'!B71</x:f>
      </x:c>
      <x:c r="B72" s="253">
        <x:f>+Puantaj!C72</x:f>
      </x:c>
      <x:c r="C72" s="4">
        <x:f>+Puantaj!D72</x:f>
      </x:c>
      <x:c r="D72" s="4">
        <x:f>+Puantaj!E72</x:f>
      </x:c>
      <x:c r="E72" s="4">
        <x:f>+'Banka Lis.'!H71</x:f>
      </x:c>
      <x:c r="F72" s="254">
        <x:f>+Puantaj!AK72</x:f>
      </x:c>
      <x:c r="G72" s="33">
        <x:f>F72*1083</x:f>
      </x:c>
      <x:c r="H72" s="62">
        <x:f>G72*0.055</x:f>
      </x:c>
      <x:c r="I72" s="3">
        <x:f>G72+H72</x:f>
      </x:c>
      <x:c r="J72" s="3">
        <x:f>+G72</x:f>
      </x:c>
      <x:c r="K72" s="3">
        <x:f>J72*0.15</x:f>
      </x:c>
      <x:c r="L72" s="3">
        <x:f>IF(J72*0.15&gt;K72,K72,J72*0.15)</x:f>
      </x:c>
      <x:c r="M72" s="65">
        <x:f>IF(K72-L72&gt;0,K72-L72,0)</x:f>
      </x:c>
      <x:c r="N72" s="3">
        <x:f>G72*0.00759</x:f>
      </x:c>
      <x:c r="O72" s="3">
        <x:f>IF(G72*0.00759&gt;G72,197.38,G72*0.00759)</x:f>
      </x:c>
      <x:c r="P72" s="3">
        <x:f>IF(N72-O72&gt;0,N72-O72,0)</x:f>
      </x:c>
      <x:c r="Q72" s="65">
        <x:f>+H72</x:f>
      </x:c>
      <x:c r="R72" s="65">
        <x:v>0</x:v>
      </x:c>
      <x:c r="S72" s="3">
        <x:f>R72+Q72</x:f>
      </x:c>
      <x:c r="T72" s="3">
        <x:f>I72-S72</x:f>
      </x:c>
      <x:c r="U72" s="255"/>
    </x:row>
    <x:row r="73" spans="1:21" ht="21" customHeight="1" x14ac:dyDescent="0.2">
      <x:c r="A73" s="253">
        <x:f>+'Banka Lis.'!B72</x:f>
      </x:c>
      <x:c r="B73" s="253">
        <x:f>+Puantaj!C73</x:f>
      </x:c>
      <x:c r="C73" s="4">
        <x:f>+Puantaj!D73</x:f>
      </x:c>
      <x:c r="D73" s="4">
        <x:f>+Puantaj!E73</x:f>
      </x:c>
      <x:c r="E73" s="4">
        <x:f>+'Banka Lis.'!H72</x:f>
      </x:c>
      <x:c r="F73" s="254">
        <x:f>+Puantaj!AK73</x:f>
      </x:c>
      <x:c r="G73" s="33">
        <x:f>F73*1083</x:f>
      </x:c>
      <x:c r="H73" s="62">
        <x:f>G73*0.055</x:f>
      </x:c>
      <x:c r="I73" s="3">
        <x:f>G73+H73</x:f>
      </x:c>
      <x:c r="J73" s="3">
        <x:f>+G73</x:f>
      </x:c>
      <x:c r="K73" s="3">
        <x:f>J73*0.15</x:f>
      </x:c>
      <x:c r="L73" s="3">
        <x:f>IF(J73*0.15&gt;K73,K73,J73*0.15)</x:f>
      </x:c>
      <x:c r="M73" s="65">
        <x:f>IF(K73-L73&gt;0,K73-L73,0)</x:f>
      </x:c>
      <x:c r="N73" s="3">
        <x:f>G73*0.00759</x:f>
      </x:c>
      <x:c r="O73" s="3">
        <x:f>IF(G73*0.00759&gt;G73,197.38,G73*0.00759)</x:f>
      </x:c>
      <x:c r="P73" s="3">
        <x:f>IF(N73-O73&gt;0,N73-O73,0)</x:f>
      </x:c>
      <x:c r="Q73" s="65">
        <x:f>+H73</x:f>
      </x:c>
      <x:c r="R73" s="65">
        <x:v>0</x:v>
      </x:c>
      <x:c r="S73" s="3">
        <x:f>R73+Q73</x:f>
      </x:c>
      <x:c r="T73" s="3">
        <x:f>I73-S73</x:f>
      </x:c>
      <x:c r="U73" s="255"/>
    </x:row>
    <x:row r="74" spans="1:21" ht="21" customHeight="1" x14ac:dyDescent="0.2">
      <x:c r="A74" s="253">
        <x:f>+'Banka Lis.'!B73</x:f>
      </x:c>
      <x:c r="B74" s="253">
        <x:f>+Puantaj!C74</x:f>
      </x:c>
      <x:c r="C74" s="4">
        <x:f>+Puantaj!D74</x:f>
      </x:c>
      <x:c r="D74" s="4">
        <x:f>+Puantaj!E74</x:f>
      </x:c>
      <x:c r="E74" s="4">
        <x:f>+'Banka Lis.'!H73</x:f>
      </x:c>
      <x:c r="F74" s="254">
        <x:f>+Puantaj!AK74</x:f>
      </x:c>
      <x:c r="G74" s="33">
        <x:f>F74*1083</x:f>
      </x:c>
      <x:c r="H74" s="62">
        <x:f>G74*0.055</x:f>
      </x:c>
      <x:c r="I74" s="3">
        <x:f>G74+H74</x:f>
      </x:c>
      <x:c r="J74" s="3">
        <x:f>+G74</x:f>
      </x:c>
      <x:c r="K74" s="3">
        <x:f>J74*0.15</x:f>
      </x:c>
      <x:c r="L74" s="3">
        <x:f>IF(J74*0.15&gt;K74,K74,J74*0.15)</x:f>
      </x:c>
      <x:c r="M74" s="65">
        <x:f>IF(K74-L74&gt;0,K74-L74,0)</x:f>
      </x:c>
      <x:c r="N74" s="3">
        <x:f>G74*0.00759</x:f>
      </x:c>
      <x:c r="O74" s="3">
        <x:f>IF(G74*0.00759&gt;G74,197.38,G74*0.00759)</x:f>
      </x:c>
      <x:c r="P74" s="3">
        <x:f>IF(N74-O74&gt;0,N74-O74,0)</x:f>
      </x:c>
      <x:c r="Q74" s="65">
        <x:f>+H74</x:f>
      </x:c>
      <x:c r="R74" s="65">
        <x:v>0</x:v>
      </x:c>
      <x:c r="S74" s="3">
        <x:f>R74+Q74</x:f>
      </x:c>
      <x:c r="T74" s="3">
        <x:f>I74-S74</x:f>
      </x:c>
      <x:c r="U74" s="255"/>
    </x:row>
    <x:row r="75" spans="1:21" ht="21" customHeight="1" x14ac:dyDescent="0.2">
      <x:c r="A75" s="253">
        <x:f>+'Banka Lis.'!B74</x:f>
      </x:c>
      <x:c r="B75" s="253">
        <x:f>+Puantaj!C75</x:f>
      </x:c>
      <x:c r="C75" s="4">
        <x:f>+Puantaj!D75</x:f>
      </x:c>
      <x:c r="D75" s="4">
        <x:f>+Puantaj!E75</x:f>
      </x:c>
      <x:c r="E75" s="4">
        <x:f>+'Banka Lis.'!H74</x:f>
      </x:c>
      <x:c r="F75" s="254">
        <x:f>+Puantaj!AK75</x:f>
      </x:c>
      <x:c r="G75" s="33">
        <x:f>F75*1083</x:f>
      </x:c>
      <x:c r="H75" s="62">
        <x:f>G75*0.055</x:f>
      </x:c>
      <x:c r="I75" s="3">
        <x:f>G75+H75</x:f>
      </x:c>
      <x:c r="J75" s="3">
        <x:f>+G75</x:f>
      </x:c>
      <x:c r="K75" s="3">
        <x:f>J75*0.15</x:f>
      </x:c>
      <x:c r="L75" s="3">
        <x:f>IF(J75*0.15&gt;K75,K75,J75*0.15)</x:f>
      </x:c>
      <x:c r="M75" s="65">
        <x:f>IF(K75-L75&gt;0,K75-L75,0)</x:f>
      </x:c>
      <x:c r="N75" s="3">
        <x:f>G75*0.00759</x:f>
      </x:c>
      <x:c r="O75" s="3">
        <x:f>IF(G75*0.00759&gt;G75,197.38,G75*0.00759)</x:f>
      </x:c>
      <x:c r="P75" s="3">
        <x:f>IF(N75-O75&gt;0,N75-O75,0)</x:f>
      </x:c>
      <x:c r="Q75" s="65">
        <x:f>+H75</x:f>
      </x:c>
      <x:c r="R75" s="65">
        <x:v>0</x:v>
      </x:c>
      <x:c r="S75" s="3">
        <x:f>R75+Q75</x:f>
      </x:c>
      <x:c r="T75" s="3">
        <x:f>I75-S75</x:f>
      </x:c>
      <x:c r="U75" s="255"/>
    </x:row>
    <x:row r="76" spans="1:21" ht="21" customHeight="1" x14ac:dyDescent="0.2">
      <x:c r="A76" s="253">
        <x:f>+'Banka Lis.'!B75</x:f>
      </x:c>
      <x:c r="B76" s="253">
        <x:f>+Puantaj!C76</x:f>
      </x:c>
      <x:c r="C76" s="4">
        <x:f>+Puantaj!D76</x:f>
      </x:c>
      <x:c r="D76" s="4">
        <x:f>+Puantaj!E76</x:f>
      </x:c>
      <x:c r="E76" s="4">
        <x:f>+'Banka Lis.'!H75</x:f>
      </x:c>
      <x:c r="F76" s="254">
        <x:f>+Puantaj!AK76</x:f>
      </x:c>
      <x:c r="G76" s="33">
        <x:f>F76*1083</x:f>
      </x:c>
      <x:c r="H76" s="62">
        <x:f>G76*0.055</x:f>
      </x:c>
      <x:c r="I76" s="3">
        <x:f>G76+H76</x:f>
      </x:c>
      <x:c r="J76" s="3">
        <x:f>+G76</x:f>
      </x:c>
      <x:c r="K76" s="3">
        <x:f>J76*0.15</x:f>
      </x:c>
      <x:c r="L76" s="3">
        <x:f>IF(J76*0.15&gt;K76,K76,J76*0.15)</x:f>
      </x:c>
      <x:c r="M76" s="65">
        <x:f>IF(K76-L76&gt;0,K76-L76,0)</x:f>
      </x:c>
      <x:c r="N76" s="3">
        <x:f>G76*0.00759</x:f>
      </x:c>
      <x:c r="O76" s="3">
        <x:f>IF(G76*0.00759&gt;G76,197.38,G76*0.00759)</x:f>
      </x:c>
      <x:c r="P76" s="3">
        <x:f>IF(N76-O76&gt;0,N76-O76,0)</x:f>
      </x:c>
      <x:c r="Q76" s="65">
        <x:f>+H76</x:f>
      </x:c>
      <x:c r="R76" s="65">
        <x:v>0</x:v>
      </x:c>
      <x:c r="S76" s="3">
        <x:f>R76+Q76</x:f>
      </x:c>
      <x:c r="T76" s="3">
        <x:f>I76-S76</x:f>
      </x:c>
      <x:c r="U76" s="255"/>
    </x:row>
    <x:row r="77" spans="1:21" ht="21" customHeight="1" x14ac:dyDescent="0.2">
      <x:c r="A77" s="253">
        <x:f>+'Banka Lis.'!B76</x:f>
      </x:c>
      <x:c r="B77" s="253">
        <x:f>+Puantaj!C77</x:f>
      </x:c>
      <x:c r="C77" s="4">
        <x:f>+Puantaj!D77</x:f>
      </x:c>
      <x:c r="D77" s="4">
        <x:f>+Puantaj!E77</x:f>
      </x:c>
      <x:c r="E77" s="4">
        <x:f>+'Banka Lis.'!H76</x:f>
      </x:c>
      <x:c r="F77" s="254">
        <x:f>+Puantaj!AK77</x:f>
      </x:c>
      <x:c r="G77" s="33">
        <x:f>F77*1083</x:f>
      </x:c>
      <x:c r="H77" s="62">
        <x:f>G77*0.055</x:f>
      </x:c>
      <x:c r="I77" s="3">
        <x:f>G77+H77</x:f>
      </x:c>
      <x:c r="J77" s="3">
        <x:f>+G77</x:f>
      </x:c>
      <x:c r="K77" s="3">
        <x:f>J77*0.15</x:f>
      </x:c>
      <x:c r="L77" s="3">
        <x:f>IF(J77*0.15&gt;K77,K77,J77*0.15)</x:f>
      </x:c>
      <x:c r="M77" s="65">
        <x:f>IF(K77-L77&gt;0,K77-L77,0)</x:f>
      </x:c>
      <x:c r="N77" s="3">
        <x:f>G77*0.00759</x:f>
      </x:c>
      <x:c r="O77" s="3">
        <x:f>IF(G77*0.00759&gt;G77,197.38,G77*0.00759)</x:f>
      </x:c>
      <x:c r="P77" s="3">
        <x:f>IF(N77-O77&gt;0,N77-O77,0)</x:f>
      </x:c>
      <x:c r="Q77" s="65">
        <x:f>+H77</x:f>
      </x:c>
      <x:c r="R77" s="65">
        <x:v>0</x:v>
      </x:c>
      <x:c r="S77" s="3">
        <x:f>R77+Q77</x:f>
      </x:c>
      <x:c r="T77" s="3">
        <x:f>I77-S77</x:f>
      </x:c>
      <x:c r="U77" s="255"/>
    </x:row>
    <x:row r="78" spans="1:21" ht="21" customHeight="1" x14ac:dyDescent="0.2">
      <x:c r="A78" s="253">
        <x:f>+'Banka Lis.'!B77</x:f>
      </x:c>
      <x:c r="B78" s="253">
        <x:f>+Puantaj!C78</x:f>
      </x:c>
      <x:c r="C78" s="4">
        <x:f>+Puantaj!D78</x:f>
      </x:c>
      <x:c r="D78" s="4">
        <x:f>+Puantaj!E78</x:f>
      </x:c>
      <x:c r="E78" s="4">
        <x:f>+'Banka Lis.'!H77</x:f>
      </x:c>
      <x:c r="F78" s="254">
        <x:f>+Puantaj!AK78</x:f>
      </x:c>
      <x:c r="G78" s="33">
        <x:f>F78*1083</x:f>
      </x:c>
      <x:c r="H78" s="62">
        <x:f>G78*0.055</x:f>
      </x:c>
      <x:c r="I78" s="3">
        <x:f>G78+H78</x:f>
      </x:c>
      <x:c r="J78" s="3">
        <x:f>+G78</x:f>
      </x:c>
      <x:c r="K78" s="3">
        <x:f>J78*0.15</x:f>
      </x:c>
      <x:c r="L78" s="3">
        <x:f>IF(J78*0.15&gt;K78,K78,J78*0.15)</x:f>
      </x:c>
      <x:c r="M78" s="65">
        <x:f>IF(K78-L78&gt;0,K78-L78,0)</x:f>
      </x:c>
      <x:c r="N78" s="3">
        <x:f>G78*0.00759</x:f>
      </x:c>
      <x:c r="O78" s="3">
        <x:f>IF(G78*0.00759&gt;G78,197.38,G78*0.00759)</x:f>
      </x:c>
      <x:c r="P78" s="3">
        <x:f>IF(N78-O78&gt;0,N78-O78,0)</x:f>
      </x:c>
      <x:c r="Q78" s="65">
        <x:f>+H78</x:f>
      </x:c>
      <x:c r="R78" s="65">
        <x:v>0</x:v>
      </x:c>
      <x:c r="S78" s="3">
        <x:f>R78+Q78</x:f>
      </x:c>
      <x:c r="T78" s="3">
        <x:f>I78-S78</x:f>
      </x:c>
      <x:c r="U78" s="255"/>
    </x:row>
    <x:row r="79" spans="1:21" ht="21" customHeight="1" x14ac:dyDescent="0.2">
      <x:c r="A79" s="253">
        <x:f>+'Banka Lis.'!B78</x:f>
      </x:c>
      <x:c r="B79" s="253">
        <x:f>+Puantaj!C79</x:f>
      </x:c>
      <x:c r="C79" s="4">
        <x:f>+Puantaj!D79</x:f>
      </x:c>
      <x:c r="D79" s="4">
        <x:f>+Puantaj!E79</x:f>
      </x:c>
      <x:c r="E79" s="4">
        <x:f>+'Banka Lis.'!H78</x:f>
      </x:c>
      <x:c r="F79" s="254">
        <x:f>+Puantaj!AK79</x:f>
      </x:c>
      <x:c r="G79" s="33">
        <x:f>F79*1083</x:f>
      </x:c>
      <x:c r="H79" s="62">
        <x:f>G79*0.055</x:f>
      </x:c>
      <x:c r="I79" s="3">
        <x:f>G79+H79</x:f>
      </x:c>
      <x:c r="J79" s="3">
        <x:f>+G79</x:f>
      </x:c>
      <x:c r="K79" s="3">
        <x:f>J79*0.15</x:f>
      </x:c>
      <x:c r="L79" s="3">
        <x:f>IF(J79*0.15&gt;K79,K79,J79*0.15)</x:f>
      </x:c>
      <x:c r="M79" s="65">
        <x:f>IF(K79-L79&gt;0,K79-L79,0)</x:f>
      </x:c>
      <x:c r="N79" s="3">
        <x:f>G79*0.00759</x:f>
      </x:c>
      <x:c r="O79" s="3">
        <x:f>IF(G79*0.00759&gt;G79,197.38,G79*0.00759)</x:f>
      </x:c>
      <x:c r="P79" s="3">
        <x:f>IF(N79-O79&gt;0,N79-O79,0)</x:f>
      </x:c>
      <x:c r="Q79" s="65">
        <x:f>+H79</x:f>
      </x:c>
      <x:c r="R79" s="65">
        <x:v>0</x:v>
      </x:c>
      <x:c r="S79" s="3">
        <x:f>R79+Q79</x:f>
      </x:c>
      <x:c r="T79" s="3">
        <x:f>I79-S79</x:f>
      </x:c>
      <x:c r="U79" s="255"/>
    </x:row>
    <x:row r="80" spans="1:21" ht="21" customHeight="1" x14ac:dyDescent="0.2">
      <x:c r="A80" s="253">
        <x:f>+'Banka Lis.'!B79</x:f>
      </x:c>
      <x:c r="B80" s="253">
        <x:f>+Puantaj!C80</x:f>
      </x:c>
      <x:c r="C80" s="4">
        <x:f>+Puantaj!D80</x:f>
      </x:c>
      <x:c r="D80" s="4">
        <x:f>+Puantaj!E80</x:f>
      </x:c>
      <x:c r="E80" s="4">
        <x:f>+'Banka Lis.'!H79</x:f>
      </x:c>
      <x:c r="F80" s="254">
        <x:f>+Puantaj!AK80</x:f>
      </x:c>
      <x:c r="G80" s="33">
        <x:f>F80*1083</x:f>
      </x:c>
      <x:c r="H80" s="62">
        <x:f>G80*0.055</x:f>
      </x:c>
      <x:c r="I80" s="3">
        <x:f>G80+H80</x:f>
      </x:c>
      <x:c r="J80" s="3">
        <x:f>+G80</x:f>
      </x:c>
      <x:c r="K80" s="3">
        <x:f>J80*0.15</x:f>
      </x:c>
      <x:c r="L80" s="3">
        <x:f>IF(J80*0.15&gt;K80,K80,J80*0.15)</x:f>
      </x:c>
      <x:c r="M80" s="65">
        <x:f>IF(K80-L80&gt;0,K80-L80,0)</x:f>
      </x:c>
      <x:c r="N80" s="3">
        <x:f>G80*0.00759</x:f>
      </x:c>
      <x:c r="O80" s="3">
        <x:f>IF(G80*0.00759&gt;G80,197.38,G80*0.00759)</x:f>
      </x:c>
      <x:c r="P80" s="3">
        <x:f>IF(N80-O80&gt;0,N80-O80,0)</x:f>
      </x:c>
      <x:c r="Q80" s="65">
        <x:f>+H80</x:f>
      </x:c>
      <x:c r="R80" s="65">
        <x:v>0</x:v>
      </x:c>
      <x:c r="S80" s="3">
        <x:f>R80+Q80</x:f>
      </x:c>
      <x:c r="T80" s="3">
        <x:f>I80-S80</x:f>
      </x:c>
      <x:c r="U80" s="255"/>
    </x:row>
    <x:row r="81" spans="1:21" ht="21" customHeight="1" x14ac:dyDescent="0.2">
      <x:c r="A81" s="253">
        <x:f>+'Banka Lis.'!B80</x:f>
      </x:c>
      <x:c r="B81" s="253">
        <x:f>+Puantaj!C81</x:f>
      </x:c>
      <x:c r="C81" s="4">
        <x:f>+Puantaj!D81</x:f>
      </x:c>
      <x:c r="D81" s="4">
        <x:f>+Puantaj!E81</x:f>
      </x:c>
      <x:c r="E81" s="4">
        <x:f>+'Banka Lis.'!H80</x:f>
      </x:c>
      <x:c r="F81" s="254">
        <x:f>+Puantaj!AK81</x:f>
      </x:c>
      <x:c r="G81" s="33">
        <x:f>F81*1083</x:f>
      </x:c>
      <x:c r="H81" s="62">
        <x:f>G81*0.055</x:f>
      </x:c>
      <x:c r="I81" s="3">
        <x:f>G81+H81</x:f>
      </x:c>
      <x:c r="J81" s="3">
        <x:f>+G81</x:f>
      </x:c>
      <x:c r="K81" s="3">
        <x:f>J81*0.15</x:f>
      </x:c>
      <x:c r="L81" s="3">
        <x:f>IF(J81*0.15&gt;K81,K81,J81*0.15)</x:f>
      </x:c>
      <x:c r="M81" s="65">
        <x:f>IF(K81-L81&gt;0,K81-L81,0)</x:f>
      </x:c>
      <x:c r="N81" s="3">
        <x:f>G81*0.00759</x:f>
      </x:c>
      <x:c r="O81" s="3">
        <x:f>IF(G81*0.00759&gt;G81,197.38,G81*0.00759)</x:f>
      </x:c>
      <x:c r="P81" s="3">
        <x:f>IF(N81-O81&gt;0,N81-O81,0)</x:f>
      </x:c>
      <x:c r="Q81" s="65">
        <x:f>+H81</x:f>
      </x:c>
      <x:c r="R81" s="65">
        <x:v>0</x:v>
      </x:c>
      <x:c r="S81" s="3">
        <x:f>R81+Q81</x:f>
      </x:c>
      <x:c r="T81" s="3">
        <x:f>I81-S81</x:f>
      </x:c>
      <x:c r="U81" s="255"/>
    </x:row>
    <x:row r="82" spans="1:21" ht="21" customHeight="1" x14ac:dyDescent="0.2">
      <x:c r="A82" s="253">
        <x:f>+'Banka Lis.'!B81</x:f>
      </x:c>
      <x:c r="B82" s="253">
        <x:f>+Puantaj!C82</x:f>
      </x:c>
      <x:c r="C82" s="4">
        <x:f>+Puantaj!D82</x:f>
      </x:c>
      <x:c r="D82" s="4">
        <x:f>+Puantaj!E82</x:f>
      </x:c>
      <x:c r="E82" s="4">
        <x:f>+'Banka Lis.'!H81</x:f>
      </x:c>
      <x:c r="F82" s="254">
        <x:f>+Puantaj!AK82</x:f>
      </x:c>
      <x:c r="G82" s="33">
        <x:f>F82*1083</x:f>
      </x:c>
      <x:c r="H82" s="62">
        <x:f>G82*0.055</x:f>
      </x:c>
      <x:c r="I82" s="3">
        <x:f>G82+H82</x:f>
      </x:c>
      <x:c r="J82" s="3">
        <x:f>+G82</x:f>
      </x:c>
      <x:c r="K82" s="3">
        <x:f>J82*0.15</x:f>
      </x:c>
      <x:c r="L82" s="3">
        <x:f>IF(J82*0.15&gt;K82,K82,J82*0.15)</x:f>
      </x:c>
      <x:c r="M82" s="65">
        <x:f>IF(K82-L82&gt;0,K82-L82,0)</x:f>
      </x:c>
      <x:c r="N82" s="3">
        <x:f>G82*0.00759</x:f>
      </x:c>
      <x:c r="O82" s="3">
        <x:f>IF(G82*0.00759&gt;G82,197.38,G82*0.00759)</x:f>
      </x:c>
      <x:c r="P82" s="3">
        <x:f>IF(N82-O82&gt;0,N82-O82,0)</x:f>
      </x:c>
      <x:c r="Q82" s="65">
        <x:f>+H82</x:f>
      </x:c>
      <x:c r="R82" s="65">
        <x:v>0</x:v>
      </x:c>
      <x:c r="S82" s="3">
        <x:f>R82+Q82</x:f>
      </x:c>
      <x:c r="T82" s="3">
        <x:f>I82-S82</x:f>
      </x:c>
      <x:c r="U82" s="255"/>
    </x:row>
    <x:row r="83" spans="1:21" ht="21" customHeight="1" x14ac:dyDescent="0.2">
      <x:c r="A83" s="253">
        <x:f>+'Banka Lis.'!B82</x:f>
      </x:c>
      <x:c r="B83" s="253">
        <x:f>+Puantaj!C83</x:f>
      </x:c>
      <x:c r="C83" s="4">
        <x:f>+Puantaj!D83</x:f>
      </x:c>
      <x:c r="D83" s="4">
        <x:f>+Puantaj!E83</x:f>
      </x:c>
      <x:c r="E83" s="4">
        <x:f>+'Banka Lis.'!H82</x:f>
      </x:c>
      <x:c r="F83" s="254">
        <x:f>+Puantaj!AK83</x:f>
      </x:c>
      <x:c r="G83" s="33">
        <x:f>F83*1083</x:f>
      </x:c>
      <x:c r="H83" s="62">
        <x:f>G83*0.055</x:f>
      </x:c>
      <x:c r="I83" s="3">
        <x:f>G83+H83</x:f>
      </x:c>
      <x:c r="J83" s="3">
        <x:f>+G83</x:f>
      </x:c>
      <x:c r="K83" s="3">
        <x:f>J83*0.15</x:f>
      </x:c>
      <x:c r="L83" s="3">
        <x:f>IF(J83*0.15&gt;K83,K83,J83*0.15)</x:f>
      </x:c>
      <x:c r="M83" s="65">
        <x:f>IF(K83-L83&gt;0,K83-L83,0)</x:f>
      </x:c>
      <x:c r="N83" s="3">
        <x:f>G83*0.00759</x:f>
      </x:c>
      <x:c r="O83" s="3">
        <x:f>IF(G83*0.00759&gt;G83,197.38,G83*0.00759)</x:f>
      </x:c>
      <x:c r="P83" s="3">
        <x:f>IF(N83-O83&gt;0,N83-O83,0)</x:f>
      </x:c>
      <x:c r="Q83" s="65">
        <x:f>+H83</x:f>
      </x:c>
      <x:c r="R83" s="65">
        <x:v>0</x:v>
      </x:c>
      <x:c r="S83" s="3">
        <x:f>R83+Q83</x:f>
      </x:c>
      <x:c r="T83" s="3">
        <x:f>I83-S83</x:f>
      </x:c>
      <x:c r="U83" s="255"/>
    </x:row>
    <x:row r="84" spans="1:21" ht="21" customHeight="1" x14ac:dyDescent="0.2">
      <x:c r="A84" s="253">
        <x:f>+'Banka Lis.'!B83</x:f>
      </x:c>
      <x:c r="B84" s="253">
        <x:f>+Puantaj!C84</x:f>
      </x:c>
      <x:c r="C84" s="4">
        <x:f>+Puantaj!D84</x:f>
      </x:c>
      <x:c r="D84" s="4">
        <x:f>+Puantaj!E84</x:f>
      </x:c>
      <x:c r="E84" s="4">
        <x:f>+'Banka Lis.'!H83</x:f>
      </x:c>
      <x:c r="F84" s="254">
        <x:f>+Puantaj!AK84</x:f>
      </x:c>
      <x:c r="G84" s="33">
        <x:f>F84*1083</x:f>
      </x:c>
      <x:c r="H84" s="62">
        <x:f>G84*0.055</x:f>
      </x:c>
      <x:c r="I84" s="3">
        <x:f>G84+H84</x:f>
      </x:c>
      <x:c r="J84" s="3">
        <x:f>+G84</x:f>
      </x:c>
      <x:c r="K84" s="3">
        <x:f>J84*0.15</x:f>
      </x:c>
      <x:c r="L84" s="3">
        <x:f>IF(J84*0.15&gt;K84,K84,J84*0.15)</x:f>
      </x:c>
      <x:c r="M84" s="65">
        <x:f>IF(K84-L84&gt;0,K84-L84,0)</x:f>
      </x:c>
      <x:c r="N84" s="3">
        <x:f>G84*0.00759</x:f>
      </x:c>
      <x:c r="O84" s="3">
        <x:f>IF(G84*0.00759&gt;G84,197.38,G84*0.00759)</x:f>
      </x:c>
      <x:c r="P84" s="3">
        <x:f>IF(N84-O84&gt;0,N84-O84,0)</x:f>
      </x:c>
      <x:c r="Q84" s="65">
        <x:f>+H84</x:f>
      </x:c>
      <x:c r="R84" s="65">
        <x:v>0</x:v>
      </x:c>
      <x:c r="S84" s="3">
        <x:f>R84+Q84</x:f>
      </x:c>
      <x:c r="T84" s="3">
        <x:f>I84-S84</x:f>
      </x:c>
      <x:c r="U84" s="255"/>
    </x:row>
    <x:row r="85" spans="1:21" ht="21" customHeight="1" x14ac:dyDescent="0.2">
      <x:c r="A85" s="253">
        <x:f>+'Banka Lis.'!B84</x:f>
      </x:c>
      <x:c r="B85" s="253">
        <x:f>+Puantaj!C85</x:f>
      </x:c>
      <x:c r="C85" s="4">
        <x:f>+Puantaj!D85</x:f>
      </x:c>
      <x:c r="D85" s="4">
        <x:f>+Puantaj!E85</x:f>
      </x:c>
      <x:c r="E85" s="4">
        <x:f>+'Banka Lis.'!H84</x:f>
      </x:c>
      <x:c r="F85" s="254">
        <x:f>+Puantaj!AK85</x:f>
      </x:c>
      <x:c r="G85" s="33">
        <x:f>F85*1083</x:f>
      </x:c>
      <x:c r="H85" s="62">
        <x:f>G85*0.055</x:f>
      </x:c>
      <x:c r="I85" s="3">
        <x:f>G85+H85</x:f>
      </x:c>
      <x:c r="J85" s="3">
        <x:f>+G85</x:f>
      </x:c>
      <x:c r="K85" s="3">
        <x:f>J85*0.15</x:f>
      </x:c>
      <x:c r="L85" s="3">
        <x:f>IF(J85*0.15&gt;K85,K85,J85*0.15)</x:f>
      </x:c>
      <x:c r="M85" s="65">
        <x:f>IF(K85-L85&gt;0,K85-L85,0)</x:f>
      </x:c>
      <x:c r="N85" s="3">
        <x:f>G85*0.00759</x:f>
      </x:c>
      <x:c r="O85" s="3">
        <x:f>IF(G85*0.00759&gt;G85,197.38,G85*0.00759)</x:f>
      </x:c>
      <x:c r="P85" s="3">
        <x:f>IF(N85-O85&gt;0,N85-O85,0)</x:f>
      </x:c>
      <x:c r="Q85" s="65">
        <x:f>+H85</x:f>
      </x:c>
      <x:c r="R85" s="65">
        <x:v>0</x:v>
      </x:c>
      <x:c r="S85" s="3">
        <x:f>R85+Q85</x:f>
      </x:c>
      <x:c r="T85" s="3">
        <x:f>I85-S85</x:f>
      </x:c>
      <x:c r="U85" s="255"/>
    </x:row>
    <x:row r="86" spans="1:21" ht="21" customHeight="1" x14ac:dyDescent="0.2">
      <x:c r="A86" s="253">
        <x:f>+'Banka Lis.'!B85</x:f>
      </x:c>
      <x:c r="B86" s="253">
        <x:f>+Puantaj!C86</x:f>
      </x:c>
      <x:c r="C86" s="4">
        <x:f>+Puantaj!D86</x:f>
      </x:c>
      <x:c r="D86" s="4">
        <x:f>+Puantaj!E86</x:f>
      </x:c>
      <x:c r="E86" s="4">
        <x:f>+'Banka Lis.'!H85</x:f>
      </x:c>
      <x:c r="F86" s="254">
        <x:f>+Puantaj!AK86</x:f>
      </x:c>
      <x:c r="G86" s="33">
        <x:f>F86*1083</x:f>
      </x:c>
      <x:c r="H86" s="62">
        <x:f>G86*0.055</x:f>
      </x:c>
      <x:c r="I86" s="3">
        <x:f>G86+H86</x:f>
      </x:c>
      <x:c r="J86" s="3">
        <x:f>+G86</x:f>
      </x:c>
      <x:c r="K86" s="3">
        <x:f>J86*0.15</x:f>
      </x:c>
      <x:c r="L86" s="3">
        <x:f>IF(J86*0.15&gt;K86,K86,J86*0.15)</x:f>
      </x:c>
      <x:c r="M86" s="65">
        <x:f>IF(K86-L86&gt;0,K86-L86,0)</x:f>
      </x:c>
      <x:c r="N86" s="3">
        <x:f>G86*0.00759</x:f>
      </x:c>
      <x:c r="O86" s="3">
        <x:f>IF(G86*0.00759&gt;G86,197.38,G86*0.00759)</x:f>
      </x:c>
      <x:c r="P86" s="3">
        <x:f>IF(N86-O86&gt;0,N86-O86,0)</x:f>
      </x:c>
      <x:c r="Q86" s="65">
        <x:f>+H86</x:f>
      </x:c>
      <x:c r="R86" s="65">
        <x:v>0</x:v>
      </x:c>
      <x:c r="S86" s="3">
        <x:f>R86+Q86</x:f>
      </x:c>
      <x:c r="T86" s="3">
        <x:f>I86-S86</x:f>
      </x:c>
      <x:c r="U86" s="255"/>
    </x:row>
    <x:row r="87" spans="1:21" ht="21" customHeight="1" x14ac:dyDescent="0.2">
      <x:c r="A87" s="253">
        <x:f>+'Banka Lis.'!B86</x:f>
      </x:c>
      <x:c r="B87" s="253">
        <x:f>+Puantaj!C87</x:f>
      </x:c>
      <x:c r="C87" s="4">
        <x:f>+Puantaj!D87</x:f>
      </x:c>
      <x:c r="D87" s="4">
        <x:f>+Puantaj!E87</x:f>
      </x:c>
      <x:c r="E87" s="4">
        <x:f>+'Banka Lis.'!H86</x:f>
      </x:c>
      <x:c r="F87" s="254">
        <x:f>+Puantaj!AK87</x:f>
      </x:c>
      <x:c r="G87" s="33">
        <x:f>F87*1083</x:f>
      </x:c>
      <x:c r="H87" s="62">
        <x:f>G87*0.055</x:f>
      </x:c>
      <x:c r="I87" s="3">
        <x:f>G87+H87</x:f>
      </x:c>
      <x:c r="J87" s="3">
        <x:f>+G87</x:f>
      </x:c>
      <x:c r="K87" s="3">
        <x:f>J87*0.15</x:f>
      </x:c>
      <x:c r="L87" s="3">
        <x:f>IF(J87*0.15&gt;K87,K87,J87*0.15)</x:f>
      </x:c>
      <x:c r="M87" s="65">
        <x:f>IF(K87-L87&gt;0,K87-L87,0)</x:f>
      </x:c>
      <x:c r="N87" s="3">
        <x:f>G87*0.00759</x:f>
      </x:c>
      <x:c r="O87" s="3">
        <x:f>IF(G87*0.00759&gt;G87,197.38,G87*0.00759)</x:f>
      </x:c>
      <x:c r="P87" s="3">
        <x:f>IF(N87-O87&gt;0,N87-O87,0)</x:f>
      </x:c>
      <x:c r="Q87" s="65">
        <x:f>+H87</x:f>
      </x:c>
      <x:c r="R87" s="65">
        <x:v>0</x:v>
      </x:c>
      <x:c r="S87" s="3">
        <x:f>R87+Q87</x:f>
      </x:c>
      <x:c r="T87" s="3">
        <x:f>I87-S87</x:f>
      </x:c>
      <x:c r="U87" s="255"/>
    </x:row>
    <x:row r="88" spans="1:21" ht="21" customHeight="1" x14ac:dyDescent="0.2">
      <x:c r="A88" s="253">
        <x:f>+'Banka Lis.'!B87</x:f>
      </x:c>
      <x:c r="B88" s="253">
        <x:f>+Puantaj!C88</x:f>
      </x:c>
      <x:c r="C88" s="4">
        <x:f>+Puantaj!D88</x:f>
      </x:c>
      <x:c r="D88" s="4">
        <x:f>+Puantaj!E88</x:f>
      </x:c>
      <x:c r="E88" s="4">
        <x:f>+'Banka Lis.'!H87</x:f>
      </x:c>
      <x:c r="F88" s="254">
        <x:f>+Puantaj!AK88</x:f>
      </x:c>
      <x:c r="G88" s="33">
        <x:f>F88*1083</x:f>
      </x:c>
      <x:c r="H88" s="62">
        <x:f>G88*0.055</x:f>
      </x:c>
      <x:c r="I88" s="3">
        <x:f>G88+H88</x:f>
      </x:c>
      <x:c r="J88" s="3">
        <x:f>+G88</x:f>
      </x:c>
      <x:c r="K88" s="3">
        <x:f>J88*0.15</x:f>
      </x:c>
      <x:c r="L88" s="3">
        <x:f>IF(J88*0.15&gt;K88,K88,J88*0.15)</x:f>
      </x:c>
      <x:c r="M88" s="65">
        <x:f>IF(K88-L88&gt;0,K88-L88,0)</x:f>
      </x:c>
      <x:c r="N88" s="3">
        <x:f>G88*0.00759</x:f>
      </x:c>
      <x:c r="O88" s="3">
        <x:f>IF(G88*0.00759&gt;G88,197.38,G88*0.00759)</x:f>
      </x:c>
      <x:c r="P88" s="3">
        <x:f>IF(N88-O88&gt;0,N88-O88,0)</x:f>
      </x:c>
      <x:c r="Q88" s="65">
        <x:f>+H88</x:f>
      </x:c>
      <x:c r="R88" s="65">
        <x:v>0</x:v>
      </x:c>
      <x:c r="S88" s="3">
        <x:f>R88+Q88</x:f>
      </x:c>
      <x:c r="T88" s="3">
        <x:f>I88-S88</x:f>
      </x:c>
      <x:c r="U88" s="255"/>
    </x:row>
    <x:row r="89" spans="1:21" ht="21" customHeight="1" x14ac:dyDescent="0.2">
      <x:c r="A89" s="253">
        <x:f>+'Banka Lis.'!B88</x:f>
      </x:c>
      <x:c r="B89" s="253">
        <x:f>+Puantaj!C89</x:f>
      </x:c>
      <x:c r="C89" s="4">
        <x:f>+Puantaj!D89</x:f>
      </x:c>
      <x:c r="D89" s="4">
        <x:f>+Puantaj!E89</x:f>
      </x:c>
      <x:c r="E89" s="4">
        <x:f>+'Banka Lis.'!H88</x:f>
      </x:c>
      <x:c r="F89" s="254">
        <x:f>+Puantaj!AK89</x:f>
      </x:c>
      <x:c r="G89" s="33">
        <x:f>F89*1083</x:f>
      </x:c>
      <x:c r="H89" s="62">
        <x:f>G89*0.055</x:f>
      </x:c>
      <x:c r="I89" s="3">
        <x:f>G89+H89</x:f>
      </x:c>
      <x:c r="J89" s="3">
        <x:f>+G89</x:f>
      </x:c>
      <x:c r="K89" s="3">
        <x:f>J89*0.15</x:f>
      </x:c>
      <x:c r="L89" s="3">
        <x:f>IF(J89*0.15&gt;K89,K89,J89*0.15)</x:f>
      </x:c>
      <x:c r="M89" s="65">
        <x:f>IF(K89-L89&gt;0,K89-L89,0)</x:f>
      </x:c>
      <x:c r="N89" s="3">
        <x:f>G89*0.00759</x:f>
      </x:c>
      <x:c r="O89" s="3">
        <x:f>IF(G89*0.00759&gt;G89,197.38,G89*0.00759)</x:f>
      </x:c>
      <x:c r="P89" s="3">
        <x:f>IF(N89-O89&gt;0,N89-O89,0)</x:f>
      </x:c>
      <x:c r="Q89" s="65">
        <x:f>+H89</x:f>
      </x:c>
      <x:c r="R89" s="65">
        <x:v>0</x:v>
      </x:c>
      <x:c r="S89" s="3">
        <x:f>R89+Q89</x:f>
      </x:c>
      <x:c r="T89" s="3">
        <x:f>I89-S89</x:f>
      </x:c>
      <x:c r="U89" s="255"/>
    </x:row>
    <x:row r="90" spans="1:21" ht="21" customHeight="1" x14ac:dyDescent="0.2">
      <x:c r="A90" s="253">
        <x:f>+'Banka Lis.'!B89</x:f>
      </x:c>
      <x:c r="B90" s="253">
        <x:f>+Puantaj!C90</x:f>
      </x:c>
      <x:c r="C90" s="4">
        <x:f>+Puantaj!D90</x:f>
      </x:c>
      <x:c r="D90" s="4">
        <x:f>+Puantaj!E90</x:f>
      </x:c>
      <x:c r="E90" s="4">
        <x:f>+'Banka Lis.'!H89</x:f>
      </x:c>
      <x:c r="F90" s="254">
        <x:f>+Puantaj!AK90</x:f>
      </x:c>
      <x:c r="G90" s="33">
        <x:f>F90*1083</x:f>
      </x:c>
      <x:c r="H90" s="62">
        <x:f>G90*0.055</x:f>
      </x:c>
      <x:c r="I90" s="3">
        <x:f>G90+H90</x:f>
      </x:c>
      <x:c r="J90" s="3">
        <x:f>+G90</x:f>
      </x:c>
      <x:c r="K90" s="3">
        <x:f>J90*0.15</x:f>
      </x:c>
      <x:c r="L90" s="3">
        <x:f>IF(J90*0.15&gt;K90,K90,J90*0.15)</x:f>
      </x:c>
      <x:c r="M90" s="65">
        <x:f>IF(K90-L90&gt;0,K90-L90,0)</x:f>
      </x:c>
      <x:c r="N90" s="3">
        <x:f>G90*0.00759</x:f>
      </x:c>
      <x:c r="O90" s="3">
        <x:f>IF(G90*0.00759&gt;G90,197.38,G90*0.00759)</x:f>
      </x:c>
      <x:c r="P90" s="3">
        <x:f>IF(N90-O90&gt;0,N90-O90,0)</x:f>
      </x:c>
      <x:c r="Q90" s="65">
        <x:f>+H90</x:f>
      </x:c>
      <x:c r="R90" s="65">
        <x:v>0</x:v>
      </x:c>
      <x:c r="S90" s="3">
        <x:f>R90+Q90</x:f>
      </x:c>
      <x:c r="T90" s="3">
        <x:f>I90-S90</x:f>
      </x:c>
      <x:c r="U90" s="255"/>
    </x:row>
    <x:row r="91" spans="1:21" ht="21" customHeight="1" x14ac:dyDescent="0.2">
      <x:c r="A91" s="253">
        <x:f>+'Banka Lis.'!B90</x:f>
      </x:c>
      <x:c r="B91" s="253">
        <x:f>+Puantaj!C91</x:f>
      </x:c>
      <x:c r="C91" s="4">
        <x:f>+Puantaj!D91</x:f>
      </x:c>
      <x:c r="D91" s="4">
        <x:f>+Puantaj!E91</x:f>
      </x:c>
      <x:c r="E91" s="4">
        <x:f>+'Banka Lis.'!H90</x:f>
      </x:c>
      <x:c r="F91" s="254">
        <x:f>+Puantaj!AK91</x:f>
      </x:c>
      <x:c r="G91" s="33">
        <x:f>F91*1083</x:f>
      </x:c>
      <x:c r="H91" s="62">
        <x:f>G91*0.055</x:f>
      </x:c>
      <x:c r="I91" s="3">
        <x:f>G91+H91</x:f>
      </x:c>
      <x:c r="J91" s="3">
        <x:f>+G91</x:f>
      </x:c>
      <x:c r="K91" s="3">
        <x:f>J91*0.15</x:f>
      </x:c>
      <x:c r="L91" s="3">
        <x:f>IF(J91*0.15&gt;K91,K91,J91*0.15)</x:f>
      </x:c>
      <x:c r="M91" s="65">
        <x:f>IF(K91-L91&gt;0,K91-L91,0)</x:f>
      </x:c>
      <x:c r="N91" s="3">
        <x:f>G91*0.00759</x:f>
      </x:c>
      <x:c r="O91" s="3">
        <x:f>IF(G91*0.00759&gt;G91,197.38,G91*0.00759)</x:f>
      </x:c>
      <x:c r="P91" s="3">
        <x:f>IF(N91-O91&gt;0,N91-O91,0)</x:f>
      </x:c>
      <x:c r="Q91" s="65">
        <x:f>+H91</x:f>
      </x:c>
      <x:c r="R91" s="65">
        <x:v>0</x:v>
      </x:c>
      <x:c r="S91" s="3">
        <x:f>R91+Q91</x:f>
      </x:c>
      <x:c r="T91" s="3">
        <x:f>I91-S91</x:f>
      </x:c>
      <x:c r="U91" s="255"/>
    </x:row>
    <x:row r="92" spans="1:21" ht="21" customHeight="1" x14ac:dyDescent="0.2">
      <x:c r="A92" s="253">
        <x:f>+'Banka Lis.'!B91</x:f>
      </x:c>
      <x:c r="B92" s="253">
        <x:f>+Puantaj!C92</x:f>
      </x:c>
      <x:c r="C92" s="4">
        <x:f>+Puantaj!D92</x:f>
      </x:c>
      <x:c r="D92" s="4">
        <x:f>+Puantaj!E92</x:f>
      </x:c>
      <x:c r="E92" s="4">
        <x:f>+'Banka Lis.'!H91</x:f>
      </x:c>
      <x:c r="F92" s="254">
        <x:f>+Puantaj!AK92</x:f>
      </x:c>
      <x:c r="G92" s="33">
        <x:f>F92*1083</x:f>
      </x:c>
      <x:c r="H92" s="62">
        <x:f>G92*0.055</x:f>
      </x:c>
      <x:c r="I92" s="3">
        <x:f>G92+H92</x:f>
      </x:c>
      <x:c r="J92" s="3">
        <x:f>+G92</x:f>
      </x:c>
      <x:c r="K92" s="3">
        <x:f>J92*0.15</x:f>
      </x:c>
      <x:c r="L92" s="3">
        <x:f>IF(J92*0.15&gt;K92,K92,J92*0.15)</x:f>
      </x:c>
      <x:c r="M92" s="65">
        <x:f>IF(K92-L92&gt;0,K92-L92,0)</x:f>
      </x:c>
      <x:c r="N92" s="3">
        <x:f>G92*0.00759</x:f>
      </x:c>
      <x:c r="O92" s="3">
        <x:f>IF(G92*0.00759&gt;G92,197.38,G92*0.00759)</x:f>
      </x:c>
      <x:c r="P92" s="3">
        <x:f>IF(N92-O92&gt;0,N92-O92,0)</x:f>
      </x:c>
      <x:c r="Q92" s="65">
        <x:f>+H92</x:f>
      </x:c>
      <x:c r="R92" s="65">
        <x:v>0</x:v>
      </x:c>
      <x:c r="S92" s="3">
        <x:f>R92+Q92</x:f>
      </x:c>
      <x:c r="T92" s="3">
        <x:f>I92-S92</x:f>
      </x:c>
      <x:c r="U92" s="255"/>
    </x:row>
    <x:row r="93" spans="1:21" ht="21" customHeight="1" x14ac:dyDescent="0.2">
      <x:c r="A93" s="253">
        <x:f>+'Banka Lis.'!B92</x:f>
      </x:c>
      <x:c r="B93" s="253">
        <x:f>+Puantaj!C93</x:f>
      </x:c>
      <x:c r="C93" s="4">
        <x:f>+Puantaj!D93</x:f>
      </x:c>
      <x:c r="D93" s="4">
        <x:f>+Puantaj!E93</x:f>
      </x:c>
      <x:c r="E93" s="4">
        <x:f>+'Banka Lis.'!H92</x:f>
      </x:c>
      <x:c r="F93" s="254">
        <x:f>+Puantaj!AK93</x:f>
      </x:c>
      <x:c r="G93" s="33">
        <x:f>F93*1083</x:f>
      </x:c>
      <x:c r="H93" s="62">
        <x:f>G93*0.055</x:f>
      </x:c>
      <x:c r="I93" s="3">
        <x:f>G93+H93</x:f>
      </x:c>
      <x:c r="J93" s="3">
        <x:f>+G93</x:f>
      </x:c>
      <x:c r="K93" s="3">
        <x:f>J93*0.15</x:f>
      </x:c>
      <x:c r="L93" s="3">
        <x:f>IF(J93*0.15&gt;K93,K93,J93*0.15)</x:f>
      </x:c>
      <x:c r="M93" s="65">
        <x:f>IF(K93-L93&gt;0,K93-L93,0)</x:f>
      </x:c>
      <x:c r="N93" s="3">
        <x:f>G93*0.00759</x:f>
      </x:c>
      <x:c r="O93" s="3">
        <x:f>IF(G93*0.00759&gt;G93,197.38,G93*0.00759)</x:f>
      </x:c>
      <x:c r="P93" s="3">
        <x:f>IF(N93-O93&gt;0,N93-O93,0)</x:f>
      </x:c>
      <x:c r="Q93" s="65">
        <x:f>+H93</x:f>
      </x:c>
      <x:c r="R93" s="65">
        <x:v>0</x:v>
      </x:c>
      <x:c r="S93" s="3">
        <x:f>R93+Q93</x:f>
      </x:c>
      <x:c r="T93" s="3">
        <x:f>I93-S93</x:f>
      </x:c>
      <x:c r="U93" s="255"/>
    </x:row>
    <x:row r="94" spans="1:21" ht="21" customHeight="1" x14ac:dyDescent="0.2">
      <x:c r="A94" s="253">
        <x:f>+'Banka Lis.'!B93</x:f>
      </x:c>
      <x:c r="B94" s="253">
        <x:f>+Puantaj!C94</x:f>
      </x:c>
      <x:c r="C94" s="4">
        <x:f>+Puantaj!D94</x:f>
      </x:c>
      <x:c r="D94" s="4">
        <x:f>+Puantaj!E94</x:f>
      </x:c>
      <x:c r="E94" s="4">
        <x:f>+'Banka Lis.'!H93</x:f>
      </x:c>
      <x:c r="F94" s="254">
        <x:f>+Puantaj!AK94</x:f>
      </x:c>
      <x:c r="G94" s="33">
        <x:f>F94*1083</x:f>
      </x:c>
      <x:c r="H94" s="62">
        <x:f>G94*0.055</x:f>
      </x:c>
      <x:c r="I94" s="3">
        <x:f>G94+H94</x:f>
      </x:c>
      <x:c r="J94" s="3">
        <x:f>+G94</x:f>
      </x:c>
      <x:c r="K94" s="3">
        <x:f>J94*0.15</x:f>
      </x:c>
      <x:c r="L94" s="3">
        <x:f>IF(J94*0.15&gt;K94,K94,J94*0.15)</x:f>
      </x:c>
      <x:c r="M94" s="65">
        <x:f>IF(K94-L94&gt;0,K94-L94,0)</x:f>
      </x:c>
      <x:c r="N94" s="3">
        <x:f>G94*0.00759</x:f>
      </x:c>
      <x:c r="O94" s="3">
        <x:f>IF(G94*0.00759&gt;G94,197.38,G94*0.00759)</x:f>
      </x:c>
      <x:c r="P94" s="3">
        <x:f>IF(N94-O94&gt;0,N94-O94,0)</x:f>
      </x:c>
      <x:c r="Q94" s="65">
        <x:f>+H94</x:f>
      </x:c>
      <x:c r="R94" s="65">
        <x:v>0</x:v>
      </x:c>
      <x:c r="S94" s="3">
        <x:f>R94+Q94</x:f>
      </x:c>
      <x:c r="T94" s="3">
        <x:f>I94-S94</x:f>
      </x:c>
      <x:c r="U94" s="255"/>
    </x:row>
    <x:row r="95" spans="1:21" ht="21" customHeight="1" x14ac:dyDescent="0.2">
      <x:c r="A95" s="253">
        <x:f>+'Banka Lis.'!B94</x:f>
      </x:c>
      <x:c r="B95" s="253">
        <x:f>+Puantaj!C95</x:f>
      </x:c>
      <x:c r="C95" s="4">
        <x:f>+Puantaj!D95</x:f>
      </x:c>
      <x:c r="D95" s="4">
        <x:f>+Puantaj!E95</x:f>
      </x:c>
      <x:c r="E95" s="4">
        <x:f>+'Banka Lis.'!H94</x:f>
      </x:c>
      <x:c r="F95" s="254">
        <x:f>+Puantaj!AK95</x:f>
      </x:c>
      <x:c r="G95" s="33">
        <x:f>F95*1083</x:f>
      </x:c>
      <x:c r="H95" s="62">
        <x:f>G95*0.055</x:f>
      </x:c>
      <x:c r="I95" s="3">
        <x:f>G95+H95</x:f>
      </x:c>
      <x:c r="J95" s="3">
        <x:f>+G95</x:f>
      </x:c>
      <x:c r="K95" s="3">
        <x:f>J95*0.15</x:f>
      </x:c>
      <x:c r="L95" s="3">
        <x:f>IF(J95*0.15&gt;K95,K95,J95*0.15)</x:f>
      </x:c>
      <x:c r="M95" s="65">
        <x:f>IF(K95-L95&gt;0,K95-L95,0)</x:f>
      </x:c>
      <x:c r="N95" s="3">
        <x:f>G95*0.00759</x:f>
      </x:c>
      <x:c r="O95" s="3">
        <x:f>IF(G95*0.00759&gt;G95,197.38,G95*0.00759)</x:f>
      </x:c>
      <x:c r="P95" s="3">
        <x:f>IF(N95-O95&gt;0,N95-O95,0)</x:f>
      </x:c>
      <x:c r="Q95" s="65">
        <x:f>+H95</x:f>
      </x:c>
      <x:c r="R95" s="65">
        <x:v>0</x:v>
      </x:c>
      <x:c r="S95" s="3">
        <x:f>R95+Q95</x:f>
      </x:c>
      <x:c r="T95" s="3">
        <x:f>I95-S95</x:f>
      </x:c>
      <x:c r="U95" s="255"/>
    </x:row>
    <x:row r="96" spans="1:21" ht="21" customHeight="1" x14ac:dyDescent="0.2">
      <x:c r="A96" s="253">
        <x:f>+'Banka Lis.'!B95</x:f>
      </x:c>
      <x:c r="B96" s="253">
        <x:f>+Puantaj!C96</x:f>
      </x:c>
      <x:c r="C96" s="4">
        <x:f>+Puantaj!D96</x:f>
      </x:c>
      <x:c r="D96" s="4">
        <x:f>+Puantaj!E96</x:f>
      </x:c>
      <x:c r="E96" s="4">
        <x:f>+'Banka Lis.'!H95</x:f>
      </x:c>
      <x:c r="F96" s="254">
        <x:f>+Puantaj!AK96</x:f>
      </x:c>
      <x:c r="G96" s="33">
        <x:f>F96*1083</x:f>
      </x:c>
      <x:c r="H96" s="62">
        <x:f>G96*0.055</x:f>
      </x:c>
      <x:c r="I96" s="3">
        <x:f>G96+H96</x:f>
      </x:c>
      <x:c r="J96" s="3">
        <x:f>+G96</x:f>
      </x:c>
      <x:c r="K96" s="3">
        <x:f>J96*0.15</x:f>
      </x:c>
      <x:c r="L96" s="3">
        <x:f>IF(J96*0.15&gt;K96,K96,J96*0.15)</x:f>
      </x:c>
      <x:c r="M96" s="65">
        <x:f>IF(K96-L96&gt;0,K96-L96,0)</x:f>
      </x:c>
      <x:c r="N96" s="3">
        <x:f>G96*0.00759</x:f>
      </x:c>
      <x:c r="O96" s="3">
        <x:f>IF(G96*0.00759&gt;G96,197.38,G96*0.00759)</x:f>
      </x:c>
      <x:c r="P96" s="3">
        <x:f>IF(N96-O96&gt;0,N96-O96,0)</x:f>
      </x:c>
      <x:c r="Q96" s="65">
        <x:f>+H96</x:f>
      </x:c>
      <x:c r="R96" s="65">
        <x:v>0</x:v>
      </x:c>
      <x:c r="S96" s="3">
        <x:f>R96+Q96</x:f>
      </x:c>
      <x:c r="T96" s="3">
        <x:f>I96-S96</x:f>
      </x:c>
      <x:c r="U96" s="255"/>
    </x:row>
    <x:row r="97" spans="1:21" ht="21" customHeight="1" x14ac:dyDescent="0.2">
      <x:c r="A97" s="253">
        <x:f>+'Banka Lis.'!B96</x:f>
      </x:c>
      <x:c r="B97" s="253">
        <x:f>+Puantaj!C97</x:f>
      </x:c>
      <x:c r="C97" s="4">
        <x:f>+Puantaj!D97</x:f>
      </x:c>
      <x:c r="D97" s="4">
        <x:f>+Puantaj!E97</x:f>
      </x:c>
      <x:c r="E97" s="4">
        <x:f>+'Banka Lis.'!H96</x:f>
      </x:c>
      <x:c r="F97" s="254">
        <x:f>+Puantaj!AK97</x:f>
      </x:c>
      <x:c r="G97" s="33">
        <x:f>F97*1083</x:f>
      </x:c>
      <x:c r="H97" s="62">
        <x:f>G97*0.055</x:f>
      </x:c>
      <x:c r="I97" s="3">
        <x:f>G97+H97</x:f>
      </x:c>
      <x:c r="J97" s="3">
        <x:f>+G97</x:f>
      </x:c>
      <x:c r="K97" s="3">
        <x:f>J97*0.15</x:f>
      </x:c>
      <x:c r="L97" s="3">
        <x:f>IF(J97*0.15&gt;K97,K97,J97*0.15)</x:f>
      </x:c>
      <x:c r="M97" s="65">
        <x:f>IF(K97-L97&gt;0,K97-L97,0)</x:f>
      </x:c>
      <x:c r="N97" s="3">
        <x:f>G97*0.00759</x:f>
      </x:c>
      <x:c r="O97" s="3">
        <x:f>IF(G97*0.00759&gt;G97,197.38,G97*0.00759)</x:f>
      </x:c>
      <x:c r="P97" s="3">
        <x:f>IF(N97-O97&gt;0,N97-O97,0)</x:f>
      </x:c>
      <x:c r="Q97" s="65">
        <x:f>+H97</x:f>
      </x:c>
      <x:c r="R97" s="65">
        <x:v>0</x:v>
      </x:c>
      <x:c r="S97" s="3">
        <x:f>R97+Q97</x:f>
      </x:c>
      <x:c r="T97" s="3">
        <x:f>I97-S97</x:f>
      </x:c>
      <x:c r="U97" s="255"/>
    </x:row>
    <x:row r="98" spans="1:21" ht="21" customHeight="1" x14ac:dyDescent="0.2">
      <x:c r="A98" s="253">
        <x:f>+'Banka Lis.'!B97</x:f>
      </x:c>
      <x:c r="B98" s="253">
        <x:f>+Puantaj!C98</x:f>
      </x:c>
      <x:c r="C98" s="4">
        <x:f>+Puantaj!D98</x:f>
      </x:c>
      <x:c r="D98" s="4">
        <x:f>+Puantaj!E98</x:f>
      </x:c>
      <x:c r="E98" s="4">
        <x:f>+'Banka Lis.'!H97</x:f>
      </x:c>
      <x:c r="F98" s="254">
        <x:f>+Puantaj!AK98</x:f>
      </x:c>
      <x:c r="G98" s="33">
        <x:f>F98*1083</x:f>
      </x:c>
      <x:c r="H98" s="62">
        <x:f>G98*0.055</x:f>
      </x:c>
      <x:c r="I98" s="3">
        <x:f>G98+H98</x:f>
      </x:c>
      <x:c r="J98" s="3">
        <x:f>+G98</x:f>
      </x:c>
      <x:c r="K98" s="3">
        <x:f>J98*0.15</x:f>
      </x:c>
      <x:c r="L98" s="3">
        <x:f>IF(J98*0.15&gt;K98,K98,J98*0.15)</x:f>
      </x:c>
      <x:c r="M98" s="65">
        <x:f>IF(K98-L98&gt;0,K98-L98,0)</x:f>
      </x:c>
      <x:c r="N98" s="3">
        <x:f>G98*0.00759</x:f>
      </x:c>
      <x:c r="O98" s="3">
        <x:f>IF(G98*0.00759&gt;G98,197.38,G98*0.00759)</x:f>
      </x:c>
      <x:c r="P98" s="3">
        <x:f>IF(N98-O98&gt;0,N98-O98,0)</x:f>
      </x:c>
      <x:c r="Q98" s="65">
        <x:f>+H98</x:f>
      </x:c>
      <x:c r="R98" s="65">
        <x:v>0</x:v>
      </x:c>
      <x:c r="S98" s="3">
        <x:f>R98+Q98</x:f>
      </x:c>
      <x:c r="T98" s="3">
        <x:f>I98-S98</x:f>
      </x:c>
      <x:c r="U98" s="255"/>
    </x:row>
    <x:row r="99" spans="1:21" ht="21" customHeight="1" x14ac:dyDescent="0.2">
      <x:c r="A99" s="253">
        <x:f>+'Banka Lis.'!B98</x:f>
      </x:c>
      <x:c r="B99" s="253">
        <x:f>+Puantaj!C99</x:f>
      </x:c>
      <x:c r="C99" s="4">
        <x:f>+Puantaj!D99</x:f>
      </x:c>
      <x:c r="D99" s="4">
        <x:f>+Puantaj!E99</x:f>
      </x:c>
      <x:c r="E99" s="4">
        <x:f>+'Banka Lis.'!H98</x:f>
      </x:c>
      <x:c r="F99" s="254">
        <x:f>+Puantaj!AK99</x:f>
      </x:c>
      <x:c r="G99" s="33">
        <x:f>F99*1083</x:f>
      </x:c>
      <x:c r="H99" s="62">
        <x:f>G99*0.055</x:f>
      </x:c>
      <x:c r="I99" s="3">
        <x:f>G99+H99</x:f>
      </x:c>
      <x:c r="J99" s="3">
        <x:f>+G99</x:f>
      </x:c>
      <x:c r="K99" s="3">
        <x:f>J99*0.15</x:f>
      </x:c>
      <x:c r="L99" s="3">
        <x:f>IF(J99*0.15&gt;K99,K99,J99*0.15)</x:f>
      </x:c>
      <x:c r="M99" s="65">
        <x:f>IF(K99-L99&gt;0,K99-L99,0)</x:f>
      </x:c>
      <x:c r="N99" s="3">
        <x:f>G99*0.00759</x:f>
      </x:c>
      <x:c r="O99" s="3">
        <x:f>IF(G99*0.00759&gt;G99,197.38,G99*0.00759)</x:f>
      </x:c>
      <x:c r="P99" s="3">
        <x:f>IF(N99-O99&gt;0,N99-O99,0)</x:f>
      </x:c>
      <x:c r="Q99" s="65">
        <x:f>+H99</x:f>
      </x:c>
      <x:c r="R99" s="65">
        <x:v>0</x:v>
      </x:c>
      <x:c r="S99" s="3">
        <x:f>R99+Q99</x:f>
      </x:c>
      <x:c r="T99" s="3">
        <x:f>I99-S99</x:f>
      </x:c>
      <x:c r="U99" s="255"/>
    </x:row>
    <x:row r="100" spans="1:21" ht="21" customHeight="1" x14ac:dyDescent="0.2">
      <x:c r="A100" s="253">
        <x:f>+'Banka Lis.'!B99</x:f>
      </x:c>
      <x:c r="B100" s="253">
        <x:f>+Puantaj!C100</x:f>
      </x:c>
      <x:c r="C100" s="4">
        <x:f>+Puantaj!D100</x:f>
      </x:c>
      <x:c r="D100" s="4">
        <x:f>+Puantaj!E100</x:f>
      </x:c>
      <x:c r="E100" s="4">
        <x:f>+'Banka Lis.'!H99</x:f>
      </x:c>
      <x:c r="F100" s="254">
        <x:f>+Puantaj!AK100</x:f>
      </x:c>
      <x:c r="G100" s="33">
        <x:f>F100*1083</x:f>
      </x:c>
      <x:c r="H100" s="62">
        <x:f>G100*0.055</x:f>
      </x:c>
      <x:c r="I100" s="3">
        <x:f>G100+H100</x:f>
      </x:c>
      <x:c r="J100" s="3">
        <x:f>+G100</x:f>
      </x:c>
      <x:c r="K100" s="3">
        <x:f>J100*0.15</x:f>
      </x:c>
      <x:c r="L100" s="3">
        <x:f>IF(J100*0.15&gt;K100,K100,J100*0.15)</x:f>
      </x:c>
      <x:c r="M100" s="65">
        <x:f>IF(K100-L100&gt;0,K100-L100,0)</x:f>
      </x:c>
      <x:c r="N100" s="3">
        <x:f>G100*0.00759</x:f>
      </x:c>
      <x:c r="O100" s="3">
        <x:f>IF(G100*0.00759&gt;G100,197.38,G100*0.00759)</x:f>
      </x:c>
      <x:c r="P100" s="3">
        <x:f>IF(N100-O100&gt;0,N100-O100,0)</x:f>
      </x:c>
      <x:c r="Q100" s="65">
        <x:f>+H100</x:f>
      </x:c>
      <x:c r="R100" s="65">
        <x:v>0</x:v>
      </x:c>
      <x:c r="S100" s="3">
        <x:f>R100+Q100</x:f>
      </x:c>
      <x:c r="T100" s="3">
        <x:f>I100-S100</x:f>
      </x:c>
      <x:c r="U100" s="255"/>
    </x:row>
    <x:row r="101" spans="1:21" ht="21" customHeight="1" x14ac:dyDescent="0.2">
      <x:c r="A101" s="253">
        <x:f>+'Banka Lis.'!B100</x:f>
      </x:c>
      <x:c r="B101" s="253">
        <x:f>+Puantaj!C101</x:f>
      </x:c>
      <x:c r="C101" s="4">
        <x:f>+Puantaj!D101</x:f>
      </x:c>
      <x:c r="D101" s="4">
        <x:f>+Puantaj!E101</x:f>
      </x:c>
      <x:c r="E101" s="4">
        <x:f>+'Banka Lis.'!H100</x:f>
      </x:c>
      <x:c r="F101" s="254">
        <x:f>+Puantaj!AK101</x:f>
      </x:c>
      <x:c r="G101" s="33">
        <x:f>F101*1083</x:f>
      </x:c>
      <x:c r="H101" s="62">
        <x:f>G101*0.055</x:f>
      </x:c>
      <x:c r="I101" s="3">
        <x:f>G101+H101</x:f>
      </x:c>
      <x:c r="J101" s="3">
        <x:f>+G101</x:f>
      </x:c>
      <x:c r="K101" s="3">
        <x:f>J101*0.15</x:f>
      </x:c>
      <x:c r="L101" s="3">
        <x:f>IF(J101*0.15&gt;K101,K101,J101*0.15)</x:f>
      </x:c>
      <x:c r="M101" s="65">
        <x:f>IF(K101-L101&gt;0,K101-L101,0)</x:f>
      </x:c>
      <x:c r="N101" s="3">
        <x:f>G101*0.00759</x:f>
      </x:c>
      <x:c r="O101" s="3">
        <x:f>IF(G101*0.00759&gt;G101,197.38,G101*0.00759)</x:f>
      </x:c>
      <x:c r="P101" s="3">
        <x:f>IF(N101-O101&gt;0,N101-O101,0)</x:f>
      </x:c>
      <x:c r="Q101" s="65">
        <x:f>+H101</x:f>
      </x:c>
      <x:c r="R101" s="65">
        <x:v>0</x:v>
      </x:c>
      <x:c r="S101" s="3">
        <x:f>R101+Q101</x:f>
      </x:c>
      <x:c r="T101" s="3">
        <x:f>I101-S101</x:f>
      </x:c>
      <x:c r="U101" s="255"/>
    </x:row>
    <x:row r="102" spans="1:21" ht="21" customHeight="1" x14ac:dyDescent="0.2">
      <x:c r="A102" s="253">
        <x:f>+'Banka Lis.'!B101</x:f>
      </x:c>
      <x:c r="B102" s="253">
        <x:f>+Puantaj!C102</x:f>
      </x:c>
      <x:c r="C102" s="4">
        <x:f>+Puantaj!D102</x:f>
      </x:c>
      <x:c r="D102" s="4">
        <x:f>+Puantaj!E102</x:f>
      </x:c>
      <x:c r="E102" s="4">
        <x:f>+'Banka Lis.'!H101</x:f>
      </x:c>
      <x:c r="F102" s="254">
        <x:f>+Puantaj!AK102</x:f>
      </x:c>
      <x:c r="G102" s="33">
        <x:f>F102*1083</x:f>
      </x:c>
      <x:c r="H102" s="62">
        <x:f>G102*0.055</x:f>
      </x:c>
      <x:c r="I102" s="3">
        <x:f>G102+H102</x:f>
      </x:c>
      <x:c r="J102" s="3">
        <x:f>+G102</x:f>
      </x:c>
      <x:c r="K102" s="3">
        <x:f>J102*0.15</x:f>
      </x:c>
      <x:c r="L102" s="3">
        <x:f>IF(J102*0.15&gt;K102,K102,J102*0.15)</x:f>
      </x:c>
      <x:c r="M102" s="65">
        <x:f>IF(K102-L102&gt;0,K102-L102,0)</x:f>
      </x:c>
      <x:c r="N102" s="3">
        <x:f>G102*0.00759</x:f>
      </x:c>
      <x:c r="O102" s="3">
        <x:f>IF(G102*0.00759&gt;G102,197.38,G102*0.00759)</x:f>
      </x:c>
      <x:c r="P102" s="3">
        <x:f>IF(N102-O102&gt;0,N102-O102,0)</x:f>
      </x:c>
      <x:c r="Q102" s="65">
        <x:f>+H102</x:f>
      </x:c>
      <x:c r="R102" s="65">
        <x:v>0</x:v>
      </x:c>
      <x:c r="S102" s="3">
        <x:f>R102+Q102</x:f>
      </x:c>
      <x:c r="T102" s="3">
        <x:f>I102-S102</x:f>
      </x:c>
      <x:c r="U102" s="255"/>
    </x:row>
    <x:row r="103" spans="1:21" ht="21" customHeight="1" x14ac:dyDescent="0.2">
      <x:c r="A103" s="253">
        <x:f>+'Banka Lis.'!B102</x:f>
      </x:c>
      <x:c r="B103" s="253">
        <x:f>+Puantaj!C103</x:f>
      </x:c>
      <x:c r="C103" s="4">
        <x:f>+Puantaj!D103</x:f>
      </x:c>
      <x:c r="D103" s="4">
        <x:f>+Puantaj!E103</x:f>
      </x:c>
      <x:c r="E103" s="4">
        <x:f>+'Banka Lis.'!H102</x:f>
      </x:c>
      <x:c r="F103" s="254">
        <x:f>+Puantaj!AK103</x:f>
      </x:c>
      <x:c r="G103" s="33">
        <x:f>F103*1083</x:f>
      </x:c>
      <x:c r="H103" s="62">
        <x:f>G103*0.055</x:f>
      </x:c>
      <x:c r="I103" s="3">
        <x:f>G103+H103</x:f>
      </x:c>
      <x:c r="J103" s="3">
        <x:f>+G103</x:f>
      </x:c>
      <x:c r="K103" s="3">
        <x:f>J103*0.15</x:f>
      </x:c>
      <x:c r="L103" s="3">
        <x:f>IF(J103*0.15&gt;K103,K103,J103*0.15)</x:f>
      </x:c>
      <x:c r="M103" s="65">
        <x:f>IF(K103-L103&gt;0,K103-L103,0)</x:f>
      </x:c>
      <x:c r="N103" s="3">
        <x:f>G103*0.00759</x:f>
      </x:c>
      <x:c r="O103" s="3">
        <x:f>IF(G103*0.00759&gt;G103,197.38,G103*0.00759)</x:f>
      </x:c>
      <x:c r="P103" s="3">
        <x:f>IF(N103-O103&gt;0,N103-O103,0)</x:f>
      </x:c>
      <x:c r="Q103" s="65">
        <x:f>+H103</x:f>
      </x:c>
      <x:c r="R103" s="65">
        <x:v>0</x:v>
      </x:c>
      <x:c r="S103" s="3">
        <x:f>R103+Q103</x:f>
      </x:c>
      <x:c r="T103" s="3">
        <x:f>I103-S103</x:f>
      </x:c>
      <x:c r="U103" s="255"/>
    </x:row>
    <x:row r="104" spans="1:21" ht="21" customHeight="1" x14ac:dyDescent="0.2">
      <x:c r="A104" s="253">
        <x:f>+'Banka Lis.'!B103</x:f>
      </x:c>
      <x:c r="B104" s="253">
        <x:f>+Puantaj!C104</x:f>
      </x:c>
      <x:c r="C104" s="4">
        <x:f>+Puantaj!D104</x:f>
      </x:c>
      <x:c r="D104" s="4">
        <x:f>+Puantaj!E104</x:f>
      </x:c>
      <x:c r="E104" s="4">
        <x:f>+'Banka Lis.'!H103</x:f>
      </x:c>
      <x:c r="F104" s="254">
        <x:f>+Puantaj!AK104</x:f>
      </x:c>
      <x:c r="G104" s="33">
        <x:f>F104*1083</x:f>
      </x:c>
      <x:c r="H104" s="62">
        <x:f>G104*0.055</x:f>
      </x:c>
      <x:c r="I104" s="3">
        <x:f>G104+H104</x:f>
      </x:c>
      <x:c r="J104" s="3">
        <x:f>+G104</x:f>
      </x:c>
      <x:c r="K104" s="3">
        <x:f>J104*0.15</x:f>
      </x:c>
      <x:c r="L104" s="3">
        <x:f>IF(J104*0.15&gt;K104,K104,J104*0.15)</x:f>
      </x:c>
      <x:c r="M104" s="65">
        <x:f>IF(K104-L104&gt;0,K104-L104,0)</x:f>
      </x:c>
      <x:c r="N104" s="3">
        <x:f>G104*0.00759</x:f>
      </x:c>
      <x:c r="O104" s="3">
        <x:f>IF(G104*0.00759&gt;G104,197.38,G104*0.00759)</x:f>
      </x:c>
      <x:c r="P104" s="3">
        <x:f>IF(N104-O104&gt;0,N104-O104,0)</x:f>
      </x:c>
      <x:c r="Q104" s="65">
        <x:f>+H104</x:f>
      </x:c>
      <x:c r="R104" s="65">
        <x:v>0</x:v>
      </x:c>
      <x:c r="S104" s="3">
        <x:f>R104+Q104</x:f>
      </x:c>
      <x:c r="T104" s="3">
        <x:f>I104-S104</x:f>
      </x:c>
      <x:c r="U104" s="255"/>
    </x:row>
    <x:row r="105" spans="1:21" ht="21" customHeight="1" x14ac:dyDescent="0.2">
      <x:c r="A105" s="253">
        <x:f>+'Banka Lis.'!B104</x:f>
      </x:c>
      <x:c r="B105" s="253">
        <x:f>+Puantaj!C105</x:f>
      </x:c>
      <x:c r="C105" s="4">
        <x:f>+Puantaj!D105</x:f>
      </x:c>
      <x:c r="D105" s="4">
        <x:f>+Puantaj!E105</x:f>
      </x:c>
      <x:c r="E105" s="4">
        <x:f>+'Banka Lis.'!H104</x:f>
      </x:c>
      <x:c r="F105" s="254">
        <x:f>+Puantaj!AK105</x:f>
      </x:c>
      <x:c r="G105" s="33">
        <x:f>F105*1083</x:f>
      </x:c>
      <x:c r="H105" s="62">
        <x:f>G105*0.055</x:f>
      </x:c>
      <x:c r="I105" s="3">
        <x:f>G105+H105</x:f>
      </x:c>
      <x:c r="J105" s="3">
        <x:f>+G105</x:f>
      </x:c>
      <x:c r="K105" s="3">
        <x:f>J105*0.15</x:f>
      </x:c>
      <x:c r="L105" s="3">
        <x:f>IF(J105*0.15&gt;K105,K105,J105*0.15)</x:f>
      </x:c>
      <x:c r="M105" s="65">
        <x:f>IF(K105-L105&gt;0,K105-L105,0)</x:f>
      </x:c>
      <x:c r="N105" s="3">
        <x:f>G105*0.00759</x:f>
      </x:c>
      <x:c r="O105" s="3">
        <x:f>IF(G105*0.00759&gt;G105,197.38,G105*0.00759)</x:f>
      </x:c>
      <x:c r="P105" s="3">
        <x:f>IF(N105-O105&gt;0,N105-O105,0)</x:f>
      </x:c>
      <x:c r="Q105" s="65">
        <x:f>+H105</x:f>
      </x:c>
      <x:c r="R105" s="65">
        <x:v>0</x:v>
      </x:c>
      <x:c r="S105" s="3">
        <x:f>R105+Q105</x:f>
      </x:c>
      <x:c r="T105" s="3">
        <x:f>I105-S105</x:f>
      </x:c>
      <x:c r="U105" s="255"/>
    </x:row>
    <x:row r="106" spans="1:21" ht="21" customHeight="1" x14ac:dyDescent="0.2">
      <x:c r="A106" s="253">
        <x:f>+'Banka Lis.'!B105</x:f>
      </x:c>
      <x:c r="B106" s="253">
        <x:f>+Puantaj!C106</x:f>
      </x:c>
      <x:c r="C106" s="4">
        <x:f>+Puantaj!D106</x:f>
      </x:c>
      <x:c r="D106" s="4">
        <x:f>+Puantaj!E106</x:f>
      </x:c>
      <x:c r="E106" s="4">
        <x:f>+'Banka Lis.'!H105</x:f>
      </x:c>
      <x:c r="F106" s="254">
        <x:f>+Puantaj!AK106</x:f>
      </x:c>
      <x:c r="G106" s="33">
        <x:f>F106*1083</x:f>
      </x:c>
      <x:c r="H106" s="62">
        <x:f>G106*0.055</x:f>
      </x:c>
      <x:c r="I106" s="3">
        <x:f>G106+H106</x:f>
      </x:c>
      <x:c r="J106" s="3">
        <x:f>+G106</x:f>
      </x:c>
      <x:c r="K106" s="3">
        <x:f>J106*0.15</x:f>
      </x:c>
      <x:c r="L106" s="3">
        <x:f>IF(J106*0.15&gt;K106,K106,J106*0.15)</x:f>
      </x:c>
      <x:c r="M106" s="65">
        <x:f>IF(K106-L106&gt;0,K106-L106,0)</x:f>
      </x:c>
      <x:c r="N106" s="3">
        <x:f>G106*0.00759</x:f>
      </x:c>
      <x:c r="O106" s="3">
        <x:f>IF(G106*0.00759&gt;G106,197.38,G106*0.00759)</x:f>
      </x:c>
      <x:c r="P106" s="3">
        <x:f>IF(N106-O106&gt;0,N106-O106,0)</x:f>
      </x:c>
      <x:c r="Q106" s="65">
        <x:f>+H106</x:f>
      </x:c>
      <x:c r="R106" s="65">
        <x:v>0</x:v>
      </x:c>
      <x:c r="S106" s="3">
        <x:f>R106+Q106</x:f>
      </x:c>
      <x:c r="T106" s="3">
        <x:f>I106-S106</x:f>
      </x:c>
      <x:c r="U106" s="255"/>
    </x:row>
    <x:row r="107" spans="1:21" ht="21" customHeight="1" x14ac:dyDescent="0.2">
      <x:c r="A107" s="253">
        <x:f>+'Banka Lis.'!B106</x:f>
      </x:c>
      <x:c r="B107" s="253">
        <x:f>+Puantaj!C107</x:f>
      </x:c>
      <x:c r="C107" s="4">
        <x:f>+Puantaj!D107</x:f>
      </x:c>
      <x:c r="D107" s="4">
        <x:f>+Puantaj!E107</x:f>
      </x:c>
      <x:c r="E107" s="4">
        <x:f>+'Banka Lis.'!H106</x:f>
      </x:c>
      <x:c r="F107" s="254">
        <x:f>+Puantaj!AK107</x:f>
      </x:c>
      <x:c r="G107" s="33">
        <x:f>F107*1083</x:f>
      </x:c>
      <x:c r="H107" s="62">
        <x:f>G107*0.055</x:f>
      </x:c>
      <x:c r="I107" s="3">
        <x:f>G107+H107</x:f>
      </x:c>
      <x:c r="J107" s="3">
        <x:f>+G107</x:f>
      </x:c>
      <x:c r="K107" s="3">
        <x:f>J107*0.15</x:f>
      </x:c>
      <x:c r="L107" s="3">
        <x:f>IF(J107*0.15&gt;K107,K107,J107*0.15)</x:f>
      </x:c>
      <x:c r="M107" s="65">
        <x:f>IF(K107-L107&gt;0,K107-L107,0)</x:f>
      </x:c>
      <x:c r="N107" s="3">
        <x:f>G107*0.00759</x:f>
      </x:c>
      <x:c r="O107" s="3">
        <x:f>IF(G107*0.00759&gt;G107,197.38,G107*0.00759)</x:f>
      </x:c>
      <x:c r="P107" s="3">
        <x:f>IF(N107-O107&gt;0,N107-O107,0)</x:f>
      </x:c>
      <x:c r="Q107" s="65">
        <x:f>+H107</x:f>
      </x:c>
      <x:c r="R107" s="65">
        <x:v>0</x:v>
      </x:c>
      <x:c r="S107" s="3">
        <x:f>R107+Q107</x:f>
      </x:c>
      <x:c r="T107" s="3">
        <x:f>I107-S107</x:f>
      </x:c>
      <x:c r="U107" s="255"/>
    </x:row>
    <x:row r="108" spans="1:21" ht="21" customHeight="1" x14ac:dyDescent="0.2">
      <x:c r="A108" s="253">
        <x:f>+'Banka Lis.'!B107</x:f>
      </x:c>
      <x:c r="B108" s="253">
        <x:f>+Puantaj!C108</x:f>
      </x:c>
      <x:c r="C108" s="4">
        <x:f>+Puantaj!D108</x:f>
      </x:c>
      <x:c r="D108" s="4">
        <x:f>+Puantaj!E108</x:f>
      </x:c>
      <x:c r="E108" s="4">
        <x:f>+'Banka Lis.'!H107</x:f>
      </x:c>
      <x:c r="F108" s="254">
        <x:f>+Puantaj!AK108</x:f>
      </x:c>
      <x:c r="G108" s="33">
        <x:f>F108*1083</x:f>
      </x:c>
      <x:c r="H108" s="62">
        <x:f>G108*0.055</x:f>
      </x:c>
      <x:c r="I108" s="3">
        <x:f>G108+H108</x:f>
      </x:c>
      <x:c r="J108" s="3">
        <x:f>+G108</x:f>
      </x:c>
      <x:c r="K108" s="3">
        <x:f>J108*0.15</x:f>
      </x:c>
      <x:c r="L108" s="3">
        <x:f>IF(J108*0.15&gt;K108,K108,J108*0.15)</x:f>
      </x:c>
      <x:c r="M108" s="65">
        <x:f>IF(K108-L108&gt;0,K108-L108,0)</x:f>
      </x:c>
      <x:c r="N108" s="3">
        <x:f>G108*0.00759</x:f>
      </x:c>
      <x:c r="O108" s="3">
        <x:f>IF(G108*0.00759&gt;G108,197.38,G108*0.00759)</x:f>
      </x:c>
      <x:c r="P108" s="3">
        <x:f>IF(N108-O108&gt;0,N108-O108,0)</x:f>
      </x:c>
      <x:c r="Q108" s="65">
        <x:f>+H108</x:f>
      </x:c>
      <x:c r="R108" s="65">
        <x:v>0</x:v>
      </x:c>
      <x:c r="S108" s="3">
        <x:f>R108+Q108</x:f>
      </x:c>
      <x:c r="T108" s="3">
        <x:f>I108-S108</x:f>
      </x:c>
      <x:c r="U108" s="255"/>
    </x:row>
    <x:row r="109" spans="1:21" ht="21" customHeight="1" x14ac:dyDescent="0.2">
      <x:c r="A109" s="253">
        <x:f>+'Banka Lis.'!B108</x:f>
      </x:c>
      <x:c r="B109" s="253">
        <x:f>+Puantaj!C109</x:f>
      </x:c>
      <x:c r="C109" s="4">
        <x:f>+Puantaj!D109</x:f>
      </x:c>
      <x:c r="D109" s="4">
        <x:f>+Puantaj!E109</x:f>
      </x:c>
      <x:c r="E109" s="4">
        <x:f>+'Banka Lis.'!H108</x:f>
      </x:c>
      <x:c r="F109" s="254">
        <x:f>+Puantaj!AK109</x:f>
      </x:c>
      <x:c r="G109" s="33">
        <x:f>F109*1083</x:f>
      </x:c>
      <x:c r="H109" s="62">
        <x:f>G109*0.055</x:f>
      </x:c>
      <x:c r="I109" s="3">
        <x:f>G109+H109</x:f>
      </x:c>
      <x:c r="J109" s="3">
        <x:f>+G109</x:f>
      </x:c>
      <x:c r="K109" s="3">
        <x:f>J109*0.15</x:f>
      </x:c>
      <x:c r="L109" s="3">
        <x:f>IF(J109*0.15&gt;K109,K109,J109*0.15)</x:f>
      </x:c>
      <x:c r="M109" s="65">
        <x:f>IF(K109-L109&gt;0,K109-L109,0)</x:f>
      </x:c>
      <x:c r="N109" s="3">
        <x:f>G109*0.00759</x:f>
      </x:c>
      <x:c r="O109" s="3">
        <x:f>IF(G109*0.00759&gt;G109,197.38,G109*0.00759)</x:f>
      </x:c>
      <x:c r="P109" s="3">
        <x:f>IF(N109-O109&gt;0,N109-O109,0)</x:f>
      </x:c>
      <x:c r="Q109" s="65">
        <x:f>+H109</x:f>
      </x:c>
      <x:c r="R109" s="65">
        <x:v>0</x:v>
      </x:c>
      <x:c r="S109" s="3">
        <x:f>R109+Q109</x:f>
      </x:c>
      <x:c r="T109" s="3">
        <x:f>I109-S109</x:f>
      </x:c>
      <x:c r="U109" s="255"/>
    </x:row>
    <x:row r="110" spans="1:21" ht="21" customHeight="1" x14ac:dyDescent="0.2">
      <x:c r="A110" s="253">
        <x:f>+'Banka Lis.'!B109</x:f>
      </x:c>
      <x:c r="B110" s="253">
        <x:f>+Puantaj!C110</x:f>
      </x:c>
      <x:c r="C110" s="4">
        <x:f>+Puantaj!D110</x:f>
      </x:c>
      <x:c r="D110" s="4">
        <x:f>+Puantaj!E110</x:f>
      </x:c>
      <x:c r="E110" s="4">
        <x:f>+'Banka Lis.'!H109</x:f>
      </x:c>
      <x:c r="F110" s="254">
        <x:f>+Puantaj!AK110</x:f>
      </x:c>
      <x:c r="G110" s="33">
        <x:f>F110*1083</x:f>
      </x:c>
      <x:c r="H110" s="62">
        <x:f>G110*0.055</x:f>
      </x:c>
      <x:c r="I110" s="3">
        <x:f>G110+H110</x:f>
      </x:c>
      <x:c r="J110" s="3">
        <x:f>+G110</x:f>
      </x:c>
      <x:c r="K110" s="3">
        <x:f>J110*0.15</x:f>
      </x:c>
      <x:c r="L110" s="3">
        <x:f>IF(J110*0.15&gt;K110,K110,J110*0.15)</x:f>
      </x:c>
      <x:c r="M110" s="65">
        <x:f>IF(K110-L110&gt;0,K110-L110,0)</x:f>
      </x:c>
      <x:c r="N110" s="3">
        <x:f>G110*0.00759</x:f>
      </x:c>
      <x:c r="O110" s="3">
        <x:f>IF(G110*0.00759&gt;G110,197.38,G110*0.00759)</x:f>
      </x:c>
      <x:c r="P110" s="3">
        <x:f>IF(N110-O110&gt;0,N110-O110,0)</x:f>
      </x:c>
      <x:c r="Q110" s="65">
        <x:f>+H110</x:f>
      </x:c>
      <x:c r="R110" s="65">
        <x:v>0</x:v>
      </x:c>
      <x:c r="S110" s="3">
        <x:f>R110+Q110</x:f>
      </x:c>
      <x:c r="T110" s="3">
        <x:f>I110-S110</x:f>
      </x:c>
      <x:c r="U110" s="255"/>
    </x:row>
    <x:row r="111" spans="1:21" ht="21" customHeight="1" x14ac:dyDescent="0.2">
      <x:c r="A111" s="253">
        <x:f>+'Banka Lis.'!B110</x:f>
      </x:c>
      <x:c r="B111" s="253">
        <x:f>+Puantaj!C111</x:f>
      </x:c>
      <x:c r="C111" s="4">
        <x:f>+Puantaj!D111</x:f>
      </x:c>
      <x:c r="D111" s="4">
        <x:f>+Puantaj!E111</x:f>
      </x:c>
      <x:c r="E111" s="4">
        <x:f>+'Banka Lis.'!H110</x:f>
      </x:c>
      <x:c r="F111" s="254">
        <x:f>+Puantaj!AK111</x:f>
      </x:c>
      <x:c r="G111" s="33">
        <x:f>F111*1083</x:f>
      </x:c>
      <x:c r="H111" s="62">
        <x:f>G111*0.055</x:f>
      </x:c>
      <x:c r="I111" s="3">
        <x:f>G111+H111</x:f>
      </x:c>
      <x:c r="J111" s="3">
        <x:f>+G111</x:f>
      </x:c>
      <x:c r="K111" s="3">
        <x:f>J111*0.15</x:f>
      </x:c>
      <x:c r="L111" s="3">
        <x:f>IF(J111*0.15&gt;K111,K111,J111*0.15)</x:f>
      </x:c>
      <x:c r="M111" s="65">
        <x:f>IF(K111-L111&gt;0,K111-L111,0)</x:f>
      </x:c>
      <x:c r="N111" s="3">
        <x:f>G111*0.00759</x:f>
      </x:c>
      <x:c r="O111" s="3">
        <x:f>IF(G111*0.00759&gt;G111,197.38,G111*0.00759)</x:f>
      </x:c>
      <x:c r="P111" s="3">
        <x:f>IF(N111-O111&gt;0,N111-O111,0)</x:f>
      </x:c>
      <x:c r="Q111" s="65">
        <x:f>+H111</x:f>
      </x:c>
      <x:c r="R111" s="65">
        <x:v>0</x:v>
      </x:c>
      <x:c r="S111" s="3">
        <x:f>R111+Q111</x:f>
      </x:c>
      <x:c r="T111" s="3">
        <x:f>I111-S111</x:f>
      </x:c>
      <x:c r="U111" s="255"/>
    </x:row>
    <x:row r="112" spans="1:21" ht="21" customHeight="1" x14ac:dyDescent="0.2">
      <x:c r="A112" s="253">
        <x:f>+'Banka Lis.'!B111</x:f>
      </x:c>
      <x:c r="B112" s="253">
        <x:f>+Puantaj!C112</x:f>
      </x:c>
      <x:c r="C112" s="4">
        <x:f>+Puantaj!D112</x:f>
      </x:c>
      <x:c r="D112" s="4">
        <x:f>+Puantaj!E112</x:f>
      </x:c>
      <x:c r="E112" s="4">
        <x:f>+'Banka Lis.'!H111</x:f>
      </x:c>
      <x:c r="F112" s="254">
        <x:f>+Puantaj!AK112</x:f>
      </x:c>
      <x:c r="G112" s="33">
        <x:f>F112*1083</x:f>
      </x:c>
      <x:c r="H112" s="62">
        <x:f>G112*0.055</x:f>
      </x:c>
      <x:c r="I112" s="3">
        <x:f>G112+H112</x:f>
      </x:c>
      <x:c r="J112" s="3">
        <x:f>+G112</x:f>
      </x:c>
      <x:c r="K112" s="3">
        <x:f>J112*0.15</x:f>
      </x:c>
      <x:c r="L112" s="3">
        <x:f>IF(J112*0.15&gt;K112,K112,J112*0.15)</x:f>
      </x:c>
      <x:c r="M112" s="65">
        <x:f>IF(K112-L112&gt;0,K112-L112,0)</x:f>
      </x:c>
      <x:c r="N112" s="3">
        <x:f>G112*0.00759</x:f>
      </x:c>
      <x:c r="O112" s="3">
        <x:f>IF(G112*0.00759&gt;G112,197.38,G112*0.00759)</x:f>
      </x:c>
      <x:c r="P112" s="3">
        <x:f>IF(N112-O112&gt;0,N112-O112,0)</x:f>
      </x:c>
      <x:c r="Q112" s="65">
        <x:f>+H112</x:f>
      </x:c>
      <x:c r="R112" s="65">
        <x:v>0</x:v>
      </x:c>
      <x:c r="S112" s="3">
        <x:f>R112+Q112</x:f>
      </x:c>
      <x:c r="T112" s="3">
        <x:f>I112-S112</x:f>
      </x:c>
      <x:c r="U112" s="255"/>
    </x:row>
    <x:row r="113" spans="1:21" ht="21" customHeight="1" x14ac:dyDescent="0.2">
      <x:c r="A113" s="253">
        <x:f>+'Banka Lis.'!B112</x:f>
      </x:c>
      <x:c r="B113" s="253">
        <x:f>+Puantaj!C113</x:f>
      </x:c>
      <x:c r="C113" s="4">
        <x:f>+Puantaj!D113</x:f>
      </x:c>
      <x:c r="D113" s="4">
        <x:f>+Puantaj!E113</x:f>
      </x:c>
      <x:c r="E113" s="4">
        <x:f>+'Banka Lis.'!H112</x:f>
      </x:c>
      <x:c r="F113" s="254">
        <x:f>+Puantaj!AK113</x:f>
      </x:c>
      <x:c r="G113" s="33">
        <x:f>F113*1083</x:f>
      </x:c>
      <x:c r="H113" s="62">
        <x:f>G113*0.055</x:f>
      </x:c>
      <x:c r="I113" s="3">
        <x:f>G113+H113</x:f>
      </x:c>
      <x:c r="J113" s="3">
        <x:f>+G113</x:f>
      </x:c>
      <x:c r="K113" s="3">
        <x:f>J113*0.15</x:f>
      </x:c>
      <x:c r="L113" s="3">
        <x:f>IF(J113*0.15&gt;K113,K113,J113*0.15)</x:f>
      </x:c>
      <x:c r="M113" s="65">
        <x:f>IF(K113-L113&gt;0,K113-L113,0)</x:f>
      </x:c>
      <x:c r="N113" s="3">
        <x:f>G113*0.00759</x:f>
      </x:c>
      <x:c r="O113" s="3">
        <x:f>IF(G113*0.00759&gt;G113,197.38,G113*0.00759)</x:f>
      </x:c>
      <x:c r="P113" s="3">
        <x:f>IF(N113-O113&gt;0,N113-O113,0)</x:f>
      </x:c>
      <x:c r="Q113" s="65">
        <x:f>+H113</x:f>
      </x:c>
      <x:c r="R113" s="65">
        <x:v>0</x:v>
      </x:c>
      <x:c r="S113" s="3">
        <x:f>R113+Q113</x:f>
      </x:c>
      <x:c r="T113" s="3">
        <x:f>I113-S113</x:f>
      </x:c>
      <x:c r="U113" s="255"/>
    </x:row>
    <x:row r="114" spans="1:21" ht="21" customHeight="1" x14ac:dyDescent="0.2">
      <x:c r="A114" s="253">
        <x:f>+'Banka Lis.'!B113</x:f>
      </x:c>
      <x:c r="B114" s="253">
        <x:f>+Puantaj!C114</x:f>
      </x:c>
      <x:c r="C114" s="4">
        <x:f>+Puantaj!D114</x:f>
      </x:c>
      <x:c r="D114" s="4">
        <x:f>+Puantaj!E114</x:f>
      </x:c>
      <x:c r="E114" s="4">
        <x:f>+'Banka Lis.'!H113</x:f>
      </x:c>
      <x:c r="F114" s="254">
        <x:f>+Puantaj!AK114</x:f>
      </x:c>
      <x:c r="G114" s="33">
        <x:f>F114*1083</x:f>
      </x:c>
      <x:c r="H114" s="62">
        <x:f>G114*0.055</x:f>
      </x:c>
      <x:c r="I114" s="3">
        <x:f>G114+H114</x:f>
      </x:c>
      <x:c r="J114" s="3">
        <x:f>+G114</x:f>
      </x:c>
      <x:c r="K114" s="3">
        <x:f>J114*0.15</x:f>
      </x:c>
      <x:c r="L114" s="3">
        <x:f>IF(J114*0.15&gt;K114,K114,J114*0.15)</x:f>
      </x:c>
      <x:c r="M114" s="65">
        <x:f>IF(K114-L114&gt;0,K114-L114,0)</x:f>
      </x:c>
      <x:c r="N114" s="3">
        <x:f>G114*0.00759</x:f>
      </x:c>
      <x:c r="O114" s="3">
        <x:f>IF(G114*0.00759&gt;G114,197.38,G114*0.00759)</x:f>
      </x:c>
      <x:c r="P114" s="3">
        <x:f>IF(N114-O114&gt;0,N114-O114,0)</x:f>
      </x:c>
      <x:c r="Q114" s="65">
        <x:f>+H114</x:f>
      </x:c>
      <x:c r="R114" s="65">
        <x:v>0</x:v>
      </x:c>
      <x:c r="S114" s="3">
        <x:f>R114+Q114</x:f>
      </x:c>
      <x:c r="T114" s="3">
        <x:f>I114-S114</x:f>
      </x:c>
      <x:c r="U114" s="255"/>
    </x:row>
    <x:row r="115" spans="1:21" ht="21" customHeight="1" x14ac:dyDescent="0.2">
      <x:c r="A115" s="253">
        <x:f>+'Banka Lis.'!B114</x:f>
      </x:c>
      <x:c r="B115" s="253">
        <x:f>+Puantaj!C115</x:f>
      </x:c>
      <x:c r="C115" s="4">
        <x:f>+Puantaj!D115</x:f>
      </x:c>
      <x:c r="D115" s="4">
        <x:f>+Puantaj!E115</x:f>
      </x:c>
      <x:c r="E115" s="4">
        <x:f>+'Banka Lis.'!H114</x:f>
      </x:c>
      <x:c r="F115" s="254">
        <x:f>+Puantaj!AK115</x:f>
      </x:c>
      <x:c r="G115" s="33">
        <x:f>F115*1083</x:f>
      </x:c>
      <x:c r="H115" s="62">
        <x:f>G115*0.055</x:f>
      </x:c>
      <x:c r="I115" s="3">
        <x:f>G115+H115</x:f>
      </x:c>
      <x:c r="J115" s="3">
        <x:f>+G115</x:f>
      </x:c>
      <x:c r="K115" s="3">
        <x:f>J115*0.15</x:f>
      </x:c>
      <x:c r="L115" s="3">
        <x:f>IF(J115*0.15&gt;K115,K115,J115*0.15)</x:f>
      </x:c>
      <x:c r="M115" s="65">
        <x:f>IF(K115-L115&gt;0,K115-L115,0)</x:f>
      </x:c>
      <x:c r="N115" s="3">
        <x:f>G115*0.00759</x:f>
      </x:c>
      <x:c r="O115" s="3">
        <x:f>IF(G115*0.00759&gt;G115,197.38,G115*0.00759)</x:f>
      </x:c>
      <x:c r="P115" s="3">
        <x:f>IF(N115-O115&gt;0,N115-O115,0)</x:f>
      </x:c>
      <x:c r="Q115" s="65">
        <x:f>+H115</x:f>
      </x:c>
      <x:c r="R115" s="65">
        <x:v>0</x:v>
      </x:c>
      <x:c r="S115" s="3">
        <x:f>R115+Q115</x:f>
      </x:c>
      <x:c r="T115" s="3">
        <x:f>I115-S115</x:f>
      </x:c>
      <x:c r="U115" s="255"/>
    </x:row>
    <x:row r="116" spans="1:21" ht="21" customHeight="1" x14ac:dyDescent="0.2">
      <x:c r="A116" s="253">
        <x:f>+'Banka Lis.'!B115</x:f>
      </x:c>
      <x:c r="B116" s="253">
        <x:f>+Puantaj!C116</x:f>
      </x:c>
      <x:c r="C116" s="4">
        <x:f>+Puantaj!D116</x:f>
      </x:c>
      <x:c r="D116" s="4">
        <x:f>+Puantaj!E116</x:f>
      </x:c>
      <x:c r="E116" s="4">
        <x:f>+'Banka Lis.'!H115</x:f>
      </x:c>
      <x:c r="F116" s="254">
        <x:f>+Puantaj!AK116</x:f>
      </x:c>
      <x:c r="G116" s="33">
        <x:f>F116*1083</x:f>
      </x:c>
      <x:c r="H116" s="62">
        <x:f>G116*0.055</x:f>
      </x:c>
      <x:c r="I116" s="3">
        <x:f>G116+H116</x:f>
      </x:c>
      <x:c r="J116" s="3">
        <x:f>+G116</x:f>
      </x:c>
      <x:c r="K116" s="3">
        <x:f>J116*0.15</x:f>
      </x:c>
      <x:c r="L116" s="3">
        <x:f>IF(J116*0.15&gt;K116,K116,J116*0.15)</x:f>
      </x:c>
      <x:c r="M116" s="65">
        <x:f>IF(K116-L116&gt;0,K116-L116,0)</x:f>
      </x:c>
      <x:c r="N116" s="3">
        <x:f>G116*0.00759</x:f>
      </x:c>
      <x:c r="O116" s="3">
        <x:f>IF(G116*0.00759&gt;G116,197.38,G116*0.00759)</x:f>
      </x:c>
      <x:c r="P116" s="3">
        <x:f>IF(N116-O116&gt;0,N116-O116,0)</x:f>
      </x:c>
      <x:c r="Q116" s="65">
        <x:f>+H116</x:f>
      </x:c>
      <x:c r="R116" s="65">
        <x:v>0</x:v>
      </x:c>
      <x:c r="S116" s="3">
        <x:f>R116+Q116</x:f>
      </x:c>
      <x:c r="T116" s="3">
        <x:f>I116-S116</x:f>
      </x:c>
      <x:c r="U116" s="255"/>
    </x:row>
    <x:row r="117" spans="1:21" ht="21" customHeight="1" x14ac:dyDescent="0.2">
      <x:c r="A117" s="253">
        <x:f>+'Banka Lis.'!B116</x:f>
      </x:c>
      <x:c r="B117" s="253">
        <x:f>+Puantaj!C117</x:f>
      </x:c>
      <x:c r="C117" s="4">
        <x:f>+Puantaj!D117</x:f>
      </x:c>
      <x:c r="D117" s="4">
        <x:f>+Puantaj!E117</x:f>
      </x:c>
      <x:c r="E117" s="4">
        <x:f>+'Banka Lis.'!H116</x:f>
      </x:c>
      <x:c r="F117" s="254">
        <x:f>+Puantaj!AK117</x:f>
      </x:c>
      <x:c r="G117" s="33">
        <x:f>F117*1083</x:f>
      </x:c>
      <x:c r="H117" s="62">
        <x:f>G117*0.055</x:f>
      </x:c>
      <x:c r="I117" s="3">
        <x:f>G117+H117</x:f>
      </x:c>
      <x:c r="J117" s="3">
        <x:f>+G117</x:f>
      </x:c>
      <x:c r="K117" s="3">
        <x:f>J117*0.15</x:f>
      </x:c>
      <x:c r="L117" s="3">
        <x:f>IF(J117*0.15&gt;K117,K117,J117*0.15)</x:f>
      </x:c>
      <x:c r="M117" s="65">
        <x:f>IF(K117-L117&gt;0,K117-L117,0)</x:f>
      </x:c>
      <x:c r="N117" s="3">
        <x:f>G117*0.00759</x:f>
      </x:c>
      <x:c r="O117" s="3">
        <x:f>IF(G117*0.00759&gt;G117,197.38,G117*0.00759)</x:f>
      </x:c>
      <x:c r="P117" s="3">
        <x:f>IF(N117-O117&gt;0,N117-O117,0)</x:f>
      </x:c>
      <x:c r="Q117" s="65">
        <x:f>+H117</x:f>
      </x:c>
      <x:c r="R117" s="65">
        <x:v>0</x:v>
      </x:c>
      <x:c r="S117" s="3">
        <x:f>R117+Q117</x:f>
      </x:c>
      <x:c r="T117" s="3">
        <x:f>I117-S117</x:f>
      </x:c>
      <x:c r="U117" s="255"/>
    </x:row>
    <x:row r="118" spans="1:21" ht="21" customHeight="1" x14ac:dyDescent="0.2">
      <x:c r="A118" s="253">
        <x:f>+'Banka Lis.'!B117</x:f>
      </x:c>
      <x:c r="B118" s="253">
        <x:f>+Puantaj!C118</x:f>
      </x:c>
      <x:c r="C118" s="4">
        <x:f>+Puantaj!D118</x:f>
      </x:c>
      <x:c r="D118" s="4">
        <x:f>+Puantaj!E118</x:f>
      </x:c>
      <x:c r="E118" s="4">
        <x:f>+'Banka Lis.'!H117</x:f>
      </x:c>
      <x:c r="F118" s="254">
        <x:f>+Puantaj!AK118</x:f>
      </x:c>
      <x:c r="G118" s="33">
        <x:f>F118*1083</x:f>
      </x:c>
      <x:c r="H118" s="62">
        <x:f>G118*0.055</x:f>
      </x:c>
      <x:c r="I118" s="3">
        <x:f>G118+H118</x:f>
      </x:c>
      <x:c r="J118" s="3">
        <x:f>+G118</x:f>
      </x:c>
      <x:c r="K118" s="3">
        <x:f>J118*0.15</x:f>
      </x:c>
      <x:c r="L118" s="3">
        <x:f>IF(J118*0.15&gt;K118,K118,J118*0.15)</x:f>
      </x:c>
      <x:c r="M118" s="65">
        <x:f>IF(K118-L118&gt;0,K118-L118,0)</x:f>
      </x:c>
      <x:c r="N118" s="3">
        <x:f>G118*0.00759</x:f>
      </x:c>
      <x:c r="O118" s="3">
        <x:f>IF(G118*0.00759&gt;G118,197.38,G118*0.00759)</x:f>
      </x:c>
      <x:c r="P118" s="3">
        <x:f>IF(N118-O118&gt;0,N118-O118,0)</x:f>
      </x:c>
      <x:c r="Q118" s="65">
        <x:f>+H118</x:f>
      </x:c>
      <x:c r="R118" s="65">
        <x:v>0</x:v>
      </x:c>
      <x:c r="S118" s="3">
        <x:f>R118+Q118</x:f>
      </x:c>
      <x:c r="T118" s="3">
        <x:f>I118-S118</x:f>
      </x:c>
      <x:c r="U118" s="255"/>
    </x:row>
    <x:row r="119" spans="1:21" ht="21" customHeight="1" x14ac:dyDescent="0.2">
      <x:c r="A119" s="253">
        <x:f>+'Banka Lis.'!B118</x:f>
      </x:c>
      <x:c r="B119" s="253">
        <x:f>+Puantaj!C119</x:f>
      </x:c>
      <x:c r="C119" s="4">
        <x:f>+Puantaj!D119</x:f>
      </x:c>
      <x:c r="D119" s="4">
        <x:f>+Puantaj!E119</x:f>
      </x:c>
      <x:c r="E119" s="4">
        <x:f>+'Banka Lis.'!H118</x:f>
      </x:c>
      <x:c r="F119" s="254">
        <x:f>+Puantaj!AK119</x:f>
      </x:c>
      <x:c r="G119" s="33">
        <x:f>F119*1083</x:f>
      </x:c>
      <x:c r="H119" s="62">
        <x:f>G119*0.055</x:f>
      </x:c>
      <x:c r="I119" s="3">
        <x:f>G119+H119</x:f>
      </x:c>
      <x:c r="J119" s="3">
        <x:f>+G119</x:f>
      </x:c>
      <x:c r="K119" s="3">
        <x:f>J119*0.15</x:f>
      </x:c>
      <x:c r="L119" s="3">
        <x:f>IF(J119*0.15&gt;K119,K119,J119*0.15)</x:f>
      </x:c>
      <x:c r="M119" s="65">
        <x:f>IF(K119-L119&gt;0,K119-L119,0)</x:f>
      </x:c>
      <x:c r="N119" s="3">
        <x:f>G119*0.00759</x:f>
      </x:c>
      <x:c r="O119" s="3">
        <x:f>IF(G119*0.00759&gt;G119,197.38,G119*0.00759)</x:f>
      </x:c>
      <x:c r="P119" s="3">
        <x:f>IF(N119-O119&gt;0,N119-O119,0)</x:f>
      </x:c>
      <x:c r="Q119" s="65">
        <x:f>+H119</x:f>
      </x:c>
      <x:c r="R119" s="65">
        <x:v>0</x:v>
      </x:c>
      <x:c r="S119" s="3">
        <x:f>R119+Q119</x:f>
      </x:c>
      <x:c r="T119" s="3">
        <x:f>I119-S119</x:f>
      </x:c>
      <x:c r="U119" s="255"/>
    </x:row>
    <x:row r="120" spans="1:21" ht="21" customHeight="1" x14ac:dyDescent="0.2">
      <x:c r="A120" s="253">
        <x:f>+'Banka Lis.'!B119</x:f>
      </x:c>
      <x:c r="B120" s="253">
        <x:f>+Puantaj!C120</x:f>
      </x:c>
      <x:c r="C120" s="4">
        <x:f>+Puantaj!D120</x:f>
      </x:c>
      <x:c r="D120" s="4">
        <x:f>+Puantaj!E120</x:f>
      </x:c>
      <x:c r="E120" s="4">
        <x:f>+'Banka Lis.'!H119</x:f>
      </x:c>
      <x:c r="F120" s="254">
        <x:f>+Puantaj!AK120</x:f>
      </x:c>
      <x:c r="G120" s="33">
        <x:f>F120*1083</x:f>
      </x:c>
      <x:c r="H120" s="62">
        <x:f>G120*0.055</x:f>
      </x:c>
      <x:c r="I120" s="3">
        <x:f>G120+H120</x:f>
      </x:c>
      <x:c r="J120" s="3">
        <x:f>+G120</x:f>
      </x:c>
      <x:c r="K120" s="3">
        <x:f>J120*0.15</x:f>
      </x:c>
      <x:c r="L120" s="3">
        <x:f>IF(J120*0.15&gt;K120,K120,J120*0.15)</x:f>
      </x:c>
      <x:c r="M120" s="65">
        <x:f>IF(K120-L120&gt;0,K120-L120,0)</x:f>
      </x:c>
      <x:c r="N120" s="3">
        <x:f>G120*0.00759</x:f>
      </x:c>
      <x:c r="O120" s="3">
        <x:f>IF(G120*0.00759&gt;G120,197.38,G120*0.00759)</x:f>
      </x:c>
      <x:c r="P120" s="3">
        <x:f>IF(N120-O120&gt;0,N120-O120,0)</x:f>
      </x:c>
      <x:c r="Q120" s="65">
        <x:f>+H120</x:f>
      </x:c>
      <x:c r="R120" s="65">
        <x:v>0</x:v>
      </x:c>
      <x:c r="S120" s="3">
        <x:f>R120+Q120</x:f>
      </x:c>
      <x:c r="T120" s="3">
        <x:f>I120-S120</x:f>
      </x:c>
      <x:c r="U120" s="255"/>
    </x:row>
    <x:row r="121" spans="1:21" ht="21" customHeight="1" x14ac:dyDescent="0.2">
      <x:c r="A121" s="253">
        <x:f>+'Banka Lis.'!B120</x:f>
      </x:c>
      <x:c r="B121" s="253">
        <x:f>+Puantaj!C121</x:f>
      </x:c>
      <x:c r="C121" s="4">
        <x:f>+Puantaj!D121</x:f>
      </x:c>
      <x:c r="D121" s="4">
        <x:f>+Puantaj!E121</x:f>
      </x:c>
      <x:c r="E121" s="4">
        <x:f>+'Banka Lis.'!H120</x:f>
      </x:c>
      <x:c r="F121" s="254">
        <x:f>+Puantaj!AK121</x:f>
      </x:c>
      <x:c r="G121" s="33">
        <x:f>F121*1083</x:f>
      </x:c>
      <x:c r="H121" s="62">
        <x:f>G121*0.055</x:f>
      </x:c>
      <x:c r="I121" s="3">
        <x:f>G121+H121</x:f>
      </x:c>
      <x:c r="J121" s="3">
        <x:f>+G121</x:f>
      </x:c>
      <x:c r="K121" s="3">
        <x:f>J121*0.15</x:f>
      </x:c>
      <x:c r="L121" s="3">
        <x:f>IF(J121*0.15&gt;K121,K121,J121*0.15)</x:f>
      </x:c>
      <x:c r="M121" s="65">
        <x:f>IF(K121-L121&gt;0,K121-L121,0)</x:f>
      </x:c>
      <x:c r="N121" s="3">
        <x:f>G121*0.00759</x:f>
      </x:c>
      <x:c r="O121" s="3">
        <x:f>IF(G121*0.00759&gt;G121,197.38,G121*0.00759)</x:f>
      </x:c>
      <x:c r="P121" s="3">
        <x:f>IF(N121-O121&gt;0,N121-O121,0)</x:f>
      </x:c>
      <x:c r="Q121" s="65">
        <x:f>+H121</x:f>
      </x:c>
      <x:c r="R121" s="65">
        <x:v>0</x:v>
      </x:c>
      <x:c r="S121" s="3">
        <x:f>R121+Q121</x:f>
      </x:c>
      <x:c r="T121" s="3">
        <x:f>I121-S121</x:f>
      </x:c>
      <x:c r="U121" s="255"/>
    </x:row>
    <x:row r="122" spans="1:21" ht="21" customHeight="1" x14ac:dyDescent="0.2">
      <x:c r="A122" s="253">
        <x:f>+'Banka Lis.'!B121</x:f>
      </x:c>
      <x:c r="B122" s="253">
        <x:f>+Puantaj!C122</x:f>
      </x:c>
      <x:c r="C122" s="4">
        <x:f>+Puantaj!D122</x:f>
      </x:c>
      <x:c r="D122" s="4">
        <x:f>+Puantaj!E122</x:f>
      </x:c>
      <x:c r="E122" s="4">
        <x:f>+'Banka Lis.'!H121</x:f>
      </x:c>
      <x:c r="F122" s="254">
        <x:f>+Puantaj!AK122</x:f>
      </x:c>
      <x:c r="G122" s="33">
        <x:f>F122*1083</x:f>
      </x:c>
      <x:c r="H122" s="62">
        <x:f>G122*0.055</x:f>
      </x:c>
      <x:c r="I122" s="3">
        <x:f>G122+H122</x:f>
      </x:c>
      <x:c r="J122" s="3">
        <x:f>+G122</x:f>
      </x:c>
      <x:c r="K122" s="3">
        <x:f>J122*0.15</x:f>
      </x:c>
      <x:c r="L122" s="3">
        <x:f>IF(J122*0.15&gt;K122,K122,J122*0.15)</x:f>
      </x:c>
      <x:c r="M122" s="65">
        <x:f>IF(K122-L122&gt;0,K122-L122,0)</x:f>
      </x:c>
      <x:c r="N122" s="3">
        <x:f>G122*0.00759</x:f>
      </x:c>
      <x:c r="O122" s="3">
        <x:f>IF(G122*0.00759&gt;G122,197.38,G122*0.00759)</x:f>
      </x:c>
      <x:c r="P122" s="3">
        <x:f>IF(N122-O122&gt;0,N122-O122,0)</x:f>
      </x:c>
      <x:c r="Q122" s="65">
        <x:f>+H122</x:f>
      </x:c>
      <x:c r="R122" s="65">
        <x:v>0</x:v>
      </x:c>
      <x:c r="S122" s="3">
        <x:f>R122+Q122</x:f>
      </x:c>
      <x:c r="T122" s="3">
        <x:f>I122-S122</x:f>
      </x:c>
      <x:c r="U122" s="255"/>
    </x:row>
    <x:row r="123" spans="1:21" ht="21" customHeight="1" x14ac:dyDescent="0.2">
      <x:c r="A123" s="253">
        <x:f>+'Banka Lis.'!B122</x:f>
      </x:c>
      <x:c r="B123" s="253">
        <x:f>+Puantaj!C123</x:f>
      </x:c>
      <x:c r="C123" s="4">
        <x:f>+Puantaj!D123</x:f>
      </x:c>
      <x:c r="D123" s="4">
        <x:f>+Puantaj!E123</x:f>
      </x:c>
      <x:c r="E123" s="4">
        <x:f>+'Banka Lis.'!H122</x:f>
      </x:c>
      <x:c r="F123" s="254">
        <x:f>+Puantaj!AK123</x:f>
      </x:c>
      <x:c r="G123" s="33">
        <x:f>F123*1083</x:f>
      </x:c>
      <x:c r="H123" s="62">
        <x:f>G123*0.055</x:f>
      </x:c>
      <x:c r="I123" s="3">
        <x:f>G123+H123</x:f>
      </x:c>
      <x:c r="J123" s="3">
        <x:f>+G123</x:f>
      </x:c>
      <x:c r="K123" s="3">
        <x:f>J123*0.15</x:f>
      </x:c>
      <x:c r="L123" s="3">
        <x:f>IF(J123*0.15&gt;K123,K123,J123*0.15)</x:f>
      </x:c>
      <x:c r="M123" s="65">
        <x:f>IF(K123-L123&gt;0,K123-L123,0)</x:f>
      </x:c>
      <x:c r="N123" s="3">
        <x:f>G123*0.00759</x:f>
      </x:c>
      <x:c r="O123" s="3">
        <x:f>IF(G123*0.00759&gt;G123,197.38,G123*0.00759)</x:f>
      </x:c>
      <x:c r="P123" s="3">
        <x:f>IF(N123-O123&gt;0,N123-O123,0)</x:f>
      </x:c>
      <x:c r="Q123" s="65">
        <x:f>+H123</x:f>
      </x:c>
      <x:c r="R123" s="65">
        <x:v>0</x:v>
      </x:c>
      <x:c r="S123" s="3">
        <x:f>R123+Q123</x:f>
      </x:c>
      <x:c r="T123" s="3">
        <x:f>I123-S123</x:f>
      </x:c>
      <x:c r="U123" s="255"/>
    </x:row>
    <x:row r="124" spans="1:21" ht="21" customHeight="1" x14ac:dyDescent="0.2">
      <x:c r="A124" s="253">
        <x:f>+'Banka Lis.'!B123</x:f>
      </x:c>
      <x:c r="B124" s="253">
        <x:f>+Puantaj!C124</x:f>
      </x:c>
      <x:c r="C124" s="4">
        <x:f>+Puantaj!D124</x:f>
      </x:c>
      <x:c r="D124" s="4">
        <x:f>+Puantaj!E124</x:f>
      </x:c>
      <x:c r="E124" s="4">
        <x:f>+'Banka Lis.'!H123</x:f>
      </x:c>
      <x:c r="F124" s="254">
        <x:f>+Puantaj!AK124</x:f>
      </x:c>
      <x:c r="G124" s="33">
        <x:f>F124*1083</x:f>
      </x:c>
      <x:c r="H124" s="62">
        <x:f>G124*0.055</x:f>
      </x:c>
      <x:c r="I124" s="3">
        <x:f>G124+H124</x:f>
      </x:c>
      <x:c r="J124" s="3">
        <x:f>+G124</x:f>
      </x:c>
      <x:c r="K124" s="3">
        <x:f>J124*0.15</x:f>
      </x:c>
      <x:c r="L124" s="3">
        <x:f>IF(J124*0.15&gt;K124,K124,J124*0.15)</x:f>
      </x:c>
      <x:c r="M124" s="65">
        <x:f>IF(K124-L124&gt;0,K124-L124,0)</x:f>
      </x:c>
      <x:c r="N124" s="3">
        <x:f>G124*0.00759</x:f>
      </x:c>
      <x:c r="O124" s="3">
        <x:f>IF(G124*0.00759&gt;G124,197.38,G124*0.00759)</x:f>
      </x:c>
      <x:c r="P124" s="3">
        <x:f>IF(N124-O124&gt;0,N124-O124,0)</x:f>
      </x:c>
      <x:c r="Q124" s="65">
        <x:f>+H124</x:f>
      </x:c>
      <x:c r="R124" s="65">
        <x:v>0</x:v>
      </x:c>
      <x:c r="S124" s="3">
        <x:f>R124+Q124</x:f>
      </x:c>
      <x:c r="T124" s="3">
        <x:f>I124-S124</x:f>
      </x:c>
      <x:c r="U124" s="255"/>
    </x:row>
    <x:row r="125" spans="1:21" ht="21" customHeight="1" x14ac:dyDescent="0.2">
      <x:c r="A125" s="253">
        <x:f>+'Banka Lis.'!B124</x:f>
      </x:c>
      <x:c r="B125" s="253">
        <x:f>+Puantaj!C125</x:f>
      </x:c>
      <x:c r="C125" s="4">
        <x:f>+Puantaj!D125</x:f>
      </x:c>
      <x:c r="D125" s="4">
        <x:f>+Puantaj!E125</x:f>
      </x:c>
      <x:c r="E125" s="4">
        <x:f>+'Banka Lis.'!H124</x:f>
      </x:c>
      <x:c r="F125" s="254">
        <x:f>+Puantaj!AK125</x:f>
      </x:c>
      <x:c r="G125" s="33">
        <x:f>F125*1083</x:f>
      </x:c>
      <x:c r="H125" s="62">
        <x:f>G125*0.055</x:f>
      </x:c>
      <x:c r="I125" s="3">
        <x:f>G125+H125</x:f>
      </x:c>
      <x:c r="J125" s="3">
        <x:f>+G125</x:f>
      </x:c>
      <x:c r="K125" s="3">
        <x:f>J125*0.15</x:f>
      </x:c>
      <x:c r="L125" s="3">
        <x:f>IF(J125*0.15&gt;K125,K125,J125*0.15)</x:f>
      </x:c>
      <x:c r="M125" s="65">
        <x:f>IF(K125-L125&gt;0,K125-L125,0)</x:f>
      </x:c>
      <x:c r="N125" s="3">
        <x:f>G125*0.00759</x:f>
      </x:c>
      <x:c r="O125" s="3">
        <x:f>IF(G125*0.00759&gt;G125,197.38,G125*0.00759)</x:f>
      </x:c>
      <x:c r="P125" s="3">
        <x:f>IF(N125-O125&gt;0,N125-O125,0)</x:f>
      </x:c>
      <x:c r="Q125" s="65">
        <x:f>+H125</x:f>
      </x:c>
      <x:c r="R125" s="65">
        <x:v>0</x:v>
      </x:c>
      <x:c r="S125" s="3">
        <x:f>R125+Q125</x:f>
      </x:c>
      <x:c r="T125" s="3">
        <x:f>I125-S125</x:f>
      </x:c>
      <x:c r="U125" s="255"/>
    </x:row>
    <x:row r="126" spans="1:21" ht="21" customHeight="1" x14ac:dyDescent="0.2">
      <x:c r="A126" s="253">
        <x:f>+'Banka Lis.'!B125</x:f>
      </x:c>
      <x:c r="B126" s="253">
        <x:f>+Puantaj!C126</x:f>
      </x:c>
      <x:c r="C126" s="4">
        <x:f>+Puantaj!D126</x:f>
      </x:c>
      <x:c r="D126" s="4">
        <x:f>+Puantaj!E126</x:f>
      </x:c>
      <x:c r="E126" s="4">
        <x:f>+'Banka Lis.'!H125</x:f>
      </x:c>
      <x:c r="F126" s="254">
        <x:f>+Puantaj!AK126</x:f>
      </x:c>
      <x:c r="G126" s="33">
        <x:f>F126*1083</x:f>
      </x:c>
      <x:c r="H126" s="62">
        <x:f>G126*0.055</x:f>
      </x:c>
      <x:c r="I126" s="3">
        <x:f>G126+H126</x:f>
      </x:c>
      <x:c r="J126" s="3">
        <x:f>+G126</x:f>
      </x:c>
      <x:c r="K126" s="3">
        <x:f>J126*0.15</x:f>
      </x:c>
      <x:c r="L126" s="3">
        <x:f>IF(J126*0.15&gt;K126,K126,J126*0.15)</x:f>
      </x:c>
      <x:c r="M126" s="65">
        <x:f>IF(K126-L126&gt;0,K126-L126,0)</x:f>
      </x:c>
      <x:c r="N126" s="3">
        <x:f>G126*0.00759</x:f>
      </x:c>
      <x:c r="O126" s="3">
        <x:f>IF(G126*0.00759&gt;G126,197.38,G126*0.00759)</x:f>
      </x:c>
      <x:c r="P126" s="3">
        <x:f>IF(N126-O126&gt;0,N126-O126,0)</x:f>
      </x:c>
      <x:c r="Q126" s="65">
        <x:f>+H126</x:f>
      </x:c>
      <x:c r="R126" s="65">
        <x:v>0</x:v>
      </x:c>
      <x:c r="S126" s="3">
        <x:f>R126+Q126</x:f>
      </x:c>
      <x:c r="T126" s="3">
        <x:f>I126-S126</x:f>
      </x:c>
      <x:c r="U126" s="255"/>
    </x:row>
    <x:row r="127" spans="1:21" ht="21" customHeight="1" x14ac:dyDescent="0.2">
      <x:c r="A127" s="253">
        <x:f>+'Banka Lis.'!B126</x:f>
      </x:c>
      <x:c r="B127" s="253">
        <x:f>+Puantaj!C127</x:f>
      </x:c>
      <x:c r="C127" s="4">
        <x:f>+Puantaj!D127</x:f>
      </x:c>
      <x:c r="D127" s="4">
        <x:f>+Puantaj!E127</x:f>
      </x:c>
      <x:c r="E127" s="4">
        <x:f>+'Banka Lis.'!H126</x:f>
      </x:c>
      <x:c r="F127" s="254">
        <x:f>+Puantaj!AK127</x:f>
      </x:c>
      <x:c r="G127" s="33">
        <x:f>F127*1083</x:f>
      </x:c>
      <x:c r="H127" s="62">
        <x:f>G127*0.055</x:f>
      </x:c>
      <x:c r="I127" s="3">
        <x:f>G127+H127</x:f>
      </x:c>
      <x:c r="J127" s="3">
        <x:f>+G127</x:f>
      </x:c>
      <x:c r="K127" s="3">
        <x:f>J127*0.15</x:f>
      </x:c>
      <x:c r="L127" s="3">
        <x:f>IF(J127*0.15&gt;K127,K127,J127*0.15)</x:f>
      </x:c>
      <x:c r="M127" s="65">
        <x:f>IF(K127-L127&gt;0,K127-L127,0)</x:f>
      </x:c>
      <x:c r="N127" s="3">
        <x:f>G127*0.00759</x:f>
      </x:c>
      <x:c r="O127" s="3">
        <x:f>IF(G127*0.00759&gt;G127,197.38,G127*0.00759)</x:f>
      </x:c>
      <x:c r="P127" s="3">
        <x:f>IF(N127-O127&gt;0,N127-O127,0)</x:f>
      </x:c>
      <x:c r="Q127" s="65">
        <x:f>+H127</x:f>
      </x:c>
      <x:c r="R127" s="65">
        <x:v>0</x:v>
      </x:c>
      <x:c r="S127" s="3">
        <x:f>R127+Q127</x:f>
      </x:c>
      <x:c r="T127" s="3">
        <x:f>I127-S127</x:f>
      </x:c>
      <x:c r="U127" s="255"/>
    </x:row>
    <x:row r="128" spans="1:21" ht="21" customHeight="1" x14ac:dyDescent="0.2">
      <x:c r="A128" s="253">
        <x:f>+'Banka Lis.'!B127</x:f>
      </x:c>
      <x:c r="B128" s="253">
        <x:f>+Puantaj!C128</x:f>
      </x:c>
      <x:c r="C128" s="4">
        <x:f>+Puantaj!D128</x:f>
      </x:c>
      <x:c r="D128" s="4">
        <x:f>+Puantaj!E128</x:f>
      </x:c>
      <x:c r="E128" s="4">
        <x:f>+'Banka Lis.'!H127</x:f>
      </x:c>
      <x:c r="F128" s="254">
        <x:f>+Puantaj!AK128</x:f>
      </x:c>
      <x:c r="G128" s="33">
        <x:f>F128*1083</x:f>
      </x:c>
      <x:c r="H128" s="62">
        <x:f>G128*0.055</x:f>
      </x:c>
      <x:c r="I128" s="3">
        <x:f>G128+H128</x:f>
      </x:c>
      <x:c r="J128" s="3">
        <x:f>+G128</x:f>
      </x:c>
      <x:c r="K128" s="3">
        <x:f>J128*0.15</x:f>
      </x:c>
      <x:c r="L128" s="3">
        <x:f>IF(J128*0.15&gt;K128,K128,J128*0.15)</x:f>
      </x:c>
      <x:c r="M128" s="65">
        <x:f>IF(K128-L128&gt;0,K128-L128,0)</x:f>
      </x:c>
      <x:c r="N128" s="3">
        <x:f>G128*0.00759</x:f>
      </x:c>
      <x:c r="O128" s="3">
        <x:f>IF(G128*0.00759&gt;G128,197.38,G128*0.00759)</x:f>
      </x:c>
      <x:c r="P128" s="3">
        <x:f>IF(N128-O128&gt;0,N128-O128,0)</x:f>
      </x:c>
      <x:c r="Q128" s="65">
        <x:f>+H128</x:f>
      </x:c>
      <x:c r="R128" s="65">
        <x:v>0</x:v>
      </x:c>
      <x:c r="S128" s="3">
        <x:f>R128+Q128</x:f>
      </x:c>
      <x:c r="T128" s="3">
        <x:f>I128-S128</x:f>
      </x:c>
      <x:c r="U128" s="255"/>
    </x:row>
    <x:row r="129" spans="1:21" ht="21" customHeight="1" x14ac:dyDescent="0.2">
      <x:c r="A129" s="253">
        <x:f>+'Banka Lis.'!B128</x:f>
      </x:c>
      <x:c r="B129" s="253">
        <x:f>+Puantaj!C129</x:f>
      </x:c>
      <x:c r="C129" s="4">
        <x:f>+Puantaj!D129</x:f>
      </x:c>
      <x:c r="D129" s="4">
        <x:f>+Puantaj!E129</x:f>
      </x:c>
      <x:c r="E129" s="4">
        <x:f>+'Banka Lis.'!H128</x:f>
      </x:c>
      <x:c r="F129" s="254">
        <x:f>+Puantaj!AK129</x:f>
      </x:c>
      <x:c r="G129" s="33">
        <x:f>F129*1083</x:f>
      </x:c>
      <x:c r="H129" s="62">
        <x:f>G129*0.055</x:f>
      </x:c>
      <x:c r="I129" s="3">
        <x:f>G129+H129</x:f>
      </x:c>
      <x:c r="J129" s="3">
        <x:f>+G129</x:f>
      </x:c>
      <x:c r="K129" s="3">
        <x:f>J129*0.15</x:f>
      </x:c>
      <x:c r="L129" s="3">
        <x:f>IF(J129*0.15&gt;K129,K129,J129*0.15)</x:f>
      </x:c>
      <x:c r="M129" s="65">
        <x:f>IF(K129-L129&gt;0,K129-L129,0)</x:f>
      </x:c>
      <x:c r="N129" s="3">
        <x:f>G129*0.00759</x:f>
      </x:c>
      <x:c r="O129" s="3">
        <x:f>IF(G129*0.00759&gt;G129,197.38,G129*0.00759)</x:f>
      </x:c>
      <x:c r="P129" s="3">
        <x:f>IF(N129-O129&gt;0,N129-O129,0)</x:f>
      </x:c>
      <x:c r="Q129" s="65">
        <x:f>+H129</x:f>
      </x:c>
      <x:c r="R129" s="65">
        <x:v>0</x:v>
      </x:c>
      <x:c r="S129" s="3">
        <x:f>R129+Q129</x:f>
      </x:c>
      <x:c r="T129" s="3">
        <x:f>I129-S129</x:f>
      </x:c>
      <x:c r="U129" s="255"/>
    </x:row>
    <x:row r="130" spans="1:21" ht="21" customHeight="1" x14ac:dyDescent="0.2">
      <x:c r="A130" s="253">
        <x:f>+'Banka Lis.'!B129</x:f>
      </x:c>
      <x:c r="B130" s="253">
        <x:f>+Puantaj!C130</x:f>
      </x:c>
      <x:c r="C130" s="4">
        <x:f>+Puantaj!D130</x:f>
      </x:c>
      <x:c r="D130" s="4">
        <x:f>+Puantaj!E130</x:f>
      </x:c>
      <x:c r="E130" s="4">
        <x:f>+'Banka Lis.'!H129</x:f>
      </x:c>
      <x:c r="F130" s="254">
        <x:f>+Puantaj!AK130</x:f>
      </x:c>
      <x:c r="G130" s="33">
        <x:f>F130*1083</x:f>
      </x:c>
      <x:c r="H130" s="62">
        <x:f>G130*0.055</x:f>
      </x:c>
      <x:c r="I130" s="3">
        <x:f>G130+H130</x:f>
      </x:c>
      <x:c r="J130" s="3">
        <x:f>+G130</x:f>
      </x:c>
      <x:c r="K130" s="3">
        <x:f>J130*0.15</x:f>
      </x:c>
      <x:c r="L130" s="3">
        <x:f>IF(J130*0.15&gt;K130,K130,J130*0.15)</x:f>
      </x:c>
      <x:c r="M130" s="65">
        <x:f>IF(K130-L130&gt;0,K130-L130,0)</x:f>
      </x:c>
      <x:c r="N130" s="3">
        <x:f>G130*0.00759</x:f>
      </x:c>
      <x:c r="O130" s="3">
        <x:f>IF(G130*0.00759&gt;G130,197.38,G130*0.00759)</x:f>
      </x:c>
      <x:c r="P130" s="3">
        <x:f>IF(N130-O130&gt;0,N130-O130,0)</x:f>
      </x:c>
      <x:c r="Q130" s="65">
        <x:f>+H130</x:f>
      </x:c>
      <x:c r="R130" s="65">
        <x:v>0</x:v>
      </x:c>
      <x:c r="S130" s="3">
        <x:f>R130+Q130</x:f>
      </x:c>
      <x:c r="T130" s="3">
        <x:f>I130-S130</x:f>
      </x:c>
      <x:c r="U130" s="255"/>
    </x:row>
    <x:row r="131" spans="1:21" ht="21" customHeight="1" x14ac:dyDescent="0.2">
      <x:c r="A131" s="253">
        <x:f>+'Banka Lis.'!B130</x:f>
      </x:c>
      <x:c r="B131" s="253">
        <x:f>+Puantaj!C131</x:f>
      </x:c>
      <x:c r="C131" s="4">
        <x:f>+Puantaj!D131</x:f>
      </x:c>
      <x:c r="D131" s="4">
        <x:f>+Puantaj!E131</x:f>
      </x:c>
      <x:c r="E131" s="4">
        <x:f>+'Banka Lis.'!H130</x:f>
      </x:c>
      <x:c r="F131" s="254">
        <x:f>+Puantaj!AK131</x:f>
      </x:c>
      <x:c r="G131" s="33">
        <x:f>F131*1083</x:f>
      </x:c>
      <x:c r="H131" s="62">
        <x:f>G131*0.055</x:f>
      </x:c>
      <x:c r="I131" s="3">
        <x:f>G131+H131</x:f>
      </x:c>
      <x:c r="J131" s="3">
        <x:f>+G131</x:f>
      </x:c>
      <x:c r="K131" s="3">
        <x:f>J131*0.15</x:f>
      </x:c>
      <x:c r="L131" s="3">
        <x:f>IF(J131*0.15&gt;K131,K131,J131*0.15)</x:f>
      </x:c>
      <x:c r="M131" s="65">
        <x:f>IF(K131-L131&gt;0,K131-L131,0)</x:f>
      </x:c>
      <x:c r="N131" s="3">
        <x:f>G131*0.00759</x:f>
      </x:c>
      <x:c r="O131" s="3">
        <x:f>IF(G131*0.00759&gt;G131,197.38,G131*0.00759)</x:f>
      </x:c>
      <x:c r="P131" s="3">
        <x:f>IF(N131-O131&gt;0,N131-O131,0)</x:f>
      </x:c>
      <x:c r="Q131" s="65">
        <x:f>+H131</x:f>
      </x:c>
      <x:c r="R131" s="65">
        <x:v>0</x:v>
      </x:c>
      <x:c r="S131" s="3">
        <x:f>R131+Q131</x:f>
      </x:c>
      <x:c r="T131" s="3">
        <x:f>I131-S131</x:f>
      </x:c>
      <x:c r="U131" s="255"/>
    </x:row>
    <x:row r="132" spans="1:21" ht="21" customHeight="1" x14ac:dyDescent="0.2">
      <x:c r="A132" s="253">
        <x:f>+'Banka Lis.'!B131</x:f>
      </x:c>
      <x:c r="B132" s="253">
        <x:f>+Puantaj!C132</x:f>
      </x:c>
      <x:c r="C132" s="4">
        <x:f>+Puantaj!D132</x:f>
      </x:c>
      <x:c r="D132" s="4">
        <x:f>+Puantaj!E132</x:f>
      </x:c>
      <x:c r="E132" s="4">
        <x:f>+'Banka Lis.'!H131</x:f>
      </x:c>
      <x:c r="F132" s="254">
        <x:f>+Puantaj!AK132</x:f>
      </x:c>
      <x:c r="G132" s="33">
        <x:f>F132*1083</x:f>
      </x:c>
      <x:c r="H132" s="62">
        <x:f>G132*0.055</x:f>
      </x:c>
      <x:c r="I132" s="3">
        <x:f>G132+H132</x:f>
      </x:c>
      <x:c r="J132" s="3">
        <x:f>+G132</x:f>
      </x:c>
      <x:c r="K132" s="3">
        <x:f>J132*0.15</x:f>
      </x:c>
      <x:c r="L132" s="3">
        <x:f>IF(J132*0.15&gt;K132,K132,J132*0.15)</x:f>
      </x:c>
      <x:c r="M132" s="65">
        <x:f>IF(K132-L132&gt;0,K132-L132,0)</x:f>
      </x:c>
      <x:c r="N132" s="3">
        <x:f>G132*0.00759</x:f>
      </x:c>
      <x:c r="O132" s="3">
        <x:f>IF(G132*0.00759&gt;G132,197.38,G132*0.00759)</x:f>
      </x:c>
      <x:c r="P132" s="3">
        <x:f>IF(N132-O132&gt;0,N132-O132,0)</x:f>
      </x:c>
      <x:c r="Q132" s="65">
        <x:f>+H132</x:f>
      </x:c>
      <x:c r="R132" s="65">
        <x:v>0</x:v>
      </x:c>
      <x:c r="S132" s="3">
        <x:f>R132+Q132</x:f>
      </x:c>
      <x:c r="T132" s="3">
        <x:f>I132-S132</x:f>
      </x:c>
      <x:c r="U132" s="255"/>
    </x:row>
    <x:row r="133" spans="1:21" ht="21" customHeight="1" x14ac:dyDescent="0.2">
      <x:c r="A133" s="253">
        <x:f>+'Banka Lis.'!B132</x:f>
      </x:c>
      <x:c r="B133" s="253">
        <x:f>+Puantaj!C133</x:f>
      </x:c>
      <x:c r="C133" s="4">
        <x:f>+Puantaj!D133</x:f>
      </x:c>
      <x:c r="D133" s="4">
        <x:f>+Puantaj!E133</x:f>
      </x:c>
      <x:c r="E133" s="4">
        <x:f>+'Banka Lis.'!H132</x:f>
      </x:c>
      <x:c r="F133" s="254">
        <x:f>+Puantaj!AK133</x:f>
      </x:c>
      <x:c r="G133" s="33">
        <x:f>F133*1083</x:f>
      </x:c>
      <x:c r="H133" s="62">
        <x:f>G133*0.055</x:f>
      </x:c>
      <x:c r="I133" s="3">
        <x:f>G133+H133</x:f>
      </x:c>
      <x:c r="J133" s="3">
        <x:f>+G133</x:f>
      </x:c>
      <x:c r="K133" s="3">
        <x:f>J133*0.15</x:f>
      </x:c>
      <x:c r="L133" s="3">
        <x:f>IF(J133*0.15&gt;K133,K133,J133*0.15)</x:f>
      </x:c>
      <x:c r="M133" s="65">
        <x:f>IF(K133-L133&gt;0,K133-L133,0)</x:f>
      </x:c>
      <x:c r="N133" s="3">
        <x:f>G133*0.00759</x:f>
      </x:c>
      <x:c r="O133" s="3">
        <x:f>IF(G133*0.00759&gt;G133,197.38,G133*0.00759)</x:f>
      </x:c>
      <x:c r="P133" s="3">
        <x:f>IF(N133-O133&gt;0,N133-O133,0)</x:f>
      </x:c>
      <x:c r="Q133" s="65">
        <x:f>+H133</x:f>
      </x:c>
      <x:c r="R133" s="65">
        <x:v>0</x:v>
      </x:c>
      <x:c r="S133" s="3">
        <x:f>R133+Q133</x:f>
      </x:c>
      <x:c r="T133" s="3">
        <x:f>I133-S133</x:f>
      </x:c>
      <x:c r="U133" s="255"/>
    </x:row>
    <x:row r="134" spans="1:21" ht="21" customHeight="1" x14ac:dyDescent="0.2">
      <x:c r="A134" s="253">
        <x:f>+'Banka Lis.'!B133</x:f>
      </x:c>
      <x:c r="B134" s="253">
        <x:f>+Puantaj!C134</x:f>
      </x:c>
      <x:c r="C134" s="4">
        <x:f>+Puantaj!D134</x:f>
      </x:c>
      <x:c r="D134" s="4">
        <x:f>+Puantaj!E134</x:f>
      </x:c>
      <x:c r="E134" s="4">
        <x:f>+'Banka Lis.'!H133</x:f>
      </x:c>
      <x:c r="F134" s="254">
        <x:f>+Puantaj!AK134</x:f>
      </x:c>
      <x:c r="G134" s="33">
        <x:f>F134*1083</x:f>
      </x:c>
      <x:c r="H134" s="62">
        <x:f>G134*0.055</x:f>
      </x:c>
      <x:c r="I134" s="3">
        <x:f>G134+H134</x:f>
      </x:c>
      <x:c r="J134" s="3">
        <x:f>+G134</x:f>
      </x:c>
      <x:c r="K134" s="3">
        <x:f>J134*0.15</x:f>
      </x:c>
      <x:c r="L134" s="3">
        <x:f>IF(J134*0.15&gt;K134,K134,J134*0.15)</x:f>
      </x:c>
      <x:c r="M134" s="65">
        <x:f>IF(K134-L134&gt;0,K134-L134,0)</x:f>
      </x:c>
      <x:c r="N134" s="3">
        <x:f>G134*0.00759</x:f>
      </x:c>
      <x:c r="O134" s="3">
        <x:f>IF(G134*0.00759&gt;G134,197.38,G134*0.00759)</x:f>
      </x:c>
      <x:c r="P134" s="3">
        <x:f>IF(N134-O134&gt;0,N134-O134,0)</x:f>
      </x:c>
      <x:c r="Q134" s="65">
        <x:f>+H134</x:f>
      </x:c>
      <x:c r="R134" s="65">
        <x:v>0</x:v>
      </x:c>
      <x:c r="S134" s="3">
        <x:f>R134+Q134</x:f>
      </x:c>
      <x:c r="T134" s="3">
        <x:f>I134-S134</x:f>
      </x:c>
      <x:c r="U134" s="255"/>
    </x:row>
    <x:row r="135" spans="1:21" ht="21" customHeight="1" x14ac:dyDescent="0.2">
      <x:c r="A135" s="253">
        <x:f>+'Banka Lis.'!B134</x:f>
      </x:c>
      <x:c r="B135" s="253">
        <x:f>+Puantaj!C135</x:f>
      </x:c>
      <x:c r="C135" s="4">
        <x:f>+Puantaj!D135</x:f>
      </x:c>
      <x:c r="D135" s="4">
        <x:f>+Puantaj!E135</x:f>
      </x:c>
      <x:c r="E135" s="4">
        <x:f>+'Banka Lis.'!H134</x:f>
      </x:c>
      <x:c r="F135" s="254">
        <x:f>+Puantaj!AK135</x:f>
      </x:c>
      <x:c r="G135" s="33">
        <x:f>F135*1083</x:f>
      </x:c>
      <x:c r="H135" s="62">
        <x:f>G135*0.055</x:f>
      </x:c>
      <x:c r="I135" s="3">
        <x:f>G135+H135</x:f>
      </x:c>
      <x:c r="J135" s="3">
        <x:f>+G135</x:f>
      </x:c>
      <x:c r="K135" s="3">
        <x:f>J135*0.15</x:f>
      </x:c>
      <x:c r="L135" s="3">
        <x:f>IF(J135*0.15&gt;K135,K135,J135*0.15)</x:f>
      </x:c>
      <x:c r="M135" s="65">
        <x:f>IF(K135-L135&gt;0,K135-L135,0)</x:f>
      </x:c>
      <x:c r="N135" s="3">
        <x:f>G135*0.00759</x:f>
      </x:c>
      <x:c r="O135" s="3">
        <x:f>IF(G135*0.00759&gt;G135,197.38,G135*0.00759)</x:f>
      </x:c>
      <x:c r="P135" s="3">
        <x:f>IF(N135-O135&gt;0,N135-O135,0)</x:f>
      </x:c>
      <x:c r="Q135" s="65">
        <x:f>+H135</x:f>
      </x:c>
      <x:c r="R135" s="65">
        <x:v>0</x:v>
      </x:c>
      <x:c r="S135" s="3">
        <x:f>R135+Q135</x:f>
      </x:c>
      <x:c r="T135" s="3">
        <x:f>I135-S135</x:f>
      </x:c>
      <x:c r="U135" s="255"/>
    </x:row>
    <x:row r="136" spans="1:21" ht="21" customHeight="1" x14ac:dyDescent="0.2">
      <x:c r="A136" s="253">
        <x:f>+'Banka Lis.'!B135</x:f>
      </x:c>
      <x:c r="B136" s="253">
        <x:f>+Puantaj!C136</x:f>
      </x:c>
      <x:c r="C136" s="4">
        <x:f>+Puantaj!D136</x:f>
      </x:c>
      <x:c r="D136" s="4">
        <x:f>+Puantaj!E136</x:f>
      </x:c>
      <x:c r="E136" s="4">
        <x:f>+'Banka Lis.'!H135</x:f>
      </x:c>
      <x:c r="F136" s="254">
        <x:f>+Puantaj!AK136</x:f>
      </x:c>
      <x:c r="G136" s="33">
        <x:f>F136*1083</x:f>
      </x:c>
      <x:c r="H136" s="62">
        <x:f>G136*0.055</x:f>
      </x:c>
      <x:c r="I136" s="3">
        <x:f>G136+H136</x:f>
      </x:c>
      <x:c r="J136" s="3">
        <x:f>+G136</x:f>
      </x:c>
      <x:c r="K136" s="3">
        <x:f>J136*0.15</x:f>
      </x:c>
      <x:c r="L136" s="3">
        <x:f>IF(J136*0.15&gt;K136,K136,J136*0.15)</x:f>
      </x:c>
      <x:c r="M136" s="65">
        <x:f>IF(K136-L136&gt;0,K136-L136,0)</x:f>
      </x:c>
      <x:c r="N136" s="3">
        <x:f>G136*0.00759</x:f>
      </x:c>
      <x:c r="O136" s="3">
        <x:f>IF(G136*0.00759&gt;G136,197.38,G136*0.00759)</x:f>
      </x:c>
      <x:c r="P136" s="3">
        <x:f>IF(N136-O136&gt;0,N136-O136,0)</x:f>
      </x:c>
      <x:c r="Q136" s="65">
        <x:f>+H136</x:f>
      </x:c>
      <x:c r="R136" s="65">
        <x:v>0</x:v>
      </x:c>
      <x:c r="S136" s="3">
        <x:f>R136+Q136</x:f>
      </x:c>
      <x:c r="T136" s="3">
        <x:f>I136-S136</x:f>
      </x:c>
      <x:c r="U136" s="255"/>
    </x:row>
    <x:row r="137" spans="1:21" ht="21" customHeight="1" x14ac:dyDescent="0.2">
      <x:c r="A137" s="253">
        <x:f>+'Banka Lis.'!B136</x:f>
      </x:c>
      <x:c r="B137" s="253">
        <x:f>+Puantaj!C137</x:f>
      </x:c>
      <x:c r="C137" s="4">
        <x:f>+Puantaj!D137</x:f>
      </x:c>
      <x:c r="D137" s="4">
        <x:f>+Puantaj!E137</x:f>
      </x:c>
      <x:c r="E137" s="4">
        <x:f>+'Banka Lis.'!H136</x:f>
      </x:c>
      <x:c r="F137" s="254">
        <x:f>+Puantaj!AK137</x:f>
      </x:c>
      <x:c r="G137" s="33">
        <x:f>F137*1083</x:f>
      </x:c>
      <x:c r="H137" s="62">
        <x:f>G137*0.055</x:f>
      </x:c>
      <x:c r="I137" s="3">
        <x:f>G137+H137</x:f>
      </x:c>
      <x:c r="J137" s="3">
        <x:f>+G137</x:f>
      </x:c>
      <x:c r="K137" s="3">
        <x:f>J137*0.15</x:f>
      </x:c>
      <x:c r="L137" s="3">
        <x:f>IF(J137*0.15&gt;K137,K137,J137*0.15)</x:f>
      </x:c>
      <x:c r="M137" s="65">
        <x:f>IF(K137-L137&gt;0,K137-L137,0)</x:f>
      </x:c>
      <x:c r="N137" s="3">
        <x:f>G137*0.00759</x:f>
      </x:c>
      <x:c r="O137" s="3">
        <x:f>IF(G137*0.00759&gt;G137,197.38,G137*0.00759)</x:f>
      </x:c>
      <x:c r="P137" s="3">
        <x:f>IF(N137-O137&gt;0,N137-O137,0)</x:f>
      </x:c>
      <x:c r="Q137" s="65">
        <x:f>+H137</x:f>
      </x:c>
      <x:c r="R137" s="65">
        <x:v>0</x:v>
      </x:c>
      <x:c r="S137" s="3">
        <x:f>R137+Q137</x:f>
      </x:c>
      <x:c r="T137" s="3">
        <x:f>I137-S137</x:f>
      </x:c>
      <x:c r="U137" s="255"/>
    </x:row>
    <x:row r="138" spans="1:21" ht="21" customHeight="1" x14ac:dyDescent="0.2">
      <x:c r="A138" s="253">
        <x:f>+'Banka Lis.'!B137</x:f>
      </x:c>
      <x:c r="B138" s="253">
        <x:f>+Puantaj!C138</x:f>
      </x:c>
      <x:c r="C138" s="4">
        <x:f>+Puantaj!D138</x:f>
      </x:c>
      <x:c r="D138" s="4">
        <x:f>+Puantaj!E138</x:f>
      </x:c>
      <x:c r="E138" s="4">
        <x:f>+'Banka Lis.'!H137</x:f>
      </x:c>
      <x:c r="F138" s="254">
        <x:f>+Puantaj!AK138</x:f>
      </x:c>
      <x:c r="G138" s="33">
        <x:f>F138*1083</x:f>
      </x:c>
      <x:c r="H138" s="62">
        <x:f>G138*0.055</x:f>
      </x:c>
      <x:c r="I138" s="3">
        <x:f>G138+H138</x:f>
      </x:c>
      <x:c r="J138" s="3">
        <x:f>+G138</x:f>
      </x:c>
      <x:c r="K138" s="3">
        <x:f>J138*0.15</x:f>
      </x:c>
      <x:c r="L138" s="3">
        <x:f>IF(J138*0.15&gt;K138,K138,J138*0.15)</x:f>
      </x:c>
      <x:c r="M138" s="65">
        <x:f>IF(K138-L138&gt;0,K138-L138,0)</x:f>
      </x:c>
      <x:c r="N138" s="3">
        <x:f>G138*0.00759</x:f>
      </x:c>
      <x:c r="O138" s="3">
        <x:f>IF(G138*0.00759&gt;G138,197.38,G138*0.00759)</x:f>
      </x:c>
      <x:c r="P138" s="3">
        <x:f>IF(N138-O138&gt;0,N138-O138,0)</x:f>
      </x:c>
      <x:c r="Q138" s="65">
        <x:f>+H138</x:f>
      </x:c>
      <x:c r="R138" s="65">
        <x:v>0</x:v>
      </x:c>
      <x:c r="S138" s="3">
        <x:f>R138+Q138</x:f>
      </x:c>
      <x:c r="T138" s="3">
        <x:f>I138-S138</x:f>
      </x:c>
      <x:c r="U138" s="255"/>
    </x:row>
    <x:row r="139" spans="1:21" ht="21" customHeight="1" x14ac:dyDescent="0.2">
      <x:c r="A139" s="253">
        <x:f>+'Banka Lis.'!B138</x:f>
      </x:c>
      <x:c r="B139" s="253">
        <x:f>+Puantaj!C139</x:f>
      </x:c>
      <x:c r="C139" s="4">
        <x:f>+Puantaj!D139</x:f>
      </x:c>
      <x:c r="D139" s="4">
        <x:f>+Puantaj!E139</x:f>
      </x:c>
      <x:c r="E139" s="4">
        <x:f>+'Banka Lis.'!H138</x:f>
      </x:c>
      <x:c r="F139" s="254">
        <x:f>+Puantaj!AK139</x:f>
      </x:c>
      <x:c r="G139" s="33">
        <x:f>F139*1083</x:f>
      </x:c>
      <x:c r="H139" s="62">
        <x:f>G139*0.055</x:f>
      </x:c>
      <x:c r="I139" s="3">
        <x:f>G139+H139</x:f>
      </x:c>
      <x:c r="J139" s="3">
        <x:f>+G139</x:f>
      </x:c>
      <x:c r="K139" s="3">
        <x:f>J139*0.15</x:f>
      </x:c>
      <x:c r="L139" s="3">
        <x:f>IF(J139*0.15&gt;K139,K139,J139*0.15)</x:f>
      </x:c>
      <x:c r="M139" s="65">
        <x:f>IF(K139-L139&gt;0,K139-L139,0)</x:f>
      </x:c>
      <x:c r="N139" s="3">
        <x:f>G139*0.00759</x:f>
      </x:c>
      <x:c r="O139" s="3">
        <x:f>IF(G139*0.00759&gt;G139,197.38,G139*0.00759)</x:f>
      </x:c>
      <x:c r="P139" s="3">
        <x:f>IF(N139-O139&gt;0,N139-O139,0)</x:f>
      </x:c>
      <x:c r="Q139" s="65">
        <x:f>+H139</x:f>
      </x:c>
      <x:c r="R139" s="65">
        <x:v>0</x:v>
      </x:c>
      <x:c r="S139" s="3">
        <x:f>R139+Q139</x:f>
      </x:c>
      <x:c r="T139" s="3">
        <x:f>I139-S139</x:f>
      </x:c>
      <x:c r="U139" s="255"/>
    </x:row>
    <x:row r="140" spans="1:21" ht="21" customHeight="1" x14ac:dyDescent="0.2">
      <x:c r="A140" s="253">
        <x:f>+'Banka Lis.'!B139</x:f>
      </x:c>
      <x:c r="B140" s="253">
        <x:f>+Puantaj!C140</x:f>
      </x:c>
      <x:c r="C140" s="4">
        <x:f>+Puantaj!D140</x:f>
      </x:c>
      <x:c r="D140" s="4">
        <x:f>+Puantaj!E140</x:f>
      </x:c>
      <x:c r="E140" s="4">
        <x:f>+'Banka Lis.'!H139</x:f>
      </x:c>
      <x:c r="F140" s="254">
        <x:f>+Puantaj!AK140</x:f>
      </x:c>
      <x:c r="G140" s="33">
        <x:f>F140*1083</x:f>
      </x:c>
      <x:c r="H140" s="62">
        <x:f>G140*0.055</x:f>
      </x:c>
      <x:c r="I140" s="3">
        <x:f>G140+H140</x:f>
      </x:c>
      <x:c r="J140" s="3">
        <x:f>+G140</x:f>
      </x:c>
      <x:c r="K140" s="3">
        <x:f>J140*0.15</x:f>
      </x:c>
      <x:c r="L140" s="3">
        <x:f>IF(J140*0.15&gt;K140,K140,J140*0.15)</x:f>
      </x:c>
      <x:c r="M140" s="65">
        <x:f>IF(K140-L140&gt;0,K140-L140,0)</x:f>
      </x:c>
      <x:c r="N140" s="3">
        <x:f>G140*0.00759</x:f>
      </x:c>
      <x:c r="O140" s="3">
        <x:f>IF(G140*0.00759&gt;G140,197.38,G140*0.00759)</x:f>
      </x:c>
      <x:c r="P140" s="3">
        <x:f>IF(N140-O140&gt;0,N140-O140,0)</x:f>
      </x:c>
      <x:c r="Q140" s="65">
        <x:f>+H140</x:f>
      </x:c>
      <x:c r="R140" s="65">
        <x:v>0</x:v>
      </x:c>
      <x:c r="S140" s="3">
        <x:f>R140+Q140</x:f>
      </x:c>
      <x:c r="T140" s="3">
        <x:f>I140-S140</x:f>
      </x:c>
      <x:c r="U140" s="255"/>
    </x:row>
    <x:row r="141" spans="1:21" ht="21" customHeight="1" x14ac:dyDescent="0.2">
      <x:c r="A141" s="253">
        <x:f>+'Banka Lis.'!B140</x:f>
      </x:c>
      <x:c r="B141" s="253">
        <x:f>+Puantaj!C141</x:f>
      </x:c>
      <x:c r="C141" s="4">
        <x:f>+Puantaj!D141</x:f>
      </x:c>
      <x:c r="D141" s="4">
        <x:f>+Puantaj!E141</x:f>
      </x:c>
      <x:c r="E141" s="4">
        <x:f>+'Banka Lis.'!H140</x:f>
      </x:c>
      <x:c r="F141" s="254">
        <x:f>+Puantaj!AK141</x:f>
      </x:c>
      <x:c r="G141" s="33">
        <x:f>F141*1083</x:f>
      </x:c>
      <x:c r="H141" s="62">
        <x:f>G141*0.055</x:f>
      </x:c>
      <x:c r="I141" s="3">
        <x:f>G141+H141</x:f>
      </x:c>
      <x:c r="J141" s="3">
        <x:f>+G141</x:f>
      </x:c>
      <x:c r="K141" s="3">
        <x:f>J141*0.15</x:f>
      </x:c>
      <x:c r="L141" s="3">
        <x:f>IF(J141*0.15&gt;K141,K141,J141*0.15)</x:f>
      </x:c>
      <x:c r="M141" s="65">
        <x:f>IF(K141-L141&gt;0,K141-L141,0)</x:f>
      </x:c>
      <x:c r="N141" s="3">
        <x:f>G141*0.00759</x:f>
      </x:c>
      <x:c r="O141" s="3">
        <x:f>IF(G141*0.00759&gt;G141,197.38,G141*0.00759)</x:f>
      </x:c>
      <x:c r="P141" s="3">
        <x:f>IF(N141-O141&gt;0,N141-O141,0)</x:f>
      </x:c>
      <x:c r="Q141" s="65">
        <x:f>+H141</x:f>
      </x:c>
      <x:c r="R141" s="65">
        <x:v>0</x:v>
      </x:c>
      <x:c r="S141" s="3">
        <x:f>R141+Q141</x:f>
      </x:c>
      <x:c r="T141" s="3">
        <x:f>I141-S141</x:f>
      </x:c>
      <x:c r="U141" s="255"/>
    </x:row>
    <x:row r="142" spans="1:21" ht="21" customHeight="1" x14ac:dyDescent="0.2">
      <x:c r="A142" s="253">
        <x:f>+'Banka Lis.'!B141</x:f>
      </x:c>
      <x:c r="B142" s="253">
        <x:f>+Puantaj!C142</x:f>
      </x:c>
      <x:c r="C142" s="4">
        <x:f>+Puantaj!D142</x:f>
      </x:c>
      <x:c r="D142" s="4">
        <x:f>+Puantaj!E142</x:f>
      </x:c>
      <x:c r="E142" s="4">
        <x:f>+'Banka Lis.'!H141</x:f>
      </x:c>
      <x:c r="F142" s="254">
        <x:f>+Puantaj!AK142</x:f>
      </x:c>
      <x:c r="G142" s="33">
        <x:f>F142*1083</x:f>
      </x:c>
      <x:c r="H142" s="62">
        <x:f>G142*0.055</x:f>
      </x:c>
      <x:c r="I142" s="3">
        <x:f>G142+H142</x:f>
      </x:c>
      <x:c r="J142" s="3">
        <x:f>+G142</x:f>
      </x:c>
      <x:c r="K142" s="3">
        <x:f>J142*0.15</x:f>
      </x:c>
      <x:c r="L142" s="3">
        <x:f>IF(J142*0.15&gt;K142,K142,J142*0.15)</x:f>
      </x:c>
      <x:c r="M142" s="65">
        <x:f>IF(K142-L142&gt;0,K142-L142,0)</x:f>
      </x:c>
      <x:c r="N142" s="3">
        <x:f>G142*0.00759</x:f>
      </x:c>
      <x:c r="O142" s="3">
        <x:f>IF(G142*0.00759&gt;G142,197.38,G142*0.00759)</x:f>
      </x:c>
      <x:c r="P142" s="3">
        <x:f>IF(N142-O142&gt;0,N142-O142,0)</x:f>
      </x:c>
      <x:c r="Q142" s="65">
        <x:f>+H142</x:f>
      </x:c>
      <x:c r="R142" s="65">
        <x:v>0</x:v>
      </x:c>
      <x:c r="S142" s="3">
        <x:f>R142+Q142</x:f>
      </x:c>
      <x:c r="T142" s="3">
        <x:f>I142-S142</x:f>
      </x:c>
      <x:c r="U142" s="255"/>
    </x:row>
    <x:row r="143" spans="1:21" ht="21" customHeight="1" x14ac:dyDescent="0.2">
      <x:c r="A143" s="253">
        <x:f>+'Banka Lis.'!B142</x:f>
      </x:c>
      <x:c r="B143" s="253">
        <x:f>+Puantaj!C143</x:f>
      </x:c>
      <x:c r="C143" s="4">
        <x:f>+Puantaj!D143</x:f>
      </x:c>
      <x:c r="D143" s="4">
        <x:f>+Puantaj!E143</x:f>
      </x:c>
      <x:c r="E143" s="4">
        <x:f>+'Banka Lis.'!H142</x:f>
      </x:c>
      <x:c r="F143" s="254">
        <x:f>+Puantaj!AK143</x:f>
      </x:c>
      <x:c r="G143" s="33">
        <x:f>F143*1083</x:f>
      </x:c>
      <x:c r="H143" s="62">
        <x:f>G143*0.055</x:f>
      </x:c>
      <x:c r="I143" s="3">
        <x:f>G143+H143</x:f>
      </x:c>
      <x:c r="J143" s="3">
        <x:f>+G143</x:f>
      </x:c>
      <x:c r="K143" s="3">
        <x:f>J143*0.15</x:f>
      </x:c>
      <x:c r="L143" s="3">
        <x:f>IF(J143*0.15&gt;K143,K143,J143*0.15)</x:f>
      </x:c>
      <x:c r="M143" s="65">
        <x:f>IF(K143-L143&gt;0,K143-L143,0)</x:f>
      </x:c>
      <x:c r="N143" s="3">
        <x:f>G143*0.00759</x:f>
      </x:c>
      <x:c r="O143" s="3">
        <x:f>IF(G143*0.00759&gt;G143,197.38,G143*0.00759)</x:f>
      </x:c>
      <x:c r="P143" s="3">
        <x:f>IF(N143-O143&gt;0,N143-O143,0)</x:f>
      </x:c>
      <x:c r="Q143" s="65">
        <x:f>+H143</x:f>
      </x:c>
      <x:c r="R143" s="65">
        <x:v>0</x:v>
      </x:c>
      <x:c r="S143" s="3">
        <x:f>R143+Q143</x:f>
      </x:c>
      <x:c r="T143" s="3">
        <x:f>I143-S143</x:f>
      </x:c>
      <x:c r="U143" s="255"/>
    </x:row>
    <x:row r="144" spans="1:21" ht="21" customHeight="1" x14ac:dyDescent="0.2">
      <x:c r="A144" s="253">
        <x:f>+'Banka Lis.'!B143</x:f>
      </x:c>
      <x:c r="B144" s="253">
        <x:f>+Puantaj!C144</x:f>
      </x:c>
      <x:c r="C144" s="4">
        <x:f>+Puantaj!D144</x:f>
      </x:c>
      <x:c r="D144" s="4">
        <x:f>+Puantaj!E144</x:f>
      </x:c>
      <x:c r="E144" s="4">
        <x:f>+'Banka Lis.'!H143</x:f>
      </x:c>
      <x:c r="F144" s="254">
        <x:f>+Puantaj!AK144</x:f>
      </x:c>
      <x:c r="G144" s="33">
        <x:f>F144*1083</x:f>
      </x:c>
      <x:c r="H144" s="62">
        <x:f>G144*0.055</x:f>
      </x:c>
      <x:c r="I144" s="3">
        <x:f>G144+H144</x:f>
      </x:c>
      <x:c r="J144" s="3">
        <x:f>+G144</x:f>
      </x:c>
      <x:c r="K144" s="3">
        <x:f>J144*0.15</x:f>
      </x:c>
      <x:c r="L144" s="3">
        <x:f>IF(J144*0.15&gt;K144,K144,J144*0.15)</x:f>
      </x:c>
      <x:c r="M144" s="65">
        <x:f>IF(K144-L144&gt;0,K144-L144,0)</x:f>
      </x:c>
      <x:c r="N144" s="3">
        <x:f>G144*0.00759</x:f>
      </x:c>
      <x:c r="O144" s="3">
        <x:f>IF(G144*0.00759&gt;G144,197.38,G144*0.00759)</x:f>
      </x:c>
      <x:c r="P144" s="3">
        <x:f>IF(N144-O144&gt;0,N144-O144,0)</x:f>
      </x:c>
      <x:c r="Q144" s="65">
        <x:f>+H144</x:f>
      </x:c>
      <x:c r="R144" s="65">
        <x:v>0</x:v>
      </x:c>
      <x:c r="S144" s="3">
        <x:f>R144+Q144</x:f>
      </x:c>
      <x:c r="T144" s="3">
        <x:f>I144-S144</x:f>
      </x:c>
      <x:c r="U144" s="255"/>
    </x:row>
    <x:row r="145" spans="1:21" ht="21" customHeight="1" x14ac:dyDescent="0.2">
      <x:c r="A145" s="253">
        <x:f>+'Banka Lis.'!B144</x:f>
      </x:c>
      <x:c r="B145" s="253">
        <x:f>+Puantaj!C145</x:f>
      </x:c>
      <x:c r="C145" s="4">
        <x:f>+Puantaj!D145</x:f>
      </x:c>
      <x:c r="D145" s="4">
        <x:f>+Puantaj!E145</x:f>
      </x:c>
      <x:c r="E145" s="4">
        <x:f>+'Banka Lis.'!H144</x:f>
      </x:c>
      <x:c r="F145" s="254">
        <x:f>+Puantaj!AK145</x:f>
      </x:c>
      <x:c r="G145" s="33">
        <x:f>F145*1083</x:f>
      </x:c>
      <x:c r="H145" s="62">
        <x:f>G145*0.055</x:f>
      </x:c>
      <x:c r="I145" s="3">
        <x:f>G145+H145</x:f>
      </x:c>
      <x:c r="J145" s="3">
        <x:f>+G145</x:f>
      </x:c>
      <x:c r="K145" s="3">
        <x:f>J145*0.15</x:f>
      </x:c>
      <x:c r="L145" s="3">
        <x:f>IF(J145*0.15&gt;K145,K145,J145*0.15)</x:f>
      </x:c>
      <x:c r="M145" s="65">
        <x:f>IF(K145-L145&gt;0,K145-L145,0)</x:f>
      </x:c>
      <x:c r="N145" s="3">
        <x:f>G145*0.00759</x:f>
      </x:c>
      <x:c r="O145" s="3">
        <x:f>IF(G145*0.00759&gt;G145,197.38,G145*0.00759)</x:f>
      </x:c>
      <x:c r="P145" s="3">
        <x:f>IF(N145-O145&gt;0,N145-O145,0)</x:f>
      </x:c>
      <x:c r="Q145" s="65">
        <x:f>+H145</x:f>
      </x:c>
      <x:c r="R145" s="65">
        <x:v>0</x:v>
      </x:c>
      <x:c r="S145" s="3">
        <x:f>R145+Q145</x:f>
      </x:c>
      <x:c r="T145" s="3">
        <x:f>I145-S145</x:f>
      </x:c>
      <x:c r="U145" s="255"/>
    </x:row>
    <x:row r="146" spans="1:21" ht="21" customHeight="1" x14ac:dyDescent="0.2">
      <x:c r="A146" s="253">
        <x:f>+'Banka Lis.'!B145</x:f>
      </x:c>
      <x:c r="B146" s="253">
        <x:f>+Puantaj!C146</x:f>
      </x:c>
      <x:c r="C146" s="4">
        <x:f>+Puantaj!D146</x:f>
      </x:c>
      <x:c r="D146" s="4">
        <x:f>+Puantaj!E146</x:f>
      </x:c>
      <x:c r="E146" s="4">
        <x:f>+'Banka Lis.'!H145</x:f>
      </x:c>
      <x:c r="F146" s="254">
        <x:f>+Puantaj!AK146</x:f>
      </x:c>
      <x:c r="G146" s="33">
        <x:f>F146*1083</x:f>
      </x:c>
      <x:c r="H146" s="62">
        <x:f>G146*0.055</x:f>
      </x:c>
      <x:c r="I146" s="3">
        <x:f>G146+H146</x:f>
      </x:c>
      <x:c r="J146" s="3">
        <x:f>+G146</x:f>
      </x:c>
      <x:c r="K146" s="3">
        <x:f>J146*0.15</x:f>
      </x:c>
      <x:c r="L146" s="3">
        <x:f>IF(J146*0.15&gt;K146,K146,J146*0.15)</x:f>
      </x:c>
      <x:c r="M146" s="65">
        <x:f>IF(K146-L146&gt;0,K146-L146,0)</x:f>
      </x:c>
      <x:c r="N146" s="3">
        <x:f>G146*0.00759</x:f>
      </x:c>
      <x:c r="O146" s="3">
        <x:f>IF(G146*0.00759&gt;G146,197.38,G146*0.00759)</x:f>
      </x:c>
      <x:c r="P146" s="3">
        <x:f>IF(N146-O146&gt;0,N146-O146,0)</x:f>
      </x:c>
      <x:c r="Q146" s="65">
        <x:f>+H146</x:f>
      </x:c>
      <x:c r="R146" s="65">
        <x:v>0</x:v>
      </x:c>
      <x:c r="S146" s="3">
        <x:f>R146+Q146</x:f>
      </x:c>
      <x:c r="T146" s="3">
        <x:f>I146-S146</x:f>
      </x:c>
      <x:c r="U146" s="255"/>
    </x:row>
    <x:row r="147" spans="1:21" ht="21" customHeight="1" x14ac:dyDescent="0.2">
      <x:c r="A147" s="253">
        <x:f>+'Banka Lis.'!B146</x:f>
      </x:c>
      <x:c r="B147" s="253">
        <x:f>+Puantaj!C147</x:f>
      </x:c>
      <x:c r="C147" s="4">
        <x:f>+Puantaj!D147</x:f>
      </x:c>
      <x:c r="D147" s="4">
        <x:f>+Puantaj!E147</x:f>
      </x:c>
      <x:c r="E147" s="4">
        <x:f>+'Banka Lis.'!H146</x:f>
      </x:c>
      <x:c r="F147" s="254">
        <x:f>+Puantaj!AK147</x:f>
      </x:c>
      <x:c r="G147" s="33">
        <x:f>F147*1083</x:f>
      </x:c>
      <x:c r="H147" s="62">
        <x:f>G147*0.055</x:f>
      </x:c>
      <x:c r="I147" s="3">
        <x:f>G147+H147</x:f>
      </x:c>
      <x:c r="J147" s="3">
        <x:f>+G147</x:f>
      </x:c>
      <x:c r="K147" s="3">
        <x:f>J147*0.15</x:f>
      </x:c>
      <x:c r="L147" s="3">
        <x:f>IF(J147*0.15&gt;K147,K147,J147*0.15)</x:f>
      </x:c>
      <x:c r="M147" s="65">
        <x:f>IF(K147-L147&gt;0,K147-L147,0)</x:f>
      </x:c>
      <x:c r="N147" s="3">
        <x:f>G147*0.00759</x:f>
      </x:c>
      <x:c r="O147" s="3">
        <x:f>IF(G147*0.00759&gt;G147,197.38,G147*0.00759)</x:f>
      </x:c>
      <x:c r="P147" s="3">
        <x:f>IF(N147-O147&gt;0,N147-O147,0)</x:f>
      </x:c>
      <x:c r="Q147" s="65">
        <x:f>+H147</x:f>
      </x:c>
      <x:c r="R147" s="65">
        <x:v>0</x:v>
      </x:c>
      <x:c r="S147" s="3">
        <x:f>R147+Q147</x:f>
      </x:c>
      <x:c r="T147" s="3">
        <x:f>I147-S147</x:f>
      </x:c>
      <x:c r="U147" s="255"/>
    </x:row>
    <x:row r="148" spans="1:21" ht="21" customHeight="1" x14ac:dyDescent="0.2">
      <x:c r="A148" s="253">
        <x:f>+'Banka Lis.'!B147</x:f>
      </x:c>
      <x:c r="B148" s="253">
        <x:f>+Puantaj!C148</x:f>
      </x:c>
      <x:c r="C148" s="4">
        <x:f>+Puantaj!D148</x:f>
      </x:c>
      <x:c r="D148" s="4">
        <x:f>+Puantaj!E148</x:f>
      </x:c>
      <x:c r="E148" s="4">
        <x:f>+'Banka Lis.'!H147</x:f>
      </x:c>
      <x:c r="F148" s="254">
        <x:f>+Puantaj!AK148</x:f>
      </x:c>
      <x:c r="G148" s="33">
        <x:f>F148*1083</x:f>
      </x:c>
      <x:c r="H148" s="62">
        <x:f>G148*0.055</x:f>
      </x:c>
      <x:c r="I148" s="3">
        <x:f>G148+H148</x:f>
      </x:c>
      <x:c r="J148" s="3">
        <x:f>+G148</x:f>
      </x:c>
      <x:c r="K148" s="3">
        <x:f>J148*0.15</x:f>
      </x:c>
      <x:c r="L148" s="3">
        <x:f>IF(J148*0.15&gt;K148,K148,J148*0.15)</x:f>
      </x:c>
      <x:c r="M148" s="65">
        <x:f>IF(K148-L148&gt;0,K148-L148,0)</x:f>
      </x:c>
      <x:c r="N148" s="3">
        <x:f>G148*0.00759</x:f>
      </x:c>
      <x:c r="O148" s="3">
        <x:f>IF(G148*0.00759&gt;G148,197.38,G148*0.00759)</x:f>
      </x:c>
      <x:c r="P148" s="3">
        <x:f>IF(N148-O148&gt;0,N148-O148,0)</x:f>
      </x:c>
      <x:c r="Q148" s="65">
        <x:f>+H148</x:f>
      </x:c>
      <x:c r="R148" s="65">
        <x:v>0</x:v>
      </x:c>
      <x:c r="S148" s="3">
        <x:f>R148+Q148</x:f>
      </x:c>
      <x:c r="T148" s="3">
        <x:f>I148-S148</x:f>
      </x:c>
      <x:c r="U148" s="255"/>
    </x:row>
    <x:row r="149" spans="1:21" ht="21" customHeight="1" x14ac:dyDescent="0.2">
      <x:c r="A149" s="253">
        <x:f>+'Banka Lis.'!B148</x:f>
      </x:c>
      <x:c r="B149" s="253">
        <x:f>+Puantaj!C149</x:f>
      </x:c>
      <x:c r="C149" s="4">
        <x:f>+Puantaj!D149</x:f>
      </x:c>
      <x:c r="D149" s="4">
        <x:f>+Puantaj!E149</x:f>
      </x:c>
      <x:c r="E149" s="4">
        <x:f>+'Banka Lis.'!H148</x:f>
      </x:c>
      <x:c r="F149" s="254">
        <x:f>+Puantaj!AK149</x:f>
      </x:c>
      <x:c r="G149" s="33">
        <x:f>F149*1083</x:f>
      </x:c>
      <x:c r="H149" s="62">
        <x:f>G149*0.055</x:f>
      </x:c>
      <x:c r="I149" s="3">
        <x:f>G149+H149</x:f>
      </x:c>
      <x:c r="J149" s="3">
        <x:f>+G149</x:f>
      </x:c>
      <x:c r="K149" s="3">
        <x:f>J149*0.15</x:f>
      </x:c>
      <x:c r="L149" s="3">
        <x:f>IF(J149*0.15&gt;K149,K149,J149*0.15)</x:f>
      </x:c>
      <x:c r="M149" s="65">
        <x:f>IF(K149-L149&gt;0,K149-L149,0)</x:f>
      </x:c>
      <x:c r="N149" s="3">
        <x:f>G149*0.00759</x:f>
      </x:c>
      <x:c r="O149" s="3">
        <x:f>IF(G149*0.00759&gt;G149,197.38,G149*0.00759)</x:f>
      </x:c>
      <x:c r="P149" s="3">
        <x:f>IF(N149-O149&gt;0,N149-O149,0)</x:f>
      </x:c>
      <x:c r="Q149" s="65">
        <x:f>+H149</x:f>
      </x:c>
      <x:c r="R149" s="65">
        <x:v>0</x:v>
      </x:c>
      <x:c r="S149" s="3">
        <x:f>R149+Q149</x:f>
      </x:c>
      <x:c r="T149" s="3">
        <x:f>I149-S149</x:f>
      </x:c>
      <x:c r="U149" s="255"/>
    </x:row>
    <x:row r="150" spans="1:21" ht="21" customHeight="1" x14ac:dyDescent="0.2">
      <x:c r="A150" s="253">
        <x:f>+'Banka Lis.'!B149</x:f>
      </x:c>
      <x:c r="B150" s="253">
        <x:f>+Puantaj!C150</x:f>
      </x:c>
      <x:c r="C150" s="4">
        <x:f>+Puantaj!D150</x:f>
      </x:c>
      <x:c r="D150" s="4">
        <x:f>+Puantaj!E150</x:f>
      </x:c>
      <x:c r="E150" s="4">
        <x:f>+'Banka Lis.'!H149</x:f>
      </x:c>
      <x:c r="F150" s="254">
        <x:f>+Puantaj!AK150</x:f>
      </x:c>
      <x:c r="G150" s="33">
        <x:f>F150*1083</x:f>
      </x:c>
      <x:c r="H150" s="62">
        <x:f>G150*0.055</x:f>
      </x:c>
      <x:c r="I150" s="3">
        <x:f>G150+H150</x:f>
      </x:c>
      <x:c r="J150" s="3">
        <x:f>+G150</x:f>
      </x:c>
      <x:c r="K150" s="3">
        <x:f>J150*0.15</x:f>
      </x:c>
      <x:c r="L150" s="3">
        <x:f>IF(J150*0.15&gt;K150,K150,J150*0.15)</x:f>
      </x:c>
      <x:c r="M150" s="65">
        <x:f>IF(K150-L150&gt;0,K150-L150,0)</x:f>
      </x:c>
      <x:c r="N150" s="3">
        <x:f>G150*0.00759</x:f>
      </x:c>
      <x:c r="O150" s="3">
        <x:f>IF(G150*0.00759&gt;G150,197.38,G150*0.00759)</x:f>
      </x:c>
      <x:c r="P150" s="3">
        <x:f>IF(N150-O150&gt;0,N150-O150,0)</x:f>
      </x:c>
      <x:c r="Q150" s="65">
        <x:f>+H150</x:f>
      </x:c>
      <x:c r="R150" s="65">
        <x:v>0</x:v>
      </x:c>
      <x:c r="S150" s="3">
        <x:f>R150+Q150</x:f>
      </x:c>
      <x:c r="T150" s="3">
        <x:f>I150-S150</x:f>
      </x:c>
      <x:c r="U150" s="255"/>
    </x:row>
    <x:row r="151" spans="1:21" ht="21" customHeight="1" x14ac:dyDescent="0.2">
      <x:c r="A151" s="253">
        <x:f>+'Banka Lis.'!B150</x:f>
      </x:c>
      <x:c r="B151" s="253">
        <x:f>+Puantaj!C151</x:f>
      </x:c>
      <x:c r="C151" s="4">
        <x:f>+Puantaj!D151</x:f>
      </x:c>
      <x:c r="D151" s="4">
        <x:f>+Puantaj!E151</x:f>
      </x:c>
      <x:c r="E151" s="4">
        <x:f>+'Banka Lis.'!H150</x:f>
      </x:c>
      <x:c r="F151" s="254">
        <x:f>+Puantaj!AK151</x:f>
      </x:c>
      <x:c r="G151" s="33">
        <x:f>F151*1083</x:f>
      </x:c>
      <x:c r="H151" s="62">
        <x:f>G151*0.055</x:f>
      </x:c>
      <x:c r="I151" s="3">
        <x:f>G151+H151</x:f>
      </x:c>
      <x:c r="J151" s="3">
        <x:f>+G151</x:f>
      </x:c>
      <x:c r="K151" s="3">
        <x:f>J151*0.15</x:f>
      </x:c>
      <x:c r="L151" s="3">
        <x:f>IF(J151*0.15&gt;K151,K151,J151*0.15)</x:f>
      </x:c>
      <x:c r="M151" s="65">
        <x:f>IF(K151-L151&gt;0,K151-L151,0)</x:f>
      </x:c>
      <x:c r="N151" s="3">
        <x:f>G151*0.00759</x:f>
      </x:c>
      <x:c r="O151" s="3">
        <x:f>IF(G151*0.00759&gt;G151,197.38,G151*0.00759)</x:f>
      </x:c>
      <x:c r="P151" s="3">
        <x:f>IF(N151-O151&gt;0,N151-O151,0)</x:f>
      </x:c>
      <x:c r="Q151" s="65">
        <x:f>+H151</x:f>
      </x:c>
      <x:c r="R151" s="65">
        <x:v>0</x:v>
      </x:c>
      <x:c r="S151" s="3">
        <x:f>R151+Q151</x:f>
      </x:c>
      <x:c r="T151" s="3">
        <x:f>I151-S151</x:f>
      </x:c>
      <x:c r="U151" s="255"/>
    </x:row>
    <x:row r="152" spans="1:21" ht="21" customHeight="1" x14ac:dyDescent="0.2">
      <x:c r="A152" s="253">
        <x:f>+'Banka Lis.'!B151</x:f>
      </x:c>
      <x:c r="B152" s="253">
        <x:f>+Puantaj!C152</x:f>
      </x:c>
      <x:c r="C152" s="4">
        <x:f>+Puantaj!D152</x:f>
      </x:c>
      <x:c r="D152" s="4">
        <x:f>+Puantaj!E152</x:f>
      </x:c>
      <x:c r="E152" s="4">
        <x:f>+'Banka Lis.'!H151</x:f>
      </x:c>
      <x:c r="F152" s="254">
        <x:f>+Puantaj!AK152</x:f>
      </x:c>
      <x:c r="G152" s="33">
        <x:f>F152*1083</x:f>
      </x:c>
      <x:c r="H152" s="62">
        <x:f>G152*0.055</x:f>
      </x:c>
      <x:c r="I152" s="3">
        <x:f>G152+H152</x:f>
      </x:c>
      <x:c r="J152" s="3">
        <x:f>+G152</x:f>
      </x:c>
      <x:c r="K152" s="3">
        <x:f>J152*0.15</x:f>
      </x:c>
      <x:c r="L152" s="3">
        <x:f>IF(J152*0.15&gt;K152,K152,J152*0.15)</x:f>
      </x:c>
      <x:c r="M152" s="65">
        <x:f>IF(K152-L152&gt;0,K152-L152,0)</x:f>
      </x:c>
      <x:c r="N152" s="3">
        <x:f>G152*0.00759</x:f>
      </x:c>
      <x:c r="O152" s="3">
        <x:f>IF(G152*0.00759&gt;G152,197.38,G152*0.00759)</x:f>
      </x:c>
      <x:c r="P152" s="3">
        <x:f>IF(N152-O152&gt;0,N152-O152,0)</x:f>
      </x:c>
      <x:c r="Q152" s="65">
        <x:f>+H152</x:f>
      </x:c>
      <x:c r="R152" s="65">
        <x:v>0</x:v>
      </x:c>
      <x:c r="S152" s="3">
        <x:f>R152+Q152</x:f>
      </x:c>
      <x:c r="T152" s="3">
        <x:f>I152-S152</x:f>
      </x:c>
      <x:c r="U152" s="255"/>
    </x:row>
    <x:row r="153" spans="1:21" ht="21" customHeight="1" x14ac:dyDescent="0.2">
      <x:c r="A153" s="253">
        <x:f>+'Banka Lis.'!B152</x:f>
      </x:c>
      <x:c r="B153" s="253">
        <x:f>+Puantaj!C153</x:f>
      </x:c>
      <x:c r="C153" s="4">
        <x:f>+Puantaj!D153</x:f>
      </x:c>
      <x:c r="D153" s="4">
        <x:f>+Puantaj!E153</x:f>
      </x:c>
      <x:c r="E153" s="4">
        <x:f>+'Banka Lis.'!H152</x:f>
      </x:c>
      <x:c r="F153" s="254">
        <x:f>+Puantaj!AK153</x:f>
      </x:c>
      <x:c r="G153" s="33">
        <x:f>F153*1083</x:f>
      </x:c>
      <x:c r="H153" s="62">
        <x:f>G153*0.055</x:f>
      </x:c>
      <x:c r="I153" s="3">
        <x:f>G153+H153</x:f>
      </x:c>
      <x:c r="J153" s="3">
        <x:f>+G153</x:f>
      </x:c>
      <x:c r="K153" s="3">
        <x:f>J153*0.15</x:f>
      </x:c>
      <x:c r="L153" s="3">
        <x:f>IF(J153*0.15&gt;K153,K153,J153*0.15)</x:f>
      </x:c>
      <x:c r="M153" s="65">
        <x:f>IF(K153-L153&gt;0,K153-L153,0)</x:f>
      </x:c>
      <x:c r="N153" s="3">
        <x:f>G153*0.00759</x:f>
      </x:c>
      <x:c r="O153" s="3">
        <x:f>IF(G153*0.00759&gt;G153,197.38,G153*0.00759)</x:f>
      </x:c>
      <x:c r="P153" s="3">
        <x:f>IF(N153-O153&gt;0,N153-O153,0)</x:f>
      </x:c>
      <x:c r="Q153" s="65">
        <x:f>+H153</x:f>
      </x:c>
      <x:c r="R153" s="65">
        <x:v>0</x:v>
      </x:c>
      <x:c r="S153" s="3">
        <x:f>R153+Q153</x:f>
      </x:c>
      <x:c r="T153" s="3">
        <x:f>I153-S153</x:f>
      </x:c>
      <x:c r="U153" s="255"/>
    </x:row>
    <x:row r="154" spans="1:21" ht="21" customHeight="1" x14ac:dyDescent="0.2">
      <x:c r="A154" s="253">
        <x:f>+'Banka Lis.'!B153</x:f>
      </x:c>
      <x:c r="B154" s="253">
        <x:f>+Puantaj!C154</x:f>
      </x:c>
      <x:c r="C154" s="4">
        <x:f>+Puantaj!D154</x:f>
      </x:c>
      <x:c r="D154" s="4">
        <x:f>+Puantaj!E154</x:f>
      </x:c>
      <x:c r="E154" s="4">
        <x:f>+'Banka Lis.'!H153</x:f>
      </x:c>
      <x:c r="F154" s="254">
        <x:f>+Puantaj!AK154</x:f>
      </x:c>
      <x:c r="G154" s="33">
        <x:f>F154*1083</x:f>
      </x:c>
      <x:c r="H154" s="62">
        <x:f>G154*0.055</x:f>
      </x:c>
      <x:c r="I154" s="3">
        <x:f>G154+H154</x:f>
      </x:c>
      <x:c r="J154" s="3">
        <x:f>+G154</x:f>
      </x:c>
      <x:c r="K154" s="3">
        <x:f>J154*0.15</x:f>
      </x:c>
      <x:c r="L154" s="3">
        <x:f>IF(J154*0.15&gt;K154,K154,J154*0.15)</x:f>
      </x:c>
      <x:c r="M154" s="65">
        <x:f>IF(K154-L154&gt;0,K154-L154,0)</x:f>
      </x:c>
      <x:c r="N154" s="3">
        <x:f>G154*0.00759</x:f>
      </x:c>
      <x:c r="O154" s="3">
        <x:f>IF(G154*0.00759&gt;G154,197.38,G154*0.00759)</x:f>
      </x:c>
      <x:c r="P154" s="3">
        <x:f>IF(N154-O154&gt;0,N154-O154,0)</x:f>
      </x:c>
      <x:c r="Q154" s="65">
        <x:f>+H154</x:f>
      </x:c>
      <x:c r="R154" s="65">
        <x:v>0</x:v>
      </x:c>
      <x:c r="S154" s="3">
        <x:f>R154+Q154</x:f>
      </x:c>
      <x:c r="T154" s="3">
        <x:f>I154-S154</x:f>
      </x:c>
      <x:c r="U154" s="255"/>
    </x:row>
    <x:row r="155" spans="1:21" ht="21" customHeight="1" x14ac:dyDescent="0.2">
      <x:c r="A155" s="253">
        <x:f>+'Banka Lis.'!B154</x:f>
      </x:c>
      <x:c r="B155" s="253">
        <x:f>+Puantaj!C155</x:f>
      </x:c>
      <x:c r="C155" s="4">
        <x:f>+Puantaj!D155</x:f>
      </x:c>
      <x:c r="D155" s="4">
        <x:f>+Puantaj!E155</x:f>
      </x:c>
      <x:c r="E155" s="4">
        <x:f>+'Banka Lis.'!H154</x:f>
      </x:c>
      <x:c r="F155" s="254">
        <x:f>+Puantaj!AK155</x:f>
      </x:c>
      <x:c r="G155" s="33">
        <x:f>F155*1083</x:f>
      </x:c>
      <x:c r="H155" s="62">
        <x:f>G155*0.055</x:f>
      </x:c>
      <x:c r="I155" s="3">
        <x:f>G155+H155</x:f>
      </x:c>
      <x:c r="J155" s="3">
        <x:f>+G155</x:f>
      </x:c>
      <x:c r="K155" s="3">
        <x:f>J155*0.15</x:f>
      </x:c>
      <x:c r="L155" s="3">
        <x:f>IF(J155*0.15&gt;K155,K155,J155*0.15)</x:f>
      </x:c>
      <x:c r="M155" s="65">
        <x:f>IF(K155-L155&gt;0,K155-L155,0)</x:f>
      </x:c>
      <x:c r="N155" s="3">
        <x:f>G155*0.00759</x:f>
      </x:c>
      <x:c r="O155" s="3">
        <x:f>IF(G155*0.00759&gt;G155,197.38,G155*0.00759)</x:f>
      </x:c>
      <x:c r="P155" s="3">
        <x:f>IF(N155-O155&gt;0,N155-O155,0)</x:f>
      </x:c>
      <x:c r="Q155" s="65">
        <x:f>+H155</x:f>
      </x:c>
      <x:c r="R155" s="65">
        <x:v>0</x:v>
      </x:c>
      <x:c r="S155" s="3">
        <x:f>R155+Q155</x:f>
      </x:c>
      <x:c r="T155" s="3">
        <x:f>I155-S155</x:f>
      </x:c>
      <x:c r="U155" s="255"/>
    </x:row>
    <x:row r="156" spans="1:21" ht="21" customHeight="1" x14ac:dyDescent="0.2">
      <x:c r="A156" s="253">
        <x:f>+'Banka Lis.'!B155</x:f>
      </x:c>
      <x:c r="B156" s="253">
        <x:f>+Puantaj!C156</x:f>
      </x:c>
      <x:c r="C156" s="4">
        <x:f>+Puantaj!D156</x:f>
      </x:c>
      <x:c r="D156" s="4">
        <x:f>+Puantaj!E156</x:f>
      </x:c>
      <x:c r="E156" s="4">
        <x:f>+'Banka Lis.'!H155</x:f>
      </x:c>
      <x:c r="F156" s="254">
        <x:f>+Puantaj!AK156</x:f>
      </x:c>
      <x:c r="G156" s="33">
        <x:f>F156*1083</x:f>
      </x:c>
      <x:c r="H156" s="62">
        <x:f>G156*0.055</x:f>
      </x:c>
      <x:c r="I156" s="3">
        <x:f>G156+H156</x:f>
      </x:c>
      <x:c r="J156" s="3">
        <x:f>+G156</x:f>
      </x:c>
      <x:c r="K156" s="3">
        <x:f>J156*0.15</x:f>
      </x:c>
      <x:c r="L156" s="3">
        <x:f>IF(J156*0.15&gt;K156,K156,J156*0.15)</x:f>
      </x:c>
      <x:c r="M156" s="65">
        <x:f>IF(K156-L156&gt;0,K156-L156,0)</x:f>
      </x:c>
      <x:c r="N156" s="3">
        <x:f>G156*0.00759</x:f>
      </x:c>
      <x:c r="O156" s="3">
        <x:f>IF(G156*0.00759&gt;G156,197.38,G156*0.00759)</x:f>
      </x:c>
      <x:c r="P156" s="3">
        <x:f>IF(N156-O156&gt;0,N156-O156,0)</x:f>
      </x:c>
      <x:c r="Q156" s="65">
        <x:f>+H156</x:f>
      </x:c>
      <x:c r="R156" s="65">
        <x:v>0</x:v>
      </x:c>
      <x:c r="S156" s="3">
        <x:f>R156+Q156</x:f>
      </x:c>
      <x:c r="T156" s="3">
        <x:f>I156-S156</x:f>
      </x:c>
      <x:c r="U156" s="255"/>
    </x:row>
    <x:row r="157" spans="1:21" ht="21" customHeight="1" x14ac:dyDescent="0.2">
      <x:c r="A157" s="253">
        <x:f>+'Banka Lis.'!B156</x:f>
      </x:c>
      <x:c r="B157" s="253">
        <x:f>+Puantaj!C157</x:f>
      </x:c>
      <x:c r="C157" s="4">
        <x:f>+Puantaj!D157</x:f>
      </x:c>
      <x:c r="D157" s="4">
        <x:f>+Puantaj!E157</x:f>
      </x:c>
      <x:c r="E157" s="4">
        <x:f>+'Banka Lis.'!H156</x:f>
      </x:c>
      <x:c r="F157" s="254">
        <x:f>+Puantaj!AK157</x:f>
      </x:c>
      <x:c r="G157" s="33">
        <x:f>F157*1083</x:f>
      </x:c>
      <x:c r="H157" s="62">
        <x:f>G157*0.055</x:f>
      </x:c>
      <x:c r="I157" s="3">
        <x:f>G157+H157</x:f>
      </x:c>
      <x:c r="J157" s="3">
        <x:f>+G157</x:f>
      </x:c>
      <x:c r="K157" s="3">
        <x:f>J157*0.15</x:f>
      </x:c>
      <x:c r="L157" s="3">
        <x:f>IF(J157*0.15&gt;K157,K157,J157*0.15)</x:f>
      </x:c>
      <x:c r="M157" s="65">
        <x:f>IF(K157-L157&gt;0,K157-L157,0)</x:f>
      </x:c>
      <x:c r="N157" s="3">
        <x:f>G157*0.00759</x:f>
      </x:c>
      <x:c r="O157" s="3">
        <x:f>IF(G157*0.00759&gt;G157,197.38,G157*0.00759)</x:f>
      </x:c>
      <x:c r="P157" s="3">
        <x:f>IF(N157-O157&gt;0,N157-O157,0)</x:f>
      </x:c>
      <x:c r="Q157" s="65">
        <x:f>+H157</x:f>
      </x:c>
      <x:c r="R157" s="65">
        <x:v>0</x:v>
      </x:c>
      <x:c r="S157" s="3">
        <x:f>R157+Q157</x:f>
      </x:c>
      <x:c r="T157" s="3">
        <x:f>I157-S157</x:f>
      </x:c>
      <x:c r="U157" s="255"/>
    </x:row>
    <x:row r="158" spans="1:21" ht="21" customHeight="1" x14ac:dyDescent="0.2">
      <x:c r="A158" s="253">
        <x:f>+'Banka Lis.'!B157</x:f>
      </x:c>
      <x:c r="B158" s="253">
        <x:f>+Puantaj!C158</x:f>
      </x:c>
      <x:c r="C158" s="4">
        <x:f>+Puantaj!D158</x:f>
      </x:c>
      <x:c r="D158" s="4">
        <x:f>+Puantaj!E158</x:f>
      </x:c>
      <x:c r="E158" s="4">
        <x:f>+'Banka Lis.'!H157</x:f>
      </x:c>
      <x:c r="F158" s="254">
        <x:f>+Puantaj!AK158</x:f>
      </x:c>
      <x:c r="G158" s="33">
        <x:f>F158*1083</x:f>
      </x:c>
      <x:c r="H158" s="62">
        <x:f>G158*0.055</x:f>
      </x:c>
      <x:c r="I158" s="3">
        <x:f>G158+H158</x:f>
      </x:c>
      <x:c r="J158" s="3">
        <x:f>+G158</x:f>
      </x:c>
      <x:c r="K158" s="3">
        <x:f>J158*0.15</x:f>
      </x:c>
      <x:c r="L158" s="3">
        <x:f>IF(J158*0.15&gt;K158,K158,J158*0.15)</x:f>
      </x:c>
      <x:c r="M158" s="65">
        <x:f>IF(K158-L158&gt;0,K158-L158,0)</x:f>
      </x:c>
      <x:c r="N158" s="3">
        <x:f>G158*0.00759</x:f>
      </x:c>
      <x:c r="O158" s="3">
        <x:f>IF(G158*0.00759&gt;G158,197.38,G158*0.00759)</x:f>
      </x:c>
      <x:c r="P158" s="3">
        <x:f>IF(N158-O158&gt;0,N158-O158,0)</x:f>
      </x:c>
      <x:c r="Q158" s="65">
        <x:f>+H158</x:f>
      </x:c>
      <x:c r="R158" s="65">
        <x:v>0</x:v>
      </x:c>
      <x:c r="S158" s="3">
        <x:f>R158+Q158</x:f>
      </x:c>
      <x:c r="T158" s="3">
        <x:f>I158-S158</x:f>
      </x:c>
      <x:c r="U158" s="255"/>
    </x:row>
    <x:row r="159" spans="1:21" ht="21" customHeight="1" x14ac:dyDescent="0.2">
      <x:c r="A159" s="253">
        <x:f>+'Banka Lis.'!B158</x:f>
      </x:c>
      <x:c r="B159" s="253">
        <x:f>+Puantaj!C159</x:f>
      </x:c>
      <x:c r="C159" s="4">
        <x:f>+Puantaj!D159</x:f>
      </x:c>
      <x:c r="D159" s="4">
        <x:f>+Puantaj!E159</x:f>
      </x:c>
      <x:c r="E159" s="4">
        <x:f>+'Banka Lis.'!H158</x:f>
      </x:c>
      <x:c r="F159" s="254">
        <x:f>+Puantaj!AK159</x:f>
      </x:c>
      <x:c r="G159" s="33">
        <x:f>F159*1083</x:f>
      </x:c>
      <x:c r="H159" s="62">
        <x:f>G159*0.055</x:f>
      </x:c>
      <x:c r="I159" s="3">
        <x:f>G159+H159</x:f>
      </x:c>
      <x:c r="J159" s="3">
        <x:f>+G159</x:f>
      </x:c>
      <x:c r="K159" s="3">
        <x:f>J159*0.15</x:f>
      </x:c>
      <x:c r="L159" s="3">
        <x:f>IF(J159*0.15&gt;K159,K159,J159*0.15)</x:f>
      </x:c>
      <x:c r="M159" s="65">
        <x:f>IF(K159-L159&gt;0,K159-L159,0)</x:f>
      </x:c>
      <x:c r="N159" s="3">
        <x:f>G159*0.00759</x:f>
      </x:c>
      <x:c r="O159" s="3">
        <x:f>IF(G159*0.00759&gt;G159,197.38,G159*0.00759)</x:f>
      </x:c>
      <x:c r="P159" s="3">
        <x:f>IF(N159-O159&gt;0,N159-O159,0)</x:f>
      </x:c>
      <x:c r="Q159" s="65">
        <x:f>+H159</x:f>
      </x:c>
      <x:c r="R159" s="65">
        <x:v>0</x:v>
      </x:c>
      <x:c r="S159" s="3">
        <x:f>R159+Q159</x:f>
      </x:c>
      <x:c r="T159" s="3">
        <x:f>I159-S159</x:f>
      </x:c>
      <x:c r="U159" s="255"/>
    </x:row>
    <x:row r="160" spans="1:21" ht="21" customHeight="1" x14ac:dyDescent="0.2">
      <x:c r="A160" s="253">
        <x:f>+'Banka Lis.'!B159</x:f>
      </x:c>
      <x:c r="B160" s="253">
        <x:f>+Puantaj!C160</x:f>
      </x:c>
      <x:c r="C160" s="4">
        <x:f>+Puantaj!D160</x:f>
      </x:c>
      <x:c r="D160" s="4">
        <x:f>+Puantaj!E160</x:f>
      </x:c>
      <x:c r="E160" s="4">
        <x:f>+'Banka Lis.'!H159</x:f>
      </x:c>
      <x:c r="F160" s="254">
        <x:f>+Puantaj!AK160</x:f>
      </x:c>
      <x:c r="G160" s="33">
        <x:f>F160*1083</x:f>
      </x:c>
      <x:c r="H160" s="62">
        <x:f>G160*0.055</x:f>
      </x:c>
      <x:c r="I160" s="3">
        <x:f>G160+H160</x:f>
      </x:c>
      <x:c r="J160" s="3">
        <x:f>+G160</x:f>
      </x:c>
      <x:c r="K160" s="3">
        <x:f>J160*0.15</x:f>
      </x:c>
      <x:c r="L160" s="3">
        <x:f>IF(J160*0.15&gt;K160,K160,J160*0.15)</x:f>
      </x:c>
      <x:c r="M160" s="65">
        <x:f>IF(K160-L160&gt;0,K160-L160,0)</x:f>
      </x:c>
      <x:c r="N160" s="3">
        <x:f>G160*0.00759</x:f>
      </x:c>
      <x:c r="O160" s="3">
        <x:f>IF(G160*0.00759&gt;G160,197.38,G160*0.00759)</x:f>
      </x:c>
      <x:c r="P160" s="3">
        <x:f>IF(N160-O160&gt;0,N160-O160,0)</x:f>
      </x:c>
      <x:c r="Q160" s="65">
        <x:f>+H160</x:f>
      </x:c>
      <x:c r="R160" s="65">
        <x:v>0</x:v>
      </x:c>
      <x:c r="S160" s="3">
        <x:f>R160+Q160</x:f>
      </x:c>
      <x:c r="T160" s="3">
        <x:f>I160-S160</x:f>
      </x:c>
      <x:c r="U160" s="255"/>
    </x:row>
    <x:row r="161" spans="1:21" ht="21" customHeight="1" x14ac:dyDescent="0.2">
      <x:c r="A161" s="253">
        <x:f>+'Banka Lis.'!B160</x:f>
      </x:c>
      <x:c r="B161" s="253">
        <x:f>+Puantaj!C161</x:f>
      </x:c>
      <x:c r="C161" s="4">
        <x:f>+Puantaj!D161</x:f>
      </x:c>
      <x:c r="D161" s="4">
        <x:f>+Puantaj!E161</x:f>
      </x:c>
      <x:c r="E161" s="4">
        <x:f>+'Banka Lis.'!H160</x:f>
      </x:c>
      <x:c r="F161" s="254">
        <x:f>+Puantaj!AK161</x:f>
      </x:c>
      <x:c r="G161" s="33">
        <x:f>F161*1083</x:f>
      </x:c>
      <x:c r="H161" s="62">
        <x:f>G161*0.055</x:f>
      </x:c>
      <x:c r="I161" s="3">
        <x:f>G161+H161</x:f>
      </x:c>
      <x:c r="J161" s="3">
        <x:f>+G161</x:f>
      </x:c>
      <x:c r="K161" s="3">
        <x:f>J161*0.15</x:f>
      </x:c>
      <x:c r="L161" s="3">
        <x:f>IF(J161*0.15&gt;K161,K161,J161*0.15)</x:f>
      </x:c>
      <x:c r="M161" s="65">
        <x:f>IF(K161-L161&gt;0,K161-L161,0)</x:f>
      </x:c>
      <x:c r="N161" s="3">
        <x:f>G161*0.00759</x:f>
      </x:c>
      <x:c r="O161" s="3">
        <x:f>IF(G161*0.00759&gt;G161,197.38,G161*0.00759)</x:f>
      </x:c>
      <x:c r="P161" s="3">
        <x:f>IF(N161-O161&gt;0,N161-O161,0)</x:f>
      </x:c>
      <x:c r="Q161" s="65">
        <x:f>+H161</x:f>
      </x:c>
      <x:c r="R161" s="65">
        <x:v>0</x:v>
      </x:c>
      <x:c r="S161" s="3">
        <x:f>R161+Q161</x:f>
      </x:c>
      <x:c r="T161" s="3">
        <x:f>I161-S161</x:f>
      </x:c>
      <x:c r="U161" s="255"/>
    </x:row>
    <x:row r="162" spans="1:21" ht="21" customHeight="1" x14ac:dyDescent="0.2">
      <x:c r="A162" s="253">
        <x:f>+'Banka Lis.'!B161</x:f>
      </x:c>
      <x:c r="B162" s="253">
        <x:f>+Puantaj!C162</x:f>
      </x:c>
      <x:c r="C162" s="4">
        <x:f>+Puantaj!D162</x:f>
      </x:c>
      <x:c r="D162" s="4">
        <x:f>+Puantaj!E162</x:f>
      </x:c>
      <x:c r="E162" s="4">
        <x:f>+'Banka Lis.'!H161</x:f>
      </x:c>
      <x:c r="F162" s="254">
        <x:f>+Puantaj!AK162</x:f>
      </x:c>
      <x:c r="G162" s="33">
        <x:f>F162*1083</x:f>
      </x:c>
      <x:c r="H162" s="62">
        <x:f>G162*0.055</x:f>
      </x:c>
      <x:c r="I162" s="3">
        <x:f>G162+H162</x:f>
      </x:c>
      <x:c r="J162" s="3">
        <x:f>+G162</x:f>
      </x:c>
      <x:c r="K162" s="3">
        <x:f>J162*0.15</x:f>
      </x:c>
      <x:c r="L162" s="3">
        <x:f>IF(J162*0.15&gt;K162,K162,J162*0.15)</x:f>
      </x:c>
      <x:c r="M162" s="65">
        <x:f>IF(K162-L162&gt;0,K162-L162,0)</x:f>
      </x:c>
      <x:c r="N162" s="3">
        <x:f>G162*0.00759</x:f>
      </x:c>
      <x:c r="O162" s="3">
        <x:f>IF(G162*0.00759&gt;G162,197.38,G162*0.00759)</x:f>
      </x:c>
      <x:c r="P162" s="3">
        <x:f>IF(N162-O162&gt;0,N162-O162,0)</x:f>
      </x:c>
      <x:c r="Q162" s="65">
        <x:f>+H162</x:f>
      </x:c>
      <x:c r="R162" s="65">
        <x:v>0</x:v>
      </x:c>
      <x:c r="S162" s="3">
        <x:f>R162+Q162</x:f>
      </x:c>
      <x:c r="T162" s="3">
        <x:f>I162-S162</x:f>
      </x:c>
      <x:c r="U162" s="255"/>
    </x:row>
    <x:row r="163" spans="1:21" ht="21" customHeight="1" x14ac:dyDescent="0.2">
      <x:c r="A163" s="253">
        <x:f>+'Banka Lis.'!B162</x:f>
      </x:c>
      <x:c r="B163" s="253">
        <x:f>+Puantaj!C163</x:f>
      </x:c>
      <x:c r="C163" s="4">
        <x:f>+Puantaj!D163</x:f>
      </x:c>
      <x:c r="D163" s="4">
        <x:f>+Puantaj!E163</x:f>
      </x:c>
      <x:c r="E163" s="4">
        <x:f>+'Banka Lis.'!H162</x:f>
      </x:c>
      <x:c r="F163" s="254">
        <x:f>+Puantaj!AK163</x:f>
      </x:c>
      <x:c r="G163" s="33">
        <x:f>F163*1083</x:f>
      </x:c>
      <x:c r="H163" s="62">
        <x:f>G163*0.055</x:f>
      </x:c>
      <x:c r="I163" s="3">
        <x:f>G163+H163</x:f>
      </x:c>
      <x:c r="J163" s="3">
        <x:f>+G163</x:f>
      </x:c>
      <x:c r="K163" s="3">
        <x:f>J163*0.15</x:f>
      </x:c>
      <x:c r="L163" s="3">
        <x:f>IF(J163*0.15&gt;K163,K163,J163*0.15)</x:f>
      </x:c>
      <x:c r="M163" s="65">
        <x:f>IF(K163-L163&gt;0,K163-L163,0)</x:f>
      </x:c>
      <x:c r="N163" s="3">
        <x:f>G163*0.00759</x:f>
      </x:c>
      <x:c r="O163" s="3">
        <x:f>IF(G163*0.00759&gt;G163,197.38,G163*0.00759)</x:f>
      </x:c>
      <x:c r="P163" s="3">
        <x:f>IF(N163-O163&gt;0,N163-O163,0)</x:f>
      </x:c>
      <x:c r="Q163" s="65">
        <x:f>+H163</x:f>
      </x:c>
      <x:c r="R163" s="65">
        <x:v>0</x:v>
      </x:c>
      <x:c r="S163" s="3">
        <x:f>R163+Q163</x:f>
      </x:c>
      <x:c r="T163" s="3">
        <x:f>I163-S163</x:f>
      </x:c>
      <x:c r="U163" s="255"/>
    </x:row>
    <x:row r="164" spans="1:21" ht="21" customHeight="1" x14ac:dyDescent="0.2">
      <x:c r="A164" s="253">
        <x:f>+'Banka Lis.'!B163</x:f>
      </x:c>
      <x:c r="B164" s="253">
        <x:f>+Puantaj!C164</x:f>
      </x:c>
      <x:c r="C164" s="4">
        <x:f>+Puantaj!D164</x:f>
      </x:c>
      <x:c r="D164" s="4">
        <x:f>+Puantaj!E164</x:f>
      </x:c>
      <x:c r="E164" s="4">
        <x:f>+'Banka Lis.'!H163</x:f>
      </x:c>
      <x:c r="F164" s="254">
        <x:f>+Puantaj!AK164</x:f>
      </x:c>
      <x:c r="G164" s="33">
        <x:f>F164*1083</x:f>
      </x:c>
      <x:c r="H164" s="62">
        <x:f>G164*0.055</x:f>
      </x:c>
      <x:c r="I164" s="3">
        <x:f>G164+H164</x:f>
      </x:c>
      <x:c r="J164" s="3">
        <x:f>+G164</x:f>
      </x:c>
      <x:c r="K164" s="3">
        <x:f>J164*0.15</x:f>
      </x:c>
      <x:c r="L164" s="3">
        <x:f>IF(J164*0.15&gt;K164,K164,J164*0.15)</x:f>
      </x:c>
      <x:c r="M164" s="65">
        <x:f>IF(K164-L164&gt;0,K164-L164,0)</x:f>
      </x:c>
      <x:c r="N164" s="3">
        <x:f>G164*0.00759</x:f>
      </x:c>
      <x:c r="O164" s="3">
        <x:f>IF(G164*0.00759&gt;G164,197.38,G164*0.00759)</x:f>
      </x:c>
      <x:c r="P164" s="3">
        <x:f>IF(N164-O164&gt;0,N164-O164,0)</x:f>
      </x:c>
      <x:c r="Q164" s="65">
        <x:f>+H164</x:f>
      </x:c>
      <x:c r="R164" s="65">
        <x:v>0</x:v>
      </x:c>
      <x:c r="S164" s="3">
        <x:f>R164+Q164</x:f>
      </x:c>
      <x:c r="T164" s="3">
        <x:f>I164-S164</x:f>
      </x:c>
      <x:c r="U164" s="255"/>
    </x:row>
    <x:row r="165" spans="1:21" ht="21" customHeight="1" x14ac:dyDescent="0.2">
      <x:c r="A165" s="253">
        <x:f>+'Banka Lis.'!B164</x:f>
      </x:c>
      <x:c r="B165" s="253">
        <x:f>+Puantaj!C165</x:f>
      </x:c>
      <x:c r="C165" s="4">
        <x:f>+Puantaj!D165</x:f>
      </x:c>
      <x:c r="D165" s="4">
        <x:f>+Puantaj!E165</x:f>
      </x:c>
      <x:c r="E165" s="4">
        <x:f>+'Banka Lis.'!H164</x:f>
      </x:c>
      <x:c r="F165" s="254">
        <x:f>+Puantaj!AK165</x:f>
      </x:c>
      <x:c r="G165" s="33">
        <x:f>F165*1083</x:f>
      </x:c>
      <x:c r="H165" s="62">
        <x:f>G165*0.055</x:f>
      </x:c>
      <x:c r="I165" s="3">
        <x:f>G165+H165</x:f>
      </x:c>
      <x:c r="J165" s="3">
        <x:f>+G165</x:f>
      </x:c>
      <x:c r="K165" s="3">
        <x:f>J165*0.15</x:f>
      </x:c>
      <x:c r="L165" s="3">
        <x:f>IF(J165*0.15&gt;K165,K165,J165*0.15)</x:f>
      </x:c>
      <x:c r="M165" s="65">
        <x:f>IF(K165-L165&gt;0,K165-L165,0)</x:f>
      </x:c>
      <x:c r="N165" s="3">
        <x:f>G165*0.00759</x:f>
      </x:c>
      <x:c r="O165" s="3">
        <x:f>IF(G165*0.00759&gt;G165,197.38,G165*0.00759)</x:f>
      </x:c>
      <x:c r="P165" s="3">
        <x:f>IF(N165-O165&gt;0,N165-O165,0)</x:f>
      </x:c>
      <x:c r="Q165" s="65">
        <x:f>+H165</x:f>
      </x:c>
      <x:c r="R165" s="65">
        <x:v>0</x:v>
      </x:c>
      <x:c r="S165" s="3">
        <x:f>R165+Q165</x:f>
      </x:c>
      <x:c r="T165" s="3">
        <x:f>I165-S165</x:f>
      </x:c>
      <x:c r="U165" s="255"/>
    </x:row>
    <x:row r="166" spans="1:21" ht="21" customHeight="1" x14ac:dyDescent="0.2">
      <x:c r="A166" s="253">
        <x:f>+'Banka Lis.'!B165</x:f>
      </x:c>
      <x:c r="B166" s="253">
        <x:f>+Puantaj!C166</x:f>
      </x:c>
      <x:c r="C166" s="4">
        <x:f>+Puantaj!D166</x:f>
      </x:c>
      <x:c r="D166" s="4">
        <x:f>+Puantaj!E166</x:f>
      </x:c>
      <x:c r="E166" s="4">
        <x:f>+'Banka Lis.'!H165</x:f>
      </x:c>
      <x:c r="F166" s="254">
        <x:f>+Puantaj!AK166</x:f>
      </x:c>
      <x:c r="G166" s="33">
        <x:f>F166*1083</x:f>
      </x:c>
      <x:c r="H166" s="62">
        <x:f>G166*0.055</x:f>
      </x:c>
      <x:c r="I166" s="3">
        <x:f>G166+H166</x:f>
      </x:c>
      <x:c r="J166" s="3">
        <x:f>+G166</x:f>
      </x:c>
      <x:c r="K166" s="3">
        <x:f>J166*0.15</x:f>
      </x:c>
      <x:c r="L166" s="3">
        <x:f>IF(J166*0.15&gt;K166,K166,J166*0.15)</x:f>
      </x:c>
      <x:c r="M166" s="65">
        <x:f>IF(K166-L166&gt;0,K166-L166,0)</x:f>
      </x:c>
      <x:c r="N166" s="3">
        <x:f>G166*0.00759</x:f>
      </x:c>
      <x:c r="O166" s="3">
        <x:f>IF(G166*0.00759&gt;G166,197.38,G166*0.00759)</x:f>
      </x:c>
      <x:c r="P166" s="3">
        <x:f>IF(N166-O166&gt;0,N166-O166,0)</x:f>
      </x:c>
      <x:c r="Q166" s="65">
        <x:f>+H166</x:f>
      </x:c>
      <x:c r="R166" s="65">
        <x:v>0</x:v>
      </x:c>
      <x:c r="S166" s="3">
        <x:f>R166+Q166</x:f>
      </x:c>
      <x:c r="T166" s="3">
        <x:f>I166-S166</x:f>
      </x:c>
      <x:c r="U166" s="255"/>
    </x:row>
    <x:row r="167" spans="1:21" ht="21" customHeight="1" x14ac:dyDescent="0.2">
      <x:c r="A167" s="253">
        <x:f>+'Banka Lis.'!B166</x:f>
      </x:c>
      <x:c r="B167" s="253">
        <x:f>+Puantaj!C167</x:f>
      </x:c>
      <x:c r="C167" s="4">
        <x:f>+Puantaj!D167</x:f>
      </x:c>
      <x:c r="D167" s="4">
        <x:f>+Puantaj!E167</x:f>
      </x:c>
      <x:c r="E167" s="4">
        <x:f>+'Banka Lis.'!H166</x:f>
      </x:c>
      <x:c r="F167" s="254">
        <x:f>+Puantaj!AK167</x:f>
      </x:c>
      <x:c r="G167" s="33">
        <x:f>F167*1083</x:f>
      </x:c>
      <x:c r="H167" s="62">
        <x:f>G167*0.055</x:f>
      </x:c>
      <x:c r="I167" s="3">
        <x:f>G167+H167</x:f>
      </x:c>
      <x:c r="J167" s="3">
        <x:f>+G167</x:f>
      </x:c>
      <x:c r="K167" s="3">
        <x:f>J167*0.15</x:f>
      </x:c>
      <x:c r="L167" s="3">
        <x:f>IF(J167*0.15&gt;K167,K167,J167*0.15)</x:f>
      </x:c>
      <x:c r="M167" s="65">
        <x:f>IF(K167-L167&gt;0,K167-L167,0)</x:f>
      </x:c>
      <x:c r="N167" s="3">
        <x:f>G167*0.00759</x:f>
      </x:c>
      <x:c r="O167" s="3">
        <x:f>IF(G167*0.00759&gt;G167,197.38,G167*0.00759)</x:f>
      </x:c>
      <x:c r="P167" s="3">
        <x:f>IF(N167-O167&gt;0,N167-O167,0)</x:f>
      </x:c>
      <x:c r="Q167" s="65">
        <x:f>+H167</x:f>
      </x:c>
      <x:c r="R167" s="65">
        <x:v>0</x:v>
      </x:c>
      <x:c r="S167" s="3">
        <x:f>R167+Q167</x:f>
      </x:c>
      <x:c r="T167" s="3">
        <x:f>I167-S167</x:f>
      </x:c>
      <x:c r="U167" s="255"/>
    </x:row>
    <x:row r="168" spans="1:21" ht="21" customHeight="1" x14ac:dyDescent="0.2">
      <x:c r="A168" s="253">
        <x:f>+'Banka Lis.'!B167</x:f>
      </x:c>
      <x:c r="B168" s="253">
        <x:f>+Puantaj!C168</x:f>
      </x:c>
      <x:c r="C168" s="4">
        <x:f>+Puantaj!D168</x:f>
      </x:c>
      <x:c r="D168" s="4">
        <x:f>+Puantaj!E168</x:f>
      </x:c>
      <x:c r="E168" s="4">
        <x:f>+'Banka Lis.'!H167</x:f>
      </x:c>
      <x:c r="F168" s="254">
        <x:f>+Puantaj!AK168</x:f>
      </x:c>
      <x:c r="G168" s="33">
        <x:f>F168*1083</x:f>
      </x:c>
      <x:c r="H168" s="62">
        <x:f>G168*0.055</x:f>
      </x:c>
      <x:c r="I168" s="3">
        <x:f>G168+H168</x:f>
      </x:c>
      <x:c r="J168" s="3">
        <x:f>+G168</x:f>
      </x:c>
      <x:c r="K168" s="3">
        <x:f>J168*0.15</x:f>
      </x:c>
      <x:c r="L168" s="3">
        <x:f>IF(J168*0.15&gt;K168,K168,J168*0.15)</x:f>
      </x:c>
      <x:c r="M168" s="65">
        <x:f>IF(K168-L168&gt;0,K168-L168,0)</x:f>
      </x:c>
      <x:c r="N168" s="3">
        <x:f>G168*0.00759</x:f>
      </x:c>
      <x:c r="O168" s="3">
        <x:f>IF(G168*0.00759&gt;G168,197.38,G168*0.00759)</x:f>
      </x:c>
      <x:c r="P168" s="3">
        <x:f>IF(N168-O168&gt;0,N168-O168,0)</x:f>
      </x:c>
      <x:c r="Q168" s="65">
        <x:f>+H168</x:f>
      </x:c>
      <x:c r="R168" s="65">
        <x:v>0</x:v>
      </x:c>
      <x:c r="S168" s="3">
        <x:f>R168+Q168</x:f>
      </x:c>
      <x:c r="T168" s="3">
        <x:f>I168-S168</x:f>
      </x:c>
      <x:c r="U168" s="255"/>
    </x:row>
    <x:row r="169" spans="1:21" ht="21" customHeight="1" x14ac:dyDescent="0.2">
      <x:c r="A169" s="253">
        <x:f>+'Banka Lis.'!B168</x:f>
      </x:c>
      <x:c r="B169" s="253">
        <x:f>+Puantaj!C169</x:f>
      </x:c>
      <x:c r="C169" s="4">
        <x:f>+Puantaj!D169</x:f>
      </x:c>
      <x:c r="D169" s="4">
        <x:f>+Puantaj!E169</x:f>
      </x:c>
      <x:c r="E169" s="4">
        <x:f>+'Banka Lis.'!H168</x:f>
      </x:c>
      <x:c r="F169" s="254">
        <x:f>+Puantaj!AK169</x:f>
      </x:c>
      <x:c r="G169" s="33">
        <x:f>F169*1083</x:f>
      </x:c>
      <x:c r="H169" s="62">
        <x:f>G169*0.055</x:f>
      </x:c>
      <x:c r="I169" s="3">
        <x:f>G169+H169</x:f>
      </x:c>
      <x:c r="J169" s="3">
        <x:f>+G169</x:f>
      </x:c>
      <x:c r="K169" s="3">
        <x:f>J169*0.15</x:f>
      </x:c>
      <x:c r="L169" s="3">
        <x:f>IF(J169*0.15&gt;K169,K169,J169*0.15)</x:f>
      </x:c>
      <x:c r="M169" s="65">
        <x:f>IF(K169-L169&gt;0,K169-L169,0)</x:f>
      </x:c>
      <x:c r="N169" s="3">
        <x:f>G169*0.00759</x:f>
      </x:c>
      <x:c r="O169" s="3">
        <x:f>IF(G169*0.00759&gt;G169,197.38,G169*0.00759)</x:f>
      </x:c>
      <x:c r="P169" s="3">
        <x:f>IF(N169-O169&gt;0,N169-O169,0)</x:f>
      </x:c>
      <x:c r="Q169" s="65">
        <x:f>+H169</x:f>
      </x:c>
      <x:c r="R169" s="65">
        <x:v>0</x:v>
      </x:c>
      <x:c r="S169" s="3">
        <x:f>R169+Q169</x:f>
      </x:c>
      <x:c r="T169" s="3">
        <x:f>I169-S169</x:f>
      </x:c>
      <x:c r="U169" s="255"/>
    </x:row>
    <x:row r="170" spans="1:21" ht="21" customHeight="1" x14ac:dyDescent="0.2">
      <x:c r="A170" s="253">
        <x:f>+'Banka Lis.'!B169</x:f>
      </x:c>
      <x:c r="B170" s="253">
        <x:f>+Puantaj!C170</x:f>
      </x:c>
      <x:c r="C170" s="4">
        <x:f>+Puantaj!D170</x:f>
      </x:c>
      <x:c r="D170" s="4">
        <x:f>+Puantaj!E170</x:f>
      </x:c>
      <x:c r="E170" s="4">
        <x:f>+'Banka Lis.'!H169</x:f>
      </x:c>
      <x:c r="F170" s="254">
        <x:f>+Puantaj!AK170</x:f>
      </x:c>
      <x:c r="G170" s="33">
        <x:f>F170*1083</x:f>
      </x:c>
      <x:c r="H170" s="62">
        <x:f>G170*0.055</x:f>
      </x:c>
      <x:c r="I170" s="3">
        <x:f>G170+H170</x:f>
      </x:c>
      <x:c r="J170" s="3">
        <x:f>+G170</x:f>
      </x:c>
      <x:c r="K170" s="3">
        <x:f>J170*0.15</x:f>
      </x:c>
      <x:c r="L170" s="3">
        <x:f>IF(J170*0.15&gt;K170,K170,J170*0.15)</x:f>
      </x:c>
      <x:c r="M170" s="65">
        <x:f>IF(K170-L170&gt;0,K170-L170,0)</x:f>
      </x:c>
      <x:c r="N170" s="3">
        <x:f>G170*0.00759</x:f>
      </x:c>
      <x:c r="O170" s="3">
        <x:f>IF(G170*0.00759&gt;G170,197.38,G170*0.00759)</x:f>
      </x:c>
      <x:c r="P170" s="3">
        <x:f>IF(N170-O170&gt;0,N170-O170,0)</x:f>
      </x:c>
      <x:c r="Q170" s="65">
        <x:f>+H170</x:f>
      </x:c>
      <x:c r="R170" s="65">
        <x:v>0</x:v>
      </x:c>
      <x:c r="S170" s="3">
        <x:f>R170+Q170</x:f>
      </x:c>
      <x:c r="T170" s="3">
        <x:f>I170-S170</x:f>
      </x:c>
      <x:c r="U170" s="255"/>
    </x:row>
    <x:row r="171" spans="1:21" ht="21" customHeight="1" x14ac:dyDescent="0.2">
      <x:c r="A171" s="253">
        <x:f>+'Banka Lis.'!B170</x:f>
      </x:c>
      <x:c r="B171" s="253">
        <x:f>+Puantaj!C171</x:f>
      </x:c>
      <x:c r="C171" s="4">
        <x:f>+Puantaj!D171</x:f>
      </x:c>
      <x:c r="D171" s="4">
        <x:f>+Puantaj!E171</x:f>
      </x:c>
      <x:c r="E171" s="4">
        <x:f>+'Banka Lis.'!H170</x:f>
      </x:c>
      <x:c r="F171" s="254">
        <x:f>+Puantaj!AK171</x:f>
      </x:c>
      <x:c r="G171" s="33">
        <x:f>F171*1083</x:f>
      </x:c>
      <x:c r="H171" s="62">
        <x:f>G171*0.055</x:f>
      </x:c>
      <x:c r="I171" s="3">
        <x:f>G171+H171</x:f>
      </x:c>
      <x:c r="J171" s="3">
        <x:f>+G171</x:f>
      </x:c>
      <x:c r="K171" s="3">
        <x:f>J171*0.15</x:f>
      </x:c>
      <x:c r="L171" s="3">
        <x:f>IF(J171*0.15&gt;K171,K171,J171*0.15)</x:f>
      </x:c>
      <x:c r="M171" s="65">
        <x:f>IF(K171-L171&gt;0,K171-L171,0)</x:f>
      </x:c>
      <x:c r="N171" s="3">
        <x:f>G171*0.00759</x:f>
      </x:c>
      <x:c r="O171" s="3">
        <x:f>IF(G171*0.00759&gt;G171,197.38,G171*0.00759)</x:f>
      </x:c>
      <x:c r="P171" s="3">
        <x:f>IF(N171-O171&gt;0,N171-O171,0)</x:f>
      </x:c>
      <x:c r="Q171" s="65">
        <x:f>+H171</x:f>
      </x:c>
      <x:c r="R171" s="65">
        <x:v>0</x:v>
      </x:c>
      <x:c r="S171" s="3">
        <x:f>R171+Q171</x:f>
      </x:c>
      <x:c r="T171" s="3">
        <x:f>I171-S171</x:f>
      </x:c>
      <x:c r="U171" s="255"/>
    </x:row>
    <x:row r="172" spans="1:21" ht="21" customHeight="1" x14ac:dyDescent="0.2">
      <x:c r="A172" s="253">
        <x:f>+'Banka Lis.'!B171</x:f>
      </x:c>
      <x:c r="B172" s="253">
        <x:f>+Puantaj!C172</x:f>
      </x:c>
      <x:c r="C172" s="4">
        <x:f>+Puantaj!D172</x:f>
      </x:c>
      <x:c r="D172" s="4">
        <x:f>+Puantaj!E172</x:f>
      </x:c>
      <x:c r="E172" s="4">
        <x:f>+'Banka Lis.'!H171</x:f>
      </x:c>
      <x:c r="F172" s="254">
        <x:f>+Puantaj!AK172</x:f>
      </x:c>
      <x:c r="G172" s="33">
        <x:f>F172*1083</x:f>
      </x:c>
      <x:c r="H172" s="62">
        <x:f>G172*0.055</x:f>
      </x:c>
      <x:c r="I172" s="3">
        <x:f>G172+H172</x:f>
      </x:c>
      <x:c r="J172" s="3">
        <x:f>+G172</x:f>
      </x:c>
      <x:c r="K172" s="3">
        <x:f>J172*0.15</x:f>
      </x:c>
      <x:c r="L172" s="3">
        <x:f>IF(J172*0.15&gt;K172,K172,J172*0.15)</x:f>
      </x:c>
      <x:c r="M172" s="65">
        <x:f>IF(K172-L172&gt;0,K172-L172,0)</x:f>
      </x:c>
      <x:c r="N172" s="3">
        <x:f>G172*0.00759</x:f>
      </x:c>
      <x:c r="O172" s="3">
        <x:f>IF(G172*0.00759&gt;G172,197.38,G172*0.00759)</x:f>
      </x:c>
      <x:c r="P172" s="3">
        <x:f>IF(N172-O172&gt;0,N172-O172,0)</x:f>
      </x:c>
      <x:c r="Q172" s="65">
        <x:f>+H172</x:f>
      </x:c>
      <x:c r="R172" s="65">
        <x:v>0</x:v>
      </x:c>
      <x:c r="S172" s="3">
        <x:f>R172+Q172</x:f>
      </x:c>
      <x:c r="T172" s="3">
        <x:f>I172-S172</x:f>
      </x:c>
      <x:c r="U172" s="255"/>
    </x:row>
    <x:row r="173" spans="1:21" ht="21" customHeight="1" x14ac:dyDescent="0.2">
      <x:c r="A173" s="253">
        <x:f>+'Banka Lis.'!B172</x:f>
      </x:c>
      <x:c r="B173" s="253">
        <x:f>+Puantaj!C173</x:f>
      </x:c>
      <x:c r="C173" s="4">
        <x:f>+Puantaj!D173</x:f>
      </x:c>
      <x:c r="D173" s="4">
        <x:f>+Puantaj!E173</x:f>
      </x:c>
      <x:c r="E173" s="4">
        <x:f>+'Banka Lis.'!H172</x:f>
      </x:c>
      <x:c r="F173" s="254">
        <x:f>+Puantaj!AK173</x:f>
      </x:c>
      <x:c r="G173" s="33">
        <x:f>F173*1083</x:f>
      </x:c>
      <x:c r="H173" s="62">
        <x:f>G173*0.055</x:f>
      </x:c>
      <x:c r="I173" s="3">
        <x:f>G173+H173</x:f>
      </x:c>
      <x:c r="J173" s="3">
        <x:f>+G173</x:f>
      </x:c>
      <x:c r="K173" s="3">
        <x:f>J173*0.15</x:f>
      </x:c>
      <x:c r="L173" s="3">
        <x:f>IF(J173*0.15&gt;K173,K173,J173*0.15)</x:f>
      </x:c>
      <x:c r="M173" s="65">
        <x:f>IF(K173-L173&gt;0,K173-L173,0)</x:f>
      </x:c>
      <x:c r="N173" s="3">
        <x:f>G173*0.00759</x:f>
      </x:c>
      <x:c r="O173" s="3">
        <x:f>IF(G173*0.00759&gt;G173,197.38,G173*0.00759)</x:f>
      </x:c>
      <x:c r="P173" s="3">
        <x:f>IF(N173-O173&gt;0,N173-O173,0)</x:f>
      </x:c>
      <x:c r="Q173" s="65">
        <x:f>+H173</x:f>
      </x:c>
      <x:c r="R173" s="65">
        <x:v>0</x:v>
      </x:c>
      <x:c r="S173" s="3">
        <x:f>R173+Q173</x:f>
      </x:c>
      <x:c r="T173" s="3">
        <x:f>I173-S173</x:f>
      </x:c>
      <x:c r="U173" s="255"/>
    </x:row>
    <x:row r="174" spans="1:21" ht="21" customHeight="1" x14ac:dyDescent="0.2">
      <x:c r="A174" s="253">
        <x:f>+'Banka Lis.'!B173</x:f>
      </x:c>
      <x:c r="B174" s="253">
        <x:f>+Puantaj!C174</x:f>
      </x:c>
      <x:c r="C174" s="4">
        <x:f>+Puantaj!D174</x:f>
      </x:c>
      <x:c r="D174" s="4">
        <x:f>+Puantaj!E174</x:f>
      </x:c>
      <x:c r="E174" s="4">
        <x:f>+'Banka Lis.'!H173</x:f>
      </x:c>
      <x:c r="F174" s="254">
        <x:f>+Puantaj!AK174</x:f>
      </x:c>
      <x:c r="G174" s="33">
        <x:f>F174*1083</x:f>
      </x:c>
      <x:c r="H174" s="62">
        <x:f>G174*0.055</x:f>
      </x:c>
      <x:c r="I174" s="3">
        <x:f>G174+H174</x:f>
      </x:c>
      <x:c r="J174" s="3">
        <x:f>+G174</x:f>
      </x:c>
      <x:c r="K174" s="3">
        <x:f>J174*0.15</x:f>
      </x:c>
      <x:c r="L174" s="3">
        <x:f>IF(J174*0.15&gt;K174,K174,J174*0.15)</x:f>
      </x:c>
      <x:c r="M174" s="65">
        <x:f>IF(K174-L174&gt;0,K174-L174,0)</x:f>
      </x:c>
      <x:c r="N174" s="3">
        <x:f>G174*0.00759</x:f>
      </x:c>
      <x:c r="O174" s="3">
        <x:f>IF(G174*0.00759&gt;G174,197.38,G174*0.00759)</x:f>
      </x:c>
      <x:c r="P174" s="3">
        <x:f>IF(N174-O174&gt;0,N174-O174,0)</x:f>
      </x:c>
      <x:c r="Q174" s="65">
        <x:f>+H174</x:f>
      </x:c>
      <x:c r="R174" s="65">
        <x:v>0</x:v>
      </x:c>
      <x:c r="S174" s="3">
        <x:f>R174+Q174</x:f>
      </x:c>
      <x:c r="T174" s="3">
        <x:f>I174-S174</x:f>
      </x:c>
      <x:c r="U174" s="255"/>
    </x:row>
    <x:row r="175" spans="1:21" ht="21" customHeight="1" x14ac:dyDescent="0.2">
      <x:c r="A175" s="253">
        <x:f>+'Banka Lis.'!B174</x:f>
      </x:c>
      <x:c r="B175" s="253">
        <x:f>+Puantaj!C175</x:f>
      </x:c>
      <x:c r="C175" s="4">
        <x:f>+Puantaj!D175</x:f>
      </x:c>
      <x:c r="D175" s="4">
        <x:f>+Puantaj!E175</x:f>
      </x:c>
      <x:c r="E175" s="4">
        <x:f>+'Banka Lis.'!H174</x:f>
      </x:c>
      <x:c r="F175" s="254">
        <x:f>+Puantaj!AK175</x:f>
      </x:c>
      <x:c r="G175" s="33">
        <x:f>F175*1083</x:f>
      </x:c>
      <x:c r="H175" s="62">
        <x:f>G175*0.055</x:f>
      </x:c>
      <x:c r="I175" s="3">
        <x:f>G175+H175</x:f>
      </x:c>
      <x:c r="J175" s="3">
        <x:f>+G175</x:f>
      </x:c>
      <x:c r="K175" s="3">
        <x:f>J175*0.15</x:f>
      </x:c>
      <x:c r="L175" s="3">
        <x:f>IF(J175*0.15&gt;K175,K175,J175*0.15)</x:f>
      </x:c>
      <x:c r="M175" s="65">
        <x:f>IF(K175-L175&gt;0,K175-L175,0)</x:f>
      </x:c>
      <x:c r="N175" s="3">
        <x:f>G175*0.00759</x:f>
      </x:c>
      <x:c r="O175" s="3">
        <x:f>IF(G175*0.00759&gt;G175,197.38,G175*0.00759)</x:f>
      </x:c>
      <x:c r="P175" s="3">
        <x:f>IF(N175-O175&gt;0,N175-O175,0)</x:f>
      </x:c>
      <x:c r="Q175" s="65">
        <x:f>+H175</x:f>
      </x:c>
      <x:c r="R175" s="65">
        <x:v>0</x:v>
      </x:c>
      <x:c r="S175" s="3">
        <x:f>R175+Q175</x:f>
      </x:c>
      <x:c r="T175" s="3">
        <x:f>I175-S175</x:f>
      </x:c>
      <x:c r="U175" s="255"/>
    </x:row>
    <x:row r="176" spans="1:21" ht="21" customHeight="1" x14ac:dyDescent="0.2">
      <x:c r="A176" s="253">
        <x:f>+'Banka Lis.'!B175</x:f>
      </x:c>
      <x:c r="B176" s="253">
        <x:f>+Puantaj!C176</x:f>
      </x:c>
      <x:c r="C176" s="4">
        <x:f>+Puantaj!D176</x:f>
      </x:c>
      <x:c r="D176" s="4">
        <x:f>+Puantaj!E176</x:f>
      </x:c>
      <x:c r="E176" s="4">
        <x:f>+'Banka Lis.'!H175</x:f>
      </x:c>
      <x:c r="F176" s="254">
        <x:f>+Puantaj!AK176</x:f>
      </x:c>
      <x:c r="G176" s="33">
        <x:f>F176*1083</x:f>
      </x:c>
      <x:c r="H176" s="62">
        <x:f>G176*0.055</x:f>
      </x:c>
      <x:c r="I176" s="3">
        <x:f>G176+H176</x:f>
      </x:c>
      <x:c r="J176" s="3">
        <x:f>+G176</x:f>
      </x:c>
      <x:c r="K176" s="3">
        <x:f>J176*0.15</x:f>
      </x:c>
      <x:c r="L176" s="3">
        <x:f>IF(J176*0.15&gt;K176,K176,J176*0.15)</x:f>
      </x:c>
      <x:c r="M176" s="65">
        <x:f>IF(K176-L176&gt;0,K176-L176,0)</x:f>
      </x:c>
      <x:c r="N176" s="3">
        <x:f>G176*0.00759</x:f>
      </x:c>
      <x:c r="O176" s="3">
        <x:f>IF(G176*0.00759&gt;G176,197.38,G176*0.00759)</x:f>
      </x:c>
      <x:c r="P176" s="3">
        <x:f>IF(N176-O176&gt;0,N176-O176,0)</x:f>
      </x:c>
      <x:c r="Q176" s="65">
        <x:f>+H176</x:f>
      </x:c>
      <x:c r="R176" s="65">
        <x:v>0</x:v>
      </x:c>
      <x:c r="S176" s="3">
        <x:f>R176+Q176</x:f>
      </x:c>
      <x:c r="T176" s="3">
        <x:f>I176-S176</x:f>
      </x:c>
      <x:c r="U176" s="255"/>
    </x:row>
    <x:row r="177" spans="1:21" ht="21" customHeight="1" x14ac:dyDescent="0.2">
      <x:c r="A177" s="253">
        <x:f>+'Banka Lis.'!B176</x:f>
      </x:c>
      <x:c r="B177" s="253">
        <x:f>+Puantaj!C177</x:f>
      </x:c>
      <x:c r="C177" s="4">
        <x:f>+Puantaj!D177</x:f>
      </x:c>
      <x:c r="D177" s="4">
        <x:f>+Puantaj!E177</x:f>
      </x:c>
      <x:c r="E177" s="4">
        <x:f>+'Banka Lis.'!H176</x:f>
      </x:c>
      <x:c r="F177" s="254">
        <x:f>+Puantaj!AK177</x:f>
      </x:c>
      <x:c r="G177" s="33">
        <x:f>F177*1083</x:f>
      </x:c>
      <x:c r="H177" s="62">
        <x:f>G177*0.055</x:f>
      </x:c>
      <x:c r="I177" s="3">
        <x:f>G177+H177</x:f>
      </x:c>
      <x:c r="J177" s="3">
        <x:f>+G177</x:f>
      </x:c>
      <x:c r="K177" s="3">
        <x:f>J177*0.15</x:f>
      </x:c>
      <x:c r="L177" s="3">
        <x:f>IF(J177*0.15&gt;K177,K177,J177*0.15)</x:f>
      </x:c>
      <x:c r="M177" s="65">
        <x:f>IF(K177-L177&gt;0,K177-L177,0)</x:f>
      </x:c>
      <x:c r="N177" s="3">
        <x:f>G177*0.00759</x:f>
      </x:c>
      <x:c r="O177" s="3">
        <x:f>IF(G177*0.00759&gt;G177,197.38,G177*0.00759)</x:f>
      </x:c>
      <x:c r="P177" s="3">
        <x:f>IF(N177-O177&gt;0,N177-O177,0)</x:f>
      </x:c>
      <x:c r="Q177" s="65">
        <x:f>+H177</x:f>
      </x:c>
      <x:c r="R177" s="65">
        <x:v>0</x:v>
      </x:c>
      <x:c r="S177" s="3">
        <x:f>R177+Q177</x:f>
      </x:c>
      <x:c r="T177" s="3">
        <x:f>I177-S177</x:f>
      </x:c>
      <x:c r="U177" s="255"/>
    </x:row>
    <x:row r="178" spans="1:21" ht="21" customHeight="1" x14ac:dyDescent="0.2">
      <x:c r="A178" s="253">
        <x:f>+'Banka Lis.'!B177</x:f>
      </x:c>
      <x:c r="B178" s="253">
        <x:f>+Puantaj!C178</x:f>
      </x:c>
      <x:c r="C178" s="4">
        <x:f>+Puantaj!D178</x:f>
      </x:c>
      <x:c r="D178" s="4">
        <x:f>+Puantaj!E178</x:f>
      </x:c>
      <x:c r="E178" s="4">
        <x:f>+'Banka Lis.'!H177</x:f>
      </x:c>
      <x:c r="F178" s="254">
        <x:f>+Puantaj!AK178</x:f>
      </x:c>
      <x:c r="G178" s="33">
        <x:f>F178*1083</x:f>
      </x:c>
      <x:c r="H178" s="62">
        <x:f>G178*0.055</x:f>
      </x:c>
      <x:c r="I178" s="3">
        <x:f>G178+H178</x:f>
      </x:c>
      <x:c r="J178" s="3">
        <x:f>+G178</x:f>
      </x:c>
      <x:c r="K178" s="3">
        <x:f>J178*0.15</x:f>
      </x:c>
      <x:c r="L178" s="3">
        <x:f>IF(J178*0.15&gt;K178,K178,J178*0.15)</x:f>
      </x:c>
      <x:c r="M178" s="65">
        <x:f>IF(K178-L178&gt;0,K178-L178,0)</x:f>
      </x:c>
      <x:c r="N178" s="3">
        <x:f>G178*0.00759</x:f>
      </x:c>
      <x:c r="O178" s="3">
        <x:f>IF(G178*0.00759&gt;G178,197.38,G178*0.00759)</x:f>
      </x:c>
      <x:c r="P178" s="3">
        <x:f>IF(N178-O178&gt;0,N178-O178,0)</x:f>
      </x:c>
      <x:c r="Q178" s="65">
        <x:f>+H178</x:f>
      </x:c>
      <x:c r="R178" s="65">
        <x:v>0</x:v>
      </x:c>
      <x:c r="S178" s="3">
        <x:f>R178+Q178</x:f>
      </x:c>
      <x:c r="T178" s="3">
        <x:f>I178-S178</x:f>
      </x:c>
      <x:c r="U178" s="255"/>
    </x:row>
    <x:row r="179" spans="1:21" ht="21" customHeight="1" x14ac:dyDescent="0.2">
      <x:c r="A179" s="253">
        <x:f>+'Banka Lis.'!B178</x:f>
      </x:c>
      <x:c r="B179" s="253">
        <x:f>+Puantaj!C179</x:f>
      </x:c>
      <x:c r="C179" s="4">
        <x:f>+Puantaj!D179</x:f>
      </x:c>
      <x:c r="D179" s="4">
        <x:f>+Puantaj!E179</x:f>
      </x:c>
      <x:c r="E179" s="4">
        <x:f>+'Banka Lis.'!H178</x:f>
      </x:c>
      <x:c r="F179" s="254">
        <x:f>+Puantaj!AK179</x:f>
      </x:c>
      <x:c r="G179" s="33">
        <x:f>F179*1083</x:f>
      </x:c>
      <x:c r="H179" s="62">
        <x:f>G179*0.055</x:f>
      </x:c>
      <x:c r="I179" s="3">
        <x:f>G179+H179</x:f>
      </x:c>
      <x:c r="J179" s="3">
        <x:f>+G179</x:f>
      </x:c>
      <x:c r="K179" s="3">
        <x:f>J179*0.15</x:f>
      </x:c>
      <x:c r="L179" s="3">
        <x:f>IF(J179*0.15&gt;K179,K179,J179*0.15)</x:f>
      </x:c>
      <x:c r="M179" s="65">
        <x:f>IF(K179-L179&gt;0,K179-L179,0)</x:f>
      </x:c>
      <x:c r="N179" s="3">
        <x:f>G179*0.00759</x:f>
      </x:c>
      <x:c r="O179" s="3">
        <x:f>IF(G179*0.00759&gt;G179,197.38,G179*0.00759)</x:f>
      </x:c>
      <x:c r="P179" s="3">
        <x:f>IF(N179-O179&gt;0,N179-O179,0)</x:f>
      </x:c>
      <x:c r="Q179" s="65">
        <x:f>+H179</x:f>
      </x:c>
      <x:c r="R179" s="65">
        <x:v>0</x:v>
      </x:c>
      <x:c r="S179" s="3">
        <x:f>R179+Q179</x:f>
      </x:c>
      <x:c r="T179" s="3">
        <x:f>I179-S179</x:f>
      </x:c>
      <x:c r="U179" s="255"/>
    </x:row>
    <x:row r="180" spans="1:21" ht="21" customHeight="1" x14ac:dyDescent="0.2">
      <x:c r="A180" s="253">
        <x:f>+'Banka Lis.'!B179</x:f>
      </x:c>
      <x:c r="B180" s="253">
        <x:f>+Puantaj!C180</x:f>
      </x:c>
      <x:c r="C180" s="4">
        <x:f>+Puantaj!D180</x:f>
      </x:c>
      <x:c r="D180" s="4">
        <x:f>+Puantaj!E180</x:f>
      </x:c>
      <x:c r="E180" s="4">
        <x:f>+'Banka Lis.'!H179</x:f>
      </x:c>
      <x:c r="F180" s="254">
        <x:f>+Puantaj!AK180</x:f>
      </x:c>
      <x:c r="G180" s="33">
        <x:f>F180*1083</x:f>
      </x:c>
      <x:c r="H180" s="62">
        <x:f>G180*0.055</x:f>
      </x:c>
      <x:c r="I180" s="3">
        <x:f>G180+H180</x:f>
      </x:c>
      <x:c r="J180" s="3">
        <x:f>+G180</x:f>
      </x:c>
      <x:c r="K180" s="3">
        <x:f>J180*0.15</x:f>
      </x:c>
      <x:c r="L180" s="3">
        <x:f>IF(J180*0.15&gt;K180,K180,J180*0.15)</x:f>
      </x:c>
      <x:c r="M180" s="65">
        <x:f>IF(K180-L180&gt;0,K180-L180,0)</x:f>
      </x:c>
      <x:c r="N180" s="3">
        <x:f>G180*0.00759</x:f>
      </x:c>
      <x:c r="O180" s="3">
        <x:f>IF(G180*0.00759&gt;G180,197.38,G180*0.00759)</x:f>
      </x:c>
      <x:c r="P180" s="3">
        <x:f>IF(N180-O180&gt;0,N180-O180,0)</x:f>
      </x:c>
      <x:c r="Q180" s="65">
        <x:f>+H180</x:f>
      </x:c>
      <x:c r="R180" s="65">
        <x:v>0</x:v>
      </x:c>
      <x:c r="S180" s="3">
        <x:f>R180+Q180</x:f>
      </x:c>
      <x:c r="T180" s="3">
        <x:f>I180-S180</x:f>
      </x:c>
      <x:c r="U180" s="255"/>
    </x:row>
    <x:row r="181" spans="1:21" ht="21" customHeight="1" x14ac:dyDescent="0.2">
      <x:c r="A181" s="253">
        <x:f>+'Banka Lis.'!B180</x:f>
      </x:c>
      <x:c r="B181" s="253">
        <x:f>+Puantaj!C181</x:f>
      </x:c>
      <x:c r="C181" s="4">
        <x:f>+Puantaj!D181</x:f>
      </x:c>
      <x:c r="D181" s="4">
        <x:f>+Puantaj!E181</x:f>
      </x:c>
      <x:c r="E181" s="4">
        <x:f>+'Banka Lis.'!H180</x:f>
      </x:c>
      <x:c r="F181" s="254">
        <x:f>+Puantaj!AK181</x:f>
      </x:c>
      <x:c r="G181" s="33">
        <x:f>F181*1083</x:f>
      </x:c>
      <x:c r="H181" s="62">
        <x:f>G181*0.055</x:f>
      </x:c>
      <x:c r="I181" s="3">
        <x:f>G181+H181</x:f>
      </x:c>
      <x:c r="J181" s="3">
        <x:f>+G181</x:f>
      </x:c>
      <x:c r="K181" s="3">
        <x:f>J181*0.15</x:f>
      </x:c>
      <x:c r="L181" s="3">
        <x:f>IF(J181*0.15&gt;K181,K181,J181*0.15)</x:f>
      </x:c>
      <x:c r="M181" s="65">
        <x:f>IF(K181-L181&gt;0,K181-L181,0)</x:f>
      </x:c>
      <x:c r="N181" s="3">
        <x:f>G181*0.00759</x:f>
      </x:c>
      <x:c r="O181" s="3">
        <x:f>IF(G181*0.00759&gt;G181,197.38,G181*0.00759)</x:f>
      </x:c>
      <x:c r="P181" s="3">
        <x:f>IF(N181-O181&gt;0,N181-O181,0)</x:f>
      </x:c>
      <x:c r="Q181" s="65">
        <x:f>+H181</x:f>
      </x:c>
      <x:c r="R181" s="65">
        <x:v>0</x:v>
      </x:c>
      <x:c r="S181" s="3">
        <x:f>R181+Q181</x:f>
      </x:c>
      <x:c r="T181" s="3">
        <x:f>I181-S181</x:f>
      </x:c>
      <x:c r="U181" s="255"/>
    </x:row>
    <x:row r="182" spans="1:21" ht="21" customHeight="1" x14ac:dyDescent="0.2">
      <x:c r="A182" s="253">
        <x:f>+'Banka Lis.'!B181</x:f>
      </x:c>
      <x:c r="B182" s="253">
        <x:f>+Puantaj!C182</x:f>
      </x:c>
      <x:c r="C182" s="4">
        <x:f>+Puantaj!D182</x:f>
      </x:c>
      <x:c r="D182" s="4">
        <x:f>+Puantaj!E182</x:f>
      </x:c>
      <x:c r="E182" s="4">
        <x:f>+'Banka Lis.'!H181</x:f>
      </x:c>
      <x:c r="F182" s="254">
        <x:f>+Puantaj!AK182</x:f>
      </x:c>
      <x:c r="G182" s="33">
        <x:f>F182*1083</x:f>
      </x:c>
      <x:c r="H182" s="62">
        <x:f>G182*0.055</x:f>
      </x:c>
      <x:c r="I182" s="3">
        <x:f>G182+H182</x:f>
      </x:c>
      <x:c r="J182" s="3">
        <x:f>+G182</x:f>
      </x:c>
      <x:c r="K182" s="3">
        <x:f>J182*0.15</x:f>
      </x:c>
      <x:c r="L182" s="3">
        <x:f>IF(J182*0.15&gt;K182,K182,J182*0.15)</x:f>
      </x:c>
      <x:c r="M182" s="65">
        <x:f>IF(K182-L182&gt;0,K182-L182,0)</x:f>
      </x:c>
      <x:c r="N182" s="3">
        <x:f>G182*0.00759</x:f>
      </x:c>
      <x:c r="O182" s="3">
        <x:f>IF(G182*0.00759&gt;G182,197.38,G182*0.00759)</x:f>
      </x:c>
      <x:c r="P182" s="3">
        <x:f>IF(N182-O182&gt;0,N182-O182,0)</x:f>
      </x:c>
      <x:c r="Q182" s="65">
        <x:f>+H182</x:f>
      </x:c>
      <x:c r="R182" s="65">
        <x:v>0</x:v>
      </x:c>
      <x:c r="S182" s="3">
        <x:f>R182+Q182</x:f>
      </x:c>
      <x:c r="T182" s="3">
        <x:f>I182-S182</x:f>
      </x:c>
      <x:c r="U182" s="255"/>
    </x:row>
    <x:row r="183" spans="1:21" ht="21" customHeight="1" x14ac:dyDescent="0.2">
      <x:c r="A183" s="253">
        <x:f>+'Banka Lis.'!B182</x:f>
      </x:c>
      <x:c r="B183" s="253">
        <x:f>+Puantaj!C183</x:f>
      </x:c>
      <x:c r="C183" s="4">
        <x:f>+Puantaj!D183</x:f>
      </x:c>
      <x:c r="D183" s="4">
        <x:f>+Puantaj!E183</x:f>
      </x:c>
      <x:c r="E183" s="4">
        <x:f>+'Banka Lis.'!H182</x:f>
      </x:c>
      <x:c r="F183" s="254">
        <x:f>+Puantaj!AK183</x:f>
      </x:c>
      <x:c r="G183" s="33">
        <x:f>F183*1083</x:f>
      </x:c>
      <x:c r="H183" s="62">
        <x:f>G183*0.055</x:f>
      </x:c>
      <x:c r="I183" s="3">
        <x:f>G183+H183</x:f>
      </x:c>
      <x:c r="J183" s="3">
        <x:f>+G183</x:f>
      </x:c>
      <x:c r="K183" s="3">
        <x:f>J183*0.15</x:f>
      </x:c>
      <x:c r="L183" s="3">
        <x:f>IF(J183*0.15&gt;K183,K183,J183*0.15)</x:f>
      </x:c>
      <x:c r="M183" s="65">
        <x:f>IF(K183-L183&gt;0,K183-L183,0)</x:f>
      </x:c>
      <x:c r="N183" s="3">
        <x:f>G183*0.00759</x:f>
      </x:c>
      <x:c r="O183" s="3">
        <x:f>IF(G183*0.00759&gt;G183,197.38,G183*0.00759)</x:f>
      </x:c>
      <x:c r="P183" s="3">
        <x:f>IF(N183-O183&gt;0,N183-O183,0)</x:f>
      </x:c>
      <x:c r="Q183" s="65">
        <x:f>+H183</x:f>
      </x:c>
      <x:c r="R183" s="65">
        <x:v>0</x:v>
      </x:c>
      <x:c r="S183" s="3">
        <x:f>R183+Q183</x:f>
      </x:c>
      <x:c r="T183" s="3">
        <x:f>I183-S183</x:f>
      </x:c>
      <x:c r="U183" s="255"/>
    </x:row>
    <x:row r="184" spans="1:21" ht="21" customHeight="1" x14ac:dyDescent="0.2">
      <x:c r="A184" s="253">
        <x:f>+'Banka Lis.'!B183</x:f>
      </x:c>
      <x:c r="B184" s="253">
        <x:f>+Puantaj!C184</x:f>
      </x:c>
      <x:c r="C184" s="4">
        <x:f>+Puantaj!D184</x:f>
      </x:c>
      <x:c r="D184" s="4">
        <x:f>+Puantaj!E184</x:f>
      </x:c>
      <x:c r="E184" s="4">
        <x:f>+'Banka Lis.'!H183</x:f>
      </x:c>
      <x:c r="F184" s="254">
        <x:f>+Puantaj!AK184</x:f>
      </x:c>
      <x:c r="G184" s="33">
        <x:f>F184*1083</x:f>
      </x:c>
      <x:c r="H184" s="62">
        <x:f>G184*0.055</x:f>
      </x:c>
      <x:c r="I184" s="3">
        <x:f>G184+H184</x:f>
      </x:c>
      <x:c r="J184" s="3">
        <x:f>+G184</x:f>
      </x:c>
      <x:c r="K184" s="3">
        <x:f>J184*0.15</x:f>
      </x:c>
      <x:c r="L184" s="3">
        <x:f>IF(J184*0.15&gt;K184,K184,J184*0.15)</x:f>
      </x:c>
      <x:c r="M184" s="65">
        <x:f>IF(K184-L184&gt;0,K184-L184,0)</x:f>
      </x:c>
      <x:c r="N184" s="3">
        <x:f>G184*0.00759</x:f>
      </x:c>
      <x:c r="O184" s="3">
        <x:f>IF(G184*0.00759&gt;G184,197.38,G184*0.00759)</x:f>
      </x:c>
      <x:c r="P184" s="3">
        <x:f>IF(N184-O184&gt;0,N184-O184,0)</x:f>
      </x:c>
      <x:c r="Q184" s="65">
        <x:f>+H184</x:f>
      </x:c>
      <x:c r="R184" s="65">
        <x:v>0</x:v>
      </x:c>
      <x:c r="S184" s="3">
        <x:f>R184+Q184</x:f>
      </x:c>
      <x:c r="T184" s="3">
        <x:f>I184-S184</x:f>
      </x:c>
      <x:c r="U184" s="255"/>
    </x:row>
    <x:row r="185" spans="1:21" ht="21" customHeight="1" x14ac:dyDescent="0.2">
      <x:c r="A185" s="253">
        <x:f>+'Banka Lis.'!B184</x:f>
      </x:c>
      <x:c r="B185" s="253">
        <x:f>+Puantaj!C185</x:f>
      </x:c>
      <x:c r="C185" s="4">
        <x:f>+Puantaj!D185</x:f>
      </x:c>
      <x:c r="D185" s="4">
        <x:f>+Puantaj!E185</x:f>
      </x:c>
      <x:c r="E185" s="4">
        <x:f>+'Banka Lis.'!H184</x:f>
      </x:c>
      <x:c r="F185" s="254">
        <x:f>+Puantaj!AK185</x:f>
      </x:c>
      <x:c r="G185" s="33">
        <x:f>F185*1083</x:f>
      </x:c>
      <x:c r="H185" s="62">
        <x:f>G185*0.055</x:f>
      </x:c>
      <x:c r="I185" s="3">
        <x:f>G185+H185</x:f>
      </x:c>
      <x:c r="J185" s="3">
        <x:f>+G185</x:f>
      </x:c>
      <x:c r="K185" s="3">
        <x:f>J185*0.15</x:f>
      </x:c>
      <x:c r="L185" s="3">
        <x:f>IF(J185*0.15&gt;K185,K185,J185*0.15)</x:f>
      </x:c>
      <x:c r="M185" s="65">
        <x:f>IF(K185-L185&gt;0,K185-L185,0)</x:f>
      </x:c>
      <x:c r="N185" s="3">
        <x:f>G185*0.00759</x:f>
      </x:c>
      <x:c r="O185" s="3">
        <x:f>IF(G185*0.00759&gt;G185,197.38,G185*0.00759)</x:f>
      </x:c>
      <x:c r="P185" s="3">
        <x:f>IF(N185-O185&gt;0,N185-O185,0)</x:f>
      </x:c>
      <x:c r="Q185" s="65">
        <x:f>+H185</x:f>
      </x:c>
      <x:c r="R185" s="65">
        <x:v>0</x:v>
      </x:c>
      <x:c r="S185" s="3">
        <x:f>R185+Q185</x:f>
      </x:c>
      <x:c r="T185" s="3">
        <x:f>I185-S185</x:f>
      </x:c>
      <x:c r="U185" s="255"/>
    </x:row>
    <x:row r="186" spans="1:21" ht="21" customHeight="1" x14ac:dyDescent="0.2">
      <x:c r="A186" s="253">
        <x:f>+'Banka Lis.'!B185</x:f>
      </x:c>
      <x:c r="B186" s="253">
        <x:f>+Puantaj!C186</x:f>
      </x:c>
      <x:c r="C186" s="4">
        <x:f>+Puantaj!D186</x:f>
      </x:c>
      <x:c r="D186" s="4">
        <x:f>+Puantaj!E186</x:f>
      </x:c>
      <x:c r="E186" s="4">
        <x:f>+'Banka Lis.'!H185</x:f>
      </x:c>
      <x:c r="F186" s="254">
        <x:f>+Puantaj!AK186</x:f>
      </x:c>
      <x:c r="G186" s="33">
        <x:f>F186*1083</x:f>
      </x:c>
      <x:c r="H186" s="62">
        <x:f>G186*0.055</x:f>
      </x:c>
      <x:c r="I186" s="3">
        <x:f>G186+H186</x:f>
      </x:c>
      <x:c r="J186" s="3">
        <x:f>+G186</x:f>
      </x:c>
      <x:c r="K186" s="3">
        <x:f>J186*0.15</x:f>
      </x:c>
      <x:c r="L186" s="3">
        <x:f>IF(J186*0.15&gt;K186,K186,J186*0.15)</x:f>
      </x:c>
      <x:c r="M186" s="65">
        <x:f>IF(K186-L186&gt;0,K186-L186,0)</x:f>
      </x:c>
      <x:c r="N186" s="3">
        <x:f>G186*0.00759</x:f>
      </x:c>
      <x:c r="O186" s="3">
        <x:f>IF(G186*0.00759&gt;G186,197.38,G186*0.00759)</x:f>
      </x:c>
      <x:c r="P186" s="3">
        <x:f>IF(N186-O186&gt;0,N186-O186,0)</x:f>
      </x:c>
      <x:c r="Q186" s="65">
        <x:f>+H186</x:f>
      </x:c>
      <x:c r="R186" s="65">
        <x:v>0</x:v>
      </x:c>
      <x:c r="S186" s="3">
        <x:f>R186+Q186</x:f>
      </x:c>
      <x:c r="T186" s="3">
        <x:f>I186-S186</x:f>
      </x:c>
      <x:c r="U186" s="255"/>
    </x:row>
    <x:row r="187" spans="1:21" ht="21" customHeight="1" x14ac:dyDescent="0.2">
      <x:c r="A187" s="253">
        <x:f>+'Banka Lis.'!B186</x:f>
      </x:c>
      <x:c r="B187" s="253">
        <x:f>+Puantaj!C187</x:f>
      </x:c>
      <x:c r="C187" s="4">
        <x:f>+Puantaj!D187</x:f>
      </x:c>
      <x:c r="D187" s="4">
        <x:f>+Puantaj!E187</x:f>
      </x:c>
      <x:c r="E187" s="4">
        <x:f>+'Banka Lis.'!H186</x:f>
      </x:c>
      <x:c r="F187" s="254">
        <x:f>+Puantaj!AK187</x:f>
      </x:c>
      <x:c r="G187" s="33">
        <x:f>F187*1083</x:f>
      </x:c>
      <x:c r="H187" s="62">
        <x:f>G187*0.055</x:f>
      </x:c>
      <x:c r="I187" s="3">
        <x:f>G187+H187</x:f>
      </x:c>
      <x:c r="J187" s="3">
        <x:f>+G187</x:f>
      </x:c>
      <x:c r="K187" s="3">
        <x:f>J187*0.15</x:f>
      </x:c>
      <x:c r="L187" s="3">
        <x:f>IF(J187*0.15&gt;K187,K187,J187*0.15)</x:f>
      </x:c>
      <x:c r="M187" s="65">
        <x:f>IF(K187-L187&gt;0,K187-L187,0)</x:f>
      </x:c>
      <x:c r="N187" s="3">
        <x:f>G187*0.00759</x:f>
      </x:c>
      <x:c r="O187" s="3">
        <x:f>IF(G187*0.00759&gt;G187,197.38,G187*0.00759)</x:f>
      </x:c>
      <x:c r="P187" s="3">
        <x:f>IF(N187-O187&gt;0,N187-O187,0)</x:f>
      </x:c>
      <x:c r="Q187" s="65">
        <x:f>+H187</x:f>
      </x:c>
      <x:c r="R187" s="65">
        <x:v>0</x:v>
      </x:c>
      <x:c r="S187" s="3">
        <x:f>R187+Q187</x:f>
      </x:c>
      <x:c r="T187" s="3">
        <x:f>I187-S187</x:f>
      </x:c>
      <x:c r="U187" s="255"/>
    </x:row>
    <x:row r="188" spans="1:21" ht="21" customHeight="1" x14ac:dyDescent="0.2">
      <x:c r="A188" s="253">
        <x:f>+'Banka Lis.'!B187</x:f>
      </x:c>
      <x:c r="B188" s="253">
        <x:f>+Puantaj!C188</x:f>
      </x:c>
      <x:c r="C188" s="4">
        <x:f>+Puantaj!D188</x:f>
      </x:c>
      <x:c r="D188" s="4">
        <x:f>+Puantaj!E188</x:f>
      </x:c>
      <x:c r="E188" s="4">
        <x:f>+'Banka Lis.'!H187</x:f>
      </x:c>
      <x:c r="F188" s="254">
        <x:f>+Puantaj!AK188</x:f>
      </x:c>
      <x:c r="G188" s="33">
        <x:f>F188*1083</x:f>
      </x:c>
      <x:c r="H188" s="62">
        <x:f>G188*0.055</x:f>
      </x:c>
      <x:c r="I188" s="3">
        <x:f>G188+H188</x:f>
      </x:c>
      <x:c r="J188" s="3">
        <x:f>+G188</x:f>
      </x:c>
      <x:c r="K188" s="3">
        <x:f>J188*0.15</x:f>
      </x:c>
      <x:c r="L188" s="3">
        <x:f>IF(J188*0.15&gt;K188,K188,J188*0.15)</x:f>
      </x:c>
      <x:c r="M188" s="65">
        <x:f>IF(K188-L188&gt;0,K188-L188,0)</x:f>
      </x:c>
      <x:c r="N188" s="3">
        <x:f>G188*0.00759</x:f>
      </x:c>
      <x:c r="O188" s="3">
        <x:f>IF(G188*0.00759&gt;G188,197.38,G188*0.00759)</x:f>
      </x:c>
      <x:c r="P188" s="3">
        <x:f>IF(N188-O188&gt;0,N188-O188,0)</x:f>
      </x:c>
      <x:c r="Q188" s="65">
        <x:f>+H188</x:f>
      </x:c>
      <x:c r="R188" s="65">
        <x:v>0</x:v>
      </x:c>
      <x:c r="S188" s="3">
        <x:f>R188+Q188</x:f>
      </x:c>
      <x:c r="T188" s="3">
        <x:f>I188-S188</x:f>
      </x:c>
      <x:c r="U188" s="255"/>
    </x:row>
    <x:row r="189" spans="1:21" ht="21" customHeight="1" x14ac:dyDescent="0.2">
      <x:c r="A189" s="253">
        <x:f>+'Banka Lis.'!B188</x:f>
      </x:c>
      <x:c r="B189" s="253">
        <x:f>+Puantaj!C189</x:f>
      </x:c>
      <x:c r="C189" s="4">
        <x:f>+Puantaj!D189</x:f>
      </x:c>
      <x:c r="D189" s="4">
        <x:f>+Puantaj!E189</x:f>
      </x:c>
      <x:c r="E189" s="4">
        <x:f>+'Banka Lis.'!H188</x:f>
      </x:c>
      <x:c r="F189" s="254">
        <x:f>+Puantaj!AK189</x:f>
      </x:c>
      <x:c r="G189" s="33">
        <x:f>F189*1083</x:f>
      </x:c>
      <x:c r="H189" s="62">
        <x:f>G189*0.055</x:f>
      </x:c>
      <x:c r="I189" s="3">
        <x:f>G189+H189</x:f>
      </x:c>
      <x:c r="J189" s="3">
        <x:f>+G189</x:f>
      </x:c>
      <x:c r="K189" s="3">
        <x:f>J189*0.15</x:f>
      </x:c>
      <x:c r="L189" s="3">
        <x:f>IF(J189*0.15&gt;K189,K189,J189*0.15)</x:f>
      </x:c>
      <x:c r="M189" s="65">
        <x:f>IF(K189-L189&gt;0,K189-L189,0)</x:f>
      </x:c>
      <x:c r="N189" s="3">
        <x:f>G189*0.00759</x:f>
      </x:c>
      <x:c r="O189" s="3">
        <x:f>IF(G189*0.00759&gt;G189,197.38,G189*0.00759)</x:f>
      </x:c>
      <x:c r="P189" s="3">
        <x:f>IF(N189-O189&gt;0,N189-O189,0)</x:f>
      </x:c>
      <x:c r="Q189" s="65">
        <x:f>+H189</x:f>
      </x:c>
      <x:c r="R189" s="65">
        <x:v>0</x:v>
      </x:c>
      <x:c r="S189" s="3">
        <x:f>R189+Q189</x:f>
      </x:c>
      <x:c r="T189" s="3">
        <x:f>I189-S189</x:f>
      </x:c>
      <x:c r="U189" s="255"/>
    </x:row>
    <x:row r="190" spans="1:21" ht="21" customHeight="1" x14ac:dyDescent="0.2">
      <x:c r="A190" s="253">
        <x:f>+'Banka Lis.'!B189</x:f>
      </x:c>
      <x:c r="B190" s="253">
        <x:f>+Puantaj!C190</x:f>
      </x:c>
      <x:c r="C190" s="4">
        <x:f>+Puantaj!D190</x:f>
      </x:c>
      <x:c r="D190" s="4">
        <x:f>+Puantaj!E190</x:f>
      </x:c>
      <x:c r="E190" s="4">
        <x:f>+'Banka Lis.'!H189</x:f>
      </x:c>
      <x:c r="F190" s="254">
        <x:f>+Puantaj!AK190</x:f>
      </x:c>
      <x:c r="G190" s="33">
        <x:f>F190*1083</x:f>
      </x:c>
      <x:c r="H190" s="62">
        <x:f>G190*0.055</x:f>
      </x:c>
      <x:c r="I190" s="3">
        <x:f>G190+H190</x:f>
      </x:c>
      <x:c r="J190" s="3">
        <x:f>+G190</x:f>
      </x:c>
      <x:c r="K190" s="3">
        <x:f>J190*0.15</x:f>
      </x:c>
      <x:c r="L190" s="3">
        <x:f>IF(J190*0.15&gt;K190,K190,J190*0.15)</x:f>
      </x:c>
      <x:c r="M190" s="65">
        <x:f>IF(K190-L190&gt;0,K190-L190,0)</x:f>
      </x:c>
      <x:c r="N190" s="3">
        <x:f>G190*0.00759</x:f>
      </x:c>
      <x:c r="O190" s="3">
        <x:f>IF(G190*0.00759&gt;G190,197.38,G190*0.00759)</x:f>
      </x:c>
      <x:c r="P190" s="3">
        <x:f>IF(N190-O190&gt;0,N190-O190,0)</x:f>
      </x:c>
      <x:c r="Q190" s="65">
        <x:f>+H190</x:f>
      </x:c>
      <x:c r="R190" s="65">
        <x:v>0</x:v>
      </x:c>
      <x:c r="S190" s="3">
        <x:f>R190+Q190</x:f>
      </x:c>
      <x:c r="T190" s="3">
        <x:f>I190-S190</x:f>
      </x:c>
      <x:c r="U190" s="255"/>
    </x:row>
    <x:row r="191" spans="1:21" ht="21" customHeight="1" x14ac:dyDescent="0.2">
      <x:c r="A191" s="253">
        <x:f>+'Banka Lis.'!B190</x:f>
      </x:c>
      <x:c r="B191" s="253">
        <x:f>+Puantaj!C191</x:f>
      </x:c>
      <x:c r="C191" s="4">
        <x:f>+Puantaj!D191</x:f>
      </x:c>
      <x:c r="D191" s="4">
        <x:f>+Puantaj!E191</x:f>
      </x:c>
      <x:c r="E191" s="4">
        <x:f>+'Banka Lis.'!H190</x:f>
      </x:c>
      <x:c r="F191" s="254">
        <x:f>+Puantaj!AK191</x:f>
      </x:c>
      <x:c r="G191" s="33">
        <x:f>F191*1083</x:f>
      </x:c>
      <x:c r="H191" s="62">
        <x:f>G191*0.055</x:f>
      </x:c>
      <x:c r="I191" s="3">
        <x:f>G191+H191</x:f>
      </x:c>
      <x:c r="J191" s="3">
        <x:f>+G191</x:f>
      </x:c>
      <x:c r="K191" s="3">
        <x:f>J191*0.15</x:f>
      </x:c>
      <x:c r="L191" s="3">
        <x:f>IF(J191*0.15&gt;K191,K191,J191*0.15)</x:f>
      </x:c>
      <x:c r="M191" s="65">
        <x:f>IF(K191-L191&gt;0,K191-L191,0)</x:f>
      </x:c>
      <x:c r="N191" s="3">
        <x:f>G191*0.00759</x:f>
      </x:c>
      <x:c r="O191" s="3">
        <x:f>IF(G191*0.00759&gt;G191,197.38,G191*0.00759)</x:f>
      </x:c>
      <x:c r="P191" s="3">
        <x:f>IF(N191-O191&gt;0,N191-O191,0)</x:f>
      </x:c>
      <x:c r="Q191" s="65">
        <x:f>+H191</x:f>
      </x:c>
      <x:c r="R191" s="65">
        <x:v>0</x:v>
      </x:c>
      <x:c r="S191" s="3">
        <x:f>R191+Q191</x:f>
      </x:c>
      <x:c r="T191" s="3">
        <x:f>I191-S191</x:f>
      </x:c>
      <x:c r="U191" s="255"/>
    </x:row>
    <x:row r="192" spans="1:21" ht="21" customHeight="1" x14ac:dyDescent="0.2">
      <x:c r="A192" s="253">
        <x:f>+'Banka Lis.'!B191</x:f>
      </x:c>
      <x:c r="B192" s="253">
        <x:f>+Puantaj!C192</x:f>
      </x:c>
      <x:c r="C192" s="4">
        <x:f>+Puantaj!D192</x:f>
      </x:c>
      <x:c r="D192" s="4">
        <x:f>+Puantaj!E192</x:f>
      </x:c>
      <x:c r="E192" s="4">
        <x:f>+'Banka Lis.'!H191</x:f>
      </x:c>
      <x:c r="F192" s="254">
        <x:f>+Puantaj!AK192</x:f>
      </x:c>
      <x:c r="G192" s="33">
        <x:f>F192*1083</x:f>
      </x:c>
      <x:c r="H192" s="62">
        <x:f>G192*0.055</x:f>
      </x:c>
      <x:c r="I192" s="3">
        <x:f>G192+H192</x:f>
      </x:c>
      <x:c r="J192" s="3">
        <x:f>+G192</x:f>
      </x:c>
      <x:c r="K192" s="3">
        <x:f>J192*0.15</x:f>
      </x:c>
      <x:c r="L192" s="3">
        <x:f>IF(J192*0.15&gt;K192,K192,J192*0.15)</x:f>
      </x:c>
      <x:c r="M192" s="65">
        <x:f>IF(K192-L192&gt;0,K192-L192,0)</x:f>
      </x:c>
      <x:c r="N192" s="3">
        <x:f>G192*0.00759</x:f>
      </x:c>
      <x:c r="O192" s="3">
        <x:f>IF(G192*0.00759&gt;G192,197.38,G192*0.00759)</x:f>
      </x:c>
      <x:c r="P192" s="3">
        <x:f>IF(N192-O192&gt;0,N192-O192,0)</x:f>
      </x:c>
      <x:c r="Q192" s="65">
        <x:f>+H192</x:f>
      </x:c>
      <x:c r="R192" s="65">
        <x:v>0</x:v>
      </x:c>
      <x:c r="S192" s="3">
        <x:f>R192+Q192</x:f>
      </x:c>
      <x:c r="T192" s="3">
        <x:f>I192-S192</x:f>
      </x:c>
      <x:c r="U192" s="255"/>
    </x:row>
    <x:row r="193" spans="1:21" ht="21" customHeight="1" x14ac:dyDescent="0.2">
      <x:c r="A193" s="253">
        <x:f>+'Banka Lis.'!B192</x:f>
      </x:c>
      <x:c r="B193" s="253">
        <x:f>+Puantaj!C193</x:f>
      </x:c>
      <x:c r="C193" s="4">
        <x:f>+Puantaj!D193</x:f>
      </x:c>
      <x:c r="D193" s="4">
        <x:f>+Puantaj!E193</x:f>
      </x:c>
      <x:c r="E193" s="4">
        <x:f>+'Banka Lis.'!H192</x:f>
      </x:c>
      <x:c r="F193" s="254">
        <x:f>+Puantaj!AK193</x:f>
      </x:c>
      <x:c r="G193" s="33">
        <x:f>F193*1083</x:f>
      </x:c>
      <x:c r="H193" s="62">
        <x:f>G193*0.055</x:f>
      </x:c>
      <x:c r="I193" s="3">
        <x:f>G193+H193</x:f>
      </x:c>
      <x:c r="J193" s="3">
        <x:f>+G193</x:f>
      </x:c>
      <x:c r="K193" s="3">
        <x:f>J193*0.15</x:f>
      </x:c>
      <x:c r="L193" s="3">
        <x:f>IF(J193*0.15&gt;K193,K193,J193*0.15)</x:f>
      </x:c>
      <x:c r="M193" s="65">
        <x:f>IF(K193-L193&gt;0,K193-L193,0)</x:f>
      </x:c>
      <x:c r="N193" s="3">
        <x:f>G193*0.00759</x:f>
      </x:c>
      <x:c r="O193" s="3">
        <x:f>IF(G193*0.00759&gt;G193,197.38,G193*0.00759)</x:f>
      </x:c>
      <x:c r="P193" s="3">
        <x:f>IF(N193-O193&gt;0,N193-O193,0)</x:f>
      </x:c>
      <x:c r="Q193" s="65">
        <x:f>+H193</x:f>
      </x:c>
      <x:c r="R193" s="65">
        <x:v>0</x:v>
      </x:c>
      <x:c r="S193" s="3">
        <x:f>R193+Q193</x:f>
      </x:c>
      <x:c r="T193" s="3">
        <x:f>I193-S193</x:f>
      </x:c>
      <x:c r="U193" s="255"/>
    </x:row>
    <x:row r="194" spans="1:21" ht="21" customHeight="1" x14ac:dyDescent="0.2">
      <x:c r="A194" s="253">
        <x:f>+'Banka Lis.'!B193</x:f>
      </x:c>
      <x:c r="B194" s="253">
        <x:f>+Puantaj!C194</x:f>
      </x:c>
      <x:c r="C194" s="4">
        <x:f>+Puantaj!D194</x:f>
      </x:c>
      <x:c r="D194" s="4">
        <x:f>+Puantaj!E194</x:f>
      </x:c>
      <x:c r="E194" s="4">
        <x:f>+'Banka Lis.'!H193</x:f>
      </x:c>
      <x:c r="F194" s="254">
        <x:f>+Puantaj!AK194</x:f>
      </x:c>
      <x:c r="G194" s="33">
        <x:f>F194*1083</x:f>
      </x:c>
      <x:c r="H194" s="62">
        <x:f>G194*0.055</x:f>
      </x:c>
      <x:c r="I194" s="3">
        <x:f>G194+H194</x:f>
      </x:c>
      <x:c r="J194" s="3">
        <x:f>+G194</x:f>
      </x:c>
      <x:c r="K194" s="3">
        <x:f>J194*0.15</x:f>
      </x:c>
      <x:c r="L194" s="3">
        <x:f>IF(J194*0.15&gt;K194,K194,J194*0.15)</x:f>
      </x:c>
      <x:c r="M194" s="65">
        <x:f>IF(K194-L194&gt;0,K194-L194,0)</x:f>
      </x:c>
      <x:c r="N194" s="3">
        <x:f>G194*0.00759</x:f>
      </x:c>
      <x:c r="O194" s="3">
        <x:f>IF(G194*0.00759&gt;G194,197.38,G194*0.00759)</x:f>
      </x:c>
      <x:c r="P194" s="3">
        <x:f>IF(N194-O194&gt;0,N194-O194,0)</x:f>
      </x:c>
      <x:c r="Q194" s="65">
        <x:f>+H194</x:f>
      </x:c>
      <x:c r="R194" s="65">
        <x:v>0</x:v>
      </x:c>
      <x:c r="S194" s="3">
        <x:f>R194+Q194</x:f>
      </x:c>
      <x:c r="T194" s="3">
        <x:f>I194-S194</x:f>
      </x:c>
      <x:c r="U194" s="255"/>
    </x:row>
    <x:row r="195" spans="1:21" ht="21" customHeight="1" x14ac:dyDescent="0.2">
      <x:c r="A195" s="253">
        <x:f>+'Banka Lis.'!B194</x:f>
      </x:c>
      <x:c r="B195" s="253">
        <x:f>+Puantaj!C195</x:f>
      </x:c>
      <x:c r="C195" s="4">
        <x:f>+Puantaj!D195</x:f>
      </x:c>
      <x:c r="D195" s="4">
        <x:f>+Puantaj!E195</x:f>
      </x:c>
      <x:c r="E195" s="4">
        <x:f>+'Banka Lis.'!H194</x:f>
      </x:c>
      <x:c r="F195" s="254">
        <x:f>+Puantaj!AK195</x:f>
      </x:c>
      <x:c r="G195" s="33">
        <x:f>F195*1083</x:f>
      </x:c>
      <x:c r="H195" s="62">
        <x:f>G195*0.055</x:f>
      </x:c>
      <x:c r="I195" s="3">
        <x:f>G195+H195</x:f>
      </x:c>
      <x:c r="J195" s="3">
        <x:f>+G195</x:f>
      </x:c>
      <x:c r="K195" s="3">
        <x:f>J195*0.15</x:f>
      </x:c>
      <x:c r="L195" s="3">
        <x:f>IF(J195*0.15&gt;K195,K195,J195*0.15)</x:f>
      </x:c>
      <x:c r="M195" s="65">
        <x:f>IF(K195-L195&gt;0,K195-L195,0)</x:f>
      </x:c>
      <x:c r="N195" s="3">
        <x:f>G195*0.00759</x:f>
      </x:c>
      <x:c r="O195" s="3">
        <x:f>IF(G195*0.00759&gt;G195,197.38,G195*0.00759)</x:f>
      </x:c>
      <x:c r="P195" s="3">
        <x:f>IF(N195-O195&gt;0,N195-O195,0)</x:f>
      </x:c>
      <x:c r="Q195" s="65">
        <x:f>+H195</x:f>
      </x:c>
      <x:c r="R195" s="65">
        <x:v>0</x:v>
      </x:c>
      <x:c r="S195" s="3">
        <x:f>R195+Q195</x:f>
      </x:c>
      <x:c r="T195" s="3">
        <x:f>I195-S195</x:f>
      </x:c>
      <x:c r="U195" s="255"/>
    </x:row>
    <x:row r="196" spans="1:21" ht="21" customHeight="1" x14ac:dyDescent="0.2">
      <x:c r="A196" s="253">
        <x:f>+'Banka Lis.'!B195</x:f>
      </x:c>
      <x:c r="B196" s="253">
        <x:f>+Puantaj!C196</x:f>
      </x:c>
      <x:c r="C196" s="4">
        <x:f>+Puantaj!D196</x:f>
      </x:c>
      <x:c r="D196" s="4">
        <x:f>+Puantaj!E196</x:f>
      </x:c>
      <x:c r="E196" s="4">
        <x:f>+'Banka Lis.'!H195</x:f>
      </x:c>
      <x:c r="F196" s="254">
        <x:f>+Puantaj!AK196</x:f>
      </x:c>
      <x:c r="G196" s="33">
        <x:f>F196*1083</x:f>
      </x:c>
      <x:c r="H196" s="62">
        <x:f>G196*0.055</x:f>
      </x:c>
      <x:c r="I196" s="3">
        <x:f>G196+H196</x:f>
      </x:c>
      <x:c r="J196" s="3">
        <x:f>+G196</x:f>
      </x:c>
      <x:c r="K196" s="3">
        <x:f>J196*0.15</x:f>
      </x:c>
      <x:c r="L196" s="3">
        <x:f>IF(J196*0.15&gt;K196,K196,J196*0.15)</x:f>
      </x:c>
      <x:c r="M196" s="65">
        <x:f>IF(K196-L196&gt;0,K196-L196,0)</x:f>
      </x:c>
      <x:c r="N196" s="3">
        <x:f>G196*0.00759</x:f>
      </x:c>
      <x:c r="O196" s="3">
        <x:f>IF(G196*0.00759&gt;G196,197.38,G196*0.00759)</x:f>
      </x:c>
      <x:c r="P196" s="3">
        <x:f>IF(N196-O196&gt;0,N196-O196,0)</x:f>
      </x:c>
      <x:c r="Q196" s="65">
        <x:f>+H196</x:f>
      </x:c>
      <x:c r="R196" s="65">
        <x:v>0</x:v>
      </x:c>
      <x:c r="S196" s="3">
        <x:f>R196+Q196</x:f>
      </x:c>
      <x:c r="T196" s="3">
        <x:f>I196-S196</x:f>
      </x:c>
      <x:c r="U196" s="255"/>
    </x:row>
    <x:row r="197" spans="1:21" ht="21" customHeight="1" x14ac:dyDescent="0.2">
      <x:c r="A197" s="253">
        <x:f>+'Banka Lis.'!B196</x:f>
      </x:c>
      <x:c r="B197" s="253">
        <x:f>+Puantaj!C197</x:f>
      </x:c>
      <x:c r="C197" s="4">
        <x:f>+Puantaj!D197</x:f>
      </x:c>
      <x:c r="D197" s="4">
        <x:f>+Puantaj!E197</x:f>
      </x:c>
      <x:c r="E197" s="4">
        <x:f>+'Banka Lis.'!H196</x:f>
      </x:c>
      <x:c r="F197" s="254">
        <x:f>+Puantaj!AK197</x:f>
      </x:c>
      <x:c r="G197" s="33">
        <x:f>F197*1083</x:f>
      </x:c>
      <x:c r="H197" s="62">
        <x:f>G197*0.055</x:f>
      </x:c>
      <x:c r="I197" s="3">
        <x:f>G197+H197</x:f>
      </x:c>
      <x:c r="J197" s="3">
        <x:f>+G197</x:f>
      </x:c>
      <x:c r="K197" s="3">
        <x:f>J197*0.15</x:f>
      </x:c>
      <x:c r="L197" s="3">
        <x:f>IF(J197*0.15&gt;K197,K197,J197*0.15)</x:f>
      </x:c>
      <x:c r="M197" s="65">
        <x:f>IF(K197-L197&gt;0,K197-L197,0)</x:f>
      </x:c>
      <x:c r="N197" s="3">
        <x:f>G197*0.00759</x:f>
      </x:c>
      <x:c r="O197" s="3">
        <x:f>IF(G197*0.00759&gt;G197,197.38,G197*0.00759)</x:f>
      </x:c>
      <x:c r="P197" s="3">
        <x:f>IF(N197-O197&gt;0,N197-O197,0)</x:f>
      </x:c>
      <x:c r="Q197" s="65">
        <x:f>+H197</x:f>
      </x:c>
      <x:c r="R197" s="65">
        <x:v>0</x:v>
      </x:c>
      <x:c r="S197" s="3">
        <x:f>R197+Q197</x:f>
      </x:c>
      <x:c r="T197" s="3">
        <x:f>I197-S197</x:f>
      </x:c>
      <x:c r="U197" s="255"/>
    </x:row>
    <x:row r="198" spans="1:21" ht="21" customHeight="1" x14ac:dyDescent="0.2">
      <x:c r="A198" s="253">
        <x:f>+'Banka Lis.'!B197</x:f>
      </x:c>
      <x:c r="B198" s="253">
        <x:f>+Puantaj!C198</x:f>
      </x:c>
      <x:c r="C198" s="4">
        <x:f>+Puantaj!D198</x:f>
      </x:c>
      <x:c r="D198" s="4">
        <x:f>+Puantaj!E198</x:f>
      </x:c>
      <x:c r="E198" s="4">
        <x:f>+'Banka Lis.'!H197</x:f>
      </x:c>
      <x:c r="F198" s="254">
        <x:f>+Puantaj!AK198</x:f>
      </x:c>
      <x:c r="G198" s="33">
        <x:f>F198*1083</x:f>
      </x:c>
      <x:c r="H198" s="62">
        <x:f>G198*0.055</x:f>
      </x:c>
      <x:c r="I198" s="3">
        <x:f>G198+H198</x:f>
      </x:c>
      <x:c r="J198" s="3">
        <x:f>+G198</x:f>
      </x:c>
      <x:c r="K198" s="3">
        <x:f>J198*0.15</x:f>
      </x:c>
      <x:c r="L198" s="3">
        <x:f>IF(J198*0.15&gt;K198,K198,J198*0.15)</x:f>
      </x:c>
      <x:c r="M198" s="65">
        <x:f>IF(K198-L198&gt;0,K198-L198,0)</x:f>
      </x:c>
      <x:c r="N198" s="3">
        <x:f>G198*0.00759</x:f>
      </x:c>
      <x:c r="O198" s="3">
        <x:f>IF(G198*0.00759&gt;G198,197.38,G198*0.00759)</x:f>
      </x:c>
      <x:c r="P198" s="3">
        <x:f>IF(N198-O198&gt;0,N198-O198,0)</x:f>
      </x:c>
      <x:c r="Q198" s="65">
        <x:f>+H198</x:f>
      </x:c>
      <x:c r="R198" s="65">
        <x:v>0</x:v>
      </x:c>
      <x:c r="S198" s="3">
        <x:f>R198+Q198</x:f>
      </x:c>
      <x:c r="T198" s="3">
        <x:f>I198-S198</x:f>
      </x:c>
      <x:c r="U198" s="255"/>
    </x:row>
    <x:row r="199" spans="1:21" ht="21" customHeight="1" x14ac:dyDescent="0.2">
      <x:c r="A199" s="253">
        <x:f>+'Banka Lis.'!B198</x:f>
      </x:c>
      <x:c r="B199" s="253">
        <x:f>+Puantaj!C199</x:f>
      </x:c>
      <x:c r="C199" s="4">
        <x:f>+Puantaj!D199</x:f>
      </x:c>
      <x:c r="D199" s="4">
        <x:f>+Puantaj!E199</x:f>
      </x:c>
      <x:c r="E199" s="4">
        <x:f>+'Banka Lis.'!H198</x:f>
      </x:c>
      <x:c r="F199" s="254">
        <x:f>+Puantaj!AK199</x:f>
      </x:c>
      <x:c r="G199" s="33">
        <x:f>F199*1083</x:f>
      </x:c>
      <x:c r="H199" s="62">
        <x:f>G199*0.055</x:f>
      </x:c>
      <x:c r="I199" s="3">
        <x:f>G199+H199</x:f>
      </x:c>
      <x:c r="J199" s="3">
        <x:f>+G199</x:f>
      </x:c>
      <x:c r="K199" s="3">
        <x:f>J199*0.15</x:f>
      </x:c>
      <x:c r="L199" s="3">
        <x:f>IF(J199*0.15&gt;K199,K199,J199*0.15)</x:f>
      </x:c>
      <x:c r="M199" s="65">
        <x:f>IF(K199-L199&gt;0,K199-L199,0)</x:f>
      </x:c>
      <x:c r="N199" s="3">
        <x:f>G199*0.00759</x:f>
      </x:c>
      <x:c r="O199" s="3">
        <x:f>IF(G199*0.00759&gt;G199,197.38,G199*0.00759)</x:f>
      </x:c>
      <x:c r="P199" s="3">
        <x:f>IF(N199-O199&gt;0,N199-O199,0)</x:f>
      </x:c>
      <x:c r="Q199" s="65">
        <x:f>+H199</x:f>
      </x:c>
      <x:c r="R199" s="65">
        <x:v>0</x:v>
      </x:c>
      <x:c r="S199" s="3">
        <x:f>R199+Q199</x:f>
      </x:c>
      <x:c r="T199" s="3">
        <x:f>I199-S199</x:f>
      </x:c>
      <x:c r="U199" s="255"/>
    </x:row>
    <x:row r="200" spans="1:21" ht="21" customHeight="1" x14ac:dyDescent="0.2">
      <x:c r="A200" s="253">
        <x:f>+'Banka Lis.'!B199</x:f>
      </x:c>
      <x:c r="B200" s="253">
        <x:f>+Puantaj!C200</x:f>
      </x:c>
      <x:c r="C200" s="4">
        <x:f>+Puantaj!D200</x:f>
      </x:c>
      <x:c r="D200" s="4">
        <x:f>+Puantaj!E200</x:f>
      </x:c>
      <x:c r="E200" s="4">
        <x:f>+'Banka Lis.'!H199</x:f>
      </x:c>
      <x:c r="F200" s="254">
        <x:f>+Puantaj!AK200</x:f>
      </x:c>
      <x:c r="G200" s="33">
        <x:f>F200*1083</x:f>
      </x:c>
      <x:c r="H200" s="62">
        <x:f>G200*0.055</x:f>
      </x:c>
      <x:c r="I200" s="3">
        <x:f>G200+H200</x:f>
      </x:c>
      <x:c r="J200" s="3">
        <x:f>+G200</x:f>
      </x:c>
      <x:c r="K200" s="3">
        <x:f>J200*0.15</x:f>
      </x:c>
      <x:c r="L200" s="3">
        <x:f>IF(J200*0.15&gt;K200,K200,J200*0.15)</x:f>
      </x:c>
      <x:c r="M200" s="65">
        <x:f>IF(K200-L200&gt;0,K200-L200,0)</x:f>
      </x:c>
      <x:c r="N200" s="3">
        <x:f>G200*0.00759</x:f>
      </x:c>
      <x:c r="O200" s="3">
        <x:f>IF(G200*0.00759&gt;G200,197.38,G200*0.00759)</x:f>
      </x:c>
      <x:c r="P200" s="3">
        <x:f>IF(N200-O200&gt;0,N200-O200,0)</x:f>
      </x:c>
      <x:c r="Q200" s="65">
        <x:f>+H200</x:f>
      </x:c>
      <x:c r="R200" s="65">
        <x:v>0</x:v>
      </x:c>
      <x:c r="S200" s="3">
        <x:f>R200+Q200</x:f>
      </x:c>
      <x:c r="T200" s="3">
        <x:f>I200-S200</x:f>
      </x:c>
      <x:c r="U200" s="255"/>
    </x:row>
    <x:row r="201" spans="1:21" ht="21" customHeight="1" x14ac:dyDescent="0.2">
      <x:c r="A201" s="253">
        <x:f>+'Banka Lis.'!B200</x:f>
      </x:c>
      <x:c r="B201" s="253">
        <x:f>+Puantaj!C201</x:f>
      </x:c>
      <x:c r="C201" s="4">
        <x:f>+Puantaj!D201</x:f>
      </x:c>
      <x:c r="D201" s="4">
        <x:f>+Puantaj!E201</x:f>
      </x:c>
      <x:c r="E201" s="4">
        <x:f>+'Banka Lis.'!H200</x:f>
      </x:c>
      <x:c r="F201" s="254">
        <x:f>+Puantaj!AK201</x:f>
      </x:c>
      <x:c r="G201" s="33">
        <x:f>F201*1083</x:f>
      </x:c>
      <x:c r="H201" s="62">
        <x:f>G201*0.055</x:f>
      </x:c>
      <x:c r="I201" s="3">
        <x:f>G201+H201</x:f>
      </x:c>
      <x:c r="J201" s="3">
        <x:f>+G201</x:f>
      </x:c>
      <x:c r="K201" s="3">
        <x:f>J201*0.15</x:f>
      </x:c>
      <x:c r="L201" s="3">
        <x:f>IF(J201*0.15&gt;K201,K201,J201*0.15)</x:f>
      </x:c>
      <x:c r="M201" s="65">
        <x:f>IF(K201-L201&gt;0,K201-L201,0)</x:f>
      </x:c>
      <x:c r="N201" s="3">
        <x:f>G201*0.00759</x:f>
      </x:c>
      <x:c r="O201" s="3">
        <x:f>IF(G201*0.00759&gt;G201,197.38,G201*0.00759)</x:f>
      </x:c>
      <x:c r="P201" s="3">
        <x:f>IF(N201-O201&gt;0,N201-O201,0)</x:f>
      </x:c>
      <x:c r="Q201" s="65">
        <x:f>+H201</x:f>
      </x:c>
      <x:c r="R201" s="65">
        <x:v>0</x:v>
      </x:c>
      <x:c r="S201" s="3">
        <x:f>R201+Q201</x:f>
      </x:c>
      <x:c r="T201" s="3">
        <x:f>I201-S201</x:f>
      </x:c>
      <x:c r="U201" s="255"/>
    </x:row>
    <x:row r="202" spans="1:21" ht="21" customHeight="1" x14ac:dyDescent="0.2">
      <x:c r="A202" s="253">
        <x:f>+'Banka Lis.'!B201</x:f>
      </x:c>
      <x:c r="B202" s="253">
        <x:f>+Puantaj!C202</x:f>
      </x:c>
      <x:c r="C202" s="4">
        <x:f>+Puantaj!D202</x:f>
      </x:c>
      <x:c r="D202" s="4">
        <x:f>+Puantaj!E202</x:f>
      </x:c>
      <x:c r="E202" s="4">
        <x:f>+'Banka Lis.'!H201</x:f>
      </x:c>
      <x:c r="F202" s="254">
        <x:f>+Puantaj!AK202</x:f>
      </x:c>
      <x:c r="G202" s="33">
        <x:f>F202*1083</x:f>
      </x:c>
      <x:c r="H202" s="62">
        <x:f>G202*0.055</x:f>
      </x:c>
      <x:c r="I202" s="3">
        <x:f>G202+H202</x:f>
      </x:c>
      <x:c r="J202" s="3">
        <x:f>+G202</x:f>
      </x:c>
      <x:c r="K202" s="3">
        <x:f>J202*0.15</x:f>
      </x:c>
      <x:c r="L202" s="3">
        <x:f>IF(J202*0.15&gt;K202,K202,J202*0.15)</x:f>
      </x:c>
      <x:c r="M202" s="65">
        <x:f>IF(K202-L202&gt;0,K202-L202,0)</x:f>
      </x:c>
      <x:c r="N202" s="3">
        <x:f>G202*0.00759</x:f>
      </x:c>
      <x:c r="O202" s="3">
        <x:f>IF(G202*0.00759&gt;G202,197.38,G202*0.00759)</x:f>
      </x:c>
      <x:c r="P202" s="3">
        <x:f>IF(N202-O202&gt;0,N202-O202,0)</x:f>
      </x:c>
      <x:c r="Q202" s="65">
        <x:f>+H202</x:f>
      </x:c>
      <x:c r="R202" s="65">
        <x:v>0</x:v>
      </x:c>
      <x:c r="S202" s="3">
        <x:f>R202+Q202</x:f>
      </x:c>
      <x:c r="T202" s="3">
        <x:f>I202-S202</x:f>
      </x:c>
      <x:c r="U202" s="255"/>
    </x:row>
    <x:row r="203" spans="1:21" ht="21" customHeight="1" x14ac:dyDescent="0.2">
      <x:c r="A203" s="253">
        <x:f>+'Banka Lis.'!B202</x:f>
      </x:c>
      <x:c r="B203" s="253">
        <x:f>+Puantaj!C203</x:f>
      </x:c>
      <x:c r="C203" s="4">
        <x:f>+Puantaj!D203</x:f>
      </x:c>
      <x:c r="D203" s="4">
        <x:f>+Puantaj!E203</x:f>
      </x:c>
      <x:c r="E203" s="4">
        <x:f>+'Banka Lis.'!H202</x:f>
      </x:c>
      <x:c r="F203" s="254">
        <x:f>+Puantaj!AK203</x:f>
      </x:c>
      <x:c r="G203" s="33">
        <x:f>F203*1083</x:f>
      </x:c>
      <x:c r="H203" s="62">
        <x:f>G203*0.055</x:f>
      </x:c>
      <x:c r="I203" s="3">
        <x:f>G203+H203</x:f>
      </x:c>
      <x:c r="J203" s="3">
        <x:f>+G203</x:f>
      </x:c>
      <x:c r="K203" s="3">
        <x:f>J203*0.15</x:f>
      </x:c>
      <x:c r="L203" s="3">
        <x:f>IF(J203*0.15&gt;K203,K203,J203*0.15)</x:f>
      </x:c>
      <x:c r="M203" s="65">
        <x:f>IF(K203-L203&gt;0,K203-L203,0)</x:f>
      </x:c>
      <x:c r="N203" s="3">
        <x:f>G203*0.00759</x:f>
      </x:c>
      <x:c r="O203" s="3">
        <x:f>IF(G203*0.00759&gt;G203,197.38,G203*0.00759)</x:f>
      </x:c>
      <x:c r="P203" s="3">
        <x:f>IF(N203-O203&gt;0,N203-O203,0)</x:f>
      </x:c>
      <x:c r="Q203" s="65">
        <x:f>+H203</x:f>
      </x:c>
      <x:c r="R203" s="65">
        <x:v>0</x:v>
      </x:c>
      <x:c r="S203" s="3">
        <x:f>R203+Q203</x:f>
      </x:c>
      <x:c r="T203" s="3">
        <x:f>I203-S203</x:f>
      </x:c>
      <x:c r="U203" s="255"/>
    </x:row>
    <x:row r="204" spans="1:21" ht="21" customHeight="1" x14ac:dyDescent="0.2">
      <x:c r="A204" s="253">
        <x:f>+'Banka Lis.'!B203</x:f>
      </x:c>
      <x:c r="B204" s="253">
        <x:f>+Puantaj!C204</x:f>
      </x:c>
      <x:c r="C204" s="4">
        <x:f>+Puantaj!D204</x:f>
      </x:c>
      <x:c r="D204" s="4">
        <x:f>+Puantaj!E204</x:f>
      </x:c>
      <x:c r="E204" s="4">
        <x:f>+'Banka Lis.'!H203</x:f>
      </x:c>
      <x:c r="F204" s="254">
        <x:f>+Puantaj!AK204</x:f>
      </x:c>
      <x:c r="G204" s="33">
        <x:f>F204*1083</x:f>
      </x:c>
      <x:c r="H204" s="62">
        <x:f>G204*0.055</x:f>
      </x:c>
      <x:c r="I204" s="3">
        <x:f>G204+H204</x:f>
      </x:c>
      <x:c r="J204" s="3">
        <x:f>+G204</x:f>
      </x:c>
      <x:c r="K204" s="3">
        <x:f>J204*0.15</x:f>
      </x:c>
      <x:c r="L204" s="3">
        <x:f>IF(J204*0.15&gt;K204,K204,J204*0.15)</x:f>
      </x:c>
      <x:c r="M204" s="65">
        <x:f>IF(K204-L204&gt;0,K204-L204,0)</x:f>
      </x:c>
      <x:c r="N204" s="3">
        <x:f>G204*0.00759</x:f>
      </x:c>
      <x:c r="O204" s="3">
        <x:f>IF(G204*0.00759&gt;G204,197.38,G204*0.00759)</x:f>
      </x:c>
      <x:c r="P204" s="3">
        <x:f>IF(N204-O204&gt;0,N204-O204,0)</x:f>
      </x:c>
      <x:c r="Q204" s="65">
        <x:f>+H204</x:f>
      </x:c>
      <x:c r="R204" s="65">
        <x:v>0</x:v>
      </x:c>
      <x:c r="S204" s="3">
        <x:f>R204+Q204</x:f>
      </x:c>
      <x:c r="T204" s="3">
        <x:f>I204-S204</x:f>
      </x:c>
      <x:c r="U204" s="255"/>
    </x:row>
    <x:row r="205" spans="1:21" ht="21" customHeight="1" x14ac:dyDescent="0.2">
      <x:c r="A205" s="253">
        <x:f>+'Banka Lis.'!B204</x:f>
      </x:c>
      <x:c r="B205" s="253">
        <x:f>+Puantaj!C205</x:f>
      </x:c>
      <x:c r="C205" s="4">
        <x:f>+Puantaj!D205</x:f>
      </x:c>
      <x:c r="D205" s="4">
        <x:f>+Puantaj!E205</x:f>
      </x:c>
      <x:c r="E205" s="4">
        <x:f>+'Banka Lis.'!H204</x:f>
      </x:c>
      <x:c r="F205" s="254">
        <x:f>+Puantaj!AK205</x:f>
      </x:c>
      <x:c r="G205" s="33">
        <x:f>F205*1083</x:f>
      </x:c>
      <x:c r="H205" s="62">
        <x:f>G205*0.055</x:f>
      </x:c>
      <x:c r="I205" s="3">
        <x:f>G205+H205</x:f>
      </x:c>
      <x:c r="J205" s="3">
        <x:f>+G205</x:f>
      </x:c>
      <x:c r="K205" s="3">
        <x:f>J205*0.15</x:f>
      </x:c>
      <x:c r="L205" s="3">
        <x:f>IF(J205*0.15&gt;K205,K205,J205*0.15)</x:f>
      </x:c>
      <x:c r="M205" s="65">
        <x:f>IF(K205-L205&gt;0,K205-L205,0)</x:f>
      </x:c>
      <x:c r="N205" s="3">
        <x:f>G205*0.00759</x:f>
      </x:c>
      <x:c r="O205" s="3">
        <x:f>IF(G205*0.00759&gt;G205,197.38,G205*0.00759)</x:f>
      </x:c>
      <x:c r="P205" s="3">
        <x:f>IF(N205-O205&gt;0,N205-O205,0)</x:f>
      </x:c>
      <x:c r="Q205" s="65">
        <x:f>+H205</x:f>
      </x:c>
      <x:c r="R205" s="65">
        <x:v>0</x:v>
      </x:c>
      <x:c r="S205" s="3">
        <x:f>R205+Q205</x:f>
      </x:c>
      <x:c r="T205" s="3">
        <x:f>I205-S205</x:f>
      </x:c>
      <x:c r="U205" s="255"/>
    </x:row>
    <x:row r="206" spans="1:21" ht="21" customHeight="1" x14ac:dyDescent="0.2">
      <x:c r="A206" s="253">
        <x:f>+'Banka Lis.'!B205</x:f>
      </x:c>
      <x:c r="B206" s="253">
        <x:f>+Puantaj!C206</x:f>
      </x:c>
      <x:c r="C206" s="4">
        <x:f>+Puantaj!D206</x:f>
      </x:c>
      <x:c r="D206" s="4">
        <x:f>+Puantaj!E206</x:f>
      </x:c>
      <x:c r="E206" s="4">
        <x:f>+'Banka Lis.'!H205</x:f>
      </x:c>
      <x:c r="F206" s="254">
        <x:f>+Puantaj!AK206</x:f>
      </x:c>
      <x:c r="G206" s="33">
        <x:f>F206*1083</x:f>
      </x:c>
      <x:c r="H206" s="62">
        <x:f>G206*0.055</x:f>
      </x:c>
      <x:c r="I206" s="3">
        <x:f>G206+H206</x:f>
      </x:c>
      <x:c r="J206" s="3">
        <x:f>+G206</x:f>
      </x:c>
      <x:c r="K206" s="3">
        <x:f>J206*0.15</x:f>
      </x:c>
      <x:c r="L206" s="3">
        <x:f>IF(J206*0.15&gt;K206,K206,J206*0.15)</x:f>
      </x:c>
      <x:c r="M206" s="65">
        <x:f>IF(K206-L206&gt;0,K206-L206,0)</x:f>
      </x:c>
      <x:c r="N206" s="3">
        <x:f>G206*0.00759</x:f>
      </x:c>
      <x:c r="O206" s="3">
        <x:f>IF(G206*0.00759&gt;G206,197.38,G206*0.00759)</x:f>
      </x:c>
      <x:c r="P206" s="3">
        <x:f>IF(N206-O206&gt;0,N206-O206,0)</x:f>
      </x:c>
      <x:c r="Q206" s="65">
        <x:f>+H206</x:f>
      </x:c>
      <x:c r="R206" s="65">
        <x:v>0</x:v>
      </x:c>
      <x:c r="S206" s="3">
        <x:f>R206+Q206</x:f>
      </x:c>
      <x:c r="T206" s="3">
        <x:f>I206-S206</x:f>
      </x:c>
      <x:c r="U206" s="255"/>
    </x:row>
    <x:row r="207" spans="1:21" ht="21" customHeight="1" x14ac:dyDescent="0.2">
      <x:c r="A207" s="253">
        <x:f>+'Banka Lis.'!B206</x:f>
      </x:c>
      <x:c r="B207" s="253">
        <x:f>+Puantaj!C207</x:f>
      </x:c>
      <x:c r="C207" s="4">
        <x:f>+Puantaj!D207</x:f>
      </x:c>
      <x:c r="D207" s="4">
        <x:f>+Puantaj!E207</x:f>
      </x:c>
      <x:c r="E207" s="4">
        <x:f>+'Banka Lis.'!H206</x:f>
      </x:c>
      <x:c r="F207" s="254">
        <x:f>+Puantaj!AK207</x:f>
      </x:c>
      <x:c r="G207" s="33">
        <x:f>F207*1083</x:f>
      </x:c>
      <x:c r="H207" s="62">
        <x:f>G207*0.055</x:f>
      </x:c>
      <x:c r="I207" s="3">
        <x:f>G207+H207</x:f>
      </x:c>
      <x:c r="J207" s="3">
        <x:f>+G207</x:f>
      </x:c>
      <x:c r="K207" s="3">
        <x:f>J207*0.15</x:f>
      </x:c>
      <x:c r="L207" s="3">
        <x:f>IF(J207*0.15&gt;K207,K207,J207*0.15)</x:f>
      </x:c>
      <x:c r="M207" s="65">
        <x:f>IF(K207-L207&gt;0,K207-L207,0)</x:f>
      </x:c>
      <x:c r="N207" s="3">
        <x:f>G207*0.00759</x:f>
      </x:c>
      <x:c r="O207" s="3">
        <x:f>IF(G207*0.00759&gt;G207,197.38,G207*0.00759)</x:f>
      </x:c>
      <x:c r="P207" s="3">
        <x:f>IF(N207-O207&gt;0,N207-O207,0)</x:f>
      </x:c>
      <x:c r="Q207" s="65">
        <x:f>+H207</x:f>
      </x:c>
      <x:c r="R207" s="65">
        <x:v>0</x:v>
      </x:c>
      <x:c r="S207" s="3">
        <x:f>R207+Q207</x:f>
      </x:c>
      <x:c r="T207" s="3">
        <x:f>I207-S207</x:f>
      </x:c>
      <x:c r="U207" s="255"/>
    </x:row>
    <x:row r="208" spans="1:21" ht="21" customHeight="1" x14ac:dyDescent="0.2">
      <x:c r="A208" s="253">
        <x:f>+'Banka Lis.'!B207</x:f>
      </x:c>
      <x:c r="B208" s="253">
        <x:f>+Puantaj!C208</x:f>
      </x:c>
      <x:c r="C208" s="4">
        <x:f>+Puantaj!D208</x:f>
      </x:c>
      <x:c r="D208" s="4">
        <x:f>+Puantaj!E208</x:f>
      </x:c>
      <x:c r="E208" s="4">
        <x:f>+'Banka Lis.'!H207</x:f>
      </x:c>
      <x:c r="F208" s="254">
        <x:f>+Puantaj!AK208</x:f>
      </x:c>
      <x:c r="G208" s="33">
        <x:f>F208*1083</x:f>
      </x:c>
      <x:c r="H208" s="62">
        <x:f>G208*0.055</x:f>
      </x:c>
      <x:c r="I208" s="3">
        <x:f>G208+H208</x:f>
      </x:c>
      <x:c r="J208" s="3">
        <x:f>+G208</x:f>
      </x:c>
      <x:c r="K208" s="3">
        <x:f>J208*0.15</x:f>
      </x:c>
      <x:c r="L208" s="3">
        <x:f>IF(J208*0.15&gt;K208,K208,J208*0.15)</x:f>
      </x:c>
      <x:c r="M208" s="65">
        <x:f>IF(K208-L208&gt;0,K208-L208,0)</x:f>
      </x:c>
      <x:c r="N208" s="3">
        <x:f>G208*0.00759</x:f>
      </x:c>
      <x:c r="O208" s="3">
        <x:f>IF(G208*0.00759&gt;G208,197.38,G208*0.00759)</x:f>
      </x:c>
      <x:c r="P208" s="3">
        <x:f>IF(N208-O208&gt;0,N208-O208,0)</x:f>
      </x:c>
      <x:c r="Q208" s="65">
        <x:f>+H208</x:f>
      </x:c>
      <x:c r="R208" s="65">
        <x:v>0</x:v>
      </x:c>
      <x:c r="S208" s="3">
        <x:f>R208+Q208</x:f>
      </x:c>
      <x:c r="T208" s="3">
        <x:f>I208-S208</x:f>
      </x:c>
      <x:c r="U208" s="255"/>
    </x:row>
    <x:row r="209" spans="1:21" ht="21" customHeight="1" x14ac:dyDescent="0.2">
      <x:c r="A209" s="253">
        <x:f>+'Banka Lis.'!B208</x:f>
      </x:c>
      <x:c r="B209" s="253">
        <x:f>+Puantaj!C209</x:f>
      </x:c>
      <x:c r="C209" s="4">
        <x:f>+Puantaj!D209</x:f>
      </x:c>
      <x:c r="D209" s="4">
        <x:f>+Puantaj!E209</x:f>
      </x:c>
      <x:c r="E209" s="4">
        <x:f>+'Banka Lis.'!H208</x:f>
      </x:c>
      <x:c r="F209" s="254">
        <x:f>+Puantaj!AK209</x:f>
      </x:c>
      <x:c r="G209" s="33">
        <x:f>F209*1083</x:f>
      </x:c>
      <x:c r="H209" s="62">
        <x:f>G209*0.055</x:f>
      </x:c>
      <x:c r="I209" s="3">
        <x:f>G209+H209</x:f>
      </x:c>
      <x:c r="J209" s="3">
        <x:f>+G209</x:f>
      </x:c>
      <x:c r="K209" s="3">
        <x:f>J209*0.15</x:f>
      </x:c>
      <x:c r="L209" s="3">
        <x:f>IF(J209*0.15&gt;K209,K209,J209*0.15)</x:f>
      </x:c>
      <x:c r="M209" s="65">
        <x:f>IF(K209-L209&gt;0,K209-L209,0)</x:f>
      </x:c>
      <x:c r="N209" s="3">
        <x:f>G209*0.00759</x:f>
      </x:c>
      <x:c r="O209" s="3">
        <x:f>IF(G209*0.00759&gt;G209,197.38,G209*0.00759)</x:f>
      </x:c>
      <x:c r="P209" s="3">
        <x:f>IF(N209-O209&gt;0,N209-O209,0)</x:f>
      </x:c>
      <x:c r="Q209" s="65">
        <x:f>+H209</x:f>
      </x:c>
      <x:c r="R209" s="65">
        <x:v>0</x:v>
      </x:c>
      <x:c r="S209" s="3">
        <x:f>R209+Q209</x:f>
      </x:c>
      <x:c r="T209" s="3">
        <x:f>I209-S209</x:f>
      </x:c>
      <x:c r="U209" s="255"/>
    </x:row>
    <x:row r="210" spans="1:21" ht="21" customHeight="1" x14ac:dyDescent="0.2">
      <x:c r="A210" s="253">
        <x:f>+'Banka Lis.'!B209</x:f>
      </x:c>
      <x:c r="B210" s="253">
        <x:f>+Puantaj!C210</x:f>
      </x:c>
      <x:c r="C210" s="4">
        <x:f>+Puantaj!D210</x:f>
      </x:c>
      <x:c r="D210" s="4">
        <x:f>+Puantaj!E210</x:f>
      </x:c>
      <x:c r="E210" s="4">
        <x:f>+'Banka Lis.'!H209</x:f>
      </x:c>
      <x:c r="F210" s="254">
        <x:f>+Puantaj!AK210</x:f>
      </x:c>
      <x:c r="G210" s="33">
        <x:f>F210*1083</x:f>
      </x:c>
      <x:c r="H210" s="62">
        <x:f>G210*0.055</x:f>
      </x:c>
      <x:c r="I210" s="3">
        <x:f>G210+H210</x:f>
      </x:c>
      <x:c r="J210" s="3">
        <x:f>+G210</x:f>
      </x:c>
      <x:c r="K210" s="3">
        <x:f>J210*0.15</x:f>
      </x:c>
      <x:c r="L210" s="3">
        <x:f>IF(J210*0.15&gt;K210,K210,J210*0.15)</x:f>
      </x:c>
      <x:c r="M210" s="65">
        <x:f>IF(K210-L210&gt;0,K210-L210,0)</x:f>
      </x:c>
      <x:c r="N210" s="3">
        <x:f>G210*0.00759</x:f>
      </x:c>
      <x:c r="O210" s="3">
        <x:f>IF(G210*0.00759&gt;G210,197.38,G210*0.00759)</x:f>
      </x:c>
      <x:c r="P210" s="3">
        <x:f>IF(N210-O210&gt;0,N210-O210,0)</x:f>
      </x:c>
      <x:c r="Q210" s="65">
        <x:f>+H210</x:f>
      </x:c>
      <x:c r="R210" s="65">
        <x:v>0</x:v>
      </x:c>
      <x:c r="S210" s="3">
        <x:f>R210+Q210</x:f>
      </x:c>
      <x:c r="T210" s="3">
        <x:f>I210-S210</x:f>
      </x:c>
      <x:c r="U210" s="255"/>
    </x:row>
    <x:row r="211" spans="1:21" ht="21" customHeight="1" x14ac:dyDescent="0.2">
      <x:c r="A211" s="253">
        <x:f>+'Banka Lis.'!B210</x:f>
      </x:c>
      <x:c r="B211" s="253">
        <x:f>+Puantaj!C211</x:f>
      </x:c>
      <x:c r="C211" s="4">
        <x:f>+Puantaj!D211</x:f>
      </x:c>
      <x:c r="D211" s="4">
        <x:f>+Puantaj!E211</x:f>
      </x:c>
      <x:c r="E211" s="4">
        <x:f>+'Banka Lis.'!H210</x:f>
      </x:c>
      <x:c r="F211" s="254">
        <x:f>+Puantaj!AK211</x:f>
      </x:c>
      <x:c r="G211" s="33">
        <x:f>F211*1083</x:f>
      </x:c>
      <x:c r="H211" s="62">
        <x:f>G211*0.055</x:f>
      </x:c>
      <x:c r="I211" s="3">
        <x:f>G211+H211</x:f>
      </x:c>
      <x:c r="J211" s="3">
        <x:f>+G211</x:f>
      </x:c>
      <x:c r="K211" s="3">
        <x:f>J211*0.15</x:f>
      </x:c>
      <x:c r="L211" s="3">
        <x:f>IF(J211*0.15&gt;K211,K211,J211*0.15)</x:f>
      </x:c>
      <x:c r="M211" s="65">
        <x:f>IF(K211-L211&gt;0,K211-L211,0)</x:f>
      </x:c>
      <x:c r="N211" s="3">
        <x:f>G211*0.00759</x:f>
      </x:c>
      <x:c r="O211" s="3">
        <x:f>IF(G211*0.00759&gt;G211,197.38,G211*0.00759)</x:f>
      </x:c>
      <x:c r="P211" s="3">
        <x:f>IF(N211-O211&gt;0,N211-O211,0)</x:f>
      </x:c>
      <x:c r="Q211" s="65">
        <x:f>+H211</x:f>
      </x:c>
      <x:c r="R211" s="65">
        <x:v>0</x:v>
      </x:c>
      <x:c r="S211" s="3">
        <x:f>R211+Q211</x:f>
      </x:c>
      <x:c r="T211" s="3">
        <x:f>I211-S211</x:f>
      </x:c>
      <x:c r="U211" s="255"/>
    </x:row>
    <x:row r="212" spans="1:21" ht="21" customHeight="1" x14ac:dyDescent="0.2">
      <x:c r="A212" s="253">
        <x:f>+'Banka Lis.'!B211</x:f>
      </x:c>
      <x:c r="B212" s="253">
        <x:f>+Puantaj!C212</x:f>
      </x:c>
      <x:c r="C212" s="4">
        <x:f>+Puantaj!D212</x:f>
      </x:c>
      <x:c r="D212" s="4">
        <x:f>+Puantaj!E212</x:f>
      </x:c>
      <x:c r="E212" s="4">
        <x:f>+'Banka Lis.'!H211</x:f>
      </x:c>
      <x:c r="F212" s="254">
        <x:f>+Puantaj!AK212</x:f>
      </x:c>
      <x:c r="G212" s="33">
        <x:f>F212*1083</x:f>
      </x:c>
      <x:c r="H212" s="62">
        <x:f>G212*0.055</x:f>
      </x:c>
      <x:c r="I212" s="3">
        <x:f>G212+H212</x:f>
      </x:c>
      <x:c r="J212" s="3">
        <x:f>+G212</x:f>
      </x:c>
      <x:c r="K212" s="3">
        <x:f>J212*0.15</x:f>
      </x:c>
      <x:c r="L212" s="3">
        <x:f>IF(J212*0.15&gt;K212,K212,J212*0.15)</x:f>
      </x:c>
      <x:c r="M212" s="65">
        <x:f>IF(K212-L212&gt;0,K212-L212,0)</x:f>
      </x:c>
      <x:c r="N212" s="3">
        <x:f>G212*0.00759</x:f>
      </x:c>
      <x:c r="O212" s="3">
        <x:f>IF(G212*0.00759&gt;G212,197.38,G212*0.00759)</x:f>
      </x:c>
      <x:c r="P212" s="3">
        <x:f>IF(N212-O212&gt;0,N212-O212,0)</x:f>
      </x:c>
      <x:c r="Q212" s="65">
        <x:f>+H212</x:f>
      </x:c>
      <x:c r="R212" s="65">
        <x:v>0</x:v>
      </x:c>
      <x:c r="S212" s="3">
        <x:f>R212+Q212</x:f>
      </x:c>
      <x:c r="T212" s="3">
        <x:f>I212-S212</x:f>
      </x:c>
      <x:c r="U212" s="255"/>
    </x:row>
    <x:row r="213" spans="1:21" ht="21" customHeight="1" x14ac:dyDescent="0.2">
      <x:c r="A213" s="253">
        <x:f>+'Banka Lis.'!B212</x:f>
      </x:c>
      <x:c r="B213" s="253">
        <x:f>+Puantaj!C213</x:f>
      </x:c>
      <x:c r="C213" s="4">
        <x:f>+Puantaj!D213</x:f>
      </x:c>
      <x:c r="D213" s="4">
        <x:f>+Puantaj!E213</x:f>
      </x:c>
      <x:c r="E213" s="4">
        <x:f>+'Banka Lis.'!H212</x:f>
      </x:c>
      <x:c r="F213" s="254">
        <x:f>+Puantaj!AK213</x:f>
      </x:c>
      <x:c r="G213" s="33">
        <x:f>F213*1083</x:f>
      </x:c>
      <x:c r="H213" s="62">
        <x:f>G213*0.055</x:f>
      </x:c>
      <x:c r="I213" s="3">
        <x:f>G213+H213</x:f>
      </x:c>
      <x:c r="J213" s="3">
        <x:f>+G213</x:f>
      </x:c>
      <x:c r="K213" s="3">
        <x:f>J213*0.15</x:f>
      </x:c>
      <x:c r="L213" s="3">
        <x:f>IF(J213*0.15&gt;K213,K213,J213*0.15)</x:f>
      </x:c>
      <x:c r="M213" s="65">
        <x:f>IF(K213-L213&gt;0,K213-L213,0)</x:f>
      </x:c>
      <x:c r="N213" s="3">
        <x:f>G213*0.00759</x:f>
      </x:c>
      <x:c r="O213" s="3">
        <x:f>IF(G213*0.00759&gt;G213,197.38,G213*0.00759)</x:f>
      </x:c>
      <x:c r="P213" s="3">
        <x:f>IF(N213-O213&gt;0,N213-O213,0)</x:f>
      </x:c>
      <x:c r="Q213" s="65">
        <x:f>+H213</x:f>
      </x:c>
      <x:c r="R213" s="65">
        <x:v>0</x:v>
      </x:c>
      <x:c r="S213" s="3">
        <x:f>R213+Q213</x:f>
      </x:c>
      <x:c r="T213" s="3">
        <x:f>I213-S213</x:f>
      </x:c>
      <x:c r="U213" s="255"/>
    </x:row>
    <x:row r="214" spans="1:21" ht="21" customHeight="1" x14ac:dyDescent="0.2">
      <x:c r="A214" s="253">
        <x:f>+'Banka Lis.'!B213</x:f>
      </x:c>
      <x:c r="B214" s="253">
        <x:f>+Puantaj!C214</x:f>
      </x:c>
      <x:c r="C214" s="4">
        <x:f>+Puantaj!D214</x:f>
      </x:c>
      <x:c r="D214" s="4">
        <x:f>+Puantaj!E214</x:f>
      </x:c>
      <x:c r="E214" s="4">
        <x:f>+'Banka Lis.'!H213</x:f>
      </x:c>
      <x:c r="F214" s="254">
        <x:f>+Puantaj!AK214</x:f>
      </x:c>
      <x:c r="G214" s="33">
        <x:f>F214*1083</x:f>
      </x:c>
      <x:c r="H214" s="62">
        <x:f>G214*0.055</x:f>
      </x:c>
      <x:c r="I214" s="3">
        <x:f>G214+H214</x:f>
      </x:c>
      <x:c r="J214" s="3">
        <x:f>+G214</x:f>
      </x:c>
      <x:c r="K214" s="3">
        <x:f>J214*0.15</x:f>
      </x:c>
      <x:c r="L214" s="3">
        <x:f>IF(J214*0.15&gt;K214,K214,J214*0.15)</x:f>
      </x:c>
      <x:c r="M214" s="65">
        <x:f>IF(K214-L214&gt;0,K214-L214,0)</x:f>
      </x:c>
      <x:c r="N214" s="3">
        <x:f>G214*0.00759</x:f>
      </x:c>
      <x:c r="O214" s="3">
        <x:f>IF(G214*0.00759&gt;G214,197.38,G214*0.00759)</x:f>
      </x:c>
      <x:c r="P214" s="3">
        <x:f>IF(N214-O214&gt;0,N214-O214,0)</x:f>
      </x:c>
      <x:c r="Q214" s="65">
        <x:f>+H214</x:f>
      </x:c>
      <x:c r="R214" s="65">
        <x:v>0</x:v>
      </x:c>
      <x:c r="S214" s="3">
        <x:f>R214+Q214</x:f>
      </x:c>
      <x:c r="T214" s="3">
        <x:f>I214-S214</x:f>
      </x:c>
      <x:c r="U214" s="255"/>
    </x:row>
    <x:row r="215" spans="1:21" ht="21" customHeight="1" x14ac:dyDescent="0.2">
      <x:c r="A215" s="253">
        <x:f>+'Banka Lis.'!B214</x:f>
      </x:c>
      <x:c r="B215" s="253">
        <x:f>+Puantaj!C215</x:f>
      </x:c>
      <x:c r="C215" s="4">
        <x:f>+Puantaj!D215</x:f>
      </x:c>
      <x:c r="D215" s="4">
        <x:f>+Puantaj!E215</x:f>
      </x:c>
      <x:c r="E215" s="4">
        <x:f>+'Banka Lis.'!H214</x:f>
      </x:c>
      <x:c r="F215" s="254">
        <x:f>+Puantaj!AK215</x:f>
      </x:c>
      <x:c r="G215" s="33">
        <x:f>F215*1083</x:f>
      </x:c>
      <x:c r="H215" s="62">
        <x:f>G215*0.055</x:f>
      </x:c>
      <x:c r="I215" s="3">
        <x:f>G215+H215</x:f>
      </x:c>
      <x:c r="J215" s="3">
        <x:f>+G215</x:f>
      </x:c>
      <x:c r="K215" s="3">
        <x:f>J215*0.15</x:f>
      </x:c>
      <x:c r="L215" s="3">
        <x:f>IF(J215*0.15&gt;K215,K215,J215*0.15)</x:f>
      </x:c>
      <x:c r="M215" s="65">
        <x:f>IF(K215-L215&gt;0,K215-L215,0)</x:f>
      </x:c>
      <x:c r="N215" s="3">
        <x:f>G215*0.00759</x:f>
      </x:c>
      <x:c r="O215" s="3">
        <x:f>IF(G215*0.00759&gt;G215,197.38,G215*0.00759)</x:f>
      </x:c>
      <x:c r="P215" s="3">
        <x:f>IF(N215-O215&gt;0,N215-O215,0)</x:f>
      </x:c>
      <x:c r="Q215" s="65">
        <x:f>+H215</x:f>
      </x:c>
      <x:c r="R215" s="65">
        <x:v>0</x:v>
      </x:c>
      <x:c r="S215" s="3">
        <x:f>R215+Q215</x:f>
      </x:c>
      <x:c r="T215" s="3">
        <x:f>I215-S215</x:f>
      </x:c>
      <x:c r="U215" s="255"/>
    </x:row>
    <x:row r="216" spans="1:21" ht="21" customHeight="1" x14ac:dyDescent="0.2">
      <x:c r="A216" s="253">
        <x:f>+'Banka Lis.'!B215</x:f>
      </x:c>
      <x:c r="B216" s="253">
        <x:f>+Puantaj!C216</x:f>
      </x:c>
      <x:c r="C216" s="4">
        <x:f>+Puantaj!D216</x:f>
      </x:c>
      <x:c r="D216" s="4">
        <x:f>+Puantaj!E216</x:f>
      </x:c>
      <x:c r="E216" s="4">
        <x:f>+'Banka Lis.'!H215</x:f>
      </x:c>
      <x:c r="F216" s="254">
        <x:f>+Puantaj!AK216</x:f>
      </x:c>
      <x:c r="G216" s="33">
        <x:f>F216*1083</x:f>
      </x:c>
      <x:c r="H216" s="62">
        <x:f>G216*0.055</x:f>
      </x:c>
      <x:c r="I216" s="3">
        <x:f>G216+H216</x:f>
      </x:c>
      <x:c r="J216" s="3">
        <x:f>+G216</x:f>
      </x:c>
      <x:c r="K216" s="3">
        <x:f>J216*0.15</x:f>
      </x:c>
      <x:c r="L216" s="3">
        <x:f>IF(J216*0.15&gt;K216,K216,J216*0.15)</x:f>
      </x:c>
      <x:c r="M216" s="65">
        <x:f>IF(K216-L216&gt;0,K216-L216,0)</x:f>
      </x:c>
      <x:c r="N216" s="3">
        <x:f>G216*0.00759</x:f>
      </x:c>
      <x:c r="O216" s="3">
        <x:f>IF(G216*0.00759&gt;G216,197.38,G216*0.00759)</x:f>
      </x:c>
      <x:c r="P216" s="3">
        <x:f>IF(N216-O216&gt;0,N216-O216,0)</x:f>
      </x:c>
      <x:c r="Q216" s="65">
        <x:f>+H216</x:f>
      </x:c>
      <x:c r="R216" s="65">
        <x:v>0</x:v>
      </x:c>
      <x:c r="S216" s="3">
        <x:f>R216+Q216</x:f>
      </x:c>
      <x:c r="T216" s="3">
        <x:f>I216-S216</x:f>
      </x:c>
      <x:c r="U216" s="255"/>
    </x:row>
    <x:row r="217" spans="1:21" ht="21" customHeight="1" x14ac:dyDescent="0.2">
      <x:c r="A217" s="253">
        <x:f>+'Banka Lis.'!B216</x:f>
      </x:c>
      <x:c r="B217" s="253">
        <x:f>+Puantaj!C217</x:f>
      </x:c>
      <x:c r="C217" s="4">
        <x:f>+Puantaj!D217</x:f>
      </x:c>
      <x:c r="D217" s="4">
        <x:f>+Puantaj!E217</x:f>
      </x:c>
      <x:c r="E217" s="4">
        <x:f>+'Banka Lis.'!H216</x:f>
      </x:c>
      <x:c r="F217" s="254">
        <x:f>+Puantaj!AK217</x:f>
      </x:c>
      <x:c r="G217" s="33">
        <x:f>F217*1083</x:f>
      </x:c>
      <x:c r="H217" s="62">
        <x:f>G217*0.055</x:f>
      </x:c>
      <x:c r="I217" s="3">
        <x:f>G217+H217</x:f>
      </x:c>
      <x:c r="J217" s="3">
        <x:f>+G217</x:f>
      </x:c>
      <x:c r="K217" s="3">
        <x:f>J217*0.15</x:f>
      </x:c>
      <x:c r="L217" s="3">
        <x:f>IF(J217*0.15&gt;K217,K217,J217*0.15)</x:f>
      </x:c>
      <x:c r="M217" s="65">
        <x:f>IF(K217-L217&gt;0,K217-L217,0)</x:f>
      </x:c>
      <x:c r="N217" s="3">
        <x:f>G217*0.00759</x:f>
      </x:c>
      <x:c r="O217" s="3">
        <x:f>IF(G217*0.00759&gt;G217,197.38,G217*0.00759)</x:f>
      </x:c>
      <x:c r="P217" s="3">
        <x:f>IF(N217-O217&gt;0,N217-O217,0)</x:f>
      </x:c>
      <x:c r="Q217" s="65">
        <x:f>+H217</x:f>
      </x:c>
      <x:c r="R217" s="65">
        <x:v>0</x:v>
      </x:c>
      <x:c r="S217" s="3">
        <x:f>R217+Q217</x:f>
      </x:c>
      <x:c r="T217" s="3">
        <x:f>I217-S217</x:f>
      </x:c>
      <x:c r="U217" s="255"/>
    </x:row>
    <x:row r="218" spans="1:21" ht="21" customHeight="1" x14ac:dyDescent="0.2">
      <x:c r="A218" s="253">
        <x:f>+'Banka Lis.'!B217</x:f>
      </x:c>
      <x:c r="B218" s="253">
        <x:f>+Puantaj!C218</x:f>
      </x:c>
      <x:c r="C218" s="4">
        <x:f>+Puantaj!D218</x:f>
      </x:c>
      <x:c r="D218" s="4">
        <x:f>+Puantaj!E218</x:f>
      </x:c>
      <x:c r="E218" s="4">
        <x:f>+'Banka Lis.'!H217</x:f>
      </x:c>
      <x:c r="F218" s="254">
        <x:f>+Puantaj!AK218</x:f>
      </x:c>
      <x:c r="G218" s="33">
        <x:f>F218*1083</x:f>
      </x:c>
      <x:c r="H218" s="62">
        <x:f>G218*0.055</x:f>
      </x:c>
      <x:c r="I218" s="3">
        <x:f>G218+H218</x:f>
      </x:c>
      <x:c r="J218" s="3">
        <x:f>+G218</x:f>
      </x:c>
      <x:c r="K218" s="3">
        <x:f>J218*0.15</x:f>
      </x:c>
      <x:c r="L218" s="3">
        <x:f>IF(J218*0.15&gt;K218,K218,J218*0.15)</x:f>
      </x:c>
      <x:c r="M218" s="65">
        <x:f>IF(K218-L218&gt;0,K218-L218,0)</x:f>
      </x:c>
      <x:c r="N218" s="3">
        <x:f>G218*0.00759</x:f>
      </x:c>
      <x:c r="O218" s="3">
        <x:f>IF(G218*0.00759&gt;G218,197.38,G218*0.00759)</x:f>
      </x:c>
      <x:c r="P218" s="3">
        <x:f>IF(N218-O218&gt;0,N218-O218,0)</x:f>
      </x:c>
      <x:c r="Q218" s="65">
        <x:f>+H218</x:f>
      </x:c>
      <x:c r="R218" s="65">
        <x:v>0</x:v>
      </x:c>
      <x:c r="S218" s="3">
        <x:f>R218+Q218</x:f>
      </x:c>
      <x:c r="T218" s="3">
        <x:f>I218-S218</x:f>
      </x:c>
      <x:c r="U218" s="255"/>
    </x:row>
    <x:row r="219" spans="1:21" ht="21" customHeight="1" x14ac:dyDescent="0.2">
      <x:c r="A219" s="253">
        <x:f>+'Banka Lis.'!B218</x:f>
      </x:c>
      <x:c r="B219" s="253">
        <x:f>+Puantaj!C219</x:f>
      </x:c>
      <x:c r="C219" s="4">
        <x:f>+Puantaj!D219</x:f>
      </x:c>
      <x:c r="D219" s="4">
        <x:f>+Puantaj!E219</x:f>
      </x:c>
      <x:c r="E219" s="4">
        <x:f>+'Banka Lis.'!H218</x:f>
      </x:c>
      <x:c r="F219" s="254">
        <x:f>+Puantaj!AK219</x:f>
      </x:c>
      <x:c r="G219" s="33">
        <x:f>F219*1083</x:f>
      </x:c>
      <x:c r="H219" s="62">
        <x:f>G219*0.055</x:f>
      </x:c>
      <x:c r="I219" s="3">
        <x:f>G219+H219</x:f>
      </x:c>
      <x:c r="J219" s="3">
        <x:f>+G219</x:f>
      </x:c>
      <x:c r="K219" s="3">
        <x:f>J219*0.15</x:f>
      </x:c>
      <x:c r="L219" s="3">
        <x:f>IF(J219*0.15&gt;K219,K219,J219*0.15)</x:f>
      </x:c>
      <x:c r="M219" s="65">
        <x:f>IF(K219-L219&gt;0,K219-L219,0)</x:f>
      </x:c>
      <x:c r="N219" s="3">
        <x:f>G219*0.00759</x:f>
      </x:c>
      <x:c r="O219" s="3">
        <x:f>IF(G219*0.00759&gt;G219,197.38,G219*0.00759)</x:f>
      </x:c>
      <x:c r="P219" s="3">
        <x:f>IF(N219-O219&gt;0,N219-O219,0)</x:f>
      </x:c>
      <x:c r="Q219" s="65">
        <x:f>+H219</x:f>
      </x:c>
      <x:c r="R219" s="65">
        <x:v>0</x:v>
      </x:c>
      <x:c r="S219" s="3">
        <x:f>R219+Q219</x:f>
      </x:c>
      <x:c r="T219" s="3">
        <x:f>I219-S219</x:f>
      </x:c>
      <x:c r="U219" s="255"/>
    </x:row>
    <x:row r="220" spans="1:21" ht="21" customHeight="1" x14ac:dyDescent="0.2">
      <x:c r="A220" s="253">
        <x:f>+'Banka Lis.'!B219</x:f>
      </x:c>
      <x:c r="B220" s="253">
        <x:f>+Puantaj!C220</x:f>
      </x:c>
      <x:c r="C220" s="4">
        <x:f>+Puantaj!D220</x:f>
      </x:c>
      <x:c r="D220" s="4">
        <x:f>+Puantaj!E220</x:f>
      </x:c>
      <x:c r="E220" s="4">
        <x:f>+'Banka Lis.'!H219</x:f>
      </x:c>
      <x:c r="F220" s="254">
        <x:f>+Puantaj!AK220</x:f>
      </x:c>
      <x:c r="G220" s="33">
        <x:f>F220*1083</x:f>
      </x:c>
      <x:c r="H220" s="62">
        <x:f>G220*0.055</x:f>
      </x:c>
      <x:c r="I220" s="3">
        <x:f>G220+H220</x:f>
      </x:c>
      <x:c r="J220" s="3">
        <x:f>+G220</x:f>
      </x:c>
      <x:c r="K220" s="3">
        <x:f>J220*0.15</x:f>
      </x:c>
      <x:c r="L220" s="3">
        <x:f>IF(J220*0.15&gt;K220,K220,J220*0.15)</x:f>
      </x:c>
      <x:c r="M220" s="65">
        <x:f>IF(K220-L220&gt;0,K220-L220,0)</x:f>
      </x:c>
      <x:c r="N220" s="3">
        <x:f>G220*0.00759</x:f>
      </x:c>
      <x:c r="O220" s="3">
        <x:f>IF(G220*0.00759&gt;G220,197.38,G220*0.00759)</x:f>
      </x:c>
      <x:c r="P220" s="3">
        <x:f>IF(N220-O220&gt;0,N220-O220,0)</x:f>
      </x:c>
      <x:c r="Q220" s="65">
        <x:f>+H220</x:f>
      </x:c>
      <x:c r="R220" s="65">
        <x:v>0</x:v>
      </x:c>
      <x:c r="S220" s="3">
        <x:f>R220+Q220</x:f>
      </x:c>
      <x:c r="T220" s="3">
        <x:f>I220-S220</x:f>
      </x:c>
      <x:c r="U220" s="255"/>
    </x:row>
    <x:row r="221" spans="1:21" ht="21" customHeight="1" x14ac:dyDescent="0.2">
      <x:c r="A221" s="253">
        <x:f>+'Banka Lis.'!B220</x:f>
      </x:c>
      <x:c r="B221" s="253">
        <x:f>+Puantaj!C221</x:f>
      </x:c>
      <x:c r="C221" s="4">
        <x:f>+Puantaj!D221</x:f>
      </x:c>
      <x:c r="D221" s="4">
        <x:f>+Puantaj!E221</x:f>
      </x:c>
      <x:c r="E221" s="4">
        <x:f>+'Banka Lis.'!H220</x:f>
      </x:c>
      <x:c r="F221" s="254">
        <x:f>+Puantaj!AK221</x:f>
      </x:c>
      <x:c r="G221" s="33">
        <x:f>F221*1083</x:f>
      </x:c>
      <x:c r="H221" s="62">
        <x:f>G221*0.055</x:f>
      </x:c>
      <x:c r="I221" s="3">
        <x:f>G221+H221</x:f>
      </x:c>
      <x:c r="J221" s="3">
        <x:f>+G221</x:f>
      </x:c>
      <x:c r="K221" s="3">
        <x:f>J221*0.15</x:f>
      </x:c>
      <x:c r="L221" s="3">
        <x:f>IF(J221*0.15&gt;K221,K221,J221*0.15)</x:f>
      </x:c>
      <x:c r="M221" s="65">
        <x:f>IF(K221-L221&gt;0,K221-L221,0)</x:f>
      </x:c>
      <x:c r="N221" s="3">
        <x:f>G221*0.00759</x:f>
      </x:c>
      <x:c r="O221" s="3">
        <x:f>IF(G221*0.00759&gt;G221,197.38,G221*0.00759)</x:f>
      </x:c>
      <x:c r="P221" s="3">
        <x:f>IF(N221-O221&gt;0,N221-O221,0)</x:f>
      </x:c>
      <x:c r="Q221" s="65">
        <x:f>+H221</x:f>
      </x:c>
      <x:c r="R221" s="65">
        <x:v>0</x:v>
      </x:c>
      <x:c r="S221" s="3">
        <x:f>R221+Q221</x:f>
      </x:c>
      <x:c r="T221" s="3">
        <x:f>I221-S221</x:f>
      </x:c>
      <x:c r="U221" s="255"/>
    </x:row>
    <x:row r="222" spans="1:21" ht="21" customHeight="1" x14ac:dyDescent="0.2">
      <x:c r="A222" s="253">
        <x:f>+'Banka Lis.'!B221</x:f>
      </x:c>
      <x:c r="B222" s="253">
        <x:f>+Puantaj!C222</x:f>
      </x:c>
      <x:c r="C222" s="4">
        <x:f>+Puantaj!D222</x:f>
      </x:c>
      <x:c r="D222" s="4">
        <x:f>+Puantaj!E222</x:f>
      </x:c>
      <x:c r="E222" s="4">
        <x:f>+'Banka Lis.'!H221</x:f>
      </x:c>
      <x:c r="F222" s="254">
        <x:f>+Puantaj!AK222</x:f>
      </x:c>
      <x:c r="G222" s="33">
        <x:f>F222*1083</x:f>
      </x:c>
      <x:c r="H222" s="62">
        <x:f>G222*0.055</x:f>
      </x:c>
      <x:c r="I222" s="3">
        <x:f>G222+H222</x:f>
      </x:c>
      <x:c r="J222" s="3">
        <x:f>+G222</x:f>
      </x:c>
      <x:c r="K222" s="3">
        <x:f>J222*0.15</x:f>
      </x:c>
      <x:c r="L222" s="3">
        <x:f>IF(J222*0.15&gt;K222,K222,J222*0.15)</x:f>
      </x:c>
      <x:c r="M222" s="65">
        <x:f>IF(K222-L222&gt;0,K222-L222,0)</x:f>
      </x:c>
      <x:c r="N222" s="3">
        <x:f>G222*0.00759</x:f>
      </x:c>
      <x:c r="O222" s="3">
        <x:f>IF(G222*0.00759&gt;G222,197.38,G222*0.00759)</x:f>
      </x:c>
      <x:c r="P222" s="3">
        <x:f>IF(N222-O222&gt;0,N222-O222,0)</x:f>
      </x:c>
      <x:c r="Q222" s="65">
        <x:f>+H222</x:f>
      </x:c>
      <x:c r="R222" s="65">
        <x:v>0</x:v>
      </x:c>
      <x:c r="S222" s="3">
        <x:f>R222+Q222</x:f>
      </x:c>
      <x:c r="T222" s="3">
        <x:f>I222-S222</x:f>
      </x:c>
      <x:c r="U222" s="255"/>
    </x:row>
    <x:row r="223" spans="1:21" ht="21" customHeight="1" x14ac:dyDescent="0.2">
      <x:c r="A223" s="253">
        <x:f>+'Banka Lis.'!B222</x:f>
      </x:c>
      <x:c r="B223" s="253">
        <x:f>+Puantaj!C223</x:f>
      </x:c>
      <x:c r="C223" s="4">
        <x:f>+Puantaj!D223</x:f>
      </x:c>
      <x:c r="D223" s="4">
        <x:f>+Puantaj!E223</x:f>
      </x:c>
      <x:c r="E223" s="4">
        <x:f>+'Banka Lis.'!H222</x:f>
      </x:c>
      <x:c r="F223" s="254">
        <x:f>+Puantaj!AK223</x:f>
      </x:c>
      <x:c r="G223" s="33">
        <x:f>F223*1083</x:f>
      </x:c>
      <x:c r="H223" s="62">
        <x:f>G223*0.055</x:f>
      </x:c>
      <x:c r="I223" s="3">
        <x:f>G223+H223</x:f>
      </x:c>
      <x:c r="J223" s="3">
        <x:f>+G223</x:f>
      </x:c>
      <x:c r="K223" s="3">
        <x:f>J223*0.15</x:f>
      </x:c>
      <x:c r="L223" s="3">
        <x:f>IF(J223*0.15&gt;K223,K223,J223*0.15)</x:f>
      </x:c>
      <x:c r="M223" s="65">
        <x:f>IF(K223-L223&gt;0,K223-L223,0)</x:f>
      </x:c>
      <x:c r="N223" s="3">
        <x:f>G223*0.00759</x:f>
      </x:c>
      <x:c r="O223" s="3">
        <x:f>IF(G223*0.00759&gt;G223,197.38,G223*0.00759)</x:f>
      </x:c>
      <x:c r="P223" s="3">
        <x:f>IF(N223-O223&gt;0,N223-O223,0)</x:f>
      </x:c>
      <x:c r="Q223" s="65">
        <x:f>+H223</x:f>
      </x:c>
      <x:c r="R223" s="65">
        <x:v>0</x:v>
      </x:c>
      <x:c r="S223" s="3">
        <x:f>R223+Q223</x:f>
      </x:c>
      <x:c r="T223" s="3">
        <x:f>I223-S223</x:f>
      </x:c>
      <x:c r="U223" s="255"/>
    </x:row>
    <x:row r="224" spans="1:21" ht="21" customHeight="1" x14ac:dyDescent="0.2">
      <x:c r="A224" s="253">
        <x:f>+'Banka Lis.'!B223</x:f>
      </x:c>
      <x:c r="B224" s="253">
        <x:f>+Puantaj!C224</x:f>
      </x:c>
      <x:c r="C224" s="4">
        <x:f>+Puantaj!D224</x:f>
      </x:c>
      <x:c r="D224" s="4">
        <x:f>+Puantaj!E224</x:f>
      </x:c>
      <x:c r="E224" s="4">
        <x:f>+'Banka Lis.'!H223</x:f>
      </x:c>
      <x:c r="F224" s="254">
        <x:f>+Puantaj!AK224</x:f>
      </x:c>
      <x:c r="G224" s="33">
        <x:f>F224*1083</x:f>
      </x:c>
      <x:c r="H224" s="62">
        <x:f>G224*0.055</x:f>
      </x:c>
      <x:c r="I224" s="3">
        <x:f>G224+H224</x:f>
      </x:c>
      <x:c r="J224" s="3">
        <x:f>+G224</x:f>
      </x:c>
      <x:c r="K224" s="3">
        <x:f>J224*0.15</x:f>
      </x:c>
      <x:c r="L224" s="3">
        <x:f>IF(J224*0.15&gt;K224,K224,J224*0.15)</x:f>
      </x:c>
      <x:c r="M224" s="65">
        <x:f>IF(K224-L224&gt;0,K224-L224,0)</x:f>
      </x:c>
      <x:c r="N224" s="3">
        <x:f>G224*0.00759</x:f>
      </x:c>
      <x:c r="O224" s="3">
        <x:f>IF(G224*0.00759&gt;G224,197.38,G224*0.00759)</x:f>
      </x:c>
      <x:c r="P224" s="3">
        <x:f>IF(N224-O224&gt;0,N224-O224,0)</x:f>
      </x:c>
      <x:c r="Q224" s="65">
        <x:f>+H224</x:f>
      </x:c>
      <x:c r="R224" s="65">
        <x:v>0</x:v>
      </x:c>
      <x:c r="S224" s="3">
        <x:f>R224+Q224</x:f>
      </x:c>
      <x:c r="T224" s="3">
        <x:f>I224-S224</x:f>
      </x:c>
      <x:c r="U224" s="255"/>
    </x:row>
    <x:row r="225" spans="1:21" ht="21" customHeight="1" x14ac:dyDescent="0.2">
      <x:c r="A225" s="253">
        <x:f>+'Banka Lis.'!B224</x:f>
      </x:c>
      <x:c r="B225" s="253">
        <x:f>+Puantaj!C225</x:f>
      </x:c>
      <x:c r="C225" s="4">
        <x:f>+Puantaj!D225</x:f>
      </x:c>
      <x:c r="D225" s="4">
        <x:f>+Puantaj!E225</x:f>
      </x:c>
      <x:c r="E225" s="4">
        <x:f>+'Banka Lis.'!H224</x:f>
      </x:c>
      <x:c r="F225" s="254">
        <x:f>+Puantaj!AK225</x:f>
      </x:c>
      <x:c r="G225" s="33">
        <x:f>F225*1083</x:f>
      </x:c>
      <x:c r="H225" s="62">
        <x:f>G225*0.055</x:f>
      </x:c>
      <x:c r="I225" s="3">
        <x:f>G225+H225</x:f>
      </x:c>
      <x:c r="J225" s="3">
        <x:f>+G225</x:f>
      </x:c>
      <x:c r="K225" s="3">
        <x:f>J225*0.15</x:f>
      </x:c>
      <x:c r="L225" s="3">
        <x:f>IF(J225*0.15&gt;K225,K225,J225*0.15)</x:f>
      </x:c>
      <x:c r="M225" s="65">
        <x:f>IF(K225-L225&gt;0,K225-L225,0)</x:f>
      </x:c>
      <x:c r="N225" s="3">
        <x:f>G225*0.00759</x:f>
      </x:c>
      <x:c r="O225" s="3">
        <x:f>IF(G225*0.00759&gt;G225,197.38,G225*0.00759)</x:f>
      </x:c>
      <x:c r="P225" s="3">
        <x:f>IF(N225-O225&gt;0,N225-O225,0)</x:f>
      </x:c>
      <x:c r="Q225" s="65">
        <x:f>+H225</x:f>
      </x:c>
      <x:c r="R225" s="65">
        <x:v>0</x:v>
      </x:c>
      <x:c r="S225" s="3">
        <x:f>R225+Q225</x:f>
      </x:c>
      <x:c r="T225" s="3">
        <x:f>I225-S225</x:f>
      </x:c>
      <x:c r="U225" s="255"/>
    </x:row>
    <x:row r="226" spans="1:21" ht="21" customHeight="1" x14ac:dyDescent="0.2">
      <x:c r="A226" s="253">
        <x:f>+'Banka Lis.'!B225</x:f>
      </x:c>
      <x:c r="B226" s="253">
        <x:f>+Puantaj!C226</x:f>
      </x:c>
      <x:c r="C226" s="4">
        <x:f>+Puantaj!D226</x:f>
      </x:c>
      <x:c r="D226" s="4">
        <x:f>+Puantaj!E226</x:f>
      </x:c>
      <x:c r="E226" s="4">
        <x:f>+'Banka Lis.'!H225</x:f>
      </x:c>
      <x:c r="F226" s="254">
        <x:f>+Puantaj!AK226</x:f>
      </x:c>
      <x:c r="G226" s="33">
        <x:f>F226*1083</x:f>
      </x:c>
      <x:c r="H226" s="62">
        <x:f>G226*0.055</x:f>
      </x:c>
      <x:c r="I226" s="3">
        <x:f>G226+H226</x:f>
      </x:c>
      <x:c r="J226" s="3">
        <x:f>+G226</x:f>
      </x:c>
      <x:c r="K226" s="3">
        <x:f>J226*0.15</x:f>
      </x:c>
      <x:c r="L226" s="3">
        <x:f>IF(J226*0.15&gt;K226,K226,J226*0.15)</x:f>
      </x:c>
      <x:c r="M226" s="65">
        <x:f>IF(K226-L226&gt;0,K226-L226,0)</x:f>
      </x:c>
      <x:c r="N226" s="3">
        <x:f>G226*0.00759</x:f>
      </x:c>
      <x:c r="O226" s="3">
        <x:f>IF(G226*0.00759&gt;G226,197.38,G226*0.00759)</x:f>
      </x:c>
      <x:c r="P226" s="3">
        <x:f>IF(N226-O226&gt;0,N226-O226,0)</x:f>
      </x:c>
      <x:c r="Q226" s="65">
        <x:f>+H226</x:f>
      </x:c>
      <x:c r="R226" s="65">
        <x:v>0</x:v>
      </x:c>
      <x:c r="S226" s="3">
        <x:f>R226+Q226</x:f>
      </x:c>
      <x:c r="T226" s="3">
        <x:f>I226-S226</x:f>
      </x:c>
      <x:c r="U226" s="255"/>
    </x:row>
    <x:row r="227" spans="1:21" ht="21" customHeight="1" x14ac:dyDescent="0.2">
      <x:c r="A227" s="253">
        <x:f>+'Banka Lis.'!B226</x:f>
      </x:c>
      <x:c r="B227" s="253">
        <x:f>+Puantaj!C227</x:f>
      </x:c>
      <x:c r="C227" s="4">
        <x:f>+Puantaj!D227</x:f>
      </x:c>
      <x:c r="D227" s="4">
        <x:f>+Puantaj!E227</x:f>
      </x:c>
      <x:c r="E227" s="4">
        <x:f>+'Banka Lis.'!H226</x:f>
      </x:c>
      <x:c r="F227" s="254">
        <x:f>+Puantaj!AK227</x:f>
      </x:c>
      <x:c r="G227" s="33">
        <x:f>F227*1083</x:f>
      </x:c>
      <x:c r="H227" s="62">
        <x:f>G227*0.055</x:f>
      </x:c>
      <x:c r="I227" s="3">
        <x:f>G227+H227</x:f>
      </x:c>
      <x:c r="J227" s="3">
        <x:f>+G227</x:f>
      </x:c>
      <x:c r="K227" s="3">
        <x:f>J227*0.15</x:f>
      </x:c>
      <x:c r="L227" s="3">
        <x:f>IF(J227*0.15&gt;K227,K227,J227*0.15)</x:f>
      </x:c>
      <x:c r="M227" s="65">
        <x:f>IF(K227-L227&gt;0,K227-L227,0)</x:f>
      </x:c>
      <x:c r="N227" s="3">
        <x:f>G227*0.00759</x:f>
      </x:c>
      <x:c r="O227" s="3">
        <x:f>IF(G227*0.00759&gt;G227,197.38,G227*0.00759)</x:f>
      </x:c>
      <x:c r="P227" s="3">
        <x:f>IF(N227-O227&gt;0,N227-O227,0)</x:f>
      </x:c>
      <x:c r="Q227" s="65">
        <x:f>+H227</x:f>
      </x:c>
      <x:c r="R227" s="65">
        <x:v>0</x:v>
      </x:c>
      <x:c r="S227" s="3">
        <x:f>R227+Q227</x:f>
      </x:c>
      <x:c r="T227" s="3">
        <x:f>I227-S227</x:f>
      </x:c>
      <x:c r="U227" s="255"/>
    </x:row>
    <x:row r="228" spans="1:21" ht="21" customHeight="1" x14ac:dyDescent="0.2">
      <x:c r="A228" s="253">
        <x:f>+'Banka Lis.'!B227</x:f>
      </x:c>
      <x:c r="B228" s="253">
        <x:f>+Puantaj!C228</x:f>
      </x:c>
      <x:c r="C228" s="4">
        <x:f>+Puantaj!D228</x:f>
      </x:c>
      <x:c r="D228" s="4">
        <x:f>+Puantaj!E228</x:f>
      </x:c>
      <x:c r="E228" s="4">
        <x:f>+'Banka Lis.'!H227</x:f>
      </x:c>
      <x:c r="F228" s="254">
        <x:f>+Puantaj!AK228</x:f>
      </x:c>
      <x:c r="G228" s="33">
        <x:f>F228*1083</x:f>
      </x:c>
      <x:c r="H228" s="62">
        <x:f>G228*0.055</x:f>
      </x:c>
      <x:c r="I228" s="3">
        <x:f>G228+H228</x:f>
      </x:c>
      <x:c r="J228" s="3">
        <x:f>+G228</x:f>
      </x:c>
      <x:c r="K228" s="3">
        <x:f>J228*0.15</x:f>
      </x:c>
      <x:c r="L228" s="3">
        <x:f>IF(J228*0.15&gt;K228,K228,J228*0.15)</x:f>
      </x:c>
      <x:c r="M228" s="65">
        <x:f>IF(K228-L228&gt;0,K228-L228,0)</x:f>
      </x:c>
      <x:c r="N228" s="3">
        <x:f>G228*0.00759</x:f>
      </x:c>
      <x:c r="O228" s="3">
        <x:f>IF(G228*0.00759&gt;G228,197.38,G228*0.00759)</x:f>
      </x:c>
      <x:c r="P228" s="3">
        <x:f>IF(N228-O228&gt;0,N228-O228,0)</x:f>
      </x:c>
      <x:c r="Q228" s="65">
        <x:f>+H228</x:f>
      </x:c>
      <x:c r="R228" s="65">
        <x:v>0</x:v>
      </x:c>
      <x:c r="S228" s="3">
        <x:f>R228+Q228</x:f>
      </x:c>
      <x:c r="T228" s="3">
        <x:f>I228-S228</x:f>
      </x:c>
      <x:c r="U228" s="255"/>
    </x:row>
    <x:row r="229" spans="1:21" ht="21" customHeight="1" x14ac:dyDescent="0.2">
      <x:c r="A229" s="253">
        <x:f>+'Banka Lis.'!B228</x:f>
      </x:c>
      <x:c r="B229" s="253">
        <x:f>+Puantaj!C229</x:f>
      </x:c>
      <x:c r="C229" s="4">
        <x:f>+Puantaj!D229</x:f>
      </x:c>
      <x:c r="D229" s="4">
        <x:f>+Puantaj!E229</x:f>
      </x:c>
      <x:c r="E229" s="4">
        <x:f>+'Banka Lis.'!H228</x:f>
      </x:c>
      <x:c r="F229" s="254">
        <x:f>+Puantaj!AK229</x:f>
      </x:c>
      <x:c r="G229" s="33">
        <x:f>F229*1083</x:f>
      </x:c>
      <x:c r="H229" s="62">
        <x:f>G229*0.055</x:f>
      </x:c>
      <x:c r="I229" s="3">
        <x:f>G229+H229</x:f>
      </x:c>
      <x:c r="J229" s="3">
        <x:f>+G229</x:f>
      </x:c>
      <x:c r="K229" s="3">
        <x:f>J229*0.15</x:f>
      </x:c>
      <x:c r="L229" s="3">
        <x:f>IF(J229*0.15&gt;K229,K229,J229*0.15)</x:f>
      </x:c>
      <x:c r="M229" s="65">
        <x:f>IF(K229-L229&gt;0,K229-L229,0)</x:f>
      </x:c>
      <x:c r="N229" s="3">
        <x:f>G229*0.00759</x:f>
      </x:c>
      <x:c r="O229" s="3">
        <x:f>IF(G229*0.00759&gt;G229,197.38,G229*0.00759)</x:f>
      </x:c>
      <x:c r="P229" s="3">
        <x:f>IF(N229-O229&gt;0,N229-O229,0)</x:f>
      </x:c>
      <x:c r="Q229" s="65">
        <x:f>+H229</x:f>
      </x:c>
      <x:c r="R229" s="65">
        <x:v>0</x:v>
      </x:c>
      <x:c r="S229" s="3">
        <x:f>R229+Q229</x:f>
      </x:c>
      <x:c r="T229" s="3">
        <x:f>I229-S229</x:f>
      </x:c>
      <x:c r="U229" s="255"/>
    </x:row>
    <x:row r="230" spans="1:21" ht="21" customHeight="1" x14ac:dyDescent="0.2">
      <x:c r="A230" s="253">
        <x:f>+'Banka Lis.'!B229</x:f>
      </x:c>
      <x:c r="B230" s="253">
        <x:f>+Puantaj!C230</x:f>
      </x:c>
      <x:c r="C230" s="4">
        <x:f>+Puantaj!D230</x:f>
      </x:c>
      <x:c r="D230" s="4">
        <x:f>+Puantaj!E230</x:f>
      </x:c>
      <x:c r="E230" s="4">
        <x:f>+'Banka Lis.'!H229</x:f>
      </x:c>
      <x:c r="F230" s="254">
        <x:f>+Puantaj!AK230</x:f>
      </x:c>
      <x:c r="G230" s="33">
        <x:f>F230*1083</x:f>
      </x:c>
      <x:c r="H230" s="62">
        <x:f>G230*0.055</x:f>
      </x:c>
      <x:c r="I230" s="3">
        <x:f>G230+H230</x:f>
      </x:c>
      <x:c r="J230" s="3">
        <x:f>+G230</x:f>
      </x:c>
      <x:c r="K230" s="3">
        <x:f>J230*0.15</x:f>
      </x:c>
      <x:c r="L230" s="3">
        <x:f>IF(J230*0.15&gt;K230,K230,J230*0.15)</x:f>
      </x:c>
      <x:c r="M230" s="65">
        <x:f>IF(K230-L230&gt;0,K230-L230,0)</x:f>
      </x:c>
      <x:c r="N230" s="3">
        <x:f>G230*0.00759</x:f>
      </x:c>
      <x:c r="O230" s="3">
        <x:f>IF(G230*0.00759&gt;G230,197.38,G230*0.00759)</x:f>
      </x:c>
      <x:c r="P230" s="3">
        <x:f>IF(N230-O230&gt;0,N230-O230,0)</x:f>
      </x:c>
      <x:c r="Q230" s="65">
        <x:f>+H230</x:f>
      </x:c>
      <x:c r="R230" s="65">
        <x:v>0</x:v>
      </x:c>
      <x:c r="S230" s="3">
        <x:f>R230+Q230</x:f>
      </x:c>
      <x:c r="T230" s="3">
        <x:f>I230-S230</x:f>
      </x:c>
      <x:c r="U230" s="255"/>
    </x:row>
    <x:row r="231" spans="1:21" ht="21" customHeight="1" x14ac:dyDescent="0.2">
      <x:c r="A231" s="253">
        <x:f>+'Banka Lis.'!B230</x:f>
      </x:c>
      <x:c r="B231" s="253">
        <x:f>+Puantaj!C231</x:f>
      </x:c>
      <x:c r="C231" s="4">
        <x:f>+Puantaj!D231</x:f>
      </x:c>
      <x:c r="D231" s="4">
        <x:f>+Puantaj!E231</x:f>
      </x:c>
      <x:c r="E231" s="4">
        <x:f>+'Banka Lis.'!H230</x:f>
      </x:c>
      <x:c r="F231" s="254">
        <x:f>+Puantaj!AK231</x:f>
      </x:c>
      <x:c r="G231" s="33">
        <x:f>F231*1083</x:f>
      </x:c>
      <x:c r="H231" s="62">
        <x:f>G231*0.055</x:f>
      </x:c>
      <x:c r="I231" s="3">
        <x:f>G231+H231</x:f>
      </x:c>
      <x:c r="J231" s="3">
        <x:f>+G231</x:f>
      </x:c>
      <x:c r="K231" s="3">
        <x:f>J231*0.15</x:f>
      </x:c>
      <x:c r="L231" s="3">
        <x:f>IF(J231*0.15&gt;K231,K231,J231*0.15)</x:f>
      </x:c>
      <x:c r="M231" s="65">
        <x:f>IF(K231-L231&gt;0,K231-L231,0)</x:f>
      </x:c>
      <x:c r="N231" s="3">
        <x:f>G231*0.00759</x:f>
      </x:c>
      <x:c r="O231" s="3">
        <x:f>IF(G231*0.00759&gt;G231,197.38,G231*0.00759)</x:f>
      </x:c>
      <x:c r="P231" s="3">
        <x:f>IF(N231-O231&gt;0,N231-O231,0)</x:f>
      </x:c>
      <x:c r="Q231" s="65">
        <x:f>+H231</x:f>
      </x:c>
      <x:c r="R231" s="65">
        <x:v>0</x:v>
      </x:c>
      <x:c r="S231" s="3">
        <x:f>R231+Q231</x:f>
      </x:c>
      <x:c r="T231" s="3">
        <x:f>I231-S231</x:f>
      </x:c>
      <x:c r="U231" s="255"/>
    </x:row>
    <x:row r="232" spans="1:21" ht="21" customHeight="1" x14ac:dyDescent="0.2">
      <x:c r="A232" s="253">
        <x:f>+'Banka Lis.'!B231</x:f>
      </x:c>
      <x:c r="B232" s="253">
        <x:f>+Puantaj!C232</x:f>
      </x:c>
      <x:c r="C232" s="4">
        <x:f>+Puantaj!D232</x:f>
      </x:c>
      <x:c r="D232" s="4">
        <x:f>+Puantaj!E232</x:f>
      </x:c>
      <x:c r="E232" s="4">
        <x:f>+'Banka Lis.'!H231</x:f>
      </x:c>
      <x:c r="F232" s="254">
        <x:f>+Puantaj!AK232</x:f>
      </x:c>
      <x:c r="G232" s="33">
        <x:f>F232*1083</x:f>
      </x:c>
      <x:c r="H232" s="62">
        <x:f>G232*0.055</x:f>
      </x:c>
      <x:c r="I232" s="3">
        <x:f>G232+H232</x:f>
      </x:c>
      <x:c r="J232" s="3">
        <x:f>+G232</x:f>
      </x:c>
      <x:c r="K232" s="3">
        <x:f>J232*0.15</x:f>
      </x:c>
      <x:c r="L232" s="3">
        <x:f>IF(J232*0.15&gt;K232,K232,J232*0.15)</x:f>
      </x:c>
      <x:c r="M232" s="65">
        <x:f>IF(K232-L232&gt;0,K232-L232,0)</x:f>
      </x:c>
      <x:c r="N232" s="3">
        <x:f>G232*0.00759</x:f>
      </x:c>
      <x:c r="O232" s="3">
        <x:f>IF(G232*0.00759&gt;G232,197.38,G232*0.00759)</x:f>
      </x:c>
      <x:c r="P232" s="3">
        <x:f>IF(N232-O232&gt;0,N232-O232,0)</x:f>
      </x:c>
      <x:c r="Q232" s="65">
        <x:f>+H232</x:f>
      </x:c>
      <x:c r="R232" s="65">
        <x:v>0</x:v>
      </x:c>
      <x:c r="S232" s="3">
        <x:f>R232+Q232</x:f>
      </x:c>
      <x:c r="T232" s="3">
        <x:f>I232-S232</x:f>
      </x:c>
      <x:c r="U232" s="255"/>
    </x:row>
    <x:row r="233" spans="1:21" ht="21" customHeight="1" x14ac:dyDescent="0.2">
      <x:c r="A233" s="253">
        <x:f>+'Banka Lis.'!B232</x:f>
      </x:c>
      <x:c r="B233" s="253">
        <x:f>+Puantaj!C233</x:f>
      </x:c>
      <x:c r="C233" s="4">
        <x:f>+Puantaj!D233</x:f>
      </x:c>
      <x:c r="D233" s="4">
        <x:f>+Puantaj!E233</x:f>
      </x:c>
      <x:c r="E233" s="4">
        <x:f>+'Banka Lis.'!H232</x:f>
      </x:c>
      <x:c r="F233" s="254">
        <x:f>+Puantaj!AK233</x:f>
      </x:c>
      <x:c r="G233" s="33">
        <x:f>F233*1083</x:f>
      </x:c>
      <x:c r="H233" s="62">
        <x:f>G233*0.055</x:f>
      </x:c>
      <x:c r="I233" s="3">
        <x:f>G233+H233</x:f>
      </x:c>
      <x:c r="J233" s="3">
        <x:f>+G233</x:f>
      </x:c>
      <x:c r="K233" s="3">
        <x:f>J233*0.15</x:f>
      </x:c>
      <x:c r="L233" s="3">
        <x:f>IF(J233*0.15&gt;K233,K233,J233*0.15)</x:f>
      </x:c>
      <x:c r="M233" s="65">
        <x:f>IF(K233-L233&gt;0,K233-L233,0)</x:f>
      </x:c>
      <x:c r="N233" s="3">
        <x:f>G233*0.00759</x:f>
      </x:c>
      <x:c r="O233" s="3">
        <x:f>IF(G233*0.00759&gt;G233,197.38,G233*0.00759)</x:f>
      </x:c>
      <x:c r="P233" s="3">
        <x:f>IF(N233-O233&gt;0,N233-O233,0)</x:f>
      </x:c>
      <x:c r="Q233" s="65">
        <x:f>+H233</x:f>
      </x:c>
      <x:c r="R233" s="65">
        <x:v>0</x:v>
      </x:c>
      <x:c r="S233" s="3">
        <x:f>R233+Q233</x:f>
      </x:c>
      <x:c r="T233" s="3">
        <x:f>I233-S233</x:f>
      </x:c>
      <x:c r="U233" s="255"/>
    </x:row>
    <x:row r="234" spans="1:21" ht="21" customHeight="1" x14ac:dyDescent="0.2">
      <x:c r="A234" s="253">
        <x:f>+'Banka Lis.'!B233</x:f>
      </x:c>
      <x:c r="B234" s="253">
        <x:f>+Puantaj!C234</x:f>
      </x:c>
      <x:c r="C234" s="4">
        <x:f>+Puantaj!D234</x:f>
      </x:c>
      <x:c r="D234" s="4">
        <x:f>+Puantaj!E234</x:f>
      </x:c>
      <x:c r="E234" s="4">
        <x:f>+'Banka Lis.'!H233</x:f>
      </x:c>
      <x:c r="F234" s="254">
        <x:f>+Puantaj!AK234</x:f>
      </x:c>
      <x:c r="G234" s="33">
        <x:f>F234*1083</x:f>
      </x:c>
      <x:c r="H234" s="62">
        <x:f>G234*0.055</x:f>
      </x:c>
      <x:c r="I234" s="3">
        <x:f>G234+H234</x:f>
      </x:c>
      <x:c r="J234" s="3">
        <x:f>+G234</x:f>
      </x:c>
      <x:c r="K234" s="3">
        <x:f>J234*0.15</x:f>
      </x:c>
      <x:c r="L234" s="3">
        <x:f>IF(J234*0.15&gt;K234,K234,J234*0.15)</x:f>
      </x:c>
      <x:c r="M234" s="65">
        <x:f>IF(K234-L234&gt;0,K234-L234,0)</x:f>
      </x:c>
      <x:c r="N234" s="3">
        <x:f>G234*0.00759</x:f>
      </x:c>
      <x:c r="O234" s="3">
        <x:f>IF(G234*0.00759&gt;G234,197.38,G234*0.00759)</x:f>
      </x:c>
      <x:c r="P234" s="3">
        <x:f>IF(N234-O234&gt;0,N234-O234,0)</x:f>
      </x:c>
      <x:c r="Q234" s="65">
        <x:f>+H234</x:f>
      </x:c>
      <x:c r="R234" s="65">
        <x:v>0</x:v>
      </x:c>
      <x:c r="S234" s="3">
        <x:f>R234+Q234</x:f>
      </x:c>
      <x:c r="T234" s="3">
        <x:f>I234-S234</x:f>
      </x:c>
      <x:c r="U234" s="255"/>
    </x:row>
    <x:row r="235" spans="1:21" ht="21" customHeight="1" x14ac:dyDescent="0.2">
      <x:c r="A235" s="253">
        <x:f>+'Banka Lis.'!B234</x:f>
      </x:c>
      <x:c r="B235" s="253">
        <x:f>+Puantaj!C235</x:f>
      </x:c>
      <x:c r="C235" s="4">
        <x:f>+Puantaj!D235</x:f>
      </x:c>
      <x:c r="D235" s="4">
        <x:f>+Puantaj!E235</x:f>
      </x:c>
      <x:c r="E235" s="4">
        <x:f>+'Banka Lis.'!H234</x:f>
      </x:c>
      <x:c r="F235" s="254">
        <x:f>+Puantaj!AK235</x:f>
      </x:c>
      <x:c r="G235" s="33">
        <x:f>F235*1083</x:f>
      </x:c>
      <x:c r="H235" s="62">
        <x:f>G235*0.055</x:f>
      </x:c>
      <x:c r="I235" s="3">
        <x:f>G235+H235</x:f>
      </x:c>
      <x:c r="J235" s="3">
        <x:f>+G235</x:f>
      </x:c>
      <x:c r="K235" s="3">
        <x:f>J235*0.15</x:f>
      </x:c>
      <x:c r="L235" s="3">
        <x:f>IF(J235*0.15&gt;K235,K235,J235*0.15)</x:f>
      </x:c>
      <x:c r="M235" s="65">
        <x:f>IF(K235-L235&gt;0,K235-L235,0)</x:f>
      </x:c>
      <x:c r="N235" s="3">
        <x:f>G235*0.00759</x:f>
      </x:c>
      <x:c r="O235" s="3">
        <x:f>IF(G235*0.00759&gt;G235,197.38,G235*0.00759)</x:f>
      </x:c>
      <x:c r="P235" s="3">
        <x:f>IF(N235-O235&gt;0,N235-O235,0)</x:f>
      </x:c>
      <x:c r="Q235" s="65">
        <x:f>+H235</x:f>
      </x:c>
      <x:c r="R235" s="65">
        <x:v>0</x:v>
      </x:c>
      <x:c r="S235" s="3">
        <x:f>R235+Q235</x:f>
      </x:c>
      <x:c r="T235" s="3">
        <x:f>I235-S235</x:f>
      </x:c>
      <x:c r="U235" s="255"/>
    </x:row>
    <x:row r="236" spans="1:21" ht="21" customHeight="1" x14ac:dyDescent="0.2">
      <x:c r="A236" s="253">
        <x:f>+'Banka Lis.'!B235</x:f>
      </x:c>
      <x:c r="B236" s="253">
        <x:f>+Puantaj!C236</x:f>
      </x:c>
      <x:c r="C236" s="4">
        <x:f>+Puantaj!D236</x:f>
      </x:c>
      <x:c r="D236" s="4">
        <x:f>+Puantaj!E236</x:f>
      </x:c>
      <x:c r="E236" s="4">
        <x:f>+'Banka Lis.'!H235</x:f>
      </x:c>
      <x:c r="F236" s="254">
        <x:f>+Puantaj!AK236</x:f>
      </x:c>
      <x:c r="G236" s="33">
        <x:f>F236*1083</x:f>
      </x:c>
      <x:c r="H236" s="62">
        <x:f>G236*0.055</x:f>
      </x:c>
      <x:c r="I236" s="3">
        <x:f>G236+H236</x:f>
      </x:c>
      <x:c r="J236" s="3">
        <x:f>+G236</x:f>
      </x:c>
      <x:c r="K236" s="3">
        <x:f>J236*0.15</x:f>
      </x:c>
      <x:c r="L236" s="3">
        <x:f>IF(J236*0.15&gt;K236,K236,J236*0.15)</x:f>
      </x:c>
      <x:c r="M236" s="65">
        <x:f>IF(K236-L236&gt;0,K236-L236,0)</x:f>
      </x:c>
      <x:c r="N236" s="3">
        <x:f>G236*0.00759</x:f>
      </x:c>
      <x:c r="O236" s="3">
        <x:f>IF(G236*0.00759&gt;G236,197.38,G236*0.00759)</x:f>
      </x:c>
      <x:c r="P236" s="3">
        <x:f>IF(N236-O236&gt;0,N236-O236,0)</x:f>
      </x:c>
      <x:c r="Q236" s="65">
        <x:f>+H236</x:f>
      </x:c>
      <x:c r="R236" s="65">
        <x:v>0</x:v>
      </x:c>
      <x:c r="S236" s="3">
        <x:f>R236+Q236</x:f>
      </x:c>
      <x:c r="T236" s="3">
        <x:f>I236-S236</x:f>
      </x:c>
      <x:c r="U236" s="255"/>
    </x:row>
    <x:row r="237" spans="1:21" ht="21" customHeight="1" x14ac:dyDescent="0.2">
      <x:c r="A237" s="253">
        <x:f>+'Banka Lis.'!B236</x:f>
      </x:c>
      <x:c r="B237" s="253">
        <x:f>+Puantaj!C237</x:f>
      </x:c>
      <x:c r="C237" s="4">
        <x:f>+Puantaj!D237</x:f>
      </x:c>
      <x:c r="D237" s="4">
        <x:f>+Puantaj!E237</x:f>
      </x:c>
      <x:c r="E237" s="4">
        <x:f>+'Banka Lis.'!H236</x:f>
      </x:c>
      <x:c r="F237" s="254">
        <x:f>+Puantaj!AK237</x:f>
      </x:c>
      <x:c r="G237" s="33">
        <x:f>F237*1083</x:f>
      </x:c>
      <x:c r="H237" s="62">
        <x:f>G237*0.055</x:f>
      </x:c>
      <x:c r="I237" s="3">
        <x:f>G237+H237</x:f>
      </x:c>
      <x:c r="J237" s="3">
        <x:f>+G237</x:f>
      </x:c>
      <x:c r="K237" s="3">
        <x:f>J237*0.15</x:f>
      </x:c>
      <x:c r="L237" s="3">
        <x:f>IF(J237*0.15&gt;K237,K237,J237*0.15)</x:f>
      </x:c>
      <x:c r="M237" s="65">
        <x:f>IF(K237-L237&gt;0,K237-L237,0)</x:f>
      </x:c>
      <x:c r="N237" s="3">
        <x:f>G237*0.00759</x:f>
      </x:c>
      <x:c r="O237" s="3">
        <x:f>IF(G237*0.00759&gt;G237,197.38,G237*0.00759)</x:f>
      </x:c>
      <x:c r="P237" s="3">
        <x:f>IF(N237-O237&gt;0,N237-O237,0)</x:f>
      </x:c>
      <x:c r="Q237" s="65">
        <x:f>+H237</x:f>
      </x:c>
      <x:c r="R237" s="65">
        <x:v>0</x:v>
      </x:c>
      <x:c r="S237" s="3">
        <x:f>R237+Q237</x:f>
      </x:c>
      <x:c r="T237" s="3">
        <x:f>I237-S237</x:f>
      </x:c>
      <x:c r="U237" s="255"/>
    </x:row>
    <x:row r="238" spans="1:21" ht="21" customHeight="1" x14ac:dyDescent="0.2">
      <x:c r="A238" s="253">
        <x:f>+'Banka Lis.'!B237</x:f>
      </x:c>
      <x:c r="B238" s="253">
        <x:f>+Puantaj!C238</x:f>
      </x:c>
      <x:c r="C238" s="4">
        <x:f>+Puantaj!D238</x:f>
      </x:c>
      <x:c r="D238" s="4">
        <x:f>+Puantaj!E238</x:f>
      </x:c>
      <x:c r="E238" s="4">
        <x:f>+'Banka Lis.'!H237</x:f>
      </x:c>
      <x:c r="F238" s="254">
        <x:f>+Puantaj!AK238</x:f>
      </x:c>
      <x:c r="G238" s="33">
        <x:f>F238*1083</x:f>
      </x:c>
      <x:c r="H238" s="62">
        <x:f>G238*0.055</x:f>
      </x:c>
      <x:c r="I238" s="3">
        <x:f>G238+H238</x:f>
      </x:c>
      <x:c r="J238" s="3">
        <x:f>+G238</x:f>
      </x:c>
      <x:c r="K238" s="3">
        <x:f>J238*0.15</x:f>
      </x:c>
      <x:c r="L238" s="3">
        <x:f>IF(J238*0.15&gt;K238,K238,J238*0.15)</x:f>
      </x:c>
      <x:c r="M238" s="65">
        <x:f>IF(K238-L238&gt;0,K238-L238,0)</x:f>
      </x:c>
      <x:c r="N238" s="3">
        <x:f>G238*0.00759</x:f>
      </x:c>
      <x:c r="O238" s="3">
        <x:f>IF(G238*0.00759&gt;G238,197.38,G238*0.00759)</x:f>
      </x:c>
      <x:c r="P238" s="3">
        <x:f>IF(N238-O238&gt;0,N238-O238,0)</x:f>
      </x:c>
      <x:c r="Q238" s="65">
        <x:f>+H238</x:f>
      </x:c>
      <x:c r="R238" s="65">
        <x:v>0</x:v>
      </x:c>
      <x:c r="S238" s="3">
        <x:f>R238+Q238</x:f>
      </x:c>
      <x:c r="T238" s="3">
        <x:f>I238-S238</x:f>
      </x:c>
      <x:c r="U238" s="255"/>
    </x:row>
    <x:row r="239" spans="1:21" ht="21" customHeight="1" x14ac:dyDescent="0.2">
      <x:c r="A239" s="253">
        <x:f>+'Banka Lis.'!B238</x:f>
      </x:c>
      <x:c r="B239" s="253">
        <x:f>+Puantaj!C239</x:f>
      </x:c>
      <x:c r="C239" s="4">
        <x:f>+Puantaj!D239</x:f>
      </x:c>
      <x:c r="D239" s="4">
        <x:f>+Puantaj!E239</x:f>
      </x:c>
      <x:c r="E239" s="4">
        <x:f>+'Banka Lis.'!H238</x:f>
      </x:c>
      <x:c r="F239" s="254">
        <x:f>+Puantaj!AK239</x:f>
      </x:c>
      <x:c r="G239" s="33">
        <x:f>F239*1083</x:f>
      </x:c>
      <x:c r="H239" s="62">
        <x:f>G239*0.055</x:f>
      </x:c>
      <x:c r="I239" s="3">
        <x:f>G239+H239</x:f>
      </x:c>
      <x:c r="J239" s="3">
        <x:f>+G239</x:f>
      </x:c>
      <x:c r="K239" s="3">
        <x:f>J239*0.15</x:f>
      </x:c>
      <x:c r="L239" s="3">
        <x:f>IF(J239*0.15&gt;K239,K239,J239*0.15)</x:f>
      </x:c>
      <x:c r="M239" s="65">
        <x:f>IF(K239-L239&gt;0,K239-L239,0)</x:f>
      </x:c>
      <x:c r="N239" s="3">
        <x:f>G239*0.00759</x:f>
      </x:c>
      <x:c r="O239" s="3">
        <x:f>IF(G239*0.00759&gt;G239,197.38,G239*0.00759)</x:f>
      </x:c>
      <x:c r="P239" s="3">
        <x:f>IF(N239-O239&gt;0,N239-O239,0)</x:f>
      </x:c>
      <x:c r="Q239" s="65">
        <x:f>+H239</x:f>
      </x:c>
      <x:c r="R239" s="65">
        <x:v>0</x:v>
      </x:c>
      <x:c r="S239" s="3">
        <x:f>R239+Q239</x:f>
      </x:c>
      <x:c r="T239" s="3">
        <x:f>I239-S239</x:f>
      </x:c>
      <x:c r="U239" s="255"/>
    </x:row>
    <x:row r="240" spans="1:21" ht="21" customHeight="1" x14ac:dyDescent="0.2">
      <x:c r="A240" s="253">
        <x:f>+'Banka Lis.'!B239</x:f>
      </x:c>
      <x:c r="B240" s="253">
        <x:f>+Puantaj!C240</x:f>
      </x:c>
      <x:c r="C240" s="4">
        <x:f>+Puantaj!D240</x:f>
      </x:c>
      <x:c r="D240" s="4">
        <x:f>+Puantaj!E240</x:f>
      </x:c>
      <x:c r="E240" s="4">
        <x:f>+'Banka Lis.'!H239</x:f>
      </x:c>
      <x:c r="F240" s="254">
        <x:f>+Puantaj!AK240</x:f>
      </x:c>
      <x:c r="G240" s="33">
        <x:f>F240*1083</x:f>
      </x:c>
      <x:c r="H240" s="62">
        <x:f>G240*0.055</x:f>
      </x:c>
      <x:c r="I240" s="3">
        <x:f>G240+H240</x:f>
      </x:c>
      <x:c r="J240" s="3">
        <x:f>+G240</x:f>
      </x:c>
      <x:c r="K240" s="3">
        <x:f>J240*0.15</x:f>
      </x:c>
      <x:c r="L240" s="3">
        <x:f>IF(J240*0.15&gt;K240,K240,J240*0.15)</x:f>
      </x:c>
      <x:c r="M240" s="65">
        <x:f>IF(K240-L240&gt;0,K240-L240,0)</x:f>
      </x:c>
      <x:c r="N240" s="3">
        <x:f>G240*0.00759</x:f>
      </x:c>
      <x:c r="O240" s="3">
        <x:f>IF(G240*0.00759&gt;G240,197.38,G240*0.00759)</x:f>
      </x:c>
      <x:c r="P240" s="3">
        <x:f>IF(N240-O240&gt;0,N240-O240,0)</x:f>
      </x:c>
      <x:c r="Q240" s="65">
        <x:f>+H240</x:f>
      </x:c>
      <x:c r="R240" s="65">
        <x:v>0</x:v>
      </x:c>
      <x:c r="S240" s="3">
        <x:f>R240+Q240</x:f>
      </x:c>
      <x:c r="T240" s="3">
        <x:f>I240-S240</x:f>
      </x:c>
      <x:c r="U240" s="255"/>
    </x:row>
    <x:row r="241" spans="1:21" ht="21" customHeight="1" x14ac:dyDescent="0.2">
      <x:c r="A241" s="253">
        <x:f>+'Banka Lis.'!B240</x:f>
      </x:c>
      <x:c r="B241" s="253">
        <x:f>+Puantaj!C241</x:f>
      </x:c>
      <x:c r="C241" s="4">
        <x:f>+Puantaj!D241</x:f>
      </x:c>
      <x:c r="D241" s="4">
        <x:f>+Puantaj!E241</x:f>
      </x:c>
      <x:c r="E241" s="4">
        <x:f>+'Banka Lis.'!H240</x:f>
      </x:c>
      <x:c r="F241" s="254">
        <x:f>+Puantaj!AK241</x:f>
      </x:c>
      <x:c r="G241" s="33">
        <x:f>F241*1083</x:f>
      </x:c>
      <x:c r="H241" s="62">
        <x:f>G241*0.055</x:f>
      </x:c>
      <x:c r="I241" s="3">
        <x:f>G241+H241</x:f>
      </x:c>
      <x:c r="J241" s="3">
        <x:f>+G241</x:f>
      </x:c>
      <x:c r="K241" s="3">
        <x:f>J241*0.15</x:f>
      </x:c>
      <x:c r="L241" s="3">
        <x:f>IF(J241*0.15&gt;K241,K241,J241*0.15)</x:f>
      </x:c>
      <x:c r="M241" s="65">
        <x:f>IF(K241-L241&gt;0,K241-L241,0)</x:f>
      </x:c>
      <x:c r="N241" s="3">
        <x:f>G241*0.00759</x:f>
      </x:c>
      <x:c r="O241" s="3">
        <x:f>IF(G241*0.00759&gt;G241,197.38,G241*0.00759)</x:f>
      </x:c>
      <x:c r="P241" s="3">
        <x:f>IF(N241-O241&gt;0,N241-O241,0)</x:f>
      </x:c>
      <x:c r="Q241" s="65">
        <x:f>+H241</x:f>
      </x:c>
      <x:c r="R241" s="65">
        <x:v>0</x:v>
      </x:c>
      <x:c r="S241" s="3">
        <x:f>R241+Q241</x:f>
      </x:c>
      <x:c r="T241" s="3">
        <x:f>I241-S241</x:f>
      </x:c>
      <x:c r="U241" s="255"/>
    </x:row>
    <x:row r="242" spans="1:21" ht="21" customHeight="1" x14ac:dyDescent="0.2">
      <x:c r="A242" s="253">
        <x:f>+'Banka Lis.'!B241</x:f>
      </x:c>
      <x:c r="B242" s="253">
        <x:f>+Puantaj!C242</x:f>
      </x:c>
      <x:c r="C242" s="4">
        <x:f>+Puantaj!D242</x:f>
      </x:c>
      <x:c r="D242" s="4">
        <x:f>+Puantaj!E242</x:f>
      </x:c>
      <x:c r="E242" s="4">
        <x:f>+'Banka Lis.'!H241</x:f>
      </x:c>
      <x:c r="F242" s="254">
        <x:f>+Puantaj!AK242</x:f>
      </x:c>
      <x:c r="G242" s="33">
        <x:f>F242*1083</x:f>
      </x:c>
      <x:c r="H242" s="62">
        <x:f>G242*0.055</x:f>
      </x:c>
      <x:c r="I242" s="3">
        <x:f>G242+H242</x:f>
      </x:c>
      <x:c r="J242" s="3">
        <x:f>+G242</x:f>
      </x:c>
      <x:c r="K242" s="3">
        <x:f>J242*0.15</x:f>
      </x:c>
      <x:c r="L242" s="3">
        <x:f>IF(J242*0.15&gt;K242,K242,J242*0.15)</x:f>
      </x:c>
      <x:c r="M242" s="65">
        <x:f>IF(K242-L242&gt;0,K242-L242,0)</x:f>
      </x:c>
      <x:c r="N242" s="3">
        <x:f>G242*0.00759</x:f>
      </x:c>
      <x:c r="O242" s="3">
        <x:f>IF(G242*0.00759&gt;G242,197.38,G242*0.00759)</x:f>
      </x:c>
      <x:c r="P242" s="3">
        <x:f>IF(N242-O242&gt;0,N242-O242,0)</x:f>
      </x:c>
      <x:c r="Q242" s="65">
        <x:f>+H242</x:f>
      </x:c>
      <x:c r="R242" s="65">
        <x:v>0</x:v>
      </x:c>
      <x:c r="S242" s="3">
        <x:f>R242+Q242</x:f>
      </x:c>
      <x:c r="T242" s="3">
        <x:f>I242-S242</x:f>
      </x:c>
      <x:c r="U242" s="255"/>
    </x:row>
    <x:row r="243" spans="1:21" ht="21" customHeight="1" x14ac:dyDescent="0.2">
      <x:c r="A243" s="253">
        <x:f>+'Banka Lis.'!B242</x:f>
      </x:c>
      <x:c r="B243" s="253">
        <x:f>+Puantaj!C243</x:f>
      </x:c>
      <x:c r="C243" s="4">
        <x:f>+Puantaj!D243</x:f>
      </x:c>
      <x:c r="D243" s="4">
        <x:f>+Puantaj!E243</x:f>
      </x:c>
      <x:c r="E243" s="4">
        <x:f>+'Banka Lis.'!H242</x:f>
      </x:c>
      <x:c r="F243" s="254">
        <x:f>+Puantaj!AK243</x:f>
      </x:c>
      <x:c r="G243" s="33">
        <x:f>F243*1083</x:f>
      </x:c>
      <x:c r="H243" s="62">
        <x:f>G243*0.055</x:f>
      </x:c>
      <x:c r="I243" s="3">
        <x:f>G243+H243</x:f>
      </x:c>
      <x:c r="J243" s="3">
        <x:f>+G243</x:f>
      </x:c>
      <x:c r="K243" s="3">
        <x:f>J243*0.15</x:f>
      </x:c>
      <x:c r="L243" s="3">
        <x:f>IF(J243*0.15&gt;K243,K243,J243*0.15)</x:f>
      </x:c>
      <x:c r="M243" s="65">
        <x:f>IF(K243-L243&gt;0,K243-L243,0)</x:f>
      </x:c>
      <x:c r="N243" s="3">
        <x:f>G243*0.00759</x:f>
      </x:c>
      <x:c r="O243" s="3">
        <x:f>IF(G243*0.00759&gt;G243,197.38,G243*0.00759)</x:f>
      </x:c>
      <x:c r="P243" s="3">
        <x:f>IF(N243-O243&gt;0,N243-O243,0)</x:f>
      </x:c>
      <x:c r="Q243" s="65">
        <x:f>+H243</x:f>
      </x:c>
      <x:c r="R243" s="65">
        <x:v>0</x:v>
      </x:c>
      <x:c r="S243" s="3">
        <x:f>R243+Q243</x:f>
      </x:c>
      <x:c r="T243" s="3">
        <x:f>I243-S243</x:f>
      </x:c>
      <x:c r="U243" s="255"/>
    </x:row>
    <x:row r="244" spans="1:21" ht="21" customHeight="1" x14ac:dyDescent="0.2">
      <x:c r="A244" s="253">
        <x:f>+'Banka Lis.'!B243</x:f>
      </x:c>
      <x:c r="B244" s="253">
        <x:f>+Puantaj!C244</x:f>
      </x:c>
      <x:c r="C244" s="4">
        <x:f>+Puantaj!D244</x:f>
      </x:c>
      <x:c r="D244" s="4">
        <x:f>+Puantaj!E244</x:f>
      </x:c>
      <x:c r="E244" s="4">
        <x:f>+'Banka Lis.'!H243</x:f>
      </x:c>
      <x:c r="F244" s="254">
        <x:f>+Puantaj!AK244</x:f>
      </x:c>
      <x:c r="G244" s="33">
        <x:f>F244*1083</x:f>
      </x:c>
      <x:c r="H244" s="62">
        <x:f>G244*0.055</x:f>
      </x:c>
      <x:c r="I244" s="3">
        <x:f>G244+H244</x:f>
      </x:c>
      <x:c r="J244" s="3">
        <x:f>+G244</x:f>
      </x:c>
      <x:c r="K244" s="3">
        <x:f>J244*0.15</x:f>
      </x:c>
      <x:c r="L244" s="3">
        <x:f>IF(J244*0.15&gt;K244,K244,J244*0.15)</x:f>
      </x:c>
      <x:c r="M244" s="65">
        <x:f>IF(K244-L244&gt;0,K244-L244,0)</x:f>
      </x:c>
      <x:c r="N244" s="3">
        <x:f>G244*0.00759</x:f>
      </x:c>
      <x:c r="O244" s="3">
        <x:f>IF(G244*0.00759&gt;G244,197.38,G244*0.00759)</x:f>
      </x:c>
      <x:c r="P244" s="3">
        <x:f>IF(N244-O244&gt;0,N244-O244,0)</x:f>
      </x:c>
      <x:c r="Q244" s="65">
        <x:f>+H244</x:f>
      </x:c>
      <x:c r="R244" s="65">
        <x:v>0</x:v>
      </x:c>
      <x:c r="S244" s="3">
        <x:f>R244+Q244</x:f>
      </x:c>
      <x:c r="T244" s="3">
        <x:f>I244-S244</x:f>
      </x:c>
      <x:c r="U244" s="255"/>
    </x:row>
    <x:row r="245" spans="1:21" ht="21" customHeight="1" x14ac:dyDescent="0.2">
      <x:c r="A245" s="253">
        <x:f>+'Banka Lis.'!B244</x:f>
      </x:c>
      <x:c r="B245" s="253">
        <x:f>+Puantaj!C245</x:f>
      </x:c>
      <x:c r="C245" s="4">
        <x:f>+Puantaj!D245</x:f>
      </x:c>
      <x:c r="D245" s="4">
        <x:f>+Puantaj!E245</x:f>
      </x:c>
      <x:c r="E245" s="4">
        <x:f>+'Banka Lis.'!H244</x:f>
      </x:c>
      <x:c r="F245" s="254">
        <x:f>+Puantaj!AK245</x:f>
      </x:c>
      <x:c r="G245" s="33">
        <x:f>F245*1083</x:f>
      </x:c>
      <x:c r="H245" s="62">
        <x:f>G245*0.055</x:f>
      </x:c>
      <x:c r="I245" s="3">
        <x:f>G245+H245</x:f>
      </x:c>
      <x:c r="J245" s="3">
        <x:f>+G245</x:f>
      </x:c>
      <x:c r="K245" s="3">
        <x:f>J245*0.15</x:f>
      </x:c>
      <x:c r="L245" s="3">
        <x:f>IF(J245*0.15&gt;K245,K245,J245*0.15)</x:f>
      </x:c>
      <x:c r="M245" s="65">
        <x:f>IF(K245-L245&gt;0,K245-L245,0)</x:f>
      </x:c>
      <x:c r="N245" s="3">
        <x:f>G245*0.00759</x:f>
      </x:c>
      <x:c r="O245" s="3">
        <x:f>IF(G245*0.00759&gt;G245,197.38,G245*0.00759)</x:f>
      </x:c>
      <x:c r="P245" s="3">
        <x:f>IF(N245-O245&gt;0,N245-O245,0)</x:f>
      </x:c>
      <x:c r="Q245" s="65">
        <x:f>+H245</x:f>
      </x:c>
      <x:c r="R245" s="65">
        <x:v>0</x:v>
      </x:c>
      <x:c r="S245" s="3">
        <x:f>R245+Q245</x:f>
      </x:c>
      <x:c r="T245" s="3">
        <x:f>I245-S245</x:f>
      </x:c>
      <x:c r="U245" s="255"/>
    </x:row>
    <x:row r="246" spans="1:21" ht="21" customHeight="1" x14ac:dyDescent="0.2">
      <x:c r="A246" s="253">
        <x:f>+'Banka Lis.'!B245</x:f>
      </x:c>
      <x:c r="B246" s="253">
        <x:f>+Puantaj!C246</x:f>
      </x:c>
      <x:c r="C246" s="4">
        <x:f>+Puantaj!D246</x:f>
      </x:c>
      <x:c r="D246" s="4">
        <x:f>+Puantaj!E246</x:f>
      </x:c>
      <x:c r="E246" s="4">
        <x:f>+'Banka Lis.'!H245</x:f>
      </x:c>
      <x:c r="F246" s="254">
        <x:f>+Puantaj!AK246</x:f>
      </x:c>
      <x:c r="G246" s="33">
        <x:f>F246*1083</x:f>
      </x:c>
      <x:c r="H246" s="62">
        <x:f>G246*0.055</x:f>
      </x:c>
      <x:c r="I246" s="3">
        <x:f>G246+H246</x:f>
      </x:c>
      <x:c r="J246" s="3">
        <x:f>+G246</x:f>
      </x:c>
      <x:c r="K246" s="3">
        <x:f>J246*0.15</x:f>
      </x:c>
      <x:c r="L246" s="3">
        <x:f>IF(J246*0.15&gt;K246,K246,J246*0.15)</x:f>
      </x:c>
      <x:c r="M246" s="65">
        <x:f>IF(K246-L246&gt;0,K246-L246,0)</x:f>
      </x:c>
      <x:c r="N246" s="3">
        <x:f>G246*0.00759</x:f>
      </x:c>
      <x:c r="O246" s="3">
        <x:f>IF(G246*0.00759&gt;G246,197.38,G246*0.00759)</x:f>
      </x:c>
      <x:c r="P246" s="3">
        <x:f>IF(N246-O246&gt;0,N246-O246,0)</x:f>
      </x:c>
      <x:c r="Q246" s="65">
        <x:f>+H246</x:f>
      </x:c>
      <x:c r="R246" s="65">
        <x:v>0</x:v>
      </x:c>
      <x:c r="S246" s="3">
        <x:f>R246+Q246</x:f>
      </x:c>
      <x:c r="T246" s="3">
        <x:f>I246-S246</x:f>
      </x:c>
      <x:c r="U246" s="255"/>
    </x:row>
    <x:row r="247" spans="1:21" ht="21" customHeight="1" x14ac:dyDescent="0.2">
      <x:c r="A247" s="253">
        <x:f>+'Banka Lis.'!B246</x:f>
      </x:c>
      <x:c r="B247" s="253">
        <x:f>+Puantaj!C247</x:f>
      </x:c>
      <x:c r="C247" s="4">
        <x:f>+Puantaj!D247</x:f>
      </x:c>
      <x:c r="D247" s="4">
        <x:f>+Puantaj!E247</x:f>
      </x:c>
      <x:c r="E247" s="4">
        <x:f>+'Banka Lis.'!H246</x:f>
      </x:c>
      <x:c r="F247" s="254">
        <x:f>+Puantaj!AK247</x:f>
      </x:c>
      <x:c r="G247" s="33">
        <x:f>F247*1083</x:f>
      </x:c>
      <x:c r="H247" s="62">
        <x:f>G247*0.055</x:f>
      </x:c>
      <x:c r="I247" s="3">
        <x:f>G247+H247</x:f>
      </x:c>
      <x:c r="J247" s="3">
        <x:f>+G247</x:f>
      </x:c>
      <x:c r="K247" s="3">
        <x:f>J247*0.15</x:f>
      </x:c>
      <x:c r="L247" s="3">
        <x:f>IF(J247*0.15&gt;K247,K247,J247*0.15)</x:f>
      </x:c>
      <x:c r="M247" s="65">
        <x:f>IF(K247-L247&gt;0,K247-L247,0)</x:f>
      </x:c>
      <x:c r="N247" s="3">
        <x:f>G247*0.00759</x:f>
      </x:c>
      <x:c r="O247" s="3">
        <x:f>IF(G247*0.00759&gt;G247,197.38,G247*0.00759)</x:f>
      </x:c>
      <x:c r="P247" s="3">
        <x:f>IF(N247-O247&gt;0,N247-O247,0)</x:f>
      </x:c>
      <x:c r="Q247" s="65">
        <x:f>+H247</x:f>
      </x:c>
      <x:c r="R247" s="65">
        <x:v>0</x:v>
      </x:c>
      <x:c r="S247" s="3">
        <x:f>R247+Q247</x:f>
      </x:c>
      <x:c r="T247" s="3">
        <x:f>I247-S247</x:f>
      </x:c>
      <x:c r="U247" s="255"/>
    </x:row>
    <x:row r="248" spans="1:21" ht="21" customHeight="1" x14ac:dyDescent="0.2">
      <x:c r="A248" s="253">
        <x:f>+'Banka Lis.'!B247</x:f>
      </x:c>
      <x:c r="B248" s="253">
        <x:f>+Puantaj!C248</x:f>
      </x:c>
      <x:c r="C248" s="4">
        <x:f>+Puantaj!D248</x:f>
      </x:c>
      <x:c r="D248" s="4">
        <x:f>+Puantaj!E248</x:f>
      </x:c>
      <x:c r="E248" s="4">
        <x:f>+'Banka Lis.'!H247</x:f>
      </x:c>
      <x:c r="F248" s="254">
        <x:f>+Puantaj!AK248</x:f>
      </x:c>
      <x:c r="G248" s="33">
        <x:f>F248*1083</x:f>
      </x:c>
      <x:c r="H248" s="62">
        <x:f>G248*0.055</x:f>
      </x:c>
      <x:c r="I248" s="3">
        <x:f>G248+H248</x:f>
      </x:c>
      <x:c r="J248" s="3">
        <x:f>+G248</x:f>
      </x:c>
      <x:c r="K248" s="3">
        <x:f>J248*0.15</x:f>
      </x:c>
      <x:c r="L248" s="3">
        <x:f>IF(J248*0.15&gt;K248,K248,J248*0.15)</x:f>
      </x:c>
      <x:c r="M248" s="65">
        <x:f>IF(K248-L248&gt;0,K248-L248,0)</x:f>
      </x:c>
      <x:c r="N248" s="3">
        <x:f>G248*0.00759</x:f>
      </x:c>
      <x:c r="O248" s="3">
        <x:f>IF(G248*0.00759&gt;G248,197.38,G248*0.00759)</x:f>
      </x:c>
      <x:c r="P248" s="3">
        <x:f>IF(N248-O248&gt;0,N248-O248,0)</x:f>
      </x:c>
      <x:c r="Q248" s="65">
        <x:f>+H248</x:f>
      </x:c>
      <x:c r="R248" s="65">
        <x:v>0</x:v>
      </x:c>
      <x:c r="S248" s="3">
        <x:f>R248+Q248</x:f>
      </x:c>
      <x:c r="T248" s="3">
        <x:f>I248-S248</x:f>
      </x:c>
      <x:c r="U248" s="255"/>
    </x:row>
    <x:row r="249" spans="1:21" ht="21" customHeight="1" x14ac:dyDescent="0.2">
      <x:c r="A249" s="253">
        <x:f>+'Banka Lis.'!B248</x:f>
      </x:c>
      <x:c r="B249" s="253">
        <x:f>+Puantaj!C249</x:f>
      </x:c>
      <x:c r="C249" s="4">
        <x:f>+Puantaj!D249</x:f>
      </x:c>
      <x:c r="D249" s="4">
        <x:f>+Puantaj!E249</x:f>
      </x:c>
      <x:c r="E249" s="4">
        <x:f>+'Banka Lis.'!H248</x:f>
      </x:c>
      <x:c r="F249" s="254">
        <x:f>+Puantaj!AK249</x:f>
      </x:c>
      <x:c r="G249" s="33">
        <x:f>F249*1083</x:f>
      </x:c>
      <x:c r="H249" s="62">
        <x:f>G249*0.055</x:f>
      </x:c>
      <x:c r="I249" s="3">
        <x:f>G249+H249</x:f>
      </x:c>
      <x:c r="J249" s="3">
        <x:f>+G249</x:f>
      </x:c>
      <x:c r="K249" s="3">
        <x:f>J249*0.15</x:f>
      </x:c>
      <x:c r="L249" s="3">
        <x:f>IF(J249*0.15&gt;K249,K249,J249*0.15)</x:f>
      </x:c>
      <x:c r="M249" s="65">
        <x:f>IF(K249-L249&gt;0,K249-L249,0)</x:f>
      </x:c>
      <x:c r="N249" s="3">
        <x:f>G249*0.00759</x:f>
      </x:c>
      <x:c r="O249" s="3">
        <x:f>IF(G249*0.00759&gt;G249,197.38,G249*0.00759)</x:f>
      </x:c>
      <x:c r="P249" s="3">
        <x:f>IF(N249-O249&gt;0,N249-O249,0)</x:f>
      </x:c>
      <x:c r="Q249" s="65">
        <x:f>+H249</x:f>
      </x:c>
      <x:c r="R249" s="65">
        <x:v>0</x:v>
      </x:c>
      <x:c r="S249" s="3">
        <x:f>R249+Q249</x:f>
      </x:c>
      <x:c r="T249" s="3">
        <x:f>I249-S249</x:f>
      </x:c>
      <x:c r="U249" s="255"/>
    </x:row>
    <x:row r="250" spans="1:21" ht="21" customHeight="1" x14ac:dyDescent="0.2">
      <x:c r="A250" s="253">
        <x:f>+'Banka Lis.'!B249</x:f>
      </x:c>
      <x:c r="B250" s="253">
        <x:f>+Puantaj!C250</x:f>
      </x:c>
      <x:c r="C250" s="4">
        <x:f>+Puantaj!D250</x:f>
      </x:c>
      <x:c r="D250" s="4">
        <x:f>+Puantaj!E250</x:f>
      </x:c>
      <x:c r="E250" s="4">
        <x:f>+'Banka Lis.'!H249</x:f>
      </x:c>
      <x:c r="F250" s="254">
        <x:f>+Puantaj!AK250</x:f>
      </x:c>
      <x:c r="G250" s="33">
        <x:f>F250*1083</x:f>
      </x:c>
      <x:c r="H250" s="62">
        <x:f>G250*0.055</x:f>
      </x:c>
      <x:c r="I250" s="3">
        <x:f>G250+H250</x:f>
      </x:c>
      <x:c r="J250" s="3">
        <x:f>+G250</x:f>
      </x:c>
      <x:c r="K250" s="3">
        <x:f>J250*0.15</x:f>
      </x:c>
      <x:c r="L250" s="3">
        <x:f>IF(J250*0.15&gt;K250,K250,J250*0.15)</x:f>
      </x:c>
      <x:c r="M250" s="65">
        <x:f>IF(K250-L250&gt;0,K250-L250,0)</x:f>
      </x:c>
      <x:c r="N250" s="3">
        <x:f>G250*0.00759</x:f>
      </x:c>
      <x:c r="O250" s="3">
        <x:f>IF(G250*0.00759&gt;G250,197.38,G250*0.00759)</x:f>
      </x:c>
      <x:c r="P250" s="3">
        <x:f>IF(N250-O250&gt;0,N250-O250,0)</x:f>
      </x:c>
      <x:c r="Q250" s="65">
        <x:f>+H250</x:f>
      </x:c>
      <x:c r="R250" s="65">
        <x:v>0</x:v>
      </x:c>
      <x:c r="S250" s="3">
        <x:f>R250+Q250</x:f>
      </x:c>
      <x:c r="T250" s="3">
        <x:f>I250-S250</x:f>
      </x:c>
      <x:c r="U250" s="255"/>
    </x:row>
    <x:row r="251" spans="1:21" ht="21" customHeight="1" x14ac:dyDescent="0.2">
      <x:c r="A251" s="253">
        <x:f>+'Banka Lis.'!B250</x:f>
      </x:c>
      <x:c r="B251" s="253">
        <x:f>+Puantaj!C251</x:f>
      </x:c>
      <x:c r="C251" s="4">
        <x:f>+Puantaj!D251</x:f>
      </x:c>
      <x:c r="D251" s="4">
        <x:f>+Puantaj!E251</x:f>
      </x:c>
      <x:c r="E251" s="4">
        <x:f>+'Banka Lis.'!H250</x:f>
      </x:c>
      <x:c r="F251" s="254">
        <x:f>+Puantaj!AK251</x:f>
      </x:c>
      <x:c r="G251" s="33">
        <x:f>F251*1083</x:f>
      </x:c>
      <x:c r="H251" s="62">
        <x:f>G251*0.055</x:f>
      </x:c>
      <x:c r="I251" s="3">
        <x:f>G251+H251</x:f>
      </x:c>
      <x:c r="J251" s="3">
        <x:f>+G251</x:f>
      </x:c>
      <x:c r="K251" s="3">
        <x:f>J251*0.15</x:f>
      </x:c>
      <x:c r="L251" s="3">
        <x:f>IF(J251*0.15&gt;K251,K251,J251*0.15)</x:f>
      </x:c>
      <x:c r="M251" s="65">
        <x:f>IF(K251-L251&gt;0,K251-L251,0)</x:f>
      </x:c>
      <x:c r="N251" s="3">
        <x:f>G251*0.00759</x:f>
      </x:c>
      <x:c r="O251" s="3">
        <x:f>IF(G251*0.00759&gt;G251,197.38,G251*0.00759)</x:f>
      </x:c>
      <x:c r="P251" s="3">
        <x:f>IF(N251-O251&gt;0,N251-O251,0)</x:f>
      </x:c>
      <x:c r="Q251" s="65">
        <x:f>+H251</x:f>
      </x:c>
      <x:c r="R251" s="65">
        <x:v>0</x:v>
      </x:c>
      <x:c r="S251" s="3">
        <x:f>R251+Q251</x:f>
      </x:c>
      <x:c r="T251" s="3">
        <x:f>I251-S251</x:f>
      </x:c>
      <x:c r="U251" s="255"/>
    </x:row>
    <x:row r="252" spans="1:21" ht="21" customHeight="1" x14ac:dyDescent="0.2">
      <x:c r="A252" s="253">
        <x:f>+'Banka Lis.'!B251</x:f>
      </x:c>
      <x:c r="B252" s="253">
        <x:f>+Puantaj!C252</x:f>
      </x:c>
      <x:c r="C252" s="4">
        <x:f>+Puantaj!D252</x:f>
      </x:c>
      <x:c r="D252" s="4">
        <x:f>+Puantaj!E252</x:f>
      </x:c>
      <x:c r="E252" s="4">
        <x:f>+'Banka Lis.'!H251</x:f>
      </x:c>
      <x:c r="F252" s="254">
        <x:f>+Puantaj!AK252</x:f>
      </x:c>
      <x:c r="G252" s="33">
        <x:f>F252*1083</x:f>
      </x:c>
      <x:c r="H252" s="62">
        <x:f>G252*0.055</x:f>
      </x:c>
      <x:c r="I252" s="3">
        <x:f>G252+H252</x:f>
      </x:c>
      <x:c r="J252" s="3">
        <x:f>+G252</x:f>
      </x:c>
      <x:c r="K252" s="3">
        <x:f>J252*0.15</x:f>
      </x:c>
      <x:c r="L252" s="3">
        <x:f>IF(J252*0.15&gt;K252,K252,J252*0.15)</x:f>
      </x:c>
      <x:c r="M252" s="65">
        <x:f>IF(K252-L252&gt;0,K252-L252,0)</x:f>
      </x:c>
      <x:c r="N252" s="3">
        <x:f>G252*0.00759</x:f>
      </x:c>
      <x:c r="O252" s="3">
        <x:f>IF(G252*0.00759&gt;G252,197.38,G252*0.00759)</x:f>
      </x:c>
      <x:c r="P252" s="3">
        <x:f>IF(N252-O252&gt;0,N252-O252,0)</x:f>
      </x:c>
      <x:c r="Q252" s="65">
        <x:f>+H252</x:f>
      </x:c>
      <x:c r="R252" s="65">
        <x:v>0</x:v>
      </x:c>
      <x:c r="S252" s="3">
        <x:f>R252+Q252</x:f>
      </x:c>
      <x:c r="T252" s="3">
        <x:f>I252-S252</x:f>
      </x:c>
      <x:c r="U252" s="255"/>
    </x:row>
    <x:row r="253" spans="1:21" ht="21" customHeight="1" x14ac:dyDescent="0.2">
      <x:c r="A253" s="253">
        <x:f>+'Banka Lis.'!B252</x:f>
      </x:c>
      <x:c r="B253" s="253">
        <x:f>+Puantaj!C253</x:f>
      </x:c>
      <x:c r="C253" s="4">
        <x:f>+Puantaj!D253</x:f>
      </x:c>
      <x:c r="D253" s="4">
        <x:f>+Puantaj!E253</x:f>
      </x:c>
      <x:c r="E253" s="4">
        <x:f>+'Banka Lis.'!H252</x:f>
      </x:c>
      <x:c r="F253" s="254">
        <x:f>+Puantaj!AK253</x:f>
      </x:c>
      <x:c r="G253" s="33">
        <x:f>F253*1083</x:f>
      </x:c>
      <x:c r="H253" s="62">
        <x:f>G253*0.055</x:f>
      </x:c>
      <x:c r="I253" s="3">
        <x:f>G253+H253</x:f>
      </x:c>
      <x:c r="J253" s="3">
        <x:f>+G253</x:f>
      </x:c>
      <x:c r="K253" s="3">
        <x:f>J253*0.15</x:f>
      </x:c>
      <x:c r="L253" s="3">
        <x:f>IF(J253*0.15&gt;K253,K253,J253*0.15)</x:f>
      </x:c>
      <x:c r="M253" s="65">
        <x:f>IF(K253-L253&gt;0,K253-L253,0)</x:f>
      </x:c>
      <x:c r="N253" s="3">
        <x:f>G253*0.00759</x:f>
      </x:c>
      <x:c r="O253" s="3">
        <x:f>IF(G253*0.00759&gt;G253,197.38,G253*0.00759)</x:f>
      </x:c>
      <x:c r="P253" s="3">
        <x:f>IF(N253-O253&gt;0,N253-O253,0)</x:f>
      </x:c>
      <x:c r="Q253" s="65">
        <x:f>+H253</x:f>
      </x:c>
      <x:c r="R253" s="65">
        <x:v>0</x:v>
      </x:c>
      <x:c r="S253" s="3">
        <x:f>R253+Q253</x:f>
      </x:c>
      <x:c r="T253" s="3">
        <x:f>I253-S253</x:f>
      </x:c>
      <x:c r="U253" s="255"/>
    </x:row>
    <x:row r="254" spans="1:21" ht="21" customHeight="1" x14ac:dyDescent="0.2">
      <x:c r="A254" s="253">
        <x:f>+'Banka Lis.'!B253</x:f>
      </x:c>
      <x:c r="B254" s="253">
        <x:f>+Puantaj!C254</x:f>
      </x:c>
      <x:c r="C254" s="4">
        <x:f>+Puantaj!D254</x:f>
      </x:c>
      <x:c r="D254" s="4">
        <x:f>+Puantaj!E254</x:f>
      </x:c>
      <x:c r="E254" s="4">
        <x:f>+'Banka Lis.'!H253</x:f>
      </x:c>
      <x:c r="F254" s="254">
        <x:f>+Puantaj!AK254</x:f>
      </x:c>
      <x:c r="G254" s="33">
        <x:f>F254*1083</x:f>
      </x:c>
      <x:c r="H254" s="62">
        <x:f>G254*0.055</x:f>
      </x:c>
      <x:c r="I254" s="3">
        <x:f>G254+H254</x:f>
      </x:c>
      <x:c r="J254" s="3">
        <x:f>+G254</x:f>
      </x:c>
      <x:c r="K254" s="3">
        <x:f>J254*0.15</x:f>
      </x:c>
      <x:c r="L254" s="3">
        <x:f>IF(J254*0.15&gt;K254,K254,J254*0.15)</x:f>
      </x:c>
      <x:c r="M254" s="65">
        <x:f>IF(K254-L254&gt;0,K254-L254,0)</x:f>
      </x:c>
      <x:c r="N254" s="3">
        <x:f>G254*0.00759</x:f>
      </x:c>
      <x:c r="O254" s="3">
        <x:f>IF(G254*0.00759&gt;G254,197.38,G254*0.00759)</x:f>
      </x:c>
      <x:c r="P254" s="3">
        <x:f>IF(N254-O254&gt;0,N254-O254,0)</x:f>
      </x:c>
      <x:c r="Q254" s="65">
        <x:f>+H254</x:f>
      </x:c>
      <x:c r="R254" s="65">
        <x:v>0</x:v>
      </x:c>
      <x:c r="S254" s="3">
        <x:f>R254+Q254</x:f>
      </x:c>
      <x:c r="T254" s="3">
        <x:f>I254-S254</x:f>
      </x:c>
      <x:c r="U254" s="255"/>
    </x:row>
    <x:row r="255" spans="1:21" ht="21" customHeight="1" x14ac:dyDescent="0.2">
      <x:c r="A255" s="253">
        <x:f>+'Banka Lis.'!B254</x:f>
      </x:c>
      <x:c r="B255" s="253">
        <x:f>+Puantaj!C255</x:f>
      </x:c>
      <x:c r="C255" s="4">
        <x:f>+Puantaj!D255</x:f>
      </x:c>
      <x:c r="D255" s="4">
        <x:f>+Puantaj!E255</x:f>
      </x:c>
      <x:c r="E255" s="4">
        <x:f>+'Banka Lis.'!H254</x:f>
      </x:c>
      <x:c r="F255" s="254">
        <x:f>+Puantaj!AK255</x:f>
      </x:c>
      <x:c r="G255" s="33">
        <x:f>F255*1083</x:f>
      </x:c>
      <x:c r="H255" s="62">
        <x:f>G255*0.055</x:f>
      </x:c>
      <x:c r="I255" s="3">
        <x:f>G255+H255</x:f>
      </x:c>
      <x:c r="J255" s="3">
        <x:f>+G255</x:f>
      </x:c>
      <x:c r="K255" s="3">
        <x:f>J255*0.15</x:f>
      </x:c>
      <x:c r="L255" s="3">
        <x:f>IF(J255*0.15&gt;K255,K255,J255*0.15)</x:f>
      </x:c>
      <x:c r="M255" s="65">
        <x:f>IF(K255-L255&gt;0,K255-L255,0)</x:f>
      </x:c>
      <x:c r="N255" s="3">
        <x:f>G255*0.00759</x:f>
      </x:c>
      <x:c r="O255" s="3">
        <x:f>IF(G255*0.00759&gt;G255,197.38,G255*0.00759)</x:f>
      </x:c>
      <x:c r="P255" s="3">
        <x:f>IF(N255-O255&gt;0,N255-O255,0)</x:f>
      </x:c>
      <x:c r="Q255" s="65">
        <x:f>+H255</x:f>
      </x:c>
      <x:c r="R255" s="65">
        <x:v>0</x:v>
      </x:c>
      <x:c r="S255" s="3">
        <x:f>R255+Q255</x:f>
      </x:c>
      <x:c r="T255" s="3">
        <x:f>I255-S255</x:f>
      </x:c>
      <x:c r="U255" s="255"/>
    </x:row>
    <x:row r="256" spans="1:21" ht="21" customHeight="1" x14ac:dyDescent="0.2">
      <x:c r="A256" s="253">
        <x:f>+'Banka Lis.'!B255</x:f>
      </x:c>
      <x:c r="B256" s="253">
        <x:f>+Puantaj!C256</x:f>
      </x:c>
      <x:c r="C256" s="4">
        <x:f>+Puantaj!D256</x:f>
      </x:c>
      <x:c r="D256" s="4">
        <x:f>+Puantaj!E256</x:f>
      </x:c>
      <x:c r="E256" s="4">
        <x:f>+'Banka Lis.'!H255</x:f>
      </x:c>
      <x:c r="F256" s="254">
        <x:f>+Puantaj!AK256</x:f>
      </x:c>
      <x:c r="G256" s="33">
        <x:f>F256*1083</x:f>
      </x:c>
      <x:c r="H256" s="62">
        <x:f>G256*0.055</x:f>
      </x:c>
      <x:c r="I256" s="3">
        <x:f>G256+H256</x:f>
      </x:c>
      <x:c r="J256" s="3">
        <x:f>+G256</x:f>
      </x:c>
      <x:c r="K256" s="3">
        <x:f>J256*0.15</x:f>
      </x:c>
      <x:c r="L256" s="3">
        <x:f>IF(J256*0.15&gt;K256,K256,J256*0.15)</x:f>
      </x:c>
      <x:c r="M256" s="65">
        <x:f>IF(K256-L256&gt;0,K256-L256,0)</x:f>
      </x:c>
      <x:c r="N256" s="3">
        <x:f>G256*0.00759</x:f>
      </x:c>
      <x:c r="O256" s="3">
        <x:f>IF(G256*0.00759&gt;G256,197.38,G256*0.00759)</x:f>
      </x:c>
      <x:c r="P256" s="3">
        <x:f>IF(N256-O256&gt;0,N256-O256,0)</x:f>
      </x:c>
      <x:c r="Q256" s="65">
        <x:f>+H256</x:f>
      </x:c>
      <x:c r="R256" s="65">
        <x:v>0</x:v>
      </x:c>
      <x:c r="S256" s="3">
        <x:f>R256+Q256</x:f>
      </x:c>
      <x:c r="T256" s="3">
        <x:f>I256-S256</x:f>
      </x:c>
      <x:c r="U256" s="255"/>
    </x:row>
    <x:row r="257" spans="1:21" ht="21" customHeight="1" x14ac:dyDescent="0.2">
      <x:c r="A257" s="253">
        <x:f>+'Banka Lis.'!B256</x:f>
      </x:c>
      <x:c r="B257" s="253">
        <x:f>+Puantaj!C257</x:f>
      </x:c>
      <x:c r="C257" s="4">
        <x:f>+Puantaj!D257</x:f>
      </x:c>
      <x:c r="D257" s="4">
        <x:f>+Puantaj!E257</x:f>
      </x:c>
      <x:c r="E257" s="4">
        <x:f>+'Banka Lis.'!H256</x:f>
      </x:c>
      <x:c r="F257" s="254">
        <x:f>+Puantaj!AK257</x:f>
      </x:c>
      <x:c r="G257" s="33">
        <x:f>F257*1083</x:f>
      </x:c>
      <x:c r="H257" s="62">
        <x:f>G257*0.055</x:f>
      </x:c>
      <x:c r="I257" s="3">
        <x:f>G257+H257</x:f>
      </x:c>
      <x:c r="J257" s="3">
        <x:f>+G257</x:f>
      </x:c>
      <x:c r="K257" s="3">
        <x:f>J257*0.15</x:f>
      </x:c>
      <x:c r="L257" s="3">
        <x:f>IF(J257*0.15&gt;K257,K257,J257*0.15)</x:f>
      </x:c>
      <x:c r="M257" s="65">
        <x:f>IF(K257-L257&gt;0,K257-L257,0)</x:f>
      </x:c>
      <x:c r="N257" s="3">
        <x:f>G257*0.00759</x:f>
      </x:c>
      <x:c r="O257" s="3">
        <x:f>IF(G257*0.00759&gt;G257,197.38,G257*0.00759)</x:f>
      </x:c>
      <x:c r="P257" s="3">
        <x:f>IF(N257-O257&gt;0,N257-O257,0)</x:f>
      </x:c>
      <x:c r="Q257" s="65">
        <x:f>+H257</x:f>
      </x:c>
      <x:c r="R257" s="65">
        <x:v>0</x:v>
      </x:c>
      <x:c r="S257" s="3">
        <x:f>R257+Q257</x:f>
      </x:c>
      <x:c r="T257" s="3">
        <x:f>I257-S257</x:f>
      </x:c>
      <x:c r="U257" s="255"/>
    </x:row>
    <x:row r="258" spans="1:21" ht="21" customHeight="1" x14ac:dyDescent="0.2">
      <x:c r="A258" s="253">
        <x:f>+'Banka Lis.'!B257</x:f>
      </x:c>
      <x:c r="B258" s="253">
        <x:f>+Puantaj!C258</x:f>
      </x:c>
      <x:c r="C258" s="4">
        <x:f>+Puantaj!D258</x:f>
      </x:c>
      <x:c r="D258" s="4">
        <x:f>+Puantaj!E258</x:f>
      </x:c>
      <x:c r="E258" s="4">
        <x:f>+'Banka Lis.'!H257</x:f>
      </x:c>
      <x:c r="F258" s="254">
        <x:f>+Puantaj!AK258</x:f>
      </x:c>
      <x:c r="G258" s="33">
        <x:f>F258*1083</x:f>
      </x:c>
      <x:c r="H258" s="62">
        <x:f>G258*0.055</x:f>
      </x:c>
      <x:c r="I258" s="3">
        <x:f>G258+H258</x:f>
      </x:c>
      <x:c r="J258" s="3">
        <x:f>+G258</x:f>
      </x:c>
      <x:c r="K258" s="3">
        <x:f>J258*0.15</x:f>
      </x:c>
      <x:c r="L258" s="3">
        <x:f>IF(J258*0.15&gt;K258,K258,J258*0.15)</x:f>
      </x:c>
      <x:c r="M258" s="65">
        <x:f>IF(K258-L258&gt;0,K258-L258,0)</x:f>
      </x:c>
      <x:c r="N258" s="3">
        <x:f>G258*0.00759</x:f>
      </x:c>
      <x:c r="O258" s="3">
        <x:f>IF(G258*0.00759&gt;G258,197.38,G258*0.00759)</x:f>
      </x:c>
      <x:c r="P258" s="3">
        <x:f>IF(N258-O258&gt;0,N258-O258,0)</x:f>
      </x:c>
      <x:c r="Q258" s="65">
        <x:f>+H258</x:f>
      </x:c>
      <x:c r="R258" s="65">
        <x:v>0</x:v>
      </x:c>
      <x:c r="S258" s="3">
        <x:f>R258+Q258</x:f>
      </x:c>
      <x:c r="T258" s="3">
        <x:f>I258-S258</x:f>
      </x:c>
      <x:c r="U258" s="255"/>
    </x:row>
    <x:row r="259" spans="1:21" ht="21" customHeight="1" x14ac:dyDescent="0.2">
      <x:c r="A259" s="253">
        <x:f>+'Banka Lis.'!B258</x:f>
      </x:c>
      <x:c r="B259" s="253">
        <x:f>+Puantaj!C259</x:f>
      </x:c>
      <x:c r="C259" s="4">
        <x:f>+Puantaj!D259</x:f>
      </x:c>
      <x:c r="D259" s="4">
        <x:f>+Puantaj!E259</x:f>
      </x:c>
      <x:c r="E259" s="4">
        <x:f>+'Banka Lis.'!H258</x:f>
      </x:c>
      <x:c r="F259" s="254">
        <x:f>+Puantaj!AK259</x:f>
      </x:c>
      <x:c r="G259" s="33">
        <x:f>F259*1083</x:f>
      </x:c>
      <x:c r="H259" s="62">
        <x:f>G259*0.055</x:f>
      </x:c>
      <x:c r="I259" s="3">
        <x:f>G259+H259</x:f>
      </x:c>
      <x:c r="J259" s="3">
        <x:f>+G259</x:f>
      </x:c>
      <x:c r="K259" s="3">
        <x:f>J259*0.15</x:f>
      </x:c>
      <x:c r="L259" s="3">
        <x:f>IF(J259*0.15&gt;K259,K259,J259*0.15)</x:f>
      </x:c>
      <x:c r="M259" s="65">
        <x:f>IF(K259-L259&gt;0,K259-L259,0)</x:f>
      </x:c>
      <x:c r="N259" s="3">
        <x:f>G259*0.00759</x:f>
      </x:c>
      <x:c r="O259" s="3">
        <x:f>IF(G259*0.00759&gt;G259,197.38,G259*0.00759)</x:f>
      </x:c>
      <x:c r="P259" s="3">
        <x:f>IF(N259-O259&gt;0,N259-O259,0)</x:f>
      </x:c>
      <x:c r="Q259" s="65">
        <x:f>+H259</x:f>
      </x:c>
      <x:c r="R259" s="65">
        <x:v>0</x:v>
      </x:c>
      <x:c r="S259" s="3">
        <x:f>R259+Q259</x:f>
      </x:c>
      <x:c r="T259" s="3">
        <x:f>I259-S259</x:f>
      </x:c>
      <x:c r="U259" s="255"/>
    </x:row>
    <x:row r="260" spans="1:21" ht="21" customHeight="1" x14ac:dyDescent="0.2">
      <x:c r="A260" s="253">
        <x:f>+'Banka Lis.'!B259</x:f>
      </x:c>
      <x:c r="B260" s="253">
        <x:f>+Puantaj!C260</x:f>
      </x:c>
      <x:c r="C260" s="4">
        <x:f>+Puantaj!D260</x:f>
      </x:c>
      <x:c r="D260" s="4">
        <x:f>+Puantaj!E260</x:f>
      </x:c>
      <x:c r="E260" s="4">
        <x:f>+'Banka Lis.'!H259</x:f>
      </x:c>
      <x:c r="F260" s="254">
        <x:f>+Puantaj!AK260</x:f>
      </x:c>
      <x:c r="G260" s="33">
        <x:f>F260*1083</x:f>
      </x:c>
      <x:c r="H260" s="62">
        <x:f>G260*0.055</x:f>
      </x:c>
      <x:c r="I260" s="3">
        <x:f>G260+H260</x:f>
      </x:c>
      <x:c r="J260" s="3">
        <x:f>+G260</x:f>
      </x:c>
      <x:c r="K260" s="3">
        <x:f>J260*0.15</x:f>
      </x:c>
      <x:c r="L260" s="3">
        <x:f>IF(J260*0.15&gt;K260,K260,J260*0.15)</x:f>
      </x:c>
      <x:c r="M260" s="65">
        <x:f>IF(K260-L260&gt;0,K260-L260,0)</x:f>
      </x:c>
      <x:c r="N260" s="3">
        <x:f>G260*0.00759</x:f>
      </x:c>
      <x:c r="O260" s="3">
        <x:f>IF(G260*0.00759&gt;G260,197.38,G260*0.00759)</x:f>
      </x:c>
      <x:c r="P260" s="3">
        <x:f>IF(N260-O260&gt;0,N260-O260,0)</x:f>
      </x:c>
      <x:c r="Q260" s="65">
        <x:f>+H260</x:f>
      </x:c>
      <x:c r="R260" s="65">
        <x:v>0</x:v>
      </x:c>
      <x:c r="S260" s="3">
        <x:f>R260+Q260</x:f>
      </x:c>
      <x:c r="T260" s="3">
        <x:f>I260-S260</x:f>
      </x:c>
      <x:c r="U260" s="255"/>
    </x:row>
    <x:row r="261" spans="1:21" ht="21" customHeight="1" x14ac:dyDescent="0.2">
      <x:c r="A261" s="253">
        <x:f>+'Banka Lis.'!B260</x:f>
      </x:c>
      <x:c r="B261" s="253">
        <x:f>+Puantaj!C261</x:f>
      </x:c>
      <x:c r="C261" s="4">
        <x:f>+Puantaj!D261</x:f>
      </x:c>
      <x:c r="D261" s="4">
        <x:f>+Puantaj!E261</x:f>
      </x:c>
      <x:c r="E261" s="4">
        <x:f>+'Banka Lis.'!H260</x:f>
      </x:c>
      <x:c r="F261" s="254">
        <x:f>+Puantaj!AK261</x:f>
      </x:c>
      <x:c r="G261" s="33">
        <x:f>F261*1083</x:f>
      </x:c>
      <x:c r="H261" s="62">
        <x:f>G261*0.055</x:f>
      </x:c>
      <x:c r="I261" s="3">
        <x:f>G261+H261</x:f>
      </x:c>
      <x:c r="J261" s="3">
        <x:f>+G261</x:f>
      </x:c>
      <x:c r="K261" s="3">
        <x:f>J261*0.15</x:f>
      </x:c>
      <x:c r="L261" s="3">
        <x:f>IF(J261*0.15&gt;K261,K261,J261*0.15)</x:f>
      </x:c>
      <x:c r="M261" s="65">
        <x:f>IF(K261-L261&gt;0,K261-L261,0)</x:f>
      </x:c>
      <x:c r="N261" s="3">
        <x:f>G261*0.00759</x:f>
      </x:c>
      <x:c r="O261" s="3">
        <x:f>IF(G261*0.00759&gt;G261,197.38,G261*0.00759)</x:f>
      </x:c>
      <x:c r="P261" s="3">
        <x:f>IF(N261-O261&gt;0,N261-O261,0)</x:f>
      </x:c>
      <x:c r="Q261" s="65">
        <x:f>+H261</x:f>
      </x:c>
      <x:c r="R261" s="65">
        <x:v>0</x:v>
      </x:c>
      <x:c r="S261" s="3">
        <x:f>R261+Q261</x:f>
      </x:c>
      <x:c r="T261" s="3">
        <x:f>I261-S261</x:f>
      </x:c>
      <x:c r="U261" s="255"/>
    </x:row>
    <x:row r="262" spans="1:21" ht="21" customHeight="1" x14ac:dyDescent="0.2">
      <x:c r="A262" s="253">
        <x:f>+'Banka Lis.'!B261</x:f>
      </x:c>
      <x:c r="B262" s="253">
        <x:f>+Puantaj!C262</x:f>
      </x:c>
      <x:c r="C262" s="4">
        <x:f>+Puantaj!D262</x:f>
      </x:c>
      <x:c r="D262" s="4">
        <x:f>+Puantaj!E262</x:f>
      </x:c>
      <x:c r="E262" s="4">
        <x:f>+'Banka Lis.'!H261</x:f>
      </x:c>
      <x:c r="F262" s="254">
        <x:f>+Puantaj!AK262</x:f>
      </x:c>
      <x:c r="G262" s="33">
        <x:f>F262*1083</x:f>
      </x:c>
      <x:c r="H262" s="62">
        <x:f>G262*0.055</x:f>
      </x:c>
      <x:c r="I262" s="3">
        <x:f>G262+H262</x:f>
      </x:c>
      <x:c r="J262" s="3">
        <x:f>+G262</x:f>
      </x:c>
      <x:c r="K262" s="3">
        <x:f>J262*0.15</x:f>
      </x:c>
      <x:c r="L262" s="3">
        <x:f>IF(J262*0.15&gt;K262,K262,J262*0.15)</x:f>
      </x:c>
      <x:c r="M262" s="65">
        <x:f>IF(K262-L262&gt;0,K262-L262,0)</x:f>
      </x:c>
      <x:c r="N262" s="3">
        <x:f>G262*0.00759</x:f>
      </x:c>
      <x:c r="O262" s="3">
        <x:f>IF(G262*0.00759&gt;G262,197.38,G262*0.00759)</x:f>
      </x:c>
      <x:c r="P262" s="3">
        <x:f>IF(N262-O262&gt;0,N262-O262,0)</x:f>
      </x:c>
      <x:c r="Q262" s="65">
        <x:f>+H262</x:f>
      </x:c>
      <x:c r="R262" s="65">
        <x:v>0</x:v>
      </x:c>
      <x:c r="S262" s="3">
        <x:f>R262+Q262</x:f>
      </x:c>
      <x:c r="T262" s="3">
        <x:f>I262-S262</x:f>
      </x:c>
      <x:c r="U262" s="255"/>
    </x:row>
    <x:row r="263" spans="1:21" ht="21" customHeight="1" x14ac:dyDescent="0.2">
      <x:c r="A263" s="253">
        <x:f>+'Banka Lis.'!B262</x:f>
      </x:c>
      <x:c r="B263" s="253">
        <x:f>+Puantaj!C263</x:f>
      </x:c>
      <x:c r="C263" s="4">
        <x:f>+Puantaj!D263</x:f>
      </x:c>
      <x:c r="D263" s="4">
        <x:f>+Puantaj!E263</x:f>
      </x:c>
      <x:c r="E263" s="4">
        <x:f>+'Banka Lis.'!H262</x:f>
      </x:c>
      <x:c r="F263" s="254">
        <x:f>+Puantaj!AK263</x:f>
      </x:c>
      <x:c r="G263" s="33">
        <x:f>F263*1083</x:f>
      </x:c>
      <x:c r="H263" s="62">
        <x:f>G263*0.055</x:f>
      </x:c>
      <x:c r="I263" s="3">
        <x:f>G263+H263</x:f>
      </x:c>
      <x:c r="J263" s="3">
        <x:f>+G263</x:f>
      </x:c>
      <x:c r="K263" s="3">
        <x:f>J263*0.15</x:f>
      </x:c>
      <x:c r="L263" s="3">
        <x:f>IF(J263*0.15&gt;K263,K263,J263*0.15)</x:f>
      </x:c>
      <x:c r="M263" s="65">
        <x:f>IF(K263-L263&gt;0,K263-L263,0)</x:f>
      </x:c>
      <x:c r="N263" s="3">
        <x:f>G263*0.00759</x:f>
      </x:c>
      <x:c r="O263" s="3">
        <x:f>IF(G263*0.00759&gt;G263,197.38,G263*0.00759)</x:f>
      </x:c>
      <x:c r="P263" s="3">
        <x:f>IF(N263-O263&gt;0,N263-O263,0)</x:f>
      </x:c>
      <x:c r="Q263" s="65">
        <x:f>+H263</x:f>
      </x:c>
      <x:c r="R263" s="65">
        <x:v>0</x:v>
      </x:c>
      <x:c r="S263" s="3">
        <x:f>R263+Q263</x:f>
      </x:c>
      <x:c r="T263" s="3">
        <x:f>I263-S263</x:f>
      </x:c>
      <x:c r="U263" s="255"/>
    </x:row>
    <x:row r="264" spans="1:21" ht="21" customHeight="1" x14ac:dyDescent="0.2">
      <x:c r="A264" s="253">
        <x:f>+'Banka Lis.'!B263</x:f>
      </x:c>
      <x:c r="B264" s="253">
        <x:f>+Puantaj!C264</x:f>
      </x:c>
      <x:c r="C264" s="4">
        <x:f>+Puantaj!D264</x:f>
      </x:c>
      <x:c r="D264" s="4">
        <x:f>+Puantaj!E264</x:f>
      </x:c>
      <x:c r="E264" s="4">
        <x:f>+'Banka Lis.'!H263</x:f>
      </x:c>
      <x:c r="F264" s="254">
        <x:f>+Puantaj!AK264</x:f>
      </x:c>
      <x:c r="G264" s="33">
        <x:f>F264*1083</x:f>
      </x:c>
      <x:c r="H264" s="62">
        <x:f>G264*0.055</x:f>
      </x:c>
      <x:c r="I264" s="3">
        <x:f>G264+H264</x:f>
      </x:c>
      <x:c r="J264" s="3">
        <x:f>+G264</x:f>
      </x:c>
      <x:c r="K264" s="3">
        <x:f>J264*0.15</x:f>
      </x:c>
      <x:c r="L264" s="3">
        <x:f>IF(J264*0.15&gt;K264,K264,J264*0.15)</x:f>
      </x:c>
      <x:c r="M264" s="65">
        <x:f>IF(K264-L264&gt;0,K264-L264,0)</x:f>
      </x:c>
      <x:c r="N264" s="3">
        <x:f>G264*0.00759</x:f>
      </x:c>
      <x:c r="O264" s="3">
        <x:f>IF(G264*0.00759&gt;G264,197.38,G264*0.00759)</x:f>
      </x:c>
      <x:c r="P264" s="3">
        <x:f>IF(N264-O264&gt;0,N264-O264,0)</x:f>
      </x:c>
      <x:c r="Q264" s="65">
        <x:f>+H264</x:f>
      </x:c>
      <x:c r="R264" s="65">
        <x:v>0</x:v>
      </x:c>
      <x:c r="S264" s="3">
        <x:f>R264+Q264</x:f>
      </x:c>
      <x:c r="T264" s="3">
        <x:f>I264-S264</x:f>
      </x:c>
      <x:c r="U264" s="255"/>
    </x:row>
    <x:row r="265" spans="1:21" ht="21" customHeight="1" x14ac:dyDescent="0.2">
      <x:c r="A265" s="253">
        <x:f>+'Banka Lis.'!B264</x:f>
      </x:c>
      <x:c r="B265" s="253">
        <x:f>+Puantaj!C265</x:f>
      </x:c>
      <x:c r="C265" s="4">
        <x:f>+Puantaj!D265</x:f>
      </x:c>
      <x:c r="D265" s="4">
        <x:f>+Puantaj!E265</x:f>
      </x:c>
      <x:c r="E265" s="4">
        <x:f>+'Banka Lis.'!H264</x:f>
      </x:c>
      <x:c r="F265" s="254">
        <x:f>+Puantaj!AK265</x:f>
      </x:c>
      <x:c r="G265" s="33">
        <x:f>F265*1083</x:f>
      </x:c>
      <x:c r="H265" s="62">
        <x:f>G265*0.055</x:f>
      </x:c>
      <x:c r="I265" s="3">
        <x:f>G265+H265</x:f>
      </x:c>
      <x:c r="J265" s="3">
        <x:f>+G265</x:f>
      </x:c>
      <x:c r="K265" s="3">
        <x:f>J265*0.15</x:f>
      </x:c>
      <x:c r="L265" s="3">
        <x:f>IF(J265*0.15&gt;K265,K265,J265*0.15)</x:f>
      </x:c>
      <x:c r="M265" s="65">
        <x:f>IF(K265-L265&gt;0,K265-L265,0)</x:f>
      </x:c>
      <x:c r="N265" s="3">
        <x:f>G265*0.00759</x:f>
      </x:c>
      <x:c r="O265" s="3">
        <x:f>IF(G265*0.00759&gt;G265,197.38,G265*0.00759)</x:f>
      </x:c>
      <x:c r="P265" s="3">
        <x:f>IF(N265-O265&gt;0,N265-O265,0)</x:f>
      </x:c>
      <x:c r="Q265" s="65">
        <x:f>+H265</x:f>
      </x:c>
      <x:c r="R265" s="65">
        <x:v>0</x:v>
      </x:c>
      <x:c r="S265" s="3">
        <x:f>R265+Q265</x:f>
      </x:c>
      <x:c r="T265" s="3">
        <x:f>I265-S265</x:f>
      </x:c>
      <x:c r="U265" s="255"/>
    </x:row>
    <x:row r="266" spans="1:21" ht="21" customHeight="1" x14ac:dyDescent="0.2">
      <x:c r="A266" s="253">
        <x:f>+'Banka Lis.'!B265</x:f>
      </x:c>
      <x:c r="B266" s="253">
        <x:f>+Puantaj!C266</x:f>
      </x:c>
      <x:c r="C266" s="4">
        <x:f>+Puantaj!D266</x:f>
      </x:c>
      <x:c r="D266" s="4">
        <x:f>+Puantaj!E266</x:f>
      </x:c>
      <x:c r="E266" s="4">
        <x:f>+'Banka Lis.'!H265</x:f>
      </x:c>
      <x:c r="F266" s="254">
        <x:f>+Puantaj!AK266</x:f>
      </x:c>
      <x:c r="G266" s="33">
        <x:f>F266*1083</x:f>
      </x:c>
      <x:c r="H266" s="62">
        <x:f>G266*0.055</x:f>
      </x:c>
      <x:c r="I266" s="3">
        <x:f>G266+H266</x:f>
      </x:c>
      <x:c r="J266" s="3">
        <x:f>+G266</x:f>
      </x:c>
      <x:c r="K266" s="3">
        <x:f>J266*0.15</x:f>
      </x:c>
      <x:c r="L266" s="3">
        <x:f>IF(J266*0.15&gt;K266,K266,J266*0.15)</x:f>
      </x:c>
      <x:c r="M266" s="65">
        <x:f>IF(K266-L266&gt;0,K266-L266,0)</x:f>
      </x:c>
      <x:c r="N266" s="3">
        <x:f>G266*0.00759</x:f>
      </x:c>
      <x:c r="O266" s="3">
        <x:f>IF(G266*0.00759&gt;G266,197.38,G266*0.00759)</x:f>
      </x:c>
      <x:c r="P266" s="3">
        <x:f>IF(N266-O266&gt;0,N266-O266,0)</x:f>
      </x:c>
      <x:c r="Q266" s="65">
        <x:f>+H266</x:f>
      </x:c>
      <x:c r="R266" s="65">
        <x:v>0</x:v>
      </x:c>
      <x:c r="S266" s="3">
        <x:f>R266+Q266</x:f>
      </x:c>
      <x:c r="T266" s="3">
        <x:f>I266-S266</x:f>
      </x:c>
      <x:c r="U266" s="255"/>
    </x:row>
    <x:row r="267" spans="1:21" ht="21" customHeight="1" x14ac:dyDescent="0.2">
      <x:c r="A267" s="253">
        <x:f>+'Banka Lis.'!B266</x:f>
      </x:c>
      <x:c r="B267" s="253">
        <x:f>+Puantaj!C267</x:f>
      </x:c>
      <x:c r="C267" s="4">
        <x:f>+Puantaj!D267</x:f>
      </x:c>
      <x:c r="D267" s="4">
        <x:f>+Puantaj!E267</x:f>
      </x:c>
      <x:c r="E267" s="4">
        <x:f>+'Banka Lis.'!H266</x:f>
      </x:c>
      <x:c r="F267" s="254">
        <x:f>+Puantaj!AK267</x:f>
      </x:c>
      <x:c r="G267" s="33">
        <x:f>F267*1083</x:f>
      </x:c>
      <x:c r="H267" s="62">
        <x:f>G267*0.055</x:f>
      </x:c>
      <x:c r="I267" s="3">
        <x:f>G267+H267</x:f>
      </x:c>
      <x:c r="J267" s="3">
        <x:f>+G267</x:f>
      </x:c>
      <x:c r="K267" s="3">
        <x:f>J267*0.15</x:f>
      </x:c>
      <x:c r="L267" s="3">
        <x:f>IF(J267*0.15&gt;K267,K267,J267*0.15)</x:f>
      </x:c>
      <x:c r="M267" s="65">
        <x:f>IF(K267-L267&gt;0,K267-L267,0)</x:f>
      </x:c>
      <x:c r="N267" s="3">
        <x:f>G267*0.00759</x:f>
      </x:c>
      <x:c r="O267" s="3">
        <x:f>IF(G267*0.00759&gt;G267,197.38,G267*0.00759)</x:f>
      </x:c>
      <x:c r="P267" s="3">
        <x:f>IF(N267-O267&gt;0,N267-O267,0)</x:f>
      </x:c>
      <x:c r="Q267" s="65">
        <x:f>+H267</x:f>
      </x:c>
      <x:c r="R267" s="65">
        <x:v>0</x:v>
      </x:c>
      <x:c r="S267" s="3">
        <x:f>R267+Q267</x:f>
      </x:c>
      <x:c r="T267" s="3">
        <x:f>I267-S267</x:f>
      </x:c>
      <x:c r="U267" s="255"/>
    </x:row>
    <x:row r="268" spans="1:21" ht="21" customHeight="1" x14ac:dyDescent="0.2">
      <x:c r="A268" s="253">
        <x:f>+'Banka Lis.'!B267</x:f>
      </x:c>
      <x:c r="B268" s="253">
        <x:f>+Puantaj!C268</x:f>
      </x:c>
      <x:c r="C268" s="4">
        <x:f>+Puantaj!D268</x:f>
      </x:c>
      <x:c r="D268" s="4">
        <x:f>+Puantaj!E268</x:f>
      </x:c>
      <x:c r="E268" s="4">
        <x:f>+'Banka Lis.'!H267</x:f>
      </x:c>
      <x:c r="F268" s="254">
        <x:f>+Puantaj!AK268</x:f>
      </x:c>
      <x:c r="G268" s="33">
        <x:f>F268*1083</x:f>
      </x:c>
      <x:c r="H268" s="62">
        <x:f>G268*0.055</x:f>
      </x:c>
      <x:c r="I268" s="3">
        <x:f>G268+H268</x:f>
      </x:c>
      <x:c r="J268" s="3">
        <x:f>+G268</x:f>
      </x:c>
      <x:c r="K268" s="3">
        <x:f>J268*0.15</x:f>
      </x:c>
      <x:c r="L268" s="3">
        <x:f>IF(J268*0.15&gt;K268,K268,J268*0.15)</x:f>
      </x:c>
      <x:c r="M268" s="65">
        <x:f>IF(K268-L268&gt;0,K268-L268,0)</x:f>
      </x:c>
      <x:c r="N268" s="3">
        <x:f>G268*0.00759</x:f>
      </x:c>
      <x:c r="O268" s="3">
        <x:f>IF(G268*0.00759&gt;G268,197.38,G268*0.00759)</x:f>
      </x:c>
      <x:c r="P268" s="3">
        <x:f>IF(N268-O268&gt;0,N268-O268,0)</x:f>
      </x:c>
      <x:c r="Q268" s="65">
        <x:f>+H268</x:f>
      </x:c>
      <x:c r="R268" s="65">
        <x:v>0</x:v>
      </x:c>
      <x:c r="S268" s="3">
        <x:f>R268+Q268</x:f>
      </x:c>
      <x:c r="T268" s="3">
        <x:f>I268-S268</x:f>
      </x:c>
      <x:c r="U268" s="255"/>
    </x:row>
    <x:row r="269" spans="1:21" ht="21" customHeight="1" x14ac:dyDescent="0.2">
      <x:c r="A269" s="253">
        <x:f>+'Banka Lis.'!B268</x:f>
      </x:c>
      <x:c r="B269" s="253">
        <x:f>+Puantaj!C269</x:f>
      </x:c>
      <x:c r="C269" s="4">
        <x:f>+Puantaj!D269</x:f>
      </x:c>
      <x:c r="D269" s="4">
        <x:f>+Puantaj!E269</x:f>
      </x:c>
      <x:c r="E269" s="4">
        <x:f>+'Banka Lis.'!H268</x:f>
      </x:c>
      <x:c r="F269" s="254">
        <x:f>+Puantaj!AK269</x:f>
      </x:c>
      <x:c r="G269" s="33">
        <x:f>F269*1083</x:f>
      </x:c>
      <x:c r="H269" s="62">
        <x:f>G269*0.055</x:f>
      </x:c>
      <x:c r="I269" s="3">
        <x:f>G269+H269</x:f>
      </x:c>
      <x:c r="J269" s="3">
        <x:f>+G269</x:f>
      </x:c>
      <x:c r="K269" s="3">
        <x:f>J269*0.15</x:f>
      </x:c>
      <x:c r="L269" s="3">
        <x:f>IF(J269*0.15&gt;K269,K269,J269*0.15)</x:f>
      </x:c>
      <x:c r="M269" s="65">
        <x:f>IF(K269-L269&gt;0,K269-L269,0)</x:f>
      </x:c>
      <x:c r="N269" s="3">
        <x:f>G269*0.00759</x:f>
      </x:c>
      <x:c r="O269" s="3">
        <x:f>IF(G269*0.00759&gt;G269,197.38,G269*0.00759)</x:f>
      </x:c>
      <x:c r="P269" s="3">
        <x:f>IF(N269-O269&gt;0,N269-O269,0)</x:f>
      </x:c>
      <x:c r="Q269" s="65">
        <x:f>+H269</x:f>
      </x:c>
      <x:c r="R269" s="65">
        <x:v>0</x:v>
      </x:c>
      <x:c r="S269" s="3">
        <x:f>R269+Q269</x:f>
      </x:c>
      <x:c r="T269" s="3">
        <x:f>I269-S269</x:f>
      </x:c>
      <x:c r="U269" s="255"/>
    </x:row>
    <x:row r="270" spans="1:21" ht="21" customHeight="1" x14ac:dyDescent="0.2">
      <x:c r="A270" s="253">
        <x:f>+'Banka Lis.'!B269</x:f>
      </x:c>
      <x:c r="B270" s="253">
        <x:f>+Puantaj!C270</x:f>
      </x:c>
      <x:c r="C270" s="4">
        <x:f>+Puantaj!D270</x:f>
      </x:c>
      <x:c r="D270" s="4">
        <x:f>+Puantaj!E270</x:f>
      </x:c>
      <x:c r="E270" s="4">
        <x:f>+'Banka Lis.'!H269</x:f>
      </x:c>
      <x:c r="F270" s="254">
        <x:f>+Puantaj!AK270</x:f>
      </x:c>
      <x:c r="G270" s="33">
        <x:f>F270*1083</x:f>
      </x:c>
      <x:c r="H270" s="62">
        <x:f>G270*0.055</x:f>
      </x:c>
      <x:c r="I270" s="3">
        <x:f>G270+H270</x:f>
      </x:c>
      <x:c r="J270" s="3">
        <x:f>+G270</x:f>
      </x:c>
      <x:c r="K270" s="3">
        <x:f>J270*0.15</x:f>
      </x:c>
      <x:c r="L270" s="3">
        <x:f>IF(J270*0.15&gt;K270,K270,J270*0.15)</x:f>
      </x:c>
      <x:c r="M270" s="65">
        <x:f>IF(K270-L270&gt;0,K270-L270,0)</x:f>
      </x:c>
      <x:c r="N270" s="3">
        <x:f>G270*0.00759</x:f>
      </x:c>
      <x:c r="O270" s="3">
        <x:f>IF(G270*0.00759&gt;G270,197.38,G270*0.00759)</x:f>
      </x:c>
      <x:c r="P270" s="3">
        <x:f>IF(N270-O270&gt;0,N270-O270,0)</x:f>
      </x:c>
      <x:c r="Q270" s="65">
        <x:f>+H270</x:f>
      </x:c>
      <x:c r="R270" s="65">
        <x:v>0</x:v>
      </x:c>
      <x:c r="S270" s="3">
        <x:f>R270+Q270</x:f>
      </x:c>
      <x:c r="T270" s="3">
        <x:f>I270-S270</x:f>
      </x:c>
      <x:c r="U270" s="255"/>
    </x:row>
    <x:row r="271" spans="1:21" ht="21" customHeight="1" x14ac:dyDescent="0.2">
      <x:c r="A271" s="253">
        <x:f>+'Banka Lis.'!B270</x:f>
      </x:c>
      <x:c r="B271" s="253">
        <x:f>+Puantaj!C271</x:f>
      </x:c>
      <x:c r="C271" s="4">
        <x:f>+Puantaj!D271</x:f>
      </x:c>
      <x:c r="D271" s="4">
        <x:f>+Puantaj!E271</x:f>
      </x:c>
      <x:c r="E271" s="4">
        <x:f>+'Banka Lis.'!H270</x:f>
      </x:c>
      <x:c r="F271" s="254">
        <x:f>+Puantaj!AK271</x:f>
      </x:c>
      <x:c r="G271" s="33">
        <x:f>F271*1083</x:f>
      </x:c>
      <x:c r="H271" s="62">
        <x:f>G271*0.055</x:f>
      </x:c>
      <x:c r="I271" s="3">
        <x:f>G271+H271</x:f>
      </x:c>
      <x:c r="J271" s="3">
        <x:f>+G271</x:f>
      </x:c>
      <x:c r="K271" s="3">
        <x:f>J271*0.15</x:f>
      </x:c>
      <x:c r="L271" s="3">
        <x:f>IF(J271*0.15&gt;K271,K271,J271*0.15)</x:f>
      </x:c>
      <x:c r="M271" s="65">
        <x:f>IF(K271-L271&gt;0,K271-L271,0)</x:f>
      </x:c>
      <x:c r="N271" s="3">
        <x:f>G271*0.00759</x:f>
      </x:c>
      <x:c r="O271" s="3">
        <x:f>IF(G271*0.00759&gt;G271,197.38,G271*0.00759)</x:f>
      </x:c>
      <x:c r="P271" s="3">
        <x:f>IF(N271-O271&gt;0,N271-O271,0)</x:f>
      </x:c>
      <x:c r="Q271" s="65">
        <x:f>+H271</x:f>
      </x:c>
      <x:c r="R271" s="65">
        <x:v>0</x:v>
      </x:c>
      <x:c r="S271" s="3">
        <x:f>R271+Q271</x:f>
      </x:c>
      <x:c r="T271" s="3">
        <x:f>I271-S271</x:f>
      </x:c>
      <x:c r="U271" s="255"/>
    </x:row>
    <x:row r="272" spans="1:21" ht="21" customHeight="1" x14ac:dyDescent="0.2">
      <x:c r="A272" s="253">
        <x:f>+'Banka Lis.'!B271</x:f>
      </x:c>
      <x:c r="B272" s="253">
        <x:f>+Puantaj!C272</x:f>
      </x:c>
      <x:c r="C272" s="4">
        <x:f>+Puantaj!D272</x:f>
      </x:c>
      <x:c r="D272" s="4">
        <x:f>+Puantaj!E272</x:f>
      </x:c>
      <x:c r="E272" s="4">
        <x:f>+'Banka Lis.'!H271</x:f>
      </x:c>
      <x:c r="F272" s="254">
        <x:f>+Puantaj!AK272</x:f>
      </x:c>
      <x:c r="G272" s="33">
        <x:f>F272*1083</x:f>
      </x:c>
      <x:c r="H272" s="62">
        <x:f>G272*0.055</x:f>
      </x:c>
      <x:c r="I272" s="3">
        <x:f>G272+H272</x:f>
      </x:c>
      <x:c r="J272" s="3">
        <x:f>+G272</x:f>
      </x:c>
      <x:c r="K272" s="3">
        <x:f>J272*0.15</x:f>
      </x:c>
      <x:c r="L272" s="3">
        <x:f>IF(J272*0.15&gt;K272,K272,J272*0.15)</x:f>
      </x:c>
      <x:c r="M272" s="65">
        <x:f>IF(K272-L272&gt;0,K272-L272,0)</x:f>
      </x:c>
      <x:c r="N272" s="3">
        <x:f>G272*0.00759</x:f>
      </x:c>
      <x:c r="O272" s="3">
        <x:f>IF(G272*0.00759&gt;G272,197.38,G272*0.00759)</x:f>
      </x:c>
      <x:c r="P272" s="3">
        <x:f>IF(N272-O272&gt;0,N272-O272,0)</x:f>
      </x:c>
      <x:c r="Q272" s="65">
        <x:f>+H272</x:f>
      </x:c>
      <x:c r="R272" s="65">
        <x:v>0</x:v>
      </x:c>
      <x:c r="S272" s="3">
        <x:f>R272+Q272</x:f>
      </x:c>
      <x:c r="T272" s="3">
        <x:f>I272-S272</x:f>
      </x:c>
      <x:c r="U272" s="255"/>
    </x:row>
    <x:row r="273" spans="1:21" ht="21" customHeight="1" x14ac:dyDescent="0.2">
      <x:c r="A273" s="253">
        <x:f>+'Banka Lis.'!B272</x:f>
      </x:c>
      <x:c r="B273" s="253">
        <x:f>+Puantaj!C273</x:f>
      </x:c>
      <x:c r="C273" s="4">
        <x:f>+Puantaj!D273</x:f>
      </x:c>
      <x:c r="D273" s="4">
        <x:f>+Puantaj!E273</x:f>
      </x:c>
      <x:c r="E273" s="4">
        <x:f>+'Banka Lis.'!H272</x:f>
      </x:c>
      <x:c r="F273" s="254">
        <x:f>+Puantaj!AK273</x:f>
      </x:c>
      <x:c r="G273" s="33">
        <x:f>F273*1083</x:f>
      </x:c>
      <x:c r="H273" s="62">
        <x:f>G273*0.055</x:f>
      </x:c>
      <x:c r="I273" s="3">
        <x:f>G273+H273</x:f>
      </x:c>
      <x:c r="J273" s="3">
        <x:f>+G273</x:f>
      </x:c>
      <x:c r="K273" s="3">
        <x:f>J273*0.15</x:f>
      </x:c>
      <x:c r="L273" s="3">
        <x:f>IF(J273*0.15&gt;K273,K273,J273*0.15)</x:f>
      </x:c>
      <x:c r="M273" s="65">
        <x:f>IF(K273-L273&gt;0,K273-L273,0)</x:f>
      </x:c>
      <x:c r="N273" s="3">
        <x:f>G273*0.00759</x:f>
      </x:c>
      <x:c r="O273" s="3">
        <x:f>IF(G273*0.00759&gt;G273,197.38,G273*0.00759)</x:f>
      </x:c>
      <x:c r="P273" s="3">
        <x:f>IF(N273-O273&gt;0,N273-O273,0)</x:f>
      </x:c>
      <x:c r="Q273" s="65">
        <x:f>+H273</x:f>
      </x:c>
      <x:c r="R273" s="65">
        <x:v>0</x:v>
      </x:c>
      <x:c r="S273" s="3">
        <x:f>R273+Q273</x:f>
      </x:c>
      <x:c r="T273" s="3">
        <x:f>I273-S273</x:f>
      </x:c>
      <x:c r="U273" s="255"/>
    </x:row>
    <x:row r="274" spans="1:21" ht="21" customHeight="1" x14ac:dyDescent="0.2">
      <x:c r="A274" s="253">
        <x:f>+'Banka Lis.'!B273</x:f>
      </x:c>
      <x:c r="B274" s="253">
        <x:f>+Puantaj!C274</x:f>
      </x:c>
      <x:c r="C274" s="4">
        <x:f>+Puantaj!D274</x:f>
      </x:c>
      <x:c r="D274" s="4">
        <x:f>+Puantaj!E274</x:f>
      </x:c>
      <x:c r="E274" s="4">
        <x:f>+'Banka Lis.'!H273</x:f>
      </x:c>
      <x:c r="F274" s="254">
        <x:f>+Puantaj!AK274</x:f>
      </x:c>
      <x:c r="G274" s="33">
        <x:f>F274*1083</x:f>
      </x:c>
      <x:c r="H274" s="62">
        <x:f>G274*0.055</x:f>
      </x:c>
      <x:c r="I274" s="3">
        <x:f>G274+H274</x:f>
      </x:c>
      <x:c r="J274" s="3">
        <x:f>+G274</x:f>
      </x:c>
      <x:c r="K274" s="3">
        <x:f>J274*0.15</x:f>
      </x:c>
      <x:c r="L274" s="3">
        <x:f>IF(J274*0.15&gt;K274,K274,J274*0.15)</x:f>
      </x:c>
      <x:c r="M274" s="65">
        <x:f>IF(K274-L274&gt;0,K274-L274,0)</x:f>
      </x:c>
      <x:c r="N274" s="3">
        <x:f>G274*0.00759</x:f>
      </x:c>
      <x:c r="O274" s="3">
        <x:f>IF(G274*0.00759&gt;G274,197.38,G274*0.00759)</x:f>
      </x:c>
      <x:c r="P274" s="3">
        <x:f>IF(N274-O274&gt;0,N274-O274,0)</x:f>
      </x:c>
      <x:c r="Q274" s="65">
        <x:f>+H274</x:f>
      </x:c>
      <x:c r="R274" s="65">
        <x:v>0</x:v>
      </x:c>
      <x:c r="S274" s="3">
        <x:f>R274+Q274</x:f>
      </x:c>
      <x:c r="T274" s="3">
        <x:f>I274-S274</x:f>
      </x:c>
      <x:c r="U274" s="255"/>
    </x:row>
    <x:row r="275" spans="1:21" ht="21" customHeight="1" x14ac:dyDescent="0.2">
      <x:c r="A275" s="253">
        <x:f>+'Banka Lis.'!B274</x:f>
      </x:c>
      <x:c r="B275" s="253">
        <x:f>+Puantaj!C275</x:f>
      </x:c>
      <x:c r="C275" s="4">
        <x:f>+Puantaj!D275</x:f>
      </x:c>
      <x:c r="D275" s="4">
        <x:f>+Puantaj!E275</x:f>
      </x:c>
      <x:c r="E275" s="4">
        <x:f>+'Banka Lis.'!H274</x:f>
      </x:c>
      <x:c r="F275" s="254">
        <x:f>+Puantaj!AK275</x:f>
      </x:c>
      <x:c r="G275" s="33">
        <x:f>F275*1083</x:f>
      </x:c>
      <x:c r="H275" s="62">
        <x:f>G275*0.055</x:f>
      </x:c>
      <x:c r="I275" s="3">
        <x:f>G275+H275</x:f>
      </x:c>
      <x:c r="J275" s="3">
        <x:f>+G275</x:f>
      </x:c>
      <x:c r="K275" s="3">
        <x:f>J275*0.15</x:f>
      </x:c>
      <x:c r="L275" s="3">
        <x:f>IF(J275*0.15&gt;K275,K275,J275*0.15)</x:f>
      </x:c>
      <x:c r="M275" s="65">
        <x:f>IF(K275-L275&gt;0,K275-L275,0)</x:f>
      </x:c>
      <x:c r="N275" s="3">
        <x:f>G275*0.00759</x:f>
      </x:c>
      <x:c r="O275" s="3">
        <x:f>IF(G275*0.00759&gt;G275,197.38,G275*0.00759)</x:f>
      </x:c>
      <x:c r="P275" s="3">
        <x:f>IF(N275-O275&gt;0,N275-O275,0)</x:f>
      </x:c>
      <x:c r="Q275" s="65">
        <x:f>+H275</x:f>
      </x:c>
      <x:c r="R275" s="65">
        <x:v>0</x:v>
      </x:c>
      <x:c r="S275" s="3">
        <x:f>R275+Q275</x:f>
      </x:c>
      <x:c r="T275" s="3">
        <x:f>I275-S275</x:f>
      </x:c>
      <x:c r="U275" s="255"/>
    </x:row>
    <x:row r="276" spans="1:21" ht="21" customHeight="1" x14ac:dyDescent="0.2">
      <x:c r="A276" s="253">
        <x:f>+'Banka Lis.'!B275</x:f>
      </x:c>
      <x:c r="B276" s="253">
        <x:f>+Puantaj!C276</x:f>
      </x:c>
      <x:c r="C276" s="4">
        <x:f>+Puantaj!D276</x:f>
      </x:c>
      <x:c r="D276" s="4">
        <x:f>+Puantaj!E276</x:f>
      </x:c>
      <x:c r="E276" s="4">
        <x:f>+'Banka Lis.'!H275</x:f>
      </x:c>
      <x:c r="F276" s="254">
        <x:f>+Puantaj!AK276</x:f>
      </x:c>
      <x:c r="G276" s="33">
        <x:f>F276*1083</x:f>
      </x:c>
      <x:c r="H276" s="62">
        <x:f>G276*0.055</x:f>
      </x:c>
      <x:c r="I276" s="3">
        <x:f>G276+H276</x:f>
      </x:c>
      <x:c r="J276" s="3">
        <x:f>+G276</x:f>
      </x:c>
      <x:c r="K276" s="3">
        <x:f>J276*0.15</x:f>
      </x:c>
      <x:c r="L276" s="3">
        <x:f>IF(J276*0.15&gt;K276,K276,J276*0.15)</x:f>
      </x:c>
      <x:c r="M276" s="65">
        <x:f>IF(K276-L276&gt;0,K276-L276,0)</x:f>
      </x:c>
      <x:c r="N276" s="3">
        <x:f>G276*0.00759</x:f>
      </x:c>
      <x:c r="O276" s="3">
        <x:f>IF(G276*0.00759&gt;G276,197.38,G276*0.00759)</x:f>
      </x:c>
      <x:c r="P276" s="3">
        <x:f>IF(N276-O276&gt;0,N276-O276,0)</x:f>
      </x:c>
      <x:c r="Q276" s="65">
        <x:f>+H276</x:f>
      </x:c>
      <x:c r="R276" s="65">
        <x:v>0</x:v>
      </x:c>
      <x:c r="S276" s="3">
        <x:f>R276+Q276</x:f>
      </x:c>
      <x:c r="T276" s="3">
        <x:f>I276-S276</x:f>
      </x:c>
      <x:c r="U276" s="255"/>
    </x:row>
    <x:row r="277" spans="1:21" ht="21" customHeight="1" x14ac:dyDescent="0.2">
      <x:c r="A277" s="253">
        <x:f>+'Banka Lis.'!B276</x:f>
      </x:c>
      <x:c r="B277" s="253">
        <x:f>+Puantaj!C277</x:f>
      </x:c>
      <x:c r="C277" s="4">
        <x:f>+Puantaj!D277</x:f>
      </x:c>
      <x:c r="D277" s="4">
        <x:f>+Puantaj!E277</x:f>
      </x:c>
      <x:c r="E277" s="4">
        <x:f>+'Banka Lis.'!H276</x:f>
      </x:c>
      <x:c r="F277" s="254">
        <x:f>+Puantaj!AK277</x:f>
      </x:c>
      <x:c r="G277" s="33">
        <x:f>F277*1083</x:f>
      </x:c>
      <x:c r="H277" s="62">
        <x:f>G277*0.055</x:f>
      </x:c>
      <x:c r="I277" s="3">
        <x:f>G277+H277</x:f>
      </x:c>
      <x:c r="J277" s="3">
        <x:f>+G277</x:f>
      </x:c>
      <x:c r="K277" s="3">
        <x:f>J277*0.15</x:f>
      </x:c>
      <x:c r="L277" s="3">
        <x:f>IF(J277*0.15&gt;K277,K277,J277*0.15)</x:f>
      </x:c>
      <x:c r="M277" s="65">
        <x:f>IF(K277-L277&gt;0,K277-L277,0)</x:f>
      </x:c>
      <x:c r="N277" s="3">
        <x:f>G277*0.00759</x:f>
      </x:c>
      <x:c r="O277" s="3">
        <x:f>IF(G277*0.00759&gt;G277,197.38,G277*0.00759)</x:f>
      </x:c>
      <x:c r="P277" s="3">
        <x:f>IF(N277-O277&gt;0,N277-O277,0)</x:f>
      </x:c>
      <x:c r="Q277" s="65">
        <x:f>+H277</x:f>
      </x:c>
      <x:c r="R277" s="65">
        <x:v>0</x:v>
      </x:c>
      <x:c r="S277" s="3">
        <x:f>R277+Q277</x:f>
      </x:c>
      <x:c r="T277" s="3">
        <x:f>I277-S277</x:f>
      </x:c>
      <x:c r="U277" s="255"/>
    </x:row>
    <x:row r="278" spans="1:21" ht="21" customHeight="1" x14ac:dyDescent="0.2">
      <x:c r="A278" s="253">
        <x:f>+'Banka Lis.'!B277</x:f>
      </x:c>
      <x:c r="B278" s="253">
        <x:f>+Puantaj!C278</x:f>
      </x:c>
      <x:c r="C278" s="4">
        <x:f>+Puantaj!D278</x:f>
      </x:c>
      <x:c r="D278" s="4">
        <x:f>+Puantaj!E278</x:f>
      </x:c>
      <x:c r="E278" s="4">
        <x:f>+'Banka Lis.'!H277</x:f>
      </x:c>
      <x:c r="F278" s="254">
        <x:f>+Puantaj!AK278</x:f>
      </x:c>
      <x:c r="G278" s="33">
        <x:f>F278*1083</x:f>
      </x:c>
      <x:c r="H278" s="62">
        <x:f>G278*0.055</x:f>
      </x:c>
      <x:c r="I278" s="3">
        <x:f>G278+H278</x:f>
      </x:c>
      <x:c r="J278" s="3">
        <x:f>+G278</x:f>
      </x:c>
      <x:c r="K278" s="3">
        <x:f>J278*0.15</x:f>
      </x:c>
      <x:c r="L278" s="3">
        <x:f>IF(J278*0.15&gt;K278,K278,J278*0.15)</x:f>
      </x:c>
      <x:c r="M278" s="65">
        <x:f>IF(K278-L278&gt;0,K278-L278,0)</x:f>
      </x:c>
      <x:c r="N278" s="3">
        <x:f>G278*0.00759</x:f>
      </x:c>
      <x:c r="O278" s="3">
        <x:f>IF(G278*0.00759&gt;G278,197.38,G278*0.00759)</x:f>
      </x:c>
      <x:c r="P278" s="3">
        <x:f>IF(N278-O278&gt;0,N278-O278,0)</x:f>
      </x:c>
      <x:c r="Q278" s="65">
        <x:f>+H278</x:f>
      </x:c>
      <x:c r="R278" s="65">
        <x:v>0</x:v>
      </x:c>
      <x:c r="S278" s="3">
        <x:f>R278+Q278</x:f>
      </x:c>
      <x:c r="T278" s="3">
        <x:f>I278-S278</x:f>
      </x:c>
      <x:c r="U278" s="255"/>
    </x:row>
    <x:row r="279" spans="1:21" ht="21" customHeight="1" x14ac:dyDescent="0.2">
      <x:c r="A279" s="253">
        <x:f>+'Banka Lis.'!B278</x:f>
      </x:c>
      <x:c r="B279" s="253">
        <x:f>+Puantaj!C279</x:f>
      </x:c>
      <x:c r="C279" s="4">
        <x:f>+Puantaj!D279</x:f>
      </x:c>
      <x:c r="D279" s="4">
        <x:f>+Puantaj!E279</x:f>
      </x:c>
      <x:c r="E279" s="4">
        <x:f>+'Banka Lis.'!H278</x:f>
      </x:c>
      <x:c r="F279" s="254">
        <x:f>+Puantaj!AK279</x:f>
      </x:c>
      <x:c r="G279" s="33">
        <x:f>F279*1083</x:f>
      </x:c>
      <x:c r="H279" s="62">
        <x:f>G279*0.055</x:f>
      </x:c>
      <x:c r="I279" s="3">
        <x:f>G279+H279</x:f>
      </x:c>
      <x:c r="J279" s="3">
        <x:f>+G279</x:f>
      </x:c>
      <x:c r="K279" s="3">
        <x:f>J279*0.15</x:f>
      </x:c>
      <x:c r="L279" s="3">
        <x:f>IF(J279*0.15&gt;K279,K279,J279*0.15)</x:f>
      </x:c>
      <x:c r="M279" s="65">
        <x:f>IF(K279-L279&gt;0,K279-L279,0)</x:f>
      </x:c>
      <x:c r="N279" s="3">
        <x:f>G279*0.00759</x:f>
      </x:c>
      <x:c r="O279" s="3">
        <x:f>IF(G279*0.00759&gt;G279,197.38,G279*0.00759)</x:f>
      </x:c>
      <x:c r="P279" s="3">
        <x:f>IF(N279-O279&gt;0,N279-O279,0)</x:f>
      </x:c>
      <x:c r="Q279" s="65">
        <x:f>+H279</x:f>
      </x:c>
      <x:c r="R279" s="65">
        <x:v>0</x:v>
      </x:c>
      <x:c r="S279" s="3">
        <x:f>R279+Q279</x:f>
      </x:c>
      <x:c r="T279" s="3">
        <x:f>I279-S279</x:f>
      </x:c>
      <x:c r="U279" s="255"/>
    </x:row>
    <x:row r="280" spans="1:21" ht="21" customHeight="1" x14ac:dyDescent="0.2">
      <x:c r="A280" s="253">
        <x:f>+'Banka Lis.'!B279</x:f>
      </x:c>
      <x:c r="B280" s="253">
        <x:f>+Puantaj!C280</x:f>
      </x:c>
      <x:c r="C280" s="4">
        <x:f>+Puantaj!D280</x:f>
      </x:c>
      <x:c r="D280" s="4">
        <x:f>+Puantaj!E280</x:f>
      </x:c>
      <x:c r="E280" s="4">
        <x:f>+'Banka Lis.'!H279</x:f>
      </x:c>
      <x:c r="F280" s="254">
        <x:f>+Puantaj!AK280</x:f>
      </x:c>
      <x:c r="G280" s="33">
        <x:f>F280*1083</x:f>
      </x:c>
      <x:c r="H280" s="62">
        <x:f>G280*0.055</x:f>
      </x:c>
      <x:c r="I280" s="3">
        <x:f>G280+H280</x:f>
      </x:c>
      <x:c r="J280" s="3">
        <x:f>+G280</x:f>
      </x:c>
      <x:c r="K280" s="3">
        <x:f>J280*0.15</x:f>
      </x:c>
      <x:c r="L280" s="3">
        <x:f>IF(J280*0.15&gt;K280,K280,J280*0.15)</x:f>
      </x:c>
      <x:c r="M280" s="65">
        <x:f>IF(K280-L280&gt;0,K280-L280,0)</x:f>
      </x:c>
      <x:c r="N280" s="3">
        <x:f>G280*0.00759</x:f>
      </x:c>
      <x:c r="O280" s="3">
        <x:f>IF(G280*0.00759&gt;G280,197.38,G280*0.00759)</x:f>
      </x:c>
      <x:c r="P280" s="3">
        <x:f>IF(N280-O280&gt;0,N280-O280,0)</x:f>
      </x:c>
      <x:c r="Q280" s="65">
        <x:f>+H280</x:f>
      </x:c>
      <x:c r="R280" s="65">
        <x:v>0</x:v>
      </x:c>
      <x:c r="S280" s="3">
        <x:f>R280+Q280</x:f>
      </x:c>
      <x:c r="T280" s="3">
        <x:f>I280-S280</x:f>
      </x:c>
      <x:c r="U280" s="255"/>
    </x:row>
    <x:row r="281" spans="1:21" ht="21" customHeight="1" x14ac:dyDescent="0.2">
      <x:c r="A281" s="253">
        <x:f>+'Banka Lis.'!B280</x:f>
      </x:c>
      <x:c r="B281" s="253">
        <x:f>+Puantaj!C281</x:f>
      </x:c>
      <x:c r="C281" s="4">
        <x:f>+Puantaj!D281</x:f>
      </x:c>
      <x:c r="D281" s="4">
        <x:f>+Puantaj!E281</x:f>
      </x:c>
      <x:c r="E281" s="4">
        <x:f>+'Banka Lis.'!H280</x:f>
      </x:c>
      <x:c r="F281" s="254">
        <x:f>+Puantaj!AK281</x:f>
      </x:c>
      <x:c r="G281" s="33">
        <x:f>F281*1083</x:f>
      </x:c>
      <x:c r="H281" s="62">
        <x:f>G281*0.055</x:f>
      </x:c>
      <x:c r="I281" s="3">
        <x:f>G281+H281</x:f>
      </x:c>
      <x:c r="J281" s="3">
        <x:f>+G281</x:f>
      </x:c>
      <x:c r="K281" s="3">
        <x:f>J281*0.15</x:f>
      </x:c>
      <x:c r="L281" s="3">
        <x:f>IF(J281*0.15&gt;K281,K281,J281*0.15)</x:f>
      </x:c>
      <x:c r="M281" s="65">
        <x:f>IF(K281-L281&gt;0,K281-L281,0)</x:f>
      </x:c>
      <x:c r="N281" s="3">
        <x:f>G281*0.00759</x:f>
      </x:c>
      <x:c r="O281" s="3">
        <x:f>IF(G281*0.00759&gt;G281,197.38,G281*0.00759)</x:f>
      </x:c>
      <x:c r="P281" s="3">
        <x:f>IF(N281-O281&gt;0,N281-O281,0)</x:f>
      </x:c>
      <x:c r="Q281" s="65">
        <x:f>+H281</x:f>
      </x:c>
      <x:c r="R281" s="65">
        <x:v>0</x:v>
      </x:c>
      <x:c r="S281" s="3">
        <x:f>R281+Q281</x:f>
      </x:c>
      <x:c r="T281" s="3">
        <x:f>I281-S281</x:f>
      </x:c>
      <x:c r="U281" s="255"/>
    </x:row>
    <x:row r="282" spans="1:21" ht="21" customHeight="1" x14ac:dyDescent="0.2">
      <x:c r="A282" s="253">
        <x:f>+'Banka Lis.'!B281</x:f>
      </x:c>
      <x:c r="B282" s="253">
        <x:f>+Puantaj!C282</x:f>
      </x:c>
      <x:c r="C282" s="4">
        <x:f>+Puantaj!D282</x:f>
      </x:c>
      <x:c r="D282" s="4">
        <x:f>+Puantaj!E282</x:f>
      </x:c>
      <x:c r="E282" s="4">
        <x:f>+'Banka Lis.'!H281</x:f>
      </x:c>
      <x:c r="F282" s="254">
        <x:f>+Puantaj!AK282</x:f>
      </x:c>
      <x:c r="G282" s="33">
        <x:f>F282*1083</x:f>
      </x:c>
      <x:c r="H282" s="62">
        <x:f>G282*0.055</x:f>
      </x:c>
      <x:c r="I282" s="3">
        <x:f>G282+H282</x:f>
      </x:c>
      <x:c r="J282" s="3">
        <x:f>+G282</x:f>
      </x:c>
      <x:c r="K282" s="3">
        <x:f>J282*0.15</x:f>
      </x:c>
      <x:c r="L282" s="3">
        <x:f>IF(J282*0.15&gt;K282,K282,J282*0.15)</x:f>
      </x:c>
      <x:c r="M282" s="65">
        <x:f>IF(K282-L282&gt;0,K282-L282,0)</x:f>
      </x:c>
      <x:c r="N282" s="3">
        <x:f>G282*0.00759</x:f>
      </x:c>
      <x:c r="O282" s="3">
        <x:f>IF(G282*0.00759&gt;G282,197.38,G282*0.00759)</x:f>
      </x:c>
      <x:c r="P282" s="3">
        <x:f>IF(N282-O282&gt;0,N282-O282,0)</x:f>
      </x:c>
      <x:c r="Q282" s="65">
        <x:f>+H282</x:f>
      </x:c>
      <x:c r="R282" s="65">
        <x:v>0</x:v>
      </x:c>
      <x:c r="S282" s="3">
        <x:f>R282+Q282</x:f>
      </x:c>
      <x:c r="T282" s="3">
        <x:f>I282-S282</x:f>
      </x:c>
      <x:c r="U282" s="255"/>
    </x:row>
    <x:row r="283" spans="1:21" ht="21" customHeight="1" x14ac:dyDescent="0.2">
      <x:c r="A283" s="253">
        <x:f>+'Banka Lis.'!B282</x:f>
      </x:c>
      <x:c r="B283" s="253">
        <x:f>+Puantaj!C283</x:f>
      </x:c>
      <x:c r="C283" s="4">
        <x:f>+Puantaj!D283</x:f>
      </x:c>
      <x:c r="D283" s="4">
        <x:f>+Puantaj!E283</x:f>
      </x:c>
      <x:c r="E283" s="4">
        <x:f>+'Banka Lis.'!H282</x:f>
      </x:c>
      <x:c r="F283" s="254">
        <x:f>+Puantaj!AK283</x:f>
      </x:c>
      <x:c r="G283" s="33">
        <x:f>F283*1083</x:f>
      </x:c>
      <x:c r="H283" s="62">
        <x:f>G283*0.055</x:f>
      </x:c>
      <x:c r="I283" s="3">
        <x:f>G283+H283</x:f>
      </x:c>
      <x:c r="J283" s="3">
        <x:f>+G283</x:f>
      </x:c>
      <x:c r="K283" s="3">
        <x:f>J283*0.15</x:f>
      </x:c>
      <x:c r="L283" s="3">
        <x:f>IF(J283*0.15&gt;K283,K283,J283*0.15)</x:f>
      </x:c>
      <x:c r="M283" s="65">
        <x:f>IF(K283-L283&gt;0,K283-L283,0)</x:f>
      </x:c>
      <x:c r="N283" s="3">
        <x:f>G283*0.00759</x:f>
      </x:c>
      <x:c r="O283" s="3">
        <x:f>IF(G283*0.00759&gt;G283,197.38,G283*0.00759)</x:f>
      </x:c>
      <x:c r="P283" s="3">
        <x:f>IF(N283-O283&gt;0,N283-O283,0)</x:f>
      </x:c>
      <x:c r="Q283" s="65">
        <x:f>+H283</x:f>
      </x:c>
      <x:c r="R283" s="65">
        <x:v>0</x:v>
      </x:c>
      <x:c r="S283" s="3">
        <x:f>R283+Q283</x:f>
      </x:c>
      <x:c r="T283" s="3">
        <x:f>I283-S283</x:f>
      </x:c>
      <x:c r="U283" s="255"/>
    </x:row>
    <x:row r="284" spans="1:21" ht="21" customHeight="1" x14ac:dyDescent="0.2">
      <x:c r="A284" s="253">
        <x:f>+'Banka Lis.'!B283</x:f>
      </x:c>
      <x:c r="B284" s="253">
        <x:f>+Puantaj!C284</x:f>
      </x:c>
      <x:c r="C284" s="4">
        <x:f>+Puantaj!D284</x:f>
      </x:c>
      <x:c r="D284" s="4">
        <x:f>+Puantaj!E284</x:f>
      </x:c>
      <x:c r="E284" s="4">
        <x:f>+'Banka Lis.'!H283</x:f>
      </x:c>
      <x:c r="F284" s="254">
        <x:f>+Puantaj!AK284</x:f>
      </x:c>
      <x:c r="G284" s="33">
        <x:f>F284*1083</x:f>
      </x:c>
      <x:c r="H284" s="62">
        <x:f>G284*0.055</x:f>
      </x:c>
      <x:c r="I284" s="3">
        <x:f>G284+H284</x:f>
      </x:c>
      <x:c r="J284" s="3">
        <x:f>+G284</x:f>
      </x:c>
      <x:c r="K284" s="3">
        <x:f>J284*0.15</x:f>
      </x:c>
      <x:c r="L284" s="3">
        <x:f>IF(J284*0.15&gt;K284,K284,J284*0.15)</x:f>
      </x:c>
      <x:c r="M284" s="65">
        <x:f>IF(K284-L284&gt;0,K284-L284,0)</x:f>
      </x:c>
      <x:c r="N284" s="3">
        <x:f>G284*0.00759</x:f>
      </x:c>
      <x:c r="O284" s="3">
        <x:f>IF(G284*0.00759&gt;G284,197.38,G284*0.00759)</x:f>
      </x:c>
      <x:c r="P284" s="3">
        <x:f>IF(N284-O284&gt;0,N284-O284,0)</x:f>
      </x:c>
      <x:c r="Q284" s="65">
        <x:f>+H284</x:f>
      </x:c>
      <x:c r="R284" s="65">
        <x:v>0</x:v>
      </x:c>
      <x:c r="S284" s="3">
        <x:f>R284+Q284</x:f>
      </x:c>
      <x:c r="T284" s="3">
        <x:f>I284-S284</x:f>
      </x:c>
      <x:c r="U284" s="255"/>
    </x:row>
    <x:row r="285" spans="1:21" ht="21" customHeight="1" x14ac:dyDescent="0.2">
      <x:c r="A285" s="253">
        <x:f>+'Banka Lis.'!B284</x:f>
      </x:c>
      <x:c r="B285" s="253">
        <x:f>+Puantaj!C285</x:f>
      </x:c>
      <x:c r="C285" s="4">
        <x:f>+Puantaj!D285</x:f>
      </x:c>
      <x:c r="D285" s="4">
        <x:f>+Puantaj!E285</x:f>
      </x:c>
      <x:c r="E285" s="4">
        <x:f>+'Banka Lis.'!H284</x:f>
      </x:c>
      <x:c r="F285" s="254">
        <x:f>+Puantaj!AK285</x:f>
      </x:c>
      <x:c r="G285" s="33">
        <x:f>F285*1083</x:f>
      </x:c>
      <x:c r="H285" s="62">
        <x:f>G285*0.055</x:f>
      </x:c>
      <x:c r="I285" s="3">
        <x:f>G285+H285</x:f>
      </x:c>
      <x:c r="J285" s="3">
        <x:f>+G285</x:f>
      </x:c>
      <x:c r="K285" s="3">
        <x:f>J285*0.15</x:f>
      </x:c>
      <x:c r="L285" s="3">
        <x:f>IF(J285*0.15&gt;K285,K285,J285*0.15)</x:f>
      </x:c>
      <x:c r="M285" s="65">
        <x:f>IF(K285-L285&gt;0,K285-L285,0)</x:f>
      </x:c>
      <x:c r="N285" s="3">
        <x:f>G285*0.00759</x:f>
      </x:c>
      <x:c r="O285" s="3">
        <x:f>IF(G285*0.00759&gt;G285,197.38,G285*0.00759)</x:f>
      </x:c>
      <x:c r="P285" s="3">
        <x:f>IF(N285-O285&gt;0,N285-O285,0)</x:f>
      </x:c>
      <x:c r="Q285" s="65">
        <x:f>+H285</x:f>
      </x:c>
      <x:c r="R285" s="65">
        <x:v>0</x:v>
      </x:c>
      <x:c r="S285" s="3">
        <x:f>R285+Q285</x:f>
      </x:c>
      <x:c r="T285" s="3">
        <x:f>I285-S285</x:f>
      </x:c>
      <x:c r="U285" s="255"/>
    </x:row>
    <x:row r="286" spans="1:21" ht="21" customHeight="1" x14ac:dyDescent="0.2">
      <x:c r="A286" s="253">
        <x:f>+'Banka Lis.'!B285</x:f>
      </x:c>
      <x:c r="B286" s="253">
        <x:f>+Puantaj!C286</x:f>
      </x:c>
      <x:c r="C286" s="4">
        <x:f>+Puantaj!D286</x:f>
      </x:c>
      <x:c r="D286" s="4">
        <x:f>+Puantaj!E286</x:f>
      </x:c>
      <x:c r="E286" s="4">
        <x:f>+'Banka Lis.'!H285</x:f>
      </x:c>
      <x:c r="F286" s="254">
        <x:f>+Puantaj!AK286</x:f>
      </x:c>
      <x:c r="G286" s="33">
        <x:f>F286*1083</x:f>
      </x:c>
      <x:c r="H286" s="62">
        <x:f>G286*0.055</x:f>
      </x:c>
      <x:c r="I286" s="3">
        <x:f>G286+H286</x:f>
      </x:c>
      <x:c r="J286" s="3">
        <x:f>+G286</x:f>
      </x:c>
      <x:c r="K286" s="3">
        <x:f>J286*0.15</x:f>
      </x:c>
      <x:c r="L286" s="3">
        <x:f>IF(J286*0.15&gt;K286,K286,J286*0.15)</x:f>
      </x:c>
      <x:c r="M286" s="65">
        <x:f>IF(K286-L286&gt;0,K286-L286,0)</x:f>
      </x:c>
      <x:c r="N286" s="3">
        <x:f>G286*0.00759</x:f>
      </x:c>
      <x:c r="O286" s="3">
        <x:f>IF(G286*0.00759&gt;G286,197.38,G286*0.00759)</x:f>
      </x:c>
      <x:c r="P286" s="3">
        <x:f>IF(N286-O286&gt;0,N286-O286,0)</x:f>
      </x:c>
      <x:c r="Q286" s="65">
        <x:f>+H286</x:f>
      </x:c>
      <x:c r="R286" s="65">
        <x:v>0</x:v>
      </x:c>
      <x:c r="S286" s="3">
        <x:f>R286+Q286</x:f>
      </x:c>
      <x:c r="T286" s="3">
        <x:f>I286-S286</x:f>
      </x:c>
      <x:c r="U286" s="255"/>
    </x:row>
    <x:row r="287" spans="1:21" ht="21" customHeight="1" x14ac:dyDescent="0.2">
      <x:c r="A287" s="253">
        <x:f>+'Banka Lis.'!B286</x:f>
      </x:c>
      <x:c r="B287" s="253">
        <x:f>+Puantaj!C287</x:f>
      </x:c>
      <x:c r="C287" s="4">
        <x:f>+Puantaj!D287</x:f>
      </x:c>
      <x:c r="D287" s="4">
        <x:f>+Puantaj!E287</x:f>
      </x:c>
      <x:c r="E287" s="4">
        <x:f>+'Banka Lis.'!H286</x:f>
      </x:c>
      <x:c r="F287" s="254">
        <x:f>+Puantaj!AK287</x:f>
      </x:c>
      <x:c r="G287" s="33">
        <x:f>F287*1083</x:f>
      </x:c>
      <x:c r="H287" s="62">
        <x:f>G287*0.055</x:f>
      </x:c>
      <x:c r="I287" s="3">
        <x:f>G287+H287</x:f>
      </x:c>
      <x:c r="J287" s="3">
        <x:f>+G287</x:f>
      </x:c>
      <x:c r="K287" s="3">
        <x:f>J287*0.15</x:f>
      </x:c>
      <x:c r="L287" s="3">
        <x:f>IF(J287*0.15&gt;K287,K287,J287*0.15)</x:f>
      </x:c>
      <x:c r="M287" s="65">
        <x:f>IF(K287-L287&gt;0,K287-L287,0)</x:f>
      </x:c>
      <x:c r="N287" s="3">
        <x:f>G287*0.00759</x:f>
      </x:c>
      <x:c r="O287" s="3">
        <x:f>IF(G287*0.00759&gt;G287,197.38,G287*0.00759)</x:f>
      </x:c>
      <x:c r="P287" s="3">
        <x:f>IF(N287-O287&gt;0,N287-O287,0)</x:f>
      </x:c>
      <x:c r="Q287" s="65">
        <x:f>+H287</x:f>
      </x:c>
      <x:c r="R287" s="65">
        <x:v>0</x:v>
      </x:c>
      <x:c r="S287" s="3">
        <x:f>R287+Q287</x:f>
      </x:c>
      <x:c r="T287" s="3">
        <x:f>I287-S287</x:f>
      </x:c>
      <x:c r="U287" s="255"/>
    </x:row>
    <x:row r="288" spans="1:21" ht="21" customHeight="1" x14ac:dyDescent="0.2">
      <x:c r="A288" s="253">
        <x:f>+'Banka Lis.'!B287</x:f>
      </x:c>
      <x:c r="B288" s="253">
        <x:f>+Puantaj!C288</x:f>
      </x:c>
      <x:c r="C288" s="4">
        <x:f>+Puantaj!D288</x:f>
      </x:c>
      <x:c r="D288" s="4">
        <x:f>+Puantaj!E288</x:f>
      </x:c>
      <x:c r="E288" s="4">
        <x:f>+'Banka Lis.'!H287</x:f>
      </x:c>
      <x:c r="F288" s="254">
        <x:f>+Puantaj!AK288</x:f>
      </x:c>
      <x:c r="G288" s="33">
        <x:f>F288*1083</x:f>
      </x:c>
      <x:c r="H288" s="62">
        <x:f>G288*0.055</x:f>
      </x:c>
      <x:c r="I288" s="3">
        <x:f>G288+H288</x:f>
      </x:c>
      <x:c r="J288" s="3">
        <x:f>+G288</x:f>
      </x:c>
      <x:c r="K288" s="3">
        <x:f>J288*0.15</x:f>
      </x:c>
      <x:c r="L288" s="3">
        <x:f>IF(J288*0.15&gt;K288,K288,J288*0.15)</x:f>
      </x:c>
      <x:c r="M288" s="65">
        <x:f>IF(K288-L288&gt;0,K288-L288,0)</x:f>
      </x:c>
      <x:c r="N288" s="3">
        <x:f>G288*0.00759</x:f>
      </x:c>
      <x:c r="O288" s="3">
        <x:f>IF(G288*0.00759&gt;G288,197.38,G288*0.00759)</x:f>
      </x:c>
      <x:c r="P288" s="3">
        <x:f>IF(N288-O288&gt;0,N288-O288,0)</x:f>
      </x:c>
      <x:c r="Q288" s="65">
        <x:f>+H288</x:f>
      </x:c>
      <x:c r="R288" s="65">
        <x:v>0</x:v>
      </x:c>
      <x:c r="S288" s="3">
        <x:f>R288+Q288</x:f>
      </x:c>
      <x:c r="T288" s="3">
        <x:f>I288-S288</x:f>
      </x:c>
      <x:c r="U288" s="255"/>
    </x:row>
    <x:row r="289" spans="1:21" ht="21" customHeight="1" x14ac:dyDescent="0.2">
      <x:c r="A289" s="253">
        <x:f>+'Banka Lis.'!B288</x:f>
      </x:c>
      <x:c r="B289" s="253">
        <x:f>+Puantaj!C289</x:f>
      </x:c>
      <x:c r="C289" s="4">
        <x:f>+Puantaj!D289</x:f>
      </x:c>
      <x:c r="D289" s="4">
        <x:f>+Puantaj!E289</x:f>
      </x:c>
      <x:c r="E289" s="4">
        <x:f>+'Banka Lis.'!H288</x:f>
      </x:c>
      <x:c r="F289" s="254">
        <x:f>+Puantaj!AK289</x:f>
      </x:c>
      <x:c r="G289" s="33">
        <x:f>F289*1083</x:f>
      </x:c>
      <x:c r="H289" s="62">
        <x:f>G289*0.055</x:f>
      </x:c>
      <x:c r="I289" s="3">
        <x:f>G289+H289</x:f>
      </x:c>
      <x:c r="J289" s="3">
        <x:f>+G289</x:f>
      </x:c>
      <x:c r="K289" s="3">
        <x:f>J289*0.15</x:f>
      </x:c>
      <x:c r="L289" s="3">
        <x:f>IF(J289*0.15&gt;K289,K289,J289*0.15)</x:f>
      </x:c>
      <x:c r="M289" s="65">
        <x:f>IF(K289-L289&gt;0,K289-L289,0)</x:f>
      </x:c>
      <x:c r="N289" s="3">
        <x:f>G289*0.00759</x:f>
      </x:c>
      <x:c r="O289" s="3">
        <x:f>IF(G289*0.00759&gt;G289,197.38,G289*0.00759)</x:f>
      </x:c>
      <x:c r="P289" s="3">
        <x:f>IF(N289-O289&gt;0,N289-O289,0)</x:f>
      </x:c>
      <x:c r="Q289" s="65">
        <x:f>+H289</x:f>
      </x:c>
      <x:c r="R289" s="65">
        <x:v>0</x:v>
      </x:c>
      <x:c r="S289" s="3">
        <x:f>R289+Q289</x:f>
      </x:c>
      <x:c r="T289" s="3">
        <x:f>I289-S289</x:f>
      </x:c>
      <x:c r="U289" s="255"/>
    </x:row>
    <x:row r="290" spans="1:21" ht="21" customHeight="1" x14ac:dyDescent="0.2">
      <x:c r="A290" s="253">
        <x:f>+'Banka Lis.'!B289</x:f>
      </x:c>
      <x:c r="B290" s="253">
        <x:f>+Puantaj!C290</x:f>
      </x:c>
      <x:c r="C290" s="4">
        <x:f>+Puantaj!D290</x:f>
      </x:c>
      <x:c r="D290" s="4">
        <x:f>+Puantaj!E290</x:f>
      </x:c>
      <x:c r="E290" s="4">
        <x:f>+'Banka Lis.'!H289</x:f>
      </x:c>
      <x:c r="F290" s="254">
        <x:f>+Puantaj!AK290</x:f>
      </x:c>
      <x:c r="G290" s="33">
        <x:f>F290*1083</x:f>
      </x:c>
      <x:c r="H290" s="62">
        <x:f>G290*0.055</x:f>
      </x:c>
      <x:c r="I290" s="3">
        <x:f>G290+H290</x:f>
      </x:c>
      <x:c r="J290" s="3">
        <x:f>+G290</x:f>
      </x:c>
      <x:c r="K290" s="3">
        <x:f>J290*0.15</x:f>
      </x:c>
      <x:c r="L290" s="3">
        <x:f>IF(J290*0.15&gt;K290,K290,J290*0.15)</x:f>
      </x:c>
      <x:c r="M290" s="65">
        <x:f>IF(K290-L290&gt;0,K290-L290,0)</x:f>
      </x:c>
      <x:c r="N290" s="3">
        <x:f>G290*0.00759</x:f>
      </x:c>
      <x:c r="O290" s="3">
        <x:f>IF(G290*0.00759&gt;G290,197.38,G290*0.00759)</x:f>
      </x:c>
      <x:c r="P290" s="3">
        <x:f>IF(N290-O290&gt;0,N290-O290,0)</x:f>
      </x:c>
      <x:c r="Q290" s="65">
        <x:f>+H290</x:f>
      </x:c>
      <x:c r="R290" s="65">
        <x:v>0</x:v>
      </x:c>
      <x:c r="S290" s="3">
        <x:f>R290+Q290</x:f>
      </x:c>
      <x:c r="T290" s="3">
        <x:f>I290-S290</x:f>
      </x:c>
      <x:c r="U290" s="255"/>
    </x:row>
    <x:row r="291" spans="1:21" ht="21" customHeight="1" x14ac:dyDescent="0.2">
      <x:c r="A291" s="253">
        <x:f>+'Banka Lis.'!B290</x:f>
      </x:c>
      <x:c r="B291" s="253">
        <x:f>+Puantaj!C291</x:f>
      </x:c>
      <x:c r="C291" s="4">
        <x:f>+Puantaj!D291</x:f>
      </x:c>
      <x:c r="D291" s="4">
        <x:f>+Puantaj!E291</x:f>
      </x:c>
      <x:c r="E291" s="4">
        <x:f>+'Banka Lis.'!H290</x:f>
      </x:c>
      <x:c r="F291" s="254">
        <x:f>+Puantaj!AK291</x:f>
      </x:c>
      <x:c r="G291" s="33">
        <x:f>F291*1083</x:f>
      </x:c>
      <x:c r="H291" s="62">
        <x:f>G291*0.055</x:f>
      </x:c>
      <x:c r="I291" s="3">
        <x:f>G291+H291</x:f>
      </x:c>
      <x:c r="J291" s="3">
        <x:f>+G291</x:f>
      </x:c>
      <x:c r="K291" s="3">
        <x:f>J291*0.15</x:f>
      </x:c>
      <x:c r="L291" s="3">
        <x:f>IF(J291*0.15&gt;K291,K291,J291*0.15)</x:f>
      </x:c>
      <x:c r="M291" s="65">
        <x:f>IF(K291-L291&gt;0,K291-L291,0)</x:f>
      </x:c>
      <x:c r="N291" s="3">
        <x:f>G291*0.00759</x:f>
      </x:c>
      <x:c r="O291" s="3">
        <x:f>IF(G291*0.00759&gt;G291,197.38,G291*0.00759)</x:f>
      </x:c>
      <x:c r="P291" s="3">
        <x:f>IF(N291-O291&gt;0,N291-O291,0)</x:f>
      </x:c>
      <x:c r="Q291" s="65">
        <x:f>+H291</x:f>
      </x:c>
      <x:c r="R291" s="65">
        <x:v>0</x:v>
      </x:c>
      <x:c r="S291" s="3">
        <x:f>R291+Q291</x:f>
      </x:c>
      <x:c r="T291" s="3">
        <x:f>I291-S291</x:f>
      </x:c>
      <x:c r="U291" s="255"/>
    </x:row>
    <x:row r="292" spans="1:21" ht="21" customHeight="1" x14ac:dyDescent="0.2">
      <x:c r="A292" s="253">
        <x:f>+'Banka Lis.'!B291</x:f>
      </x:c>
      <x:c r="B292" s="253">
        <x:f>+Puantaj!C292</x:f>
      </x:c>
      <x:c r="C292" s="4">
        <x:f>+Puantaj!D292</x:f>
      </x:c>
      <x:c r="D292" s="4">
        <x:f>+Puantaj!E292</x:f>
      </x:c>
      <x:c r="E292" s="4">
        <x:f>+'Banka Lis.'!H291</x:f>
      </x:c>
      <x:c r="F292" s="254">
        <x:f>+Puantaj!AK292</x:f>
      </x:c>
      <x:c r="G292" s="33">
        <x:f>F292*1083</x:f>
      </x:c>
      <x:c r="H292" s="62">
        <x:f>G292*0.055</x:f>
      </x:c>
      <x:c r="I292" s="3">
        <x:f>G292+H292</x:f>
      </x:c>
      <x:c r="J292" s="3">
        <x:f>+G292</x:f>
      </x:c>
      <x:c r="K292" s="3">
        <x:f>J292*0.15</x:f>
      </x:c>
      <x:c r="L292" s="3">
        <x:f>IF(J292*0.15&gt;K292,K292,J292*0.15)</x:f>
      </x:c>
      <x:c r="M292" s="65">
        <x:f>IF(K292-L292&gt;0,K292-L292,0)</x:f>
      </x:c>
      <x:c r="N292" s="3">
        <x:f>G292*0.00759</x:f>
      </x:c>
      <x:c r="O292" s="3">
        <x:f>IF(G292*0.00759&gt;G292,197.38,G292*0.00759)</x:f>
      </x:c>
      <x:c r="P292" s="3">
        <x:f>IF(N292-O292&gt;0,N292-O292,0)</x:f>
      </x:c>
      <x:c r="Q292" s="65">
        <x:f>+H292</x:f>
      </x:c>
      <x:c r="R292" s="65">
        <x:v>0</x:v>
      </x:c>
      <x:c r="S292" s="3">
        <x:f>R292+Q292</x:f>
      </x:c>
      <x:c r="T292" s="3">
        <x:f>I292-S292</x:f>
      </x:c>
      <x:c r="U292" s="255"/>
    </x:row>
    <x:row r="293" spans="1:21" ht="21" customHeight="1" x14ac:dyDescent="0.2">
      <x:c r="A293" s="253">
        <x:f>+'Banka Lis.'!B292</x:f>
      </x:c>
      <x:c r="B293" s="253">
        <x:f>+Puantaj!C293</x:f>
      </x:c>
      <x:c r="C293" s="4">
        <x:f>+Puantaj!D293</x:f>
      </x:c>
      <x:c r="D293" s="4">
        <x:f>+Puantaj!E293</x:f>
      </x:c>
      <x:c r="E293" s="4">
        <x:f>+'Banka Lis.'!H292</x:f>
      </x:c>
      <x:c r="F293" s="254">
        <x:f>+Puantaj!AK293</x:f>
      </x:c>
      <x:c r="G293" s="33">
        <x:f>F293*1083</x:f>
      </x:c>
      <x:c r="H293" s="62">
        <x:f>G293*0.055</x:f>
      </x:c>
      <x:c r="I293" s="3">
        <x:f>G293+H293</x:f>
      </x:c>
      <x:c r="J293" s="3">
        <x:f>+G293</x:f>
      </x:c>
      <x:c r="K293" s="3">
        <x:f>J293*0.15</x:f>
      </x:c>
      <x:c r="L293" s="3">
        <x:f>IF(J293*0.15&gt;K293,K293,J293*0.15)</x:f>
      </x:c>
      <x:c r="M293" s="65">
        <x:f>IF(K293-L293&gt;0,K293-L293,0)</x:f>
      </x:c>
      <x:c r="N293" s="3">
        <x:f>G293*0.00759</x:f>
      </x:c>
      <x:c r="O293" s="3">
        <x:f>IF(G293*0.00759&gt;G293,197.38,G293*0.00759)</x:f>
      </x:c>
      <x:c r="P293" s="3">
        <x:f>IF(N293-O293&gt;0,N293-O293,0)</x:f>
      </x:c>
      <x:c r="Q293" s="65">
        <x:f>+H293</x:f>
      </x:c>
      <x:c r="R293" s="65">
        <x:v>0</x:v>
      </x:c>
      <x:c r="S293" s="3">
        <x:f>R293+Q293</x:f>
      </x:c>
      <x:c r="T293" s="3">
        <x:f>I293-S293</x:f>
      </x:c>
      <x:c r="U293" s="255"/>
    </x:row>
    <x:row r="294" spans="1:21" ht="21" customHeight="1" x14ac:dyDescent="0.2">
      <x:c r="A294" s="253">
        <x:f>+'Banka Lis.'!B293</x:f>
      </x:c>
      <x:c r="B294" s="253">
        <x:f>+Puantaj!C294</x:f>
      </x:c>
      <x:c r="C294" s="4">
        <x:f>+Puantaj!D294</x:f>
      </x:c>
      <x:c r="D294" s="4">
        <x:f>+Puantaj!E294</x:f>
      </x:c>
      <x:c r="E294" s="4">
        <x:f>+'Banka Lis.'!H293</x:f>
      </x:c>
      <x:c r="F294" s="254">
        <x:f>+Puantaj!AK294</x:f>
      </x:c>
      <x:c r="G294" s="33">
        <x:f>F294*1083</x:f>
      </x:c>
      <x:c r="H294" s="62">
        <x:f>G294*0.055</x:f>
      </x:c>
      <x:c r="I294" s="3">
        <x:f>G294+H294</x:f>
      </x:c>
      <x:c r="J294" s="3">
        <x:f>+G294</x:f>
      </x:c>
      <x:c r="K294" s="3">
        <x:f>J294*0.15</x:f>
      </x:c>
      <x:c r="L294" s="3">
        <x:f>IF(J294*0.15&gt;K294,K294,J294*0.15)</x:f>
      </x:c>
      <x:c r="M294" s="65">
        <x:f>IF(K294-L294&gt;0,K294-L294,0)</x:f>
      </x:c>
      <x:c r="N294" s="3">
        <x:f>G294*0.00759</x:f>
      </x:c>
      <x:c r="O294" s="3">
        <x:f>IF(G294*0.00759&gt;G294,197.38,G294*0.00759)</x:f>
      </x:c>
      <x:c r="P294" s="3">
        <x:f>IF(N294-O294&gt;0,N294-O294,0)</x:f>
      </x:c>
      <x:c r="Q294" s="65">
        <x:f>+H294</x:f>
      </x:c>
      <x:c r="R294" s="65">
        <x:v>0</x:v>
      </x:c>
      <x:c r="S294" s="3">
        <x:f>R294+Q294</x:f>
      </x:c>
      <x:c r="T294" s="3">
        <x:f>I294-S294</x:f>
      </x:c>
      <x:c r="U294" s="255"/>
    </x:row>
    <x:row r="295" spans="1:21" ht="21" customHeight="1" x14ac:dyDescent="0.2">
      <x:c r="A295" s="253">
        <x:f>+'Banka Lis.'!B294</x:f>
      </x:c>
      <x:c r="B295" s="253">
        <x:f>+Puantaj!C295</x:f>
      </x:c>
      <x:c r="C295" s="4">
        <x:f>+Puantaj!D295</x:f>
      </x:c>
      <x:c r="D295" s="4">
        <x:f>+Puantaj!E295</x:f>
      </x:c>
      <x:c r="E295" s="4">
        <x:f>+'Banka Lis.'!H294</x:f>
      </x:c>
      <x:c r="F295" s="254">
        <x:f>+Puantaj!AK295</x:f>
      </x:c>
      <x:c r="G295" s="33">
        <x:f>F295*1083</x:f>
      </x:c>
      <x:c r="H295" s="62">
        <x:f>G295*0.055</x:f>
      </x:c>
      <x:c r="I295" s="3">
        <x:f>G295+H295</x:f>
      </x:c>
      <x:c r="J295" s="3">
        <x:f>+G295</x:f>
      </x:c>
      <x:c r="K295" s="3">
        <x:f>J295*0.15</x:f>
      </x:c>
      <x:c r="L295" s="3">
        <x:f>IF(J295*0.15&gt;K295,K295,J295*0.15)</x:f>
      </x:c>
      <x:c r="M295" s="65">
        <x:f>IF(K295-L295&gt;0,K295-L295,0)</x:f>
      </x:c>
      <x:c r="N295" s="3">
        <x:f>G295*0.00759</x:f>
      </x:c>
      <x:c r="O295" s="3">
        <x:f>IF(G295*0.00759&gt;G295,197.38,G295*0.00759)</x:f>
      </x:c>
      <x:c r="P295" s="3">
        <x:f>IF(N295-O295&gt;0,N295-O295,0)</x:f>
      </x:c>
      <x:c r="Q295" s="65">
        <x:f>+H295</x:f>
      </x:c>
      <x:c r="R295" s="65">
        <x:v>0</x:v>
      </x:c>
      <x:c r="S295" s="3">
        <x:f>R295+Q295</x:f>
      </x:c>
      <x:c r="T295" s="3">
        <x:f>I295-S295</x:f>
      </x:c>
      <x:c r="U295" s="255"/>
    </x:row>
    <x:row r="296" spans="1:21" ht="21" customHeight="1" x14ac:dyDescent="0.2">
      <x:c r="A296" s="253">
        <x:f>+'Banka Lis.'!B295</x:f>
      </x:c>
      <x:c r="B296" s="253">
        <x:f>+Puantaj!C296</x:f>
      </x:c>
      <x:c r="C296" s="4">
        <x:f>+Puantaj!D296</x:f>
      </x:c>
      <x:c r="D296" s="4">
        <x:f>+Puantaj!E296</x:f>
      </x:c>
      <x:c r="E296" s="4">
        <x:f>+'Banka Lis.'!H295</x:f>
      </x:c>
      <x:c r="F296" s="254">
        <x:f>+Puantaj!AK296</x:f>
      </x:c>
      <x:c r="G296" s="33">
        <x:f>F296*1083</x:f>
      </x:c>
      <x:c r="H296" s="62">
        <x:f>G296*0.055</x:f>
      </x:c>
      <x:c r="I296" s="3">
        <x:f>G296+H296</x:f>
      </x:c>
      <x:c r="J296" s="3">
        <x:f>+G296</x:f>
      </x:c>
      <x:c r="K296" s="3">
        <x:f>J296*0.15</x:f>
      </x:c>
      <x:c r="L296" s="3">
        <x:f>IF(J296*0.15&gt;K296,K296,J296*0.15)</x:f>
      </x:c>
      <x:c r="M296" s="65">
        <x:f>IF(K296-L296&gt;0,K296-L296,0)</x:f>
      </x:c>
      <x:c r="N296" s="3">
        <x:f>G296*0.00759</x:f>
      </x:c>
      <x:c r="O296" s="3">
        <x:f>IF(G296*0.00759&gt;G296,197.38,G296*0.00759)</x:f>
      </x:c>
      <x:c r="P296" s="3">
        <x:f>IF(N296-O296&gt;0,N296-O296,0)</x:f>
      </x:c>
      <x:c r="Q296" s="65">
        <x:f>+H296</x:f>
      </x:c>
      <x:c r="R296" s="65">
        <x:v>0</x:v>
      </x:c>
      <x:c r="S296" s="3">
        <x:f>R296+Q296</x:f>
      </x:c>
      <x:c r="T296" s="3">
        <x:f>I296-S296</x:f>
      </x:c>
      <x:c r="U296" s="255"/>
    </x:row>
    <x:row r="297" spans="1:21" ht="21" customHeight="1" x14ac:dyDescent="0.2">
      <x:c r="A297" s="253">
        <x:f>+'Banka Lis.'!B296</x:f>
      </x:c>
      <x:c r="B297" s="253">
        <x:f>+Puantaj!C297</x:f>
      </x:c>
      <x:c r="C297" s="4">
        <x:f>+Puantaj!D297</x:f>
      </x:c>
      <x:c r="D297" s="4">
        <x:f>+Puantaj!E297</x:f>
      </x:c>
      <x:c r="E297" s="4">
        <x:f>+'Banka Lis.'!H296</x:f>
      </x:c>
      <x:c r="F297" s="254">
        <x:f>+Puantaj!AK297</x:f>
      </x:c>
      <x:c r="G297" s="33">
        <x:f>F297*1083</x:f>
      </x:c>
      <x:c r="H297" s="62">
        <x:f>G297*0.055</x:f>
      </x:c>
      <x:c r="I297" s="3">
        <x:f>G297+H297</x:f>
      </x:c>
      <x:c r="J297" s="3">
        <x:f>+G297</x:f>
      </x:c>
      <x:c r="K297" s="3">
        <x:f>J297*0.15</x:f>
      </x:c>
      <x:c r="L297" s="3">
        <x:f>IF(J297*0.15&gt;K297,K297,J297*0.15)</x:f>
      </x:c>
      <x:c r="M297" s="65">
        <x:f>IF(K297-L297&gt;0,K297-L297,0)</x:f>
      </x:c>
      <x:c r="N297" s="3">
        <x:f>G297*0.00759</x:f>
      </x:c>
      <x:c r="O297" s="3">
        <x:f>IF(G297*0.00759&gt;G297,197.38,G297*0.00759)</x:f>
      </x:c>
      <x:c r="P297" s="3">
        <x:f>IF(N297-O297&gt;0,N297-O297,0)</x:f>
      </x:c>
      <x:c r="Q297" s="65">
        <x:f>+H297</x:f>
      </x:c>
      <x:c r="R297" s="65">
        <x:v>0</x:v>
      </x:c>
      <x:c r="S297" s="3">
        <x:f>R297+Q297</x:f>
      </x:c>
      <x:c r="T297" s="3">
        <x:f>I297-S297</x:f>
      </x:c>
      <x:c r="U297" s="255"/>
    </x:row>
    <x:row r="298" spans="1:21" ht="21" customHeight="1" x14ac:dyDescent="0.2">
      <x:c r="A298" s="253">
        <x:f>+'Banka Lis.'!B297</x:f>
      </x:c>
      <x:c r="B298" s="253">
        <x:f>+Puantaj!C298</x:f>
      </x:c>
      <x:c r="C298" s="4">
        <x:f>+Puantaj!D298</x:f>
      </x:c>
      <x:c r="D298" s="4">
        <x:f>+Puantaj!E298</x:f>
      </x:c>
      <x:c r="E298" s="4">
        <x:f>+'Banka Lis.'!H297</x:f>
      </x:c>
      <x:c r="F298" s="254">
        <x:f>+Puantaj!AK298</x:f>
      </x:c>
      <x:c r="G298" s="33">
        <x:f>F298*1083</x:f>
      </x:c>
      <x:c r="H298" s="62">
        <x:f>G298*0.055</x:f>
      </x:c>
      <x:c r="I298" s="3">
        <x:f>G298+H298</x:f>
      </x:c>
      <x:c r="J298" s="3">
        <x:f>+G298</x:f>
      </x:c>
      <x:c r="K298" s="3">
        <x:f>J298*0.15</x:f>
      </x:c>
      <x:c r="L298" s="3">
        <x:f>IF(J298*0.15&gt;K298,K298,J298*0.15)</x:f>
      </x:c>
      <x:c r="M298" s="65">
        <x:f>IF(K298-L298&gt;0,K298-L298,0)</x:f>
      </x:c>
      <x:c r="N298" s="3">
        <x:f>G298*0.00759</x:f>
      </x:c>
      <x:c r="O298" s="3">
        <x:f>IF(G298*0.00759&gt;G298,197.38,G298*0.00759)</x:f>
      </x:c>
      <x:c r="P298" s="3">
        <x:f>IF(N298-O298&gt;0,N298-O298,0)</x:f>
      </x:c>
      <x:c r="Q298" s="65">
        <x:f>+H298</x:f>
      </x:c>
      <x:c r="R298" s="65">
        <x:v>0</x:v>
      </x:c>
      <x:c r="S298" s="3">
        <x:f>R298+Q298</x:f>
      </x:c>
      <x:c r="T298" s="3">
        <x:f>I298-S298</x:f>
      </x:c>
      <x:c r="U298" s="255"/>
    </x:row>
    <x:row r="299" spans="1:21" ht="21" customHeight="1" x14ac:dyDescent="0.2">
      <x:c r="A299" s="253">
        <x:f>+'Banka Lis.'!B298</x:f>
      </x:c>
      <x:c r="B299" s="253">
        <x:f>+Puantaj!C299</x:f>
      </x:c>
      <x:c r="C299" s="4">
        <x:f>+Puantaj!D299</x:f>
      </x:c>
      <x:c r="D299" s="4">
        <x:f>+Puantaj!E299</x:f>
      </x:c>
      <x:c r="E299" s="4">
        <x:f>+'Banka Lis.'!H298</x:f>
      </x:c>
      <x:c r="F299" s="254">
        <x:f>+Puantaj!AK299</x:f>
      </x:c>
      <x:c r="G299" s="33">
        <x:f>F299*1083</x:f>
      </x:c>
      <x:c r="H299" s="62">
        <x:f>G299*0.055</x:f>
      </x:c>
      <x:c r="I299" s="3">
        <x:f>G299+H299</x:f>
      </x:c>
      <x:c r="J299" s="3">
        <x:f>+G299</x:f>
      </x:c>
      <x:c r="K299" s="3">
        <x:f>J299*0.15</x:f>
      </x:c>
      <x:c r="L299" s="3">
        <x:f>IF(J299*0.15&gt;K299,K299,J299*0.15)</x:f>
      </x:c>
      <x:c r="M299" s="65">
        <x:f>IF(K299-L299&gt;0,K299-L299,0)</x:f>
      </x:c>
      <x:c r="N299" s="3">
        <x:f>G299*0.00759</x:f>
      </x:c>
      <x:c r="O299" s="3">
        <x:f>IF(G299*0.00759&gt;G299,197.38,G299*0.00759)</x:f>
      </x:c>
      <x:c r="P299" s="3">
        <x:f>IF(N299-O299&gt;0,N299-O299,0)</x:f>
      </x:c>
      <x:c r="Q299" s="65">
        <x:f>+H299</x:f>
      </x:c>
      <x:c r="R299" s="65">
        <x:v>0</x:v>
      </x:c>
      <x:c r="S299" s="3">
        <x:f>R299+Q299</x:f>
      </x:c>
      <x:c r="T299" s="3">
        <x:f>I299-S299</x:f>
      </x:c>
      <x:c r="U299" s="255"/>
    </x:row>
    <x:row r="300" spans="1:21" ht="21" customHeight="1" x14ac:dyDescent="0.2">
      <x:c r="A300" s="253">
        <x:f>+'Banka Lis.'!B299</x:f>
      </x:c>
      <x:c r="B300" s="253">
        <x:f>+Puantaj!C300</x:f>
      </x:c>
      <x:c r="C300" s="4">
        <x:f>+Puantaj!D300</x:f>
      </x:c>
      <x:c r="D300" s="4">
        <x:f>+Puantaj!E300</x:f>
      </x:c>
      <x:c r="E300" s="4">
        <x:f>+'Banka Lis.'!H299</x:f>
      </x:c>
      <x:c r="F300" s="254">
        <x:f>+Puantaj!AK300</x:f>
      </x:c>
      <x:c r="G300" s="33">
        <x:f>F300*1083</x:f>
      </x:c>
      <x:c r="H300" s="62">
        <x:f>G300*0.055</x:f>
      </x:c>
      <x:c r="I300" s="3">
        <x:f>G300+H300</x:f>
      </x:c>
      <x:c r="J300" s="3">
        <x:f>+G300</x:f>
      </x:c>
      <x:c r="K300" s="3">
        <x:f>J300*0.15</x:f>
      </x:c>
      <x:c r="L300" s="3">
        <x:f>IF(J300*0.15&gt;K300,K300,J300*0.15)</x:f>
      </x:c>
      <x:c r="M300" s="65">
        <x:f>IF(K300-L300&gt;0,K300-L300,0)</x:f>
      </x:c>
      <x:c r="N300" s="3">
        <x:f>G300*0.00759</x:f>
      </x:c>
      <x:c r="O300" s="3">
        <x:f>IF(G300*0.00759&gt;G300,197.38,G300*0.00759)</x:f>
      </x:c>
      <x:c r="P300" s="3">
        <x:f>IF(N300-O300&gt;0,N300-O300,0)</x:f>
      </x:c>
      <x:c r="Q300" s="65">
        <x:f>+H300</x:f>
      </x:c>
      <x:c r="R300" s="65">
        <x:v>0</x:v>
      </x:c>
      <x:c r="S300" s="3">
        <x:f>R300+Q300</x:f>
      </x:c>
      <x:c r="T300" s="3">
        <x:f>I300-S300</x:f>
      </x:c>
      <x:c r="U300" s="255"/>
    </x:row>
    <x:row r="301" spans="1:21" ht="21" customHeight="1" x14ac:dyDescent="0.2">
      <x:c r="A301" s="253">
        <x:f>+'Banka Lis.'!B300</x:f>
      </x:c>
      <x:c r="B301" s="253">
        <x:f>+Puantaj!C301</x:f>
      </x:c>
      <x:c r="C301" s="4">
        <x:f>+Puantaj!D301</x:f>
      </x:c>
      <x:c r="D301" s="4">
        <x:f>+Puantaj!E301</x:f>
      </x:c>
      <x:c r="E301" s="4">
        <x:f>+'Banka Lis.'!H300</x:f>
      </x:c>
      <x:c r="F301" s="254">
        <x:f>+Puantaj!AK301</x:f>
      </x:c>
      <x:c r="G301" s="33">
        <x:f>F301*1083</x:f>
      </x:c>
      <x:c r="H301" s="62">
        <x:f>G301*0.055</x:f>
      </x:c>
      <x:c r="I301" s="3">
        <x:f>G301+H301</x:f>
      </x:c>
      <x:c r="J301" s="3">
        <x:f>+G301</x:f>
      </x:c>
      <x:c r="K301" s="3">
        <x:f>J301*0.15</x:f>
      </x:c>
      <x:c r="L301" s="3">
        <x:f>IF(J301*0.15&gt;K301,K301,J301*0.15)</x:f>
      </x:c>
      <x:c r="M301" s="65">
        <x:f>IF(K301-L301&gt;0,K301-L301,0)</x:f>
      </x:c>
      <x:c r="N301" s="3">
        <x:f>G301*0.00759</x:f>
      </x:c>
      <x:c r="O301" s="3">
        <x:f>IF(G301*0.00759&gt;G301,197.38,G301*0.00759)</x:f>
      </x:c>
      <x:c r="P301" s="3">
        <x:f>IF(N301-O301&gt;0,N301-O301,0)</x:f>
      </x:c>
      <x:c r="Q301" s="65">
        <x:f>+H301</x:f>
      </x:c>
      <x:c r="R301" s="65">
        <x:v>0</x:v>
      </x:c>
      <x:c r="S301" s="3">
        <x:f>R301+Q301</x:f>
      </x:c>
      <x:c r="T301" s="3">
        <x:f>I301-S301</x:f>
      </x:c>
      <x:c r="U301" s="255"/>
    </x:row>
    <x:row r="302" spans="1:21" ht="21" customHeight="1" x14ac:dyDescent="0.2">
      <x:c r="A302" s="253">
        <x:f>+'Banka Lis.'!B301</x:f>
      </x:c>
      <x:c r="B302" s="253">
        <x:f>+Puantaj!C302</x:f>
      </x:c>
      <x:c r="C302" s="4">
        <x:f>+Puantaj!D302</x:f>
      </x:c>
      <x:c r="D302" s="4">
        <x:f>+Puantaj!E302</x:f>
      </x:c>
      <x:c r="E302" s="4">
        <x:f>+'Banka Lis.'!H301</x:f>
      </x:c>
      <x:c r="F302" s="254">
        <x:f>+Puantaj!AK302</x:f>
      </x:c>
      <x:c r="G302" s="33">
        <x:f>F302*1083</x:f>
      </x:c>
      <x:c r="H302" s="62">
        <x:f>G302*0.055</x:f>
      </x:c>
      <x:c r="I302" s="3">
        <x:f>G302+H302</x:f>
      </x:c>
      <x:c r="J302" s="3">
        <x:f>+G302</x:f>
      </x:c>
      <x:c r="K302" s="3">
        <x:f>J302*0.15</x:f>
      </x:c>
      <x:c r="L302" s="3">
        <x:f>IF(J302*0.15&gt;K302,K302,J302*0.15)</x:f>
      </x:c>
      <x:c r="M302" s="65">
        <x:f>IF(K302-L302&gt;0,K302-L302,0)</x:f>
      </x:c>
      <x:c r="N302" s="3">
        <x:f>G302*0.00759</x:f>
      </x:c>
      <x:c r="O302" s="3">
        <x:f>IF(G302*0.00759&gt;G302,197.38,G302*0.00759)</x:f>
      </x:c>
      <x:c r="P302" s="3">
        <x:f>IF(N302-O302&gt;0,N302-O302,0)</x:f>
      </x:c>
      <x:c r="Q302" s="65">
        <x:f>+H302</x:f>
      </x:c>
      <x:c r="R302" s="65">
        <x:v>0</x:v>
      </x:c>
      <x:c r="S302" s="3">
        <x:f>R302+Q302</x:f>
      </x:c>
      <x:c r="T302" s="3">
        <x:f>I302-S302</x:f>
      </x:c>
      <x:c r="U302" s="255"/>
    </x:row>
    <x:row r="303" spans="1:21" ht="21" customHeight="1" x14ac:dyDescent="0.2">
      <x:c r="A303" s="253">
        <x:f>+'Banka Lis.'!B302</x:f>
      </x:c>
      <x:c r="B303" s="253">
        <x:f>+Puantaj!C303</x:f>
      </x:c>
      <x:c r="C303" s="4">
        <x:f>+Puantaj!D303</x:f>
      </x:c>
      <x:c r="D303" s="4">
        <x:f>+Puantaj!E303</x:f>
      </x:c>
      <x:c r="E303" s="4">
        <x:f>+'Banka Lis.'!H302</x:f>
      </x:c>
      <x:c r="F303" s="254">
        <x:f>+Puantaj!AK303</x:f>
      </x:c>
      <x:c r="G303" s="33">
        <x:f>F303*1083</x:f>
      </x:c>
      <x:c r="H303" s="62">
        <x:f>G303*0.055</x:f>
      </x:c>
      <x:c r="I303" s="3">
        <x:f>G303+H303</x:f>
      </x:c>
      <x:c r="J303" s="3">
        <x:f>+G303</x:f>
      </x:c>
      <x:c r="K303" s="3">
        <x:f>J303*0.15</x:f>
      </x:c>
      <x:c r="L303" s="3">
        <x:f>IF(J303*0.15&gt;K303,K303,J303*0.15)</x:f>
      </x:c>
      <x:c r="M303" s="65">
        <x:f>IF(K303-L303&gt;0,K303-L303,0)</x:f>
      </x:c>
      <x:c r="N303" s="3">
        <x:f>G303*0.00759</x:f>
      </x:c>
      <x:c r="O303" s="3">
        <x:f>IF(G303*0.00759&gt;G303,197.38,G303*0.00759)</x:f>
      </x:c>
      <x:c r="P303" s="3">
        <x:f>IF(N303-O303&gt;0,N303-O303,0)</x:f>
      </x:c>
      <x:c r="Q303" s="65">
        <x:f>+H303</x:f>
      </x:c>
      <x:c r="R303" s="65">
        <x:v>0</x:v>
      </x:c>
      <x:c r="S303" s="3">
        <x:f>R303+Q303</x:f>
      </x:c>
      <x:c r="T303" s="3">
        <x:f>I303-S303</x:f>
      </x:c>
      <x:c r="U303" s="255"/>
    </x:row>
    <x:row r="304" spans="1:21" ht="21" customHeight="1" x14ac:dyDescent="0.2">
      <x:c r="A304" s="253">
        <x:f>+'Banka Lis.'!B303</x:f>
      </x:c>
      <x:c r="B304" s="253">
        <x:f>+Puantaj!C304</x:f>
      </x:c>
      <x:c r="C304" s="4">
        <x:f>+Puantaj!D304</x:f>
      </x:c>
      <x:c r="D304" s="4">
        <x:f>+Puantaj!E304</x:f>
      </x:c>
      <x:c r="E304" s="4">
        <x:f>+'Banka Lis.'!H303</x:f>
      </x:c>
      <x:c r="F304" s="254">
        <x:f>+Puantaj!AK304</x:f>
      </x:c>
      <x:c r="G304" s="33">
        <x:f>F304*1083</x:f>
      </x:c>
      <x:c r="H304" s="62">
        <x:f>G304*0.055</x:f>
      </x:c>
      <x:c r="I304" s="3">
        <x:f>G304+H304</x:f>
      </x:c>
      <x:c r="J304" s="3">
        <x:f>+G304</x:f>
      </x:c>
      <x:c r="K304" s="3">
        <x:f>J304*0.15</x:f>
      </x:c>
      <x:c r="L304" s="3">
        <x:f>IF(J304*0.15&gt;K304,K304,J304*0.15)</x:f>
      </x:c>
      <x:c r="M304" s="65">
        <x:f>IF(K304-L304&gt;0,K304-L304,0)</x:f>
      </x:c>
      <x:c r="N304" s="3">
        <x:f>G304*0.00759</x:f>
      </x:c>
      <x:c r="O304" s="3">
        <x:f>IF(G304*0.00759&gt;G304,197.38,G304*0.00759)</x:f>
      </x:c>
      <x:c r="P304" s="3">
        <x:f>IF(N304-O304&gt;0,N304-O304,0)</x:f>
      </x:c>
      <x:c r="Q304" s="65">
        <x:f>+H304</x:f>
      </x:c>
      <x:c r="R304" s="65">
        <x:v>0</x:v>
      </x:c>
      <x:c r="S304" s="3">
        <x:f>R304+Q304</x:f>
      </x:c>
      <x:c r="T304" s="3">
        <x:f>I304-S304</x:f>
      </x:c>
      <x:c r="U304" s="255"/>
    </x:row>
    <x:row r="305" spans="1:21" ht="21" customHeight="1" x14ac:dyDescent="0.2">
      <x:c r="A305" s="253">
        <x:f>+'Banka Lis.'!B304</x:f>
      </x:c>
      <x:c r="B305" s="253">
        <x:f>+Puantaj!C305</x:f>
      </x:c>
      <x:c r="C305" s="4">
        <x:f>+Puantaj!D305</x:f>
      </x:c>
      <x:c r="D305" s="4">
        <x:f>+Puantaj!E305</x:f>
      </x:c>
      <x:c r="E305" s="4">
        <x:f>+'Banka Lis.'!H304</x:f>
      </x:c>
      <x:c r="F305" s="254">
        <x:f>+Puantaj!AK305</x:f>
      </x:c>
      <x:c r="G305" s="33">
        <x:f>F305*1083</x:f>
      </x:c>
      <x:c r="H305" s="62">
        <x:f>G305*0.055</x:f>
      </x:c>
      <x:c r="I305" s="3">
        <x:f>G305+H305</x:f>
      </x:c>
      <x:c r="J305" s="3">
        <x:f>+G305</x:f>
      </x:c>
      <x:c r="K305" s="3">
        <x:f>J305*0.15</x:f>
      </x:c>
      <x:c r="L305" s="3">
        <x:f>IF(J305*0.15&gt;K305,K305,J305*0.15)</x:f>
      </x:c>
      <x:c r="M305" s="65">
        <x:f>IF(K305-L305&gt;0,K305-L305,0)</x:f>
      </x:c>
      <x:c r="N305" s="3">
        <x:f>G305*0.00759</x:f>
      </x:c>
      <x:c r="O305" s="3">
        <x:f>IF(G305*0.00759&gt;G305,197.38,G305*0.00759)</x:f>
      </x:c>
      <x:c r="P305" s="3">
        <x:f>IF(N305-O305&gt;0,N305-O305,0)</x:f>
      </x:c>
      <x:c r="Q305" s="65">
        <x:f>+H305</x:f>
      </x:c>
      <x:c r="R305" s="65">
        <x:v>0</x:v>
      </x:c>
      <x:c r="S305" s="3">
        <x:f>R305+Q305</x:f>
      </x:c>
      <x:c r="T305" s="3">
        <x:f>I305-S305</x:f>
      </x:c>
      <x:c r="U305" s="255"/>
    </x:row>
    <x:row r="306" spans="1:21" ht="21" customHeight="1" x14ac:dyDescent="0.2">
      <x:c r="A306" s="253">
        <x:f>+'Banka Lis.'!B305</x:f>
      </x:c>
      <x:c r="B306" s="253">
        <x:f>+Puantaj!C306</x:f>
      </x:c>
      <x:c r="C306" s="4">
        <x:f>+Puantaj!D306</x:f>
      </x:c>
      <x:c r="D306" s="4">
        <x:f>+Puantaj!E306</x:f>
      </x:c>
      <x:c r="E306" s="4">
        <x:f>+'Banka Lis.'!H305</x:f>
      </x:c>
      <x:c r="F306" s="254">
        <x:f>+Puantaj!AK306</x:f>
      </x:c>
      <x:c r="G306" s="33">
        <x:f>F306*1083</x:f>
      </x:c>
      <x:c r="H306" s="62">
        <x:f>G306*0.055</x:f>
      </x:c>
      <x:c r="I306" s="3">
        <x:f>G306+H306</x:f>
      </x:c>
      <x:c r="J306" s="3">
        <x:f>+G306</x:f>
      </x:c>
      <x:c r="K306" s="3">
        <x:f>J306*0.15</x:f>
      </x:c>
      <x:c r="L306" s="3">
        <x:f>IF(J306*0.15&gt;K306,K306,J306*0.15)</x:f>
      </x:c>
      <x:c r="M306" s="65">
        <x:f>IF(K306-L306&gt;0,K306-L306,0)</x:f>
      </x:c>
      <x:c r="N306" s="3">
        <x:f>G306*0.00759</x:f>
      </x:c>
      <x:c r="O306" s="3">
        <x:f>IF(G306*0.00759&gt;G306,197.38,G306*0.00759)</x:f>
      </x:c>
      <x:c r="P306" s="3">
        <x:f>IF(N306-O306&gt;0,N306-O306,0)</x:f>
      </x:c>
      <x:c r="Q306" s="65">
        <x:f>+H306</x:f>
      </x:c>
      <x:c r="R306" s="65">
        <x:v>0</x:v>
      </x:c>
      <x:c r="S306" s="3">
        <x:f>R306+Q306</x:f>
      </x:c>
      <x:c r="T306" s="3">
        <x:f>I306-S306</x:f>
      </x:c>
      <x:c r="U306" s="255"/>
    </x:row>
    <x:row r="307" spans="1:21" ht="21" customHeight="1" x14ac:dyDescent="0.2">
      <x:c r="A307" s="253">
        <x:f>+'Banka Lis.'!B306</x:f>
      </x:c>
      <x:c r="B307" s="253">
        <x:f>+Puantaj!C307</x:f>
      </x:c>
      <x:c r="C307" s="4">
        <x:f>+Puantaj!D307</x:f>
      </x:c>
      <x:c r="D307" s="4">
        <x:f>+Puantaj!E307</x:f>
      </x:c>
      <x:c r="E307" s="4">
        <x:f>+'Banka Lis.'!H306</x:f>
      </x:c>
      <x:c r="F307" s="254">
        <x:f>+Puantaj!AK307</x:f>
      </x:c>
      <x:c r="G307" s="33">
        <x:f>F307*1083</x:f>
      </x:c>
      <x:c r="H307" s="62">
        <x:f>G307*0.055</x:f>
      </x:c>
      <x:c r="I307" s="3">
        <x:f>G307+H307</x:f>
      </x:c>
      <x:c r="J307" s="3">
        <x:f>+G307</x:f>
      </x:c>
      <x:c r="K307" s="3">
        <x:f>J307*0.15</x:f>
      </x:c>
      <x:c r="L307" s="3">
        <x:f>IF(J307*0.15&gt;K307,K307,J307*0.15)</x:f>
      </x:c>
      <x:c r="M307" s="65">
        <x:f>IF(K307-L307&gt;0,K307-L307,0)</x:f>
      </x:c>
      <x:c r="N307" s="3">
        <x:f>G307*0.00759</x:f>
      </x:c>
      <x:c r="O307" s="3">
        <x:f>IF(G307*0.00759&gt;G307,197.38,G307*0.00759)</x:f>
      </x:c>
      <x:c r="P307" s="3">
        <x:f>IF(N307-O307&gt;0,N307-O307,0)</x:f>
      </x:c>
      <x:c r="Q307" s="65">
        <x:f>+H307</x:f>
      </x:c>
      <x:c r="R307" s="65">
        <x:v>0</x:v>
      </x:c>
      <x:c r="S307" s="3">
        <x:f>R307+Q307</x:f>
      </x:c>
      <x:c r="T307" s="3">
        <x:f>I307-S307</x:f>
      </x:c>
      <x:c r="U307" s="255"/>
    </x:row>
    <x:row r="308" spans="1:21" ht="21" customHeight="1" x14ac:dyDescent="0.2">
      <x:c r="A308" s="253">
        <x:f>+'Banka Lis.'!B307</x:f>
      </x:c>
      <x:c r="B308" s="253">
        <x:f>+Puantaj!C308</x:f>
      </x:c>
      <x:c r="C308" s="4">
        <x:f>+Puantaj!D308</x:f>
      </x:c>
      <x:c r="D308" s="4">
        <x:f>+Puantaj!E308</x:f>
      </x:c>
      <x:c r="E308" s="4">
        <x:f>+'Banka Lis.'!H307</x:f>
      </x:c>
      <x:c r="F308" s="254">
        <x:f>+Puantaj!AK308</x:f>
      </x:c>
      <x:c r="G308" s="33">
        <x:f>F308*1083</x:f>
      </x:c>
      <x:c r="H308" s="62">
        <x:f>G308*0.055</x:f>
      </x:c>
      <x:c r="I308" s="3">
        <x:f>G308+H308</x:f>
      </x:c>
      <x:c r="J308" s="3">
        <x:f>+G308</x:f>
      </x:c>
      <x:c r="K308" s="3">
        <x:f>J308*0.15</x:f>
      </x:c>
      <x:c r="L308" s="3">
        <x:f>IF(J308*0.15&gt;K308,K308,J308*0.15)</x:f>
      </x:c>
      <x:c r="M308" s="65">
        <x:f>IF(K308-L308&gt;0,K308-L308,0)</x:f>
      </x:c>
      <x:c r="N308" s="3">
        <x:f>G308*0.00759</x:f>
      </x:c>
      <x:c r="O308" s="3">
        <x:f>IF(G308*0.00759&gt;G308,197.38,G308*0.00759)</x:f>
      </x:c>
      <x:c r="P308" s="3">
        <x:f>IF(N308-O308&gt;0,N308-O308,0)</x:f>
      </x:c>
      <x:c r="Q308" s="65">
        <x:f>+H308</x:f>
      </x:c>
      <x:c r="R308" s="65">
        <x:v>0</x:v>
      </x:c>
      <x:c r="S308" s="3">
        <x:f>R308+Q308</x:f>
      </x:c>
      <x:c r="T308" s="3">
        <x:f>I308-S308</x:f>
      </x:c>
      <x:c r="U308" s="255"/>
    </x:row>
    <x:row r="309" spans="1:21" ht="21" customHeight="1" x14ac:dyDescent="0.2">
      <x:c r="A309" s="253">
        <x:f>+'Banka Lis.'!B308</x:f>
      </x:c>
      <x:c r="B309" s="253">
        <x:f>+Puantaj!C309</x:f>
      </x:c>
      <x:c r="C309" s="4">
        <x:f>+Puantaj!D309</x:f>
      </x:c>
      <x:c r="D309" s="4">
        <x:f>+Puantaj!E309</x:f>
      </x:c>
      <x:c r="E309" s="4">
        <x:f>+'Banka Lis.'!H308</x:f>
      </x:c>
      <x:c r="F309" s="254">
        <x:f>+Puantaj!AK309</x:f>
      </x:c>
      <x:c r="G309" s="33">
        <x:f>F309*1083</x:f>
      </x:c>
      <x:c r="H309" s="62">
        <x:f>G309*0.055</x:f>
      </x:c>
      <x:c r="I309" s="3">
        <x:f>G309+H309</x:f>
      </x:c>
      <x:c r="J309" s="3">
        <x:f>+G309</x:f>
      </x:c>
      <x:c r="K309" s="3">
        <x:f>J309*0.15</x:f>
      </x:c>
      <x:c r="L309" s="3">
        <x:f>IF(J309*0.15&gt;K309,K309,J309*0.15)</x:f>
      </x:c>
      <x:c r="M309" s="65">
        <x:f>IF(K309-L309&gt;0,K309-L309,0)</x:f>
      </x:c>
      <x:c r="N309" s="3">
        <x:f>G309*0.00759</x:f>
      </x:c>
      <x:c r="O309" s="3">
        <x:f>IF(G309*0.00759&gt;G309,197.38,G309*0.00759)</x:f>
      </x:c>
      <x:c r="P309" s="3">
        <x:f>IF(N309-O309&gt;0,N309-O309,0)</x:f>
      </x:c>
      <x:c r="Q309" s="65">
        <x:f>+H309</x:f>
      </x:c>
      <x:c r="R309" s="65">
        <x:v>0</x:v>
      </x:c>
      <x:c r="S309" s="3">
        <x:f>R309+Q309</x:f>
      </x:c>
      <x:c r="T309" s="3">
        <x:f>I309-S309</x:f>
      </x:c>
      <x:c r="U309" s="255"/>
    </x:row>
    <x:row r="310" spans="1:21" ht="21" customHeight="1" x14ac:dyDescent="0.2">
      <x:c r="A310" s="253">
        <x:f>+'Banka Lis.'!B309</x:f>
      </x:c>
      <x:c r="B310" s="253">
        <x:f>+Puantaj!C310</x:f>
      </x:c>
      <x:c r="C310" s="4">
        <x:f>+Puantaj!D310</x:f>
      </x:c>
      <x:c r="D310" s="4">
        <x:f>+Puantaj!E310</x:f>
      </x:c>
      <x:c r="E310" s="4">
        <x:f>+'Banka Lis.'!H309</x:f>
      </x:c>
      <x:c r="F310" s="254">
        <x:f>+Puantaj!AK310</x:f>
      </x:c>
      <x:c r="G310" s="33">
        <x:f>F310*1083</x:f>
      </x:c>
      <x:c r="H310" s="62">
        <x:f>G310*0.055</x:f>
      </x:c>
      <x:c r="I310" s="3">
        <x:f>G310+H310</x:f>
      </x:c>
      <x:c r="J310" s="3">
        <x:f>+G310</x:f>
      </x:c>
      <x:c r="K310" s="3">
        <x:f>J310*0.15</x:f>
      </x:c>
      <x:c r="L310" s="3">
        <x:f>IF(J310*0.15&gt;K310,K310,J310*0.15)</x:f>
      </x:c>
      <x:c r="M310" s="65">
        <x:f>IF(K310-L310&gt;0,K310-L310,0)</x:f>
      </x:c>
      <x:c r="N310" s="3">
        <x:f>G310*0.00759</x:f>
      </x:c>
      <x:c r="O310" s="3">
        <x:f>IF(G310*0.00759&gt;G310,197.38,G310*0.00759)</x:f>
      </x:c>
      <x:c r="P310" s="3">
        <x:f>IF(N310-O310&gt;0,N310-O310,0)</x:f>
      </x:c>
      <x:c r="Q310" s="65">
        <x:f>+H310</x:f>
      </x:c>
      <x:c r="R310" s="65">
        <x:v>0</x:v>
      </x:c>
      <x:c r="S310" s="3">
        <x:f>R310+Q310</x:f>
      </x:c>
      <x:c r="T310" s="3">
        <x:f>I310-S310</x:f>
      </x:c>
      <x:c r="U310" s="255"/>
    </x:row>
    <x:row r="311" spans="1:21" ht="21" customHeight="1" x14ac:dyDescent="0.2">
      <x:c r="A311" s="253">
        <x:f>+'Banka Lis.'!B310</x:f>
      </x:c>
      <x:c r="B311" s="253">
        <x:f>+Puantaj!C311</x:f>
      </x:c>
      <x:c r="C311" s="4">
        <x:f>+Puantaj!D311</x:f>
      </x:c>
      <x:c r="D311" s="4">
        <x:f>+Puantaj!E311</x:f>
      </x:c>
      <x:c r="E311" s="4">
        <x:f>+'Banka Lis.'!H310</x:f>
      </x:c>
      <x:c r="F311" s="254">
        <x:f>+Puantaj!AK311</x:f>
      </x:c>
      <x:c r="G311" s="33">
        <x:f>F311*1083</x:f>
      </x:c>
      <x:c r="H311" s="62">
        <x:f>G311*0.055</x:f>
      </x:c>
      <x:c r="I311" s="3">
        <x:f>G311+H311</x:f>
      </x:c>
      <x:c r="J311" s="3">
        <x:f>+G311</x:f>
      </x:c>
      <x:c r="K311" s="3">
        <x:f>J311*0.15</x:f>
      </x:c>
      <x:c r="L311" s="3">
        <x:f>IF(J311*0.15&gt;K311,K311,J311*0.15)</x:f>
      </x:c>
      <x:c r="M311" s="65">
        <x:f>IF(K311-L311&gt;0,K311-L311,0)</x:f>
      </x:c>
      <x:c r="N311" s="3">
        <x:f>G311*0.00759</x:f>
      </x:c>
      <x:c r="O311" s="3">
        <x:f>IF(G311*0.00759&gt;G311,197.38,G311*0.00759)</x:f>
      </x:c>
      <x:c r="P311" s="3">
        <x:f>IF(N311-O311&gt;0,N311-O311,0)</x:f>
      </x:c>
      <x:c r="Q311" s="65">
        <x:f>+H311</x:f>
      </x:c>
      <x:c r="R311" s="65">
        <x:v>0</x:v>
      </x:c>
      <x:c r="S311" s="3">
        <x:f>R311+Q311</x:f>
      </x:c>
      <x:c r="T311" s="3">
        <x:f>I311-S311</x:f>
      </x:c>
      <x:c r="U311" s="255"/>
    </x:row>
    <x:row r="312" spans="1:21" ht="21" customHeight="1" x14ac:dyDescent="0.2">
      <x:c r="A312" s="253">
        <x:f>+'Banka Lis.'!B311</x:f>
      </x:c>
      <x:c r="B312" s="253">
        <x:f>+Puantaj!C312</x:f>
      </x:c>
      <x:c r="C312" s="4">
        <x:f>+Puantaj!D312</x:f>
      </x:c>
      <x:c r="D312" s="4">
        <x:f>+Puantaj!E312</x:f>
      </x:c>
      <x:c r="E312" s="4">
        <x:f>+'Banka Lis.'!H311</x:f>
      </x:c>
      <x:c r="F312" s="254">
        <x:f>+Puantaj!AK312</x:f>
      </x:c>
      <x:c r="G312" s="33">
        <x:f>F312*1083</x:f>
      </x:c>
      <x:c r="H312" s="62">
        <x:f>G312*0.055</x:f>
      </x:c>
      <x:c r="I312" s="3">
        <x:f>G312+H312</x:f>
      </x:c>
      <x:c r="J312" s="3">
        <x:f>+G312</x:f>
      </x:c>
      <x:c r="K312" s="3">
        <x:f>J312*0.15</x:f>
      </x:c>
      <x:c r="L312" s="3">
        <x:f>IF(J312*0.15&gt;K312,K312,J312*0.15)</x:f>
      </x:c>
      <x:c r="M312" s="65">
        <x:f>IF(K312-L312&gt;0,K312-L312,0)</x:f>
      </x:c>
      <x:c r="N312" s="3">
        <x:f>G312*0.00759</x:f>
      </x:c>
      <x:c r="O312" s="3">
        <x:f>IF(G312*0.00759&gt;G312,197.38,G312*0.00759)</x:f>
      </x:c>
      <x:c r="P312" s="3">
        <x:f>IF(N312-O312&gt;0,N312-O312,0)</x:f>
      </x:c>
      <x:c r="Q312" s="65">
        <x:f>+H312</x:f>
      </x:c>
      <x:c r="R312" s="65">
        <x:v>0</x:v>
      </x:c>
      <x:c r="S312" s="3">
        <x:f>R312+Q312</x:f>
      </x:c>
      <x:c r="T312" s="3">
        <x:f>I312-S312</x:f>
      </x:c>
      <x:c r="U312" s="255"/>
    </x:row>
    <x:row r="313" spans="1:21" ht="21" customHeight="1" x14ac:dyDescent="0.2">
      <x:c r="A313" s="253">
        <x:f>+'Banka Lis.'!B312</x:f>
      </x:c>
      <x:c r="B313" s="253">
        <x:f>+Puantaj!C313</x:f>
      </x:c>
      <x:c r="C313" s="4">
        <x:f>+Puantaj!D313</x:f>
      </x:c>
      <x:c r="D313" s="4">
        <x:f>+Puantaj!E313</x:f>
      </x:c>
      <x:c r="E313" s="4">
        <x:f>+'Banka Lis.'!H312</x:f>
      </x:c>
      <x:c r="F313" s="254">
        <x:f>+Puantaj!AK313</x:f>
      </x:c>
      <x:c r="G313" s="33">
        <x:f>F313*1083</x:f>
      </x:c>
      <x:c r="H313" s="62">
        <x:f>G313*0.055</x:f>
      </x:c>
      <x:c r="I313" s="3">
        <x:f>G313+H313</x:f>
      </x:c>
      <x:c r="J313" s="3">
        <x:f>+G313</x:f>
      </x:c>
      <x:c r="K313" s="3">
        <x:f>J313*0.15</x:f>
      </x:c>
      <x:c r="L313" s="3">
        <x:f>IF(J313*0.15&gt;K313,K313,J313*0.15)</x:f>
      </x:c>
      <x:c r="M313" s="65">
        <x:f>IF(K313-L313&gt;0,K313-L313,0)</x:f>
      </x:c>
      <x:c r="N313" s="3">
        <x:f>G313*0.00759</x:f>
      </x:c>
      <x:c r="O313" s="3">
        <x:f>IF(G313*0.00759&gt;G313,197.38,G313*0.00759)</x:f>
      </x:c>
      <x:c r="P313" s="3">
        <x:f>IF(N313-O313&gt;0,N313-O313,0)</x:f>
      </x:c>
      <x:c r="Q313" s="65">
        <x:f>+H313</x:f>
      </x:c>
      <x:c r="R313" s="65">
        <x:v>0</x:v>
      </x:c>
      <x:c r="S313" s="3">
        <x:f>R313+Q313</x:f>
      </x:c>
      <x:c r="T313" s="3">
        <x:f>I313-S313</x:f>
      </x:c>
      <x:c r="U313" s="255"/>
    </x:row>
    <x:row r="314" spans="1:21" ht="21" customHeight="1" x14ac:dyDescent="0.2">
      <x:c r="A314" s="253">
        <x:f>+'Banka Lis.'!B313</x:f>
      </x:c>
      <x:c r="B314" s="253">
        <x:f>+Puantaj!C314</x:f>
      </x:c>
      <x:c r="C314" s="4">
        <x:f>+Puantaj!D314</x:f>
      </x:c>
      <x:c r="D314" s="4">
        <x:f>+Puantaj!E314</x:f>
      </x:c>
      <x:c r="E314" s="4">
        <x:f>+'Banka Lis.'!H313</x:f>
      </x:c>
      <x:c r="F314" s="254">
        <x:f>+Puantaj!AK314</x:f>
      </x:c>
      <x:c r="G314" s="33">
        <x:f>F314*1083</x:f>
      </x:c>
      <x:c r="H314" s="62">
        <x:f>G314*0.055</x:f>
      </x:c>
      <x:c r="I314" s="3">
        <x:f>G314+H314</x:f>
      </x:c>
      <x:c r="J314" s="3">
        <x:f>+G314</x:f>
      </x:c>
      <x:c r="K314" s="3">
        <x:f>J314*0.15</x:f>
      </x:c>
      <x:c r="L314" s="3">
        <x:f>IF(J314*0.15&gt;K314,K314,J314*0.15)</x:f>
      </x:c>
      <x:c r="M314" s="65">
        <x:f>IF(K314-L314&gt;0,K314-L314,0)</x:f>
      </x:c>
      <x:c r="N314" s="3">
        <x:f>G314*0.00759</x:f>
      </x:c>
      <x:c r="O314" s="3">
        <x:f>IF(G314*0.00759&gt;G314,197.38,G314*0.00759)</x:f>
      </x:c>
      <x:c r="P314" s="3">
        <x:f>IF(N314-O314&gt;0,N314-O314,0)</x:f>
      </x:c>
      <x:c r="Q314" s="65">
        <x:f>+H314</x:f>
      </x:c>
      <x:c r="R314" s="65">
        <x:v>0</x:v>
      </x:c>
      <x:c r="S314" s="3">
        <x:f>R314+Q314</x:f>
      </x:c>
      <x:c r="T314" s="3">
        <x:f>I314-S314</x:f>
      </x:c>
      <x:c r="U314" s="255"/>
    </x:row>
    <x:row r="315" spans="1:21" ht="21" customHeight="1" x14ac:dyDescent="0.2">
      <x:c r="A315" s="253">
        <x:f>+'Banka Lis.'!B314</x:f>
      </x:c>
      <x:c r="B315" s="253">
        <x:f>+Puantaj!C315</x:f>
      </x:c>
      <x:c r="C315" s="4">
        <x:f>+Puantaj!D315</x:f>
      </x:c>
      <x:c r="D315" s="4">
        <x:f>+Puantaj!E315</x:f>
      </x:c>
      <x:c r="E315" s="4">
        <x:f>+'Banka Lis.'!H314</x:f>
      </x:c>
      <x:c r="F315" s="254">
        <x:f>+Puantaj!AK315</x:f>
      </x:c>
      <x:c r="G315" s="33">
        <x:f>F315*1083</x:f>
      </x:c>
      <x:c r="H315" s="62">
        <x:f>G315*0.055</x:f>
      </x:c>
      <x:c r="I315" s="3">
        <x:f>G315+H315</x:f>
      </x:c>
      <x:c r="J315" s="3">
        <x:f>+G315</x:f>
      </x:c>
      <x:c r="K315" s="3">
        <x:f>J315*0.15</x:f>
      </x:c>
      <x:c r="L315" s="3">
        <x:f>IF(J315*0.15&gt;K315,K315,J315*0.15)</x:f>
      </x:c>
      <x:c r="M315" s="65">
        <x:f>IF(K315-L315&gt;0,K315-L315,0)</x:f>
      </x:c>
      <x:c r="N315" s="3">
        <x:f>G315*0.00759</x:f>
      </x:c>
      <x:c r="O315" s="3">
        <x:f>IF(G315*0.00759&gt;G315,197.38,G315*0.00759)</x:f>
      </x:c>
      <x:c r="P315" s="3">
        <x:f>IF(N315-O315&gt;0,N315-O315,0)</x:f>
      </x:c>
      <x:c r="Q315" s="65">
        <x:f>+H315</x:f>
      </x:c>
      <x:c r="R315" s="65">
        <x:v>0</x:v>
      </x:c>
      <x:c r="S315" s="3">
        <x:f>R315+Q315</x:f>
      </x:c>
      <x:c r="T315" s="3">
        <x:f>I315-S315</x:f>
      </x:c>
      <x:c r="U315" s="255"/>
    </x:row>
    <x:row r="316" spans="1:21" ht="21" customHeight="1" x14ac:dyDescent="0.2">
      <x:c r="A316" s="253">
        <x:f>+'Banka Lis.'!B315</x:f>
      </x:c>
      <x:c r="B316" s="253">
        <x:f>+Puantaj!C316</x:f>
      </x:c>
      <x:c r="C316" s="4">
        <x:f>+Puantaj!D316</x:f>
      </x:c>
      <x:c r="D316" s="4">
        <x:f>+Puantaj!E316</x:f>
      </x:c>
      <x:c r="E316" s="4">
        <x:f>+'Banka Lis.'!H315</x:f>
      </x:c>
      <x:c r="F316" s="254">
        <x:f>+Puantaj!AK316</x:f>
      </x:c>
      <x:c r="G316" s="33">
        <x:f>F316*1083</x:f>
      </x:c>
      <x:c r="H316" s="62">
        <x:f>G316*0.055</x:f>
      </x:c>
      <x:c r="I316" s="3">
        <x:f>G316+H316</x:f>
      </x:c>
      <x:c r="J316" s="3">
        <x:f>+G316</x:f>
      </x:c>
      <x:c r="K316" s="3">
        <x:f>J316*0.15</x:f>
      </x:c>
      <x:c r="L316" s="3">
        <x:f>IF(J316*0.15&gt;K316,K316,J316*0.15)</x:f>
      </x:c>
      <x:c r="M316" s="65">
        <x:f>IF(K316-L316&gt;0,K316-L316,0)</x:f>
      </x:c>
      <x:c r="N316" s="3">
        <x:f>G316*0.00759</x:f>
      </x:c>
      <x:c r="O316" s="3">
        <x:f>IF(G316*0.00759&gt;G316,197.38,G316*0.00759)</x:f>
      </x:c>
      <x:c r="P316" s="3">
        <x:f>IF(N316-O316&gt;0,N316-O316,0)</x:f>
      </x:c>
      <x:c r="Q316" s="65">
        <x:f>+H316</x:f>
      </x:c>
      <x:c r="R316" s="65">
        <x:v>0</x:v>
      </x:c>
      <x:c r="S316" s="3">
        <x:f>R316+Q316</x:f>
      </x:c>
      <x:c r="T316" s="3">
        <x:f>I316-S316</x:f>
      </x:c>
      <x:c r="U316" s="255"/>
    </x:row>
    <x:row r="317" spans="1:21" ht="21" customHeight="1" x14ac:dyDescent="0.2">
      <x:c r="A317" s="253">
        <x:f>+'Banka Lis.'!B316</x:f>
      </x:c>
      <x:c r="B317" s="253">
        <x:f>+Puantaj!C317</x:f>
      </x:c>
      <x:c r="C317" s="4">
        <x:f>+Puantaj!D317</x:f>
      </x:c>
      <x:c r="D317" s="4">
        <x:f>+Puantaj!E317</x:f>
      </x:c>
      <x:c r="E317" s="4">
        <x:f>+'Banka Lis.'!H316</x:f>
      </x:c>
      <x:c r="F317" s="254">
        <x:f>+Puantaj!AK317</x:f>
      </x:c>
      <x:c r="G317" s="33">
        <x:f>F317*1083</x:f>
      </x:c>
      <x:c r="H317" s="62">
        <x:f>G317*0.055</x:f>
      </x:c>
      <x:c r="I317" s="3">
        <x:f>G317+H317</x:f>
      </x:c>
      <x:c r="J317" s="3">
        <x:f>+G317</x:f>
      </x:c>
      <x:c r="K317" s="3">
        <x:f>J317*0.15</x:f>
      </x:c>
      <x:c r="L317" s="3">
        <x:f>IF(J317*0.15&gt;K317,K317,J317*0.15)</x:f>
      </x:c>
      <x:c r="M317" s="65">
        <x:f>IF(K317-L317&gt;0,K317-L317,0)</x:f>
      </x:c>
      <x:c r="N317" s="3">
        <x:f>G317*0.00759</x:f>
      </x:c>
      <x:c r="O317" s="3">
        <x:f>IF(G317*0.00759&gt;G317,197.38,G317*0.00759)</x:f>
      </x:c>
      <x:c r="P317" s="3">
        <x:f>IF(N317-O317&gt;0,N317-O317,0)</x:f>
      </x:c>
      <x:c r="Q317" s="65">
        <x:f>+H317</x:f>
      </x:c>
      <x:c r="R317" s="65">
        <x:v>0</x:v>
      </x:c>
      <x:c r="S317" s="3">
        <x:f>R317+Q317</x:f>
      </x:c>
      <x:c r="T317" s="3">
        <x:f>I317-S317</x:f>
      </x:c>
      <x:c r="U317" s="255"/>
    </x:row>
    <x:row r="318" spans="1:21" ht="21" customHeight="1" x14ac:dyDescent="0.2">
      <x:c r="A318" s="253">
        <x:f>+'Banka Lis.'!B317</x:f>
      </x:c>
      <x:c r="B318" s="253">
        <x:f>+Puantaj!C318</x:f>
      </x:c>
      <x:c r="C318" s="4">
        <x:f>+Puantaj!D318</x:f>
      </x:c>
      <x:c r="D318" s="4">
        <x:f>+Puantaj!E318</x:f>
      </x:c>
      <x:c r="E318" s="4">
        <x:f>+'Banka Lis.'!H317</x:f>
      </x:c>
      <x:c r="F318" s="254">
        <x:f>+Puantaj!AK318</x:f>
      </x:c>
      <x:c r="G318" s="33">
        <x:f>F318*1083</x:f>
      </x:c>
      <x:c r="H318" s="62">
        <x:f>G318*0.055</x:f>
      </x:c>
      <x:c r="I318" s="3">
        <x:f>G318+H318</x:f>
      </x:c>
      <x:c r="J318" s="3">
        <x:f>+G318</x:f>
      </x:c>
      <x:c r="K318" s="3">
        <x:f>J318*0.15</x:f>
      </x:c>
      <x:c r="L318" s="3">
        <x:f>IF(J318*0.15&gt;K318,K318,J318*0.15)</x:f>
      </x:c>
      <x:c r="M318" s="65">
        <x:f>IF(K318-L318&gt;0,K318-L318,0)</x:f>
      </x:c>
      <x:c r="N318" s="3">
        <x:f>G318*0.00759</x:f>
      </x:c>
      <x:c r="O318" s="3">
        <x:f>IF(G318*0.00759&gt;G318,197.38,G318*0.00759)</x:f>
      </x:c>
      <x:c r="P318" s="3">
        <x:f>IF(N318-O318&gt;0,N318-O318,0)</x:f>
      </x:c>
      <x:c r="Q318" s="65">
        <x:f>+H318</x:f>
      </x:c>
      <x:c r="R318" s="65">
        <x:v>0</x:v>
      </x:c>
      <x:c r="S318" s="3">
        <x:f>R318+Q318</x:f>
      </x:c>
      <x:c r="T318" s="3">
        <x:f>I318-S318</x:f>
      </x:c>
      <x:c r="U318" s="255"/>
    </x:row>
    <x:row r="319" spans="1:21" ht="21" customHeight="1" x14ac:dyDescent="0.2">
      <x:c r="A319" s="253">
        <x:f>+'Banka Lis.'!B318</x:f>
      </x:c>
      <x:c r="B319" s="253">
        <x:f>+Puantaj!C319</x:f>
      </x:c>
      <x:c r="C319" s="4">
        <x:f>+Puantaj!D319</x:f>
      </x:c>
      <x:c r="D319" s="4">
        <x:f>+Puantaj!E319</x:f>
      </x:c>
      <x:c r="E319" s="4">
        <x:f>+'Banka Lis.'!H318</x:f>
      </x:c>
      <x:c r="F319" s="254">
        <x:f>+Puantaj!AK319</x:f>
      </x:c>
      <x:c r="G319" s="33">
        <x:f>F319*1083</x:f>
      </x:c>
      <x:c r="H319" s="62">
        <x:f>G319*0.055</x:f>
      </x:c>
      <x:c r="I319" s="3">
        <x:f>G319+H319</x:f>
      </x:c>
      <x:c r="J319" s="3">
        <x:f>+G319</x:f>
      </x:c>
      <x:c r="K319" s="3">
        <x:f>J319*0.15</x:f>
      </x:c>
      <x:c r="L319" s="3">
        <x:f>IF(J319*0.15&gt;K319,K319,J319*0.15)</x:f>
      </x:c>
      <x:c r="M319" s="65">
        <x:f>IF(K319-L319&gt;0,K319-L319,0)</x:f>
      </x:c>
      <x:c r="N319" s="3">
        <x:f>G319*0.00759</x:f>
      </x:c>
      <x:c r="O319" s="3">
        <x:f>IF(G319*0.00759&gt;G319,197.38,G319*0.00759)</x:f>
      </x:c>
      <x:c r="P319" s="3">
        <x:f>IF(N319-O319&gt;0,N319-O319,0)</x:f>
      </x:c>
      <x:c r="Q319" s="65">
        <x:f>+H319</x:f>
      </x:c>
      <x:c r="R319" s="65">
        <x:v>0</x:v>
      </x:c>
      <x:c r="S319" s="3">
        <x:f>R319+Q319</x:f>
      </x:c>
      <x:c r="T319" s="3">
        <x:f>I319-S319</x:f>
      </x:c>
      <x:c r="U319" s="255"/>
    </x:row>
    <x:row r="320" spans="1:21" ht="21" customHeight="1" x14ac:dyDescent="0.2">
      <x:c r="A320" s="253">
        <x:f>+'Banka Lis.'!B319</x:f>
      </x:c>
      <x:c r="B320" s="253">
        <x:f>+Puantaj!C320</x:f>
      </x:c>
      <x:c r="C320" s="4">
        <x:f>+Puantaj!D320</x:f>
      </x:c>
      <x:c r="D320" s="4">
        <x:f>+Puantaj!E320</x:f>
      </x:c>
      <x:c r="E320" s="4">
        <x:f>+'Banka Lis.'!H319</x:f>
      </x:c>
      <x:c r="F320" s="254">
        <x:f>+Puantaj!AK320</x:f>
      </x:c>
      <x:c r="G320" s="33">
        <x:f>F320*1083</x:f>
      </x:c>
      <x:c r="H320" s="62">
        <x:f>G320*0.055</x:f>
      </x:c>
      <x:c r="I320" s="3">
        <x:f>G320+H320</x:f>
      </x:c>
      <x:c r="J320" s="3">
        <x:f>+G320</x:f>
      </x:c>
      <x:c r="K320" s="3">
        <x:f>J320*0.15</x:f>
      </x:c>
      <x:c r="L320" s="3">
        <x:f>IF(J320*0.15&gt;K320,K320,J320*0.15)</x:f>
      </x:c>
      <x:c r="M320" s="65">
        <x:f>IF(K320-L320&gt;0,K320-L320,0)</x:f>
      </x:c>
      <x:c r="N320" s="3">
        <x:f>G320*0.00759</x:f>
      </x:c>
      <x:c r="O320" s="3">
        <x:f>IF(G320*0.00759&gt;G320,197.38,G320*0.00759)</x:f>
      </x:c>
      <x:c r="P320" s="3">
        <x:f>IF(N320-O320&gt;0,N320-O320,0)</x:f>
      </x:c>
      <x:c r="Q320" s="65">
        <x:f>+H320</x:f>
      </x:c>
      <x:c r="R320" s="65">
        <x:v>0</x:v>
      </x:c>
      <x:c r="S320" s="3">
        <x:f>R320+Q320</x:f>
      </x:c>
      <x:c r="T320" s="3">
        <x:f>I320-S320</x:f>
      </x:c>
      <x:c r="U320" s="255"/>
    </x:row>
    <x:row r="321" spans="1:21" ht="21" customHeight="1" x14ac:dyDescent="0.2">
      <x:c r="A321" s="253">
        <x:f>+'Banka Lis.'!B320</x:f>
      </x:c>
      <x:c r="B321" s="253">
        <x:f>+Puantaj!C321</x:f>
      </x:c>
      <x:c r="C321" s="4">
        <x:f>+Puantaj!D321</x:f>
      </x:c>
      <x:c r="D321" s="4">
        <x:f>+Puantaj!E321</x:f>
      </x:c>
      <x:c r="E321" s="4">
        <x:f>+'Banka Lis.'!H320</x:f>
      </x:c>
      <x:c r="F321" s="254">
        <x:f>+Puantaj!AK321</x:f>
      </x:c>
      <x:c r="G321" s="33">
        <x:f>F321*1083</x:f>
      </x:c>
      <x:c r="H321" s="62">
        <x:f>G321*0.055</x:f>
      </x:c>
      <x:c r="I321" s="3">
        <x:f>G321+H321</x:f>
      </x:c>
      <x:c r="J321" s="3">
        <x:f>+G321</x:f>
      </x:c>
      <x:c r="K321" s="3">
        <x:f>J321*0.15</x:f>
      </x:c>
      <x:c r="L321" s="3">
        <x:f>IF(J321*0.15&gt;K321,K321,J321*0.15)</x:f>
      </x:c>
      <x:c r="M321" s="65">
        <x:f>IF(K321-L321&gt;0,K321-L321,0)</x:f>
      </x:c>
      <x:c r="N321" s="3">
        <x:f>G321*0.00759</x:f>
      </x:c>
      <x:c r="O321" s="3">
        <x:f>IF(G321*0.00759&gt;G321,197.38,G321*0.00759)</x:f>
      </x:c>
      <x:c r="P321" s="3">
        <x:f>IF(N321-O321&gt;0,N321-O321,0)</x:f>
      </x:c>
      <x:c r="Q321" s="65">
        <x:f>+H321</x:f>
      </x:c>
      <x:c r="R321" s="65">
        <x:v>0</x:v>
      </x:c>
      <x:c r="S321" s="3">
        <x:f>R321+Q321</x:f>
      </x:c>
      <x:c r="T321" s="3">
        <x:f>I321-S321</x:f>
      </x:c>
      <x:c r="U321" s="255"/>
    </x:row>
    <x:row r="322" spans="1:21" ht="21" customHeight="1" x14ac:dyDescent="0.2">
      <x:c r="A322" s="253">
        <x:f>+'Banka Lis.'!B321</x:f>
      </x:c>
      <x:c r="B322" s="253">
        <x:f>+Puantaj!C322</x:f>
      </x:c>
      <x:c r="C322" s="4">
        <x:f>+Puantaj!D322</x:f>
      </x:c>
      <x:c r="D322" s="4">
        <x:f>+Puantaj!E322</x:f>
      </x:c>
      <x:c r="E322" s="4">
        <x:f>+'Banka Lis.'!H321</x:f>
      </x:c>
      <x:c r="F322" s="254">
        <x:f>+Puantaj!AK322</x:f>
      </x:c>
      <x:c r="G322" s="33">
        <x:f>F322*1083</x:f>
      </x:c>
      <x:c r="H322" s="62">
        <x:f>G322*0.055</x:f>
      </x:c>
      <x:c r="I322" s="3">
        <x:f>G322+H322</x:f>
      </x:c>
      <x:c r="J322" s="3">
        <x:f>+G322</x:f>
      </x:c>
      <x:c r="K322" s="3">
        <x:f>J322*0.15</x:f>
      </x:c>
      <x:c r="L322" s="3">
        <x:f>IF(J322*0.15&gt;K322,K322,J322*0.15)</x:f>
      </x:c>
      <x:c r="M322" s="65">
        <x:f>IF(K322-L322&gt;0,K322-L322,0)</x:f>
      </x:c>
      <x:c r="N322" s="3">
        <x:f>G322*0.00759</x:f>
      </x:c>
      <x:c r="O322" s="3">
        <x:f>IF(G322*0.00759&gt;G322,197.38,G322*0.00759)</x:f>
      </x:c>
      <x:c r="P322" s="3">
        <x:f>IF(N322-O322&gt;0,N322-O322,0)</x:f>
      </x:c>
      <x:c r="Q322" s="65">
        <x:f>+H322</x:f>
      </x:c>
      <x:c r="R322" s="65">
        <x:v>0</x:v>
      </x:c>
      <x:c r="S322" s="3">
        <x:f>R322+Q322</x:f>
      </x:c>
      <x:c r="T322" s="3">
        <x:f>I322-S322</x:f>
      </x:c>
      <x:c r="U322" s="255"/>
    </x:row>
    <x:row r="323" spans="1:21" ht="21" customHeight="1" x14ac:dyDescent="0.2">
      <x:c r="A323" s="253">
        <x:f>+'Banka Lis.'!B322</x:f>
      </x:c>
      <x:c r="B323" s="253">
        <x:f>+Puantaj!C323</x:f>
      </x:c>
      <x:c r="C323" s="4">
        <x:f>+Puantaj!D323</x:f>
      </x:c>
      <x:c r="D323" s="4">
        <x:f>+Puantaj!E323</x:f>
      </x:c>
      <x:c r="E323" s="4">
        <x:f>+'Banka Lis.'!H322</x:f>
      </x:c>
      <x:c r="F323" s="254">
        <x:f>+Puantaj!AK323</x:f>
      </x:c>
      <x:c r="G323" s="33">
        <x:f>F323*1083</x:f>
      </x:c>
      <x:c r="H323" s="62">
        <x:f>G323*0.055</x:f>
      </x:c>
      <x:c r="I323" s="3">
        <x:f>G323+H323</x:f>
      </x:c>
      <x:c r="J323" s="3">
        <x:f>+G323</x:f>
      </x:c>
      <x:c r="K323" s="3">
        <x:f>J323*0.15</x:f>
      </x:c>
      <x:c r="L323" s="3">
        <x:f>IF(J323*0.15&gt;K323,K323,J323*0.15)</x:f>
      </x:c>
      <x:c r="M323" s="65">
        <x:f>IF(K323-L323&gt;0,K323-L323,0)</x:f>
      </x:c>
      <x:c r="N323" s="3">
        <x:f>G323*0.00759</x:f>
      </x:c>
      <x:c r="O323" s="3">
        <x:f>IF(G323*0.00759&gt;G323,197.38,G323*0.00759)</x:f>
      </x:c>
      <x:c r="P323" s="3">
        <x:f>IF(N323-O323&gt;0,N323-O323,0)</x:f>
      </x:c>
      <x:c r="Q323" s="65">
        <x:f>+H323</x:f>
      </x:c>
      <x:c r="R323" s="65">
        <x:v>0</x:v>
      </x:c>
      <x:c r="S323" s="3">
        <x:f>R323+Q323</x:f>
      </x:c>
      <x:c r="T323" s="3">
        <x:f>I323-S323</x:f>
      </x:c>
      <x:c r="U323" s="255"/>
    </x:row>
    <x:row r="324" spans="1:21" ht="21" customHeight="1" x14ac:dyDescent="0.2">
      <x:c r="A324" s="253">
        <x:f>+'Banka Lis.'!B323</x:f>
      </x:c>
      <x:c r="B324" s="253">
        <x:f>+Puantaj!C324</x:f>
      </x:c>
      <x:c r="C324" s="4">
        <x:f>+Puantaj!D324</x:f>
      </x:c>
      <x:c r="D324" s="4">
        <x:f>+Puantaj!E324</x:f>
      </x:c>
      <x:c r="E324" s="4">
        <x:f>+'Banka Lis.'!H323</x:f>
      </x:c>
      <x:c r="F324" s="254">
        <x:f>+Puantaj!AK324</x:f>
      </x:c>
      <x:c r="G324" s="33">
        <x:f>F324*1083</x:f>
      </x:c>
      <x:c r="H324" s="62">
        <x:f>G324*0.055</x:f>
      </x:c>
      <x:c r="I324" s="3">
        <x:f>G324+H324</x:f>
      </x:c>
      <x:c r="J324" s="3">
        <x:f>+G324</x:f>
      </x:c>
      <x:c r="K324" s="3">
        <x:f>J324*0.15</x:f>
      </x:c>
      <x:c r="L324" s="3">
        <x:f>IF(J324*0.15&gt;K324,K324,J324*0.15)</x:f>
      </x:c>
      <x:c r="M324" s="65">
        <x:f>IF(K324-L324&gt;0,K324-L324,0)</x:f>
      </x:c>
      <x:c r="N324" s="3">
        <x:f>G324*0.00759</x:f>
      </x:c>
      <x:c r="O324" s="3">
        <x:f>IF(G324*0.00759&gt;G324,197.38,G324*0.00759)</x:f>
      </x:c>
      <x:c r="P324" s="3">
        <x:f>IF(N324-O324&gt;0,N324-O324,0)</x:f>
      </x:c>
      <x:c r="Q324" s="65">
        <x:f>+H324</x:f>
      </x:c>
      <x:c r="R324" s="65">
        <x:v>0</x:v>
      </x:c>
      <x:c r="S324" s="3">
        <x:f>R324+Q324</x:f>
      </x:c>
      <x:c r="T324" s="3">
        <x:f>I324-S324</x:f>
      </x:c>
      <x:c r="U324" s="255"/>
    </x:row>
    <x:row r="325" spans="1:21" ht="21" customHeight="1" x14ac:dyDescent="0.2">
      <x:c r="A325" s="253">
        <x:f>+'Banka Lis.'!B324</x:f>
      </x:c>
      <x:c r="B325" s="253">
        <x:f>+Puantaj!C325</x:f>
      </x:c>
      <x:c r="C325" s="4">
        <x:f>+Puantaj!D325</x:f>
      </x:c>
      <x:c r="D325" s="4">
        <x:f>+Puantaj!E325</x:f>
      </x:c>
      <x:c r="E325" s="4">
        <x:f>+'Banka Lis.'!H324</x:f>
      </x:c>
      <x:c r="F325" s="254">
        <x:f>+Puantaj!AK325</x:f>
      </x:c>
      <x:c r="G325" s="33">
        <x:f>F325*1083</x:f>
      </x:c>
      <x:c r="H325" s="62">
        <x:f>G325*0.055</x:f>
      </x:c>
      <x:c r="I325" s="3">
        <x:f>G325+H325</x:f>
      </x:c>
      <x:c r="J325" s="3">
        <x:f>+G325</x:f>
      </x:c>
      <x:c r="K325" s="3">
        <x:f>J325*0.15</x:f>
      </x:c>
      <x:c r="L325" s="3">
        <x:f>IF(J325*0.15&gt;K325,K325,J325*0.15)</x:f>
      </x:c>
      <x:c r="M325" s="65">
        <x:f>IF(K325-L325&gt;0,K325-L325,0)</x:f>
      </x:c>
      <x:c r="N325" s="3">
        <x:f>G325*0.00759</x:f>
      </x:c>
      <x:c r="O325" s="3">
        <x:f>IF(G325*0.00759&gt;G325,197.38,G325*0.00759)</x:f>
      </x:c>
      <x:c r="P325" s="3">
        <x:f>IF(N325-O325&gt;0,N325-O325,0)</x:f>
      </x:c>
      <x:c r="Q325" s="65">
        <x:f>+H325</x:f>
      </x:c>
      <x:c r="R325" s="65">
        <x:v>0</x:v>
      </x:c>
      <x:c r="S325" s="3">
        <x:f>R325+Q325</x:f>
      </x:c>
      <x:c r="T325" s="3">
        <x:f>I325-S325</x:f>
      </x:c>
      <x:c r="U325" s="255"/>
    </x:row>
    <x:row r="326" spans="1:21" ht="21" customHeight="1" x14ac:dyDescent="0.2">
      <x:c r="A326" s="253">
        <x:f>+'Banka Lis.'!B325</x:f>
      </x:c>
      <x:c r="B326" s="253">
        <x:f>+Puantaj!C326</x:f>
      </x:c>
      <x:c r="C326" s="4">
        <x:f>+Puantaj!D326</x:f>
      </x:c>
      <x:c r="D326" s="4">
        <x:f>+Puantaj!E326</x:f>
      </x:c>
      <x:c r="E326" s="4">
        <x:f>+'Banka Lis.'!H325</x:f>
      </x:c>
      <x:c r="F326" s="254">
        <x:f>+Puantaj!AK326</x:f>
      </x:c>
      <x:c r="G326" s="33">
        <x:f>F326*1083</x:f>
      </x:c>
      <x:c r="H326" s="62">
        <x:f>G326*0.055</x:f>
      </x:c>
      <x:c r="I326" s="3">
        <x:f>G326+H326</x:f>
      </x:c>
      <x:c r="J326" s="3">
        <x:f>+G326</x:f>
      </x:c>
      <x:c r="K326" s="3">
        <x:f>J326*0.15</x:f>
      </x:c>
      <x:c r="L326" s="3">
        <x:f>IF(J326*0.15&gt;K326,K326,J326*0.15)</x:f>
      </x:c>
      <x:c r="M326" s="65">
        <x:f>IF(K326-L326&gt;0,K326-L326,0)</x:f>
      </x:c>
      <x:c r="N326" s="3">
        <x:f>G326*0.00759</x:f>
      </x:c>
      <x:c r="O326" s="3">
        <x:f>IF(G326*0.00759&gt;G326,197.38,G326*0.00759)</x:f>
      </x:c>
      <x:c r="P326" s="3">
        <x:f>IF(N326-O326&gt;0,N326-O326,0)</x:f>
      </x:c>
      <x:c r="Q326" s="65">
        <x:f>+H326</x:f>
      </x:c>
      <x:c r="R326" s="65">
        <x:v>0</x:v>
      </x:c>
      <x:c r="S326" s="3">
        <x:f>R326+Q326</x:f>
      </x:c>
      <x:c r="T326" s="3">
        <x:f>I326-S326</x:f>
      </x:c>
      <x:c r="U326" s="255"/>
    </x:row>
    <x:row r="327" spans="1:21" ht="21" customHeight="1" x14ac:dyDescent="0.2">
      <x:c r="A327" s="253">
        <x:f>+'Banka Lis.'!B326</x:f>
      </x:c>
      <x:c r="B327" s="253">
        <x:f>+Puantaj!C327</x:f>
      </x:c>
      <x:c r="C327" s="4">
        <x:f>+Puantaj!D327</x:f>
      </x:c>
      <x:c r="D327" s="4">
        <x:f>+Puantaj!E327</x:f>
      </x:c>
      <x:c r="E327" s="4">
        <x:f>+'Banka Lis.'!H326</x:f>
      </x:c>
      <x:c r="F327" s="254">
        <x:f>+Puantaj!AK327</x:f>
      </x:c>
      <x:c r="G327" s="33">
        <x:f>F327*1083</x:f>
      </x:c>
      <x:c r="H327" s="62">
        <x:f>G327*0.055</x:f>
      </x:c>
      <x:c r="I327" s="3">
        <x:f>G327+H327</x:f>
      </x:c>
      <x:c r="J327" s="3">
        <x:f>+G327</x:f>
      </x:c>
      <x:c r="K327" s="3">
        <x:f>J327*0.15</x:f>
      </x:c>
      <x:c r="L327" s="3">
        <x:f>IF(J327*0.15&gt;K327,K327,J327*0.15)</x:f>
      </x:c>
      <x:c r="M327" s="65">
        <x:f>IF(K327-L327&gt;0,K327-L327,0)</x:f>
      </x:c>
      <x:c r="N327" s="3">
        <x:f>G327*0.00759</x:f>
      </x:c>
      <x:c r="O327" s="3">
        <x:f>IF(G327*0.00759&gt;G327,197.38,G327*0.00759)</x:f>
      </x:c>
      <x:c r="P327" s="3">
        <x:f>IF(N327-O327&gt;0,N327-O327,0)</x:f>
      </x:c>
      <x:c r="Q327" s="65">
        <x:f>+H327</x:f>
      </x:c>
      <x:c r="R327" s="65">
        <x:v>0</x:v>
      </x:c>
      <x:c r="S327" s="3">
        <x:f>R327+Q327</x:f>
      </x:c>
      <x:c r="T327" s="3">
        <x:f>I327-S327</x:f>
      </x:c>
      <x:c r="U327" s="255"/>
    </x:row>
    <x:row r="328" spans="1:21" ht="21" customHeight="1" x14ac:dyDescent="0.2">
      <x:c r="A328" s="253">
        <x:f>+'Banka Lis.'!B327</x:f>
      </x:c>
      <x:c r="B328" s="253">
        <x:f>+Puantaj!C328</x:f>
      </x:c>
      <x:c r="C328" s="4">
        <x:f>+Puantaj!D328</x:f>
      </x:c>
      <x:c r="D328" s="4">
        <x:f>+Puantaj!E328</x:f>
      </x:c>
      <x:c r="E328" s="4">
        <x:f>+'Banka Lis.'!H327</x:f>
      </x:c>
      <x:c r="F328" s="254">
        <x:f>+Puantaj!AK328</x:f>
      </x:c>
      <x:c r="G328" s="33">
        <x:f>F328*1083</x:f>
      </x:c>
      <x:c r="H328" s="62">
        <x:f>G328*0.055</x:f>
      </x:c>
      <x:c r="I328" s="3">
        <x:f>G328+H328</x:f>
      </x:c>
      <x:c r="J328" s="3">
        <x:f>+G328</x:f>
      </x:c>
      <x:c r="K328" s="3">
        <x:f>J328*0.15</x:f>
      </x:c>
      <x:c r="L328" s="3">
        <x:f>IF(J328*0.15&gt;K328,K328,J328*0.15)</x:f>
      </x:c>
      <x:c r="M328" s="65">
        <x:f>IF(K328-L328&gt;0,K328-L328,0)</x:f>
      </x:c>
      <x:c r="N328" s="3">
        <x:f>G328*0.00759</x:f>
      </x:c>
      <x:c r="O328" s="3">
        <x:f>IF(G328*0.00759&gt;G328,197.38,G328*0.00759)</x:f>
      </x:c>
      <x:c r="P328" s="3">
        <x:f>IF(N328-O328&gt;0,N328-O328,0)</x:f>
      </x:c>
      <x:c r="Q328" s="65">
        <x:f>+H328</x:f>
      </x:c>
      <x:c r="R328" s="65">
        <x:v>0</x:v>
      </x:c>
      <x:c r="S328" s="3">
        <x:f>R328+Q328</x:f>
      </x:c>
      <x:c r="T328" s="3">
        <x:f>I328-S328</x:f>
      </x:c>
      <x:c r="U328" s="255"/>
    </x:row>
    <x:row r="329" spans="1:21" ht="21" customHeight="1" x14ac:dyDescent="0.2">
      <x:c r="A329" s="253">
        <x:f>+'Banka Lis.'!B328</x:f>
      </x:c>
      <x:c r="B329" s="253">
        <x:f>+Puantaj!C329</x:f>
      </x:c>
      <x:c r="C329" s="4">
        <x:f>+Puantaj!D329</x:f>
      </x:c>
      <x:c r="D329" s="4">
        <x:f>+Puantaj!E329</x:f>
      </x:c>
      <x:c r="E329" s="4">
        <x:f>+'Banka Lis.'!H328</x:f>
      </x:c>
      <x:c r="F329" s="254">
        <x:f>+Puantaj!AK329</x:f>
      </x:c>
      <x:c r="G329" s="33">
        <x:f>F329*1083</x:f>
      </x:c>
      <x:c r="H329" s="62">
        <x:f>G329*0.055</x:f>
      </x:c>
      <x:c r="I329" s="3">
        <x:f>G329+H329</x:f>
      </x:c>
      <x:c r="J329" s="3">
        <x:f>+G329</x:f>
      </x:c>
      <x:c r="K329" s="3">
        <x:f>J329*0.15</x:f>
      </x:c>
      <x:c r="L329" s="3">
        <x:f>IF(J329*0.15&gt;K329,K329,J329*0.15)</x:f>
      </x:c>
      <x:c r="M329" s="65">
        <x:f>IF(K329-L329&gt;0,K329-L329,0)</x:f>
      </x:c>
      <x:c r="N329" s="3">
        <x:f>G329*0.00759</x:f>
      </x:c>
      <x:c r="O329" s="3">
        <x:f>IF(G329*0.00759&gt;G329,197.38,G329*0.00759)</x:f>
      </x:c>
      <x:c r="P329" s="3">
        <x:f>IF(N329-O329&gt;0,N329-O329,0)</x:f>
      </x:c>
      <x:c r="Q329" s="65">
        <x:f>+H329</x:f>
      </x:c>
      <x:c r="R329" s="65">
        <x:v>0</x:v>
      </x:c>
      <x:c r="S329" s="3">
        <x:f>R329+Q329</x:f>
      </x:c>
      <x:c r="T329" s="3">
        <x:f>I329-S329</x:f>
      </x:c>
      <x:c r="U329" s="255"/>
    </x:row>
    <x:row r="330" spans="1:21" ht="21" customHeight="1" x14ac:dyDescent="0.2">
      <x:c r="A330" s="253">
        <x:f>+'Banka Lis.'!B329</x:f>
      </x:c>
      <x:c r="B330" s="253">
        <x:f>+Puantaj!C330</x:f>
      </x:c>
      <x:c r="C330" s="4">
        <x:f>+Puantaj!D330</x:f>
      </x:c>
      <x:c r="D330" s="4">
        <x:f>+Puantaj!E330</x:f>
      </x:c>
      <x:c r="E330" s="4">
        <x:f>+'Banka Lis.'!H329</x:f>
      </x:c>
      <x:c r="F330" s="254">
        <x:f>+Puantaj!AK330</x:f>
      </x:c>
      <x:c r="G330" s="33">
        <x:f>F330*1083</x:f>
      </x:c>
      <x:c r="H330" s="62">
        <x:f>G330*0.055</x:f>
      </x:c>
      <x:c r="I330" s="3">
        <x:f>G330+H330</x:f>
      </x:c>
      <x:c r="J330" s="3">
        <x:f>+G330</x:f>
      </x:c>
      <x:c r="K330" s="3">
        <x:f>J330*0.15</x:f>
      </x:c>
      <x:c r="L330" s="3">
        <x:f>IF(J330*0.15&gt;K330,K330,J330*0.15)</x:f>
      </x:c>
      <x:c r="M330" s="65">
        <x:f>IF(K330-L330&gt;0,K330-L330,0)</x:f>
      </x:c>
      <x:c r="N330" s="3">
        <x:f>G330*0.00759</x:f>
      </x:c>
      <x:c r="O330" s="3">
        <x:f>IF(G330*0.00759&gt;G330,197.38,G330*0.00759)</x:f>
      </x:c>
      <x:c r="P330" s="3">
        <x:f>IF(N330-O330&gt;0,N330-O330,0)</x:f>
      </x:c>
      <x:c r="Q330" s="65">
        <x:f>+H330</x:f>
      </x:c>
      <x:c r="R330" s="65">
        <x:v>0</x:v>
      </x:c>
      <x:c r="S330" s="3">
        <x:f>R330+Q330</x:f>
      </x:c>
      <x:c r="T330" s="3">
        <x:f>I330-S330</x:f>
      </x:c>
      <x:c r="U330" s="255"/>
    </x:row>
    <x:row r="331" spans="1:21" ht="21" customHeight="1" x14ac:dyDescent="0.2">
      <x:c r="A331" s="253">
        <x:f>+'Banka Lis.'!B330</x:f>
      </x:c>
      <x:c r="B331" s="253">
        <x:f>+Puantaj!C331</x:f>
      </x:c>
      <x:c r="C331" s="4">
        <x:f>+Puantaj!D331</x:f>
      </x:c>
      <x:c r="D331" s="4">
        <x:f>+Puantaj!E331</x:f>
      </x:c>
      <x:c r="E331" s="4">
        <x:f>+'Banka Lis.'!H330</x:f>
      </x:c>
      <x:c r="F331" s="254">
        <x:f>+Puantaj!AK331</x:f>
      </x:c>
      <x:c r="G331" s="33">
        <x:f>F331*1083</x:f>
      </x:c>
      <x:c r="H331" s="62">
        <x:f>G331*0.055</x:f>
      </x:c>
      <x:c r="I331" s="3">
        <x:f>G331+H331</x:f>
      </x:c>
      <x:c r="J331" s="3">
        <x:f>+G331</x:f>
      </x:c>
      <x:c r="K331" s="3">
        <x:f>J331*0.15</x:f>
      </x:c>
      <x:c r="L331" s="3">
        <x:f>IF(J331*0.15&gt;K331,K331,J331*0.15)</x:f>
      </x:c>
      <x:c r="M331" s="65">
        <x:f>IF(K331-L331&gt;0,K331-L331,0)</x:f>
      </x:c>
      <x:c r="N331" s="3">
        <x:f>G331*0.00759</x:f>
      </x:c>
      <x:c r="O331" s="3">
        <x:f>IF(G331*0.00759&gt;G331,197.38,G331*0.00759)</x:f>
      </x:c>
      <x:c r="P331" s="3">
        <x:f>IF(N331-O331&gt;0,N331-O331,0)</x:f>
      </x:c>
      <x:c r="Q331" s="65">
        <x:f>+H331</x:f>
      </x:c>
      <x:c r="R331" s="65">
        <x:v>0</x:v>
      </x:c>
      <x:c r="S331" s="3">
        <x:f>R331+Q331</x:f>
      </x:c>
      <x:c r="T331" s="3">
        <x:f>I331-S331</x:f>
      </x:c>
      <x:c r="U331" s="255"/>
    </x:row>
    <x:row r="332" spans="1:21" ht="21" customHeight="1" x14ac:dyDescent="0.2">
      <x:c r="A332" s="253">
        <x:f>+'Banka Lis.'!B331</x:f>
      </x:c>
      <x:c r="B332" s="253">
        <x:f>+Puantaj!C332</x:f>
      </x:c>
      <x:c r="C332" s="4">
        <x:f>+Puantaj!D332</x:f>
      </x:c>
      <x:c r="D332" s="4">
        <x:f>+Puantaj!E332</x:f>
      </x:c>
      <x:c r="E332" s="4">
        <x:f>+'Banka Lis.'!H331</x:f>
      </x:c>
      <x:c r="F332" s="254">
        <x:f>+Puantaj!AK332</x:f>
      </x:c>
      <x:c r="G332" s="33">
        <x:f>F332*1083</x:f>
      </x:c>
      <x:c r="H332" s="62">
        <x:f>G332*0.055</x:f>
      </x:c>
      <x:c r="I332" s="3">
        <x:f>G332+H332</x:f>
      </x:c>
      <x:c r="J332" s="3">
        <x:f>+G332</x:f>
      </x:c>
      <x:c r="K332" s="3">
        <x:f>J332*0.15</x:f>
      </x:c>
      <x:c r="L332" s="3">
        <x:f>IF(J332*0.15&gt;K332,K332,J332*0.15)</x:f>
      </x:c>
      <x:c r="M332" s="65">
        <x:f>IF(K332-L332&gt;0,K332-L332,0)</x:f>
      </x:c>
      <x:c r="N332" s="3">
        <x:f>G332*0.00759</x:f>
      </x:c>
      <x:c r="O332" s="3">
        <x:f>IF(G332*0.00759&gt;G332,197.38,G332*0.00759)</x:f>
      </x:c>
      <x:c r="P332" s="3">
        <x:f>IF(N332-O332&gt;0,N332-O332,0)</x:f>
      </x:c>
      <x:c r="Q332" s="65">
        <x:f>+H332</x:f>
      </x:c>
      <x:c r="R332" s="65">
        <x:v>0</x:v>
      </x:c>
      <x:c r="S332" s="3">
        <x:f>R332+Q332</x:f>
      </x:c>
      <x:c r="T332" s="3">
        <x:f>I332-S332</x:f>
      </x:c>
      <x:c r="U332" s="255"/>
    </x:row>
    <x:row r="333" spans="1:21" ht="21" customHeight="1" x14ac:dyDescent="0.2">
      <x:c r="A333" s="253">
        <x:f>+'Banka Lis.'!B332</x:f>
      </x:c>
      <x:c r="B333" s="253">
        <x:f>+Puantaj!C333</x:f>
      </x:c>
      <x:c r="C333" s="4">
        <x:f>+Puantaj!D333</x:f>
      </x:c>
      <x:c r="D333" s="4">
        <x:f>+Puantaj!E333</x:f>
      </x:c>
      <x:c r="E333" s="4">
        <x:f>+'Banka Lis.'!H332</x:f>
      </x:c>
      <x:c r="F333" s="254">
        <x:f>+Puantaj!AK333</x:f>
      </x:c>
      <x:c r="G333" s="33">
        <x:f>F333*1083</x:f>
      </x:c>
      <x:c r="H333" s="62">
        <x:f>G333*0.055</x:f>
      </x:c>
      <x:c r="I333" s="3">
        <x:f>G333+H333</x:f>
      </x:c>
      <x:c r="J333" s="3">
        <x:f>+G333</x:f>
      </x:c>
      <x:c r="K333" s="3">
        <x:f>J333*0.15</x:f>
      </x:c>
      <x:c r="L333" s="3">
        <x:f>IF(J333*0.15&gt;K333,K333,J333*0.15)</x:f>
      </x:c>
      <x:c r="M333" s="65">
        <x:f>IF(K333-L333&gt;0,K333-L333,0)</x:f>
      </x:c>
      <x:c r="N333" s="3">
        <x:f>G333*0.00759</x:f>
      </x:c>
      <x:c r="O333" s="3">
        <x:f>IF(G333*0.00759&gt;G333,197.38,G333*0.00759)</x:f>
      </x:c>
      <x:c r="P333" s="3">
        <x:f>IF(N333-O333&gt;0,N333-O333,0)</x:f>
      </x:c>
      <x:c r="Q333" s="65">
        <x:f>+H333</x:f>
      </x:c>
      <x:c r="R333" s="65">
        <x:v>0</x:v>
      </x:c>
      <x:c r="S333" s="3">
        <x:f>R333+Q333</x:f>
      </x:c>
      <x:c r="T333" s="3">
        <x:f>I333-S333</x:f>
      </x:c>
      <x:c r="U333" s="255"/>
    </x:row>
    <x:row r="334" spans="1:21" ht="21" customHeight="1" x14ac:dyDescent="0.2">
      <x:c r="A334" s="253">
        <x:f>+'Banka Lis.'!B333</x:f>
      </x:c>
      <x:c r="B334" s="253">
        <x:f>+Puantaj!C334</x:f>
      </x:c>
      <x:c r="C334" s="4">
        <x:f>+Puantaj!D334</x:f>
      </x:c>
      <x:c r="D334" s="4">
        <x:f>+Puantaj!E334</x:f>
      </x:c>
      <x:c r="E334" s="4">
        <x:f>+'Banka Lis.'!H333</x:f>
      </x:c>
      <x:c r="F334" s="254">
        <x:f>+Puantaj!AK334</x:f>
      </x:c>
      <x:c r="G334" s="33">
        <x:f>F334*1083</x:f>
      </x:c>
      <x:c r="H334" s="62">
        <x:f>G334*0.055</x:f>
      </x:c>
      <x:c r="I334" s="3">
        <x:f>G334+H334</x:f>
      </x:c>
      <x:c r="J334" s="3">
        <x:f>+G334</x:f>
      </x:c>
      <x:c r="K334" s="3">
        <x:f>J334*0.15</x:f>
      </x:c>
      <x:c r="L334" s="3">
        <x:f>IF(J334*0.15&gt;K334,K334,J334*0.15)</x:f>
      </x:c>
      <x:c r="M334" s="65">
        <x:f>IF(K334-L334&gt;0,K334-L334,0)</x:f>
      </x:c>
      <x:c r="N334" s="3">
        <x:f>G334*0.00759</x:f>
      </x:c>
      <x:c r="O334" s="3">
        <x:f>IF(G334*0.00759&gt;G334,197.38,G334*0.00759)</x:f>
      </x:c>
      <x:c r="P334" s="3">
        <x:f>IF(N334-O334&gt;0,N334-O334,0)</x:f>
      </x:c>
      <x:c r="Q334" s="65">
        <x:f>+H334</x:f>
      </x:c>
      <x:c r="R334" s="65">
        <x:v>0</x:v>
      </x:c>
      <x:c r="S334" s="3">
        <x:f>R334+Q334</x:f>
      </x:c>
      <x:c r="T334" s="3">
        <x:f>I334-S334</x:f>
      </x:c>
      <x:c r="U334" s="255"/>
    </x:row>
    <x:row r="335" spans="1:21" ht="21" customHeight="1" x14ac:dyDescent="0.2">
      <x:c r="A335" s="253">
        <x:f>+'Banka Lis.'!B334</x:f>
      </x:c>
      <x:c r="B335" s="253">
        <x:f>+Puantaj!C335</x:f>
      </x:c>
      <x:c r="C335" s="4">
        <x:f>+Puantaj!D335</x:f>
      </x:c>
      <x:c r="D335" s="4">
        <x:f>+Puantaj!E335</x:f>
      </x:c>
      <x:c r="E335" s="4">
        <x:f>+'Banka Lis.'!H334</x:f>
      </x:c>
      <x:c r="F335" s="254">
        <x:f>+Puantaj!AK335</x:f>
      </x:c>
      <x:c r="G335" s="33">
        <x:f>F335*1083</x:f>
      </x:c>
      <x:c r="H335" s="62">
        <x:f>G335*0.055</x:f>
      </x:c>
      <x:c r="I335" s="3">
        <x:f>G335+H335</x:f>
      </x:c>
      <x:c r="J335" s="3">
        <x:f>+G335</x:f>
      </x:c>
      <x:c r="K335" s="3">
        <x:f>J335*0.15</x:f>
      </x:c>
      <x:c r="L335" s="3">
        <x:f>IF(J335*0.15&gt;K335,K335,J335*0.15)</x:f>
      </x:c>
      <x:c r="M335" s="65">
        <x:f>IF(K335-L335&gt;0,K335-L335,0)</x:f>
      </x:c>
      <x:c r="N335" s="3">
        <x:f>G335*0.00759</x:f>
      </x:c>
      <x:c r="O335" s="3">
        <x:f>IF(G335*0.00759&gt;G335,197.38,G335*0.00759)</x:f>
      </x:c>
      <x:c r="P335" s="3">
        <x:f>IF(N335-O335&gt;0,N335-O335,0)</x:f>
      </x:c>
      <x:c r="Q335" s="65">
        <x:f>+H335</x:f>
      </x:c>
      <x:c r="R335" s="65">
        <x:v>0</x:v>
      </x:c>
      <x:c r="S335" s="3">
        <x:f>R335+Q335</x:f>
      </x:c>
      <x:c r="T335" s="3">
        <x:f>I335-S335</x:f>
      </x:c>
      <x:c r="U335" s="255"/>
    </x:row>
    <x:row r="336" spans="1:21" ht="21" customHeight="1" x14ac:dyDescent="0.2">
      <x:c r="A336" s="253">
        <x:f>+'Banka Lis.'!B335</x:f>
      </x:c>
      <x:c r="B336" s="253">
        <x:f>+Puantaj!C336</x:f>
      </x:c>
      <x:c r="C336" s="4">
        <x:f>+Puantaj!D336</x:f>
      </x:c>
      <x:c r="D336" s="4">
        <x:f>+Puantaj!E336</x:f>
      </x:c>
      <x:c r="E336" s="4">
        <x:f>+'Banka Lis.'!H335</x:f>
      </x:c>
      <x:c r="F336" s="254">
        <x:f>+Puantaj!AK336</x:f>
      </x:c>
      <x:c r="G336" s="33">
        <x:f>F336*1083</x:f>
      </x:c>
      <x:c r="H336" s="62">
        <x:f>G336*0.055</x:f>
      </x:c>
      <x:c r="I336" s="3">
        <x:f>G336+H336</x:f>
      </x:c>
      <x:c r="J336" s="3">
        <x:f>+G336</x:f>
      </x:c>
      <x:c r="K336" s="3">
        <x:f>J336*0.15</x:f>
      </x:c>
      <x:c r="L336" s="3">
        <x:f>IF(J336*0.15&gt;K336,K336,J336*0.15)</x:f>
      </x:c>
      <x:c r="M336" s="65">
        <x:f>IF(K336-L336&gt;0,K336-L336,0)</x:f>
      </x:c>
      <x:c r="N336" s="3">
        <x:f>G336*0.00759</x:f>
      </x:c>
      <x:c r="O336" s="3">
        <x:f>IF(G336*0.00759&gt;G336,197.38,G336*0.00759)</x:f>
      </x:c>
      <x:c r="P336" s="3">
        <x:f>IF(N336-O336&gt;0,N336-O336,0)</x:f>
      </x:c>
      <x:c r="Q336" s="65">
        <x:f>+H336</x:f>
      </x:c>
      <x:c r="R336" s="65">
        <x:v>0</x:v>
      </x:c>
      <x:c r="S336" s="3">
        <x:f>R336+Q336</x:f>
      </x:c>
      <x:c r="T336" s="3">
        <x:f>I336-S336</x:f>
      </x:c>
      <x:c r="U336" s="255"/>
    </x:row>
    <x:row r="337" spans="1:21" ht="21" customHeight="1" x14ac:dyDescent="0.2">
      <x:c r="A337" s="253">
        <x:f>+'Banka Lis.'!B336</x:f>
      </x:c>
      <x:c r="B337" s="253">
        <x:f>+Puantaj!C337</x:f>
      </x:c>
      <x:c r="C337" s="4">
        <x:f>+Puantaj!D337</x:f>
      </x:c>
      <x:c r="D337" s="4">
        <x:f>+Puantaj!E337</x:f>
      </x:c>
      <x:c r="E337" s="4">
        <x:f>+'Banka Lis.'!H336</x:f>
      </x:c>
      <x:c r="F337" s="254">
        <x:f>+Puantaj!AK337</x:f>
      </x:c>
      <x:c r="G337" s="33">
        <x:f>F337*1083</x:f>
      </x:c>
      <x:c r="H337" s="62">
        <x:f>G337*0.055</x:f>
      </x:c>
      <x:c r="I337" s="3">
        <x:f>G337+H337</x:f>
      </x:c>
      <x:c r="J337" s="3">
        <x:f>+G337</x:f>
      </x:c>
      <x:c r="K337" s="3">
        <x:f>J337*0.15</x:f>
      </x:c>
      <x:c r="L337" s="3">
        <x:f>IF(J337*0.15&gt;K337,K337,J337*0.15)</x:f>
      </x:c>
      <x:c r="M337" s="65">
        <x:f>IF(K337-L337&gt;0,K337-L337,0)</x:f>
      </x:c>
      <x:c r="N337" s="3">
        <x:f>G337*0.00759</x:f>
      </x:c>
      <x:c r="O337" s="3">
        <x:f>IF(G337*0.00759&gt;G337,197.38,G337*0.00759)</x:f>
      </x:c>
      <x:c r="P337" s="3">
        <x:f>IF(N337-O337&gt;0,N337-O337,0)</x:f>
      </x:c>
      <x:c r="Q337" s="65">
        <x:f>+H337</x:f>
      </x:c>
      <x:c r="R337" s="65">
        <x:v>0</x:v>
      </x:c>
      <x:c r="S337" s="3">
        <x:f>R337+Q337</x:f>
      </x:c>
      <x:c r="T337" s="3">
        <x:f>I337-S337</x:f>
      </x:c>
      <x:c r="U337" s="255"/>
    </x:row>
    <x:row r="338" spans="1:21" ht="21" customHeight="1" x14ac:dyDescent="0.2">
      <x:c r="A338" s="253">
        <x:f>+'Banka Lis.'!B337</x:f>
      </x:c>
      <x:c r="B338" s="253">
        <x:f>+Puantaj!C338</x:f>
      </x:c>
      <x:c r="C338" s="4">
        <x:f>+Puantaj!D338</x:f>
      </x:c>
      <x:c r="D338" s="4">
        <x:f>+Puantaj!E338</x:f>
      </x:c>
      <x:c r="E338" s="4">
        <x:f>+'Banka Lis.'!H337</x:f>
      </x:c>
      <x:c r="F338" s="254">
        <x:f>+Puantaj!AK338</x:f>
      </x:c>
      <x:c r="G338" s="33">
        <x:f>F338*1083</x:f>
      </x:c>
      <x:c r="H338" s="62">
        <x:f>G338*0.055</x:f>
      </x:c>
      <x:c r="I338" s="3">
        <x:f>G338+H338</x:f>
      </x:c>
      <x:c r="J338" s="3">
        <x:f>+G338</x:f>
      </x:c>
      <x:c r="K338" s="3">
        <x:f>J338*0.15</x:f>
      </x:c>
      <x:c r="L338" s="3">
        <x:f>IF(J338*0.15&gt;K338,K338,J338*0.15)</x:f>
      </x:c>
      <x:c r="M338" s="65">
        <x:f>IF(K338-L338&gt;0,K338-L338,0)</x:f>
      </x:c>
      <x:c r="N338" s="3">
        <x:f>G338*0.00759</x:f>
      </x:c>
      <x:c r="O338" s="3">
        <x:f>IF(G338*0.00759&gt;G338,197.38,G338*0.00759)</x:f>
      </x:c>
      <x:c r="P338" s="3">
        <x:f>IF(N338-O338&gt;0,N338-O338,0)</x:f>
      </x:c>
      <x:c r="Q338" s="65">
        <x:f>+H338</x:f>
      </x:c>
      <x:c r="R338" s="65">
        <x:v>0</x:v>
      </x:c>
      <x:c r="S338" s="3">
        <x:f>R338+Q338</x:f>
      </x:c>
      <x:c r="T338" s="3">
        <x:f>I338-S338</x:f>
      </x:c>
      <x:c r="U338" s="255"/>
    </x:row>
    <x:row r="339" spans="1:21" ht="21" customHeight="1" x14ac:dyDescent="0.2">
      <x:c r="A339" s="253">
        <x:f>+'Banka Lis.'!B338</x:f>
      </x:c>
      <x:c r="B339" s="253">
        <x:f>+Puantaj!C339</x:f>
      </x:c>
      <x:c r="C339" s="4">
        <x:f>+Puantaj!D339</x:f>
      </x:c>
      <x:c r="D339" s="4">
        <x:f>+Puantaj!E339</x:f>
      </x:c>
      <x:c r="E339" s="4">
        <x:f>+'Banka Lis.'!H338</x:f>
      </x:c>
      <x:c r="F339" s="254">
        <x:f>+Puantaj!AK339</x:f>
      </x:c>
      <x:c r="G339" s="33">
        <x:f>F339*1083</x:f>
      </x:c>
      <x:c r="H339" s="62">
        <x:f>G339*0.055</x:f>
      </x:c>
      <x:c r="I339" s="3">
        <x:f>G339+H339</x:f>
      </x:c>
      <x:c r="J339" s="3">
        <x:f>+G339</x:f>
      </x:c>
      <x:c r="K339" s="3">
        <x:f>J339*0.15</x:f>
      </x:c>
      <x:c r="L339" s="3">
        <x:f>IF(J339*0.15&gt;K339,K339,J339*0.15)</x:f>
      </x:c>
      <x:c r="M339" s="65">
        <x:f>IF(K339-L339&gt;0,K339-L339,0)</x:f>
      </x:c>
      <x:c r="N339" s="3">
        <x:f>G339*0.00759</x:f>
      </x:c>
      <x:c r="O339" s="3">
        <x:f>IF(G339*0.00759&gt;G339,197.38,G339*0.00759)</x:f>
      </x:c>
      <x:c r="P339" s="3">
        <x:f>IF(N339-O339&gt;0,N339-O339,0)</x:f>
      </x:c>
      <x:c r="Q339" s="65">
        <x:f>+H339</x:f>
      </x:c>
      <x:c r="R339" s="65">
        <x:v>0</x:v>
      </x:c>
      <x:c r="S339" s="3">
        <x:f>R339+Q339</x:f>
      </x:c>
      <x:c r="T339" s="3">
        <x:f>I339-S339</x:f>
      </x:c>
      <x:c r="U339" s="255"/>
    </x:row>
    <x:row r="340" spans="1:21" ht="21" customHeight="1" x14ac:dyDescent="0.2">
      <x:c r="A340" s="253">
        <x:f>+'Banka Lis.'!B339</x:f>
      </x:c>
      <x:c r="B340" s="253">
        <x:f>+Puantaj!C340</x:f>
      </x:c>
      <x:c r="C340" s="4">
        <x:f>+Puantaj!D340</x:f>
      </x:c>
      <x:c r="D340" s="4">
        <x:f>+Puantaj!E340</x:f>
      </x:c>
      <x:c r="E340" s="4">
        <x:f>+'Banka Lis.'!H339</x:f>
      </x:c>
      <x:c r="F340" s="254">
        <x:f>+Puantaj!AK340</x:f>
      </x:c>
      <x:c r="G340" s="33">
        <x:f>F340*1083</x:f>
      </x:c>
      <x:c r="H340" s="62">
        <x:f>G340*0.055</x:f>
      </x:c>
      <x:c r="I340" s="3">
        <x:f>G340+H340</x:f>
      </x:c>
      <x:c r="J340" s="3">
        <x:f>+G340</x:f>
      </x:c>
      <x:c r="K340" s="3">
        <x:f>J340*0.15</x:f>
      </x:c>
      <x:c r="L340" s="3">
        <x:f>IF(J340*0.15&gt;K340,K340,J340*0.15)</x:f>
      </x:c>
      <x:c r="M340" s="65">
        <x:f>IF(K340-L340&gt;0,K340-L340,0)</x:f>
      </x:c>
      <x:c r="N340" s="3">
        <x:f>G340*0.00759</x:f>
      </x:c>
      <x:c r="O340" s="3">
        <x:f>IF(G340*0.00759&gt;G340,197.38,G340*0.00759)</x:f>
      </x:c>
      <x:c r="P340" s="3">
        <x:f>IF(N340-O340&gt;0,N340-O340,0)</x:f>
      </x:c>
      <x:c r="Q340" s="65">
        <x:f>+H340</x:f>
      </x:c>
      <x:c r="R340" s="65">
        <x:v>0</x:v>
      </x:c>
      <x:c r="S340" s="3">
        <x:f>R340+Q340</x:f>
      </x:c>
      <x:c r="T340" s="3">
        <x:f>I340-S340</x:f>
      </x:c>
      <x:c r="U340" s="255"/>
    </x:row>
    <x:row r="341" spans="1:21" ht="21" customHeight="1" x14ac:dyDescent="0.2">
      <x:c r="A341" s="253">
        <x:f>+'Banka Lis.'!B340</x:f>
      </x:c>
      <x:c r="B341" s="253">
        <x:f>+Puantaj!C341</x:f>
      </x:c>
      <x:c r="C341" s="4">
        <x:f>+Puantaj!D341</x:f>
      </x:c>
      <x:c r="D341" s="4">
        <x:f>+Puantaj!E341</x:f>
      </x:c>
      <x:c r="E341" s="4">
        <x:f>+'Banka Lis.'!H340</x:f>
      </x:c>
      <x:c r="F341" s="254">
        <x:f>+Puantaj!AK341</x:f>
      </x:c>
      <x:c r="G341" s="33">
        <x:f>F341*1083</x:f>
      </x:c>
      <x:c r="H341" s="62">
        <x:f>G341*0.055</x:f>
      </x:c>
      <x:c r="I341" s="3">
        <x:f>G341+H341</x:f>
      </x:c>
      <x:c r="J341" s="3">
        <x:f>+G341</x:f>
      </x:c>
      <x:c r="K341" s="3">
        <x:f>J341*0.15</x:f>
      </x:c>
      <x:c r="L341" s="3">
        <x:f>IF(J341*0.15&gt;K341,K341,J341*0.15)</x:f>
      </x:c>
      <x:c r="M341" s="65">
        <x:f>IF(K341-L341&gt;0,K341-L341,0)</x:f>
      </x:c>
      <x:c r="N341" s="3">
        <x:f>G341*0.00759</x:f>
      </x:c>
      <x:c r="O341" s="3">
        <x:f>IF(G341*0.00759&gt;G341,197.38,G341*0.00759)</x:f>
      </x:c>
      <x:c r="P341" s="3">
        <x:f>IF(N341-O341&gt;0,N341-O341,0)</x:f>
      </x:c>
      <x:c r="Q341" s="65">
        <x:f>+H341</x:f>
      </x:c>
      <x:c r="R341" s="65">
        <x:v>0</x:v>
      </x:c>
      <x:c r="S341" s="3">
        <x:f>R341+Q341</x:f>
      </x:c>
      <x:c r="T341" s="3">
        <x:f>I341-S341</x:f>
      </x:c>
      <x:c r="U341" s="255"/>
    </x:row>
    <x:row r="342" spans="1:21" ht="21" customHeight="1" x14ac:dyDescent="0.2">
      <x:c r="A342" s="253">
        <x:f>+'Banka Lis.'!B341</x:f>
      </x:c>
      <x:c r="B342" s="253">
        <x:f>+Puantaj!C342</x:f>
      </x:c>
      <x:c r="C342" s="4">
        <x:f>+Puantaj!D342</x:f>
      </x:c>
      <x:c r="D342" s="4">
        <x:f>+Puantaj!E342</x:f>
      </x:c>
      <x:c r="E342" s="4">
        <x:f>+'Banka Lis.'!H341</x:f>
      </x:c>
      <x:c r="F342" s="254">
        <x:f>+Puantaj!AK342</x:f>
      </x:c>
      <x:c r="G342" s="33">
        <x:f>F342*1083</x:f>
      </x:c>
      <x:c r="H342" s="62">
        <x:f>G342*0.055</x:f>
      </x:c>
      <x:c r="I342" s="3">
        <x:f>G342+H342</x:f>
      </x:c>
      <x:c r="J342" s="3">
        <x:f>+G342</x:f>
      </x:c>
      <x:c r="K342" s="3">
        <x:f>J342*0.15</x:f>
      </x:c>
      <x:c r="L342" s="3">
        <x:f>IF(J342*0.15&gt;K342,K342,J342*0.15)</x:f>
      </x:c>
      <x:c r="M342" s="65">
        <x:f>IF(K342-L342&gt;0,K342-L342,0)</x:f>
      </x:c>
      <x:c r="N342" s="3">
        <x:f>G342*0.00759</x:f>
      </x:c>
      <x:c r="O342" s="3">
        <x:f>IF(G342*0.00759&gt;G342,197.38,G342*0.00759)</x:f>
      </x:c>
      <x:c r="P342" s="3">
        <x:f>IF(N342-O342&gt;0,N342-O342,0)</x:f>
      </x:c>
      <x:c r="Q342" s="65">
        <x:f>+H342</x:f>
      </x:c>
      <x:c r="R342" s="65">
        <x:v>0</x:v>
      </x:c>
      <x:c r="S342" s="3">
        <x:f>R342+Q342</x:f>
      </x:c>
      <x:c r="T342" s="3">
        <x:f>I342-S342</x:f>
      </x:c>
      <x:c r="U342" s="255"/>
    </x:row>
    <x:row r="343" spans="1:21" ht="21" customHeight="1" x14ac:dyDescent="0.2">
      <x:c r="A343" s="253">
        <x:f>+'Banka Lis.'!B342</x:f>
      </x:c>
      <x:c r="B343" s="253">
        <x:f>+Puantaj!C343</x:f>
      </x:c>
      <x:c r="C343" s="4">
        <x:f>+Puantaj!D343</x:f>
      </x:c>
      <x:c r="D343" s="4">
        <x:f>+Puantaj!E343</x:f>
      </x:c>
      <x:c r="E343" s="4">
        <x:f>+'Banka Lis.'!H342</x:f>
      </x:c>
      <x:c r="F343" s="254">
        <x:f>+Puantaj!AK343</x:f>
      </x:c>
      <x:c r="G343" s="33">
        <x:f>F343*1083</x:f>
      </x:c>
      <x:c r="H343" s="62">
        <x:f>G343*0.055</x:f>
      </x:c>
      <x:c r="I343" s="3">
        <x:f>G343+H343</x:f>
      </x:c>
      <x:c r="J343" s="3">
        <x:f>+G343</x:f>
      </x:c>
      <x:c r="K343" s="3">
        <x:f>J343*0.15</x:f>
      </x:c>
      <x:c r="L343" s="3">
        <x:f>IF(J343*0.15&gt;K343,K343,J343*0.15)</x:f>
      </x:c>
      <x:c r="M343" s="65">
        <x:f>IF(K343-L343&gt;0,K343-L343,0)</x:f>
      </x:c>
      <x:c r="N343" s="3">
        <x:f>G343*0.00759</x:f>
      </x:c>
      <x:c r="O343" s="3">
        <x:f>IF(G343*0.00759&gt;G343,197.38,G343*0.00759)</x:f>
      </x:c>
      <x:c r="P343" s="3">
        <x:f>IF(N343-O343&gt;0,N343-O343,0)</x:f>
      </x:c>
      <x:c r="Q343" s="65">
        <x:f>+H343</x:f>
      </x:c>
      <x:c r="R343" s="65">
        <x:v>0</x:v>
      </x:c>
      <x:c r="S343" s="3">
        <x:f>R343+Q343</x:f>
      </x:c>
      <x:c r="T343" s="3">
        <x:f>I343-S343</x:f>
      </x:c>
      <x:c r="U343" s="255"/>
    </x:row>
    <x:row r="344" spans="1:21" ht="21" customHeight="1" x14ac:dyDescent="0.2">
      <x:c r="A344" s="253">
        <x:f>+'Banka Lis.'!B343</x:f>
      </x:c>
      <x:c r="B344" s="253">
        <x:f>+Puantaj!C344</x:f>
      </x:c>
      <x:c r="C344" s="4">
        <x:f>+Puantaj!D344</x:f>
      </x:c>
      <x:c r="D344" s="4">
        <x:f>+Puantaj!E344</x:f>
      </x:c>
      <x:c r="E344" s="4">
        <x:f>+'Banka Lis.'!H343</x:f>
      </x:c>
      <x:c r="F344" s="254">
        <x:f>+Puantaj!AK344</x:f>
      </x:c>
      <x:c r="G344" s="33">
        <x:f>F344*1083</x:f>
      </x:c>
      <x:c r="H344" s="62">
        <x:f>G344*0.055</x:f>
      </x:c>
      <x:c r="I344" s="3">
        <x:f>G344+H344</x:f>
      </x:c>
      <x:c r="J344" s="3">
        <x:f>+G344</x:f>
      </x:c>
      <x:c r="K344" s="3">
        <x:f>J344*0.15</x:f>
      </x:c>
      <x:c r="L344" s="3">
        <x:f>IF(J344*0.15&gt;K344,K344,J344*0.15)</x:f>
      </x:c>
      <x:c r="M344" s="65">
        <x:f>IF(K344-L344&gt;0,K344-L344,0)</x:f>
      </x:c>
      <x:c r="N344" s="3">
        <x:f>G344*0.00759</x:f>
      </x:c>
      <x:c r="O344" s="3">
        <x:f>IF(G344*0.00759&gt;G344,197.38,G344*0.00759)</x:f>
      </x:c>
      <x:c r="P344" s="3">
        <x:f>IF(N344-O344&gt;0,N344-O344,0)</x:f>
      </x:c>
      <x:c r="Q344" s="65">
        <x:f>+H344</x:f>
      </x:c>
      <x:c r="R344" s="65">
        <x:v>0</x:v>
      </x:c>
      <x:c r="S344" s="3">
        <x:f>R344+Q344</x:f>
      </x:c>
      <x:c r="T344" s="3">
        <x:f>I344-S344</x:f>
      </x:c>
      <x:c r="U344" s="255"/>
    </x:row>
    <x:row r="345" spans="1:21" ht="21" customHeight="1" x14ac:dyDescent="0.2">
      <x:c r="A345" s="253">
        <x:f>+'Banka Lis.'!B344</x:f>
      </x:c>
      <x:c r="B345" s="253">
        <x:f>+Puantaj!C345</x:f>
      </x:c>
      <x:c r="C345" s="4">
        <x:f>+Puantaj!D345</x:f>
      </x:c>
      <x:c r="D345" s="4">
        <x:f>+Puantaj!E345</x:f>
      </x:c>
      <x:c r="E345" s="4">
        <x:f>+'Banka Lis.'!H344</x:f>
      </x:c>
      <x:c r="F345" s="254">
        <x:f>+Puantaj!AK345</x:f>
      </x:c>
      <x:c r="G345" s="33">
        <x:f>F345*1083</x:f>
      </x:c>
      <x:c r="H345" s="62">
        <x:f>G345*0.055</x:f>
      </x:c>
      <x:c r="I345" s="3">
        <x:f>G345+H345</x:f>
      </x:c>
      <x:c r="J345" s="3">
        <x:f>+G345</x:f>
      </x:c>
      <x:c r="K345" s="3">
        <x:f>J345*0.15</x:f>
      </x:c>
      <x:c r="L345" s="3">
        <x:f>IF(J345*0.15&gt;K345,K345,J345*0.15)</x:f>
      </x:c>
      <x:c r="M345" s="65">
        <x:f>IF(K345-L345&gt;0,K345-L345,0)</x:f>
      </x:c>
      <x:c r="N345" s="3">
        <x:f>G345*0.00759</x:f>
      </x:c>
      <x:c r="O345" s="3">
        <x:f>IF(G345*0.00759&gt;G345,197.38,G345*0.00759)</x:f>
      </x:c>
      <x:c r="P345" s="3">
        <x:f>IF(N345-O345&gt;0,N345-O345,0)</x:f>
      </x:c>
      <x:c r="Q345" s="65">
        <x:f>+H345</x:f>
      </x:c>
      <x:c r="R345" s="65">
        <x:v>0</x:v>
      </x:c>
      <x:c r="S345" s="3">
        <x:f>R345+Q345</x:f>
      </x:c>
      <x:c r="T345" s="3">
        <x:f>I345-S345</x:f>
      </x:c>
      <x:c r="U345" s="255"/>
    </x:row>
    <x:row r="346" spans="1:21" ht="21" customHeight="1" x14ac:dyDescent="0.2">
      <x:c r="A346" s="253">
        <x:f>+'Banka Lis.'!B345</x:f>
      </x:c>
      <x:c r="B346" s="253">
        <x:f>+Puantaj!C346</x:f>
      </x:c>
      <x:c r="C346" s="4">
        <x:f>+Puantaj!D346</x:f>
      </x:c>
      <x:c r="D346" s="4">
        <x:f>+Puantaj!E346</x:f>
      </x:c>
      <x:c r="E346" s="4">
        <x:f>+'Banka Lis.'!H345</x:f>
      </x:c>
      <x:c r="F346" s="254">
        <x:f>+Puantaj!AK346</x:f>
      </x:c>
      <x:c r="G346" s="33">
        <x:f>F346*1083</x:f>
      </x:c>
      <x:c r="H346" s="62">
        <x:f>G346*0.055</x:f>
      </x:c>
      <x:c r="I346" s="3">
        <x:f>G346+H346</x:f>
      </x:c>
      <x:c r="J346" s="3">
        <x:f>+G346</x:f>
      </x:c>
      <x:c r="K346" s="3">
        <x:f>J346*0.15</x:f>
      </x:c>
      <x:c r="L346" s="3">
        <x:f>IF(J346*0.15&gt;K346,K346,J346*0.15)</x:f>
      </x:c>
      <x:c r="M346" s="65">
        <x:f>IF(K346-L346&gt;0,K346-L346,0)</x:f>
      </x:c>
      <x:c r="N346" s="3">
        <x:f>G346*0.00759</x:f>
      </x:c>
      <x:c r="O346" s="3">
        <x:f>IF(G346*0.00759&gt;G346,197.38,G346*0.00759)</x:f>
      </x:c>
      <x:c r="P346" s="3">
        <x:f>IF(N346-O346&gt;0,N346-O346,0)</x:f>
      </x:c>
      <x:c r="Q346" s="65">
        <x:f>+H346</x:f>
      </x:c>
      <x:c r="R346" s="65">
        <x:v>0</x:v>
      </x:c>
      <x:c r="S346" s="3">
        <x:f>R346+Q346</x:f>
      </x:c>
      <x:c r="T346" s="3">
        <x:f>I346-S346</x:f>
      </x:c>
      <x:c r="U346" s="255"/>
    </x:row>
    <x:row r="347" spans="1:21" ht="21" customHeight="1" x14ac:dyDescent="0.2">
      <x:c r="A347" s="253">
        <x:f>+'Banka Lis.'!B346</x:f>
      </x:c>
      <x:c r="B347" s="253">
        <x:f>+Puantaj!C347</x:f>
      </x:c>
      <x:c r="C347" s="4">
        <x:f>+Puantaj!D347</x:f>
      </x:c>
      <x:c r="D347" s="4">
        <x:f>+Puantaj!E347</x:f>
      </x:c>
      <x:c r="E347" s="4">
        <x:f>+'Banka Lis.'!H346</x:f>
      </x:c>
      <x:c r="F347" s="254">
        <x:f>+Puantaj!AK347</x:f>
      </x:c>
      <x:c r="G347" s="33">
        <x:f>F347*1083</x:f>
      </x:c>
      <x:c r="H347" s="62">
        <x:f>G347*0.055</x:f>
      </x:c>
      <x:c r="I347" s="3">
        <x:f>G347+H347</x:f>
      </x:c>
      <x:c r="J347" s="3">
        <x:f>+G347</x:f>
      </x:c>
      <x:c r="K347" s="3">
        <x:f>J347*0.15</x:f>
      </x:c>
      <x:c r="L347" s="3">
        <x:f>IF(J347*0.15&gt;K347,K347,J347*0.15)</x:f>
      </x:c>
      <x:c r="M347" s="65">
        <x:f>IF(K347-L347&gt;0,K347-L347,0)</x:f>
      </x:c>
      <x:c r="N347" s="3">
        <x:f>G347*0.00759</x:f>
      </x:c>
      <x:c r="O347" s="3">
        <x:f>IF(G347*0.00759&gt;G347,197.38,G347*0.00759)</x:f>
      </x:c>
      <x:c r="P347" s="3">
        <x:f>IF(N347-O347&gt;0,N347-O347,0)</x:f>
      </x:c>
      <x:c r="Q347" s="65">
        <x:f>+H347</x:f>
      </x:c>
      <x:c r="R347" s="65">
        <x:v>0</x:v>
      </x:c>
      <x:c r="S347" s="3">
        <x:f>R347+Q347</x:f>
      </x:c>
      <x:c r="T347" s="3">
        <x:f>I347-S347</x:f>
      </x:c>
      <x:c r="U347" s="255"/>
    </x:row>
    <x:row r="348" spans="1:21" ht="21" customHeight="1" x14ac:dyDescent="0.2">
      <x:c r="A348" s="253">
        <x:f>+'Banka Lis.'!B347</x:f>
      </x:c>
      <x:c r="B348" s="253">
        <x:f>+Puantaj!C348</x:f>
      </x:c>
      <x:c r="C348" s="4">
        <x:f>+Puantaj!D348</x:f>
      </x:c>
      <x:c r="D348" s="4">
        <x:f>+Puantaj!E348</x:f>
      </x:c>
      <x:c r="E348" s="4">
        <x:f>+'Banka Lis.'!H347</x:f>
      </x:c>
      <x:c r="F348" s="254">
        <x:f>+Puantaj!AK348</x:f>
      </x:c>
      <x:c r="G348" s="33">
        <x:f>F348*1083</x:f>
      </x:c>
      <x:c r="H348" s="62">
        <x:f>G348*0.055</x:f>
      </x:c>
      <x:c r="I348" s="3">
        <x:f>G348+H348</x:f>
      </x:c>
      <x:c r="J348" s="3">
        <x:f>+G348</x:f>
      </x:c>
      <x:c r="K348" s="3">
        <x:f>J348*0.15</x:f>
      </x:c>
      <x:c r="L348" s="3">
        <x:f>IF(J348*0.15&gt;K348,K348,J348*0.15)</x:f>
      </x:c>
      <x:c r="M348" s="65">
        <x:f>IF(K348-L348&gt;0,K348-L348,0)</x:f>
      </x:c>
      <x:c r="N348" s="3">
        <x:f>G348*0.00759</x:f>
      </x:c>
      <x:c r="O348" s="3">
        <x:f>IF(G348*0.00759&gt;G348,197.38,G348*0.00759)</x:f>
      </x:c>
      <x:c r="P348" s="3">
        <x:f>IF(N348-O348&gt;0,N348-O348,0)</x:f>
      </x:c>
      <x:c r="Q348" s="65">
        <x:f>+H348</x:f>
      </x:c>
      <x:c r="R348" s="65">
        <x:v>0</x:v>
      </x:c>
      <x:c r="S348" s="3">
        <x:f>R348+Q348</x:f>
      </x:c>
      <x:c r="T348" s="3">
        <x:f>I348-S348</x:f>
      </x:c>
      <x:c r="U348" s="255"/>
    </x:row>
    <x:row r="349" spans="1:21" ht="21" customHeight="1" x14ac:dyDescent="0.2">
      <x:c r="A349" s="253">
        <x:f>+'Banka Lis.'!B348</x:f>
      </x:c>
      <x:c r="B349" s="253">
        <x:f>+Puantaj!C349</x:f>
      </x:c>
      <x:c r="C349" s="4">
        <x:f>+Puantaj!D349</x:f>
      </x:c>
      <x:c r="D349" s="4">
        <x:f>+Puantaj!E349</x:f>
      </x:c>
      <x:c r="E349" s="4">
        <x:f>+'Banka Lis.'!H348</x:f>
      </x:c>
      <x:c r="F349" s="254">
        <x:f>+Puantaj!AK349</x:f>
      </x:c>
      <x:c r="G349" s="33">
        <x:f>F349*1083</x:f>
      </x:c>
      <x:c r="H349" s="62">
        <x:f>G349*0.055</x:f>
      </x:c>
      <x:c r="I349" s="3">
        <x:f>G349+H349</x:f>
      </x:c>
      <x:c r="J349" s="3">
        <x:f>+G349</x:f>
      </x:c>
      <x:c r="K349" s="3">
        <x:f>J349*0.15</x:f>
      </x:c>
      <x:c r="L349" s="3">
        <x:f>IF(J349*0.15&gt;K349,K349,J349*0.15)</x:f>
      </x:c>
      <x:c r="M349" s="65">
        <x:f>IF(K349-L349&gt;0,K349-L349,0)</x:f>
      </x:c>
      <x:c r="N349" s="3">
        <x:f>G349*0.00759</x:f>
      </x:c>
      <x:c r="O349" s="3">
        <x:f>IF(G349*0.00759&gt;G349,197.38,G349*0.00759)</x:f>
      </x:c>
      <x:c r="P349" s="3">
        <x:f>IF(N349-O349&gt;0,N349-O349,0)</x:f>
      </x:c>
      <x:c r="Q349" s="65">
        <x:f>+H349</x:f>
      </x:c>
      <x:c r="R349" s="65">
        <x:v>0</x:v>
      </x:c>
      <x:c r="S349" s="3">
        <x:f>R349+Q349</x:f>
      </x:c>
      <x:c r="T349" s="3">
        <x:f>I349-S349</x:f>
      </x:c>
      <x:c r="U349" s="255"/>
    </x:row>
    <x:row r="350" spans="1:21" ht="21" customHeight="1" x14ac:dyDescent="0.2">
      <x:c r="A350" s="253">
        <x:f>+'Banka Lis.'!B349</x:f>
      </x:c>
      <x:c r="B350" s="253">
        <x:f>+Puantaj!C350</x:f>
      </x:c>
      <x:c r="C350" s="4">
        <x:f>+Puantaj!D350</x:f>
      </x:c>
      <x:c r="D350" s="4">
        <x:f>+Puantaj!E350</x:f>
      </x:c>
      <x:c r="E350" s="4">
        <x:f>+'Banka Lis.'!H349</x:f>
      </x:c>
      <x:c r="F350" s="254">
        <x:f>+Puantaj!AK350</x:f>
      </x:c>
      <x:c r="G350" s="33">
        <x:f>F350*1083</x:f>
      </x:c>
      <x:c r="H350" s="62">
        <x:f>G350*0.055</x:f>
      </x:c>
      <x:c r="I350" s="3">
        <x:f>G350+H350</x:f>
      </x:c>
      <x:c r="J350" s="3">
        <x:f>+G350</x:f>
      </x:c>
      <x:c r="K350" s="3">
        <x:f>J350*0.15</x:f>
      </x:c>
      <x:c r="L350" s="3">
        <x:f>IF(J350*0.15&gt;K350,K350,J350*0.15)</x:f>
      </x:c>
      <x:c r="M350" s="65">
        <x:f>IF(K350-L350&gt;0,K350-L350,0)</x:f>
      </x:c>
      <x:c r="N350" s="3">
        <x:f>G350*0.00759</x:f>
      </x:c>
      <x:c r="O350" s="3">
        <x:f>IF(G350*0.00759&gt;G350,197.38,G350*0.00759)</x:f>
      </x:c>
      <x:c r="P350" s="3">
        <x:f>IF(N350-O350&gt;0,N350-O350,0)</x:f>
      </x:c>
      <x:c r="Q350" s="65">
        <x:f>+H350</x:f>
      </x:c>
      <x:c r="R350" s="65">
        <x:v>0</x:v>
      </x:c>
      <x:c r="S350" s="3">
        <x:f>R350+Q350</x:f>
      </x:c>
      <x:c r="T350" s="3">
        <x:f>I350-S350</x:f>
      </x:c>
      <x:c r="U350" s="255"/>
    </x:row>
    <x:row r="351" spans="1:21" ht="21" customHeight="1" x14ac:dyDescent="0.2">
      <x:c r="A351" s="253">
        <x:f>+'Banka Lis.'!B350</x:f>
      </x:c>
      <x:c r="B351" s="253">
        <x:f>+Puantaj!C351</x:f>
      </x:c>
      <x:c r="C351" s="4">
        <x:f>+Puantaj!D351</x:f>
      </x:c>
      <x:c r="D351" s="4">
        <x:f>+Puantaj!E351</x:f>
      </x:c>
      <x:c r="E351" s="4">
        <x:f>+'Banka Lis.'!H350</x:f>
      </x:c>
      <x:c r="F351" s="254">
        <x:f>+Puantaj!AK351</x:f>
      </x:c>
      <x:c r="G351" s="33">
        <x:f>F351*1083</x:f>
      </x:c>
      <x:c r="H351" s="62">
        <x:f>G351*0.055</x:f>
      </x:c>
      <x:c r="I351" s="3">
        <x:f>G351+H351</x:f>
      </x:c>
      <x:c r="J351" s="3">
        <x:f>+G351</x:f>
      </x:c>
      <x:c r="K351" s="3">
        <x:f>J351*0.15</x:f>
      </x:c>
      <x:c r="L351" s="3">
        <x:f>IF(J351*0.15&gt;K351,K351,J351*0.15)</x:f>
      </x:c>
      <x:c r="M351" s="65">
        <x:f>IF(K351-L351&gt;0,K351-L351,0)</x:f>
      </x:c>
      <x:c r="N351" s="3">
        <x:f>G351*0.00759</x:f>
      </x:c>
      <x:c r="O351" s="3">
        <x:f>IF(G351*0.00759&gt;G351,197.38,G351*0.00759)</x:f>
      </x:c>
      <x:c r="P351" s="3">
        <x:f>IF(N351-O351&gt;0,N351-O351,0)</x:f>
      </x:c>
      <x:c r="Q351" s="65">
        <x:f>+H351</x:f>
      </x:c>
      <x:c r="R351" s="65">
        <x:v>0</x:v>
      </x:c>
      <x:c r="S351" s="3">
        <x:f>R351+Q351</x:f>
      </x:c>
      <x:c r="T351" s="3">
        <x:f>I351-S351</x:f>
      </x:c>
      <x:c r="U351" s="255"/>
    </x:row>
    <x:row r="352" spans="1:21" ht="21" customHeight="1" x14ac:dyDescent="0.2">
      <x:c r="A352" s="253">
        <x:f>+'Banka Lis.'!B351</x:f>
      </x:c>
      <x:c r="B352" s="253">
        <x:f>+Puantaj!C352</x:f>
      </x:c>
      <x:c r="C352" s="4">
        <x:f>+Puantaj!D352</x:f>
      </x:c>
      <x:c r="D352" s="4">
        <x:f>+Puantaj!E352</x:f>
      </x:c>
      <x:c r="E352" s="4">
        <x:f>+'Banka Lis.'!H351</x:f>
      </x:c>
      <x:c r="F352" s="254">
        <x:f>+Puantaj!AK352</x:f>
      </x:c>
      <x:c r="G352" s="33">
        <x:f>F352*1083</x:f>
      </x:c>
      <x:c r="H352" s="62">
        <x:f>G352*0.055</x:f>
      </x:c>
      <x:c r="I352" s="3">
        <x:f>G352+H352</x:f>
      </x:c>
      <x:c r="J352" s="3">
        <x:f>+G352</x:f>
      </x:c>
      <x:c r="K352" s="3">
        <x:f>J352*0.15</x:f>
      </x:c>
      <x:c r="L352" s="3">
        <x:f>IF(J352*0.15&gt;K352,K352,J352*0.15)</x:f>
      </x:c>
      <x:c r="M352" s="65">
        <x:f>IF(K352-L352&gt;0,K352-L352,0)</x:f>
      </x:c>
      <x:c r="N352" s="3">
        <x:f>G352*0.00759</x:f>
      </x:c>
      <x:c r="O352" s="3">
        <x:f>IF(G352*0.00759&gt;G352,197.38,G352*0.00759)</x:f>
      </x:c>
      <x:c r="P352" s="3">
        <x:f>IF(N352-O352&gt;0,N352-O352,0)</x:f>
      </x:c>
      <x:c r="Q352" s="65">
        <x:f>+H352</x:f>
      </x:c>
      <x:c r="R352" s="65">
        <x:v>0</x:v>
      </x:c>
      <x:c r="S352" s="3">
        <x:f>R352+Q352</x:f>
      </x:c>
      <x:c r="T352" s="3">
        <x:f>I352-S352</x:f>
      </x:c>
      <x:c r="U352" s="255"/>
    </x:row>
    <x:row r="353" spans="1:21" ht="21" customHeight="1" x14ac:dyDescent="0.2">
      <x:c r="A353" s="253">
        <x:f>+'Banka Lis.'!B352</x:f>
      </x:c>
      <x:c r="B353" s="253">
        <x:f>+Puantaj!C353</x:f>
      </x:c>
      <x:c r="C353" s="4">
        <x:f>+Puantaj!D353</x:f>
      </x:c>
      <x:c r="D353" s="4">
        <x:f>+Puantaj!E353</x:f>
      </x:c>
      <x:c r="E353" s="4">
        <x:f>+'Banka Lis.'!H352</x:f>
      </x:c>
      <x:c r="F353" s="254">
        <x:f>+Puantaj!AK353</x:f>
      </x:c>
      <x:c r="G353" s="33">
        <x:f>F353*1083</x:f>
      </x:c>
      <x:c r="H353" s="62">
        <x:f>G353*0.055</x:f>
      </x:c>
      <x:c r="I353" s="3">
        <x:f>G353+H353</x:f>
      </x:c>
      <x:c r="J353" s="3">
        <x:f>+G353</x:f>
      </x:c>
      <x:c r="K353" s="3">
        <x:f>J353*0.15</x:f>
      </x:c>
      <x:c r="L353" s="3">
        <x:f>IF(J353*0.15&gt;K353,K353,J353*0.15)</x:f>
      </x:c>
      <x:c r="M353" s="65">
        <x:f>IF(K353-L353&gt;0,K353-L353,0)</x:f>
      </x:c>
      <x:c r="N353" s="3">
        <x:f>G353*0.00759</x:f>
      </x:c>
      <x:c r="O353" s="3">
        <x:f>IF(G353*0.00759&gt;G353,197.38,G353*0.00759)</x:f>
      </x:c>
      <x:c r="P353" s="3">
        <x:f>IF(N353-O353&gt;0,N353-O353,0)</x:f>
      </x:c>
      <x:c r="Q353" s="65">
        <x:f>+H353</x:f>
      </x:c>
      <x:c r="R353" s="65">
        <x:v>0</x:v>
      </x:c>
      <x:c r="S353" s="3">
        <x:f>R353+Q353</x:f>
      </x:c>
      <x:c r="T353" s="3">
        <x:f>I353-S353</x:f>
      </x:c>
      <x:c r="U353" s="255"/>
    </x:row>
    <x:row r="354" spans="1:21" ht="21" customHeight="1" x14ac:dyDescent="0.2">
      <x:c r="A354" s="253">
        <x:f>+'Banka Lis.'!B353</x:f>
      </x:c>
      <x:c r="B354" s="253">
        <x:f>+Puantaj!C354</x:f>
      </x:c>
      <x:c r="C354" s="4">
        <x:f>+Puantaj!D354</x:f>
      </x:c>
      <x:c r="D354" s="4">
        <x:f>+Puantaj!E354</x:f>
      </x:c>
      <x:c r="E354" s="4">
        <x:f>+'Banka Lis.'!H353</x:f>
      </x:c>
      <x:c r="F354" s="254">
        <x:f>+Puantaj!AK354</x:f>
      </x:c>
      <x:c r="G354" s="33">
        <x:f>F354*1083</x:f>
      </x:c>
      <x:c r="H354" s="62">
        <x:f>G354*0.055</x:f>
      </x:c>
      <x:c r="I354" s="3">
        <x:f>G354+H354</x:f>
      </x:c>
      <x:c r="J354" s="3">
        <x:f>+G354</x:f>
      </x:c>
      <x:c r="K354" s="3">
        <x:f>J354*0.15</x:f>
      </x:c>
      <x:c r="L354" s="3">
        <x:f>IF(J354*0.15&gt;K354,K354,J354*0.15)</x:f>
      </x:c>
      <x:c r="M354" s="65">
        <x:f>IF(K354-L354&gt;0,K354-L354,0)</x:f>
      </x:c>
      <x:c r="N354" s="3">
        <x:f>G354*0.00759</x:f>
      </x:c>
      <x:c r="O354" s="3">
        <x:f>IF(G354*0.00759&gt;G354,197.38,G354*0.00759)</x:f>
      </x:c>
      <x:c r="P354" s="3">
        <x:f>IF(N354-O354&gt;0,N354-O354,0)</x:f>
      </x:c>
      <x:c r="Q354" s="65">
        <x:f>+H354</x:f>
      </x:c>
      <x:c r="R354" s="65">
        <x:v>0</x:v>
      </x:c>
      <x:c r="S354" s="3">
        <x:f>R354+Q354</x:f>
      </x:c>
      <x:c r="T354" s="3">
        <x:f>I354-S354</x:f>
      </x:c>
      <x:c r="U354" s="255"/>
    </x:row>
    <x:row r="355" spans="1:21" ht="21" customHeight="1" x14ac:dyDescent="0.2">
      <x:c r="A355" s="253">
        <x:f>+'Banka Lis.'!B354</x:f>
      </x:c>
      <x:c r="B355" s="253">
        <x:f>+Puantaj!C355</x:f>
      </x:c>
      <x:c r="C355" s="4">
        <x:f>+Puantaj!D355</x:f>
      </x:c>
      <x:c r="D355" s="4">
        <x:f>+Puantaj!E355</x:f>
      </x:c>
      <x:c r="E355" s="4">
        <x:f>+'Banka Lis.'!H354</x:f>
      </x:c>
      <x:c r="F355" s="254">
        <x:f>+Puantaj!AK355</x:f>
      </x:c>
      <x:c r="G355" s="33">
        <x:f>F355*1083</x:f>
      </x:c>
      <x:c r="H355" s="62">
        <x:f>G355*0.055</x:f>
      </x:c>
      <x:c r="I355" s="3">
        <x:f>G355+H355</x:f>
      </x:c>
      <x:c r="J355" s="3">
        <x:f>+G355</x:f>
      </x:c>
      <x:c r="K355" s="3">
        <x:f>J355*0.15</x:f>
      </x:c>
      <x:c r="L355" s="3">
        <x:f>IF(J355*0.15&gt;K355,K355,J355*0.15)</x:f>
      </x:c>
      <x:c r="M355" s="65">
        <x:f>IF(K355-L355&gt;0,K355-L355,0)</x:f>
      </x:c>
      <x:c r="N355" s="3">
        <x:f>G355*0.00759</x:f>
      </x:c>
      <x:c r="O355" s="3">
        <x:f>IF(G355*0.00759&gt;G355,197.38,G355*0.00759)</x:f>
      </x:c>
      <x:c r="P355" s="3">
        <x:f>IF(N355-O355&gt;0,N355-O355,0)</x:f>
      </x:c>
      <x:c r="Q355" s="65">
        <x:f>+H355</x:f>
      </x:c>
      <x:c r="R355" s="65">
        <x:v>0</x:v>
      </x:c>
      <x:c r="S355" s="3">
        <x:f>R355+Q355</x:f>
      </x:c>
      <x:c r="T355" s="3">
        <x:f>I355-S355</x:f>
      </x:c>
      <x:c r="U355" s="255"/>
    </x:row>
    <x:row r="356" spans="1:21" ht="21" customHeight="1" x14ac:dyDescent="0.2">
      <x:c r="A356" s="253">
        <x:f>+'Banka Lis.'!B355</x:f>
      </x:c>
      <x:c r="B356" s="253">
        <x:f>+Puantaj!C356</x:f>
      </x:c>
      <x:c r="C356" s="4">
        <x:f>+Puantaj!D356</x:f>
      </x:c>
      <x:c r="D356" s="4">
        <x:f>+Puantaj!E356</x:f>
      </x:c>
      <x:c r="E356" s="4">
        <x:f>+'Banka Lis.'!H355</x:f>
      </x:c>
      <x:c r="F356" s="254">
        <x:f>+Puantaj!AK356</x:f>
      </x:c>
      <x:c r="G356" s="33">
        <x:f>F356*1083</x:f>
      </x:c>
      <x:c r="H356" s="62">
        <x:f>G356*0.055</x:f>
      </x:c>
      <x:c r="I356" s="3">
        <x:f>G356+H356</x:f>
      </x:c>
      <x:c r="J356" s="3">
        <x:f>+G356</x:f>
      </x:c>
      <x:c r="K356" s="3">
        <x:f>J356*0.15</x:f>
      </x:c>
      <x:c r="L356" s="3">
        <x:f>IF(J356*0.15&gt;K356,K356,J356*0.15)</x:f>
      </x:c>
      <x:c r="M356" s="65">
        <x:f>IF(K356-L356&gt;0,K356-L356,0)</x:f>
      </x:c>
      <x:c r="N356" s="3">
        <x:f>G356*0.00759</x:f>
      </x:c>
      <x:c r="O356" s="3">
        <x:f>IF(G356*0.00759&gt;G356,197.38,G356*0.00759)</x:f>
      </x:c>
      <x:c r="P356" s="3">
        <x:f>IF(N356-O356&gt;0,N356-O356,0)</x:f>
      </x:c>
      <x:c r="Q356" s="65">
        <x:f>+H356</x:f>
      </x:c>
      <x:c r="R356" s="65">
        <x:v>0</x:v>
      </x:c>
      <x:c r="S356" s="3">
        <x:f>R356+Q356</x:f>
      </x:c>
      <x:c r="T356" s="3">
        <x:f>I356-S356</x:f>
      </x:c>
      <x:c r="U356" s="255"/>
    </x:row>
    <x:row r="357" spans="1:21" ht="21" customHeight="1" x14ac:dyDescent="0.2">
      <x:c r="A357" s="253">
        <x:f>+'Banka Lis.'!B356</x:f>
      </x:c>
      <x:c r="B357" s="253">
        <x:f>+Puantaj!C357</x:f>
      </x:c>
      <x:c r="C357" s="4">
        <x:f>+Puantaj!D357</x:f>
      </x:c>
      <x:c r="D357" s="4">
        <x:f>+Puantaj!E357</x:f>
      </x:c>
      <x:c r="E357" s="4">
        <x:f>+'Banka Lis.'!H356</x:f>
      </x:c>
      <x:c r="F357" s="254">
        <x:f>+Puantaj!AK357</x:f>
      </x:c>
      <x:c r="G357" s="33">
        <x:f>F357*1083</x:f>
      </x:c>
      <x:c r="H357" s="62">
        <x:f>G357*0.055</x:f>
      </x:c>
      <x:c r="I357" s="3">
        <x:f>G357+H357</x:f>
      </x:c>
      <x:c r="J357" s="3">
        <x:f>+G357</x:f>
      </x:c>
      <x:c r="K357" s="3">
        <x:f>J357*0.15</x:f>
      </x:c>
      <x:c r="L357" s="3">
        <x:f>IF(J357*0.15&gt;K357,K357,J357*0.15)</x:f>
      </x:c>
      <x:c r="M357" s="65">
        <x:f>IF(K357-L357&gt;0,K357-L357,0)</x:f>
      </x:c>
      <x:c r="N357" s="3">
        <x:f>G357*0.00759</x:f>
      </x:c>
      <x:c r="O357" s="3">
        <x:f>IF(G357*0.00759&gt;G357,197.38,G357*0.00759)</x:f>
      </x:c>
      <x:c r="P357" s="3">
        <x:f>IF(N357-O357&gt;0,N357-O357,0)</x:f>
      </x:c>
      <x:c r="Q357" s="65">
        <x:f>+H357</x:f>
      </x:c>
      <x:c r="R357" s="65">
        <x:v>0</x:v>
      </x:c>
      <x:c r="S357" s="3">
        <x:f>R357+Q357</x:f>
      </x:c>
      <x:c r="T357" s="3">
        <x:f>I357-S357</x:f>
      </x:c>
      <x:c r="U357" s="255"/>
    </x:row>
    <x:row r="358" spans="1:21" ht="21" customHeight="1" x14ac:dyDescent="0.2">
      <x:c r="A358" s="253">
        <x:f>+'Banka Lis.'!B357</x:f>
      </x:c>
      <x:c r="B358" s="253">
        <x:f>+Puantaj!C358</x:f>
      </x:c>
      <x:c r="C358" s="4">
        <x:f>+Puantaj!D358</x:f>
      </x:c>
      <x:c r="D358" s="4">
        <x:f>+Puantaj!E358</x:f>
      </x:c>
      <x:c r="E358" s="4">
        <x:f>+'Banka Lis.'!H357</x:f>
      </x:c>
      <x:c r="F358" s="254">
        <x:f>+Puantaj!AK358</x:f>
      </x:c>
      <x:c r="G358" s="33">
        <x:f>F358*1083</x:f>
      </x:c>
      <x:c r="H358" s="62">
        <x:f>G358*0.055</x:f>
      </x:c>
      <x:c r="I358" s="3">
        <x:f>G358+H358</x:f>
      </x:c>
      <x:c r="J358" s="3">
        <x:f>+G358</x:f>
      </x:c>
      <x:c r="K358" s="3">
        <x:f>J358*0.15</x:f>
      </x:c>
      <x:c r="L358" s="3">
        <x:f>IF(J358*0.15&gt;K358,K358,J358*0.15)</x:f>
      </x:c>
      <x:c r="M358" s="65">
        <x:f>IF(K358-L358&gt;0,K358-L358,0)</x:f>
      </x:c>
      <x:c r="N358" s="3">
        <x:f>G358*0.00759</x:f>
      </x:c>
      <x:c r="O358" s="3">
        <x:f>IF(G358*0.00759&gt;G358,197.38,G358*0.00759)</x:f>
      </x:c>
      <x:c r="P358" s="3">
        <x:f>IF(N358-O358&gt;0,N358-O358,0)</x:f>
      </x:c>
      <x:c r="Q358" s="65">
        <x:f>+H358</x:f>
      </x:c>
      <x:c r="R358" s="65">
        <x:v>0</x:v>
      </x:c>
      <x:c r="S358" s="3">
        <x:f>R358+Q358</x:f>
      </x:c>
      <x:c r="T358" s="3">
        <x:f>I358-S358</x:f>
      </x:c>
      <x:c r="U358" s="255"/>
    </x:row>
    <x:row r="359" spans="1:21" ht="21" customHeight="1" x14ac:dyDescent="0.2">
      <x:c r="A359" s="253">
        <x:f>+'Banka Lis.'!B358</x:f>
      </x:c>
      <x:c r="B359" s="253">
        <x:f>+Puantaj!C359</x:f>
      </x:c>
      <x:c r="C359" s="4">
        <x:f>+Puantaj!D359</x:f>
      </x:c>
      <x:c r="D359" s="4">
        <x:f>+Puantaj!E359</x:f>
      </x:c>
      <x:c r="E359" s="4">
        <x:f>+'Banka Lis.'!H358</x:f>
      </x:c>
      <x:c r="F359" s="254">
        <x:f>+Puantaj!AK359</x:f>
      </x:c>
      <x:c r="G359" s="33">
        <x:f>F359*1083</x:f>
      </x:c>
      <x:c r="H359" s="62">
        <x:f>G359*0.055</x:f>
      </x:c>
      <x:c r="I359" s="3">
        <x:f>G359+H359</x:f>
      </x:c>
      <x:c r="J359" s="3">
        <x:f>+G359</x:f>
      </x:c>
      <x:c r="K359" s="3">
        <x:f>J359*0.15</x:f>
      </x:c>
      <x:c r="L359" s="3">
        <x:f>IF(J359*0.15&gt;K359,K359,J359*0.15)</x:f>
      </x:c>
      <x:c r="M359" s="65">
        <x:f>IF(K359-L359&gt;0,K359-L359,0)</x:f>
      </x:c>
      <x:c r="N359" s="3">
        <x:f>G359*0.00759</x:f>
      </x:c>
      <x:c r="O359" s="3">
        <x:f>IF(G359*0.00759&gt;G359,197.38,G359*0.00759)</x:f>
      </x:c>
      <x:c r="P359" s="3">
        <x:f>IF(N359-O359&gt;0,N359-O359,0)</x:f>
      </x:c>
      <x:c r="Q359" s="65">
        <x:f>+H359</x:f>
      </x:c>
      <x:c r="R359" s="65">
        <x:v>0</x:v>
      </x:c>
      <x:c r="S359" s="3">
        <x:f>R359+Q359</x:f>
      </x:c>
      <x:c r="T359" s="3">
        <x:f>I359-S359</x:f>
      </x:c>
      <x:c r="U359" s="255"/>
    </x:row>
    <x:row r="360" spans="1:21" ht="21" customHeight="1" x14ac:dyDescent="0.2">
      <x:c r="A360" s="253">
        <x:f>+'Banka Lis.'!B359</x:f>
      </x:c>
      <x:c r="B360" s="253">
        <x:f>+Puantaj!C360</x:f>
      </x:c>
      <x:c r="C360" s="4">
        <x:f>+Puantaj!D360</x:f>
      </x:c>
      <x:c r="D360" s="4">
        <x:f>+Puantaj!E360</x:f>
      </x:c>
      <x:c r="E360" s="4">
        <x:f>+'Banka Lis.'!H359</x:f>
      </x:c>
      <x:c r="F360" s="254">
        <x:f>+Puantaj!AK360</x:f>
      </x:c>
      <x:c r="G360" s="33">
        <x:f>F360*1083</x:f>
      </x:c>
      <x:c r="H360" s="62">
        <x:f>G360*0.055</x:f>
      </x:c>
      <x:c r="I360" s="3">
        <x:f>G360+H360</x:f>
      </x:c>
      <x:c r="J360" s="3">
        <x:f>+G360</x:f>
      </x:c>
      <x:c r="K360" s="3">
        <x:f>J360*0.15</x:f>
      </x:c>
      <x:c r="L360" s="3">
        <x:f>IF(J360*0.15&gt;K360,K360,J360*0.15)</x:f>
      </x:c>
      <x:c r="M360" s="65">
        <x:f>IF(K360-L360&gt;0,K360-L360,0)</x:f>
      </x:c>
      <x:c r="N360" s="3">
        <x:f>G360*0.00759</x:f>
      </x:c>
      <x:c r="O360" s="3">
        <x:f>IF(G360*0.00759&gt;G360,197.38,G360*0.00759)</x:f>
      </x:c>
      <x:c r="P360" s="3">
        <x:f>IF(N360-O360&gt;0,N360-O360,0)</x:f>
      </x:c>
      <x:c r="Q360" s="65">
        <x:f>+H360</x:f>
      </x:c>
      <x:c r="R360" s="65">
        <x:v>0</x:v>
      </x:c>
      <x:c r="S360" s="3">
        <x:f>R360+Q360</x:f>
      </x:c>
      <x:c r="T360" s="3">
        <x:f>I360-S360</x:f>
      </x:c>
      <x:c r="U360" s="255"/>
    </x:row>
    <x:row r="361" spans="1:21" ht="21" customHeight="1" x14ac:dyDescent="0.2">
      <x:c r="A361" s="253">
        <x:f>+'Banka Lis.'!B360</x:f>
      </x:c>
      <x:c r="B361" s="253">
        <x:f>+Puantaj!C361</x:f>
      </x:c>
      <x:c r="C361" s="4">
        <x:f>+Puantaj!D361</x:f>
      </x:c>
      <x:c r="D361" s="4">
        <x:f>+Puantaj!E361</x:f>
      </x:c>
      <x:c r="E361" s="4">
        <x:f>+'Banka Lis.'!H360</x:f>
      </x:c>
      <x:c r="F361" s="254">
        <x:f>+Puantaj!AK361</x:f>
      </x:c>
      <x:c r="G361" s="33">
        <x:f>F361*1083</x:f>
      </x:c>
      <x:c r="H361" s="62">
        <x:f>G361*0.055</x:f>
      </x:c>
      <x:c r="I361" s="3">
        <x:f>G361+H361</x:f>
      </x:c>
      <x:c r="J361" s="3">
        <x:f>+G361</x:f>
      </x:c>
      <x:c r="K361" s="3">
        <x:f>J361*0.15</x:f>
      </x:c>
      <x:c r="L361" s="3">
        <x:f>IF(J361*0.15&gt;K361,K361,J361*0.15)</x:f>
      </x:c>
      <x:c r="M361" s="65">
        <x:f>IF(K361-L361&gt;0,K361-L361,0)</x:f>
      </x:c>
      <x:c r="N361" s="3">
        <x:f>G361*0.00759</x:f>
      </x:c>
      <x:c r="O361" s="3">
        <x:f>IF(G361*0.00759&gt;G361,197.38,G361*0.00759)</x:f>
      </x:c>
      <x:c r="P361" s="3">
        <x:f>IF(N361-O361&gt;0,N361-O361,0)</x:f>
      </x:c>
      <x:c r="Q361" s="65">
        <x:f>+H361</x:f>
      </x:c>
      <x:c r="R361" s="65">
        <x:v>0</x:v>
      </x:c>
      <x:c r="S361" s="3">
        <x:f>R361+Q361</x:f>
      </x:c>
      <x:c r="T361" s="3">
        <x:f>I361-S361</x:f>
      </x:c>
      <x:c r="U361" s="255"/>
    </x:row>
    <x:row r="362" spans="1:21" ht="21" customHeight="1" x14ac:dyDescent="0.2">
      <x:c r="A362" s="253">
        <x:f>+'Banka Lis.'!B361</x:f>
      </x:c>
      <x:c r="B362" s="253">
        <x:f>+Puantaj!C362</x:f>
      </x:c>
      <x:c r="C362" s="4">
        <x:f>+Puantaj!D362</x:f>
      </x:c>
      <x:c r="D362" s="4">
        <x:f>+Puantaj!E362</x:f>
      </x:c>
      <x:c r="E362" s="4">
        <x:f>+'Banka Lis.'!H361</x:f>
      </x:c>
      <x:c r="F362" s="254">
        <x:f>+Puantaj!AK362</x:f>
      </x:c>
      <x:c r="G362" s="33">
        <x:f>F362*1083</x:f>
      </x:c>
      <x:c r="H362" s="62">
        <x:f>G362*0.055</x:f>
      </x:c>
      <x:c r="I362" s="3">
        <x:f>G362+H362</x:f>
      </x:c>
      <x:c r="J362" s="3">
        <x:f>+G362</x:f>
      </x:c>
      <x:c r="K362" s="3">
        <x:f>J362*0.15</x:f>
      </x:c>
      <x:c r="L362" s="3">
        <x:f>IF(J362*0.15&gt;K362,K362,J362*0.15)</x:f>
      </x:c>
      <x:c r="M362" s="65">
        <x:f>IF(K362-L362&gt;0,K362-L362,0)</x:f>
      </x:c>
      <x:c r="N362" s="3">
        <x:f>G362*0.00759</x:f>
      </x:c>
      <x:c r="O362" s="3">
        <x:f>IF(G362*0.00759&gt;G362,197.38,G362*0.00759)</x:f>
      </x:c>
      <x:c r="P362" s="3">
        <x:f>IF(N362-O362&gt;0,N362-O362,0)</x:f>
      </x:c>
      <x:c r="Q362" s="65">
        <x:f>+H362</x:f>
      </x:c>
      <x:c r="R362" s="65">
        <x:v>0</x:v>
      </x:c>
      <x:c r="S362" s="3">
        <x:f>R362+Q362</x:f>
      </x:c>
      <x:c r="T362" s="3">
        <x:f>I362-S362</x:f>
      </x:c>
      <x:c r="U362" s="255"/>
    </x:row>
    <x:row r="363" spans="1:21" ht="21" customHeight="1" x14ac:dyDescent="0.2">
      <x:c r="A363" s="253">
        <x:f>+'Banka Lis.'!B362</x:f>
      </x:c>
      <x:c r="B363" s="253">
        <x:f>+Puantaj!C363</x:f>
      </x:c>
      <x:c r="C363" s="4">
        <x:f>+Puantaj!D363</x:f>
      </x:c>
      <x:c r="D363" s="4">
        <x:f>+Puantaj!E363</x:f>
      </x:c>
      <x:c r="E363" s="4">
        <x:f>+'Banka Lis.'!H362</x:f>
      </x:c>
      <x:c r="F363" s="254">
        <x:f>+Puantaj!AK363</x:f>
      </x:c>
      <x:c r="G363" s="33">
        <x:f>F363*1083</x:f>
      </x:c>
      <x:c r="H363" s="62">
        <x:f>G363*0.055</x:f>
      </x:c>
      <x:c r="I363" s="3">
        <x:f>G363+H363</x:f>
      </x:c>
      <x:c r="J363" s="3">
        <x:f>+G363</x:f>
      </x:c>
      <x:c r="K363" s="3">
        <x:f>J363*0.15</x:f>
      </x:c>
      <x:c r="L363" s="3">
        <x:f>IF(J363*0.15&gt;K363,K363,J363*0.15)</x:f>
      </x:c>
      <x:c r="M363" s="65">
        <x:f>IF(K363-L363&gt;0,K363-L363,0)</x:f>
      </x:c>
      <x:c r="N363" s="3">
        <x:f>G363*0.00759</x:f>
      </x:c>
      <x:c r="O363" s="3">
        <x:f>IF(G363*0.00759&gt;G363,197.38,G363*0.00759)</x:f>
      </x:c>
      <x:c r="P363" s="3">
        <x:f>IF(N363-O363&gt;0,N363-O363,0)</x:f>
      </x:c>
      <x:c r="Q363" s="65">
        <x:f>+H363</x:f>
      </x:c>
      <x:c r="R363" s="65">
        <x:v>0</x:v>
      </x:c>
      <x:c r="S363" s="3">
        <x:f>R363+Q363</x:f>
      </x:c>
      <x:c r="T363" s="3">
        <x:f>I363-S363</x:f>
      </x:c>
      <x:c r="U363" s="255"/>
    </x:row>
    <x:row r="364" spans="1:21" ht="21" customHeight="1" x14ac:dyDescent="0.2">
      <x:c r="A364" s="253">
        <x:f>+'Banka Lis.'!B363</x:f>
      </x:c>
      <x:c r="B364" s="253">
        <x:f>+Puantaj!C364</x:f>
      </x:c>
      <x:c r="C364" s="4">
        <x:f>+Puantaj!D364</x:f>
      </x:c>
      <x:c r="D364" s="4">
        <x:f>+Puantaj!E364</x:f>
      </x:c>
      <x:c r="E364" s="4">
        <x:f>+'Banka Lis.'!H363</x:f>
      </x:c>
      <x:c r="F364" s="254">
        <x:f>+Puantaj!AK364</x:f>
      </x:c>
      <x:c r="G364" s="33">
        <x:f>F364*1083</x:f>
      </x:c>
      <x:c r="H364" s="62">
        <x:f>G364*0.055</x:f>
      </x:c>
      <x:c r="I364" s="3">
        <x:f>G364+H364</x:f>
      </x:c>
      <x:c r="J364" s="3">
        <x:f>+G364</x:f>
      </x:c>
      <x:c r="K364" s="3">
        <x:f>J364*0.15</x:f>
      </x:c>
      <x:c r="L364" s="3">
        <x:f>IF(J364*0.15&gt;K364,K364,J364*0.15)</x:f>
      </x:c>
      <x:c r="M364" s="65">
        <x:f>IF(K364-L364&gt;0,K364-L364,0)</x:f>
      </x:c>
      <x:c r="N364" s="3">
        <x:f>G364*0.00759</x:f>
      </x:c>
      <x:c r="O364" s="3">
        <x:f>IF(G364*0.00759&gt;G364,197.38,G364*0.00759)</x:f>
      </x:c>
      <x:c r="P364" s="3">
        <x:f>IF(N364-O364&gt;0,N364-O364,0)</x:f>
      </x:c>
      <x:c r="Q364" s="65">
        <x:f>+H364</x:f>
      </x:c>
      <x:c r="R364" s="65">
        <x:v>0</x:v>
      </x:c>
      <x:c r="S364" s="3">
        <x:f>R364+Q364</x:f>
      </x:c>
      <x:c r="T364" s="3">
        <x:f>I364-S364</x:f>
      </x:c>
      <x:c r="U364" s="255"/>
    </x:row>
    <x:row r="365" spans="1:21" ht="21" customHeight="1" x14ac:dyDescent="0.2">
      <x:c r="A365" s="253">
        <x:f>+'Banka Lis.'!B364</x:f>
      </x:c>
      <x:c r="B365" s="253">
        <x:f>+Puantaj!C365</x:f>
      </x:c>
      <x:c r="C365" s="4">
        <x:f>+Puantaj!D365</x:f>
      </x:c>
      <x:c r="D365" s="4">
        <x:f>+Puantaj!E365</x:f>
      </x:c>
      <x:c r="E365" s="4">
        <x:f>+'Banka Lis.'!H364</x:f>
      </x:c>
      <x:c r="F365" s="254">
        <x:f>+Puantaj!AK365</x:f>
      </x:c>
      <x:c r="G365" s="33">
        <x:f>F365*1083</x:f>
      </x:c>
      <x:c r="H365" s="62">
        <x:f>G365*0.055</x:f>
      </x:c>
      <x:c r="I365" s="3">
        <x:f>G365+H365</x:f>
      </x:c>
      <x:c r="J365" s="3">
        <x:f>+G365</x:f>
      </x:c>
      <x:c r="K365" s="3">
        <x:f>J365*0.15</x:f>
      </x:c>
      <x:c r="L365" s="3">
        <x:f>IF(J365*0.15&gt;K365,K365,J365*0.15)</x:f>
      </x:c>
      <x:c r="M365" s="65">
        <x:f>IF(K365-L365&gt;0,K365-L365,0)</x:f>
      </x:c>
      <x:c r="N365" s="3">
        <x:f>G365*0.00759</x:f>
      </x:c>
      <x:c r="O365" s="3">
        <x:f>IF(G365*0.00759&gt;G365,197.38,G365*0.00759)</x:f>
      </x:c>
      <x:c r="P365" s="3">
        <x:f>IF(N365-O365&gt;0,N365-O365,0)</x:f>
      </x:c>
      <x:c r="Q365" s="65">
        <x:f>+H365</x:f>
      </x:c>
      <x:c r="R365" s="65">
        <x:v>0</x:v>
      </x:c>
      <x:c r="S365" s="3">
        <x:f>R365+Q365</x:f>
      </x:c>
      <x:c r="T365" s="3">
        <x:f>I365-S365</x:f>
      </x:c>
      <x:c r="U365" s="255"/>
    </x:row>
    <x:row r="366" spans="1:21" ht="21" customHeight="1" x14ac:dyDescent="0.2">
      <x:c r="A366" s="253">
        <x:f>+'Banka Lis.'!B365</x:f>
      </x:c>
      <x:c r="B366" s="253">
        <x:f>+Puantaj!C366</x:f>
      </x:c>
      <x:c r="C366" s="4">
        <x:f>+Puantaj!D366</x:f>
      </x:c>
      <x:c r="D366" s="4">
        <x:f>+Puantaj!E366</x:f>
      </x:c>
      <x:c r="E366" s="4">
        <x:f>+'Banka Lis.'!H365</x:f>
      </x:c>
      <x:c r="F366" s="254">
        <x:f>+Puantaj!AK366</x:f>
      </x:c>
      <x:c r="G366" s="33">
        <x:f>F366*1083</x:f>
      </x:c>
      <x:c r="H366" s="62">
        <x:f>G366*0.055</x:f>
      </x:c>
      <x:c r="I366" s="3">
        <x:f>G366+H366</x:f>
      </x:c>
      <x:c r="J366" s="3">
        <x:f>+G366</x:f>
      </x:c>
      <x:c r="K366" s="3">
        <x:f>J366*0.15</x:f>
      </x:c>
      <x:c r="L366" s="3">
        <x:f>IF(J366*0.15&gt;K366,K366,J366*0.15)</x:f>
      </x:c>
      <x:c r="M366" s="65">
        <x:f>IF(K366-L366&gt;0,K366-L366,0)</x:f>
      </x:c>
      <x:c r="N366" s="3">
        <x:f>G366*0.00759</x:f>
      </x:c>
      <x:c r="O366" s="3">
        <x:f>IF(G366*0.00759&gt;G366,197.38,G366*0.00759)</x:f>
      </x:c>
      <x:c r="P366" s="3">
        <x:f>IF(N366-O366&gt;0,N366-O366,0)</x:f>
      </x:c>
      <x:c r="Q366" s="65">
        <x:f>+H366</x:f>
      </x:c>
      <x:c r="R366" s="65">
        <x:v>0</x:v>
      </x:c>
      <x:c r="S366" s="3">
        <x:f>R366+Q366</x:f>
      </x:c>
      <x:c r="T366" s="3">
        <x:f>I366-S366</x:f>
      </x:c>
      <x:c r="U366" s="255"/>
    </x:row>
    <x:row r="367" spans="1:21" ht="21" customHeight="1" x14ac:dyDescent="0.2">
      <x:c r="A367" s="253">
        <x:f>+'Banka Lis.'!B366</x:f>
      </x:c>
      <x:c r="B367" s="253">
        <x:f>+Puantaj!C367</x:f>
      </x:c>
      <x:c r="C367" s="4">
        <x:f>+Puantaj!D367</x:f>
      </x:c>
      <x:c r="D367" s="4">
        <x:f>+Puantaj!E367</x:f>
      </x:c>
      <x:c r="E367" s="4">
        <x:f>+'Banka Lis.'!H366</x:f>
      </x:c>
      <x:c r="F367" s="254">
        <x:f>+Puantaj!AK367</x:f>
      </x:c>
      <x:c r="G367" s="33">
        <x:f>F367*1083</x:f>
      </x:c>
      <x:c r="H367" s="62">
        <x:f>G367*0.055</x:f>
      </x:c>
      <x:c r="I367" s="3">
        <x:f>G367+H367</x:f>
      </x:c>
      <x:c r="J367" s="3">
        <x:f>+G367</x:f>
      </x:c>
      <x:c r="K367" s="3">
        <x:f>J367*0.15</x:f>
      </x:c>
      <x:c r="L367" s="3">
        <x:f>IF(J367*0.15&gt;K367,K367,J367*0.15)</x:f>
      </x:c>
      <x:c r="M367" s="65">
        <x:f>IF(K367-L367&gt;0,K367-L367,0)</x:f>
      </x:c>
      <x:c r="N367" s="3">
        <x:f>G367*0.00759</x:f>
      </x:c>
      <x:c r="O367" s="3">
        <x:f>IF(G367*0.00759&gt;G367,197.38,G367*0.00759)</x:f>
      </x:c>
      <x:c r="P367" s="3">
        <x:f>IF(N367-O367&gt;0,N367-O367,0)</x:f>
      </x:c>
      <x:c r="Q367" s="65">
        <x:f>+H367</x:f>
      </x:c>
      <x:c r="R367" s="65">
        <x:v>0</x:v>
      </x:c>
      <x:c r="S367" s="3">
        <x:f>R367+Q367</x:f>
      </x:c>
      <x:c r="T367" s="3">
        <x:f>I367-S367</x:f>
      </x:c>
      <x:c r="U367" s="255"/>
    </x:row>
    <x:row r="368" spans="1:21" ht="21" customHeight="1" x14ac:dyDescent="0.2">
      <x:c r="A368" s="253">
        <x:f>+'Banka Lis.'!B367</x:f>
      </x:c>
      <x:c r="B368" s="253">
        <x:f>+Puantaj!C368</x:f>
      </x:c>
      <x:c r="C368" s="4">
        <x:f>+Puantaj!D368</x:f>
      </x:c>
      <x:c r="D368" s="4">
        <x:f>+Puantaj!E368</x:f>
      </x:c>
      <x:c r="E368" s="4">
        <x:f>+'Banka Lis.'!H367</x:f>
      </x:c>
      <x:c r="F368" s="254">
        <x:f>+Puantaj!AK368</x:f>
      </x:c>
      <x:c r="G368" s="33">
        <x:f>F368*1083</x:f>
      </x:c>
      <x:c r="H368" s="62">
        <x:f>G368*0.055</x:f>
      </x:c>
      <x:c r="I368" s="3">
        <x:f>G368+H368</x:f>
      </x:c>
      <x:c r="J368" s="3">
        <x:f>+G368</x:f>
      </x:c>
      <x:c r="K368" s="3">
        <x:f>J368*0.15</x:f>
      </x:c>
      <x:c r="L368" s="3">
        <x:f>IF(J368*0.15&gt;K368,K368,J368*0.15)</x:f>
      </x:c>
      <x:c r="M368" s="65">
        <x:f>IF(K368-L368&gt;0,K368-L368,0)</x:f>
      </x:c>
      <x:c r="N368" s="3">
        <x:f>G368*0.00759</x:f>
      </x:c>
      <x:c r="O368" s="3">
        <x:f>IF(G368*0.00759&gt;G368,197.38,G368*0.00759)</x:f>
      </x:c>
      <x:c r="P368" s="3">
        <x:f>IF(N368-O368&gt;0,N368-O368,0)</x:f>
      </x:c>
      <x:c r="Q368" s="65">
        <x:f>+H368</x:f>
      </x:c>
      <x:c r="R368" s="65">
        <x:v>0</x:v>
      </x:c>
      <x:c r="S368" s="3">
        <x:f>R368+Q368</x:f>
      </x:c>
      <x:c r="T368" s="3">
        <x:f>I368-S368</x:f>
      </x:c>
      <x:c r="U368" s="255"/>
    </x:row>
    <x:row r="369" spans="1:21" ht="21" customHeight="1" x14ac:dyDescent="0.2">
      <x:c r="A369" s="253">
        <x:f>+'Banka Lis.'!B368</x:f>
      </x:c>
      <x:c r="B369" s="253">
        <x:f>+Puantaj!C369</x:f>
      </x:c>
      <x:c r="C369" s="4">
        <x:f>+Puantaj!D369</x:f>
      </x:c>
      <x:c r="D369" s="4">
        <x:f>+Puantaj!E369</x:f>
      </x:c>
      <x:c r="E369" s="4">
        <x:f>+'Banka Lis.'!H368</x:f>
      </x:c>
      <x:c r="F369" s="254">
        <x:f>+Puantaj!AK369</x:f>
      </x:c>
      <x:c r="G369" s="33">
        <x:f>F369*1083</x:f>
      </x:c>
      <x:c r="H369" s="62">
        <x:f>G369*0.055</x:f>
      </x:c>
      <x:c r="I369" s="3">
        <x:f>G369+H369</x:f>
      </x:c>
      <x:c r="J369" s="3">
        <x:f>+G369</x:f>
      </x:c>
      <x:c r="K369" s="3">
        <x:f>J369*0.15</x:f>
      </x:c>
      <x:c r="L369" s="3">
        <x:f>IF(J369*0.15&gt;K369,K369,J369*0.15)</x:f>
      </x:c>
      <x:c r="M369" s="65">
        <x:f>IF(K369-L369&gt;0,K369-L369,0)</x:f>
      </x:c>
      <x:c r="N369" s="3">
        <x:f>G369*0.00759</x:f>
      </x:c>
      <x:c r="O369" s="3">
        <x:f>IF(G369*0.00759&gt;G369,197.38,G369*0.00759)</x:f>
      </x:c>
      <x:c r="P369" s="3">
        <x:f>IF(N369-O369&gt;0,N369-O369,0)</x:f>
      </x:c>
      <x:c r="Q369" s="65">
        <x:f>+H369</x:f>
      </x:c>
      <x:c r="R369" s="65">
        <x:v>0</x:v>
      </x:c>
      <x:c r="S369" s="3">
        <x:f>R369+Q369</x:f>
      </x:c>
      <x:c r="T369" s="3">
        <x:f>I369-S369</x:f>
      </x:c>
      <x:c r="U369" s="255"/>
    </x:row>
    <x:row r="370" spans="1:21" ht="21" customHeight="1" x14ac:dyDescent="0.2">
      <x:c r="A370" s="253">
        <x:f>+'Banka Lis.'!B369</x:f>
      </x:c>
      <x:c r="B370" s="253">
        <x:f>+Puantaj!C370</x:f>
      </x:c>
      <x:c r="C370" s="4">
        <x:f>+Puantaj!D370</x:f>
      </x:c>
      <x:c r="D370" s="4">
        <x:f>+Puantaj!E370</x:f>
      </x:c>
      <x:c r="E370" s="4">
        <x:f>+'Banka Lis.'!H369</x:f>
      </x:c>
      <x:c r="F370" s="254">
        <x:f>+Puantaj!AK370</x:f>
      </x:c>
      <x:c r="G370" s="33">
        <x:f>F370*1083</x:f>
      </x:c>
      <x:c r="H370" s="62">
        <x:f>G370*0.055</x:f>
      </x:c>
      <x:c r="I370" s="3">
        <x:f>G370+H370</x:f>
      </x:c>
      <x:c r="J370" s="3">
        <x:f>+G370</x:f>
      </x:c>
      <x:c r="K370" s="3">
        <x:f>J370*0.15</x:f>
      </x:c>
      <x:c r="L370" s="3">
        <x:f>IF(J370*0.15&gt;K370,K370,J370*0.15)</x:f>
      </x:c>
      <x:c r="M370" s="65">
        <x:f>IF(K370-L370&gt;0,K370-L370,0)</x:f>
      </x:c>
      <x:c r="N370" s="3">
        <x:f>G370*0.00759</x:f>
      </x:c>
      <x:c r="O370" s="3">
        <x:f>IF(G370*0.00759&gt;G370,197.38,G370*0.00759)</x:f>
      </x:c>
      <x:c r="P370" s="3">
        <x:f>IF(N370-O370&gt;0,N370-O370,0)</x:f>
      </x:c>
      <x:c r="Q370" s="65">
        <x:f>+H370</x:f>
      </x:c>
      <x:c r="R370" s="65">
        <x:v>0</x:v>
      </x:c>
      <x:c r="S370" s="3">
        <x:f>R370+Q370</x:f>
      </x:c>
      <x:c r="T370" s="3">
        <x:f>I370-S370</x:f>
      </x:c>
      <x:c r="U370" s="255"/>
    </x:row>
    <x:row r="371" spans="1:21" ht="21" customHeight="1" x14ac:dyDescent="0.2">
      <x:c r="A371" s="253">
        <x:f>+'Banka Lis.'!B370</x:f>
      </x:c>
      <x:c r="B371" s="253">
        <x:f>+Puantaj!C371</x:f>
      </x:c>
      <x:c r="C371" s="4">
        <x:f>+Puantaj!D371</x:f>
      </x:c>
      <x:c r="D371" s="4">
        <x:f>+Puantaj!E371</x:f>
      </x:c>
      <x:c r="E371" s="4">
        <x:f>+'Banka Lis.'!H370</x:f>
      </x:c>
      <x:c r="F371" s="254">
        <x:f>+Puantaj!AK371</x:f>
      </x:c>
      <x:c r="G371" s="33">
        <x:f>F371*1083</x:f>
      </x:c>
      <x:c r="H371" s="62">
        <x:f>G371*0.055</x:f>
      </x:c>
      <x:c r="I371" s="3">
        <x:f>G371+H371</x:f>
      </x:c>
      <x:c r="J371" s="3">
        <x:f>+G371</x:f>
      </x:c>
      <x:c r="K371" s="3">
        <x:f>J371*0.15</x:f>
      </x:c>
      <x:c r="L371" s="3">
        <x:f>IF(J371*0.15&gt;K371,K371,J371*0.15)</x:f>
      </x:c>
      <x:c r="M371" s="65">
        <x:f>IF(K371-L371&gt;0,K371-L371,0)</x:f>
      </x:c>
      <x:c r="N371" s="3">
        <x:f>G371*0.00759</x:f>
      </x:c>
      <x:c r="O371" s="3">
        <x:f>IF(G371*0.00759&gt;G371,197.38,G371*0.00759)</x:f>
      </x:c>
      <x:c r="P371" s="3">
        <x:f>IF(N371-O371&gt;0,N371-O371,0)</x:f>
      </x:c>
      <x:c r="Q371" s="65">
        <x:f>+H371</x:f>
      </x:c>
      <x:c r="R371" s="65">
        <x:v>0</x:v>
      </x:c>
      <x:c r="S371" s="3">
        <x:f>R371+Q371</x:f>
      </x:c>
      <x:c r="T371" s="3">
        <x:f>I371-S371</x:f>
      </x:c>
      <x:c r="U371" s="255"/>
    </x:row>
    <x:row r="372" spans="1:21" ht="21" customHeight="1" x14ac:dyDescent="0.2">
      <x:c r="A372" s="253">
        <x:f>+'Banka Lis.'!B371</x:f>
      </x:c>
      <x:c r="B372" s="253">
        <x:f>+Puantaj!C372</x:f>
      </x:c>
      <x:c r="C372" s="4">
        <x:f>+Puantaj!D372</x:f>
      </x:c>
      <x:c r="D372" s="4">
        <x:f>+Puantaj!E372</x:f>
      </x:c>
      <x:c r="E372" s="4">
        <x:f>+'Banka Lis.'!H371</x:f>
      </x:c>
      <x:c r="F372" s="254">
        <x:f>+Puantaj!AK372</x:f>
      </x:c>
      <x:c r="G372" s="33">
        <x:f>F372*1083</x:f>
      </x:c>
      <x:c r="H372" s="62">
        <x:f>G372*0.055</x:f>
      </x:c>
      <x:c r="I372" s="3">
        <x:f>G372+H372</x:f>
      </x:c>
      <x:c r="J372" s="3">
        <x:f>+G372</x:f>
      </x:c>
      <x:c r="K372" s="3">
        <x:f>J372*0.15</x:f>
      </x:c>
      <x:c r="L372" s="3">
        <x:f>IF(J372*0.15&gt;K372,K372,J372*0.15)</x:f>
      </x:c>
      <x:c r="M372" s="65">
        <x:f>IF(K372-L372&gt;0,K372-L372,0)</x:f>
      </x:c>
      <x:c r="N372" s="3">
        <x:f>G372*0.00759</x:f>
      </x:c>
      <x:c r="O372" s="3">
        <x:f>IF(G372*0.00759&gt;G372,197.38,G372*0.00759)</x:f>
      </x:c>
      <x:c r="P372" s="3">
        <x:f>IF(N372-O372&gt;0,N372-O372,0)</x:f>
      </x:c>
      <x:c r="Q372" s="65">
        <x:f>+H372</x:f>
      </x:c>
      <x:c r="R372" s="65">
        <x:v>0</x:v>
      </x:c>
      <x:c r="S372" s="3">
        <x:f>R372+Q372</x:f>
      </x:c>
      <x:c r="T372" s="3">
        <x:f>I372-S372</x:f>
      </x:c>
      <x:c r="U372" s="255"/>
    </x:row>
    <x:row r="373" spans="1:21" ht="21" customHeight="1" x14ac:dyDescent="0.2">
      <x:c r="A373" s="253">
        <x:f>+'Banka Lis.'!B372</x:f>
      </x:c>
      <x:c r="B373" s="253">
        <x:f>+Puantaj!C373</x:f>
      </x:c>
      <x:c r="C373" s="4">
        <x:f>+Puantaj!D373</x:f>
      </x:c>
      <x:c r="D373" s="4">
        <x:f>+Puantaj!E373</x:f>
      </x:c>
      <x:c r="E373" s="4">
        <x:f>+'Banka Lis.'!H372</x:f>
      </x:c>
      <x:c r="F373" s="254">
        <x:f>+Puantaj!AK373</x:f>
      </x:c>
      <x:c r="G373" s="33">
        <x:f>F373*1083</x:f>
      </x:c>
      <x:c r="H373" s="62">
        <x:f>G373*0.055</x:f>
      </x:c>
      <x:c r="I373" s="3">
        <x:f>G373+H373</x:f>
      </x:c>
      <x:c r="J373" s="3">
        <x:f>+G373</x:f>
      </x:c>
      <x:c r="K373" s="3">
        <x:f>J373*0.15</x:f>
      </x:c>
      <x:c r="L373" s="3">
        <x:f>IF(J373*0.15&gt;K373,K373,J373*0.15)</x:f>
      </x:c>
      <x:c r="M373" s="65">
        <x:f>IF(K373-L373&gt;0,K373-L373,0)</x:f>
      </x:c>
      <x:c r="N373" s="3">
        <x:f>G373*0.00759</x:f>
      </x:c>
      <x:c r="O373" s="3">
        <x:f>IF(G373*0.00759&gt;G373,197.38,G373*0.00759)</x:f>
      </x:c>
      <x:c r="P373" s="3">
        <x:f>IF(N373-O373&gt;0,N373-O373,0)</x:f>
      </x:c>
      <x:c r="Q373" s="65">
        <x:f>+H373</x:f>
      </x:c>
      <x:c r="R373" s="65">
        <x:v>0</x:v>
      </x:c>
      <x:c r="S373" s="3">
        <x:f>R373+Q373</x:f>
      </x:c>
      <x:c r="T373" s="3">
        <x:f>I373-S373</x:f>
      </x:c>
      <x:c r="U373" s="255"/>
    </x:row>
    <x:row r="374" spans="1:21" ht="21" customHeight="1" x14ac:dyDescent="0.2">
      <x:c r="A374" s="253">
        <x:f>+'Banka Lis.'!B373</x:f>
      </x:c>
      <x:c r="B374" s="253">
        <x:f>+Puantaj!C374</x:f>
      </x:c>
      <x:c r="C374" s="4">
        <x:f>+Puantaj!D374</x:f>
      </x:c>
      <x:c r="D374" s="4">
        <x:f>+Puantaj!E374</x:f>
      </x:c>
      <x:c r="E374" s="4">
        <x:f>+'Banka Lis.'!H373</x:f>
      </x:c>
      <x:c r="F374" s="254">
        <x:f>+Puantaj!AK374</x:f>
      </x:c>
      <x:c r="G374" s="33">
        <x:f>F374*1083</x:f>
      </x:c>
      <x:c r="H374" s="62">
        <x:f>G374*0.055</x:f>
      </x:c>
      <x:c r="I374" s="3">
        <x:f>G374+H374</x:f>
      </x:c>
      <x:c r="J374" s="3">
        <x:f>+G374</x:f>
      </x:c>
      <x:c r="K374" s="3">
        <x:f>J374*0.15</x:f>
      </x:c>
      <x:c r="L374" s="3">
        <x:f>IF(J374*0.15&gt;K374,K374,J374*0.15)</x:f>
      </x:c>
      <x:c r="M374" s="65">
        <x:f>IF(K374-L374&gt;0,K374-L374,0)</x:f>
      </x:c>
      <x:c r="N374" s="3">
        <x:f>G374*0.00759</x:f>
      </x:c>
      <x:c r="O374" s="3">
        <x:f>IF(G374*0.00759&gt;G374,197.38,G374*0.00759)</x:f>
      </x:c>
      <x:c r="P374" s="3">
        <x:f>IF(N374-O374&gt;0,N374-O374,0)</x:f>
      </x:c>
      <x:c r="Q374" s="65">
        <x:f>+H374</x:f>
      </x:c>
      <x:c r="R374" s="65">
        <x:v>0</x:v>
      </x:c>
      <x:c r="S374" s="3">
        <x:f>R374+Q374</x:f>
      </x:c>
      <x:c r="T374" s="3">
        <x:f>I374-S374</x:f>
      </x:c>
      <x:c r="U374" s="255"/>
    </x:row>
    <x:row r="375" spans="1:21" ht="21" customHeight="1" x14ac:dyDescent="0.2">
      <x:c r="A375" s="253">
        <x:f>+'Banka Lis.'!B374</x:f>
      </x:c>
      <x:c r="B375" s="253">
        <x:f>+Puantaj!C375</x:f>
      </x:c>
      <x:c r="C375" s="4">
        <x:f>+Puantaj!D375</x:f>
      </x:c>
      <x:c r="D375" s="4">
        <x:f>+Puantaj!E375</x:f>
      </x:c>
      <x:c r="E375" s="4">
        <x:f>+'Banka Lis.'!H374</x:f>
      </x:c>
      <x:c r="F375" s="254">
        <x:f>+Puantaj!AK375</x:f>
      </x:c>
      <x:c r="G375" s="33">
        <x:f>F375*1083</x:f>
      </x:c>
      <x:c r="H375" s="62">
        <x:f>G375*0.055</x:f>
      </x:c>
      <x:c r="I375" s="3">
        <x:f>G375+H375</x:f>
      </x:c>
      <x:c r="J375" s="3">
        <x:f>+G375</x:f>
      </x:c>
      <x:c r="K375" s="3">
        <x:f>J375*0.15</x:f>
      </x:c>
      <x:c r="L375" s="3">
        <x:f>IF(J375*0.15&gt;K375,K375,J375*0.15)</x:f>
      </x:c>
      <x:c r="M375" s="65">
        <x:f>IF(K375-L375&gt;0,K375-L375,0)</x:f>
      </x:c>
      <x:c r="N375" s="3">
        <x:f>G375*0.00759</x:f>
      </x:c>
      <x:c r="O375" s="3">
        <x:f>IF(G375*0.00759&gt;G375,197.38,G375*0.00759)</x:f>
      </x:c>
      <x:c r="P375" s="3">
        <x:f>IF(N375-O375&gt;0,N375-O375,0)</x:f>
      </x:c>
      <x:c r="Q375" s="65">
        <x:f>+H375</x:f>
      </x:c>
      <x:c r="R375" s="65">
        <x:v>0</x:v>
      </x:c>
      <x:c r="S375" s="3">
        <x:f>R375+Q375</x:f>
      </x:c>
      <x:c r="T375" s="3">
        <x:f>I375-S375</x:f>
      </x:c>
      <x:c r="U375" s="255"/>
    </x:row>
    <x:row r="376" spans="1:21" ht="21" customHeight="1" x14ac:dyDescent="0.2">
      <x:c r="A376" s="253">
        <x:f>+'Banka Lis.'!B375</x:f>
      </x:c>
      <x:c r="B376" s="253">
        <x:f>+Puantaj!C376</x:f>
      </x:c>
      <x:c r="C376" s="4">
        <x:f>+Puantaj!D376</x:f>
      </x:c>
      <x:c r="D376" s="4">
        <x:f>+Puantaj!E376</x:f>
      </x:c>
      <x:c r="E376" s="4">
        <x:f>+'Banka Lis.'!H375</x:f>
      </x:c>
      <x:c r="F376" s="254">
        <x:f>+Puantaj!AK376</x:f>
      </x:c>
      <x:c r="G376" s="33">
        <x:f>F376*1083</x:f>
      </x:c>
      <x:c r="H376" s="62">
        <x:f>G376*0.055</x:f>
      </x:c>
      <x:c r="I376" s="3">
        <x:f>G376+H376</x:f>
      </x:c>
      <x:c r="J376" s="3">
        <x:f>+G376</x:f>
      </x:c>
      <x:c r="K376" s="3">
        <x:f>J376*0.15</x:f>
      </x:c>
      <x:c r="L376" s="3">
        <x:f>IF(J376*0.15&gt;K376,K376,J376*0.15)</x:f>
      </x:c>
      <x:c r="M376" s="65">
        <x:f>IF(K376-L376&gt;0,K376-L376,0)</x:f>
      </x:c>
      <x:c r="N376" s="3">
        <x:f>G376*0.00759</x:f>
      </x:c>
      <x:c r="O376" s="3">
        <x:f>IF(G376*0.00759&gt;G376,197.38,G376*0.00759)</x:f>
      </x:c>
      <x:c r="P376" s="3">
        <x:f>IF(N376-O376&gt;0,N376-O376,0)</x:f>
      </x:c>
      <x:c r="Q376" s="65">
        <x:f>+H376</x:f>
      </x:c>
      <x:c r="R376" s="65">
        <x:v>0</x:v>
      </x:c>
      <x:c r="S376" s="3">
        <x:f>R376+Q376</x:f>
      </x:c>
      <x:c r="T376" s="3">
        <x:f>I376-S376</x:f>
      </x:c>
      <x:c r="U376" s="255"/>
    </x:row>
    <x:row r="377" spans="1:21" ht="21" customHeight="1" x14ac:dyDescent="0.2">
      <x:c r="A377" s="253">
        <x:f>+'Banka Lis.'!B376</x:f>
      </x:c>
      <x:c r="B377" s="253">
        <x:f>+Puantaj!C377</x:f>
      </x:c>
      <x:c r="C377" s="4">
        <x:f>+Puantaj!D377</x:f>
      </x:c>
      <x:c r="D377" s="4">
        <x:f>+Puantaj!E377</x:f>
      </x:c>
      <x:c r="E377" s="4">
        <x:f>+'Banka Lis.'!H376</x:f>
      </x:c>
      <x:c r="F377" s="254">
        <x:f>+Puantaj!AK377</x:f>
      </x:c>
      <x:c r="G377" s="33">
        <x:f>F377*1083</x:f>
      </x:c>
      <x:c r="H377" s="62">
        <x:f>G377*0.055</x:f>
      </x:c>
      <x:c r="I377" s="3">
        <x:f>G377+H377</x:f>
      </x:c>
      <x:c r="J377" s="3">
        <x:f>+G377</x:f>
      </x:c>
      <x:c r="K377" s="3">
        <x:f>J377*0.15</x:f>
      </x:c>
      <x:c r="L377" s="3">
        <x:f>IF(J377*0.15&gt;K377,K377,J377*0.15)</x:f>
      </x:c>
      <x:c r="M377" s="65">
        <x:f>IF(K377-L377&gt;0,K377-L377,0)</x:f>
      </x:c>
      <x:c r="N377" s="3">
        <x:f>G377*0.00759</x:f>
      </x:c>
      <x:c r="O377" s="3">
        <x:f>IF(G377*0.00759&gt;G377,197.38,G377*0.00759)</x:f>
      </x:c>
      <x:c r="P377" s="3">
        <x:f>IF(N377-O377&gt;0,N377-O377,0)</x:f>
      </x:c>
      <x:c r="Q377" s="65">
        <x:f>+H377</x:f>
      </x:c>
      <x:c r="R377" s="65">
        <x:v>0</x:v>
      </x:c>
      <x:c r="S377" s="3">
        <x:f>R377+Q377</x:f>
      </x:c>
      <x:c r="T377" s="3">
        <x:f>I377-S377</x:f>
      </x:c>
      <x:c r="U377" s="255"/>
    </x:row>
    <x:row r="378" spans="1:21" ht="21" customHeight="1" x14ac:dyDescent="0.2">
      <x:c r="A378" s="253">
        <x:f>+'Banka Lis.'!B377</x:f>
      </x:c>
      <x:c r="B378" s="253">
        <x:f>+Puantaj!C378</x:f>
      </x:c>
      <x:c r="C378" s="4">
        <x:f>+Puantaj!D378</x:f>
      </x:c>
      <x:c r="D378" s="4">
        <x:f>+Puantaj!E378</x:f>
      </x:c>
      <x:c r="E378" s="4">
        <x:f>+'Banka Lis.'!H377</x:f>
      </x:c>
      <x:c r="F378" s="254">
        <x:f>+Puantaj!AK378</x:f>
      </x:c>
      <x:c r="G378" s="33">
        <x:f>F378*1083</x:f>
      </x:c>
      <x:c r="H378" s="62">
        <x:f>G378*0.055</x:f>
      </x:c>
      <x:c r="I378" s="3">
        <x:f>G378+H378</x:f>
      </x:c>
      <x:c r="J378" s="3">
        <x:f>+G378</x:f>
      </x:c>
      <x:c r="K378" s="3">
        <x:f>J378*0.15</x:f>
      </x:c>
      <x:c r="L378" s="3">
        <x:f>IF(J378*0.15&gt;K378,K378,J378*0.15)</x:f>
      </x:c>
      <x:c r="M378" s="65">
        <x:f>IF(K378-L378&gt;0,K378-L378,0)</x:f>
      </x:c>
      <x:c r="N378" s="3">
        <x:f>G378*0.00759</x:f>
      </x:c>
      <x:c r="O378" s="3">
        <x:f>IF(G378*0.00759&gt;G378,197.38,G378*0.00759)</x:f>
      </x:c>
      <x:c r="P378" s="3">
        <x:f>IF(N378-O378&gt;0,N378-O378,0)</x:f>
      </x:c>
      <x:c r="Q378" s="65">
        <x:f>+H378</x:f>
      </x:c>
      <x:c r="R378" s="65">
        <x:v>0</x:v>
      </x:c>
      <x:c r="S378" s="3">
        <x:f>R378+Q378</x:f>
      </x:c>
      <x:c r="T378" s="3">
        <x:f>I378-S378</x:f>
      </x:c>
      <x:c r="U378" s="255"/>
    </x:row>
    <x:row r="379" spans="1:21" ht="21" customHeight="1" x14ac:dyDescent="0.2">
      <x:c r="A379" s="253">
        <x:f>+'Banka Lis.'!B378</x:f>
      </x:c>
      <x:c r="B379" s="253">
        <x:f>+Puantaj!C379</x:f>
      </x:c>
      <x:c r="C379" s="4">
        <x:f>+Puantaj!D379</x:f>
      </x:c>
      <x:c r="D379" s="4">
        <x:f>+Puantaj!E379</x:f>
      </x:c>
      <x:c r="E379" s="4">
        <x:f>+'Banka Lis.'!H378</x:f>
      </x:c>
      <x:c r="F379" s="254">
        <x:f>+Puantaj!AK379</x:f>
      </x:c>
      <x:c r="G379" s="33">
        <x:f>F379*1083</x:f>
      </x:c>
      <x:c r="H379" s="62">
        <x:f>G379*0.055</x:f>
      </x:c>
      <x:c r="I379" s="3">
        <x:f>G379+H379</x:f>
      </x:c>
      <x:c r="J379" s="3">
        <x:f>+G379</x:f>
      </x:c>
      <x:c r="K379" s="3">
        <x:f>J379*0.15</x:f>
      </x:c>
      <x:c r="L379" s="3">
        <x:f>IF(J379*0.15&gt;K379,K379,J379*0.15)</x:f>
      </x:c>
      <x:c r="M379" s="65">
        <x:f>IF(K379-L379&gt;0,K379-L379,0)</x:f>
      </x:c>
      <x:c r="N379" s="3">
        <x:f>G379*0.00759</x:f>
      </x:c>
      <x:c r="O379" s="3">
        <x:f>IF(G379*0.00759&gt;G379,197.38,G379*0.00759)</x:f>
      </x:c>
      <x:c r="P379" s="3">
        <x:f>IF(N379-O379&gt;0,N379-O379,0)</x:f>
      </x:c>
      <x:c r="Q379" s="65">
        <x:f>+H379</x:f>
      </x:c>
      <x:c r="R379" s="65">
        <x:v>0</x:v>
      </x:c>
      <x:c r="S379" s="3">
        <x:f>R379+Q379</x:f>
      </x:c>
      <x:c r="T379" s="3">
        <x:f>I379-S379</x:f>
      </x:c>
      <x:c r="U379" s="255"/>
    </x:row>
    <x:row r="380" spans="1:21" ht="21" customHeight="1" x14ac:dyDescent="0.2">
      <x:c r="A380" s="253">
        <x:f>+'Banka Lis.'!B379</x:f>
      </x:c>
      <x:c r="B380" s="253">
        <x:f>+Puantaj!C380</x:f>
      </x:c>
      <x:c r="C380" s="4">
        <x:f>+Puantaj!D380</x:f>
      </x:c>
      <x:c r="D380" s="4">
        <x:f>+Puantaj!E380</x:f>
      </x:c>
      <x:c r="E380" s="4">
        <x:f>+'Banka Lis.'!H379</x:f>
      </x:c>
      <x:c r="F380" s="254">
        <x:f>+Puantaj!AK380</x:f>
      </x:c>
      <x:c r="G380" s="33">
        <x:f>F380*1083</x:f>
      </x:c>
      <x:c r="H380" s="62">
        <x:f>G380*0.055</x:f>
      </x:c>
      <x:c r="I380" s="3">
        <x:f>G380+H380</x:f>
      </x:c>
      <x:c r="J380" s="3">
        <x:f>+G380</x:f>
      </x:c>
      <x:c r="K380" s="3">
        <x:f>J380*0.15</x:f>
      </x:c>
      <x:c r="L380" s="3">
        <x:f>IF(J380*0.15&gt;K380,K380,J380*0.15)</x:f>
      </x:c>
      <x:c r="M380" s="65">
        <x:f>IF(K380-L380&gt;0,K380-L380,0)</x:f>
      </x:c>
      <x:c r="N380" s="3">
        <x:f>G380*0.00759</x:f>
      </x:c>
      <x:c r="O380" s="3">
        <x:f>IF(G380*0.00759&gt;G380,197.38,G380*0.00759)</x:f>
      </x:c>
      <x:c r="P380" s="3">
        <x:f>IF(N380-O380&gt;0,N380-O380,0)</x:f>
      </x:c>
      <x:c r="Q380" s="65">
        <x:f>+H380</x:f>
      </x:c>
      <x:c r="R380" s="65">
        <x:v>0</x:v>
      </x:c>
      <x:c r="S380" s="3">
        <x:f>R380+Q380</x:f>
      </x:c>
      <x:c r="T380" s="3">
        <x:f>I380-S380</x:f>
      </x:c>
      <x:c r="U380" s="255"/>
    </x:row>
    <x:row r="381" spans="1:21" ht="21" customHeight="1" x14ac:dyDescent="0.2">
      <x:c r="A381" s="253">
        <x:f>+'Banka Lis.'!B380</x:f>
      </x:c>
      <x:c r="B381" s="253">
        <x:f>+Puantaj!C381</x:f>
      </x:c>
      <x:c r="C381" s="4">
        <x:f>+Puantaj!D381</x:f>
      </x:c>
      <x:c r="D381" s="4">
        <x:f>+Puantaj!E381</x:f>
      </x:c>
      <x:c r="E381" s="4">
        <x:f>+'Banka Lis.'!H380</x:f>
      </x:c>
      <x:c r="F381" s="254">
        <x:f>+Puantaj!AK381</x:f>
      </x:c>
      <x:c r="G381" s="33">
        <x:f>F381*1083</x:f>
      </x:c>
      <x:c r="H381" s="62">
        <x:f>G381*0.055</x:f>
      </x:c>
      <x:c r="I381" s="3">
        <x:f>G381+H381</x:f>
      </x:c>
      <x:c r="J381" s="3">
        <x:f>+G381</x:f>
      </x:c>
      <x:c r="K381" s="3">
        <x:f>J381*0.15</x:f>
      </x:c>
      <x:c r="L381" s="3">
        <x:f>IF(J381*0.15&gt;K381,K381,J381*0.15)</x:f>
      </x:c>
      <x:c r="M381" s="65">
        <x:f>IF(K381-L381&gt;0,K381-L381,0)</x:f>
      </x:c>
      <x:c r="N381" s="3">
        <x:f>G381*0.00759</x:f>
      </x:c>
      <x:c r="O381" s="3">
        <x:f>IF(G381*0.00759&gt;G381,197.38,G381*0.00759)</x:f>
      </x:c>
      <x:c r="P381" s="3">
        <x:f>IF(N381-O381&gt;0,N381-O381,0)</x:f>
      </x:c>
      <x:c r="Q381" s="65">
        <x:f>+H381</x:f>
      </x:c>
      <x:c r="R381" s="65">
        <x:v>0</x:v>
      </x:c>
      <x:c r="S381" s="3">
        <x:f>R381+Q381</x:f>
      </x:c>
      <x:c r="T381" s="3">
        <x:f>I381-S381</x:f>
      </x:c>
      <x:c r="U381" s="255"/>
    </x:row>
    <x:row r="382" spans="1:21" ht="21" customHeight="1" x14ac:dyDescent="0.2">
      <x:c r="A382" s="253">
        <x:f>+'Banka Lis.'!B381</x:f>
      </x:c>
      <x:c r="B382" s="253">
        <x:f>+Puantaj!C382</x:f>
      </x:c>
      <x:c r="C382" s="4">
        <x:f>+Puantaj!D382</x:f>
      </x:c>
      <x:c r="D382" s="4">
        <x:f>+Puantaj!E382</x:f>
      </x:c>
      <x:c r="E382" s="4">
        <x:f>+'Banka Lis.'!H381</x:f>
      </x:c>
      <x:c r="F382" s="254">
        <x:f>+Puantaj!AK382</x:f>
      </x:c>
      <x:c r="G382" s="33">
        <x:f>F382*1083</x:f>
      </x:c>
      <x:c r="H382" s="62">
        <x:f>G382*0.055</x:f>
      </x:c>
      <x:c r="I382" s="3">
        <x:f>G382+H382</x:f>
      </x:c>
      <x:c r="J382" s="3">
        <x:f>+G382</x:f>
      </x:c>
      <x:c r="K382" s="3">
        <x:f>J382*0.15</x:f>
      </x:c>
      <x:c r="L382" s="3">
        <x:f>IF(J382*0.15&gt;K382,K382,J382*0.15)</x:f>
      </x:c>
      <x:c r="M382" s="65">
        <x:f>IF(K382-L382&gt;0,K382-L382,0)</x:f>
      </x:c>
      <x:c r="N382" s="3">
        <x:f>G382*0.00759</x:f>
      </x:c>
      <x:c r="O382" s="3">
        <x:f>IF(G382*0.00759&gt;G382,197.38,G382*0.00759)</x:f>
      </x:c>
      <x:c r="P382" s="3">
        <x:f>IF(N382-O382&gt;0,N382-O382,0)</x:f>
      </x:c>
      <x:c r="Q382" s="65">
        <x:f>+H382</x:f>
      </x:c>
      <x:c r="R382" s="65">
        <x:v>0</x:v>
      </x:c>
      <x:c r="S382" s="3">
        <x:f>R382+Q382</x:f>
      </x:c>
      <x:c r="T382" s="3">
        <x:f>I382-S382</x:f>
      </x:c>
      <x:c r="U382" s="255"/>
    </x:row>
    <x:row r="383" spans="1:21" ht="21" customHeight="1" x14ac:dyDescent="0.2">
      <x:c r="A383" s="253">
        <x:f>+'Banka Lis.'!B382</x:f>
      </x:c>
      <x:c r="B383" s="253">
        <x:f>+Puantaj!C383</x:f>
      </x:c>
      <x:c r="C383" s="4">
        <x:f>+Puantaj!D383</x:f>
      </x:c>
      <x:c r="D383" s="4">
        <x:f>+Puantaj!E383</x:f>
      </x:c>
      <x:c r="E383" s="4">
        <x:f>+'Banka Lis.'!H382</x:f>
      </x:c>
      <x:c r="F383" s="254">
        <x:f>+Puantaj!AK383</x:f>
      </x:c>
      <x:c r="G383" s="33">
        <x:f>F383*1083</x:f>
      </x:c>
      <x:c r="H383" s="62">
        <x:f>G383*0.055</x:f>
      </x:c>
      <x:c r="I383" s="3">
        <x:f>G383+H383</x:f>
      </x:c>
      <x:c r="J383" s="3">
        <x:f>+G383</x:f>
      </x:c>
      <x:c r="K383" s="3">
        <x:f>J383*0.15</x:f>
      </x:c>
      <x:c r="L383" s="3">
        <x:f>IF(J383*0.15&gt;K383,K383,J383*0.15)</x:f>
      </x:c>
      <x:c r="M383" s="65">
        <x:f>IF(K383-L383&gt;0,K383-L383,0)</x:f>
      </x:c>
      <x:c r="N383" s="3">
        <x:f>G383*0.00759</x:f>
      </x:c>
      <x:c r="O383" s="3">
        <x:f>IF(G383*0.00759&gt;G383,197.38,G383*0.00759)</x:f>
      </x:c>
      <x:c r="P383" s="3">
        <x:f>IF(N383-O383&gt;0,N383-O383,0)</x:f>
      </x:c>
      <x:c r="Q383" s="65">
        <x:f>+H383</x:f>
      </x:c>
      <x:c r="R383" s="65">
        <x:v>0</x:v>
      </x:c>
      <x:c r="S383" s="3">
        <x:f>R383+Q383</x:f>
      </x:c>
      <x:c r="T383" s="3">
        <x:f>I383-S383</x:f>
      </x:c>
      <x:c r="U383" s="255"/>
    </x:row>
    <x:row r="384" spans="1:21" ht="21" customHeight="1" x14ac:dyDescent="0.2">
      <x:c r="A384" s="253">
        <x:f>+'Banka Lis.'!B383</x:f>
      </x:c>
      <x:c r="B384" s="253">
        <x:f>+Puantaj!C384</x:f>
      </x:c>
      <x:c r="C384" s="4">
        <x:f>+Puantaj!D384</x:f>
      </x:c>
      <x:c r="D384" s="4">
        <x:f>+Puantaj!E384</x:f>
      </x:c>
      <x:c r="E384" s="4">
        <x:f>+'Banka Lis.'!H383</x:f>
      </x:c>
      <x:c r="F384" s="254">
        <x:f>+Puantaj!AK384</x:f>
      </x:c>
      <x:c r="G384" s="33">
        <x:f>F384*1083</x:f>
      </x:c>
      <x:c r="H384" s="62">
        <x:f>G384*0.055</x:f>
      </x:c>
      <x:c r="I384" s="3">
        <x:f>G384+H384</x:f>
      </x:c>
      <x:c r="J384" s="3">
        <x:f>+G384</x:f>
      </x:c>
      <x:c r="K384" s="3">
        <x:f>J384*0.15</x:f>
      </x:c>
      <x:c r="L384" s="3">
        <x:f>IF(J384*0.15&gt;K384,K384,J384*0.15)</x:f>
      </x:c>
      <x:c r="M384" s="65">
        <x:f>IF(K384-L384&gt;0,K384-L384,0)</x:f>
      </x:c>
      <x:c r="N384" s="3">
        <x:f>G384*0.00759</x:f>
      </x:c>
      <x:c r="O384" s="3">
        <x:f>IF(G384*0.00759&gt;G384,197.38,G384*0.00759)</x:f>
      </x:c>
      <x:c r="P384" s="3">
        <x:f>IF(N384-O384&gt;0,N384-O384,0)</x:f>
      </x:c>
      <x:c r="Q384" s="65">
        <x:f>+H384</x:f>
      </x:c>
      <x:c r="R384" s="65">
        <x:v>0</x:v>
      </x:c>
      <x:c r="S384" s="3">
        <x:f>R384+Q384</x:f>
      </x:c>
      <x:c r="T384" s="3">
        <x:f>I384-S384</x:f>
      </x:c>
      <x:c r="U384" s="255"/>
    </x:row>
    <x:row r="385" spans="1:21" ht="21" customHeight="1" x14ac:dyDescent="0.2">
      <x:c r="A385" s="253">
        <x:f>+'Banka Lis.'!B384</x:f>
      </x:c>
      <x:c r="B385" s="253">
        <x:f>+Puantaj!C385</x:f>
      </x:c>
      <x:c r="C385" s="4">
        <x:f>+Puantaj!D385</x:f>
      </x:c>
      <x:c r="D385" s="4">
        <x:f>+Puantaj!E385</x:f>
      </x:c>
      <x:c r="E385" s="4">
        <x:f>+'Banka Lis.'!H384</x:f>
      </x:c>
      <x:c r="F385" s="254">
        <x:f>+Puantaj!AK385</x:f>
      </x:c>
      <x:c r="G385" s="33">
        <x:f>F385*1083</x:f>
      </x:c>
      <x:c r="H385" s="62">
        <x:f>G385*0.055</x:f>
      </x:c>
      <x:c r="I385" s="3">
        <x:f>G385+H385</x:f>
      </x:c>
      <x:c r="J385" s="3">
        <x:f>+G385</x:f>
      </x:c>
      <x:c r="K385" s="3">
        <x:f>J385*0.15</x:f>
      </x:c>
      <x:c r="L385" s="3">
        <x:f>IF(J385*0.15&gt;K385,K385,J385*0.15)</x:f>
      </x:c>
      <x:c r="M385" s="65">
        <x:f>IF(K385-L385&gt;0,K385-L385,0)</x:f>
      </x:c>
      <x:c r="N385" s="3">
        <x:f>G385*0.00759</x:f>
      </x:c>
      <x:c r="O385" s="3">
        <x:f>IF(G385*0.00759&gt;G385,197.38,G385*0.00759)</x:f>
      </x:c>
      <x:c r="P385" s="3">
        <x:f>IF(N385-O385&gt;0,N385-O385,0)</x:f>
      </x:c>
      <x:c r="Q385" s="65">
        <x:f>+H385</x:f>
      </x:c>
      <x:c r="R385" s="65">
        <x:v>0</x:v>
      </x:c>
      <x:c r="S385" s="3">
        <x:f>R385+Q385</x:f>
      </x:c>
      <x:c r="T385" s="3">
        <x:f>I385-S385</x:f>
      </x:c>
      <x:c r="U385" s="255"/>
    </x:row>
    <x:row r="386" spans="1:21" ht="21" customHeight="1" x14ac:dyDescent="0.2">
      <x:c r="A386" s="253">
        <x:f>+'Banka Lis.'!B385</x:f>
      </x:c>
      <x:c r="B386" s="253">
        <x:f>+Puantaj!C386</x:f>
      </x:c>
      <x:c r="C386" s="4">
        <x:f>+Puantaj!D386</x:f>
      </x:c>
      <x:c r="D386" s="4">
        <x:f>+Puantaj!E386</x:f>
      </x:c>
      <x:c r="E386" s="4">
        <x:f>+'Banka Lis.'!H385</x:f>
      </x:c>
      <x:c r="F386" s="254">
        <x:f>+Puantaj!AK386</x:f>
      </x:c>
      <x:c r="G386" s="33">
        <x:f>F386*1083</x:f>
      </x:c>
      <x:c r="H386" s="62">
        <x:f>G386*0.055</x:f>
      </x:c>
      <x:c r="I386" s="3">
        <x:f>G386+H386</x:f>
      </x:c>
      <x:c r="J386" s="3">
        <x:f>+G386</x:f>
      </x:c>
      <x:c r="K386" s="3">
        <x:f>J386*0.15</x:f>
      </x:c>
      <x:c r="L386" s="3">
        <x:f>IF(J386*0.15&gt;K386,K386,J386*0.15)</x:f>
      </x:c>
      <x:c r="M386" s="65">
        <x:f>IF(K386-L386&gt;0,K386-L386,0)</x:f>
      </x:c>
      <x:c r="N386" s="3">
        <x:f>G386*0.00759</x:f>
      </x:c>
      <x:c r="O386" s="3">
        <x:f>IF(G386*0.00759&gt;G386,197.38,G386*0.00759)</x:f>
      </x:c>
      <x:c r="P386" s="3">
        <x:f>IF(N386-O386&gt;0,N386-O386,0)</x:f>
      </x:c>
      <x:c r="Q386" s="65">
        <x:f>+H386</x:f>
      </x:c>
      <x:c r="R386" s="65">
        <x:v>0</x:v>
      </x:c>
      <x:c r="S386" s="3">
        <x:f>R386+Q386</x:f>
      </x:c>
      <x:c r="T386" s="3">
        <x:f>I386-S386</x:f>
      </x:c>
      <x:c r="U386" s="255"/>
    </x:row>
    <x:row r="387" spans="1:21" ht="21" customHeight="1" x14ac:dyDescent="0.2">
      <x:c r="A387" s="253">
        <x:f>+'Banka Lis.'!B386</x:f>
      </x:c>
      <x:c r="B387" s="253">
        <x:f>+Puantaj!C387</x:f>
      </x:c>
      <x:c r="C387" s="4">
        <x:f>+Puantaj!D387</x:f>
      </x:c>
      <x:c r="D387" s="4">
        <x:f>+Puantaj!E387</x:f>
      </x:c>
      <x:c r="E387" s="4">
        <x:f>+'Banka Lis.'!H386</x:f>
      </x:c>
      <x:c r="F387" s="254">
        <x:f>+Puantaj!AK387</x:f>
      </x:c>
      <x:c r="G387" s="33">
        <x:f>F387*1083</x:f>
      </x:c>
      <x:c r="H387" s="62">
        <x:f>G387*0.055</x:f>
      </x:c>
      <x:c r="I387" s="3">
        <x:f>G387+H387</x:f>
      </x:c>
      <x:c r="J387" s="3">
        <x:f>+G387</x:f>
      </x:c>
      <x:c r="K387" s="3">
        <x:f>J387*0.15</x:f>
      </x:c>
      <x:c r="L387" s="3">
        <x:f>IF(J387*0.15&gt;K387,K387,J387*0.15)</x:f>
      </x:c>
      <x:c r="M387" s="65">
        <x:f>IF(K387-L387&gt;0,K387-L387,0)</x:f>
      </x:c>
      <x:c r="N387" s="3">
        <x:f>G387*0.00759</x:f>
      </x:c>
      <x:c r="O387" s="3">
        <x:f>IF(G387*0.00759&gt;G387,197.38,G387*0.00759)</x:f>
      </x:c>
      <x:c r="P387" s="3">
        <x:f>IF(N387-O387&gt;0,N387-O387,0)</x:f>
      </x:c>
      <x:c r="Q387" s="65">
        <x:f>+H387</x:f>
      </x:c>
      <x:c r="R387" s="65">
        <x:v>0</x:v>
      </x:c>
      <x:c r="S387" s="3">
        <x:f>R387+Q387</x:f>
      </x:c>
      <x:c r="T387" s="3">
        <x:f>I387-S387</x:f>
      </x:c>
      <x:c r="U387" s="255"/>
    </x:row>
    <x:row r="388" spans="1:21" ht="21" customHeight="1" x14ac:dyDescent="0.2">
      <x:c r="A388" s="253">
        <x:f>+'Banka Lis.'!B387</x:f>
      </x:c>
      <x:c r="B388" s="253">
        <x:f>+Puantaj!C388</x:f>
      </x:c>
      <x:c r="C388" s="4">
        <x:f>+Puantaj!D388</x:f>
      </x:c>
      <x:c r="D388" s="4">
        <x:f>+Puantaj!E388</x:f>
      </x:c>
      <x:c r="E388" s="4">
        <x:f>+'Banka Lis.'!H387</x:f>
      </x:c>
      <x:c r="F388" s="254">
        <x:f>+Puantaj!AK388</x:f>
      </x:c>
      <x:c r="G388" s="33">
        <x:f>F388*1083</x:f>
      </x:c>
      <x:c r="H388" s="62">
        <x:f>G388*0.055</x:f>
      </x:c>
      <x:c r="I388" s="3">
        <x:f>G388+H388</x:f>
      </x:c>
      <x:c r="J388" s="3">
        <x:f>+G388</x:f>
      </x:c>
      <x:c r="K388" s="3">
        <x:f>J388*0.15</x:f>
      </x:c>
      <x:c r="L388" s="3">
        <x:f>IF(J388*0.15&gt;K388,K388,J388*0.15)</x:f>
      </x:c>
      <x:c r="M388" s="65">
        <x:f>IF(K388-L388&gt;0,K388-L388,0)</x:f>
      </x:c>
      <x:c r="N388" s="3">
        <x:f>G388*0.00759</x:f>
      </x:c>
      <x:c r="O388" s="3">
        <x:f>IF(G388*0.00759&gt;G388,197.38,G388*0.00759)</x:f>
      </x:c>
      <x:c r="P388" s="3">
        <x:f>IF(N388-O388&gt;0,N388-O388,0)</x:f>
      </x:c>
      <x:c r="Q388" s="65">
        <x:f>+H388</x:f>
      </x:c>
      <x:c r="R388" s="65">
        <x:v>0</x:v>
      </x:c>
      <x:c r="S388" s="3">
        <x:f>R388+Q388</x:f>
      </x:c>
      <x:c r="T388" s="3">
        <x:f>I388-S388</x:f>
      </x:c>
      <x:c r="U388" s="255"/>
    </x:row>
    <x:row r="389" spans="1:21" ht="21" customHeight="1" x14ac:dyDescent="0.2">
      <x:c r="A389" s="253">
        <x:f>+'Banka Lis.'!B388</x:f>
      </x:c>
      <x:c r="B389" s="253">
        <x:f>+Puantaj!C389</x:f>
      </x:c>
      <x:c r="C389" s="4">
        <x:f>+Puantaj!D389</x:f>
      </x:c>
      <x:c r="D389" s="4">
        <x:f>+Puantaj!E389</x:f>
      </x:c>
      <x:c r="E389" s="4">
        <x:f>+'Banka Lis.'!H388</x:f>
      </x:c>
      <x:c r="F389" s="254">
        <x:f>+Puantaj!AK389</x:f>
      </x:c>
      <x:c r="G389" s="33">
        <x:f>F389*1083</x:f>
      </x:c>
      <x:c r="H389" s="62">
        <x:f>G389*0.055</x:f>
      </x:c>
      <x:c r="I389" s="3">
        <x:f>G389+H389</x:f>
      </x:c>
      <x:c r="J389" s="3">
        <x:f>+G389</x:f>
      </x:c>
      <x:c r="K389" s="3">
        <x:f>J389*0.15</x:f>
      </x:c>
      <x:c r="L389" s="3">
        <x:f>IF(J389*0.15&gt;K389,K389,J389*0.15)</x:f>
      </x:c>
      <x:c r="M389" s="65">
        <x:f>IF(K389-L389&gt;0,K389-L389,0)</x:f>
      </x:c>
      <x:c r="N389" s="3">
        <x:f>G389*0.00759</x:f>
      </x:c>
      <x:c r="O389" s="3">
        <x:f>IF(G389*0.00759&gt;G389,197.38,G389*0.00759)</x:f>
      </x:c>
      <x:c r="P389" s="3">
        <x:f>IF(N389-O389&gt;0,N389-O389,0)</x:f>
      </x:c>
      <x:c r="Q389" s="65">
        <x:f>+H389</x:f>
      </x:c>
      <x:c r="R389" s="65">
        <x:v>0</x:v>
      </x:c>
      <x:c r="S389" s="3">
        <x:f>R389+Q389</x:f>
      </x:c>
      <x:c r="T389" s="3">
        <x:f>I389-S389</x:f>
      </x:c>
      <x:c r="U389" s="255"/>
    </x:row>
    <x:row r="390" spans="1:21" ht="21" customHeight="1" x14ac:dyDescent="0.2">
      <x:c r="A390" s="253">
        <x:f>+'Banka Lis.'!B389</x:f>
      </x:c>
      <x:c r="B390" s="253">
        <x:f>+Puantaj!C390</x:f>
      </x:c>
      <x:c r="C390" s="4">
        <x:f>+Puantaj!D390</x:f>
      </x:c>
      <x:c r="D390" s="4">
        <x:f>+Puantaj!E390</x:f>
      </x:c>
      <x:c r="E390" s="4">
        <x:f>+'Banka Lis.'!H389</x:f>
      </x:c>
      <x:c r="F390" s="254">
        <x:f>+Puantaj!AK390</x:f>
      </x:c>
      <x:c r="G390" s="33">
        <x:f>F390*1083</x:f>
      </x:c>
      <x:c r="H390" s="62">
        <x:f>G390*0.055</x:f>
      </x:c>
      <x:c r="I390" s="3">
        <x:f>G390+H390</x:f>
      </x:c>
      <x:c r="J390" s="3">
        <x:f>+G390</x:f>
      </x:c>
      <x:c r="K390" s="3">
        <x:f>J390*0.15</x:f>
      </x:c>
      <x:c r="L390" s="3">
        <x:f>IF(J390*0.15&gt;K390,K390,J390*0.15)</x:f>
      </x:c>
      <x:c r="M390" s="65">
        <x:f>IF(K390-L390&gt;0,K390-L390,0)</x:f>
      </x:c>
      <x:c r="N390" s="3">
        <x:f>G390*0.00759</x:f>
      </x:c>
      <x:c r="O390" s="3">
        <x:f>IF(G390*0.00759&gt;G390,197.38,G390*0.00759)</x:f>
      </x:c>
      <x:c r="P390" s="3">
        <x:f>IF(N390-O390&gt;0,N390-O390,0)</x:f>
      </x:c>
      <x:c r="Q390" s="65">
        <x:f>+H390</x:f>
      </x:c>
      <x:c r="R390" s="65">
        <x:v>0</x:v>
      </x:c>
      <x:c r="S390" s="3">
        <x:f>R390+Q390</x:f>
      </x:c>
      <x:c r="T390" s="3">
        <x:f>I390-S390</x:f>
      </x:c>
      <x:c r="U390" s="255"/>
    </x:row>
    <x:row r="391" spans="1:21" ht="21" customHeight="1" x14ac:dyDescent="0.2">
      <x:c r="A391" s="253">
        <x:f>+'Banka Lis.'!B390</x:f>
      </x:c>
      <x:c r="B391" s="253">
        <x:f>+Puantaj!C391</x:f>
      </x:c>
      <x:c r="C391" s="4">
        <x:f>+Puantaj!D391</x:f>
      </x:c>
      <x:c r="D391" s="4">
        <x:f>+Puantaj!E391</x:f>
      </x:c>
      <x:c r="E391" s="4">
        <x:f>+'Banka Lis.'!H390</x:f>
      </x:c>
      <x:c r="F391" s="254">
        <x:f>+Puantaj!AK391</x:f>
      </x:c>
      <x:c r="G391" s="33">
        <x:f>F391*1083</x:f>
      </x:c>
      <x:c r="H391" s="62">
        <x:f>G391*0.055</x:f>
      </x:c>
      <x:c r="I391" s="3">
        <x:f>G391+H391</x:f>
      </x:c>
      <x:c r="J391" s="3">
        <x:f>+G391</x:f>
      </x:c>
      <x:c r="K391" s="3">
        <x:f>J391*0.15</x:f>
      </x:c>
      <x:c r="L391" s="3">
        <x:f>IF(J391*0.15&gt;K391,K391,J391*0.15)</x:f>
      </x:c>
      <x:c r="M391" s="65">
        <x:f>IF(K391-L391&gt;0,K391-L391,0)</x:f>
      </x:c>
      <x:c r="N391" s="3">
        <x:f>G391*0.00759</x:f>
      </x:c>
      <x:c r="O391" s="3">
        <x:f>IF(G391*0.00759&gt;G391,197.38,G391*0.00759)</x:f>
      </x:c>
      <x:c r="P391" s="3">
        <x:f>IF(N391-O391&gt;0,N391-O391,0)</x:f>
      </x:c>
      <x:c r="Q391" s="65">
        <x:f>+H391</x:f>
      </x:c>
      <x:c r="R391" s="65">
        <x:v>0</x:v>
      </x:c>
      <x:c r="S391" s="3">
        <x:f>R391+Q391</x:f>
      </x:c>
      <x:c r="T391" s="3">
        <x:f>I391-S391</x:f>
      </x:c>
      <x:c r="U391" s="255"/>
    </x:row>
    <x:row r="392" spans="1:21" ht="21" customHeight="1" x14ac:dyDescent="0.2">
      <x:c r="A392" s="253">
        <x:f>+'Banka Lis.'!B391</x:f>
      </x:c>
      <x:c r="B392" s="253">
        <x:f>+Puantaj!C392</x:f>
      </x:c>
      <x:c r="C392" s="4">
        <x:f>+Puantaj!D392</x:f>
      </x:c>
      <x:c r="D392" s="4">
        <x:f>+Puantaj!E392</x:f>
      </x:c>
      <x:c r="E392" s="4">
        <x:f>+'Banka Lis.'!H391</x:f>
      </x:c>
      <x:c r="F392" s="254">
        <x:f>+Puantaj!AK392</x:f>
      </x:c>
      <x:c r="G392" s="33">
        <x:f>F392*1083</x:f>
      </x:c>
      <x:c r="H392" s="62">
        <x:f>G392*0.055</x:f>
      </x:c>
      <x:c r="I392" s="3">
        <x:f>G392+H392</x:f>
      </x:c>
      <x:c r="J392" s="3">
        <x:f>+G392</x:f>
      </x:c>
      <x:c r="K392" s="3">
        <x:f>J392*0.15</x:f>
      </x:c>
      <x:c r="L392" s="3">
        <x:f>IF(J392*0.15&gt;K392,K392,J392*0.15)</x:f>
      </x:c>
      <x:c r="M392" s="65">
        <x:f>IF(K392-L392&gt;0,K392-L392,0)</x:f>
      </x:c>
      <x:c r="N392" s="3">
        <x:f>G392*0.00759</x:f>
      </x:c>
      <x:c r="O392" s="3">
        <x:f>IF(G392*0.00759&gt;G392,197.38,G392*0.00759)</x:f>
      </x:c>
      <x:c r="P392" s="3">
        <x:f>IF(N392-O392&gt;0,N392-O392,0)</x:f>
      </x:c>
      <x:c r="Q392" s="65">
        <x:f>+H392</x:f>
      </x:c>
      <x:c r="R392" s="65">
        <x:v>0</x:v>
      </x:c>
      <x:c r="S392" s="3">
        <x:f>R392+Q392</x:f>
      </x:c>
      <x:c r="T392" s="3">
        <x:f>I392-S392</x:f>
      </x:c>
      <x:c r="U392" s="255"/>
    </x:row>
    <x:row r="393" spans="1:21" ht="21" customHeight="1" x14ac:dyDescent="0.2">
      <x:c r="A393" s="253">
        <x:f>+'Banka Lis.'!B392</x:f>
      </x:c>
      <x:c r="B393" s="253">
        <x:f>+Puantaj!C393</x:f>
      </x:c>
      <x:c r="C393" s="4">
        <x:f>+Puantaj!D393</x:f>
      </x:c>
      <x:c r="D393" s="4">
        <x:f>+Puantaj!E393</x:f>
      </x:c>
      <x:c r="E393" s="4">
        <x:f>+'Banka Lis.'!H392</x:f>
      </x:c>
      <x:c r="F393" s="254">
        <x:f>+Puantaj!AK393</x:f>
      </x:c>
      <x:c r="G393" s="33">
        <x:f>F393*1083</x:f>
      </x:c>
      <x:c r="H393" s="62">
        <x:f>G393*0.055</x:f>
      </x:c>
      <x:c r="I393" s="3">
        <x:f>G393+H393</x:f>
      </x:c>
      <x:c r="J393" s="3">
        <x:f>+G393</x:f>
      </x:c>
      <x:c r="K393" s="3">
        <x:f>J393*0.15</x:f>
      </x:c>
      <x:c r="L393" s="3">
        <x:f>IF(J393*0.15&gt;K393,K393,J393*0.15)</x:f>
      </x:c>
      <x:c r="M393" s="65">
        <x:f>IF(K393-L393&gt;0,K393-L393,0)</x:f>
      </x:c>
      <x:c r="N393" s="3">
        <x:f>G393*0.00759</x:f>
      </x:c>
      <x:c r="O393" s="3">
        <x:f>IF(G393*0.00759&gt;G393,197.38,G393*0.00759)</x:f>
      </x:c>
      <x:c r="P393" s="3">
        <x:f>IF(N393-O393&gt;0,N393-O393,0)</x:f>
      </x:c>
      <x:c r="Q393" s="65">
        <x:f>+H393</x:f>
      </x:c>
      <x:c r="R393" s="65">
        <x:v>0</x:v>
      </x:c>
      <x:c r="S393" s="3">
        <x:f>R393+Q393</x:f>
      </x:c>
      <x:c r="T393" s="3">
        <x:f>I393-S393</x:f>
      </x:c>
      <x:c r="U393" s="255"/>
    </x:row>
    <x:row r="394" spans="1:21" ht="21" customHeight="1" x14ac:dyDescent="0.2">
      <x:c r="A394" s="253">
        <x:f>+'Banka Lis.'!B393</x:f>
      </x:c>
      <x:c r="B394" s="253">
        <x:f>+Puantaj!C394</x:f>
      </x:c>
      <x:c r="C394" s="4">
        <x:f>+Puantaj!D394</x:f>
      </x:c>
      <x:c r="D394" s="4">
        <x:f>+Puantaj!E394</x:f>
      </x:c>
      <x:c r="E394" s="4">
        <x:f>+'Banka Lis.'!H393</x:f>
      </x:c>
      <x:c r="F394" s="254">
        <x:f>+Puantaj!AK394</x:f>
      </x:c>
      <x:c r="G394" s="33">
        <x:f>F394*1083</x:f>
      </x:c>
      <x:c r="H394" s="62">
        <x:f>G394*0.055</x:f>
      </x:c>
      <x:c r="I394" s="3">
        <x:f>G394+H394</x:f>
      </x:c>
      <x:c r="J394" s="3">
        <x:f>+G394</x:f>
      </x:c>
      <x:c r="K394" s="3">
        <x:f>J394*0.15</x:f>
      </x:c>
      <x:c r="L394" s="3">
        <x:f>IF(J394*0.15&gt;K394,K394,J394*0.15)</x:f>
      </x:c>
      <x:c r="M394" s="65">
        <x:f>IF(K394-L394&gt;0,K394-L394,0)</x:f>
      </x:c>
      <x:c r="N394" s="3">
        <x:f>G394*0.00759</x:f>
      </x:c>
      <x:c r="O394" s="3">
        <x:f>IF(G394*0.00759&gt;G394,197.38,G394*0.00759)</x:f>
      </x:c>
      <x:c r="P394" s="3">
        <x:f>IF(N394-O394&gt;0,N394-O394,0)</x:f>
      </x:c>
      <x:c r="Q394" s="65">
        <x:f>+H394</x:f>
      </x:c>
      <x:c r="R394" s="65">
        <x:v>0</x:v>
      </x:c>
      <x:c r="S394" s="3">
        <x:f>R394+Q394</x:f>
      </x:c>
      <x:c r="T394" s="3">
        <x:f>I394-S394</x:f>
      </x:c>
      <x:c r="U394" s="255"/>
    </x:row>
    <x:row r="395" spans="1:21" ht="21" customHeight="1" x14ac:dyDescent="0.2">
      <x:c r="A395" s="253">
        <x:f>+'Banka Lis.'!B394</x:f>
      </x:c>
      <x:c r="B395" s="253">
        <x:f>+Puantaj!C395</x:f>
      </x:c>
      <x:c r="C395" s="4">
        <x:f>+Puantaj!D395</x:f>
      </x:c>
      <x:c r="D395" s="4">
        <x:f>+Puantaj!E395</x:f>
      </x:c>
      <x:c r="E395" s="4">
        <x:f>+'Banka Lis.'!H394</x:f>
      </x:c>
      <x:c r="F395" s="254">
        <x:f>+Puantaj!AK395</x:f>
      </x:c>
      <x:c r="G395" s="33">
        <x:f>F395*1083</x:f>
      </x:c>
      <x:c r="H395" s="62">
        <x:f>G395*0.055</x:f>
      </x:c>
      <x:c r="I395" s="3">
        <x:f>G395+H395</x:f>
      </x:c>
      <x:c r="J395" s="3">
        <x:f>+G395</x:f>
      </x:c>
      <x:c r="K395" s="3">
        <x:f>J395*0.15</x:f>
      </x:c>
      <x:c r="L395" s="3">
        <x:f>IF(J395*0.15&gt;K395,K395,J395*0.15)</x:f>
      </x:c>
      <x:c r="M395" s="65">
        <x:f>IF(K395-L395&gt;0,K395-L395,0)</x:f>
      </x:c>
      <x:c r="N395" s="3">
        <x:f>G395*0.00759</x:f>
      </x:c>
      <x:c r="O395" s="3">
        <x:f>IF(G395*0.00759&gt;G395,197.38,G395*0.00759)</x:f>
      </x:c>
      <x:c r="P395" s="3">
        <x:f>IF(N395-O395&gt;0,N395-O395,0)</x:f>
      </x:c>
      <x:c r="Q395" s="65">
        <x:f>+H395</x:f>
      </x:c>
      <x:c r="R395" s="65">
        <x:v>0</x:v>
      </x:c>
      <x:c r="S395" s="3">
        <x:f>R395+Q395</x:f>
      </x:c>
      <x:c r="T395" s="3">
        <x:f>I395-S395</x:f>
      </x:c>
      <x:c r="U395" s="255"/>
    </x:row>
    <x:row r="396" spans="1:21" ht="21" customHeight="1" x14ac:dyDescent="0.2">
      <x:c r="A396" s="253">
        <x:f>+'Banka Lis.'!B395</x:f>
      </x:c>
      <x:c r="B396" s="253">
        <x:f>+Puantaj!C396</x:f>
      </x:c>
      <x:c r="C396" s="4">
        <x:f>+Puantaj!D396</x:f>
      </x:c>
      <x:c r="D396" s="4">
        <x:f>+Puantaj!E396</x:f>
      </x:c>
      <x:c r="E396" s="4">
        <x:f>+'Banka Lis.'!H395</x:f>
      </x:c>
      <x:c r="F396" s="254">
        <x:f>+Puantaj!AK396</x:f>
      </x:c>
      <x:c r="G396" s="33">
        <x:f>F396*1083</x:f>
      </x:c>
      <x:c r="H396" s="62">
        <x:f>G396*0.055</x:f>
      </x:c>
      <x:c r="I396" s="3">
        <x:f>G396+H396</x:f>
      </x:c>
      <x:c r="J396" s="3">
        <x:f>+G396</x:f>
      </x:c>
      <x:c r="K396" s="3">
        <x:f>J396*0.15</x:f>
      </x:c>
      <x:c r="L396" s="3">
        <x:f>IF(J396*0.15&gt;K396,K396,J396*0.15)</x:f>
      </x:c>
      <x:c r="M396" s="65">
        <x:f>IF(K396-L396&gt;0,K396-L396,0)</x:f>
      </x:c>
      <x:c r="N396" s="3">
        <x:f>G396*0.00759</x:f>
      </x:c>
      <x:c r="O396" s="3">
        <x:f>IF(G396*0.00759&gt;G396,197.38,G396*0.00759)</x:f>
      </x:c>
      <x:c r="P396" s="3">
        <x:f>IF(N396-O396&gt;0,N396-O396,0)</x:f>
      </x:c>
      <x:c r="Q396" s="65">
        <x:f>+H396</x:f>
      </x:c>
      <x:c r="R396" s="65">
        <x:v>0</x:v>
      </x:c>
      <x:c r="S396" s="3">
        <x:f>R396+Q396</x:f>
      </x:c>
      <x:c r="T396" s="3">
        <x:f>I396-S396</x:f>
      </x:c>
      <x:c r="U396" s="255"/>
    </x:row>
    <x:row r="397" spans="1:21" ht="21" customHeight="1" x14ac:dyDescent="0.2">
      <x:c r="A397" s="253">
        <x:f>+'Banka Lis.'!B396</x:f>
      </x:c>
      <x:c r="B397" s="253">
        <x:f>+Puantaj!C397</x:f>
      </x:c>
      <x:c r="C397" s="4">
        <x:f>+Puantaj!D397</x:f>
      </x:c>
      <x:c r="D397" s="4">
        <x:f>+Puantaj!E397</x:f>
      </x:c>
      <x:c r="E397" s="4">
        <x:f>+'Banka Lis.'!H396</x:f>
      </x:c>
      <x:c r="F397" s="254">
        <x:f>+Puantaj!AK397</x:f>
      </x:c>
      <x:c r="G397" s="33">
        <x:f>F397*1083</x:f>
      </x:c>
      <x:c r="H397" s="62">
        <x:f>G397*0.055</x:f>
      </x:c>
      <x:c r="I397" s="3">
        <x:f>G397+H397</x:f>
      </x:c>
      <x:c r="J397" s="3">
        <x:f>+G397</x:f>
      </x:c>
      <x:c r="K397" s="3">
        <x:f>J397*0.15</x:f>
      </x:c>
      <x:c r="L397" s="3">
        <x:f>IF(J397*0.15&gt;K397,K397,J397*0.15)</x:f>
      </x:c>
      <x:c r="M397" s="65">
        <x:f>IF(K397-L397&gt;0,K397-L397,0)</x:f>
      </x:c>
      <x:c r="N397" s="3">
        <x:f>G397*0.00759</x:f>
      </x:c>
      <x:c r="O397" s="3">
        <x:f>IF(G397*0.00759&gt;G397,197.38,G397*0.00759)</x:f>
      </x:c>
      <x:c r="P397" s="3">
        <x:f>IF(N397-O397&gt;0,N397-O397,0)</x:f>
      </x:c>
      <x:c r="Q397" s="65">
        <x:f>+H397</x:f>
      </x:c>
      <x:c r="R397" s="65">
        <x:v>0</x:v>
      </x:c>
      <x:c r="S397" s="3">
        <x:f>R397+Q397</x:f>
      </x:c>
      <x:c r="T397" s="3">
        <x:f>I397-S397</x:f>
      </x:c>
      <x:c r="U397" s="255"/>
    </x:row>
    <x:row r="398" spans="1:21" ht="21" customHeight="1" x14ac:dyDescent="0.2">
      <x:c r="A398" s="253">
        <x:f>+'Banka Lis.'!B397</x:f>
      </x:c>
      <x:c r="B398" s="253">
        <x:f>+Puantaj!C398</x:f>
      </x:c>
      <x:c r="C398" s="4">
        <x:f>+Puantaj!D398</x:f>
      </x:c>
      <x:c r="D398" s="4">
        <x:f>+Puantaj!E398</x:f>
      </x:c>
      <x:c r="E398" s="4">
        <x:f>+'Banka Lis.'!H397</x:f>
      </x:c>
      <x:c r="F398" s="254">
        <x:f>+Puantaj!AK398</x:f>
      </x:c>
      <x:c r="G398" s="33">
        <x:f>F398*1083</x:f>
      </x:c>
      <x:c r="H398" s="62">
        <x:f>G398*0.055</x:f>
      </x:c>
      <x:c r="I398" s="3">
        <x:f>G398+H398</x:f>
      </x:c>
      <x:c r="J398" s="3">
        <x:f>+G398</x:f>
      </x:c>
      <x:c r="K398" s="3">
        <x:f>J398*0.15</x:f>
      </x:c>
      <x:c r="L398" s="3">
        <x:f>IF(J398*0.15&gt;K398,K398,J398*0.15)</x:f>
      </x:c>
      <x:c r="M398" s="65">
        <x:f>IF(K398-L398&gt;0,K398-L398,0)</x:f>
      </x:c>
      <x:c r="N398" s="3">
        <x:f>G398*0.00759</x:f>
      </x:c>
      <x:c r="O398" s="3">
        <x:f>IF(G398*0.00759&gt;G398,197.38,G398*0.00759)</x:f>
      </x:c>
      <x:c r="P398" s="3">
        <x:f>IF(N398-O398&gt;0,N398-O398,0)</x:f>
      </x:c>
      <x:c r="Q398" s="65">
        <x:f>+H398</x:f>
      </x:c>
      <x:c r="R398" s="65">
        <x:v>0</x:v>
      </x:c>
      <x:c r="S398" s="3">
        <x:f>R398+Q398</x:f>
      </x:c>
      <x:c r="T398" s="3">
        <x:f>I398-S398</x:f>
      </x:c>
      <x:c r="U398" s="255"/>
    </x:row>
    <x:row r="399" spans="1:21" ht="21" customHeight="1" x14ac:dyDescent="0.2">
      <x:c r="A399" s="253">
        <x:f>+'Banka Lis.'!B398</x:f>
      </x:c>
      <x:c r="B399" s="253">
        <x:f>+Puantaj!C399</x:f>
      </x:c>
      <x:c r="C399" s="4">
        <x:f>+Puantaj!D399</x:f>
      </x:c>
      <x:c r="D399" s="4">
        <x:f>+Puantaj!E399</x:f>
      </x:c>
      <x:c r="E399" s="4">
        <x:f>+'Banka Lis.'!H398</x:f>
      </x:c>
      <x:c r="F399" s="254">
        <x:f>+Puantaj!AK399</x:f>
      </x:c>
      <x:c r="G399" s="33">
        <x:f>F399*1083</x:f>
      </x:c>
      <x:c r="H399" s="62">
        <x:f>G399*0.055</x:f>
      </x:c>
      <x:c r="I399" s="3">
        <x:f>G399+H399</x:f>
      </x:c>
      <x:c r="J399" s="3">
        <x:f>+G399</x:f>
      </x:c>
      <x:c r="K399" s="3">
        <x:f>J399*0.15</x:f>
      </x:c>
      <x:c r="L399" s="3">
        <x:f>IF(J399*0.15&gt;K399,K399,J399*0.15)</x:f>
      </x:c>
      <x:c r="M399" s="65">
        <x:f>IF(K399-L399&gt;0,K399-L399,0)</x:f>
      </x:c>
      <x:c r="N399" s="3">
        <x:f>G399*0.00759</x:f>
      </x:c>
      <x:c r="O399" s="3">
        <x:f>IF(G399*0.00759&gt;G399,197.38,G399*0.00759)</x:f>
      </x:c>
      <x:c r="P399" s="3">
        <x:f>IF(N399-O399&gt;0,N399-O399,0)</x:f>
      </x:c>
      <x:c r="Q399" s="65">
        <x:f>+H399</x:f>
      </x:c>
      <x:c r="R399" s="65">
        <x:v>0</x:v>
      </x:c>
      <x:c r="S399" s="3">
        <x:f>R399+Q399</x:f>
      </x:c>
      <x:c r="T399" s="3">
        <x:f>I399-S399</x:f>
      </x:c>
      <x:c r="U399" s="255"/>
    </x:row>
    <x:row r="400" spans="1:21" ht="21" customHeight="1" x14ac:dyDescent="0.2">
      <x:c r="A400" s="253">
        <x:f>+'Banka Lis.'!B399</x:f>
      </x:c>
      <x:c r="B400" s="253">
        <x:f>+Puantaj!C400</x:f>
      </x:c>
      <x:c r="C400" s="4">
        <x:f>+Puantaj!D400</x:f>
      </x:c>
      <x:c r="D400" s="4">
        <x:f>+Puantaj!E400</x:f>
      </x:c>
      <x:c r="E400" s="4">
        <x:f>+'Banka Lis.'!H399</x:f>
      </x:c>
      <x:c r="F400" s="254">
        <x:f>+Puantaj!AK400</x:f>
      </x:c>
      <x:c r="G400" s="33">
        <x:f>F400*1083</x:f>
      </x:c>
      <x:c r="H400" s="62">
        <x:f>G400*0.055</x:f>
      </x:c>
      <x:c r="I400" s="3">
        <x:f>G400+H400</x:f>
      </x:c>
      <x:c r="J400" s="3">
        <x:f>+G400</x:f>
      </x:c>
      <x:c r="K400" s="3">
        <x:f>J400*0.15</x:f>
      </x:c>
      <x:c r="L400" s="3">
        <x:f>IF(J400*0.15&gt;K400,K400,J400*0.15)</x:f>
      </x:c>
      <x:c r="M400" s="65">
        <x:f>IF(K400-L400&gt;0,K400-L400,0)</x:f>
      </x:c>
      <x:c r="N400" s="3">
        <x:f>G400*0.00759</x:f>
      </x:c>
      <x:c r="O400" s="3">
        <x:f>IF(G400*0.00759&gt;G400,197.38,G400*0.00759)</x:f>
      </x:c>
      <x:c r="P400" s="3">
        <x:f>IF(N400-O400&gt;0,N400-O400,0)</x:f>
      </x:c>
      <x:c r="Q400" s="65">
        <x:f>+H400</x:f>
      </x:c>
      <x:c r="R400" s="65">
        <x:v>0</x:v>
      </x:c>
      <x:c r="S400" s="3">
        <x:f>R400+Q400</x:f>
      </x:c>
      <x:c r="T400" s="3">
        <x:f>I400-S400</x:f>
      </x:c>
      <x:c r="U400" s="255"/>
    </x:row>
    <x:row r="401" spans="1:21" ht="21" customHeight="1" x14ac:dyDescent="0.2">
      <x:c r="A401" s="253">
        <x:f>+'Banka Lis.'!B400</x:f>
      </x:c>
      <x:c r="B401" s="253">
        <x:f>+Puantaj!C401</x:f>
      </x:c>
      <x:c r="C401" s="4">
        <x:f>+Puantaj!D401</x:f>
      </x:c>
      <x:c r="D401" s="4">
        <x:f>+Puantaj!E401</x:f>
      </x:c>
      <x:c r="E401" s="4">
        <x:f>+'Banka Lis.'!H400</x:f>
      </x:c>
      <x:c r="F401" s="254">
        <x:f>+Puantaj!AK401</x:f>
      </x:c>
      <x:c r="G401" s="33">
        <x:f>F401*1083</x:f>
      </x:c>
      <x:c r="H401" s="62">
        <x:f>G401*0.055</x:f>
      </x:c>
      <x:c r="I401" s="3">
        <x:f>G401+H401</x:f>
      </x:c>
      <x:c r="J401" s="3">
        <x:f>+G401</x:f>
      </x:c>
      <x:c r="K401" s="3">
        <x:f>J401*0.15</x:f>
      </x:c>
      <x:c r="L401" s="3">
        <x:f>IF(J401*0.15&gt;K401,K401,J401*0.15)</x:f>
      </x:c>
      <x:c r="M401" s="65">
        <x:f>IF(K401-L401&gt;0,K401-L401,0)</x:f>
      </x:c>
      <x:c r="N401" s="3">
        <x:f>G401*0.00759</x:f>
      </x:c>
      <x:c r="O401" s="3">
        <x:f>IF(G401*0.00759&gt;G401,197.38,G401*0.00759)</x:f>
      </x:c>
      <x:c r="P401" s="3">
        <x:f>IF(N401-O401&gt;0,N401-O401,0)</x:f>
      </x:c>
      <x:c r="Q401" s="65">
        <x:f>+H401</x:f>
      </x:c>
      <x:c r="R401" s="65">
        <x:v>0</x:v>
      </x:c>
      <x:c r="S401" s="3">
        <x:f>R401+Q401</x:f>
      </x:c>
      <x:c r="T401" s="3">
        <x:f>I401-S401</x:f>
      </x:c>
      <x:c r="U401" s="255"/>
    </x:row>
    <x:row r="402" spans="1:21" ht="21" customHeight="1" x14ac:dyDescent="0.2">
      <x:c r="A402" s="253">
        <x:f>+'Banka Lis.'!B401</x:f>
      </x:c>
      <x:c r="B402" s="253">
        <x:f>+Puantaj!C402</x:f>
      </x:c>
      <x:c r="C402" s="4">
        <x:f>+Puantaj!D402</x:f>
      </x:c>
      <x:c r="D402" s="4">
        <x:f>+Puantaj!E402</x:f>
      </x:c>
      <x:c r="E402" s="4">
        <x:f>+'Banka Lis.'!H401</x:f>
      </x:c>
      <x:c r="F402" s="254">
        <x:f>+Puantaj!AK402</x:f>
      </x:c>
      <x:c r="G402" s="33">
        <x:f>F402*1083</x:f>
      </x:c>
      <x:c r="H402" s="62">
        <x:f>G402*0.055</x:f>
      </x:c>
      <x:c r="I402" s="3">
        <x:f>G402+H402</x:f>
      </x:c>
      <x:c r="J402" s="3">
        <x:f>+G402</x:f>
      </x:c>
      <x:c r="K402" s="3">
        <x:f>J402*0.15</x:f>
      </x:c>
      <x:c r="L402" s="3">
        <x:f>IF(J402*0.15&gt;K402,K402,J402*0.15)</x:f>
      </x:c>
      <x:c r="M402" s="65">
        <x:f>IF(K402-L402&gt;0,K402-L402,0)</x:f>
      </x:c>
      <x:c r="N402" s="3">
        <x:f>G402*0.00759</x:f>
      </x:c>
      <x:c r="O402" s="3">
        <x:f>IF(G402*0.00759&gt;G402,197.38,G402*0.00759)</x:f>
      </x:c>
      <x:c r="P402" s="3">
        <x:f>IF(N402-O402&gt;0,N402-O402,0)</x:f>
      </x:c>
      <x:c r="Q402" s="65">
        <x:f>+H402</x:f>
      </x:c>
      <x:c r="R402" s="65">
        <x:v>0</x:v>
      </x:c>
      <x:c r="S402" s="3">
        <x:f>R402+Q402</x:f>
      </x:c>
      <x:c r="T402" s="3">
        <x:f>I402-S402</x:f>
      </x:c>
      <x:c r="U402" s="255"/>
    </x:row>
    <x:row r="403" spans="1:21" ht="21" customHeight="1" x14ac:dyDescent="0.2">
      <x:c r="A403" s="253">
        <x:f>+'Banka Lis.'!B402</x:f>
      </x:c>
      <x:c r="B403" s="253">
        <x:f>+Puantaj!C403</x:f>
      </x:c>
      <x:c r="C403" s="4">
        <x:f>+Puantaj!D403</x:f>
      </x:c>
      <x:c r="D403" s="4">
        <x:f>+Puantaj!E403</x:f>
      </x:c>
      <x:c r="E403" s="4">
        <x:f>+'Banka Lis.'!H402</x:f>
      </x:c>
      <x:c r="F403" s="254">
        <x:f>+Puantaj!AK403</x:f>
      </x:c>
      <x:c r="G403" s="33">
        <x:f>F403*1083</x:f>
      </x:c>
      <x:c r="H403" s="62">
        <x:f>G403*0.055</x:f>
      </x:c>
      <x:c r="I403" s="3">
        <x:f>G403+H403</x:f>
      </x:c>
      <x:c r="J403" s="3">
        <x:f>+G403</x:f>
      </x:c>
      <x:c r="K403" s="3">
        <x:f>J403*0.15</x:f>
      </x:c>
      <x:c r="L403" s="3">
        <x:f>IF(J403*0.15&gt;K403,K403,J403*0.15)</x:f>
      </x:c>
      <x:c r="M403" s="65">
        <x:f>IF(K403-L403&gt;0,K403-L403,0)</x:f>
      </x:c>
      <x:c r="N403" s="3">
        <x:f>G403*0.00759</x:f>
      </x:c>
      <x:c r="O403" s="3">
        <x:f>IF(G403*0.00759&gt;G403,197.38,G403*0.00759)</x:f>
      </x:c>
      <x:c r="P403" s="3">
        <x:f>IF(N403-O403&gt;0,N403-O403,0)</x:f>
      </x:c>
      <x:c r="Q403" s="65">
        <x:f>+H403</x:f>
      </x:c>
      <x:c r="R403" s="65">
        <x:v>0</x:v>
      </x:c>
      <x:c r="S403" s="3">
        <x:f>R403+Q403</x:f>
      </x:c>
      <x:c r="T403" s="3">
        <x:f>I403-S403</x:f>
      </x:c>
      <x:c r="U403" s="255"/>
    </x:row>
    <x:row r="404" spans="1:21" ht="21" customHeight="1" x14ac:dyDescent="0.2">
      <x:c r="A404" s="253">
        <x:f>+'Banka Lis.'!B403</x:f>
      </x:c>
      <x:c r="B404" s="253">
        <x:f>+Puantaj!C404</x:f>
      </x:c>
      <x:c r="C404" s="4">
        <x:f>+Puantaj!D404</x:f>
      </x:c>
      <x:c r="D404" s="4">
        <x:f>+Puantaj!E404</x:f>
      </x:c>
      <x:c r="E404" s="4">
        <x:f>+'Banka Lis.'!H403</x:f>
      </x:c>
      <x:c r="F404" s="254">
        <x:f>+Puantaj!AK404</x:f>
      </x:c>
      <x:c r="G404" s="33">
        <x:f>F404*1083</x:f>
      </x:c>
      <x:c r="H404" s="62">
        <x:f>G404*0.055</x:f>
      </x:c>
      <x:c r="I404" s="3">
        <x:f>G404+H404</x:f>
      </x:c>
      <x:c r="J404" s="3">
        <x:f>+G404</x:f>
      </x:c>
      <x:c r="K404" s="3">
        <x:f>J404*0.15</x:f>
      </x:c>
      <x:c r="L404" s="3">
        <x:f>IF(J404*0.15&gt;K404,K404,J404*0.15)</x:f>
      </x:c>
      <x:c r="M404" s="65">
        <x:f>IF(K404-L404&gt;0,K404-L404,0)</x:f>
      </x:c>
      <x:c r="N404" s="3">
        <x:f>G404*0.00759</x:f>
      </x:c>
      <x:c r="O404" s="3">
        <x:f>IF(G404*0.00759&gt;G404,197.38,G404*0.00759)</x:f>
      </x:c>
      <x:c r="P404" s="3">
        <x:f>IF(N404-O404&gt;0,N404-O404,0)</x:f>
      </x:c>
      <x:c r="Q404" s="65">
        <x:f>+H404</x:f>
      </x:c>
      <x:c r="R404" s="65">
        <x:v>0</x:v>
      </x:c>
      <x:c r="S404" s="3">
        <x:f>R404+Q404</x:f>
      </x:c>
      <x:c r="T404" s="3">
        <x:f>I404-S404</x:f>
      </x:c>
      <x:c r="U404" s="255"/>
    </x:row>
    <x:row r="405" spans="1:21" ht="21" customHeight="1" x14ac:dyDescent="0.2">
      <x:c r="A405" s="253">
        <x:f>+'Banka Lis.'!B404</x:f>
      </x:c>
      <x:c r="B405" s="253">
        <x:f>+Puantaj!C405</x:f>
      </x:c>
      <x:c r="C405" s="4">
        <x:f>+Puantaj!D405</x:f>
      </x:c>
      <x:c r="D405" s="4">
        <x:f>+Puantaj!E405</x:f>
      </x:c>
      <x:c r="E405" s="4">
        <x:f>+'Banka Lis.'!H404</x:f>
      </x:c>
      <x:c r="F405" s="254">
        <x:f>+Puantaj!AK405</x:f>
      </x:c>
      <x:c r="G405" s="33">
        <x:f>F405*1083</x:f>
      </x:c>
      <x:c r="H405" s="62">
        <x:f>G405*0.055</x:f>
      </x:c>
      <x:c r="I405" s="3">
        <x:f>G405+H405</x:f>
      </x:c>
      <x:c r="J405" s="3">
        <x:f>+G405</x:f>
      </x:c>
      <x:c r="K405" s="3">
        <x:f>J405*0.15</x:f>
      </x:c>
      <x:c r="L405" s="3">
        <x:f>IF(J405*0.15&gt;K405,K405,J405*0.15)</x:f>
      </x:c>
      <x:c r="M405" s="65">
        <x:f>IF(K405-L405&gt;0,K405-L405,0)</x:f>
      </x:c>
      <x:c r="N405" s="3">
        <x:f>G405*0.00759</x:f>
      </x:c>
      <x:c r="O405" s="3">
        <x:f>IF(G405*0.00759&gt;G405,197.38,G405*0.00759)</x:f>
      </x:c>
      <x:c r="P405" s="3">
        <x:f>IF(N405-O405&gt;0,N405-O405,0)</x:f>
      </x:c>
      <x:c r="Q405" s="65">
        <x:f>+H405</x:f>
      </x:c>
      <x:c r="R405" s="65">
        <x:v>0</x:v>
      </x:c>
      <x:c r="S405" s="3">
        <x:f>R405+Q405</x:f>
      </x:c>
      <x:c r="T405" s="3">
        <x:f>I405-S405</x:f>
      </x:c>
      <x:c r="U405" s="255"/>
    </x:row>
    <x:row r="406" spans="1:21" ht="21" customHeight="1" x14ac:dyDescent="0.2">
      <x:c r="A406" s="253">
        <x:f>+'Banka Lis.'!B405</x:f>
      </x:c>
      <x:c r="B406" s="253">
        <x:f>+Puantaj!C406</x:f>
      </x:c>
      <x:c r="C406" s="4">
        <x:f>+Puantaj!D406</x:f>
      </x:c>
      <x:c r="D406" s="4">
        <x:f>+Puantaj!E406</x:f>
      </x:c>
      <x:c r="E406" s="4">
        <x:f>+'Banka Lis.'!H405</x:f>
      </x:c>
      <x:c r="F406" s="254">
        <x:f>+Puantaj!AK406</x:f>
      </x:c>
      <x:c r="G406" s="33">
        <x:f>F406*1083</x:f>
      </x:c>
      <x:c r="H406" s="62">
        <x:f>G406*0.055</x:f>
      </x:c>
      <x:c r="I406" s="3">
        <x:f>G406+H406</x:f>
      </x:c>
      <x:c r="J406" s="3">
        <x:f>+G406</x:f>
      </x:c>
      <x:c r="K406" s="3">
        <x:f>J406*0.15</x:f>
      </x:c>
      <x:c r="L406" s="3">
        <x:f>IF(J406*0.15&gt;K406,K406,J406*0.15)</x:f>
      </x:c>
      <x:c r="M406" s="65">
        <x:f>IF(K406-L406&gt;0,K406-L406,0)</x:f>
      </x:c>
      <x:c r="N406" s="3">
        <x:f>G406*0.00759</x:f>
      </x:c>
      <x:c r="O406" s="3">
        <x:f>IF(G406*0.00759&gt;G406,197.38,G406*0.00759)</x:f>
      </x:c>
      <x:c r="P406" s="3">
        <x:f>IF(N406-O406&gt;0,N406-O406,0)</x:f>
      </x:c>
      <x:c r="Q406" s="65">
        <x:f>+H406</x:f>
      </x:c>
      <x:c r="R406" s="65">
        <x:v>0</x:v>
      </x:c>
      <x:c r="S406" s="3">
        <x:f>R406+Q406</x:f>
      </x:c>
      <x:c r="T406" s="3">
        <x:f>I406-S406</x:f>
      </x:c>
      <x:c r="U406" s="255"/>
    </x:row>
    <x:row r="407" spans="1:21" ht="21" customHeight="1" x14ac:dyDescent="0.2">
      <x:c r="A407" s="253">
        <x:f>+'Banka Lis.'!B406</x:f>
      </x:c>
      <x:c r="B407" s="253">
        <x:f>+Puantaj!C407</x:f>
      </x:c>
      <x:c r="C407" s="4">
        <x:f>+Puantaj!D407</x:f>
      </x:c>
      <x:c r="D407" s="4">
        <x:f>+Puantaj!E407</x:f>
      </x:c>
      <x:c r="E407" s="4">
        <x:f>+'Banka Lis.'!H406</x:f>
      </x:c>
      <x:c r="F407" s="254">
        <x:f>+Puantaj!AK407</x:f>
      </x:c>
      <x:c r="G407" s="33">
        <x:f>F407*1083</x:f>
      </x:c>
      <x:c r="H407" s="62">
        <x:f>G407*0.055</x:f>
      </x:c>
      <x:c r="I407" s="3">
        <x:f>G407+H407</x:f>
      </x:c>
      <x:c r="J407" s="3">
        <x:f>+G407</x:f>
      </x:c>
      <x:c r="K407" s="3">
        <x:f>J407*0.15</x:f>
      </x:c>
      <x:c r="L407" s="3">
        <x:f>IF(J407*0.15&gt;K407,K407,J407*0.15)</x:f>
      </x:c>
      <x:c r="M407" s="65">
        <x:f>IF(K407-L407&gt;0,K407-L407,0)</x:f>
      </x:c>
      <x:c r="N407" s="3">
        <x:f>G407*0.00759</x:f>
      </x:c>
      <x:c r="O407" s="3">
        <x:f>IF(G407*0.00759&gt;G407,197.38,G407*0.00759)</x:f>
      </x:c>
      <x:c r="P407" s="3">
        <x:f>IF(N407-O407&gt;0,N407-O407,0)</x:f>
      </x:c>
      <x:c r="Q407" s="65">
        <x:f>+H407</x:f>
      </x:c>
      <x:c r="R407" s="65">
        <x:v>0</x:v>
      </x:c>
      <x:c r="S407" s="3">
        <x:f>R407+Q407</x:f>
      </x:c>
      <x:c r="T407" s="3">
        <x:f>I407-S407</x:f>
      </x:c>
      <x:c r="U407" s="255"/>
    </x:row>
    <x:row r="408" spans="1:21" ht="21" customHeight="1" x14ac:dyDescent="0.2">
      <x:c r="A408" s="253">
        <x:f>+'Banka Lis.'!B407</x:f>
      </x:c>
      <x:c r="B408" s="253">
        <x:f>+Puantaj!C408</x:f>
      </x:c>
      <x:c r="C408" s="4">
        <x:f>+Puantaj!D408</x:f>
      </x:c>
      <x:c r="D408" s="4">
        <x:f>+Puantaj!E408</x:f>
      </x:c>
      <x:c r="E408" s="4">
        <x:f>+'Banka Lis.'!H407</x:f>
      </x:c>
      <x:c r="F408" s="254">
        <x:f>+Puantaj!AK408</x:f>
      </x:c>
      <x:c r="G408" s="33">
        <x:f>F408*1083</x:f>
      </x:c>
      <x:c r="H408" s="62">
        <x:f>G408*0.055</x:f>
      </x:c>
      <x:c r="I408" s="3">
        <x:f>G408+H408</x:f>
      </x:c>
      <x:c r="J408" s="3">
        <x:f>+G408</x:f>
      </x:c>
      <x:c r="K408" s="3">
        <x:f>J408*0.15</x:f>
      </x:c>
      <x:c r="L408" s="3">
        <x:f>IF(J408*0.15&gt;K408,K408,J408*0.15)</x:f>
      </x:c>
      <x:c r="M408" s="65">
        <x:f>IF(K408-L408&gt;0,K408-L408,0)</x:f>
      </x:c>
      <x:c r="N408" s="3">
        <x:f>G408*0.00759</x:f>
      </x:c>
      <x:c r="O408" s="3">
        <x:f>IF(G408*0.00759&gt;G408,197.38,G408*0.00759)</x:f>
      </x:c>
      <x:c r="P408" s="3">
        <x:f>IF(N408-O408&gt;0,N408-O408,0)</x:f>
      </x:c>
      <x:c r="Q408" s="65">
        <x:f>+H408</x:f>
      </x:c>
      <x:c r="R408" s="65">
        <x:v>0</x:v>
      </x:c>
      <x:c r="S408" s="3">
        <x:f>R408+Q408</x:f>
      </x:c>
      <x:c r="T408" s="3">
        <x:f>I408-S408</x:f>
      </x:c>
      <x:c r="U408" s="255"/>
    </x:row>
    <x:row r="409" spans="1:21" ht="21" customHeight="1" x14ac:dyDescent="0.2">
      <x:c r="A409" s="253">
        <x:f>+'Banka Lis.'!B408</x:f>
      </x:c>
      <x:c r="B409" s="253">
        <x:f>+Puantaj!C409</x:f>
      </x:c>
      <x:c r="C409" s="4">
        <x:f>+Puantaj!D409</x:f>
      </x:c>
      <x:c r="D409" s="4">
        <x:f>+Puantaj!E409</x:f>
      </x:c>
      <x:c r="E409" s="4">
        <x:f>+'Banka Lis.'!H408</x:f>
      </x:c>
      <x:c r="F409" s="254">
        <x:f>+Puantaj!AK409</x:f>
      </x:c>
      <x:c r="G409" s="33">
        <x:f>F409*1083</x:f>
      </x:c>
      <x:c r="H409" s="62">
        <x:f>G409*0.055</x:f>
      </x:c>
      <x:c r="I409" s="3">
        <x:f>G409+H409</x:f>
      </x:c>
      <x:c r="J409" s="3">
        <x:f>+G409</x:f>
      </x:c>
      <x:c r="K409" s="3">
        <x:f>J409*0.15</x:f>
      </x:c>
      <x:c r="L409" s="3">
        <x:f>IF(J409*0.15&gt;K409,K409,J409*0.15)</x:f>
      </x:c>
      <x:c r="M409" s="65">
        <x:f>IF(K409-L409&gt;0,K409-L409,0)</x:f>
      </x:c>
      <x:c r="N409" s="3">
        <x:f>G409*0.00759</x:f>
      </x:c>
      <x:c r="O409" s="3">
        <x:f>IF(G409*0.00759&gt;G409,197.38,G409*0.00759)</x:f>
      </x:c>
      <x:c r="P409" s="3">
        <x:f>IF(N409-O409&gt;0,N409-O409,0)</x:f>
      </x:c>
      <x:c r="Q409" s="65">
        <x:f>+H409</x:f>
      </x:c>
      <x:c r="R409" s="65">
        <x:v>0</x:v>
      </x:c>
      <x:c r="S409" s="3">
        <x:f>R409+Q409</x:f>
      </x:c>
      <x:c r="T409" s="3">
        <x:f>I409-S409</x:f>
      </x:c>
      <x:c r="U409" s="255"/>
    </x:row>
    <x:row r="410" spans="1:21" ht="21" customHeight="1" x14ac:dyDescent="0.2">
      <x:c r="A410" s="253">
        <x:f>+'Banka Lis.'!B409</x:f>
      </x:c>
      <x:c r="B410" s="253">
        <x:f>+Puantaj!C410</x:f>
      </x:c>
      <x:c r="C410" s="4">
        <x:f>+Puantaj!D410</x:f>
      </x:c>
      <x:c r="D410" s="4">
        <x:f>+Puantaj!E410</x:f>
      </x:c>
      <x:c r="E410" s="4">
        <x:f>+'Banka Lis.'!H409</x:f>
      </x:c>
      <x:c r="F410" s="254">
        <x:f>+Puantaj!AK410</x:f>
      </x:c>
      <x:c r="G410" s="33">
        <x:f>F410*1083</x:f>
      </x:c>
      <x:c r="H410" s="62">
        <x:f>G410*0.055</x:f>
      </x:c>
      <x:c r="I410" s="3">
        <x:f>G410+H410</x:f>
      </x:c>
      <x:c r="J410" s="3">
        <x:f>+G410</x:f>
      </x:c>
      <x:c r="K410" s="3">
        <x:f>J410*0.15</x:f>
      </x:c>
      <x:c r="L410" s="3">
        <x:f>IF(J410*0.15&gt;K410,K410,J410*0.15)</x:f>
      </x:c>
      <x:c r="M410" s="65">
        <x:f>IF(K410-L410&gt;0,K410-L410,0)</x:f>
      </x:c>
      <x:c r="N410" s="3">
        <x:f>G410*0.00759</x:f>
      </x:c>
      <x:c r="O410" s="3">
        <x:f>IF(G410*0.00759&gt;G410,197.38,G410*0.00759)</x:f>
      </x:c>
      <x:c r="P410" s="3">
        <x:f>IF(N410-O410&gt;0,N410-O410,0)</x:f>
      </x:c>
      <x:c r="Q410" s="65">
        <x:f>+H410</x:f>
      </x:c>
      <x:c r="R410" s="65">
        <x:v>0</x:v>
      </x:c>
      <x:c r="S410" s="3">
        <x:f>R410+Q410</x:f>
      </x:c>
      <x:c r="T410" s="3">
        <x:f>I410-S410</x:f>
      </x:c>
      <x:c r="U410" s="255"/>
    </x:row>
    <x:row r="411" spans="1:21" ht="21" customHeight="1" x14ac:dyDescent="0.2">
      <x:c r="A411" s="253">
        <x:f>+'Banka Lis.'!B410</x:f>
      </x:c>
      <x:c r="B411" s="253">
        <x:f>+Puantaj!C411</x:f>
      </x:c>
      <x:c r="C411" s="4">
        <x:f>+Puantaj!D411</x:f>
      </x:c>
      <x:c r="D411" s="4">
        <x:f>+Puantaj!E411</x:f>
      </x:c>
      <x:c r="E411" s="4">
        <x:f>+'Banka Lis.'!H410</x:f>
      </x:c>
      <x:c r="F411" s="254">
        <x:f>+Puantaj!AK411</x:f>
      </x:c>
      <x:c r="G411" s="33">
        <x:f>F411*1083</x:f>
      </x:c>
      <x:c r="H411" s="62">
        <x:f>G411*0.055</x:f>
      </x:c>
      <x:c r="I411" s="3">
        <x:f>G411+H411</x:f>
      </x:c>
      <x:c r="J411" s="3">
        <x:f>+G411</x:f>
      </x:c>
      <x:c r="K411" s="3">
        <x:f>J411*0.15</x:f>
      </x:c>
      <x:c r="L411" s="3">
        <x:f>IF(J411*0.15&gt;K411,K411,J411*0.15)</x:f>
      </x:c>
      <x:c r="M411" s="65">
        <x:f>IF(K411-L411&gt;0,K411-L411,0)</x:f>
      </x:c>
      <x:c r="N411" s="3">
        <x:f>G411*0.00759</x:f>
      </x:c>
      <x:c r="O411" s="3">
        <x:f>IF(G411*0.00759&gt;G411,197.38,G411*0.00759)</x:f>
      </x:c>
      <x:c r="P411" s="3">
        <x:f>IF(N411-O411&gt;0,N411-O411,0)</x:f>
      </x:c>
      <x:c r="Q411" s="65">
        <x:f>+H411</x:f>
      </x:c>
      <x:c r="R411" s="65">
        <x:v>0</x:v>
      </x:c>
      <x:c r="S411" s="3">
        <x:f>R411+Q411</x:f>
      </x:c>
      <x:c r="T411" s="3">
        <x:f>I411-S411</x:f>
      </x:c>
      <x:c r="U411" s="255"/>
    </x:row>
    <x:row r="412" spans="1:21" ht="21" customHeight="1" x14ac:dyDescent="0.2">
      <x:c r="A412" s="253">
        <x:f>+'Banka Lis.'!B411</x:f>
      </x:c>
      <x:c r="B412" s="253">
        <x:f>+Puantaj!C412</x:f>
      </x:c>
      <x:c r="C412" s="4">
        <x:f>+Puantaj!D412</x:f>
      </x:c>
      <x:c r="D412" s="4">
        <x:f>+Puantaj!E412</x:f>
      </x:c>
      <x:c r="E412" s="4">
        <x:f>+'Banka Lis.'!H411</x:f>
      </x:c>
      <x:c r="F412" s="254">
        <x:f>+Puantaj!AK412</x:f>
      </x:c>
      <x:c r="G412" s="33">
        <x:f>F412*1083</x:f>
      </x:c>
      <x:c r="H412" s="62">
        <x:f>G412*0.055</x:f>
      </x:c>
      <x:c r="I412" s="3">
        <x:f>G412+H412</x:f>
      </x:c>
      <x:c r="J412" s="3">
        <x:f>+G412</x:f>
      </x:c>
      <x:c r="K412" s="3">
        <x:f>J412*0.15</x:f>
      </x:c>
      <x:c r="L412" s="3">
        <x:f>IF(J412*0.15&gt;K412,K412,J412*0.15)</x:f>
      </x:c>
      <x:c r="M412" s="65">
        <x:f>IF(K412-L412&gt;0,K412-L412,0)</x:f>
      </x:c>
      <x:c r="N412" s="3">
        <x:f>G412*0.00759</x:f>
      </x:c>
      <x:c r="O412" s="3">
        <x:f>IF(G412*0.00759&gt;G412,197.38,G412*0.00759)</x:f>
      </x:c>
      <x:c r="P412" s="3">
        <x:f>IF(N412-O412&gt;0,N412-O412,0)</x:f>
      </x:c>
      <x:c r="Q412" s="65">
        <x:f>+H412</x:f>
      </x:c>
      <x:c r="R412" s="65">
        <x:v>0</x:v>
      </x:c>
      <x:c r="S412" s="3">
        <x:f>R412+Q412</x:f>
      </x:c>
      <x:c r="T412" s="3">
        <x:f>I412-S412</x:f>
      </x:c>
      <x:c r="U412" s="255"/>
    </x:row>
    <x:row r="413" spans="1:21" ht="21" customHeight="1" x14ac:dyDescent="0.2">
      <x:c r="A413" s="253">
        <x:f>+'Banka Lis.'!B412</x:f>
      </x:c>
      <x:c r="B413" s="253">
        <x:f>+Puantaj!C413</x:f>
      </x:c>
      <x:c r="C413" s="4">
        <x:f>+Puantaj!D413</x:f>
      </x:c>
      <x:c r="D413" s="4">
        <x:f>+Puantaj!E413</x:f>
      </x:c>
      <x:c r="E413" s="4">
        <x:f>+'Banka Lis.'!H412</x:f>
      </x:c>
      <x:c r="F413" s="254">
        <x:f>+Puantaj!AK413</x:f>
      </x:c>
      <x:c r="G413" s="33">
        <x:f>F413*1083</x:f>
      </x:c>
      <x:c r="H413" s="62">
        <x:f>G413*0.055</x:f>
      </x:c>
      <x:c r="I413" s="3">
        <x:f>G413+H413</x:f>
      </x:c>
      <x:c r="J413" s="3">
        <x:f>+G413</x:f>
      </x:c>
      <x:c r="K413" s="3">
        <x:f>J413*0.15</x:f>
      </x:c>
      <x:c r="L413" s="3">
        <x:f>IF(J413*0.15&gt;K413,K413,J413*0.15)</x:f>
      </x:c>
      <x:c r="M413" s="65">
        <x:f>IF(K413-L413&gt;0,K413-L413,0)</x:f>
      </x:c>
      <x:c r="N413" s="3">
        <x:f>G413*0.00759</x:f>
      </x:c>
      <x:c r="O413" s="3">
        <x:f>IF(G413*0.00759&gt;G413,197.38,G413*0.00759)</x:f>
      </x:c>
      <x:c r="P413" s="3">
        <x:f>IF(N413-O413&gt;0,N413-O413,0)</x:f>
      </x:c>
      <x:c r="Q413" s="65">
        <x:f>+H413</x:f>
      </x:c>
      <x:c r="R413" s="65">
        <x:v>0</x:v>
      </x:c>
      <x:c r="S413" s="3">
        <x:f>R413+Q413</x:f>
      </x:c>
      <x:c r="T413" s="3">
        <x:f>I413-S413</x:f>
      </x:c>
      <x:c r="U413" s="255"/>
    </x:row>
    <x:row r="414" spans="1:21" ht="21" customHeight="1" x14ac:dyDescent="0.2">
      <x:c r="A414" s="253">
        <x:f>+'Banka Lis.'!B413</x:f>
      </x:c>
      <x:c r="B414" s="253">
        <x:f>+Puantaj!C414</x:f>
      </x:c>
      <x:c r="C414" s="4">
        <x:f>+Puantaj!D414</x:f>
      </x:c>
      <x:c r="D414" s="4">
        <x:f>+Puantaj!E414</x:f>
      </x:c>
      <x:c r="E414" s="4">
        <x:f>+'Banka Lis.'!H413</x:f>
      </x:c>
      <x:c r="F414" s="254">
        <x:f>+Puantaj!AK414</x:f>
      </x:c>
      <x:c r="G414" s="33">
        <x:f>F414*1083</x:f>
      </x:c>
      <x:c r="H414" s="62">
        <x:f>G414*0.055</x:f>
      </x:c>
      <x:c r="I414" s="3">
        <x:f>G414+H414</x:f>
      </x:c>
      <x:c r="J414" s="3">
        <x:f>+G414</x:f>
      </x:c>
      <x:c r="K414" s="3">
        <x:f>J414*0.15</x:f>
      </x:c>
      <x:c r="L414" s="3">
        <x:f>IF(J414*0.15&gt;K414,K414,J414*0.15)</x:f>
      </x:c>
      <x:c r="M414" s="65">
        <x:f>IF(K414-L414&gt;0,K414-L414,0)</x:f>
      </x:c>
      <x:c r="N414" s="3">
        <x:f>G414*0.00759</x:f>
      </x:c>
      <x:c r="O414" s="3">
        <x:f>IF(G414*0.00759&gt;G414,197.38,G414*0.00759)</x:f>
      </x:c>
      <x:c r="P414" s="3">
        <x:f>IF(N414-O414&gt;0,N414-O414,0)</x:f>
      </x:c>
      <x:c r="Q414" s="65">
        <x:f>+H414</x:f>
      </x:c>
      <x:c r="R414" s="65">
        <x:v>0</x:v>
      </x:c>
      <x:c r="S414" s="3">
        <x:f>R414+Q414</x:f>
      </x:c>
      <x:c r="T414" s="3">
        <x:f>I414-S414</x:f>
      </x:c>
      <x:c r="U414" s="255"/>
    </x:row>
    <x:row r="415" spans="1:21" ht="21" customHeight="1" x14ac:dyDescent="0.2">
      <x:c r="A415" s="253">
        <x:f>+'Banka Lis.'!B414</x:f>
      </x:c>
      <x:c r="B415" s="253">
        <x:f>+Puantaj!C415</x:f>
      </x:c>
      <x:c r="C415" s="4">
        <x:f>+Puantaj!D415</x:f>
      </x:c>
      <x:c r="D415" s="4">
        <x:f>+Puantaj!E415</x:f>
      </x:c>
      <x:c r="E415" s="4">
        <x:f>+'Banka Lis.'!H414</x:f>
      </x:c>
      <x:c r="F415" s="254">
        <x:f>+Puantaj!AK415</x:f>
      </x:c>
      <x:c r="G415" s="33">
        <x:f>F415*1083</x:f>
      </x:c>
      <x:c r="H415" s="62">
        <x:f>G415*0.055</x:f>
      </x:c>
      <x:c r="I415" s="3">
        <x:f>G415+H415</x:f>
      </x:c>
      <x:c r="J415" s="3">
        <x:f>+G415</x:f>
      </x:c>
      <x:c r="K415" s="3">
        <x:f>J415*0.15</x:f>
      </x:c>
      <x:c r="L415" s="3">
        <x:f>IF(J415*0.15&gt;K415,K415,J415*0.15)</x:f>
      </x:c>
      <x:c r="M415" s="65">
        <x:f>IF(K415-L415&gt;0,K415-L415,0)</x:f>
      </x:c>
      <x:c r="N415" s="3">
        <x:f>G415*0.00759</x:f>
      </x:c>
      <x:c r="O415" s="3">
        <x:f>IF(G415*0.00759&gt;G415,197.38,G415*0.00759)</x:f>
      </x:c>
      <x:c r="P415" s="3">
        <x:f>IF(N415-O415&gt;0,N415-O415,0)</x:f>
      </x:c>
      <x:c r="Q415" s="65">
        <x:f>+H415</x:f>
      </x:c>
      <x:c r="R415" s="65">
        <x:v>0</x:v>
      </x:c>
      <x:c r="S415" s="3">
        <x:f>R415+Q415</x:f>
      </x:c>
      <x:c r="T415" s="3">
        <x:f>I415-S415</x:f>
      </x:c>
      <x:c r="U415" s="255"/>
    </x:row>
    <x:row r="416" spans="1:21" ht="21" customHeight="1" x14ac:dyDescent="0.2">
      <x:c r="A416" s="253">
        <x:f>+'Banka Lis.'!B415</x:f>
      </x:c>
      <x:c r="B416" s="253">
        <x:f>+Puantaj!C416</x:f>
      </x:c>
      <x:c r="C416" s="4">
        <x:f>+Puantaj!D416</x:f>
      </x:c>
      <x:c r="D416" s="4">
        <x:f>+Puantaj!E416</x:f>
      </x:c>
      <x:c r="E416" s="4">
        <x:f>+'Banka Lis.'!H415</x:f>
      </x:c>
      <x:c r="F416" s="254">
        <x:f>+Puantaj!AK416</x:f>
      </x:c>
      <x:c r="G416" s="33">
        <x:f>F416*1083</x:f>
      </x:c>
      <x:c r="H416" s="62">
        <x:f>G416*0.055</x:f>
      </x:c>
      <x:c r="I416" s="3">
        <x:f>G416+H416</x:f>
      </x:c>
      <x:c r="J416" s="3">
        <x:f>+G416</x:f>
      </x:c>
      <x:c r="K416" s="3">
        <x:f>J416*0.15</x:f>
      </x:c>
      <x:c r="L416" s="3">
        <x:f>IF(J416*0.15&gt;K416,K416,J416*0.15)</x:f>
      </x:c>
      <x:c r="M416" s="65">
        <x:f>IF(K416-L416&gt;0,K416-L416,0)</x:f>
      </x:c>
      <x:c r="N416" s="3">
        <x:f>G416*0.00759</x:f>
      </x:c>
      <x:c r="O416" s="3">
        <x:f>IF(G416*0.00759&gt;G416,197.38,G416*0.00759)</x:f>
      </x:c>
      <x:c r="P416" s="3">
        <x:f>IF(N416-O416&gt;0,N416-O416,0)</x:f>
      </x:c>
      <x:c r="Q416" s="65">
        <x:f>+H416</x:f>
      </x:c>
      <x:c r="R416" s="65">
        <x:v>0</x:v>
      </x:c>
      <x:c r="S416" s="3">
        <x:f>R416+Q416</x:f>
      </x:c>
      <x:c r="T416" s="3">
        <x:f>I416-S416</x:f>
      </x:c>
      <x:c r="U416" s="255"/>
    </x:row>
    <x:row r="417" spans="1:21" ht="21" customHeight="1" x14ac:dyDescent="0.2">
      <x:c r="A417" s="253">
        <x:f>+'Banka Lis.'!B416</x:f>
      </x:c>
      <x:c r="B417" s="253">
        <x:f>+Puantaj!C417</x:f>
      </x:c>
      <x:c r="C417" s="4">
        <x:f>+Puantaj!D417</x:f>
      </x:c>
      <x:c r="D417" s="4">
        <x:f>+Puantaj!E417</x:f>
      </x:c>
      <x:c r="E417" s="4">
        <x:f>+'Banka Lis.'!H416</x:f>
      </x:c>
      <x:c r="F417" s="254">
        <x:f>+Puantaj!AK417</x:f>
      </x:c>
      <x:c r="G417" s="33">
        <x:f>F417*1083</x:f>
      </x:c>
      <x:c r="H417" s="62">
        <x:f>G417*0.055</x:f>
      </x:c>
      <x:c r="I417" s="3">
        <x:f>G417+H417</x:f>
      </x:c>
      <x:c r="J417" s="3">
        <x:f>+G417</x:f>
      </x:c>
      <x:c r="K417" s="3">
        <x:f>J417*0.15</x:f>
      </x:c>
      <x:c r="L417" s="3">
        <x:f>IF(J417*0.15&gt;K417,K417,J417*0.15)</x:f>
      </x:c>
      <x:c r="M417" s="65">
        <x:f>IF(K417-L417&gt;0,K417-L417,0)</x:f>
      </x:c>
      <x:c r="N417" s="3">
        <x:f>G417*0.00759</x:f>
      </x:c>
      <x:c r="O417" s="3">
        <x:f>IF(G417*0.00759&gt;G417,197.38,G417*0.00759)</x:f>
      </x:c>
      <x:c r="P417" s="3">
        <x:f>IF(N417-O417&gt;0,N417-O417,0)</x:f>
      </x:c>
      <x:c r="Q417" s="65">
        <x:f>+H417</x:f>
      </x:c>
      <x:c r="R417" s="65">
        <x:v>0</x:v>
      </x:c>
      <x:c r="S417" s="3">
        <x:f>R417+Q417</x:f>
      </x:c>
      <x:c r="T417" s="3">
        <x:f>I417-S417</x:f>
      </x:c>
      <x:c r="U417" s="255"/>
    </x:row>
    <x:row r="418" spans="1:21" ht="21" customHeight="1" x14ac:dyDescent="0.2">
      <x:c r="A418" s="253">
        <x:f>+'Banka Lis.'!B417</x:f>
      </x:c>
      <x:c r="B418" s="253">
        <x:f>+Puantaj!C418</x:f>
      </x:c>
      <x:c r="C418" s="4">
        <x:f>+Puantaj!D418</x:f>
      </x:c>
      <x:c r="D418" s="4">
        <x:f>+Puantaj!E418</x:f>
      </x:c>
      <x:c r="E418" s="4">
        <x:f>+'Banka Lis.'!H417</x:f>
      </x:c>
      <x:c r="F418" s="254">
        <x:f>+Puantaj!AK418</x:f>
      </x:c>
      <x:c r="G418" s="33">
        <x:f>F418*1083</x:f>
      </x:c>
      <x:c r="H418" s="62">
        <x:f>G418*0.055</x:f>
      </x:c>
      <x:c r="I418" s="3">
        <x:f>G418+H418</x:f>
      </x:c>
      <x:c r="J418" s="3">
        <x:f>+G418</x:f>
      </x:c>
      <x:c r="K418" s="3">
        <x:f>J418*0.15</x:f>
      </x:c>
      <x:c r="L418" s="3">
        <x:f>IF(J418*0.15&gt;K418,K418,J418*0.15)</x:f>
      </x:c>
      <x:c r="M418" s="65">
        <x:f>IF(K418-L418&gt;0,K418-L418,0)</x:f>
      </x:c>
      <x:c r="N418" s="3">
        <x:f>G418*0.00759</x:f>
      </x:c>
      <x:c r="O418" s="3">
        <x:f>IF(G418*0.00759&gt;G418,197.38,G418*0.00759)</x:f>
      </x:c>
      <x:c r="P418" s="3">
        <x:f>IF(N418-O418&gt;0,N418-O418,0)</x:f>
      </x:c>
      <x:c r="Q418" s="65">
        <x:f>+H418</x:f>
      </x:c>
      <x:c r="R418" s="65">
        <x:v>0</x:v>
      </x:c>
      <x:c r="S418" s="3">
        <x:f>R418+Q418</x:f>
      </x:c>
      <x:c r="T418" s="3">
        <x:f>I418-S418</x:f>
      </x:c>
      <x:c r="U418" s="255"/>
    </x:row>
    <x:row r="419" spans="1:21" ht="21" customHeight="1" x14ac:dyDescent="0.2">
      <x:c r="A419" s="253">
        <x:f>+'Banka Lis.'!B418</x:f>
      </x:c>
      <x:c r="B419" s="253">
        <x:f>+Puantaj!C419</x:f>
      </x:c>
      <x:c r="C419" s="4">
        <x:f>+Puantaj!D419</x:f>
      </x:c>
      <x:c r="D419" s="4">
        <x:f>+Puantaj!E419</x:f>
      </x:c>
      <x:c r="E419" s="4">
        <x:f>+'Banka Lis.'!H418</x:f>
      </x:c>
      <x:c r="F419" s="254">
        <x:f>+Puantaj!AK419</x:f>
      </x:c>
      <x:c r="G419" s="33">
        <x:f>F419*1083</x:f>
      </x:c>
      <x:c r="H419" s="62">
        <x:f>G419*0.055</x:f>
      </x:c>
      <x:c r="I419" s="3">
        <x:f>G419+H419</x:f>
      </x:c>
      <x:c r="J419" s="3">
        <x:f>+G419</x:f>
      </x:c>
      <x:c r="K419" s="3">
        <x:f>J419*0.15</x:f>
      </x:c>
      <x:c r="L419" s="3">
        <x:f>IF(J419*0.15&gt;K419,K419,J419*0.15)</x:f>
      </x:c>
      <x:c r="M419" s="65">
        <x:f>IF(K419-L419&gt;0,K419-L419,0)</x:f>
      </x:c>
      <x:c r="N419" s="3">
        <x:f>G419*0.00759</x:f>
      </x:c>
      <x:c r="O419" s="3">
        <x:f>IF(G419*0.00759&gt;G419,197.38,G419*0.00759)</x:f>
      </x:c>
      <x:c r="P419" s="3">
        <x:f>IF(N419-O419&gt;0,N419-O419,0)</x:f>
      </x:c>
      <x:c r="Q419" s="65">
        <x:f>+H419</x:f>
      </x:c>
      <x:c r="R419" s="65">
        <x:v>0</x:v>
      </x:c>
      <x:c r="S419" s="3">
        <x:f>R419+Q419</x:f>
      </x:c>
      <x:c r="T419" s="3">
        <x:f>I419-S419</x:f>
      </x:c>
      <x:c r="U419" s="255"/>
    </x:row>
    <x:row r="420" spans="1:21" ht="21" customHeight="1" x14ac:dyDescent="0.2">
      <x:c r="A420" s="253">
        <x:f>+'Banka Lis.'!B419</x:f>
      </x:c>
      <x:c r="B420" s="253">
        <x:f>+Puantaj!C420</x:f>
      </x:c>
      <x:c r="C420" s="4">
        <x:f>+Puantaj!D420</x:f>
      </x:c>
      <x:c r="D420" s="4">
        <x:f>+Puantaj!E420</x:f>
      </x:c>
      <x:c r="E420" s="4">
        <x:f>+'Banka Lis.'!H419</x:f>
      </x:c>
      <x:c r="F420" s="254">
        <x:f>+Puantaj!AK420</x:f>
      </x:c>
      <x:c r="G420" s="33">
        <x:f>F420*1083</x:f>
      </x:c>
      <x:c r="H420" s="62">
        <x:f>G420*0.055</x:f>
      </x:c>
      <x:c r="I420" s="3">
        <x:f>G420+H420</x:f>
      </x:c>
      <x:c r="J420" s="3">
        <x:f>+G420</x:f>
      </x:c>
      <x:c r="K420" s="3">
        <x:f>J420*0.15</x:f>
      </x:c>
      <x:c r="L420" s="3">
        <x:f>IF(J420*0.15&gt;K420,K420,J420*0.15)</x:f>
      </x:c>
      <x:c r="M420" s="65">
        <x:f>IF(K420-L420&gt;0,K420-L420,0)</x:f>
      </x:c>
      <x:c r="N420" s="3">
        <x:f>G420*0.00759</x:f>
      </x:c>
      <x:c r="O420" s="3">
        <x:f>IF(G420*0.00759&gt;G420,197.38,G420*0.00759)</x:f>
      </x:c>
      <x:c r="P420" s="3">
        <x:f>IF(N420-O420&gt;0,N420-O420,0)</x:f>
      </x:c>
      <x:c r="Q420" s="65">
        <x:f>+H420</x:f>
      </x:c>
      <x:c r="R420" s="65">
        <x:v>0</x:v>
      </x:c>
      <x:c r="S420" s="3">
        <x:f>R420+Q420</x:f>
      </x:c>
      <x:c r="T420" s="3">
        <x:f>I420-S420</x:f>
      </x:c>
      <x:c r="U420" s="255"/>
    </x:row>
    <x:row r="421" spans="1:21" ht="21" customHeight="1" x14ac:dyDescent="0.2">
      <x:c r="A421" s="253">
        <x:f>+'Banka Lis.'!B420</x:f>
      </x:c>
      <x:c r="B421" s="253">
        <x:f>+Puantaj!C421</x:f>
      </x:c>
      <x:c r="C421" s="4">
        <x:f>+Puantaj!D421</x:f>
      </x:c>
      <x:c r="D421" s="4">
        <x:f>+Puantaj!E421</x:f>
      </x:c>
      <x:c r="E421" s="4">
        <x:f>+'Banka Lis.'!H420</x:f>
      </x:c>
      <x:c r="F421" s="254">
        <x:f>+Puantaj!AK421</x:f>
      </x:c>
      <x:c r="G421" s="33">
        <x:f>F421*1083</x:f>
      </x:c>
      <x:c r="H421" s="62">
        <x:f>G421*0.055</x:f>
      </x:c>
      <x:c r="I421" s="3">
        <x:f>G421+H421</x:f>
      </x:c>
      <x:c r="J421" s="3">
        <x:f>+G421</x:f>
      </x:c>
      <x:c r="K421" s="3">
        <x:f>J421*0.15</x:f>
      </x:c>
      <x:c r="L421" s="3">
        <x:f>IF(J421*0.15&gt;K421,K421,J421*0.15)</x:f>
      </x:c>
      <x:c r="M421" s="65">
        <x:f>IF(K421-L421&gt;0,K421-L421,0)</x:f>
      </x:c>
      <x:c r="N421" s="3">
        <x:f>G421*0.00759</x:f>
      </x:c>
      <x:c r="O421" s="3">
        <x:f>IF(G421*0.00759&gt;G421,197.38,G421*0.00759)</x:f>
      </x:c>
      <x:c r="P421" s="3">
        <x:f>IF(N421-O421&gt;0,N421-O421,0)</x:f>
      </x:c>
      <x:c r="Q421" s="65">
        <x:f>+H421</x:f>
      </x:c>
      <x:c r="R421" s="65">
        <x:v>0</x:v>
      </x:c>
      <x:c r="S421" s="3">
        <x:f>R421+Q421</x:f>
      </x:c>
      <x:c r="T421" s="3">
        <x:f>I421-S421</x:f>
      </x:c>
      <x:c r="U421" s="255"/>
    </x:row>
    <x:row r="422" spans="1:21" ht="21" customHeight="1" x14ac:dyDescent="0.2">
      <x:c r="A422" s="253">
        <x:f>+'Banka Lis.'!B421</x:f>
      </x:c>
      <x:c r="B422" s="253">
        <x:f>+Puantaj!C422</x:f>
      </x:c>
      <x:c r="C422" s="4">
        <x:f>+Puantaj!D422</x:f>
      </x:c>
      <x:c r="D422" s="4">
        <x:f>+Puantaj!E422</x:f>
      </x:c>
      <x:c r="E422" s="4">
        <x:f>+'Banka Lis.'!H421</x:f>
      </x:c>
      <x:c r="F422" s="254">
        <x:f>+Puantaj!AK422</x:f>
      </x:c>
      <x:c r="G422" s="33">
        <x:f>F422*1083</x:f>
      </x:c>
      <x:c r="H422" s="62">
        <x:f>G422*0.055</x:f>
      </x:c>
      <x:c r="I422" s="3">
        <x:f>G422+H422</x:f>
      </x:c>
      <x:c r="J422" s="3">
        <x:f>+G422</x:f>
      </x:c>
      <x:c r="K422" s="3">
        <x:f>J422*0.15</x:f>
      </x:c>
      <x:c r="L422" s="3">
        <x:f>IF(J422*0.15&gt;K422,K422,J422*0.15)</x:f>
      </x:c>
      <x:c r="M422" s="65">
        <x:f>IF(K422-L422&gt;0,K422-L422,0)</x:f>
      </x:c>
      <x:c r="N422" s="3">
        <x:f>G422*0.00759</x:f>
      </x:c>
      <x:c r="O422" s="3">
        <x:f>IF(G422*0.00759&gt;G422,197.38,G422*0.00759)</x:f>
      </x:c>
      <x:c r="P422" s="3">
        <x:f>IF(N422-O422&gt;0,N422-O422,0)</x:f>
      </x:c>
      <x:c r="Q422" s="65">
        <x:f>+H422</x:f>
      </x:c>
      <x:c r="R422" s="65">
        <x:v>0</x:v>
      </x:c>
      <x:c r="S422" s="3">
        <x:f>R422+Q422</x:f>
      </x:c>
      <x:c r="T422" s="3">
        <x:f>I422-S422</x:f>
      </x:c>
      <x:c r="U422" s="255"/>
    </x:row>
    <x:row r="423" spans="1:21" ht="21" customHeight="1" x14ac:dyDescent="0.2">
      <x:c r="A423" s="253">
        <x:f>+'Banka Lis.'!B422</x:f>
      </x:c>
      <x:c r="B423" s="253">
        <x:f>+Puantaj!C423</x:f>
      </x:c>
      <x:c r="C423" s="4">
        <x:f>+Puantaj!D423</x:f>
      </x:c>
      <x:c r="D423" s="4">
        <x:f>+Puantaj!E423</x:f>
      </x:c>
      <x:c r="E423" s="4">
        <x:f>+'Banka Lis.'!H422</x:f>
      </x:c>
      <x:c r="F423" s="254">
        <x:f>+Puantaj!AK423</x:f>
      </x:c>
      <x:c r="G423" s="33">
        <x:f>F423*1083</x:f>
      </x:c>
      <x:c r="H423" s="62">
        <x:f>G423*0.055</x:f>
      </x:c>
      <x:c r="I423" s="3">
        <x:f>G423+H423</x:f>
      </x:c>
      <x:c r="J423" s="3">
        <x:f>+G423</x:f>
      </x:c>
      <x:c r="K423" s="3">
        <x:f>J423*0.15</x:f>
      </x:c>
      <x:c r="L423" s="3">
        <x:f>IF(J423*0.15&gt;K423,K423,J423*0.15)</x:f>
      </x:c>
      <x:c r="M423" s="65">
        <x:f>IF(K423-L423&gt;0,K423-L423,0)</x:f>
      </x:c>
      <x:c r="N423" s="3">
        <x:f>G423*0.00759</x:f>
      </x:c>
      <x:c r="O423" s="3">
        <x:f>IF(G423*0.00759&gt;G423,197.38,G423*0.00759)</x:f>
      </x:c>
      <x:c r="P423" s="3">
        <x:f>IF(N423-O423&gt;0,N423-O423,0)</x:f>
      </x:c>
      <x:c r="Q423" s="65">
        <x:f>+H423</x:f>
      </x:c>
      <x:c r="R423" s="65">
        <x:v>0</x:v>
      </x:c>
      <x:c r="S423" s="3">
        <x:f>R423+Q423</x:f>
      </x:c>
      <x:c r="T423" s="3">
        <x:f>I423-S423</x:f>
      </x:c>
      <x:c r="U423" s="255"/>
    </x:row>
    <x:row r="424" spans="1:21" ht="21" customHeight="1" x14ac:dyDescent="0.2">
      <x:c r="A424" s="253">
        <x:f>+'Banka Lis.'!B423</x:f>
      </x:c>
      <x:c r="B424" s="253">
        <x:f>+Puantaj!C424</x:f>
      </x:c>
      <x:c r="C424" s="4">
        <x:f>+Puantaj!D424</x:f>
      </x:c>
      <x:c r="D424" s="4">
        <x:f>+Puantaj!E424</x:f>
      </x:c>
      <x:c r="E424" s="4">
        <x:f>+'Banka Lis.'!H423</x:f>
      </x:c>
      <x:c r="F424" s="254">
        <x:f>+Puantaj!AK424</x:f>
      </x:c>
      <x:c r="G424" s="33">
        <x:f>F424*1083</x:f>
      </x:c>
      <x:c r="H424" s="62">
        <x:f>G424*0.055</x:f>
      </x:c>
      <x:c r="I424" s="3">
        <x:f>G424+H424</x:f>
      </x:c>
      <x:c r="J424" s="3">
        <x:f>+G424</x:f>
      </x:c>
      <x:c r="K424" s="3">
        <x:f>J424*0.15</x:f>
      </x:c>
      <x:c r="L424" s="3">
        <x:f>IF(J424*0.15&gt;K424,K424,J424*0.15)</x:f>
      </x:c>
      <x:c r="M424" s="65">
        <x:f>IF(K424-L424&gt;0,K424-L424,0)</x:f>
      </x:c>
      <x:c r="N424" s="3">
        <x:f>G424*0.00759</x:f>
      </x:c>
      <x:c r="O424" s="3">
        <x:f>IF(G424*0.00759&gt;G424,197.38,G424*0.00759)</x:f>
      </x:c>
      <x:c r="P424" s="3">
        <x:f>IF(N424-O424&gt;0,N424-O424,0)</x:f>
      </x:c>
      <x:c r="Q424" s="65">
        <x:f>+H424</x:f>
      </x:c>
      <x:c r="R424" s="65">
        <x:v>0</x:v>
      </x:c>
      <x:c r="S424" s="3">
        <x:f>R424+Q424</x:f>
      </x:c>
      <x:c r="T424" s="3">
        <x:f>I424-S424</x:f>
      </x:c>
      <x:c r="U424" s="255"/>
    </x:row>
    <x:row r="425" spans="1:21" ht="21.75" customHeight="1" x14ac:dyDescent="0.2">
      <x:c r="A425" s="183" t="s">
        <x:v>54</x:v>
      </x:c>
      <x:c r="B425" s="183"/>
      <x:c r="C425" s="183"/>
      <x:c r="D425" s="183"/>
      <x:c r="E425" s="183"/>
      <x:c r="F425" s="37">
        <x:f>SUM(F6:F424)</x:f>
      </x:c>
      <x:c r="G425" s="22">
        <x:f>SUM(G6:G424)</x:f>
      </x:c>
      <x:c r="H425" s="22">
        <x:f>SUM(H6:H424)</x:f>
      </x:c>
      <x:c r="I425" s="22">
        <x:f>SUM(I6:I424)</x:f>
      </x:c>
      <x:c r="J425" s="22">
        <x:f>SUM(J6:J424)</x:f>
      </x:c>
      <x:c r="K425" s="22"/>
      <x:c r="L425" s="22">
        <x:f>SUM(L6:L424)</x:f>
      </x:c>
      <x:c r="M425" s="22">
        <x:f>SUM(M6:M424)</x:f>
      </x:c>
      <x:c r="N425" s="22"/>
      <x:c r="O425" s="22"/>
      <x:c r="P425" s="22">
        <x:f>SUM(P6:P424)</x:f>
      </x:c>
      <x:c r="Q425" s="67">
        <x:f>SUM(Q6:Q424)</x:f>
      </x:c>
      <x:c r="R425" s="22">
        <x:f>SUM(R6:R424)</x:f>
      </x:c>
      <x:c r="S425" s="22">
        <x:f>SUM(S6:S424)</x:f>
      </x:c>
      <x:c r="T425" s="22">
        <x:f>SUM(T6:T424)</x:f>
      </x:c>
      <x:c r="U425" s="256"/>
    </x:row>
    <x:row r="426" spans="1:21" x14ac:dyDescent="0.2">
      <x:c r="C426" s="180"/>
      <x:c r="D426" s="180"/>
      <x:c r="E426" s="180"/>
      <x:c r="F426" s="180"/>
      <x:c r="G426" s="180"/>
      <x:c r="H426" s="257"/>
      <x:c r="I426" s="9"/>
      <x:c r="J426" s="257"/>
      <x:c r="K426" s="257"/>
      <x:c r="L426" s="257"/>
      <x:c r="M426" s="257"/>
      <x:c r="N426" s="257"/>
      <x:c r="O426" s="257"/>
      <x:c r="P426" s="257"/>
      <x:c r="Q426" s="258"/>
      <x:c r="R426" s="257"/>
      <x:c r="S426" s="9"/>
      <x:c r="T426" s="257"/>
      <x:c r="U426" s="257"/>
    </x:row>
    <x:row r="427" spans="1:21" ht="20.25" customHeight="1" x14ac:dyDescent="0.2">
      <x:c r="C427" s="180"/>
      <x:c r="D427" s="180"/>
      <x:c r="E427" s="180"/>
      <x:c r="F427" s="259"/>
      <x:c r="G427" s="259"/>
      <x:c r="H427" s="260"/>
      <x:c r="I427" s="28">
        <x:v>45708</x:v>
      </x:c>
      <x:c r="J427" s="257"/>
      <x:c r="K427" s="257"/>
      <x:c r="L427" s="257"/>
      <x:c r="M427" s="257"/>
      <x:c r="N427" s="257"/>
      <x:c r="O427" s="257"/>
      <x:c r="P427" s="257"/>
      <x:c r="Q427" s="258"/>
      <x:c r="R427" s="257"/>
      <x:c r="S427" s="9"/>
      <x:c r="T427" s="257"/>
      <x:c r="U427" s="257"/>
    </x:row>
    <x:row r="428" spans="1:21" ht="15" customHeight="1" x14ac:dyDescent="0.2">
      <x:c r="C428" s="180"/>
      <x:c r="D428" s="180"/>
      <x:c r="E428" s="180"/>
      <x:c r="F428" s="180"/>
      <x:c r="G428" s="180"/>
      <x:c r="H428" s="261"/>
      <x:c r="I428" s="261"/>
      <x:c r="Q428" s="180"/>
      <x:c r="R428" s="180"/>
      <x:c r="S428" s="180"/>
      <x:c r="T428" s="18"/>
      <x:c r="U428" s="18"/>
    </x:row>
    <x:row r="429" spans="1:21" ht="15" customHeight="1" x14ac:dyDescent="0.2">
      <x:c r="C429" s="180">
        <x:f>+'Banka Lis.'!C430:C430</x:f>
      </x:c>
      <x:c r="D429" s="180"/>
      <x:c r="F429" s="259"/>
      <x:c r="G429" s="259"/>
      <x:c r="H429" s="261"/>
      <x:c r="I429" s="261"/>
      <x:c r="Q429" s="180">
        <x:f>+'Banka Lis.'!H430</x:f>
      </x:c>
      <x:c r="R429" s="180"/>
      <x:c r="S429" s="180"/>
      <x:c r="T429" s="21"/>
      <x:c r="U429" s="21"/>
    </x:row>
    <x:row r="430" spans="1:21" x14ac:dyDescent="0.2">
      <x:c r="H430" s="261"/>
      <x:c r="I430" s="261"/>
      <x:c r="S430" s="19"/>
      <x:c r="T430" s="19"/>
      <x:c r="U430" s="19"/>
    </x:row>
  </x:sheetData>
  <x:mergeCells count="25">
    <x:mergeCell ref="A2:P2"/>
    <x:mergeCell ref="Q2:T2"/>
    <x:mergeCell ref="A3:A5"/>
    <x:mergeCell ref="B3:B5"/>
    <x:mergeCell ref="C3:C5"/>
    <x:mergeCell ref="D3:D5"/>
    <x:mergeCell ref="E3:E5"/>
    <x:mergeCell ref="F3:F5"/>
    <x:mergeCell ref="G3:G5"/>
    <x:mergeCell ref="H3:H5"/>
    <x:mergeCell ref="I3:I5"/>
    <x:mergeCell ref="J3:R3"/>
    <x:mergeCell ref="T3:T5"/>
    <x:mergeCell ref="J4:M4"/>
    <x:mergeCell ref="N4:P4"/>
    <x:mergeCell ref="Q4:Q5"/>
    <x:mergeCell ref="R4:R5"/>
    <x:mergeCell ref="S4:S5"/>
    <x:mergeCell ref="A425:E425"/>
    <x:mergeCell ref="C428:D428"/>
    <x:mergeCell ref="H428:I428"/>
    <x:mergeCell ref="Q428:S428"/>
    <x:mergeCell ref="C429:D429"/>
    <x:mergeCell ref="H429:I429"/>
    <x:mergeCell ref="Q429:S429"/>
  </x:mergeCells>
  <x:printOptions horizontalCentered="1" verticalCentered="0" headings="0" gridLines="0"/>
  <x:pageMargins left="0" right="0" top="0.39370078740157483" bottom="0.19685039370078741" header="0" footer="0"/>
  <x:pageSetup paperSize="9" scale="70" pageOrder="downThenOver" orientation="landscape" blackAndWhite="0" draft="0" cellComments="none" errors="displayed" horizontalDpi="1200" verticalDpi="1200" r:id="rId1"/>
  <x:headerFooter alignWithMargins="0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3C90451-7F39-4281-8152-3D0B3D074924}" mc:Ignorable="x14ac xr xr2 xr3">
  <x:sheetPr codeName="Sayfa1">
    <x:outlinePr summaryBelow="1" summaryRight="1"/>
    <x:pageSetUpPr fitToPage="1"/>
  </x:sheetPr>
  <x:dimension ref="B1:K430"/>
  <x:sheetViews>
    <x:sheetView workbookViewId="0">
      <x:selection activeCell="D430" sqref="D430"/>
    </x:sheetView>
  </x:sheetViews>
  <x:sheetFormatPr defaultColWidth="9.140625" defaultRowHeight="16.5" customHeight="1" x14ac:dyDescent="0.2"/>
  <x:cols>
    <x:col min="1" max="1" width="0.710938" style="16" customWidth="1"/>
    <x:col min="2" max="2" width="6.570312" style="16" customWidth="1"/>
    <x:col min="3" max="3" width="28.855469" style="21" customWidth="1"/>
    <x:col min="4" max="4" width="13" style="21" customWidth="1"/>
    <x:col min="5" max="5" width="20.855469" style="16" customWidth="1"/>
    <x:col min="6" max="6" width="15" style="16" customWidth="1"/>
    <x:col min="7" max="7" width="20.710938" style="16" customWidth="1"/>
    <x:col min="8" max="8" width="47.285156" style="16" bestFit="1" customWidth="1"/>
    <x:col min="9" max="9" width="6.570312" style="16" customWidth="1"/>
    <x:col min="10" max="16384" width="9.140625" style="16" customWidth="1"/>
  </x:cols>
  <x:sheetData>
    <x:row r="1" spans="1:11" ht="16.5" customHeight="1" x14ac:dyDescent="0.2">
      <x:c r="B1" s="262" t="s">
        <x:v>55</x:v>
      </x:c>
      <x:c r="C1" s="263"/>
      <x:c r="D1" s="263"/>
      <x:c r="E1" s="263"/>
      <x:c r="F1" s="263"/>
      <x:c r="G1" s="263"/>
      <x:c r="H1" s="263"/>
    </x:row>
    <x:row r="2" spans="1:11" ht="16.5" customHeight="1" x14ac:dyDescent="0.2">
      <x:c r="B2" s="202" t="s">
        <x:v>56</x:v>
      </x:c>
      <x:c r="C2" s="202"/>
      <x:c r="D2" s="12"/>
      <x:c r="E2" s="12"/>
      <x:c r="F2" s="44" t="s">
        <x:v>57</x:v>
      </x:c>
      <x:c r="G2" s="48">
        <x:v>45719</x:v>
      </x:c>
      <x:c r="H2" s="49" t="s">
        <x:v>58</x:v>
      </x:c>
    </x:row>
    <x:row r="3" spans="1:11" ht="16.5" customHeight="1" x14ac:dyDescent="0.2">
      <x:c r="B3" s="202" t="s">
        <x:v>59</x:v>
      </x:c>
      <x:c r="C3" s="202"/>
      <x:c r="D3" s="12"/>
      <x:c r="E3" s="45" t="s">
        <x:v>60</x:v>
      </x:c>
      <x:c r="F3" s="46"/>
      <x:c r="G3" s="46"/>
      <x:c r="H3" s="47"/>
    </x:row>
    <x:row r="4" spans="1:11" ht="30.75" customHeight="1" x14ac:dyDescent="0.2">
      <x:c r="B4" s="13" t="s">
        <x:v>61</x:v>
      </x:c>
      <x:c r="C4" s="13" t="s">
        <x:v>62</x:v>
      </x:c>
      <x:c r="D4" s="43" t="s">
        <x:v>63</x:v>
      </x:c>
      <x:c r="E4" s="13" t="s">
        <x:v>64</x:v>
      </x:c>
      <x:c r="F4" s="13" t="s">
        <x:v>65</x:v>
      </x:c>
      <x:c r="G4" s="20" t="s">
        <x:v>32</x:v>
      </x:c>
      <x:c r="H4" s="13" t="s">
        <x:v>66</x:v>
      </x:c>
    </x:row>
    <x:row r="5" spans="1:11" ht="15.75" customHeight="1" x14ac:dyDescent="0.2">
      <x:c r="B5" s="14">
        <x:v>1</x:v>
      </x:c>
      <x:c r="C5" s="41">
        <x:f>+Puantaj!A6</x:f>
      </x:c>
      <x:c r="D5" s="15">
        <x:f>+BORDRO!T6</x:f>
      </x:c>
      <x:c r="E5" s="41">
        <x:f>+Puantaj!D6</x:f>
      </x:c>
      <x:c r="F5" s="41">
        <x:f>+Puantaj!E6</x:f>
      </x:c>
      <x:c r="G5" s="13">
        <x:f>+Puantaj!C6</x:f>
      </x:c>
      <x:c r="H5" s="71" t="s">
        <x:v>67</x:v>
      </x:c>
      <x:c r="J5" s="56"/>
      <x:c r="K5" s="56"/>
    </x:row>
    <x:row r="6" spans="1:11" ht="15.75" customHeight="1" x14ac:dyDescent="0.2">
      <x:c r="B6" s="14">
        <x:v>2</x:v>
      </x:c>
      <x:c r="C6" s="41">
        <x:f>+Puantaj!A7</x:f>
      </x:c>
      <x:c r="D6" s="15">
        <x:f>+BORDRO!T7</x:f>
      </x:c>
      <x:c r="E6" s="41">
        <x:f>+Puantaj!D7</x:f>
      </x:c>
      <x:c r="F6" s="41">
        <x:f>+Puantaj!E7</x:f>
      </x:c>
      <x:c r="G6" s="13">
        <x:f>+Puantaj!C7</x:f>
      </x:c>
      <x:c r="H6" s="71" t="s">
        <x:v>67</x:v>
      </x:c>
    </x:row>
    <x:row r="7" spans="1:11" ht="15.75" customHeight="1" x14ac:dyDescent="0.2">
      <x:c r="B7" s="14">
        <x:v>3</x:v>
      </x:c>
      <x:c r="C7" s="41">
        <x:f>+Puantaj!A8</x:f>
      </x:c>
      <x:c r="D7" s="15">
        <x:f>+BORDRO!T8</x:f>
      </x:c>
      <x:c r="E7" s="41">
        <x:f>+Puantaj!D8</x:f>
      </x:c>
      <x:c r="F7" s="41">
        <x:f>+Puantaj!E8</x:f>
      </x:c>
      <x:c r="G7" s="13">
        <x:f>+Puantaj!C8</x:f>
      </x:c>
      <x:c r="H7" s="71" t="s">
        <x:v>67</x:v>
      </x:c>
    </x:row>
    <x:row r="8" spans="1:11" ht="15.75" customHeight="1" x14ac:dyDescent="0.2">
      <x:c r="B8" s="14">
        <x:v>4</x:v>
      </x:c>
      <x:c r="C8" s="41">
        <x:f>+Puantaj!A9</x:f>
      </x:c>
      <x:c r="D8" s="15">
        <x:f>+BORDRO!T9</x:f>
      </x:c>
      <x:c r="E8" s="41">
        <x:f>+Puantaj!D9</x:f>
      </x:c>
      <x:c r="F8" s="41">
        <x:f>+Puantaj!E9</x:f>
      </x:c>
      <x:c r="G8" s="13">
        <x:f>+Puantaj!C9</x:f>
      </x:c>
      <x:c r="H8" s="71" t="s">
        <x:v>67</x:v>
      </x:c>
    </x:row>
    <x:row r="9" spans="1:11" ht="15.75" customHeight="1" x14ac:dyDescent="0.2">
      <x:c r="B9" s="14">
        <x:v>5</x:v>
      </x:c>
      <x:c r="C9" s="41">
        <x:f>+Puantaj!A10</x:f>
      </x:c>
      <x:c r="D9" s="15">
        <x:f>+BORDRO!T10</x:f>
      </x:c>
      <x:c r="E9" s="41">
        <x:f>+Puantaj!D10</x:f>
      </x:c>
      <x:c r="F9" s="41">
        <x:f>+Puantaj!E10</x:f>
      </x:c>
      <x:c r="G9" s="13">
        <x:f>+Puantaj!C10</x:f>
      </x:c>
      <x:c r="H9" s="71" t="s">
        <x:v>67</x:v>
      </x:c>
    </x:row>
    <x:row r="10" spans="1:11" ht="15.75" customHeight="1" x14ac:dyDescent="0.2">
      <x:c r="B10" s="14">
        <x:v>6</x:v>
      </x:c>
      <x:c r="C10" s="41">
        <x:f>+Puantaj!A11</x:f>
      </x:c>
      <x:c r="D10" s="15">
        <x:f>+BORDRO!T11</x:f>
      </x:c>
      <x:c r="E10" s="41">
        <x:f>+Puantaj!D11</x:f>
      </x:c>
      <x:c r="F10" s="41">
        <x:f>+Puantaj!E11</x:f>
      </x:c>
      <x:c r="G10" s="13">
        <x:f>+Puantaj!C11</x:f>
      </x:c>
      <x:c r="H10" s="71" t="s">
        <x:v>67</x:v>
      </x:c>
    </x:row>
    <x:row r="11" spans="1:11" ht="15.75" customHeight="1" x14ac:dyDescent="0.2">
      <x:c r="B11" s="14">
        <x:v>7</x:v>
      </x:c>
      <x:c r="C11" s="41">
        <x:f>+Puantaj!A12</x:f>
      </x:c>
      <x:c r="D11" s="15">
        <x:f>+BORDRO!T12</x:f>
      </x:c>
      <x:c r="E11" s="41">
        <x:f>+Puantaj!D12</x:f>
      </x:c>
      <x:c r="F11" s="41">
        <x:f>+Puantaj!E12</x:f>
      </x:c>
      <x:c r="G11" s="13">
        <x:f>+Puantaj!C12</x:f>
      </x:c>
      <x:c r="H11" s="71" t="s">
        <x:v>67</x:v>
      </x:c>
    </x:row>
    <x:row r="12" spans="1:11" ht="15.75" customHeight="1" x14ac:dyDescent="0.2">
      <x:c r="B12" s="14">
        <x:v>8</x:v>
      </x:c>
      <x:c r="C12" s="41">
        <x:f>+Puantaj!A13</x:f>
      </x:c>
      <x:c r="D12" s="15">
        <x:f>+BORDRO!T13</x:f>
      </x:c>
      <x:c r="E12" s="41">
        <x:f>+Puantaj!D13</x:f>
      </x:c>
      <x:c r="F12" s="41">
        <x:f>+Puantaj!E13</x:f>
      </x:c>
      <x:c r="G12" s="13">
        <x:f>+Puantaj!C13</x:f>
      </x:c>
      <x:c r="H12" s="71" t="s">
        <x:v>67</x:v>
      </x:c>
    </x:row>
    <x:row r="13" spans="1:11" ht="15.75" customHeight="1" x14ac:dyDescent="0.2">
      <x:c r="B13" s="14">
        <x:v>9</x:v>
      </x:c>
      <x:c r="C13" s="41">
        <x:f>+Puantaj!A14</x:f>
      </x:c>
      <x:c r="D13" s="15">
        <x:f>+BORDRO!T14</x:f>
      </x:c>
      <x:c r="E13" s="41">
        <x:f>+Puantaj!D14</x:f>
      </x:c>
      <x:c r="F13" s="41">
        <x:f>+Puantaj!E14</x:f>
      </x:c>
      <x:c r="G13" s="13">
        <x:f>+Puantaj!C14</x:f>
      </x:c>
      <x:c r="H13" s="71" t="s">
        <x:v>67</x:v>
      </x:c>
    </x:row>
    <x:row r="14" spans="1:11" ht="15.75" customHeight="1" x14ac:dyDescent="0.2">
      <x:c r="B14" s="14">
        <x:v>10</x:v>
      </x:c>
      <x:c r="C14" s="41">
        <x:f>+Puantaj!A15</x:f>
      </x:c>
      <x:c r="D14" s="15">
        <x:f>+BORDRO!T15</x:f>
      </x:c>
      <x:c r="E14" s="41">
        <x:f>+Puantaj!D15</x:f>
      </x:c>
      <x:c r="F14" s="41">
        <x:f>+Puantaj!E15</x:f>
      </x:c>
      <x:c r="G14" s="13">
        <x:f>+Puantaj!C15</x:f>
      </x:c>
      <x:c r="H14" s="71" t="s">
        <x:v>67</x:v>
      </x:c>
    </x:row>
    <x:row r="15" spans="1:11" ht="15.75" customHeight="1" x14ac:dyDescent="0.2">
      <x:c r="B15" s="14">
        <x:v>11</x:v>
      </x:c>
      <x:c r="C15" s="41">
        <x:f>+Puantaj!A16</x:f>
      </x:c>
      <x:c r="D15" s="15">
        <x:f>+BORDRO!T16</x:f>
      </x:c>
      <x:c r="E15" s="41">
        <x:f>+Puantaj!D16</x:f>
      </x:c>
      <x:c r="F15" s="41">
        <x:f>+Puantaj!E16</x:f>
      </x:c>
      <x:c r="G15" s="13">
        <x:f>+Puantaj!C16</x:f>
      </x:c>
      <x:c r="H15" s="71" t="s">
        <x:v>67</x:v>
      </x:c>
    </x:row>
    <x:row r="16" spans="1:11" ht="15.75" customHeight="1" x14ac:dyDescent="0.2">
      <x:c r="B16" s="14">
        <x:v>12</x:v>
      </x:c>
      <x:c r="C16" s="41">
        <x:f>+Puantaj!A17</x:f>
      </x:c>
      <x:c r="D16" s="15">
        <x:f>+BORDRO!T17</x:f>
      </x:c>
      <x:c r="E16" s="41">
        <x:f>+Puantaj!D17</x:f>
      </x:c>
      <x:c r="F16" s="41">
        <x:f>+Puantaj!E17</x:f>
      </x:c>
      <x:c r="G16" s="13">
        <x:f>+Puantaj!C17</x:f>
      </x:c>
      <x:c r="H16" s="71" t="s">
        <x:v>67</x:v>
      </x:c>
    </x:row>
    <x:row r="17" spans="1:11" ht="15.75" customHeight="1" x14ac:dyDescent="0.2">
      <x:c r="B17" s="14">
        <x:v>13</x:v>
      </x:c>
      <x:c r="C17" s="41">
        <x:f>+Puantaj!A18</x:f>
      </x:c>
      <x:c r="D17" s="15">
        <x:f>+BORDRO!T18</x:f>
      </x:c>
      <x:c r="E17" s="41">
        <x:f>+Puantaj!D18</x:f>
      </x:c>
      <x:c r="F17" s="41">
        <x:f>+Puantaj!E18</x:f>
      </x:c>
      <x:c r="G17" s="13">
        <x:f>+Puantaj!C18</x:f>
      </x:c>
      <x:c r="H17" s="71" t="s">
        <x:v>67</x:v>
      </x:c>
    </x:row>
    <x:row r="18" spans="1:11" ht="15.75" customHeight="1" x14ac:dyDescent="0.2">
      <x:c r="B18" s="14">
        <x:v>14</x:v>
      </x:c>
      <x:c r="C18" s="41">
        <x:f>+Puantaj!A19</x:f>
      </x:c>
      <x:c r="D18" s="15">
        <x:f>+BORDRO!T19</x:f>
      </x:c>
      <x:c r="E18" s="41">
        <x:f>+Puantaj!D19</x:f>
      </x:c>
      <x:c r="F18" s="41">
        <x:f>+Puantaj!E19</x:f>
      </x:c>
      <x:c r="G18" s="13">
        <x:f>+Puantaj!C19</x:f>
      </x:c>
      <x:c r="H18" s="71" t="s">
        <x:v>67</x:v>
      </x:c>
    </x:row>
    <x:row r="19" spans="1:11" ht="15.75" customHeight="1" x14ac:dyDescent="0.2">
      <x:c r="B19" s="14">
        <x:v>15</x:v>
      </x:c>
      <x:c r="C19" s="41">
        <x:f>+Puantaj!A20</x:f>
      </x:c>
      <x:c r="D19" s="15">
        <x:f>+BORDRO!T20</x:f>
      </x:c>
      <x:c r="E19" s="41">
        <x:f>+Puantaj!D20</x:f>
      </x:c>
      <x:c r="F19" s="41">
        <x:f>+Puantaj!E20</x:f>
      </x:c>
      <x:c r="G19" s="13">
        <x:f>+Puantaj!C20</x:f>
      </x:c>
      <x:c r="H19" s="71" t="s">
        <x:v>67</x:v>
      </x:c>
    </x:row>
    <x:row r="20" spans="1:11" ht="15.75" customHeight="1" x14ac:dyDescent="0.2">
      <x:c r="B20" s="14">
        <x:v>16</x:v>
      </x:c>
      <x:c r="C20" s="41">
        <x:f>+Puantaj!A21</x:f>
      </x:c>
      <x:c r="D20" s="15">
        <x:f>+BORDRO!T21</x:f>
      </x:c>
      <x:c r="E20" s="41">
        <x:f>+Puantaj!D21</x:f>
      </x:c>
      <x:c r="F20" s="41">
        <x:f>+Puantaj!E21</x:f>
      </x:c>
      <x:c r="G20" s="13">
        <x:f>+Puantaj!C21</x:f>
      </x:c>
      <x:c r="H20" s="71" t="s">
        <x:v>67</x:v>
      </x:c>
    </x:row>
    <x:row r="21" spans="1:11" ht="15.75" customHeight="1" x14ac:dyDescent="0.2">
      <x:c r="B21" s="14">
        <x:v>17</x:v>
      </x:c>
      <x:c r="C21" s="41">
        <x:f>+Puantaj!A22</x:f>
      </x:c>
      <x:c r="D21" s="15">
        <x:f>+BORDRO!T22</x:f>
      </x:c>
      <x:c r="E21" s="41">
        <x:f>+Puantaj!D22</x:f>
      </x:c>
      <x:c r="F21" s="41">
        <x:f>+Puantaj!E22</x:f>
      </x:c>
      <x:c r="G21" s="13">
        <x:f>+Puantaj!C22</x:f>
      </x:c>
      <x:c r="H21" s="71" t="s">
        <x:v>67</x:v>
      </x:c>
    </x:row>
    <x:row r="22" spans="1:11" ht="15.75" customHeight="1" x14ac:dyDescent="0.2">
      <x:c r="B22" s="14">
        <x:v>18</x:v>
      </x:c>
      <x:c r="C22" s="41">
        <x:f>+Puantaj!A23</x:f>
      </x:c>
      <x:c r="D22" s="15">
        <x:f>+BORDRO!T23</x:f>
      </x:c>
      <x:c r="E22" s="41">
        <x:f>+Puantaj!D23</x:f>
      </x:c>
      <x:c r="F22" s="41">
        <x:f>+Puantaj!E23</x:f>
      </x:c>
      <x:c r="G22" s="13">
        <x:f>+Puantaj!C23</x:f>
      </x:c>
      <x:c r="H22" s="71" t="s">
        <x:v>67</x:v>
      </x:c>
    </x:row>
    <x:row r="23" spans="1:11" ht="15.75" customHeight="1" x14ac:dyDescent="0.2">
      <x:c r="B23" s="14">
        <x:v>19</x:v>
      </x:c>
      <x:c r="C23" s="41">
        <x:f>+Puantaj!A24</x:f>
      </x:c>
      <x:c r="D23" s="15">
        <x:f>+BORDRO!T24</x:f>
      </x:c>
      <x:c r="E23" s="41">
        <x:f>+Puantaj!D24</x:f>
      </x:c>
      <x:c r="F23" s="41">
        <x:f>+Puantaj!E24</x:f>
      </x:c>
      <x:c r="G23" s="13">
        <x:f>+Puantaj!C24</x:f>
      </x:c>
      <x:c r="H23" s="71" t="s">
        <x:v>67</x:v>
      </x:c>
    </x:row>
    <x:row r="24" spans="1:11" ht="15.75" customHeight="1" x14ac:dyDescent="0.2">
      <x:c r="B24" s="14">
        <x:v>20</x:v>
      </x:c>
      <x:c r="C24" s="41">
        <x:f>+Puantaj!A25</x:f>
      </x:c>
      <x:c r="D24" s="15">
        <x:f>+BORDRO!T25</x:f>
      </x:c>
      <x:c r="E24" s="41">
        <x:f>+Puantaj!D25</x:f>
      </x:c>
      <x:c r="F24" s="41">
        <x:f>+Puantaj!E25</x:f>
      </x:c>
      <x:c r="G24" s="13">
        <x:f>+Puantaj!C25</x:f>
      </x:c>
      <x:c r="H24" s="71" t="s">
        <x:v>67</x:v>
      </x:c>
    </x:row>
    <x:row r="25" spans="1:11" ht="15.75" customHeight="1" x14ac:dyDescent="0.2">
      <x:c r="B25" s="14">
        <x:v>21</x:v>
      </x:c>
      <x:c r="C25" s="41">
        <x:f>+Puantaj!A26</x:f>
      </x:c>
      <x:c r="D25" s="15">
        <x:f>+BORDRO!T26</x:f>
      </x:c>
      <x:c r="E25" s="41">
        <x:f>+Puantaj!D26</x:f>
      </x:c>
      <x:c r="F25" s="41">
        <x:f>+Puantaj!E26</x:f>
      </x:c>
      <x:c r="G25" s="13">
        <x:f>+Puantaj!C26</x:f>
      </x:c>
      <x:c r="H25" s="71" t="s">
        <x:v>67</x:v>
      </x:c>
    </x:row>
    <x:row r="26" spans="1:11" ht="15.75" customHeight="1" x14ac:dyDescent="0.2">
      <x:c r="B26" s="14">
        <x:v>22</x:v>
      </x:c>
      <x:c r="C26" s="41">
        <x:f>+Puantaj!A27</x:f>
      </x:c>
      <x:c r="D26" s="15">
        <x:f>+BORDRO!T27</x:f>
      </x:c>
      <x:c r="E26" s="41">
        <x:f>+Puantaj!D27</x:f>
      </x:c>
      <x:c r="F26" s="41">
        <x:f>+Puantaj!E27</x:f>
      </x:c>
      <x:c r="G26" s="13">
        <x:f>+Puantaj!C27</x:f>
      </x:c>
      <x:c r="H26" s="71" t="s">
        <x:v>67</x:v>
      </x:c>
    </x:row>
    <x:row r="27" spans="1:11" ht="15.75" customHeight="1" x14ac:dyDescent="0.2">
      <x:c r="B27" s="14">
        <x:v>23</x:v>
      </x:c>
      <x:c r="C27" s="41">
        <x:f>+Puantaj!A28</x:f>
      </x:c>
      <x:c r="D27" s="15">
        <x:f>+BORDRO!T28</x:f>
      </x:c>
      <x:c r="E27" s="41">
        <x:f>+Puantaj!D28</x:f>
      </x:c>
      <x:c r="F27" s="41">
        <x:f>+Puantaj!E28</x:f>
      </x:c>
      <x:c r="G27" s="13">
        <x:f>+Puantaj!C28</x:f>
      </x:c>
      <x:c r="H27" s="71" t="s">
        <x:v>67</x:v>
      </x:c>
    </x:row>
    <x:row r="28" spans="1:11" ht="15.75" customHeight="1" x14ac:dyDescent="0.2">
      <x:c r="B28" s="14">
        <x:v>24</x:v>
      </x:c>
      <x:c r="C28" s="41">
        <x:f>+Puantaj!A29</x:f>
      </x:c>
      <x:c r="D28" s="15">
        <x:f>+BORDRO!T29</x:f>
      </x:c>
      <x:c r="E28" s="41">
        <x:f>+Puantaj!D29</x:f>
      </x:c>
      <x:c r="F28" s="41">
        <x:f>+Puantaj!E29</x:f>
      </x:c>
      <x:c r="G28" s="13">
        <x:f>+Puantaj!C29</x:f>
      </x:c>
      <x:c r="H28" s="71" t="s">
        <x:v>67</x:v>
      </x:c>
    </x:row>
    <x:row r="29" spans="1:11" ht="15.75" customHeight="1" x14ac:dyDescent="0.2">
      <x:c r="B29" s="14">
        <x:v>25</x:v>
      </x:c>
      <x:c r="C29" s="41">
        <x:f>+Puantaj!A30</x:f>
      </x:c>
      <x:c r="D29" s="15">
        <x:f>+BORDRO!T30</x:f>
      </x:c>
      <x:c r="E29" s="41">
        <x:f>+Puantaj!D30</x:f>
      </x:c>
      <x:c r="F29" s="41">
        <x:f>+Puantaj!E30</x:f>
      </x:c>
      <x:c r="G29" s="13">
        <x:f>+Puantaj!C30</x:f>
      </x:c>
      <x:c r="H29" s="71" t="s">
        <x:v>67</x:v>
      </x:c>
    </x:row>
    <x:row r="30" spans="1:11" ht="15.75" customHeight="1" x14ac:dyDescent="0.2">
      <x:c r="B30" s="14">
        <x:v>26</x:v>
      </x:c>
      <x:c r="C30" s="41">
        <x:f>+Puantaj!A31</x:f>
      </x:c>
      <x:c r="D30" s="15">
        <x:f>+BORDRO!T31</x:f>
      </x:c>
      <x:c r="E30" s="41">
        <x:f>+Puantaj!D31</x:f>
      </x:c>
      <x:c r="F30" s="41">
        <x:f>+Puantaj!E31</x:f>
      </x:c>
      <x:c r="G30" s="13">
        <x:f>+Puantaj!C31</x:f>
      </x:c>
      <x:c r="H30" s="71" t="s">
        <x:v>67</x:v>
      </x:c>
    </x:row>
    <x:row r="31" spans="1:11" ht="15.75" customHeight="1" x14ac:dyDescent="0.2">
      <x:c r="B31" s="14">
        <x:v>27</x:v>
      </x:c>
      <x:c r="C31" s="41">
        <x:f>+Puantaj!A32</x:f>
      </x:c>
      <x:c r="D31" s="15">
        <x:f>+BORDRO!T32</x:f>
      </x:c>
      <x:c r="E31" s="41">
        <x:f>+Puantaj!D32</x:f>
      </x:c>
      <x:c r="F31" s="41">
        <x:f>+Puantaj!E32</x:f>
      </x:c>
      <x:c r="G31" s="13">
        <x:f>+Puantaj!C32</x:f>
      </x:c>
      <x:c r="H31" s="71" t="s">
        <x:v>67</x:v>
      </x:c>
    </x:row>
    <x:row r="32" spans="1:11" ht="15.75" customHeight="1" x14ac:dyDescent="0.2">
      <x:c r="B32" s="14">
        <x:v>28</x:v>
      </x:c>
      <x:c r="C32" s="41">
        <x:f>+Puantaj!A33</x:f>
      </x:c>
      <x:c r="D32" s="15">
        <x:f>+BORDRO!T33</x:f>
      </x:c>
      <x:c r="E32" s="41">
        <x:f>+Puantaj!D33</x:f>
      </x:c>
      <x:c r="F32" s="41">
        <x:f>+Puantaj!E33</x:f>
      </x:c>
      <x:c r="G32" s="13">
        <x:f>+Puantaj!C33</x:f>
      </x:c>
      <x:c r="H32" s="71" t="s">
        <x:v>67</x:v>
      </x:c>
    </x:row>
    <x:row r="33" spans="1:11" ht="15.75" customHeight="1" x14ac:dyDescent="0.2">
      <x:c r="B33" s="14">
        <x:v>29</x:v>
      </x:c>
      <x:c r="C33" s="41">
        <x:f>+Puantaj!A34</x:f>
      </x:c>
      <x:c r="D33" s="15">
        <x:f>+BORDRO!T34</x:f>
      </x:c>
      <x:c r="E33" s="41">
        <x:f>+Puantaj!D34</x:f>
      </x:c>
      <x:c r="F33" s="41">
        <x:f>+Puantaj!E34</x:f>
      </x:c>
      <x:c r="G33" s="13">
        <x:f>+Puantaj!C34</x:f>
      </x:c>
      <x:c r="H33" s="71" t="s">
        <x:v>67</x:v>
      </x:c>
    </x:row>
    <x:row r="34" spans="1:11" ht="15.75" customHeight="1" x14ac:dyDescent="0.2">
      <x:c r="B34" s="14">
        <x:v>30</x:v>
      </x:c>
      <x:c r="C34" s="41">
        <x:f>+Puantaj!A35</x:f>
      </x:c>
      <x:c r="D34" s="15">
        <x:f>+BORDRO!T35</x:f>
      </x:c>
      <x:c r="E34" s="41">
        <x:f>+Puantaj!D35</x:f>
      </x:c>
      <x:c r="F34" s="41">
        <x:f>+Puantaj!E35</x:f>
      </x:c>
      <x:c r="G34" s="13">
        <x:f>+Puantaj!C35</x:f>
      </x:c>
      <x:c r="H34" s="71" t="s">
        <x:v>67</x:v>
      </x:c>
    </x:row>
    <x:row r="35" spans="1:11" ht="15.75" customHeight="1" x14ac:dyDescent="0.2">
      <x:c r="B35" s="14">
        <x:v>31</x:v>
      </x:c>
      <x:c r="C35" s="41">
        <x:f>+Puantaj!A36</x:f>
      </x:c>
      <x:c r="D35" s="15">
        <x:f>+BORDRO!T36</x:f>
      </x:c>
      <x:c r="E35" s="41">
        <x:f>+Puantaj!D36</x:f>
      </x:c>
      <x:c r="F35" s="41">
        <x:f>+Puantaj!E36</x:f>
      </x:c>
      <x:c r="G35" s="13">
        <x:f>+Puantaj!C36</x:f>
      </x:c>
      <x:c r="H35" s="71" t="s">
        <x:v>67</x:v>
      </x:c>
    </x:row>
    <x:row r="36" spans="1:11" ht="15.75" customHeight="1" x14ac:dyDescent="0.2">
      <x:c r="B36" s="14">
        <x:v>32</x:v>
      </x:c>
      <x:c r="C36" s="41">
        <x:f>+Puantaj!A37</x:f>
      </x:c>
      <x:c r="D36" s="15">
        <x:f>+BORDRO!T37</x:f>
      </x:c>
      <x:c r="E36" s="41">
        <x:f>+Puantaj!D37</x:f>
      </x:c>
      <x:c r="F36" s="41">
        <x:f>+Puantaj!E37</x:f>
      </x:c>
      <x:c r="G36" s="13">
        <x:f>+Puantaj!C37</x:f>
      </x:c>
      <x:c r="H36" s="71" t="s">
        <x:v>67</x:v>
      </x:c>
    </x:row>
    <x:row r="37" spans="1:11" ht="15.75" customHeight="1" x14ac:dyDescent="0.2">
      <x:c r="B37" s="14">
        <x:v>33</x:v>
      </x:c>
      <x:c r="C37" s="41">
        <x:f>+Puantaj!A38</x:f>
      </x:c>
      <x:c r="D37" s="15">
        <x:f>+BORDRO!T38</x:f>
      </x:c>
      <x:c r="E37" s="41">
        <x:f>+Puantaj!D38</x:f>
      </x:c>
      <x:c r="F37" s="41">
        <x:f>+Puantaj!E38</x:f>
      </x:c>
      <x:c r="G37" s="13">
        <x:f>+Puantaj!C38</x:f>
      </x:c>
      <x:c r="H37" s="71" t="s">
        <x:v>67</x:v>
      </x:c>
    </x:row>
    <x:row r="38" spans="1:11" ht="15.75" customHeight="1" x14ac:dyDescent="0.2">
      <x:c r="B38" s="14">
        <x:v>34</x:v>
      </x:c>
      <x:c r="C38" s="41">
        <x:f>+Puantaj!A39</x:f>
      </x:c>
      <x:c r="D38" s="15">
        <x:f>+BORDRO!T39</x:f>
      </x:c>
      <x:c r="E38" s="41">
        <x:f>+Puantaj!D39</x:f>
      </x:c>
      <x:c r="F38" s="41">
        <x:f>+Puantaj!E39</x:f>
      </x:c>
      <x:c r="G38" s="13">
        <x:f>+Puantaj!C39</x:f>
      </x:c>
      <x:c r="H38" s="71" t="s">
        <x:v>67</x:v>
      </x:c>
    </x:row>
    <x:row r="39" spans="1:11" ht="15.75" customHeight="1" x14ac:dyDescent="0.2">
      <x:c r="B39" s="14">
        <x:v>35</x:v>
      </x:c>
      <x:c r="C39" s="41">
        <x:f>+Puantaj!A40</x:f>
      </x:c>
      <x:c r="D39" s="15">
        <x:f>+BORDRO!T40</x:f>
      </x:c>
      <x:c r="E39" s="41">
        <x:f>+Puantaj!D40</x:f>
      </x:c>
      <x:c r="F39" s="41">
        <x:f>+Puantaj!E40</x:f>
      </x:c>
      <x:c r="G39" s="13">
        <x:f>+Puantaj!C40</x:f>
      </x:c>
      <x:c r="H39" s="71" t="s">
        <x:v>67</x:v>
      </x:c>
    </x:row>
    <x:row r="40" spans="1:11" ht="15.75" customHeight="1" x14ac:dyDescent="0.2">
      <x:c r="B40" s="14">
        <x:v>36</x:v>
      </x:c>
      <x:c r="C40" s="41">
        <x:f>+Puantaj!A41</x:f>
      </x:c>
      <x:c r="D40" s="15">
        <x:f>+BORDRO!T41</x:f>
      </x:c>
      <x:c r="E40" s="41">
        <x:f>+Puantaj!D41</x:f>
      </x:c>
      <x:c r="F40" s="41">
        <x:f>+Puantaj!E41</x:f>
      </x:c>
      <x:c r="G40" s="13">
        <x:f>+Puantaj!C41</x:f>
      </x:c>
      <x:c r="H40" s="71" t="s">
        <x:v>67</x:v>
      </x:c>
    </x:row>
    <x:row r="41" spans="1:11" ht="15.75" customHeight="1" x14ac:dyDescent="0.2">
      <x:c r="B41" s="14">
        <x:v>37</x:v>
      </x:c>
      <x:c r="C41" s="41">
        <x:f>+Puantaj!A42</x:f>
      </x:c>
      <x:c r="D41" s="15">
        <x:f>+BORDRO!T42</x:f>
      </x:c>
      <x:c r="E41" s="41">
        <x:f>+Puantaj!D42</x:f>
      </x:c>
      <x:c r="F41" s="41">
        <x:f>+Puantaj!E42</x:f>
      </x:c>
      <x:c r="G41" s="13">
        <x:f>+Puantaj!C42</x:f>
      </x:c>
      <x:c r="H41" s="71" t="s">
        <x:v>67</x:v>
      </x:c>
    </x:row>
    <x:row r="42" spans="1:11" ht="15.75" customHeight="1" x14ac:dyDescent="0.2">
      <x:c r="B42" s="14">
        <x:v>38</x:v>
      </x:c>
      <x:c r="C42" s="41">
        <x:f>+Puantaj!A43</x:f>
      </x:c>
      <x:c r="D42" s="15">
        <x:f>+BORDRO!T43</x:f>
      </x:c>
      <x:c r="E42" s="41">
        <x:f>+Puantaj!D43</x:f>
      </x:c>
      <x:c r="F42" s="41">
        <x:f>+Puantaj!E43</x:f>
      </x:c>
      <x:c r="G42" s="13">
        <x:f>+Puantaj!C43</x:f>
      </x:c>
      <x:c r="H42" s="71" t="s">
        <x:v>67</x:v>
      </x:c>
    </x:row>
    <x:row r="43" spans="1:11" ht="15.75" customHeight="1" x14ac:dyDescent="0.2">
      <x:c r="B43" s="14">
        <x:v>39</x:v>
      </x:c>
      <x:c r="C43" s="41">
        <x:f>+Puantaj!A44</x:f>
      </x:c>
      <x:c r="D43" s="15">
        <x:f>+BORDRO!T44</x:f>
      </x:c>
      <x:c r="E43" s="41">
        <x:f>+Puantaj!D44</x:f>
      </x:c>
      <x:c r="F43" s="41">
        <x:f>+Puantaj!E44</x:f>
      </x:c>
      <x:c r="G43" s="13">
        <x:f>+Puantaj!C44</x:f>
      </x:c>
      <x:c r="H43" s="71" t="s">
        <x:v>67</x:v>
      </x:c>
    </x:row>
    <x:row r="44" spans="1:11" ht="15.75" customHeight="1" x14ac:dyDescent="0.2">
      <x:c r="B44" s="14">
        <x:v>40</x:v>
      </x:c>
      <x:c r="C44" s="41">
        <x:f>+Puantaj!A45</x:f>
      </x:c>
      <x:c r="D44" s="15">
        <x:f>+BORDRO!T45</x:f>
      </x:c>
      <x:c r="E44" s="41">
        <x:f>+Puantaj!D45</x:f>
      </x:c>
      <x:c r="F44" s="41">
        <x:f>+Puantaj!E45</x:f>
      </x:c>
      <x:c r="G44" s="13">
        <x:f>+Puantaj!C45</x:f>
      </x:c>
      <x:c r="H44" s="71" t="s">
        <x:v>67</x:v>
      </x:c>
    </x:row>
    <x:row r="45" spans="1:11" ht="15.75" customHeight="1" x14ac:dyDescent="0.2">
      <x:c r="B45" s="14">
        <x:v>41</x:v>
      </x:c>
      <x:c r="C45" s="41">
        <x:f>+Puantaj!A46</x:f>
      </x:c>
      <x:c r="D45" s="15">
        <x:f>+BORDRO!T46</x:f>
      </x:c>
      <x:c r="E45" s="41">
        <x:f>+Puantaj!D46</x:f>
      </x:c>
      <x:c r="F45" s="41">
        <x:f>+Puantaj!E46</x:f>
      </x:c>
      <x:c r="G45" s="13">
        <x:f>+Puantaj!C46</x:f>
      </x:c>
      <x:c r="H45" s="71" t="s">
        <x:v>67</x:v>
      </x:c>
    </x:row>
    <x:row r="46" spans="1:11" ht="15.75" customHeight="1" x14ac:dyDescent="0.2">
      <x:c r="B46" s="14">
        <x:v>42</x:v>
      </x:c>
      <x:c r="C46" s="41">
        <x:f>+Puantaj!A47</x:f>
      </x:c>
      <x:c r="D46" s="15">
        <x:f>+BORDRO!T47</x:f>
      </x:c>
      <x:c r="E46" s="41">
        <x:f>+Puantaj!D47</x:f>
      </x:c>
      <x:c r="F46" s="41">
        <x:f>+Puantaj!E47</x:f>
      </x:c>
      <x:c r="G46" s="13">
        <x:f>+Puantaj!C47</x:f>
      </x:c>
      <x:c r="H46" s="71" t="s">
        <x:v>67</x:v>
      </x:c>
    </x:row>
    <x:row r="47" spans="1:11" ht="15.75" customHeight="1" x14ac:dyDescent="0.2">
      <x:c r="B47" s="14">
        <x:v>43</x:v>
      </x:c>
      <x:c r="C47" s="41">
        <x:f>+Puantaj!A48</x:f>
      </x:c>
      <x:c r="D47" s="15">
        <x:f>+BORDRO!T48</x:f>
      </x:c>
      <x:c r="E47" s="41">
        <x:f>+Puantaj!D48</x:f>
      </x:c>
      <x:c r="F47" s="41">
        <x:f>+Puantaj!E48</x:f>
      </x:c>
      <x:c r="G47" s="13">
        <x:f>+Puantaj!C48</x:f>
      </x:c>
      <x:c r="H47" s="71" t="s">
        <x:v>67</x:v>
      </x:c>
    </x:row>
    <x:row r="48" spans="1:11" ht="15.75" customHeight="1" x14ac:dyDescent="0.2">
      <x:c r="B48" s="14">
        <x:v>44</x:v>
      </x:c>
      <x:c r="C48" s="41">
        <x:f>+Puantaj!A49</x:f>
      </x:c>
      <x:c r="D48" s="15">
        <x:f>+BORDRO!T49</x:f>
      </x:c>
      <x:c r="E48" s="41">
        <x:f>+Puantaj!D49</x:f>
      </x:c>
      <x:c r="F48" s="41">
        <x:f>+Puantaj!E49</x:f>
      </x:c>
      <x:c r="G48" s="13">
        <x:f>+Puantaj!C49</x:f>
      </x:c>
      <x:c r="H48" s="71" t="s">
        <x:v>67</x:v>
      </x:c>
    </x:row>
    <x:row r="49" spans="1:11" ht="15.75" customHeight="1" x14ac:dyDescent="0.2">
      <x:c r="B49" s="14">
        <x:v>45</x:v>
      </x:c>
      <x:c r="C49" s="41">
        <x:f>+Puantaj!A50</x:f>
      </x:c>
      <x:c r="D49" s="15">
        <x:f>+BORDRO!T50</x:f>
      </x:c>
      <x:c r="E49" s="41">
        <x:f>+Puantaj!D50</x:f>
      </x:c>
      <x:c r="F49" s="41">
        <x:f>+Puantaj!E50</x:f>
      </x:c>
      <x:c r="G49" s="13">
        <x:f>+Puantaj!C50</x:f>
      </x:c>
      <x:c r="H49" s="71" t="s">
        <x:v>67</x:v>
      </x:c>
    </x:row>
    <x:row r="50" spans="1:11" ht="15.75" customHeight="1" x14ac:dyDescent="0.2">
      <x:c r="B50" s="14">
        <x:v>46</x:v>
      </x:c>
      <x:c r="C50" s="41">
        <x:f>+Puantaj!A51</x:f>
      </x:c>
      <x:c r="D50" s="15">
        <x:f>+BORDRO!T51</x:f>
      </x:c>
      <x:c r="E50" s="41">
        <x:f>+Puantaj!D51</x:f>
      </x:c>
      <x:c r="F50" s="41">
        <x:f>+Puantaj!E51</x:f>
      </x:c>
      <x:c r="G50" s="13">
        <x:f>+Puantaj!C51</x:f>
      </x:c>
      <x:c r="H50" s="71" t="s">
        <x:v>67</x:v>
      </x:c>
    </x:row>
    <x:row r="51" spans="1:11" ht="15.75" customHeight="1" x14ac:dyDescent="0.2">
      <x:c r="B51" s="14">
        <x:v>47</x:v>
      </x:c>
      <x:c r="C51" s="41">
        <x:f>+Puantaj!A52</x:f>
      </x:c>
      <x:c r="D51" s="15">
        <x:f>+BORDRO!T52</x:f>
      </x:c>
      <x:c r="E51" s="41">
        <x:f>+Puantaj!D52</x:f>
      </x:c>
      <x:c r="F51" s="41">
        <x:f>+Puantaj!E52</x:f>
      </x:c>
      <x:c r="G51" s="13">
        <x:f>+Puantaj!C52</x:f>
      </x:c>
      <x:c r="H51" s="71" t="s">
        <x:v>67</x:v>
      </x:c>
    </x:row>
    <x:row r="52" spans="1:11" ht="15.75" customHeight="1" x14ac:dyDescent="0.2">
      <x:c r="B52" s="14">
        <x:v>48</x:v>
      </x:c>
      <x:c r="C52" s="41">
        <x:f>+Puantaj!A53</x:f>
      </x:c>
      <x:c r="D52" s="15">
        <x:f>+BORDRO!T53</x:f>
      </x:c>
      <x:c r="E52" s="41">
        <x:f>+Puantaj!D53</x:f>
      </x:c>
      <x:c r="F52" s="41">
        <x:f>+Puantaj!E53</x:f>
      </x:c>
      <x:c r="G52" s="13">
        <x:f>+Puantaj!C53</x:f>
      </x:c>
      <x:c r="H52" s="71" t="s">
        <x:v>67</x:v>
      </x:c>
    </x:row>
    <x:row r="53" spans="1:11" ht="15.75" customHeight="1" x14ac:dyDescent="0.2">
      <x:c r="B53" s="14">
        <x:v>49</x:v>
      </x:c>
      <x:c r="C53" s="41">
        <x:f>+Puantaj!A54</x:f>
      </x:c>
      <x:c r="D53" s="15">
        <x:f>+BORDRO!T54</x:f>
      </x:c>
      <x:c r="E53" s="41">
        <x:f>+Puantaj!D54</x:f>
      </x:c>
      <x:c r="F53" s="41">
        <x:f>+Puantaj!E54</x:f>
      </x:c>
      <x:c r="G53" s="13">
        <x:f>+Puantaj!C54</x:f>
      </x:c>
      <x:c r="H53" s="71" t="s">
        <x:v>67</x:v>
      </x:c>
    </x:row>
    <x:row r="54" spans="1:11" ht="15.75" customHeight="1" x14ac:dyDescent="0.2">
      <x:c r="B54" s="14">
        <x:v>50</x:v>
      </x:c>
      <x:c r="C54" s="41">
        <x:f>+Puantaj!A55</x:f>
      </x:c>
      <x:c r="D54" s="15">
        <x:f>+BORDRO!T55</x:f>
      </x:c>
      <x:c r="E54" s="41">
        <x:f>+Puantaj!D55</x:f>
      </x:c>
      <x:c r="F54" s="41">
        <x:f>+Puantaj!E55</x:f>
      </x:c>
      <x:c r="G54" s="13">
        <x:f>+Puantaj!C55</x:f>
      </x:c>
      <x:c r="H54" s="71" t="s">
        <x:v>67</x:v>
      </x:c>
    </x:row>
    <x:row r="55" spans="1:11" ht="15.75" customHeight="1" x14ac:dyDescent="0.2">
      <x:c r="B55" s="14">
        <x:v>51</x:v>
      </x:c>
      <x:c r="C55" s="41">
        <x:f>+Puantaj!A56</x:f>
      </x:c>
      <x:c r="D55" s="15">
        <x:f>+BORDRO!T56</x:f>
      </x:c>
      <x:c r="E55" s="41">
        <x:f>+Puantaj!D56</x:f>
      </x:c>
      <x:c r="F55" s="41">
        <x:f>+Puantaj!E56</x:f>
      </x:c>
      <x:c r="G55" s="13">
        <x:f>+Puantaj!C56</x:f>
      </x:c>
      <x:c r="H55" s="71" t="s">
        <x:v>67</x:v>
      </x:c>
    </x:row>
    <x:row r="56" spans="1:11" ht="15.75" customHeight="1" x14ac:dyDescent="0.2">
      <x:c r="B56" s="14">
        <x:v>52</x:v>
      </x:c>
      <x:c r="C56" s="41">
        <x:f>+Puantaj!A57</x:f>
      </x:c>
      <x:c r="D56" s="15">
        <x:f>+BORDRO!T57</x:f>
      </x:c>
      <x:c r="E56" s="41">
        <x:f>+Puantaj!D57</x:f>
      </x:c>
      <x:c r="F56" s="41">
        <x:f>+Puantaj!E57</x:f>
      </x:c>
      <x:c r="G56" s="13">
        <x:f>+Puantaj!C57</x:f>
      </x:c>
      <x:c r="H56" s="71" t="s">
        <x:v>67</x:v>
      </x:c>
    </x:row>
    <x:row r="57" spans="1:11" ht="15.75" customHeight="1" x14ac:dyDescent="0.2">
      <x:c r="B57" s="14">
        <x:v>53</x:v>
      </x:c>
      <x:c r="C57" s="41">
        <x:f>+Puantaj!A58</x:f>
      </x:c>
      <x:c r="D57" s="15">
        <x:f>+BORDRO!T58</x:f>
      </x:c>
      <x:c r="E57" s="41">
        <x:f>+Puantaj!D58</x:f>
      </x:c>
      <x:c r="F57" s="41">
        <x:f>+Puantaj!E58</x:f>
      </x:c>
      <x:c r="G57" s="13">
        <x:f>+Puantaj!C58</x:f>
      </x:c>
      <x:c r="H57" s="71" t="s">
        <x:v>67</x:v>
      </x:c>
    </x:row>
    <x:row r="58" spans="1:11" ht="15.75" customHeight="1" x14ac:dyDescent="0.2">
      <x:c r="B58" s="14">
        <x:v>54</x:v>
      </x:c>
      <x:c r="C58" s="41">
        <x:f>+Puantaj!A59</x:f>
      </x:c>
      <x:c r="D58" s="15">
        <x:f>+BORDRO!T59</x:f>
      </x:c>
      <x:c r="E58" s="41">
        <x:f>+Puantaj!D59</x:f>
      </x:c>
      <x:c r="F58" s="41">
        <x:f>+Puantaj!E59</x:f>
      </x:c>
      <x:c r="G58" s="13">
        <x:f>+Puantaj!C59</x:f>
      </x:c>
      <x:c r="H58" s="71" t="s">
        <x:v>67</x:v>
      </x:c>
    </x:row>
    <x:row r="59" spans="1:11" ht="15.75" customHeight="1" x14ac:dyDescent="0.2">
      <x:c r="B59" s="14">
        <x:v>55</x:v>
      </x:c>
      <x:c r="C59" s="41">
        <x:f>+Puantaj!A60</x:f>
      </x:c>
      <x:c r="D59" s="15">
        <x:f>+BORDRO!T60</x:f>
      </x:c>
      <x:c r="E59" s="41">
        <x:f>+Puantaj!D60</x:f>
      </x:c>
      <x:c r="F59" s="41">
        <x:f>+Puantaj!E60</x:f>
      </x:c>
      <x:c r="G59" s="13">
        <x:f>+Puantaj!C60</x:f>
      </x:c>
      <x:c r="H59" s="71" t="s">
        <x:v>67</x:v>
      </x:c>
    </x:row>
    <x:row r="60" spans="1:11" ht="15.75" customHeight="1" x14ac:dyDescent="0.2">
      <x:c r="B60" s="14">
        <x:v>56</x:v>
      </x:c>
      <x:c r="C60" s="41">
        <x:f>+Puantaj!A61</x:f>
      </x:c>
      <x:c r="D60" s="15">
        <x:f>+BORDRO!T61</x:f>
      </x:c>
      <x:c r="E60" s="41">
        <x:f>+Puantaj!D61</x:f>
      </x:c>
      <x:c r="F60" s="41">
        <x:f>+Puantaj!E61</x:f>
      </x:c>
      <x:c r="G60" s="13">
        <x:f>+Puantaj!C61</x:f>
      </x:c>
      <x:c r="H60" s="71" t="s">
        <x:v>67</x:v>
      </x:c>
    </x:row>
    <x:row r="61" spans="1:11" ht="15.75" customHeight="1" x14ac:dyDescent="0.2">
      <x:c r="B61" s="14">
        <x:v>57</x:v>
      </x:c>
      <x:c r="C61" s="41">
        <x:f>+Puantaj!A62</x:f>
      </x:c>
      <x:c r="D61" s="15">
        <x:f>+BORDRO!T62</x:f>
      </x:c>
      <x:c r="E61" s="41">
        <x:f>+Puantaj!D62</x:f>
      </x:c>
      <x:c r="F61" s="41">
        <x:f>+Puantaj!E62</x:f>
      </x:c>
      <x:c r="G61" s="13">
        <x:f>+Puantaj!C62</x:f>
      </x:c>
      <x:c r="H61" s="71" t="s">
        <x:v>67</x:v>
      </x:c>
    </x:row>
    <x:row r="62" spans="1:11" ht="15.75" customHeight="1" x14ac:dyDescent="0.2">
      <x:c r="B62" s="14">
        <x:v>58</x:v>
      </x:c>
      <x:c r="C62" s="41">
        <x:f>+Puantaj!A63</x:f>
      </x:c>
      <x:c r="D62" s="15">
        <x:f>+BORDRO!T63</x:f>
      </x:c>
      <x:c r="E62" s="41">
        <x:f>+Puantaj!D63</x:f>
      </x:c>
      <x:c r="F62" s="41">
        <x:f>+Puantaj!E63</x:f>
      </x:c>
      <x:c r="G62" s="13">
        <x:f>+Puantaj!C63</x:f>
      </x:c>
      <x:c r="H62" s="71" t="s">
        <x:v>67</x:v>
      </x:c>
    </x:row>
    <x:row r="63" spans="1:11" ht="15.75" customHeight="1" x14ac:dyDescent="0.2">
      <x:c r="B63" s="14">
        <x:v>59</x:v>
      </x:c>
      <x:c r="C63" s="41">
        <x:f>+Puantaj!A64</x:f>
      </x:c>
      <x:c r="D63" s="15">
        <x:f>+BORDRO!T64</x:f>
      </x:c>
      <x:c r="E63" s="41">
        <x:f>+Puantaj!D64</x:f>
      </x:c>
      <x:c r="F63" s="41">
        <x:f>+Puantaj!E64</x:f>
      </x:c>
      <x:c r="G63" s="13">
        <x:f>+Puantaj!C64</x:f>
      </x:c>
      <x:c r="H63" s="71" t="s">
        <x:v>67</x:v>
      </x:c>
    </x:row>
    <x:row r="64" spans="1:11" ht="15.75" customHeight="1" x14ac:dyDescent="0.2">
      <x:c r="B64" s="14">
        <x:v>60</x:v>
      </x:c>
      <x:c r="C64" s="41">
        <x:f>+Puantaj!A65</x:f>
      </x:c>
      <x:c r="D64" s="15">
        <x:f>+BORDRO!T65</x:f>
      </x:c>
      <x:c r="E64" s="41">
        <x:f>+Puantaj!D65</x:f>
      </x:c>
      <x:c r="F64" s="41">
        <x:f>+Puantaj!E65</x:f>
      </x:c>
      <x:c r="G64" s="13">
        <x:f>+Puantaj!C65</x:f>
      </x:c>
      <x:c r="H64" s="71" t="s">
        <x:v>67</x:v>
      </x:c>
    </x:row>
    <x:row r="65" spans="1:11" ht="15.75" customHeight="1" x14ac:dyDescent="0.2">
      <x:c r="B65" s="14">
        <x:v>61</x:v>
      </x:c>
      <x:c r="C65" s="41">
        <x:f>+Puantaj!A66</x:f>
      </x:c>
      <x:c r="D65" s="15">
        <x:f>+BORDRO!T66</x:f>
      </x:c>
      <x:c r="E65" s="41">
        <x:f>+Puantaj!D66</x:f>
      </x:c>
      <x:c r="F65" s="41">
        <x:f>+Puantaj!E66</x:f>
      </x:c>
      <x:c r="G65" s="13">
        <x:f>+Puantaj!C66</x:f>
      </x:c>
      <x:c r="H65" s="71" t="s">
        <x:v>67</x:v>
      </x:c>
    </x:row>
    <x:row r="66" spans="1:11" ht="15.75" customHeight="1" x14ac:dyDescent="0.2">
      <x:c r="B66" s="14">
        <x:v>62</x:v>
      </x:c>
      <x:c r="C66" s="41">
        <x:f>+Puantaj!A67</x:f>
      </x:c>
      <x:c r="D66" s="15">
        <x:f>+BORDRO!T67</x:f>
      </x:c>
      <x:c r="E66" s="41">
        <x:f>+Puantaj!D67</x:f>
      </x:c>
      <x:c r="F66" s="41">
        <x:f>+Puantaj!E67</x:f>
      </x:c>
      <x:c r="G66" s="13">
        <x:f>+Puantaj!C67</x:f>
      </x:c>
      <x:c r="H66" s="71" t="s">
        <x:v>67</x:v>
      </x:c>
    </x:row>
    <x:row r="67" spans="1:11" ht="15.75" customHeight="1" x14ac:dyDescent="0.2">
      <x:c r="B67" s="14">
        <x:v>63</x:v>
      </x:c>
      <x:c r="C67" s="41">
        <x:f>+Puantaj!A68</x:f>
      </x:c>
      <x:c r="D67" s="15">
        <x:f>+BORDRO!T68</x:f>
      </x:c>
      <x:c r="E67" s="41">
        <x:f>+Puantaj!D68</x:f>
      </x:c>
      <x:c r="F67" s="41">
        <x:f>+Puantaj!E68</x:f>
      </x:c>
      <x:c r="G67" s="13">
        <x:f>+Puantaj!C68</x:f>
      </x:c>
      <x:c r="H67" s="71" t="s">
        <x:v>67</x:v>
      </x:c>
    </x:row>
    <x:row r="68" spans="1:11" ht="15.75" customHeight="1" x14ac:dyDescent="0.2">
      <x:c r="B68" s="14">
        <x:v>64</x:v>
      </x:c>
      <x:c r="C68" s="41">
        <x:f>+Puantaj!A69</x:f>
      </x:c>
      <x:c r="D68" s="15">
        <x:f>+BORDRO!T69</x:f>
      </x:c>
      <x:c r="E68" s="41">
        <x:f>+Puantaj!D69</x:f>
      </x:c>
      <x:c r="F68" s="41">
        <x:f>+Puantaj!E69</x:f>
      </x:c>
      <x:c r="G68" s="13">
        <x:f>+Puantaj!C69</x:f>
      </x:c>
      <x:c r="H68" s="71" t="s">
        <x:v>67</x:v>
      </x:c>
    </x:row>
    <x:row r="69" spans="1:11" ht="15.75" customHeight="1" x14ac:dyDescent="0.2">
      <x:c r="B69" s="14">
        <x:v>65</x:v>
      </x:c>
      <x:c r="C69" s="41">
        <x:f>+Puantaj!A70</x:f>
      </x:c>
      <x:c r="D69" s="15">
        <x:f>+BORDRO!T70</x:f>
      </x:c>
      <x:c r="E69" s="41">
        <x:f>+Puantaj!D70</x:f>
      </x:c>
      <x:c r="F69" s="41">
        <x:f>+Puantaj!E70</x:f>
      </x:c>
      <x:c r="G69" s="13">
        <x:f>+Puantaj!C70</x:f>
      </x:c>
      <x:c r="H69" s="71" t="s">
        <x:v>67</x:v>
      </x:c>
    </x:row>
    <x:row r="70" spans="1:11" ht="15.75" customHeight="1" x14ac:dyDescent="0.2">
      <x:c r="B70" s="14">
        <x:v>66</x:v>
      </x:c>
      <x:c r="C70" s="41">
        <x:f>+Puantaj!A71</x:f>
      </x:c>
      <x:c r="D70" s="15">
        <x:f>+BORDRO!T71</x:f>
      </x:c>
      <x:c r="E70" s="41">
        <x:f>+Puantaj!D71</x:f>
      </x:c>
      <x:c r="F70" s="41">
        <x:f>+Puantaj!E71</x:f>
      </x:c>
      <x:c r="G70" s="13">
        <x:f>+Puantaj!C71</x:f>
      </x:c>
      <x:c r="H70" s="71" t="s">
        <x:v>67</x:v>
      </x:c>
    </x:row>
    <x:row r="71" spans="1:11" ht="15.75" customHeight="1" x14ac:dyDescent="0.2">
      <x:c r="B71" s="14">
        <x:v>67</x:v>
      </x:c>
      <x:c r="C71" s="41">
        <x:f>+Puantaj!A72</x:f>
      </x:c>
      <x:c r="D71" s="15">
        <x:f>+BORDRO!T72</x:f>
      </x:c>
      <x:c r="E71" s="41">
        <x:f>+Puantaj!D72</x:f>
      </x:c>
      <x:c r="F71" s="41">
        <x:f>+Puantaj!E72</x:f>
      </x:c>
      <x:c r="G71" s="13">
        <x:f>+Puantaj!C72</x:f>
      </x:c>
      <x:c r="H71" s="71" t="s">
        <x:v>67</x:v>
      </x:c>
    </x:row>
    <x:row r="72" spans="1:11" ht="15.75" customHeight="1" x14ac:dyDescent="0.2">
      <x:c r="B72" s="14">
        <x:v>68</x:v>
      </x:c>
      <x:c r="C72" s="41">
        <x:f>+Puantaj!A73</x:f>
      </x:c>
      <x:c r="D72" s="15">
        <x:f>+BORDRO!T73</x:f>
      </x:c>
      <x:c r="E72" s="41">
        <x:f>+Puantaj!D73</x:f>
      </x:c>
      <x:c r="F72" s="41">
        <x:f>+Puantaj!E73</x:f>
      </x:c>
      <x:c r="G72" s="13">
        <x:f>+Puantaj!C73</x:f>
      </x:c>
      <x:c r="H72" s="71" t="s">
        <x:v>67</x:v>
      </x:c>
    </x:row>
    <x:row r="73" spans="1:11" ht="15.75" customHeight="1" x14ac:dyDescent="0.2">
      <x:c r="B73" s="14">
        <x:v>69</x:v>
      </x:c>
      <x:c r="C73" s="41">
        <x:f>+Puantaj!A74</x:f>
      </x:c>
      <x:c r="D73" s="15">
        <x:f>+BORDRO!T74</x:f>
      </x:c>
      <x:c r="E73" s="41">
        <x:f>+Puantaj!D74</x:f>
      </x:c>
      <x:c r="F73" s="41">
        <x:f>+Puantaj!E74</x:f>
      </x:c>
      <x:c r="G73" s="13">
        <x:f>+Puantaj!C74</x:f>
      </x:c>
      <x:c r="H73" s="71" t="s">
        <x:v>67</x:v>
      </x:c>
    </x:row>
    <x:row r="74" spans="1:11" ht="15.75" customHeight="1" x14ac:dyDescent="0.2">
      <x:c r="B74" s="14">
        <x:v>70</x:v>
      </x:c>
      <x:c r="C74" s="41">
        <x:f>+Puantaj!A75</x:f>
      </x:c>
      <x:c r="D74" s="15">
        <x:f>+BORDRO!T75</x:f>
      </x:c>
      <x:c r="E74" s="41">
        <x:f>+Puantaj!D75</x:f>
      </x:c>
      <x:c r="F74" s="41">
        <x:f>+Puantaj!E75</x:f>
      </x:c>
      <x:c r="G74" s="13">
        <x:f>+Puantaj!C75</x:f>
      </x:c>
      <x:c r="H74" s="71" t="s">
        <x:v>67</x:v>
      </x:c>
    </x:row>
    <x:row r="75" spans="1:11" ht="15.75" customHeight="1" x14ac:dyDescent="0.2">
      <x:c r="B75" s="14">
        <x:v>71</x:v>
      </x:c>
      <x:c r="C75" s="41">
        <x:f>+Puantaj!A76</x:f>
      </x:c>
      <x:c r="D75" s="15">
        <x:f>+BORDRO!T76</x:f>
      </x:c>
      <x:c r="E75" s="41">
        <x:f>+Puantaj!D76</x:f>
      </x:c>
      <x:c r="F75" s="41">
        <x:f>+Puantaj!E76</x:f>
      </x:c>
      <x:c r="G75" s="13">
        <x:f>+Puantaj!C76</x:f>
      </x:c>
      <x:c r="H75" s="71" t="s">
        <x:v>67</x:v>
      </x:c>
    </x:row>
    <x:row r="76" spans="1:11" ht="15.75" customHeight="1" x14ac:dyDescent="0.2">
      <x:c r="B76" s="14">
        <x:v>72</x:v>
      </x:c>
      <x:c r="C76" s="41">
        <x:f>+Puantaj!A77</x:f>
      </x:c>
      <x:c r="D76" s="15">
        <x:f>+BORDRO!T77</x:f>
      </x:c>
      <x:c r="E76" s="41">
        <x:f>+Puantaj!D77</x:f>
      </x:c>
      <x:c r="F76" s="41">
        <x:f>+Puantaj!E77</x:f>
      </x:c>
      <x:c r="G76" s="13">
        <x:f>+Puantaj!C77</x:f>
      </x:c>
      <x:c r="H76" s="71" t="s">
        <x:v>67</x:v>
      </x:c>
    </x:row>
    <x:row r="77" spans="1:11" ht="15.75" customHeight="1" x14ac:dyDescent="0.2">
      <x:c r="B77" s="14">
        <x:v>73</x:v>
      </x:c>
      <x:c r="C77" s="41">
        <x:f>+Puantaj!A78</x:f>
      </x:c>
      <x:c r="D77" s="15">
        <x:f>+BORDRO!T78</x:f>
      </x:c>
      <x:c r="E77" s="41">
        <x:f>+Puantaj!D78</x:f>
      </x:c>
      <x:c r="F77" s="41">
        <x:f>+Puantaj!E78</x:f>
      </x:c>
      <x:c r="G77" s="13">
        <x:f>+Puantaj!C78</x:f>
      </x:c>
      <x:c r="H77" s="71" t="s">
        <x:v>67</x:v>
      </x:c>
    </x:row>
    <x:row r="78" spans="1:11" ht="15.75" customHeight="1" x14ac:dyDescent="0.2">
      <x:c r="B78" s="14">
        <x:v>74</x:v>
      </x:c>
      <x:c r="C78" s="41">
        <x:f>+Puantaj!A79</x:f>
      </x:c>
      <x:c r="D78" s="15">
        <x:f>+BORDRO!T79</x:f>
      </x:c>
      <x:c r="E78" s="41">
        <x:f>+Puantaj!D79</x:f>
      </x:c>
      <x:c r="F78" s="41">
        <x:f>+Puantaj!E79</x:f>
      </x:c>
      <x:c r="G78" s="13">
        <x:f>+Puantaj!C79</x:f>
      </x:c>
      <x:c r="H78" s="71" t="s">
        <x:v>67</x:v>
      </x:c>
    </x:row>
    <x:row r="79" spans="1:11" ht="15.75" customHeight="1" x14ac:dyDescent="0.2">
      <x:c r="B79" s="14">
        <x:v>75</x:v>
      </x:c>
      <x:c r="C79" s="41">
        <x:f>+Puantaj!A80</x:f>
      </x:c>
      <x:c r="D79" s="15">
        <x:f>+BORDRO!T80</x:f>
      </x:c>
      <x:c r="E79" s="41">
        <x:f>+Puantaj!D80</x:f>
      </x:c>
      <x:c r="F79" s="41">
        <x:f>+Puantaj!E80</x:f>
      </x:c>
      <x:c r="G79" s="13">
        <x:f>+Puantaj!C80</x:f>
      </x:c>
      <x:c r="H79" s="71" t="s">
        <x:v>67</x:v>
      </x:c>
    </x:row>
    <x:row r="80" spans="1:11" ht="15.75" customHeight="1" x14ac:dyDescent="0.2">
      <x:c r="B80" s="14">
        <x:v>76</x:v>
      </x:c>
      <x:c r="C80" s="41">
        <x:f>+Puantaj!A81</x:f>
      </x:c>
      <x:c r="D80" s="15">
        <x:f>+BORDRO!T81</x:f>
      </x:c>
      <x:c r="E80" s="41">
        <x:f>+Puantaj!D81</x:f>
      </x:c>
      <x:c r="F80" s="41">
        <x:f>+Puantaj!E81</x:f>
      </x:c>
      <x:c r="G80" s="13">
        <x:f>+Puantaj!C81</x:f>
      </x:c>
      <x:c r="H80" s="71" t="s">
        <x:v>67</x:v>
      </x:c>
    </x:row>
    <x:row r="81" spans="1:11" ht="15.75" customHeight="1" x14ac:dyDescent="0.2">
      <x:c r="B81" s="14">
        <x:v>77</x:v>
      </x:c>
      <x:c r="C81" s="41">
        <x:f>+Puantaj!A82</x:f>
      </x:c>
      <x:c r="D81" s="15">
        <x:f>+BORDRO!T82</x:f>
      </x:c>
      <x:c r="E81" s="41">
        <x:f>+Puantaj!D82</x:f>
      </x:c>
      <x:c r="F81" s="41">
        <x:f>+Puantaj!E82</x:f>
      </x:c>
      <x:c r="G81" s="13">
        <x:f>+Puantaj!C82</x:f>
      </x:c>
      <x:c r="H81" s="71" t="s">
        <x:v>67</x:v>
      </x:c>
    </x:row>
    <x:row r="82" spans="1:11" ht="15.75" customHeight="1" x14ac:dyDescent="0.2">
      <x:c r="B82" s="14">
        <x:v>78</x:v>
      </x:c>
      <x:c r="C82" s="41">
        <x:f>+Puantaj!A83</x:f>
      </x:c>
      <x:c r="D82" s="15">
        <x:f>+BORDRO!T83</x:f>
      </x:c>
      <x:c r="E82" s="41">
        <x:f>+Puantaj!D83</x:f>
      </x:c>
      <x:c r="F82" s="41">
        <x:f>+Puantaj!E83</x:f>
      </x:c>
      <x:c r="G82" s="13">
        <x:f>+Puantaj!C83</x:f>
      </x:c>
      <x:c r="H82" s="71" t="s">
        <x:v>67</x:v>
      </x:c>
    </x:row>
    <x:row r="83" spans="1:11" ht="15.75" customHeight="1" x14ac:dyDescent="0.2">
      <x:c r="B83" s="14">
        <x:v>79</x:v>
      </x:c>
      <x:c r="C83" s="41">
        <x:f>+Puantaj!A84</x:f>
      </x:c>
      <x:c r="D83" s="15">
        <x:f>+BORDRO!T84</x:f>
      </x:c>
      <x:c r="E83" s="41">
        <x:f>+Puantaj!D84</x:f>
      </x:c>
      <x:c r="F83" s="41">
        <x:f>+Puantaj!E84</x:f>
      </x:c>
      <x:c r="G83" s="13">
        <x:f>+Puantaj!C84</x:f>
      </x:c>
      <x:c r="H83" s="71" t="s">
        <x:v>67</x:v>
      </x:c>
    </x:row>
    <x:row r="84" spans="1:11" ht="15.75" customHeight="1" x14ac:dyDescent="0.2">
      <x:c r="B84" s="14">
        <x:v>80</x:v>
      </x:c>
      <x:c r="C84" s="41">
        <x:f>+Puantaj!A85</x:f>
      </x:c>
      <x:c r="D84" s="15">
        <x:f>+BORDRO!T85</x:f>
      </x:c>
      <x:c r="E84" s="41">
        <x:f>+Puantaj!D85</x:f>
      </x:c>
      <x:c r="F84" s="41">
        <x:f>+Puantaj!E85</x:f>
      </x:c>
      <x:c r="G84" s="13">
        <x:f>+Puantaj!C85</x:f>
      </x:c>
      <x:c r="H84" s="71" t="s">
        <x:v>67</x:v>
      </x:c>
    </x:row>
    <x:row r="85" spans="1:11" ht="15.75" customHeight="1" x14ac:dyDescent="0.2">
      <x:c r="B85" s="14">
        <x:v>81</x:v>
      </x:c>
      <x:c r="C85" s="41">
        <x:f>+Puantaj!A86</x:f>
      </x:c>
      <x:c r="D85" s="15">
        <x:f>+BORDRO!T86</x:f>
      </x:c>
      <x:c r="E85" s="41">
        <x:f>+Puantaj!D86</x:f>
      </x:c>
      <x:c r="F85" s="41">
        <x:f>+Puantaj!E86</x:f>
      </x:c>
      <x:c r="G85" s="13">
        <x:f>+Puantaj!C86</x:f>
      </x:c>
      <x:c r="H85" s="71" t="s">
        <x:v>67</x:v>
      </x:c>
    </x:row>
    <x:row r="86" spans="1:11" ht="15.75" customHeight="1" x14ac:dyDescent="0.2">
      <x:c r="B86" s="14">
        <x:v>82</x:v>
      </x:c>
      <x:c r="C86" s="41">
        <x:f>+Puantaj!A87</x:f>
      </x:c>
      <x:c r="D86" s="15">
        <x:f>+BORDRO!T87</x:f>
      </x:c>
      <x:c r="E86" s="41">
        <x:f>+Puantaj!D87</x:f>
      </x:c>
      <x:c r="F86" s="41">
        <x:f>+Puantaj!E87</x:f>
      </x:c>
      <x:c r="G86" s="13">
        <x:f>+Puantaj!C87</x:f>
      </x:c>
      <x:c r="H86" s="71" t="s">
        <x:v>67</x:v>
      </x:c>
    </x:row>
    <x:row r="87" spans="1:11" ht="15.75" customHeight="1" x14ac:dyDescent="0.2">
      <x:c r="B87" s="14">
        <x:v>83</x:v>
      </x:c>
      <x:c r="C87" s="41">
        <x:f>+Puantaj!A88</x:f>
      </x:c>
      <x:c r="D87" s="15">
        <x:f>+BORDRO!T88</x:f>
      </x:c>
      <x:c r="E87" s="41">
        <x:f>+Puantaj!D88</x:f>
      </x:c>
      <x:c r="F87" s="41">
        <x:f>+Puantaj!E88</x:f>
      </x:c>
      <x:c r="G87" s="13">
        <x:f>+Puantaj!C88</x:f>
      </x:c>
      <x:c r="H87" s="71" t="s">
        <x:v>67</x:v>
      </x:c>
    </x:row>
    <x:row r="88" spans="1:11" ht="15.75" customHeight="1" x14ac:dyDescent="0.2">
      <x:c r="B88" s="14">
        <x:v>84</x:v>
      </x:c>
      <x:c r="C88" s="41">
        <x:f>+Puantaj!A89</x:f>
      </x:c>
      <x:c r="D88" s="15">
        <x:f>+BORDRO!T89</x:f>
      </x:c>
      <x:c r="E88" s="41">
        <x:f>+Puantaj!D89</x:f>
      </x:c>
      <x:c r="F88" s="41">
        <x:f>+Puantaj!E89</x:f>
      </x:c>
      <x:c r="G88" s="13">
        <x:f>+Puantaj!C89</x:f>
      </x:c>
      <x:c r="H88" s="71" t="s">
        <x:v>67</x:v>
      </x:c>
    </x:row>
    <x:row r="89" spans="1:11" ht="15.75" customHeight="1" x14ac:dyDescent="0.2">
      <x:c r="B89" s="14">
        <x:v>85</x:v>
      </x:c>
      <x:c r="C89" s="41">
        <x:f>+Puantaj!A90</x:f>
      </x:c>
      <x:c r="D89" s="15">
        <x:f>+BORDRO!T90</x:f>
      </x:c>
      <x:c r="E89" s="41">
        <x:f>+Puantaj!D90</x:f>
      </x:c>
      <x:c r="F89" s="41">
        <x:f>+Puantaj!E90</x:f>
      </x:c>
      <x:c r="G89" s="13">
        <x:f>+Puantaj!C90</x:f>
      </x:c>
      <x:c r="H89" s="71" t="s">
        <x:v>67</x:v>
      </x:c>
    </x:row>
    <x:row r="90" spans="1:11" ht="15.75" customHeight="1" x14ac:dyDescent="0.2">
      <x:c r="B90" s="14">
        <x:v>86</x:v>
      </x:c>
      <x:c r="C90" s="41">
        <x:f>+Puantaj!A91</x:f>
      </x:c>
      <x:c r="D90" s="15">
        <x:f>+BORDRO!T91</x:f>
      </x:c>
      <x:c r="E90" s="41">
        <x:f>+Puantaj!D91</x:f>
      </x:c>
      <x:c r="F90" s="41">
        <x:f>+Puantaj!E91</x:f>
      </x:c>
      <x:c r="G90" s="13">
        <x:f>+Puantaj!C91</x:f>
      </x:c>
      <x:c r="H90" s="71" t="s">
        <x:v>67</x:v>
      </x:c>
    </x:row>
    <x:row r="91" spans="1:11" ht="15.75" customHeight="1" x14ac:dyDescent="0.2">
      <x:c r="B91" s="14">
        <x:v>87</x:v>
      </x:c>
      <x:c r="C91" s="41">
        <x:f>+Puantaj!A92</x:f>
      </x:c>
      <x:c r="D91" s="15">
        <x:f>+BORDRO!T92</x:f>
      </x:c>
      <x:c r="E91" s="41">
        <x:f>+Puantaj!D92</x:f>
      </x:c>
      <x:c r="F91" s="41">
        <x:f>+Puantaj!E92</x:f>
      </x:c>
      <x:c r="G91" s="13">
        <x:f>+Puantaj!C92</x:f>
      </x:c>
      <x:c r="H91" s="71" t="s">
        <x:v>67</x:v>
      </x:c>
    </x:row>
    <x:row r="92" spans="1:11" ht="15.75" customHeight="1" x14ac:dyDescent="0.2">
      <x:c r="B92" s="14">
        <x:v>88</x:v>
      </x:c>
      <x:c r="C92" s="41">
        <x:f>+Puantaj!A93</x:f>
      </x:c>
      <x:c r="D92" s="15">
        <x:f>+BORDRO!T93</x:f>
      </x:c>
      <x:c r="E92" s="41">
        <x:f>+Puantaj!D93</x:f>
      </x:c>
      <x:c r="F92" s="41">
        <x:f>+Puantaj!E93</x:f>
      </x:c>
      <x:c r="G92" s="13">
        <x:f>+Puantaj!C93</x:f>
      </x:c>
      <x:c r="H92" s="71" t="s">
        <x:v>67</x:v>
      </x:c>
    </x:row>
    <x:row r="93" spans="1:11" ht="15.75" customHeight="1" x14ac:dyDescent="0.2">
      <x:c r="B93" s="14">
        <x:v>89</x:v>
      </x:c>
      <x:c r="C93" s="41">
        <x:f>+Puantaj!A94</x:f>
      </x:c>
      <x:c r="D93" s="15">
        <x:f>+BORDRO!T94</x:f>
      </x:c>
      <x:c r="E93" s="41">
        <x:f>+Puantaj!D94</x:f>
      </x:c>
      <x:c r="F93" s="41">
        <x:f>+Puantaj!E94</x:f>
      </x:c>
      <x:c r="G93" s="13">
        <x:f>+Puantaj!C94</x:f>
      </x:c>
      <x:c r="H93" s="71" t="s">
        <x:v>67</x:v>
      </x:c>
    </x:row>
    <x:row r="94" spans="1:11" ht="15.75" customHeight="1" x14ac:dyDescent="0.2">
      <x:c r="B94" s="14">
        <x:v>90</x:v>
      </x:c>
      <x:c r="C94" s="41">
        <x:f>+Puantaj!A95</x:f>
      </x:c>
      <x:c r="D94" s="15">
        <x:f>+BORDRO!T95</x:f>
      </x:c>
      <x:c r="E94" s="41">
        <x:f>+Puantaj!D95</x:f>
      </x:c>
      <x:c r="F94" s="41">
        <x:f>+Puantaj!E95</x:f>
      </x:c>
      <x:c r="G94" s="13">
        <x:f>+Puantaj!C95</x:f>
      </x:c>
      <x:c r="H94" s="71" t="s">
        <x:v>67</x:v>
      </x:c>
    </x:row>
    <x:row r="95" spans="1:11" ht="15.75" customHeight="1" x14ac:dyDescent="0.2">
      <x:c r="B95" s="14">
        <x:v>91</x:v>
      </x:c>
      <x:c r="C95" s="41">
        <x:f>+Puantaj!A96</x:f>
      </x:c>
      <x:c r="D95" s="15">
        <x:f>+BORDRO!T96</x:f>
      </x:c>
      <x:c r="E95" s="41">
        <x:f>+Puantaj!D96</x:f>
      </x:c>
      <x:c r="F95" s="41">
        <x:f>+Puantaj!E96</x:f>
      </x:c>
      <x:c r="G95" s="13">
        <x:f>+Puantaj!C96</x:f>
      </x:c>
      <x:c r="H95" s="71" t="s">
        <x:v>67</x:v>
      </x:c>
    </x:row>
    <x:row r="96" spans="1:11" ht="15.75" customHeight="1" x14ac:dyDescent="0.2">
      <x:c r="B96" s="14">
        <x:v>92</x:v>
      </x:c>
      <x:c r="C96" s="41">
        <x:f>+Puantaj!A97</x:f>
      </x:c>
      <x:c r="D96" s="15">
        <x:f>+BORDRO!T97</x:f>
      </x:c>
      <x:c r="E96" s="41">
        <x:f>+Puantaj!D97</x:f>
      </x:c>
      <x:c r="F96" s="41">
        <x:f>+Puantaj!E97</x:f>
      </x:c>
      <x:c r="G96" s="13">
        <x:f>+Puantaj!C97</x:f>
      </x:c>
      <x:c r="H96" s="71" t="s">
        <x:v>67</x:v>
      </x:c>
    </x:row>
    <x:row r="97" spans="1:11" ht="15.75" customHeight="1" x14ac:dyDescent="0.2">
      <x:c r="B97" s="14">
        <x:v>93</x:v>
      </x:c>
      <x:c r="C97" s="41">
        <x:f>+Puantaj!A98</x:f>
      </x:c>
      <x:c r="D97" s="15">
        <x:f>+BORDRO!T98</x:f>
      </x:c>
      <x:c r="E97" s="41">
        <x:f>+Puantaj!D98</x:f>
      </x:c>
      <x:c r="F97" s="41">
        <x:f>+Puantaj!E98</x:f>
      </x:c>
      <x:c r="G97" s="13">
        <x:f>+Puantaj!C98</x:f>
      </x:c>
      <x:c r="H97" s="71" t="s">
        <x:v>67</x:v>
      </x:c>
    </x:row>
    <x:row r="98" spans="1:11" ht="15.75" customHeight="1" x14ac:dyDescent="0.2">
      <x:c r="B98" s="14">
        <x:v>94</x:v>
      </x:c>
      <x:c r="C98" s="41">
        <x:f>+Puantaj!A99</x:f>
      </x:c>
      <x:c r="D98" s="15">
        <x:f>+BORDRO!T99</x:f>
      </x:c>
      <x:c r="E98" s="41">
        <x:f>+Puantaj!D99</x:f>
      </x:c>
      <x:c r="F98" s="41">
        <x:f>+Puantaj!E99</x:f>
      </x:c>
      <x:c r="G98" s="13">
        <x:f>+Puantaj!C99</x:f>
      </x:c>
      <x:c r="H98" s="71" t="s">
        <x:v>67</x:v>
      </x:c>
    </x:row>
    <x:row r="99" spans="1:11" ht="15.75" customHeight="1" x14ac:dyDescent="0.2">
      <x:c r="B99" s="14">
        <x:v>95</x:v>
      </x:c>
      <x:c r="C99" s="41">
        <x:f>+Puantaj!A100</x:f>
      </x:c>
      <x:c r="D99" s="15">
        <x:f>+BORDRO!T100</x:f>
      </x:c>
      <x:c r="E99" s="41">
        <x:f>+Puantaj!D100</x:f>
      </x:c>
      <x:c r="F99" s="41">
        <x:f>+Puantaj!E100</x:f>
      </x:c>
      <x:c r="G99" s="13">
        <x:f>+Puantaj!C100</x:f>
      </x:c>
      <x:c r="H99" s="71" t="s">
        <x:v>67</x:v>
      </x:c>
    </x:row>
    <x:row r="100" spans="1:11" ht="15.75" customHeight="1" x14ac:dyDescent="0.2">
      <x:c r="B100" s="14">
        <x:v>96</x:v>
      </x:c>
      <x:c r="C100" s="41">
        <x:f>+Puantaj!A101</x:f>
      </x:c>
      <x:c r="D100" s="15">
        <x:f>+BORDRO!T101</x:f>
      </x:c>
      <x:c r="E100" s="41">
        <x:f>+Puantaj!D101</x:f>
      </x:c>
      <x:c r="F100" s="41">
        <x:f>+Puantaj!E101</x:f>
      </x:c>
      <x:c r="G100" s="13">
        <x:f>+Puantaj!C101</x:f>
      </x:c>
      <x:c r="H100" s="71" t="s">
        <x:v>67</x:v>
      </x:c>
    </x:row>
    <x:row r="101" spans="1:11" ht="15.75" customHeight="1" x14ac:dyDescent="0.2">
      <x:c r="B101" s="14">
        <x:v>97</x:v>
      </x:c>
      <x:c r="C101" s="41">
        <x:f>+Puantaj!A102</x:f>
      </x:c>
      <x:c r="D101" s="15">
        <x:f>+BORDRO!T102</x:f>
      </x:c>
      <x:c r="E101" s="41">
        <x:f>+Puantaj!D102</x:f>
      </x:c>
      <x:c r="F101" s="41">
        <x:f>+Puantaj!E102</x:f>
      </x:c>
      <x:c r="G101" s="13">
        <x:f>+Puantaj!C102</x:f>
      </x:c>
      <x:c r="H101" s="71" t="s">
        <x:v>67</x:v>
      </x:c>
    </x:row>
    <x:row r="102" spans="1:11" ht="15.75" customHeight="1" x14ac:dyDescent="0.2">
      <x:c r="B102" s="14">
        <x:v>98</x:v>
      </x:c>
      <x:c r="C102" s="41">
        <x:f>+Puantaj!A103</x:f>
      </x:c>
      <x:c r="D102" s="15">
        <x:f>+BORDRO!T103</x:f>
      </x:c>
      <x:c r="E102" s="41">
        <x:f>+Puantaj!D103</x:f>
      </x:c>
      <x:c r="F102" s="41">
        <x:f>+Puantaj!E103</x:f>
      </x:c>
      <x:c r="G102" s="13">
        <x:f>+Puantaj!C103</x:f>
      </x:c>
      <x:c r="H102" s="71" t="s">
        <x:v>67</x:v>
      </x:c>
    </x:row>
    <x:row r="103" spans="1:11" ht="15.75" customHeight="1" x14ac:dyDescent="0.2">
      <x:c r="B103" s="14">
        <x:v>99</x:v>
      </x:c>
      <x:c r="C103" s="41">
        <x:f>+Puantaj!A104</x:f>
      </x:c>
      <x:c r="D103" s="15">
        <x:f>+BORDRO!T104</x:f>
      </x:c>
      <x:c r="E103" s="41">
        <x:f>+Puantaj!D104</x:f>
      </x:c>
      <x:c r="F103" s="41">
        <x:f>+Puantaj!E104</x:f>
      </x:c>
      <x:c r="G103" s="13">
        <x:f>+Puantaj!C104</x:f>
      </x:c>
      <x:c r="H103" s="71" t="s">
        <x:v>67</x:v>
      </x:c>
    </x:row>
    <x:row r="104" spans="1:11" ht="15.75" customHeight="1" x14ac:dyDescent="0.2">
      <x:c r="B104" s="14">
        <x:v>100</x:v>
      </x:c>
      <x:c r="C104" s="41">
        <x:f>+Puantaj!A105</x:f>
      </x:c>
      <x:c r="D104" s="15">
        <x:f>+BORDRO!T105</x:f>
      </x:c>
      <x:c r="E104" s="41">
        <x:f>+Puantaj!D105</x:f>
      </x:c>
      <x:c r="F104" s="41">
        <x:f>+Puantaj!E105</x:f>
      </x:c>
      <x:c r="G104" s="13">
        <x:f>+Puantaj!C105</x:f>
      </x:c>
      <x:c r="H104" s="71" t="s">
        <x:v>67</x:v>
      </x:c>
    </x:row>
    <x:row r="105" spans="1:11" ht="15.75" customHeight="1" x14ac:dyDescent="0.2">
      <x:c r="B105" s="14">
        <x:v>101</x:v>
      </x:c>
      <x:c r="C105" s="41">
        <x:f>+Puantaj!A106</x:f>
      </x:c>
      <x:c r="D105" s="15">
        <x:f>+BORDRO!T106</x:f>
      </x:c>
      <x:c r="E105" s="41">
        <x:f>+Puantaj!D106</x:f>
      </x:c>
      <x:c r="F105" s="41">
        <x:f>+Puantaj!E106</x:f>
      </x:c>
      <x:c r="G105" s="13">
        <x:f>+Puantaj!C106</x:f>
      </x:c>
      <x:c r="H105" s="71" t="s">
        <x:v>67</x:v>
      </x:c>
    </x:row>
    <x:row r="106" spans="1:11" ht="15.75" customHeight="1" x14ac:dyDescent="0.2">
      <x:c r="B106" s="14">
        <x:v>102</x:v>
      </x:c>
      <x:c r="C106" s="41">
        <x:f>+Puantaj!A107</x:f>
      </x:c>
      <x:c r="D106" s="15">
        <x:f>+BORDRO!T107</x:f>
      </x:c>
      <x:c r="E106" s="41">
        <x:f>+Puantaj!D107</x:f>
      </x:c>
      <x:c r="F106" s="41">
        <x:f>+Puantaj!E107</x:f>
      </x:c>
      <x:c r="G106" s="13">
        <x:f>+Puantaj!C107</x:f>
      </x:c>
      <x:c r="H106" s="71" t="s">
        <x:v>67</x:v>
      </x:c>
    </x:row>
    <x:row r="107" spans="1:11" ht="15.75" customHeight="1" x14ac:dyDescent="0.2">
      <x:c r="B107" s="14">
        <x:v>103</x:v>
      </x:c>
      <x:c r="C107" s="41">
        <x:f>+Puantaj!A108</x:f>
      </x:c>
      <x:c r="D107" s="15">
        <x:f>+BORDRO!T108</x:f>
      </x:c>
      <x:c r="E107" s="41">
        <x:f>+Puantaj!D108</x:f>
      </x:c>
      <x:c r="F107" s="41">
        <x:f>+Puantaj!E108</x:f>
      </x:c>
      <x:c r="G107" s="13">
        <x:f>+Puantaj!C108</x:f>
      </x:c>
      <x:c r="H107" s="71" t="s">
        <x:v>67</x:v>
      </x:c>
    </x:row>
    <x:row r="108" spans="1:11" ht="15.75" customHeight="1" x14ac:dyDescent="0.2">
      <x:c r="B108" s="14">
        <x:v>104</x:v>
      </x:c>
      <x:c r="C108" s="41">
        <x:f>+Puantaj!A109</x:f>
      </x:c>
      <x:c r="D108" s="15">
        <x:f>+BORDRO!T109</x:f>
      </x:c>
      <x:c r="E108" s="41">
        <x:f>+Puantaj!D109</x:f>
      </x:c>
      <x:c r="F108" s="41">
        <x:f>+Puantaj!E109</x:f>
      </x:c>
      <x:c r="G108" s="13">
        <x:f>+Puantaj!C109</x:f>
      </x:c>
      <x:c r="H108" s="71" t="s">
        <x:v>67</x:v>
      </x:c>
    </x:row>
    <x:row r="109" spans="1:11" ht="15.75" customHeight="1" x14ac:dyDescent="0.2">
      <x:c r="B109" s="14">
        <x:v>105</x:v>
      </x:c>
      <x:c r="C109" s="41">
        <x:f>+Puantaj!A110</x:f>
      </x:c>
      <x:c r="D109" s="15">
        <x:f>+BORDRO!T110</x:f>
      </x:c>
      <x:c r="E109" s="41">
        <x:f>+Puantaj!D110</x:f>
      </x:c>
      <x:c r="F109" s="41">
        <x:f>+Puantaj!E110</x:f>
      </x:c>
      <x:c r="G109" s="13">
        <x:f>+Puantaj!C110</x:f>
      </x:c>
      <x:c r="H109" s="71" t="s">
        <x:v>67</x:v>
      </x:c>
    </x:row>
    <x:row r="110" spans="1:11" ht="15.75" customHeight="1" x14ac:dyDescent="0.2">
      <x:c r="B110" s="14">
        <x:v>106</x:v>
      </x:c>
      <x:c r="C110" s="41">
        <x:f>+Puantaj!A111</x:f>
      </x:c>
      <x:c r="D110" s="15">
        <x:f>+BORDRO!T111</x:f>
      </x:c>
      <x:c r="E110" s="41">
        <x:f>+Puantaj!D111</x:f>
      </x:c>
      <x:c r="F110" s="41">
        <x:f>+Puantaj!E111</x:f>
      </x:c>
      <x:c r="G110" s="13">
        <x:f>+Puantaj!C111</x:f>
      </x:c>
      <x:c r="H110" s="71" t="s">
        <x:v>67</x:v>
      </x:c>
    </x:row>
    <x:row r="111" spans="1:11" ht="15.75" customHeight="1" x14ac:dyDescent="0.2">
      <x:c r="B111" s="14">
        <x:v>107</x:v>
      </x:c>
      <x:c r="C111" s="41">
        <x:f>+Puantaj!A112</x:f>
      </x:c>
      <x:c r="D111" s="15">
        <x:f>+BORDRO!T112</x:f>
      </x:c>
      <x:c r="E111" s="41">
        <x:f>+Puantaj!D112</x:f>
      </x:c>
      <x:c r="F111" s="41">
        <x:f>+Puantaj!E112</x:f>
      </x:c>
      <x:c r="G111" s="13">
        <x:f>+Puantaj!C112</x:f>
      </x:c>
      <x:c r="H111" s="71" t="s">
        <x:v>67</x:v>
      </x:c>
    </x:row>
    <x:row r="112" spans="1:11" ht="15.75" customHeight="1" x14ac:dyDescent="0.2">
      <x:c r="B112" s="14">
        <x:v>108</x:v>
      </x:c>
      <x:c r="C112" s="41">
        <x:f>+Puantaj!A113</x:f>
      </x:c>
      <x:c r="D112" s="15">
        <x:f>+BORDRO!T113</x:f>
      </x:c>
      <x:c r="E112" s="41">
        <x:f>+Puantaj!D113</x:f>
      </x:c>
      <x:c r="F112" s="41">
        <x:f>+Puantaj!E113</x:f>
      </x:c>
      <x:c r="G112" s="13">
        <x:f>+Puantaj!C113</x:f>
      </x:c>
      <x:c r="H112" s="71" t="s">
        <x:v>67</x:v>
      </x:c>
    </x:row>
    <x:row r="113" spans="1:11" ht="15.75" customHeight="1" x14ac:dyDescent="0.2">
      <x:c r="B113" s="14">
        <x:v>109</x:v>
      </x:c>
      <x:c r="C113" s="41">
        <x:f>+Puantaj!A114</x:f>
      </x:c>
      <x:c r="D113" s="15">
        <x:f>+BORDRO!T114</x:f>
      </x:c>
      <x:c r="E113" s="41">
        <x:f>+Puantaj!D114</x:f>
      </x:c>
      <x:c r="F113" s="41">
        <x:f>+Puantaj!E114</x:f>
      </x:c>
      <x:c r="G113" s="13">
        <x:f>+Puantaj!C114</x:f>
      </x:c>
      <x:c r="H113" s="71" t="s">
        <x:v>67</x:v>
      </x:c>
    </x:row>
    <x:row r="114" spans="1:11" ht="15.75" customHeight="1" x14ac:dyDescent="0.2">
      <x:c r="B114" s="14">
        <x:v>110</x:v>
      </x:c>
      <x:c r="C114" s="41">
        <x:f>+Puantaj!A115</x:f>
      </x:c>
      <x:c r="D114" s="15">
        <x:f>+BORDRO!T115</x:f>
      </x:c>
      <x:c r="E114" s="41">
        <x:f>+Puantaj!D115</x:f>
      </x:c>
      <x:c r="F114" s="41">
        <x:f>+Puantaj!E115</x:f>
      </x:c>
      <x:c r="G114" s="13">
        <x:f>+Puantaj!C115</x:f>
      </x:c>
      <x:c r="H114" s="71" t="s">
        <x:v>67</x:v>
      </x:c>
    </x:row>
    <x:row r="115" spans="1:11" ht="15.75" customHeight="1" x14ac:dyDescent="0.2">
      <x:c r="B115" s="14">
        <x:v>111</x:v>
      </x:c>
      <x:c r="C115" s="41">
        <x:f>+Puantaj!A116</x:f>
      </x:c>
      <x:c r="D115" s="15">
        <x:f>+BORDRO!T116</x:f>
      </x:c>
      <x:c r="E115" s="41">
        <x:f>+Puantaj!D116</x:f>
      </x:c>
      <x:c r="F115" s="41">
        <x:f>+Puantaj!E116</x:f>
      </x:c>
      <x:c r="G115" s="13">
        <x:f>+Puantaj!C116</x:f>
      </x:c>
      <x:c r="H115" s="71" t="s">
        <x:v>67</x:v>
      </x:c>
    </x:row>
    <x:row r="116" spans="1:11" ht="15.75" customHeight="1" x14ac:dyDescent="0.2">
      <x:c r="B116" s="14">
        <x:v>112</x:v>
      </x:c>
      <x:c r="C116" s="41">
        <x:f>+Puantaj!A117</x:f>
      </x:c>
      <x:c r="D116" s="15">
        <x:f>+BORDRO!T117</x:f>
      </x:c>
      <x:c r="E116" s="41">
        <x:f>+Puantaj!D117</x:f>
      </x:c>
      <x:c r="F116" s="41">
        <x:f>+Puantaj!E117</x:f>
      </x:c>
      <x:c r="G116" s="13">
        <x:f>+Puantaj!C117</x:f>
      </x:c>
      <x:c r="H116" s="71" t="s">
        <x:v>67</x:v>
      </x:c>
    </x:row>
    <x:row r="117" spans="1:11" ht="15.75" customHeight="1" x14ac:dyDescent="0.2">
      <x:c r="B117" s="14">
        <x:v>113</x:v>
      </x:c>
      <x:c r="C117" s="41">
        <x:f>+Puantaj!A118</x:f>
      </x:c>
      <x:c r="D117" s="15">
        <x:f>+BORDRO!T118</x:f>
      </x:c>
      <x:c r="E117" s="41">
        <x:f>+Puantaj!D118</x:f>
      </x:c>
      <x:c r="F117" s="41">
        <x:f>+Puantaj!E118</x:f>
      </x:c>
      <x:c r="G117" s="13">
        <x:f>+Puantaj!C118</x:f>
      </x:c>
      <x:c r="H117" s="71" t="s">
        <x:v>67</x:v>
      </x:c>
    </x:row>
    <x:row r="118" spans="1:11" ht="15.75" customHeight="1" x14ac:dyDescent="0.2">
      <x:c r="B118" s="14">
        <x:v>114</x:v>
      </x:c>
      <x:c r="C118" s="41">
        <x:f>+Puantaj!A119</x:f>
      </x:c>
      <x:c r="D118" s="15">
        <x:f>+BORDRO!T119</x:f>
      </x:c>
      <x:c r="E118" s="41">
        <x:f>+Puantaj!D119</x:f>
      </x:c>
      <x:c r="F118" s="41">
        <x:f>+Puantaj!E119</x:f>
      </x:c>
      <x:c r="G118" s="13">
        <x:f>+Puantaj!C119</x:f>
      </x:c>
      <x:c r="H118" s="71" t="s">
        <x:v>67</x:v>
      </x:c>
    </x:row>
    <x:row r="119" spans="1:11" ht="15.75" customHeight="1" x14ac:dyDescent="0.2">
      <x:c r="B119" s="14">
        <x:v>115</x:v>
      </x:c>
      <x:c r="C119" s="41">
        <x:f>+Puantaj!A120</x:f>
      </x:c>
      <x:c r="D119" s="15">
        <x:f>+BORDRO!T120</x:f>
      </x:c>
      <x:c r="E119" s="41">
        <x:f>+Puantaj!D120</x:f>
      </x:c>
      <x:c r="F119" s="41">
        <x:f>+Puantaj!E120</x:f>
      </x:c>
      <x:c r="G119" s="13">
        <x:f>+Puantaj!C120</x:f>
      </x:c>
      <x:c r="H119" s="71" t="s">
        <x:v>67</x:v>
      </x:c>
    </x:row>
    <x:row r="120" spans="1:11" ht="15.75" customHeight="1" x14ac:dyDescent="0.2">
      <x:c r="B120" s="14">
        <x:v>116</x:v>
      </x:c>
      <x:c r="C120" s="41">
        <x:f>+Puantaj!A121</x:f>
      </x:c>
      <x:c r="D120" s="15">
        <x:f>+BORDRO!T121</x:f>
      </x:c>
      <x:c r="E120" s="41">
        <x:f>+Puantaj!D121</x:f>
      </x:c>
      <x:c r="F120" s="41">
        <x:f>+Puantaj!E121</x:f>
      </x:c>
      <x:c r="G120" s="13">
        <x:f>+Puantaj!C121</x:f>
      </x:c>
      <x:c r="H120" s="71" t="s">
        <x:v>67</x:v>
      </x:c>
    </x:row>
    <x:row r="121" spans="1:11" ht="15.75" customHeight="1" x14ac:dyDescent="0.2">
      <x:c r="B121" s="14">
        <x:v>117</x:v>
      </x:c>
      <x:c r="C121" s="41">
        <x:f>+Puantaj!A122</x:f>
      </x:c>
      <x:c r="D121" s="15">
        <x:f>+BORDRO!T122</x:f>
      </x:c>
      <x:c r="E121" s="41">
        <x:f>+Puantaj!D122</x:f>
      </x:c>
      <x:c r="F121" s="41">
        <x:f>+Puantaj!E122</x:f>
      </x:c>
      <x:c r="G121" s="13">
        <x:f>+Puantaj!C122</x:f>
      </x:c>
      <x:c r="H121" s="71" t="s">
        <x:v>67</x:v>
      </x:c>
    </x:row>
    <x:row r="122" spans="1:11" ht="15.75" customHeight="1" x14ac:dyDescent="0.2">
      <x:c r="B122" s="14">
        <x:v>118</x:v>
      </x:c>
      <x:c r="C122" s="41">
        <x:f>+Puantaj!A123</x:f>
      </x:c>
      <x:c r="D122" s="15">
        <x:f>+BORDRO!T123</x:f>
      </x:c>
      <x:c r="E122" s="41">
        <x:f>+Puantaj!D123</x:f>
      </x:c>
      <x:c r="F122" s="41">
        <x:f>+Puantaj!E123</x:f>
      </x:c>
      <x:c r="G122" s="13">
        <x:f>+Puantaj!C123</x:f>
      </x:c>
      <x:c r="H122" s="71" t="s">
        <x:v>67</x:v>
      </x:c>
    </x:row>
    <x:row r="123" spans="1:11" ht="15.75" customHeight="1" x14ac:dyDescent="0.2">
      <x:c r="B123" s="14">
        <x:v>119</x:v>
      </x:c>
      <x:c r="C123" s="41">
        <x:f>+Puantaj!A124</x:f>
      </x:c>
      <x:c r="D123" s="15">
        <x:f>+BORDRO!T124</x:f>
      </x:c>
      <x:c r="E123" s="41">
        <x:f>+Puantaj!D124</x:f>
      </x:c>
      <x:c r="F123" s="41">
        <x:f>+Puantaj!E124</x:f>
      </x:c>
      <x:c r="G123" s="13">
        <x:f>+Puantaj!C124</x:f>
      </x:c>
      <x:c r="H123" s="71" t="s">
        <x:v>67</x:v>
      </x:c>
    </x:row>
    <x:row r="124" spans="1:11" ht="15.75" customHeight="1" x14ac:dyDescent="0.2">
      <x:c r="B124" s="14">
        <x:v>120</x:v>
      </x:c>
      <x:c r="C124" s="41">
        <x:f>+Puantaj!A125</x:f>
      </x:c>
      <x:c r="D124" s="15">
        <x:f>+BORDRO!T125</x:f>
      </x:c>
      <x:c r="E124" s="41">
        <x:f>+Puantaj!D125</x:f>
      </x:c>
      <x:c r="F124" s="41">
        <x:f>+Puantaj!E125</x:f>
      </x:c>
      <x:c r="G124" s="13">
        <x:f>+Puantaj!C125</x:f>
      </x:c>
      <x:c r="H124" s="71" t="s">
        <x:v>67</x:v>
      </x:c>
    </x:row>
    <x:row r="125" spans="1:11" ht="15.75" customHeight="1" x14ac:dyDescent="0.2">
      <x:c r="B125" s="14">
        <x:v>121</x:v>
      </x:c>
      <x:c r="C125" s="41">
        <x:f>+Puantaj!A126</x:f>
      </x:c>
      <x:c r="D125" s="15">
        <x:f>+BORDRO!T126</x:f>
      </x:c>
      <x:c r="E125" s="41">
        <x:f>+Puantaj!D126</x:f>
      </x:c>
      <x:c r="F125" s="41">
        <x:f>+Puantaj!E126</x:f>
      </x:c>
      <x:c r="G125" s="13">
        <x:f>+Puantaj!C126</x:f>
      </x:c>
      <x:c r="H125" s="71" t="s">
        <x:v>67</x:v>
      </x:c>
    </x:row>
    <x:row r="126" spans="1:11" ht="15.75" customHeight="1" x14ac:dyDescent="0.2">
      <x:c r="B126" s="14">
        <x:v>122</x:v>
      </x:c>
      <x:c r="C126" s="41">
        <x:f>+Puantaj!A127</x:f>
      </x:c>
      <x:c r="D126" s="15">
        <x:f>+BORDRO!T127</x:f>
      </x:c>
      <x:c r="E126" s="41">
        <x:f>+Puantaj!D127</x:f>
      </x:c>
      <x:c r="F126" s="41">
        <x:f>+Puantaj!E127</x:f>
      </x:c>
      <x:c r="G126" s="13">
        <x:f>+Puantaj!C127</x:f>
      </x:c>
      <x:c r="H126" s="71" t="s">
        <x:v>67</x:v>
      </x:c>
    </x:row>
    <x:row r="127" spans="1:11" ht="15.75" customHeight="1" x14ac:dyDescent="0.2">
      <x:c r="B127" s="14">
        <x:v>123</x:v>
      </x:c>
      <x:c r="C127" s="41">
        <x:f>+Puantaj!A128</x:f>
      </x:c>
      <x:c r="D127" s="15">
        <x:f>+BORDRO!T128</x:f>
      </x:c>
      <x:c r="E127" s="41">
        <x:f>+Puantaj!D128</x:f>
      </x:c>
      <x:c r="F127" s="41">
        <x:f>+Puantaj!E128</x:f>
      </x:c>
      <x:c r="G127" s="13">
        <x:f>+Puantaj!C128</x:f>
      </x:c>
      <x:c r="H127" s="71" t="s">
        <x:v>67</x:v>
      </x:c>
    </x:row>
    <x:row r="128" spans="1:11" ht="15.75" customHeight="1" x14ac:dyDescent="0.2">
      <x:c r="B128" s="14">
        <x:v>124</x:v>
      </x:c>
      <x:c r="C128" s="41">
        <x:f>+Puantaj!A129</x:f>
      </x:c>
      <x:c r="D128" s="15">
        <x:f>+BORDRO!T129</x:f>
      </x:c>
      <x:c r="E128" s="41">
        <x:f>+Puantaj!D129</x:f>
      </x:c>
      <x:c r="F128" s="41">
        <x:f>+Puantaj!E129</x:f>
      </x:c>
      <x:c r="G128" s="13">
        <x:f>+Puantaj!C129</x:f>
      </x:c>
      <x:c r="H128" s="71" t="s">
        <x:v>67</x:v>
      </x:c>
    </x:row>
    <x:row r="129" spans="1:11" ht="15.75" customHeight="1" x14ac:dyDescent="0.2">
      <x:c r="B129" s="14">
        <x:v>125</x:v>
      </x:c>
      <x:c r="C129" s="41">
        <x:f>+Puantaj!A130</x:f>
      </x:c>
      <x:c r="D129" s="15">
        <x:f>+BORDRO!T130</x:f>
      </x:c>
      <x:c r="E129" s="41">
        <x:f>+Puantaj!D130</x:f>
      </x:c>
      <x:c r="F129" s="41">
        <x:f>+Puantaj!E130</x:f>
      </x:c>
      <x:c r="G129" s="13">
        <x:f>+Puantaj!C130</x:f>
      </x:c>
      <x:c r="H129" s="71" t="s">
        <x:v>67</x:v>
      </x:c>
    </x:row>
    <x:row r="130" spans="1:11" ht="15.75" customHeight="1" x14ac:dyDescent="0.2">
      <x:c r="B130" s="14">
        <x:v>126</x:v>
      </x:c>
      <x:c r="C130" s="41">
        <x:f>+Puantaj!A131</x:f>
      </x:c>
      <x:c r="D130" s="15">
        <x:f>+BORDRO!T131</x:f>
      </x:c>
      <x:c r="E130" s="41">
        <x:f>+Puantaj!D131</x:f>
      </x:c>
      <x:c r="F130" s="41">
        <x:f>+Puantaj!E131</x:f>
      </x:c>
      <x:c r="G130" s="13">
        <x:f>+Puantaj!C131</x:f>
      </x:c>
      <x:c r="H130" s="71" t="s">
        <x:v>67</x:v>
      </x:c>
    </x:row>
    <x:row r="131" spans="1:11" ht="15.75" customHeight="1" x14ac:dyDescent="0.2">
      <x:c r="B131" s="14">
        <x:v>127</x:v>
      </x:c>
      <x:c r="C131" s="41">
        <x:f>+Puantaj!A132</x:f>
      </x:c>
      <x:c r="D131" s="15">
        <x:f>+BORDRO!T132</x:f>
      </x:c>
      <x:c r="E131" s="41">
        <x:f>+Puantaj!D132</x:f>
      </x:c>
      <x:c r="F131" s="41">
        <x:f>+Puantaj!E132</x:f>
      </x:c>
      <x:c r="G131" s="13">
        <x:f>+Puantaj!C132</x:f>
      </x:c>
      <x:c r="H131" s="71" t="s">
        <x:v>67</x:v>
      </x:c>
    </x:row>
    <x:row r="132" spans="1:11" ht="15.75" customHeight="1" x14ac:dyDescent="0.2">
      <x:c r="B132" s="14">
        <x:v>128</x:v>
      </x:c>
      <x:c r="C132" s="41">
        <x:f>+Puantaj!A133</x:f>
      </x:c>
      <x:c r="D132" s="15">
        <x:f>+BORDRO!T133</x:f>
      </x:c>
      <x:c r="E132" s="41">
        <x:f>+Puantaj!D133</x:f>
      </x:c>
      <x:c r="F132" s="41">
        <x:f>+Puantaj!E133</x:f>
      </x:c>
      <x:c r="G132" s="13">
        <x:f>+Puantaj!C133</x:f>
      </x:c>
      <x:c r="H132" s="71" t="s">
        <x:v>67</x:v>
      </x:c>
    </x:row>
    <x:row r="133" spans="1:11" ht="15.75" customHeight="1" x14ac:dyDescent="0.2">
      <x:c r="B133" s="14">
        <x:v>129</x:v>
      </x:c>
      <x:c r="C133" s="41">
        <x:f>+Puantaj!A134</x:f>
      </x:c>
      <x:c r="D133" s="15">
        <x:f>+BORDRO!T134</x:f>
      </x:c>
      <x:c r="E133" s="41">
        <x:f>+Puantaj!D134</x:f>
      </x:c>
      <x:c r="F133" s="41">
        <x:f>+Puantaj!E134</x:f>
      </x:c>
      <x:c r="G133" s="13">
        <x:f>+Puantaj!C134</x:f>
      </x:c>
      <x:c r="H133" s="71" t="s">
        <x:v>67</x:v>
      </x:c>
    </x:row>
    <x:row r="134" spans="1:11" ht="15.75" customHeight="1" x14ac:dyDescent="0.2">
      <x:c r="B134" s="14">
        <x:v>130</x:v>
      </x:c>
      <x:c r="C134" s="41">
        <x:f>+Puantaj!A135</x:f>
      </x:c>
      <x:c r="D134" s="15">
        <x:f>+BORDRO!T135</x:f>
      </x:c>
      <x:c r="E134" s="41">
        <x:f>+Puantaj!D135</x:f>
      </x:c>
      <x:c r="F134" s="41">
        <x:f>+Puantaj!E135</x:f>
      </x:c>
      <x:c r="G134" s="13">
        <x:f>+Puantaj!C135</x:f>
      </x:c>
      <x:c r="H134" s="71" t="s">
        <x:v>67</x:v>
      </x:c>
    </x:row>
    <x:row r="135" spans="1:11" ht="15.75" customHeight="1" x14ac:dyDescent="0.2">
      <x:c r="B135" s="14">
        <x:v>131</x:v>
      </x:c>
      <x:c r="C135" s="41">
        <x:f>+Puantaj!A136</x:f>
      </x:c>
      <x:c r="D135" s="15">
        <x:f>+BORDRO!T136</x:f>
      </x:c>
      <x:c r="E135" s="41">
        <x:f>+Puantaj!D136</x:f>
      </x:c>
      <x:c r="F135" s="41">
        <x:f>+Puantaj!E136</x:f>
      </x:c>
      <x:c r="G135" s="13">
        <x:f>+Puantaj!C136</x:f>
      </x:c>
      <x:c r="H135" s="71" t="s">
        <x:v>67</x:v>
      </x:c>
    </x:row>
    <x:row r="136" spans="1:11" ht="15.75" customHeight="1" x14ac:dyDescent="0.2">
      <x:c r="B136" s="14">
        <x:v>132</x:v>
      </x:c>
      <x:c r="C136" s="41">
        <x:f>+Puantaj!A137</x:f>
      </x:c>
      <x:c r="D136" s="15">
        <x:f>+BORDRO!T137</x:f>
      </x:c>
      <x:c r="E136" s="41">
        <x:f>+Puantaj!D137</x:f>
      </x:c>
      <x:c r="F136" s="41">
        <x:f>+Puantaj!E137</x:f>
      </x:c>
      <x:c r="G136" s="13">
        <x:f>+Puantaj!C137</x:f>
      </x:c>
      <x:c r="H136" s="71" t="s">
        <x:v>67</x:v>
      </x:c>
    </x:row>
    <x:row r="137" spans="1:11" ht="15.75" customHeight="1" x14ac:dyDescent="0.2">
      <x:c r="B137" s="14">
        <x:v>133</x:v>
      </x:c>
      <x:c r="C137" s="41">
        <x:f>+Puantaj!A138</x:f>
      </x:c>
      <x:c r="D137" s="15">
        <x:f>+BORDRO!T138</x:f>
      </x:c>
      <x:c r="E137" s="41">
        <x:f>+Puantaj!D138</x:f>
      </x:c>
      <x:c r="F137" s="41">
        <x:f>+Puantaj!E138</x:f>
      </x:c>
      <x:c r="G137" s="13">
        <x:f>+Puantaj!C138</x:f>
      </x:c>
      <x:c r="H137" s="71" t="s">
        <x:v>67</x:v>
      </x:c>
    </x:row>
    <x:row r="138" spans="1:11" ht="15.75" customHeight="1" x14ac:dyDescent="0.2">
      <x:c r="B138" s="14">
        <x:v>134</x:v>
      </x:c>
      <x:c r="C138" s="41">
        <x:f>+Puantaj!A139</x:f>
      </x:c>
      <x:c r="D138" s="15">
        <x:f>+BORDRO!T139</x:f>
      </x:c>
      <x:c r="E138" s="41">
        <x:f>+Puantaj!D139</x:f>
      </x:c>
      <x:c r="F138" s="41">
        <x:f>+Puantaj!E139</x:f>
      </x:c>
      <x:c r="G138" s="13">
        <x:f>+Puantaj!C139</x:f>
      </x:c>
      <x:c r="H138" s="71" t="s">
        <x:v>67</x:v>
      </x:c>
    </x:row>
    <x:row r="139" spans="1:11" ht="15.75" customHeight="1" x14ac:dyDescent="0.2">
      <x:c r="B139" s="14">
        <x:v>135</x:v>
      </x:c>
      <x:c r="C139" s="41">
        <x:f>+Puantaj!A140</x:f>
      </x:c>
      <x:c r="D139" s="15">
        <x:f>+BORDRO!T140</x:f>
      </x:c>
      <x:c r="E139" s="41">
        <x:f>+Puantaj!D140</x:f>
      </x:c>
      <x:c r="F139" s="41">
        <x:f>+Puantaj!E140</x:f>
      </x:c>
      <x:c r="G139" s="13">
        <x:f>+Puantaj!C140</x:f>
      </x:c>
      <x:c r="H139" s="71" t="s">
        <x:v>67</x:v>
      </x:c>
    </x:row>
    <x:row r="140" spans="1:11" ht="15.75" customHeight="1" x14ac:dyDescent="0.2">
      <x:c r="B140" s="14">
        <x:v>136</x:v>
      </x:c>
      <x:c r="C140" s="41">
        <x:f>+Puantaj!A141</x:f>
      </x:c>
      <x:c r="D140" s="15">
        <x:f>+BORDRO!T141</x:f>
      </x:c>
      <x:c r="E140" s="41">
        <x:f>+Puantaj!D141</x:f>
      </x:c>
      <x:c r="F140" s="41">
        <x:f>+Puantaj!E141</x:f>
      </x:c>
      <x:c r="G140" s="13">
        <x:f>+Puantaj!C141</x:f>
      </x:c>
      <x:c r="H140" s="71" t="s">
        <x:v>67</x:v>
      </x:c>
    </x:row>
    <x:row r="141" spans="1:11" ht="15.75" customHeight="1" x14ac:dyDescent="0.2">
      <x:c r="B141" s="14">
        <x:v>137</x:v>
      </x:c>
      <x:c r="C141" s="41">
        <x:f>+Puantaj!A142</x:f>
      </x:c>
      <x:c r="D141" s="15">
        <x:f>+BORDRO!T142</x:f>
      </x:c>
      <x:c r="E141" s="41">
        <x:f>+Puantaj!D142</x:f>
      </x:c>
      <x:c r="F141" s="41">
        <x:f>+Puantaj!E142</x:f>
      </x:c>
      <x:c r="G141" s="13">
        <x:f>+Puantaj!C142</x:f>
      </x:c>
      <x:c r="H141" s="71" t="s">
        <x:v>67</x:v>
      </x:c>
    </x:row>
    <x:row r="142" spans="1:11" ht="15.75" customHeight="1" x14ac:dyDescent="0.2">
      <x:c r="B142" s="14">
        <x:v>138</x:v>
      </x:c>
      <x:c r="C142" s="41">
        <x:f>+Puantaj!A143</x:f>
      </x:c>
      <x:c r="D142" s="15">
        <x:f>+BORDRO!T143</x:f>
      </x:c>
      <x:c r="E142" s="41">
        <x:f>+Puantaj!D143</x:f>
      </x:c>
      <x:c r="F142" s="41">
        <x:f>+Puantaj!E143</x:f>
      </x:c>
      <x:c r="G142" s="13">
        <x:f>+Puantaj!C143</x:f>
      </x:c>
      <x:c r="H142" s="71" t="s">
        <x:v>67</x:v>
      </x:c>
    </x:row>
    <x:row r="143" spans="1:11" ht="15.75" customHeight="1" x14ac:dyDescent="0.2">
      <x:c r="B143" s="14">
        <x:v>139</x:v>
      </x:c>
      <x:c r="C143" s="41">
        <x:f>+Puantaj!A144</x:f>
      </x:c>
      <x:c r="D143" s="15">
        <x:f>+BORDRO!T144</x:f>
      </x:c>
      <x:c r="E143" s="41">
        <x:f>+Puantaj!D144</x:f>
      </x:c>
      <x:c r="F143" s="41">
        <x:f>+Puantaj!E144</x:f>
      </x:c>
      <x:c r="G143" s="13">
        <x:f>+Puantaj!C144</x:f>
      </x:c>
      <x:c r="H143" s="71" t="s">
        <x:v>67</x:v>
      </x:c>
    </x:row>
    <x:row r="144" spans="1:11" ht="15.75" customHeight="1" x14ac:dyDescent="0.2">
      <x:c r="B144" s="14">
        <x:v>140</x:v>
      </x:c>
      <x:c r="C144" s="41">
        <x:f>+Puantaj!A145</x:f>
      </x:c>
      <x:c r="D144" s="15">
        <x:f>+BORDRO!T145</x:f>
      </x:c>
      <x:c r="E144" s="41">
        <x:f>+Puantaj!D145</x:f>
      </x:c>
      <x:c r="F144" s="41">
        <x:f>+Puantaj!E145</x:f>
      </x:c>
      <x:c r="G144" s="13">
        <x:f>+Puantaj!C145</x:f>
      </x:c>
      <x:c r="H144" s="71" t="s">
        <x:v>67</x:v>
      </x:c>
    </x:row>
    <x:row r="145" spans="1:11" ht="15.75" customHeight="1" x14ac:dyDescent="0.2">
      <x:c r="B145" s="14">
        <x:v>141</x:v>
      </x:c>
      <x:c r="C145" s="41">
        <x:f>+Puantaj!A146</x:f>
      </x:c>
      <x:c r="D145" s="15">
        <x:f>+BORDRO!T146</x:f>
      </x:c>
      <x:c r="E145" s="41">
        <x:f>+Puantaj!D146</x:f>
      </x:c>
      <x:c r="F145" s="41">
        <x:f>+Puantaj!E146</x:f>
      </x:c>
      <x:c r="G145" s="13">
        <x:f>+Puantaj!C146</x:f>
      </x:c>
      <x:c r="H145" s="71" t="s">
        <x:v>67</x:v>
      </x:c>
    </x:row>
    <x:row r="146" spans="1:11" ht="15.75" customHeight="1" x14ac:dyDescent="0.2">
      <x:c r="B146" s="14">
        <x:v>142</x:v>
      </x:c>
      <x:c r="C146" s="41">
        <x:f>+Puantaj!A147</x:f>
      </x:c>
      <x:c r="D146" s="15">
        <x:f>+BORDRO!T147</x:f>
      </x:c>
      <x:c r="E146" s="41">
        <x:f>+Puantaj!D147</x:f>
      </x:c>
      <x:c r="F146" s="41">
        <x:f>+Puantaj!E147</x:f>
      </x:c>
      <x:c r="G146" s="13">
        <x:f>+Puantaj!C147</x:f>
      </x:c>
      <x:c r="H146" s="71" t="s">
        <x:v>67</x:v>
      </x:c>
    </x:row>
    <x:row r="147" spans="1:11" ht="15.75" customHeight="1" x14ac:dyDescent="0.2">
      <x:c r="B147" s="14">
        <x:v>143</x:v>
      </x:c>
      <x:c r="C147" s="41">
        <x:f>+Puantaj!A148</x:f>
      </x:c>
      <x:c r="D147" s="15">
        <x:f>+BORDRO!T148</x:f>
      </x:c>
      <x:c r="E147" s="41">
        <x:f>+Puantaj!D148</x:f>
      </x:c>
      <x:c r="F147" s="41">
        <x:f>+Puantaj!E148</x:f>
      </x:c>
      <x:c r="G147" s="13">
        <x:f>+Puantaj!C148</x:f>
      </x:c>
      <x:c r="H147" s="71" t="s">
        <x:v>67</x:v>
      </x:c>
    </x:row>
    <x:row r="148" spans="1:11" ht="15.75" customHeight="1" x14ac:dyDescent="0.2">
      <x:c r="B148" s="14">
        <x:v>144</x:v>
      </x:c>
      <x:c r="C148" s="41">
        <x:f>+Puantaj!A149</x:f>
      </x:c>
      <x:c r="D148" s="15">
        <x:f>+BORDRO!T149</x:f>
      </x:c>
      <x:c r="E148" s="41">
        <x:f>+Puantaj!D149</x:f>
      </x:c>
      <x:c r="F148" s="41">
        <x:f>+Puantaj!E149</x:f>
      </x:c>
      <x:c r="G148" s="13">
        <x:f>+Puantaj!C149</x:f>
      </x:c>
      <x:c r="H148" s="71" t="s">
        <x:v>67</x:v>
      </x:c>
    </x:row>
    <x:row r="149" spans="1:11" ht="15.75" customHeight="1" x14ac:dyDescent="0.2">
      <x:c r="B149" s="14">
        <x:v>145</x:v>
      </x:c>
      <x:c r="C149" s="41">
        <x:f>+Puantaj!A150</x:f>
      </x:c>
      <x:c r="D149" s="15">
        <x:f>+BORDRO!T150</x:f>
      </x:c>
      <x:c r="E149" s="41">
        <x:f>+Puantaj!D150</x:f>
      </x:c>
      <x:c r="F149" s="41">
        <x:f>+Puantaj!E150</x:f>
      </x:c>
      <x:c r="G149" s="13">
        <x:f>+Puantaj!C150</x:f>
      </x:c>
      <x:c r="H149" s="71" t="s">
        <x:v>67</x:v>
      </x:c>
    </x:row>
    <x:row r="150" spans="1:11" ht="15.75" customHeight="1" x14ac:dyDescent="0.2">
      <x:c r="B150" s="14">
        <x:v>146</x:v>
      </x:c>
      <x:c r="C150" s="41">
        <x:f>+Puantaj!A151</x:f>
      </x:c>
      <x:c r="D150" s="15">
        <x:f>+BORDRO!T151</x:f>
      </x:c>
      <x:c r="E150" s="41">
        <x:f>+Puantaj!D151</x:f>
      </x:c>
      <x:c r="F150" s="41">
        <x:f>+Puantaj!E151</x:f>
      </x:c>
      <x:c r="G150" s="13">
        <x:f>+Puantaj!C151</x:f>
      </x:c>
      <x:c r="H150" s="71" t="s">
        <x:v>67</x:v>
      </x:c>
    </x:row>
    <x:row r="151" spans="1:11" ht="15.75" customHeight="1" x14ac:dyDescent="0.2">
      <x:c r="B151" s="14">
        <x:v>147</x:v>
      </x:c>
      <x:c r="C151" s="41">
        <x:f>+Puantaj!A152</x:f>
      </x:c>
      <x:c r="D151" s="15">
        <x:f>+BORDRO!T152</x:f>
      </x:c>
      <x:c r="E151" s="41">
        <x:f>+Puantaj!D152</x:f>
      </x:c>
      <x:c r="F151" s="41">
        <x:f>+Puantaj!E152</x:f>
      </x:c>
      <x:c r="G151" s="13">
        <x:f>+Puantaj!C152</x:f>
      </x:c>
      <x:c r="H151" s="71" t="s">
        <x:v>67</x:v>
      </x:c>
    </x:row>
    <x:row r="152" spans="1:11" ht="15.75" customHeight="1" x14ac:dyDescent="0.2">
      <x:c r="B152" s="14">
        <x:v>148</x:v>
      </x:c>
      <x:c r="C152" s="41">
        <x:f>+Puantaj!A153</x:f>
      </x:c>
      <x:c r="D152" s="15">
        <x:f>+BORDRO!T153</x:f>
      </x:c>
      <x:c r="E152" s="41">
        <x:f>+Puantaj!D153</x:f>
      </x:c>
      <x:c r="F152" s="41">
        <x:f>+Puantaj!E153</x:f>
      </x:c>
      <x:c r="G152" s="13">
        <x:f>+Puantaj!C153</x:f>
      </x:c>
      <x:c r="H152" s="71" t="s">
        <x:v>67</x:v>
      </x:c>
    </x:row>
    <x:row r="153" spans="1:11" ht="15.75" customHeight="1" x14ac:dyDescent="0.2">
      <x:c r="B153" s="14">
        <x:v>149</x:v>
      </x:c>
      <x:c r="C153" s="41">
        <x:f>+Puantaj!A154</x:f>
      </x:c>
      <x:c r="D153" s="15">
        <x:f>+BORDRO!T154</x:f>
      </x:c>
      <x:c r="E153" s="41">
        <x:f>+Puantaj!D154</x:f>
      </x:c>
      <x:c r="F153" s="41">
        <x:f>+Puantaj!E154</x:f>
      </x:c>
      <x:c r="G153" s="13">
        <x:f>+Puantaj!C154</x:f>
      </x:c>
      <x:c r="H153" s="71" t="s">
        <x:v>67</x:v>
      </x:c>
    </x:row>
    <x:row r="154" spans="1:11" ht="15.75" customHeight="1" x14ac:dyDescent="0.2">
      <x:c r="B154" s="14">
        <x:v>150</x:v>
      </x:c>
      <x:c r="C154" s="41">
        <x:f>+Puantaj!A155</x:f>
      </x:c>
      <x:c r="D154" s="15">
        <x:f>+BORDRO!T155</x:f>
      </x:c>
      <x:c r="E154" s="41">
        <x:f>+Puantaj!D155</x:f>
      </x:c>
      <x:c r="F154" s="41">
        <x:f>+Puantaj!E155</x:f>
      </x:c>
      <x:c r="G154" s="13">
        <x:f>+Puantaj!C155</x:f>
      </x:c>
      <x:c r="H154" s="71" t="s">
        <x:v>67</x:v>
      </x:c>
    </x:row>
    <x:row r="155" spans="1:11" ht="15.75" customHeight="1" x14ac:dyDescent="0.2">
      <x:c r="B155" s="14">
        <x:v>151</x:v>
      </x:c>
      <x:c r="C155" s="41">
        <x:f>+Puantaj!A156</x:f>
      </x:c>
      <x:c r="D155" s="15">
        <x:f>+BORDRO!T156</x:f>
      </x:c>
      <x:c r="E155" s="41">
        <x:f>+Puantaj!D156</x:f>
      </x:c>
      <x:c r="F155" s="41">
        <x:f>+Puantaj!E156</x:f>
      </x:c>
      <x:c r="G155" s="13">
        <x:f>+Puantaj!C156</x:f>
      </x:c>
      <x:c r="H155" s="71" t="s">
        <x:v>67</x:v>
      </x:c>
    </x:row>
    <x:row r="156" spans="1:11" ht="15.75" customHeight="1" x14ac:dyDescent="0.2">
      <x:c r="B156" s="14">
        <x:v>152</x:v>
      </x:c>
      <x:c r="C156" s="41">
        <x:f>+Puantaj!A157</x:f>
      </x:c>
      <x:c r="D156" s="15">
        <x:f>+BORDRO!T157</x:f>
      </x:c>
      <x:c r="E156" s="41">
        <x:f>+Puantaj!D157</x:f>
      </x:c>
      <x:c r="F156" s="41">
        <x:f>+Puantaj!E157</x:f>
      </x:c>
      <x:c r="G156" s="13">
        <x:f>+Puantaj!C157</x:f>
      </x:c>
      <x:c r="H156" s="71" t="s">
        <x:v>67</x:v>
      </x:c>
    </x:row>
    <x:row r="157" spans="1:11" ht="15.75" customHeight="1" x14ac:dyDescent="0.2">
      <x:c r="B157" s="14">
        <x:v>153</x:v>
      </x:c>
      <x:c r="C157" s="41">
        <x:f>+Puantaj!A158</x:f>
      </x:c>
      <x:c r="D157" s="15">
        <x:f>+BORDRO!T158</x:f>
      </x:c>
      <x:c r="E157" s="41">
        <x:f>+Puantaj!D158</x:f>
      </x:c>
      <x:c r="F157" s="41">
        <x:f>+Puantaj!E158</x:f>
      </x:c>
      <x:c r="G157" s="13">
        <x:f>+Puantaj!C158</x:f>
      </x:c>
      <x:c r="H157" s="71" t="s">
        <x:v>67</x:v>
      </x:c>
    </x:row>
    <x:row r="158" spans="1:11" ht="15.75" customHeight="1" x14ac:dyDescent="0.2">
      <x:c r="B158" s="14">
        <x:v>154</x:v>
      </x:c>
      <x:c r="C158" s="41">
        <x:f>+Puantaj!A159</x:f>
      </x:c>
      <x:c r="D158" s="15">
        <x:f>+BORDRO!T159</x:f>
      </x:c>
      <x:c r="E158" s="41">
        <x:f>+Puantaj!D159</x:f>
      </x:c>
      <x:c r="F158" s="41">
        <x:f>+Puantaj!E159</x:f>
      </x:c>
      <x:c r="G158" s="13">
        <x:f>+Puantaj!C159</x:f>
      </x:c>
      <x:c r="H158" s="71" t="s">
        <x:v>67</x:v>
      </x:c>
    </x:row>
    <x:row r="159" spans="1:11" ht="15.75" customHeight="1" x14ac:dyDescent="0.2">
      <x:c r="B159" s="14">
        <x:v>155</x:v>
      </x:c>
      <x:c r="C159" s="41">
        <x:f>+Puantaj!A160</x:f>
      </x:c>
      <x:c r="D159" s="15">
        <x:f>+BORDRO!T160</x:f>
      </x:c>
      <x:c r="E159" s="41">
        <x:f>+Puantaj!D160</x:f>
      </x:c>
      <x:c r="F159" s="41">
        <x:f>+Puantaj!E160</x:f>
      </x:c>
      <x:c r="G159" s="13">
        <x:f>+Puantaj!C160</x:f>
      </x:c>
      <x:c r="H159" s="71" t="s">
        <x:v>67</x:v>
      </x:c>
    </x:row>
    <x:row r="160" spans="1:11" ht="15.75" customHeight="1" x14ac:dyDescent="0.2">
      <x:c r="B160" s="14">
        <x:v>156</x:v>
      </x:c>
      <x:c r="C160" s="41">
        <x:f>+Puantaj!A161</x:f>
      </x:c>
      <x:c r="D160" s="15">
        <x:f>+BORDRO!T161</x:f>
      </x:c>
      <x:c r="E160" s="41">
        <x:f>+Puantaj!D161</x:f>
      </x:c>
      <x:c r="F160" s="41">
        <x:f>+Puantaj!E161</x:f>
      </x:c>
      <x:c r="G160" s="13">
        <x:f>+Puantaj!C161</x:f>
      </x:c>
      <x:c r="H160" s="71" t="s">
        <x:v>67</x:v>
      </x:c>
    </x:row>
    <x:row r="161" spans="1:11" ht="15.75" customHeight="1" x14ac:dyDescent="0.2">
      <x:c r="B161" s="14">
        <x:v>157</x:v>
      </x:c>
      <x:c r="C161" s="41">
        <x:f>+Puantaj!A162</x:f>
      </x:c>
      <x:c r="D161" s="15">
        <x:f>+BORDRO!T162</x:f>
      </x:c>
      <x:c r="E161" s="41">
        <x:f>+Puantaj!D162</x:f>
      </x:c>
      <x:c r="F161" s="41">
        <x:f>+Puantaj!E162</x:f>
      </x:c>
      <x:c r="G161" s="13">
        <x:f>+Puantaj!C162</x:f>
      </x:c>
      <x:c r="H161" s="71" t="s">
        <x:v>67</x:v>
      </x:c>
    </x:row>
    <x:row r="162" spans="1:11" ht="15.75" customHeight="1" x14ac:dyDescent="0.2">
      <x:c r="B162" s="14">
        <x:v>158</x:v>
      </x:c>
      <x:c r="C162" s="41">
        <x:f>+Puantaj!A163</x:f>
      </x:c>
      <x:c r="D162" s="15">
        <x:f>+BORDRO!T163</x:f>
      </x:c>
      <x:c r="E162" s="41">
        <x:f>+Puantaj!D163</x:f>
      </x:c>
      <x:c r="F162" s="41">
        <x:f>+Puantaj!E163</x:f>
      </x:c>
      <x:c r="G162" s="13">
        <x:f>+Puantaj!C163</x:f>
      </x:c>
      <x:c r="H162" s="71" t="s">
        <x:v>67</x:v>
      </x:c>
    </x:row>
    <x:row r="163" spans="1:11" ht="15.75" customHeight="1" x14ac:dyDescent="0.2">
      <x:c r="B163" s="14">
        <x:v>159</x:v>
      </x:c>
      <x:c r="C163" s="41">
        <x:f>+Puantaj!A164</x:f>
      </x:c>
      <x:c r="D163" s="15">
        <x:f>+BORDRO!T164</x:f>
      </x:c>
      <x:c r="E163" s="41">
        <x:f>+Puantaj!D164</x:f>
      </x:c>
      <x:c r="F163" s="41">
        <x:f>+Puantaj!E164</x:f>
      </x:c>
      <x:c r="G163" s="13">
        <x:f>+Puantaj!C164</x:f>
      </x:c>
      <x:c r="H163" s="71" t="s">
        <x:v>67</x:v>
      </x:c>
    </x:row>
    <x:row r="164" spans="1:11" ht="15.75" customHeight="1" x14ac:dyDescent="0.2">
      <x:c r="B164" s="14">
        <x:v>160</x:v>
      </x:c>
      <x:c r="C164" s="41">
        <x:f>+Puantaj!A165</x:f>
      </x:c>
      <x:c r="D164" s="15">
        <x:f>+BORDRO!T165</x:f>
      </x:c>
      <x:c r="E164" s="41">
        <x:f>+Puantaj!D165</x:f>
      </x:c>
      <x:c r="F164" s="41">
        <x:f>+Puantaj!E165</x:f>
      </x:c>
      <x:c r="G164" s="13">
        <x:f>+Puantaj!C165</x:f>
      </x:c>
      <x:c r="H164" s="71" t="s">
        <x:v>67</x:v>
      </x:c>
    </x:row>
    <x:row r="165" spans="1:11" ht="15.75" customHeight="1" x14ac:dyDescent="0.2">
      <x:c r="B165" s="14">
        <x:v>161</x:v>
      </x:c>
      <x:c r="C165" s="41">
        <x:f>+Puantaj!A166</x:f>
      </x:c>
      <x:c r="D165" s="15">
        <x:f>+BORDRO!T166</x:f>
      </x:c>
      <x:c r="E165" s="41">
        <x:f>+Puantaj!D166</x:f>
      </x:c>
      <x:c r="F165" s="41">
        <x:f>+Puantaj!E166</x:f>
      </x:c>
      <x:c r="G165" s="13">
        <x:f>+Puantaj!C166</x:f>
      </x:c>
      <x:c r="H165" s="71" t="s">
        <x:v>67</x:v>
      </x:c>
    </x:row>
    <x:row r="166" spans="1:11" ht="15.75" customHeight="1" x14ac:dyDescent="0.2">
      <x:c r="B166" s="14">
        <x:v>162</x:v>
      </x:c>
      <x:c r="C166" s="41">
        <x:f>+Puantaj!A167</x:f>
      </x:c>
      <x:c r="D166" s="15">
        <x:f>+BORDRO!T167</x:f>
      </x:c>
      <x:c r="E166" s="41">
        <x:f>+Puantaj!D167</x:f>
      </x:c>
      <x:c r="F166" s="41">
        <x:f>+Puantaj!E167</x:f>
      </x:c>
      <x:c r="G166" s="13">
        <x:f>+Puantaj!C167</x:f>
      </x:c>
      <x:c r="H166" s="71" t="s">
        <x:v>67</x:v>
      </x:c>
    </x:row>
    <x:row r="167" spans="1:11" ht="15.75" customHeight="1" x14ac:dyDescent="0.2">
      <x:c r="B167" s="14">
        <x:v>163</x:v>
      </x:c>
      <x:c r="C167" s="41">
        <x:f>+Puantaj!A168</x:f>
      </x:c>
      <x:c r="D167" s="15">
        <x:f>+BORDRO!T168</x:f>
      </x:c>
      <x:c r="E167" s="41">
        <x:f>+Puantaj!D168</x:f>
      </x:c>
      <x:c r="F167" s="41">
        <x:f>+Puantaj!E168</x:f>
      </x:c>
      <x:c r="G167" s="13">
        <x:f>+Puantaj!C168</x:f>
      </x:c>
      <x:c r="H167" s="71" t="s">
        <x:v>67</x:v>
      </x:c>
    </x:row>
    <x:row r="168" spans="1:11" ht="15.75" customHeight="1" x14ac:dyDescent="0.2">
      <x:c r="B168" s="14">
        <x:v>164</x:v>
      </x:c>
      <x:c r="C168" s="41">
        <x:f>+Puantaj!A169</x:f>
      </x:c>
      <x:c r="D168" s="15">
        <x:f>+BORDRO!T169</x:f>
      </x:c>
      <x:c r="E168" s="41">
        <x:f>+Puantaj!D169</x:f>
      </x:c>
      <x:c r="F168" s="41">
        <x:f>+Puantaj!E169</x:f>
      </x:c>
      <x:c r="G168" s="13">
        <x:f>+Puantaj!C169</x:f>
      </x:c>
      <x:c r="H168" s="71" t="s">
        <x:v>67</x:v>
      </x:c>
    </x:row>
    <x:row r="169" spans="1:11" ht="15.75" customHeight="1" x14ac:dyDescent="0.2">
      <x:c r="B169" s="14">
        <x:v>165</x:v>
      </x:c>
      <x:c r="C169" s="41">
        <x:f>+Puantaj!A170</x:f>
      </x:c>
      <x:c r="D169" s="15">
        <x:f>+BORDRO!T170</x:f>
      </x:c>
      <x:c r="E169" s="41">
        <x:f>+Puantaj!D170</x:f>
      </x:c>
      <x:c r="F169" s="41">
        <x:f>+Puantaj!E170</x:f>
      </x:c>
      <x:c r="G169" s="13">
        <x:f>+Puantaj!C170</x:f>
      </x:c>
      <x:c r="H169" s="71" t="s">
        <x:v>67</x:v>
      </x:c>
    </x:row>
    <x:row r="170" spans="1:11" ht="15.75" customHeight="1" x14ac:dyDescent="0.2">
      <x:c r="B170" s="14">
        <x:v>166</x:v>
      </x:c>
      <x:c r="C170" s="41">
        <x:f>+Puantaj!A171</x:f>
      </x:c>
      <x:c r="D170" s="15">
        <x:f>+BORDRO!T171</x:f>
      </x:c>
      <x:c r="E170" s="41">
        <x:f>+Puantaj!D171</x:f>
      </x:c>
      <x:c r="F170" s="41">
        <x:f>+Puantaj!E171</x:f>
      </x:c>
      <x:c r="G170" s="13">
        <x:f>+Puantaj!C171</x:f>
      </x:c>
      <x:c r="H170" s="71" t="s">
        <x:v>67</x:v>
      </x:c>
    </x:row>
    <x:row r="171" spans="1:11" ht="15.75" customHeight="1" x14ac:dyDescent="0.2">
      <x:c r="B171" s="14">
        <x:v>167</x:v>
      </x:c>
      <x:c r="C171" s="41">
        <x:f>+Puantaj!A172</x:f>
      </x:c>
      <x:c r="D171" s="15">
        <x:f>+BORDRO!T172</x:f>
      </x:c>
      <x:c r="E171" s="41">
        <x:f>+Puantaj!D172</x:f>
      </x:c>
      <x:c r="F171" s="41">
        <x:f>+Puantaj!E172</x:f>
      </x:c>
      <x:c r="G171" s="13">
        <x:f>+Puantaj!C172</x:f>
      </x:c>
      <x:c r="H171" s="71" t="s">
        <x:v>67</x:v>
      </x:c>
    </x:row>
    <x:row r="172" spans="1:11" ht="15.75" customHeight="1" x14ac:dyDescent="0.2">
      <x:c r="B172" s="14">
        <x:v>168</x:v>
      </x:c>
      <x:c r="C172" s="41">
        <x:f>+Puantaj!A173</x:f>
      </x:c>
      <x:c r="D172" s="15">
        <x:f>+BORDRO!T173</x:f>
      </x:c>
      <x:c r="E172" s="41">
        <x:f>+Puantaj!D173</x:f>
      </x:c>
      <x:c r="F172" s="41">
        <x:f>+Puantaj!E173</x:f>
      </x:c>
      <x:c r="G172" s="13">
        <x:f>+Puantaj!C173</x:f>
      </x:c>
      <x:c r="H172" s="71" t="s">
        <x:v>67</x:v>
      </x:c>
    </x:row>
    <x:row r="173" spans="1:11" ht="15.75" customHeight="1" x14ac:dyDescent="0.2">
      <x:c r="B173" s="14">
        <x:v>169</x:v>
      </x:c>
      <x:c r="C173" s="41">
        <x:f>+Puantaj!A174</x:f>
      </x:c>
      <x:c r="D173" s="15">
        <x:f>+BORDRO!T174</x:f>
      </x:c>
      <x:c r="E173" s="41">
        <x:f>+Puantaj!D174</x:f>
      </x:c>
      <x:c r="F173" s="41">
        <x:f>+Puantaj!E174</x:f>
      </x:c>
      <x:c r="G173" s="13">
        <x:f>+Puantaj!C174</x:f>
      </x:c>
      <x:c r="H173" s="71" t="s">
        <x:v>67</x:v>
      </x:c>
    </x:row>
    <x:row r="174" spans="1:11" ht="15.75" customHeight="1" x14ac:dyDescent="0.2">
      <x:c r="B174" s="14">
        <x:v>170</x:v>
      </x:c>
      <x:c r="C174" s="41">
        <x:f>+Puantaj!A175</x:f>
      </x:c>
      <x:c r="D174" s="15">
        <x:f>+BORDRO!T175</x:f>
      </x:c>
      <x:c r="E174" s="41">
        <x:f>+Puantaj!D175</x:f>
      </x:c>
      <x:c r="F174" s="41">
        <x:f>+Puantaj!E175</x:f>
      </x:c>
      <x:c r="G174" s="13">
        <x:f>+Puantaj!C175</x:f>
      </x:c>
      <x:c r="H174" s="71" t="s">
        <x:v>67</x:v>
      </x:c>
    </x:row>
    <x:row r="175" spans="1:11" ht="15.75" customHeight="1" x14ac:dyDescent="0.2">
      <x:c r="B175" s="14">
        <x:v>171</x:v>
      </x:c>
      <x:c r="C175" s="41">
        <x:f>+Puantaj!A176</x:f>
      </x:c>
      <x:c r="D175" s="15">
        <x:f>+BORDRO!T176</x:f>
      </x:c>
      <x:c r="E175" s="41">
        <x:f>+Puantaj!D176</x:f>
      </x:c>
      <x:c r="F175" s="41">
        <x:f>+Puantaj!E176</x:f>
      </x:c>
      <x:c r="G175" s="13">
        <x:f>+Puantaj!C176</x:f>
      </x:c>
      <x:c r="H175" s="71" t="s">
        <x:v>67</x:v>
      </x:c>
    </x:row>
    <x:row r="176" spans="1:11" ht="15.75" customHeight="1" x14ac:dyDescent="0.2">
      <x:c r="B176" s="14">
        <x:v>172</x:v>
      </x:c>
      <x:c r="C176" s="41">
        <x:f>+Puantaj!A177</x:f>
      </x:c>
      <x:c r="D176" s="15">
        <x:f>+BORDRO!T177</x:f>
      </x:c>
      <x:c r="E176" s="41">
        <x:f>+Puantaj!D177</x:f>
      </x:c>
      <x:c r="F176" s="41">
        <x:f>+Puantaj!E177</x:f>
      </x:c>
      <x:c r="G176" s="13">
        <x:f>+Puantaj!C177</x:f>
      </x:c>
      <x:c r="H176" s="71" t="s">
        <x:v>67</x:v>
      </x:c>
    </x:row>
    <x:row r="177" spans="1:11" ht="15.75" customHeight="1" x14ac:dyDescent="0.2">
      <x:c r="B177" s="14">
        <x:v>173</x:v>
      </x:c>
      <x:c r="C177" s="41">
        <x:f>+Puantaj!A178</x:f>
      </x:c>
      <x:c r="D177" s="15">
        <x:f>+BORDRO!T178</x:f>
      </x:c>
      <x:c r="E177" s="41">
        <x:f>+Puantaj!D178</x:f>
      </x:c>
      <x:c r="F177" s="41">
        <x:f>+Puantaj!E178</x:f>
      </x:c>
      <x:c r="G177" s="13">
        <x:f>+Puantaj!C178</x:f>
      </x:c>
      <x:c r="H177" s="71" t="s">
        <x:v>67</x:v>
      </x:c>
    </x:row>
    <x:row r="178" spans="1:11" ht="15.75" customHeight="1" x14ac:dyDescent="0.2">
      <x:c r="B178" s="14">
        <x:v>174</x:v>
      </x:c>
      <x:c r="C178" s="41">
        <x:f>+Puantaj!A179</x:f>
      </x:c>
      <x:c r="D178" s="15">
        <x:f>+BORDRO!T179</x:f>
      </x:c>
      <x:c r="E178" s="41">
        <x:f>+Puantaj!D179</x:f>
      </x:c>
      <x:c r="F178" s="41">
        <x:f>+Puantaj!E179</x:f>
      </x:c>
      <x:c r="G178" s="13">
        <x:f>+Puantaj!C179</x:f>
      </x:c>
      <x:c r="H178" s="71" t="s">
        <x:v>67</x:v>
      </x:c>
    </x:row>
    <x:row r="179" spans="1:11" ht="15.75" customHeight="1" x14ac:dyDescent="0.2">
      <x:c r="B179" s="14">
        <x:v>175</x:v>
      </x:c>
      <x:c r="C179" s="41">
        <x:f>+Puantaj!A180</x:f>
      </x:c>
      <x:c r="D179" s="15">
        <x:f>+BORDRO!T180</x:f>
      </x:c>
      <x:c r="E179" s="41">
        <x:f>+Puantaj!D180</x:f>
      </x:c>
      <x:c r="F179" s="41">
        <x:f>+Puantaj!E180</x:f>
      </x:c>
      <x:c r="G179" s="13">
        <x:f>+Puantaj!C180</x:f>
      </x:c>
      <x:c r="H179" s="71" t="s">
        <x:v>67</x:v>
      </x:c>
    </x:row>
    <x:row r="180" spans="1:11" ht="15.75" customHeight="1" x14ac:dyDescent="0.2">
      <x:c r="B180" s="14">
        <x:v>176</x:v>
      </x:c>
      <x:c r="C180" s="41">
        <x:f>+Puantaj!A181</x:f>
      </x:c>
      <x:c r="D180" s="15">
        <x:f>+BORDRO!T181</x:f>
      </x:c>
      <x:c r="E180" s="41">
        <x:f>+Puantaj!D181</x:f>
      </x:c>
      <x:c r="F180" s="41">
        <x:f>+Puantaj!E181</x:f>
      </x:c>
      <x:c r="G180" s="13">
        <x:f>+Puantaj!C181</x:f>
      </x:c>
      <x:c r="H180" s="71" t="s">
        <x:v>67</x:v>
      </x:c>
    </x:row>
    <x:row r="181" spans="1:11" ht="15.75" customHeight="1" x14ac:dyDescent="0.2">
      <x:c r="B181" s="14">
        <x:v>177</x:v>
      </x:c>
      <x:c r="C181" s="41">
        <x:f>+Puantaj!A182</x:f>
      </x:c>
      <x:c r="D181" s="15">
        <x:f>+BORDRO!T182</x:f>
      </x:c>
      <x:c r="E181" s="41">
        <x:f>+Puantaj!D182</x:f>
      </x:c>
      <x:c r="F181" s="41">
        <x:f>+Puantaj!E182</x:f>
      </x:c>
      <x:c r="G181" s="13">
        <x:f>+Puantaj!C182</x:f>
      </x:c>
      <x:c r="H181" s="71" t="s">
        <x:v>67</x:v>
      </x:c>
    </x:row>
    <x:row r="182" spans="1:11" ht="15.75" customHeight="1" x14ac:dyDescent="0.2">
      <x:c r="B182" s="14">
        <x:v>178</x:v>
      </x:c>
      <x:c r="C182" s="41">
        <x:f>+Puantaj!A183</x:f>
      </x:c>
      <x:c r="D182" s="15">
        <x:f>+BORDRO!T183</x:f>
      </x:c>
      <x:c r="E182" s="41">
        <x:f>+Puantaj!D183</x:f>
      </x:c>
      <x:c r="F182" s="41">
        <x:f>+Puantaj!E183</x:f>
      </x:c>
      <x:c r="G182" s="13">
        <x:f>+Puantaj!C183</x:f>
      </x:c>
      <x:c r="H182" s="71" t="s">
        <x:v>67</x:v>
      </x:c>
    </x:row>
    <x:row r="183" spans="1:11" ht="15.75" customHeight="1" x14ac:dyDescent="0.2">
      <x:c r="B183" s="14">
        <x:v>179</x:v>
      </x:c>
      <x:c r="C183" s="41">
        <x:f>+Puantaj!A184</x:f>
      </x:c>
      <x:c r="D183" s="15">
        <x:f>+BORDRO!T184</x:f>
      </x:c>
      <x:c r="E183" s="41">
        <x:f>+Puantaj!D184</x:f>
      </x:c>
      <x:c r="F183" s="41">
        <x:f>+Puantaj!E184</x:f>
      </x:c>
      <x:c r="G183" s="13">
        <x:f>+Puantaj!C184</x:f>
      </x:c>
      <x:c r="H183" s="71" t="s">
        <x:v>67</x:v>
      </x:c>
    </x:row>
    <x:row r="184" spans="1:11" ht="15.75" customHeight="1" x14ac:dyDescent="0.2">
      <x:c r="B184" s="14">
        <x:v>180</x:v>
      </x:c>
      <x:c r="C184" s="41">
        <x:f>+Puantaj!A185</x:f>
      </x:c>
      <x:c r="D184" s="15">
        <x:f>+BORDRO!T185</x:f>
      </x:c>
      <x:c r="E184" s="41">
        <x:f>+Puantaj!D185</x:f>
      </x:c>
      <x:c r="F184" s="41">
        <x:f>+Puantaj!E185</x:f>
      </x:c>
      <x:c r="G184" s="13">
        <x:f>+Puantaj!C185</x:f>
      </x:c>
      <x:c r="H184" s="71" t="s">
        <x:v>67</x:v>
      </x:c>
    </x:row>
    <x:row r="185" spans="1:11" ht="15.75" customHeight="1" x14ac:dyDescent="0.2">
      <x:c r="B185" s="14">
        <x:v>181</x:v>
      </x:c>
      <x:c r="C185" s="41">
        <x:f>+Puantaj!A186</x:f>
      </x:c>
      <x:c r="D185" s="15">
        <x:f>+BORDRO!T186</x:f>
      </x:c>
      <x:c r="E185" s="41">
        <x:f>+Puantaj!D186</x:f>
      </x:c>
      <x:c r="F185" s="41">
        <x:f>+Puantaj!E186</x:f>
      </x:c>
      <x:c r="G185" s="13">
        <x:f>+Puantaj!C186</x:f>
      </x:c>
      <x:c r="H185" s="71" t="s">
        <x:v>67</x:v>
      </x:c>
    </x:row>
    <x:row r="186" spans="1:11" ht="15.75" customHeight="1" x14ac:dyDescent="0.2">
      <x:c r="B186" s="14">
        <x:v>182</x:v>
      </x:c>
      <x:c r="C186" s="41">
        <x:f>+Puantaj!A187</x:f>
      </x:c>
      <x:c r="D186" s="15">
        <x:f>+BORDRO!T187</x:f>
      </x:c>
      <x:c r="E186" s="41">
        <x:f>+Puantaj!D187</x:f>
      </x:c>
      <x:c r="F186" s="41">
        <x:f>+Puantaj!E187</x:f>
      </x:c>
      <x:c r="G186" s="13">
        <x:f>+Puantaj!C187</x:f>
      </x:c>
      <x:c r="H186" s="71" t="s">
        <x:v>67</x:v>
      </x:c>
    </x:row>
    <x:row r="187" spans="1:11" ht="15.75" customHeight="1" x14ac:dyDescent="0.2">
      <x:c r="B187" s="14">
        <x:v>183</x:v>
      </x:c>
      <x:c r="C187" s="41">
        <x:f>+Puantaj!A188</x:f>
      </x:c>
      <x:c r="D187" s="15">
        <x:f>+BORDRO!T188</x:f>
      </x:c>
      <x:c r="E187" s="41">
        <x:f>+Puantaj!D188</x:f>
      </x:c>
      <x:c r="F187" s="41">
        <x:f>+Puantaj!E188</x:f>
      </x:c>
      <x:c r="G187" s="13">
        <x:f>+Puantaj!C188</x:f>
      </x:c>
      <x:c r="H187" s="71" t="s">
        <x:v>67</x:v>
      </x:c>
    </x:row>
    <x:row r="188" spans="1:11" ht="15.75" customHeight="1" x14ac:dyDescent="0.2">
      <x:c r="B188" s="14">
        <x:v>184</x:v>
      </x:c>
      <x:c r="C188" s="41">
        <x:f>+Puantaj!A189</x:f>
      </x:c>
      <x:c r="D188" s="15">
        <x:f>+BORDRO!T189</x:f>
      </x:c>
      <x:c r="E188" s="41">
        <x:f>+Puantaj!D189</x:f>
      </x:c>
      <x:c r="F188" s="41">
        <x:f>+Puantaj!E189</x:f>
      </x:c>
      <x:c r="G188" s="13">
        <x:f>+Puantaj!C189</x:f>
      </x:c>
      <x:c r="H188" s="71" t="s">
        <x:v>67</x:v>
      </x:c>
    </x:row>
    <x:row r="189" spans="1:11" ht="15.75" customHeight="1" x14ac:dyDescent="0.2">
      <x:c r="B189" s="14">
        <x:v>185</x:v>
      </x:c>
      <x:c r="C189" s="41">
        <x:f>+Puantaj!A190</x:f>
      </x:c>
      <x:c r="D189" s="15">
        <x:f>+BORDRO!T190</x:f>
      </x:c>
      <x:c r="E189" s="41">
        <x:f>+Puantaj!D190</x:f>
      </x:c>
      <x:c r="F189" s="41">
        <x:f>+Puantaj!E190</x:f>
      </x:c>
      <x:c r="G189" s="13">
        <x:f>+Puantaj!C190</x:f>
      </x:c>
      <x:c r="H189" s="71" t="s">
        <x:v>67</x:v>
      </x:c>
    </x:row>
    <x:row r="190" spans="1:11" ht="15.75" customHeight="1" x14ac:dyDescent="0.2">
      <x:c r="B190" s="14">
        <x:v>186</x:v>
      </x:c>
      <x:c r="C190" s="41">
        <x:f>+Puantaj!A191</x:f>
      </x:c>
      <x:c r="D190" s="15">
        <x:f>+BORDRO!T191</x:f>
      </x:c>
      <x:c r="E190" s="41">
        <x:f>+Puantaj!D191</x:f>
      </x:c>
      <x:c r="F190" s="41">
        <x:f>+Puantaj!E191</x:f>
      </x:c>
      <x:c r="G190" s="13">
        <x:f>+Puantaj!C191</x:f>
      </x:c>
      <x:c r="H190" s="71" t="s">
        <x:v>67</x:v>
      </x:c>
    </x:row>
    <x:row r="191" spans="1:11" ht="15.75" customHeight="1" x14ac:dyDescent="0.2">
      <x:c r="B191" s="14">
        <x:v>187</x:v>
      </x:c>
      <x:c r="C191" s="41">
        <x:f>+Puantaj!A192</x:f>
      </x:c>
      <x:c r="D191" s="15">
        <x:f>+BORDRO!T192</x:f>
      </x:c>
      <x:c r="E191" s="41">
        <x:f>+Puantaj!D192</x:f>
      </x:c>
      <x:c r="F191" s="41">
        <x:f>+Puantaj!E192</x:f>
      </x:c>
      <x:c r="G191" s="13">
        <x:f>+Puantaj!C192</x:f>
      </x:c>
      <x:c r="H191" s="71" t="s">
        <x:v>67</x:v>
      </x:c>
    </x:row>
    <x:row r="192" spans="1:11" ht="15.75" customHeight="1" x14ac:dyDescent="0.2">
      <x:c r="B192" s="14">
        <x:v>188</x:v>
      </x:c>
      <x:c r="C192" s="41">
        <x:f>+Puantaj!A193</x:f>
      </x:c>
      <x:c r="D192" s="15">
        <x:f>+BORDRO!T193</x:f>
      </x:c>
      <x:c r="E192" s="41">
        <x:f>+Puantaj!D193</x:f>
      </x:c>
      <x:c r="F192" s="41">
        <x:f>+Puantaj!E193</x:f>
      </x:c>
      <x:c r="G192" s="13">
        <x:f>+Puantaj!C193</x:f>
      </x:c>
      <x:c r="H192" s="71" t="s">
        <x:v>67</x:v>
      </x:c>
    </x:row>
    <x:row r="193" spans="1:11" ht="15.75" customHeight="1" x14ac:dyDescent="0.2">
      <x:c r="B193" s="14">
        <x:v>189</x:v>
      </x:c>
      <x:c r="C193" s="41">
        <x:f>+Puantaj!A194</x:f>
      </x:c>
      <x:c r="D193" s="15">
        <x:f>+BORDRO!T194</x:f>
      </x:c>
      <x:c r="E193" s="41">
        <x:f>+Puantaj!D194</x:f>
      </x:c>
      <x:c r="F193" s="41">
        <x:f>+Puantaj!E194</x:f>
      </x:c>
      <x:c r="G193" s="13">
        <x:f>+Puantaj!C194</x:f>
      </x:c>
      <x:c r="H193" s="71" t="s">
        <x:v>67</x:v>
      </x:c>
    </x:row>
    <x:row r="194" spans="1:11" ht="15.75" customHeight="1" x14ac:dyDescent="0.2">
      <x:c r="B194" s="14">
        <x:v>190</x:v>
      </x:c>
      <x:c r="C194" s="41">
        <x:f>+Puantaj!A195</x:f>
      </x:c>
      <x:c r="D194" s="15">
        <x:f>+BORDRO!T195</x:f>
      </x:c>
      <x:c r="E194" s="41">
        <x:f>+Puantaj!D195</x:f>
      </x:c>
      <x:c r="F194" s="41">
        <x:f>+Puantaj!E195</x:f>
      </x:c>
      <x:c r="G194" s="13">
        <x:f>+Puantaj!C195</x:f>
      </x:c>
      <x:c r="H194" s="71" t="s">
        <x:v>67</x:v>
      </x:c>
    </x:row>
    <x:row r="195" spans="1:11" ht="15.75" customHeight="1" x14ac:dyDescent="0.2">
      <x:c r="B195" s="14">
        <x:v>191</x:v>
      </x:c>
      <x:c r="C195" s="41">
        <x:f>+Puantaj!A196</x:f>
      </x:c>
      <x:c r="D195" s="15">
        <x:f>+BORDRO!T196</x:f>
      </x:c>
      <x:c r="E195" s="41">
        <x:f>+Puantaj!D196</x:f>
      </x:c>
      <x:c r="F195" s="41">
        <x:f>+Puantaj!E196</x:f>
      </x:c>
      <x:c r="G195" s="13">
        <x:f>+Puantaj!C196</x:f>
      </x:c>
      <x:c r="H195" s="71" t="s">
        <x:v>67</x:v>
      </x:c>
    </x:row>
    <x:row r="196" spans="1:11" ht="15.75" customHeight="1" x14ac:dyDescent="0.2">
      <x:c r="B196" s="14">
        <x:v>192</x:v>
      </x:c>
      <x:c r="C196" s="41">
        <x:f>+Puantaj!A197</x:f>
      </x:c>
      <x:c r="D196" s="15">
        <x:f>+BORDRO!T197</x:f>
      </x:c>
      <x:c r="E196" s="41">
        <x:f>+Puantaj!D197</x:f>
      </x:c>
      <x:c r="F196" s="41">
        <x:f>+Puantaj!E197</x:f>
      </x:c>
      <x:c r="G196" s="13">
        <x:f>+Puantaj!C197</x:f>
      </x:c>
      <x:c r="H196" s="71" t="s">
        <x:v>67</x:v>
      </x:c>
    </x:row>
    <x:row r="197" spans="1:11" ht="15.75" customHeight="1" x14ac:dyDescent="0.2">
      <x:c r="B197" s="14">
        <x:v>193</x:v>
      </x:c>
      <x:c r="C197" s="41">
        <x:f>+Puantaj!A198</x:f>
      </x:c>
      <x:c r="D197" s="15">
        <x:f>+BORDRO!T198</x:f>
      </x:c>
      <x:c r="E197" s="41">
        <x:f>+Puantaj!D198</x:f>
      </x:c>
      <x:c r="F197" s="41">
        <x:f>+Puantaj!E198</x:f>
      </x:c>
      <x:c r="G197" s="13">
        <x:f>+Puantaj!C198</x:f>
      </x:c>
      <x:c r="H197" s="71" t="s">
        <x:v>67</x:v>
      </x:c>
    </x:row>
    <x:row r="198" spans="1:11" ht="15.75" customHeight="1" x14ac:dyDescent="0.2">
      <x:c r="B198" s="14">
        <x:v>194</x:v>
      </x:c>
      <x:c r="C198" s="41">
        <x:f>+Puantaj!A199</x:f>
      </x:c>
      <x:c r="D198" s="15">
        <x:f>+BORDRO!T199</x:f>
      </x:c>
      <x:c r="E198" s="41">
        <x:f>+Puantaj!D199</x:f>
      </x:c>
      <x:c r="F198" s="41">
        <x:f>+Puantaj!E199</x:f>
      </x:c>
      <x:c r="G198" s="13">
        <x:f>+Puantaj!C199</x:f>
      </x:c>
      <x:c r="H198" s="71" t="s">
        <x:v>67</x:v>
      </x:c>
    </x:row>
    <x:row r="199" spans="1:11" ht="15.75" customHeight="1" x14ac:dyDescent="0.2">
      <x:c r="B199" s="14">
        <x:v>195</x:v>
      </x:c>
      <x:c r="C199" s="41">
        <x:f>+Puantaj!A200</x:f>
      </x:c>
      <x:c r="D199" s="15">
        <x:f>+BORDRO!T200</x:f>
      </x:c>
      <x:c r="E199" s="41">
        <x:f>+Puantaj!D200</x:f>
      </x:c>
      <x:c r="F199" s="41">
        <x:f>+Puantaj!E200</x:f>
      </x:c>
      <x:c r="G199" s="13">
        <x:f>+Puantaj!C200</x:f>
      </x:c>
      <x:c r="H199" s="71" t="s">
        <x:v>67</x:v>
      </x:c>
    </x:row>
    <x:row r="200" spans="1:11" ht="15.75" customHeight="1" x14ac:dyDescent="0.2">
      <x:c r="B200" s="14">
        <x:v>196</x:v>
      </x:c>
      <x:c r="C200" s="41">
        <x:f>+Puantaj!A201</x:f>
      </x:c>
      <x:c r="D200" s="15">
        <x:f>+BORDRO!T201</x:f>
      </x:c>
      <x:c r="E200" s="41">
        <x:f>+Puantaj!D201</x:f>
      </x:c>
      <x:c r="F200" s="41">
        <x:f>+Puantaj!E201</x:f>
      </x:c>
      <x:c r="G200" s="13">
        <x:f>+Puantaj!C201</x:f>
      </x:c>
      <x:c r="H200" s="71" t="s">
        <x:v>67</x:v>
      </x:c>
    </x:row>
    <x:row r="201" spans="1:11" ht="15.75" customHeight="1" x14ac:dyDescent="0.2">
      <x:c r="B201" s="14">
        <x:v>197</x:v>
      </x:c>
      <x:c r="C201" s="41">
        <x:f>+Puantaj!A202</x:f>
      </x:c>
      <x:c r="D201" s="15">
        <x:f>+BORDRO!T202</x:f>
      </x:c>
      <x:c r="E201" s="41">
        <x:f>+Puantaj!D202</x:f>
      </x:c>
      <x:c r="F201" s="41">
        <x:f>+Puantaj!E202</x:f>
      </x:c>
      <x:c r="G201" s="13">
        <x:f>+Puantaj!C202</x:f>
      </x:c>
      <x:c r="H201" s="71" t="s">
        <x:v>67</x:v>
      </x:c>
    </x:row>
    <x:row r="202" spans="1:11" ht="15.75" customHeight="1" x14ac:dyDescent="0.2">
      <x:c r="B202" s="14">
        <x:v>198</x:v>
      </x:c>
      <x:c r="C202" s="41">
        <x:f>+Puantaj!A203</x:f>
      </x:c>
      <x:c r="D202" s="15">
        <x:f>+BORDRO!T203</x:f>
      </x:c>
      <x:c r="E202" s="41">
        <x:f>+Puantaj!D203</x:f>
      </x:c>
      <x:c r="F202" s="41">
        <x:f>+Puantaj!E203</x:f>
      </x:c>
      <x:c r="G202" s="13">
        <x:f>+Puantaj!C203</x:f>
      </x:c>
      <x:c r="H202" s="71" t="s">
        <x:v>67</x:v>
      </x:c>
    </x:row>
    <x:row r="203" spans="1:11" ht="15.75" customHeight="1" x14ac:dyDescent="0.2">
      <x:c r="B203" s="14">
        <x:v>199</x:v>
      </x:c>
      <x:c r="C203" s="41">
        <x:f>+Puantaj!A204</x:f>
      </x:c>
      <x:c r="D203" s="15">
        <x:f>+BORDRO!T204</x:f>
      </x:c>
      <x:c r="E203" s="41">
        <x:f>+Puantaj!D204</x:f>
      </x:c>
      <x:c r="F203" s="41">
        <x:f>+Puantaj!E204</x:f>
      </x:c>
      <x:c r="G203" s="13">
        <x:f>+Puantaj!C204</x:f>
      </x:c>
      <x:c r="H203" s="71" t="s">
        <x:v>67</x:v>
      </x:c>
    </x:row>
    <x:row r="204" spans="1:11" ht="15.75" customHeight="1" x14ac:dyDescent="0.2">
      <x:c r="B204" s="14">
        <x:v>200</x:v>
      </x:c>
      <x:c r="C204" s="41">
        <x:f>+Puantaj!A205</x:f>
      </x:c>
      <x:c r="D204" s="15">
        <x:f>+BORDRO!T205</x:f>
      </x:c>
      <x:c r="E204" s="41">
        <x:f>+Puantaj!D205</x:f>
      </x:c>
      <x:c r="F204" s="41">
        <x:f>+Puantaj!E205</x:f>
      </x:c>
      <x:c r="G204" s="13">
        <x:f>+Puantaj!C205</x:f>
      </x:c>
      <x:c r="H204" s="71" t="s">
        <x:v>67</x:v>
      </x:c>
    </x:row>
    <x:row r="205" spans="1:11" ht="15.75" customHeight="1" x14ac:dyDescent="0.2">
      <x:c r="B205" s="14">
        <x:v>201</x:v>
      </x:c>
      <x:c r="C205" s="41">
        <x:f>+Puantaj!A206</x:f>
      </x:c>
      <x:c r="D205" s="15">
        <x:f>+BORDRO!T206</x:f>
      </x:c>
      <x:c r="E205" s="41">
        <x:f>+Puantaj!D206</x:f>
      </x:c>
      <x:c r="F205" s="41">
        <x:f>+Puantaj!E206</x:f>
      </x:c>
      <x:c r="G205" s="13">
        <x:f>+Puantaj!C206</x:f>
      </x:c>
      <x:c r="H205" s="71" t="s">
        <x:v>67</x:v>
      </x:c>
    </x:row>
    <x:row r="206" spans="1:11" ht="15.75" customHeight="1" x14ac:dyDescent="0.2">
      <x:c r="B206" s="14">
        <x:v>202</x:v>
      </x:c>
      <x:c r="C206" s="41">
        <x:f>+Puantaj!A207</x:f>
      </x:c>
      <x:c r="D206" s="15">
        <x:f>+BORDRO!T207</x:f>
      </x:c>
      <x:c r="E206" s="41">
        <x:f>+Puantaj!D207</x:f>
      </x:c>
      <x:c r="F206" s="41">
        <x:f>+Puantaj!E207</x:f>
      </x:c>
      <x:c r="G206" s="13">
        <x:f>+Puantaj!C207</x:f>
      </x:c>
      <x:c r="H206" s="71" t="s">
        <x:v>67</x:v>
      </x:c>
    </x:row>
    <x:row r="207" spans="1:11" ht="15.75" customHeight="1" x14ac:dyDescent="0.2">
      <x:c r="B207" s="14">
        <x:v>203</x:v>
      </x:c>
      <x:c r="C207" s="41">
        <x:f>+Puantaj!A208</x:f>
      </x:c>
      <x:c r="D207" s="15">
        <x:f>+BORDRO!T208</x:f>
      </x:c>
      <x:c r="E207" s="41">
        <x:f>+Puantaj!D208</x:f>
      </x:c>
      <x:c r="F207" s="41">
        <x:f>+Puantaj!E208</x:f>
      </x:c>
      <x:c r="G207" s="13">
        <x:f>+Puantaj!C208</x:f>
      </x:c>
      <x:c r="H207" s="71" t="s">
        <x:v>67</x:v>
      </x:c>
    </x:row>
    <x:row r="208" spans="1:11" ht="15.75" customHeight="1" x14ac:dyDescent="0.2">
      <x:c r="B208" s="14">
        <x:v>204</x:v>
      </x:c>
      <x:c r="C208" s="41">
        <x:f>+Puantaj!A209</x:f>
      </x:c>
      <x:c r="D208" s="15">
        <x:f>+BORDRO!T209</x:f>
      </x:c>
      <x:c r="E208" s="41">
        <x:f>+Puantaj!D209</x:f>
      </x:c>
      <x:c r="F208" s="41">
        <x:f>+Puantaj!E209</x:f>
      </x:c>
      <x:c r="G208" s="13">
        <x:f>+Puantaj!C209</x:f>
      </x:c>
      <x:c r="H208" s="71" t="s">
        <x:v>67</x:v>
      </x:c>
    </x:row>
    <x:row r="209" spans="1:11" ht="15.75" customHeight="1" x14ac:dyDescent="0.2">
      <x:c r="B209" s="14">
        <x:v>205</x:v>
      </x:c>
      <x:c r="C209" s="41">
        <x:f>+Puantaj!A210</x:f>
      </x:c>
      <x:c r="D209" s="15">
        <x:f>+BORDRO!T210</x:f>
      </x:c>
      <x:c r="E209" s="41">
        <x:f>+Puantaj!D210</x:f>
      </x:c>
      <x:c r="F209" s="41">
        <x:f>+Puantaj!E210</x:f>
      </x:c>
      <x:c r="G209" s="13">
        <x:f>+Puantaj!C210</x:f>
      </x:c>
      <x:c r="H209" s="71" t="s">
        <x:v>67</x:v>
      </x:c>
    </x:row>
    <x:row r="210" spans="1:11" ht="15.75" customHeight="1" x14ac:dyDescent="0.2">
      <x:c r="B210" s="14">
        <x:v>206</x:v>
      </x:c>
      <x:c r="C210" s="41">
        <x:f>+Puantaj!A211</x:f>
      </x:c>
      <x:c r="D210" s="15">
        <x:f>+BORDRO!T211</x:f>
      </x:c>
      <x:c r="E210" s="41">
        <x:f>+Puantaj!D211</x:f>
      </x:c>
      <x:c r="F210" s="41">
        <x:f>+Puantaj!E211</x:f>
      </x:c>
      <x:c r="G210" s="13">
        <x:f>+Puantaj!C211</x:f>
      </x:c>
      <x:c r="H210" s="71" t="s">
        <x:v>67</x:v>
      </x:c>
    </x:row>
    <x:row r="211" spans="1:11" ht="15.75" customHeight="1" x14ac:dyDescent="0.2">
      <x:c r="B211" s="14">
        <x:v>207</x:v>
      </x:c>
      <x:c r="C211" s="41">
        <x:f>+Puantaj!A212</x:f>
      </x:c>
      <x:c r="D211" s="15">
        <x:f>+BORDRO!T212</x:f>
      </x:c>
      <x:c r="E211" s="41">
        <x:f>+Puantaj!D212</x:f>
      </x:c>
      <x:c r="F211" s="41">
        <x:f>+Puantaj!E212</x:f>
      </x:c>
      <x:c r="G211" s="13">
        <x:f>+Puantaj!C212</x:f>
      </x:c>
      <x:c r="H211" s="71" t="s">
        <x:v>67</x:v>
      </x:c>
    </x:row>
    <x:row r="212" spans="1:11" ht="15.75" customHeight="1" x14ac:dyDescent="0.2">
      <x:c r="B212" s="14">
        <x:v>208</x:v>
      </x:c>
      <x:c r="C212" s="41">
        <x:f>+Puantaj!A213</x:f>
      </x:c>
      <x:c r="D212" s="15">
        <x:f>+BORDRO!T213</x:f>
      </x:c>
      <x:c r="E212" s="41">
        <x:f>+Puantaj!D213</x:f>
      </x:c>
      <x:c r="F212" s="41">
        <x:f>+Puantaj!E213</x:f>
      </x:c>
      <x:c r="G212" s="13">
        <x:f>+Puantaj!C213</x:f>
      </x:c>
      <x:c r="H212" s="71" t="s">
        <x:v>67</x:v>
      </x:c>
    </x:row>
    <x:row r="213" spans="1:11" ht="15.75" customHeight="1" x14ac:dyDescent="0.2">
      <x:c r="B213" s="14">
        <x:v>209</x:v>
      </x:c>
      <x:c r="C213" s="41">
        <x:f>+Puantaj!A214</x:f>
      </x:c>
      <x:c r="D213" s="15">
        <x:f>+BORDRO!T214</x:f>
      </x:c>
      <x:c r="E213" s="41">
        <x:f>+Puantaj!D214</x:f>
      </x:c>
      <x:c r="F213" s="41">
        <x:f>+Puantaj!E214</x:f>
      </x:c>
      <x:c r="G213" s="13">
        <x:f>+Puantaj!C214</x:f>
      </x:c>
      <x:c r="H213" s="71" t="s">
        <x:v>67</x:v>
      </x:c>
    </x:row>
    <x:row r="214" spans="1:11" ht="15.75" customHeight="1" x14ac:dyDescent="0.2">
      <x:c r="B214" s="14">
        <x:v>210</x:v>
      </x:c>
      <x:c r="C214" s="41">
        <x:f>+Puantaj!A215</x:f>
      </x:c>
      <x:c r="D214" s="15">
        <x:f>+BORDRO!T215</x:f>
      </x:c>
      <x:c r="E214" s="41">
        <x:f>+Puantaj!D215</x:f>
      </x:c>
      <x:c r="F214" s="41">
        <x:f>+Puantaj!E215</x:f>
      </x:c>
      <x:c r="G214" s="13">
        <x:f>+Puantaj!C215</x:f>
      </x:c>
      <x:c r="H214" s="71" t="s">
        <x:v>67</x:v>
      </x:c>
    </x:row>
    <x:row r="215" spans="1:11" ht="15.75" customHeight="1" x14ac:dyDescent="0.2">
      <x:c r="B215" s="14">
        <x:v>211</x:v>
      </x:c>
      <x:c r="C215" s="41">
        <x:f>+Puantaj!A216</x:f>
      </x:c>
      <x:c r="D215" s="15">
        <x:f>+BORDRO!T216</x:f>
      </x:c>
      <x:c r="E215" s="41">
        <x:f>+Puantaj!D216</x:f>
      </x:c>
      <x:c r="F215" s="41">
        <x:f>+Puantaj!E216</x:f>
      </x:c>
      <x:c r="G215" s="13">
        <x:f>+Puantaj!C216</x:f>
      </x:c>
      <x:c r="H215" s="71" t="s">
        <x:v>67</x:v>
      </x:c>
    </x:row>
    <x:row r="216" spans="1:11" ht="15.75" customHeight="1" x14ac:dyDescent="0.2">
      <x:c r="B216" s="14">
        <x:v>212</x:v>
      </x:c>
      <x:c r="C216" s="41">
        <x:f>+Puantaj!A217</x:f>
      </x:c>
      <x:c r="D216" s="15">
        <x:f>+BORDRO!T217</x:f>
      </x:c>
      <x:c r="E216" s="41">
        <x:f>+Puantaj!D217</x:f>
      </x:c>
      <x:c r="F216" s="41">
        <x:f>+Puantaj!E217</x:f>
      </x:c>
      <x:c r="G216" s="13">
        <x:f>+Puantaj!C217</x:f>
      </x:c>
      <x:c r="H216" s="71" t="s">
        <x:v>67</x:v>
      </x:c>
    </x:row>
    <x:row r="217" spans="1:11" ht="15.75" customHeight="1" x14ac:dyDescent="0.2">
      <x:c r="B217" s="14">
        <x:v>213</x:v>
      </x:c>
      <x:c r="C217" s="41">
        <x:f>+Puantaj!A218</x:f>
      </x:c>
      <x:c r="D217" s="15">
        <x:f>+BORDRO!T218</x:f>
      </x:c>
      <x:c r="E217" s="41">
        <x:f>+Puantaj!D218</x:f>
      </x:c>
      <x:c r="F217" s="41">
        <x:f>+Puantaj!E218</x:f>
      </x:c>
      <x:c r="G217" s="13">
        <x:f>+Puantaj!C218</x:f>
      </x:c>
      <x:c r="H217" s="71" t="s">
        <x:v>67</x:v>
      </x:c>
    </x:row>
    <x:row r="218" spans="1:11" ht="15.75" customHeight="1" x14ac:dyDescent="0.2">
      <x:c r="B218" s="14">
        <x:v>214</x:v>
      </x:c>
      <x:c r="C218" s="41">
        <x:f>+Puantaj!A219</x:f>
      </x:c>
      <x:c r="D218" s="15">
        <x:f>+BORDRO!T219</x:f>
      </x:c>
      <x:c r="E218" s="41">
        <x:f>+Puantaj!D219</x:f>
      </x:c>
      <x:c r="F218" s="41">
        <x:f>+Puantaj!E219</x:f>
      </x:c>
      <x:c r="G218" s="13">
        <x:f>+Puantaj!C219</x:f>
      </x:c>
      <x:c r="H218" s="71" t="s">
        <x:v>67</x:v>
      </x:c>
    </x:row>
    <x:row r="219" spans="1:11" ht="15.75" customHeight="1" x14ac:dyDescent="0.2">
      <x:c r="B219" s="14">
        <x:v>215</x:v>
      </x:c>
      <x:c r="C219" s="41">
        <x:f>+Puantaj!A220</x:f>
      </x:c>
      <x:c r="D219" s="15">
        <x:f>+BORDRO!T220</x:f>
      </x:c>
      <x:c r="E219" s="41">
        <x:f>+Puantaj!D220</x:f>
      </x:c>
      <x:c r="F219" s="41">
        <x:f>+Puantaj!E220</x:f>
      </x:c>
      <x:c r="G219" s="13">
        <x:f>+Puantaj!C220</x:f>
      </x:c>
      <x:c r="H219" s="71" t="s">
        <x:v>67</x:v>
      </x:c>
    </x:row>
    <x:row r="220" spans="1:11" ht="15.75" customHeight="1" x14ac:dyDescent="0.2">
      <x:c r="B220" s="14">
        <x:v>216</x:v>
      </x:c>
      <x:c r="C220" s="41">
        <x:f>+Puantaj!A221</x:f>
      </x:c>
      <x:c r="D220" s="15">
        <x:f>+BORDRO!T221</x:f>
      </x:c>
      <x:c r="E220" s="41">
        <x:f>+Puantaj!D221</x:f>
      </x:c>
      <x:c r="F220" s="41">
        <x:f>+Puantaj!E221</x:f>
      </x:c>
      <x:c r="G220" s="13">
        <x:f>+Puantaj!C221</x:f>
      </x:c>
      <x:c r="H220" s="71" t="s">
        <x:v>67</x:v>
      </x:c>
    </x:row>
    <x:row r="221" spans="1:11" ht="15.75" customHeight="1" x14ac:dyDescent="0.2">
      <x:c r="B221" s="14">
        <x:v>217</x:v>
      </x:c>
      <x:c r="C221" s="41">
        <x:f>+Puantaj!A222</x:f>
      </x:c>
      <x:c r="D221" s="15">
        <x:f>+BORDRO!T222</x:f>
      </x:c>
      <x:c r="E221" s="41">
        <x:f>+Puantaj!D222</x:f>
      </x:c>
      <x:c r="F221" s="41">
        <x:f>+Puantaj!E222</x:f>
      </x:c>
      <x:c r="G221" s="13">
        <x:f>+Puantaj!C222</x:f>
      </x:c>
      <x:c r="H221" s="71" t="s">
        <x:v>67</x:v>
      </x:c>
    </x:row>
    <x:row r="222" spans="1:11" ht="15.75" customHeight="1" x14ac:dyDescent="0.2">
      <x:c r="B222" s="14">
        <x:v>218</x:v>
      </x:c>
      <x:c r="C222" s="41">
        <x:f>+Puantaj!A223</x:f>
      </x:c>
      <x:c r="D222" s="15">
        <x:f>+BORDRO!T223</x:f>
      </x:c>
      <x:c r="E222" s="41">
        <x:f>+Puantaj!D223</x:f>
      </x:c>
      <x:c r="F222" s="41">
        <x:f>+Puantaj!E223</x:f>
      </x:c>
      <x:c r="G222" s="13">
        <x:f>+Puantaj!C223</x:f>
      </x:c>
      <x:c r="H222" s="71" t="s">
        <x:v>67</x:v>
      </x:c>
    </x:row>
    <x:row r="223" spans="1:11" ht="15.75" customHeight="1" x14ac:dyDescent="0.2">
      <x:c r="B223" s="14">
        <x:v>219</x:v>
      </x:c>
      <x:c r="C223" s="41">
        <x:f>+Puantaj!A224</x:f>
      </x:c>
      <x:c r="D223" s="15">
        <x:f>+BORDRO!T224</x:f>
      </x:c>
      <x:c r="E223" s="41">
        <x:f>+Puantaj!D224</x:f>
      </x:c>
      <x:c r="F223" s="41">
        <x:f>+Puantaj!E224</x:f>
      </x:c>
      <x:c r="G223" s="13">
        <x:f>+Puantaj!C224</x:f>
      </x:c>
      <x:c r="H223" s="71" t="s">
        <x:v>67</x:v>
      </x:c>
    </x:row>
    <x:row r="224" spans="1:11" ht="15.75" customHeight="1" x14ac:dyDescent="0.2">
      <x:c r="B224" s="14">
        <x:v>220</x:v>
      </x:c>
      <x:c r="C224" s="41">
        <x:f>+Puantaj!A225</x:f>
      </x:c>
      <x:c r="D224" s="15">
        <x:f>+BORDRO!T225</x:f>
      </x:c>
      <x:c r="E224" s="41">
        <x:f>+Puantaj!D225</x:f>
      </x:c>
      <x:c r="F224" s="41">
        <x:f>+Puantaj!E225</x:f>
      </x:c>
      <x:c r="G224" s="13">
        <x:f>+Puantaj!C225</x:f>
      </x:c>
      <x:c r="H224" s="71" t="s">
        <x:v>67</x:v>
      </x:c>
    </x:row>
    <x:row r="225" spans="1:11" ht="15.75" customHeight="1" x14ac:dyDescent="0.2">
      <x:c r="B225" s="14">
        <x:v>221</x:v>
      </x:c>
      <x:c r="C225" s="41">
        <x:f>+Puantaj!A226</x:f>
      </x:c>
      <x:c r="D225" s="15">
        <x:f>+BORDRO!T226</x:f>
      </x:c>
      <x:c r="E225" s="41">
        <x:f>+Puantaj!D226</x:f>
      </x:c>
      <x:c r="F225" s="41">
        <x:f>+Puantaj!E226</x:f>
      </x:c>
      <x:c r="G225" s="13">
        <x:f>+Puantaj!C226</x:f>
      </x:c>
      <x:c r="H225" s="71" t="s">
        <x:v>67</x:v>
      </x:c>
    </x:row>
    <x:row r="226" spans="1:11" ht="15.75" customHeight="1" x14ac:dyDescent="0.2">
      <x:c r="B226" s="14">
        <x:v>222</x:v>
      </x:c>
      <x:c r="C226" s="41">
        <x:f>+Puantaj!A227</x:f>
      </x:c>
      <x:c r="D226" s="15">
        <x:f>+BORDRO!T227</x:f>
      </x:c>
      <x:c r="E226" s="41">
        <x:f>+Puantaj!D227</x:f>
      </x:c>
      <x:c r="F226" s="41">
        <x:f>+Puantaj!E227</x:f>
      </x:c>
      <x:c r="G226" s="13">
        <x:f>+Puantaj!C227</x:f>
      </x:c>
      <x:c r="H226" s="71" t="s">
        <x:v>67</x:v>
      </x:c>
    </x:row>
    <x:row r="227" spans="1:11" ht="15.75" customHeight="1" x14ac:dyDescent="0.2">
      <x:c r="B227" s="14">
        <x:v>223</x:v>
      </x:c>
      <x:c r="C227" s="41">
        <x:f>+Puantaj!A228</x:f>
      </x:c>
      <x:c r="D227" s="15">
        <x:f>+BORDRO!T228</x:f>
      </x:c>
      <x:c r="E227" s="41">
        <x:f>+Puantaj!D228</x:f>
      </x:c>
      <x:c r="F227" s="41">
        <x:f>+Puantaj!E228</x:f>
      </x:c>
      <x:c r="G227" s="13">
        <x:f>+Puantaj!C228</x:f>
      </x:c>
      <x:c r="H227" s="71" t="s">
        <x:v>67</x:v>
      </x:c>
    </x:row>
    <x:row r="228" spans="1:11" ht="15.75" customHeight="1" x14ac:dyDescent="0.2">
      <x:c r="B228" s="14">
        <x:v>224</x:v>
      </x:c>
      <x:c r="C228" s="41">
        <x:f>+Puantaj!A229</x:f>
      </x:c>
      <x:c r="D228" s="15">
        <x:f>+BORDRO!T229</x:f>
      </x:c>
      <x:c r="E228" s="41">
        <x:f>+Puantaj!D229</x:f>
      </x:c>
      <x:c r="F228" s="41">
        <x:f>+Puantaj!E229</x:f>
      </x:c>
      <x:c r="G228" s="13">
        <x:f>+Puantaj!C229</x:f>
      </x:c>
      <x:c r="H228" s="71" t="s">
        <x:v>67</x:v>
      </x:c>
    </x:row>
    <x:row r="229" spans="1:11" ht="15.75" customHeight="1" x14ac:dyDescent="0.2">
      <x:c r="B229" s="14">
        <x:v>225</x:v>
      </x:c>
      <x:c r="C229" s="41">
        <x:f>+Puantaj!A230</x:f>
      </x:c>
      <x:c r="D229" s="15">
        <x:f>+BORDRO!T230</x:f>
      </x:c>
      <x:c r="E229" s="41">
        <x:f>+Puantaj!D230</x:f>
      </x:c>
      <x:c r="F229" s="41">
        <x:f>+Puantaj!E230</x:f>
      </x:c>
      <x:c r="G229" s="13">
        <x:f>+Puantaj!C230</x:f>
      </x:c>
      <x:c r="H229" s="71" t="s">
        <x:v>67</x:v>
      </x:c>
    </x:row>
    <x:row r="230" spans="1:11" ht="15.75" customHeight="1" x14ac:dyDescent="0.2">
      <x:c r="B230" s="14">
        <x:v>226</x:v>
      </x:c>
      <x:c r="C230" s="41">
        <x:f>+Puantaj!A231</x:f>
      </x:c>
      <x:c r="D230" s="15">
        <x:f>+BORDRO!T231</x:f>
      </x:c>
      <x:c r="E230" s="41">
        <x:f>+Puantaj!D231</x:f>
      </x:c>
      <x:c r="F230" s="41">
        <x:f>+Puantaj!E231</x:f>
      </x:c>
      <x:c r="G230" s="13">
        <x:f>+Puantaj!C231</x:f>
      </x:c>
      <x:c r="H230" s="71" t="s">
        <x:v>67</x:v>
      </x:c>
    </x:row>
    <x:row r="231" spans="1:11" ht="15.75" customHeight="1" x14ac:dyDescent="0.2">
      <x:c r="B231" s="14">
        <x:v>227</x:v>
      </x:c>
      <x:c r="C231" s="41">
        <x:f>+Puantaj!A232</x:f>
      </x:c>
      <x:c r="D231" s="15">
        <x:f>+BORDRO!T232</x:f>
      </x:c>
      <x:c r="E231" s="41">
        <x:f>+Puantaj!D232</x:f>
      </x:c>
      <x:c r="F231" s="41">
        <x:f>+Puantaj!E232</x:f>
      </x:c>
      <x:c r="G231" s="13">
        <x:f>+Puantaj!C232</x:f>
      </x:c>
      <x:c r="H231" s="71" t="s">
        <x:v>67</x:v>
      </x:c>
    </x:row>
    <x:row r="232" spans="1:11" ht="15.75" customHeight="1" x14ac:dyDescent="0.2">
      <x:c r="B232" s="14">
        <x:v>228</x:v>
      </x:c>
      <x:c r="C232" s="41">
        <x:f>+Puantaj!A233</x:f>
      </x:c>
      <x:c r="D232" s="15">
        <x:f>+BORDRO!T233</x:f>
      </x:c>
      <x:c r="E232" s="41">
        <x:f>+Puantaj!D233</x:f>
      </x:c>
      <x:c r="F232" s="41">
        <x:f>+Puantaj!E233</x:f>
      </x:c>
      <x:c r="G232" s="13">
        <x:f>+Puantaj!C233</x:f>
      </x:c>
      <x:c r="H232" s="71" t="s">
        <x:v>67</x:v>
      </x:c>
    </x:row>
    <x:row r="233" spans="1:11" ht="15.75" customHeight="1" x14ac:dyDescent="0.2">
      <x:c r="B233" s="14">
        <x:v>229</x:v>
      </x:c>
      <x:c r="C233" s="41">
        <x:f>+Puantaj!A234</x:f>
      </x:c>
      <x:c r="D233" s="15">
        <x:f>+BORDRO!T234</x:f>
      </x:c>
      <x:c r="E233" s="41">
        <x:f>+Puantaj!D234</x:f>
      </x:c>
      <x:c r="F233" s="41">
        <x:f>+Puantaj!E234</x:f>
      </x:c>
      <x:c r="G233" s="13">
        <x:f>+Puantaj!C234</x:f>
      </x:c>
      <x:c r="H233" s="71" t="s">
        <x:v>67</x:v>
      </x:c>
    </x:row>
    <x:row r="234" spans="1:11" ht="15.75" customHeight="1" x14ac:dyDescent="0.2">
      <x:c r="B234" s="14">
        <x:v>230</x:v>
      </x:c>
      <x:c r="C234" s="41">
        <x:f>+Puantaj!A235</x:f>
      </x:c>
      <x:c r="D234" s="15">
        <x:f>+BORDRO!T235</x:f>
      </x:c>
      <x:c r="E234" s="41">
        <x:f>+Puantaj!D235</x:f>
      </x:c>
      <x:c r="F234" s="41">
        <x:f>+Puantaj!E235</x:f>
      </x:c>
      <x:c r="G234" s="13">
        <x:f>+Puantaj!C235</x:f>
      </x:c>
      <x:c r="H234" s="71" t="s">
        <x:v>67</x:v>
      </x:c>
    </x:row>
    <x:row r="235" spans="1:11" ht="15.75" customHeight="1" x14ac:dyDescent="0.2">
      <x:c r="B235" s="14">
        <x:v>231</x:v>
      </x:c>
      <x:c r="C235" s="41">
        <x:f>+Puantaj!A236</x:f>
      </x:c>
      <x:c r="D235" s="15">
        <x:f>+BORDRO!T236</x:f>
      </x:c>
      <x:c r="E235" s="41">
        <x:f>+Puantaj!D236</x:f>
      </x:c>
      <x:c r="F235" s="41">
        <x:f>+Puantaj!E236</x:f>
      </x:c>
      <x:c r="G235" s="13">
        <x:f>+Puantaj!C236</x:f>
      </x:c>
      <x:c r="H235" s="71" t="s">
        <x:v>67</x:v>
      </x:c>
    </x:row>
    <x:row r="236" spans="1:11" ht="15.75" customHeight="1" x14ac:dyDescent="0.2">
      <x:c r="B236" s="14">
        <x:v>232</x:v>
      </x:c>
      <x:c r="C236" s="41">
        <x:f>+Puantaj!A237</x:f>
      </x:c>
      <x:c r="D236" s="15">
        <x:f>+BORDRO!T237</x:f>
      </x:c>
      <x:c r="E236" s="41">
        <x:f>+Puantaj!D237</x:f>
      </x:c>
      <x:c r="F236" s="41">
        <x:f>+Puantaj!E237</x:f>
      </x:c>
      <x:c r="G236" s="13">
        <x:f>+Puantaj!C237</x:f>
      </x:c>
      <x:c r="H236" s="71" t="s">
        <x:v>67</x:v>
      </x:c>
    </x:row>
    <x:row r="237" spans="1:11" ht="15.75" customHeight="1" x14ac:dyDescent="0.2">
      <x:c r="B237" s="14">
        <x:v>233</x:v>
      </x:c>
      <x:c r="C237" s="41">
        <x:f>+Puantaj!A238</x:f>
      </x:c>
      <x:c r="D237" s="15">
        <x:f>+BORDRO!T238</x:f>
      </x:c>
      <x:c r="E237" s="41">
        <x:f>+Puantaj!D238</x:f>
      </x:c>
      <x:c r="F237" s="41">
        <x:f>+Puantaj!E238</x:f>
      </x:c>
      <x:c r="G237" s="13">
        <x:f>+Puantaj!C238</x:f>
      </x:c>
      <x:c r="H237" s="71" t="s">
        <x:v>67</x:v>
      </x:c>
    </x:row>
    <x:row r="238" spans="1:11" ht="15.75" customHeight="1" x14ac:dyDescent="0.2">
      <x:c r="B238" s="14">
        <x:v>234</x:v>
      </x:c>
      <x:c r="C238" s="41">
        <x:f>+Puantaj!A239</x:f>
      </x:c>
      <x:c r="D238" s="15">
        <x:f>+BORDRO!T239</x:f>
      </x:c>
      <x:c r="E238" s="41">
        <x:f>+Puantaj!D239</x:f>
      </x:c>
      <x:c r="F238" s="41">
        <x:f>+Puantaj!E239</x:f>
      </x:c>
      <x:c r="G238" s="13">
        <x:f>+Puantaj!C239</x:f>
      </x:c>
      <x:c r="H238" s="71" t="s">
        <x:v>67</x:v>
      </x:c>
    </x:row>
    <x:row r="239" spans="1:11" ht="15.75" customHeight="1" x14ac:dyDescent="0.2">
      <x:c r="B239" s="14">
        <x:v>235</x:v>
      </x:c>
      <x:c r="C239" s="41">
        <x:f>+Puantaj!A240</x:f>
      </x:c>
      <x:c r="D239" s="15">
        <x:f>+BORDRO!T240</x:f>
      </x:c>
      <x:c r="E239" s="41">
        <x:f>+Puantaj!D240</x:f>
      </x:c>
      <x:c r="F239" s="41">
        <x:f>+Puantaj!E240</x:f>
      </x:c>
      <x:c r="G239" s="13">
        <x:f>+Puantaj!C240</x:f>
      </x:c>
      <x:c r="H239" s="71" t="s">
        <x:v>67</x:v>
      </x:c>
    </x:row>
    <x:row r="240" spans="1:11" ht="15.75" customHeight="1" x14ac:dyDescent="0.2">
      <x:c r="B240" s="14">
        <x:v>236</x:v>
      </x:c>
      <x:c r="C240" s="41">
        <x:f>+Puantaj!A241</x:f>
      </x:c>
      <x:c r="D240" s="15">
        <x:f>+BORDRO!T241</x:f>
      </x:c>
      <x:c r="E240" s="41">
        <x:f>+Puantaj!D241</x:f>
      </x:c>
      <x:c r="F240" s="41">
        <x:f>+Puantaj!E241</x:f>
      </x:c>
      <x:c r="G240" s="13">
        <x:f>+Puantaj!C241</x:f>
      </x:c>
      <x:c r="H240" s="71" t="s">
        <x:v>67</x:v>
      </x:c>
    </x:row>
    <x:row r="241" spans="1:11" ht="15.75" customHeight="1" x14ac:dyDescent="0.2">
      <x:c r="B241" s="14">
        <x:v>237</x:v>
      </x:c>
      <x:c r="C241" s="41">
        <x:f>+Puantaj!A242</x:f>
      </x:c>
      <x:c r="D241" s="15">
        <x:f>+BORDRO!T242</x:f>
      </x:c>
      <x:c r="E241" s="41">
        <x:f>+Puantaj!D242</x:f>
      </x:c>
      <x:c r="F241" s="41">
        <x:f>+Puantaj!E242</x:f>
      </x:c>
      <x:c r="G241" s="13">
        <x:f>+Puantaj!C242</x:f>
      </x:c>
      <x:c r="H241" s="71" t="s">
        <x:v>67</x:v>
      </x:c>
    </x:row>
    <x:row r="242" spans="1:11" ht="15.75" customHeight="1" x14ac:dyDescent="0.2">
      <x:c r="B242" s="14">
        <x:v>238</x:v>
      </x:c>
      <x:c r="C242" s="41">
        <x:f>+Puantaj!A243</x:f>
      </x:c>
      <x:c r="D242" s="15">
        <x:f>+BORDRO!T243</x:f>
      </x:c>
      <x:c r="E242" s="41">
        <x:f>+Puantaj!D243</x:f>
      </x:c>
      <x:c r="F242" s="41">
        <x:f>+Puantaj!E243</x:f>
      </x:c>
      <x:c r="G242" s="13">
        <x:f>+Puantaj!C243</x:f>
      </x:c>
      <x:c r="H242" s="71" t="s">
        <x:v>67</x:v>
      </x:c>
    </x:row>
    <x:row r="243" spans="1:11" ht="15.75" customHeight="1" x14ac:dyDescent="0.2">
      <x:c r="B243" s="14">
        <x:v>239</x:v>
      </x:c>
      <x:c r="C243" s="41">
        <x:f>+Puantaj!A244</x:f>
      </x:c>
      <x:c r="D243" s="15">
        <x:f>+BORDRO!T244</x:f>
      </x:c>
      <x:c r="E243" s="41">
        <x:f>+Puantaj!D244</x:f>
      </x:c>
      <x:c r="F243" s="41">
        <x:f>+Puantaj!E244</x:f>
      </x:c>
      <x:c r="G243" s="13">
        <x:f>+Puantaj!C244</x:f>
      </x:c>
      <x:c r="H243" s="71" t="s">
        <x:v>67</x:v>
      </x:c>
    </x:row>
    <x:row r="244" spans="1:11" ht="15.75" customHeight="1" x14ac:dyDescent="0.2">
      <x:c r="B244" s="14">
        <x:v>240</x:v>
      </x:c>
      <x:c r="C244" s="41">
        <x:f>+Puantaj!A245</x:f>
      </x:c>
      <x:c r="D244" s="15">
        <x:f>+BORDRO!T245</x:f>
      </x:c>
      <x:c r="E244" s="41">
        <x:f>+Puantaj!D245</x:f>
      </x:c>
      <x:c r="F244" s="41">
        <x:f>+Puantaj!E245</x:f>
      </x:c>
      <x:c r="G244" s="13">
        <x:f>+Puantaj!C245</x:f>
      </x:c>
      <x:c r="H244" s="71" t="s">
        <x:v>67</x:v>
      </x:c>
    </x:row>
    <x:row r="245" spans="1:11" ht="15.75" customHeight="1" x14ac:dyDescent="0.2">
      <x:c r="B245" s="14">
        <x:v>241</x:v>
      </x:c>
      <x:c r="C245" s="41">
        <x:f>+Puantaj!A246</x:f>
      </x:c>
      <x:c r="D245" s="15">
        <x:f>+BORDRO!T246</x:f>
      </x:c>
      <x:c r="E245" s="41">
        <x:f>+Puantaj!D246</x:f>
      </x:c>
      <x:c r="F245" s="41">
        <x:f>+Puantaj!E246</x:f>
      </x:c>
      <x:c r="G245" s="13">
        <x:f>+Puantaj!C246</x:f>
      </x:c>
      <x:c r="H245" s="71" t="s">
        <x:v>67</x:v>
      </x:c>
    </x:row>
    <x:row r="246" spans="1:11" ht="15.75" customHeight="1" x14ac:dyDescent="0.2">
      <x:c r="B246" s="14">
        <x:v>242</x:v>
      </x:c>
      <x:c r="C246" s="41">
        <x:f>+Puantaj!A247</x:f>
      </x:c>
      <x:c r="D246" s="15">
        <x:f>+BORDRO!T247</x:f>
      </x:c>
      <x:c r="E246" s="41">
        <x:f>+Puantaj!D247</x:f>
      </x:c>
      <x:c r="F246" s="41">
        <x:f>+Puantaj!E247</x:f>
      </x:c>
      <x:c r="G246" s="13">
        <x:f>+Puantaj!C247</x:f>
      </x:c>
      <x:c r="H246" s="71" t="s">
        <x:v>67</x:v>
      </x:c>
    </x:row>
    <x:row r="247" spans="1:11" ht="15.75" customHeight="1" x14ac:dyDescent="0.2">
      <x:c r="B247" s="14">
        <x:v>243</x:v>
      </x:c>
      <x:c r="C247" s="41">
        <x:f>+Puantaj!A248</x:f>
      </x:c>
      <x:c r="D247" s="15">
        <x:f>+BORDRO!T248</x:f>
      </x:c>
      <x:c r="E247" s="41">
        <x:f>+Puantaj!D248</x:f>
      </x:c>
      <x:c r="F247" s="41">
        <x:f>+Puantaj!E248</x:f>
      </x:c>
      <x:c r="G247" s="13">
        <x:f>+Puantaj!C248</x:f>
      </x:c>
      <x:c r="H247" s="71" t="s">
        <x:v>67</x:v>
      </x:c>
    </x:row>
    <x:row r="248" spans="1:11" ht="15.75" customHeight="1" x14ac:dyDescent="0.2">
      <x:c r="B248" s="14">
        <x:v>244</x:v>
      </x:c>
      <x:c r="C248" s="41">
        <x:f>+Puantaj!A249</x:f>
      </x:c>
      <x:c r="D248" s="15">
        <x:f>+BORDRO!T249</x:f>
      </x:c>
      <x:c r="E248" s="41">
        <x:f>+Puantaj!D249</x:f>
      </x:c>
      <x:c r="F248" s="41">
        <x:f>+Puantaj!E249</x:f>
      </x:c>
      <x:c r="G248" s="13">
        <x:f>+Puantaj!C249</x:f>
      </x:c>
      <x:c r="H248" s="71" t="s">
        <x:v>67</x:v>
      </x:c>
    </x:row>
    <x:row r="249" spans="1:11" ht="15.75" customHeight="1" x14ac:dyDescent="0.2">
      <x:c r="B249" s="14">
        <x:v>245</x:v>
      </x:c>
      <x:c r="C249" s="41">
        <x:f>+Puantaj!A250</x:f>
      </x:c>
      <x:c r="D249" s="15">
        <x:f>+BORDRO!T250</x:f>
      </x:c>
      <x:c r="E249" s="41">
        <x:f>+Puantaj!D250</x:f>
      </x:c>
      <x:c r="F249" s="41">
        <x:f>+Puantaj!E250</x:f>
      </x:c>
      <x:c r="G249" s="13">
        <x:f>+Puantaj!C250</x:f>
      </x:c>
      <x:c r="H249" s="71" t="s">
        <x:v>67</x:v>
      </x:c>
    </x:row>
    <x:row r="250" spans="1:11" ht="15.75" customHeight="1" x14ac:dyDescent="0.2">
      <x:c r="B250" s="14">
        <x:v>246</x:v>
      </x:c>
      <x:c r="C250" s="41">
        <x:f>+Puantaj!A251</x:f>
      </x:c>
      <x:c r="D250" s="15">
        <x:f>+BORDRO!T251</x:f>
      </x:c>
      <x:c r="E250" s="41">
        <x:f>+Puantaj!D251</x:f>
      </x:c>
      <x:c r="F250" s="41">
        <x:f>+Puantaj!E251</x:f>
      </x:c>
      <x:c r="G250" s="13">
        <x:f>+Puantaj!C251</x:f>
      </x:c>
      <x:c r="H250" s="71" t="s">
        <x:v>67</x:v>
      </x:c>
    </x:row>
    <x:row r="251" spans="1:11" ht="15.75" customHeight="1" x14ac:dyDescent="0.2">
      <x:c r="B251" s="14">
        <x:v>247</x:v>
      </x:c>
      <x:c r="C251" s="41">
        <x:f>+Puantaj!A252</x:f>
      </x:c>
      <x:c r="D251" s="15">
        <x:f>+BORDRO!T252</x:f>
      </x:c>
      <x:c r="E251" s="41">
        <x:f>+Puantaj!D252</x:f>
      </x:c>
      <x:c r="F251" s="41">
        <x:f>+Puantaj!E252</x:f>
      </x:c>
      <x:c r="G251" s="13">
        <x:f>+Puantaj!C252</x:f>
      </x:c>
      <x:c r="H251" s="71" t="s">
        <x:v>67</x:v>
      </x:c>
    </x:row>
    <x:row r="252" spans="1:11" ht="15.75" customHeight="1" x14ac:dyDescent="0.2">
      <x:c r="B252" s="14">
        <x:v>248</x:v>
      </x:c>
      <x:c r="C252" s="41">
        <x:f>+Puantaj!A253</x:f>
      </x:c>
      <x:c r="D252" s="15">
        <x:f>+BORDRO!T253</x:f>
      </x:c>
      <x:c r="E252" s="41">
        <x:f>+Puantaj!D253</x:f>
      </x:c>
      <x:c r="F252" s="41">
        <x:f>+Puantaj!E253</x:f>
      </x:c>
      <x:c r="G252" s="13">
        <x:f>+Puantaj!C253</x:f>
      </x:c>
      <x:c r="H252" s="71" t="s">
        <x:v>67</x:v>
      </x:c>
    </x:row>
    <x:row r="253" spans="1:11" ht="15.75" customHeight="1" x14ac:dyDescent="0.2">
      <x:c r="B253" s="14">
        <x:v>249</x:v>
      </x:c>
      <x:c r="C253" s="41">
        <x:f>+Puantaj!A254</x:f>
      </x:c>
      <x:c r="D253" s="15">
        <x:f>+BORDRO!T254</x:f>
      </x:c>
      <x:c r="E253" s="41">
        <x:f>+Puantaj!D254</x:f>
      </x:c>
      <x:c r="F253" s="41">
        <x:f>+Puantaj!E254</x:f>
      </x:c>
      <x:c r="G253" s="13">
        <x:f>+Puantaj!C254</x:f>
      </x:c>
      <x:c r="H253" s="71" t="s">
        <x:v>67</x:v>
      </x:c>
    </x:row>
    <x:row r="254" spans="1:11" ht="15.75" customHeight="1" x14ac:dyDescent="0.2">
      <x:c r="B254" s="14">
        <x:v>250</x:v>
      </x:c>
      <x:c r="C254" s="41">
        <x:f>+Puantaj!A255</x:f>
      </x:c>
      <x:c r="D254" s="15">
        <x:f>+BORDRO!T255</x:f>
      </x:c>
      <x:c r="E254" s="41">
        <x:f>+Puantaj!D255</x:f>
      </x:c>
      <x:c r="F254" s="41">
        <x:f>+Puantaj!E255</x:f>
      </x:c>
      <x:c r="G254" s="13">
        <x:f>+Puantaj!C255</x:f>
      </x:c>
      <x:c r="H254" s="71" t="s">
        <x:v>67</x:v>
      </x:c>
    </x:row>
    <x:row r="255" spans="1:11" ht="15.75" customHeight="1" x14ac:dyDescent="0.2">
      <x:c r="B255" s="14">
        <x:v>251</x:v>
      </x:c>
      <x:c r="C255" s="41">
        <x:f>+Puantaj!A256</x:f>
      </x:c>
      <x:c r="D255" s="15">
        <x:f>+BORDRO!T256</x:f>
      </x:c>
      <x:c r="E255" s="41">
        <x:f>+Puantaj!D256</x:f>
      </x:c>
      <x:c r="F255" s="41">
        <x:f>+Puantaj!E256</x:f>
      </x:c>
      <x:c r="G255" s="13">
        <x:f>+Puantaj!C256</x:f>
      </x:c>
      <x:c r="H255" s="71" t="s">
        <x:v>67</x:v>
      </x:c>
    </x:row>
    <x:row r="256" spans="1:11" ht="15.75" customHeight="1" x14ac:dyDescent="0.2">
      <x:c r="B256" s="14">
        <x:v>252</x:v>
      </x:c>
      <x:c r="C256" s="41">
        <x:f>+Puantaj!A257</x:f>
      </x:c>
      <x:c r="D256" s="15">
        <x:f>+BORDRO!T257</x:f>
      </x:c>
      <x:c r="E256" s="41">
        <x:f>+Puantaj!D257</x:f>
      </x:c>
      <x:c r="F256" s="41">
        <x:f>+Puantaj!E257</x:f>
      </x:c>
      <x:c r="G256" s="13">
        <x:f>+Puantaj!C257</x:f>
      </x:c>
      <x:c r="H256" s="71" t="s">
        <x:v>67</x:v>
      </x:c>
    </x:row>
    <x:row r="257" spans="1:11" ht="15.75" customHeight="1" x14ac:dyDescent="0.2">
      <x:c r="B257" s="14">
        <x:v>253</x:v>
      </x:c>
      <x:c r="C257" s="41">
        <x:f>+Puantaj!A258</x:f>
      </x:c>
      <x:c r="D257" s="15">
        <x:f>+BORDRO!T258</x:f>
      </x:c>
      <x:c r="E257" s="41">
        <x:f>+Puantaj!D258</x:f>
      </x:c>
      <x:c r="F257" s="41">
        <x:f>+Puantaj!E258</x:f>
      </x:c>
      <x:c r="G257" s="13">
        <x:f>+Puantaj!C258</x:f>
      </x:c>
      <x:c r="H257" s="71" t="s">
        <x:v>67</x:v>
      </x:c>
    </x:row>
    <x:row r="258" spans="1:11" ht="15.75" customHeight="1" x14ac:dyDescent="0.2">
      <x:c r="B258" s="14">
        <x:v>254</x:v>
      </x:c>
      <x:c r="C258" s="41">
        <x:f>+Puantaj!A259</x:f>
      </x:c>
      <x:c r="D258" s="15">
        <x:f>+BORDRO!T259</x:f>
      </x:c>
      <x:c r="E258" s="41">
        <x:f>+Puantaj!D259</x:f>
      </x:c>
      <x:c r="F258" s="41">
        <x:f>+Puantaj!E259</x:f>
      </x:c>
      <x:c r="G258" s="13">
        <x:f>+Puantaj!C259</x:f>
      </x:c>
      <x:c r="H258" s="71" t="s">
        <x:v>67</x:v>
      </x:c>
    </x:row>
    <x:row r="259" spans="1:11" ht="15.75" customHeight="1" x14ac:dyDescent="0.2">
      <x:c r="B259" s="14">
        <x:v>255</x:v>
      </x:c>
      <x:c r="C259" s="41">
        <x:f>+Puantaj!A260</x:f>
      </x:c>
      <x:c r="D259" s="15">
        <x:f>+BORDRO!T260</x:f>
      </x:c>
      <x:c r="E259" s="41">
        <x:f>+Puantaj!D260</x:f>
      </x:c>
      <x:c r="F259" s="41">
        <x:f>+Puantaj!E260</x:f>
      </x:c>
      <x:c r="G259" s="13">
        <x:f>+Puantaj!C260</x:f>
      </x:c>
      <x:c r="H259" s="71" t="s">
        <x:v>67</x:v>
      </x:c>
    </x:row>
    <x:row r="260" spans="1:11" ht="15.75" customHeight="1" x14ac:dyDescent="0.2">
      <x:c r="B260" s="14">
        <x:v>256</x:v>
      </x:c>
      <x:c r="C260" s="41">
        <x:f>+Puantaj!A261</x:f>
      </x:c>
      <x:c r="D260" s="15">
        <x:f>+BORDRO!T261</x:f>
      </x:c>
      <x:c r="E260" s="41">
        <x:f>+Puantaj!D261</x:f>
      </x:c>
      <x:c r="F260" s="41">
        <x:f>+Puantaj!E261</x:f>
      </x:c>
      <x:c r="G260" s="13">
        <x:f>+Puantaj!C261</x:f>
      </x:c>
      <x:c r="H260" s="71" t="s">
        <x:v>67</x:v>
      </x:c>
    </x:row>
    <x:row r="261" spans="1:11" ht="15.75" customHeight="1" x14ac:dyDescent="0.2">
      <x:c r="B261" s="14">
        <x:v>257</x:v>
      </x:c>
      <x:c r="C261" s="41">
        <x:f>+Puantaj!A262</x:f>
      </x:c>
      <x:c r="D261" s="15">
        <x:f>+BORDRO!T262</x:f>
      </x:c>
      <x:c r="E261" s="41">
        <x:f>+Puantaj!D262</x:f>
      </x:c>
      <x:c r="F261" s="41">
        <x:f>+Puantaj!E262</x:f>
      </x:c>
      <x:c r="G261" s="13">
        <x:f>+Puantaj!C262</x:f>
      </x:c>
      <x:c r="H261" s="71" t="s">
        <x:v>67</x:v>
      </x:c>
    </x:row>
    <x:row r="262" spans="1:11" ht="15.75" customHeight="1" x14ac:dyDescent="0.2">
      <x:c r="B262" s="14">
        <x:v>258</x:v>
      </x:c>
      <x:c r="C262" s="41">
        <x:f>+Puantaj!A263</x:f>
      </x:c>
      <x:c r="D262" s="15">
        <x:f>+BORDRO!T263</x:f>
      </x:c>
      <x:c r="E262" s="41">
        <x:f>+Puantaj!D263</x:f>
      </x:c>
      <x:c r="F262" s="41">
        <x:f>+Puantaj!E263</x:f>
      </x:c>
      <x:c r="G262" s="13">
        <x:f>+Puantaj!C263</x:f>
      </x:c>
      <x:c r="H262" s="71" t="s">
        <x:v>67</x:v>
      </x:c>
    </x:row>
    <x:row r="263" spans="1:11" ht="15.75" customHeight="1" x14ac:dyDescent="0.2">
      <x:c r="B263" s="14">
        <x:v>259</x:v>
      </x:c>
      <x:c r="C263" s="41">
        <x:f>+Puantaj!A264</x:f>
      </x:c>
      <x:c r="D263" s="15">
        <x:f>+BORDRO!T264</x:f>
      </x:c>
      <x:c r="E263" s="41">
        <x:f>+Puantaj!D264</x:f>
      </x:c>
      <x:c r="F263" s="41">
        <x:f>+Puantaj!E264</x:f>
      </x:c>
      <x:c r="G263" s="13">
        <x:f>+Puantaj!C264</x:f>
      </x:c>
      <x:c r="H263" s="71" t="s">
        <x:v>67</x:v>
      </x:c>
    </x:row>
    <x:row r="264" spans="1:11" ht="15.75" customHeight="1" x14ac:dyDescent="0.2">
      <x:c r="B264" s="14">
        <x:v>260</x:v>
      </x:c>
      <x:c r="C264" s="41">
        <x:f>+Puantaj!A265</x:f>
      </x:c>
      <x:c r="D264" s="15">
        <x:f>+BORDRO!T265</x:f>
      </x:c>
      <x:c r="E264" s="41">
        <x:f>+Puantaj!D265</x:f>
      </x:c>
      <x:c r="F264" s="41">
        <x:f>+Puantaj!E265</x:f>
      </x:c>
      <x:c r="G264" s="13">
        <x:f>+Puantaj!C265</x:f>
      </x:c>
      <x:c r="H264" s="71" t="s">
        <x:v>67</x:v>
      </x:c>
    </x:row>
    <x:row r="265" spans="1:11" ht="15.75" customHeight="1" x14ac:dyDescent="0.2">
      <x:c r="B265" s="14">
        <x:v>261</x:v>
      </x:c>
      <x:c r="C265" s="41">
        <x:f>+Puantaj!A266</x:f>
      </x:c>
      <x:c r="D265" s="15">
        <x:f>+BORDRO!T266</x:f>
      </x:c>
      <x:c r="E265" s="41">
        <x:f>+Puantaj!D266</x:f>
      </x:c>
      <x:c r="F265" s="41">
        <x:f>+Puantaj!E266</x:f>
      </x:c>
      <x:c r="G265" s="13">
        <x:f>+Puantaj!C266</x:f>
      </x:c>
      <x:c r="H265" s="71" t="s">
        <x:v>67</x:v>
      </x:c>
    </x:row>
    <x:row r="266" spans="1:11" ht="15.75" customHeight="1" x14ac:dyDescent="0.2">
      <x:c r="B266" s="14">
        <x:v>262</x:v>
      </x:c>
      <x:c r="C266" s="41">
        <x:f>+Puantaj!A267</x:f>
      </x:c>
      <x:c r="D266" s="15">
        <x:f>+BORDRO!T267</x:f>
      </x:c>
      <x:c r="E266" s="41">
        <x:f>+Puantaj!D267</x:f>
      </x:c>
      <x:c r="F266" s="41">
        <x:f>+Puantaj!E267</x:f>
      </x:c>
      <x:c r="G266" s="13">
        <x:f>+Puantaj!C267</x:f>
      </x:c>
      <x:c r="H266" s="71" t="s">
        <x:v>67</x:v>
      </x:c>
    </x:row>
    <x:row r="267" spans="1:11" ht="15.75" customHeight="1" x14ac:dyDescent="0.2">
      <x:c r="B267" s="14">
        <x:v>263</x:v>
      </x:c>
      <x:c r="C267" s="41">
        <x:f>+Puantaj!A268</x:f>
      </x:c>
      <x:c r="D267" s="15">
        <x:f>+BORDRO!T268</x:f>
      </x:c>
      <x:c r="E267" s="41">
        <x:f>+Puantaj!D268</x:f>
      </x:c>
      <x:c r="F267" s="41">
        <x:f>+Puantaj!E268</x:f>
      </x:c>
      <x:c r="G267" s="13">
        <x:f>+Puantaj!C268</x:f>
      </x:c>
      <x:c r="H267" s="71" t="s">
        <x:v>67</x:v>
      </x:c>
    </x:row>
    <x:row r="268" spans="1:11" ht="15.75" customHeight="1" x14ac:dyDescent="0.2">
      <x:c r="B268" s="14">
        <x:v>264</x:v>
      </x:c>
      <x:c r="C268" s="41">
        <x:f>+Puantaj!A269</x:f>
      </x:c>
      <x:c r="D268" s="15">
        <x:f>+BORDRO!T269</x:f>
      </x:c>
      <x:c r="E268" s="41">
        <x:f>+Puantaj!D269</x:f>
      </x:c>
      <x:c r="F268" s="41">
        <x:f>+Puantaj!E269</x:f>
      </x:c>
      <x:c r="G268" s="13">
        <x:f>+Puantaj!C269</x:f>
      </x:c>
      <x:c r="H268" s="71" t="s">
        <x:v>67</x:v>
      </x:c>
    </x:row>
    <x:row r="269" spans="1:11" ht="15.75" customHeight="1" x14ac:dyDescent="0.2">
      <x:c r="B269" s="14">
        <x:v>265</x:v>
      </x:c>
      <x:c r="C269" s="41">
        <x:f>+Puantaj!A270</x:f>
      </x:c>
      <x:c r="D269" s="15">
        <x:f>+BORDRO!T270</x:f>
      </x:c>
      <x:c r="E269" s="41">
        <x:f>+Puantaj!D270</x:f>
      </x:c>
      <x:c r="F269" s="41">
        <x:f>+Puantaj!E270</x:f>
      </x:c>
      <x:c r="G269" s="13">
        <x:f>+Puantaj!C270</x:f>
      </x:c>
      <x:c r="H269" s="71" t="s">
        <x:v>67</x:v>
      </x:c>
    </x:row>
    <x:row r="270" spans="1:11" ht="15.75" customHeight="1" x14ac:dyDescent="0.2">
      <x:c r="B270" s="14">
        <x:v>266</x:v>
      </x:c>
      <x:c r="C270" s="41">
        <x:f>+Puantaj!A271</x:f>
      </x:c>
      <x:c r="D270" s="15">
        <x:f>+BORDRO!T271</x:f>
      </x:c>
      <x:c r="E270" s="41">
        <x:f>+Puantaj!D271</x:f>
      </x:c>
      <x:c r="F270" s="41">
        <x:f>+Puantaj!E271</x:f>
      </x:c>
      <x:c r="G270" s="13">
        <x:f>+Puantaj!C271</x:f>
      </x:c>
      <x:c r="H270" s="71" t="s">
        <x:v>67</x:v>
      </x:c>
    </x:row>
    <x:row r="271" spans="1:11" ht="15.75" customHeight="1" x14ac:dyDescent="0.2">
      <x:c r="B271" s="14">
        <x:v>267</x:v>
      </x:c>
      <x:c r="C271" s="41">
        <x:f>+Puantaj!A272</x:f>
      </x:c>
      <x:c r="D271" s="15">
        <x:f>+BORDRO!T272</x:f>
      </x:c>
      <x:c r="E271" s="41">
        <x:f>+Puantaj!D272</x:f>
      </x:c>
      <x:c r="F271" s="41">
        <x:f>+Puantaj!E272</x:f>
      </x:c>
      <x:c r="G271" s="13">
        <x:f>+Puantaj!C272</x:f>
      </x:c>
      <x:c r="H271" s="71" t="s">
        <x:v>67</x:v>
      </x:c>
    </x:row>
    <x:row r="272" spans="1:11" ht="15.75" customHeight="1" x14ac:dyDescent="0.2">
      <x:c r="B272" s="14">
        <x:v>268</x:v>
      </x:c>
      <x:c r="C272" s="41">
        <x:f>+Puantaj!A273</x:f>
      </x:c>
      <x:c r="D272" s="15">
        <x:f>+BORDRO!T273</x:f>
      </x:c>
      <x:c r="E272" s="41">
        <x:f>+Puantaj!D273</x:f>
      </x:c>
      <x:c r="F272" s="41">
        <x:f>+Puantaj!E273</x:f>
      </x:c>
      <x:c r="G272" s="13">
        <x:f>+Puantaj!C273</x:f>
      </x:c>
      <x:c r="H272" s="71" t="s">
        <x:v>67</x:v>
      </x:c>
    </x:row>
    <x:row r="273" spans="1:11" ht="15.75" customHeight="1" x14ac:dyDescent="0.2">
      <x:c r="B273" s="14">
        <x:v>269</x:v>
      </x:c>
      <x:c r="C273" s="41">
        <x:f>+Puantaj!A274</x:f>
      </x:c>
      <x:c r="D273" s="15">
        <x:f>+BORDRO!T274</x:f>
      </x:c>
      <x:c r="E273" s="41">
        <x:f>+Puantaj!D274</x:f>
      </x:c>
      <x:c r="F273" s="41">
        <x:f>+Puantaj!E274</x:f>
      </x:c>
      <x:c r="G273" s="13">
        <x:f>+Puantaj!C274</x:f>
      </x:c>
      <x:c r="H273" s="71" t="s">
        <x:v>67</x:v>
      </x:c>
    </x:row>
    <x:row r="274" spans="1:11" ht="15.75" customHeight="1" x14ac:dyDescent="0.2">
      <x:c r="B274" s="14">
        <x:v>270</x:v>
      </x:c>
      <x:c r="C274" s="41">
        <x:f>+Puantaj!A275</x:f>
      </x:c>
      <x:c r="D274" s="15">
        <x:f>+BORDRO!T275</x:f>
      </x:c>
      <x:c r="E274" s="41">
        <x:f>+Puantaj!D275</x:f>
      </x:c>
      <x:c r="F274" s="41">
        <x:f>+Puantaj!E275</x:f>
      </x:c>
      <x:c r="G274" s="13">
        <x:f>+Puantaj!C275</x:f>
      </x:c>
      <x:c r="H274" s="71" t="s">
        <x:v>67</x:v>
      </x:c>
    </x:row>
    <x:row r="275" spans="1:11" ht="15.75" customHeight="1" x14ac:dyDescent="0.2">
      <x:c r="B275" s="14">
        <x:v>271</x:v>
      </x:c>
      <x:c r="C275" s="41">
        <x:f>+Puantaj!A276</x:f>
      </x:c>
      <x:c r="D275" s="15">
        <x:f>+BORDRO!T276</x:f>
      </x:c>
      <x:c r="E275" s="41">
        <x:f>+Puantaj!D276</x:f>
      </x:c>
      <x:c r="F275" s="41">
        <x:f>+Puantaj!E276</x:f>
      </x:c>
      <x:c r="G275" s="13">
        <x:f>+Puantaj!C276</x:f>
      </x:c>
      <x:c r="H275" s="71" t="s">
        <x:v>67</x:v>
      </x:c>
    </x:row>
    <x:row r="276" spans="1:11" ht="15.75" customHeight="1" x14ac:dyDescent="0.2">
      <x:c r="B276" s="14">
        <x:v>272</x:v>
      </x:c>
      <x:c r="C276" s="41">
        <x:f>+Puantaj!A277</x:f>
      </x:c>
      <x:c r="D276" s="15">
        <x:f>+BORDRO!T277</x:f>
      </x:c>
      <x:c r="E276" s="41">
        <x:f>+Puantaj!D277</x:f>
      </x:c>
      <x:c r="F276" s="41">
        <x:f>+Puantaj!E277</x:f>
      </x:c>
      <x:c r="G276" s="13">
        <x:f>+Puantaj!C277</x:f>
      </x:c>
      <x:c r="H276" s="71" t="s">
        <x:v>67</x:v>
      </x:c>
    </x:row>
    <x:row r="277" spans="1:11" ht="15.75" customHeight="1" x14ac:dyDescent="0.2">
      <x:c r="B277" s="14">
        <x:v>273</x:v>
      </x:c>
      <x:c r="C277" s="41">
        <x:f>+Puantaj!A278</x:f>
      </x:c>
      <x:c r="D277" s="15">
        <x:f>+BORDRO!T278</x:f>
      </x:c>
      <x:c r="E277" s="41">
        <x:f>+Puantaj!D278</x:f>
      </x:c>
      <x:c r="F277" s="41">
        <x:f>+Puantaj!E278</x:f>
      </x:c>
      <x:c r="G277" s="13">
        <x:f>+Puantaj!C278</x:f>
      </x:c>
      <x:c r="H277" s="71" t="s">
        <x:v>67</x:v>
      </x:c>
    </x:row>
    <x:row r="278" spans="1:11" ht="15.75" customHeight="1" x14ac:dyDescent="0.2">
      <x:c r="B278" s="14">
        <x:v>274</x:v>
      </x:c>
      <x:c r="C278" s="41">
        <x:f>+Puantaj!A279</x:f>
      </x:c>
      <x:c r="D278" s="15">
        <x:f>+BORDRO!T279</x:f>
      </x:c>
      <x:c r="E278" s="41">
        <x:f>+Puantaj!D279</x:f>
      </x:c>
      <x:c r="F278" s="41">
        <x:f>+Puantaj!E279</x:f>
      </x:c>
      <x:c r="G278" s="13">
        <x:f>+Puantaj!C279</x:f>
      </x:c>
      <x:c r="H278" s="71" t="s">
        <x:v>67</x:v>
      </x:c>
    </x:row>
    <x:row r="279" spans="1:11" ht="15.75" customHeight="1" x14ac:dyDescent="0.2">
      <x:c r="B279" s="14">
        <x:v>275</x:v>
      </x:c>
      <x:c r="C279" s="41">
        <x:f>+Puantaj!A280</x:f>
      </x:c>
      <x:c r="D279" s="15">
        <x:f>+BORDRO!T280</x:f>
      </x:c>
      <x:c r="E279" s="41">
        <x:f>+Puantaj!D280</x:f>
      </x:c>
      <x:c r="F279" s="41">
        <x:f>+Puantaj!E280</x:f>
      </x:c>
      <x:c r="G279" s="13">
        <x:f>+Puantaj!C280</x:f>
      </x:c>
      <x:c r="H279" s="71" t="s">
        <x:v>67</x:v>
      </x:c>
    </x:row>
    <x:row r="280" spans="1:11" ht="15.75" customHeight="1" x14ac:dyDescent="0.2">
      <x:c r="B280" s="14">
        <x:v>276</x:v>
      </x:c>
      <x:c r="C280" s="41">
        <x:f>+Puantaj!A281</x:f>
      </x:c>
      <x:c r="D280" s="15">
        <x:f>+BORDRO!T281</x:f>
      </x:c>
      <x:c r="E280" s="41">
        <x:f>+Puantaj!D281</x:f>
      </x:c>
      <x:c r="F280" s="41">
        <x:f>+Puantaj!E281</x:f>
      </x:c>
      <x:c r="G280" s="13">
        <x:f>+Puantaj!C281</x:f>
      </x:c>
      <x:c r="H280" s="71" t="s">
        <x:v>67</x:v>
      </x:c>
    </x:row>
    <x:row r="281" spans="1:11" ht="15.75" customHeight="1" x14ac:dyDescent="0.2">
      <x:c r="B281" s="14">
        <x:v>277</x:v>
      </x:c>
      <x:c r="C281" s="41">
        <x:f>+Puantaj!A282</x:f>
      </x:c>
      <x:c r="D281" s="15">
        <x:f>+BORDRO!T282</x:f>
      </x:c>
      <x:c r="E281" s="41">
        <x:f>+Puantaj!D282</x:f>
      </x:c>
      <x:c r="F281" s="41">
        <x:f>+Puantaj!E282</x:f>
      </x:c>
      <x:c r="G281" s="13">
        <x:f>+Puantaj!C282</x:f>
      </x:c>
      <x:c r="H281" s="71" t="s">
        <x:v>67</x:v>
      </x:c>
    </x:row>
    <x:row r="282" spans="1:11" ht="15.75" customHeight="1" x14ac:dyDescent="0.2">
      <x:c r="B282" s="14">
        <x:v>278</x:v>
      </x:c>
      <x:c r="C282" s="41">
        <x:f>+Puantaj!A283</x:f>
      </x:c>
      <x:c r="D282" s="15">
        <x:f>+BORDRO!T283</x:f>
      </x:c>
      <x:c r="E282" s="41">
        <x:f>+Puantaj!D283</x:f>
      </x:c>
      <x:c r="F282" s="41">
        <x:f>+Puantaj!E283</x:f>
      </x:c>
      <x:c r="G282" s="13">
        <x:f>+Puantaj!C283</x:f>
      </x:c>
      <x:c r="H282" s="71" t="s">
        <x:v>67</x:v>
      </x:c>
    </x:row>
    <x:row r="283" spans="1:11" ht="15.75" customHeight="1" x14ac:dyDescent="0.2">
      <x:c r="B283" s="14">
        <x:v>279</x:v>
      </x:c>
      <x:c r="C283" s="41">
        <x:f>+Puantaj!A284</x:f>
      </x:c>
      <x:c r="D283" s="15">
        <x:f>+BORDRO!T284</x:f>
      </x:c>
      <x:c r="E283" s="41">
        <x:f>+Puantaj!D284</x:f>
      </x:c>
      <x:c r="F283" s="41">
        <x:f>+Puantaj!E284</x:f>
      </x:c>
      <x:c r="G283" s="13">
        <x:f>+Puantaj!C284</x:f>
      </x:c>
      <x:c r="H283" s="71" t="s">
        <x:v>67</x:v>
      </x:c>
    </x:row>
    <x:row r="284" spans="1:11" ht="15.75" customHeight="1" x14ac:dyDescent="0.2">
      <x:c r="B284" s="14">
        <x:v>280</x:v>
      </x:c>
      <x:c r="C284" s="41">
        <x:f>+Puantaj!A285</x:f>
      </x:c>
      <x:c r="D284" s="15">
        <x:f>+BORDRO!T285</x:f>
      </x:c>
      <x:c r="E284" s="41">
        <x:f>+Puantaj!D285</x:f>
      </x:c>
      <x:c r="F284" s="41">
        <x:f>+Puantaj!E285</x:f>
      </x:c>
      <x:c r="G284" s="13">
        <x:f>+Puantaj!C285</x:f>
      </x:c>
      <x:c r="H284" s="71" t="s">
        <x:v>67</x:v>
      </x:c>
    </x:row>
    <x:row r="285" spans="1:11" ht="15.75" customHeight="1" x14ac:dyDescent="0.2">
      <x:c r="B285" s="14">
        <x:v>281</x:v>
      </x:c>
      <x:c r="C285" s="41">
        <x:f>+Puantaj!A286</x:f>
      </x:c>
      <x:c r="D285" s="15">
        <x:f>+BORDRO!T286</x:f>
      </x:c>
      <x:c r="E285" s="41">
        <x:f>+Puantaj!D286</x:f>
      </x:c>
      <x:c r="F285" s="41">
        <x:f>+Puantaj!E286</x:f>
      </x:c>
      <x:c r="G285" s="13">
        <x:f>+Puantaj!C286</x:f>
      </x:c>
      <x:c r="H285" s="71" t="s">
        <x:v>67</x:v>
      </x:c>
    </x:row>
    <x:row r="286" spans="1:11" ht="15.75" customHeight="1" x14ac:dyDescent="0.2">
      <x:c r="B286" s="14">
        <x:v>282</x:v>
      </x:c>
      <x:c r="C286" s="41">
        <x:f>+Puantaj!A287</x:f>
      </x:c>
      <x:c r="D286" s="15">
        <x:f>+BORDRO!T287</x:f>
      </x:c>
      <x:c r="E286" s="41">
        <x:f>+Puantaj!D287</x:f>
      </x:c>
      <x:c r="F286" s="41">
        <x:f>+Puantaj!E287</x:f>
      </x:c>
      <x:c r="G286" s="13">
        <x:f>+Puantaj!C287</x:f>
      </x:c>
      <x:c r="H286" s="71" t="s">
        <x:v>67</x:v>
      </x:c>
    </x:row>
    <x:row r="287" spans="1:11" ht="15.75" customHeight="1" x14ac:dyDescent="0.2">
      <x:c r="B287" s="14">
        <x:v>283</x:v>
      </x:c>
      <x:c r="C287" s="41">
        <x:f>+Puantaj!A288</x:f>
      </x:c>
      <x:c r="D287" s="15">
        <x:f>+BORDRO!T288</x:f>
      </x:c>
      <x:c r="E287" s="41">
        <x:f>+Puantaj!D288</x:f>
      </x:c>
      <x:c r="F287" s="41">
        <x:f>+Puantaj!E288</x:f>
      </x:c>
      <x:c r="G287" s="13">
        <x:f>+Puantaj!C288</x:f>
      </x:c>
      <x:c r="H287" s="71" t="s">
        <x:v>67</x:v>
      </x:c>
    </x:row>
    <x:row r="288" spans="1:11" ht="15.75" customHeight="1" x14ac:dyDescent="0.2">
      <x:c r="B288" s="14">
        <x:v>284</x:v>
      </x:c>
      <x:c r="C288" s="41">
        <x:f>+Puantaj!A289</x:f>
      </x:c>
      <x:c r="D288" s="15">
        <x:f>+BORDRO!T289</x:f>
      </x:c>
      <x:c r="E288" s="41">
        <x:f>+Puantaj!D289</x:f>
      </x:c>
      <x:c r="F288" s="41">
        <x:f>+Puantaj!E289</x:f>
      </x:c>
      <x:c r="G288" s="13">
        <x:f>+Puantaj!C289</x:f>
      </x:c>
      <x:c r="H288" s="71" t="s">
        <x:v>67</x:v>
      </x:c>
    </x:row>
    <x:row r="289" spans="1:11" ht="15.75" customHeight="1" x14ac:dyDescent="0.2">
      <x:c r="B289" s="14">
        <x:v>285</x:v>
      </x:c>
      <x:c r="C289" s="41">
        <x:f>+Puantaj!A290</x:f>
      </x:c>
      <x:c r="D289" s="15">
        <x:f>+BORDRO!T290</x:f>
      </x:c>
      <x:c r="E289" s="41">
        <x:f>+Puantaj!D290</x:f>
      </x:c>
      <x:c r="F289" s="41">
        <x:f>+Puantaj!E290</x:f>
      </x:c>
      <x:c r="G289" s="13">
        <x:f>+Puantaj!C290</x:f>
      </x:c>
      <x:c r="H289" s="71" t="s">
        <x:v>67</x:v>
      </x:c>
    </x:row>
    <x:row r="290" spans="1:11" ht="15.75" customHeight="1" x14ac:dyDescent="0.2">
      <x:c r="B290" s="14">
        <x:v>286</x:v>
      </x:c>
      <x:c r="C290" s="41">
        <x:f>+Puantaj!A291</x:f>
      </x:c>
      <x:c r="D290" s="15">
        <x:f>+BORDRO!T291</x:f>
      </x:c>
      <x:c r="E290" s="41">
        <x:f>+Puantaj!D291</x:f>
      </x:c>
      <x:c r="F290" s="41">
        <x:f>+Puantaj!E291</x:f>
      </x:c>
      <x:c r="G290" s="13">
        <x:f>+Puantaj!C291</x:f>
      </x:c>
      <x:c r="H290" s="71" t="s">
        <x:v>67</x:v>
      </x:c>
    </x:row>
    <x:row r="291" spans="1:11" ht="15.75" customHeight="1" x14ac:dyDescent="0.2">
      <x:c r="B291" s="14">
        <x:v>287</x:v>
      </x:c>
      <x:c r="C291" s="41">
        <x:f>+Puantaj!A292</x:f>
      </x:c>
      <x:c r="D291" s="15">
        <x:f>+BORDRO!T292</x:f>
      </x:c>
      <x:c r="E291" s="41">
        <x:f>+Puantaj!D292</x:f>
      </x:c>
      <x:c r="F291" s="41">
        <x:f>+Puantaj!E292</x:f>
      </x:c>
      <x:c r="G291" s="13">
        <x:f>+Puantaj!C292</x:f>
      </x:c>
      <x:c r="H291" s="71" t="s">
        <x:v>67</x:v>
      </x:c>
    </x:row>
    <x:row r="292" spans="1:11" ht="15.75" customHeight="1" x14ac:dyDescent="0.2">
      <x:c r="B292" s="14">
        <x:v>288</x:v>
      </x:c>
      <x:c r="C292" s="41">
        <x:f>+Puantaj!A293</x:f>
      </x:c>
      <x:c r="D292" s="15">
        <x:f>+BORDRO!T293</x:f>
      </x:c>
      <x:c r="E292" s="41">
        <x:f>+Puantaj!D293</x:f>
      </x:c>
      <x:c r="F292" s="41">
        <x:f>+Puantaj!E293</x:f>
      </x:c>
      <x:c r="G292" s="13">
        <x:f>+Puantaj!C293</x:f>
      </x:c>
      <x:c r="H292" s="71" t="s">
        <x:v>67</x:v>
      </x:c>
    </x:row>
    <x:row r="293" spans="1:11" ht="15.75" customHeight="1" x14ac:dyDescent="0.2">
      <x:c r="B293" s="14">
        <x:v>289</x:v>
      </x:c>
      <x:c r="C293" s="41">
        <x:f>+Puantaj!A294</x:f>
      </x:c>
      <x:c r="D293" s="15">
        <x:f>+BORDRO!T294</x:f>
      </x:c>
      <x:c r="E293" s="41">
        <x:f>+Puantaj!D294</x:f>
      </x:c>
      <x:c r="F293" s="41">
        <x:f>+Puantaj!E294</x:f>
      </x:c>
      <x:c r="G293" s="13">
        <x:f>+Puantaj!C294</x:f>
      </x:c>
      <x:c r="H293" s="71" t="s">
        <x:v>67</x:v>
      </x:c>
    </x:row>
    <x:row r="294" spans="1:11" ht="15.75" customHeight="1" x14ac:dyDescent="0.2">
      <x:c r="B294" s="14">
        <x:v>290</x:v>
      </x:c>
      <x:c r="C294" s="41">
        <x:f>+Puantaj!A295</x:f>
      </x:c>
      <x:c r="D294" s="15">
        <x:f>+BORDRO!T295</x:f>
      </x:c>
      <x:c r="E294" s="41">
        <x:f>+Puantaj!D295</x:f>
      </x:c>
      <x:c r="F294" s="41">
        <x:f>+Puantaj!E295</x:f>
      </x:c>
      <x:c r="G294" s="13">
        <x:f>+Puantaj!C295</x:f>
      </x:c>
      <x:c r="H294" s="71" t="s">
        <x:v>67</x:v>
      </x:c>
    </x:row>
    <x:row r="295" spans="1:11" ht="15.75" customHeight="1" x14ac:dyDescent="0.2">
      <x:c r="B295" s="14">
        <x:v>291</x:v>
      </x:c>
      <x:c r="C295" s="41">
        <x:f>+Puantaj!A296</x:f>
      </x:c>
      <x:c r="D295" s="15">
        <x:f>+BORDRO!T296</x:f>
      </x:c>
      <x:c r="E295" s="41">
        <x:f>+Puantaj!D296</x:f>
      </x:c>
      <x:c r="F295" s="41">
        <x:f>+Puantaj!E296</x:f>
      </x:c>
      <x:c r="G295" s="13">
        <x:f>+Puantaj!C296</x:f>
      </x:c>
      <x:c r="H295" s="71" t="s">
        <x:v>67</x:v>
      </x:c>
    </x:row>
    <x:row r="296" spans="1:11" ht="15.75" customHeight="1" x14ac:dyDescent="0.2">
      <x:c r="B296" s="14">
        <x:v>292</x:v>
      </x:c>
      <x:c r="C296" s="41">
        <x:f>+Puantaj!A297</x:f>
      </x:c>
      <x:c r="D296" s="15">
        <x:f>+BORDRO!T297</x:f>
      </x:c>
      <x:c r="E296" s="41">
        <x:f>+Puantaj!D297</x:f>
      </x:c>
      <x:c r="F296" s="41">
        <x:f>+Puantaj!E297</x:f>
      </x:c>
      <x:c r="G296" s="13">
        <x:f>+Puantaj!C297</x:f>
      </x:c>
      <x:c r="H296" s="71" t="s">
        <x:v>67</x:v>
      </x:c>
    </x:row>
    <x:row r="297" spans="1:11" ht="15.75" customHeight="1" x14ac:dyDescent="0.2">
      <x:c r="B297" s="14">
        <x:v>293</x:v>
      </x:c>
      <x:c r="C297" s="41">
        <x:f>+Puantaj!A298</x:f>
      </x:c>
      <x:c r="D297" s="15">
        <x:f>+BORDRO!T298</x:f>
      </x:c>
      <x:c r="E297" s="41">
        <x:f>+Puantaj!D298</x:f>
      </x:c>
      <x:c r="F297" s="41">
        <x:f>+Puantaj!E298</x:f>
      </x:c>
      <x:c r="G297" s="13">
        <x:f>+Puantaj!C298</x:f>
      </x:c>
      <x:c r="H297" s="71" t="s">
        <x:v>67</x:v>
      </x:c>
    </x:row>
    <x:row r="298" spans="1:11" ht="15.75" customHeight="1" x14ac:dyDescent="0.2">
      <x:c r="B298" s="14">
        <x:v>294</x:v>
      </x:c>
      <x:c r="C298" s="41">
        <x:f>+Puantaj!A299</x:f>
      </x:c>
      <x:c r="D298" s="15">
        <x:f>+BORDRO!T299</x:f>
      </x:c>
      <x:c r="E298" s="41">
        <x:f>+Puantaj!D299</x:f>
      </x:c>
      <x:c r="F298" s="41">
        <x:f>+Puantaj!E299</x:f>
      </x:c>
      <x:c r="G298" s="13">
        <x:f>+Puantaj!C299</x:f>
      </x:c>
      <x:c r="H298" s="71" t="s">
        <x:v>67</x:v>
      </x:c>
    </x:row>
    <x:row r="299" spans="1:11" ht="15.75" customHeight="1" x14ac:dyDescent="0.2">
      <x:c r="B299" s="14">
        <x:v>295</x:v>
      </x:c>
      <x:c r="C299" s="41">
        <x:f>+Puantaj!A300</x:f>
      </x:c>
      <x:c r="D299" s="15">
        <x:f>+BORDRO!T300</x:f>
      </x:c>
      <x:c r="E299" s="41">
        <x:f>+Puantaj!D300</x:f>
      </x:c>
      <x:c r="F299" s="41">
        <x:f>+Puantaj!E300</x:f>
      </x:c>
      <x:c r="G299" s="13">
        <x:f>+Puantaj!C300</x:f>
      </x:c>
      <x:c r="H299" s="71" t="s">
        <x:v>67</x:v>
      </x:c>
    </x:row>
    <x:row r="300" spans="1:11" ht="15.75" customHeight="1" x14ac:dyDescent="0.2">
      <x:c r="B300" s="14">
        <x:v>296</x:v>
      </x:c>
      <x:c r="C300" s="41">
        <x:f>+Puantaj!A301</x:f>
      </x:c>
      <x:c r="D300" s="15">
        <x:f>+BORDRO!T301</x:f>
      </x:c>
      <x:c r="E300" s="41">
        <x:f>+Puantaj!D301</x:f>
      </x:c>
      <x:c r="F300" s="41">
        <x:f>+Puantaj!E301</x:f>
      </x:c>
      <x:c r="G300" s="13">
        <x:f>+Puantaj!C301</x:f>
      </x:c>
      <x:c r="H300" s="71" t="s">
        <x:v>67</x:v>
      </x:c>
    </x:row>
    <x:row r="301" spans="1:11" ht="15.75" customHeight="1" x14ac:dyDescent="0.2">
      <x:c r="B301" s="14">
        <x:v>297</x:v>
      </x:c>
      <x:c r="C301" s="41">
        <x:f>+Puantaj!A302</x:f>
      </x:c>
      <x:c r="D301" s="15">
        <x:f>+BORDRO!T302</x:f>
      </x:c>
      <x:c r="E301" s="41">
        <x:f>+Puantaj!D302</x:f>
      </x:c>
      <x:c r="F301" s="41">
        <x:f>+Puantaj!E302</x:f>
      </x:c>
      <x:c r="G301" s="13">
        <x:f>+Puantaj!C302</x:f>
      </x:c>
      <x:c r="H301" s="71" t="s">
        <x:v>67</x:v>
      </x:c>
    </x:row>
    <x:row r="302" spans="1:11" ht="15.75" customHeight="1" x14ac:dyDescent="0.2">
      <x:c r="B302" s="14">
        <x:v>298</x:v>
      </x:c>
      <x:c r="C302" s="41">
        <x:f>+Puantaj!A303</x:f>
      </x:c>
      <x:c r="D302" s="15">
        <x:f>+BORDRO!T303</x:f>
      </x:c>
      <x:c r="E302" s="41">
        <x:f>+Puantaj!D303</x:f>
      </x:c>
      <x:c r="F302" s="41">
        <x:f>+Puantaj!E303</x:f>
      </x:c>
      <x:c r="G302" s="13">
        <x:f>+Puantaj!C303</x:f>
      </x:c>
      <x:c r="H302" s="71" t="s">
        <x:v>67</x:v>
      </x:c>
    </x:row>
    <x:row r="303" spans="1:11" ht="15.75" customHeight="1" x14ac:dyDescent="0.2">
      <x:c r="B303" s="14">
        <x:v>299</x:v>
      </x:c>
      <x:c r="C303" s="41">
        <x:f>+Puantaj!A304</x:f>
      </x:c>
      <x:c r="D303" s="15">
        <x:f>+BORDRO!T304</x:f>
      </x:c>
      <x:c r="E303" s="41">
        <x:f>+Puantaj!D304</x:f>
      </x:c>
      <x:c r="F303" s="41">
        <x:f>+Puantaj!E304</x:f>
      </x:c>
      <x:c r="G303" s="13">
        <x:f>+Puantaj!C304</x:f>
      </x:c>
      <x:c r="H303" s="71" t="s">
        <x:v>67</x:v>
      </x:c>
    </x:row>
    <x:row r="304" spans="1:11" ht="15.75" customHeight="1" x14ac:dyDescent="0.2">
      <x:c r="B304" s="14">
        <x:v>300</x:v>
      </x:c>
      <x:c r="C304" s="41">
        <x:f>+Puantaj!A305</x:f>
      </x:c>
      <x:c r="D304" s="15">
        <x:f>+BORDRO!T305</x:f>
      </x:c>
      <x:c r="E304" s="41">
        <x:f>+Puantaj!D305</x:f>
      </x:c>
      <x:c r="F304" s="41">
        <x:f>+Puantaj!E305</x:f>
      </x:c>
      <x:c r="G304" s="13">
        <x:f>+Puantaj!C305</x:f>
      </x:c>
      <x:c r="H304" s="71" t="s">
        <x:v>67</x:v>
      </x:c>
    </x:row>
    <x:row r="305" spans="1:11" ht="15.75" customHeight="1" x14ac:dyDescent="0.2">
      <x:c r="B305" s="14">
        <x:v>301</x:v>
      </x:c>
      <x:c r="C305" s="41">
        <x:f>+Puantaj!A306</x:f>
      </x:c>
      <x:c r="D305" s="15">
        <x:f>+BORDRO!T306</x:f>
      </x:c>
      <x:c r="E305" s="41">
        <x:f>+Puantaj!D306</x:f>
      </x:c>
      <x:c r="F305" s="41">
        <x:f>+Puantaj!E306</x:f>
      </x:c>
      <x:c r="G305" s="13">
        <x:f>+Puantaj!C306</x:f>
      </x:c>
      <x:c r="H305" s="71" t="s">
        <x:v>67</x:v>
      </x:c>
    </x:row>
    <x:row r="306" spans="1:11" ht="15.75" customHeight="1" x14ac:dyDescent="0.2">
      <x:c r="B306" s="14">
        <x:v>302</x:v>
      </x:c>
      <x:c r="C306" s="41">
        <x:f>+Puantaj!A307</x:f>
      </x:c>
      <x:c r="D306" s="15">
        <x:f>+BORDRO!T307</x:f>
      </x:c>
      <x:c r="E306" s="41">
        <x:f>+Puantaj!D307</x:f>
      </x:c>
      <x:c r="F306" s="41">
        <x:f>+Puantaj!E307</x:f>
      </x:c>
      <x:c r="G306" s="13">
        <x:f>+Puantaj!C307</x:f>
      </x:c>
      <x:c r="H306" s="71" t="s">
        <x:v>67</x:v>
      </x:c>
    </x:row>
    <x:row r="307" spans="1:11" ht="15.75" customHeight="1" x14ac:dyDescent="0.2">
      <x:c r="B307" s="14">
        <x:v>303</x:v>
      </x:c>
      <x:c r="C307" s="41">
        <x:f>+Puantaj!A308</x:f>
      </x:c>
      <x:c r="D307" s="15">
        <x:f>+BORDRO!T308</x:f>
      </x:c>
      <x:c r="E307" s="41">
        <x:f>+Puantaj!D308</x:f>
      </x:c>
      <x:c r="F307" s="41">
        <x:f>+Puantaj!E308</x:f>
      </x:c>
      <x:c r="G307" s="13">
        <x:f>+Puantaj!C308</x:f>
      </x:c>
      <x:c r="H307" s="71" t="s">
        <x:v>67</x:v>
      </x:c>
    </x:row>
    <x:row r="308" spans="1:11" ht="15.75" customHeight="1" x14ac:dyDescent="0.2">
      <x:c r="B308" s="14">
        <x:v>304</x:v>
      </x:c>
      <x:c r="C308" s="41">
        <x:f>+Puantaj!A309</x:f>
      </x:c>
      <x:c r="D308" s="15">
        <x:f>+BORDRO!T309</x:f>
      </x:c>
      <x:c r="E308" s="41">
        <x:f>+Puantaj!D309</x:f>
      </x:c>
      <x:c r="F308" s="41">
        <x:f>+Puantaj!E309</x:f>
      </x:c>
      <x:c r="G308" s="13">
        <x:f>+Puantaj!C309</x:f>
      </x:c>
      <x:c r="H308" s="71" t="s">
        <x:v>67</x:v>
      </x:c>
    </x:row>
    <x:row r="309" spans="1:11" ht="15.75" customHeight="1" x14ac:dyDescent="0.2">
      <x:c r="B309" s="14">
        <x:v>305</x:v>
      </x:c>
      <x:c r="C309" s="41">
        <x:f>+Puantaj!A310</x:f>
      </x:c>
      <x:c r="D309" s="15">
        <x:f>+BORDRO!T310</x:f>
      </x:c>
      <x:c r="E309" s="41">
        <x:f>+Puantaj!D310</x:f>
      </x:c>
      <x:c r="F309" s="41">
        <x:f>+Puantaj!E310</x:f>
      </x:c>
      <x:c r="G309" s="13">
        <x:f>+Puantaj!C310</x:f>
      </x:c>
      <x:c r="H309" s="71" t="s">
        <x:v>67</x:v>
      </x:c>
    </x:row>
    <x:row r="310" spans="1:11" ht="15.75" customHeight="1" x14ac:dyDescent="0.2">
      <x:c r="B310" s="14">
        <x:v>306</x:v>
      </x:c>
      <x:c r="C310" s="41">
        <x:f>+Puantaj!A311</x:f>
      </x:c>
      <x:c r="D310" s="15">
        <x:f>+BORDRO!T311</x:f>
      </x:c>
      <x:c r="E310" s="41">
        <x:f>+Puantaj!D311</x:f>
      </x:c>
      <x:c r="F310" s="41">
        <x:f>+Puantaj!E311</x:f>
      </x:c>
      <x:c r="G310" s="13">
        <x:f>+Puantaj!C311</x:f>
      </x:c>
      <x:c r="H310" s="71" t="s">
        <x:v>67</x:v>
      </x:c>
    </x:row>
    <x:row r="311" spans="1:11" ht="15.75" customHeight="1" x14ac:dyDescent="0.2">
      <x:c r="B311" s="14">
        <x:v>307</x:v>
      </x:c>
      <x:c r="C311" s="41">
        <x:f>+Puantaj!A312</x:f>
      </x:c>
      <x:c r="D311" s="15">
        <x:f>+BORDRO!T312</x:f>
      </x:c>
      <x:c r="E311" s="41">
        <x:f>+Puantaj!D312</x:f>
      </x:c>
      <x:c r="F311" s="41">
        <x:f>+Puantaj!E312</x:f>
      </x:c>
      <x:c r="G311" s="13">
        <x:f>+Puantaj!C312</x:f>
      </x:c>
      <x:c r="H311" s="71" t="s">
        <x:v>67</x:v>
      </x:c>
    </x:row>
    <x:row r="312" spans="1:11" ht="15.75" customHeight="1" x14ac:dyDescent="0.2">
      <x:c r="B312" s="14">
        <x:v>308</x:v>
      </x:c>
      <x:c r="C312" s="41">
        <x:f>+Puantaj!A313</x:f>
      </x:c>
      <x:c r="D312" s="15">
        <x:f>+BORDRO!T313</x:f>
      </x:c>
      <x:c r="E312" s="41">
        <x:f>+Puantaj!D313</x:f>
      </x:c>
      <x:c r="F312" s="41">
        <x:f>+Puantaj!E313</x:f>
      </x:c>
      <x:c r="G312" s="13">
        <x:f>+Puantaj!C313</x:f>
      </x:c>
      <x:c r="H312" s="71" t="s">
        <x:v>67</x:v>
      </x:c>
    </x:row>
    <x:row r="313" spans="1:11" ht="15.75" customHeight="1" x14ac:dyDescent="0.2">
      <x:c r="B313" s="14">
        <x:v>309</x:v>
      </x:c>
      <x:c r="C313" s="41">
        <x:f>+Puantaj!A314</x:f>
      </x:c>
      <x:c r="D313" s="15">
        <x:f>+BORDRO!T314</x:f>
      </x:c>
      <x:c r="E313" s="41">
        <x:f>+Puantaj!D314</x:f>
      </x:c>
      <x:c r="F313" s="41">
        <x:f>+Puantaj!E314</x:f>
      </x:c>
      <x:c r="G313" s="13">
        <x:f>+Puantaj!C314</x:f>
      </x:c>
      <x:c r="H313" s="71" t="s">
        <x:v>67</x:v>
      </x:c>
    </x:row>
    <x:row r="314" spans="1:11" ht="15.75" customHeight="1" x14ac:dyDescent="0.2">
      <x:c r="B314" s="14">
        <x:v>310</x:v>
      </x:c>
      <x:c r="C314" s="41">
        <x:f>+Puantaj!A315</x:f>
      </x:c>
      <x:c r="D314" s="15">
        <x:f>+BORDRO!T315</x:f>
      </x:c>
      <x:c r="E314" s="41">
        <x:f>+Puantaj!D315</x:f>
      </x:c>
      <x:c r="F314" s="41">
        <x:f>+Puantaj!E315</x:f>
      </x:c>
      <x:c r="G314" s="13">
        <x:f>+Puantaj!C315</x:f>
      </x:c>
      <x:c r="H314" s="71" t="s">
        <x:v>67</x:v>
      </x:c>
    </x:row>
    <x:row r="315" spans="1:11" ht="15.75" customHeight="1" x14ac:dyDescent="0.2">
      <x:c r="B315" s="14">
        <x:v>311</x:v>
      </x:c>
      <x:c r="C315" s="41">
        <x:f>+Puantaj!A316</x:f>
      </x:c>
      <x:c r="D315" s="15">
        <x:f>+BORDRO!T316</x:f>
      </x:c>
      <x:c r="E315" s="41">
        <x:f>+Puantaj!D316</x:f>
      </x:c>
      <x:c r="F315" s="41">
        <x:f>+Puantaj!E316</x:f>
      </x:c>
      <x:c r="G315" s="13">
        <x:f>+Puantaj!C316</x:f>
      </x:c>
      <x:c r="H315" s="71" t="s">
        <x:v>67</x:v>
      </x:c>
    </x:row>
    <x:row r="316" spans="1:11" ht="15.75" customHeight="1" x14ac:dyDescent="0.2">
      <x:c r="B316" s="14">
        <x:v>312</x:v>
      </x:c>
      <x:c r="C316" s="41">
        <x:f>+Puantaj!A317</x:f>
      </x:c>
      <x:c r="D316" s="15">
        <x:f>+BORDRO!T317</x:f>
      </x:c>
      <x:c r="E316" s="41">
        <x:f>+Puantaj!D317</x:f>
      </x:c>
      <x:c r="F316" s="41">
        <x:f>+Puantaj!E317</x:f>
      </x:c>
      <x:c r="G316" s="13">
        <x:f>+Puantaj!C317</x:f>
      </x:c>
      <x:c r="H316" s="71" t="s">
        <x:v>67</x:v>
      </x:c>
    </x:row>
    <x:row r="317" spans="1:11" ht="15.75" customHeight="1" x14ac:dyDescent="0.2">
      <x:c r="B317" s="14">
        <x:v>313</x:v>
      </x:c>
      <x:c r="C317" s="41">
        <x:f>+Puantaj!A318</x:f>
      </x:c>
      <x:c r="D317" s="15">
        <x:f>+BORDRO!T318</x:f>
      </x:c>
      <x:c r="E317" s="41">
        <x:f>+Puantaj!D318</x:f>
      </x:c>
      <x:c r="F317" s="41">
        <x:f>+Puantaj!E318</x:f>
      </x:c>
      <x:c r="G317" s="13">
        <x:f>+Puantaj!C318</x:f>
      </x:c>
      <x:c r="H317" s="71" t="s">
        <x:v>67</x:v>
      </x:c>
    </x:row>
    <x:row r="318" spans="1:11" ht="15.75" customHeight="1" x14ac:dyDescent="0.2">
      <x:c r="B318" s="14">
        <x:v>314</x:v>
      </x:c>
      <x:c r="C318" s="41">
        <x:f>+Puantaj!A319</x:f>
      </x:c>
      <x:c r="D318" s="15">
        <x:f>+BORDRO!T319</x:f>
      </x:c>
      <x:c r="E318" s="41">
        <x:f>+Puantaj!D319</x:f>
      </x:c>
      <x:c r="F318" s="41">
        <x:f>+Puantaj!E319</x:f>
      </x:c>
      <x:c r="G318" s="13">
        <x:f>+Puantaj!C319</x:f>
      </x:c>
      <x:c r="H318" s="71" t="s">
        <x:v>67</x:v>
      </x:c>
    </x:row>
    <x:row r="319" spans="1:11" ht="15.75" customHeight="1" x14ac:dyDescent="0.2">
      <x:c r="B319" s="14">
        <x:v>315</x:v>
      </x:c>
      <x:c r="C319" s="41">
        <x:f>+Puantaj!A320</x:f>
      </x:c>
      <x:c r="D319" s="15">
        <x:f>+BORDRO!T320</x:f>
      </x:c>
      <x:c r="E319" s="41">
        <x:f>+Puantaj!D320</x:f>
      </x:c>
      <x:c r="F319" s="41">
        <x:f>+Puantaj!E320</x:f>
      </x:c>
      <x:c r="G319" s="13">
        <x:f>+Puantaj!C320</x:f>
      </x:c>
      <x:c r="H319" s="71" t="s">
        <x:v>67</x:v>
      </x:c>
    </x:row>
    <x:row r="320" spans="1:11" ht="15.75" customHeight="1" x14ac:dyDescent="0.2">
      <x:c r="B320" s="14">
        <x:v>316</x:v>
      </x:c>
      <x:c r="C320" s="41">
        <x:f>+Puantaj!A321</x:f>
      </x:c>
      <x:c r="D320" s="15">
        <x:f>+BORDRO!T321</x:f>
      </x:c>
      <x:c r="E320" s="41">
        <x:f>+Puantaj!D321</x:f>
      </x:c>
      <x:c r="F320" s="41">
        <x:f>+Puantaj!E321</x:f>
      </x:c>
      <x:c r="G320" s="13">
        <x:f>+Puantaj!C321</x:f>
      </x:c>
      <x:c r="H320" s="71" t="s">
        <x:v>67</x:v>
      </x:c>
    </x:row>
    <x:row r="321" spans="1:11" ht="15.75" customHeight="1" x14ac:dyDescent="0.2">
      <x:c r="B321" s="14">
        <x:v>317</x:v>
      </x:c>
      <x:c r="C321" s="41">
        <x:f>+Puantaj!A322</x:f>
      </x:c>
      <x:c r="D321" s="15">
        <x:f>+BORDRO!T322</x:f>
      </x:c>
      <x:c r="E321" s="41">
        <x:f>+Puantaj!D322</x:f>
      </x:c>
      <x:c r="F321" s="41">
        <x:f>+Puantaj!E322</x:f>
      </x:c>
      <x:c r="G321" s="13">
        <x:f>+Puantaj!C322</x:f>
      </x:c>
      <x:c r="H321" s="71" t="s">
        <x:v>67</x:v>
      </x:c>
    </x:row>
    <x:row r="322" spans="1:11" ht="15.75" customHeight="1" x14ac:dyDescent="0.2">
      <x:c r="B322" s="14">
        <x:v>318</x:v>
      </x:c>
      <x:c r="C322" s="41">
        <x:f>+Puantaj!A323</x:f>
      </x:c>
      <x:c r="D322" s="15">
        <x:f>+BORDRO!T323</x:f>
      </x:c>
      <x:c r="E322" s="41">
        <x:f>+Puantaj!D323</x:f>
      </x:c>
      <x:c r="F322" s="41">
        <x:f>+Puantaj!E323</x:f>
      </x:c>
      <x:c r="G322" s="13">
        <x:f>+Puantaj!C323</x:f>
      </x:c>
      <x:c r="H322" s="71" t="s">
        <x:v>67</x:v>
      </x:c>
    </x:row>
    <x:row r="323" spans="1:11" ht="15.75" customHeight="1" x14ac:dyDescent="0.2">
      <x:c r="B323" s="14">
        <x:v>319</x:v>
      </x:c>
      <x:c r="C323" s="41">
        <x:f>+Puantaj!A324</x:f>
      </x:c>
      <x:c r="D323" s="15">
        <x:f>+BORDRO!T324</x:f>
      </x:c>
      <x:c r="E323" s="41">
        <x:f>+Puantaj!D324</x:f>
      </x:c>
      <x:c r="F323" s="41">
        <x:f>+Puantaj!E324</x:f>
      </x:c>
      <x:c r="G323" s="13">
        <x:f>+Puantaj!C324</x:f>
      </x:c>
      <x:c r="H323" s="71" t="s">
        <x:v>67</x:v>
      </x:c>
    </x:row>
    <x:row r="324" spans="1:11" ht="15.75" customHeight="1" x14ac:dyDescent="0.2">
      <x:c r="B324" s="14">
        <x:v>320</x:v>
      </x:c>
      <x:c r="C324" s="41">
        <x:f>+Puantaj!A325</x:f>
      </x:c>
      <x:c r="D324" s="15">
        <x:f>+BORDRO!T325</x:f>
      </x:c>
      <x:c r="E324" s="41">
        <x:f>+Puantaj!D325</x:f>
      </x:c>
      <x:c r="F324" s="41">
        <x:f>+Puantaj!E325</x:f>
      </x:c>
      <x:c r="G324" s="13">
        <x:f>+Puantaj!C325</x:f>
      </x:c>
      <x:c r="H324" s="71" t="s">
        <x:v>67</x:v>
      </x:c>
    </x:row>
    <x:row r="325" spans="1:11" ht="15.75" customHeight="1" x14ac:dyDescent="0.2">
      <x:c r="B325" s="14">
        <x:v>321</x:v>
      </x:c>
      <x:c r="C325" s="41">
        <x:f>+Puantaj!A326</x:f>
      </x:c>
      <x:c r="D325" s="15">
        <x:f>+BORDRO!T326</x:f>
      </x:c>
      <x:c r="E325" s="41">
        <x:f>+Puantaj!D326</x:f>
      </x:c>
      <x:c r="F325" s="41">
        <x:f>+Puantaj!E326</x:f>
      </x:c>
      <x:c r="G325" s="13">
        <x:f>+Puantaj!C326</x:f>
      </x:c>
      <x:c r="H325" s="71" t="s">
        <x:v>67</x:v>
      </x:c>
    </x:row>
    <x:row r="326" spans="1:11" ht="15.75" customHeight="1" x14ac:dyDescent="0.2">
      <x:c r="B326" s="14">
        <x:v>322</x:v>
      </x:c>
      <x:c r="C326" s="41">
        <x:f>+Puantaj!A327</x:f>
      </x:c>
      <x:c r="D326" s="15">
        <x:f>+BORDRO!T327</x:f>
      </x:c>
      <x:c r="E326" s="41">
        <x:f>+Puantaj!D327</x:f>
      </x:c>
      <x:c r="F326" s="41">
        <x:f>+Puantaj!E327</x:f>
      </x:c>
      <x:c r="G326" s="13">
        <x:f>+Puantaj!C327</x:f>
      </x:c>
      <x:c r="H326" s="71" t="s">
        <x:v>67</x:v>
      </x:c>
    </x:row>
    <x:row r="327" spans="1:11" ht="15.75" customHeight="1" x14ac:dyDescent="0.2">
      <x:c r="B327" s="14">
        <x:v>323</x:v>
      </x:c>
      <x:c r="C327" s="41">
        <x:f>+Puantaj!A328</x:f>
      </x:c>
      <x:c r="D327" s="15">
        <x:f>+BORDRO!T328</x:f>
      </x:c>
      <x:c r="E327" s="41">
        <x:f>+Puantaj!D328</x:f>
      </x:c>
      <x:c r="F327" s="41">
        <x:f>+Puantaj!E328</x:f>
      </x:c>
      <x:c r="G327" s="13">
        <x:f>+Puantaj!C328</x:f>
      </x:c>
      <x:c r="H327" s="71" t="s">
        <x:v>67</x:v>
      </x:c>
    </x:row>
    <x:row r="328" spans="1:11" ht="15.75" customHeight="1" x14ac:dyDescent="0.2">
      <x:c r="B328" s="14">
        <x:v>324</x:v>
      </x:c>
      <x:c r="C328" s="41">
        <x:f>+Puantaj!A329</x:f>
      </x:c>
      <x:c r="D328" s="15">
        <x:f>+BORDRO!T329</x:f>
      </x:c>
      <x:c r="E328" s="41">
        <x:f>+Puantaj!D329</x:f>
      </x:c>
      <x:c r="F328" s="41">
        <x:f>+Puantaj!E329</x:f>
      </x:c>
      <x:c r="G328" s="13">
        <x:f>+Puantaj!C329</x:f>
      </x:c>
      <x:c r="H328" s="71" t="s">
        <x:v>67</x:v>
      </x:c>
    </x:row>
    <x:row r="329" spans="1:11" ht="15.75" customHeight="1" x14ac:dyDescent="0.2">
      <x:c r="B329" s="14">
        <x:v>325</x:v>
      </x:c>
      <x:c r="C329" s="41">
        <x:f>+Puantaj!A330</x:f>
      </x:c>
      <x:c r="D329" s="15">
        <x:f>+BORDRO!T330</x:f>
      </x:c>
      <x:c r="E329" s="41">
        <x:f>+Puantaj!D330</x:f>
      </x:c>
      <x:c r="F329" s="41">
        <x:f>+Puantaj!E330</x:f>
      </x:c>
      <x:c r="G329" s="13">
        <x:f>+Puantaj!C330</x:f>
      </x:c>
      <x:c r="H329" s="71" t="s">
        <x:v>67</x:v>
      </x:c>
    </x:row>
    <x:row r="330" spans="1:11" ht="15.75" customHeight="1" x14ac:dyDescent="0.2">
      <x:c r="B330" s="14">
        <x:v>326</x:v>
      </x:c>
      <x:c r="C330" s="41">
        <x:f>+Puantaj!A331</x:f>
      </x:c>
      <x:c r="D330" s="15">
        <x:f>+BORDRO!T331</x:f>
      </x:c>
      <x:c r="E330" s="41">
        <x:f>+Puantaj!D331</x:f>
      </x:c>
      <x:c r="F330" s="41">
        <x:f>+Puantaj!E331</x:f>
      </x:c>
      <x:c r="G330" s="13">
        <x:f>+Puantaj!C331</x:f>
      </x:c>
      <x:c r="H330" s="71" t="s">
        <x:v>67</x:v>
      </x:c>
    </x:row>
    <x:row r="331" spans="1:11" ht="15.75" customHeight="1" x14ac:dyDescent="0.2">
      <x:c r="B331" s="14">
        <x:v>327</x:v>
      </x:c>
      <x:c r="C331" s="41">
        <x:f>+Puantaj!A332</x:f>
      </x:c>
      <x:c r="D331" s="15">
        <x:f>+BORDRO!T332</x:f>
      </x:c>
      <x:c r="E331" s="41">
        <x:f>+Puantaj!D332</x:f>
      </x:c>
      <x:c r="F331" s="41">
        <x:f>+Puantaj!E332</x:f>
      </x:c>
      <x:c r="G331" s="13">
        <x:f>+Puantaj!C332</x:f>
      </x:c>
      <x:c r="H331" s="71" t="s">
        <x:v>67</x:v>
      </x:c>
    </x:row>
    <x:row r="332" spans="1:11" ht="15.75" customHeight="1" x14ac:dyDescent="0.2">
      <x:c r="B332" s="14">
        <x:v>328</x:v>
      </x:c>
      <x:c r="C332" s="41">
        <x:f>+Puantaj!A333</x:f>
      </x:c>
      <x:c r="D332" s="15">
        <x:f>+BORDRO!T333</x:f>
      </x:c>
      <x:c r="E332" s="41">
        <x:f>+Puantaj!D333</x:f>
      </x:c>
      <x:c r="F332" s="41">
        <x:f>+Puantaj!E333</x:f>
      </x:c>
      <x:c r="G332" s="13">
        <x:f>+Puantaj!C333</x:f>
      </x:c>
      <x:c r="H332" s="71" t="s">
        <x:v>67</x:v>
      </x:c>
    </x:row>
    <x:row r="333" spans="1:11" ht="15.75" customHeight="1" x14ac:dyDescent="0.2">
      <x:c r="B333" s="14">
        <x:v>329</x:v>
      </x:c>
      <x:c r="C333" s="41">
        <x:f>+Puantaj!A334</x:f>
      </x:c>
      <x:c r="D333" s="15">
        <x:f>+BORDRO!T334</x:f>
      </x:c>
      <x:c r="E333" s="41">
        <x:f>+Puantaj!D334</x:f>
      </x:c>
      <x:c r="F333" s="41">
        <x:f>+Puantaj!E334</x:f>
      </x:c>
      <x:c r="G333" s="13">
        <x:f>+Puantaj!C334</x:f>
      </x:c>
      <x:c r="H333" s="71" t="s">
        <x:v>67</x:v>
      </x:c>
    </x:row>
    <x:row r="334" spans="1:11" ht="15.75" customHeight="1" x14ac:dyDescent="0.2">
      <x:c r="B334" s="14">
        <x:v>330</x:v>
      </x:c>
      <x:c r="C334" s="41">
        <x:f>+Puantaj!A335</x:f>
      </x:c>
      <x:c r="D334" s="15">
        <x:f>+BORDRO!T335</x:f>
      </x:c>
      <x:c r="E334" s="41">
        <x:f>+Puantaj!D335</x:f>
      </x:c>
      <x:c r="F334" s="41">
        <x:f>+Puantaj!E335</x:f>
      </x:c>
      <x:c r="G334" s="13">
        <x:f>+Puantaj!C335</x:f>
      </x:c>
      <x:c r="H334" s="71" t="s">
        <x:v>67</x:v>
      </x:c>
    </x:row>
    <x:row r="335" spans="1:11" ht="15.75" customHeight="1" x14ac:dyDescent="0.2">
      <x:c r="B335" s="14">
        <x:v>331</x:v>
      </x:c>
      <x:c r="C335" s="41">
        <x:f>+Puantaj!A336</x:f>
      </x:c>
      <x:c r="D335" s="15">
        <x:f>+BORDRO!T336</x:f>
      </x:c>
      <x:c r="E335" s="41">
        <x:f>+Puantaj!D336</x:f>
      </x:c>
      <x:c r="F335" s="41">
        <x:f>+Puantaj!E336</x:f>
      </x:c>
      <x:c r="G335" s="13">
        <x:f>+Puantaj!C336</x:f>
      </x:c>
      <x:c r="H335" s="71" t="s">
        <x:v>67</x:v>
      </x:c>
    </x:row>
    <x:row r="336" spans="1:11" ht="15.75" customHeight="1" x14ac:dyDescent="0.2">
      <x:c r="B336" s="14">
        <x:v>332</x:v>
      </x:c>
      <x:c r="C336" s="41">
        <x:f>+Puantaj!A337</x:f>
      </x:c>
      <x:c r="D336" s="15">
        <x:f>+BORDRO!T337</x:f>
      </x:c>
      <x:c r="E336" s="41">
        <x:f>+Puantaj!D337</x:f>
      </x:c>
      <x:c r="F336" s="41">
        <x:f>+Puantaj!E337</x:f>
      </x:c>
      <x:c r="G336" s="13">
        <x:f>+Puantaj!C337</x:f>
      </x:c>
      <x:c r="H336" s="71" t="s">
        <x:v>67</x:v>
      </x:c>
    </x:row>
    <x:row r="337" spans="1:11" ht="15.75" customHeight="1" x14ac:dyDescent="0.2">
      <x:c r="B337" s="14">
        <x:v>333</x:v>
      </x:c>
      <x:c r="C337" s="41">
        <x:f>+Puantaj!A338</x:f>
      </x:c>
      <x:c r="D337" s="15">
        <x:f>+BORDRO!T338</x:f>
      </x:c>
      <x:c r="E337" s="41">
        <x:f>+Puantaj!D338</x:f>
      </x:c>
      <x:c r="F337" s="41">
        <x:f>+Puantaj!E338</x:f>
      </x:c>
      <x:c r="G337" s="13">
        <x:f>+Puantaj!C338</x:f>
      </x:c>
      <x:c r="H337" s="71" t="s">
        <x:v>67</x:v>
      </x:c>
    </x:row>
    <x:row r="338" spans="1:11" ht="15.75" customHeight="1" x14ac:dyDescent="0.2">
      <x:c r="B338" s="14">
        <x:v>334</x:v>
      </x:c>
      <x:c r="C338" s="41">
        <x:f>+Puantaj!A339</x:f>
      </x:c>
      <x:c r="D338" s="15">
        <x:f>+BORDRO!T339</x:f>
      </x:c>
      <x:c r="E338" s="41">
        <x:f>+Puantaj!D339</x:f>
      </x:c>
      <x:c r="F338" s="41">
        <x:f>+Puantaj!E339</x:f>
      </x:c>
      <x:c r="G338" s="13">
        <x:f>+Puantaj!C339</x:f>
      </x:c>
      <x:c r="H338" s="71" t="s">
        <x:v>67</x:v>
      </x:c>
    </x:row>
    <x:row r="339" spans="1:11" ht="15.75" customHeight="1" x14ac:dyDescent="0.2">
      <x:c r="B339" s="14">
        <x:v>335</x:v>
      </x:c>
      <x:c r="C339" s="41">
        <x:f>+Puantaj!A340</x:f>
      </x:c>
      <x:c r="D339" s="15">
        <x:f>+BORDRO!T340</x:f>
      </x:c>
      <x:c r="E339" s="41">
        <x:f>+Puantaj!D340</x:f>
      </x:c>
      <x:c r="F339" s="41">
        <x:f>+Puantaj!E340</x:f>
      </x:c>
      <x:c r="G339" s="13">
        <x:f>+Puantaj!C340</x:f>
      </x:c>
      <x:c r="H339" s="71" t="s">
        <x:v>67</x:v>
      </x:c>
    </x:row>
    <x:row r="340" spans="1:11" ht="15.75" customHeight="1" x14ac:dyDescent="0.2">
      <x:c r="B340" s="14">
        <x:v>336</x:v>
      </x:c>
      <x:c r="C340" s="41">
        <x:f>+Puantaj!A341</x:f>
      </x:c>
      <x:c r="D340" s="15">
        <x:f>+BORDRO!T341</x:f>
      </x:c>
      <x:c r="E340" s="41">
        <x:f>+Puantaj!D341</x:f>
      </x:c>
      <x:c r="F340" s="41">
        <x:f>+Puantaj!E341</x:f>
      </x:c>
      <x:c r="G340" s="13">
        <x:f>+Puantaj!C341</x:f>
      </x:c>
      <x:c r="H340" s="71" t="s">
        <x:v>67</x:v>
      </x:c>
    </x:row>
    <x:row r="341" spans="1:11" ht="15.75" customHeight="1" x14ac:dyDescent="0.2">
      <x:c r="B341" s="14">
        <x:v>337</x:v>
      </x:c>
      <x:c r="C341" s="41">
        <x:f>+Puantaj!A342</x:f>
      </x:c>
      <x:c r="D341" s="15">
        <x:f>+BORDRO!T342</x:f>
      </x:c>
      <x:c r="E341" s="41">
        <x:f>+Puantaj!D342</x:f>
      </x:c>
      <x:c r="F341" s="41">
        <x:f>+Puantaj!E342</x:f>
      </x:c>
      <x:c r="G341" s="13">
        <x:f>+Puantaj!C342</x:f>
      </x:c>
      <x:c r="H341" s="71" t="s">
        <x:v>67</x:v>
      </x:c>
    </x:row>
    <x:row r="342" spans="1:11" ht="15.75" customHeight="1" x14ac:dyDescent="0.2">
      <x:c r="B342" s="14">
        <x:v>338</x:v>
      </x:c>
      <x:c r="C342" s="41">
        <x:f>+Puantaj!A343</x:f>
      </x:c>
      <x:c r="D342" s="15">
        <x:f>+BORDRO!T343</x:f>
      </x:c>
      <x:c r="E342" s="41">
        <x:f>+Puantaj!D343</x:f>
      </x:c>
      <x:c r="F342" s="41">
        <x:f>+Puantaj!E343</x:f>
      </x:c>
      <x:c r="G342" s="13">
        <x:f>+Puantaj!C343</x:f>
      </x:c>
      <x:c r="H342" s="71" t="s">
        <x:v>67</x:v>
      </x:c>
    </x:row>
    <x:row r="343" spans="1:11" ht="15.75" customHeight="1" x14ac:dyDescent="0.2">
      <x:c r="B343" s="14">
        <x:v>339</x:v>
      </x:c>
      <x:c r="C343" s="41">
        <x:f>+Puantaj!A344</x:f>
      </x:c>
      <x:c r="D343" s="15">
        <x:f>+BORDRO!T344</x:f>
      </x:c>
      <x:c r="E343" s="41">
        <x:f>+Puantaj!D344</x:f>
      </x:c>
      <x:c r="F343" s="41">
        <x:f>+Puantaj!E344</x:f>
      </x:c>
      <x:c r="G343" s="13">
        <x:f>+Puantaj!C344</x:f>
      </x:c>
      <x:c r="H343" s="71" t="s">
        <x:v>67</x:v>
      </x:c>
    </x:row>
    <x:row r="344" spans="1:11" ht="15.75" customHeight="1" x14ac:dyDescent="0.2">
      <x:c r="B344" s="14">
        <x:v>340</x:v>
      </x:c>
      <x:c r="C344" s="41">
        <x:f>+Puantaj!A345</x:f>
      </x:c>
      <x:c r="D344" s="15">
        <x:f>+BORDRO!T345</x:f>
      </x:c>
      <x:c r="E344" s="41">
        <x:f>+Puantaj!D345</x:f>
      </x:c>
      <x:c r="F344" s="41">
        <x:f>+Puantaj!E345</x:f>
      </x:c>
      <x:c r="G344" s="13">
        <x:f>+Puantaj!C345</x:f>
      </x:c>
      <x:c r="H344" s="71" t="s">
        <x:v>67</x:v>
      </x:c>
    </x:row>
    <x:row r="345" spans="1:11" ht="15.75" customHeight="1" x14ac:dyDescent="0.2">
      <x:c r="B345" s="14">
        <x:v>341</x:v>
      </x:c>
      <x:c r="C345" s="41">
        <x:f>+Puantaj!A346</x:f>
      </x:c>
      <x:c r="D345" s="15">
        <x:f>+BORDRO!T346</x:f>
      </x:c>
      <x:c r="E345" s="41">
        <x:f>+Puantaj!D346</x:f>
      </x:c>
      <x:c r="F345" s="41">
        <x:f>+Puantaj!E346</x:f>
      </x:c>
      <x:c r="G345" s="13">
        <x:f>+Puantaj!C346</x:f>
      </x:c>
      <x:c r="H345" s="71" t="s">
        <x:v>67</x:v>
      </x:c>
    </x:row>
    <x:row r="346" spans="1:11" ht="15.75" customHeight="1" x14ac:dyDescent="0.2">
      <x:c r="B346" s="14">
        <x:v>342</x:v>
      </x:c>
      <x:c r="C346" s="41">
        <x:f>+Puantaj!A347</x:f>
      </x:c>
      <x:c r="D346" s="15">
        <x:f>+BORDRO!T347</x:f>
      </x:c>
      <x:c r="E346" s="41">
        <x:f>+Puantaj!D347</x:f>
      </x:c>
      <x:c r="F346" s="41">
        <x:f>+Puantaj!E347</x:f>
      </x:c>
      <x:c r="G346" s="13">
        <x:f>+Puantaj!C347</x:f>
      </x:c>
      <x:c r="H346" s="71" t="s">
        <x:v>67</x:v>
      </x:c>
    </x:row>
    <x:row r="347" spans="1:11" ht="15.75" customHeight="1" x14ac:dyDescent="0.2">
      <x:c r="B347" s="14">
        <x:v>343</x:v>
      </x:c>
      <x:c r="C347" s="41">
        <x:f>+Puantaj!A348</x:f>
      </x:c>
      <x:c r="D347" s="15">
        <x:f>+BORDRO!T348</x:f>
      </x:c>
      <x:c r="E347" s="41">
        <x:f>+Puantaj!D348</x:f>
      </x:c>
      <x:c r="F347" s="41">
        <x:f>+Puantaj!E348</x:f>
      </x:c>
      <x:c r="G347" s="13">
        <x:f>+Puantaj!C348</x:f>
      </x:c>
      <x:c r="H347" s="71" t="s">
        <x:v>67</x:v>
      </x:c>
    </x:row>
    <x:row r="348" spans="1:11" ht="15.75" customHeight="1" x14ac:dyDescent="0.2">
      <x:c r="B348" s="14">
        <x:v>344</x:v>
      </x:c>
      <x:c r="C348" s="41">
        <x:f>+Puantaj!A349</x:f>
      </x:c>
      <x:c r="D348" s="15">
        <x:f>+BORDRO!T349</x:f>
      </x:c>
      <x:c r="E348" s="41">
        <x:f>+Puantaj!D349</x:f>
      </x:c>
      <x:c r="F348" s="41">
        <x:f>+Puantaj!E349</x:f>
      </x:c>
      <x:c r="G348" s="13">
        <x:f>+Puantaj!C349</x:f>
      </x:c>
      <x:c r="H348" s="71" t="s">
        <x:v>67</x:v>
      </x:c>
    </x:row>
    <x:row r="349" spans="1:11" ht="15.75" customHeight="1" x14ac:dyDescent="0.2">
      <x:c r="B349" s="14">
        <x:v>345</x:v>
      </x:c>
      <x:c r="C349" s="41">
        <x:f>+Puantaj!A350</x:f>
      </x:c>
      <x:c r="D349" s="15">
        <x:f>+BORDRO!T350</x:f>
      </x:c>
      <x:c r="E349" s="41">
        <x:f>+Puantaj!D350</x:f>
      </x:c>
      <x:c r="F349" s="41">
        <x:f>+Puantaj!E350</x:f>
      </x:c>
      <x:c r="G349" s="13">
        <x:f>+Puantaj!C350</x:f>
      </x:c>
      <x:c r="H349" s="71" t="s">
        <x:v>67</x:v>
      </x:c>
    </x:row>
    <x:row r="350" spans="1:11" ht="15.75" customHeight="1" x14ac:dyDescent="0.2">
      <x:c r="B350" s="14">
        <x:v>346</x:v>
      </x:c>
      <x:c r="C350" s="41">
        <x:f>+Puantaj!A351</x:f>
      </x:c>
      <x:c r="D350" s="15">
        <x:f>+BORDRO!T351</x:f>
      </x:c>
      <x:c r="E350" s="41">
        <x:f>+Puantaj!D351</x:f>
      </x:c>
      <x:c r="F350" s="41">
        <x:f>+Puantaj!E351</x:f>
      </x:c>
      <x:c r="G350" s="13">
        <x:f>+Puantaj!C351</x:f>
      </x:c>
      <x:c r="H350" s="71" t="s">
        <x:v>67</x:v>
      </x:c>
    </x:row>
    <x:row r="351" spans="1:11" ht="15.75" customHeight="1" x14ac:dyDescent="0.2">
      <x:c r="B351" s="14">
        <x:v>347</x:v>
      </x:c>
      <x:c r="C351" s="41">
        <x:f>+Puantaj!A352</x:f>
      </x:c>
      <x:c r="D351" s="15">
        <x:f>+BORDRO!T352</x:f>
      </x:c>
      <x:c r="E351" s="41">
        <x:f>+Puantaj!D352</x:f>
      </x:c>
      <x:c r="F351" s="41">
        <x:f>+Puantaj!E352</x:f>
      </x:c>
      <x:c r="G351" s="13">
        <x:f>+Puantaj!C352</x:f>
      </x:c>
      <x:c r="H351" s="71" t="s">
        <x:v>67</x:v>
      </x:c>
    </x:row>
    <x:row r="352" spans="1:11" ht="15.75" customHeight="1" x14ac:dyDescent="0.2">
      <x:c r="B352" s="14">
        <x:v>348</x:v>
      </x:c>
      <x:c r="C352" s="41">
        <x:f>+Puantaj!A353</x:f>
      </x:c>
      <x:c r="D352" s="15">
        <x:f>+BORDRO!T353</x:f>
      </x:c>
      <x:c r="E352" s="41">
        <x:f>+Puantaj!D353</x:f>
      </x:c>
      <x:c r="F352" s="41">
        <x:f>+Puantaj!E353</x:f>
      </x:c>
      <x:c r="G352" s="13">
        <x:f>+Puantaj!C353</x:f>
      </x:c>
      <x:c r="H352" s="71" t="s">
        <x:v>67</x:v>
      </x:c>
    </x:row>
    <x:row r="353" spans="1:11" ht="15.75" customHeight="1" x14ac:dyDescent="0.2">
      <x:c r="B353" s="14">
        <x:v>349</x:v>
      </x:c>
      <x:c r="C353" s="41">
        <x:f>+Puantaj!A354</x:f>
      </x:c>
      <x:c r="D353" s="15">
        <x:f>+BORDRO!T354</x:f>
      </x:c>
      <x:c r="E353" s="41">
        <x:f>+Puantaj!D354</x:f>
      </x:c>
      <x:c r="F353" s="41">
        <x:f>+Puantaj!E354</x:f>
      </x:c>
      <x:c r="G353" s="13">
        <x:f>+Puantaj!C354</x:f>
      </x:c>
      <x:c r="H353" s="71" t="s">
        <x:v>67</x:v>
      </x:c>
    </x:row>
    <x:row r="354" spans="1:11" ht="15.75" customHeight="1" x14ac:dyDescent="0.2">
      <x:c r="B354" s="14">
        <x:v>350</x:v>
      </x:c>
      <x:c r="C354" s="41">
        <x:f>+Puantaj!A355</x:f>
      </x:c>
      <x:c r="D354" s="15">
        <x:f>+BORDRO!T355</x:f>
      </x:c>
      <x:c r="E354" s="41">
        <x:f>+Puantaj!D355</x:f>
      </x:c>
      <x:c r="F354" s="41">
        <x:f>+Puantaj!E355</x:f>
      </x:c>
      <x:c r="G354" s="13">
        <x:f>+Puantaj!C355</x:f>
      </x:c>
      <x:c r="H354" s="71" t="s">
        <x:v>67</x:v>
      </x:c>
    </x:row>
    <x:row r="355" spans="1:11" ht="15.75" customHeight="1" x14ac:dyDescent="0.2">
      <x:c r="B355" s="14">
        <x:v>351</x:v>
      </x:c>
      <x:c r="C355" s="41">
        <x:f>+Puantaj!A356</x:f>
      </x:c>
      <x:c r="D355" s="15">
        <x:f>+BORDRO!T356</x:f>
      </x:c>
      <x:c r="E355" s="41">
        <x:f>+Puantaj!D356</x:f>
      </x:c>
      <x:c r="F355" s="41">
        <x:f>+Puantaj!E356</x:f>
      </x:c>
      <x:c r="G355" s="13">
        <x:f>+Puantaj!C356</x:f>
      </x:c>
      <x:c r="H355" s="71" t="s">
        <x:v>67</x:v>
      </x:c>
    </x:row>
    <x:row r="356" spans="1:11" ht="15.75" customHeight="1" x14ac:dyDescent="0.2">
      <x:c r="B356" s="14">
        <x:v>352</x:v>
      </x:c>
      <x:c r="C356" s="41">
        <x:f>+Puantaj!A357</x:f>
      </x:c>
      <x:c r="D356" s="15">
        <x:f>+BORDRO!T357</x:f>
      </x:c>
      <x:c r="E356" s="41">
        <x:f>+Puantaj!D357</x:f>
      </x:c>
      <x:c r="F356" s="41">
        <x:f>+Puantaj!E357</x:f>
      </x:c>
      <x:c r="G356" s="13">
        <x:f>+Puantaj!C357</x:f>
      </x:c>
      <x:c r="H356" s="71" t="s">
        <x:v>67</x:v>
      </x:c>
    </x:row>
    <x:row r="357" spans="1:11" ht="15.75" customHeight="1" x14ac:dyDescent="0.2">
      <x:c r="B357" s="14">
        <x:v>353</x:v>
      </x:c>
      <x:c r="C357" s="41">
        <x:f>+Puantaj!A358</x:f>
      </x:c>
      <x:c r="D357" s="15">
        <x:f>+BORDRO!T358</x:f>
      </x:c>
      <x:c r="E357" s="41">
        <x:f>+Puantaj!D358</x:f>
      </x:c>
      <x:c r="F357" s="41">
        <x:f>+Puantaj!E358</x:f>
      </x:c>
      <x:c r="G357" s="13">
        <x:f>+Puantaj!C358</x:f>
      </x:c>
      <x:c r="H357" s="71" t="s">
        <x:v>67</x:v>
      </x:c>
    </x:row>
    <x:row r="358" spans="1:11" ht="15.75" customHeight="1" x14ac:dyDescent="0.2">
      <x:c r="B358" s="14">
        <x:v>354</x:v>
      </x:c>
      <x:c r="C358" s="41">
        <x:f>+Puantaj!A359</x:f>
      </x:c>
      <x:c r="D358" s="15">
        <x:f>+BORDRO!T359</x:f>
      </x:c>
      <x:c r="E358" s="41">
        <x:f>+Puantaj!D359</x:f>
      </x:c>
      <x:c r="F358" s="41">
        <x:f>+Puantaj!E359</x:f>
      </x:c>
      <x:c r="G358" s="13">
        <x:f>+Puantaj!C359</x:f>
      </x:c>
      <x:c r="H358" s="71" t="s">
        <x:v>67</x:v>
      </x:c>
    </x:row>
    <x:row r="359" spans="1:11" ht="15.75" customHeight="1" x14ac:dyDescent="0.2">
      <x:c r="B359" s="14">
        <x:v>355</x:v>
      </x:c>
      <x:c r="C359" s="41">
        <x:f>+Puantaj!A360</x:f>
      </x:c>
      <x:c r="D359" s="15">
        <x:f>+BORDRO!T360</x:f>
      </x:c>
      <x:c r="E359" s="41">
        <x:f>+Puantaj!D360</x:f>
      </x:c>
      <x:c r="F359" s="41">
        <x:f>+Puantaj!E360</x:f>
      </x:c>
      <x:c r="G359" s="13">
        <x:f>+Puantaj!C360</x:f>
      </x:c>
      <x:c r="H359" s="71" t="s">
        <x:v>67</x:v>
      </x:c>
    </x:row>
    <x:row r="360" spans="1:11" ht="15.75" customHeight="1" x14ac:dyDescent="0.2">
      <x:c r="B360" s="14">
        <x:v>356</x:v>
      </x:c>
      <x:c r="C360" s="41">
        <x:f>+Puantaj!A361</x:f>
      </x:c>
      <x:c r="D360" s="15">
        <x:f>+BORDRO!T361</x:f>
      </x:c>
      <x:c r="E360" s="41">
        <x:f>+Puantaj!D361</x:f>
      </x:c>
      <x:c r="F360" s="41">
        <x:f>+Puantaj!E361</x:f>
      </x:c>
      <x:c r="G360" s="13">
        <x:f>+Puantaj!C361</x:f>
      </x:c>
      <x:c r="H360" s="71" t="s">
        <x:v>67</x:v>
      </x:c>
    </x:row>
    <x:row r="361" spans="1:11" ht="15.75" customHeight="1" x14ac:dyDescent="0.2">
      <x:c r="B361" s="14">
        <x:v>357</x:v>
      </x:c>
      <x:c r="C361" s="41">
        <x:f>+Puantaj!A362</x:f>
      </x:c>
      <x:c r="D361" s="15">
        <x:f>+BORDRO!T362</x:f>
      </x:c>
      <x:c r="E361" s="41">
        <x:f>+Puantaj!D362</x:f>
      </x:c>
      <x:c r="F361" s="41">
        <x:f>+Puantaj!E362</x:f>
      </x:c>
      <x:c r="G361" s="13">
        <x:f>+Puantaj!C362</x:f>
      </x:c>
      <x:c r="H361" s="71" t="s">
        <x:v>67</x:v>
      </x:c>
    </x:row>
    <x:row r="362" spans="1:11" ht="15.75" customHeight="1" x14ac:dyDescent="0.2">
      <x:c r="B362" s="14">
        <x:v>358</x:v>
      </x:c>
      <x:c r="C362" s="41">
        <x:f>+Puantaj!A363</x:f>
      </x:c>
      <x:c r="D362" s="15">
        <x:f>+BORDRO!T363</x:f>
      </x:c>
      <x:c r="E362" s="41">
        <x:f>+Puantaj!D363</x:f>
      </x:c>
      <x:c r="F362" s="41">
        <x:f>+Puantaj!E363</x:f>
      </x:c>
      <x:c r="G362" s="13">
        <x:f>+Puantaj!C363</x:f>
      </x:c>
      <x:c r="H362" s="71" t="s">
        <x:v>67</x:v>
      </x:c>
    </x:row>
    <x:row r="363" spans="1:11" ht="15.75" customHeight="1" x14ac:dyDescent="0.2">
      <x:c r="B363" s="14">
        <x:v>359</x:v>
      </x:c>
      <x:c r="C363" s="41">
        <x:f>+Puantaj!A364</x:f>
      </x:c>
      <x:c r="D363" s="15">
        <x:f>+BORDRO!T364</x:f>
      </x:c>
      <x:c r="E363" s="41">
        <x:f>+Puantaj!D364</x:f>
      </x:c>
      <x:c r="F363" s="41">
        <x:f>+Puantaj!E364</x:f>
      </x:c>
      <x:c r="G363" s="13">
        <x:f>+Puantaj!C364</x:f>
      </x:c>
      <x:c r="H363" s="71" t="s">
        <x:v>67</x:v>
      </x:c>
    </x:row>
    <x:row r="364" spans="1:11" ht="15.75" customHeight="1" x14ac:dyDescent="0.2">
      <x:c r="B364" s="14">
        <x:v>360</x:v>
      </x:c>
      <x:c r="C364" s="41">
        <x:f>+Puantaj!A365</x:f>
      </x:c>
      <x:c r="D364" s="15">
        <x:f>+BORDRO!T365</x:f>
      </x:c>
      <x:c r="E364" s="41">
        <x:f>+Puantaj!D365</x:f>
      </x:c>
      <x:c r="F364" s="41">
        <x:f>+Puantaj!E365</x:f>
      </x:c>
      <x:c r="G364" s="13">
        <x:f>+Puantaj!C365</x:f>
      </x:c>
      <x:c r="H364" s="71" t="s">
        <x:v>67</x:v>
      </x:c>
    </x:row>
    <x:row r="365" spans="1:11" ht="15.75" customHeight="1" x14ac:dyDescent="0.2">
      <x:c r="B365" s="14">
        <x:v>361</x:v>
      </x:c>
      <x:c r="C365" s="41">
        <x:f>+Puantaj!A366</x:f>
      </x:c>
      <x:c r="D365" s="15">
        <x:f>+BORDRO!T366</x:f>
      </x:c>
      <x:c r="E365" s="41">
        <x:f>+Puantaj!D366</x:f>
      </x:c>
      <x:c r="F365" s="41">
        <x:f>+Puantaj!E366</x:f>
      </x:c>
      <x:c r="G365" s="13">
        <x:f>+Puantaj!C366</x:f>
      </x:c>
      <x:c r="H365" s="71" t="s">
        <x:v>67</x:v>
      </x:c>
    </x:row>
    <x:row r="366" spans="1:11" ht="15.75" customHeight="1" x14ac:dyDescent="0.2">
      <x:c r="B366" s="14">
        <x:v>362</x:v>
      </x:c>
      <x:c r="C366" s="41">
        <x:f>+Puantaj!A367</x:f>
      </x:c>
      <x:c r="D366" s="15">
        <x:f>+BORDRO!T367</x:f>
      </x:c>
      <x:c r="E366" s="41">
        <x:f>+Puantaj!D367</x:f>
      </x:c>
      <x:c r="F366" s="41">
        <x:f>+Puantaj!E367</x:f>
      </x:c>
      <x:c r="G366" s="13">
        <x:f>+Puantaj!C367</x:f>
      </x:c>
      <x:c r="H366" s="71" t="s">
        <x:v>67</x:v>
      </x:c>
    </x:row>
    <x:row r="367" spans="1:11" ht="15.75" customHeight="1" x14ac:dyDescent="0.2">
      <x:c r="B367" s="14">
        <x:v>363</x:v>
      </x:c>
      <x:c r="C367" s="41">
        <x:f>+Puantaj!A368</x:f>
      </x:c>
      <x:c r="D367" s="15">
        <x:f>+BORDRO!T368</x:f>
      </x:c>
      <x:c r="E367" s="41">
        <x:f>+Puantaj!D368</x:f>
      </x:c>
      <x:c r="F367" s="41">
        <x:f>+Puantaj!E368</x:f>
      </x:c>
      <x:c r="G367" s="13">
        <x:f>+Puantaj!C368</x:f>
      </x:c>
      <x:c r="H367" s="71" t="s">
        <x:v>67</x:v>
      </x:c>
    </x:row>
    <x:row r="368" spans="1:11" ht="15.75" customHeight="1" x14ac:dyDescent="0.2">
      <x:c r="B368" s="14">
        <x:v>364</x:v>
      </x:c>
      <x:c r="C368" s="41">
        <x:f>+Puantaj!A369</x:f>
      </x:c>
      <x:c r="D368" s="15">
        <x:f>+BORDRO!T369</x:f>
      </x:c>
      <x:c r="E368" s="41">
        <x:f>+Puantaj!D369</x:f>
      </x:c>
      <x:c r="F368" s="41">
        <x:f>+Puantaj!E369</x:f>
      </x:c>
      <x:c r="G368" s="13">
        <x:f>+Puantaj!C369</x:f>
      </x:c>
      <x:c r="H368" s="71" t="s">
        <x:v>67</x:v>
      </x:c>
    </x:row>
    <x:row r="369" spans="1:11" ht="15.75" customHeight="1" x14ac:dyDescent="0.2">
      <x:c r="B369" s="14">
        <x:v>365</x:v>
      </x:c>
      <x:c r="C369" s="41">
        <x:f>+Puantaj!A370</x:f>
      </x:c>
      <x:c r="D369" s="15">
        <x:f>+BORDRO!T370</x:f>
      </x:c>
      <x:c r="E369" s="41">
        <x:f>+Puantaj!D370</x:f>
      </x:c>
      <x:c r="F369" s="41">
        <x:f>+Puantaj!E370</x:f>
      </x:c>
      <x:c r="G369" s="13">
        <x:f>+Puantaj!C370</x:f>
      </x:c>
      <x:c r="H369" s="71" t="s">
        <x:v>67</x:v>
      </x:c>
    </x:row>
    <x:row r="370" spans="1:11" ht="15.75" customHeight="1" x14ac:dyDescent="0.2">
      <x:c r="B370" s="14">
        <x:v>366</x:v>
      </x:c>
      <x:c r="C370" s="41">
        <x:f>+Puantaj!A371</x:f>
      </x:c>
      <x:c r="D370" s="15">
        <x:f>+BORDRO!T371</x:f>
      </x:c>
      <x:c r="E370" s="41">
        <x:f>+Puantaj!D371</x:f>
      </x:c>
      <x:c r="F370" s="41">
        <x:f>+Puantaj!E371</x:f>
      </x:c>
      <x:c r="G370" s="13">
        <x:f>+Puantaj!C371</x:f>
      </x:c>
      <x:c r="H370" s="71" t="s">
        <x:v>67</x:v>
      </x:c>
    </x:row>
    <x:row r="371" spans="1:11" ht="15.75" customHeight="1" x14ac:dyDescent="0.2">
      <x:c r="B371" s="14">
        <x:v>367</x:v>
      </x:c>
      <x:c r="C371" s="41">
        <x:f>+Puantaj!A372</x:f>
      </x:c>
      <x:c r="D371" s="15">
        <x:f>+BORDRO!T372</x:f>
      </x:c>
      <x:c r="E371" s="41">
        <x:f>+Puantaj!D372</x:f>
      </x:c>
      <x:c r="F371" s="41">
        <x:f>+Puantaj!E372</x:f>
      </x:c>
      <x:c r="G371" s="13">
        <x:f>+Puantaj!C372</x:f>
      </x:c>
      <x:c r="H371" s="71" t="s">
        <x:v>67</x:v>
      </x:c>
    </x:row>
    <x:row r="372" spans="1:11" ht="15.75" customHeight="1" x14ac:dyDescent="0.2">
      <x:c r="B372" s="14">
        <x:v>368</x:v>
      </x:c>
      <x:c r="C372" s="41">
        <x:f>+Puantaj!A373</x:f>
      </x:c>
      <x:c r="D372" s="15">
        <x:f>+BORDRO!T373</x:f>
      </x:c>
      <x:c r="E372" s="41">
        <x:f>+Puantaj!D373</x:f>
      </x:c>
      <x:c r="F372" s="41">
        <x:f>+Puantaj!E373</x:f>
      </x:c>
      <x:c r="G372" s="13">
        <x:f>+Puantaj!C373</x:f>
      </x:c>
      <x:c r="H372" s="71" t="s">
        <x:v>67</x:v>
      </x:c>
    </x:row>
    <x:row r="373" spans="1:11" ht="15.75" customHeight="1" x14ac:dyDescent="0.2">
      <x:c r="B373" s="14">
        <x:v>369</x:v>
      </x:c>
      <x:c r="C373" s="41">
        <x:f>+Puantaj!A374</x:f>
      </x:c>
      <x:c r="D373" s="15">
        <x:f>+BORDRO!T374</x:f>
      </x:c>
      <x:c r="E373" s="41">
        <x:f>+Puantaj!D374</x:f>
      </x:c>
      <x:c r="F373" s="41">
        <x:f>+Puantaj!E374</x:f>
      </x:c>
      <x:c r="G373" s="13">
        <x:f>+Puantaj!C374</x:f>
      </x:c>
      <x:c r="H373" s="71" t="s">
        <x:v>67</x:v>
      </x:c>
    </x:row>
    <x:row r="374" spans="1:11" ht="15.75" customHeight="1" x14ac:dyDescent="0.2">
      <x:c r="B374" s="14">
        <x:v>370</x:v>
      </x:c>
      <x:c r="C374" s="41">
        <x:f>+Puantaj!A375</x:f>
      </x:c>
      <x:c r="D374" s="15">
        <x:f>+BORDRO!T375</x:f>
      </x:c>
      <x:c r="E374" s="41">
        <x:f>+Puantaj!D375</x:f>
      </x:c>
      <x:c r="F374" s="41">
        <x:f>+Puantaj!E375</x:f>
      </x:c>
      <x:c r="G374" s="13">
        <x:f>+Puantaj!C375</x:f>
      </x:c>
      <x:c r="H374" s="71" t="s">
        <x:v>67</x:v>
      </x:c>
    </x:row>
    <x:row r="375" spans="1:11" ht="15.75" customHeight="1" x14ac:dyDescent="0.2">
      <x:c r="B375" s="14">
        <x:v>371</x:v>
      </x:c>
      <x:c r="C375" s="41">
        <x:f>+Puantaj!A376</x:f>
      </x:c>
      <x:c r="D375" s="15">
        <x:f>+BORDRO!T376</x:f>
      </x:c>
      <x:c r="E375" s="41">
        <x:f>+Puantaj!D376</x:f>
      </x:c>
      <x:c r="F375" s="41">
        <x:f>+Puantaj!E376</x:f>
      </x:c>
      <x:c r="G375" s="13">
        <x:f>+Puantaj!C376</x:f>
      </x:c>
      <x:c r="H375" s="71" t="s">
        <x:v>67</x:v>
      </x:c>
    </x:row>
    <x:row r="376" spans="1:11" ht="15.75" customHeight="1" x14ac:dyDescent="0.2">
      <x:c r="B376" s="14">
        <x:v>372</x:v>
      </x:c>
      <x:c r="C376" s="41">
        <x:f>+Puantaj!A377</x:f>
      </x:c>
      <x:c r="D376" s="15">
        <x:f>+BORDRO!T377</x:f>
      </x:c>
      <x:c r="E376" s="41">
        <x:f>+Puantaj!D377</x:f>
      </x:c>
      <x:c r="F376" s="41">
        <x:f>+Puantaj!E377</x:f>
      </x:c>
      <x:c r="G376" s="13">
        <x:f>+Puantaj!C377</x:f>
      </x:c>
      <x:c r="H376" s="71" t="s">
        <x:v>67</x:v>
      </x:c>
    </x:row>
    <x:row r="377" spans="1:11" ht="15.75" customHeight="1" x14ac:dyDescent="0.2">
      <x:c r="B377" s="14">
        <x:v>373</x:v>
      </x:c>
      <x:c r="C377" s="41">
        <x:f>+Puantaj!A378</x:f>
      </x:c>
      <x:c r="D377" s="15">
        <x:f>+BORDRO!T378</x:f>
      </x:c>
      <x:c r="E377" s="41">
        <x:f>+Puantaj!D378</x:f>
      </x:c>
      <x:c r="F377" s="41">
        <x:f>+Puantaj!E378</x:f>
      </x:c>
      <x:c r="G377" s="13">
        <x:f>+Puantaj!C378</x:f>
      </x:c>
      <x:c r="H377" s="71" t="s">
        <x:v>67</x:v>
      </x:c>
    </x:row>
    <x:row r="378" spans="1:11" ht="15.75" customHeight="1" x14ac:dyDescent="0.2">
      <x:c r="B378" s="14">
        <x:v>374</x:v>
      </x:c>
      <x:c r="C378" s="41">
        <x:f>+Puantaj!A379</x:f>
      </x:c>
      <x:c r="D378" s="15">
        <x:f>+BORDRO!T379</x:f>
      </x:c>
      <x:c r="E378" s="41">
        <x:f>+Puantaj!D379</x:f>
      </x:c>
      <x:c r="F378" s="41">
        <x:f>+Puantaj!E379</x:f>
      </x:c>
      <x:c r="G378" s="13">
        <x:f>+Puantaj!C379</x:f>
      </x:c>
      <x:c r="H378" s="71" t="s">
        <x:v>67</x:v>
      </x:c>
    </x:row>
    <x:row r="379" spans="1:11" ht="15.75" customHeight="1" x14ac:dyDescent="0.2">
      <x:c r="B379" s="14">
        <x:v>375</x:v>
      </x:c>
      <x:c r="C379" s="41">
        <x:f>+Puantaj!A380</x:f>
      </x:c>
      <x:c r="D379" s="15">
        <x:f>+BORDRO!T380</x:f>
      </x:c>
      <x:c r="E379" s="41">
        <x:f>+Puantaj!D380</x:f>
      </x:c>
      <x:c r="F379" s="41">
        <x:f>+Puantaj!E380</x:f>
      </x:c>
      <x:c r="G379" s="13">
        <x:f>+Puantaj!C380</x:f>
      </x:c>
      <x:c r="H379" s="71" t="s">
        <x:v>67</x:v>
      </x:c>
    </x:row>
    <x:row r="380" spans="1:11" ht="15.75" customHeight="1" x14ac:dyDescent="0.2">
      <x:c r="B380" s="14">
        <x:v>376</x:v>
      </x:c>
      <x:c r="C380" s="41">
        <x:f>+Puantaj!A381</x:f>
      </x:c>
      <x:c r="D380" s="15">
        <x:f>+BORDRO!T381</x:f>
      </x:c>
      <x:c r="E380" s="41">
        <x:f>+Puantaj!D381</x:f>
      </x:c>
      <x:c r="F380" s="41">
        <x:f>+Puantaj!E381</x:f>
      </x:c>
      <x:c r="G380" s="13">
        <x:f>+Puantaj!C381</x:f>
      </x:c>
      <x:c r="H380" s="71" t="s">
        <x:v>67</x:v>
      </x:c>
    </x:row>
    <x:row r="381" spans="1:11" ht="15.75" customHeight="1" x14ac:dyDescent="0.2">
      <x:c r="B381" s="14">
        <x:v>377</x:v>
      </x:c>
      <x:c r="C381" s="41">
        <x:f>+Puantaj!A382</x:f>
      </x:c>
      <x:c r="D381" s="15">
        <x:f>+BORDRO!T382</x:f>
      </x:c>
      <x:c r="E381" s="41">
        <x:f>+Puantaj!D382</x:f>
      </x:c>
      <x:c r="F381" s="41">
        <x:f>+Puantaj!E382</x:f>
      </x:c>
      <x:c r="G381" s="13">
        <x:f>+Puantaj!C382</x:f>
      </x:c>
      <x:c r="H381" s="71" t="s">
        <x:v>67</x:v>
      </x:c>
    </x:row>
    <x:row r="382" spans="1:11" ht="15.75" customHeight="1" x14ac:dyDescent="0.2">
      <x:c r="B382" s="14">
        <x:v>378</x:v>
      </x:c>
      <x:c r="C382" s="41">
        <x:f>+Puantaj!A383</x:f>
      </x:c>
      <x:c r="D382" s="15">
        <x:f>+BORDRO!T383</x:f>
      </x:c>
      <x:c r="E382" s="41">
        <x:f>+Puantaj!D383</x:f>
      </x:c>
      <x:c r="F382" s="41">
        <x:f>+Puantaj!E383</x:f>
      </x:c>
      <x:c r="G382" s="13">
        <x:f>+Puantaj!C383</x:f>
      </x:c>
      <x:c r="H382" s="71" t="s">
        <x:v>67</x:v>
      </x:c>
    </x:row>
    <x:row r="383" spans="1:11" ht="15.75" customHeight="1" x14ac:dyDescent="0.2">
      <x:c r="B383" s="14">
        <x:v>379</x:v>
      </x:c>
      <x:c r="C383" s="41">
        <x:f>+Puantaj!A384</x:f>
      </x:c>
      <x:c r="D383" s="15">
        <x:f>+BORDRO!T384</x:f>
      </x:c>
      <x:c r="E383" s="41">
        <x:f>+Puantaj!D384</x:f>
      </x:c>
      <x:c r="F383" s="41">
        <x:f>+Puantaj!E384</x:f>
      </x:c>
      <x:c r="G383" s="13">
        <x:f>+Puantaj!C384</x:f>
      </x:c>
      <x:c r="H383" s="71" t="s">
        <x:v>67</x:v>
      </x:c>
    </x:row>
    <x:row r="384" spans="1:11" ht="15.75" customHeight="1" x14ac:dyDescent="0.2">
      <x:c r="B384" s="14">
        <x:v>380</x:v>
      </x:c>
      <x:c r="C384" s="41">
        <x:f>+Puantaj!A385</x:f>
      </x:c>
      <x:c r="D384" s="15">
        <x:f>+BORDRO!T385</x:f>
      </x:c>
      <x:c r="E384" s="41">
        <x:f>+Puantaj!D385</x:f>
      </x:c>
      <x:c r="F384" s="41">
        <x:f>+Puantaj!E385</x:f>
      </x:c>
      <x:c r="G384" s="13">
        <x:f>+Puantaj!C385</x:f>
      </x:c>
      <x:c r="H384" s="71" t="s">
        <x:v>67</x:v>
      </x:c>
    </x:row>
    <x:row r="385" spans="1:11" ht="15.75" customHeight="1" x14ac:dyDescent="0.2">
      <x:c r="B385" s="14">
        <x:v>381</x:v>
      </x:c>
      <x:c r="C385" s="41">
        <x:f>+Puantaj!A386</x:f>
      </x:c>
      <x:c r="D385" s="15">
        <x:f>+BORDRO!T386</x:f>
      </x:c>
      <x:c r="E385" s="41">
        <x:f>+Puantaj!D386</x:f>
      </x:c>
      <x:c r="F385" s="41">
        <x:f>+Puantaj!E386</x:f>
      </x:c>
      <x:c r="G385" s="13">
        <x:f>+Puantaj!C386</x:f>
      </x:c>
      <x:c r="H385" s="71" t="s">
        <x:v>67</x:v>
      </x:c>
    </x:row>
    <x:row r="386" spans="1:11" ht="15.75" customHeight="1" x14ac:dyDescent="0.2">
      <x:c r="B386" s="14">
        <x:v>382</x:v>
      </x:c>
      <x:c r="C386" s="41">
        <x:f>+Puantaj!A387</x:f>
      </x:c>
      <x:c r="D386" s="15">
        <x:f>+BORDRO!T387</x:f>
      </x:c>
      <x:c r="E386" s="41">
        <x:f>+Puantaj!D387</x:f>
      </x:c>
      <x:c r="F386" s="41">
        <x:f>+Puantaj!E387</x:f>
      </x:c>
      <x:c r="G386" s="13">
        <x:f>+Puantaj!C387</x:f>
      </x:c>
      <x:c r="H386" s="71" t="s">
        <x:v>67</x:v>
      </x:c>
    </x:row>
    <x:row r="387" spans="1:11" ht="15.75" customHeight="1" x14ac:dyDescent="0.2">
      <x:c r="B387" s="14">
        <x:v>383</x:v>
      </x:c>
      <x:c r="C387" s="41">
        <x:f>+Puantaj!A388</x:f>
      </x:c>
      <x:c r="D387" s="15">
        <x:f>+BORDRO!T388</x:f>
      </x:c>
      <x:c r="E387" s="41">
        <x:f>+Puantaj!D388</x:f>
      </x:c>
      <x:c r="F387" s="41">
        <x:f>+Puantaj!E388</x:f>
      </x:c>
      <x:c r="G387" s="13">
        <x:f>+Puantaj!C388</x:f>
      </x:c>
      <x:c r="H387" s="71" t="s">
        <x:v>67</x:v>
      </x:c>
    </x:row>
    <x:row r="388" spans="1:11" ht="15.75" customHeight="1" x14ac:dyDescent="0.2">
      <x:c r="B388" s="14">
        <x:v>384</x:v>
      </x:c>
      <x:c r="C388" s="41">
        <x:f>+Puantaj!A389</x:f>
      </x:c>
      <x:c r="D388" s="15">
        <x:f>+BORDRO!T389</x:f>
      </x:c>
      <x:c r="E388" s="41">
        <x:f>+Puantaj!D389</x:f>
      </x:c>
      <x:c r="F388" s="41">
        <x:f>+Puantaj!E389</x:f>
      </x:c>
      <x:c r="G388" s="13">
        <x:f>+Puantaj!C389</x:f>
      </x:c>
      <x:c r="H388" s="71" t="s">
        <x:v>67</x:v>
      </x:c>
    </x:row>
    <x:row r="389" spans="1:11" ht="15.75" customHeight="1" x14ac:dyDescent="0.2">
      <x:c r="B389" s="14">
        <x:v>385</x:v>
      </x:c>
      <x:c r="C389" s="41">
        <x:f>+Puantaj!A390</x:f>
      </x:c>
      <x:c r="D389" s="15">
        <x:f>+BORDRO!T390</x:f>
      </x:c>
      <x:c r="E389" s="41">
        <x:f>+Puantaj!D390</x:f>
      </x:c>
      <x:c r="F389" s="41">
        <x:f>+Puantaj!E390</x:f>
      </x:c>
      <x:c r="G389" s="13">
        <x:f>+Puantaj!C390</x:f>
      </x:c>
      <x:c r="H389" s="71" t="s">
        <x:v>67</x:v>
      </x:c>
    </x:row>
    <x:row r="390" spans="1:11" ht="15.75" customHeight="1" x14ac:dyDescent="0.2">
      <x:c r="B390" s="14">
        <x:v>386</x:v>
      </x:c>
      <x:c r="C390" s="41">
        <x:f>+Puantaj!A391</x:f>
      </x:c>
      <x:c r="D390" s="15">
        <x:f>+BORDRO!T391</x:f>
      </x:c>
      <x:c r="E390" s="41">
        <x:f>+Puantaj!D391</x:f>
      </x:c>
      <x:c r="F390" s="41">
        <x:f>+Puantaj!E391</x:f>
      </x:c>
      <x:c r="G390" s="13">
        <x:f>+Puantaj!C391</x:f>
      </x:c>
      <x:c r="H390" s="71" t="s">
        <x:v>67</x:v>
      </x:c>
    </x:row>
    <x:row r="391" spans="1:11" ht="15.75" customHeight="1" x14ac:dyDescent="0.2">
      <x:c r="B391" s="14">
        <x:v>387</x:v>
      </x:c>
      <x:c r="C391" s="41">
        <x:f>+Puantaj!A392</x:f>
      </x:c>
      <x:c r="D391" s="15">
        <x:f>+BORDRO!T392</x:f>
      </x:c>
      <x:c r="E391" s="41">
        <x:f>+Puantaj!D392</x:f>
      </x:c>
      <x:c r="F391" s="41">
        <x:f>+Puantaj!E392</x:f>
      </x:c>
      <x:c r="G391" s="13">
        <x:f>+Puantaj!C392</x:f>
      </x:c>
      <x:c r="H391" s="71" t="s">
        <x:v>67</x:v>
      </x:c>
    </x:row>
    <x:row r="392" spans="1:11" ht="15.75" customHeight="1" x14ac:dyDescent="0.2">
      <x:c r="B392" s="14">
        <x:v>388</x:v>
      </x:c>
      <x:c r="C392" s="41">
        <x:f>+Puantaj!A393</x:f>
      </x:c>
      <x:c r="D392" s="15">
        <x:f>+BORDRO!T393</x:f>
      </x:c>
      <x:c r="E392" s="41">
        <x:f>+Puantaj!D393</x:f>
      </x:c>
      <x:c r="F392" s="41">
        <x:f>+Puantaj!E393</x:f>
      </x:c>
      <x:c r="G392" s="13">
        <x:f>+Puantaj!C393</x:f>
      </x:c>
      <x:c r="H392" s="71" t="s">
        <x:v>67</x:v>
      </x:c>
    </x:row>
    <x:row r="393" spans="1:11" ht="15.75" customHeight="1" x14ac:dyDescent="0.2">
      <x:c r="B393" s="14">
        <x:v>389</x:v>
      </x:c>
      <x:c r="C393" s="41">
        <x:f>+Puantaj!A394</x:f>
      </x:c>
      <x:c r="D393" s="15">
        <x:f>+BORDRO!T394</x:f>
      </x:c>
      <x:c r="E393" s="41">
        <x:f>+Puantaj!D394</x:f>
      </x:c>
      <x:c r="F393" s="41">
        <x:f>+Puantaj!E394</x:f>
      </x:c>
      <x:c r="G393" s="13">
        <x:f>+Puantaj!C394</x:f>
      </x:c>
      <x:c r="H393" s="71" t="s">
        <x:v>67</x:v>
      </x:c>
    </x:row>
    <x:row r="394" spans="1:11" ht="15.75" customHeight="1" x14ac:dyDescent="0.2">
      <x:c r="B394" s="14">
        <x:v>390</x:v>
      </x:c>
      <x:c r="C394" s="41">
        <x:f>+Puantaj!A395</x:f>
      </x:c>
      <x:c r="D394" s="15">
        <x:f>+BORDRO!T395</x:f>
      </x:c>
      <x:c r="E394" s="41">
        <x:f>+Puantaj!D395</x:f>
      </x:c>
      <x:c r="F394" s="41">
        <x:f>+Puantaj!E395</x:f>
      </x:c>
      <x:c r="G394" s="13">
        <x:f>+Puantaj!C395</x:f>
      </x:c>
      <x:c r="H394" s="71" t="s">
        <x:v>67</x:v>
      </x:c>
    </x:row>
    <x:row r="395" spans="1:11" ht="15.75" customHeight="1" x14ac:dyDescent="0.2">
      <x:c r="B395" s="14">
        <x:v>391</x:v>
      </x:c>
      <x:c r="C395" s="41">
        <x:f>+Puantaj!A396</x:f>
      </x:c>
      <x:c r="D395" s="15">
        <x:f>+BORDRO!T396</x:f>
      </x:c>
      <x:c r="E395" s="41">
        <x:f>+Puantaj!D396</x:f>
      </x:c>
      <x:c r="F395" s="41">
        <x:f>+Puantaj!E396</x:f>
      </x:c>
      <x:c r="G395" s="13">
        <x:f>+Puantaj!C396</x:f>
      </x:c>
      <x:c r="H395" s="71" t="s">
        <x:v>67</x:v>
      </x:c>
    </x:row>
    <x:row r="396" spans="1:11" ht="15.75" customHeight="1" x14ac:dyDescent="0.2">
      <x:c r="B396" s="14">
        <x:v>392</x:v>
      </x:c>
      <x:c r="C396" s="41">
        <x:f>+Puantaj!A397</x:f>
      </x:c>
      <x:c r="D396" s="15">
        <x:f>+BORDRO!T397</x:f>
      </x:c>
      <x:c r="E396" s="41">
        <x:f>+Puantaj!D397</x:f>
      </x:c>
      <x:c r="F396" s="41">
        <x:f>+Puantaj!E397</x:f>
      </x:c>
      <x:c r="G396" s="13">
        <x:f>+Puantaj!C397</x:f>
      </x:c>
      <x:c r="H396" s="71" t="s">
        <x:v>67</x:v>
      </x:c>
    </x:row>
    <x:row r="397" spans="1:11" ht="15.75" customHeight="1" x14ac:dyDescent="0.2">
      <x:c r="B397" s="14">
        <x:v>393</x:v>
      </x:c>
      <x:c r="C397" s="41">
        <x:f>+Puantaj!A398</x:f>
      </x:c>
      <x:c r="D397" s="15">
        <x:f>+BORDRO!T398</x:f>
      </x:c>
      <x:c r="E397" s="41">
        <x:f>+Puantaj!D398</x:f>
      </x:c>
      <x:c r="F397" s="41">
        <x:f>+Puantaj!E398</x:f>
      </x:c>
      <x:c r="G397" s="13">
        <x:f>+Puantaj!C398</x:f>
      </x:c>
      <x:c r="H397" s="71" t="s">
        <x:v>67</x:v>
      </x:c>
    </x:row>
    <x:row r="398" spans="1:11" ht="15.75" customHeight="1" x14ac:dyDescent="0.2">
      <x:c r="B398" s="14">
        <x:v>394</x:v>
      </x:c>
      <x:c r="C398" s="41">
        <x:f>+Puantaj!A399</x:f>
      </x:c>
      <x:c r="D398" s="15">
        <x:f>+BORDRO!T399</x:f>
      </x:c>
      <x:c r="E398" s="41">
        <x:f>+Puantaj!D399</x:f>
      </x:c>
      <x:c r="F398" s="41">
        <x:f>+Puantaj!E399</x:f>
      </x:c>
      <x:c r="G398" s="13">
        <x:f>+Puantaj!C399</x:f>
      </x:c>
      <x:c r="H398" s="71" t="s">
        <x:v>67</x:v>
      </x:c>
    </x:row>
    <x:row r="399" spans="1:11" ht="15.75" customHeight="1" x14ac:dyDescent="0.2">
      <x:c r="B399" s="14">
        <x:v>395</x:v>
      </x:c>
      <x:c r="C399" s="41">
        <x:f>+Puantaj!A400</x:f>
      </x:c>
      <x:c r="D399" s="15">
        <x:f>+BORDRO!T400</x:f>
      </x:c>
      <x:c r="E399" s="41">
        <x:f>+Puantaj!D400</x:f>
      </x:c>
      <x:c r="F399" s="41">
        <x:f>+Puantaj!E400</x:f>
      </x:c>
      <x:c r="G399" s="13">
        <x:f>+Puantaj!C400</x:f>
      </x:c>
      <x:c r="H399" s="71" t="s">
        <x:v>67</x:v>
      </x:c>
    </x:row>
    <x:row r="400" spans="1:11" ht="15.75" customHeight="1" x14ac:dyDescent="0.2">
      <x:c r="B400" s="14">
        <x:v>396</x:v>
      </x:c>
      <x:c r="C400" s="41">
        <x:f>+Puantaj!A401</x:f>
      </x:c>
      <x:c r="D400" s="15">
        <x:f>+BORDRO!T401</x:f>
      </x:c>
      <x:c r="E400" s="41">
        <x:f>+Puantaj!D401</x:f>
      </x:c>
      <x:c r="F400" s="41">
        <x:f>+Puantaj!E401</x:f>
      </x:c>
      <x:c r="G400" s="13">
        <x:f>+Puantaj!C401</x:f>
      </x:c>
      <x:c r="H400" s="71" t="s">
        <x:v>67</x:v>
      </x:c>
    </x:row>
    <x:row r="401" spans="1:11" ht="15.75" customHeight="1" x14ac:dyDescent="0.2">
      <x:c r="B401" s="14">
        <x:v>397</x:v>
      </x:c>
      <x:c r="C401" s="41">
        <x:f>+Puantaj!A402</x:f>
      </x:c>
      <x:c r="D401" s="15">
        <x:f>+BORDRO!T402</x:f>
      </x:c>
      <x:c r="E401" s="41">
        <x:f>+Puantaj!D402</x:f>
      </x:c>
      <x:c r="F401" s="41">
        <x:f>+Puantaj!E402</x:f>
      </x:c>
      <x:c r="G401" s="13">
        <x:f>+Puantaj!C402</x:f>
      </x:c>
      <x:c r="H401" s="71" t="s">
        <x:v>67</x:v>
      </x:c>
    </x:row>
    <x:row r="402" spans="1:11" ht="15.75" customHeight="1" x14ac:dyDescent="0.2">
      <x:c r="B402" s="14">
        <x:v>398</x:v>
      </x:c>
      <x:c r="C402" s="41">
        <x:f>+Puantaj!A403</x:f>
      </x:c>
      <x:c r="D402" s="15">
        <x:f>+BORDRO!T403</x:f>
      </x:c>
      <x:c r="E402" s="41">
        <x:f>+Puantaj!D403</x:f>
      </x:c>
      <x:c r="F402" s="41">
        <x:f>+Puantaj!E403</x:f>
      </x:c>
      <x:c r="G402" s="13">
        <x:f>+Puantaj!C403</x:f>
      </x:c>
      <x:c r="H402" s="71" t="s">
        <x:v>67</x:v>
      </x:c>
    </x:row>
    <x:row r="403" spans="1:11" ht="15.75" customHeight="1" x14ac:dyDescent="0.2">
      <x:c r="B403" s="14">
        <x:v>399</x:v>
      </x:c>
      <x:c r="C403" s="41">
        <x:f>+Puantaj!A404</x:f>
      </x:c>
      <x:c r="D403" s="15">
        <x:f>+BORDRO!T404</x:f>
      </x:c>
      <x:c r="E403" s="41">
        <x:f>+Puantaj!D404</x:f>
      </x:c>
      <x:c r="F403" s="41">
        <x:f>+Puantaj!E404</x:f>
      </x:c>
      <x:c r="G403" s="13">
        <x:f>+Puantaj!C404</x:f>
      </x:c>
      <x:c r="H403" s="71" t="s">
        <x:v>67</x:v>
      </x:c>
    </x:row>
    <x:row r="404" spans="1:11" ht="15.75" customHeight="1" x14ac:dyDescent="0.2">
      <x:c r="B404" s="14">
        <x:v>400</x:v>
      </x:c>
      <x:c r="C404" s="41">
        <x:f>+Puantaj!A405</x:f>
      </x:c>
      <x:c r="D404" s="15">
        <x:f>+BORDRO!T405</x:f>
      </x:c>
      <x:c r="E404" s="41">
        <x:f>+Puantaj!D405</x:f>
      </x:c>
      <x:c r="F404" s="41">
        <x:f>+Puantaj!E405</x:f>
      </x:c>
      <x:c r="G404" s="13">
        <x:f>+Puantaj!C405</x:f>
      </x:c>
      <x:c r="H404" s="71" t="s">
        <x:v>67</x:v>
      </x:c>
    </x:row>
    <x:row r="405" spans="1:11" ht="15.75" customHeight="1" x14ac:dyDescent="0.2">
      <x:c r="B405" s="14">
        <x:v>401</x:v>
      </x:c>
      <x:c r="C405" s="41">
        <x:f>+Puantaj!A406</x:f>
      </x:c>
      <x:c r="D405" s="15">
        <x:f>+BORDRO!T406</x:f>
      </x:c>
      <x:c r="E405" s="41">
        <x:f>+Puantaj!D406</x:f>
      </x:c>
      <x:c r="F405" s="41">
        <x:f>+Puantaj!E406</x:f>
      </x:c>
      <x:c r="G405" s="13">
        <x:f>+Puantaj!C406</x:f>
      </x:c>
      <x:c r="H405" s="71" t="s">
        <x:v>67</x:v>
      </x:c>
    </x:row>
    <x:row r="406" spans="1:11" ht="15.75" customHeight="1" x14ac:dyDescent="0.2">
      <x:c r="B406" s="14">
        <x:v>402</x:v>
      </x:c>
      <x:c r="C406" s="41">
        <x:f>+Puantaj!A407</x:f>
      </x:c>
      <x:c r="D406" s="15">
        <x:f>+BORDRO!T407</x:f>
      </x:c>
      <x:c r="E406" s="41">
        <x:f>+Puantaj!D407</x:f>
      </x:c>
      <x:c r="F406" s="41">
        <x:f>+Puantaj!E407</x:f>
      </x:c>
      <x:c r="G406" s="13">
        <x:f>+Puantaj!C407</x:f>
      </x:c>
      <x:c r="H406" s="71" t="s">
        <x:v>67</x:v>
      </x:c>
    </x:row>
    <x:row r="407" spans="1:11" ht="15.75" customHeight="1" x14ac:dyDescent="0.2">
      <x:c r="B407" s="14">
        <x:v>403</x:v>
      </x:c>
      <x:c r="C407" s="41">
        <x:f>+Puantaj!A408</x:f>
      </x:c>
      <x:c r="D407" s="15">
        <x:f>+BORDRO!T408</x:f>
      </x:c>
      <x:c r="E407" s="41">
        <x:f>+Puantaj!D408</x:f>
      </x:c>
      <x:c r="F407" s="41">
        <x:f>+Puantaj!E408</x:f>
      </x:c>
      <x:c r="G407" s="13">
        <x:f>+Puantaj!C408</x:f>
      </x:c>
      <x:c r="H407" s="71" t="s">
        <x:v>67</x:v>
      </x:c>
    </x:row>
    <x:row r="408" spans="1:11" ht="15.75" customHeight="1" x14ac:dyDescent="0.2">
      <x:c r="B408" s="14">
        <x:v>404</x:v>
      </x:c>
      <x:c r="C408" s="41">
        <x:f>+Puantaj!A409</x:f>
      </x:c>
      <x:c r="D408" s="15">
        <x:f>+BORDRO!T409</x:f>
      </x:c>
      <x:c r="E408" s="41">
        <x:f>+Puantaj!D409</x:f>
      </x:c>
      <x:c r="F408" s="41">
        <x:f>+Puantaj!E409</x:f>
      </x:c>
      <x:c r="G408" s="13">
        <x:f>+Puantaj!C409</x:f>
      </x:c>
      <x:c r="H408" s="71" t="s">
        <x:v>67</x:v>
      </x:c>
    </x:row>
    <x:row r="409" spans="1:11" ht="15.75" customHeight="1" x14ac:dyDescent="0.2">
      <x:c r="B409" s="14">
        <x:v>405</x:v>
      </x:c>
      <x:c r="C409" s="41">
        <x:f>+Puantaj!A410</x:f>
      </x:c>
      <x:c r="D409" s="15">
        <x:f>+BORDRO!T410</x:f>
      </x:c>
      <x:c r="E409" s="41">
        <x:f>+Puantaj!D410</x:f>
      </x:c>
      <x:c r="F409" s="41">
        <x:f>+Puantaj!E410</x:f>
      </x:c>
      <x:c r="G409" s="13">
        <x:f>+Puantaj!C410</x:f>
      </x:c>
      <x:c r="H409" s="71" t="s">
        <x:v>67</x:v>
      </x:c>
    </x:row>
    <x:row r="410" spans="1:11" ht="15.75" customHeight="1" x14ac:dyDescent="0.2">
      <x:c r="B410" s="14">
        <x:v>406</x:v>
      </x:c>
      <x:c r="C410" s="41">
        <x:f>+Puantaj!A411</x:f>
      </x:c>
      <x:c r="D410" s="15">
        <x:f>+BORDRO!T411</x:f>
      </x:c>
      <x:c r="E410" s="41">
        <x:f>+Puantaj!D411</x:f>
      </x:c>
      <x:c r="F410" s="41">
        <x:f>+Puantaj!E411</x:f>
      </x:c>
      <x:c r="G410" s="13">
        <x:f>+Puantaj!C411</x:f>
      </x:c>
      <x:c r="H410" s="71" t="s">
        <x:v>67</x:v>
      </x:c>
    </x:row>
    <x:row r="411" spans="1:11" ht="15.75" customHeight="1" x14ac:dyDescent="0.2">
      <x:c r="B411" s="14">
        <x:v>407</x:v>
      </x:c>
      <x:c r="C411" s="41">
        <x:f>+Puantaj!A412</x:f>
      </x:c>
      <x:c r="D411" s="15">
        <x:f>+BORDRO!T412</x:f>
      </x:c>
      <x:c r="E411" s="41">
        <x:f>+Puantaj!D412</x:f>
      </x:c>
      <x:c r="F411" s="41">
        <x:f>+Puantaj!E412</x:f>
      </x:c>
      <x:c r="G411" s="13">
        <x:f>+Puantaj!C412</x:f>
      </x:c>
      <x:c r="H411" s="71" t="s">
        <x:v>67</x:v>
      </x:c>
    </x:row>
    <x:row r="412" spans="1:11" ht="15.75" customHeight="1" x14ac:dyDescent="0.2">
      <x:c r="B412" s="14">
        <x:v>408</x:v>
      </x:c>
      <x:c r="C412" s="41">
        <x:f>+Puantaj!A413</x:f>
      </x:c>
      <x:c r="D412" s="15">
        <x:f>+BORDRO!T413</x:f>
      </x:c>
      <x:c r="E412" s="41">
        <x:f>+Puantaj!D413</x:f>
      </x:c>
      <x:c r="F412" s="41">
        <x:f>+Puantaj!E413</x:f>
      </x:c>
      <x:c r="G412" s="13">
        <x:f>+Puantaj!C413</x:f>
      </x:c>
      <x:c r="H412" s="71" t="s">
        <x:v>67</x:v>
      </x:c>
    </x:row>
    <x:row r="413" spans="1:11" ht="15.75" customHeight="1" x14ac:dyDescent="0.2">
      <x:c r="B413" s="14">
        <x:v>409</x:v>
      </x:c>
      <x:c r="C413" s="41">
        <x:f>+Puantaj!A414</x:f>
      </x:c>
      <x:c r="D413" s="15">
        <x:f>+BORDRO!T414</x:f>
      </x:c>
      <x:c r="E413" s="41">
        <x:f>+Puantaj!D414</x:f>
      </x:c>
      <x:c r="F413" s="41">
        <x:f>+Puantaj!E414</x:f>
      </x:c>
      <x:c r="G413" s="13">
        <x:f>+Puantaj!C414</x:f>
      </x:c>
      <x:c r="H413" s="71" t="s">
        <x:v>67</x:v>
      </x:c>
    </x:row>
    <x:row r="414" spans="1:11" ht="15.75" customHeight="1" x14ac:dyDescent="0.2">
      <x:c r="B414" s="14">
        <x:v>410</x:v>
      </x:c>
      <x:c r="C414" s="41">
        <x:f>+Puantaj!A415</x:f>
      </x:c>
      <x:c r="D414" s="15">
        <x:f>+BORDRO!T415</x:f>
      </x:c>
      <x:c r="E414" s="41">
        <x:f>+Puantaj!D415</x:f>
      </x:c>
      <x:c r="F414" s="41">
        <x:f>+Puantaj!E415</x:f>
      </x:c>
      <x:c r="G414" s="13">
        <x:f>+Puantaj!C415</x:f>
      </x:c>
      <x:c r="H414" s="71" t="s">
        <x:v>67</x:v>
      </x:c>
    </x:row>
    <x:row r="415" spans="1:11" ht="15.75" customHeight="1" x14ac:dyDescent="0.2">
      <x:c r="B415" s="14">
        <x:v>411</x:v>
      </x:c>
      <x:c r="C415" s="41">
        <x:f>+Puantaj!A416</x:f>
      </x:c>
      <x:c r="D415" s="15">
        <x:f>+BORDRO!T416</x:f>
      </x:c>
      <x:c r="E415" s="41">
        <x:f>+Puantaj!D416</x:f>
      </x:c>
      <x:c r="F415" s="41">
        <x:f>+Puantaj!E416</x:f>
      </x:c>
      <x:c r="G415" s="13">
        <x:f>+Puantaj!C416</x:f>
      </x:c>
      <x:c r="H415" s="71" t="s">
        <x:v>67</x:v>
      </x:c>
    </x:row>
    <x:row r="416" spans="1:11" ht="15.75" customHeight="1" x14ac:dyDescent="0.2">
      <x:c r="B416" s="14">
        <x:v>412</x:v>
      </x:c>
      <x:c r="C416" s="41">
        <x:f>+Puantaj!A417</x:f>
      </x:c>
      <x:c r="D416" s="15">
        <x:f>+BORDRO!T417</x:f>
      </x:c>
      <x:c r="E416" s="41">
        <x:f>+Puantaj!D417</x:f>
      </x:c>
      <x:c r="F416" s="41">
        <x:f>+Puantaj!E417</x:f>
      </x:c>
      <x:c r="G416" s="13">
        <x:f>+Puantaj!C417</x:f>
      </x:c>
      <x:c r="H416" s="71" t="s">
        <x:v>67</x:v>
      </x:c>
    </x:row>
    <x:row r="417" spans="1:11" ht="15.75" customHeight="1" x14ac:dyDescent="0.2">
      <x:c r="B417" s="14">
        <x:v>413</x:v>
      </x:c>
      <x:c r="C417" s="41">
        <x:f>+Puantaj!A418</x:f>
      </x:c>
      <x:c r="D417" s="15">
        <x:f>+BORDRO!T418</x:f>
      </x:c>
      <x:c r="E417" s="41">
        <x:f>+Puantaj!D418</x:f>
      </x:c>
      <x:c r="F417" s="41">
        <x:f>+Puantaj!E418</x:f>
      </x:c>
      <x:c r="G417" s="13">
        <x:f>+Puantaj!C418</x:f>
      </x:c>
      <x:c r="H417" s="71" t="s">
        <x:v>67</x:v>
      </x:c>
    </x:row>
    <x:row r="418" spans="1:11" ht="15.75" customHeight="1" x14ac:dyDescent="0.2">
      <x:c r="B418" s="14">
        <x:v>414</x:v>
      </x:c>
      <x:c r="C418" s="41">
        <x:f>+Puantaj!A419</x:f>
      </x:c>
      <x:c r="D418" s="15">
        <x:f>+BORDRO!T419</x:f>
      </x:c>
      <x:c r="E418" s="41">
        <x:f>+Puantaj!D419</x:f>
      </x:c>
      <x:c r="F418" s="41">
        <x:f>+Puantaj!E419</x:f>
      </x:c>
      <x:c r="G418" s="13">
        <x:f>+Puantaj!C419</x:f>
      </x:c>
      <x:c r="H418" s="71" t="s">
        <x:v>67</x:v>
      </x:c>
    </x:row>
    <x:row r="419" spans="1:11" ht="15.75" customHeight="1" x14ac:dyDescent="0.2">
      <x:c r="B419" s="14">
        <x:v>415</x:v>
      </x:c>
      <x:c r="C419" s="41">
        <x:f>+Puantaj!A420</x:f>
      </x:c>
      <x:c r="D419" s="15">
        <x:f>+BORDRO!T420</x:f>
      </x:c>
      <x:c r="E419" s="41">
        <x:f>+Puantaj!D420</x:f>
      </x:c>
      <x:c r="F419" s="41">
        <x:f>+Puantaj!E420</x:f>
      </x:c>
      <x:c r="G419" s="13">
        <x:f>+Puantaj!C420</x:f>
      </x:c>
      <x:c r="H419" s="71" t="s">
        <x:v>67</x:v>
      </x:c>
    </x:row>
    <x:row r="420" spans="1:11" ht="15.75" customHeight="1" x14ac:dyDescent="0.2">
      <x:c r="B420" s="14">
        <x:v>416</x:v>
      </x:c>
      <x:c r="C420" s="41">
        <x:f>+Puantaj!A421</x:f>
      </x:c>
      <x:c r="D420" s="15">
        <x:f>+BORDRO!T421</x:f>
      </x:c>
      <x:c r="E420" s="41">
        <x:f>+Puantaj!D421</x:f>
      </x:c>
      <x:c r="F420" s="41">
        <x:f>+Puantaj!E421</x:f>
      </x:c>
      <x:c r="G420" s="13">
        <x:f>+Puantaj!C421</x:f>
      </x:c>
      <x:c r="H420" s="71" t="s">
        <x:v>67</x:v>
      </x:c>
    </x:row>
    <x:row r="421" spans="1:11" ht="15.75" customHeight="1" x14ac:dyDescent="0.2">
      <x:c r="B421" s="14">
        <x:v>417</x:v>
      </x:c>
      <x:c r="C421" s="41">
        <x:f>+Puantaj!A422</x:f>
      </x:c>
      <x:c r="D421" s="15">
        <x:f>+BORDRO!T422</x:f>
      </x:c>
      <x:c r="E421" s="41">
        <x:f>+Puantaj!D422</x:f>
      </x:c>
      <x:c r="F421" s="41">
        <x:f>+Puantaj!E422</x:f>
      </x:c>
      <x:c r="G421" s="13">
        <x:f>+Puantaj!C422</x:f>
      </x:c>
      <x:c r="H421" s="71" t="s">
        <x:v>67</x:v>
      </x:c>
    </x:row>
    <x:row r="422" spans="1:11" ht="15.75" customHeight="1" x14ac:dyDescent="0.2">
      <x:c r="B422" s="14">
        <x:v>418</x:v>
      </x:c>
      <x:c r="C422" s="41">
        <x:f>+Puantaj!A423</x:f>
      </x:c>
      <x:c r="D422" s="15">
        <x:f>+BORDRO!T423</x:f>
      </x:c>
      <x:c r="E422" s="41">
        <x:f>+Puantaj!D423</x:f>
      </x:c>
      <x:c r="F422" s="41">
        <x:f>+Puantaj!E423</x:f>
      </x:c>
      <x:c r="G422" s="13">
        <x:f>+Puantaj!C423</x:f>
      </x:c>
      <x:c r="H422" s="71" t="s">
        <x:v>67</x:v>
      </x:c>
    </x:row>
    <x:row r="423" spans="1:11" ht="15.75" customHeight="1" x14ac:dyDescent="0.2">
      <x:c r="B423" s="14">
        <x:v>419</x:v>
      </x:c>
      <x:c r="C423" s="41">
        <x:f>+Puantaj!A424</x:f>
      </x:c>
      <x:c r="D423" s="15">
        <x:f>+BORDRO!T424</x:f>
      </x:c>
      <x:c r="E423" s="41">
        <x:f>+Puantaj!D424</x:f>
      </x:c>
      <x:c r="F423" s="41">
        <x:f>+Puantaj!E424</x:f>
      </x:c>
      <x:c r="G423" s="13">
        <x:f>+Puantaj!C424</x:f>
      </x:c>
      <x:c r="H423" s="71" t="s">
        <x:v>67</x:v>
      </x:c>
    </x:row>
    <x:row r="424" spans="1:11" ht="16.5" customHeight="1" x14ac:dyDescent="0.2">
      <x:c r="B424" s="104" t="s">
        <x:v>68</x:v>
      </x:c>
      <x:c r="C424" s="104"/>
      <x:c r="D424" s="15">
        <x:f>SUM(D5:D423)</x:f>
      </x:c>
      <x:c r="E424" s="104"/>
      <x:c r="F424" s="104"/>
      <x:c r="G424" s="104"/>
      <x:c r="H424" s="104"/>
    </x:row>
    <x:row r="426" spans="1:11" ht="16.5" customHeight="1" x14ac:dyDescent="0.2">
      <x:c r="E426" s="36">
        <x:f>TODAY()</x:f>
      </x:c>
    </x:row>
    <x:row r="427" spans="1:11" ht="16.5" customHeight="1" x14ac:dyDescent="0.2">
      <x:c r="C427" s="21" t="s">
        <x:v>69</x:v>
      </x:c>
      <x:c r="D427" s="21"/>
      <x:c r="E427" s="21"/>
      <x:c r="F427" s="21"/>
      <x:c r="G427" s="21"/>
      <x:c r="H427" s="21"/>
    </x:row>
    <x:row r="428" spans="1:11" ht="16.5" customHeight="1" x14ac:dyDescent="0.2">
      <x:c r="E428" s="17"/>
      <x:c r="F428" s="17"/>
      <x:c r="G428" s="17"/>
      <x:c r="H428" s="21"/>
    </x:row>
    <x:row r="429" spans="1:11" ht="16.5" customHeight="1" x14ac:dyDescent="0.2">
      <x:c r="E429" s="21"/>
      <x:c r="F429" s="21"/>
      <x:c r="G429" s="21"/>
      <x:c r="H429" s="18"/>
    </x:row>
    <x:row r="430" spans="1:11" ht="16.5" customHeight="1" x14ac:dyDescent="0.2">
      <x:c r="C430" s="21" t="s">
        <x:v>70</x:v>
      </x:c>
      <x:c r="E430" s="21"/>
      <x:c r="F430" s="21"/>
      <x:c r="G430" s="21"/>
      <x:c r="H430" s="19" t="s">
        <x:v>71</x:v>
      </x:c>
    </x:row>
  </x:sheetData>
  <x:mergeCells count="6">
    <x:mergeCell ref="B1:H1"/>
    <x:mergeCell ref="B2:C2"/>
    <x:mergeCell ref="B3:C3"/>
    <x:mergeCell ref="E427:G427"/>
    <x:mergeCell ref="E429:G429"/>
    <x:mergeCell ref="E430:G430"/>
  </x:mergeCells>
  <x:phoneticPr fontId="7" type="noConversion"/>
  <x:printOptions horizontalCentered="1" verticalCentered="0" headings="0" gridLines="0"/>
  <x:pageMargins left="0.59055118110236227" right="0.39370078740157483" top="0.39370078740157483" bottom="0" header="0" footer="0"/>
  <x:pageSetup paperSize="9" fitToHeight="0" pageOrder="downThenOver" orientation="portrait" blackAndWhite="0" draft="0" cellComments="none" errors="displayed" horizontalDpi="1200" verticalDpi="1200" r:id="rId1"/>
  <x:headerFooter alignWithMargins="0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CF7577C-9139-4138-B370-E9B19DF4AA86}" mc:Ignorable="x14ac xr xr2 xr3">
  <x:sheetPr>
    <x:outlinePr summaryBelow="1" summaryRight="1"/>
  </x:sheetPr>
  <x:dimension ref="A1:AJ421"/>
  <x:sheetViews>
    <x:sheetView zoomScale="108" zoomScaleNormal="108" workbookViewId="0">
      <x:pane xSplit="0" ySplit="1" topLeftCell="A2" activePane="bottomLeft" state="frozenSplit"/>
      <x:selection activeCell="C1" sqref="C1"/>
      <x:selection pane="bottomLeft" activeCell="C1" sqref="C1"/>
    </x:sheetView>
  </x:sheetViews>
  <x:sheetFormatPr defaultColWidth="9.140625" defaultRowHeight="12.75" x14ac:dyDescent="0.2"/>
  <x:cols>
    <x:col min="1" max="1" width="4.855469" style="1" customWidth="1"/>
    <x:col min="2" max="2" width="5.570312" style="1" customWidth="1"/>
    <x:col min="3" max="3" width="8" style="1" customWidth="1"/>
    <x:col min="4" max="4" width="5.140625" style="1" customWidth="1"/>
    <x:col min="5" max="5" width="4.570312" style="1" customWidth="1"/>
    <x:col min="6" max="6" width="8.710938" style="1" customWidth="1"/>
    <x:col min="7" max="7" width="4.710938" style="1" customWidth="1"/>
    <x:col min="8" max="8" width="6.285156" style="1" customWidth="1"/>
    <x:col min="9" max="9" width="5.425781" style="1" customWidth="1"/>
    <x:col min="10" max="10" width="12" style="1" bestFit="1" customWidth="1"/>
    <x:col min="11" max="11" width="22.710938" style="1" customWidth="1"/>
    <x:col min="12" max="12" width="16.710938" style="1" bestFit="1" customWidth="1"/>
    <x:col min="13" max="13" width="7.285156" style="1" bestFit="1" customWidth="1"/>
    <x:col min="14" max="14" width="5.285156" style="1" customWidth="1"/>
    <x:col min="15" max="15" width="9.425781" style="1" bestFit="1" customWidth="1"/>
    <x:col min="16" max="16" width="9.140625" style="1" customWidth="1"/>
    <x:col min="17" max="17" width="5.570312" style="54" customWidth="1"/>
    <x:col min="18" max="18" width="5" style="54" customWidth="1"/>
    <x:col min="19" max="20" width="6.710938" style="54" customWidth="1"/>
    <x:col min="21" max="21" width="6.710938" style="55" customWidth="1"/>
    <x:col min="22" max="22" width="7.285156" style="51" bestFit="1" customWidth="1"/>
    <x:col min="23" max="23" width="7" style="51" customWidth="1"/>
    <x:col min="24" max="24" width="8.140625" style="1" customWidth="1"/>
    <x:col min="25" max="25" width="5.285156" style="1" customWidth="1"/>
    <x:col min="26" max="26" width="5.855469" style="1" customWidth="1"/>
    <x:col min="27" max="27" width="6.570312" style="26" customWidth="1"/>
    <x:col min="28" max="28" width="5.570312" style="1" customWidth="1"/>
    <x:col min="29" max="29" width="6.285156" style="1" customWidth="1"/>
    <x:col min="30" max="30" width="9.425781" style="1" bestFit="1" customWidth="1"/>
    <x:col min="31" max="31" width="5.710938" style="1" customWidth="1"/>
    <x:col min="32" max="32" width="8.140625" style="1" customWidth="1"/>
    <x:col min="33" max="33" width="9" style="1" customWidth="1"/>
    <x:col min="34" max="34" width="7.855469" style="1" customWidth="1"/>
    <x:col min="35" max="35" width="7.710938" style="1" customWidth="1"/>
    <x:col min="36" max="36" width="7.425781" style="1" customWidth="1"/>
    <x:col min="37" max="16384" width="9.140625" style="1" customWidth="1"/>
  </x:cols>
  <x:sheetData>
    <x:row r="1" spans="1:36" ht="102" customHeight="1" x14ac:dyDescent="0.2">
      <x:c r="A1" s="23" t="s">
        <x:v>72</x:v>
      </x:c>
      <x:c r="B1" s="23" t="s">
        <x:v>73</x:v>
      </x:c>
      <x:c r="C1" s="23" t="s">
        <x:v>74</x:v>
      </x:c>
      <x:c r="D1" s="23" t="s">
        <x:v>75</x:v>
      </x:c>
      <x:c r="E1" s="23" t="s">
        <x:v>76</x:v>
      </x:c>
      <x:c r="F1" s="23" t="s">
        <x:v>77</x:v>
      </x:c>
      <x:c r="G1" s="23" t="s">
        <x:v>78</x:v>
      </x:c>
      <x:c r="H1" s="23" t="s">
        <x:v>79</x:v>
      </x:c>
      <x:c r="I1" s="23" t="s">
        <x:v>80</x:v>
      </x:c>
      <x:c r="J1" s="23" t="s">
        <x:v>81</x:v>
      </x:c>
      <x:c r="K1" s="24" t="s">
        <x:v>82</x:v>
      </x:c>
      <x:c r="L1" s="24" t="s">
        <x:v>65</x:v>
      </x:c>
      <x:c r="M1" s="23" t="s">
        <x:v>83</x:v>
      </x:c>
      <x:c r="N1" s="23" t="s">
        <x:v>84</x:v>
      </x:c>
      <x:c r="O1" s="23" t="s">
        <x:v>85</x:v>
      </x:c>
      <x:c r="P1" s="23" t="s">
        <x:v>86</x:v>
      </x:c>
      <x:c r="Q1" s="52" t="s">
        <x:v>87</x:v>
      </x:c>
      <x:c r="R1" s="52" t="s">
        <x:v>88</x:v>
      </x:c>
      <x:c r="S1" s="52" t="s">
        <x:v>89</x:v>
      </x:c>
      <x:c r="T1" s="52" t="s">
        <x:v>90</x:v>
      </x:c>
      <x:c r="U1" s="53" t="s">
        <x:v>91</x:v>
      </x:c>
      <x:c r="V1" s="50" t="s">
        <x:v>92</x:v>
      </x:c>
      <x:c r="W1" s="50" t="s">
        <x:v>93</x:v>
      </x:c>
      <x:c r="X1" s="23" t="s">
        <x:v>94</x:v>
      </x:c>
      <x:c r="Y1" s="23" t="s">
        <x:v>95</x:v>
      </x:c>
      <x:c r="Z1" s="23" t="s">
        <x:v>96</x:v>
      </x:c>
      <x:c r="AA1" s="25" t="s">
        <x:v>97</x:v>
      </x:c>
      <x:c r="AB1" s="23" t="s">
        <x:v>98</x:v>
      </x:c>
      <x:c r="AC1" s="23" t="s">
        <x:v>99</x:v>
      </x:c>
      <x:c r="AD1" s="23" t="s">
        <x:v>100</x:v>
      </x:c>
      <x:c r="AE1" s="23" t="s">
        <x:v>101</x:v>
      </x:c>
      <x:c r="AF1" s="23" t="s">
        <x:v>48</x:v>
      </x:c>
      <x:c r="AG1" s="23" t="s">
        <x:v>102</x:v>
      </x:c>
      <x:c r="AH1" s="23" t="s">
        <x:v>103</x:v>
      </x:c>
      <x:c r="AI1" s="23" t="s">
        <x:v>104</x:v>
      </x:c>
      <x:c r="AJ1" s="23" t="s">
        <x:v>105</x:v>
      </x:c>
    </x:row>
    <x:row r="2" spans="1:36" ht="15" customHeight="1" x14ac:dyDescent="0.25">
      <x:c r="A2" s="72" t="s">
        <x:v>106</x:v>
      </x:c>
      <x:c r="B2" s="264">
        <x:v>46</x:v>
      </x:c>
      <x:c r="C2" s="72" t="s">
        <x:v>107</x:v>
      </x:c>
      <x:c r="D2" s="72" t="s">
        <x:v>108</x:v>
      </x:c>
      <x:c r="E2" s="72" t="s">
        <x:v>108</x:v>
      </x:c>
      <x:c r="F2" s="73">
        <x:v>1494768</x:v>
      </x:c>
      <x:c r="G2" s="74" t="s">
        <x:v>109</x:v>
      </x:c>
      <x:c r="H2" s="72" t="s">
        <x:v>110</x:v>
      </x:c>
      <x:c r="I2" s="72"/>
      <x:c r="J2" s="75">
        <x:f>+Puantaj!C6</x:f>
      </x:c>
      <x:c r="K2" s="72">
        <x:f>+Puantaj!D6</x:f>
      </x:c>
      <x:c r="L2" s="72">
        <x:f>+Puantaj!E6</x:f>
      </x:c>
      <x:c r="M2" s="265">
        <x:f>+BORDRO!F6</x:f>
      </x:c>
      <x:c r="N2" s="72"/>
      <x:c r="O2" s="87">
        <x:f>+BORDRO!G6</x:f>
      </x:c>
      <x:c r="P2" s="87">
        <x:v>0</x:v>
      </x:c>
      <x:c r="Q2" s="266">
        <x:v>24</x:v>
      </x:c>
      <x:c r="R2" s="267" t="s">
        <x:v>111</x:v>
      </x:c>
      <x:c r="S2" s="78"/>
      <x:c r="T2" s="78"/>
      <x:c r="U2" s="79"/>
      <x:c r="V2" s="268">
        <x:f>31-M2-Q2</x:f>
      </x:c>
      <x:c r="W2" s="269">
        <x:v>6</x:v>
      </x:c>
      <x:c r="X2" s="270" t="s">
        <x:v>112</x:v>
      </x:c>
      <x:c r="Y2" s="73">
        <x:v>2</x:v>
      </x:c>
      <x:c r="Z2" s="72" t="s">
        <x:v>106</x:v>
      </x:c>
      <x:c r="AA2" s="82" t="s">
        <x:v>111</x:v>
      </x:c>
      <x:c r="AB2" s="72">
        <x:v>2025</x:v>
      </x:c>
      <x:c r="AC2" s="72" t="s">
        <x:v>113</x:v>
      </x:c>
      <x:c r="AD2" s="88">
        <x:f>+BORDRO!J6</x:f>
      </x:c>
      <x:c r="AE2" s="83"/>
      <x:c r="AF2" s="83">
        <x:f>+BORDRO!K6</x:f>
      </x:c>
      <x:c r="AG2" s="83">
        <x:f>+BORDRO!L6</x:f>
      </x:c>
      <x:c r="AH2" s="88">
        <x:f>+BORDRO!M6</x:f>
      </x:c>
      <x:c r="AI2" s="83">
        <x:f>+BORDRO!O6</x:f>
      </x:c>
      <x:c r="AJ2" s="84">
        <x:f>+BORDRO!P6</x:f>
      </x:c>
    </x:row>
    <x:row r="3" spans="1:36" ht="14.25" customHeight="1" x14ac:dyDescent="0.2">
      <x:c r="A3" s="72" t="s">
        <x:v>106</x:v>
      </x:c>
      <x:c r="B3" s="271">
        <x:v>46</x:v>
      </x:c>
      <x:c r="C3" s="72" t="s">
        <x:v>107</x:v>
      </x:c>
      <x:c r="D3" s="72" t="s">
        <x:v>108</x:v>
      </x:c>
      <x:c r="E3" s="72" t="s">
        <x:v>108</x:v>
      </x:c>
      <x:c r="F3" s="73">
        <x:v>1494768</x:v>
      </x:c>
      <x:c r="G3" s="74" t="s">
        <x:v>109</x:v>
      </x:c>
      <x:c r="H3" s="72" t="s">
        <x:v>110</x:v>
      </x:c>
      <x:c r="I3" s="72"/>
      <x:c r="J3" s="75">
        <x:f>+Puantaj!C7</x:f>
      </x:c>
      <x:c r="K3" s="72">
        <x:f>+Puantaj!D7</x:f>
      </x:c>
      <x:c r="L3" s="72">
        <x:f>+Puantaj!E7</x:f>
      </x:c>
      <x:c r="M3" s="265">
        <x:f>+BORDRO!F7</x:f>
      </x:c>
      <x:c r="N3" s="72"/>
      <x:c r="O3" s="87">
        <x:f>+BORDRO!G7</x:f>
      </x:c>
      <x:c r="P3" s="87">
        <x:v>0</x:v>
      </x:c>
      <x:c r="Q3" s="266">
        <x:v>24</x:v>
      </x:c>
      <x:c r="R3" s="267" t="s">
        <x:v>111</x:v>
      </x:c>
      <x:c r="S3" s="78"/>
      <x:c r="T3" s="78"/>
      <x:c r="U3" s="79"/>
      <x:c r="V3" s="268">
        <x:f>31-M3-Q3</x:f>
      </x:c>
      <x:c r="W3" s="269">
        <x:v>6</x:v>
      </x:c>
      <x:c r="X3" s="270" t="s">
        <x:v>112</x:v>
      </x:c>
      <x:c r="Y3" s="73">
        <x:v>2</x:v>
      </x:c>
      <x:c r="Z3" s="72" t="s">
        <x:v>106</x:v>
      </x:c>
      <x:c r="AA3" s="82" t="s">
        <x:v>111</x:v>
      </x:c>
      <x:c r="AB3" s="72">
        <x:v>2025</x:v>
      </x:c>
      <x:c r="AC3" s="72" t="s">
        <x:v>113</x:v>
      </x:c>
      <x:c r="AD3" s="88">
        <x:f>+BORDRO!J7</x:f>
      </x:c>
      <x:c r="AE3" s="83"/>
      <x:c r="AF3" s="83">
        <x:f>+BORDRO!K7</x:f>
      </x:c>
      <x:c r="AG3" s="83">
        <x:f>+BORDRO!L7</x:f>
      </x:c>
      <x:c r="AH3" s="88">
        <x:f>+BORDRO!M7</x:f>
      </x:c>
      <x:c r="AI3" s="83">
        <x:f>+BORDRO!O7</x:f>
      </x:c>
      <x:c r="AJ3" s="84">
        <x:f>+BORDRO!P7</x:f>
      </x:c>
    </x:row>
    <x:row r="4" spans="1:36" ht="15" customHeight="1" x14ac:dyDescent="0.25">
      <x:c r="A4" s="72" t="s">
        <x:v>106</x:v>
      </x:c>
      <x:c r="B4" s="264">
        <x:v>46</x:v>
      </x:c>
      <x:c r="C4" s="72" t="s">
        <x:v>107</x:v>
      </x:c>
      <x:c r="D4" s="72" t="s">
        <x:v>108</x:v>
      </x:c>
      <x:c r="E4" s="72" t="s">
        <x:v>108</x:v>
      </x:c>
      <x:c r="F4" s="73">
        <x:v>1494768</x:v>
      </x:c>
      <x:c r="G4" s="74" t="s">
        <x:v>109</x:v>
      </x:c>
      <x:c r="H4" s="72" t="s">
        <x:v>110</x:v>
      </x:c>
      <x:c r="I4" s="72"/>
      <x:c r="J4" s="75">
        <x:f>+Puantaj!C8</x:f>
      </x:c>
      <x:c r="K4" s="72">
        <x:f>+Puantaj!D8</x:f>
      </x:c>
      <x:c r="L4" s="72">
        <x:f>+Puantaj!E8</x:f>
      </x:c>
      <x:c r="M4" s="265">
        <x:f>+BORDRO!F8</x:f>
      </x:c>
      <x:c r="N4" s="72"/>
      <x:c r="O4" s="87">
        <x:f>+BORDRO!G8</x:f>
      </x:c>
      <x:c r="P4" s="87">
        <x:v>0</x:v>
      </x:c>
      <x:c r="Q4" s="266">
        <x:v>24</x:v>
      </x:c>
      <x:c r="R4" s="267" t="s">
        <x:v>111</x:v>
      </x:c>
      <x:c r="S4" s="78"/>
      <x:c r="T4" s="78"/>
      <x:c r="U4" s="79"/>
      <x:c r="V4" s="268">
        <x:f>31-M4-Q4</x:f>
      </x:c>
      <x:c r="W4" s="269">
        <x:v>6</x:v>
      </x:c>
      <x:c r="X4" s="270" t="s">
        <x:v>112</x:v>
      </x:c>
      <x:c r="Y4" s="73">
        <x:v>2</x:v>
      </x:c>
      <x:c r="Z4" s="72" t="s">
        <x:v>106</x:v>
      </x:c>
      <x:c r="AA4" s="82" t="s">
        <x:v>111</x:v>
      </x:c>
      <x:c r="AB4" s="72">
        <x:v>2025</x:v>
      </x:c>
      <x:c r="AC4" s="72" t="s">
        <x:v>113</x:v>
      </x:c>
      <x:c r="AD4" s="88">
        <x:f>+BORDRO!J8</x:f>
      </x:c>
      <x:c r="AE4" s="83"/>
      <x:c r="AF4" s="83">
        <x:f>+BORDRO!K8</x:f>
      </x:c>
      <x:c r="AG4" s="83">
        <x:f>+BORDRO!L8</x:f>
      </x:c>
      <x:c r="AH4" s="88">
        <x:f>+BORDRO!M8</x:f>
      </x:c>
      <x:c r="AI4" s="83">
        <x:f>+BORDRO!O8</x:f>
      </x:c>
      <x:c r="AJ4" s="84">
        <x:f>+BORDRO!P8</x:f>
      </x:c>
    </x:row>
    <x:row r="5" spans="1:36" ht="14.25" customHeight="1" x14ac:dyDescent="0.2">
      <x:c r="A5" s="72" t="s">
        <x:v>106</x:v>
      </x:c>
      <x:c r="B5" s="271">
        <x:v>46</x:v>
      </x:c>
      <x:c r="C5" s="72" t="s">
        <x:v>107</x:v>
      </x:c>
      <x:c r="D5" s="72" t="s">
        <x:v>108</x:v>
      </x:c>
      <x:c r="E5" s="72" t="s">
        <x:v>108</x:v>
      </x:c>
      <x:c r="F5" s="73">
        <x:v>1494768</x:v>
      </x:c>
      <x:c r="G5" s="74" t="s">
        <x:v>109</x:v>
      </x:c>
      <x:c r="H5" s="72" t="s">
        <x:v>110</x:v>
      </x:c>
      <x:c r="I5" s="72"/>
      <x:c r="J5" s="75">
        <x:f>+Puantaj!C9</x:f>
      </x:c>
      <x:c r="K5" s="72">
        <x:f>+Puantaj!D9</x:f>
      </x:c>
      <x:c r="L5" s="72">
        <x:f>+Puantaj!E9</x:f>
      </x:c>
      <x:c r="M5" s="265">
        <x:f>+BORDRO!F9</x:f>
      </x:c>
      <x:c r="N5" s="72"/>
      <x:c r="O5" s="87">
        <x:f>+BORDRO!G9</x:f>
      </x:c>
      <x:c r="P5" s="87">
        <x:v>0</x:v>
      </x:c>
      <x:c r="Q5" s="266">
        <x:v>24</x:v>
      </x:c>
      <x:c r="R5" s="267" t="s">
        <x:v>111</x:v>
      </x:c>
      <x:c r="S5" s="78"/>
      <x:c r="T5" s="78"/>
      <x:c r="U5" s="79"/>
      <x:c r="V5" s="268">
        <x:f>31-M5-Q5</x:f>
      </x:c>
      <x:c r="W5" s="269">
        <x:v>6</x:v>
      </x:c>
      <x:c r="X5" s="270" t="s">
        <x:v>112</x:v>
      </x:c>
      <x:c r="Y5" s="73">
        <x:v>2</x:v>
      </x:c>
      <x:c r="Z5" s="72" t="s">
        <x:v>106</x:v>
      </x:c>
      <x:c r="AA5" s="82" t="s">
        <x:v>111</x:v>
      </x:c>
      <x:c r="AB5" s="72">
        <x:v>2025</x:v>
      </x:c>
      <x:c r="AC5" s="72" t="s">
        <x:v>113</x:v>
      </x:c>
      <x:c r="AD5" s="88">
        <x:f>+BORDRO!J9</x:f>
      </x:c>
      <x:c r="AE5" s="83"/>
      <x:c r="AF5" s="83">
        <x:f>+BORDRO!K9</x:f>
      </x:c>
      <x:c r="AG5" s="83">
        <x:f>+BORDRO!L9</x:f>
      </x:c>
      <x:c r="AH5" s="88">
        <x:f>+BORDRO!M9</x:f>
      </x:c>
      <x:c r="AI5" s="83">
        <x:f>+BORDRO!O9</x:f>
      </x:c>
      <x:c r="AJ5" s="84">
        <x:f>+BORDRO!P9</x:f>
      </x:c>
    </x:row>
    <x:row r="6" spans="1:36" ht="15" customHeight="1" x14ac:dyDescent="0.25">
      <x:c r="A6" s="72" t="s">
        <x:v>106</x:v>
      </x:c>
      <x:c r="B6" s="264">
        <x:v>46</x:v>
      </x:c>
      <x:c r="C6" s="72" t="s">
        <x:v>107</x:v>
      </x:c>
      <x:c r="D6" s="72" t="s">
        <x:v>108</x:v>
      </x:c>
      <x:c r="E6" s="72" t="s">
        <x:v>108</x:v>
      </x:c>
      <x:c r="F6" s="73">
        <x:v>1494768</x:v>
      </x:c>
      <x:c r="G6" s="74" t="s">
        <x:v>109</x:v>
      </x:c>
      <x:c r="H6" s="72" t="s">
        <x:v>110</x:v>
      </x:c>
      <x:c r="I6" s="72"/>
      <x:c r="J6" s="75">
        <x:f>+Puantaj!C10</x:f>
      </x:c>
      <x:c r="K6" s="72">
        <x:f>+Puantaj!D10</x:f>
      </x:c>
      <x:c r="L6" s="72">
        <x:f>+Puantaj!E10</x:f>
      </x:c>
      <x:c r="M6" s="265">
        <x:f>+BORDRO!F10</x:f>
      </x:c>
      <x:c r="N6" s="72"/>
      <x:c r="O6" s="87">
        <x:f>+BORDRO!G10</x:f>
      </x:c>
      <x:c r="P6" s="87">
        <x:v>0</x:v>
      </x:c>
      <x:c r="Q6" s="266">
        <x:v>24</x:v>
      </x:c>
      <x:c r="R6" s="267" t="s">
        <x:v>111</x:v>
      </x:c>
      <x:c r="S6" s="78"/>
      <x:c r="T6" s="78"/>
      <x:c r="U6" s="79"/>
      <x:c r="V6" s="268">
        <x:f>31-M6-Q6</x:f>
      </x:c>
      <x:c r="W6" s="269">
        <x:v>6</x:v>
      </x:c>
      <x:c r="X6" s="270" t="s">
        <x:v>112</x:v>
      </x:c>
      <x:c r="Y6" s="73">
        <x:v>2</x:v>
      </x:c>
      <x:c r="Z6" s="72" t="s">
        <x:v>106</x:v>
      </x:c>
      <x:c r="AA6" s="82" t="s">
        <x:v>111</x:v>
      </x:c>
      <x:c r="AB6" s="72">
        <x:v>2025</x:v>
      </x:c>
      <x:c r="AC6" s="72" t="s">
        <x:v>113</x:v>
      </x:c>
      <x:c r="AD6" s="88">
        <x:f>+BORDRO!J10</x:f>
      </x:c>
      <x:c r="AE6" s="83"/>
      <x:c r="AF6" s="83">
        <x:f>+BORDRO!K10</x:f>
      </x:c>
      <x:c r="AG6" s="83">
        <x:f>+BORDRO!L10</x:f>
      </x:c>
      <x:c r="AH6" s="88">
        <x:f>+BORDRO!M10</x:f>
      </x:c>
      <x:c r="AI6" s="83">
        <x:f>+BORDRO!O10</x:f>
      </x:c>
      <x:c r="AJ6" s="84">
        <x:f>+BORDRO!P10</x:f>
      </x:c>
    </x:row>
    <x:row r="7" spans="1:36" ht="14.25" customHeight="1" x14ac:dyDescent="0.2">
      <x:c r="A7" s="72" t="s">
        <x:v>106</x:v>
      </x:c>
      <x:c r="B7" s="271">
        <x:v>46</x:v>
      </x:c>
      <x:c r="C7" s="72" t="s">
        <x:v>107</x:v>
      </x:c>
      <x:c r="D7" s="72" t="s">
        <x:v>108</x:v>
      </x:c>
      <x:c r="E7" s="72" t="s">
        <x:v>108</x:v>
      </x:c>
      <x:c r="F7" s="73">
        <x:v>1494768</x:v>
      </x:c>
      <x:c r="G7" s="74" t="s">
        <x:v>109</x:v>
      </x:c>
      <x:c r="H7" s="72" t="s">
        <x:v>110</x:v>
      </x:c>
      <x:c r="I7" s="72"/>
      <x:c r="J7" s="75">
        <x:f>+Puantaj!C11</x:f>
      </x:c>
      <x:c r="K7" s="72">
        <x:f>+Puantaj!D11</x:f>
      </x:c>
      <x:c r="L7" s="72">
        <x:f>+Puantaj!E11</x:f>
      </x:c>
      <x:c r="M7" s="265">
        <x:f>+BORDRO!F11</x:f>
      </x:c>
      <x:c r="N7" s="72"/>
      <x:c r="O7" s="87">
        <x:f>+BORDRO!G11</x:f>
      </x:c>
      <x:c r="P7" s="87">
        <x:v>0</x:v>
      </x:c>
      <x:c r="Q7" s="266">
        <x:v>24</x:v>
      </x:c>
      <x:c r="R7" s="267" t="s">
        <x:v>111</x:v>
      </x:c>
      <x:c r="S7" s="78"/>
      <x:c r="T7" s="78"/>
      <x:c r="U7" s="79"/>
      <x:c r="V7" s="268">
        <x:f>31-M7-Q7</x:f>
      </x:c>
      <x:c r="W7" s="269">
        <x:v>6</x:v>
      </x:c>
      <x:c r="X7" s="270" t="s">
        <x:v>112</x:v>
      </x:c>
      <x:c r="Y7" s="73">
        <x:v>2</x:v>
      </x:c>
      <x:c r="Z7" s="72" t="s">
        <x:v>106</x:v>
      </x:c>
      <x:c r="AA7" s="82" t="s">
        <x:v>111</x:v>
      </x:c>
      <x:c r="AB7" s="72">
        <x:v>2025</x:v>
      </x:c>
      <x:c r="AC7" s="72" t="s">
        <x:v>113</x:v>
      </x:c>
      <x:c r="AD7" s="88">
        <x:f>+BORDRO!J11</x:f>
      </x:c>
      <x:c r="AE7" s="83"/>
      <x:c r="AF7" s="83">
        <x:f>+BORDRO!K11</x:f>
      </x:c>
      <x:c r="AG7" s="83">
        <x:f>+BORDRO!L11</x:f>
      </x:c>
      <x:c r="AH7" s="88">
        <x:f>+BORDRO!M11</x:f>
      </x:c>
      <x:c r="AI7" s="83">
        <x:f>+BORDRO!O11</x:f>
      </x:c>
      <x:c r="AJ7" s="84">
        <x:f>+BORDRO!P11</x:f>
      </x:c>
    </x:row>
    <x:row r="8" spans="1:36" ht="15" customHeight="1" x14ac:dyDescent="0.25">
      <x:c r="A8" s="72" t="s">
        <x:v>106</x:v>
      </x:c>
      <x:c r="B8" s="264">
        <x:v>46</x:v>
      </x:c>
      <x:c r="C8" s="72" t="s">
        <x:v>107</x:v>
      </x:c>
      <x:c r="D8" s="72" t="s">
        <x:v>108</x:v>
      </x:c>
      <x:c r="E8" s="72" t="s">
        <x:v>108</x:v>
      </x:c>
      <x:c r="F8" s="73">
        <x:v>1494768</x:v>
      </x:c>
      <x:c r="G8" s="74" t="s">
        <x:v>109</x:v>
      </x:c>
      <x:c r="H8" s="72" t="s">
        <x:v>110</x:v>
      </x:c>
      <x:c r="I8" s="72"/>
      <x:c r="J8" s="75">
        <x:f>+Puantaj!C12</x:f>
      </x:c>
      <x:c r="K8" s="72">
        <x:f>+Puantaj!D12</x:f>
      </x:c>
      <x:c r="L8" s="72">
        <x:f>+Puantaj!E12</x:f>
      </x:c>
      <x:c r="M8" s="265">
        <x:f>+BORDRO!F12</x:f>
      </x:c>
      <x:c r="N8" s="72"/>
      <x:c r="O8" s="87">
        <x:f>+BORDRO!G12</x:f>
      </x:c>
      <x:c r="P8" s="87">
        <x:v>0</x:v>
      </x:c>
      <x:c r="Q8" s="266">
        <x:v>24</x:v>
      </x:c>
      <x:c r="R8" s="267" t="s">
        <x:v>111</x:v>
      </x:c>
      <x:c r="S8" s="78"/>
      <x:c r="T8" s="78"/>
      <x:c r="U8" s="79"/>
      <x:c r="V8" s="268">
        <x:f>31-M8-Q8</x:f>
      </x:c>
      <x:c r="W8" s="269">
        <x:v>6</x:v>
      </x:c>
      <x:c r="X8" s="270" t="s">
        <x:v>112</x:v>
      </x:c>
      <x:c r="Y8" s="73">
        <x:v>2</x:v>
      </x:c>
      <x:c r="Z8" s="72" t="s">
        <x:v>106</x:v>
      </x:c>
      <x:c r="AA8" s="82" t="s">
        <x:v>111</x:v>
      </x:c>
      <x:c r="AB8" s="72">
        <x:v>2025</x:v>
      </x:c>
      <x:c r="AC8" s="72" t="s">
        <x:v>113</x:v>
      </x:c>
      <x:c r="AD8" s="88">
        <x:f>+BORDRO!J12</x:f>
      </x:c>
      <x:c r="AE8" s="83"/>
      <x:c r="AF8" s="83">
        <x:f>+BORDRO!K12</x:f>
      </x:c>
      <x:c r="AG8" s="83">
        <x:f>+BORDRO!L12</x:f>
      </x:c>
      <x:c r="AH8" s="88">
        <x:f>+BORDRO!M12</x:f>
      </x:c>
      <x:c r="AI8" s="83">
        <x:f>+BORDRO!O12</x:f>
      </x:c>
      <x:c r="AJ8" s="84">
        <x:f>+BORDRO!P12</x:f>
      </x:c>
    </x:row>
    <x:row r="9" spans="1:36" ht="14.25" customHeight="1" x14ac:dyDescent="0.2">
      <x:c r="A9" s="72" t="s">
        <x:v>106</x:v>
      </x:c>
      <x:c r="B9" s="271">
        <x:v>46</x:v>
      </x:c>
      <x:c r="C9" s="72" t="s">
        <x:v>107</x:v>
      </x:c>
      <x:c r="D9" s="72" t="s">
        <x:v>108</x:v>
      </x:c>
      <x:c r="E9" s="72" t="s">
        <x:v>108</x:v>
      </x:c>
      <x:c r="F9" s="73">
        <x:v>1494768</x:v>
      </x:c>
      <x:c r="G9" s="74" t="s">
        <x:v>109</x:v>
      </x:c>
      <x:c r="H9" s="72" t="s">
        <x:v>110</x:v>
      </x:c>
      <x:c r="I9" s="72"/>
      <x:c r="J9" s="75">
        <x:f>+Puantaj!C13</x:f>
      </x:c>
      <x:c r="K9" s="72">
        <x:f>+Puantaj!D13</x:f>
      </x:c>
      <x:c r="L9" s="72">
        <x:f>+Puantaj!E13</x:f>
      </x:c>
      <x:c r="M9" s="265">
        <x:f>+BORDRO!F13</x:f>
      </x:c>
      <x:c r="N9" s="72"/>
      <x:c r="O9" s="87">
        <x:f>+BORDRO!G13</x:f>
      </x:c>
      <x:c r="P9" s="87">
        <x:v>0</x:v>
      </x:c>
      <x:c r="Q9" s="266">
        <x:v>24</x:v>
      </x:c>
      <x:c r="R9" s="267" t="s">
        <x:v>111</x:v>
      </x:c>
      <x:c r="S9" s="78"/>
      <x:c r="T9" s="78"/>
      <x:c r="U9" s="79"/>
      <x:c r="V9" s="268">
        <x:f>31-M9-Q9</x:f>
      </x:c>
      <x:c r="W9" s="269">
        <x:v>6</x:v>
      </x:c>
      <x:c r="X9" s="270" t="s">
        <x:v>112</x:v>
      </x:c>
      <x:c r="Y9" s="73">
        <x:v>2</x:v>
      </x:c>
      <x:c r="Z9" s="72" t="s">
        <x:v>106</x:v>
      </x:c>
      <x:c r="AA9" s="82" t="s">
        <x:v>111</x:v>
      </x:c>
      <x:c r="AB9" s="72">
        <x:v>2025</x:v>
      </x:c>
      <x:c r="AC9" s="72" t="s">
        <x:v>113</x:v>
      </x:c>
      <x:c r="AD9" s="88">
        <x:f>+BORDRO!J13</x:f>
      </x:c>
      <x:c r="AE9" s="83"/>
      <x:c r="AF9" s="83">
        <x:f>+BORDRO!K13</x:f>
      </x:c>
      <x:c r="AG9" s="83">
        <x:f>+BORDRO!L13</x:f>
      </x:c>
      <x:c r="AH9" s="88">
        <x:f>+BORDRO!M13</x:f>
      </x:c>
      <x:c r="AI9" s="83">
        <x:f>+BORDRO!O13</x:f>
      </x:c>
      <x:c r="AJ9" s="84">
        <x:f>+BORDRO!P13</x:f>
      </x:c>
    </x:row>
    <x:row r="10" spans="1:36" ht="15" customHeight="1" x14ac:dyDescent="0.25">
      <x:c r="A10" s="72" t="s">
        <x:v>106</x:v>
      </x:c>
      <x:c r="B10" s="264">
        <x:v>46</x:v>
      </x:c>
      <x:c r="C10" s="72" t="s">
        <x:v>107</x:v>
      </x:c>
      <x:c r="D10" s="72" t="s">
        <x:v>108</x:v>
      </x:c>
      <x:c r="E10" s="72" t="s">
        <x:v>108</x:v>
      </x:c>
      <x:c r="F10" s="73">
        <x:v>1494768</x:v>
      </x:c>
      <x:c r="G10" s="74" t="s">
        <x:v>109</x:v>
      </x:c>
      <x:c r="H10" s="72" t="s">
        <x:v>110</x:v>
      </x:c>
      <x:c r="I10" s="72"/>
      <x:c r="J10" s="75">
        <x:f>+Puantaj!C14</x:f>
      </x:c>
      <x:c r="K10" s="72">
        <x:f>+Puantaj!D14</x:f>
      </x:c>
      <x:c r="L10" s="72">
        <x:f>+Puantaj!E14</x:f>
      </x:c>
      <x:c r="M10" s="265">
        <x:f>+BORDRO!F14</x:f>
      </x:c>
      <x:c r="N10" s="72"/>
      <x:c r="O10" s="87">
        <x:f>+BORDRO!G14</x:f>
      </x:c>
      <x:c r="P10" s="87">
        <x:v>0</x:v>
      </x:c>
      <x:c r="Q10" s="266">
        <x:v>24</x:v>
      </x:c>
      <x:c r="R10" s="267" t="s">
        <x:v>111</x:v>
      </x:c>
      <x:c r="S10" s="78"/>
      <x:c r="T10" s="78"/>
      <x:c r="U10" s="79"/>
      <x:c r="V10" s="268">
        <x:f>31-M10-Q10</x:f>
      </x:c>
      <x:c r="W10" s="269">
        <x:v>6</x:v>
      </x:c>
      <x:c r="X10" s="270" t="s">
        <x:v>112</x:v>
      </x:c>
      <x:c r="Y10" s="73">
        <x:v>2</x:v>
      </x:c>
      <x:c r="Z10" s="72" t="s">
        <x:v>106</x:v>
      </x:c>
      <x:c r="AA10" s="82" t="s">
        <x:v>111</x:v>
      </x:c>
      <x:c r="AB10" s="72">
        <x:v>2025</x:v>
      </x:c>
      <x:c r="AC10" s="72" t="s">
        <x:v>113</x:v>
      </x:c>
      <x:c r="AD10" s="88">
        <x:f>+BORDRO!J14</x:f>
      </x:c>
      <x:c r="AE10" s="83"/>
      <x:c r="AF10" s="83">
        <x:f>+BORDRO!K14</x:f>
      </x:c>
      <x:c r="AG10" s="83">
        <x:f>+BORDRO!L14</x:f>
      </x:c>
      <x:c r="AH10" s="88">
        <x:f>+BORDRO!M14</x:f>
      </x:c>
      <x:c r="AI10" s="83">
        <x:f>+BORDRO!O14</x:f>
      </x:c>
      <x:c r="AJ10" s="84">
        <x:f>+BORDRO!P14</x:f>
      </x:c>
    </x:row>
    <x:row r="11" spans="1:36" ht="14.25" customHeight="1" x14ac:dyDescent="0.2">
      <x:c r="A11" s="72" t="s">
        <x:v>106</x:v>
      </x:c>
      <x:c r="B11" s="271">
        <x:v>46</x:v>
      </x:c>
      <x:c r="C11" s="72" t="s">
        <x:v>107</x:v>
      </x:c>
      <x:c r="D11" s="72" t="s">
        <x:v>108</x:v>
      </x:c>
      <x:c r="E11" s="72" t="s">
        <x:v>108</x:v>
      </x:c>
      <x:c r="F11" s="73">
        <x:v>1494768</x:v>
      </x:c>
      <x:c r="G11" s="74" t="s">
        <x:v>109</x:v>
      </x:c>
      <x:c r="H11" s="72" t="s">
        <x:v>110</x:v>
      </x:c>
      <x:c r="I11" s="72"/>
      <x:c r="J11" s="75">
        <x:f>+Puantaj!C15</x:f>
      </x:c>
      <x:c r="K11" s="72">
        <x:f>+Puantaj!D15</x:f>
      </x:c>
      <x:c r="L11" s="72">
        <x:f>+Puantaj!E15</x:f>
      </x:c>
      <x:c r="M11" s="265">
        <x:f>+BORDRO!F15</x:f>
      </x:c>
      <x:c r="N11" s="72"/>
      <x:c r="O11" s="87">
        <x:f>+BORDRO!G15</x:f>
      </x:c>
      <x:c r="P11" s="87">
        <x:v>0</x:v>
      </x:c>
      <x:c r="Q11" s="266">
        <x:v>24</x:v>
      </x:c>
      <x:c r="R11" s="267" t="s">
        <x:v>111</x:v>
      </x:c>
      <x:c r="S11" s="78"/>
      <x:c r="T11" s="78"/>
      <x:c r="U11" s="79"/>
      <x:c r="V11" s="268">
        <x:f>31-M11-Q11</x:f>
      </x:c>
      <x:c r="W11" s="269">
        <x:v>6</x:v>
      </x:c>
      <x:c r="X11" s="270" t="s">
        <x:v>112</x:v>
      </x:c>
      <x:c r="Y11" s="73">
        <x:v>2</x:v>
      </x:c>
      <x:c r="Z11" s="72" t="s">
        <x:v>106</x:v>
      </x:c>
      <x:c r="AA11" s="82" t="s">
        <x:v>111</x:v>
      </x:c>
      <x:c r="AB11" s="72">
        <x:v>2025</x:v>
      </x:c>
      <x:c r="AC11" s="72" t="s">
        <x:v>113</x:v>
      </x:c>
      <x:c r="AD11" s="88">
        <x:f>+BORDRO!J15</x:f>
      </x:c>
      <x:c r="AE11" s="83"/>
      <x:c r="AF11" s="83">
        <x:f>+BORDRO!K15</x:f>
      </x:c>
      <x:c r="AG11" s="83">
        <x:f>+BORDRO!L15</x:f>
      </x:c>
      <x:c r="AH11" s="88">
        <x:f>+BORDRO!M15</x:f>
      </x:c>
      <x:c r="AI11" s="83">
        <x:f>+BORDRO!O15</x:f>
      </x:c>
      <x:c r="AJ11" s="84">
        <x:f>+BORDRO!P15</x:f>
      </x:c>
    </x:row>
    <x:row r="12" spans="1:36" ht="15" customHeight="1" x14ac:dyDescent="0.25">
      <x:c r="A12" s="72" t="s">
        <x:v>106</x:v>
      </x:c>
      <x:c r="B12" s="264">
        <x:v>46</x:v>
      </x:c>
      <x:c r="C12" s="72" t="s">
        <x:v>107</x:v>
      </x:c>
      <x:c r="D12" s="72" t="s">
        <x:v>108</x:v>
      </x:c>
      <x:c r="E12" s="72" t="s">
        <x:v>108</x:v>
      </x:c>
      <x:c r="F12" s="73">
        <x:v>1494768</x:v>
      </x:c>
      <x:c r="G12" s="74" t="s">
        <x:v>109</x:v>
      </x:c>
      <x:c r="H12" s="72" t="s">
        <x:v>110</x:v>
      </x:c>
      <x:c r="I12" s="72"/>
      <x:c r="J12" s="75">
        <x:f>+Puantaj!C16</x:f>
      </x:c>
      <x:c r="K12" s="72">
        <x:f>+Puantaj!D16</x:f>
      </x:c>
      <x:c r="L12" s="72">
        <x:f>+Puantaj!E16</x:f>
      </x:c>
      <x:c r="M12" s="265">
        <x:f>+BORDRO!F16</x:f>
      </x:c>
      <x:c r="N12" s="72"/>
      <x:c r="O12" s="87">
        <x:f>+BORDRO!G16</x:f>
      </x:c>
      <x:c r="P12" s="87">
        <x:v>0</x:v>
      </x:c>
      <x:c r="Q12" s="266">
        <x:v>24</x:v>
      </x:c>
      <x:c r="R12" s="267" t="s">
        <x:v>111</x:v>
      </x:c>
      <x:c r="S12" s="78"/>
      <x:c r="T12" s="78"/>
      <x:c r="U12" s="79"/>
      <x:c r="V12" s="268">
        <x:f>31-M12-Q12</x:f>
      </x:c>
      <x:c r="W12" s="269">
        <x:v>6</x:v>
      </x:c>
      <x:c r="X12" s="270" t="s">
        <x:v>112</x:v>
      </x:c>
      <x:c r="Y12" s="73">
        <x:v>2</x:v>
      </x:c>
      <x:c r="Z12" s="72" t="s">
        <x:v>106</x:v>
      </x:c>
      <x:c r="AA12" s="82" t="s">
        <x:v>111</x:v>
      </x:c>
      <x:c r="AB12" s="72">
        <x:v>2025</x:v>
      </x:c>
      <x:c r="AC12" s="72" t="s">
        <x:v>113</x:v>
      </x:c>
      <x:c r="AD12" s="88">
        <x:f>+BORDRO!J16</x:f>
      </x:c>
      <x:c r="AE12" s="83"/>
      <x:c r="AF12" s="83">
        <x:f>+BORDRO!K16</x:f>
      </x:c>
      <x:c r="AG12" s="83">
        <x:f>+BORDRO!L16</x:f>
      </x:c>
      <x:c r="AH12" s="88">
        <x:f>+BORDRO!M16</x:f>
      </x:c>
      <x:c r="AI12" s="83">
        <x:f>+BORDRO!O16</x:f>
      </x:c>
      <x:c r="AJ12" s="84">
        <x:f>+BORDRO!P16</x:f>
      </x:c>
    </x:row>
    <x:row r="13" spans="1:36" ht="14.25" customHeight="1" x14ac:dyDescent="0.2">
      <x:c r="A13" s="72" t="s">
        <x:v>106</x:v>
      </x:c>
      <x:c r="B13" s="271">
        <x:v>46</x:v>
      </x:c>
      <x:c r="C13" s="72" t="s">
        <x:v>107</x:v>
      </x:c>
      <x:c r="D13" s="72" t="s">
        <x:v>108</x:v>
      </x:c>
      <x:c r="E13" s="72" t="s">
        <x:v>108</x:v>
      </x:c>
      <x:c r="F13" s="73">
        <x:v>1494768</x:v>
      </x:c>
      <x:c r="G13" s="74" t="s">
        <x:v>109</x:v>
      </x:c>
      <x:c r="H13" s="72" t="s">
        <x:v>110</x:v>
      </x:c>
      <x:c r="I13" s="72"/>
      <x:c r="J13" s="75">
        <x:f>+Puantaj!C17</x:f>
      </x:c>
      <x:c r="K13" s="72">
        <x:f>+Puantaj!D17</x:f>
      </x:c>
      <x:c r="L13" s="72">
        <x:f>+Puantaj!E17</x:f>
      </x:c>
      <x:c r="M13" s="265">
        <x:f>+BORDRO!F17</x:f>
      </x:c>
      <x:c r="N13" s="72"/>
      <x:c r="O13" s="87">
        <x:f>+BORDRO!G17</x:f>
      </x:c>
      <x:c r="P13" s="87">
        <x:v>0</x:v>
      </x:c>
      <x:c r="Q13" s="266">
        <x:v>24</x:v>
      </x:c>
      <x:c r="R13" s="267" t="s">
        <x:v>111</x:v>
      </x:c>
      <x:c r="S13" s="78"/>
      <x:c r="T13" s="78"/>
      <x:c r="U13" s="79"/>
      <x:c r="V13" s="268">
        <x:f>31-M13-Q13</x:f>
      </x:c>
      <x:c r="W13" s="269">
        <x:v>6</x:v>
      </x:c>
      <x:c r="X13" s="270" t="s">
        <x:v>112</x:v>
      </x:c>
      <x:c r="Y13" s="73">
        <x:v>2</x:v>
      </x:c>
      <x:c r="Z13" s="72" t="s">
        <x:v>106</x:v>
      </x:c>
      <x:c r="AA13" s="82" t="s">
        <x:v>111</x:v>
      </x:c>
      <x:c r="AB13" s="72">
        <x:v>2025</x:v>
      </x:c>
      <x:c r="AC13" s="72" t="s">
        <x:v>113</x:v>
      </x:c>
      <x:c r="AD13" s="88">
        <x:f>+BORDRO!J17</x:f>
      </x:c>
      <x:c r="AE13" s="83"/>
      <x:c r="AF13" s="83">
        <x:f>+BORDRO!K17</x:f>
      </x:c>
      <x:c r="AG13" s="83">
        <x:f>+BORDRO!L17</x:f>
      </x:c>
      <x:c r="AH13" s="88">
        <x:f>+BORDRO!M17</x:f>
      </x:c>
      <x:c r="AI13" s="83">
        <x:f>+BORDRO!O17</x:f>
      </x:c>
      <x:c r="AJ13" s="84">
        <x:f>+BORDRO!P17</x:f>
      </x:c>
    </x:row>
    <x:row r="14" spans="1:36" ht="15" customHeight="1" x14ac:dyDescent="0.25">
      <x:c r="A14" s="72" t="s">
        <x:v>106</x:v>
      </x:c>
      <x:c r="B14" s="264">
        <x:v>46</x:v>
      </x:c>
      <x:c r="C14" s="72" t="s">
        <x:v>107</x:v>
      </x:c>
      <x:c r="D14" s="72" t="s">
        <x:v>108</x:v>
      </x:c>
      <x:c r="E14" s="72" t="s">
        <x:v>108</x:v>
      </x:c>
      <x:c r="F14" s="73">
        <x:v>1494768</x:v>
      </x:c>
      <x:c r="G14" s="74" t="s">
        <x:v>109</x:v>
      </x:c>
      <x:c r="H14" s="72" t="s">
        <x:v>110</x:v>
      </x:c>
      <x:c r="I14" s="72"/>
      <x:c r="J14" s="75">
        <x:f>+Puantaj!C18</x:f>
      </x:c>
      <x:c r="K14" s="72">
        <x:f>+Puantaj!D18</x:f>
      </x:c>
      <x:c r="L14" s="72">
        <x:f>+Puantaj!E18</x:f>
      </x:c>
      <x:c r="M14" s="265">
        <x:f>+BORDRO!F18</x:f>
      </x:c>
      <x:c r="N14" s="72"/>
      <x:c r="O14" s="87">
        <x:f>+BORDRO!G18</x:f>
      </x:c>
      <x:c r="P14" s="87">
        <x:v>0</x:v>
      </x:c>
      <x:c r="Q14" s="266">
        <x:v>24</x:v>
      </x:c>
      <x:c r="R14" s="267" t="s">
        <x:v>111</x:v>
      </x:c>
      <x:c r="S14" s="78"/>
      <x:c r="T14" s="78"/>
      <x:c r="U14" s="79"/>
      <x:c r="V14" s="268">
        <x:f>31-M14-Q14</x:f>
      </x:c>
      <x:c r="W14" s="269">
        <x:v>6</x:v>
      </x:c>
      <x:c r="X14" s="270" t="s">
        <x:v>112</x:v>
      </x:c>
      <x:c r="Y14" s="73">
        <x:v>2</x:v>
      </x:c>
      <x:c r="Z14" s="72" t="s">
        <x:v>106</x:v>
      </x:c>
      <x:c r="AA14" s="82" t="s">
        <x:v>111</x:v>
      </x:c>
      <x:c r="AB14" s="72">
        <x:v>2025</x:v>
      </x:c>
      <x:c r="AC14" s="72" t="s">
        <x:v>113</x:v>
      </x:c>
      <x:c r="AD14" s="88">
        <x:f>+BORDRO!J18</x:f>
      </x:c>
      <x:c r="AE14" s="83"/>
      <x:c r="AF14" s="83">
        <x:f>+BORDRO!K18</x:f>
      </x:c>
      <x:c r="AG14" s="83">
        <x:f>+BORDRO!L18</x:f>
      </x:c>
      <x:c r="AH14" s="88">
        <x:f>+BORDRO!M18</x:f>
      </x:c>
      <x:c r="AI14" s="83">
        <x:f>+BORDRO!O18</x:f>
      </x:c>
      <x:c r="AJ14" s="84">
        <x:f>+BORDRO!P18</x:f>
      </x:c>
    </x:row>
    <x:row r="15" spans="1:36" ht="14.25" customHeight="1" x14ac:dyDescent="0.2">
      <x:c r="A15" s="72" t="s">
        <x:v>106</x:v>
      </x:c>
      <x:c r="B15" s="271">
        <x:v>46</x:v>
      </x:c>
      <x:c r="C15" s="72" t="s">
        <x:v>107</x:v>
      </x:c>
      <x:c r="D15" s="72" t="s">
        <x:v>108</x:v>
      </x:c>
      <x:c r="E15" s="72" t="s">
        <x:v>108</x:v>
      </x:c>
      <x:c r="F15" s="73">
        <x:v>1494768</x:v>
      </x:c>
      <x:c r="G15" s="74" t="s">
        <x:v>109</x:v>
      </x:c>
      <x:c r="H15" s="72" t="s">
        <x:v>110</x:v>
      </x:c>
      <x:c r="I15" s="72"/>
      <x:c r="J15" s="75">
        <x:f>+Puantaj!C19</x:f>
      </x:c>
      <x:c r="K15" s="72">
        <x:f>+Puantaj!D19</x:f>
      </x:c>
      <x:c r="L15" s="72">
        <x:f>+Puantaj!E19</x:f>
      </x:c>
      <x:c r="M15" s="265">
        <x:f>+BORDRO!F19</x:f>
      </x:c>
      <x:c r="N15" s="72"/>
      <x:c r="O15" s="87">
        <x:f>+BORDRO!G19</x:f>
      </x:c>
      <x:c r="P15" s="87">
        <x:v>0</x:v>
      </x:c>
      <x:c r="Q15" s="266">
        <x:v>24</x:v>
      </x:c>
      <x:c r="R15" s="267" t="s">
        <x:v>111</x:v>
      </x:c>
      <x:c r="S15" s="78"/>
      <x:c r="T15" s="78"/>
      <x:c r="U15" s="79"/>
      <x:c r="V15" s="268">
        <x:f>31-M15-Q15</x:f>
      </x:c>
      <x:c r="W15" s="269">
        <x:v>6</x:v>
      </x:c>
      <x:c r="X15" s="270" t="s">
        <x:v>112</x:v>
      </x:c>
      <x:c r="Y15" s="73">
        <x:v>2</x:v>
      </x:c>
      <x:c r="Z15" s="72" t="s">
        <x:v>106</x:v>
      </x:c>
      <x:c r="AA15" s="82" t="s">
        <x:v>111</x:v>
      </x:c>
      <x:c r="AB15" s="72">
        <x:v>2025</x:v>
      </x:c>
      <x:c r="AC15" s="72" t="s">
        <x:v>113</x:v>
      </x:c>
      <x:c r="AD15" s="88">
        <x:f>+BORDRO!J19</x:f>
      </x:c>
      <x:c r="AE15" s="83"/>
      <x:c r="AF15" s="83">
        <x:f>+BORDRO!K19</x:f>
      </x:c>
      <x:c r="AG15" s="83">
        <x:f>+BORDRO!L19</x:f>
      </x:c>
      <x:c r="AH15" s="88">
        <x:f>+BORDRO!M19</x:f>
      </x:c>
      <x:c r="AI15" s="83">
        <x:f>+BORDRO!O19</x:f>
      </x:c>
      <x:c r="AJ15" s="84">
        <x:f>+BORDRO!P19</x:f>
      </x:c>
    </x:row>
    <x:row r="16" spans="1:36" ht="15" customHeight="1" x14ac:dyDescent="0.25">
      <x:c r="A16" s="72" t="s">
        <x:v>106</x:v>
      </x:c>
      <x:c r="B16" s="264">
        <x:v>46</x:v>
      </x:c>
      <x:c r="C16" s="72" t="s">
        <x:v>107</x:v>
      </x:c>
      <x:c r="D16" s="72" t="s">
        <x:v>108</x:v>
      </x:c>
      <x:c r="E16" s="72" t="s">
        <x:v>108</x:v>
      </x:c>
      <x:c r="F16" s="73">
        <x:v>1494768</x:v>
      </x:c>
      <x:c r="G16" s="74" t="s">
        <x:v>109</x:v>
      </x:c>
      <x:c r="H16" s="72" t="s">
        <x:v>110</x:v>
      </x:c>
      <x:c r="I16" s="72"/>
      <x:c r="J16" s="75">
        <x:f>+Puantaj!C20</x:f>
      </x:c>
      <x:c r="K16" s="72">
        <x:f>+Puantaj!D20</x:f>
      </x:c>
      <x:c r="L16" s="72">
        <x:f>+Puantaj!E20</x:f>
      </x:c>
      <x:c r="M16" s="265">
        <x:f>+BORDRO!F20</x:f>
      </x:c>
      <x:c r="N16" s="72"/>
      <x:c r="O16" s="87">
        <x:f>+BORDRO!G20</x:f>
      </x:c>
      <x:c r="P16" s="87">
        <x:v>0</x:v>
      </x:c>
      <x:c r="Q16" s="266">
        <x:v>24</x:v>
      </x:c>
      <x:c r="R16" s="267" t="s">
        <x:v>111</x:v>
      </x:c>
      <x:c r="S16" s="78"/>
      <x:c r="T16" s="78"/>
      <x:c r="U16" s="79"/>
      <x:c r="V16" s="268">
        <x:f>31-M16-Q16</x:f>
      </x:c>
      <x:c r="W16" s="269">
        <x:v>6</x:v>
      </x:c>
      <x:c r="X16" s="270" t="s">
        <x:v>112</x:v>
      </x:c>
      <x:c r="Y16" s="73">
        <x:v>2</x:v>
      </x:c>
      <x:c r="Z16" s="72" t="s">
        <x:v>106</x:v>
      </x:c>
      <x:c r="AA16" s="82" t="s">
        <x:v>111</x:v>
      </x:c>
      <x:c r="AB16" s="72">
        <x:v>2025</x:v>
      </x:c>
      <x:c r="AC16" s="72" t="s">
        <x:v>113</x:v>
      </x:c>
      <x:c r="AD16" s="88">
        <x:f>+BORDRO!J20</x:f>
      </x:c>
      <x:c r="AE16" s="83"/>
      <x:c r="AF16" s="83">
        <x:f>+BORDRO!K20</x:f>
      </x:c>
      <x:c r="AG16" s="83">
        <x:f>+BORDRO!L20</x:f>
      </x:c>
      <x:c r="AH16" s="88">
        <x:f>+BORDRO!M20</x:f>
      </x:c>
      <x:c r="AI16" s="83">
        <x:f>+BORDRO!O20</x:f>
      </x:c>
      <x:c r="AJ16" s="84">
        <x:f>+BORDRO!P20</x:f>
      </x:c>
    </x:row>
    <x:row r="17" spans="1:36" ht="14.25" customHeight="1" x14ac:dyDescent="0.2">
      <x:c r="A17" s="72" t="s">
        <x:v>106</x:v>
      </x:c>
      <x:c r="B17" s="271">
        <x:v>46</x:v>
      </x:c>
      <x:c r="C17" s="72" t="s">
        <x:v>107</x:v>
      </x:c>
      <x:c r="D17" s="72" t="s">
        <x:v>108</x:v>
      </x:c>
      <x:c r="E17" s="72" t="s">
        <x:v>108</x:v>
      </x:c>
      <x:c r="F17" s="73">
        <x:v>1494768</x:v>
      </x:c>
      <x:c r="G17" s="74" t="s">
        <x:v>109</x:v>
      </x:c>
      <x:c r="H17" s="72" t="s">
        <x:v>110</x:v>
      </x:c>
      <x:c r="I17" s="72"/>
      <x:c r="J17" s="75">
        <x:f>+Puantaj!C21</x:f>
      </x:c>
      <x:c r="K17" s="72">
        <x:f>+Puantaj!D21</x:f>
      </x:c>
      <x:c r="L17" s="72">
        <x:f>+Puantaj!E21</x:f>
      </x:c>
      <x:c r="M17" s="265">
        <x:f>+BORDRO!F21</x:f>
      </x:c>
      <x:c r="N17" s="72"/>
      <x:c r="O17" s="87">
        <x:f>+BORDRO!G21</x:f>
      </x:c>
      <x:c r="P17" s="87">
        <x:v>0</x:v>
      </x:c>
      <x:c r="Q17" s="266">
        <x:v>24</x:v>
      </x:c>
      <x:c r="R17" s="267" t="s">
        <x:v>111</x:v>
      </x:c>
      <x:c r="S17" s="78"/>
      <x:c r="T17" s="78"/>
      <x:c r="U17" s="79"/>
      <x:c r="V17" s="268">
        <x:f>31-M17-Q17</x:f>
      </x:c>
      <x:c r="W17" s="269">
        <x:v>6</x:v>
      </x:c>
      <x:c r="X17" s="270" t="s">
        <x:v>112</x:v>
      </x:c>
      <x:c r="Y17" s="73">
        <x:v>2</x:v>
      </x:c>
      <x:c r="Z17" s="72" t="s">
        <x:v>106</x:v>
      </x:c>
      <x:c r="AA17" s="82" t="s">
        <x:v>111</x:v>
      </x:c>
      <x:c r="AB17" s="72">
        <x:v>2025</x:v>
      </x:c>
      <x:c r="AC17" s="72" t="s">
        <x:v>113</x:v>
      </x:c>
      <x:c r="AD17" s="88">
        <x:f>+BORDRO!J21</x:f>
      </x:c>
      <x:c r="AE17" s="83"/>
      <x:c r="AF17" s="83">
        <x:f>+BORDRO!K21</x:f>
      </x:c>
      <x:c r="AG17" s="83">
        <x:f>+BORDRO!L21</x:f>
      </x:c>
      <x:c r="AH17" s="88">
        <x:f>+BORDRO!M21</x:f>
      </x:c>
      <x:c r="AI17" s="83">
        <x:f>+BORDRO!O21</x:f>
      </x:c>
      <x:c r="AJ17" s="84">
        <x:f>+BORDRO!P21</x:f>
      </x:c>
    </x:row>
    <x:row r="18" spans="1:36" ht="15" customHeight="1" x14ac:dyDescent="0.25">
      <x:c r="A18" s="72" t="s">
        <x:v>106</x:v>
      </x:c>
      <x:c r="B18" s="264">
        <x:v>46</x:v>
      </x:c>
      <x:c r="C18" s="72" t="s">
        <x:v>107</x:v>
      </x:c>
      <x:c r="D18" s="72" t="s">
        <x:v>108</x:v>
      </x:c>
      <x:c r="E18" s="72" t="s">
        <x:v>108</x:v>
      </x:c>
      <x:c r="F18" s="73">
        <x:v>1494768</x:v>
      </x:c>
      <x:c r="G18" s="74" t="s">
        <x:v>109</x:v>
      </x:c>
      <x:c r="H18" s="72" t="s">
        <x:v>110</x:v>
      </x:c>
      <x:c r="I18" s="72"/>
      <x:c r="J18" s="75">
        <x:f>+Puantaj!C22</x:f>
      </x:c>
      <x:c r="K18" s="72">
        <x:f>+Puantaj!D22</x:f>
      </x:c>
      <x:c r="L18" s="72">
        <x:f>+Puantaj!E22</x:f>
      </x:c>
      <x:c r="M18" s="265">
        <x:f>+BORDRO!F22</x:f>
      </x:c>
      <x:c r="N18" s="72"/>
      <x:c r="O18" s="87">
        <x:f>+BORDRO!G22</x:f>
      </x:c>
      <x:c r="P18" s="87">
        <x:v>0</x:v>
      </x:c>
      <x:c r="Q18" s="266">
        <x:v>24</x:v>
      </x:c>
      <x:c r="R18" s="267" t="s">
        <x:v>111</x:v>
      </x:c>
      <x:c r="S18" s="78"/>
      <x:c r="T18" s="78"/>
      <x:c r="U18" s="79"/>
      <x:c r="V18" s="268">
        <x:f>31-M18-Q18</x:f>
      </x:c>
      <x:c r="W18" s="269">
        <x:v>6</x:v>
      </x:c>
      <x:c r="X18" s="270" t="s">
        <x:v>112</x:v>
      </x:c>
      <x:c r="Y18" s="73">
        <x:v>2</x:v>
      </x:c>
      <x:c r="Z18" s="72" t="s">
        <x:v>106</x:v>
      </x:c>
      <x:c r="AA18" s="82" t="s">
        <x:v>111</x:v>
      </x:c>
      <x:c r="AB18" s="72">
        <x:v>2025</x:v>
      </x:c>
      <x:c r="AC18" s="72" t="s">
        <x:v>113</x:v>
      </x:c>
      <x:c r="AD18" s="88">
        <x:f>+BORDRO!J22</x:f>
      </x:c>
      <x:c r="AE18" s="83"/>
      <x:c r="AF18" s="83">
        <x:f>+BORDRO!K22</x:f>
      </x:c>
      <x:c r="AG18" s="83">
        <x:f>+BORDRO!L22</x:f>
      </x:c>
      <x:c r="AH18" s="88">
        <x:f>+BORDRO!M22</x:f>
      </x:c>
      <x:c r="AI18" s="83">
        <x:f>+BORDRO!O22</x:f>
      </x:c>
      <x:c r="AJ18" s="84">
        <x:f>+BORDRO!P22</x:f>
      </x:c>
    </x:row>
    <x:row r="19" spans="1:36" ht="14.25" customHeight="1" s="38" customFormat="1" x14ac:dyDescent="0.2">
      <x:c r="A19" s="85" t="s">
        <x:v>106</x:v>
      </x:c>
      <x:c r="B19" s="271">
        <x:v>46</x:v>
      </x:c>
      <x:c r="C19" s="72" t="s">
        <x:v>107</x:v>
      </x:c>
      <x:c r="D19" s="85" t="s">
        <x:v>108</x:v>
      </x:c>
      <x:c r="E19" s="85" t="s">
        <x:v>108</x:v>
      </x:c>
      <x:c r="F19" s="73">
        <x:v>1494768</x:v>
      </x:c>
      <x:c r="G19" s="74" t="s">
        <x:v>109</x:v>
      </x:c>
      <x:c r="H19" s="72" t="s">
        <x:v>110</x:v>
      </x:c>
      <x:c r="I19" s="85"/>
      <x:c r="J19" s="75">
        <x:f>+Puantaj!C23</x:f>
      </x:c>
      <x:c r="K19" s="72">
        <x:f>+Puantaj!D23</x:f>
      </x:c>
      <x:c r="L19" s="72">
        <x:f>+Puantaj!E23</x:f>
      </x:c>
      <x:c r="M19" s="265">
        <x:f>+BORDRO!F23</x:f>
      </x:c>
      <x:c r="N19" s="72"/>
      <x:c r="O19" s="87">
        <x:f>+BORDRO!G23</x:f>
      </x:c>
      <x:c r="P19" s="87">
        <x:v>0</x:v>
      </x:c>
      <x:c r="Q19" s="266">
        <x:v>24</x:v>
      </x:c>
      <x:c r="R19" s="267" t="s">
        <x:v>111</x:v>
      </x:c>
      <x:c r="S19" s="78"/>
      <x:c r="T19" s="78"/>
      <x:c r="U19" s="79"/>
      <x:c r="V19" s="268">
        <x:f>31-M19-Q19</x:f>
      </x:c>
      <x:c r="W19" s="269">
        <x:v>6</x:v>
      </x:c>
      <x:c r="X19" s="270" t="s">
        <x:v>112</x:v>
      </x:c>
      <x:c r="Y19" s="73">
        <x:v>2</x:v>
      </x:c>
      <x:c r="Z19" s="85" t="s">
        <x:v>106</x:v>
      </x:c>
      <x:c r="AA19" s="82" t="s">
        <x:v>111</x:v>
      </x:c>
      <x:c r="AB19" s="72">
        <x:v>2025</x:v>
      </x:c>
      <x:c r="AC19" s="72" t="s">
        <x:v>113</x:v>
      </x:c>
      <x:c r="AD19" s="88">
        <x:f>+BORDRO!J23</x:f>
      </x:c>
      <x:c r="AE19" s="83"/>
      <x:c r="AF19" s="83">
        <x:f>+BORDRO!K23</x:f>
      </x:c>
      <x:c r="AG19" s="83">
        <x:f>+BORDRO!L23</x:f>
      </x:c>
      <x:c r="AH19" s="88">
        <x:f>+BORDRO!M23</x:f>
      </x:c>
      <x:c r="AI19" s="83">
        <x:f>+BORDRO!O23</x:f>
      </x:c>
      <x:c r="AJ19" s="84">
        <x:f>+BORDRO!P23</x:f>
      </x:c>
    </x:row>
    <x:row r="20" spans="1:36" ht="15" customHeight="1" x14ac:dyDescent="0.25">
      <x:c r="A20" s="72" t="s">
        <x:v>106</x:v>
      </x:c>
      <x:c r="B20" s="264">
        <x:v>46</x:v>
      </x:c>
      <x:c r="C20" s="72" t="s">
        <x:v>107</x:v>
      </x:c>
      <x:c r="D20" s="72" t="s">
        <x:v>108</x:v>
      </x:c>
      <x:c r="E20" s="72" t="s">
        <x:v>108</x:v>
      </x:c>
      <x:c r="F20" s="73">
        <x:v>1494768</x:v>
      </x:c>
      <x:c r="G20" s="74" t="s">
        <x:v>109</x:v>
      </x:c>
      <x:c r="H20" s="72" t="s">
        <x:v>110</x:v>
      </x:c>
      <x:c r="I20" s="72"/>
      <x:c r="J20" s="75">
        <x:f>+Puantaj!C24</x:f>
      </x:c>
      <x:c r="K20" s="72">
        <x:f>+Puantaj!D24</x:f>
      </x:c>
      <x:c r="L20" s="72">
        <x:f>+Puantaj!E24</x:f>
      </x:c>
      <x:c r="M20" s="265">
        <x:f>+BORDRO!F24</x:f>
      </x:c>
      <x:c r="N20" s="72"/>
      <x:c r="O20" s="87">
        <x:f>+BORDRO!G24</x:f>
      </x:c>
      <x:c r="P20" s="87">
        <x:v>0</x:v>
      </x:c>
      <x:c r="Q20" s="266">
        <x:v>24</x:v>
      </x:c>
      <x:c r="R20" s="267" t="s">
        <x:v>111</x:v>
      </x:c>
      <x:c r="S20" s="78"/>
      <x:c r="T20" s="78"/>
      <x:c r="U20" s="79"/>
      <x:c r="V20" s="268">
        <x:f>31-M20-Q20</x:f>
      </x:c>
      <x:c r="W20" s="269">
        <x:v>6</x:v>
      </x:c>
      <x:c r="X20" s="270" t="s">
        <x:v>112</x:v>
      </x:c>
      <x:c r="Y20" s="73">
        <x:v>2</x:v>
      </x:c>
      <x:c r="Z20" s="72" t="s">
        <x:v>106</x:v>
      </x:c>
      <x:c r="AA20" s="82" t="s">
        <x:v>111</x:v>
      </x:c>
      <x:c r="AB20" s="72">
        <x:v>2025</x:v>
      </x:c>
      <x:c r="AC20" s="72" t="s">
        <x:v>113</x:v>
      </x:c>
      <x:c r="AD20" s="88">
        <x:f>+BORDRO!J24</x:f>
      </x:c>
      <x:c r="AE20" s="83"/>
      <x:c r="AF20" s="83">
        <x:f>+BORDRO!K24</x:f>
      </x:c>
      <x:c r="AG20" s="83">
        <x:f>+BORDRO!L24</x:f>
      </x:c>
      <x:c r="AH20" s="88">
        <x:f>+BORDRO!M24</x:f>
      </x:c>
      <x:c r="AI20" s="83">
        <x:f>+BORDRO!O24</x:f>
      </x:c>
      <x:c r="AJ20" s="84">
        <x:f>+BORDRO!P24</x:f>
      </x:c>
    </x:row>
    <x:row r="21" spans="1:36" ht="14.25" customHeight="1" x14ac:dyDescent="0.2">
      <x:c r="A21" s="72" t="s">
        <x:v>106</x:v>
      </x:c>
      <x:c r="B21" s="271">
        <x:v>46</x:v>
      </x:c>
      <x:c r="C21" s="72" t="s">
        <x:v>107</x:v>
      </x:c>
      <x:c r="D21" s="72" t="s">
        <x:v>108</x:v>
      </x:c>
      <x:c r="E21" s="72" t="s">
        <x:v>108</x:v>
      </x:c>
      <x:c r="F21" s="73">
        <x:v>1494768</x:v>
      </x:c>
      <x:c r="G21" s="74" t="s">
        <x:v>109</x:v>
      </x:c>
      <x:c r="H21" s="72" t="s">
        <x:v>110</x:v>
      </x:c>
      <x:c r="I21" s="72"/>
      <x:c r="J21" s="75">
        <x:f>+Puantaj!C25</x:f>
      </x:c>
      <x:c r="K21" s="72">
        <x:f>+Puantaj!D25</x:f>
      </x:c>
      <x:c r="L21" s="72">
        <x:f>+Puantaj!E25</x:f>
      </x:c>
      <x:c r="M21" s="265">
        <x:f>+BORDRO!F25</x:f>
      </x:c>
      <x:c r="N21" s="72"/>
      <x:c r="O21" s="87">
        <x:f>+BORDRO!G25</x:f>
      </x:c>
      <x:c r="P21" s="87">
        <x:v>0</x:v>
      </x:c>
      <x:c r="Q21" s="266">
        <x:v>24</x:v>
      </x:c>
      <x:c r="R21" s="267" t="s">
        <x:v>111</x:v>
      </x:c>
      <x:c r="S21" s="78"/>
      <x:c r="T21" s="78"/>
      <x:c r="U21" s="79"/>
      <x:c r="V21" s="268">
        <x:f>31-M21-Q21</x:f>
      </x:c>
      <x:c r="W21" s="269">
        <x:v>6</x:v>
      </x:c>
      <x:c r="X21" s="270" t="s">
        <x:v>112</x:v>
      </x:c>
      <x:c r="Y21" s="73">
        <x:v>2</x:v>
      </x:c>
      <x:c r="Z21" s="72" t="s">
        <x:v>106</x:v>
      </x:c>
      <x:c r="AA21" s="82" t="s">
        <x:v>111</x:v>
      </x:c>
      <x:c r="AB21" s="72">
        <x:v>2025</x:v>
      </x:c>
      <x:c r="AC21" s="72" t="s">
        <x:v>113</x:v>
      </x:c>
      <x:c r="AD21" s="88">
        <x:f>+BORDRO!J25</x:f>
      </x:c>
      <x:c r="AE21" s="83"/>
      <x:c r="AF21" s="83">
        <x:f>+BORDRO!K25</x:f>
      </x:c>
      <x:c r="AG21" s="83">
        <x:f>+BORDRO!L25</x:f>
      </x:c>
      <x:c r="AH21" s="88">
        <x:f>+BORDRO!M25</x:f>
      </x:c>
      <x:c r="AI21" s="83">
        <x:f>+BORDRO!O25</x:f>
      </x:c>
      <x:c r="AJ21" s="84">
        <x:f>+BORDRO!P25</x:f>
      </x:c>
    </x:row>
    <x:row r="22" spans="1:36" ht="15" customHeight="1" x14ac:dyDescent="0.25">
      <x:c r="A22" s="72" t="s">
        <x:v>106</x:v>
      </x:c>
      <x:c r="B22" s="264">
        <x:v>46</x:v>
      </x:c>
      <x:c r="C22" s="72" t="s">
        <x:v>107</x:v>
      </x:c>
      <x:c r="D22" s="72" t="s">
        <x:v>108</x:v>
      </x:c>
      <x:c r="E22" s="72" t="s">
        <x:v>108</x:v>
      </x:c>
      <x:c r="F22" s="73">
        <x:v>1494768</x:v>
      </x:c>
      <x:c r="G22" s="74" t="s">
        <x:v>109</x:v>
      </x:c>
      <x:c r="H22" s="72" t="s">
        <x:v>110</x:v>
      </x:c>
      <x:c r="I22" s="72"/>
      <x:c r="J22" s="75">
        <x:f>+Puantaj!C26</x:f>
      </x:c>
      <x:c r="K22" s="72">
        <x:f>+Puantaj!D26</x:f>
      </x:c>
      <x:c r="L22" s="72">
        <x:f>+Puantaj!E26</x:f>
      </x:c>
      <x:c r="M22" s="265">
        <x:f>+BORDRO!F26</x:f>
      </x:c>
      <x:c r="N22" s="72"/>
      <x:c r="O22" s="87">
        <x:f>+BORDRO!G26</x:f>
      </x:c>
      <x:c r="P22" s="87">
        <x:v>0</x:v>
      </x:c>
      <x:c r="Q22" s="266">
        <x:v>24</x:v>
      </x:c>
      <x:c r="R22" s="267" t="s">
        <x:v>111</x:v>
      </x:c>
      <x:c r="S22" s="78"/>
      <x:c r="T22" s="78"/>
      <x:c r="U22" s="79"/>
      <x:c r="V22" s="268">
        <x:f>31-M22-Q22</x:f>
      </x:c>
      <x:c r="W22" s="269">
        <x:v>6</x:v>
      </x:c>
      <x:c r="X22" s="270" t="s">
        <x:v>112</x:v>
      </x:c>
      <x:c r="Y22" s="73">
        <x:v>2</x:v>
      </x:c>
      <x:c r="Z22" s="72" t="s">
        <x:v>106</x:v>
      </x:c>
      <x:c r="AA22" s="82" t="s">
        <x:v>111</x:v>
      </x:c>
      <x:c r="AB22" s="72">
        <x:v>2025</x:v>
      </x:c>
      <x:c r="AC22" s="72" t="s">
        <x:v>113</x:v>
      </x:c>
      <x:c r="AD22" s="88">
        <x:f>+BORDRO!J26</x:f>
      </x:c>
      <x:c r="AE22" s="83"/>
      <x:c r="AF22" s="83">
        <x:f>+BORDRO!K26</x:f>
      </x:c>
      <x:c r="AG22" s="83">
        <x:f>+BORDRO!L26</x:f>
      </x:c>
      <x:c r="AH22" s="88">
        <x:f>+BORDRO!M26</x:f>
      </x:c>
      <x:c r="AI22" s="83">
        <x:f>+BORDRO!O26</x:f>
      </x:c>
      <x:c r="AJ22" s="84">
        <x:f>+BORDRO!P26</x:f>
      </x:c>
    </x:row>
    <x:row r="23" spans="1:36" ht="14.25" customHeight="1" x14ac:dyDescent="0.2">
      <x:c r="A23" s="72" t="s">
        <x:v>106</x:v>
      </x:c>
      <x:c r="B23" s="271">
        <x:v>46</x:v>
      </x:c>
      <x:c r="C23" s="72" t="s">
        <x:v>107</x:v>
      </x:c>
      <x:c r="D23" s="72" t="s">
        <x:v>108</x:v>
      </x:c>
      <x:c r="E23" s="72" t="s">
        <x:v>108</x:v>
      </x:c>
      <x:c r="F23" s="73">
        <x:v>1494768</x:v>
      </x:c>
      <x:c r="G23" s="74" t="s">
        <x:v>109</x:v>
      </x:c>
      <x:c r="H23" s="72" t="s">
        <x:v>110</x:v>
      </x:c>
      <x:c r="I23" s="72"/>
      <x:c r="J23" s="75">
        <x:f>+Puantaj!C27</x:f>
      </x:c>
      <x:c r="K23" s="72">
        <x:f>+Puantaj!D27</x:f>
      </x:c>
      <x:c r="L23" s="72">
        <x:f>+Puantaj!E27</x:f>
      </x:c>
      <x:c r="M23" s="265">
        <x:f>+BORDRO!F27</x:f>
      </x:c>
      <x:c r="N23" s="72"/>
      <x:c r="O23" s="87">
        <x:f>+BORDRO!G27</x:f>
      </x:c>
      <x:c r="P23" s="87">
        <x:v>0</x:v>
      </x:c>
      <x:c r="Q23" s="266">
        <x:v>24</x:v>
      </x:c>
      <x:c r="R23" s="267" t="s">
        <x:v>111</x:v>
      </x:c>
      <x:c r="S23" s="78"/>
      <x:c r="T23" s="78"/>
      <x:c r="U23" s="79"/>
      <x:c r="V23" s="268">
        <x:f>31-M23-Q23</x:f>
      </x:c>
      <x:c r="W23" s="269">
        <x:v>6</x:v>
      </x:c>
      <x:c r="X23" s="270" t="s">
        <x:v>112</x:v>
      </x:c>
      <x:c r="Y23" s="73">
        <x:v>2</x:v>
      </x:c>
      <x:c r="Z23" s="72" t="s">
        <x:v>106</x:v>
      </x:c>
      <x:c r="AA23" s="82" t="s">
        <x:v>111</x:v>
      </x:c>
      <x:c r="AB23" s="72">
        <x:v>2025</x:v>
      </x:c>
      <x:c r="AC23" s="72" t="s">
        <x:v>113</x:v>
      </x:c>
      <x:c r="AD23" s="88">
        <x:f>+BORDRO!J27</x:f>
      </x:c>
      <x:c r="AE23" s="83"/>
      <x:c r="AF23" s="83">
        <x:f>+BORDRO!K27</x:f>
      </x:c>
      <x:c r="AG23" s="83">
        <x:f>+BORDRO!L27</x:f>
      </x:c>
      <x:c r="AH23" s="88">
        <x:f>+BORDRO!M27</x:f>
      </x:c>
      <x:c r="AI23" s="83">
        <x:f>+BORDRO!O27</x:f>
      </x:c>
      <x:c r="AJ23" s="84">
        <x:f>+BORDRO!P27</x:f>
      </x:c>
    </x:row>
    <x:row r="24" spans="1:36" ht="15" customHeight="1" x14ac:dyDescent="0.25">
      <x:c r="A24" s="72" t="s">
        <x:v>106</x:v>
      </x:c>
      <x:c r="B24" s="264">
        <x:v>46</x:v>
      </x:c>
      <x:c r="C24" s="72" t="s">
        <x:v>107</x:v>
      </x:c>
      <x:c r="D24" s="72" t="s">
        <x:v>108</x:v>
      </x:c>
      <x:c r="E24" s="72" t="s">
        <x:v>108</x:v>
      </x:c>
      <x:c r="F24" s="73">
        <x:v>1494768</x:v>
      </x:c>
      <x:c r="G24" s="74" t="s">
        <x:v>109</x:v>
      </x:c>
      <x:c r="H24" s="72" t="s">
        <x:v>110</x:v>
      </x:c>
      <x:c r="I24" s="72"/>
      <x:c r="J24" s="75">
        <x:f>+Puantaj!C28</x:f>
      </x:c>
      <x:c r="K24" s="72">
        <x:f>+Puantaj!D28</x:f>
      </x:c>
      <x:c r="L24" s="72">
        <x:f>+Puantaj!E28</x:f>
      </x:c>
      <x:c r="M24" s="265">
        <x:f>+BORDRO!F28</x:f>
      </x:c>
      <x:c r="N24" s="72"/>
      <x:c r="O24" s="87">
        <x:f>+BORDRO!G28</x:f>
      </x:c>
      <x:c r="P24" s="87">
        <x:v>0</x:v>
      </x:c>
      <x:c r="Q24" s="266">
        <x:v>24</x:v>
      </x:c>
      <x:c r="R24" s="267" t="s">
        <x:v>111</x:v>
      </x:c>
      <x:c r="S24" s="78"/>
      <x:c r="T24" s="78"/>
      <x:c r="U24" s="79"/>
      <x:c r="V24" s="268">
        <x:f>31-M24-Q24</x:f>
      </x:c>
      <x:c r="W24" s="269">
        <x:v>6</x:v>
      </x:c>
      <x:c r="X24" s="270" t="s">
        <x:v>112</x:v>
      </x:c>
      <x:c r="Y24" s="73">
        <x:v>2</x:v>
      </x:c>
      <x:c r="Z24" s="72" t="s">
        <x:v>106</x:v>
      </x:c>
      <x:c r="AA24" s="82" t="s">
        <x:v>111</x:v>
      </x:c>
      <x:c r="AB24" s="72">
        <x:v>2025</x:v>
      </x:c>
      <x:c r="AC24" s="72" t="s">
        <x:v>113</x:v>
      </x:c>
      <x:c r="AD24" s="88">
        <x:f>+BORDRO!J28</x:f>
      </x:c>
      <x:c r="AE24" s="83"/>
      <x:c r="AF24" s="83">
        <x:f>+BORDRO!K28</x:f>
      </x:c>
      <x:c r="AG24" s="83">
        <x:f>+BORDRO!L28</x:f>
      </x:c>
      <x:c r="AH24" s="88">
        <x:f>+BORDRO!M28</x:f>
      </x:c>
      <x:c r="AI24" s="83">
        <x:f>+BORDRO!O28</x:f>
      </x:c>
      <x:c r="AJ24" s="84">
        <x:f>+BORDRO!P28</x:f>
      </x:c>
    </x:row>
    <x:row r="25" spans="1:36" ht="14.25" customHeight="1" x14ac:dyDescent="0.2">
      <x:c r="A25" s="72" t="s">
        <x:v>106</x:v>
      </x:c>
      <x:c r="B25" s="271">
        <x:v>46</x:v>
      </x:c>
      <x:c r="C25" s="72" t="s">
        <x:v>107</x:v>
      </x:c>
      <x:c r="D25" s="72" t="s">
        <x:v>108</x:v>
      </x:c>
      <x:c r="E25" s="72" t="s">
        <x:v>108</x:v>
      </x:c>
      <x:c r="F25" s="73">
        <x:v>1494768</x:v>
      </x:c>
      <x:c r="G25" s="74" t="s">
        <x:v>109</x:v>
      </x:c>
      <x:c r="H25" s="72" t="s">
        <x:v>110</x:v>
      </x:c>
      <x:c r="I25" s="72"/>
      <x:c r="J25" s="75">
        <x:f>+Puantaj!C29</x:f>
      </x:c>
      <x:c r="K25" s="72">
        <x:f>+Puantaj!D29</x:f>
      </x:c>
      <x:c r="L25" s="72">
        <x:f>+Puantaj!E29</x:f>
      </x:c>
      <x:c r="M25" s="265">
        <x:f>+BORDRO!F29</x:f>
      </x:c>
      <x:c r="N25" s="72"/>
      <x:c r="O25" s="87">
        <x:f>+BORDRO!G29</x:f>
      </x:c>
      <x:c r="P25" s="87">
        <x:v>0</x:v>
      </x:c>
      <x:c r="Q25" s="266">
        <x:v>24</x:v>
      </x:c>
      <x:c r="R25" s="267" t="s">
        <x:v>111</x:v>
      </x:c>
      <x:c r="S25" s="78"/>
      <x:c r="T25" s="78"/>
      <x:c r="U25" s="79"/>
      <x:c r="V25" s="268">
        <x:f>31-M25-Q25</x:f>
      </x:c>
      <x:c r="W25" s="269">
        <x:v>6</x:v>
      </x:c>
      <x:c r="X25" s="270" t="s">
        <x:v>112</x:v>
      </x:c>
      <x:c r="Y25" s="73">
        <x:v>2</x:v>
      </x:c>
      <x:c r="Z25" s="72" t="s">
        <x:v>106</x:v>
      </x:c>
      <x:c r="AA25" s="82" t="s">
        <x:v>111</x:v>
      </x:c>
      <x:c r="AB25" s="72">
        <x:v>2025</x:v>
      </x:c>
      <x:c r="AC25" s="72" t="s">
        <x:v>113</x:v>
      </x:c>
      <x:c r="AD25" s="88">
        <x:f>+BORDRO!J29</x:f>
      </x:c>
      <x:c r="AE25" s="83"/>
      <x:c r="AF25" s="83">
        <x:f>+BORDRO!K29</x:f>
      </x:c>
      <x:c r="AG25" s="83">
        <x:f>+BORDRO!L29</x:f>
      </x:c>
      <x:c r="AH25" s="88">
        <x:f>+BORDRO!M29</x:f>
      </x:c>
      <x:c r="AI25" s="83">
        <x:f>+BORDRO!O29</x:f>
      </x:c>
      <x:c r="AJ25" s="84">
        <x:f>+BORDRO!P29</x:f>
      </x:c>
    </x:row>
    <x:row r="26" spans="1:36" ht="15" customHeight="1" x14ac:dyDescent="0.25">
      <x:c r="A26" s="72" t="s">
        <x:v>106</x:v>
      </x:c>
      <x:c r="B26" s="264">
        <x:v>46</x:v>
      </x:c>
      <x:c r="C26" s="72" t="s">
        <x:v>107</x:v>
      </x:c>
      <x:c r="D26" s="72" t="s">
        <x:v>108</x:v>
      </x:c>
      <x:c r="E26" s="72" t="s">
        <x:v>108</x:v>
      </x:c>
      <x:c r="F26" s="73">
        <x:v>1494768</x:v>
      </x:c>
      <x:c r="G26" s="74" t="s">
        <x:v>109</x:v>
      </x:c>
      <x:c r="H26" s="72" t="s">
        <x:v>110</x:v>
      </x:c>
      <x:c r="I26" s="72"/>
      <x:c r="J26" s="75">
        <x:f>+Puantaj!C30</x:f>
      </x:c>
      <x:c r="K26" s="72">
        <x:f>+Puantaj!D30</x:f>
      </x:c>
      <x:c r="L26" s="72">
        <x:f>+Puantaj!E30</x:f>
      </x:c>
      <x:c r="M26" s="265">
        <x:f>+BORDRO!F30</x:f>
      </x:c>
      <x:c r="N26" s="72"/>
      <x:c r="O26" s="87">
        <x:f>+BORDRO!G30</x:f>
      </x:c>
      <x:c r="P26" s="87">
        <x:v>0</x:v>
      </x:c>
      <x:c r="Q26" s="266">
        <x:v>24</x:v>
      </x:c>
      <x:c r="R26" s="267" t="s">
        <x:v>111</x:v>
      </x:c>
      <x:c r="S26" s="78"/>
      <x:c r="T26" s="78"/>
      <x:c r="U26" s="79"/>
      <x:c r="V26" s="268">
        <x:f>31-M26-Q26</x:f>
      </x:c>
      <x:c r="W26" s="269">
        <x:v>6</x:v>
      </x:c>
      <x:c r="X26" s="270" t="s">
        <x:v>112</x:v>
      </x:c>
      <x:c r="Y26" s="73">
        <x:v>2</x:v>
      </x:c>
      <x:c r="Z26" s="72" t="s">
        <x:v>106</x:v>
      </x:c>
      <x:c r="AA26" s="82" t="s">
        <x:v>111</x:v>
      </x:c>
      <x:c r="AB26" s="72">
        <x:v>2025</x:v>
      </x:c>
      <x:c r="AC26" s="72" t="s">
        <x:v>113</x:v>
      </x:c>
      <x:c r="AD26" s="88">
        <x:f>+BORDRO!J30</x:f>
      </x:c>
      <x:c r="AE26" s="83"/>
      <x:c r="AF26" s="83">
        <x:f>+BORDRO!K30</x:f>
      </x:c>
      <x:c r="AG26" s="83">
        <x:f>+BORDRO!L30</x:f>
      </x:c>
      <x:c r="AH26" s="88">
        <x:f>+BORDRO!M30</x:f>
      </x:c>
      <x:c r="AI26" s="83">
        <x:f>+BORDRO!O30</x:f>
      </x:c>
      <x:c r="AJ26" s="84">
        <x:f>+BORDRO!P30</x:f>
      </x:c>
    </x:row>
    <x:row r="27" spans="1:36" ht="14.25" customHeight="1" x14ac:dyDescent="0.2">
      <x:c r="A27" s="72" t="s">
        <x:v>106</x:v>
      </x:c>
      <x:c r="B27" s="271">
        <x:v>46</x:v>
      </x:c>
      <x:c r="C27" s="72" t="s">
        <x:v>107</x:v>
      </x:c>
      <x:c r="D27" s="72" t="s">
        <x:v>108</x:v>
      </x:c>
      <x:c r="E27" s="72" t="s">
        <x:v>108</x:v>
      </x:c>
      <x:c r="F27" s="73">
        <x:v>1494768</x:v>
      </x:c>
      <x:c r="G27" s="74" t="s">
        <x:v>109</x:v>
      </x:c>
      <x:c r="H27" s="72" t="s">
        <x:v>110</x:v>
      </x:c>
      <x:c r="I27" s="72"/>
      <x:c r="J27" s="75">
        <x:f>+Puantaj!C31</x:f>
      </x:c>
      <x:c r="K27" s="72">
        <x:f>+Puantaj!D31</x:f>
      </x:c>
      <x:c r="L27" s="72">
        <x:f>+Puantaj!E31</x:f>
      </x:c>
      <x:c r="M27" s="265">
        <x:f>+BORDRO!F31</x:f>
      </x:c>
      <x:c r="N27" s="72"/>
      <x:c r="O27" s="87">
        <x:f>+BORDRO!G31</x:f>
      </x:c>
      <x:c r="P27" s="87">
        <x:v>0</x:v>
      </x:c>
      <x:c r="Q27" s="266">
        <x:v>24</x:v>
      </x:c>
      <x:c r="R27" s="267" t="s">
        <x:v>111</x:v>
      </x:c>
      <x:c r="S27" s="78"/>
      <x:c r="T27" s="78"/>
      <x:c r="U27" s="79"/>
      <x:c r="V27" s="268">
        <x:f>31-M27-Q27</x:f>
      </x:c>
      <x:c r="W27" s="269">
        <x:v>6</x:v>
      </x:c>
      <x:c r="X27" s="270" t="s">
        <x:v>112</x:v>
      </x:c>
      <x:c r="Y27" s="73">
        <x:v>2</x:v>
      </x:c>
      <x:c r="Z27" s="72" t="s">
        <x:v>106</x:v>
      </x:c>
      <x:c r="AA27" s="82" t="s">
        <x:v>111</x:v>
      </x:c>
      <x:c r="AB27" s="72">
        <x:v>2025</x:v>
      </x:c>
      <x:c r="AC27" s="72" t="s">
        <x:v>113</x:v>
      </x:c>
      <x:c r="AD27" s="88">
        <x:f>+BORDRO!J31</x:f>
      </x:c>
      <x:c r="AE27" s="83"/>
      <x:c r="AF27" s="83">
        <x:f>+BORDRO!K31</x:f>
      </x:c>
      <x:c r="AG27" s="83">
        <x:f>+BORDRO!L31</x:f>
      </x:c>
      <x:c r="AH27" s="88">
        <x:f>+BORDRO!M31</x:f>
      </x:c>
      <x:c r="AI27" s="83">
        <x:f>+BORDRO!O31</x:f>
      </x:c>
      <x:c r="AJ27" s="84">
        <x:f>+BORDRO!P31</x:f>
      </x:c>
    </x:row>
    <x:row r="28" spans="1:36" ht="15" customHeight="1" x14ac:dyDescent="0.25">
      <x:c r="A28" s="72" t="s">
        <x:v>106</x:v>
      </x:c>
      <x:c r="B28" s="264">
        <x:v>46</x:v>
      </x:c>
      <x:c r="C28" s="72" t="s">
        <x:v>107</x:v>
      </x:c>
      <x:c r="D28" s="72" t="s">
        <x:v>108</x:v>
      </x:c>
      <x:c r="E28" s="72" t="s">
        <x:v>108</x:v>
      </x:c>
      <x:c r="F28" s="73">
        <x:v>1494768</x:v>
      </x:c>
      <x:c r="G28" s="74" t="s">
        <x:v>109</x:v>
      </x:c>
      <x:c r="H28" s="72" t="s">
        <x:v>110</x:v>
      </x:c>
      <x:c r="I28" s="72"/>
      <x:c r="J28" s="75">
        <x:f>+Puantaj!C32</x:f>
      </x:c>
      <x:c r="K28" s="72">
        <x:f>+Puantaj!D32</x:f>
      </x:c>
      <x:c r="L28" s="72">
        <x:f>+Puantaj!E32</x:f>
      </x:c>
      <x:c r="M28" s="265">
        <x:f>+BORDRO!F32</x:f>
      </x:c>
      <x:c r="N28" s="72"/>
      <x:c r="O28" s="87">
        <x:f>+BORDRO!G32</x:f>
      </x:c>
      <x:c r="P28" s="87">
        <x:v>0</x:v>
      </x:c>
      <x:c r="Q28" s="266">
        <x:v>24</x:v>
      </x:c>
      <x:c r="R28" s="267" t="s">
        <x:v>111</x:v>
      </x:c>
      <x:c r="S28" s="78"/>
      <x:c r="T28" s="78"/>
      <x:c r="U28" s="79"/>
      <x:c r="V28" s="268">
        <x:f>31-M28-Q28</x:f>
      </x:c>
      <x:c r="W28" s="269">
        <x:v>6</x:v>
      </x:c>
      <x:c r="X28" s="270" t="s">
        <x:v>112</x:v>
      </x:c>
      <x:c r="Y28" s="73">
        <x:v>2</x:v>
      </x:c>
      <x:c r="Z28" s="72" t="s">
        <x:v>106</x:v>
      </x:c>
      <x:c r="AA28" s="82" t="s">
        <x:v>111</x:v>
      </x:c>
      <x:c r="AB28" s="72">
        <x:v>2025</x:v>
      </x:c>
      <x:c r="AC28" s="72" t="s">
        <x:v>113</x:v>
      </x:c>
      <x:c r="AD28" s="88">
        <x:f>+BORDRO!J32</x:f>
      </x:c>
      <x:c r="AE28" s="83"/>
      <x:c r="AF28" s="83">
        <x:f>+BORDRO!K32</x:f>
      </x:c>
      <x:c r="AG28" s="83">
        <x:f>+BORDRO!L32</x:f>
      </x:c>
      <x:c r="AH28" s="88">
        <x:f>+BORDRO!M32</x:f>
      </x:c>
      <x:c r="AI28" s="83">
        <x:f>+BORDRO!O32</x:f>
      </x:c>
      <x:c r="AJ28" s="84">
        <x:f>+BORDRO!P32</x:f>
      </x:c>
    </x:row>
    <x:row r="29" spans="1:36" ht="14.25" customHeight="1" x14ac:dyDescent="0.2">
      <x:c r="A29" s="72" t="s">
        <x:v>106</x:v>
      </x:c>
      <x:c r="B29" s="271">
        <x:v>46</x:v>
      </x:c>
      <x:c r="C29" s="72" t="s">
        <x:v>107</x:v>
      </x:c>
      <x:c r="D29" s="72" t="s">
        <x:v>108</x:v>
      </x:c>
      <x:c r="E29" s="72" t="s">
        <x:v>108</x:v>
      </x:c>
      <x:c r="F29" s="73">
        <x:v>1494768</x:v>
      </x:c>
      <x:c r="G29" s="74" t="s">
        <x:v>109</x:v>
      </x:c>
      <x:c r="H29" s="72" t="s">
        <x:v>110</x:v>
      </x:c>
      <x:c r="I29" s="72"/>
      <x:c r="J29" s="75">
        <x:f>+Puantaj!C33</x:f>
      </x:c>
      <x:c r="K29" s="72">
        <x:f>+Puantaj!D33</x:f>
      </x:c>
      <x:c r="L29" s="72">
        <x:f>+Puantaj!E33</x:f>
      </x:c>
      <x:c r="M29" s="265">
        <x:f>+BORDRO!F33</x:f>
      </x:c>
      <x:c r="N29" s="72"/>
      <x:c r="O29" s="87">
        <x:f>+BORDRO!G33</x:f>
      </x:c>
      <x:c r="P29" s="87">
        <x:v>0</x:v>
      </x:c>
      <x:c r="Q29" s="266">
        <x:v>24</x:v>
      </x:c>
      <x:c r="R29" s="267" t="s">
        <x:v>111</x:v>
      </x:c>
      <x:c r="S29" s="78"/>
      <x:c r="T29" s="78"/>
      <x:c r="U29" s="79"/>
      <x:c r="V29" s="268">
        <x:f>31-M29-Q29</x:f>
      </x:c>
      <x:c r="W29" s="269">
        <x:v>6</x:v>
      </x:c>
      <x:c r="X29" s="270" t="s">
        <x:v>112</x:v>
      </x:c>
      <x:c r="Y29" s="73">
        <x:v>2</x:v>
      </x:c>
      <x:c r="Z29" s="72" t="s">
        <x:v>106</x:v>
      </x:c>
      <x:c r="AA29" s="82" t="s">
        <x:v>111</x:v>
      </x:c>
      <x:c r="AB29" s="72">
        <x:v>2025</x:v>
      </x:c>
      <x:c r="AC29" s="72" t="s">
        <x:v>113</x:v>
      </x:c>
      <x:c r="AD29" s="88">
        <x:f>+BORDRO!J33</x:f>
      </x:c>
      <x:c r="AE29" s="83"/>
      <x:c r="AF29" s="83">
        <x:f>+BORDRO!K33</x:f>
      </x:c>
      <x:c r="AG29" s="83">
        <x:f>+BORDRO!L33</x:f>
      </x:c>
      <x:c r="AH29" s="88">
        <x:f>+BORDRO!M33</x:f>
      </x:c>
      <x:c r="AI29" s="83">
        <x:f>+BORDRO!O33</x:f>
      </x:c>
      <x:c r="AJ29" s="84">
        <x:f>+BORDRO!P33</x:f>
      </x:c>
    </x:row>
    <x:row r="30" spans="1:36" ht="15" customHeight="1" x14ac:dyDescent="0.25">
      <x:c r="A30" s="72" t="s">
        <x:v>106</x:v>
      </x:c>
      <x:c r="B30" s="264">
        <x:v>46</x:v>
      </x:c>
      <x:c r="C30" s="72" t="s">
        <x:v>107</x:v>
      </x:c>
      <x:c r="D30" s="72" t="s">
        <x:v>108</x:v>
      </x:c>
      <x:c r="E30" s="72" t="s">
        <x:v>108</x:v>
      </x:c>
      <x:c r="F30" s="73">
        <x:v>1494768</x:v>
      </x:c>
      <x:c r="G30" s="74" t="s">
        <x:v>109</x:v>
      </x:c>
      <x:c r="H30" s="72" t="s">
        <x:v>110</x:v>
      </x:c>
      <x:c r="I30" s="72"/>
      <x:c r="J30" s="75">
        <x:f>+Puantaj!C34</x:f>
      </x:c>
      <x:c r="K30" s="72">
        <x:f>+Puantaj!D34</x:f>
      </x:c>
      <x:c r="L30" s="72">
        <x:f>+Puantaj!E34</x:f>
      </x:c>
      <x:c r="M30" s="265">
        <x:f>+BORDRO!F34</x:f>
      </x:c>
      <x:c r="N30" s="72"/>
      <x:c r="O30" s="87">
        <x:f>+BORDRO!G34</x:f>
      </x:c>
      <x:c r="P30" s="87">
        <x:v>0</x:v>
      </x:c>
      <x:c r="Q30" s="266">
        <x:v>24</x:v>
      </x:c>
      <x:c r="R30" s="267" t="s">
        <x:v>111</x:v>
      </x:c>
      <x:c r="S30" s="78"/>
      <x:c r="T30" s="78"/>
      <x:c r="U30" s="79"/>
      <x:c r="V30" s="268">
        <x:f>31-M30-Q30</x:f>
      </x:c>
      <x:c r="W30" s="269">
        <x:v>6</x:v>
      </x:c>
      <x:c r="X30" s="270" t="s">
        <x:v>112</x:v>
      </x:c>
      <x:c r="Y30" s="73">
        <x:v>2</x:v>
      </x:c>
      <x:c r="Z30" s="72" t="s">
        <x:v>106</x:v>
      </x:c>
      <x:c r="AA30" s="82" t="s">
        <x:v>111</x:v>
      </x:c>
      <x:c r="AB30" s="72">
        <x:v>2025</x:v>
      </x:c>
      <x:c r="AC30" s="72" t="s">
        <x:v>113</x:v>
      </x:c>
      <x:c r="AD30" s="88">
        <x:f>+BORDRO!J34</x:f>
      </x:c>
      <x:c r="AE30" s="83"/>
      <x:c r="AF30" s="83">
        <x:f>+BORDRO!K34</x:f>
      </x:c>
      <x:c r="AG30" s="83">
        <x:f>+BORDRO!L34</x:f>
      </x:c>
      <x:c r="AH30" s="88">
        <x:f>+BORDRO!M34</x:f>
      </x:c>
      <x:c r="AI30" s="83">
        <x:f>+BORDRO!O34</x:f>
      </x:c>
      <x:c r="AJ30" s="84">
        <x:f>+BORDRO!P34</x:f>
      </x:c>
    </x:row>
    <x:row r="31" spans="1:36" ht="14.25" customHeight="1" x14ac:dyDescent="0.2">
      <x:c r="A31" s="72" t="s">
        <x:v>106</x:v>
      </x:c>
      <x:c r="B31" s="271">
        <x:v>46</x:v>
      </x:c>
      <x:c r="C31" s="72" t="s">
        <x:v>107</x:v>
      </x:c>
      <x:c r="D31" s="72" t="s">
        <x:v>108</x:v>
      </x:c>
      <x:c r="E31" s="72" t="s">
        <x:v>108</x:v>
      </x:c>
      <x:c r="F31" s="73">
        <x:v>1494768</x:v>
      </x:c>
      <x:c r="G31" s="74" t="s">
        <x:v>109</x:v>
      </x:c>
      <x:c r="H31" s="72" t="s">
        <x:v>110</x:v>
      </x:c>
      <x:c r="I31" s="72"/>
      <x:c r="J31" s="75">
        <x:f>+Puantaj!C35</x:f>
      </x:c>
      <x:c r="K31" s="72">
        <x:f>+Puantaj!D35</x:f>
      </x:c>
      <x:c r="L31" s="72">
        <x:f>+Puantaj!E35</x:f>
      </x:c>
      <x:c r="M31" s="265">
        <x:f>+BORDRO!F35</x:f>
      </x:c>
      <x:c r="N31" s="72"/>
      <x:c r="O31" s="87">
        <x:f>+BORDRO!G35</x:f>
      </x:c>
      <x:c r="P31" s="87">
        <x:v>0</x:v>
      </x:c>
      <x:c r="Q31" s="266">
        <x:v>24</x:v>
      </x:c>
      <x:c r="R31" s="267" t="s">
        <x:v>111</x:v>
      </x:c>
      <x:c r="S31" s="78"/>
      <x:c r="T31" s="78"/>
      <x:c r="U31" s="79"/>
      <x:c r="V31" s="268">
        <x:f>31-M31-Q31</x:f>
      </x:c>
      <x:c r="W31" s="269">
        <x:v>6</x:v>
      </x:c>
      <x:c r="X31" s="270" t="s">
        <x:v>112</x:v>
      </x:c>
      <x:c r="Y31" s="73">
        <x:v>2</x:v>
      </x:c>
      <x:c r="Z31" s="72" t="s">
        <x:v>106</x:v>
      </x:c>
      <x:c r="AA31" s="82" t="s">
        <x:v>111</x:v>
      </x:c>
      <x:c r="AB31" s="72">
        <x:v>2025</x:v>
      </x:c>
      <x:c r="AC31" s="72" t="s">
        <x:v>113</x:v>
      </x:c>
      <x:c r="AD31" s="88">
        <x:f>+BORDRO!J35</x:f>
      </x:c>
      <x:c r="AE31" s="83"/>
      <x:c r="AF31" s="83">
        <x:f>+BORDRO!K35</x:f>
      </x:c>
      <x:c r="AG31" s="83">
        <x:f>+BORDRO!L35</x:f>
      </x:c>
      <x:c r="AH31" s="88">
        <x:f>+BORDRO!M35</x:f>
      </x:c>
      <x:c r="AI31" s="83">
        <x:f>+BORDRO!O35</x:f>
      </x:c>
      <x:c r="AJ31" s="84">
        <x:f>+BORDRO!P35</x:f>
      </x:c>
    </x:row>
    <x:row r="32" spans="1:36" ht="15" customHeight="1" x14ac:dyDescent="0.25">
      <x:c r="A32" s="72" t="s">
        <x:v>106</x:v>
      </x:c>
      <x:c r="B32" s="264">
        <x:v>46</x:v>
      </x:c>
      <x:c r="C32" s="72" t="s">
        <x:v>107</x:v>
      </x:c>
      <x:c r="D32" s="72" t="s">
        <x:v>108</x:v>
      </x:c>
      <x:c r="E32" s="72" t="s">
        <x:v>108</x:v>
      </x:c>
      <x:c r="F32" s="73">
        <x:v>1494768</x:v>
      </x:c>
      <x:c r="G32" s="74" t="s">
        <x:v>109</x:v>
      </x:c>
      <x:c r="H32" s="72" t="s">
        <x:v>110</x:v>
      </x:c>
      <x:c r="I32" s="72"/>
      <x:c r="J32" s="75">
        <x:f>+Puantaj!C36</x:f>
      </x:c>
      <x:c r="K32" s="72">
        <x:f>+Puantaj!D36</x:f>
      </x:c>
      <x:c r="L32" s="72">
        <x:f>+Puantaj!E36</x:f>
      </x:c>
      <x:c r="M32" s="265">
        <x:f>+BORDRO!F36</x:f>
      </x:c>
      <x:c r="N32" s="72"/>
      <x:c r="O32" s="87">
        <x:f>+BORDRO!G36</x:f>
      </x:c>
      <x:c r="P32" s="87">
        <x:v>0</x:v>
      </x:c>
      <x:c r="Q32" s="266">
        <x:v>24</x:v>
      </x:c>
      <x:c r="R32" s="267" t="s">
        <x:v>111</x:v>
      </x:c>
      <x:c r="S32" s="78"/>
      <x:c r="T32" s="78"/>
      <x:c r="U32" s="79"/>
      <x:c r="V32" s="268">
        <x:f>31-M32-Q32</x:f>
      </x:c>
      <x:c r="W32" s="269">
        <x:v>6</x:v>
      </x:c>
      <x:c r="X32" s="270" t="s">
        <x:v>112</x:v>
      </x:c>
      <x:c r="Y32" s="73">
        <x:v>2</x:v>
      </x:c>
      <x:c r="Z32" s="72" t="s">
        <x:v>106</x:v>
      </x:c>
      <x:c r="AA32" s="82" t="s">
        <x:v>111</x:v>
      </x:c>
      <x:c r="AB32" s="72">
        <x:v>2025</x:v>
      </x:c>
      <x:c r="AC32" s="72" t="s">
        <x:v>113</x:v>
      </x:c>
      <x:c r="AD32" s="88">
        <x:f>+BORDRO!J36</x:f>
      </x:c>
      <x:c r="AE32" s="83"/>
      <x:c r="AF32" s="83">
        <x:f>+BORDRO!K36</x:f>
      </x:c>
      <x:c r="AG32" s="83">
        <x:f>+BORDRO!L36</x:f>
      </x:c>
      <x:c r="AH32" s="88">
        <x:f>+BORDRO!M36</x:f>
      </x:c>
      <x:c r="AI32" s="83">
        <x:f>+BORDRO!O36</x:f>
      </x:c>
      <x:c r="AJ32" s="84">
        <x:f>+BORDRO!P36</x:f>
      </x:c>
    </x:row>
    <x:row r="33" spans="1:36" ht="14.25" customHeight="1" x14ac:dyDescent="0.2">
      <x:c r="A33" s="72" t="s">
        <x:v>106</x:v>
      </x:c>
      <x:c r="B33" s="271">
        <x:v>46</x:v>
      </x:c>
      <x:c r="C33" s="72" t="s">
        <x:v>107</x:v>
      </x:c>
      <x:c r="D33" s="72" t="s">
        <x:v>108</x:v>
      </x:c>
      <x:c r="E33" s="72" t="s">
        <x:v>108</x:v>
      </x:c>
      <x:c r="F33" s="73">
        <x:v>1494768</x:v>
      </x:c>
      <x:c r="G33" s="74" t="s">
        <x:v>109</x:v>
      </x:c>
      <x:c r="H33" s="72" t="s">
        <x:v>110</x:v>
      </x:c>
      <x:c r="I33" s="72"/>
      <x:c r="J33" s="75">
        <x:f>+Puantaj!C37</x:f>
      </x:c>
      <x:c r="K33" s="72">
        <x:f>+Puantaj!D37</x:f>
      </x:c>
      <x:c r="L33" s="72">
        <x:f>+Puantaj!E37</x:f>
      </x:c>
      <x:c r="M33" s="265">
        <x:f>+BORDRO!F37</x:f>
      </x:c>
      <x:c r="N33" s="72"/>
      <x:c r="O33" s="87">
        <x:f>+BORDRO!G37</x:f>
      </x:c>
      <x:c r="P33" s="87">
        <x:v>0</x:v>
      </x:c>
      <x:c r="Q33" s="266">
        <x:v>24</x:v>
      </x:c>
      <x:c r="R33" s="267" t="s">
        <x:v>111</x:v>
      </x:c>
      <x:c r="S33" s="78"/>
      <x:c r="T33" s="78"/>
      <x:c r="U33" s="79"/>
      <x:c r="V33" s="268">
        <x:f>31-M33-Q33</x:f>
      </x:c>
      <x:c r="W33" s="269">
        <x:v>6</x:v>
      </x:c>
      <x:c r="X33" s="270" t="s">
        <x:v>112</x:v>
      </x:c>
      <x:c r="Y33" s="73">
        <x:v>2</x:v>
      </x:c>
      <x:c r="Z33" s="72" t="s">
        <x:v>106</x:v>
      </x:c>
      <x:c r="AA33" s="82" t="s">
        <x:v>111</x:v>
      </x:c>
      <x:c r="AB33" s="72">
        <x:v>2025</x:v>
      </x:c>
      <x:c r="AC33" s="72" t="s">
        <x:v>113</x:v>
      </x:c>
      <x:c r="AD33" s="88">
        <x:f>+BORDRO!J37</x:f>
      </x:c>
      <x:c r="AE33" s="83"/>
      <x:c r="AF33" s="83">
        <x:f>+BORDRO!K37</x:f>
      </x:c>
      <x:c r="AG33" s="83">
        <x:f>+BORDRO!L37</x:f>
      </x:c>
      <x:c r="AH33" s="88">
        <x:f>+BORDRO!M37</x:f>
      </x:c>
      <x:c r="AI33" s="83">
        <x:f>+BORDRO!O37</x:f>
      </x:c>
      <x:c r="AJ33" s="84">
        <x:f>+BORDRO!P37</x:f>
      </x:c>
    </x:row>
    <x:row r="34" spans="1:36" ht="15" customHeight="1" x14ac:dyDescent="0.25">
      <x:c r="A34" s="72" t="s">
        <x:v>106</x:v>
      </x:c>
      <x:c r="B34" s="264">
        <x:v>46</x:v>
      </x:c>
      <x:c r="C34" s="72" t="s">
        <x:v>107</x:v>
      </x:c>
      <x:c r="D34" s="72" t="s">
        <x:v>108</x:v>
      </x:c>
      <x:c r="E34" s="72" t="s">
        <x:v>108</x:v>
      </x:c>
      <x:c r="F34" s="73">
        <x:v>1494768</x:v>
      </x:c>
      <x:c r="G34" s="74" t="s">
        <x:v>109</x:v>
      </x:c>
      <x:c r="H34" s="72" t="s">
        <x:v>110</x:v>
      </x:c>
      <x:c r="I34" s="72"/>
      <x:c r="J34" s="75">
        <x:f>+Puantaj!C38</x:f>
      </x:c>
      <x:c r="K34" s="72">
        <x:f>+Puantaj!D38</x:f>
      </x:c>
      <x:c r="L34" s="72">
        <x:f>+Puantaj!E38</x:f>
      </x:c>
      <x:c r="M34" s="265">
        <x:f>+BORDRO!F38</x:f>
      </x:c>
      <x:c r="N34" s="72"/>
      <x:c r="O34" s="87">
        <x:f>+BORDRO!G38</x:f>
      </x:c>
      <x:c r="P34" s="87">
        <x:v>0</x:v>
      </x:c>
      <x:c r="Q34" s="266">
        <x:v>24</x:v>
      </x:c>
      <x:c r="R34" s="267" t="s">
        <x:v>111</x:v>
      </x:c>
      <x:c r="S34" s="78"/>
      <x:c r="T34" s="78"/>
      <x:c r="U34" s="79"/>
      <x:c r="V34" s="268">
        <x:f>31-M34-Q34</x:f>
      </x:c>
      <x:c r="W34" s="269">
        <x:v>6</x:v>
      </x:c>
      <x:c r="X34" s="270" t="s">
        <x:v>112</x:v>
      </x:c>
      <x:c r="Y34" s="73">
        <x:v>2</x:v>
      </x:c>
      <x:c r="Z34" s="72" t="s">
        <x:v>106</x:v>
      </x:c>
      <x:c r="AA34" s="82" t="s">
        <x:v>111</x:v>
      </x:c>
      <x:c r="AB34" s="72">
        <x:v>2025</x:v>
      </x:c>
      <x:c r="AC34" s="72" t="s">
        <x:v>113</x:v>
      </x:c>
      <x:c r="AD34" s="88">
        <x:f>+BORDRO!J38</x:f>
      </x:c>
      <x:c r="AE34" s="83"/>
      <x:c r="AF34" s="83">
        <x:f>+BORDRO!K38</x:f>
      </x:c>
      <x:c r="AG34" s="83">
        <x:f>+BORDRO!L38</x:f>
      </x:c>
      <x:c r="AH34" s="88">
        <x:f>+BORDRO!M38</x:f>
      </x:c>
      <x:c r="AI34" s="83">
        <x:f>+BORDRO!O38</x:f>
      </x:c>
      <x:c r="AJ34" s="84">
        <x:f>+BORDRO!P38</x:f>
      </x:c>
    </x:row>
    <x:row r="35" spans="1:36" ht="14.25" customHeight="1" x14ac:dyDescent="0.2">
      <x:c r="A35" s="72" t="s">
        <x:v>106</x:v>
      </x:c>
      <x:c r="B35" s="271">
        <x:v>46</x:v>
      </x:c>
      <x:c r="C35" s="72" t="s">
        <x:v>107</x:v>
      </x:c>
      <x:c r="D35" s="72" t="s">
        <x:v>108</x:v>
      </x:c>
      <x:c r="E35" s="72" t="s">
        <x:v>108</x:v>
      </x:c>
      <x:c r="F35" s="73">
        <x:v>1494768</x:v>
      </x:c>
      <x:c r="G35" s="74" t="s">
        <x:v>109</x:v>
      </x:c>
      <x:c r="H35" s="72" t="s">
        <x:v>110</x:v>
      </x:c>
      <x:c r="I35" s="72"/>
      <x:c r="J35" s="75">
        <x:f>+Puantaj!C39</x:f>
      </x:c>
      <x:c r="K35" s="72">
        <x:f>+Puantaj!D39</x:f>
      </x:c>
      <x:c r="L35" s="72">
        <x:f>+Puantaj!E39</x:f>
      </x:c>
      <x:c r="M35" s="265">
        <x:f>+BORDRO!F39</x:f>
      </x:c>
      <x:c r="N35" s="72"/>
      <x:c r="O35" s="87">
        <x:f>+BORDRO!G39</x:f>
      </x:c>
      <x:c r="P35" s="87">
        <x:v>0</x:v>
      </x:c>
      <x:c r="Q35" s="266">
        <x:v>24</x:v>
      </x:c>
      <x:c r="R35" s="267" t="s">
        <x:v>111</x:v>
      </x:c>
      <x:c r="S35" s="78"/>
      <x:c r="T35" s="78"/>
      <x:c r="U35" s="79"/>
      <x:c r="V35" s="268">
        <x:f>31-M35-Q35</x:f>
      </x:c>
      <x:c r="W35" s="269">
        <x:v>6</x:v>
      </x:c>
      <x:c r="X35" s="270" t="s">
        <x:v>112</x:v>
      </x:c>
      <x:c r="Y35" s="73">
        <x:v>2</x:v>
      </x:c>
      <x:c r="Z35" s="72" t="s">
        <x:v>106</x:v>
      </x:c>
      <x:c r="AA35" s="82" t="s">
        <x:v>111</x:v>
      </x:c>
      <x:c r="AB35" s="72">
        <x:v>2025</x:v>
      </x:c>
      <x:c r="AC35" s="72" t="s">
        <x:v>113</x:v>
      </x:c>
      <x:c r="AD35" s="88">
        <x:f>+BORDRO!J39</x:f>
      </x:c>
      <x:c r="AE35" s="83"/>
      <x:c r="AF35" s="83">
        <x:f>+BORDRO!K39</x:f>
      </x:c>
      <x:c r="AG35" s="83">
        <x:f>+BORDRO!L39</x:f>
      </x:c>
      <x:c r="AH35" s="88">
        <x:f>+BORDRO!M39</x:f>
      </x:c>
      <x:c r="AI35" s="83">
        <x:f>+BORDRO!O39</x:f>
      </x:c>
      <x:c r="AJ35" s="84">
        <x:f>+BORDRO!P39</x:f>
      </x:c>
    </x:row>
    <x:row r="36" spans="1:36" ht="15" customHeight="1" x14ac:dyDescent="0.25">
      <x:c r="A36" s="72" t="s">
        <x:v>106</x:v>
      </x:c>
      <x:c r="B36" s="264">
        <x:v>46</x:v>
      </x:c>
      <x:c r="C36" s="72" t="s">
        <x:v>107</x:v>
      </x:c>
      <x:c r="D36" s="72" t="s">
        <x:v>108</x:v>
      </x:c>
      <x:c r="E36" s="72" t="s">
        <x:v>108</x:v>
      </x:c>
      <x:c r="F36" s="73">
        <x:v>1494768</x:v>
      </x:c>
      <x:c r="G36" s="74" t="s">
        <x:v>109</x:v>
      </x:c>
      <x:c r="H36" s="72" t="s">
        <x:v>110</x:v>
      </x:c>
      <x:c r="I36" s="72"/>
      <x:c r="J36" s="75">
        <x:f>+Puantaj!C40</x:f>
      </x:c>
      <x:c r="K36" s="72">
        <x:f>+Puantaj!D40</x:f>
      </x:c>
      <x:c r="L36" s="72">
        <x:f>+Puantaj!E40</x:f>
      </x:c>
      <x:c r="M36" s="265">
        <x:f>+BORDRO!F40</x:f>
      </x:c>
      <x:c r="N36" s="72"/>
      <x:c r="O36" s="87">
        <x:f>+BORDRO!G40</x:f>
      </x:c>
      <x:c r="P36" s="87">
        <x:v>0</x:v>
      </x:c>
      <x:c r="Q36" s="266">
        <x:v>24</x:v>
      </x:c>
      <x:c r="R36" s="267" t="s">
        <x:v>111</x:v>
      </x:c>
      <x:c r="S36" s="78"/>
      <x:c r="T36" s="78"/>
      <x:c r="U36" s="79"/>
      <x:c r="V36" s="268">
        <x:f>31-M36-Q36</x:f>
      </x:c>
      <x:c r="W36" s="269">
        <x:v>6</x:v>
      </x:c>
      <x:c r="X36" s="270" t="s">
        <x:v>112</x:v>
      </x:c>
      <x:c r="Y36" s="73">
        <x:v>2</x:v>
      </x:c>
      <x:c r="Z36" s="72" t="s">
        <x:v>106</x:v>
      </x:c>
      <x:c r="AA36" s="82" t="s">
        <x:v>111</x:v>
      </x:c>
      <x:c r="AB36" s="72">
        <x:v>2025</x:v>
      </x:c>
      <x:c r="AC36" s="72" t="s">
        <x:v>113</x:v>
      </x:c>
      <x:c r="AD36" s="88">
        <x:f>+BORDRO!J40</x:f>
      </x:c>
      <x:c r="AE36" s="83"/>
      <x:c r="AF36" s="83">
        <x:f>+BORDRO!K40</x:f>
      </x:c>
      <x:c r="AG36" s="83">
        <x:f>+BORDRO!L40</x:f>
      </x:c>
      <x:c r="AH36" s="88">
        <x:f>+BORDRO!M40</x:f>
      </x:c>
      <x:c r="AI36" s="83">
        <x:f>+BORDRO!O40</x:f>
      </x:c>
      <x:c r="AJ36" s="84">
        <x:f>+BORDRO!P40</x:f>
      </x:c>
    </x:row>
    <x:row r="37" spans="1:36" ht="14.25" customHeight="1" x14ac:dyDescent="0.2">
      <x:c r="A37" s="72" t="s">
        <x:v>106</x:v>
      </x:c>
      <x:c r="B37" s="271">
        <x:v>46</x:v>
      </x:c>
      <x:c r="C37" s="72" t="s">
        <x:v>107</x:v>
      </x:c>
      <x:c r="D37" s="72" t="s">
        <x:v>108</x:v>
      </x:c>
      <x:c r="E37" s="72" t="s">
        <x:v>108</x:v>
      </x:c>
      <x:c r="F37" s="73">
        <x:v>1494768</x:v>
      </x:c>
      <x:c r="G37" s="74" t="s">
        <x:v>109</x:v>
      </x:c>
      <x:c r="H37" s="72" t="s">
        <x:v>110</x:v>
      </x:c>
      <x:c r="I37" s="72"/>
      <x:c r="J37" s="75">
        <x:f>+Puantaj!C41</x:f>
      </x:c>
      <x:c r="K37" s="72">
        <x:f>+Puantaj!D41</x:f>
      </x:c>
      <x:c r="L37" s="72">
        <x:f>+Puantaj!E41</x:f>
      </x:c>
      <x:c r="M37" s="265">
        <x:f>+BORDRO!F41</x:f>
      </x:c>
      <x:c r="N37" s="72"/>
      <x:c r="O37" s="87">
        <x:f>+BORDRO!G41</x:f>
      </x:c>
      <x:c r="P37" s="87">
        <x:v>0</x:v>
      </x:c>
      <x:c r="Q37" s="266">
        <x:v>24</x:v>
      </x:c>
      <x:c r="R37" s="267" t="s">
        <x:v>111</x:v>
      </x:c>
      <x:c r="S37" s="78"/>
      <x:c r="T37" s="78"/>
      <x:c r="U37" s="79"/>
      <x:c r="V37" s="268">
        <x:f>31-M37-Q37</x:f>
      </x:c>
      <x:c r="W37" s="269">
        <x:v>6</x:v>
      </x:c>
      <x:c r="X37" s="270" t="s">
        <x:v>112</x:v>
      </x:c>
      <x:c r="Y37" s="73">
        <x:v>2</x:v>
      </x:c>
      <x:c r="Z37" s="72" t="s">
        <x:v>106</x:v>
      </x:c>
      <x:c r="AA37" s="82" t="s">
        <x:v>111</x:v>
      </x:c>
      <x:c r="AB37" s="72">
        <x:v>2025</x:v>
      </x:c>
      <x:c r="AC37" s="72" t="s">
        <x:v>113</x:v>
      </x:c>
      <x:c r="AD37" s="88">
        <x:f>+BORDRO!J41</x:f>
      </x:c>
      <x:c r="AE37" s="83"/>
      <x:c r="AF37" s="83">
        <x:f>+BORDRO!K41</x:f>
      </x:c>
      <x:c r="AG37" s="83">
        <x:f>+BORDRO!L41</x:f>
      </x:c>
      <x:c r="AH37" s="88">
        <x:f>+BORDRO!M41</x:f>
      </x:c>
      <x:c r="AI37" s="83">
        <x:f>+BORDRO!O41</x:f>
      </x:c>
      <x:c r="AJ37" s="84">
        <x:f>+BORDRO!P41</x:f>
      </x:c>
    </x:row>
    <x:row r="38" spans="1:36" ht="15" customHeight="1" x14ac:dyDescent="0.25">
      <x:c r="A38" s="72" t="s">
        <x:v>106</x:v>
      </x:c>
      <x:c r="B38" s="264">
        <x:v>46</x:v>
      </x:c>
      <x:c r="C38" s="72" t="s">
        <x:v>107</x:v>
      </x:c>
      <x:c r="D38" s="72" t="s">
        <x:v>108</x:v>
      </x:c>
      <x:c r="E38" s="72" t="s">
        <x:v>108</x:v>
      </x:c>
      <x:c r="F38" s="73">
        <x:v>1494768</x:v>
      </x:c>
      <x:c r="G38" s="74" t="s">
        <x:v>109</x:v>
      </x:c>
      <x:c r="H38" s="72" t="s">
        <x:v>110</x:v>
      </x:c>
      <x:c r="I38" s="72"/>
      <x:c r="J38" s="75">
        <x:f>+Puantaj!C42</x:f>
      </x:c>
      <x:c r="K38" s="72">
        <x:f>+Puantaj!D42</x:f>
      </x:c>
      <x:c r="L38" s="72">
        <x:f>+Puantaj!E42</x:f>
      </x:c>
      <x:c r="M38" s="265">
        <x:f>+BORDRO!F42</x:f>
      </x:c>
      <x:c r="N38" s="72"/>
      <x:c r="O38" s="87">
        <x:f>+BORDRO!G42</x:f>
      </x:c>
      <x:c r="P38" s="87">
        <x:v>0</x:v>
      </x:c>
      <x:c r="Q38" s="266">
        <x:v>24</x:v>
      </x:c>
      <x:c r="R38" s="267" t="s">
        <x:v>111</x:v>
      </x:c>
      <x:c r="S38" s="78"/>
      <x:c r="T38" s="78"/>
      <x:c r="U38" s="79"/>
      <x:c r="V38" s="268">
        <x:f>31-M38-Q38</x:f>
      </x:c>
      <x:c r="W38" s="269">
        <x:v>6</x:v>
      </x:c>
      <x:c r="X38" s="270" t="s">
        <x:v>112</x:v>
      </x:c>
      <x:c r="Y38" s="73">
        <x:v>2</x:v>
      </x:c>
      <x:c r="Z38" s="72" t="s">
        <x:v>106</x:v>
      </x:c>
      <x:c r="AA38" s="82" t="s">
        <x:v>111</x:v>
      </x:c>
      <x:c r="AB38" s="72">
        <x:v>2025</x:v>
      </x:c>
      <x:c r="AC38" s="72" t="s">
        <x:v>113</x:v>
      </x:c>
      <x:c r="AD38" s="88">
        <x:f>+BORDRO!J42</x:f>
      </x:c>
      <x:c r="AE38" s="83"/>
      <x:c r="AF38" s="83">
        <x:f>+BORDRO!K42</x:f>
      </x:c>
      <x:c r="AG38" s="83">
        <x:f>+BORDRO!L42</x:f>
      </x:c>
      <x:c r="AH38" s="88">
        <x:f>+BORDRO!M42</x:f>
      </x:c>
      <x:c r="AI38" s="83">
        <x:f>+BORDRO!O42</x:f>
      </x:c>
      <x:c r="AJ38" s="84">
        <x:f>+BORDRO!P42</x:f>
      </x:c>
    </x:row>
    <x:row r="39" spans="1:36" ht="14.25" customHeight="1" x14ac:dyDescent="0.2">
      <x:c r="A39" s="72" t="s">
        <x:v>106</x:v>
      </x:c>
      <x:c r="B39" s="271">
        <x:v>46</x:v>
      </x:c>
      <x:c r="C39" s="72" t="s">
        <x:v>107</x:v>
      </x:c>
      <x:c r="D39" s="72" t="s">
        <x:v>108</x:v>
      </x:c>
      <x:c r="E39" s="72" t="s">
        <x:v>108</x:v>
      </x:c>
      <x:c r="F39" s="73">
        <x:v>1494768</x:v>
      </x:c>
      <x:c r="G39" s="74" t="s">
        <x:v>109</x:v>
      </x:c>
      <x:c r="H39" s="72" t="s">
        <x:v>110</x:v>
      </x:c>
      <x:c r="I39" s="72"/>
      <x:c r="J39" s="75">
        <x:f>+Puantaj!C43</x:f>
      </x:c>
      <x:c r="K39" s="72">
        <x:f>+Puantaj!D43</x:f>
      </x:c>
      <x:c r="L39" s="72">
        <x:f>+Puantaj!E43</x:f>
      </x:c>
      <x:c r="M39" s="265">
        <x:f>+BORDRO!F43</x:f>
      </x:c>
      <x:c r="N39" s="72"/>
      <x:c r="O39" s="87">
        <x:f>+BORDRO!G43</x:f>
      </x:c>
      <x:c r="P39" s="87">
        <x:v>0</x:v>
      </x:c>
      <x:c r="Q39" s="266">
        <x:v>24</x:v>
      </x:c>
      <x:c r="R39" s="267" t="s">
        <x:v>111</x:v>
      </x:c>
      <x:c r="S39" s="78"/>
      <x:c r="T39" s="78"/>
      <x:c r="U39" s="79"/>
      <x:c r="V39" s="268">
        <x:f>31-M39-Q39</x:f>
      </x:c>
      <x:c r="W39" s="269">
        <x:v>6</x:v>
      </x:c>
      <x:c r="X39" s="270" t="s">
        <x:v>112</x:v>
      </x:c>
      <x:c r="Y39" s="73">
        <x:v>2</x:v>
      </x:c>
      <x:c r="Z39" s="72" t="s">
        <x:v>106</x:v>
      </x:c>
      <x:c r="AA39" s="82" t="s">
        <x:v>111</x:v>
      </x:c>
      <x:c r="AB39" s="72">
        <x:v>2025</x:v>
      </x:c>
      <x:c r="AC39" s="72" t="s">
        <x:v>113</x:v>
      </x:c>
      <x:c r="AD39" s="88">
        <x:f>+BORDRO!J43</x:f>
      </x:c>
      <x:c r="AE39" s="83"/>
      <x:c r="AF39" s="83">
        <x:f>+BORDRO!K43</x:f>
      </x:c>
      <x:c r="AG39" s="83">
        <x:f>+BORDRO!L43</x:f>
      </x:c>
      <x:c r="AH39" s="88">
        <x:f>+BORDRO!M43</x:f>
      </x:c>
      <x:c r="AI39" s="83">
        <x:f>+BORDRO!O43</x:f>
      </x:c>
      <x:c r="AJ39" s="84">
        <x:f>+BORDRO!P43</x:f>
      </x:c>
    </x:row>
    <x:row r="40" spans="1:36" ht="15" customHeight="1" x14ac:dyDescent="0.25">
      <x:c r="A40" s="72" t="s">
        <x:v>106</x:v>
      </x:c>
      <x:c r="B40" s="264">
        <x:v>46</x:v>
      </x:c>
      <x:c r="C40" s="72" t="s">
        <x:v>107</x:v>
      </x:c>
      <x:c r="D40" s="72" t="s">
        <x:v>108</x:v>
      </x:c>
      <x:c r="E40" s="72" t="s">
        <x:v>108</x:v>
      </x:c>
      <x:c r="F40" s="73">
        <x:v>1494768</x:v>
      </x:c>
      <x:c r="G40" s="74" t="s">
        <x:v>109</x:v>
      </x:c>
      <x:c r="H40" s="72" t="s">
        <x:v>110</x:v>
      </x:c>
      <x:c r="I40" s="72"/>
      <x:c r="J40" s="75">
        <x:f>+Puantaj!C44</x:f>
      </x:c>
      <x:c r="K40" s="72">
        <x:f>+Puantaj!D44</x:f>
      </x:c>
      <x:c r="L40" s="72">
        <x:f>+Puantaj!E44</x:f>
      </x:c>
      <x:c r="M40" s="265">
        <x:f>+BORDRO!F44</x:f>
      </x:c>
      <x:c r="N40" s="72"/>
      <x:c r="O40" s="87">
        <x:f>+BORDRO!G44</x:f>
      </x:c>
      <x:c r="P40" s="87">
        <x:v>0</x:v>
      </x:c>
      <x:c r="Q40" s="266">
        <x:v>24</x:v>
      </x:c>
      <x:c r="R40" s="267" t="s">
        <x:v>111</x:v>
      </x:c>
      <x:c r="S40" s="78"/>
      <x:c r="T40" s="78"/>
      <x:c r="U40" s="79"/>
      <x:c r="V40" s="268">
        <x:f>31-M40-Q40</x:f>
      </x:c>
      <x:c r="W40" s="269">
        <x:v>6</x:v>
      </x:c>
      <x:c r="X40" s="270" t="s">
        <x:v>112</x:v>
      </x:c>
      <x:c r="Y40" s="73">
        <x:v>2</x:v>
      </x:c>
      <x:c r="Z40" s="72" t="s">
        <x:v>106</x:v>
      </x:c>
      <x:c r="AA40" s="82" t="s">
        <x:v>111</x:v>
      </x:c>
      <x:c r="AB40" s="72">
        <x:v>2025</x:v>
      </x:c>
      <x:c r="AC40" s="72" t="s">
        <x:v>113</x:v>
      </x:c>
      <x:c r="AD40" s="88">
        <x:f>+BORDRO!J44</x:f>
      </x:c>
      <x:c r="AE40" s="83"/>
      <x:c r="AF40" s="83">
        <x:f>+BORDRO!K44</x:f>
      </x:c>
      <x:c r="AG40" s="83">
        <x:f>+BORDRO!L44</x:f>
      </x:c>
      <x:c r="AH40" s="88">
        <x:f>+BORDRO!M44</x:f>
      </x:c>
      <x:c r="AI40" s="83">
        <x:f>+BORDRO!O44</x:f>
      </x:c>
      <x:c r="AJ40" s="84">
        <x:f>+BORDRO!P44</x:f>
      </x:c>
    </x:row>
    <x:row r="41" spans="1:36" ht="14.25" customHeight="1" x14ac:dyDescent="0.2">
      <x:c r="A41" s="72" t="s">
        <x:v>106</x:v>
      </x:c>
      <x:c r="B41" s="271">
        <x:v>46</x:v>
      </x:c>
      <x:c r="C41" s="72" t="s">
        <x:v>107</x:v>
      </x:c>
      <x:c r="D41" s="72" t="s">
        <x:v>108</x:v>
      </x:c>
      <x:c r="E41" s="72" t="s">
        <x:v>108</x:v>
      </x:c>
      <x:c r="F41" s="73">
        <x:v>1494768</x:v>
      </x:c>
      <x:c r="G41" s="74" t="s">
        <x:v>109</x:v>
      </x:c>
      <x:c r="H41" s="72" t="s">
        <x:v>110</x:v>
      </x:c>
      <x:c r="I41" s="72"/>
      <x:c r="J41" s="75">
        <x:f>+Puantaj!C45</x:f>
      </x:c>
      <x:c r="K41" s="72">
        <x:f>+Puantaj!D45</x:f>
      </x:c>
      <x:c r="L41" s="72">
        <x:f>+Puantaj!E45</x:f>
      </x:c>
      <x:c r="M41" s="265">
        <x:f>+BORDRO!F45</x:f>
      </x:c>
      <x:c r="N41" s="72"/>
      <x:c r="O41" s="87">
        <x:f>+BORDRO!G45</x:f>
      </x:c>
      <x:c r="P41" s="87">
        <x:v>0</x:v>
      </x:c>
      <x:c r="Q41" s="266">
        <x:v>24</x:v>
      </x:c>
      <x:c r="R41" s="267" t="s">
        <x:v>111</x:v>
      </x:c>
      <x:c r="S41" s="78"/>
      <x:c r="T41" s="78"/>
      <x:c r="U41" s="79"/>
      <x:c r="V41" s="268">
        <x:f>31-M41-Q41</x:f>
      </x:c>
      <x:c r="W41" s="269">
        <x:v>6</x:v>
      </x:c>
      <x:c r="X41" s="270" t="s">
        <x:v>112</x:v>
      </x:c>
      <x:c r="Y41" s="73">
        <x:v>2</x:v>
      </x:c>
      <x:c r="Z41" s="72" t="s">
        <x:v>106</x:v>
      </x:c>
      <x:c r="AA41" s="82" t="s">
        <x:v>111</x:v>
      </x:c>
      <x:c r="AB41" s="72">
        <x:v>2025</x:v>
      </x:c>
      <x:c r="AC41" s="72" t="s">
        <x:v>113</x:v>
      </x:c>
      <x:c r="AD41" s="88">
        <x:f>+BORDRO!J45</x:f>
      </x:c>
      <x:c r="AE41" s="83"/>
      <x:c r="AF41" s="83">
        <x:f>+BORDRO!K45</x:f>
      </x:c>
      <x:c r="AG41" s="83">
        <x:f>+BORDRO!L45</x:f>
      </x:c>
      <x:c r="AH41" s="88">
        <x:f>+BORDRO!M45</x:f>
      </x:c>
      <x:c r="AI41" s="83">
        <x:f>+BORDRO!O45</x:f>
      </x:c>
      <x:c r="AJ41" s="84">
        <x:f>+BORDRO!P45</x:f>
      </x:c>
    </x:row>
    <x:row r="42" spans="1:36" ht="15" customHeight="1" x14ac:dyDescent="0.25">
      <x:c r="A42" s="72" t="s">
        <x:v>106</x:v>
      </x:c>
      <x:c r="B42" s="264">
        <x:v>46</x:v>
      </x:c>
      <x:c r="C42" s="72" t="s">
        <x:v>107</x:v>
      </x:c>
      <x:c r="D42" s="72" t="s">
        <x:v>108</x:v>
      </x:c>
      <x:c r="E42" s="72" t="s">
        <x:v>108</x:v>
      </x:c>
      <x:c r="F42" s="73">
        <x:v>1494768</x:v>
      </x:c>
      <x:c r="G42" s="74" t="s">
        <x:v>109</x:v>
      </x:c>
      <x:c r="H42" s="72" t="s">
        <x:v>110</x:v>
      </x:c>
      <x:c r="I42" s="72"/>
      <x:c r="J42" s="75">
        <x:f>+Puantaj!C46</x:f>
      </x:c>
      <x:c r="K42" s="72">
        <x:f>+Puantaj!D46</x:f>
      </x:c>
      <x:c r="L42" s="72">
        <x:f>+Puantaj!E46</x:f>
      </x:c>
      <x:c r="M42" s="265">
        <x:f>+BORDRO!F46</x:f>
      </x:c>
      <x:c r="N42" s="72"/>
      <x:c r="O42" s="87">
        <x:f>+BORDRO!G46</x:f>
      </x:c>
      <x:c r="P42" s="87">
        <x:v>0</x:v>
      </x:c>
      <x:c r="Q42" s="266">
        <x:v>24</x:v>
      </x:c>
      <x:c r="R42" s="267" t="s">
        <x:v>111</x:v>
      </x:c>
      <x:c r="S42" s="78"/>
      <x:c r="T42" s="78"/>
      <x:c r="U42" s="79"/>
      <x:c r="V42" s="268">
        <x:f>31-M42-Q42</x:f>
      </x:c>
      <x:c r="W42" s="269">
        <x:v>6</x:v>
      </x:c>
      <x:c r="X42" s="270" t="s">
        <x:v>112</x:v>
      </x:c>
      <x:c r="Y42" s="73">
        <x:v>2</x:v>
      </x:c>
      <x:c r="Z42" s="72" t="s">
        <x:v>106</x:v>
      </x:c>
      <x:c r="AA42" s="82" t="s">
        <x:v>111</x:v>
      </x:c>
      <x:c r="AB42" s="72">
        <x:v>2025</x:v>
      </x:c>
      <x:c r="AC42" s="72" t="s">
        <x:v>113</x:v>
      </x:c>
      <x:c r="AD42" s="88">
        <x:f>+BORDRO!J46</x:f>
      </x:c>
      <x:c r="AE42" s="83"/>
      <x:c r="AF42" s="83">
        <x:f>+BORDRO!K46</x:f>
      </x:c>
      <x:c r="AG42" s="83">
        <x:f>+BORDRO!L46</x:f>
      </x:c>
      <x:c r="AH42" s="88">
        <x:f>+BORDRO!M46</x:f>
      </x:c>
      <x:c r="AI42" s="83">
        <x:f>+BORDRO!O46</x:f>
      </x:c>
      <x:c r="AJ42" s="84">
        <x:f>+BORDRO!P46</x:f>
      </x:c>
    </x:row>
    <x:row r="43" spans="1:36" ht="14.25" customHeight="1" x14ac:dyDescent="0.2">
      <x:c r="A43" s="72" t="s">
        <x:v>106</x:v>
      </x:c>
      <x:c r="B43" s="271">
        <x:v>46</x:v>
      </x:c>
      <x:c r="C43" s="72" t="s">
        <x:v>107</x:v>
      </x:c>
      <x:c r="D43" s="72" t="s">
        <x:v>108</x:v>
      </x:c>
      <x:c r="E43" s="72" t="s">
        <x:v>108</x:v>
      </x:c>
      <x:c r="F43" s="73">
        <x:v>1494768</x:v>
      </x:c>
      <x:c r="G43" s="74" t="s">
        <x:v>109</x:v>
      </x:c>
      <x:c r="H43" s="72" t="s">
        <x:v>110</x:v>
      </x:c>
      <x:c r="I43" s="72"/>
      <x:c r="J43" s="75">
        <x:f>+Puantaj!C47</x:f>
      </x:c>
      <x:c r="K43" s="72">
        <x:f>+Puantaj!D47</x:f>
      </x:c>
      <x:c r="L43" s="72">
        <x:f>+Puantaj!E47</x:f>
      </x:c>
      <x:c r="M43" s="265">
        <x:f>+BORDRO!F47</x:f>
      </x:c>
      <x:c r="N43" s="72"/>
      <x:c r="O43" s="87">
        <x:f>+BORDRO!G47</x:f>
      </x:c>
      <x:c r="P43" s="87">
        <x:v>0</x:v>
      </x:c>
      <x:c r="Q43" s="266">
        <x:v>24</x:v>
      </x:c>
      <x:c r="R43" s="267" t="s">
        <x:v>111</x:v>
      </x:c>
      <x:c r="S43" s="78"/>
      <x:c r="T43" s="78"/>
      <x:c r="U43" s="79"/>
      <x:c r="V43" s="268">
        <x:f>31-M43-Q43</x:f>
      </x:c>
      <x:c r="W43" s="269">
        <x:v>6</x:v>
      </x:c>
      <x:c r="X43" s="270" t="s">
        <x:v>112</x:v>
      </x:c>
      <x:c r="Y43" s="73">
        <x:v>2</x:v>
      </x:c>
      <x:c r="Z43" s="72" t="s">
        <x:v>106</x:v>
      </x:c>
      <x:c r="AA43" s="82" t="s">
        <x:v>111</x:v>
      </x:c>
      <x:c r="AB43" s="72">
        <x:v>2025</x:v>
      </x:c>
      <x:c r="AC43" s="72" t="s">
        <x:v>113</x:v>
      </x:c>
      <x:c r="AD43" s="88">
        <x:f>+BORDRO!J47</x:f>
      </x:c>
      <x:c r="AE43" s="83"/>
      <x:c r="AF43" s="83">
        <x:f>+BORDRO!K47</x:f>
      </x:c>
      <x:c r="AG43" s="83">
        <x:f>+BORDRO!L47</x:f>
      </x:c>
      <x:c r="AH43" s="88">
        <x:f>+BORDRO!M47</x:f>
      </x:c>
      <x:c r="AI43" s="83">
        <x:f>+BORDRO!O47</x:f>
      </x:c>
      <x:c r="AJ43" s="84">
        <x:f>+BORDRO!P47</x:f>
      </x:c>
    </x:row>
    <x:row r="44" spans="1:36" ht="15" customHeight="1" x14ac:dyDescent="0.25">
      <x:c r="A44" s="72" t="s">
        <x:v>106</x:v>
      </x:c>
      <x:c r="B44" s="264">
        <x:v>46</x:v>
      </x:c>
      <x:c r="C44" s="72" t="s">
        <x:v>107</x:v>
      </x:c>
      <x:c r="D44" s="72" t="s">
        <x:v>108</x:v>
      </x:c>
      <x:c r="E44" s="72" t="s">
        <x:v>108</x:v>
      </x:c>
      <x:c r="F44" s="73">
        <x:v>1494768</x:v>
      </x:c>
      <x:c r="G44" s="74" t="s">
        <x:v>109</x:v>
      </x:c>
      <x:c r="H44" s="72" t="s">
        <x:v>110</x:v>
      </x:c>
      <x:c r="I44" s="72"/>
      <x:c r="J44" s="75">
        <x:f>+Puantaj!C48</x:f>
      </x:c>
      <x:c r="K44" s="72">
        <x:f>+Puantaj!D48</x:f>
      </x:c>
      <x:c r="L44" s="72">
        <x:f>+Puantaj!E48</x:f>
      </x:c>
      <x:c r="M44" s="265">
        <x:f>+BORDRO!F48</x:f>
      </x:c>
      <x:c r="N44" s="72"/>
      <x:c r="O44" s="87">
        <x:f>+BORDRO!G48</x:f>
      </x:c>
      <x:c r="P44" s="87">
        <x:v>0</x:v>
      </x:c>
      <x:c r="Q44" s="266">
        <x:v>24</x:v>
      </x:c>
      <x:c r="R44" s="267" t="s">
        <x:v>111</x:v>
      </x:c>
      <x:c r="S44" s="78"/>
      <x:c r="T44" s="78"/>
      <x:c r="U44" s="79"/>
      <x:c r="V44" s="268">
        <x:f>31-M44-Q44</x:f>
      </x:c>
      <x:c r="W44" s="269">
        <x:v>6</x:v>
      </x:c>
      <x:c r="X44" s="270" t="s">
        <x:v>112</x:v>
      </x:c>
      <x:c r="Y44" s="73">
        <x:v>2</x:v>
      </x:c>
      <x:c r="Z44" s="72" t="s">
        <x:v>106</x:v>
      </x:c>
      <x:c r="AA44" s="82" t="s">
        <x:v>111</x:v>
      </x:c>
      <x:c r="AB44" s="72">
        <x:v>2025</x:v>
      </x:c>
      <x:c r="AC44" s="72" t="s">
        <x:v>113</x:v>
      </x:c>
      <x:c r="AD44" s="88">
        <x:f>+BORDRO!J48</x:f>
      </x:c>
      <x:c r="AE44" s="83"/>
      <x:c r="AF44" s="83">
        <x:f>+BORDRO!K48</x:f>
      </x:c>
      <x:c r="AG44" s="83">
        <x:f>+BORDRO!L48</x:f>
      </x:c>
      <x:c r="AH44" s="88">
        <x:f>+BORDRO!M48</x:f>
      </x:c>
      <x:c r="AI44" s="83">
        <x:f>+BORDRO!O48</x:f>
      </x:c>
      <x:c r="AJ44" s="84">
        <x:f>+BORDRO!P48</x:f>
      </x:c>
    </x:row>
    <x:row r="45" spans="1:36" ht="14.25" customHeight="1" x14ac:dyDescent="0.2">
      <x:c r="A45" s="72" t="s">
        <x:v>106</x:v>
      </x:c>
      <x:c r="B45" s="271">
        <x:v>46</x:v>
      </x:c>
      <x:c r="C45" s="72" t="s">
        <x:v>107</x:v>
      </x:c>
      <x:c r="D45" s="72" t="s">
        <x:v>108</x:v>
      </x:c>
      <x:c r="E45" s="72" t="s">
        <x:v>108</x:v>
      </x:c>
      <x:c r="F45" s="73">
        <x:v>1494768</x:v>
      </x:c>
      <x:c r="G45" s="74" t="s">
        <x:v>109</x:v>
      </x:c>
      <x:c r="H45" s="72" t="s">
        <x:v>110</x:v>
      </x:c>
      <x:c r="I45" s="72"/>
      <x:c r="J45" s="75">
        <x:f>+Puantaj!C49</x:f>
      </x:c>
      <x:c r="K45" s="72">
        <x:f>+Puantaj!D49</x:f>
      </x:c>
      <x:c r="L45" s="72">
        <x:f>+Puantaj!E49</x:f>
      </x:c>
      <x:c r="M45" s="265">
        <x:f>+BORDRO!F49</x:f>
      </x:c>
      <x:c r="N45" s="72"/>
      <x:c r="O45" s="87">
        <x:f>+BORDRO!G49</x:f>
      </x:c>
      <x:c r="P45" s="87">
        <x:v>0</x:v>
      </x:c>
      <x:c r="Q45" s="266">
        <x:v>24</x:v>
      </x:c>
      <x:c r="R45" s="267" t="s">
        <x:v>111</x:v>
      </x:c>
      <x:c r="S45" s="78"/>
      <x:c r="T45" s="78"/>
      <x:c r="U45" s="79"/>
      <x:c r="V45" s="268">
        <x:f>31-M45-Q45</x:f>
      </x:c>
      <x:c r="W45" s="269">
        <x:v>6</x:v>
      </x:c>
      <x:c r="X45" s="270" t="s">
        <x:v>112</x:v>
      </x:c>
      <x:c r="Y45" s="73">
        <x:v>2</x:v>
      </x:c>
      <x:c r="Z45" s="72" t="s">
        <x:v>106</x:v>
      </x:c>
      <x:c r="AA45" s="82" t="s">
        <x:v>111</x:v>
      </x:c>
      <x:c r="AB45" s="72">
        <x:v>2025</x:v>
      </x:c>
      <x:c r="AC45" s="72" t="s">
        <x:v>113</x:v>
      </x:c>
      <x:c r="AD45" s="88">
        <x:f>+BORDRO!J49</x:f>
      </x:c>
      <x:c r="AE45" s="83"/>
      <x:c r="AF45" s="83">
        <x:f>+BORDRO!K49</x:f>
      </x:c>
      <x:c r="AG45" s="83">
        <x:f>+BORDRO!L49</x:f>
      </x:c>
      <x:c r="AH45" s="88">
        <x:f>+BORDRO!M49</x:f>
      </x:c>
      <x:c r="AI45" s="83">
        <x:f>+BORDRO!O49</x:f>
      </x:c>
      <x:c r="AJ45" s="84">
        <x:f>+BORDRO!P49</x:f>
      </x:c>
    </x:row>
    <x:row r="46" spans="1:36" ht="15" customHeight="1" x14ac:dyDescent="0.25">
      <x:c r="A46" s="72" t="s">
        <x:v>106</x:v>
      </x:c>
      <x:c r="B46" s="264">
        <x:v>46</x:v>
      </x:c>
      <x:c r="C46" s="72" t="s">
        <x:v>107</x:v>
      </x:c>
      <x:c r="D46" s="72" t="s">
        <x:v>108</x:v>
      </x:c>
      <x:c r="E46" s="72" t="s">
        <x:v>108</x:v>
      </x:c>
      <x:c r="F46" s="73">
        <x:v>1494768</x:v>
      </x:c>
      <x:c r="G46" s="74" t="s">
        <x:v>109</x:v>
      </x:c>
      <x:c r="H46" s="72" t="s">
        <x:v>110</x:v>
      </x:c>
      <x:c r="I46" s="72"/>
      <x:c r="J46" s="75">
        <x:f>+Puantaj!C50</x:f>
      </x:c>
      <x:c r="K46" s="72">
        <x:f>+Puantaj!D50</x:f>
      </x:c>
      <x:c r="L46" s="72">
        <x:f>+Puantaj!E50</x:f>
      </x:c>
      <x:c r="M46" s="265">
        <x:f>+BORDRO!F50</x:f>
      </x:c>
      <x:c r="N46" s="72"/>
      <x:c r="O46" s="87">
        <x:f>+BORDRO!G50</x:f>
      </x:c>
      <x:c r="P46" s="87">
        <x:v>0</x:v>
      </x:c>
      <x:c r="Q46" s="266">
        <x:v>24</x:v>
      </x:c>
      <x:c r="R46" s="267" t="s">
        <x:v>111</x:v>
      </x:c>
      <x:c r="S46" s="78"/>
      <x:c r="T46" s="78"/>
      <x:c r="U46" s="79"/>
      <x:c r="V46" s="268">
        <x:f>31-M46-Q46</x:f>
      </x:c>
      <x:c r="W46" s="269">
        <x:v>6</x:v>
      </x:c>
      <x:c r="X46" s="270" t="s">
        <x:v>112</x:v>
      </x:c>
      <x:c r="Y46" s="73">
        <x:v>2</x:v>
      </x:c>
      <x:c r="Z46" s="72" t="s">
        <x:v>106</x:v>
      </x:c>
      <x:c r="AA46" s="82" t="s">
        <x:v>111</x:v>
      </x:c>
      <x:c r="AB46" s="72">
        <x:v>2025</x:v>
      </x:c>
      <x:c r="AC46" s="72" t="s">
        <x:v>113</x:v>
      </x:c>
      <x:c r="AD46" s="88">
        <x:f>+BORDRO!J50</x:f>
      </x:c>
      <x:c r="AE46" s="83"/>
      <x:c r="AF46" s="83">
        <x:f>+BORDRO!K50</x:f>
      </x:c>
      <x:c r="AG46" s="83">
        <x:f>+BORDRO!L50</x:f>
      </x:c>
      <x:c r="AH46" s="88">
        <x:f>+BORDRO!M50</x:f>
      </x:c>
      <x:c r="AI46" s="83">
        <x:f>+BORDRO!O50</x:f>
      </x:c>
      <x:c r="AJ46" s="84">
        <x:f>+BORDRO!P50</x:f>
      </x:c>
    </x:row>
    <x:row r="47" spans="1:36" ht="14.25" customHeight="1" x14ac:dyDescent="0.2">
      <x:c r="A47" s="72" t="s">
        <x:v>106</x:v>
      </x:c>
      <x:c r="B47" s="271">
        <x:v>46</x:v>
      </x:c>
      <x:c r="C47" s="72" t="s">
        <x:v>107</x:v>
      </x:c>
      <x:c r="D47" s="72" t="s">
        <x:v>108</x:v>
      </x:c>
      <x:c r="E47" s="72" t="s">
        <x:v>108</x:v>
      </x:c>
      <x:c r="F47" s="73">
        <x:v>1494768</x:v>
      </x:c>
      <x:c r="G47" s="74" t="s">
        <x:v>109</x:v>
      </x:c>
      <x:c r="H47" s="72" t="s">
        <x:v>110</x:v>
      </x:c>
      <x:c r="I47" s="72"/>
      <x:c r="J47" s="75">
        <x:f>+Puantaj!C51</x:f>
      </x:c>
      <x:c r="K47" s="72">
        <x:f>+Puantaj!D51</x:f>
      </x:c>
      <x:c r="L47" s="72">
        <x:f>+Puantaj!E51</x:f>
      </x:c>
      <x:c r="M47" s="265">
        <x:f>+BORDRO!F51</x:f>
      </x:c>
      <x:c r="N47" s="72"/>
      <x:c r="O47" s="87">
        <x:f>+BORDRO!G51</x:f>
      </x:c>
      <x:c r="P47" s="87">
        <x:v>0</x:v>
      </x:c>
      <x:c r="Q47" s="266">
        <x:v>24</x:v>
      </x:c>
      <x:c r="R47" s="267" t="s">
        <x:v>111</x:v>
      </x:c>
      <x:c r="S47" s="78"/>
      <x:c r="T47" s="78"/>
      <x:c r="U47" s="79"/>
      <x:c r="V47" s="268">
        <x:f>31-M47-Q47</x:f>
      </x:c>
      <x:c r="W47" s="269">
        <x:v>6</x:v>
      </x:c>
      <x:c r="X47" s="270" t="s">
        <x:v>112</x:v>
      </x:c>
      <x:c r="Y47" s="73">
        <x:v>2</x:v>
      </x:c>
      <x:c r="Z47" s="72" t="s">
        <x:v>106</x:v>
      </x:c>
      <x:c r="AA47" s="82" t="s">
        <x:v>111</x:v>
      </x:c>
      <x:c r="AB47" s="72">
        <x:v>2025</x:v>
      </x:c>
      <x:c r="AC47" s="72" t="s">
        <x:v>113</x:v>
      </x:c>
      <x:c r="AD47" s="88">
        <x:f>+BORDRO!J51</x:f>
      </x:c>
      <x:c r="AE47" s="83"/>
      <x:c r="AF47" s="83">
        <x:f>+BORDRO!K51</x:f>
      </x:c>
      <x:c r="AG47" s="83">
        <x:f>+BORDRO!L51</x:f>
      </x:c>
      <x:c r="AH47" s="88">
        <x:f>+BORDRO!M51</x:f>
      </x:c>
      <x:c r="AI47" s="83">
        <x:f>+BORDRO!O51</x:f>
      </x:c>
      <x:c r="AJ47" s="84">
        <x:f>+BORDRO!P51</x:f>
      </x:c>
    </x:row>
    <x:row r="48" spans="1:36" ht="15" customHeight="1" x14ac:dyDescent="0.25">
      <x:c r="A48" s="72" t="s">
        <x:v>106</x:v>
      </x:c>
      <x:c r="B48" s="264">
        <x:v>46</x:v>
      </x:c>
      <x:c r="C48" s="72" t="s">
        <x:v>107</x:v>
      </x:c>
      <x:c r="D48" s="72" t="s">
        <x:v>108</x:v>
      </x:c>
      <x:c r="E48" s="72" t="s">
        <x:v>108</x:v>
      </x:c>
      <x:c r="F48" s="73">
        <x:v>1494768</x:v>
      </x:c>
      <x:c r="G48" s="74" t="s">
        <x:v>109</x:v>
      </x:c>
      <x:c r="H48" s="72" t="s">
        <x:v>110</x:v>
      </x:c>
      <x:c r="I48" s="72"/>
      <x:c r="J48" s="75">
        <x:f>+Puantaj!C52</x:f>
      </x:c>
      <x:c r="K48" s="72">
        <x:f>+Puantaj!D52</x:f>
      </x:c>
      <x:c r="L48" s="72">
        <x:f>+Puantaj!E52</x:f>
      </x:c>
      <x:c r="M48" s="265">
        <x:f>+BORDRO!F52</x:f>
      </x:c>
      <x:c r="N48" s="72"/>
      <x:c r="O48" s="87">
        <x:f>+BORDRO!G52</x:f>
      </x:c>
      <x:c r="P48" s="87">
        <x:v>0</x:v>
      </x:c>
      <x:c r="Q48" s="266">
        <x:v>24</x:v>
      </x:c>
      <x:c r="R48" s="267" t="s">
        <x:v>111</x:v>
      </x:c>
      <x:c r="S48" s="78"/>
      <x:c r="T48" s="78"/>
      <x:c r="U48" s="79"/>
      <x:c r="V48" s="268">
        <x:f>31-M48-Q48</x:f>
      </x:c>
      <x:c r="W48" s="269">
        <x:v>6</x:v>
      </x:c>
      <x:c r="X48" s="270" t="s">
        <x:v>112</x:v>
      </x:c>
      <x:c r="Y48" s="73">
        <x:v>2</x:v>
      </x:c>
      <x:c r="Z48" s="72" t="s">
        <x:v>106</x:v>
      </x:c>
      <x:c r="AA48" s="82" t="s">
        <x:v>111</x:v>
      </x:c>
      <x:c r="AB48" s="72">
        <x:v>2025</x:v>
      </x:c>
      <x:c r="AC48" s="72" t="s">
        <x:v>113</x:v>
      </x:c>
      <x:c r="AD48" s="88">
        <x:f>+BORDRO!J52</x:f>
      </x:c>
      <x:c r="AE48" s="83"/>
      <x:c r="AF48" s="83">
        <x:f>+BORDRO!K52</x:f>
      </x:c>
      <x:c r="AG48" s="83">
        <x:f>+BORDRO!L52</x:f>
      </x:c>
      <x:c r="AH48" s="88">
        <x:f>+BORDRO!M52</x:f>
      </x:c>
      <x:c r="AI48" s="83">
        <x:f>+BORDRO!O52</x:f>
      </x:c>
      <x:c r="AJ48" s="84">
        <x:f>+BORDRO!P52</x:f>
      </x:c>
    </x:row>
    <x:row r="49" spans="1:36" ht="14.25" customHeight="1" x14ac:dyDescent="0.2">
      <x:c r="A49" s="72" t="s">
        <x:v>106</x:v>
      </x:c>
      <x:c r="B49" s="271">
        <x:v>46</x:v>
      </x:c>
      <x:c r="C49" s="72" t="s">
        <x:v>107</x:v>
      </x:c>
      <x:c r="D49" s="72" t="s">
        <x:v>108</x:v>
      </x:c>
      <x:c r="E49" s="72" t="s">
        <x:v>108</x:v>
      </x:c>
      <x:c r="F49" s="73">
        <x:v>1494768</x:v>
      </x:c>
      <x:c r="G49" s="74" t="s">
        <x:v>109</x:v>
      </x:c>
      <x:c r="H49" s="72" t="s">
        <x:v>110</x:v>
      </x:c>
      <x:c r="I49" s="72"/>
      <x:c r="J49" s="75">
        <x:f>+Puantaj!C53</x:f>
      </x:c>
      <x:c r="K49" s="72">
        <x:f>+Puantaj!D53</x:f>
      </x:c>
      <x:c r="L49" s="72">
        <x:f>+Puantaj!E53</x:f>
      </x:c>
      <x:c r="M49" s="265">
        <x:f>+BORDRO!F53</x:f>
      </x:c>
      <x:c r="N49" s="72"/>
      <x:c r="O49" s="87">
        <x:f>+BORDRO!G53</x:f>
      </x:c>
      <x:c r="P49" s="87">
        <x:v>0</x:v>
      </x:c>
      <x:c r="Q49" s="266">
        <x:v>24</x:v>
      </x:c>
      <x:c r="R49" s="267" t="s">
        <x:v>111</x:v>
      </x:c>
      <x:c r="S49" s="78"/>
      <x:c r="T49" s="78"/>
      <x:c r="U49" s="79"/>
      <x:c r="V49" s="268">
        <x:f>31-M49-Q49</x:f>
      </x:c>
      <x:c r="W49" s="269">
        <x:v>6</x:v>
      </x:c>
      <x:c r="X49" s="270" t="s">
        <x:v>112</x:v>
      </x:c>
      <x:c r="Y49" s="73">
        <x:v>2</x:v>
      </x:c>
      <x:c r="Z49" s="72" t="s">
        <x:v>106</x:v>
      </x:c>
      <x:c r="AA49" s="82" t="s">
        <x:v>111</x:v>
      </x:c>
      <x:c r="AB49" s="72">
        <x:v>2025</x:v>
      </x:c>
      <x:c r="AC49" s="72" t="s">
        <x:v>113</x:v>
      </x:c>
      <x:c r="AD49" s="88">
        <x:f>+BORDRO!J53</x:f>
      </x:c>
      <x:c r="AE49" s="83"/>
      <x:c r="AF49" s="83">
        <x:f>+BORDRO!K53</x:f>
      </x:c>
      <x:c r="AG49" s="83">
        <x:f>+BORDRO!L53</x:f>
      </x:c>
      <x:c r="AH49" s="88">
        <x:f>+BORDRO!M53</x:f>
      </x:c>
      <x:c r="AI49" s="83">
        <x:f>+BORDRO!O53</x:f>
      </x:c>
      <x:c r="AJ49" s="84">
        <x:f>+BORDRO!P53</x:f>
      </x:c>
    </x:row>
    <x:row r="50" spans="1:36" ht="15" customHeight="1" x14ac:dyDescent="0.25">
      <x:c r="A50" s="72" t="s">
        <x:v>106</x:v>
      </x:c>
      <x:c r="B50" s="264">
        <x:v>46</x:v>
      </x:c>
      <x:c r="C50" s="72" t="s">
        <x:v>107</x:v>
      </x:c>
      <x:c r="D50" s="72" t="s">
        <x:v>108</x:v>
      </x:c>
      <x:c r="E50" s="72" t="s">
        <x:v>108</x:v>
      </x:c>
      <x:c r="F50" s="73">
        <x:v>1494768</x:v>
      </x:c>
      <x:c r="G50" s="74" t="s">
        <x:v>109</x:v>
      </x:c>
      <x:c r="H50" s="72" t="s">
        <x:v>110</x:v>
      </x:c>
      <x:c r="I50" s="72"/>
      <x:c r="J50" s="75">
        <x:f>+Puantaj!C54</x:f>
      </x:c>
      <x:c r="K50" s="72">
        <x:f>+Puantaj!D54</x:f>
      </x:c>
      <x:c r="L50" s="72">
        <x:f>+Puantaj!E54</x:f>
      </x:c>
      <x:c r="M50" s="265">
        <x:f>+BORDRO!F54</x:f>
      </x:c>
      <x:c r="N50" s="72"/>
      <x:c r="O50" s="87">
        <x:f>+BORDRO!G54</x:f>
      </x:c>
      <x:c r="P50" s="87">
        <x:v>0</x:v>
      </x:c>
      <x:c r="Q50" s="266">
        <x:v>24</x:v>
      </x:c>
      <x:c r="R50" s="267" t="s">
        <x:v>111</x:v>
      </x:c>
      <x:c r="S50" s="78"/>
      <x:c r="T50" s="78"/>
      <x:c r="U50" s="79"/>
      <x:c r="V50" s="268">
        <x:f>31-M50-Q50</x:f>
      </x:c>
      <x:c r="W50" s="269">
        <x:v>6</x:v>
      </x:c>
      <x:c r="X50" s="270" t="s">
        <x:v>112</x:v>
      </x:c>
      <x:c r="Y50" s="73">
        <x:v>2</x:v>
      </x:c>
      <x:c r="Z50" s="72" t="s">
        <x:v>106</x:v>
      </x:c>
      <x:c r="AA50" s="82" t="s">
        <x:v>111</x:v>
      </x:c>
      <x:c r="AB50" s="72">
        <x:v>2025</x:v>
      </x:c>
      <x:c r="AC50" s="72" t="s">
        <x:v>113</x:v>
      </x:c>
      <x:c r="AD50" s="88">
        <x:f>+BORDRO!J54</x:f>
      </x:c>
      <x:c r="AE50" s="83"/>
      <x:c r="AF50" s="83">
        <x:f>+BORDRO!K54</x:f>
      </x:c>
      <x:c r="AG50" s="83">
        <x:f>+BORDRO!L54</x:f>
      </x:c>
      <x:c r="AH50" s="88">
        <x:f>+BORDRO!M54</x:f>
      </x:c>
      <x:c r="AI50" s="83">
        <x:f>+BORDRO!O54</x:f>
      </x:c>
      <x:c r="AJ50" s="84">
        <x:f>+BORDRO!P54</x:f>
      </x:c>
    </x:row>
    <x:row r="51" spans="1:36" ht="14.25" customHeight="1" x14ac:dyDescent="0.2">
      <x:c r="A51" s="72" t="s">
        <x:v>106</x:v>
      </x:c>
      <x:c r="B51" s="271">
        <x:v>46</x:v>
      </x:c>
      <x:c r="C51" s="72" t="s">
        <x:v>107</x:v>
      </x:c>
      <x:c r="D51" s="72" t="s">
        <x:v>108</x:v>
      </x:c>
      <x:c r="E51" s="72" t="s">
        <x:v>108</x:v>
      </x:c>
      <x:c r="F51" s="73">
        <x:v>1494768</x:v>
      </x:c>
      <x:c r="G51" s="74" t="s">
        <x:v>109</x:v>
      </x:c>
      <x:c r="H51" s="72" t="s">
        <x:v>110</x:v>
      </x:c>
      <x:c r="I51" s="72"/>
      <x:c r="J51" s="75">
        <x:f>+Puantaj!C55</x:f>
      </x:c>
      <x:c r="K51" s="72">
        <x:f>+Puantaj!D55</x:f>
      </x:c>
      <x:c r="L51" s="72">
        <x:f>+Puantaj!E55</x:f>
      </x:c>
      <x:c r="M51" s="265">
        <x:f>+BORDRO!F55</x:f>
      </x:c>
      <x:c r="N51" s="72"/>
      <x:c r="O51" s="87">
        <x:f>+BORDRO!G55</x:f>
      </x:c>
      <x:c r="P51" s="87">
        <x:v>0</x:v>
      </x:c>
      <x:c r="Q51" s="266">
        <x:v>24</x:v>
      </x:c>
      <x:c r="R51" s="267" t="s">
        <x:v>111</x:v>
      </x:c>
      <x:c r="S51" s="78"/>
      <x:c r="T51" s="78"/>
      <x:c r="U51" s="79"/>
      <x:c r="V51" s="268">
        <x:f>31-M51-Q51</x:f>
      </x:c>
      <x:c r="W51" s="269">
        <x:v>6</x:v>
      </x:c>
      <x:c r="X51" s="270" t="s">
        <x:v>112</x:v>
      </x:c>
      <x:c r="Y51" s="73">
        <x:v>2</x:v>
      </x:c>
      <x:c r="Z51" s="72" t="s">
        <x:v>106</x:v>
      </x:c>
      <x:c r="AA51" s="82" t="s">
        <x:v>111</x:v>
      </x:c>
      <x:c r="AB51" s="72">
        <x:v>2025</x:v>
      </x:c>
      <x:c r="AC51" s="72" t="s">
        <x:v>113</x:v>
      </x:c>
      <x:c r="AD51" s="88">
        <x:f>+BORDRO!J55</x:f>
      </x:c>
      <x:c r="AE51" s="83"/>
      <x:c r="AF51" s="83">
        <x:f>+BORDRO!K55</x:f>
      </x:c>
      <x:c r="AG51" s="83">
        <x:f>+BORDRO!L55</x:f>
      </x:c>
      <x:c r="AH51" s="88">
        <x:f>+BORDRO!M55</x:f>
      </x:c>
      <x:c r="AI51" s="83">
        <x:f>+BORDRO!O55</x:f>
      </x:c>
      <x:c r="AJ51" s="84">
        <x:f>+BORDRO!P55</x:f>
      </x:c>
    </x:row>
    <x:row r="52" spans="1:36" ht="15" customHeight="1" x14ac:dyDescent="0.25">
      <x:c r="A52" s="72" t="s">
        <x:v>106</x:v>
      </x:c>
      <x:c r="B52" s="264">
        <x:v>46</x:v>
      </x:c>
      <x:c r="C52" s="72" t="s">
        <x:v>107</x:v>
      </x:c>
      <x:c r="D52" s="72" t="s">
        <x:v>108</x:v>
      </x:c>
      <x:c r="E52" s="72" t="s">
        <x:v>108</x:v>
      </x:c>
      <x:c r="F52" s="73">
        <x:v>1494768</x:v>
      </x:c>
      <x:c r="G52" s="74" t="s">
        <x:v>109</x:v>
      </x:c>
      <x:c r="H52" s="72" t="s">
        <x:v>110</x:v>
      </x:c>
      <x:c r="I52" s="72"/>
      <x:c r="J52" s="75">
        <x:f>+Puantaj!C56</x:f>
      </x:c>
      <x:c r="K52" s="72">
        <x:f>+Puantaj!D56</x:f>
      </x:c>
      <x:c r="L52" s="72">
        <x:f>+Puantaj!E56</x:f>
      </x:c>
      <x:c r="M52" s="265">
        <x:f>+BORDRO!F56</x:f>
      </x:c>
      <x:c r="N52" s="72"/>
      <x:c r="O52" s="87">
        <x:f>+BORDRO!G56</x:f>
      </x:c>
      <x:c r="P52" s="87">
        <x:v>0</x:v>
      </x:c>
      <x:c r="Q52" s="266">
        <x:v>24</x:v>
      </x:c>
      <x:c r="R52" s="267" t="s">
        <x:v>111</x:v>
      </x:c>
      <x:c r="S52" s="78"/>
      <x:c r="T52" s="78"/>
      <x:c r="U52" s="79"/>
      <x:c r="V52" s="268">
        <x:f>31-M52-Q52</x:f>
      </x:c>
      <x:c r="W52" s="269">
        <x:v>6</x:v>
      </x:c>
      <x:c r="X52" s="270" t="s">
        <x:v>112</x:v>
      </x:c>
      <x:c r="Y52" s="73">
        <x:v>2</x:v>
      </x:c>
      <x:c r="Z52" s="72" t="s">
        <x:v>106</x:v>
      </x:c>
      <x:c r="AA52" s="82" t="s">
        <x:v>111</x:v>
      </x:c>
      <x:c r="AB52" s="72">
        <x:v>2025</x:v>
      </x:c>
      <x:c r="AC52" s="72" t="s">
        <x:v>113</x:v>
      </x:c>
      <x:c r="AD52" s="88">
        <x:f>+BORDRO!J56</x:f>
      </x:c>
      <x:c r="AE52" s="83"/>
      <x:c r="AF52" s="83">
        <x:f>+BORDRO!K56</x:f>
      </x:c>
      <x:c r="AG52" s="83">
        <x:f>+BORDRO!L56</x:f>
      </x:c>
      <x:c r="AH52" s="88">
        <x:f>+BORDRO!M56</x:f>
      </x:c>
      <x:c r="AI52" s="83">
        <x:f>+BORDRO!O56</x:f>
      </x:c>
      <x:c r="AJ52" s="84">
        <x:f>+BORDRO!P56</x:f>
      </x:c>
    </x:row>
    <x:row r="53" spans="1:36" ht="14.25" customHeight="1" x14ac:dyDescent="0.2">
      <x:c r="A53" s="72" t="s">
        <x:v>106</x:v>
      </x:c>
      <x:c r="B53" s="271">
        <x:v>46</x:v>
      </x:c>
      <x:c r="C53" s="72" t="s">
        <x:v>107</x:v>
      </x:c>
      <x:c r="D53" s="72" t="s">
        <x:v>108</x:v>
      </x:c>
      <x:c r="E53" s="72" t="s">
        <x:v>108</x:v>
      </x:c>
      <x:c r="F53" s="73">
        <x:v>1494768</x:v>
      </x:c>
      <x:c r="G53" s="74" t="s">
        <x:v>109</x:v>
      </x:c>
      <x:c r="H53" s="72" t="s">
        <x:v>110</x:v>
      </x:c>
      <x:c r="I53" s="72"/>
      <x:c r="J53" s="75">
        <x:f>+Puantaj!C57</x:f>
      </x:c>
      <x:c r="K53" s="72">
        <x:f>+Puantaj!D57</x:f>
      </x:c>
      <x:c r="L53" s="72">
        <x:f>+Puantaj!E57</x:f>
      </x:c>
      <x:c r="M53" s="265">
        <x:f>+BORDRO!F57</x:f>
      </x:c>
      <x:c r="N53" s="72"/>
      <x:c r="O53" s="87">
        <x:f>+BORDRO!G57</x:f>
      </x:c>
      <x:c r="P53" s="87">
        <x:v>0</x:v>
      </x:c>
      <x:c r="Q53" s="266">
        <x:v>24</x:v>
      </x:c>
      <x:c r="R53" s="267" t="s">
        <x:v>111</x:v>
      </x:c>
      <x:c r="S53" s="78"/>
      <x:c r="T53" s="78"/>
      <x:c r="U53" s="79"/>
      <x:c r="V53" s="268">
        <x:f>31-M53-Q53</x:f>
      </x:c>
      <x:c r="W53" s="269">
        <x:v>6</x:v>
      </x:c>
      <x:c r="X53" s="270" t="s">
        <x:v>112</x:v>
      </x:c>
      <x:c r="Y53" s="73">
        <x:v>2</x:v>
      </x:c>
      <x:c r="Z53" s="72" t="s">
        <x:v>106</x:v>
      </x:c>
      <x:c r="AA53" s="82" t="s">
        <x:v>111</x:v>
      </x:c>
      <x:c r="AB53" s="72">
        <x:v>2025</x:v>
      </x:c>
      <x:c r="AC53" s="72" t="s">
        <x:v>113</x:v>
      </x:c>
      <x:c r="AD53" s="88">
        <x:f>+BORDRO!J57</x:f>
      </x:c>
      <x:c r="AE53" s="83"/>
      <x:c r="AF53" s="83">
        <x:f>+BORDRO!K57</x:f>
      </x:c>
      <x:c r="AG53" s="83">
        <x:f>+BORDRO!L57</x:f>
      </x:c>
      <x:c r="AH53" s="88">
        <x:f>+BORDRO!M57</x:f>
      </x:c>
      <x:c r="AI53" s="83">
        <x:f>+BORDRO!O57</x:f>
      </x:c>
      <x:c r="AJ53" s="84">
        <x:f>+BORDRO!P57</x:f>
      </x:c>
    </x:row>
    <x:row r="54" spans="1:36" ht="15" customHeight="1" x14ac:dyDescent="0.25">
      <x:c r="A54" s="72" t="s">
        <x:v>106</x:v>
      </x:c>
      <x:c r="B54" s="264">
        <x:v>46</x:v>
      </x:c>
      <x:c r="C54" s="72" t="s">
        <x:v>107</x:v>
      </x:c>
      <x:c r="D54" s="72" t="s">
        <x:v>108</x:v>
      </x:c>
      <x:c r="E54" s="72" t="s">
        <x:v>108</x:v>
      </x:c>
      <x:c r="F54" s="73">
        <x:v>1494768</x:v>
      </x:c>
      <x:c r="G54" s="74" t="s">
        <x:v>109</x:v>
      </x:c>
      <x:c r="H54" s="72" t="s">
        <x:v>110</x:v>
      </x:c>
      <x:c r="I54" s="72"/>
      <x:c r="J54" s="75">
        <x:f>+Puantaj!C58</x:f>
      </x:c>
      <x:c r="K54" s="72">
        <x:f>+Puantaj!D58</x:f>
      </x:c>
      <x:c r="L54" s="72">
        <x:f>+Puantaj!E58</x:f>
      </x:c>
      <x:c r="M54" s="265">
        <x:f>+BORDRO!F58</x:f>
      </x:c>
      <x:c r="N54" s="72"/>
      <x:c r="O54" s="87">
        <x:f>+BORDRO!G58</x:f>
      </x:c>
      <x:c r="P54" s="87">
        <x:v>0</x:v>
      </x:c>
      <x:c r="Q54" s="266">
        <x:v>24</x:v>
      </x:c>
      <x:c r="R54" s="267" t="s">
        <x:v>111</x:v>
      </x:c>
      <x:c r="S54" s="78"/>
      <x:c r="T54" s="78"/>
      <x:c r="U54" s="79"/>
      <x:c r="V54" s="268">
        <x:f>31-M54-Q54</x:f>
      </x:c>
      <x:c r="W54" s="269">
        <x:v>6</x:v>
      </x:c>
      <x:c r="X54" s="270" t="s">
        <x:v>112</x:v>
      </x:c>
      <x:c r="Y54" s="73">
        <x:v>2</x:v>
      </x:c>
      <x:c r="Z54" s="72" t="s">
        <x:v>106</x:v>
      </x:c>
      <x:c r="AA54" s="82" t="s">
        <x:v>111</x:v>
      </x:c>
      <x:c r="AB54" s="72">
        <x:v>2025</x:v>
      </x:c>
      <x:c r="AC54" s="72" t="s">
        <x:v>113</x:v>
      </x:c>
      <x:c r="AD54" s="88">
        <x:f>+BORDRO!J58</x:f>
      </x:c>
      <x:c r="AE54" s="83"/>
      <x:c r="AF54" s="83">
        <x:f>+BORDRO!K58</x:f>
      </x:c>
      <x:c r="AG54" s="83">
        <x:f>+BORDRO!L58</x:f>
      </x:c>
      <x:c r="AH54" s="88">
        <x:f>+BORDRO!M58</x:f>
      </x:c>
      <x:c r="AI54" s="83">
        <x:f>+BORDRO!O58</x:f>
      </x:c>
      <x:c r="AJ54" s="84">
        <x:f>+BORDRO!P58</x:f>
      </x:c>
    </x:row>
    <x:row r="55" spans="1:36" ht="14.25" customHeight="1" x14ac:dyDescent="0.2">
      <x:c r="A55" s="72" t="s">
        <x:v>106</x:v>
      </x:c>
      <x:c r="B55" s="271">
        <x:v>46</x:v>
      </x:c>
      <x:c r="C55" s="72" t="s">
        <x:v>107</x:v>
      </x:c>
      <x:c r="D55" s="72" t="s">
        <x:v>108</x:v>
      </x:c>
      <x:c r="E55" s="72" t="s">
        <x:v>108</x:v>
      </x:c>
      <x:c r="F55" s="73">
        <x:v>1494768</x:v>
      </x:c>
      <x:c r="G55" s="74" t="s">
        <x:v>109</x:v>
      </x:c>
      <x:c r="H55" s="72" t="s">
        <x:v>110</x:v>
      </x:c>
      <x:c r="I55" s="86"/>
      <x:c r="J55" s="75">
        <x:f>+Puantaj!C59</x:f>
      </x:c>
      <x:c r="K55" s="72">
        <x:f>+Puantaj!D59</x:f>
      </x:c>
      <x:c r="L55" s="72">
        <x:f>+Puantaj!E59</x:f>
      </x:c>
      <x:c r="M55" s="265">
        <x:f>+BORDRO!F59</x:f>
      </x:c>
      <x:c r="N55" s="72"/>
      <x:c r="O55" s="87">
        <x:f>+BORDRO!G59</x:f>
      </x:c>
      <x:c r="P55" s="87">
        <x:v>0</x:v>
      </x:c>
      <x:c r="Q55" s="266">
        <x:v>24</x:v>
      </x:c>
      <x:c r="R55" s="267" t="s">
        <x:v>111</x:v>
      </x:c>
      <x:c r="S55" s="78"/>
      <x:c r="T55" s="78"/>
      <x:c r="U55" s="79"/>
      <x:c r="V55" s="268">
        <x:f>31-M55-Q55</x:f>
      </x:c>
      <x:c r="W55" s="269">
        <x:v>6</x:v>
      </x:c>
      <x:c r="X55" s="270" t="s">
        <x:v>112</x:v>
      </x:c>
      <x:c r="Y55" s="73">
        <x:v>2</x:v>
      </x:c>
      <x:c r="Z55" s="72" t="s">
        <x:v>106</x:v>
      </x:c>
      <x:c r="AA55" s="82" t="s">
        <x:v>111</x:v>
      </x:c>
      <x:c r="AB55" s="72">
        <x:v>2025</x:v>
      </x:c>
      <x:c r="AC55" s="72" t="s">
        <x:v>113</x:v>
      </x:c>
      <x:c r="AD55" s="88">
        <x:f>+BORDRO!J59</x:f>
      </x:c>
      <x:c r="AE55" s="83"/>
      <x:c r="AF55" s="83">
        <x:f>+BORDRO!K59</x:f>
      </x:c>
      <x:c r="AG55" s="83">
        <x:f>+BORDRO!L59</x:f>
      </x:c>
      <x:c r="AH55" s="88">
        <x:f>+BORDRO!M59</x:f>
      </x:c>
      <x:c r="AI55" s="83">
        <x:f>+BORDRO!O59</x:f>
      </x:c>
      <x:c r="AJ55" s="84">
        <x:f>+BORDRO!P59</x:f>
      </x:c>
    </x:row>
    <x:row r="56" spans="1:36" ht="15" customHeight="1" x14ac:dyDescent="0.25">
      <x:c r="A56" s="72" t="s">
        <x:v>106</x:v>
      </x:c>
      <x:c r="B56" s="264">
        <x:v>46</x:v>
      </x:c>
      <x:c r="C56" s="72" t="s">
        <x:v>107</x:v>
      </x:c>
      <x:c r="D56" s="72" t="s">
        <x:v>108</x:v>
      </x:c>
      <x:c r="E56" s="72" t="s">
        <x:v>108</x:v>
      </x:c>
      <x:c r="F56" s="73">
        <x:v>1494768</x:v>
      </x:c>
      <x:c r="G56" s="74" t="s">
        <x:v>109</x:v>
      </x:c>
      <x:c r="H56" s="72" t="s">
        <x:v>110</x:v>
      </x:c>
      <x:c r="I56" s="86"/>
      <x:c r="J56" s="75">
        <x:f>+Puantaj!C60</x:f>
      </x:c>
      <x:c r="K56" s="72">
        <x:f>+Puantaj!D60</x:f>
      </x:c>
      <x:c r="L56" s="72">
        <x:f>+Puantaj!E60</x:f>
      </x:c>
      <x:c r="M56" s="265">
        <x:f>+BORDRO!F60</x:f>
      </x:c>
      <x:c r="N56" s="72"/>
      <x:c r="O56" s="87">
        <x:f>+BORDRO!G60</x:f>
      </x:c>
      <x:c r="P56" s="87">
        <x:v>0</x:v>
      </x:c>
      <x:c r="Q56" s="266">
        <x:v>24</x:v>
      </x:c>
      <x:c r="R56" s="267" t="s">
        <x:v>111</x:v>
      </x:c>
      <x:c r="S56" s="78"/>
      <x:c r="T56" s="78"/>
      <x:c r="U56" s="79"/>
      <x:c r="V56" s="268">
        <x:f>31-M56-Q56</x:f>
      </x:c>
      <x:c r="W56" s="269">
        <x:v>6</x:v>
      </x:c>
      <x:c r="X56" s="270" t="s">
        <x:v>112</x:v>
      </x:c>
      <x:c r="Y56" s="73">
        <x:v>2</x:v>
      </x:c>
      <x:c r="Z56" s="72" t="s">
        <x:v>106</x:v>
      </x:c>
      <x:c r="AA56" s="82" t="s">
        <x:v>111</x:v>
      </x:c>
      <x:c r="AB56" s="72">
        <x:v>2025</x:v>
      </x:c>
      <x:c r="AC56" s="72" t="s">
        <x:v>113</x:v>
      </x:c>
      <x:c r="AD56" s="88">
        <x:f>+BORDRO!J60</x:f>
      </x:c>
      <x:c r="AE56" s="83"/>
      <x:c r="AF56" s="83">
        <x:f>+BORDRO!K60</x:f>
      </x:c>
      <x:c r="AG56" s="83">
        <x:f>+BORDRO!L60</x:f>
      </x:c>
      <x:c r="AH56" s="88">
        <x:f>+BORDRO!M60</x:f>
      </x:c>
      <x:c r="AI56" s="83">
        <x:f>+BORDRO!O60</x:f>
      </x:c>
      <x:c r="AJ56" s="84">
        <x:f>+BORDRO!P60</x:f>
      </x:c>
    </x:row>
    <x:row r="57" spans="1:36" ht="14.25" customHeight="1" x14ac:dyDescent="0.2">
      <x:c r="A57" s="72" t="s">
        <x:v>106</x:v>
      </x:c>
      <x:c r="B57" s="271">
        <x:v>46</x:v>
      </x:c>
      <x:c r="C57" s="72" t="s">
        <x:v>107</x:v>
      </x:c>
      <x:c r="D57" s="72" t="s">
        <x:v>108</x:v>
      </x:c>
      <x:c r="E57" s="72" t="s">
        <x:v>108</x:v>
      </x:c>
      <x:c r="F57" s="73">
        <x:v>1494768</x:v>
      </x:c>
      <x:c r="G57" s="74" t="s">
        <x:v>109</x:v>
      </x:c>
      <x:c r="H57" s="72" t="s">
        <x:v>110</x:v>
      </x:c>
      <x:c r="I57" s="86"/>
      <x:c r="J57" s="75">
        <x:f>+Puantaj!C61</x:f>
      </x:c>
      <x:c r="K57" s="72">
        <x:f>+Puantaj!D61</x:f>
      </x:c>
      <x:c r="L57" s="72">
        <x:f>+Puantaj!E61</x:f>
      </x:c>
      <x:c r="M57" s="265">
        <x:f>+BORDRO!F61</x:f>
      </x:c>
      <x:c r="N57" s="72"/>
      <x:c r="O57" s="87">
        <x:f>+BORDRO!G61</x:f>
      </x:c>
      <x:c r="P57" s="87">
        <x:v>0</x:v>
      </x:c>
      <x:c r="Q57" s="266">
        <x:v>24</x:v>
      </x:c>
      <x:c r="R57" s="267" t="s">
        <x:v>111</x:v>
      </x:c>
      <x:c r="S57" s="78"/>
      <x:c r="T57" s="78"/>
      <x:c r="U57" s="79"/>
      <x:c r="V57" s="268">
        <x:f>31-M57-Q57</x:f>
      </x:c>
      <x:c r="W57" s="269">
        <x:v>6</x:v>
      </x:c>
      <x:c r="X57" s="270" t="s">
        <x:v>112</x:v>
      </x:c>
      <x:c r="Y57" s="73">
        <x:v>2</x:v>
      </x:c>
      <x:c r="Z57" s="72" t="s">
        <x:v>106</x:v>
      </x:c>
      <x:c r="AA57" s="82" t="s">
        <x:v>111</x:v>
      </x:c>
      <x:c r="AB57" s="72">
        <x:v>2025</x:v>
      </x:c>
      <x:c r="AC57" s="72" t="s">
        <x:v>113</x:v>
      </x:c>
      <x:c r="AD57" s="88">
        <x:f>+BORDRO!J61</x:f>
      </x:c>
      <x:c r="AE57" s="83"/>
      <x:c r="AF57" s="83">
        <x:f>+BORDRO!K61</x:f>
      </x:c>
      <x:c r="AG57" s="83">
        <x:f>+BORDRO!L61</x:f>
      </x:c>
      <x:c r="AH57" s="88">
        <x:f>+BORDRO!M61</x:f>
      </x:c>
      <x:c r="AI57" s="83">
        <x:f>+BORDRO!O61</x:f>
      </x:c>
      <x:c r="AJ57" s="84">
        <x:f>+BORDRO!P61</x:f>
      </x:c>
    </x:row>
    <x:row r="58" spans="1:36" ht="15" customHeight="1" x14ac:dyDescent="0.25">
      <x:c r="A58" s="72" t="s">
        <x:v>106</x:v>
      </x:c>
      <x:c r="B58" s="264">
        <x:v>46</x:v>
      </x:c>
      <x:c r="C58" s="72" t="s">
        <x:v>107</x:v>
      </x:c>
      <x:c r="D58" s="72" t="s">
        <x:v>108</x:v>
      </x:c>
      <x:c r="E58" s="72" t="s">
        <x:v>108</x:v>
      </x:c>
      <x:c r="F58" s="73">
        <x:v>1494768</x:v>
      </x:c>
      <x:c r="G58" s="74" t="s">
        <x:v>109</x:v>
      </x:c>
      <x:c r="H58" s="72" t="s">
        <x:v>110</x:v>
      </x:c>
      <x:c r="I58" s="86"/>
      <x:c r="J58" s="75">
        <x:f>+Puantaj!C62</x:f>
      </x:c>
      <x:c r="K58" s="72">
        <x:f>+Puantaj!D62</x:f>
      </x:c>
      <x:c r="L58" s="72">
        <x:f>+Puantaj!E62</x:f>
      </x:c>
      <x:c r="M58" s="265">
        <x:f>+BORDRO!F62</x:f>
      </x:c>
      <x:c r="N58" s="72"/>
      <x:c r="O58" s="87">
        <x:f>+BORDRO!G62</x:f>
      </x:c>
      <x:c r="P58" s="87">
        <x:v>0</x:v>
      </x:c>
      <x:c r="Q58" s="266">
        <x:v>24</x:v>
      </x:c>
      <x:c r="R58" s="267" t="s">
        <x:v>111</x:v>
      </x:c>
      <x:c r="S58" s="78"/>
      <x:c r="T58" s="78"/>
      <x:c r="U58" s="79"/>
      <x:c r="V58" s="268">
        <x:f>31-M58-Q58</x:f>
      </x:c>
      <x:c r="W58" s="269">
        <x:v>6</x:v>
      </x:c>
      <x:c r="X58" s="270" t="s">
        <x:v>112</x:v>
      </x:c>
      <x:c r="Y58" s="73">
        <x:v>2</x:v>
      </x:c>
      <x:c r="Z58" s="72" t="s">
        <x:v>106</x:v>
      </x:c>
      <x:c r="AA58" s="82" t="s">
        <x:v>111</x:v>
      </x:c>
      <x:c r="AB58" s="72">
        <x:v>2025</x:v>
      </x:c>
      <x:c r="AC58" s="72" t="s">
        <x:v>113</x:v>
      </x:c>
      <x:c r="AD58" s="88">
        <x:f>+BORDRO!J62</x:f>
      </x:c>
      <x:c r="AE58" s="83"/>
      <x:c r="AF58" s="83">
        <x:f>+BORDRO!K62</x:f>
      </x:c>
      <x:c r="AG58" s="83">
        <x:f>+BORDRO!L62</x:f>
      </x:c>
      <x:c r="AH58" s="88">
        <x:f>+BORDRO!M62</x:f>
      </x:c>
      <x:c r="AI58" s="83">
        <x:f>+BORDRO!O62</x:f>
      </x:c>
      <x:c r="AJ58" s="84">
        <x:f>+BORDRO!P62</x:f>
      </x:c>
    </x:row>
    <x:row r="59" spans="1:36" ht="14.25" customHeight="1" x14ac:dyDescent="0.2">
      <x:c r="A59" s="72" t="s">
        <x:v>106</x:v>
      </x:c>
      <x:c r="B59" s="271">
        <x:v>46</x:v>
      </x:c>
      <x:c r="C59" s="72" t="s">
        <x:v>107</x:v>
      </x:c>
      <x:c r="D59" s="72" t="s">
        <x:v>108</x:v>
      </x:c>
      <x:c r="E59" s="72" t="s">
        <x:v>108</x:v>
      </x:c>
      <x:c r="F59" s="73">
        <x:v>1494768</x:v>
      </x:c>
      <x:c r="G59" s="74" t="s">
        <x:v>109</x:v>
      </x:c>
      <x:c r="H59" s="72" t="s">
        <x:v>110</x:v>
      </x:c>
      <x:c r="I59" s="86"/>
      <x:c r="J59" s="75">
        <x:f>+Puantaj!C63</x:f>
      </x:c>
      <x:c r="K59" s="72">
        <x:f>+Puantaj!D63</x:f>
      </x:c>
      <x:c r="L59" s="72">
        <x:f>+Puantaj!E63</x:f>
      </x:c>
      <x:c r="M59" s="265">
        <x:f>+BORDRO!F63</x:f>
      </x:c>
      <x:c r="N59" s="72"/>
      <x:c r="O59" s="87">
        <x:f>+BORDRO!G63</x:f>
      </x:c>
      <x:c r="P59" s="87">
        <x:v>0</x:v>
      </x:c>
      <x:c r="Q59" s="266">
        <x:v>24</x:v>
      </x:c>
      <x:c r="R59" s="267" t="s">
        <x:v>111</x:v>
      </x:c>
      <x:c r="S59" s="78"/>
      <x:c r="T59" s="78"/>
      <x:c r="U59" s="79"/>
      <x:c r="V59" s="268">
        <x:f>31-M59-Q59</x:f>
      </x:c>
      <x:c r="W59" s="269">
        <x:v>6</x:v>
      </x:c>
      <x:c r="X59" s="270" t="s">
        <x:v>112</x:v>
      </x:c>
      <x:c r="Y59" s="73">
        <x:v>2</x:v>
      </x:c>
      <x:c r="Z59" s="72" t="s">
        <x:v>106</x:v>
      </x:c>
      <x:c r="AA59" s="82" t="s">
        <x:v>111</x:v>
      </x:c>
      <x:c r="AB59" s="72">
        <x:v>2025</x:v>
      </x:c>
      <x:c r="AC59" s="72" t="s">
        <x:v>113</x:v>
      </x:c>
      <x:c r="AD59" s="88">
        <x:f>+BORDRO!J63</x:f>
      </x:c>
      <x:c r="AE59" s="83"/>
      <x:c r="AF59" s="83">
        <x:f>+BORDRO!K63</x:f>
      </x:c>
      <x:c r="AG59" s="83">
        <x:f>+BORDRO!L63</x:f>
      </x:c>
      <x:c r="AH59" s="88">
        <x:f>+BORDRO!M63</x:f>
      </x:c>
      <x:c r="AI59" s="83">
        <x:f>+BORDRO!O63</x:f>
      </x:c>
      <x:c r="AJ59" s="84">
        <x:f>+BORDRO!P63</x:f>
      </x:c>
    </x:row>
    <x:row r="60" spans="1:36" ht="15" customHeight="1" x14ac:dyDescent="0.25">
      <x:c r="A60" s="72" t="s">
        <x:v>106</x:v>
      </x:c>
      <x:c r="B60" s="264">
        <x:v>46</x:v>
      </x:c>
      <x:c r="C60" s="72" t="s">
        <x:v>107</x:v>
      </x:c>
      <x:c r="D60" s="72" t="s">
        <x:v>108</x:v>
      </x:c>
      <x:c r="E60" s="72" t="s">
        <x:v>108</x:v>
      </x:c>
      <x:c r="F60" s="73">
        <x:v>1494768</x:v>
      </x:c>
      <x:c r="G60" s="74" t="s">
        <x:v>109</x:v>
      </x:c>
      <x:c r="H60" s="72" t="s">
        <x:v>110</x:v>
      </x:c>
      <x:c r="I60" s="86"/>
      <x:c r="J60" s="75">
        <x:f>+Puantaj!C64</x:f>
      </x:c>
      <x:c r="K60" s="72">
        <x:f>+Puantaj!D64</x:f>
      </x:c>
      <x:c r="L60" s="72">
        <x:f>+Puantaj!E64</x:f>
      </x:c>
      <x:c r="M60" s="265">
        <x:f>+BORDRO!F64</x:f>
      </x:c>
      <x:c r="N60" s="72"/>
      <x:c r="O60" s="87">
        <x:f>+BORDRO!G64</x:f>
      </x:c>
      <x:c r="P60" s="87">
        <x:v>0</x:v>
      </x:c>
      <x:c r="Q60" s="266">
        <x:v>24</x:v>
      </x:c>
      <x:c r="R60" s="267" t="s">
        <x:v>111</x:v>
      </x:c>
      <x:c r="S60" s="78"/>
      <x:c r="T60" s="78"/>
      <x:c r="U60" s="79"/>
      <x:c r="V60" s="268">
        <x:f>31-M60-Q60</x:f>
      </x:c>
      <x:c r="W60" s="269">
        <x:v>6</x:v>
      </x:c>
      <x:c r="X60" s="270" t="s">
        <x:v>112</x:v>
      </x:c>
      <x:c r="Y60" s="73">
        <x:v>2</x:v>
      </x:c>
      <x:c r="Z60" s="72" t="s">
        <x:v>106</x:v>
      </x:c>
      <x:c r="AA60" s="82" t="s">
        <x:v>111</x:v>
      </x:c>
      <x:c r="AB60" s="72">
        <x:v>2025</x:v>
      </x:c>
      <x:c r="AC60" s="72" t="s">
        <x:v>113</x:v>
      </x:c>
      <x:c r="AD60" s="88">
        <x:f>+BORDRO!J64</x:f>
      </x:c>
      <x:c r="AE60" s="83"/>
      <x:c r="AF60" s="83">
        <x:f>+BORDRO!K64</x:f>
      </x:c>
      <x:c r="AG60" s="83">
        <x:f>+BORDRO!L64</x:f>
      </x:c>
      <x:c r="AH60" s="88">
        <x:f>+BORDRO!M64</x:f>
      </x:c>
      <x:c r="AI60" s="83">
        <x:f>+BORDRO!O64</x:f>
      </x:c>
      <x:c r="AJ60" s="84">
        <x:f>+BORDRO!P64</x:f>
      </x:c>
    </x:row>
    <x:row r="61" spans="1:36" ht="14.25" customHeight="1" x14ac:dyDescent="0.2">
      <x:c r="A61" s="72" t="s">
        <x:v>106</x:v>
      </x:c>
      <x:c r="B61" s="271">
        <x:v>46</x:v>
      </x:c>
      <x:c r="C61" s="72" t="s">
        <x:v>107</x:v>
      </x:c>
      <x:c r="D61" s="72" t="s">
        <x:v>108</x:v>
      </x:c>
      <x:c r="E61" s="72" t="s">
        <x:v>108</x:v>
      </x:c>
      <x:c r="F61" s="73">
        <x:v>1494768</x:v>
      </x:c>
      <x:c r="G61" s="74" t="s">
        <x:v>109</x:v>
      </x:c>
      <x:c r="H61" s="72" t="s">
        <x:v>110</x:v>
      </x:c>
      <x:c r="I61" s="86"/>
      <x:c r="J61" s="75">
        <x:f>+Puantaj!C65</x:f>
      </x:c>
      <x:c r="K61" s="72">
        <x:f>+Puantaj!D65</x:f>
      </x:c>
      <x:c r="L61" s="72">
        <x:f>+Puantaj!E65</x:f>
      </x:c>
      <x:c r="M61" s="265">
        <x:f>+BORDRO!F65</x:f>
      </x:c>
      <x:c r="N61" s="72"/>
      <x:c r="O61" s="87">
        <x:f>+BORDRO!G65</x:f>
      </x:c>
      <x:c r="P61" s="87">
        <x:v>0</x:v>
      </x:c>
      <x:c r="Q61" s="266">
        <x:v>24</x:v>
      </x:c>
      <x:c r="R61" s="267" t="s">
        <x:v>111</x:v>
      </x:c>
      <x:c r="S61" s="78"/>
      <x:c r="T61" s="78"/>
      <x:c r="U61" s="79"/>
      <x:c r="V61" s="268">
        <x:f>31-M61-Q61</x:f>
      </x:c>
      <x:c r="W61" s="269">
        <x:v>6</x:v>
      </x:c>
      <x:c r="X61" s="270" t="s">
        <x:v>112</x:v>
      </x:c>
      <x:c r="Y61" s="73">
        <x:v>2</x:v>
      </x:c>
      <x:c r="Z61" s="72" t="s">
        <x:v>106</x:v>
      </x:c>
      <x:c r="AA61" s="82" t="s">
        <x:v>111</x:v>
      </x:c>
      <x:c r="AB61" s="72">
        <x:v>2025</x:v>
      </x:c>
      <x:c r="AC61" s="72" t="s">
        <x:v>113</x:v>
      </x:c>
      <x:c r="AD61" s="88">
        <x:f>+BORDRO!J65</x:f>
      </x:c>
      <x:c r="AE61" s="83"/>
      <x:c r="AF61" s="83">
        <x:f>+BORDRO!K65</x:f>
      </x:c>
      <x:c r="AG61" s="83">
        <x:f>+BORDRO!L65</x:f>
      </x:c>
      <x:c r="AH61" s="88">
        <x:f>+BORDRO!M65</x:f>
      </x:c>
      <x:c r="AI61" s="83">
        <x:f>+BORDRO!O65</x:f>
      </x:c>
      <x:c r="AJ61" s="84">
        <x:f>+BORDRO!P65</x:f>
      </x:c>
    </x:row>
    <x:row r="62" spans="1:36" ht="15" customHeight="1" x14ac:dyDescent="0.25">
      <x:c r="A62" s="72" t="s">
        <x:v>106</x:v>
      </x:c>
      <x:c r="B62" s="264">
        <x:v>46</x:v>
      </x:c>
      <x:c r="C62" s="72" t="s">
        <x:v>107</x:v>
      </x:c>
      <x:c r="D62" s="72" t="s">
        <x:v>108</x:v>
      </x:c>
      <x:c r="E62" s="72" t="s">
        <x:v>108</x:v>
      </x:c>
      <x:c r="F62" s="73">
        <x:v>1494768</x:v>
      </x:c>
      <x:c r="G62" s="74" t="s">
        <x:v>109</x:v>
      </x:c>
      <x:c r="H62" s="72" t="s">
        <x:v>110</x:v>
      </x:c>
      <x:c r="I62" s="86"/>
      <x:c r="J62" s="75">
        <x:f>+Puantaj!C66</x:f>
      </x:c>
      <x:c r="K62" s="72">
        <x:f>+Puantaj!D66</x:f>
      </x:c>
      <x:c r="L62" s="72">
        <x:f>+Puantaj!E66</x:f>
      </x:c>
      <x:c r="M62" s="265">
        <x:f>+BORDRO!F66</x:f>
      </x:c>
      <x:c r="N62" s="72"/>
      <x:c r="O62" s="87">
        <x:f>+BORDRO!G66</x:f>
      </x:c>
      <x:c r="P62" s="87">
        <x:v>0</x:v>
      </x:c>
      <x:c r="Q62" s="266">
        <x:v>24</x:v>
      </x:c>
      <x:c r="R62" s="267" t="s">
        <x:v>111</x:v>
      </x:c>
      <x:c r="S62" s="78"/>
      <x:c r="T62" s="78"/>
      <x:c r="U62" s="79"/>
      <x:c r="V62" s="268">
        <x:f>31-M62-Q62</x:f>
      </x:c>
      <x:c r="W62" s="269">
        <x:v>6</x:v>
      </x:c>
      <x:c r="X62" s="270" t="s">
        <x:v>112</x:v>
      </x:c>
      <x:c r="Y62" s="73">
        <x:v>2</x:v>
      </x:c>
      <x:c r="Z62" s="72" t="s">
        <x:v>106</x:v>
      </x:c>
      <x:c r="AA62" s="82" t="s">
        <x:v>111</x:v>
      </x:c>
      <x:c r="AB62" s="72">
        <x:v>2025</x:v>
      </x:c>
      <x:c r="AC62" s="72" t="s">
        <x:v>113</x:v>
      </x:c>
      <x:c r="AD62" s="88">
        <x:f>+BORDRO!J66</x:f>
      </x:c>
      <x:c r="AE62" s="83"/>
      <x:c r="AF62" s="83">
        <x:f>+BORDRO!K66</x:f>
      </x:c>
      <x:c r="AG62" s="83">
        <x:f>+BORDRO!L66</x:f>
      </x:c>
      <x:c r="AH62" s="88">
        <x:f>+BORDRO!M66</x:f>
      </x:c>
      <x:c r="AI62" s="83">
        <x:f>+BORDRO!O66</x:f>
      </x:c>
      <x:c r="AJ62" s="84">
        <x:f>+BORDRO!P66</x:f>
      </x:c>
    </x:row>
    <x:row r="63" spans="1:36" ht="14.25" customHeight="1" x14ac:dyDescent="0.2">
      <x:c r="A63" s="72" t="s">
        <x:v>106</x:v>
      </x:c>
      <x:c r="B63" s="271">
        <x:v>46</x:v>
      </x:c>
      <x:c r="C63" s="72" t="s">
        <x:v>107</x:v>
      </x:c>
      <x:c r="D63" s="72" t="s">
        <x:v>108</x:v>
      </x:c>
      <x:c r="E63" s="72" t="s">
        <x:v>108</x:v>
      </x:c>
      <x:c r="F63" s="73">
        <x:v>1494768</x:v>
      </x:c>
      <x:c r="G63" s="74" t="s">
        <x:v>109</x:v>
      </x:c>
      <x:c r="H63" s="72" t="s">
        <x:v>110</x:v>
      </x:c>
      <x:c r="I63" s="86"/>
      <x:c r="J63" s="75">
        <x:f>+Puantaj!C67</x:f>
      </x:c>
      <x:c r="K63" s="72">
        <x:f>+Puantaj!D67</x:f>
      </x:c>
      <x:c r="L63" s="72">
        <x:f>+Puantaj!E67</x:f>
      </x:c>
      <x:c r="M63" s="265">
        <x:f>+BORDRO!F67</x:f>
      </x:c>
      <x:c r="N63" s="72"/>
      <x:c r="O63" s="87">
        <x:f>+BORDRO!G67</x:f>
      </x:c>
      <x:c r="P63" s="87">
        <x:v>0</x:v>
      </x:c>
      <x:c r="Q63" s="266">
        <x:v>24</x:v>
      </x:c>
      <x:c r="R63" s="267" t="s">
        <x:v>111</x:v>
      </x:c>
      <x:c r="S63" s="78"/>
      <x:c r="T63" s="78"/>
      <x:c r="U63" s="79"/>
      <x:c r="V63" s="268">
        <x:f>31-M63-Q63</x:f>
      </x:c>
      <x:c r="W63" s="269">
        <x:v>6</x:v>
      </x:c>
      <x:c r="X63" s="270" t="s">
        <x:v>112</x:v>
      </x:c>
      <x:c r="Y63" s="73">
        <x:v>2</x:v>
      </x:c>
      <x:c r="Z63" s="72" t="s">
        <x:v>106</x:v>
      </x:c>
      <x:c r="AA63" s="82" t="s">
        <x:v>111</x:v>
      </x:c>
      <x:c r="AB63" s="72">
        <x:v>2025</x:v>
      </x:c>
      <x:c r="AC63" s="72" t="s">
        <x:v>113</x:v>
      </x:c>
      <x:c r="AD63" s="88">
        <x:f>+BORDRO!J67</x:f>
      </x:c>
      <x:c r="AE63" s="83"/>
      <x:c r="AF63" s="83">
        <x:f>+BORDRO!K67</x:f>
      </x:c>
      <x:c r="AG63" s="83">
        <x:f>+BORDRO!L67</x:f>
      </x:c>
      <x:c r="AH63" s="88">
        <x:f>+BORDRO!M67</x:f>
      </x:c>
      <x:c r="AI63" s="83">
        <x:f>+BORDRO!O67</x:f>
      </x:c>
      <x:c r="AJ63" s="84">
        <x:f>+BORDRO!P67</x:f>
      </x:c>
    </x:row>
    <x:row r="64" spans="1:36" ht="15" customHeight="1" x14ac:dyDescent="0.25">
      <x:c r="A64" s="72" t="s">
        <x:v>106</x:v>
      </x:c>
      <x:c r="B64" s="264">
        <x:v>46</x:v>
      </x:c>
      <x:c r="C64" s="72" t="s">
        <x:v>107</x:v>
      </x:c>
      <x:c r="D64" s="72" t="s">
        <x:v>108</x:v>
      </x:c>
      <x:c r="E64" s="72" t="s">
        <x:v>108</x:v>
      </x:c>
      <x:c r="F64" s="73">
        <x:v>1494768</x:v>
      </x:c>
      <x:c r="G64" s="74" t="s">
        <x:v>109</x:v>
      </x:c>
      <x:c r="H64" s="72" t="s">
        <x:v>110</x:v>
      </x:c>
      <x:c r="I64" s="86"/>
      <x:c r="J64" s="75">
        <x:f>+Puantaj!C68</x:f>
      </x:c>
      <x:c r="K64" s="72">
        <x:f>+Puantaj!D68</x:f>
      </x:c>
      <x:c r="L64" s="72">
        <x:f>+Puantaj!E68</x:f>
      </x:c>
      <x:c r="M64" s="265">
        <x:f>+BORDRO!F68</x:f>
      </x:c>
      <x:c r="N64" s="72"/>
      <x:c r="O64" s="87">
        <x:f>+BORDRO!G68</x:f>
      </x:c>
      <x:c r="P64" s="87">
        <x:v>0</x:v>
      </x:c>
      <x:c r="Q64" s="266">
        <x:v>28</x:v>
      </x:c>
      <x:c r="R64" s="267" t="s">
        <x:v>111</x:v>
      </x:c>
      <x:c r="S64" s="78"/>
      <x:c r="T64" s="78"/>
      <x:c r="U64" s="79"/>
      <x:c r="V64" s="268">
        <x:f>31-M64-Q64</x:f>
      </x:c>
      <x:c r="W64" s="269">
        <x:v>6</x:v>
      </x:c>
      <x:c r="X64" s="270" t="s">
        <x:v>112</x:v>
      </x:c>
      <x:c r="Y64" s="73">
        <x:v>2</x:v>
      </x:c>
      <x:c r="Z64" s="72" t="s">
        <x:v>106</x:v>
      </x:c>
      <x:c r="AA64" s="82" t="s">
        <x:v>111</x:v>
      </x:c>
      <x:c r="AB64" s="72">
        <x:v>2025</x:v>
      </x:c>
      <x:c r="AC64" s="72" t="s">
        <x:v>113</x:v>
      </x:c>
      <x:c r="AD64" s="88">
        <x:f>+BORDRO!J68</x:f>
      </x:c>
      <x:c r="AE64" s="83"/>
      <x:c r="AF64" s="83">
        <x:f>+BORDRO!K68</x:f>
      </x:c>
      <x:c r="AG64" s="83">
        <x:f>+BORDRO!L68</x:f>
      </x:c>
      <x:c r="AH64" s="88">
        <x:f>+BORDRO!M68</x:f>
      </x:c>
      <x:c r="AI64" s="83">
        <x:f>+BORDRO!O68</x:f>
      </x:c>
      <x:c r="AJ64" s="84">
        <x:f>+BORDRO!P68</x:f>
      </x:c>
    </x:row>
    <x:row r="65" spans="1:36" ht="14.25" customHeight="1" x14ac:dyDescent="0.2">
      <x:c r="A65" s="72" t="s">
        <x:v>106</x:v>
      </x:c>
      <x:c r="B65" s="271">
        <x:v>46</x:v>
      </x:c>
      <x:c r="C65" s="72" t="s">
        <x:v>107</x:v>
      </x:c>
      <x:c r="D65" s="72" t="s">
        <x:v>108</x:v>
      </x:c>
      <x:c r="E65" s="72" t="s">
        <x:v>108</x:v>
      </x:c>
      <x:c r="F65" s="73">
        <x:v>1494768</x:v>
      </x:c>
      <x:c r="G65" s="74" t="s">
        <x:v>109</x:v>
      </x:c>
      <x:c r="H65" s="72" t="s">
        <x:v>110</x:v>
      </x:c>
      <x:c r="I65" s="86"/>
      <x:c r="J65" s="75">
        <x:f>+Puantaj!C69</x:f>
      </x:c>
      <x:c r="K65" s="72">
        <x:f>+Puantaj!D69</x:f>
      </x:c>
      <x:c r="L65" s="72">
        <x:f>+Puantaj!E69</x:f>
      </x:c>
      <x:c r="M65" s="265">
        <x:f>+BORDRO!F69</x:f>
      </x:c>
      <x:c r="N65" s="72"/>
      <x:c r="O65" s="87">
        <x:f>+BORDRO!G69</x:f>
      </x:c>
      <x:c r="P65" s="87">
        <x:v>0</x:v>
      </x:c>
      <x:c r="Q65" s="266">
        <x:v>24</x:v>
      </x:c>
      <x:c r="R65" s="267" t="s">
        <x:v>111</x:v>
      </x:c>
      <x:c r="S65" s="78"/>
      <x:c r="T65" s="78"/>
      <x:c r="U65" s="79"/>
      <x:c r="V65" s="268">
        <x:f>31-M65-Q65</x:f>
      </x:c>
      <x:c r="W65" s="269">
        <x:v>6</x:v>
      </x:c>
      <x:c r="X65" s="270" t="s">
        <x:v>112</x:v>
      </x:c>
      <x:c r="Y65" s="73">
        <x:v>2</x:v>
      </x:c>
      <x:c r="Z65" s="72" t="s">
        <x:v>106</x:v>
      </x:c>
      <x:c r="AA65" s="82" t="s">
        <x:v>111</x:v>
      </x:c>
      <x:c r="AB65" s="72">
        <x:v>2025</x:v>
      </x:c>
      <x:c r="AC65" s="72" t="s">
        <x:v>113</x:v>
      </x:c>
      <x:c r="AD65" s="88">
        <x:f>+BORDRO!J69</x:f>
      </x:c>
      <x:c r="AE65" s="83"/>
      <x:c r="AF65" s="83">
        <x:f>+BORDRO!K69</x:f>
      </x:c>
      <x:c r="AG65" s="83">
        <x:f>+BORDRO!L69</x:f>
      </x:c>
      <x:c r="AH65" s="88">
        <x:f>+BORDRO!M69</x:f>
      </x:c>
      <x:c r="AI65" s="83">
        <x:f>+BORDRO!O69</x:f>
      </x:c>
      <x:c r="AJ65" s="84">
        <x:f>+BORDRO!P69</x:f>
      </x:c>
    </x:row>
    <x:row r="66" spans="1:36" ht="15" customHeight="1" x14ac:dyDescent="0.25">
      <x:c r="A66" s="72" t="s">
        <x:v>106</x:v>
      </x:c>
      <x:c r="B66" s="264">
        <x:v>46</x:v>
      </x:c>
      <x:c r="C66" s="72" t="s">
        <x:v>107</x:v>
      </x:c>
      <x:c r="D66" s="72" t="s">
        <x:v>108</x:v>
      </x:c>
      <x:c r="E66" s="72" t="s">
        <x:v>108</x:v>
      </x:c>
      <x:c r="F66" s="73">
        <x:v>1494768</x:v>
      </x:c>
      <x:c r="G66" s="74" t="s">
        <x:v>109</x:v>
      </x:c>
      <x:c r="H66" s="72" t="s">
        <x:v>110</x:v>
      </x:c>
      <x:c r="I66" s="86"/>
      <x:c r="J66" s="75">
        <x:f>+Puantaj!C70</x:f>
      </x:c>
      <x:c r="K66" s="72">
        <x:f>+Puantaj!D70</x:f>
      </x:c>
      <x:c r="L66" s="72">
        <x:f>+Puantaj!E70</x:f>
      </x:c>
      <x:c r="M66" s="265">
        <x:f>+BORDRO!F70</x:f>
      </x:c>
      <x:c r="N66" s="72"/>
      <x:c r="O66" s="87">
        <x:f>+BORDRO!G70</x:f>
      </x:c>
      <x:c r="P66" s="87">
        <x:v>0</x:v>
      </x:c>
      <x:c r="Q66" s="266">
        <x:v>24</x:v>
      </x:c>
      <x:c r="R66" s="267" t="s">
        <x:v>111</x:v>
      </x:c>
      <x:c r="S66" s="78"/>
      <x:c r="T66" s="78"/>
      <x:c r="U66" s="79"/>
      <x:c r="V66" s="268">
        <x:f>31-M66-Q66</x:f>
      </x:c>
      <x:c r="W66" s="269">
        <x:v>6</x:v>
      </x:c>
      <x:c r="X66" s="270" t="s">
        <x:v>112</x:v>
      </x:c>
      <x:c r="Y66" s="73">
        <x:v>2</x:v>
      </x:c>
      <x:c r="Z66" s="72" t="s">
        <x:v>106</x:v>
      </x:c>
      <x:c r="AA66" s="82" t="s">
        <x:v>111</x:v>
      </x:c>
      <x:c r="AB66" s="72">
        <x:v>2025</x:v>
      </x:c>
      <x:c r="AC66" s="72" t="s">
        <x:v>113</x:v>
      </x:c>
      <x:c r="AD66" s="88">
        <x:f>+BORDRO!J70</x:f>
      </x:c>
      <x:c r="AE66" s="83"/>
      <x:c r="AF66" s="83">
        <x:f>+BORDRO!K70</x:f>
      </x:c>
      <x:c r="AG66" s="83">
        <x:f>+BORDRO!L70</x:f>
      </x:c>
      <x:c r="AH66" s="88">
        <x:f>+BORDRO!M70</x:f>
      </x:c>
      <x:c r="AI66" s="83">
        <x:f>+BORDRO!O70</x:f>
      </x:c>
      <x:c r="AJ66" s="84">
        <x:f>+BORDRO!P70</x:f>
      </x:c>
    </x:row>
    <x:row r="67" spans="1:36" ht="14.25" customHeight="1" x14ac:dyDescent="0.2">
      <x:c r="A67" s="72" t="s">
        <x:v>106</x:v>
      </x:c>
      <x:c r="B67" s="271">
        <x:v>46</x:v>
      </x:c>
      <x:c r="C67" s="72" t="s">
        <x:v>107</x:v>
      </x:c>
      <x:c r="D67" s="72" t="s">
        <x:v>108</x:v>
      </x:c>
      <x:c r="E67" s="72" t="s">
        <x:v>108</x:v>
      </x:c>
      <x:c r="F67" s="73">
        <x:v>1494768</x:v>
      </x:c>
      <x:c r="G67" s="74" t="s">
        <x:v>109</x:v>
      </x:c>
      <x:c r="H67" s="72" t="s">
        <x:v>110</x:v>
      </x:c>
      <x:c r="I67" s="86"/>
      <x:c r="J67" s="75">
        <x:f>+Puantaj!C71</x:f>
      </x:c>
      <x:c r="K67" s="72">
        <x:f>+Puantaj!D71</x:f>
      </x:c>
      <x:c r="L67" s="72">
        <x:f>+Puantaj!E71</x:f>
      </x:c>
      <x:c r="M67" s="265">
        <x:f>+BORDRO!F71</x:f>
      </x:c>
      <x:c r="N67" s="72"/>
      <x:c r="O67" s="87">
        <x:f>+BORDRO!G71</x:f>
      </x:c>
      <x:c r="P67" s="87">
        <x:v>0</x:v>
      </x:c>
      <x:c r="Q67" s="266">
        <x:v>24</x:v>
      </x:c>
      <x:c r="R67" s="267" t="s">
        <x:v>111</x:v>
      </x:c>
      <x:c r="S67" s="78"/>
      <x:c r="T67" s="78"/>
      <x:c r="U67" s="79"/>
      <x:c r="V67" s="268">
        <x:f>31-M67-Q67</x:f>
      </x:c>
      <x:c r="W67" s="269">
        <x:v>6</x:v>
      </x:c>
      <x:c r="X67" s="270" t="s">
        <x:v>112</x:v>
      </x:c>
      <x:c r="Y67" s="73">
        <x:v>2</x:v>
      </x:c>
      <x:c r="Z67" s="72" t="s">
        <x:v>106</x:v>
      </x:c>
      <x:c r="AA67" s="82" t="s">
        <x:v>111</x:v>
      </x:c>
      <x:c r="AB67" s="72">
        <x:v>2025</x:v>
      </x:c>
      <x:c r="AC67" s="72" t="s">
        <x:v>113</x:v>
      </x:c>
      <x:c r="AD67" s="88">
        <x:f>+BORDRO!J71</x:f>
      </x:c>
      <x:c r="AE67" s="83"/>
      <x:c r="AF67" s="83">
        <x:f>+BORDRO!K71</x:f>
      </x:c>
      <x:c r="AG67" s="83">
        <x:f>+BORDRO!L71</x:f>
      </x:c>
      <x:c r="AH67" s="88">
        <x:f>+BORDRO!M71</x:f>
      </x:c>
      <x:c r="AI67" s="83">
        <x:f>+BORDRO!O71</x:f>
      </x:c>
      <x:c r="AJ67" s="84">
        <x:f>+BORDRO!P71</x:f>
      </x:c>
    </x:row>
    <x:row r="68" spans="1:36" ht="15" customHeight="1" x14ac:dyDescent="0.25">
      <x:c r="A68" s="72" t="s">
        <x:v>106</x:v>
      </x:c>
      <x:c r="B68" s="264">
        <x:v>46</x:v>
      </x:c>
      <x:c r="C68" s="72" t="s">
        <x:v>107</x:v>
      </x:c>
      <x:c r="D68" s="72" t="s">
        <x:v>108</x:v>
      </x:c>
      <x:c r="E68" s="72" t="s">
        <x:v>108</x:v>
      </x:c>
      <x:c r="F68" s="73">
        <x:v>1494768</x:v>
      </x:c>
      <x:c r="G68" s="74" t="s">
        <x:v>109</x:v>
      </x:c>
      <x:c r="H68" s="72" t="s">
        <x:v>110</x:v>
      </x:c>
      <x:c r="I68" s="86"/>
      <x:c r="J68" s="75">
        <x:f>+Puantaj!C72</x:f>
      </x:c>
      <x:c r="K68" s="72">
        <x:f>+Puantaj!D72</x:f>
      </x:c>
      <x:c r="L68" s="72">
        <x:f>+Puantaj!E72</x:f>
      </x:c>
      <x:c r="M68" s="265">
        <x:f>+BORDRO!F72</x:f>
      </x:c>
      <x:c r="N68" s="72"/>
      <x:c r="O68" s="87">
        <x:f>+BORDRO!G72</x:f>
      </x:c>
      <x:c r="P68" s="87">
        <x:v>0</x:v>
      </x:c>
      <x:c r="Q68" s="266">
        <x:v>24</x:v>
      </x:c>
      <x:c r="R68" s="267" t="s">
        <x:v>111</x:v>
      </x:c>
      <x:c r="S68" s="78"/>
      <x:c r="T68" s="78"/>
      <x:c r="U68" s="79"/>
      <x:c r="V68" s="268">
        <x:f>31-M68-Q68</x:f>
      </x:c>
      <x:c r="W68" s="269">
        <x:v>6</x:v>
      </x:c>
      <x:c r="X68" s="270" t="s">
        <x:v>112</x:v>
      </x:c>
      <x:c r="Y68" s="73">
        <x:v>2</x:v>
      </x:c>
      <x:c r="Z68" s="72" t="s">
        <x:v>106</x:v>
      </x:c>
      <x:c r="AA68" s="82" t="s">
        <x:v>111</x:v>
      </x:c>
      <x:c r="AB68" s="72">
        <x:v>2025</x:v>
      </x:c>
      <x:c r="AC68" s="72" t="s">
        <x:v>113</x:v>
      </x:c>
      <x:c r="AD68" s="88">
        <x:f>+BORDRO!J72</x:f>
      </x:c>
      <x:c r="AE68" s="83"/>
      <x:c r="AF68" s="83">
        <x:f>+BORDRO!K72</x:f>
      </x:c>
      <x:c r="AG68" s="83">
        <x:f>+BORDRO!L72</x:f>
      </x:c>
      <x:c r="AH68" s="88">
        <x:f>+BORDRO!M72</x:f>
      </x:c>
      <x:c r="AI68" s="83">
        <x:f>+BORDRO!O72</x:f>
      </x:c>
      <x:c r="AJ68" s="84">
        <x:f>+BORDRO!P72</x:f>
      </x:c>
    </x:row>
    <x:row r="69" spans="1:36" ht="14.25" customHeight="1" x14ac:dyDescent="0.2">
      <x:c r="A69" s="72" t="s">
        <x:v>106</x:v>
      </x:c>
      <x:c r="B69" s="271">
        <x:v>46</x:v>
      </x:c>
      <x:c r="C69" s="72" t="s">
        <x:v>107</x:v>
      </x:c>
      <x:c r="D69" s="72" t="s">
        <x:v>108</x:v>
      </x:c>
      <x:c r="E69" s="72" t="s">
        <x:v>108</x:v>
      </x:c>
      <x:c r="F69" s="73">
        <x:v>1494768</x:v>
      </x:c>
      <x:c r="G69" s="74" t="s">
        <x:v>109</x:v>
      </x:c>
      <x:c r="H69" s="72" t="s">
        <x:v>110</x:v>
      </x:c>
      <x:c r="I69" s="86"/>
      <x:c r="J69" s="75">
        <x:f>+Puantaj!C73</x:f>
      </x:c>
      <x:c r="K69" s="72">
        <x:f>+Puantaj!D73</x:f>
      </x:c>
      <x:c r="L69" s="72">
        <x:f>+Puantaj!E73</x:f>
      </x:c>
      <x:c r="M69" s="265">
        <x:f>+BORDRO!F73</x:f>
      </x:c>
      <x:c r="N69" s="72"/>
      <x:c r="O69" s="87">
        <x:f>+BORDRO!G73</x:f>
      </x:c>
      <x:c r="P69" s="87">
        <x:v>0</x:v>
      </x:c>
      <x:c r="Q69" s="266">
        <x:v>24</x:v>
      </x:c>
      <x:c r="R69" s="267" t="s">
        <x:v>111</x:v>
      </x:c>
      <x:c r="S69" s="78"/>
      <x:c r="T69" s="78"/>
      <x:c r="U69" s="79"/>
      <x:c r="V69" s="268">
        <x:f>31-M69-Q69</x:f>
      </x:c>
      <x:c r="W69" s="269">
        <x:v>6</x:v>
      </x:c>
      <x:c r="X69" s="270" t="s">
        <x:v>112</x:v>
      </x:c>
      <x:c r="Y69" s="73">
        <x:v>2</x:v>
      </x:c>
      <x:c r="Z69" s="72" t="s">
        <x:v>106</x:v>
      </x:c>
      <x:c r="AA69" s="82" t="s">
        <x:v>111</x:v>
      </x:c>
      <x:c r="AB69" s="72">
        <x:v>2025</x:v>
      </x:c>
      <x:c r="AC69" s="72" t="s">
        <x:v>113</x:v>
      </x:c>
      <x:c r="AD69" s="88">
        <x:f>+BORDRO!J73</x:f>
      </x:c>
      <x:c r="AE69" s="83"/>
      <x:c r="AF69" s="83">
        <x:f>+BORDRO!K73</x:f>
      </x:c>
      <x:c r="AG69" s="83">
        <x:f>+BORDRO!L73</x:f>
      </x:c>
      <x:c r="AH69" s="88">
        <x:f>+BORDRO!M73</x:f>
      </x:c>
      <x:c r="AI69" s="83">
        <x:f>+BORDRO!O73</x:f>
      </x:c>
      <x:c r="AJ69" s="84">
        <x:f>+BORDRO!P73</x:f>
      </x:c>
    </x:row>
    <x:row r="70" spans="1:36" ht="15" customHeight="1" x14ac:dyDescent="0.25">
      <x:c r="A70" s="72" t="s">
        <x:v>106</x:v>
      </x:c>
      <x:c r="B70" s="264">
        <x:v>46</x:v>
      </x:c>
      <x:c r="C70" s="72" t="s">
        <x:v>107</x:v>
      </x:c>
      <x:c r="D70" s="72" t="s">
        <x:v>108</x:v>
      </x:c>
      <x:c r="E70" s="72" t="s">
        <x:v>108</x:v>
      </x:c>
      <x:c r="F70" s="73">
        <x:v>1494768</x:v>
      </x:c>
      <x:c r="G70" s="74" t="s">
        <x:v>109</x:v>
      </x:c>
      <x:c r="H70" s="72" t="s">
        <x:v>110</x:v>
      </x:c>
      <x:c r="I70" s="86"/>
      <x:c r="J70" s="75">
        <x:f>+Puantaj!C74</x:f>
      </x:c>
      <x:c r="K70" s="72">
        <x:f>+Puantaj!D74</x:f>
      </x:c>
      <x:c r="L70" s="72">
        <x:f>+Puantaj!E74</x:f>
      </x:c>
      <x:c r="M70" s="265">
        <x:f>+BORDRO!F74</x:f>
      </x:c>
      <x:c r="N70" s="72"/>
      <x:c r="O70" s="87">
        <x:f>+BORDRO!G74</x:f>
      </x:c>
      <x:c r="P70" s="87">
        <x:v>0</x:v>
      </x:c>
      <x:c r="Q70" s="266">
        <x:v>24</x:v>
      </x:c>
      <x:c r="R70" s="267" t="s">
        <x:v>111</x:v>
      </x:c>
      <x:c r="S70" s="78"/>
      <x:c r="T70" s="78"/>
      <x:c r="U70" s="79"/>
      <x:c r="V70" s="268">
        <x:f>31-M70-Q70</x:f>
      </x:c>
      <x:c r="W70" s="269">
        <x:v>6</x:v>
      </x:c>
      <x:c r="X70" s="270" t="s">
        <x:v>112</x:v>
      </x:c>
      <x:c r="Y70" s="73">
        <x:v>2</x:v>
      </x:c>
      <x:c r="Z70" s="72" t="s">
        <x:v>106</x:v>
      </x:c>
      <x:c r="AA70" s="82" t="s">
        <x:v>111</x:v>
      </x:c>
      <x:c r="AB70" s="72">
        <x:v>2025</x:v>
      </x:c>
      <x:c r="AC70" s="72" t="s">
        <x:v>113</x:v>
      </x:c>
      <x:c r="AD70" s="88">
        <x:f>+BORDRO!J74</x:f>
      </x:c>
      <x:c r="AE70" s="83"/>
      <x:c r="AF70" s="83">
        <x:f>+BORDRO!K74</x:f>
      </x:c>
      <x:c r="AG70" s="83">
        <x:f>+BORDRO!L74</x:f>
      </x:c>
      <x:c r="AH70" s="88">
        <x:f>+BORDRO!M74</x:f>
      </x:c>
      <x:c r="AI70" s="83">
        <x:f>+BORDRO!O74</x:f>
      </x:c>
      <x:c r="AJ70" s="84">
        <x:f>+BORDRO!P74</x:f>
      </x:c>
    </x:row>
    <x:row r="71" spans="1:36" ht="14.25" customHeight="1" x14ac:dyDescent="0.2">
      <x:c r="A71" s="72" t="s">
        <x:v>106</x:v>
      </x:c>
      <x:c r="B71" s="271">
        <x:v>46</x:v>
      </x:c>
      <x:c r="C71" s="72" t="s">
        <x:v>107</x:v>
      </x:c>
      <x:c r="D71" s="72" t="s">
        <x:v>108</x:v>
      </x:c>
      <x:c r="E71" s="72" t="s">
        <x:v>108</x:v>
      </x:c>
      <x:c r="F71" s="73">
        <x:v>1494768</x:v>
      </x:c>
      <x:c r="G71" s="74" t="s">
        <x:v>109</x:v>
      </x:c>
      <x:c r="H71" s="72" t="s">
        <x:v>110</x:v>
      </x:c>
      <x:c r="I71" s="86"/>
      <x:c r="J71" s="75">
        <x:f>+Puantaj!C75</x:f>
      </x:c>
      <x:c r="K71" s="72">
        <x:f>+Puantaj!D75</x:f>
      </x:c>
      <x:c r="L71" s="72">
        <x:f>+Puantaj!E75</x:f>
      </x:c>
      <x:c r="M71" s="265">
        <x:f>+BORDRO!F75</x:f>
      </x:c>
      <x:c r="N71" s="72"/>
      <x:c r="O71" s="87">
        <x:f>+BORDRO!G75</x:f>
      </x:c>
      <x:c r="P71" s="87">
        <x:v>0</x:v>
      </x:c>
      <x:c r="Q71" s="266">
        <x:v>24</x:v>
      </x:c>
      <x:c r="R71" s="267" t="s">
        <x:v>111</x:v>
      </x:c>
      <x:c r="S71" s="78"/>
      <x:c r="T71" s="78"/>
      <x:c r="U71" s="79"/>
      <x:c r="V71" s="268">
        <x:f>31-M71-Q71</x:f>
      </x:c>
      <x:c r="W71" s="269">
        <x:v>6</x:v>
      </x:c>
      <x:c r="X71" s="270" t="s">
        <x:v>112</x:v>
      </x:c>
      <x:c r="Y71" s="73">
        <x:v>2</x:v>
      </x:c>
      <x:c r="Z71" s="72" t="s">
        <x:v>106</x:v>
      </x:c>
      <x:c r="AA71" s="82" t="s">
        <x:v>111</x:v>
      </x:c>
      <x:c r="AB71" s="72">
        <x:v>2025</x:v>
      </x:c>
      <x:c r="AC71" s="72" t="s">
        <x:v>113</x:v>
      </x:c>
      <x:c r="AD71" s="88">
        <x:f>+BORDRO!J75</x:f>
      </x:c>
      <x:c r="AE71" s="83"/>
      <x:c r="AF71" s="83">
        <x:f>+BORDRO!K75</x:f>
      </x:c>
      <x:c r="AG71" s="83">
        <x:f>+BORDRO!L75</x:f>
      </x:c>
      <x:c r="AH71" s="88">
        <x:f>+BORDRO!M75</x:f>
      </x:c>
      <x:c r="AI71" s="83">
        <x:f>+BORDRO!O75</x:f>
      </x:c>
      <x:c r="AJ71" s="84">
        <x:f>+BORDRO!P75</x:f>
      </x:c>
    </x:row>
    <x:row r="72" spans="1:36" ht="15" customHeight="1" x14ac:dyDescent="0.25">
      <x:c r="A72" s="72" t="s">
        <x:v>106</x:v>
      </x:c>
      <x:c r="B72" s="264">
        <x:v>46</x:v>
      </x:c>
      <x:c r="C72" s="72" t="s">
        <x:v>107</x:v>
      </x:c>
      <x:c r="D72" s="72" t="s">
        <x:v>108</x:v>
      </x:c>
      <x:c r="E72" s="72" t="s">
        <x:v>108</x:v>
      </x:c>
      <x:c r="F72" s="73">
        <x:v>1494768</x:v>
      </x:c>
      <x:c r="G72" s="74" t="s">
        <x:v>109</x:v>
      </x:c>
      <x:c r="H72" s="72" t="s">
        <x:v>110</x:v>
      </x:c>
      <x:c r="I72" s="86"/>
      <x:c r="J72" s="75">
        <x:f>+Puantaj!C76</x:f>
      </x:c>
      <x:c r="K72" s="72">
        <x:f>+Puantaj!D76</x:f>
      </x:c>
      <x:c r="L72" s="72">
        <x:f>+Puantaj!E76</x:f>
      </x:c>
      <x:c r="M72" s="265">
        <x:f>+BORDRO!F76</x:f>
      </x:c>
      <x:c r="N72" s="72"/>
      <x:c r="O72" s="87">
        <x:f>+BORDRO!G76</x:f>
      </x:c>
      <x:c r="P72" s="87">
        <x:v>0</x:v>
      </x:c>
      <x:c r="Q72" s="266">
        <x:v>24</x:v>
      </x:c>
      <x:c r="R72" s="267" t="s">
        <x:v>111</x:v>
      </x:c>
      <x:c r="S72" s="78"/>
      <x:c r="T72" s="78"/>
      <x:c r="U72" s="79"/>
      <x:c r="V72" s="268">
        <x:f>31-M72-Q72</x:f>
      </x:c>
      <x:c r="W72" s="269">
        <x:v>6</x:v>
      </x:c>
      <x:c r="X72" s="270" t="s">
        <x:v>112</x:v>
      </x:c>
      <x:c r="Y72" s="73">
        <x:v>2</x:v>
      </x:c>
      <x:c r="Z72" s="72" t="s">
        <x:v>106</x:v>
      </x:c>
      <x:c r="AA72" s="82" t="s">
        <x:v>111</x:v>
      </x:c>
      <x:c r="AB72" s="72">
        <x:v>2025</x:v>
      </x:c>
      <x:c r="AC72" s="72" t="s">
        <x:v>113</x:v>
      </x:c>
      <x:c r="AD72" s="88">
        <x:f>+BORDRO!J76</x:f>
      </x:c>
      <x:c r="AE72" s="83"/>
      <x:c r="AF72" s="83">
        <x:f>+BORDRO!K76</x:f>
      </x:c>
      <x:c r="AG72" s="83">
        <x:f>+BORDRO!L76</x:f>
      </x:c>
      <x:c r="AH72" s="88">
        <x:f>+BORDRO!M76</x:f>
      </x:c>
      <x:c r="AI72" s="83">
        <x:f>+BORDRO!O76</x:f>
      </x:c>
      <x:c r="AJ72" s="84">
        <x:f>+BORDRO!P76</x:f>
      </x:c>
    </x:row>
    <x:row r="73" spans="1:36" ht="14.25" customHeight="1" x14ac:dyDescent="0.2">
      <x:c r="A73" s="72" t="s">
        <x:v>106</x:v>
      </x:c>
      <x:c r="B73" s="271">
        <x:v>46</x:v>
      </x:c>
      <x:c r="C73" s="72" t="s">
        <x:v>107</x:v>
      </x:c>
      <x:c r="D73" s="72" t="s">
        <x:v>108</x:v>
      </x:c>
      <x:c r="E73" s="72" t="s">
        <x:v>108</x:v>
      </x:c>
      <x:c r="F73" s="73">
        <x:v>1494768</x:v>
      </x:c>
      <x:c r="G73" s="74" t="s">
        <x:v>109</x:v>
      </x:c>
      <x:c r="H73" s="72" t="s">
        <x:v>110</x:v>
      </x:c>
      <x:c r="I73" s="86"/>
      <x:c r="J73" s="75">
        <x:f>+Puantaj!C77</x:f>
      </x:c>
      <x:c r="K73" s="72">
        <x:f>+Puantaj!D77</x:f>
      </x:c>
      <x:c r="L73" s="72">
        <x:f>+Puantaj!E77</x:f>
      </x:c>
      <x:c r="M73" s="265">
        <x:f>+BORDRO!F77</x:f>
      </x:c>
      <x:c r="N73" s="72"/>
      <x:c r="O73" s="87">
        <x:f>+BORDRO!G77</x:f>
      </x:c>
      <x:c r="P73" s="87">
        <x:v>0</x:v>
      </x:c>
      <x:c r="Q73" s="266">
        <x:v>24</x:v>
      </x:c>
      <x:c r="R73" s="267" t="s">
        <x:v>111</x:v>
      </x:c>
      <x:c r="S73" s="78"/>
      <x:c r="T73" s="78"/>
      <x:c r="U73" s="79"/>
      <x:c r="V73" s="268">
        <x:f>31-M73-Q73</x:f>
      </x:c>
      <x:c r="W73" s="269">
        <x:v>6</x:v>
      </x:c>
      <x:c r="X73" s="270" t="s">
        <x:v>112</x:v>
      </x:c>
      <x:c r="Y73" s="73">
        <x:v>2</x:v>
      </x:c>
      <x:c r="Z73" s="72" t="s">
        <x:v>106</x:v>
      </x:c>
      <x:c r="AA73" s="82" t="s">
        <x:v>111</x:v>
      </x:c>
      <x:c r="AB73" s="72">
        <x:v>2025</x:v>
      </x:c>
      <x:c r="AC73" s="72" t="s">
        <x:v>113</x:v>
      </x:c>
      <x:c r="AD73" s="88">
        <x:f>+BORDRO!J77</x:f>
      </x:c>
      <x:c r="AE73" s="83"/>
      <x:c r="AF73" s="83">
        <x:f>+BORDRO!K77</x:f>
      </x:c>
      <x:c r="AG73" s="83">
        <x:f>+BORDRO!L77</x:f>
      </x:c>
      <x:c r="AH73" s="88">
        <x:f>+BORDRO!M77</x:f>
      </x:c>
      <x:c r="AI73" s="83">
        <x:f>+BORDRO!O77</x:f>
      </x:c>
      <x:c r="AJ73" s="84">
        <x:f>+BORDRO!P77</x:f>
      </x:c>
    </x:row>
    <x:row r="74" spans="1:36" ht="15" customHeight="1" x14ac:dyDescent="0.25">
      <x:c r="A74" s="72" t="s">
        <x:v>106</x:v>
      </x:c>
      <x:c r="B74" s="264">
        <x:v>46</x:v>
      </x:c>
      <x:c r="C74" s="72" t="s">
        <x:v>107</x:v>
      </x:c>
      <x:c r="D74" s="72" t="s">
        <x:v>108</x:v>
      </x:c>
      <x:c r="E74" s="72" t="s">
        <x:v>108</x:v>
      </x:c>
      <x:c r="F74" s="73">
        <x:v>1494768</x:v>
      </x:c>
      <x:c r="G74" s="74" t="s">
        <x:v>109</x:v>
      </x:c>
      <x:c r="H74" s="72" t="s">
        <x:v>110</x:v>
      </x:c>
      <x:c r="I74" s="86"/>
      <x:c r="J74" s="75">
        <x:f>+Puantaj!C78</x:f>
      </x:c>
      <x:c r="K74" s="72">
        <x:f>+Puantaj!D78</x:f>
      </x:c>
      <x:c r="L74" s="72">
        <x:f>+Puantaj!E78</x:f>
      </x:c>
      <x:c r="M74" s="265">
        <x:f>+BORDRO!F78</x:f>
      </x:c>
      <x:c r="N74" s="72"/>
      <x:c r="O74" s="87">
        <x:f>+BORDRO!G78</x:f>
      </x:c>
      <x:c r="P74" s="87">
        <x:v>0</x:v>
      </x:c>
      <x:c r="Q74" s="266">
        <x:v>24</x:v>
      </x:c>
      <x:c r="R74" s="267" t="s">
        <x:v>111</x:v>
      </x:c>
      <x:c r="S74" s="78"/>
      <x:c r="T74" s="78"/>
      <x:c r="U74" s="79"/>
      <x:c r="V74" s="268">
        <x:f>31-M74-Q74</x:f>
      </x:c>
      <x:c r="W74" s="269">
        <x:v>6</x:v>
      </x:c>
      <x:c r="X74" s="270" t="s">
        <x:v>112</x:v>
      </x:c>
      <x:c r="Y74" s="73">
        <x:v>2</x:v>
      </x:c>
      <x:c r="Z74" s="72" t="s">
        <x:v>106</x:v>
      </x:c>
      <x:c r="AA74" s="82" t="s">
        <x:v>111</x:v>
      </x:c>
      <x:c r="AB74" s="72">
        <x:v>2025</x:v>
      </x:c>
      <x:c r="AC74" s="72" t="s">
        <x:v>113</x:v>
      </x:c>
      <x:c r="AD74" s="88">
        <x:f>+BORDRO!J78</x:f>
      </x:c>
      <x:c r="AE74" s="83"/>
      <x:c r="AF74" s="83">
        <x:f>+BORDRO!K78</x:f>
      </x:c>
      <x:c r="AG74" s="83">
        <x:f>+BORDRO!L78</x:f>
      </x:c>
      <x:c r="AH74" s="88">
        <x:f>+BORDRO!M78</x:f>
      </x:c>
      <x:c r="AI74" s="83">
        <x:f>+BORDRO!O78</x:f>
      </x:c>
      <x:c r="AJ74" s="84">
        <x:f>+BORDRO!P78</x:f>
      </x:c>
    </x:row>
    <x:row r="75" spans="1:36" ht="14.25" customHeight="1" x14ac:dyDescent="0.2">
      <x:c r="A75" s="72" t="s">
        <x:v>106</x:v>
      </x:c>
      <x:c r="B75" s="271">
        <x:v>46</x:v>
      </x:c>
      <x:c r="C75" s="72" t="s">
        <x:v>107</x:v>
      </x:c>
      <x:c r="D75" s="72" t="s">
        <x:v>108</x:v>
      </x:c>
      <x:c r="E75" s="72" t="s">
        <x:v>108</x:v>
      </x:c>
      <x:c r="F75" s="73">
        <x:v>1494768</x:v>
      </x:c>
      <x:c r="G75" s="74" t="s">
        <x:v>109</x:v>
      </x:c>
      <x:c r="H75" s="72" t="s">
        <x:v>110</x:v>
      </x:c>
      <x:c r="I75" s="86"/>
      <x:c r="J75" s="75">
        <x:f>+Puantaj!C79</x:f>
      </x:c>
      <x:c r="K75" s="72">
        <x:f>+Puantaj!D79</x:f>
      </x:c>
      <x:c r="L75" s="72">
        <x:f>+Puantaj!E79</x:f>
      </x:c>
      <x:c r="M75" s="265">
        <x:f>+BORDRO!F79</x:f>
      </x:c>
      <x:c r="N75" s="72"/>
      <x:c r="O75" s="87">
        <x:f>+BORDRO!G79</x:f>
      </x:c>
      <x:c r="P75" s="87">
        <x:v>0</x:v>
      </x:c>
      <x:c r="Q75" s="266">
        <x:v>24</x:v>
      </x:c>
      <x:c r="R75" s="267" t="s">
        <x:v>111</x:v>
      </x:c>
      <x:c r="S75" s="78"/>
      <x:c r="T75" s="78"/>
      <x:c r="U75" s="79"/>
      <x:c r="V75" s="268">
        <x:f>31-M75-Q75</x:f>
      </x:c>
      <x:c r="W75" s="269">
        <x:v>6</x:v>
      </x:c>
      <x:c r="X75" s="270" t="s">
        <x:v>112</x:v>
      </x:c>
      <x:c r="Y75" s="73">
        <x:v>2</x:v>
      </x:c>
      <x:c r="Z75" s="72" t="s">
        <x:v>106</x:v>
      </x:c>
      <x:c r="AA75" s="82" t="s">
        <x:v>111</x:v>
      </x:c>
      <x:c r="AB75" s="72">
        <x:v>2025</x:v>
      </x:c>
      <x:c r="AC75" s="72" t="s">
        <x:v>113</x:v>
      </x:c>
      <x:c r="AD75" s="88">
        <x:f>+BORDRO!J79</x:f>
      </x:c>
      <x:c r="AE75" s="83"/>
      <x:c r="AF75" s="83">
        <x:f>+BORDRO!K79</x:f>
      </x:c>
      <x:c r="AG75" s="83">
        <x:f>+BORDRO!L79</x:f>
      </x:c>
      <x:c r="AH75" s="88">
        <x:f>+BORDRO!M79</x:f>
      </x:c>
      <x:c r="AI75" s="83">
        <x:f>+BORDRO!O79</x:f>
      </x:c>
      <x:c r="AJ75" s="84">
        <x:f>+BORDRO!P79</x:f>
      </x:c>
    </x:row>
    <x:row r="76" spans="1:36" ht="15" customHeight="1" x14ac:dyDescent="0.25">
      <x:c r="A76" s="72" t="s">
        <x:v>106</x:v>
      </x:c>
      <x:c r="B76" s="264">
        <x:v>46</x:v>
      </x:c>
      <x:c r="C76" s="72" t="s">
        <x:v>107</x:v>
      </x:c>
      <x:c r="D76" s="72" t="s">
        <x:v>108</x:v>
      </x:c>
      <x:c r="E76" s="72" t="s">
        <x:v>108</x:v>
      </x:c>
      <x:c r="F76" s="73">
        <x:v>1494768</x:v>
      </x:c>
      <x:c r="G76" s="74" t="s">
        <x:v>109</x:v>
      </x:c>
      <x:c r="H76" s="72" t="s">
        <x:v>110</x:v>
      </x:c>
      <x:c r="I76" s="86"/>
      <x:c r="J76" s="75">
        <x:f>+Puantaj!C80</x:f>
      </x:c>
      <x:c r="K76" s="72">
        <x:f>+Puantaj!D80</x:f>
      </x:c>
      <x:c r="L76" s="72">
        <x:f>+Puantaj!E80</x:f>
      </x:c>
      <x:c r="M76" s="265">
        <x:f>+BORDRO!F80</x:f>
      </x:c>
      <x:c r="N76" s="72"/>
      <x:c r="O76" s="87">
        <x:f>+BORDRO!G80</x:f>
      </x:c>
      <x:c r="P76" s="87">
        <x:v>0</x:v>
      </x:c>
      <x:c r="Q76" s="266">
        <x:v>24</x:v>
      </x:c>
      <x:c r="R76" s="267" t="s">
        <x:v>111</x:v>
      </x:c>
      <x:c r="S76" s="78"/>
      <x:c r="T76" s="78"/>
      <x:c r="U76" s="79"/>
      <x:c r="V76" s="268">
        <x:f>31-M76-Q76</x:f>
      </x:c>
      <x:c r="W76" s="269">
        <x:v>6</x:v>
      </x:c>
      <x:c r="X76" s="270" t="s">
        <x:v>112</x:v>
      </x:c>
      <x:c r="Y76" s="73">
        <x:v>2</x:v>
      </x:c>
      <x:c r="Z76" s="72" t="s">
        <x:v>106</x:v>
      </x:c>
      <x:c r="AA76" s="82" t="s">
        <x:v>111</x:v>
      </x:c>
      <x:c r="AB76" s="72">
        <x:v>2025</x:v>
      </x:c>
      <x:c r="AC76" s="72" t="s">
        <x:v>113</x:v>
      </x:c>
      <x:c r="AD76" s="88">
        <x:f>+BORDRO!J80</x:f>
      </x:c>
      <x:c r="AE76" s="83"/>
      <x:c r="AF76" s="83">
        <x:f>+BORDRO!K80</x:f>
      </x:c>
      <x:c r="AG76" s="83">
        <x:f>+BORDRO!L80</x:f>
      </x:c>
      <x:c r="AH76" s="88">
        <x:f>+BORDRO!M80</x:f>
      </x:c>
      <x:c r="AI76" s="83">
        <x:f>+BORDRO!O80</x:f>
      </x:c>
      <x:c r="AJ76" s="84">
        <x:f>+BORDRO!P80</x:f>
      </x:c>
    </x:row>
    <x:row r="77" spans="1:36" ht="14.25" customHeight="1" x14ac:dyDescent="0.2">
      <x:c r="A77" s="72" t="s">
        <x:v>106</x:v>
      </x:c>
      <x:c r="B77" s="271">
        <x:v>46</x:v>
      </x:c>
      <x:c r="C77" s="72" t="s">
        <x:v>107</x:v>
      </x:c>
      <x:c r="D77" s="72" t="s">
        <x:v>108</x:v>
      </x:c>
      <x:c r="E77" s="72" t="s">
        <x:v>108</x:v>
      </x:c>
      <x:c r="F77" s="73">
        <x:v>1494768</x:v>
      </x:c>
      <x:c r="G77" s="74" t="s">
        <x:v>109</x:v>
      </x:c>
      <x:c r="H77" s="72" t="s">
        <x:v>110</x:v>
      </x:c>
      <x:c r="I77" s="86"/>
      <x:c r="J77" s="75">
        <x:f>+Puantaj!C81</x:f>
      </x:c>
      <x:c r="K77" s="72">
        <x:f>+Puantaj!D81</x:f>
      </x:c>
      <x:c r="L77" s="72">
        <x:f>+Puantaj!E81</x:f>
      </x:c>
      <x:c r="M77" s="265">
        <x:f>+BORDRO!F81</x:f>
      </x:c>
      <x:c r="N77" s="72"/>
      <x:c r="O77" s="87">
        <x:f>+BORDRO!G81</x:f>
      </x:c>
      <x:c r="P77" s="87">
        <x:v>0</x:v>
      </x:c>
      <x:c r="Q77" s="266">
        <x:v>24</x:v>
      </x:c>
      <x:c r="R77" s="267" t="s">
        <x:v>111</x:v>
      </x:c>
      <x:c r="S77" s="78"/>
      <x:c r="T77" s="78"/>
      <x:c r="U77" s="79"/>
      <x:c r="V77" s="268">
        <x:f>31-M77-Q77</x:f>
      </x:c>
      <x:c r="W77" s="269">
        <x:v>6</x:v>
      </x:c>
      <x:c r="X77" s="270" t="s">
        <x:v>112</x:v>
      </x:c>
      <x:c r="Y77" s="73">
        <x:v>2</x:v>
      </x:c>
      <x:c r="Z77" s="72" t="s">
        <x:v>106</x:v>
      </x:c>
      <x:c r="AA77" s="82" t="s">
        <x:v>111</x:v>
      </x:c>
      <x:c r="AB77" s="72">
        <x:v>2025</x:v>
      </x:c>
      <x:c r="AC77" s="72" t="s">
        <x:v>113</x:v>
      </x:c>
      <x:c r="AD77" s="88">
        <x:f>+BORDRO!J81</x:f>
      </x:c>
      <x:c r="AE77" s="83"/>
      <x:c r="AF77" s="83">
        <x:f>+BORDRO!K81</x:f>
      </x:c>
      <x:c r="AG77" s="83">
        <x:f>+BORDRO!L81</x:f>
      </x:c>
      <x:c r="AH77" s="88">
        <x:f>+BORDRO!M81</x:f>
      </x:c>
      <x:c r="AI77" s="83">
        <x:f>+BORDRO!O81</x:f>
      </x:c>
      <x:c r="AJ77" s="84">
        <x:f>+BORDRO!P81</x:f>
      </x:c>
    </x:row>
    <x:row r="78" spans="1:36" ht="15" customHeight="1" x14ac:dyDescent="0.25">
      <x:c r="A78" s="72" t="s">
        <x:v>106</x:v>
      </x:c>
      <x:c r="B78" s="264">
        <x:v>46</x:v>
      </x:c>
      <x:c r="C78" s="72" t="s">
        <x:v>107</x:v>
      </x:c>
      <x:c r="D78" s="72" t="s">
        <x:v>108</x:v>
      </x:c>
      <x:c r="E78" s="72" t="s">
        <x:v>108</x:v>
      </x:c>
      <x:c r="F78" s="73">
        <x:v>1494768</x:v>
      </x:c>
      <x:c r="G78" s="74" t="s">
        <x:v>109</x:v>
      </x:c>
      <x:c r="H78" s="72" t="s">
        <x:v>110</x:v>
      </x:c>
      <x:c r="I78" s="86"/>
      <x:c r="J78" s="75">
        <x:f>+Puantaj!C82</x:f>
      </x:c>
      <x:c r="K78" s="72">
        <x:f>+Puantaj!D82</x:f>
      </x:c>
      <x:c r="L78" s="72">
        <x:f>+Puantaj!E82</x:f>
      </x:c>
      <x:c r="M78" s="265">
        <x:f>+BORDRO!F82</x:f>
      </x:c>
      <x:c r="N78" s="72"/>
      <x:c r="O78" s="87">
        <x:f>+BORDRO!G82</x:f>
      </x:c>
      <x:c r="P78" s="87">
        <x:v>0</x:v>
      </x:c>
      <x:c r="Q78" s="266">
        <x:v>24</x:v>
      </x:c>
      <x:c r="R78" s="267" t="s">
        <x:v>111</x:v>
      </x:c>
      <x:c r="S78" s="78"/>
      <x:c r="T78" s="78"/>
      <x:c r="U78" s="79"/>
      <x:c r="V78" s="268">
        <x:f>31-M78-Q78</x:f>
      </x:c>
      <x:c r="W78" s="269">
        <x:v>6</x:v>
      </x:c>
      <x:c r="X78" s="270" t="s">
        <x:v>112</x:v>
      </x:c>
      <x:c r="Y78" s="73">
        <x:v>2</x:v>
      </x:c>
      <x:c r="Z78" s="72" t="s">
        <x:v>106</x:v>
      </x:c>
      <x:c r="AA78" s="82" t="s">
        <x:v>111</x:v>
      </x:c>
      <x:c r="AB78" s="72">
        <x:v>2025</x:v>
      </x:c>
      <x:c r="AC78" s="72" t="s">
        <x:v>113</x:v>
      </x:c>
      <x:c r="AD78" s="88">
        <x:f>+BORDRO!J82</x:f>
      </x:c>
      <x:c r="AE78" s="83"/>
      <x:c r="AF78" s="83">
        <x:f>+BORDRO!K82</x:f>
      </x:c>
      <x:c r="AG78" s="83">
        <x:f>+BORDRO!L82</x:f>
      </x:c>
      <x:c r="AH78" s="88">
        <x:f>+BORDRO!M82</x:f>
      </x:c>
      <x:c r="AI78" s="83">
        <x:f>+BORDRO!O82</x:f>
      </x:c>
      <x:c r="AJ78" s="84">
        <x:f>+BORDRO!P82</x:f>
      </x:c>
    </x:row>
    <x:row r="79" spans="1:36" ht="14.25" customHeight="1" x14ac:dyDescent="0.2">
      <x:c r="A79" s="72" t="s">
        <x:v>106</x:v>
      </x:c>
      <x:c r="B79" s="271">
        <x:v>46</x:v>
      </x:c>
      <x:c r="C79" s="72" t="s">
        <x:v>107</x:v>
      </x:c>
      <x:c r="D79" s="72" t="s">
        <x:v>108</x:v>
      </x:c>
      <x:c r="E79" s="72" t="s">
        <x:v>108</x:v>
      </x:c>
      <x:c r="F79" s="73">
        <x:v>1494768</x:v>
      </x:c>
      <x:c r="G79" s="74" t="s">
        <x:v>109</x:v>
      </x:c>
      <x:c r="H79" s="72" t="s">
        <x:v>110</x:v>
      </x:c>
      <x:c r="I79" s="86"/>
      <x:c r="J79" s="75">
        <x:f>+Puantaj!C83</x:f>
      </x:c>
      <x:c r="K79" s="72">
        <x:f>+Puantaj!D83</x:f>
      </x:c>
      <x:c r="L79" s="72">
        <x:f>+Puantaj!E83</x:f>
      </x:c>
      <x:c r="M79" s="265">
        <x:f>+BORDRO!F83</x:f>
      </x:c>
      <x:c r="N79" s="72"/>
      <x:c r="O79" s="87">
        <x:f>+BORDRO!G83</x:f>
      </x:c>
      <x:c r="P79" s="87">
        <x:v>0</x:v>
      </x:c>
      <x:c r="Q79" s="266">
        <x:v>24</x:v>
      </x:c>
      <x:c r="R79" s="267" t="s">
        <x:v>111</x:v>
      </x:c>
      <x:c r="S79" s="78"/>
      <x:c r="T79" s="78"/>
      <x:c r="U79" s="79"/>
      <x:c r="V79" s="268">
        <x:f>31-M79-Q79</x:f>
      </x:c>
      <x:c r="W79" s="269">
        <x:v>6</x:v>
      </x:c>
      <x:c r="X79" s="270" t="s">
        <x:v>112</x:v>
      </x:c>
      <x:c r="Y79" s="73">
        <x:v>2</x:v>
      </x:c>
      <x:c r="Z79" s="72" t="s">
        <x:v>106</x:v>
      </x:c>
      <x:c r="AA79" s="82" t="s">
        <x:v>111</x:v>
      </x:c>
      <x:c r="AB79" s="72">
        <x:v>2025</x:v>
      </x:c>
      <x:c r="AC79" s="72" t="s">
        <x:v>113</x:v>
      </x:c>
      <x:c r="AD79" s="88">
        <x:f>+BORDRO!J83</x:f>
      </x:c>
      <x:c r="AE79" s="83"/>
      <x:c r="AF79" s="83">
        <x:f>+BORDRO!K83</x:f>
      </x:c>
      <x:c r="AG79" s="83">
        <x:f>+BORDRO!L83</x:f>
      </x:c>
      <x:c r="AH79" s="88">
        <x:f>+BORDRO!M83</x:f>
      </x:c>
      <x:c r="AI79" s="83">
        <x:f>+BORDRO!O83</x:f>
      </x:c>
      <x:c r="AJ79" s="84">
        <x:f>+BORDRO!P83</x:f>
      </x:c>
    </x:row>
    <x:row r="80" spans="1:36" ht="15" customHeight="1" x14ac:dyDescent="0.25">
      <x:c r="A80" s="72" t="s">
        <x:v>106</x:v>
      </x:c>
      <x:c r="B80" s="264">
        <x:v>46</x:v>
      </x:c>
      <x:c r="C80" s="72" t="s">
        <x:v>107</x:v>
      </x:c>
      <x:c r="D80" s="72" t="s">
        <x:v>108</x:v>
      </x:c>
      <x:c r="E80" s="72" t="s">
        <x:v>108</x:v>
      </x:c>
      <x:c r="F80" s="73">
        <x:v>1494768</x:v>
      </x:c>
      <x:c r="G80" s="74" t="s">
        <x:v>109</x:v>
      </x:c>
      <x:c r="H80" s="72" t="s">
        <x:v>110</x:v>
      </x:c>
      <x:c r="I80" s="86"/>
      <x:c r="J80" s="75">
        <x:f>+Puantaj!C84</x:f>
      </x:c>
      <x:c r="K80" s="72">
        <x:f>+Puantaj!D84</x:f>
      </x:c>
      <x:c r="L80" s="72">
        <x:f>+Puantaj!E84</x:f>
      </x:c>
      <x:c r="M80" s="265">
        <x:f>+BORDRO!F84</x:f>
      </x:c>
      <x:c r="N80" s="72"/>
      <x:c r="O80" s="87">
        <x:f>+BORDRO!G84</x:f>
      </x:c>
      <x:c r="P80" s="87">
        <x:v>0</x:v>
      </x:c>
      <x:c r="Q80" s="266">
        <x:v>24</x:v>
      </x:c>
      <x:c r="R80" s="267" t="s">
        <x:v>111</x:v>
      </x:c>
      <x:c r="S80" s="78"/>
      <x:c r="T80" s="78"/>
      <x:c r="U80" s="79"/>
      <x:c r="V80" s="268">
        <x:f>31-M80-Q80</x:f>
      </x:c>
      <x:c r="W80" s="269">
        <x:v>6</x:v>
      </x:c>
      <x:c r="X80" s="270" t="s">
        <x:v>112</x:v>
      </x:c>
      <x:c r="Y80" s="73">
        <x:v>2</x:v>
      </x:c>
      <x:c r="Z80" s="72" t="s">
        <x:v>106</x:v>
      </x:c>
      <x:c r="AA80" s="82" t="s">
        <x:v>111</x:v>
      </x:c>
      <x:c r="AB80" s="72">
        <x:v>2025</x:v>
      </x:c>
      <x:c r="AC80" s="72" t="s">
        <x:v>113</x:v>
      </x:c>
      <x:c r="AD80" s="88">
        <x:f>+BORDRO!J84</x:f>
      </x:c>
      <x:c r="AE80" s="83"/>
      <x:c r="AF80" s="83">
        <x:f>+BORDRO!K84</x:f>
      </x:c>
      <x:c r="AG80" s="83">
        <x:f>+BORDRO!L84</x:f>
      </x:c>
      <x:c r="AH80" s="88">
        <x:f>+BORDRO!M84</x:f>
      </x:c>
      <x:c r="AI80" s="83">
        <x:f>+BORDRO!O84</x:f>
      </x:c>
      <x:c r="AJ80" s="84">
        <x:f>+BORDRO!P84</x:f>
      </x:c>
    </x:row>
    <x:row r="81" spans="1:36" ht="14.25" customHeight="1" x14ac:dyDescent="0.2">
      <x:c r="A81" s="72" t="s">
        <x:v>106</x:v>
      </x:c>
      <x:c r="B81" s="271">
        <x:v>46</x:v>
      </x:c>
      <x:c r="C81" s="72" t="s">
        <x:v>107</x:v>
      </x:c>
      <x:c r="D81" s="72" t="s">
        <x:v>108</x:v>
      </x:c>
      <x:c r="E81" s="72" t="s">
        <x:v>108</x:v>
      </x:c>
      <x:c r="F81" s="73">
        <x:v>1494768</x:v>
      </x:c>
      <x:c r="G81" s="74" t="s">
        <x:v>109</x:v>
      </x:c>
      <x:c r="H81" s="72" t="s">
        <x:v>110</x:v>
      </x:c>
      <x:c r="I81" s="86"/>
      <x:c r="J81" s="75">
        <x:f>+Puantaj!C85</x:f>
      </x:c>
      <x:c r="K81" s="72">
        <x:f>+Puantaj!D85</x:f>
      </x:c>
      <x:c r="L81" s="72">
        <x:f>+Puantaj!E85</x:f>
      </x:c>
      <x:c r="M81" s="265">
        <x:f>+BORDRO!F85</x:f>
      </x:c>
      <x:c r="N81" s="72"/>
      <x:c r="O81" s="87">
        <x:f>+BORDRO!G85</x:f>
      </x:c>
      <x:c r="P81" s="87">
        <x:v>0</x:v>
      </x:c>
      <x:c r="Q81" s="266">
        <x:v>24</x:v>
      </x:c>
      <x:c r="R81" s="267" t="s">
        <x:v>111</x:v>
      </x:c>
      <x:c r="S81" s="78"/>
      <x:c r="T81" s="78"/>
      <x:c r="U81" s="79"/>
      <x:c r="V81" s="268">
        <x:f>31-M81-Q81</x:f>
      </x:c>
      <x:c r="W81" s="269">
        <x:v>6</x:v>
      </x:c>
      <x:c r="X81" s="270" t="s">
        <x:v>112</x:v>
      </x:c>
      <x:c r="Y81" s="73">
        <x:v>2</x:v>
      </x:c>
      <x:c r="Z81" s="72" t="s">
        <x:v>106</x:v>
      </x:c>
      <x:c r="AA81" s="82" t="s">
        <x:v>111</x:v>
      </x:c>
      <x:c r="AB81" s="72">
        <x:v>2025</x:v>
      </x:c>
      <x:c r="AC81" s="72" t="s">
        <x:v>113</x:v>
      </x:c>
      <x:c r="AD81" s="88">
        <x:f>+BORDRO!J85</x:f>
      </x:c>
      <x:c r="AE81" s="83"/>
      <x:c r="AF81" s="83">
        <x:f>+BORDRO!K85</x:f>
      </x:c>
      <x:c r="AG81" s="83">
        <x:f>+BORDRO!L85</x:f>
      </x:c>
      <x:c r="AH81" s="88">
        <x:f>+BORDRO!M85</x:f>
      </x:c>
      <x:c r="AI81" s="83">
        <x:f>+BORDRO!O85</x:f>
      </x:c>
      <x:c r="AJ81" s="84">
        <x:f>+BORDRO!P85</x:f>
      </x:c>
    </x:row>
    <x:row r="82" spans="1:36" ht="15" customHeight="1" x14ac:dyDescent="0.25">
      <x:c r="A82" s="72" t="s">
        <x:v>106</x:v>
      </x:c>
      <x:c r="B82" s="264">
        <x:v>46</x:v>
      </x:c>
      <x:c r="C82" s="72" t="s">
        <x:v>107</x:v>
      </x:c>
      <x:c r="D82" s="72" t="s">
        <x:v>108</x:v>
      </x:c>
      <x:c r="E82" s="72" t="s">
        <x:v>108</x:v>
      </x:c>
      <x:c r="F82" s="73">
        <x:v>1494768</x:v>
      </x:c>
      <x:c r="G82" s="74" t="s">
        <x:v>109</x:v>
      </x:c>
      <x:c r="H82" s="72" t="s">
        <x:v>110</x:v>
      </x:c>
      <x:c r="I82" s="86"/>
      <x:c r="J82" s="75">
        <x:f>+Puantaj!C86</x:f>
      </x:c>
      <x:c r="K82" s="72">
        <x:f>+Puantaj!D86</x:f>
      </x:c>
      <x:c r="L82" s="72">
        <x:f>+Puantaj!E86</x:f>
      </x:c>
      <x:c r="M82" s="265">
        <x:f>+BORDRO!F86</x:f>
      </x:c>
      <x:c r="N82" s="72"/>
      <x:c r="O82" s="87">
        <x:f>+BORDRO!G86</x:f>
      </x:c>
      <x:c r="P82" s="87">
        <x:v>0</x:v>
      </x:c>
      <x:c r="Q82" s="266">
        <x:v>24</x:v>
      </x:c>
      <x:c r="R82" s="267" t="s">
        <x:v>111</x:v>
      </x:c>
      <x:c r="S82" s="78"/>
      <x:c r="T82" s="78"/>
      <x:c r="U82" s="79"/>
      <x:c r="V82" s="268">
        <x:f>31-M82-Q82</x:f>
      </x:c>
      <x:c r="W82" s="269">
        <x:v>6</x:v>
      </x:c>
      <x:c r="X82" s="270" t="s">
        <x:v>112</x:v>
      </x:c>
      <x:c r="Y82" s="73">
        <x:v>2</x:v>
      </x:c>
      <x:c r="Z82" s="72" t="s">
        <x:v>106</x:v>
      </x:c>
      <x:c r="AA82" s="82" t="s">
        <x:v>111</x:v>
      </x:c>
      <x:c r="AB82" s="72">
        <x:v>2025</x:v>
      </x:c>
      <x:c r="AC82" s="72" t="s">
        <x:v>113</x:v>
      </x:c>
      <x:c r="AD82" s="88">
        <x:f>+BORDRO!J86</x:f>
      </x:c>
      <x:c r="AE82" s="83"/>
      <x:c r="AF82" s="83">
        <x:f>+BORDRO!K86</x:f>
      </x:c>
      <x:c r="AG82" s="83">
        <x:f>+BORDRO!L86</x:f>
      </x:c>
      <x:c r="AH82" s="88">
        <x:f>+BORDRO!M86</x:f>
      </x:c>
      <x:c r="AI82" s="83">
        <x:f>+BORDRO!O86</x:f>
      </x:c>
      <x:c r="AJ82" s="84">
        <x:f>+BORDRO!P86</x:f>
      </x:c>
    </x:row>
    <x:row r="83" spans="1:36" ht="14.25" customHeight="1" x14ac:dyDescent="0.2">
      <x:c r="A83" s="72" t="s">
        <x:v>106</x:v>
      </x:c>
      <x:c r="B83" s="271">
        <x:v>46</x:v>
      </x:c>
      <x:c r="C83" s="72" t="s">
        <x:v>107</x:v>
      </x:c>
      <x:c r="D83" s="72" t="s">
        <x:v>108</x:v>
      </x:c>
      <x:c r="E83" s="72" t="s">
        <x:v>108</x:v>
      </x:c>
      <x:c r="F83" s="73">
        <x:v>1494768</x:v>
      </x:c>
      <x:c r="G83" s="74" t="s">
        <x:v>109</x:v>
      </x:c>
      <x:c r="H83" s="72" t="s">
        <x:v>110</x:v>
      </x:c>
      <x:c r="I83" s="86"/>
      <x:c r="J83" s="75">
        <x:f>+Puantaj!C87</x:f>
      </x:c>
      <x:c r="K83" s="72">
        <x:f>+Puantaj!D87</x:f>
      </x:c>
      <x:c r="L83" s="72">
        <x:f>+Puantaj!E87</x:f>
      </x:c>
      <x:c r="M83" s="265">
        <x:f>+BORDRO!F87</x:f>
      </x:c>
      <x:c r="N83" s="72"/>
      <x:c r="O83" s="87">
        <x:f>+BORDRO!G87</x:f>
      </x:c>
      <x:c r="P83" s="87">
        <x:v>0</x:v>
      </x:c>
      <x:c r="Q83" s="266">
        <x:v>24</x:v>
      </x:c>
      <x:c r="R83" s="267" t="s">
        <x:v>111</x:v>
      </x:c>
      <x:c r="S83" s="78"/>
      <x:c r="T83" s="78"/>
      <x:c r="U83" s="79"/>
      <x:c r="V83" s="268">
        <x:f>31-M83-Q83</x:f>
      </x:c>
      <x:c r="W83" s="269">
        <x:v>6</x:v>
      </x:c>
      <x:c r="X83" s="270" t="s">
        <x:v>112</x:v>
      </x:c>
      <x:c r="Y83" s="73">
        <x:v>2</x:v>
      </x:c>
      <x:c r="Z83" s="72" t="s">
        <x:v>106</x:v>
      </x:c>
      <x:c r="AA83" s="82" t="s">
        <x:v>111</x:v>
      </x:c>
      <x:c r="AB83" s="72">
        <x:v>2025</x:v>
      </x:c>
      <x:c r="AC83" s="72" t="s">
        <x:v>113</x:v>
      </x:c>
      <x:c r="AD83" s="88">
        <x:f>+BORDRO!J87</x:f>
      </x:c>
      <x:c r="AE83" s="83"/>
      <x:c r="AF83" s="83">
        <x:f>+BORDRO!K87</x:f>
      </x:c>
      <x:c r="AG83" s="83">
        <x:f>+BORDRO!L87</x:f>
      </x:c>
      <x:c r="AH83" s="88">
        <x:f>+BORDRO!M87</x:f>
      </x:c>
      <x:c r="AI83" s="83">
        <x:f>+BORDRO!O87</x:f>
      </x:c>
      <x:c r="AJ83" s="84">
        <x:f>+BORDRO!P87</x:f>
      </x:c>
    </x:row>
    <x:row r="84" spans="1:36" ht="15" customHeight="1" x14ac:dyDescent="0.25">
      <x:c r="A84" s="72" t="s">
        <x:v>106</x:v>
      </x:c>
      <x:c r="B84" s="264">
        <x:v>46</x:v>
      </x:c>
      <x:c r="C84" s="72" t="s">
        <x:v>107</x:v>
      </x:c>
      <x:c r="D84" s="72" t="s">
        <x:v>108</x:v>
      </x:c>
      <x:c r="E84" s="72" t="s">
        <x:v>108</x:v>
      </x:c>
      <x:c r="F84" s="73">
        <x:v>1494768</x:v>
      </x:c>
      <x:c r="G84" s="74" t="s">
        <x:v>109</x:v>
      </x:c>
      <x:c r="H84" s="72" t="s">
        <x:v>110</x:v>
      </x:c>
      <x:c r="I84" s="86"/>
      <x:c r="J84" s="75">
        <x:f>+Puantaj!C88</x:f>
      </x:c>
      <x:c r="K84" s="72">
        <x:f>+Puantaj!D88</x:f>
      </x:c>
      <x:c r="L84" s="72">
        <x:f>+Puantaj!E88</x:f>
      </x:c>
      <x:c r="M84" s="265">
        <x:f>+BORDRO!F88</x:f>
      </x:c>
      <x:c r="N84" s="72"/>
      <x:c r="O84" s="87">
        <x:f>+BORDRO!G88</x:f>
      </x:c>
      <x:c r="P84" s="87">
        <x:v>0</x:v>
      </x:c>
      <x:c r="Q84" s="266">
        <x:v>24</x:v>
      </x:c>
      <x:c r="R84" s="267" t="s">
        <x:v>111</x:v>
      </x:c>
      <x:c r="S84" s="78"/>
      <x:c r="T84" s="78"/>
      <x:c r="U84" s="79"/>
      <x:c r="V84" s="268">
        <x:f>31-M84-Q84</x:f>
      </x:c>
      <x:c r="W84" s="269">
        <x:v>6</x:v>
      </x:c>
      <x:c r="X84" s="270" t="s">
        <x:v>112</x:v>
      </x:c>
      <x:c r="Y84" s="73">
        <x:v>2</x:v>
      </x:c>
      <x:c r="Z84" s="72" t="s">
        <x:v>106</x:v>
      </x:c>
      <x:c r="AA84" s="82" t="s">
        <x:v>111</x:v>
      </x:c>
      <x:c r="AB84" s="72">
        <x:v>2025</x:v>
      </x:c>
      <x:c r="AC84" s="72" t="s">
        <x:v>113</x:v>
      </x:c>
      <x:c r="AD84" s="88">
        <x:f>+BORDRO!J88</x:f>
      </x:c>
      <x:c r="AE84" s="83"/>
      <x:c r="AF84" s="83">
        <x:f>+BORDRO!K88</x:f>
      </x:c>
      <x:c r="AG84" s="83">
        <x:f>+BORDRO!L88</x:f>
      </x:c>
      <x:c r="AH84" s="88">
        <x:f>+BORDRO!M88</x:f>
      </x:c>
      <x:c r="AI84" s="83">
        <x:f>+BORDRO!O88</x:f>
      </x:c>
      <x:c r="AJ84" s="84">
        <x:f>+BORDRO!P88</x:f>
      </x:c>
    </x:row>
    <x:row r="85" spans="1:36" ht="14.25" customHeight="1" x14ac:dyDescent="0.2">
      <x:c r="A85" s="72" t="s">
        <x:v>106</x:v>
      </x:c>
      <x:c r="B85" s="271">
        <x:v>46</x:v>
      </x:c>
      <x:c r="C85" s="72" t="s">
        <x:v>107</x:v>
      </x:c>
      <x:c r="D85" s="72" t="s">
        <x:v>108</x:v>
      </x:c>
      <x:c r="E85" s="72" t="s">
        <x:v>108</x:v>
      </x:c>
      <x:c r="F85" s="73">
        <x:v>1494768</x:v>
      </x:c>
      <x:c r="G85" s="74" t="s">
        <x:v>109</x:v>
      </x:c>
      <x:c r="H85" s="72" t="s">
        <x:v>110</x:v>
      </x:c>
      <x:c r="I85" s="86"/>
      <x:c r="J85" s="75">
        <x:f>+Puantaj!C89</x:f>
      </x:c>
      <x:c r="K85" s="72">
        <x:f>+Puantaj!D89</x:f>
      </x:c>
      <x:c r="L85" s="72">
        <x:f>+Puantaj!E89</x:f>
      </x:c>
      <x:c r="M85" s="265">
        <x:f>+BORDRO!F89</x:f>
      </x:c>
      <x:c r="N85" s="72"/>
      <x:c r="O85" s="87">
        <x:f>+BORDRO!G89</x:f>
      </x:c>
      <x:c r="P85" s="87">
        <x:v>0</x:v>
      </x:c>
      <x:c r="Q85" s="266">
        <x:v>24</x:v>
      </x:c>
      <x:c r="R85" s="267" t="s">
        <x:v>111</x:v>
      </x:c>
      <x:c r="S85" s="78"/>
      <x:c r="T85" s="78"/>
      <x:c r="U85" s="79"/>
      <x:c r="V85" s="268">
        <x:f>31-M85-Q85</x:f>
      </x:c>
      <x:c r="W85" s="269">
        <x:v>6</x:v>
      </x:c>
      <x:c r="X85" s="270" t="s">
        <x:v>112</x:v>
      </x:c>
      <x:c r="Y85" s="73">
        <x:v>2</x:v>
      </x:c>
      <x:c r="Z85" s="72" t="s">
        <x:v>106</x:v>
      </x:c>
      <x:c r="AA85" s="82" t="s">
        <x:v>111</x:v>
      </x:c>
      <x:c r="AB85" s="72">
        <x:v>2025</x:v>
      </x:c>
      <x:c r="AC85" s="72" t="s">
        <x:v>113</x:v>
      </x:c>
      <x:c r="AD85" s="88">
        <x:f>+BORDRO!J89</x:f>
      </x:c>
      <x:c r="AE85" s="83"/>
      <x:c r="AF85" s="83">
        <x:f>+BORDRO!K89</x:f>
      </x:c>
      <x:c r="AG85" s="83">
        <x:f>+BORDRO!L89</x:f>
      </x:c>
      <x:c r="AH85" s="88">
        <x:f>+BORDRO!M89</x:f>
      </x:c>
      <x:c r="AI85" s="83">
        <x:f>+BORDRO!O89</x:f>
      </x:c>
      <x:c r="AJ85" s="84">
        <x:f>+BORDRO!P89</x:f>
      </x:c>
    </x:row>
    <x:row r="86" spans="1:36" ht="15" customHeight="1" x14ac:dyDescent="0.25">
      <x:c r="A86" s="72" t="s">
        <x:v>106</x:v>
      </x:c>
      <x:c r="B86" s="264">
        <x:v>46</x:v>
      </x:c>
      <x:c r="C86" s="72" t="s">
        <x:v>107</x:v>
      </x:c>
      <x:c r="D86" s="72" t="s">
        <x:v>108</x:v>
      </x:c>
      <x:c r="E86" s="72" t="s">
        <x:v>108</x:v>
      </x:c>
      <x:c r="F86" s="73">
        <x:v>1494768</x:v>
      </x:c>
      <x:c r="G86" s="74" t="s">
        <x:v>109</x:v>
      </x:c>
      <x:c r="H86" s="72" t="s">
        <x:v>110</x:v>
      </x:c>
      <x:c r="I86" s="86"/>
      <x:c r="J86" s="75">
        <x:f>+Puantaj!C90</x:f>
      </x:c>
      <x:c r="K86" s="72">
        <x:f>+Puantaj!D90</x:f>
      </x:c>
      <x:c r="L86" s="72">
        <x:f>+Puantaj!E90</x:f>
      </x:c>
      <x:c r="M86" s="265">
        <x:f>+BORDRO!F90</x:f>
      </x:c>
      <x:c r="N86" s="72"/>
      <x:c r="O86" s="87">
        <x:f>+BORDRO!G90</x:f>
      </x:c>
      <x:c r="P86" s="87">
        <x:v>0</x:v>
      </x:c>
      <x:c r="Q86" s="266">
        <x:v>24</x:v>
      </x:c>
      <x:c r="R86" s="267" t="s">
        <x:v>111</x:v>
      </x:c>
      <x:c r="S86" s="78"/>
      <x:c r="T86" s="78"/>
      <x:c r="U86" s="79"/>
      <x:c r="V86" s="268">
        <x:f>31-M86-Q86</x:f>
      </x:c>
      <x:c r="W86" s="269">
        <x:v>6</x:v>
      </x:c>
      <x:c r="X86" s="270" t="s">
        <x:v>112</x:v>
      </x:c>
      <x:c r="Y86" s="73">
        <x:v>2</x:v>
      </x:c>
      <x:c r="Z86" s="72" t="s">
        <x:v>106</x:v>
      </x:c>
      <x:c r="AA86" s="82" t="s">
        <x:v>111</x:v>
      </x:c>
      <x:c r="AB86" s="72">
        <x:v>2025</x:v>
      </x:c>
      <x:c r="AC86" s="72" t="s">
        <x:v>113</x:v>
      </x:c>
      <x:c r="AD86" s="88">
        <x:f>+BORDRO!J90</x:f>
      </x:c>
      <x:c r="AE86" s="83"/>
      <x:c r="AF86" s="83">
        <x:f>+BORDRO!K90</x:f>
      </x:c>
      <x:c r="AG86" s="83">
        <x:f>+BORDRO!L90</x:f>
      </x:c>
      <x:c r="AH86" s="88">
        <x:f>+BORDRO!M90</x:f>
      </x:c>
      <x:c r="AI86" s="83">
        <x:f>+BORDRO!O90</x:f>
      </x:c>
      <x:c r="AJ86" s="84">
        <x:f>+BORDRO!P90</x:f>
      </x:c>
    </x:row>
    <x:row r="87" spans="1:36" ht="14.25" customHeight="1" x14ac:dyDescent="0.2">
      <x:c r="A87" s="72" t="s">
        <x:v>106</x:v>
      </x:c>
      <x:c r="B87" s="271">
        <x:v>46</x:v>
      </x:c>
      <x:c r="C87" s="72" t="s">
        <x:v>107</x:v>
      </x:c>
      <x:c r="D87" s="72" t="s">
        <x:v>108</x:v>
      </x:c>
      <x:c r="E87" s="72" t="s">
        <x:v>108</x:v>
      </x:c>
      <x:c r="F87" s="73">
        <x:v>1494768</x:v>
      </x:c>
      <x:c r="G87" s="74" t="s">
        <x:v>109</x:v>
      </x:c>
      <x:c r="H87" s="72" t="s">
        <x:v>110</x:v>
      </x:c>
      <x:c r="I87" s="86"/>
      <x:c r="J87" s="75">
        <x:f>+Puantaj!C91</x:f>
      </x:c>
      <x:c r="K87" s="72">
        <x:f>+Puantaj!D91</x:f>
      </x:c>
      <x:c r="L87" s="72">
        <x:f>+Puantaj!E91</x:f>
      </x:c>
      <x:c r="M87" s="265">
        <x:f>+BORDRO!F91</x:f>
      </x:c>
      <x:c r="N87" s="72"/>
      <x:c r="O87" s="87">
        <x:f>+BORDRO!G91</x:f>
      </x:c>
      <x:c r="P87" s="87">
        <x:v>0</x:v>
      </x:c>
      <x:c r="Q87" s="266">
        <x:v>24</x:v>
      </x:c>
      <x:c r="R87" s="267" t="s">
        <x:v>111</x:v>
      </x:c>
      <x:c r="S87" s="78"/>
      <x:c r="T87" s="78"/>
      <x:c r="U87" s="79"/>
      <x:c r="V87" s="268">
        <x:f>31-M87-Q87</x:f>
      </x:c>
      <x:c r="W87" s="269">
        <x:v>6</x:v>
      </x:c>
      <x:c r="X87" s="270" t="s">
        <x:v>112</x:v>
      </x:c>
      <x:c r="Y87" s="73">
        <x:v>2</x:v>
      </x:c>
      <x:c r="Z87" s="72" t="s">
        <x:v>106</x:v>
      </x:c>
      <x:c r="AA87" s="82" t="s">
        <x:v>111</x:v>
      </x:c>
      <x:c r="AB87" s="72">
        <x:v>2025</x:v>
      </x:c>
      <x:c r="AC87" s="72" t="s">
        <x:v>113</x:v>
      </x:c>
      <x:c r="AD87" s="88">
        <x:f>+BORDRO!J91</x:f>
      </x:c>
      <x:c r="AE87" s="83"/>
      <x:c r="AF87" s="83">
        <x:f>+BORDRO!K91</x:f>
      </x:c>
      <x:c r="AG87" s="83">
        <x:f>+BORDRO!L91</x:f>
      </x:c>
      <x:c r="AH87" s="88">
        <x:f>+BORDRO!M91</x:f>
      </x:c>
      <x:c r="AI87" s="83">
        <x:f>+BORDRO!O91</x:f>
      </x:c>
      <x:c r="AJ87" s="84">
        <x:f>+BORDRO!P91</x:f>
      </x:c>
    </x:row>
    <x:row r="88" spans="1:36" ht="15" customHeight="1" x14ac:dyDescent="0.25">
      <x:c r="A88" s="72" t="s">
        <x:v>106</x:v>
      </x:c>
      <x:c r="B88" s="264">
        <x:v>46</x:v>
      </x:c>
      <x:c r="C88" s="72" t="s">
        <x:v>107</x:v>
      </x:c>
      <x:c r="D88" s="72" t="s">
        <x:v>108</x:v>
      </x:c>
      <x:c r="E88" s="72" t="s">
        <x:v>108</x:v>
      </x:c>
      <x:c r="F88" s="73">
        <x:v>1494768</x:v>
      </x:c>
      <x:c r="G88" s="74" t="s">
        <x:v>109</x:v>
      </x:c>
      <x:c r="H88" s="72" t="s">
        <x:v>110</x:v>
      </x:c>
      <x:c r="I88" s="86"/>
      <x:c r="J88" s="75">
        <x:f>+Puantaj!C92</x:f>
      </x:c>
      <x:c r="K88" s="72">
        <x:f>+Puantaj!D92</x:f>
      </x:c>
      <x:c r="L88" s="72">
        <x:f>+Puantaj!E92</x:f>
      </x:c>
      <x:c r="M88" s="265">
        <x:f>+BORDRO!F92</x:f>
      </x:c>
      <x:c r="N88" s="72"/>
      <x:c r="O88" s="87">
        <x:f>+BORDRO!G92</x:f>
      </x:c>
      <x:c r="P88" s="87">
        <x:v>0</x:v>
      </x:c>
      <x:c r="Q88" s="266">
        <x:v>24</x:v>
      </x:c>
      <x:c r="R88" s="267" t="s">
        <x:v>111</x:v>
      </x:c>
      <x:c r="S88" s="78"/>
      <x:c r="T88" s="78"/>
      <x:c r="U88" s="79"/>
      <x:c r="V88" s="268">
        <x:f>31-M88-Q88</x:f>
      </x:c>
      <x:c r="W88" s="269">
        <x:v>6</x:v>
      </x:c>
      <x:c r="X88" s="270" t="s">
        <x:v>112</x:v>
      </x:c>
      <x:c r="Y88" s="73">
        <x:v>2</x:v>
      </x:c>
      <x:c r="Z88" s="72" t="s">
        <x:v>106</x:v>
      </x:c>
      <x:c r="AA88" s="82" t="s">
        <x:v>111</x:v>
      </x:c>
      <x:c r="AB88" s="72">
        <x:v>2025</x:v>
      </x:c>
      <x:c r="AC88" s="72" t="s">
        <x:v>113</x:v>
      </x:c>
      <x:c r="AD88" s="88">
        <x:f>+BORDRO!J92</x:f>
      </x:c>
      <x:c r="AE88" s="83"/>
      <x:c r="AF88" s="83">
        <x:f>+BORDRO!K92</x:f>
      </x:c>
      <x:c r="AG88" s="83">
        <x:f>+BORDRO!L92</x:f>
      </x:c>
      <x:c r="AH88" s="88">
        <x:f>+BORDRO!M92</x:f>
      </x:c>
      <x:c r="AI88" s="83">
        <x:f>+BORDRO!O92</x:f>
      </x:c>
      <x:c r="AJ88" s="84">
        <x:f>+BORDRO!P92</x:f>
      </x:c>
    </x:row>
    <x:row r="89" spans="1:36" ht="14.25" customHeight="1" x14ac:dyDescent="0.2">
      <x:c r="A89" s="72" t="s">
        <x:v>106</x:v>
      </x:c>
      <x:c r="B89" s="271">
        <x:v>46</x:v>
      </x:c>
      <x:c r="C89" s="72" t="s">
        <x:v>107</x:v>
      </x:c>
      <x:c r="D89" s="72" t="s">
        <x:v>108</x:v>
      </x:c>
      <x:c r="E89" s="72" t="s">
        <x:v>108</x:v>
      </x:c>
      <x:c r="F89" s="73">
        <x:v>1494768</x:v>
      </x:c>
      <x:c r="G89" s="74" t="s">
        <x:v>109</x:v>
      </x:c>
      <x:c r="H89" s="72" t="s">
        <x:v>110</x:v>
      </x:c>
      <x:c r="I89" s="86"/>
      <x:c r="J89" s="75">
        <x:f>+Puantaj!C93</x:f>
      </x:c>
      <x:c r="K89" s="72">
        <x:f>+Puantaj!D93</x:f>
      </x:c>
      <x:c r="L89" s="72">
        <x:f>+Puantaj!E93</x:f>
      </x:c>
      <x:c r="M89" s="265">
        <x:f>+BORDRO!F93</x:f>
      </x:c>
      <x:c r="N89" s="72"/>
      <x:c r="O89" s="87">
        <x:f>+BORDRO!G93</x:f>
      </x:c>
      <x:c r="P89" s="87">
        <x:v>0</x:v>
      </x:c>
      <x:c r="Q89" s="266">
        <x:v>24</x:v>
      </x:c>
      <x:c r="R89" s="267" t="s">
        <x:v>111</x:v>
      </x:c>
      <x:c r="S89" s="78"/>
      <x:c r="T89" s="78"/>
      <x:c r="U89" s="79"/>
      <x:c r="V89" s="268">
        <x:f>31-M89-Q89</x:f>
      </x:c>
      <x:c r="W89" s="269">
        <x:v>6</x:v>
      </x:c>
      <x:c r="X89" s="270" t="s">
        <x:v>112</x:v>
      </x:c>
      <x:c r="Y89" s="73">
        <x:v>2</x:v>
      </x:c>
      <x:c r="Z89" s="72" t="s">
        <x:v>106</x:v>
      </x:c>
      <x:c r="AA89" s="82" t="s">
        <x:v>111</x:v>
      </x:c>
      <x:c r="AB89" s="72">
        <x:v>2025</x:v>
      </x:c>
      <x:c r="AC89" s="72" t="s">
        <x:v>113</x:v>
      </x:c>
      <x:c r="AD89" s="88">
        <x:f>+BORDRO!J93</x:f>
      </x:c>
      <x:c r="AE89" s="83"/>
      <x:c r="AF89" s="83">
        <x:f>+BORDRO!K93</x:f>
      </x:c>
      <x:c r="AG89" s="83">
        <x:f>+BORDRO!L93</x:f>
      </x:c>
      <x:c r="AH89" s="88">
        <x:f>+BORDRO!M93</x:f>
      </x:c>
      <x:c r="AI89" s="83">
        <x:f>+BORDRO!O93</x:f>
      </x:c>
      <x:c r="AJ89" s="84">
        <x:f>+BORDRO!P93</x:f>
      </x:c>
    </x:row>
    <x:row r="90" spans="1:36" ht="15" customHeight="1" x14ac:dyDescent="0.25">
      <x:c r="A90" s="72" t="s">
        <x:v>106</x:v>
      </x:c>
      <x:c r="B90" s="264">
        <x:v>46</x:v>
      </x:c>
      <x:c r="C90" s="72" t="s">
        <x:v>107</x:v>
      </x:c>
      <x:c r="D90" s="72" t="s">
        <x:v>108</x:v>
      </x:c>
      <x:c r="E90" s="72" t="s">
        <x:v>108</x:v>
      </x:c>
      <x:c r="F90" s="73">
        <x:v>1494768</x:v>
      </x:c>
      <x:c r="G90" s="74" t="s">
        <x:v>109</x:v>
      </x:c>
      <x:c r="H90" s="72" t="s">
        <x:v>110</x:v>
      </x:c>
      <x:c r="I90" s="86"/>
      <x:c r="J90" s="75">
        <x:f>+Puantaj!C94</x:f>
      </x:c>
      <x:c r="K90" s="72">
        <x:f>+Puantaj!D94</x:f>
      </x:c>
      <x:c r="L90" s="72">
        <x:f>+Puantaj!E94</x:f>
      </x:c>
      <x:c r="M90" s="265">
        <x:f>+BORDRO!F94</x:f>
      </x:c>
      <x:c r="N90" s="72"/>
      <x:c r="O90" s="87">
        <x:f>+BORDRO!G94</x:f>
      </x:c>
      <x:c r="P90" s="87">
        <x:v>0</x:v>
      </x:c>
      <x:c r="Q90" s="266">
        <x:v>24</x:v>
      </x:c>
      <x:c r="R90" s="267" t="s">
        <x:v>111</x:v>
      </x:c>
      <x:c r="S90" s="78"/>
      <x:c r="T90" s="78"/>
      <x:c r="U90" s="79"/>
      <x:c r="V90" s="268">
        <x:f>31-M90-Q90</x:f>
      </x:c>
      <x:c r="W90" s="269">
        <x:v>6</x:v>
      </x:c>
      <x:c r="X90" s="270" t="s">
        <x:v>112</x:v>
      </x:c>
      <x:c r="Y90" s="73">
        <x:v>2</x:v>
      </x:c>
      <x:c r="Z90" s="72" t="s">
        <x:v>106</x:v>
      </x:c>
      <x:c r="AA90" s="82" t="s">
        <x:v>111</x:v>
      </x:c>
      <x:c r="AB90" s="72">
        <x:v>2025</x:v>
      </x:c>
      <x:c r="AC90" s="72" t="s">
        <x:v>113</x:v>
      </x:c>
      <x:c r="AD90" s="88">
        <x:f>+BORDRO!J94</x:f>
      </x:c>
      <x:c r="AE90" s="83"/>
      <x:c r="AF90" s="83">
        <x:f>+BORDRO!K94</x:f>
      </x:c>
      <x:c r="AG90" s="83">
        <x:f>+BORDRO!L94</x:f>
      </x:c>
      <x:c r="AH90" s="88">
        <x:f>+BORDRO!M94</x:f>
      </x:c>
      <x:c r="AI90" s="83">
        <x:f>+BORDRO!O94</x:f>
      </x:c>
      <x:c r="AJ90" s="84">
        <x:f>+BORDRO!P94</x:f>
      </x:c>
    </x:row>
    <x:row r="91" spans="1:36" ht="14.25" customHeight="1" x14ac:dyDescent="0.2">
      <x:c r="A91" s="72" t="s">
        <x:v>106</x:v>
      </x:c>
      <x:c r="B91" s="271">
        <x:v>46</x:v>
      </x:c>
      <x:c r="C91" s="72" t="s">
        <x:v>107</x:v>
      </x:c>
      <x:c r="D91" s="72" t="s">
        <x:v>108</x:v>
      </x:c>
      <x:c r="E91" s="72" t="s">
        <x:v>108</x:v>
      </x:c>
      <x:c r="F91" s="73">
        <x:v>1494768</x:v>
      </x:c>
      <x:c r="G91" s="74" t="s">
        <x:v>109</x:v>
      </x:c>
      <x:c r="H91" s="72" t="s">
        <x:v>110</x:v>
      </x:c>
      <x:c r="I91" s="86"/>
      <x:c r="J91" s="75">
        <x:f>+Puantaj!C95</x:f>
      </x:c>
      <x:c r="K91" s="72">
        <x:f>+Puantaj!D95</x:f>
      </x:c>
      <x:c r="L91" s="72">
        <x:f>+Puantaj!E95</x:f>
      </x:c>
      <x:c r="M91" s="265">
        <x:f>+BORDRO!F95</x:f>
      </x:c>
      <x:c r="N91" s="72"/>
      <x:c r="O91" s="87">
        <x:f>+BORDRO!G95</x:f>
      </x:c>
      <x:c r="P91" s="87">
        <x:v>0</x:v>
      </x:c>
      <x:c r="Q91" s="266">
        <x:v>24</x:v>
      </x:c>
      <x:c r="R91" s="267" t="s">
        <x:v>111</x:v>
      </x:c>
      <x:c r="S91" s="78"/>
      <x:c r="T91" s="78"/>
      <x:c r="U91" s="79"/>
      <x:c r="V91" s="268">
        <x:f>31-M91-Q91</x:f>
      </x:c>
      <x:c r="W91" s="269">
        <x:v>6</x:v>
      </x:c>
      <x:c r="X91" s="270" t="s">
        <x:v>112</x:v>
      </x:c>
      <x:c r="Y91" s="73">
        <x:v>2</x:v>
      </x:c>
      <x:c r="Z91" s="72" t="s">
        <x:v>106</x:v>
      </x:c>
      <x:c r="AA91" s="82" t="s">
        <x:v>111</x:v>
      </x:c>
      <x:c r="AB91" s="72">
        <x:v>2025</x:v>
      </x:c>
      <x:c r="AC91" s="72" t="s">
        <x:v>113</x:v>
      </x:c>
      <x:c r="AD91" s="88">
        <x:f>+BORDRO!J95</x:f>
      </x:c>
      <x:c r="AE91" s="83"/>
      <x:c r="AF91" s="83">
        <x:f>+BORDRO!K95</x:f>
      </x:c>
      <x:c r="AG91" s="83">
        <x:f>+BORDRO!L95</x:f>
      </x:c>
      <x:c r="AH91" s="88">
        <x:f>+BORDRO!M95</x:f>
      </x:c>
      <x:c r="AI91" s="83">
        <x:f>+BORDRO!O95</x:f>
      </x:c>
      <x:c r="AJ91" s="84">
        <x:f>+BORDRO!P95</x:f>
      </x:c>
    </x:row>
    <x:row r="92" spans="1:36" ht="15" customHeight="1" x14ac:dyDescent="0.25">
      <x:c r="A92" s="72" t="s">
        <x:v>106</x:v>
      </x:c>
      <x:c r="B92" s="264">
        <x:v>46</x:v>
      </x:c>
      <x:c r="C92" s="72" t="s">
        <x:v>107</x:v>
      </x:c>
      <x:c r="D92" s="72" t="s">
        <x:v>108</x:v>
      </x:c>
      <x:c r="E92" s="72" t="s">
        <x:v>108</x:v>
      </x:c>
      <x:c r="F92" s="73">
        <x:v>1494768</x:v>
      </x:c>
      <x:c r="G92" s="74" t="s">
        <x:v>109</x:v>
      </x:c>
      <x:c r="H92" s="72" t="s">
        <x:v>110</x:v>
      </x:c>
      <x:c r="I92" s="86"/>
      <x:c r="J92" s="75">
        <x:f>+Puantaj!C96</x:f>
      </x:c>
      <x:c r="K92" s="72">
        <x:f>+Puantaj!D96</x:f>
      </x:c>
      <x:c r="L92" s="72">
        <x:f>+Puantaj!E96</x:f>
      </x:c>
      <x:c r="M92" s="265">
        <x:f>+BORDRO!F96</x:f>
      </x:c>
      <x:c r="N92" s="72"/>
      <x:c r="O92" s="87">
        <x:f>+BORDRO!G96</x:f>
      </x:c>
      <x:c r="P92" s="87">
        <x:v>0</x:v>
      </x:c>
      <x:c r="Q92" s="266">
        <x:v>24</x:v>
      </x:c>
      <x:c r="R92" s="267" t="s">
        <x:v>111</x:v>
      </x:c>
      <x:c r="S92" s="78"/>
      <x:c r="T92" s="78"/>
      <x:c r="U92" s="79"/>
      <x:c r="V92" s="268">
        <x:f>31-M92-Q92</x:f>
      </x:c>
      <x:c r="W92" s="269">
        <x:v>6</x:v>
      </x:c>
      <x:c r="X92" s="270" t="s">
        <x:v>112</x:v>
      </x:c>
      <x:c r="Y92" s="73">
        <x:v>2</x:v>
      </x:c>
      <x:c r="Z92" s="72" t="s">
        <x:v>106</x:v>
      </x:c>
      <x:c r="AA92" s="82" t="s">
        <x:v>111</x:v>
      </x:c>
      <x:c r="AB92" s="72">
        <x:v>2025</x:v>
      </x:c>
      <x:c r="AC92" s="72" t="s">
        <x:v>113</x:v>
      </x:c>
      <x:c r="AD92" s="88">
        <x:f>+BORDRO!J96</x:f>
      </x:c>
      <x:c r="AE92" s="83"/>
      <x:c r="AF92" s="83">
        <x:f>+BORDRO!K96</x:f>
      </x:c>
      <x:c r="AG92" s="83">
        <x:f>+BORDRO!L96</x:f>
      </x:c>
      <x:c r="AH92" s="88">
        <x:f>+BORDRO!M96</x:f>
      </x:c>
      <x:c r="AI92" s="83">
        <x:f>+BORDRO!O96</x:f>
      </x:c>
      <x:c r="AJ92" s="84">
        <x:f>+BORDRO!P96</x:f>
      </x:c>
    </x:row>
    <x:row r="93" spans="1:36" ht="14.25" customHeight="1" x14ac:dyDescent="0.2">
      <x:c r="A93" s="72" t="s">
        <x:v>106</x:v>
      </x:c>
      <x:c r="B93" s="271">
        <x:v>46</x:v>
      </x:c>
      <x:c r="C93" s="72" t="s">
        <x:v>107</x:v>
      </x:c>
      <x:c r="D93" s="72" t="s">
        <x:v>108</x:v>
      </x:c>
      <x:c r="E93" s="72" t="s">
        <x:v>108</x:v>
      </x:c>
      <x:c r="F93" s="73">
        <x:v>1494768</x:v>
      </x:c>
      <x:c r="G93" s="74" t="s">
        <x:v>109</x:v>
      </x:c>
      <x:c r="H93" s="72" t="s">
        <x:v>110</x:v>
      </x:c>
      <x:c r="I93" s="86"/>
      <x:c r="J93" s="75">
        <x:f>+Puantaj!C97</x:f>
      </x:c>
      <x:c r="K93" s="72">
        <x:f>+Puantaj!D97</x:f>
      </x:c>
      <x:c r="L93" s="72">
        <x:f>+Puantaj!E97</x:f>
      </x:c>
      <x:c r="M93" s="265">
        <x:f>+BORDRO!F97</x:f>
      </x:c>
      <x:c r="N93" s="72"/>
      <x:c r="O93" s="87">
        <x:f>+BORDRO!G97</x:f>
      </x:c>
      <x:c r="P93" s="87">
        <x:v>0</x:v>
      </x:c>
      <x:c r="Q93" s="266">
        <x:v>24</x:v>
      </x:c>
      <x:c r="R93" s="267" t="s">
        <x:v>111</x:v>
      </x:c>
      <x:c r="S93" s="78"/>
      <x:c r="T93" s="78"/>
      <x:c r="U93" s="79"/>
      <x:c r="V93" s="268">
        <x:f>31-M93-Q93</x:f>
      </x:c>
      <x:c r="W93" s="269">
        <x:v>6</x:v>
      </x:c>
      <x:c r="X93" s="270" t="s">
        <x:v>112</x:v>
      </x:c>
      <x:c r="Y93" s="73">
        <x:v>2</x:v>
      </x:c>
      <x:c r="Z93" s="72" t="s">
        <x:v>106</x:v>
      </x:c>
      <x:c r="AA93" s="82" t="s">
        <x:v>111</x:v>
      </x:c>
      <x:c r="AB93" s="72">
        <x:v>2025</x:v>
      </x:c>
      <x:c r="AC93" s="72" t="s">
        <x:v>113</x:v>
      </x:c>
      <x:c r="AD93" s="88">
        <x:f>+BORDRO!J97</x:f>
      </x:c>
      <x:c r="AE93" s="83"/>
      <x:c r="AF93" s="83">
        <x:f>+BORDRO!K97</x:f>
      </x:c>
      <x:c r="AG93" s="83">
        <x:f>+BORDRO!L97</x:f>
      </x:c>
      <x:c r="AH93" s="88">
        <x:f>+BORDRO!M97</x:f>
      </x:c>
      <x:c r="AI93" s="83">
        <x:f>+BORDRO!O97</x:f>
      </x:c>
      <x:c r="AJ93" s="84">
        <x:f>+BORDRO!P97</x:f>
      </x:c>
    </x:row>
    <x:row r="94" spans="1:36" ht="15" customHeight="1" x14ac:dyDescent="0.25">
      <x:c r="A94" s="72" t="s">
        <x:v>106</x:v>
      </x:c>
      <x:c r="B94" s="264">
        <x:v>46</x:v>
      </x:c>
      <x:c r="C94" s="72" t="s">
        <x:v>107</x:v>
      </x:c>
      <x:c r="D94" s="72" t="s">
        <x:v>108</x:v>
      </x:c>
      <x:c r="E94" s="72" t="s">
        <x:v>108</x:v>
      </x:c>
      <x:c r="F94" s="73">
        <x:v>1494768</x:v>
      </x:c>
      <x:c r="G94" s="74" t="s">
        <x:v>109</x:v>
      </x:c>
      <x:c r="H94" s="72" t="s">
        <x:v>110</x:v>
      </x:c>
      <x:c r="I94" s="86"/>
      <x:c r="J94" s="75">
        <x:f>+Puantaj!C98</x:f>
      </x:c>
      <x:c r="K94" s="72">
        <x:f>+Puantaj!D98</x:f>
      </x:c>
      <x:c r="L94" s="72">
        <x:f>+Puantaj!E98</x:f>
      </x:c>
      <x:c r="M94" s="265">
        <x:f>+BORDRO!F98</x:f>
      </x:c>
      <x:c r="N94" s="72"/>
      <x:c r="O94" s="87">
        <x:f>+BORDRO!G98</x:f>
      </x:c>
      <x:c r="P94" s="87">
        <x:v>0</x:v>
      </x:c>
      <x:c r="Q94" s="266">
        <x:v>24</x:v>
      </x:c>
      <x:c r="R94" s="267" t="s">
        <x:v>111</x:v>
      </x:c>
      <x:c r="S94" s="78"/>
      <x:c r="T94" s="78"/>
      <x:c r="U94" s="79"/>
      <x:c r="V94" s="268">
        <x:f>31-M94-Q94</x:f>
      </x:c>
      <x:c r="W94" s="269">
        <x:v>6</x:v>
      </x:c>
      <x:c r="X94" s="270" t="s">
        <x:v>112</x:v>
      </x:c>
      <x:c r="Y94" s="73">
        <x:v>2</x:v>
      </x:c>
      <x:c r="Z94" s="72" t="s">
        <x:v>106</x:v>
      </x:c>
      <x:c r="AA94" s="82" t="s">
        <x:v>111</x:v>
      </x:c>
      <x:c r="AB94" s="72">
        <x:v>2025</x:v>
      </x:c>
      <x:c r="AC94" s="72" t="s">
        <x:v>113</x:v>
      </x:c>
      <x:c r="AD94" s="88">
        <x:f>+BORDRO!J98</x:f>
      </x:c>
      <x:c r="AE94" s="83"/>
      <x:c r="AF94" s="83">
        <x:f>+BORDRO!K98</x:f>
      </x:c>
      <x:c r="AG94" s="83">
        <x:f>+BORDRO!L98</x:f>
      </x:c>
      <x:c r="AH94" s="88">
        <x:f>+BORDRO!M98</x:f>
      </x:c>
      <x:c r="AI94" s="83">
        <x:f>+BORDRO!O98</x:f>
      </x:c>
      <x:c r="AJ94" s="84">
        <x:f>+BORDRO!P98</x:f>
      </x:c>
    </x:row>
    <x:row r="95" spans="1:36" ht="14.25" customHeight="1" x14ac:dyDescent="0.2">
      <x:c r="A95" s="72" t="s">
        <x:v>106</x:v>
      </x:c>
      <x:c r="B95" s="271">
        <x:v>46</x:v>
      </x:c>
      <x:c r="C95" s="72" t="s">
        <x:v>107</x:v>
      </x:c>
      <x:c r="D95" s="72" t="s">
        <x:v>108</x:v>
      </x:c>
      <x:c r="E95" s="72" t="s">
        <x:v>108</x:v>
      </x:c>
      <x:c r="F95" s="73">
        <x:v>1494768</x:v>
      </x:c>
      <x:c r="G95" s="74" t="s">
        <x:v>109</x:v>
      </x:c>
      <x:c r="H95" s="72" t="s">
        <x:v>110</x:v>
      </x:c>
      <x:c r="I95" s="86"/>
      <x:c r="J95" s="75">
        <x:f>+Puantaj!C99</x:f>
      </x:c>
      <x:c r="K95" s="72">
        <x:f>+Puantaj!D99</x:f>
      </x:c>
      <x:c r="L95" s="72">
        <x:f>+Puantaj!E99</x:f>
      </x:c>
      <x:c r="M95" s="265">
        <x:f>+BORDRO!F99</x:f>
      </x:c>
      <x:c r="N95" s="72"/>
      <x:c r="O95" s="87">
        <x:f>+BORDRO!G99</x:f>
      </x:c>
      <x:c r="P95" s="87">
        <x:v>0</x:v>
      </x:c>
      <x:c r="Q95" s="266">
        <x:v>24</x:v>
      </x:c>
      <x:c r="R95" s="267" t="s">
        <x:v>111</x:v>
      </x:c>
      <x:c r="S95" s="78"/>
      <x:c r="T95" s="78"/>
      <x:c r="U95" s="79"/>
      <x:c r="V95" s="268">
        <x:f>31-M95-Q95</x:f>
      </x:c>
      <x:c r="W95" s="269">
        <x:v>6</x:v>
      </x:c>
      <x:c r="X95" s="270" t="s">
        <x:v>112</x:v>
      </x:c>
      <x:c r="Y95" s="73">
        <x:v>2</x:v>
      </x:c>
      <x:c r="Z95" s="72" t="s">
        <x:v>106</x:v>
      </x:c>
      <x:c r="AA95" s="82" t="s">
        <x:v>111</x:v>
      </x:c>
      <x:c r="AB95" s="72">
        <x:v>2025</x:v>
      </x:c>
      <x:c r="AC95" s="72" t="s">
        <x:v>113</x:v>
      </x:c>
      <x:c r="AD95" s="88">
        <x:f>+BORDRO!J99</x:f>
      </x:c>
      <x:c r="AE95" s="83"/>
      <x:c r="AF95" s="83">
        <x:f>+BORDRO!K99</x:f>
      </x:c>
      <x:c r="AG95" s="83">
        <x:f>+BORDRO!L99</x:f>
      </x:c>
      <x:c r="AH95" s="88">
        <x:f>+BORDRO!M99</x:f>
      </x:c>
      <x:c r="AI95" s="83">
        <x:f>+BORDRO!O99</x:f>
      </x:c>
      <x:c r="AJ95" s="84">
        <x:f>+BORDRO!P99</x:f>
      </x:c>
    </x:row>
    <x:row r="96" spans="1:36" ht="15" customHeight="1" x14ac:dyDescent="0.25">
      <x:c r="A96" s="72" t="s">
        <x:v>106</x:v>
      </x:c>
      <x:c r="B96" s="264">
        <x:v>46</x:v>
      </x:c>
      <x:c r="C96" s="72" t="s">
        <x:v>107</x:v>
      </x:c>
      <x:c r="D96" s="72" t="s">
        <x:v>108</x:v>
      </x:c>
      <x:c r="E96" s="72" t="s">
        <x:v>108</x:v>
      </x:c>
      <x:c r="F96" s="73">
        <x:v>1494768</x:v>
      </x:c>
      <x:c r="G96" s="74" t="s">
        <x:v>109</x:v>
      </x:c>
      <x:c r="H96" s="72" t="s">
        <x:v>110</x:v>
      </x:c>
      <x:c r="I96" s="86"/>
      <x:c r="J96" s="75">
        <x:f>+Puantaj!C100</x:f>
      </x:c>
      <x:c r="K96" s="72">
        <x:f>+Puantaj!D100</x:f>
      </x:c>
      <x:c r="L96" s="72">
        <x:f>+Puantaj!E100</x:f>
      </x:c>
      <x:c r="M96" s="265">
        <x:f>+BORDRO!F100</x:f>
      </x:c>
      <x:c r="N96" s="72"/>
      <x:c r="O96" s="87">
        <x:f>+BORDRO!G100</x:f>
      </x:c>
      <x:c r="P96" s="87">
        <x:v>0</x:v>
      </x:c>
      <x:c r="Q96" s="266">
        <x:v>24</x:v>
      </x:c>
      <x:c r="R96" s="267" t="s">
        <x:v>111</x:v>
      </x:c>
      <x:c r="S96" s="78"/>
      <x:c r="T96" s="78"/>
      <x:c r="U96" s="79"/>
      <x:c r="V96" s="268">
        <x:f>31-M96-Q96</x:f>
      </x:c>
      <x:c r="W96" s="269">
        <x:v>6</x:v>
      </x:c>
      <x:c r="X96" s="270" t="s">
        <x:v>112</x:v>
      </x:c>
      <x:c r="Y96" s="73">
        <x:v>2</x:v>
      </x:c>
      <x:c r="Z96" s="72" t="s">
        <x:v>106</x:v>
      </x:c>
      <x:c r="AA96" s="82" t="s">
        <x:v>111</x:v>
      </x:c>
      <x:c r="AB96" s="72">
        <x:v>2025</x:v>
      </x:c>
      <x:c r="AC96" s="72" t="s">
        <x:v>113</x:v>
      </x:c>
      <x:c r="AD96" s="88">
        <x:f>+BORDRO!J100</x:f>
      </x:c>
      <x:c r="AE96" s="83"/>
      <x:c r="AF96" s="83">
        <x:f>+BORDRO!K100</x:f>
      </x:c>
      <x:c r="AG96" s="83">
        <x:f>+BORDRO!L100</x:f>
      </x:c>
      <x:c r="AH96" s="88">
        <x:f>+BORDRO!M100</x:f>
      </x:c>
      <x:c r="AI96" s="83">
        <x:f>+BORDRO!O100</x:f>
      </x:c>
      <x:c r="AJ96" s="84">
        <x:f>+BORDRO!P100</x:f>
      </x:c>
    </x:row>
    <x:row r="97" spans="1:36" ht="14.25" customHeight="1" x14ac:dyDescent="0.2">
      <x:c r="A97" s="72" t="s">
        <x:v>106</x:v>
      </x:c>
      <x:c r="B97" s="271">
        <x:v>46</x:v>
      </x:c>
      <x:c r="C97" s="72" t="s">
        <x:v>107</x:v>
      </x:c>
      <x:c r="D97" s="72" t="s">
        <x:v>108</x:v>
      </x:c>
      <x:c r="E97" s="72" t="s">
        <x:v>108</x:v>
      </x:c>
      <x:c r="F97" s="73">
        <x:v>1494768</x:v>
      </x:c>
      <x:c r="G97" s="74" t="s">
        <x:v>109</x:v>
      </x:c>
      <x:c r="H97" s="72" t="s">
        <x:v>110</x:v>
      </x:c>
      <x:c r="I97" s="86"/>
      <x:c r="J97" s="75">
        <x:f>+Puantaj!C101</x:f>
      </x:c>
      <x:c r="K97" s="72">
        <x:f>+Puantaj!D101</x:f>
      </x:c>
      <x:c r="L97" s="72">
        <x:f>+Puantaj!E101</x:f>
      </x:c>
      <x:c r="M97" s="265">
        <x:f>+BORDRO!F101</x:f>
      </x:c>
      <x:c r="N97" s="72"/>
      <x:c r="O97" s="87">
        <x:f>+BORDRO!G101</x:f>
      </x:c>
      <x:c r="P97" s="87">
        <x:v>0</x:v>
      </x:c>
      <x:c r="Q97" s="266">
        <x:v>24</x:v>
      </x:c>
      <x:c r="R97" s="267" t="s">
        <x:v>111</x:v>
      </x:c>
      <x:c r="S97" s="78"/>
      <x:c r="T97" s="78"/>
      <x:c r="U97" s="79"/>
      <x:c r="V97" s="268">
        <x:f>31-M97-Q97</x:f>
      </x:c>
      <x:c r="W97" s="269">
        <x:v>6</x:v>
      </x:c>
      <x:c r="X97" s="270" t="s">
        <x:v>112</x:v>
      </x:c>
      <x:c r="Y97" s="73">
        <x:v>2</x:v>
      </x:c>
      <x:c r="Z97" s="72" t="s">
        <x:v>106</x:v>
      </x:c>
      <x:c r="AA97" s="82" t="s">
        <x:v>111</x:v>
      </x:c>
      <x:c r="AB97" s="72">
        <x:v>2025</x:v>
      </x:c>
      <x:c r="AC97" s="72" t="s">
        <x:v>113</x:v>
      </x:c>
      <x:c r="AD97" s="88">
        <x:f>+BORDRO!J101</x:f>
      </x:c>
      <x:c r="AE97" s="83"/>
      <x:c r="AF97" s="83">
        <x:f>+BORDRO!K101</x:f>
      </x:c>
      <x:c r="AG97" s="83">
        <x:f>+BORDRO!L101</x:f>
      </x:c>
      <x:c r="AH97" s="88">
        <x:f>+BORDRO!M101</x:f>
      </x:c>
      <x:c r="AI97" s="83">
        <x:f>+BORDRO!O101</x:f>
      </x:c>
      <x:c r="AJ97" s="84">
        <x:f>+BORDRO!P101</x:f>
      </x:c>
    </x:row>
    <x:row r="98" spans="1:36" ht="15" customHeight="1" x14ac:dyDescent="0.25">
      <x:c r="A98" s="72" t="s">
        <x:v>106</x:v>
      </x:c>
      <x:c r="B98" s="264">
        <x:v>46</x:v>
      </x:c>
      <x:c r="C98" s="72" t="s">
        <x:v>107</x:v>
      </x:c>
      <x:c r="D98" s="72" t="s">
        <x:v>108</x:v>
      </x:c>
      <x:c r="E98" s="72" t="s">
        <x:v>108</x:v>
      </x:c>
      <x:c r="F98" s="73">
        <x:v>1494768</x:v>
      </x:c>
      <x:c r="G98" s="74" t="s">
        <x:v>109</x:v>
      </x:c>
      <x:c r="H98" s="72" t="s">
        <x:v>110</x:v>
      </x:c>
      <x:c r="I98" s="86"/>
      <x:c r="J98" s="75">
        <x:f>+Puantaj!C102</x:f>
      </x:c>
      <x:c r="K98" s="72">
        <x:f>+Puantaj!D102</x:f>
      </x:c>
      <x:c r="L98" s="72">
        <x:f>+Puantaj!E102</x:f>
      </x:c>
      <x:c r="M98" s="265">
        <x:f>+BORDRO!F102</x:f>
      </x:c>
      <x:c r="N98" s="72"/>
      <x:c r="O98" s="87">
        <x:f>+BORDRO!G102</x:f>
      </x:c>
      <x:c r="P98" s="87">
        <x:v>0</x:v>
      </x:c>
      <x:c r="Q98" s="266">
        <x:v>24</x:v>
      </x:c>
      <x:c r="R98" s="267" t="s">
        <x:v>111</x:v>
      </x:c>
      <x:c r="S98" s="78"/>
      <x:c r="T98" s="78"/>
      <x:c r="U98" s="79"/>
      <x:c r="V98" s="268">
        <x:f>31-M98-Q98</x:f>
      </x:c>
      <x:c r="W98" s="269">
        <x:v>6</x:v>
      </x:c>
      <x:c r="X98" s="270" t="s">
        <x:v>112</x:v>
      </x:c>
      <x:c r="Y98" s="73">
        <x:v>2</x:v>
      </x:c>
      <x:c r="Z98" s="72" t="s">
        <x:v>106</x:v>
      </x:c>
      <x:c r="AA98" s="82" t="s">
        <x:v>111</x:v>
      </x:c>
      <x:c r="AB98" s="72">
        <x:v>2025</x:v>
      </x:c>
      <x:c r="AC98" s="72" t="s">
        <x:v>113</x:v>
      </x:c>
      <x:c r="AD98" s="88">
        <x:f>+BORDRO!J102</x:f>
      </x:c>
      <x:c r="AE98" s="83"/>
      <x:c r="AF98" s="83">
        <x:f>+BORDRO!K102</x:f>
      </x:c>
      <x:c r="AG98" s="83">
        <x:f>+BORDRO!L102</x:f>
      </x:c>
      <x:c r="AH98" s="88">
        <x:f>+BORDRO!M102</x:f>
      </x:c>
      <x:c r="AI98" s="83">
        <x:f>+BORDRO!O102</x:f>
      </x:c>
      <x:c r="AJ98" s="84">
        <x:f>+BORDRO!P102</x:f>
      </x:c>
    </x:row>
    <x:row r="99" spans="1:36" ht="14.25" customHeight="1" x14ac:dyDescent="0.2">
      <x:c r="A99" s="72" t="s">
        <x:v>106</x:v>
      </x:c>
      <x:c r="B99" s="271">
        <x:v>46</x:v>
      </x:c>
      <x:c r="C99" s="72" t="s">
        <x:v>107</x:v>
      </x:c>
      <x:c r="D99" s="72" t="s">
        <x:v>108</x:v>
      </x:c>
      <x:c r="E99" s="72" t="s">
        <x:v>108</x:v>
      </x:c>
      <x:c r="F99" s="73">
        <x:v>1494768</x:v>
      </x:c>
      <x:c r="G99" s="74" t="s">
        <x:v>109</x:v>
      </x:c>
      <x:c r="H99" s="72" t="s">
        <x:v>110</x:v>
      </x:c>
      <x:c r="I99" s="86"/>
      <x:c r="J99" s="75">
        <x:f>+Puantaj!C103</x:f>
      </x:c>
      <x:c r="K99" s="72">
        <x:f>+Puantaj!D103</x:f>
      </x:c>
      <x:c r="L99" s="72">
        <x:f>+Puantaj!E103</x:f>
      </x:c>
      <x:c r="M99" s="265">
        <x:f>+BORDRO!F103</x:f>
      </x:c>
      <x:c r="N99" s="72"/>
      <x:c r="O99" s="87">
        <x:f>+BORDRO!G103</x:f>
      </x:c>
      <x:c r="P99" s="87">
        <x:v>0</x:v>
      </x:c>
      <x:c r="Q99" s="266">
        <x:v>24</x:v>
      </x:c>
      <x:c r="R99" s="267" t="s">
        <x:v>111</x:v>
      </x:c>
      <x:c r="S99" s="78"/>
      <x:c r="T99" s="78"/>
      <x:c r="U99" s="79"/>
      <x:c r="V99" s="268">
        <x:f>31-M99-Q99</x:f>
      </x:c>
      <x:c r="W99" s="269">
        <x:v>6</x:v>
      </x:c>
      <x:c r="X99" s="270" t="s">
        <x:v>112</x:v>
      </x:c>
      <x:c r="Y99" s="73">
        <x:v>2</x:v>
      </x:c>
      <x:c r="Z99" s="72" t="s">
        <x:v>106</x:v>
      </x:c>
      <x:c r="AA99" s="82" t="s">
        <x:v>111</x:v>
      </x:c>
      <x:c r="AB99" s="72">
        <x:v>2025</x:v>
      </x:c>
      <x:c r="AC99" s="72" t="s">
        <x:v>113</x:v>
      </x:c>
      <x:c r="AD99" s="88">
        <x:f>+BORDRO!J103</x:f>
      </x:c>
      <x:c r="AE99" s="83"/>
      <x:c r="AF99" s="83">
        <x:f>+BORDRO!K103</x:f>
      </x:c>
      <x:c r="AG99" s="83">
        <x:f>+BORDRO!L103</x:f>
      </x:c>
      <x:c r="AH99" s="88">
        <x:f>+BORDRO!M103</x:f>
      </x:c>
      <x:c r="AI99" s="83">
        <x:f>+BORDRO!O103</x:f>
      </x:c>
      <x:c r="AJ99" s="84">
        <x:f>+BORDRO!P103</x:f>
      </x:c>
    </x:row>
    <x:row r="100" spans="1:36" ht="15" customHeight="1" x14ac:dyDescent="0.25">
      <x:c r="A100" s="72" t="s">
        <x:v>106</x:v>
      </x:c>
      <x:c r="B100" s="264">
        <x:v>46</x:v>
      </x:c>
      <x:c r="C100" s="72" t="s">
        <x:v>107</x:v>
      </x:c>
      <x:c r="D100" s="72" t="s">
        <x:v>108</x:v>
      </x:c>
      <x:c r="E100" s="72" t="s">
        <x:v>108</x:v>
      </x:c>
      <x:c r="F100" s="73">
        <x:v>1494768</x:v>
      </x:c>
      <x:c r="G100" s="74" t="s">
        <x:v>109</x:v>
      </x:c>
      <x:c r="H100" s="72" t="s">
        <x:v>110</x:v>
      </x:c>
      <x:c r="I100" s="86"/>
      <x:c r="J100" s="75">
        <x:f>+Puantaj!C104</x:f>
      </x:c>
      <x:c r="K100" s="72">
        <x:f>+Puantaj!D104</x:f>
      </x:c>
      <x:c r="L100" s="72">
        <x:f>+Puantaj!E104</x:f>
      </x:c>
      <x:c r="M100" s="265">
        <x:f>+BORDRO!F104</x:f>
      </x:c>
      <x:c r="N100" s="72"/>
      <x:c r="O100" s="87">
        <x:f>+BORDRO!G104</x:f>
      </x:c>
      <x:c r="P100" s="87">
        <x:v>0</x:v>
      </x:c>
      <x:c r="Q100" s="266">
        <x:v>24</x:v>
      </x:c>
      <x:c r="R100" s="267" t="s">
        <x:v>111</x:v>
      </x:c>
      <x:c r="S100" s="78"/>
      <x:c r="T100" s="78"/>
      <x:c r="U100" s="79"/>
      <x:c r="V100" s="268">
        <x:f>31-M100-Q100</x:f>
      </x:c>
      <x:c r="W100" s="269">
        <x:v>6</x:v>
      </x:c>
      <x:c r="X100" s="270" t="s">
        <x:v>112</x:v>
      </x:c>
      <x:c r="Y100" s="73">
        <x:v>2</x:v>
      </x:c>
      <x:c r="Z100" s="72" t="s">
        <x:v>106</x:v>
      </x:c>
      <x:c r="AA100" s="82" t="s">
        <x:v>111</x:v>
      </x:c>
      <x:c r="AB100" s="72">
        <x:v>2025</x:v>
      </x:c>
      <x:c r="AC100" s="72" t="s">
        <x:v>113</x:v>
      </x:c>
      <x:c r="AD100" s="88">
        <x:f>+BORDRO!J104</x:f>
      </x:c>
      <x:c r="AE100" s="83"/>
      <x:c r="AF100" s="83">
        <x:f>+BORDRO!K104</x:f>
      </x:c>
      <x:c r="AG100" s="83">
        <x:f>+BORDRO!L104</x:f>
      </x:c>
      <x:c r="AH100" s="88">
        <x:f>+BORDRO!M104</x:f>
      </x:c>
      <x:c r="AI100" s="83">
        <x:f>+BORDRO!O104</x:f>
      </x:c>
      <x:c r="AJ100" s="84">
        <x:f>+BORDRO!P104</x:f>
      </x:c>
    </x:row>
    <x:row r="101" spans="1:36" ht="14.25" customHeight="1" x14ac:dyDescent="0.2">
      <x:c r="A101" s="72" t="s">
        <x:v>106</x:v>
      </x:c>
      <x:c r="B101" s="271">
        <x:v>46</x:v>
      </x:c>
      <x:c r="C101" s="72" t="s">
        <x:v>107</x:v>
      </x:c>
      <x:c r="D101" s="72" t="s">
        <x:v>108</x:v>
      </x:c>
      <x:c r="E101" s="72" t="s">
        <x:v>108</x:v>
      </x:c>
      <x:c r="F101" s="73">
        <x:v>1494768</x:v>
      </x:c>
      <x:c r="G101" s="74" t="s">
        <x:v>109</x:v>
      </x:c>
      <x:c r="H101" s="72" t="s">
        <x:v>110</x:v>
      </x:c>
      <x:c r="I101" s="86"/>
      <x:c r="J101" s="75">
        <x:f>+Puantaj!C105</x:f>
      </x:c>
      <x:c r="K101" s="72">
        <x:f>+Puantaj!D105</x:f>
      </x:c>
      <x:c r="L101" s="72">
        <x:f>+Puantaj!E105</x:f>
      </x:c>
      <x:c r="M101" s="265">
        <x:f>+BORDRO!F105</x:f>
      </x:c>
      <x:c r="N101" s="72"/>
      <x:c r="O101" s="87">
        <x:f>+BORDRO!G105</x:f>
      </x:c>
      <x:c r="P101" s="87">
        <x:v>0</x:v>
      </x:c>
      <x:c r="Q101" s="266">
        <x:v>24</x:v>
      </x:c>
      <x:c r="R101" s="267" t="s">
        <x:v>111</x:v>
      </x:c>
      <x:c r="S101" s="78"/>
      <x:c r="T101" s="78"/>
      <x:c r="U101" s="79"/>
      <x:c r="V101" s="268">
        <x:f>31-M101-Q101</x:f>
      </x:c>
      <x:c r="W101" s="269">
        <x:v>6</x:v>
      </x:c>
      <x:c r="X101" s="270" t="s">
        <x:v>112</x:v>
      </x:c>
      <x:c r="Y101" s="73">
        <x:v>2</x:v>
      </x:c>
      <x:c r="Z101" s="72" t="s">
        <x:v>106</x:v>
      </x:c>
      <x:c r="AA101" s="82" t="s">
        <x:v>111</x:v>
      </x:c>
      <x:c r="AB101" s="72">
        <x:v>2025</x:v>
      </x:c>
      <x:c r="AC101" s="72" t="s">
        <x:v>113</x:v>
      </x:c>
      <x:c r="AD101" s="88">
        <x:f>+BORDRO!J105</x:f>
      </x:c>
      <x:c r="AE101" s="83"/>
      <x:c r="AF101" s="83">
        <x:f>+BORDRO!K105</x:f>
      </x:c>
      <x:c r="AG101" s="83">
        <x:f>+BORDRO!L105</x:f>
      </x:c>
      <x:c r="AH101" s="88">
        <x:f>+BORDRO!M105</x:f>
      </x:c>
      <x:c r="AI101" s="83">
        <x:f>+BORDRO!O105</x:f>
      </x:c>
      <x:c r="AJ101" s="84">
        <x:f>+BORDRO!P105</x:f>
      </x:c>
    </x:row>
    <x:row r="102" spans="1:36" ht="15" customHeight="1" x14ac:dyDescent="0.25">
      <x:c r="A102" s="72" t="s">
        <x:v>106</x:v>
      </x:c>
      <x:c r="B102" s="264">
        <x:v>46</x:v>
      </x:c>
      <x:c r="C102" s="72" t="s">
        <x:v>107</x:v>
      </x:c>
      <x:c r="D102" s="72" t="s">
        <x:v>108</x:v>
      </x:c>
      <x:c r="E102" s="72" t="s">
        <x:v>108</x:v>
      </x:c>
      <x:c r="F102" s="73">
        <x:v>1494768</x:v>
      </x:c>
      <x:c r="G102" s="74" t="s">
        <x:v>109</x:v>
      </x:c>
      <x:c r="H102" s="72" t="s">
        <x:v>110</x:v>
      </x:c>
      <x:c r="I102" s="86"/>
      <x:c r="J102" s="75">
        <x:f>+Puantaj!C106</x:f>
      </x:c>
      <x:c r="K102" s="72">
        <x:f>+Puantaj!D106</x:f>
      </x:c>
      <x:c r="L102" s="72">
        <x:f>+Puantaj!E106</x:f>
      </x:c>
      <x:c r="M102" s="265">
        <x:f>+BORDRO!F106</x:f>
      </x:c>
      <x:c r="N102" s="72"/>
      <x:c r="O102" s="87">
        <x:f>+BORDRO!G106</x:f>
      </x:c>
      <x:c r="P102" s="87">
        <x:v>0</x:v>
      </x:c>
      <x:c r="Q102" s="266">
        <x:v>24</x:v>
      </x:c>
      <x:c r="R102" s="267" t="s">
        <x:v>111</x:v>
      </x:c>
      <x:c r="S102" s="78"/>
      <x:c r="T102" s="78"/>
      <x:c r="U102" s="79"/>
      <x:c r="V102" s="268">
        <x:f>31-M102-Q102</x:f>
      </x:c>
      <x:c r="W102" s="269">
        <x:v>6</x:v>
      </x:c>
      <x:c r="X102" s="270" t="s">
        <x:v>112</x:v>
      </x:c>
      <x:c r="Y102" s="73">
        <x:v>2</x:v>
      </x:c>
      <x:c r="Z102" s="72" t="s">
        <x:v>106</x:v>
      </x:c>
      <x:c r="AA102" s="82" t="s">
        <x:v>111</x:v>
      </x:c>
      <x:c r="AB102" s="72">
        <x:v>2025</x:v>
      </x:c>
      <x:c r="AC102" s="72" t="s">
        <x:v>113</x:v>
      </x:c>
      <x:c r="AD102" s="88">
        <x:f>+BORDRO!J106</x:f>
      </x:c>
      <x:c r="AE102" s="83"/>
      <x:c r="AF102" s="83">
        <x:f>+BORDRO!K106</x:f>
      </x:c>
      <x:c r="AG102" s="83">
        <x:f>+BORDRO!L106</x:f>
      </x:c>
      <x:c r="AH102" s="88">
        <x:f>+BORDRO!M106</x:f>
      </x:c>
      <x:c r="AI102" s="83">
        <x:f>+BORDRO!O106</x:f>
      </x:c>
      <x:c r="AJ102" s="84">
        <x:f>+BORDRO!P106</x:f>
      </x:c>
    </x:row>
    <x:row r="103" spans="1:36" ht="14.25" customHeight="1" x14ac:dyDescent="0.2">
      <x:c r="A103" s="72" t="s">
        <x:v>106</x:v>
      </x:c>
      <x:c r="B103" s="271">
        <x:v>46</x:v>
      </x:c>
      <x:c r="C103" s="72" t="s">
        <x:v>107</x:v>
      </x:c>
      <x:c r="D103" s="72" t="s">
        <x:v>108</x:v>
      </x:c>
      <x:c r="E103" s="72" t="s">
        <x:v>108</x:v>
      </x:c>
      <x:c r="F103" s="73">
        <x:v>1494768</x:v>
      </x:c>
      <x:c r="G103" s="74" t="s">
        <x:v>109</x:v>
      </x:c>
      <x:c r="H103" s="72" t="s">
        <x:v>110</x:v>
      </x:c>
      <x:c r="I103" s="86"/>
      <x:c r="J103" s="75">
        <x:f>+Puantaj!C107</x:f>
      </x:c>
      <x:c r="K103" s="72">
        <x:f>+Puantaj!D107</x:f>
      </x:c>
      <x:c r="L103" s="72">
        <x:f>+Puantaj!E107</x:f>
      </x:c>
      <x:c r="M103" s="265">
        <x:f>+BORDRO!F107</x:f>
      </x:c>
      <x:c r="N103" s="72"/>
      <x:c r="O103" s="87">
        <x:f>+BORDRO!G107</x:f>
      </x:c>
      <x:c r="P103" s="87">
        <x:v>0</x:v>
      </x:c>
      <x:c r="Q103" s="266">
        <x:v>24</x:v>
      </x:c>
      <x:c r="R103" s="267" t="s">
        <x:v>111</x:v>
      </x:c>
      <x:c r="S103" s="78"/>
      <x:c r="T103" s="78"/>
      <x:c r="U103" s="79"/>
      <x:c r="V103" s="268">
        <x:f>31-M103-Q103</x:f>
      </x:c>
      <x:c r="W103" s="269">
        <x:v>6</x:v>
      </x:c>
      <x:c r="X103" s="270" t="s">
        <x:v>112</x:v>
      </x:c>
      <x:c r="Y103" s="73">
        <x:v>2</x:v>
      </x:c>
      <x:c r="Z103" s="72" t="s">
        <x:v>106</x:v>
      </x:c>
      <x:c r="AA103" s="82" t="s">
        <x:v>111</x:v>
      </x:c>
      <x:c r="AB103" s="72">
        <x:v>2025</x:v>
      </x:c>
      <x:c r="AC103" s="72" t="s">
        <x:v>113</x:v>
      </x:c>
      <x:c r="AD103" s="88">
        <x:f>+BORDRO!J107</x:f>
      </x:c>
      <x:c r="AE103" s="83"/>
      <x:c r="AF103" s="83">
        <x:f>+BORDRO!K107</x:f>
      </x:c>
      <x:c r="AG103" s="83">
        <x:f>+BORDRO!L107</x:f>
      </x:c>
      <x:c r="AH103" s="88">
        <x:f>+BORDRO!M107</x:f>
      </x:c>
      <x:c r="AI103" s="83">
        <x:f>+BORDRO!O107</x:f>
      </x:c>
      <x:c r="AJ103" s="84">
        <x:f>+BORDRO!P107</x:f>
      </x:c>
    </x:row>
    <x:row r="104" spans="1:36" ht="15" customHeight="1" x14ac:dyDescent="0.25">
      <x:c r="A104" s="72" t="s">
        <x:v>106</x:v>
      </x:c>
      <x:c r="B104" s="264">
        <x:v>46</x:v>
      </x:c>
      <x:c r="C104" s="72" t="s">
        <x:v>107</x:v>
      </x:c>
      <x:c r="D104" s="72" t="s">
        <x:v>108</x:v>
      </x:c>
      <x:c r="E104" s="72" t="s">
        <x:v>108</x:v>
      </x:c>
      <x:c r="F104" s="73">
        <x:v>1494768</x:v>
      </x:c>
      <x:c r="G104" s="74" t="s">
        <x:v>109</x:v>
      </x:c>
      <x:c r="H104" s="72" t="s">
        <x:v>110</x:v>
      </x:c>
      <x:c r="I104" s="86"/>
      <x:c r="J104" s="75">
        <x:f>+Puantaj!C108</x:f>
      </x:c>
      <x:c r="K104" s="72">
        <x:f>+Puantaj!D108</x:f>
      </x:c>
      <x:c r="L104" s="72">
        <x:f>+Puantaj!E108</x:f>
      </x:c>
      <x:c r="M104" s="265">
        <x:f>+BORDRO!F108</x:f>
      </x:c>
      <x:c r="N104" s="72"/>
      <x:c r="O104" s="87">
        <x:f>+BORDRO!G108</x:f>
      </x:c>
      <x:c r="P104" s="87">
        <x:v>0</x:v>
      </x:c>
      <x:c r="Q104" s="266">
        <x:v>24</x:v>
      </x:c>
      <x:c r="R104" s="267" t="s">
        <x:v>111</x:v>
      </x:c>
      <x:c r="S104" s="78"/>
      <x:c r="T104" s="78"/>
      <x:c r="U104" s="79"/>
      <x:c r="V104" s="268">
        <x:f>31-M104-Q104</x:f>
      </x:c>
      <x:c r="W104" s="269">
        <x:v>6</x:v>
      </x:c>
      <x:c r="X104" s="270" t="s">
        <x:v>112</x:v>
      </x:c>
      <x:c r="Y104" s="73">
        <x:v>2</x:v>
      </x:c>
      <x:c r="Z104" s="72" t="s">
        <x:v>106</x:v>
      </x:c>
      <x:c r="AA104" s="82" t="s">
        <x:v>111</x:v>
      </x:c>
      <x:c r="AB104" s="72">
        <x:v>2025</x:v>
      </x:c>
      <x:c r="AC104" s="72" t="s">
        <x:v>113</x:v>
      </x:c>
      <x:c r="AD104" s="88">
        <x:f>+BORDRO!J108</x:f>
      </x:c>
      <x:c r="AE104" s="83"/>
      <x:c r="AF104" s="83">
        <x:f>+BORDRO!K108</x:f>
      </x:c>
      <x:c r="AG104" s="83">
        <x:f>+BORDRO!L108</x:f>
      </x:c>
      <x:c r="AH104" s="88">
        <x:f>+BORDRO!M108</x:f>
      </x:c>
      <x:c r="AI104" s="83">
        <x:f>+BORDRO!O108</x:f>
      </x:c>
      <x:c r="AJ104" s="84">
        <x:f>+BORDRO!P108</x:f>
      </x:c>
    </x:row>
    <x:row r="105" spans="1:36" ht="14.25" customHeight="1" x14ac:dyDescent="0.2">
      <x:c r="A105" s="72" t="s">
        <x:v>106</x:v>
      </x:c>
      <x:c r="B105" s="271">
        <x:v>46</x:v>
      </x:c>
      <x:c r="C105" s="72" t="s">
        <x:v>107</x:v>
      </x:c>
      <x:c r="D105" s="72" t="s">
        <x:v>108</x:v>
      </x:c>
      <x:c r="E105" s="72" t="s">
        <x:v>108</x:v>
      </x:c>
      <x:c r="F105" s="73">
        <x:v>1494768</x:v>
      </x:c>
      <x:c r="G105" s="74" t="s">
        <x:v>109</x:v>
      </x:c>
      <x:c r="H105" s="72" t="s">
        <x:v>110</x:v>
      </x:c>
      <x:c r="I105" s="86"/>
      <x:c r="J105" s="75">
        <x:f>+Puantaj!C109</x:f>
      </x:c>
      <x:c r="K105" s="72">
        <x:f>+Puantaj!D109</x:f>
      </x:c>
      <x:c r="L105" s="72">
        <x:f>+Puantaj!E109</x:f>
      </x:c>
      <x:c r="M105" s="265">
        <x:f>+BORDRO!F109</x:f>
      </x:c>
      <x:c r="N105" s="72"/>
      <x:c r="O105" s="87">
        <x:f>+BORDRO!G109</x:f>
      </x:c>
      <x:c r="P105" s="87">
        <x:v>0</x:v>
      </x:c>
      <x:c r="Q105" s="266">
        <x:v>24</x:v>
      </x:c>
      <x:c r="R105" s="267" t="s">
        <x:v>111</x:v>
      </x:c>
      <x:c r="S105" s="78"/>
      <x:c r="T105" s="78"/>
      <x:c r="U105" s="79"/>
      <x:c r="V105" s="268">
        <x:f>31-M105-Q105</x:f>
      </x:c>
      <x:c r="W105" s="269">
        <x:v>6</x:v>
      </x:c>
      <x:c r="X105" s="270" t="s">
        <x:v>112</x:v>
      </x:c>
      <x:c r="Y105" s="73">
        <x:v>2</x:v>
      </x:c>
      <x:c r="Z105" s="72" t="s">
        <x:v>106</x:v>
      </x:c>
      <x:c r="AA105" s="82" t="s">
        <x:v>111</x:v>
      </x:c>
      <x:c r="AB105" s="72">
        <x:v>2025</x:v>
      </x:c>
      <x:c r="AC105" s="72" t="s">
        <x:v>113</x:v>
      </x:c>
      <x:c r="AD105" s="88">
        <x:f>+BORDRO!J109</x:f>
      </x:c>
      <x:c r="AE105" s="83"/>
      <x:c r="AF105" s="83">
        <x:f>+BORDRO!K109</x:f>
      </x:c>
      <x:c r="AG105" s="83">
        <x:f>+BORDRO!L109</x:f>
      </x:c>
      <x:c r="AH105" s="88">
        <x:f>+BORDRO!M109</x:f>
      </x:c>
      <x:c r="AI105" s="83">
        <x:f>+BORDRO!O109</x:f>
      </x:c>
      <x:c r="AJ105" s="84">
        <x:f>+BORDRO!P109</x:f>
      </x:c>
    </x:row>
    <x:row r="106" spans="1:36" ht="15" customHeight="1" x14ac:dyDescent="0.25">
      <x:c r="A106" s="72" t="s">
        <x:v>106</x:v>
      </x:c>
      <x:c r="B106" s="264">
        <x:v>46</x:v>
      </x:c>
      <x:c r="C106" s="72" t="s">
        <x:v>107</x:v>
      </x:c>
      <x:c r="D106" s="72" t="s">
        <x:v>108</x:v>
      </x:c>
      <x:c r="E106" s="72" t="s">
        <x:v>108</x:v>
      </x:c>
      <x:c r="F106" s="73">
        <x:v>1494768</x:v>
      </x:c>
      <x:c r="G106" s="74" t="s">
        <x:v>109</x:v>
      </x:c>
      <x:c r="H106" s="72" t="s">
        <x:v>110</x:v>
      </x:c>
      <x:c r="I106" s="86"/>
      <x:c r="J106" s="75">
        <x:f>+Puantaj!C110</x:f>
      </x:c>
      <x:c r="K106" s="72">
        <x:f>+Puantaj!D110</x:f>
      </x:c>
      <x:c r="L106" s="72">
        <x:f>+Puantaj!E110</x:f>
      </x:c>
      <x:c r="M106" s="265">
        <x:f>+BORDRO!F110</x:f>
      </x:c>
      <x:c r="N106" s="72"/>
      <x:c r="O106" s="87">
        <x:f>+BORDRO!G110</x:f>
      </x:c>
      <x:c r="P106" s="87">
        <x:v>0</x:v>
      </x:c>
      <x:c r="Q106" s="266">
        <x:v>24</x:v>
      </x:c>
      <x:c r="R106" s="267" t="s">
        <x:v>111</x:v>
      </x:c>
      <x:c r="S106" s="78"/>
      <x:c r="T106" s="78"/>
      <x:c r="U106" s="79"/>
      <x:c r="V106" s="268">
        <x:f>31-M106-Q106</x:f>
      </x:c>
      <x:c r="W106" s="269">
        <x:v>6</x:v>
      </x:c>
      <x:c r="X106" s="270" t="s">
        <x:v>112</x:v>
      </x:c>
      <x:c r="Y106" s="73">
        <x:v>2</x:v>
      </x:c>
      <x:c r="Z106" s="72" t="s">
        <x:v>106</x:v>
      </x:c>
      <x:c r="AA106" s="82" t="s">
        <x:v>111</x:v>
      </x:c>
      <x:c r="AB106" s="72">
        <x:v>2025</x:v>
      </x:c>
      <x:c r="AC106" s="72" t="s">
        <x:v>113</x:v>
      </x:c>
      <x:c r="AD106" s="88">
        <x:f>+BORDRO!J110</x:f>
      </x:c>
      <x:c r="AE106" s="83"/>
      <x:c r="AF106" s="83">
        <x:f>+BORDRO!K110</x:f>
      </x:c>
      <x:c r="AG106" s="83">
        <x:f>+BORDRO!L110</x:f>
      </x:c>
      <x:c r="AH106" s="88">
        <x:f>+BORDRO!M110</x:f>
      </x:c>
      <x:c r="AI106" s="83">
        <x:f>+BORDRO!O110</x:f>
      </x:c>
      <x:c r="AJ106" s="84">
        <x:f>+BORDRO!P110</x:f>
      </x:c>
    </x:row>
    <x:row r="107" spans="1:36" ht="14.25" customHeight="1" x14ac:dyDescent="0.2">
      <x:c r="A107" s="72" t="s">
        <x:v>106</x:v>
      </x:c>
      <x:c r="B107" s="271">
        <x:v>46</x:v>
      </x:c>
      <x:c r="C107" s="72" t="s">
        <x:v>107</x:v>
      </x:c>
      <x:c r="D107" s="72" t="s">
        <x:v>108</x:v>
      </x:c>
      <x:c r="E107" s="72" t="s">
        <x:v>108</x:v>
      </x:c>
      <x:c r="F107" s="73">
        <x:v>1494768</x:v>
      </x:c>
      <x:c r="G107" s="74" t="s">
        <x:v>109</x:v>
      </x:c>
      <x:c r="H107" s="72" t="s">
        <x:v>110</x:v>
      </x:c>
      <x:c r="I107" s="86"/>
      <x:c r="J107" s="75">
        <x:f>+Puantaj!C111</x:f>
      </x:c>
      <x:c r="K107" s="72">
        <x:f>+Puantaj!D111</x:f>
      </x:c>
      <x:c r="L107" s="72">
        <x:f>+Puantaj!E111</x:f>
      </x:c>
      <x:c r="M107" s="265">
        <x:f>+BORDRO!F111</x:f>
      </x:c>
      <x:c r="N107" s="72"/>
      <x:c r="O107" s="87">
        <x:f>+BORDRO!G111</x:f>
      </x:c>
      <x:c r="P107" s="87">
        <x:v>0</x:v>
      </x:c>
      <x:c r="Q107" s="266">
        <x:v>24</x:v>
      </x:c>
      <x:c r="R107" s="267" t="s">
        <x:v>111</x:v>
      </x:c>
      <x:c r="S107" s="78"/>
      <x:c r="T107" s="78"/>
      <x:c r="U107" s="79"/>
      <x:c r="V107" s="268">
        <x:f>31-M107-Q107</x:f>
      </x:c>
      <x:c r="W107" s="269">
        <x:v>6</x:v>
      </x:c>
      <x:c r="X107" s="270" t="s">
        <x:v>112</x:v>
      </x:c>
      <x:c r="Y107" s="73">
        <x:v>2</x:v>
      </x:c>
      <x:c r="Z107" s="72" t="s">
        <x:v>106</x:v>
      </x:c>
      <x:c r="AA107" s="82" t="s">
        <x:v>111</x:v>
      </x:c>
      <x:c r="AB107" s="72">
        <x:v>2025</x:v>
      </x:c>
      <x:c r="AC107" s="72" t="s">
        <x:v>113</x:v>
      </x:c>
      <x:c r="AD107" s="88">
        <x:f>+BORDRO!J111</x:f>
      </x:c>
      <x:c r="AE107" s="83"/>
      <x:c r="AF107" s="83">
        <x:f>+BORDRO!K111</x:f>
      </x:c>
      <x:c r="AG107" s="83">
        <x:f>+BORDRO!L111</x:f>
      </x:c>
      <x:c r="AH107" s="88">
        <x:f>+BORDRO!M111</x:f>
      </x:c>
      <x:c r="AI107" s="83">
        <x:f>+BORDRO!O111</x:f>
      </x:c>
      <x:c r="AJ107" s="84">
        <x:f>+BORDRO!P111</x:f>
      </x:c>
    </x:row>
    <x:row r="108" spans="1:36" ht="15" customHeight="1" x14ac:dyDescent="0.25">
      <x:c r="A108" s="72" t="s">
        <x:v>106</x:v>
      </x:c>
      <x:c r="B108" s="264">
        <x:v>46</x:v>
      </x:c>
      <x:c r="C108" s="72" t="s">
        <x:v>107</x:v>
      </x:c>
      <x:c r="D108" s="72" t="s">
        <x:v>108</x:v>
      </x:c>
      <x:c r="E108" s="72" t="s">
        <x:v>108</x:v>
      </x:c>
      <x:c r="F108" s="73">
        <x:v>1494768</x:v>
      </x:c>
      <x:c r="G108" s="74" t="s">
        <x:v>109</x:v>
      </x:c>
      <x:c r="H108" s="72" t="s">
        <x:v>110</x:v>
      </x:c>
      <x:c r="I108" s="86"/>
      <x:c r="J108" s="75">
        <x:f>+Puantaj!C112</x:f>
      </x:c>
      <x:c r="K108" s="72">
        <x:f>+Puantaj!D112</x:f>
      </x:c>
      <x:c r="L108" s="72">
        <x:f>+Puantaj!E112</x:f>
      </x:c>
      <x:c r="M108" s="265">
        <x:f>+BORDRO!F112</x:f>
      </x:c>
      <x:c r="N108" s="72"/>
      <x:c r="O108" s="87">
        <x:f>+BORDRO!G112</x:f>
      </x:c>
      <x:c r="P108" s="87">
        <x:v>0</x:v>
      </x:c>
      <x:c r="Q108" s="266">
        <x:v>24</x:v>
      </x:c>
      <x:c r="R108" s="267" t="s">
        <x:v>111</x:v>
      </x:c>
      <x:c r="S108" s="78"/>
      <x:c r="T108" s="78"/>
      <x:c r="U108" s="79"/>
      <x:c r="V108" s="268">
        <x:f>31-M108-Q108</x:f>
      </x:c>
      <x:c r="W108" s="269">
        <x:v>6</x:v>
      </x:c>
      <x:c r="X108" s="270" t="s">
        <x:v>112</x:v>
      </x:c>
      <x:c r="Y108" s="73">
        <x:v>2</x:v>
      </x:c>
      <x:c r="Z108" s="72" t="s">
        <x:v>106</x:v>
      </x:c>
      <x:c r="AA108" s="82" t="s">
        <x:v>111</x:v>
      </x:c>
      <x:c r="AB108" s="72">
        <x:v>2025</x:v>
      </x:c>
      <x:c r="AC108" s="72" t="s">
        <x:v>113</x:v>
      </x:c>
      <x:c r="AD108" s="88">
        <x:f>+BORDRO!J112</x:f>
      </x:c>
      <x:c r="AE108" s="83"/>
      <x:c r="AF108" s="83">
        <x:f>+BORDRO!K112</x:f>
      </x:c>
      <x:c r="AG108" s="83">
        <x:f>+BORDRO!L112</x:f>
      </x:c>
      <x:c r="AH108" s="88">
        <x:f>+BORDRO!M112</x:f>
      </x:c>
      <x:c r="AI108" s="83">
        <x:f>+BORDRO!O112</x:f>
      </x:c>
      <x:c r="AJ108" s="84">
        <x:f>+BORDRO!P112</x:f>
      </x:c>
    </x:row>
    <x:row r="109" spans="1:36" ht="14.25" customHeight="1" x14ac:dyDescent="0.2">
      <x:c r="A109" s="72" t="s">
        <x:v>106</x:v>
      </x:c>
      <x:c r="B109" s="271">
        <x:v>46</x:v>
      </x:c>
      <x:c r="C109" s="72" t="s">
        <x:v>107</x:v>
      </x:c>
      <x:c r="D109" s="72" t="s">
        <x:v>108</x:v>
      </x:c>
      <x:c r="E109" s="72" t="s">
        <x:v>108</x:v>
      </x:c>
      <x:c r="F109" s="73">
        <x:v>1494768</x:v>
      </x:c>
      <x:c r="G109" s="74" t="s">
        <x:v>109</x:v>
      </x:c>
      <x:c r="H109" s="72" t="s">
        <x:v>110</x:v>
      </x:c>
      <x:c r="I109" s="86"/>
      <x:c r="J109" s="75">
        <x:f>+Puantaj!C113</x:f>
      </x:c>
      <x:c r="K109" s="72">
        <x:f>+Puantaj!D113</x:f>
      </x:c>
      <x:c r="L109" s="72">
        <x:f>+Puantaj!E113</x:f>
      </x:c>
      <x:c r="M109" s="265">
        <x:f>+BORDRO!F113</x:f>
      </x:c>
      <x:c r="N109" s="72"/>
      <x:c r="O109" s="87">
        <x:f>+BORDRO!G113</x:f>
      </x:c>
      <x:c r="P109" s="87">
        <x:v>0</x:v>
      </x:c>
      <x:c r="Q109" s="266">
        <x:v>24</x:v>
      </x:c>
      <x:c r="R109" s="267" t="s">
        <x:v>111</x:v>
      </x:c>
      <x:c r="S109" s="78"/>
      <x:c r="T109" s="78"/>
      <x:c r="U109" s="79"/>
      <x:c r="V109" s="268">
        <x:f>31-M109-Q109</x:f>
      </x:c>
      <x:c r="W109" s="269">
        <x:v>6</x:v>
      </x:c>
      <x:c r="X109" s="270" t="s">
        <x:v>112</x:v>
      </x:c>
      <x:c r="Y109" s="73">
        <x:v>2</x:v>
      </x:c>
      <x:c r="Z109" s="72" t="s">
        <x:v>106</x:v>
      </x:c>
      <x:c r="AA109" s="82" t="s">
        <x:v>111</x:v>
      </x:c>
      <x:c r="AB109" s="72">
        <x:v>2025</x:v>
      </x:c>
      <x:c r="AC109" s="72" t="s">
        <x:v>113</x:v>
      </x:c>
      <x:c r="AD109" s="88">
        <x:f>+BORDRO!J113</x:f>
      </x:c>
      <x:c r="AE109" s="83"/>
      <x:c r="AF109" s="83">
        <x:f>+BORDRO!K113</x:f>
      </x:c>
      <x:c r="AG109" s="83">
        <x:f>+BORDRO!L113</x:f>
      </x:c>
      <x:c r="AH109" s="88">
        <x:f>+BORDRO!M113</x:f>
      </x:c>
      <x:c r="AI109" s="83">
        <x:f>+BORDRO!O113</x:f>
      </x:c>
      <x:c r="AJ109" s="84">
        <x:f>+BORDRO!P113</x:f>
      </x:c>
    </x:row>
    <x:row r="110" spans="1:36" ht="15" customHeight="1" x14ac:dyDescent="0.25">
      <x:c r="A110" s="72" t="s">
        <x:v>106</x:v>
      </x:c>
      <x:c r="B110" s="264">
        <x:v>46</x:v>
      </x:c>
      <x:c r="C110" s="72" t="s">
        <x:v>107</x:v>
      </x:c>
      <x:c r="D110" s="72" t="s">
        <x:v>108</x:v>
      </x:c>
      <x:c r="E110" s="72" t="s">
        <x:v>108</x:v>
      </x:c>
      <x:c r="F110" s="73">
        <x:v>1494768</x:v>
      </x:c>
      <x:c r="G110" s="74" t="s">
        <x:v>109</x:v>
      </x:c>
      <x:c r="H110" s="72" t="s">
        <x:v>110</x:v>
      </x:c>
      <x:c r="I110" s="86"/>
      <x:c r="J110" s="75">
        <x:f>+Puantaj!C114</x:f>
      </x:c>
      <x:c r="K110" s="72">
        <x:f>+Puantaj!D114</x:f>
      </x:c>
      <x:c r="L110" s="72">
        <x:f>+Puantaj!E114</x:f>
      </x:c>
      <x:c r="M110" s="265">
        <x:f>+BORDRO!F114</x:f>
      </x:c>
      <x:c r="N110" s="72"/>
      <x:c r="O110" s="87">
        <x:f>+BORDRO!G114</x:f>
      </x:c>
      <x:c r="P110" s="87">
        <x:v>0</x:v>
      </x:c>
      <x:c r="Q110" s="266">
        <x:v>24</x:v>
      </x:c>
      <x:c r="R110" s="267" t="s">
        <x:v>111</x:v>
      </x:c>
      <x:c r="S110" s="78"/>
      <x:c r="T110" s="78"/>
      <x:c r="U110" s="79"/>
      <x:c r="V110" s="268">
        <x:f>31-M110-Q110</x:f>
      </x:c>
      <x:c r="W110" s="269">
        <x:v>6</x:v>
      </x:c>
      <x:c r="X110" s="270" t="s">
        <x:v>112</x:v>
      </x:c>
      <x:c r="Y110" s="73">
        <x:v>2</x:v>
      </x:c>
      <x:c r="Z110" s="72" t="s">
        <x:v>106</x:v>
      </x:c>
      <x:c r="AA110" s="82" t="s">
        <x:v>111</x:v>
      </x:c>
      <x:c r="AB110" s="72">
        <x:v>2025</x:v>
      </x:c>
      <x:c r="AC110" s="72" t="s">
        <x:v>113</x:v>
      </x:c>
      <x:c r="AD110" s="88">
        <x:f>+BORDRO!J114</x:f>
      </x:c>
      <x:c r="AE110" s="83"/>
      <x:c r="AF110" s="83">
        <x:f>+BORDRO!K114</x:f>
      </x:c>
      <x:c r="AG110" s="83">
        <x:f>+BORDRO!L114</x:f>
      </x:c>
      <x:c r="AH110" s="88">
        <x:f>+BORDRO!M114</x:f>
      </x:c>
      <x:c r="AI110" s="83">
        <x:f>+BORDRO!O114</x:f>
      </x:c>
      <x:c r="AJ110" s="84">
        <x:f>+BORDRO!P114</x:f>
      </x:c>
    </x:row>
    <x:row r="111" spans="1:36" ht="14.25" customHeight="1" x14ac:dyDescent="0.2">
      <x:c r="A111" s="72" t="s">
        <x:v>106</x:v>
      </x:c>
      <x:c r="B111" s="271">
        <x:v>46</x:v>
      </x:c>
      <x:c r="C111" s="72" t="s">
        <x:v>107</x:v>
      </x:c>
      <x:c r="D111" s="72" t="s">
        <x:v>108</x:v>
      </x:c>
      <x:c r="E111" s="72" t="s">
        <x:v>108</x:v>
      </x:c>
      <x:c r="F111" s="73">
        <x:v>1494768</x:v>
      </x:c>
      <x:c r="G111" s="74" t="s">
        <x:v>109</x:v>
      </x:c>
      <x:c r="H111" s="72" t="s">
        <x:v>110</x:v>
      </x:c>
      <x:c r="I111" s="86"/>
      <x:c r="J111" s="75">
        <x:f>+Puantaj!C115</x:f>
      </x:c>
      <x:c r="K111" s="72">
        <x:f>+Puantaj!D115</x:f>
      </x:c>
      <x:c r="L111" s="72">
        <x:f>+Puantaj!E115</x:f>
      </x:c>
      <x:c r="M111" s="265">
        <x:f>+BORDRO!F115</x:f>
      </x:c>
      <x:c r="N111" s="72"/>
      <x:c r="O111" s="87">
        <x:f>+BORDRO!G115</x:f>
      </x:c>
      <x:c r="P111" s="87">
        <x:v>0</x:v>
      </x:c>
      <x:c r="Q111" s="266">
        <x:v>24</x:v>
      </x:c>
      <x:c r="R111" s="267" t="s">
        <x:v>111</x:v>
      </x:c>
      <x:c r="S111" s="78"/>
      <x:c r="T111" s="78"/>
      <x:c r="U111" s="79"/>
      <x:c r="V111" s="268">
        <x:f>31-M111-Q111</x:f>
      </x:c>
      <x:c r="W111" s="269">
        <x:v>6</x:v>
      </x:c>
      <x:c r="X111" s="270" t="s">
        <x:v>112</x:v>
      </x:c>
      <x:c r="Y111" s="73">
        <x:v>2</x:v>
      </x:c>
      <x:c r="Z111" s="72" t="s">
        <x:v>106</x:v>
      </x:c>
      <x:c r="AA111" s="82" t="s">
        <x:v>111</x:v>
      </x:c>
      <x:c r="AB111" s="72">
        <x:v>2025</x:v>
      </x:c>
      <x:c r="AC111" s="72" t="s">
        <x:v>113</x:v>
      </x:c>
      <x:c r="AD111" s="88">
        <x:f>+BORDRO!J115</x:f>
      </x:c>
      <x:c r="AE111" s="83"/>
      <x:c r="AF111" s="83">
        <x:f>+BORDRO!K115</x:f>
      </x:c>
      <x:c r="AG111" s="83">
        <x:f>+BORDRO!L115</x:f>
      </x:c>
      <x:c r="AH111" s="88">
        <x:f>+BORDRO!M115</x:f>
      </x:c>
      <x:c r="AI111" s="83">
        <x:f>+BORDRO!O115</x:f>
      </x:c>
      <x:c r="AJ111" s="84">
        <x:f>+BORDRO!P115</x:f>
      </x:c>
    </x:row>
    <x:row r="112" spans="1:36" ht="15" customHeight="1" x14ac:dyDescent="0.25">
      <x:c r="A112" s="72" t="s">
        <x:v>106</x:v>
      </x:c>
      <x:c r="B112" s="264">
        <x:v>46</x:v>
      </x:c>
      <x:c r="C112" s="72" t="s">
        <x:v>107</x:v>
      </x:c>
      <x:c r="D112" s="72" t="s">
        <x:v>108</x:v>
      </x:c>
      <x:c r="E112" s="72" t="s">
        <x:v>108</x:v>
      </x:c>
      <x:c r="F112" s="73">
        <x:v>1494768</x:v>
      </x:c>
      <x:c r="G112" s="74" t="s">
        <x:v>109</x:v>
      </x:c>
      <x:c r="H112" s="72" t="s">
        <x:v>110</x:v>
      </x:c>
      <x:c r="I112" s="86"/>
      <x:c r="J112" s="75">
        <x:f>+Puantaj!C116</x:f>
      </x:c>
      <x:c r="K112" s="72">
        <x:f>+Puantaj!D116</x:f>
      </x:c>
      <x:c r="L112" s="72">
        <x:f>+Puantaj!E116</x:f>
      </x:c>
      <x:c r="M112" s="265">
        <x:f>+BORDRO!F116</x:f>
      </x:c>
      <x:c r="N112" s="72"/>
      <x:c r="O112" s="87">
        <x:f>+BORDRO!G116</x:f>
      </x:c>
      <x:c r="P112" s="87">
        <x:v>0</x:v>
      </x:c>
      <x:c r="Q112" s="266">
        <x:v>24</x:v>
      </x:c>
      <x:c r="R112" s="267" t="s">
        <x:v>111</x:v>
      </x:c>
      <x:c r="S112" s="78"/>
      <x:c r="T112" s="78"/>
      <x:c r="U112" s="79"/>
      <x:c r="V112" s="268">
        <x:f>31-M112-Q112</x:f>
      </x:c>
      <x:c r="W112" s="269">
        <x:v>6</x:v>
      </x:c>
      <x:c r="X112" s="270" t="s">
        <x:v>112</x:v>
      </x:c>
      <x:c r="Y112" s="73">
        <x:v>2</x:v>
      </x:c>
      <x:c r="Z112" s="72" t="s">
        <x:v>106</x:v>
      </x:c>
      <x:c r="AA112" s="82" t="s">
        <x:v>111</x:v>
      </x:c>
      <x:c r="AB112" s="72">
        <x:v>2025</x:v>
      </x:c>
      <x:c r="AC112" s="72" t="s">
        <x:v>113</x:v>
      </x:c>
      <x:c r="AD112" s="88">
        <x:f>+BORDRO!J116</x:f>
      </x:c>
      <x:c r="AE112" s="83"/>
      <x:c r="AF112" s="83">
        <x:f>+BORDRO!K116</x:f>
      </x:c>
      <x:c r="AG112" s="83">
        <x:f>+BORDRO!L116</x:f>
      </x:c>
      <x:c r="AH112" s="88">
        <x:f>+BORDRO!M116</x:f>
      </x:c>
      <x:c r="AI112" s="83">
        <x:f>+BORDRO!O116</x:f>
      </x:c>
      <x:c r="AJ112" s="84">
        <x:f>+BORDRO!P116</x:f>
      </x:c>
    </x:row>
    <x:row r="113" spans="1:36" ht="14.25" customHeight="1" x14ac:dyDescent="0.2">
      <x:c r="A113" s="72" t="s">
        <x:v>106</x:v>
      </x:c>
      <x:c r="B113" s="271">
        <x:v>46</x:v>
      </x:c>
      <x:c r="C113" s="72" t="s">
        <x:v>107</x:v>
      </x:c>
      <x:c r="D113" s="72" t="s">
        <x:v>108</x:v>
      </x:c>
      <x:c r="E113" s="72" t="s">
        <x:v>108</x:v>
      </x:c>
      <x:c r="F113" s="73">
        <x:v>1494768</x:v>
      </x:c>
      <x:c r="G113" s="74" t="s">
        <x:v>109</x:v>
      </x:c>
      <x:c r="H113" s="72" t="s">
        <x:v>110</x:v>
      </x:c>
      <x:c r="I113" s="86"/>
      <x:c r="J113" s="75">
        <x:f>+Puantaj!C117</x:f>
      </x:c>
      <x:c r="K113" s="72">
        <x:f>+Puantaj!D117</x:f>
      </x:c>
      <x:c r="L113" s="72">
        <x:f>+Puantaj!E117</x:f>
      </x:c>
      <x:c r="M113" s="265">
        <x:f>+BORDRO!F117</x:f>
      </x:c>
      <x:c r="N113" s="72"/>
      <x:c r="O113" s="87">
        <x:f>+BORDRO!G117</x:f>
      </x:c>
      <x:c r="P113" s="87">
        <x:v>0</x:v>
      </x:c>
      <x:c r="Q113" s="266">
        <x:v>24</x:v>
      </x:c>
      <x:c r="R113" s="267" t="s">
        <x:v>111</x:v>
      </x:c>
      <x:c r="S113" s="78"/>
      <x:c r="T113" s="78"/>
      <x:c r="U113" s="79"/>
      <x:c r="V113" s="268">
        <x:f>31-M113-Q113</x:f>
      </x:c>
      <x:c r="W113" s="269">
        <x:v>6</x:v>
      </x:c>
      <x:c r="X113" s="270" t="s">
        <x:v>112</x:v>
      </x:c>
      <x:c r="Y113" s="73">
        <x:v>2</x:v>
      </x:c>
      <x:c r="Z113" s="72" t="s">
        <x:v>106</x:v>
      </x:c>
      <x:c r="AA113" s="82" t="s">
        <x:v>111</x:v>
      </x:c>
      <x:c r="AB113" s="72">
        <x:v>2025</x:v>
      </x:c>
      <x:c r="AC113" s="72" t="s">
        <x:v>113</x:v>
      </x:c>
      <x:c r="AD113" s="88">
        <x:f>+BORDRO!J117</x:f>
      </x:c>
      <x:c r="AE113" s="83"/>
      <x:c r="AF113" s="83">
        <x:f>+BORDRO!K117</x:f>
      </x:c>
      <x:c r="AG113" s="83">
        <x:f>+BORDRO!L117</x:f>
      </x:c>
      <x:c r="AH113" s="88">
        <x:f>+BORDRO!M117</x:f>
      </x:c>
      <x:c r="AI113" s="83">
        <x:f>+BORDRO!O117</x:f>
      </x:c>
      <x:c r="AJ113" s="84">
        <x:f>+BORDRO!P117</x:f>
      </x:c>
    </x:row>
    <x:row r="114" spans="1:36" ht="15" customHeight="1" x14ac:dyDescent="0.25">
      <x:c r="A114" s="72" t="s">
        <x:v>106</x:v>
      </x:c>
      <x:c r="B114" s="264">
        <x:v>46</x:v>
      </x:c>
      <x:c r="C114" s="72" t="s">
        <x:v>107</x:v>
      </x:c>
      <x:c r="D114" s="72" t="s">
        <x:v>108</x:v>
      </x:c>
      <x:c r="E114" s="72" t="s">
        <x:v>108</x:v>
      </x:c>
      <x:c r="F114" s="73">
        <x:v>1494768</x:v>
      </x:c>
      <x:c r="G114" s="74" t="s">
        <x:v>109</x:v>
      </x:c>
      <x:c r="H114" s="72" t="s">
        <x:v>110</x:v>
      </x:c>
      <x:c r="I114" s="86"/>
      <x:c r="J114" s="75">
        <x:f>+Puantaj!C118</x:f>
      </x:c>
      <x:c r="K114" s="72">
        <x:f>+Puantaj!D118</x:f>
      </x:c>
      <x:c r="L114" s="72">
        <x:f>+Puantaj!E118</x:f>
      </x:c>
      <x:c r="M114" s="265">
        <x:f>+BORDRO!F118</x:f>
      </x:c>
      <x:c r="N114" s="72"/>
      <x:c r="O114" s="87">
        <x:f>+BORDRO!G118</x:f>
      </x:c>
      <x:c r="P114" s="87">
        <x:v>0</x:v>
      </x:c>
      <x:c r="Q114" s="266">
        <x:v>24</x:v>
      </x:c>
      <x:c r="R114" s="267" t="s">
        <x:v>111</x:v>
      </x:c>
      <x:c r="S114" s="78"/>
      <x:c r="T114" s="78"/>
      <x:c r="U114" s="79"/>
      <x:c r="V114" s="268">
        <x:f>31-M114-Q114</x:f>
      </x:c>
      <x:c r="W114" s="269">
        <x:v>6</x:v>
      </x:c>
      <x:c r="X114" s="270" t="s">
        <x:v>112</x:v>
      </x:c>
      <x:c r="Y114" s="73">
        <x:v>2</x:v>
      </x:c>
      <x:c r="Z114" s="72" t="s">
        <x:v>106</x:v>
      </x:c>
      <x:c r="AA114" s="82" t="s">
        <x:v>111</x:v>
      </x:c>
      <x:c r="AB114" s="72">
        <x:v>2025</x:v>
      </x:c>
      <x:c r="AC114" s="72" t="s">
        <x:v>113</x:v>
      </x:c>
      <x:c r="AD114" s="88">
        <x:f>+BORDRO!J118</x:f>
      </x:c>
      <x:c r="AE114" s="83"/>
      <x:c r="AF114" s="83">
        <x:f>+BORDRO!K118</x:f>
      </x:c>
      <x:c r="AG114" s="83">
        <x:f>+BORDRO!L118</x:f>
      </x:c>
      <x:c r="AH114" s="88">
        <x:f>+BORDRO!M118</x:f>
      </x:c>
      <x:c r="AI114" s="83">
        <x:f>+BORDRO!O118</x:f>
      </x:c>
      <x:c r="AJ114" s="84">
        <x:f>+BORDRO!P118</x:f>
      </x:c>
    </x:row>
    <x:row r="115" spans="1:36" ht="14.25" customHeight="1" x14ac:dyDescent="0.2">
      <x:c r="A115" s="72" t="s">
        <x:v>106</x:v>
      </x:c>
      <x:c r="B115" s="271">
        <x:v>46</x:v>
      </x:c>
      <x:c r="C115" s="72" t="s">
        <x:v>107</x:v>
      </x:c>
      <x:c r="D115" s="72" t="s">
        <x:v>108</x:v>
      </x:c>
      <x:c r="E115" s="72" t="s">
        <x:v>108</x:v>
      </x:c>
      <x:c r="F115" s="73">
        <x:v>1494768</x:v>
      </x:c>
      <x:c r="G115" s="74" t="s">
        <x:v>109</x:v>
      </x:c>
      <x:c r="H115" s="72" t="s">
        <x:v>110</x:v>
      </x:c>
      <x:c r="I115" s="86"/>
      <x:c r="J115" s="75">
        <x:f>+Puantaj!C119</x:f>
      </x:c>
      <x:c r="K115" s="72">
        <x:f>+Puantaj!D119</x:f>
      </x:c>
      <x:c r="L115" s="72">
        <x:f>+Puantaj!E119</x:f>
      </x:c>
      <x:c r="M115" s="265">
        <x:f>+BORDRO!F119</x:f>
      </x:c>
      <x:c r="N115" s="72"/>
      <x:c r="O115" s="87">
        <x:f>+BORDRO!G119</x:f>
      </x:c>
      <x:c r="P115" s="87">
        <x:v>0</x:v>
      </x:c>
      <x:c r="Q115" s="266">
        <x:v>24</x:v>
      </x:c>
      <x:c r="R115" s="267" t="s">
        <x:v>111</x:v>
      </x:c>
      <x:c r="S115" s="78"/>
      <x:c r="T115" s="78"/>
      <x:c r="U115" s="79"/>
      <x:c r="V115" s="268">
        <x:f>31-M115-Q115</x:f>
      </x:c>
      <x:c r="W115" s="269">
        <x:v>6</x:v>
      </x:c>
      <x:c r="X115" s="270" t="s">
        <x:v>112</x:v>
      </x:c>
      <x:c r="Y115" s="73">
        <x:v>2</x:v>
      </x:c>
      <x:c r="Z115" s="72" t="s">
        <x:v>106</x:v>
      </x:c>
      <x:c r="AA115" s="82" t="s">
        <x:v>111</x:v>
      </x:c>
      <x:c r="AB115" s="72">
        <x:v>2025</x:v>
      </x:c>
      <x:c r="AC115" s="72" t="s">
        <x:v>113</x:v>
      </x:c>
      <x:c r="AD115" s="88">
        <x:f>+BORDRO!J119</x:f>
      </x:c>
      <x:c r="AE115" s="83"/>
      <x:c r="AF115" s="83">
        <x:f>+BORDRO!K119</x:f>
      </x:c>
      <x:c r="AG115" s="83">
        <x:f>+BORDRO!L119</x:f>
      </x:c>
      <x:c r="AH115" s="88">
        <x:f>+BORDRO!M119</x:f>
      </x:c>
      <x:c r="AI115" s="83">
        <x:f>+BORDRO!O119</x:f>
      </x:c>
      <x:c r="AJ115" s="84">
        <x:f>+BORDRO!P119</x:f>
      </x:c>
    </x:row>
    <x:row r="116" spans="1:36" ht="15" customHeight="1" x14ac:dyDescent="0.25">
      <x:c r="A116" s="72" t="s">
        <x:v>106</x:v>
      </x:c>
      <x:c r="B116" s="264">
        <x:v>46</x:v>
      </x:c>
      <x:c r="C116" s="72" t="s">
        <x:v>107</x:v>
      </x:c>
      <x:c r="D116" s="72" t="s">
        <x:v>108</x:v>
      </x:c>
      <x:c r="E116" s="72" t="s">
        <x:v>108</x:v>
      </x:c>
      <x:c r="F116" s="73">
        <x:v>1494768</x:v>
      </x:c>
      <x:c r="G116" s="74" t="s">
        <x:v>109</x:v>
      </x:c>
      <x:c r="H116" s="72" t="s">
        <x:v>110</x:v>
      </x:c>
      <x:c r="I116" s="86"/>
      <x:c r="J116" s="75">
        <x:f>+Puantaj!C120</x:f>
      </x:c>
      <x:c r="K116" s="72">
        <x:f>+Puantaj!D120</x:f>
      </x:c>
      <x:c r="L116" s="72">
        <x:f>+Puantaj!E120</x:f>
      </x:c>
      <x:c r="M116" s="265">
        <x:f>+BORDRO!F120</x:f>
      </x:c>
      <x:c r="N116" s="72"/>
      <x:c r="O116" s="87">
        <x:f>+BORDRO!G120</x:f>
      </x:c>
      <x:c r="P116" s="87">
        <x:v>0</x:v>
      </x:c>
      <x:c r="Q116" s="266">
        <x:v>24</x:v>
      </x:c>
      <x:c r="R116" s="267" t="s">
        <x:v>111</x:v>
      </x:c>
      <x:c r="S116" s="78"/>
      <x:c r="T116" s="78"/>
      <x:c r="U116" s="79"/>
      <x:c r="V116" s="268">
        <x:f>31-M116-Q116</x:f>
      </x:c>
      <x:c r="W116" s="269">
        <x:v>6</x:v>
      </x:c>
      <x:c r="X116" s="270" t="s">
        <x:v>112</x:v>
      </x:c>
      <x:c r="Y116" s="73">
        <x:v>2</x:v>
      </x:c>
      <x:c r="Z116" s="72" t="s">
        <x:v>106</x:v>
      </x:c>
      <x:c r="AA116" s="82" t="s">
        <x:v>111</x:v>
      </x:c>
      <x:c r="AB116" s="72">
        <x:v>2025</x:v>
      </x:c>
      <x:c r="AC116" s="72" t="s">
        <x:v>113</x:v>
      </x:c>
      <x:c r="AD116" s="88">
        <x:f>+BORDRO!J120</x:f>
      </x:c>
      <x:c r="AE116" s="83"/>
      <x:c r="AF116" s="83">
        <x:f>+BORDRO!K120</x:f>
      </x:c>
      <x:c r="AG116" s="83">
        <x:f>+BORDRO!L120</x:f>
      </x:c>
      <x:c r="AH116" s="88">
        <x:f>+BORDRO!M120</x:f>
      </x:c>
      <x:c r="AI116" s="83">
        <x:f>+BORDRO!O120</x:f>
      </x:c>
      <x:c r="AJ116" s="84">
        <x:f>+BORDRO!P120</x:f>
      </x:c>
    </x:row>
    <x:row r="117" spans="1:36" ht="14.25" customHeight="1" x14ac:dyDescent="0.2">
      <x:c r="A117" s="72" t="s">
        <x:v>106</x:v>
      </x:c>
      <x:c r="B117" s="271">
        <x:v>46</x:v>
      </x:c>
      <x:c r="C117" s="72" t="s">
        <x:v>107</x:v>
      </x:c>
      <x:c r="D117" s="72" t="s">
        <x:v>108</x:v>
      </x:c>
      <x:c r="E117" s="72" t="s">
        <x:v>108</x:v>
      </x:c>
      <x:c r="F117" s="73">
        <x:v>1494768</x:v>
      </x:c>
      <x:c r="G117" s="74" t="s">
        <x:v>109</x:v>
      </x:c>
      <x:c r="H117" s="72" t="s">
        <x:v>110</x:v>
      </x:c>
      <x:c r="I117" s="86"/>
      <x:c r="J117" s="75">
        <x:f>+Puantaj!C121</x:f>
      </x:c>
      <x:c r="K117" s="72">
        <x:f>+Puantaj!D121</x:f>
      </x:c>
      <x:c r="L117" s="72">
        <x:f>+Puantaj!E121</x:f>
      </x:c>
      <x:c r="M117" s="265">
        <x:f>+BORDRO!F121</x:f>
      </x:c>
      <x:c r="N117" s="72"/>
      <x:c r="O117" s="87">
        <x:f>+BORDRO!G121</x:f>
      </x:c>
      <x:c r="P117" s="87">
        <x:v>0</x:v>
      </x:c>
      <x:c r="Q117" s="266">
        <x:v>24</x:v>
      </x:c>
      <x:c r="R117" s="267" t="s">
        <x:v>111</x:v>
      </x:c>
      <x:c r="S117" s="78"/>
      <x:c r="T117" s="78"/>
      <x:c r="U117" s="79"/>
      <x:c r="V117" s="268">
        <x:f>31-M117-Q117</x:f>
      </x:c>
      <x:c r="W117" s="269">
        <x:v>6</x:v>
      </x:c>
      <x:c r="X117" s="270" t="s">
        <x:v>112</x:v>
      </x:c>
      <x:c r="Y117" s="73">
        <x:v>2</x:v>
      </x:c>
      <x:c r="Z117" s="72" t="s">
        <x:v>106</x:v>
      </x:c>
      <x:c r="AA117" s="82" t="s">
        <x:v>111</x:v>
      </x:c>
      <x:c r="AB117" s="72">
        <x:v>2025</x:v>
      </x:c>
      <x:c r="AC117" s="72" t="s">
        <x:v>113</x:v>
      </x:c>
      <x:c r="AD117" s="88">
        <x:f>+BORDRO!J121</x:f>
      </x:c>
      <x:c r="AE117" s="83"/>
      <x:c r="AF117" s="83">
        <x:f>+BORDRO!K121</x:f>
      </x:c>
      <x:c r="AG117" s="83">
        <x:f>+BORDRO!L121</x:f>
      </x:c>
      <x:c r="AH117" s="88">
        <x:f>+BORDRO!M121</x:f>
      </x:c>
      <x:c r="AI117" s="83">
        <x:f>+BORDRO!O121</x:f>
      </x:c>
      <x:c r="AJ117" s="84">
        <x:f>+BORDRO!P121</x:f>
      </x:c>
    </x:row>
    <x:row r="118" spans="1:36" ht="15" customHeight="1" x14ac:dyDescent="0.25">
      <x:c r="A118" s="72" t="s">
        <x:v>106</x:v>
      </x:c>
      <x:c r="B118" s="264">
        <x:v>46</x:v>
      </x:c>
      <x:c r="C118" s="72" t="s">
        <x:v>107</x:v>
      </x:c>
      <x:c r="D118" s="72" t="s">
        <x:v>108</x:v>
      </x:c>
      <x:c r="E118" s="72" t="s">
        <x:v>108</x:v>
      </x:c>
      <x:c r="F118" s="73">
        <x:v>1494768</x:v>
      </x:c>
      <x:c r="G118" s="74" t="s">
        <x:v>109</x:v>
      </x:c>
      <x:c r="H118" s="72" t="s">
        <x:v>110</x:v>
      </x:c>
      <x:c r="I118" s="86"/>
      <x:c r="J118" s="75">
        <x:f>+Puantaj!C122</x:f>
      </x:c>
      <x:c r="K118" s="72">
        <x:f>+Puantaj!D122</x:f>
      </x:c>
      <x:c r="L118" s="72">
        <x:f>+Puantaj!E122</x:f>
      </x:c>
      <x:c r="M118" s="265">
        <x:f>+BORDRO!F122</x:f>
      </x:c>
      <x:c r="N118" s="72"/>
      <x:c r="O118" s="87">
        <x:f>+BORDRO!G122</x:f>
      </x:c>
      <x:c r="P118" s="87">
        <x:v>0</x:v>
      </x:c>
      <x:c r="Q118" s="266">
        <x:v>24</x:v>
      </x:c>
      <x:c r="R118" s="267" t="s">
        <x:v>111</x:v>
      </x:c>
      <x:c r="S118" s="78"/>
      <x:c r="T118" s="78"/>
      <x:c r="U118" s="79"/>
      <x:c r="V118" s="268">
        <x:f>31-M118-Q118</x:f>
      </x:c>
      <x:c r="W118" s="269">
        <x:v>6</x:v>
      </x:c>
      <x:c r="X118" s="270" t="s">
        <x:v>112</x:v>
      </x:c>
      <x:c r="Y118" s="73">
        <x:v>2</x:v>
      </x:c>
      <x:c r="Z118" s="72" t="s">
        <x:v>106</x:v>
      </x:c>
      <x:c r="AA118" s="82" t="s">
        <x:v>111</x:v>
      </x:c>
      <x:c r="AB118" s="72">
        <x:v>2025</x:v>
      </x:c>
      <x:c r="AC118" s="72" t="s">
        <x:v>113</x:v>
      </x:c>
      <x:c r="AD118" s="88">
        <x:f>+BORDRO!J122</x:f>
      </x:c>
      <x:c r="AE118" s="83"/>
      <x:c r="AF118" s="83">
        <x:f>+BORDRO!K122</x:f>
      </x:c>
      <x:c r="AG118" s="83">
        <x:f>+BORDRO!L122</x:f>
      </x:c>
      <x:c r="AH118" s="88">
        <x:f>+BORDRO!M122</x:f>
      </x:c>
      <x:c r="AI118" s="83">
        <x:f>+BORDRO!O122</x:f>
      </x:c>
      <x:c r="AJ118" s="84">
        <x:f>+BORDRO!P122</x:f>
      </x:c>
    </x:row>
    <x:row r="119" spans="1:36" ht="14.25" customHeight="1" x14ac:dyDescent="0.2">
      <x:c r="A119" s="72" t="s">
        <x:v>106</x:v>
      </x:c>
      <x:c r="B119" s="271">
        <x:v>46</x:v>
      </x:c>
      <x:c r="C119" s="72" t="s">
        <x:v>107</x:v>
      </x:c>
      <x:c r="D119" s="72" t="s">
        <x:v>108</x:v>
      </x:c>
      <x:c r="E119" s="72" t="s">
        <x:v>108</x:v>
      </x:c>
      <x:c r="F119" s="73">
        <x:v>1494768</x:v>
      </x:c>
      <x:c r="G119" s="74" t="s">
        <x:v>109</x:v>
      </x:c>
      <x:c r="H119" s="72" t="s">
        <x:v>110</x:v>
      </x:c>
      <x:c r="I119" s="86"/>
      <x:c r="J119" s="75">
        <x:f>+Puantaj!C123</x:f>
      </x:c>
      <x:c r="K119" s="72">
        <x:f>+Puantaj!D123</x:f>
      </x:c>
      <x:c r="L119" s="72">
        <x:f>+Puantaj!E123</x:f>
      </x:c>
      <x:c r="M119" s="265">
        <x:f>+BORDRO!F123</x:f>
      </x:c>
      <x:c r="N119" s="72"/>
      <x:c r="O119" s="87">
        <x:f>+BORDRO!G123</x:f>
      </x:c>
      <x:c r="P119" s="87">
        <x:v>0</x:v>
      </x:c>
      <x:c r="Q119" s="266">
        <x:v>24</x:v>
      </x:c>
      <x:c r="R119" s="267" t="s">
        <x:v>111</x:v>
      </x:c>
      <x:c r="S119" s="78"/>
      <x:c r="T119" s="78"/>
      <x:c r="U119" s="79"/>
      <x:c r="V119" s="268">
        <x:f>31-M119-Q119</x:f>
      </x:c>
      <x:c r="W119" s="269">
        <x:v>6</x:v>
      </x:c>
      <x:c r="X119" s="270" t="s">
        <x:v>112</x:v>
      </x:c>
      <x:c r="Y119" s="73">
        <x:v>2</x:v>
      </x:c>
      <x:c r="Z119" s="72" t="s">
        <x:v>106</x:v>
      </x:c>
      <x:c r="AA119" s="82" t="s">
        <x:v>111</x:v>
      </x:c>
      <x:c r="AB119" s="72">
        <x:v>2025</x:v>
      </x:c>
      <x:c r="AC119" s="72" t="s">
        <x:v>113</x:v>
      </x:c>
      <x:c r="AD119" s="88">
        <x:f>+BORDRO!J123</x:f>
      </x:c>
      <x:c r="AE119" s="83"/>
      <x:c r="AF119" s="83">
        <x:f>+BORDRO!K123</x:f>
      </x:c>
      <x:c r="AG119" s="83">
        <x:f>+BORDRO!L123</x:f>
      </x:c>
      <x:c r="AH119" s="88">
        <x:f>+BORDRO!M123</x:f>
      </x:c>
      <x:c r="AI119" s="83">
        <x:f>+BORDRO!O123</x:f>
      </x:c>
      <x:c r="AJ119" s="84">
        <x:f>+BORDRO!P123</x:f>
      </x:c>
    </x:row>
    <x:row r="120" spans="1:36" ht="15" customHeight="1" x14ac:dyDescent="0.25">
      <x:c r="A120" s="72" t="s">
        <x:v>106</x:v>
      </x:c>
      <x:c r="B120" s="264">
        <x:v>46</x:v>
      </x:c>
      <x:c r="C120" s="72" t="s">
        <x:v>107</x:v>
      </x:c>
      <x:c r="D120" s="72" t="s">
        <x:v>108</x:v>
      </x:c>
      <x:c r="E120" s="72" t="s">
        <x:v>108</x:v>
      </x:c>
      <x:c r="F120" s="73">
        <x:v>1494768</x:v>
      </x:c>
      <x:c r="G120" s="74" t="s">
        <x:v>109</x:v>
      </x:c>
      <x:c r="H120" s="72" t="s">
        <x:v>110</x:v>
      </x:c>
      <x:c r="I120" s="86"/>
      <x:c r="J120" s="75">
        <x:f>+Puantaj!C124</x:f>
      </x:c>
      <x:c r="K120" s="72">
        <x:f>+Puantaj!D124</x:f>
      </x:c>
      <x:c r="L120" s="72">
        <x:f>+Puantaj!E124</x:f>
      </x:c>
      <x:c r="M120" s="265">
        <x:f>+BORDRO!F124</x:f>
      </x:c>
      <x:c r="N120" s="72"/>
      <x:c r="O120" s="87">
        <x:f>+BORDRO!G124</x:f>
      </x:c>
      <x:c r="P120" s="87">
        <x:v>0</x:v>
      </x:c>
      <x:c r="Q120" s="266">
        <x:v>24</x:v>
      </x:c>
      <x:c r="R120" s="267" t="s">
        <x:v>111</x:v>
      </x:c>
      <x:c r="S120" s="78"/>
      <x:c r="T120" s="78"/>
      <x:c r="U120" s="79"/>
      <x:c r="V120" s="268">
        <x:f>31-M120-Q120</x:f>
      </x:c>
      <x:c r="W120" s="269">
        <x:v>6</x:v>
      </x:c>
      <x:c r="X120" s="270" t="s">
        <x:v>112</x:v>
      </x:c>
      <x:c r="Y120" s="73">
        <x:v>2</x:v>
      </x:c>
      <x:c r="Z120" s="72" t="s">
        <x:v>106</x:v>
      </x:c>
      <x:c r="AA120" s="82" t="s">
        <x:v>111</x:v>
      </x:c>
      <x:c r="AB120" s="72">
        <x:v>2025</x:v>
      </x:c>
      <x:c r="AC120" s="72" t="s">
        <x:v>113</x:v>
      </x:c>
      <x:c r="AD120" s="88">
        <x:f>+BORDRO!J124</x:f>
      </x:c>
      <x:c r="AE120" s="83"/>
      <x:c r="AF120" s="83">
        <x:f>+BORDRO!K124</x:f>
      </x:c>
      <x:c r="AG120" s="83">
        <x:f>+BORDRO!L124</x:f>
      </x:c>
      <x:c r="AH120" s="88">
        <x:f>+BORDRO!M124</x:f>
      </x:c>
      <x:c r="AI120" s="83">
        <x:f>+BORDRO!O124</x:f>
      </x:c>
      <x:c r="AJ120" s="84">
        <x:f>+BORDRO!P124</x:f>
      </x:c>
    </x:row>
    <x:row r="121" spans="1:36" ht="14.25" customHeight="1" x14ac:dyDescent="0.2">
      <x:c r="A121" s="72" t="s">
        <x:v>106</x:v>
      </x:c>
      <x:c r="B121" s="271">
        <x:v>46</x:v>
      </x:c>
      <x:c r="C121" s="72" t="s">
        <x:v>107</x:v>
      </x:c>
      <x:c r="D121" s="72" t="s">
        <x:v>108</x:v>
      </x:c>
      <x:c r="E121" s="72" t="s">
        <x:v>108</x:v>
      </x:c>
      <x:c r="F121" s="73">
        <x:v>1494768</x:v>
      </x:c>
      <x:c r="G121" s="74" t="s">
        <x:v>109</x:v>
      </x:c>
      <x:c r="H121" s="72" t="s">
        <x:v>110</x:v>
      </x:c>
      <x:c r="I121" s="86"/>
      <x:c r="J121" s="75">
        <x:f>+Puantaj!C125</x:f>
      </x:c>
      <x:c r="K121" s="72">
        <x:f>+Puantaj!D125</x:f>
      </x:c>
      <x:c r="L121" s="72">
        <x:f>+Puantaj!E125</x:f>
      </x:c>
      <x:c r="M121" s="265">
        <x:f>+BORDRO!F125</x:f>
      </x:c>
      <x:c r="N121" s="72"/>
      <x:c r="O121" s="87">
        <x:f>+BORDRO!G125</x:f>
      </x:c>
      <x:c r="P121" s="87">
        <x:v>0</x:v>
      </x:c>
      <x:c r="Q121" s="266">
        <x:v>24</x:v>
      </x:c>
      <x:c r="R121" s="267" t="s">
        <x:v>111</x:v>
      </x:c>
      <x:c r="S121" s="78"/>
      <x:c r="T121" s="78"/>
      <x:c r="U121" s="79"/>
      <x:c r="V121" s="268">
        <x:f>31-M121-Q121</x:f>
      </x:c>
      <x:c r="W121" s="269">
        <x:v>6</x:v>
      </x:c>
      <x:c r="X121" s="270" t="s">
        <x:v>112</x:v>
      </x:c>
      <x:c r="Y121" s="73">
        <x:v>2</x:v>
      </x:c>
      <x:c r="Z121" s="72" t="s">
        <x:v>106</x:v>
      </x:c>
      <x:c r="AA121" s="82" t="s">
        <x:v>111</x:v>
      </x:c>
      <x:c r="AB121" s="72">
        <x:v>2025</x:v>
      </x:c>
      <x:c r="AC121" s="72" t="s">
        <x:v>113</x:v>
      </x:c>
      <x:c r="AD121" s="88">
        <x:f>+BORDRO!J125</x:f>
      </x:c>
      <x:c r="AE121" s="83"/>
      <x:c r="AF121" s="83">
        <x:f>+BORDRO!K125</x:f>
      </x:c>
      <x:c r="AG121" s="83">
        <x:f>+BORDRO!L125</x:f>
      </x:c>
      <x:c r="AH121" s="88">
        <x:f>+BORDRO!M125</x:f>
      </x:c>
      <x:c r="AI121" s="83">
        <x:f>+BORDRO!O125</x:f>
      </x:c>
      <x:c r="AJ121" s="84">
        <x:f>+BORDRO!P125</x:f>
      </x:c>
    </x:row>
    <x:row r="122" spans="1:36" ht="15" customHeight="1" x14ac:dyDescent="0.25">
      <x:c r="A122" s="72" t="s">
        <x:v>106</x:v>
      </x:c>
      <x:c r="B122" s="264">
        <x:v>46</x:v>
      </x:c>
      <x:c r="C122" s="72" t="s">
        <x:v>107</x:v>
      </x:c>
      <x:c r="D122" s="72" t="s">
        <x:v>108</x:v>
      </x:c>
      <x:c r="E122" s="72" t="s">
        <x:v>108</x:v>
      </x:c>
      <x:c r="F122" s="73">
        <x:v>1494768</x:v>
      </x:c>
      <x:c r="G122" s="74" t="s">
        <x:v>109</x:v>
      </x:c>
      <x:c r="H122" s="72" t="s">
        <x:v>110</x:v>
      </x:c>
      <x:c r="I122" s="86"/>
      <x:c r="J122" s="75">
        <x:f>+Puantaj!C126</x:f>
      </x:c>
      <x:c r="K122" s="72">
        <x:f>+Puantaj!D126</x:f>
      </x:c>
      <x:c r="L122" s="72">
        <x:f>+Puantaj!E126</x:f>
      </x:c>
      <x:c r="M122" s="265">
        <x:f>+BORDRO!F126</x:f>
      </x:c>
      <x:c r="N122" s="72"/>
      <x:c r="O122" s="87">
        <x:f>+BORDRO!G126</x:f>
      </x:c>
      <x:c r="P122" s="87">
        <x:v>0</x:v>
      </x:c>
      <x:c r="Q122" s="266">
        <x:v>24</x:v>
      </x:c>
      <x:c r="R122" s="267" t="s">
        <x:v>111</x:v>
      </x:c>
      <x:c r="S122" s="78"/>
      <x:c r="T122" s="78"/>
      <x:c r="U122" s="79"/>
      <x:c r="V122" s="268">
        <x:f>31-M122-Q122</x:f>
      </x:c>
      <x:c r="W122" s="269">
        <x:v>6</x:v>
      </x:c>
      <x:c r="X122" s="270" t="s">
        <x:v>112</x:v>
      </x:c>
      <x:c r="Y122" s="73">
        <x:v>2</x:v>
      </x:c>
      <x:c r="Z122" s="72" t="s">
        <x:v>106</x:v>
      </x:c>
      <x:c r="AA122" s="82" t="s">
        <x:v>111</x:v>
      </x:c>
      <x:c r="AB122" s="72">
        <x:v>2025</x:v>
      </x:c>
      <x:c r="AC122" s="72" t="s">
        <x:v>113</x:v>
      </x:c>
      <x:c r="AD122" s="88">
        <x:f>+BORDRO!J126</x:f>
      </x:c>
      <x:c r="AE122" s="83"/>
      <x:c r="AF122" s="83">
        <x:f>+BORDRO!K126</x:f>
      </x:c>
      <x:c r="AG122" s="83">
        <x:f>+BORDRO!L126</x:f>
      </x:c>
      <x:c r="AH122" s="88">
        <x:f>+BORDRO!M126</x:f>
      </x:c>
      <x:c r="AI122" s="83">
        <x:f>+BORDRO!O126</x:f>
      </x:c>
      <x:c r="AJ122" s="84">
        <x:f>+BORDRO!P126</x:f>
      </x:c>
    </x:row>
    <x:row r="123" spans="1:36" ht="14.25" customHeight="1" x14ac:dyDescent="0.2">
      <x:c r="A123" s="72" t="s">
        <x:v>106</x:v>
      </x:c>
      <x:c r="B123" s="271">
        <x:v>46</x:v>
      </x:c>
      <x:c r="C123" s="72" t="s">
        <x:v>107</x:v>
      </x:c>
      <x:c r="D123" s="72" t="s">
        <x:v>108</x:v>
      </x:c>
      <x:c r="E123" s="72" t="s">
        <x:v>108</x:v>
      </x:c>
      <x:c r="F123" s="73">
        <x:v>1494768</x:v>
      </x:c>
      <x:c r="G123" s="74" t="s">
        <x:v>109</x:v>
      </x:c>
      <x:c r="H123" s="72" t="s">
        <x:v>110</x:v>
      </x:c>
      <x:c r="I123" s="86"/>
      <x:c r="J123" s="75">
        <x:f>+Puantaj!C127</x:f>
      </x:c>
      <x:c r="K123" s="72">
        <x:f>+Puantaj!D127</x:f>
      </x:c>
      <x:c r="L123" s="72">
        <x:f>+Puantaj!E127</x:f>
      </x:c>
      <x:c r="M123" s="265">
        <x:f>+BORDRO!F127</x:f>
      </x:c>
      <x:c r="N123" s="72"/>
      <x:c r="O123" s="87">
        <x:f>+BORDRO!G127</x:f>
      </x:c>
      <x:c r="P123" s="87">
        <x:v>0</x:v>
      </x:c>
      <x:c r="Q123" s="266">
        <x:v>24</x:v>
      </x:c>
      <x:c r="R123" s="267" t="s">
        <x:v>111</x:v>
      </x:c>
      <x:c r="S123" s="78"/>
      <x:c r="T123" s="78"/>
      <x:c r="U123" s="79"/>
      <x:c r="V123" s="268">
        <x:f>31-M123-Q123</x:f>
      </x:c>
      <x:c r="W123" s="269">
        <x:v>6</x:v>
      </x:c>
      <x:c r="X123" s="270" t="s">
        <x:v>112</x:v>
      </x:c>
      <x:c r="Y123" s="73">
        <x:v>2</x:v>
      </x:c>
      <x:c r="Z123" s="72" t="s">
        <x:v>106</x:v>
      </x:c>
      <x:c r="AA123" s="82" t="s">
        <x:v>111</x:v>
      </x:c>
      <x:c r="AB123" s="72">
        <x:v>2025</x:v>
      </x:c>
      <x:c r="AC123" s="72" t="s">
        <x:v>113</x:v>
      </x:c>
      <x:c r="AD123" s="88">
        <x:f>+BORDRO!J127</x:f>
      </x:c>
      <x:c r="AE123" s="83"/>
      <x:c r="AF123" s="83">
        <x:f>+BORDRO!K127</x:f>
      </x:c>
      <x:c r="AG123" s="83">
        <x:f>+BORDRO!L127</x:f>
      </x:c>
      <x:c r="AH123" s="88">
        <x:f>+BORDRO!M127</x:f>
      </x:c>
      <x:c r="AI123" s="83">
        <x:f>+BORDRO!O127</x:f>
      </x:c>
      <x:c r="AJ123" s="84">
        <x:f>+BORDRO!P127</x:f>
      </x:c>
    </x:row>
    <x:row r="124" spans="1:36" ht="15" customHeight="1" x14ac:dyDescent="0.25">
      <x:c r="A124" s="72" t="s">
        <x:v>106</x:v>
      </x:c>
      <x:c r="B124" s="264">
        <x:v>46</x:v>
      </x:c>
      <x:c r="C124" s="72" t="s">
        <x:v>107</x:v>
      </x:c>
      <x:c r="D124" s="72" t="s">
        <x:v>108</x:v>
      </x:c>
      <x:c r="E124" s="72" t="s">
        <x:v>108</x:v>
      </x:c>
      <x:c r="F124" s="73">
        <x:v>1494768</x:v>
      </x:c>
      <x:c r="G124" s="74" t="s">
        <x:v>109</x:v>
      </x:c>
      <x:c r="H124" s="72" t="s">
        <x:v>110</x:v>
      </x:c>
      <x:c r="I124" s="86"/>
      <x:c r="J124" s="75">
        <x:f>+Puantaj!C128</x:f>
      </x:c>
      <x:c r="K124" s="72">
        <x:f>+Puantaj!D128</x:f>
      </x:c>
      <x:c r="L124" s="72">
        <x:f>+Puantaj!E128</x:f>
      </x:c>
      <x:c r="M124" s="265">
        <x:f>+BORDRO!F128</x:f>
      </x:c>
      <x:c r="N124" s="72"/>
      <x:c r="O124" s="87">
        <x:f>+BORDRO!G128</x:f>
      </x:c>
      <x:c r="P124" s="87">
        <x:v>0</x:v>
      </x:c>
      <x:c r="Q124" s="266">
        <x:v>24</x:v>
      </x:c>
      <x:c r="R124" s="267" t="s">
        <x:v>111</x:v>
      </x:c>
      <x:c r="S124" s="78"/>
      <x:c r="T124" s="78"/>
      <x:c r="U124" s="79"/>
      <x:c r="V124" s="268">
        <x:f>31-M124-Q124</x:f>
      </x:c>
      <x:c r="W124" s="269">
        <x:v>6</x:v>
      </x:c>
      <x:c r="X124" s="270" t="s">
        <x:v>112</x:v>
      </x:c>
      <x:c r="Y124" s="73">
        <x:v>2</x:v>
      </x:c>
      <x:c r="Z124" s="72" t="s">
        <x:v>106</x:v>
      </x:c>
      <x:c r="AA124" s="82" t="s">
        <x:v>111</x:v>
      </x:c>
      <x:c r="AB124" s="72">
        <x:v>2025</x:v>
      </x:c>
      <x:c r="AC124" s="72" t="s">
        <x:v>113</x:v>
      </x:c>
      <x:c r="AD124" s="88">
        <x:f>+BORDRO!J128</x:f>
      </x:c>
      <x:c r="AE124" s="83"/>
      <x:c r="AF124" s="83">
        <x:f>+BORDRO!K128</x:f>
      </x:c>
      <x:c r="AG124" s="83">
        <x:f>+BORDRO!L128</x:f>
      </x:c>
      <x:c r="AH124" s="88">
        <x:f>+BORDRO!M128</x:f>
      </x:c>
      <x:c r="AI124" s="83">
        <x:f>+BORDRO!O128</x:f>
      </x:c>
      <x:c r="AJ124" s="84">
        <x:f>+BORDRO!P128</x:f>
      </x:c>
    </x:row>
    <x:row r="125" spans="1:36" ht="14.25" customHeight="1" x14ac:dyDescent="0.2">
      <x:c r="A125" s="72" t="s">
        <x:v>106</x:v>
      </x:c>
      <x:c r="B125" s="271">
        <x:v>46</x:v>
      </x:c>
      <x:c r="C125" s="72" t="s">
        <x:v>107</x:v>
      </x:c>
      <x:c r="D125" s="72" t="s">
        <x:v>108</x:v>
      </x:c>
      <x:c r="E125" s="72" t="s">
        <x:v>108</x:v>
      </x:c>
      <x:c r="F125" s="73">
        <x:v>1494768</x:v>
      </x:c>
      <x:c r="G125" s="74" t="s">
        <x:v>109</x:v>
      </x:c>
      <x:c r="H125" s="72" t="s">
        <x:v>110</x:v>
      </x:c>
      <x:c r="I125" s="86"/>
      <x:c r="J125" s="75">
        <x:f>+Puantaj!C129</x:f>
      </x:c>
      <x:c r="K125" s="72">
        <x:f>+Puantaj!D129</x:f>
      </x:c>
      <x:c r="L125" s="72">
        <x:f>+Puantaj!E129</x:f>
      </x:c>
      <x:c r="M125" s="265">
        <x:f>+BORDRO!F129</x:f>
      </x:c>
      <x:c r="N125" s="72"/>
      <x:c r="O125" s="87">
        <x:f>+BORDRO!G129</x:f>
      </x:c>
      <x:c r="P125" s="87">
        <x:v>0</x:v>
      </x:c>
      <x:c r="Q125" s="266">
        <x:v>26</x:v>
      </x:c>
      <x:c r="R125" s="267" t="s">
        <x:v>111</x:v>
      </x:c>
      <x:c r="S125" s="78"/>
      <x:c r="T125" s="78"/>
      <x:c r="U125" s="79"/>
      <x:c r="V125" s="268">
        <x:f>31-M125-Q125</x:f>
      </x:c>
      <x:c r="W125" s="269">
        <x:v>6</x:v>
      </x:c>
      <x:c r="X125" s="270" t="s">
        <x:v>112</x:v>
      </x:c>
      <x:c r="Y125" s="73">
        <x:v>2</x:v>
      </x:c>
      <x:c r="Z125" s="72" t="s">
        <x:v>106</x:v>
      </x:c>
      <x:c r="AA125" s="82" t="s">
        <x:v>111</x:v>
      </x:c>
      <x:c r="AB125" s="72">
        <x:v>2025</x:v>
      </x:c>
      <x:c r="AC125" s="72" t="s">
        <x:v>113</x:v>
      </x:c>
      <x:c r="AD125" s="88">
        <x:f>+BORDRO!J129</x:f>
      </x:c>
      <x:c r="AE125" s="83"/>
      <x:c r="AF125" s="83">
        <x:f>+BORDRO!K129</x:f>
      </x:c>
      <x:c r="AG125" s="83">
        <x:f>+BORDRO!L129</x:f>
      </x:c>
      <x:c r="AH125" s="88">
        <x:f>+BORDRO!M129</x:f>
      </x:c>
      <x:c r="AI125" s="83">
        <x:f>+BORDRO!O129</x:f>
      </x:c>
      <x:c r="AJ125" s="84">
        <x:f>+BORDRO!P129</x:f>
      </x:c>
    </x:row>
    <x:row r="126" spans="1:36" ht="15" customHeight="1" x14ac:dyDescent="0.25">
      <x:c r="A126" s="72" t="s">
        <x:v>106</x:v>
      </x:c>
      <x:c r="B126" s="264">
        <x:v>46</x:v>
      </x:c>
      <x:c r="C126" s="72" t="s">
        <x:v>107</x:v>
      </x:c>
      <x:c r="D126" s="72" t="s">
        <x:v>108</x:v>
      </x:c>
      <x:c r="E126" s="72" t="s">
        <x:v>108</x:v>
      </x:c>
      <x:c r="F126" s="73">
        <x:v>1494768</x:v>
      </x:c>
      <x:c r="G126" s="74" t="s">
        <x:v>109</x:v>
      </x:c>
      <x:c r="H126" s="72" t="s">
        <x:v>110</x:v>
      </x:c>
      <x:c r="I126" s="86"/>
      <x:c r="J126" s="75">
        <x:f>+Puantaj!C130</x:f>
      </x:c>
      <x:c r="K126" s="72">
        <x:f>+Puantaj!D130</x:f>
      </x:c>
      <x:c r="L126" s="72">
        <x:f>+Puantaj!E130</x:f>
      </x:c>
      <x:c r="M126" s="265">
        <x:f>+BORDRO!F130</x:f>
      </x:c>
      <x:c r="N126" s="72"/>
      <x:c r="O126" s="87">
        <x:f>+BORDRO!G130</x:f>
      </x:c>
      <x:c r="P126" s="87">
        <x:v>0</x:v>
      </x:c>
      <x:c r="Q126" s="266">
        <x:v>24</x:v>
      </x:c>
      <x:c r="R126" s="267" t="s">
        <x:v>111</x:v>
      </x:c>
      <x:c r="S126" s="78"/>
      <x:c r="T126" s="78"/>
      <x:c r="U126" s="79"/>
      <x:c r="V126" s="268">
        <x:f>31-M126-Q126</x:f>
      </x:c>
      <x:c r="W126" s="269">
        <x:v>6</x:v>
      </x:c>
      <x:c r="X126" s="270" t="s">
        <x:v>112</x:v>
      </x:c>
      <x:c r="Y126" s="73">
        <x:v>2</x:v>
      </x:c>
      <x:c r="Z126" s="72" t="s">
        <x:v>106</x:v>
      </x:c>
      <x:c r="AA126" s="82" t="s">
        <x:v>111</x:v>
      </x:c>
      <x:c r="AB126" s="72">
        <x:v>2025</x:v>
      </x:c>
      <x:c r="AC126" s="72" t="s">
        <x:v>113</x:v>
      </x:c>
      <x:c r="AD126" s="88">
        <x:f>+BORDRO!J130</x:f>
      </x:c>
      <x:c r="AE126" s="83"/>
      <x:c r="AF126" s="83">
        <x:f>+BORDRO!K130</x:f>
      </x:c>
      <x:c r="AG126" s="83">
        <x:f>+BORDRO!L130</x:f>
      </x:c>
      <x:c r="AH126" s="88">
        <x:f>+BORDRO!M130</x:f>
      </x:c>
      <x:c r="AI126" s="83">
        <x:f>+BORDRO!O130</x:f>
      </x:c>
      <x:c r="AJ126" s="84">
        <x:f>+BORDRO!P130</x:f>
      </x:c>
    </x:row>
    <x:row r="127" spans="1:36" ht="14.25" customHeight="1" x14ac:dyDescent="0.2">
      <x:c r="A127" s="72" t="s">
        <x:v>106</x:v>
      </x:c>
      <x:c r="B127" s="271">
        <x:v>46</x:v>
      </x:c>
      <x:c r="C127" s="72" t="s">
        <x:v>107</x:v>
      </x:c>
      <x:c r="D127" s="72" t="s">
        <x:v>108</x:v>
      </x:c>
      <x:c r="E127" s="72" t="s">
        <x:v>108</x:v>
      </x:c>
      <x:c r="F127" s="73">
        <x:v>1494768</x:v>
      </x:c>
      <x:c r="G127" s="74" t="s">
        <x:v>109</x:v>
      </x:c>
      <x:c r="H127" s="72" t="s">
        <x:v>110</x:v>
      </x:c>
      <x:c r="I127" s="86"/>
      <x:c r="J127" s="75">
        <x:f>+Puantaj!C131</x:f>
      </x:c>
      <x:c r="K127" s="72">
        <x:f>+Puantaj!D131</x:f>
      </x:c>
      <x:c r="L127" s="72">
        <x:f>+Puantaj!E131</x:f>
      </x:c>
      <x:c r="M127" s="265">
        <x:f>+BORDRO!F131</x:f>
      </x:c>
      <x:c r="N127" s="72"/>
      <x:c r="O127" s="87">
        <x:f>+BORDRO!G131</x:f>
      </x:c>
      <x:c r="P127" s="87">
        <x:v>0</x:v>
      </x:c>
      <x:c r="Q127" s="266">
        <x:v>24</x:v>
      </x:c>
      <x:c r="R127" s="267" t="s">
        <x:v>111</x:v>
      </x:c>
      <x:c r="S127" s="78"/>
      <x:c r="T127" s="78"/>
      <x:c r="U127" s="79"/>
      <x:c r="V127" s="268">
        <x:f>31-M127-Q127</x:f>
      </x:c>
      <x:c r="W127" s="269">
        <x:v>6</x:v>
      </x:c>
      <x:c r="X127" s="270" t="s">
        <x:v>112</x:v>
      </x:c>
      <x:c r="Y127" s="73">
        <x:v>2</x:v>
      </x:c>
      <x:c r="Z127" s="72" t="s">
        <x:v>106</x:v>
      </x:c>
      <x:c r="AA127" s="82" t="s">
        <x:v>111</x:v>
      </x:c>
      <x:c r="AB127" s="72">
        <x:v>2025</x:v>
      </x:c>
      <x:c r="AC127" s="72" t="s">
        <x:v>113</x:v>
      </x:c>
      <x:c r="AD127" s="88">
        <x:f>+BORDRO!J131</x:f>
      </x:c>
      <x:c r="AE127" s="83"/>
      <x:c r="AF127" s="83">
        <x:f>+BORDRO!K131</x:f>
      </x:c>
      <x:c r="AG127" s="83">
        <x:f>+BORDRO!L131</x:f>
      </x:c>
      <x:c r="AH127" s="88">
        <x:f>+BORDRO!M131</x:f>
      </x:c>
      <x:c r="AI127" s="83">
        <x:f>+BORDRO!O131</x:f>
      </x:c>
      <x:c r="AJ127" s="84">
        <x:f>+BORDRO!P131</x:f>
      </x:c>
    </x:row>
    <x:row r="128" spans="1:36" ht="15" customHeight="1" x14ac:dyDescent="0.25">
      <x:c r="A128" s="72" t="s">
        <x:v>106</x:v>
      </x:c>
      <x:c r="B128" s="264">
        <x:v>46</x:v>
      </x:c>
      <x:c r="C128" s="72" t="s">
        <x:v>107</x:v>
      </x:c>
      <x:c r="D128" s="72" t="s">
        <x:v>108</x:v>
      </x:c>
      <x:c r="E128" s="72" t="s">
        <x:v>108</x:v>
      </x:c>
      <x:c r="F128" s="73">
        <x:v>1494768</x:v>
      </x:c>
      <x:c r="G128" s="74" t="s">
        <x:v>109</x:v>
      </x:c>
      <x:c r="H128" s="72" t="s">
        <x:v>110</x:v>
      </x:c>
      <x:c r="I128" s="86"/>
      <x:c r="J128" s="75">
        <x:f>+Puantaj!C132</x:f>
      </x:c>
      <x:c r="K128" s="72">
        <x:f>+Puantaj!D132</x:f>
      </x:c>
      <x:c r="L128" s="72">
        <x:f>+Puantaj!E132</x:f>
      </x:c>
      <x:c r="M128" s="265">
        <x:f>+BORDRO!F132</x:f>
      </x:c>
      <x:c r="N128" s="72"/>
      <x:c r="O128" s="87">
        <x:f>+BORDRO!G132</x:f>
      </x:c>
      <x:c r="P128" s="87">
        <x:v>0</x:v>
      </x:c>
      <x:c r="Q128" s="266">
        <x:v>24</x:v>
      </x:c>
      <x:c r="R128" s="267" t="s">
        <x:v>111</x:v>
      </x:c>
      <x:c r="S128" s="78"/>
      <x:c r="T128" s="78"/>
      <x:c r="U128" s="79"/>
      <x:c r="V128" s="268">
        <x:f>31-M128-Q128</x:f>
      </x:c>
      <x:c r="W128" s="269">
        <x:v>6</x:v>
      </x:c>
      <x:c r="X128" s="270" t="s">
        <x:v>112</x:v>
      </x:c>
      <x:c r="Y128" s="73">
        <x:v>2</x:v>
      </x:c>
      <x:c r="Z128" s="72" t="s">
        <x:v>106</x:v>
      </x:c>
      <x:c r="AA128" s="82" t="s">
        <x:v>111</x:v>
      </x:c>
      <x:c r="AB128" s="72">
        <x:v>2025</x:v>
      </x:c>
      <x:c r="AC128" s="72" t="s">
        <x:v>113</x:v>
      </x:c>
      <x:c r="AD128" s="88">
        <x:f>+BORDRO!J132</x:f>
      </x:c>
      <x:c r="AE128" s="83"/>
      <x:c r="AF128" s="83">
        <x:f>+BORDRO!K132</x:f>
      </x:c>
      <x:c r="AG128" s="83">
        <x:f>+BORDRO!L132</x:f>
      </x:c>
      <x:c r="AH128" s="88">
        <x:f>+BORDRO!M132</x:f>
      </x:c>
      <x:c r="AI128" s="83">
        <x:f>+BORDRO!O132</x:f>
      </x:c>
      <x:c r="AJ128" s="84">
        <x:f>+BORDRO!P132</x:f>
      </x:c>
    </x:row>
    <x:row r="129" spans="1:36" ht="14.25" customHeight="1" x14ac:dyDescent="0.2">
      <x:c r="A129" s="72" t="s">
        <x:v>106</x:v>
      </x:c>
      <x:c r="B129" s="271">
        <x:v>46</x:v>
      </x:c>
      <x:c r="C129" s="72" t="s">
        <x:v>107</x:v>
      </x:c>
      <x:c r="D129" s="72" t="s">
        <x:v>108</x:v>
      </x:c>
      <x:c r="E129" s="72" t="s">
        <x:v>108</x:v>
      </x:c>
      <x:c r="F129" s="73">
        <x:v>1494768</x:v>
      </x:c>
      <x:c r="G129" s="74" t="s">
        <x:v>109</x:v>
      </x:c>
      <x:c r="H129" s="72" t="s">
        <x:v>110</x:v>
      </x:c>
      <x:c r="I129" s="86"/>
      <x:c r="J129" s="75">
        <x:f>+Puantaj!C133</x:f>
      </x:c>
      <x:c r="K129" s="72">
        <x:f>+Puantaj!D133</x:f>
      </x:c>
      <x:c r="L129" s="72">
        <x:f>+Puantaj!E133</x:f>
      </x:c>
      <x:c r="M129" s="265">
        <x:f>+BORDRO!F133</x:f>
      </x:c>
      <x:c r="N129" s="72"/>
      <x:c r="O129" s="87">
        <x:f>+BORDRO!G133</x:f>
      </x:c>
      <x:c r="P129" s="87">
        <x:v>0</x:v>
      </x:c>
      <x:c r="Q129" s="266">
        <x:v>24</x:v>
      </x:c>
      <x:c r="R129" s="267" t="s">
        <x:v>111</x:v>
      </x:c>
      <x:c r="S129" s="78"/>
      <x:c r="T129" s="78"/>
      <x:c r="U129" s="79"/>
      <x:c r="V129" s="268">
        <x:f>31-M129-Q129</x:f>
      </x:c>
      <x:c r="W129" s="269">
        <x:v>6</x:v>
      </x:c>
      <x:c r="X129" s="270" t="s">
        <x:v>112</x:v>
      </x:c>
      <x:c r="Y129" s="73">
        <x:v>2</x:v>
      </x:c>
      <x:c r="Z129" s="72" t="s">
        <x:v>106</x:v>
      </x:c>
      <x:c r="AA129" s="82" t="s">
        <x:v>111</x:v>
      </x:c>
      <x:c r="AB129" s="72">
        <x:v>2025</x:v>
      </x:c>
      <x:c r="AC129" s="72" t="s">
        <x:v>113</x:v>
      </x:c>
      <x:c r="AD129" s="88">
        <x:f>+BORDRO!J133</x:f>
      </x:c>
      <x:c r="AE129" s="83"/>
      <x:c r="AF129" s="83">
        <x:f>+BORDRO!K133</x:f>
      </x:c>
      <x:c r="AG129" s="83">
        <x:f>+BORDRO!L133</x:f>
      </x:c>
      <x:c r="AH129" s="88">
        <x:f>+BORDRO!M133</x:f>
      </x:c>
      <x:c r="AI129" s="83">
        <x:f>+BORDRO!O133</x:f>
      </x:c>
      <x:c r="AJ129" s="84">
        <x:f>+BORDRO!P133</x:f>
      </x:c>
    </x:row>
    <x:row r="130" spans="1:36" ht="15" customHeight="1" x14ac:dyDescent="0.25">
      <x:c r="A130" s="72" t="s">
        <x:v>106</x:v>
      </x:c>
      <x:c r="B130" s="264">
        <x:v>46</x:v>
      </x:c>
      <x:c r="C130" s="72" t="s">
        <x:v>107</x:v>
      </x:c>
      <x:c r="D130" s="72" t="s">
        <x:v>108</x:v>
      </x:c>
      <x:c r="E130" s="72" t="s">
        <x:v>108</x:v>
      </x:c>
      <x:c r="F130" s="73">
        <x:v>1494768</x:v>
      </x:c>
      <x:c r="G130" s="74" t="s">
        <x:v>109</x:v>
      </x:c>
      <x:c r="H130" s="72" t="s">
        <x:v>110</x:v>
      </x:c>
      <x:c r="I130" s="86"/>
      <x:c r="J130" s="75">
        <x:f>+Puantaj!C134</x:f>
      </x:c>
      <x:c r="K130" s="72">
        <x:f>+Puantaj!D134</x:f>
      </x:c>
      <x:c r="L130" s="72">
        <x:f>+Puantaj!E134</x:f>
      </x:c>
      <x:c r="M130" s="265">
        <x:f>+BORDRO!F134</x:f>
      </x:c>
      <x:c r="N130" s="72"/>
      <x:c r="O130" s="87">
        <x:f>+BORDRO!G134</x:f>
      </x:c>
      <x:c r="P130" s="87">
        <x:v>0</x:v>
      </x:c>
      <x:c r="Q130" s="266">
        <x:v>24</x:v>
      </x:c>
      <x:c r="R130" s="267" t="s">
        <x:v>111</x:v>
      </x:c>
      <x:c r="S130" s="78"/>
      <x:c r="T130" s="78"/>
      <x:c r="U130" s="79"/>
      <x:c r="V130" s="268">
        <x:f>31-M130-Q130</x:f>
      </x:c>
      <x:c r="W130" s="269">
        <x:v>6</x:v>
      </x:c>
      <x:c r="X130" s="270" t="s">
        <x:v>112</x:v>
      </x:c>
      <x:c r="Y130" s="73">
        <x:v>2</x:v>
      </x:c>
      <x:c r="Z130" s="72" t="s">
        <x:v>106</x:v>
      </x:c>
      <x:c r="AA130" s="82" t="s">
        <x:v>111</x:v>
      </x:c>
      <x:c r="AB130" s="72">
        <x:v>2025</x:v>
      </x:c>
      <x:c r="AC130" s="72" t="s">
        <x:v>113</x:v>
      </x:c>
      <x:c r="AD130" s="88">
        <x:f>+BORDRO!J134</x:f>
      </x:c>
      <x:c r="AE130" s="83"/>
      <x:c r="AF130" s="83">
        <x:f>+BORDRO!K134</x:f>
      </x:c>
      <x:c r="AG130" s="83">
        <x:f>+BORDRO!L134</x:f>
      </x:c>
      <x:c r="AH130" s="88">
        <x:f>+BORDRO!M134</x:f>
      </x:c>
      <x:c r="AI130" s="83">
        <x:f>+BORDRO!O134</x:f>
      </x:c>
      <x:c r="AJ130" s="84">
        <x:f>+BORDRO!P134</x:f>
      </x:c>
    </x:row>
    <x:row r="131" spans="1:36" ht="14.25" customHeight="1" x14ac:dyDescent="0.2">
      <x:c r="A131" s="72" t="s">
        <x:v>106</x:v>
      </x:c>
      <x:c r="B131" s="271">
        <x:v>46</x:v>
      </x:c>
      <x:c r="C131" s="72" t="s">
        <x:v>107</x:v>
      </x:c>
      <x:c r="D131" s="72" t="s">
        <x:v>108</x:v>
      </x:c>
      <x:c r="E131" s="72" t="s">
        <x:v>108</x:v>
      </x:c>
      <x:c r="F131" s="73">
        <x:v>1494768</x:v>
      </x:c>
      <x:c r="G131" s="74" t="s">
        <x:v>109</x:v>
      </x:c>
      <x:c r="H131" s="72" t="s">
        <x:v>110</x:v>
      </x:c>
      <x:c r="I131" s="86"/>
      <x:c r="J131" s="75">
        <x:f>+Puantaj!C135</x:f>
      </x:c>
      <x:c r="K131" s="72">
        <x:f>+Puantaj!D135</x:f>
      </x:c>
      <x:c r="L131" s="72">
        <x:f>+Puantaj!E135</x:f>
      </x:c>
      <x:c r="M131" s="265">
        <x:f>+BORDRO!F135</x:f>
      </x:c>
      <x:c r="N131" s="72"/>
      <x:c r="O131" s="87">
        <x:f>+BORDRO!G135</x:f>
      </x:c>
      <x:c r="P131" s="87">
        <x:v>0</x:v>
      </x:c>
      <x:c r="Q131" s="266">
        <x:v>24</x:v>
      </x:c>
      <x:c r="R131" s="267" t="s">
        <x:v>111</x:v>
      </x:c>
      <x:c r="S131" s="78"/>
      <x:c r="T131" s="78"/>
      <x:c r="U131" s="79"/>
      <x:c r="V131" s="268">
        <x:f>31-M131-Q131</x:f>
      </x:c>
      <x:c r="W131" s="269">
        <x:v>6</x:v>
      </x:c>
      <x:c r="X131" s="270" t="s">
        <x:v>112</x:v>
      </x:c>
      <x:c r="Y131" s="73">
        <x:v>2</x:v>
      </x:c>
      <x:c r="Z131" s="72" t="s">
        <x:v>106</x:v>
      </x:c>
      <x:c r="AA131" s="82" t="s">
        <x:v>111</x:v>
      </x:c>
      <x:c r="AB131" s="72">
        <x:v>2025</x:v>
      </x:c>
      <x:c r="AC131" s="72" t="s">
        <x:v>113</x:v>
      </x:c>
      <x:c r="AD131" s="88">
        <x:f>+BORDRO!J135</x:f>
      </x:c>
      <x:c r="AE131" s="83"/>
      <x:c r="AF131" s="83">
        <x:f>+BORDRO!K135</x:f>
      </x:c>
      <x:c r="AG131" s="83">
        <x:f>+BORDRO!L135</x:f>
      </x:c>
      <x:c r="AH131" s="88">
        <x:f>+BORDRO!M135</x:f>
      </x:c>
      <x:c r="AI131" s="83">
        <x:f>+BORDRO!O135</x:f>
      </x:c>
      <x:c r="AJ131" s="84">
        <x:f>+BORDRO!P135</x:f>
      </x:c>
    </x:row>
    <x:row r="132" spans="1:36" ht="15" customHeight="1" x14ac:dyDescent="0.25">
      <x:c r="A132" s="72" t="s">
        <x:v>106</x:v>
      </x:c>
      <x:c r="B132" s="264">
        <x:v>46</x:v>
      </x:c>
      <x:c r="C132" s="72" t="s">
        <x:v>107</x:v>
      </x:c>
      <x:c r="D132" s="72" t="s">
        <x:v>108</x:v>
      </x:c>
      <x:c r="E132" s="72" t="s">
        <x:v>108</x:v>
      </x:c>
      <x:c r="F132" s="73">
        <x:v>1494768</x:v>
      </x:c>
      <x:c r="G132" s="74" t="s">
        <x:v>109</x:v>
      </x:c>
      <x:c r="H132" s="72" t="s">
        <x:v>110</x:v>
      </x:c>
      <x:c r="I132" s="86"/>
      <x:c r="J132" s="75">
        <x:f>+Puantaj!C136</x:f>
      </x:c>
      <x:c r="K132" s="72">
        <x:f>+Puantaj!D136</x:f>
      </x:c>
      <x:c r="L132" s="72">
        <x:f>+Puantaj!E136</x:f>
      </x:c>
      <x:c r="M132" s="265">
        <x:f>+BORDRO!F136</x:f>
      </x:c>
      <x:c r="N132" s="72"/>
      <x:c r="O132" s="87">
        <x:f>+BORDRO!G136</x:f>
      </x:c>
      <x:c r="P132" s="87">
        <x:v>0</x:v>
      </x:c>
      <x:c r="Q132" s="266">
        <x:v>24</x:v>
      </x:c>
      <x:c r="R132" s="267" t="s">
        <x:v>111</x:v>
      </x:c>
      <x:c r="S132" s="78"/>
      <x:c r="T132" s="78"/>
      <x:c r="U132" s="79"/>
      <x:c r="V132" s="268">
        <x:f>31-M132-Q132</x:f>
      </x:c>
      <x:c r="W132" s="269">
        <x:v>6</x:v>
      </x:c>
      <x:c r="X132" s="270" t="s">
        <x:v>112</x:v>
      </x:c>
      <x:c r="Y132" s="73">
        <x:v>2</x:v>
      </x:c>
      <x:c r="Z132" s="72" t="s">
        <x:v>106</x:v>
      </x:c>
      <x:c r="AA132" s="82" t="s">
        <x:v>111</x:v>
      </x:c>
      <x:c r="AB132" s="72">
        <x:v>2025</x:v>
      </x:c>
      <x:c r="AC132" s="72" t="s">
        <x:v>113</x:v>
      </x:c>
      <x:c r="AD132" s="88">
        <x:f>+BORDRO!J136</x:f>
      </x:c>
      <x:c r="AE132" s="83"/>
      <x:c r="AF132" s="83">
        <x:f>+BORDRO!K136</x:f>
      </x:c>
      <x:c r="AG132" s="83">
        <x:f>+BORDRO!L136</x:f>
      </x:c>
      <x:c r="AH132" s="88">
        <x:f>+BORDRO!M136</x:f>
      </x:c>
      <x:c r="AI132" s="83">
        <x:f>+BORDRO!O136</x:f>
      </x:c>
      <x:c r="AJ132" s="84">
        <x:f>+BORDRO!P136</x:f>
      </x:c>
    </x:row>
    <x:row r="133" spans="1:36" ht="14.25" customHeight="1" x14ac:dyDescent="0.2">
      <x:c r="A133" s="72" t="s">
        <x:v>106</x:v>
      </x:c>
      <x:c r="B133" s="271">
        <x:v>46</x:v>
      </x:c>
      <x:c r="C133" s="72" t="s">
        <x:v>107</x:v>
      </x:c>
      <x:c r="D133" s="72" t="s">
        <x:v>108</x:v>
      </x:c>
      <x:c r="E133" s="72" t="s">
        <x:v>108</x:v>
      </x:c>
      <x:c r="F133" s="73">
        <x:v>1494768</x:v>
      </x:c>
      <x:c r="G133" s="74" t="s">
        <x:v>109</x:v>
      </x:c>
      <x:c r="H133" s="72" t="s">
        <x:v>110</x:v>
      </x:c>
      <x:c r="I133" s="86"/>
      <x:c r="J133" s="75">
        <x:f>+Puantaj!C137</x:f>
      </x:c>
      <x:c r="K133" s="72">
        <x:f>+Puantaj!D137</x:f>
      </x:c>
      <x:c r="L133" s="72">
        <x:f>+Puantaj!E137</x:f>
      </x:c>
      <x:c r="M133" s="265">
        <x:f>+BORDRO!F137</x:f>
      </x:c>
      <x:c r="N133" s="72"/>
      <x:c r="O133" s="87">
        <x:f>+BORDRO!G137</x:f>
      </x:c>
      <x:c r="P133" s="87">
        <x:v>0</x:v>
      </x:c>
      <x:c r="Q133" s="266">
        <x:v>24</x:v>
      </x:c>
      <x:c r="R133" s="267" t="s">
        <x:v>111</x:v>
      </x:c>
      <x:c r="S133" s="78"/>
      <x:c r="T133" s="78"/>
      <x:c r="U133" s="79"/>
      <x:c r="V133" s="268">
        <x:f>31-M133-Q133</x:f>
      </x:c>
      <x:c r="W133" s="269">
        <x:v>6</x:v>
      </x:c>
      <x:c r="X133" s="270" t="s">
        <x:v>112</x:v>
      </x:c>
      <x:c r="Y133" s="73">
        <x:v>2</x:v>
      </x:c>
      <x:c r="Z133" s="72" t="s">
        <x:v>106</x:v>
      </x:c>
      <x:c r="AA133" s="82" t="s">
        <x:v>111</x:v>
      </x:c>
      <x:c r="AB133" s="72">
        <x:v>2025</x:v>
      </x:c>
      <x:c r="AC133" s="72" t="s">
        <x:v>113</x:v>
      </x:c>
      <x:c r="AD133" s="88">
        <x:f>+BORDRO!J137</x:f>
      </x:c>
      <x:c r="AE133" s="83"/>
      <x:c r="AF133" s="83">
        <x:f>+BORDRO!K137</x:f>
      </x:c>
      <x:c r="AG133" s="83">
        <x:f>+BORDRO!L137</x:f>
      </x:c>
      <x:c r="AH133" s="88">
        <x:f>+BORDRO!M137</x:f>
      </x:c>
      <x:c r="AI133" s="83">
        <x:f>+BORDRO!O137</x:f>
      </x:c>
      <x:c r="AJ133" s="84">
        <x:f>+BORDRO!P137</x:f>
      </x:c>
    </x:row>
    <x:row r="134" spans="1:36" ht="15" customHeight="1" x14ac:dyDescent="0.25">
      <x:c r="A134" s="72" t="s">
        <x:v>106</x:v>
      </x:c>
      <x:c r="B134" s="264">
        <x:v>46</x:v>
      </x:c>
      <x:c r="C134" s="72" t="s">
        <x:v>107</x:v>
      </x:c>
      <x:c r="D134" s="72" t="s">
        <x:v>108</x:v>
      </x:c>
      <x:c r="E134" s="72" t="s">
        <x:v>108</x:v>
      </x:c>
      <x:c r="F134" s="73">
        <x:v>1494768</x:v>
      </x:c>
      <x:c r="G134" s="74" t="s">
        <x:v>109</x:v>
      </x:c>
      <x:c r="H134" s="72" t="s">
        <x:v>110</x:v>
      </x:c>
      <x:c r="I134" s="86"/>
      <x:c r="J134" s="75">
        <x:f>+Puantaj!C138</x:f>
      </x:c>
      <x:c r="K134" s="72">
        <x:f>+Puantaj!D138</x:f>
      </x:c>
      <x:c r="L134" s="72">
        <x:f>+Puantaj!E138</x:f>
      </x:c>
      <x:c r="M134" s="265">
        <x:f>+BORDRO!F138</x:f>
      </x:c>
      <x:c r="N134" s="72"/>
      <x:c r="O134" s="87">
        <x:f>+BORDRO!G138</x:f>
      </x:c>
      <x:c r="P134" s="87">
        <x:v>0</x:v>
      </x:c>
      <x:c r="Q134" s="266">
        <x:v>24</x:v>
      </x:c>
      <x:c r="R134" s="267" t="s">
        <x:v>111</x:v>
      </x:c>
      <x:c r="S134" s="78"/>
      <x:c r="T134" s="78"/>
      <x:c r="U134" s="79"/>
      <x:c r="V134" s="268">
        <x:f>31-M134-Q134</x:f>
      </x:c>
      <x:c r="W134" s="269">
        <x:v>6</x:v>
      </x:c>
      <x:c r="X134" s="270" t="s">
        <x:v>112</x:v>
      </x:c>
      <x:c r="Y134" s="73">
        <x:v>2</x:v>
      </x:c>
      <x:c r="Z134" s="72" t="s">
        <x:v>106</x:v>
      </x:c>
      <x:c r="AA134" s="82" t="s">
        <x:v>111</x:v>
      </x:c>
      <x:c r="AB134" s="72">
        <x:v>2025</x:v>
      </x:c>
      <x:c r="AC134" s="72" t="s">
        <x:v>113</x:v>
      </x:c>
      <x:c r="AD134" s="88">
        <x:f>+BORDRO!J138</x:f>
      </x:c>
      <x:c r="AE134" s="83"/>
      <x:c r="AF134" s="83">
        <x:f>+BORDRO!K138</x:f>
      </x:c>
      <x:c r="AG134" s="83">
        <x:f>+BORDRO!L138</x:f>
      </x:c>
      <x:c r="AH134" s="88">
        <x:f>+BORDRO!M138</x:f>
      </x:c>
      <x:c r="AI134" s="83">
        <x:f>+BORDRO!O138</x:f>
      </x:c>
      <x:c r="AJ134" s="84">
        <x:f>+BORDRO!P138</x:f>
      </x:c>
    </x:row>
    <x:row r="135" spans="1:36" ht="14.25" customHeight="1" x14ac:dyDescent="0.2">
      <x:c r="A135" s="72" t="s">
        <x:v>106</x:v>
      </x:c>
      <x:c r="B135" s="271">
        <x:v>46</x:v>
      </x:c>
      <x:c r="C135" s="72" t="s">
        <x:v>107</x:v>
      </x:c>
      <x:c r="D135" s="72" t="s">
        <x:v>108</x:v>
      </x:c>
      <x:c r="E135" s="72" t="s">
        <x:v>108</x:v>
      </x:c>
      <x:c r="F135" s="73">
        <x:v>1494768</x:v>
      </x:c>
      <x:c r="G135" s="74" t="s">
        <x:v>109</x:v>
      </x:c>
      <x:c r="H135" s="72" t="s">
        <x:v>110</x:v>
      </x:c>
      <x:c r="I135" s="86"/>
      <x:c r="J135" s="75">
        <x:f>+Puantaj!C139</x:f>
      </x:c>
      <x:c r="K135" s="72">
        <x:f>+Puantaj!D139</x:f>
      </x:c>
      <x:c r="L135" s="72">
        <x:f>+Puantaj!E139</x:f>
      </x:c>
      <x:c r="M135" s="265">
        <x:f>+BORDRO!F139</x:f>
      </x:c>
      <x:c r="N135" s="72"/>
      <x:c r="O135" s="87">
        <x:f>+BORDRO!G139</x:f>
      </x:c>
      <x:c r="P135" s="87">
        <x:v>0</x:v>
      </x:c>
      <x:c r="Q135" s="266">
        <x:v>24</x:v>
      </x:c>
      <x:c r="R135" s="267" t="s">
        <x:v>111</x:v>
      </x:c>
      <x:c r="S135" s="78"/>
      <x:c r="T135" s="78"/>
      <x:c r="U135" s="79"/>
      <x:c r="V135" s="268">
        <x:f>31-M135-Q135</x:f>
      </x:c>
      <x:c r="W135" s="269">
        <x:v>6</x:v>
      </x:c>
      <x:c r="X135" s="270" t="s">
        <x:v>112</x:v>
      </x:c>
      <x:c r="Y135" s="73">
        <x:v>2</x:v>
      </x:c>
      <x:c r="Z135" s="72" t="s">
        <x:v>106</x:v>
      </x:c>
      <x:c r="AA135" s="82" t="s">
        <x:v>111</x:v>
      </x:c>
      <x:c r="AB135" s="72">
        <x:v>2025</x:v>
      </x:c>
      <x:c r="AC135" s="72" t="s">
        <x:v>113</x:v>
      </x:c>
      <x:c r="AD135" s="88">
        <x:f>+BORDRO!J139</x:f>
      </x:c>
      <x:c r="AE135" s="83"/>
      <x:c r="AF135" s="83">
        <x:f>+BORDRO!K139</x:f>
      </x:c>
      <x:c r="AG135" s="83">
        <x:f>+BORDRO!L139</x:f>
      </x:c>
      <x:c r="AH135" s="88">
        <x:f>+BORDRO!M139</x:f>
      </x:c>
      <x:c r="AI135" s="83">
        <x:f>+BORDRO!O139</x:f>
      </x:c>
      <x:c r="AJ135" s="84">
        <x:f>+BORDRO!P139</x:f>
      </x:c>
    </x:row>
    <x:row r="136" spans="1:36" ht="15" customHeight="1" x14ac:dyDescent="0.25">
      <x:c r="A136" s="72" t="s">
        <x:v>106</x:v>
      </x:c>
      <x:c r="B136" s="264">
        <x:v>46</x:v>
      </x:c>
      <x:c r="C136" s="72" t="s">
        <x:v>107</x:v>
      </x:c>
      <x:c r="D136" s="72" t="s">
        <x:v>108</x:v>
      </x:c>
      <x:c r="E136" s="72" t="s">
        <x:v>108</x:v>
      </x:c>
      <x:c r="F136" s="73">
        <x:v>1494768</x:v>
      </x:c>
      <x:c r="G136" s="74" t="s">
        <x:v>109</x:v>
      </x:c>
      <x:c r="H136" s="72" t="s">
        <x:v>110</x:v>
      </x:c>
      <x:c r="I136" s="86"/>
      <x:c r="J136" s="75">
        <x:f>+Puantaj!C140</x:f>
      </x:c>
      <x:c r="K136" s="72">
        <x:f>+Puantaj!D140</x:f>
      </x:c>
      <x:c r="L136" s="72">
        <x:f>+Puantaj!E140</x:f>
      </x:c>
      <x:c r="M136" s="265">
        <x:f>+BORDRO!F140</x:f>
      </x:c>
      <x:c r="N136" s="72"/>
      <x:c r="O136" s="87">
        <x:f>+BORDRO!G140</x:f>
      </x:c>
      <x:c r="P136" s="87">
        <x:v>0</x:v>
      </x:c>
      <x:c r="Q136" s="266">
        <x:v>24</x:v>
      </x:c>
      <x:c r="R136" s="267" t="s">
        <x:v>111</x:v>
      </x:c>
      <x:c r="S136" s="78"/>
      <x:c r="T136" s="78"/>
      <x:c r="U136" s="79"/>
      <x:c r="V136" s="268">
        <x:f>31-M136-Q136</x:f>
      </x:c>
      <x:c r="W136" s="269">
        <x:v>6</x:v>
      </x:c>
      <x:c r="X136" s="270" t="s">
        <x:v>112</x:v>
      </x:c>
      <x:c r="Y136" s="73">
        <x:v>2</x:v>
      </x:c>
      <x:c r="Z136" s="72" t="s">
        <x:v>106</x:v>
      </x:c>
      <x:c r="AA136" s="82" t="s">
        <x:v>111</x:v>
      </x:c>
      <x:c r="AB136" s="72">
        <x:v>2025</x:v>
      </x:c>
      <x:c r="AC136" s="72" t="s">
        <x:v>113</x:v>
      </x:c>
      <x:c r="AD136" s="88">
        <x:f>+BORDRO!J140</x:f>
      </x:c>
      <x:c r="AE136" s="83"/>
      <x:c r="AF136" s="83">
        <x:f>+BORDRO!K140</x:f>
      </x:c>
      <x:c r="AG136" s="83">
        <x:f>+BORDRO!L140</x:f>
      </x:c>
      <x:c r="AH136" s="88">
        <x:f>+BORDRO!M140</x:f>
      </x:c>
      <x:c r="AI136" s="83">
        <x:f>+BORDRO!O140</x:f>
      </x:c>
      <x:c r="AJ136" s="84">
        <x:f>+BORDRO!P140</x:f>
      </x:c>
    </x:row>
    <x:row r="137" spans="1:36" ht="14.25" customHeight="1" x14ac:dyDescent="0.2">
      <x:c r="A137" s="72" t="s">
        <x:v>106</x:v>
      </x:c>
      <x:c r="B137" s="271">
        <x:v>46</x:v>
      </x:c>
      <x:c r="C137" s="72" t="s">
        <x:v>107</x:v>
      </x:c>
      <x:c r="D137" s="72" t="s">
        <x:v>108</x:v>
      </x:c>
      <x:c r="E137" s="72" t="s">
        <x:v>108</x:v>
      </x:c>
      <x:c r="F137" s="73">
        <x:v>1494768</x:v>
      </x:c>
      <x:c r="G137" s="74" t="s">
        <x:v>109</x:v>
      </x:c>
      <x:c r="H137" s="72" t="s">
        <x:v>110</x:v>
      </x:c>
      <x:c r="I137" s="86"/>
      <x:c r="J137" s="75">
        <x:f>+Puantaj!C141</x:f>
      </x:c>
      <x:c r="K137" s="72">
        <x:f>+Puantaj!D141</x:f>
      </x:c>
      <x:c r="L137" s="72">
        <x:f>+Puantaj!E141</x:f>
      </x:c>
      <x:c r="M137" s="265">
        <x:f>+BORDRO!F141</x:f>
      </x:c>
      <x:c r="N137" s="72"/>
      <x:c r="O137" s="87">
        <x:f>+BORDRO!G141</x:f>
      </x:c>
      <x:c r="P137" s="87">
        <x:v>0</x:v>
      </x:c>
      <x:c r="Q137" s="266">
        <x:v>24</x:v>
      </x:c>
      <x:c r="R137" s="267" t="s">
        <x:v>111</x:v>
      </x:c>
      <x:c r="S137" s="78"/>
      <x:c r="T137" s="78"/>
      <x:c r="U137" s="79"/>
      <x:c r="V137" s="268">
        <x:f>31-M137-Q137</x:f>
      </x:c>
      <x:c r="W137" s="269">
        <x:v>6</x:v>
      </x:c>
      <x:c r="X137" s="270" t="s">
        <x:v>112</x:v>
      </x:c>
      <x:c r="Y137" s="73">
        <x:v>2</x:v>
      </x:c>
      <x:c r="Z137" s="72" t="s">
        <x:v>106</x:v>
      </x:c>
      <x:c r="AA137" s="82" t="s">
        <x:v>111</x:v>
      </x:c>
      <x:c r="AB137" s="72">
        <x:v>2025</x:v>
      </x:c>
      <x:c r="AC137" s="72" t="s">
        <x:v>113</x:v>
      </x:c>
      <x:c r="AD137" s="88">
        <x:f>+BORDRO!J141</x:f>
      </x:c>
      <x:c r="AE137" s="83"/>
      <x:c r="AF137" s="83">
        <x:f>+BORDRO!K141</x:f>
      </x:c>
      <x:c r="AG137" s="83">
        <x:f>+BORDRO!L141</x:f>
      </x:c>
      <x:c r="AH137" s="88">
        <x:f>+BORDRO!M141</x:f>
      </x:c>
      <x:c r="AI137" s="83">
        <x:f>+BORDRO!O141</x:f>
      </x:c>
      <x:c r="AJ137" s="84">
        <x:f>+BORDRO!P141</x:f>
      </x:c>
    </x:row>
    <x:row r="138" spans="1:36" ht="15" customHeight="1" x14ac:dyDescent="0.25">
      <x:c r="A138" s="72" t="s">
        <x:v>106</x:v>
      </x:c>
      <x:c r="B138" s="264">
        <x:v>46</x:v>
      </x:c>
      <x:c r="C138" s="72" t="s">
        <x:v>107</x:v>
      </x:c>
      <x:c r="D138" s="72" t="s">
        <x:v>108</x:v>
      </x:c>
      <x:c r="E138" s="72" t="s">
        <x:v>108</x:v>
      </x:c>
      <x:c r="F138" s="73">
        <x:v>1494768</x:v>
      </x:c>
      <x:c r="G138" s="74" t="s">
        <x:v>109</x:v>
      </x:c>
      <x:c r="H138" s="72" t="s">
        <x:v>110</x:v>
      </x:c>
      <x:c r="I138" s="86"/>
      <x:c r="J138" s="75">
        <x:f>+Puantaj!C142</x:f>
      </x:c>
      <x:c r="K138" s="72">
        <x:f>+Puantaj!D142</x:f>
      </x:c>
      <x:c r="L138" s="72">
        <x:f>+Puantaj!E142</x:f>
      </x:c>
      <x:c r="M138" s="265">
        <x:f>+BORDRO!F142</x:f>
      </x:c>
      <x:c r="N138" s="72"/>
      <x:c r="O138" s="87">
        <x:f>+BORDRO!G142</x:f>
      </x:c>
      <x:c r="P138" s="87">
        <x:v>0</x:v>
      </x:c>
      <x:c r="Q138" s="266">
        <x:v>24</x:v>
      </x:c>
      <x:c r="R138" s="267" t="s">
        <x:v>111</x:v>
      </x:c>
      <x:c r="S138" s="78"/>
      <x:c r="T138" s="78"/>
      <x:c r="U138" s="79"/>
      <x:c r="V138" s="268">
        <x:f>31-M138-Q138</x:f>
      </x:c>
      <x:c r="W138" s="269">
        <x:v>6</x:v>
      </x:c>
      <x:c r="X138" s="270" t="s">
        <x:v>112</x:v>
      </x:c>
      <x:c r="Y138" s="73">
        <x:v>2</x:v>
      </x:c>
      <x:c r="Z138" s="72" t="s">
        <x:v>106</x:v>
      </x:c>
      <x:c r="AA138" s="82" t="s">
        <x:v>111</x:v>
      </x:c>
      <x:c r="AB138" s="72">
        <x:v>2025</x:v>
      </x:c>
      <x:c r="AC138" s="72" t="s">
        <x:v>113</x:v>
      </x:c>
      <x:c r="AD138" s="88">
        <x:f>+BORDRO!J142</x:f>
      </x:c>
      <x:c r="AE138" s="83"/>
      <x:c r="AF138" s="83">
        <x:f>+BORDRO!K142</x:f>
      </x:c>
      <x:c r="AG138" s="83">
        <x:f>+BORDRO!L142</x:f>
      </x:c>
      <x:c r="AH138" s="88">
        <x:f>+BORDRO!M142</x:f>
      </x:c>
      <x:c r="AI138" s="83">
        <x:f>+BORDRO!O142</x:f>
      </x:c>
      <x:c r="AJ138" s="84">
        <x:f>+BORDRO!P142</x:f>
      </x:c>
    </x:row>
    <x:row r="139" spans="1:36" ht="14.25" customHeight="1" x14ac:dyDescent="0.2">
      <x:c r="A139" s="72" t="s">
        <x:v>106</x:v>
      </x:c>
      <x:c r="B139" s="271">
        <x:v>46</x:v>
      </x:c>
      <x:c r="C139" s="72" t="s">
        <x:v>107</x:v>
      </x:c>
      <x:c r="D139" s="72" t="s">
        <x:v>108</x:v>
      </x:c>
      <x:c r="E139" s="72" t="s">
        <x:v>108</x:v>
      </x:c>
      <x:c r="F139" s="73">
        <x:v>1494768</x:v>
      </x:c>
      <x:c r="G139" s="74" t="s">
        <x:v>109</x:v>
      </x:c>
      <x:c r="H139" s="72" t="s">
        <x:v>110</x:v>
      </x:c>
      <x:c r="I139" s="86"/>
      <x:c r="J139" s="75">
        <x:f>+Puantaj!C143</x:f>
      </x:c>
      <x:c r="K139" s="72">
        <x:f>+Puantaj!D143</x:f>
      </x:c>
      <x:c r="L139" s="72">
        <x:f>+Puantaj!E143</x:f>
      </x:c>
      <x:c r="M139" s="265">
        <x:f>+BORDRO!F143</x:f>
      </x:c>
      <x:c r="N139" s="72"/>
      <x:c r="O139" s="87">
        <x:f>+BORDRO!G143</x:f>
      </x:c>
      <x:c r="P139" s="87">
        <x:v>0</x:v>
      </x:c>
      <x:c r="Q139" s="266">
        <x:v>24</x:v>
      </x:c>
      <x:c r="R139" s="267" t="s">
        <x:v>111</x:v>
      </x:c>
      <x:c r="S139" s="78"/>
      <x:c r="T139" s="78"/>
      <x:c r="U139" s="79"/>
      <x:c r="V139" s="268">
        <x:f>31-M139-Q139</x:f>
      </x:c>
      <x:c r="W139" s="269">
        <x:v>6</x:v>
      </x:c>
      <x:c r="X139" s="270" t="s">
        <x:v>112</x:v>
      </x:c>
      <x:c r="Y139" s="73">
        <x:v>2</x:v>
      </x:c>
      <x:c r="Z139" s="72" t="s">
        <x:v>106</x:v>
      </x:c>
      <x:c r="AA139" s="82" t="s">
        <x:v>111</x:v>
      </x:c>
      <x:c r="AB139" s="72">
        <x:v>2025</x:v>
      </x:c>
      <x:c r="AC139" s="72" t="s">
        <x:v>113</x:v>
      </x:c>
      <x:c r="AD139" s="88">
        <x:f>+BORDRO!J143</x:f>
      </x:c>
      <x:c r="AE139" s="83"/>
      <x:c r="AF139" s="83">
        <x:f>+BORDRO!K143</x:f>
      </x:c>
      <x:c r="AG139" s="83">
        <x:f>+BORDRO!L143</x:f>
      </x:c>
      <x:c r="AH139" s="88">
        <x:f>+BORDRO!M143</x:f>
      </x:c>
      <x:c r="AI139" s="83">
        <x:f>+BORDRO!O143</x:f>
      </x:c>
      <x:c r="AJ139" s="84">
        <x:f>+BORDRO!P143</x:f>
      </x:c>
    </x:row>
    <x:row r="140" spans="1:36" ht="15" customHeight="1" x14ac:dyDescent="0.25">
      <x:c r="A140" s="72" t="s">
        <x:v>106</x:v>
      </x:c>
      <x:c r="B140" s="264">
        <x:v>46</x:v>
      </x:c>
      <x:c r="C140" s="72" t="s">
        <x:v>107</x:v>
      </x:c>
      <x:c r="D140" s="72" t="s">
        <x:v>108</x:v>
      </x:c>
      <x:c r="E140" s="72" t="s">
        <x:v>108</x:v>
      </x:c>
      <x:c r="F140" s="73">
        <x:v>1494768</x:v>
      </x:c>
      <x:c r="G140" s="74" t="s">
        <x:v>109</x:v>
      </x:c>
      <x:c r="H140" s="72" t="s">
        <x:v>110</x:v>
      </x:c>
      <x:c r="I140" s="86"/>
      <x:c r="J140" s="75">
        <x:f>+Puantaj!C144</x:f>
      </x:c>
      <x:c r="K140" s="72">
        <x:f>+Puantaj!D144</x:f>
      </x:c>
      <x:c r="L140" s="72">
        <x:f>+Puantaj!E144</x:f>
      </x:c>
      <x:c r="M140" s="265">
        <x:f>+BORDRO!F144</x:f>
      </x:c>
      <x:c r="N140" s="72"/>
      <x:c r="O140" s="87">
        <x:f>+BORDRO!G144</x:f>
      </x:c>
      <x:c r="P140" s="87">
        <x:v>0</x:v>
      </x:c>
      <x:c r="Q140" s="266">
        <x:v>24</x:v>
      </x:c>
      <x:c r="R140" s="267" t="s">
        <x:v>111</x:v>
      </x:c>
      <x:c r="S140" s="78"/>
      <x:c r="T140" s="78"/>
      <x:c r="U140" s="79"/>
      <x:c r="V140" s="268">
        <x:f>31-M140-Q140</x:f>
      </x:c>
      <x:c r="W140" s="269">
        <x:v>6</x:v>
      </x:c>
      <x:c r="X140" s="270" t="s">
        <x:v>112</x:v>
      </x:c>
      <x:c r="Y140" s="73">
        <x:v>2</x:v>
      </x:c>
      <x:c r="Z140" s="72" t="s">
        <x:v>106</x:v>
      </x:c>
      <x:c r="AA140" s="82" t="s">
        <x:v>111</x:v>
      </x:c>
      <x:c r="AB140" s="72">
        <x:v>2025</x:v>
      </x:c>
      <x:c r="AC140" s="72" t="s">
        <x:v>113</x:v>
      </x:c>
      <x:c r="AD140" s="88">
        <x:f>+BORDRO!J144</x:f>
      </x:c>
      <x:c r="AE140" s="83"/>
      <x:c r="AF140" s="83">
        <x:f>+BORDRO!K144</x:f>
      </x:c>
      <x:c r="AG140" s="83">
        <x:f>+BORDRO!L144</x:f>
      </x:c>
      <x:c r="AH140" s="88">
        <x:f>+BORDRO!M144</x:f>
      </x:c>
      <x:c r="AI140" s="83">
        <x:f>+BORDRO!O144</x:f>
      </x:c>
      <x:c r="AJ140" s="84">
        <x:f>+BORDRO!P144</x:f>
      </x:c>
    </x:row>
    <x:row r="141" spans="1:36" ht="14.25" customHeight="1" x14ac:dyDescent="0.2">
      <x:c r="A141" s="72" t="s">
        <x:v>106</x:v>
      </x:c>
      <x:c r="B141" s="271">
        <x:v>46</x:v>
      </x:c>
      <x:c r="C141" s="72" t="s">
        <x:v>107</x:v>
      </x:c>
      <x:c r="D141" s="72" t="s">
        <x:v>108</x:v>
      </x:c>
      <x:c r="E141" s="72" t="s">
        <x:v>108</x:v>
      </x:c>
      <x:c r="F141" s="73">
        <x:v>1494768</x:v>
      </x:c>
      <x:c r="G141" s="74" t="s">
        <x:v>109</x:v>
      </x:c>
      <x:c r="H141" s="72" t="s">
        <x:v>110</x:v>
      </x:c>
      <x:c r="I141" s="86"/>
      <x:c r="J141" s="75">
        <x:f>+Puantaj!C145</x:f>
      </x:c>
      <x:c r="K141" s="72">
        <x:f>+Puantaj!D145</x:f>
      </x:c>
      <x:c r="L141" s="72">
        <x:f>+Puantaj!E145</x:f>
      </x:c>
      <x:c r="M141" s="265">
        <x:f>+BORDRO!F145</x:f>
      </x:c>
      <x:c r="N141" s="72"/>
      <x:c r="O141" s="87">
        <x:f>+BORDRO!G145</x:f>
      </x:c>
      <x:c r="P141" s="87">
        <x:v>0</x:v>
      </x:c>
      <x:c r="Q141" s="266">
        <x:v>24</x:v>
      </x:c>
      <x:c r="R141" s="267" t="s">
        <x:v>111</x:v>
      </x:c>
      <x:c r="S141" s="78"/>
      <x:c r="T141" s="78"/>
      <x:c r="U141" s="79"/>
      <x:c r="V141" s="268">
        <x:f>31-M141-Q141</x:f>
      </x:c>
      <x:c r="W141" s="269">
        <x:v>6</x:v>
      </x:c>
      <x:c r="X141" s="270" t="s">
        <x:v>112</x:v>
      </x:c>
      <x:c r="Y141" s="73">
        <x:v>2</x:v>
      </x:c>
      <x:c r="Z141" s="72" t="s">
        <x:v>106</x:v>
      </x:c>
      <x:c r="AA141" s="82" t="s">
        <x:v>111</x:v>
      </x:c>
      <x:c r="AB141" s="72">
        <x:v>2025</x:v>
      </x:c>
      <x:c r="AC141" s="72" t="s">
        <x:v>113</x:v>
      </x:c>
      <x:c r="AD141" s="88">
        <x:f>+BORDRO!J145</x:f>
      </x:c>
      <x:c r="AE141" s="83"/>
      <x:c r="AF141" s="83">
        <x:f>+BORDRO!K145</x:f>
      </x:c>
      <x:c r="AG141" s="83">
        <x:f>+BORDRO!L145</x:f>
      </x:c>
      <x:c r="AH141" s="88">
        <x:f>+BORDRO!M145</x:f>
      </x:c>
      <x:c r="AI141" s="83">
        <x:f>+BORDRO!O145</x:f>
      </x:c>
      <x:c r="AJ141" s="84">
        <x:f>+BORDRO!P145</x:f>
      </x:c>
    </x:row>
    <x:row r="142" spans="1:36" ht="15" customHeight="1" x14ac:dyDescent="0.25">
      <x:c r="A142" s="72" t="s">
        <x:v>106</x:v>
      </x:c>
      <x:c r="B142" s="264">
        <x:v>46</x:v>
      </x:c>
      <x:c r="C142" s="72" t="s">
        <x:v>107</x:v>
      </x:c>
      <x:c r="D142" s="72" t="s">
        <x:v>108</x:v>
      </x:c>
      <x:c r="E142" s="72" t="s">
        <x:v>108</x:v>
      </x:c>
      <x:c r="F142" s="73">
        <x:v>1494768</x:v>
      </x:c>
      <x:c r="G142" s="74" t="s">
        <x:v>109</x:v>
      </x:c>
      <x:c r="H142" s="72" t="s">
        <x:v>110</x:v>
      </x:c>
      <x:c r="I142" s="86"/>
      <x:c r="J142" s="75">
        <x:f>+Puantaj!C146</x:f>
      </x:c>
      <x:c r="K142" s="72">
        <x:f>+Puantaj!D146</x:f>
      </x:c>
      <x:c r="L142" s="72">
        <x:f>+Puantaj!E146</x:f>
      </x:c>
      <x:c r="M142" s="265">
        <x:f>+BORDRO!F146</x:f>
      </x:c>
      <x:c r="N142" s="72"/>
      <x:c r="O142" s="87">
        <x:f>+BORDRO!G146</x:f>
      </x:c>
      <x:c r="P142" s="87">
        <x:v>0</x:v>
      </x:c>
      <x:c r="Q142" s="266">
        <x:v>24</x:v>
      </x:c>
      <x:c r="R142" s="267" t="s">
        <x:v>111</x:v>
      </x:c>
      <x:c r="S142" s="78"/>
      <x:c r="T142" s="78"/>
      <x:c r="U142" s="79"/>
      <x:c r="V142" s="268">
        <x:f>31-M142-Q142</x:f>
      </x:c>
      <x:c r="W142" s="269">
        <x:v>6</x:v>
      </x:c>
      <x:c r="X142" s="270" t="s">
        <x:v>112</x:v>
      </x:c>
      <x:c r="Y142" s="73">
        <x:v>2</x:v>
      </x:c>
      <x:c r="Z142" s="72" t="s">
        <x:v>106</x:v>
      </x:c>
      <x:c r="AA142" s="82" t="s">
        <x:v>111</x:v>
      </x:c>
      <x:c r="AB142" s="72">
        <x:v>2025</x:v>
      </x:c>
      <x:c r="AC142" s="72" t="s">
        <x:v>113</x:v>
      </x:c>
      <x:c r="AD142" s="88">
        <x:f>+BORDRO!J146</x:f>
      </x:c>
      <x:c r="AE142" s="83"/>
      <x:c r="AF142" s="83">
        <x:f>+BORDRO!K146</x:f>
      </x:c>
      <x:c r="AG142" s="83">
        <x:f>+BORDRO!L146</x:f>
      </x:c>
      <x:c r="AH142" s="88">
        <x:f>+BORDRO!M146</x:f>
      </x:c>
      <x:c r="AI142" s="83">
        <x:f>+BORDRO!O146</x:f>
      </x:c>
      <x:c r="AJ142" s="84">
        <x:f>+BORDRO!P146</x:f>
      </x:c>
    </x:row>
    <x:row r="143" spans="1:36" ht="14.25" customHeight="1" x14ac:dyDescent="0.2">
      <x:c r="A143" s="72" t="s">
        <x:v>106</x:v>
      </x:c>
      <x:c r="B143" s="271">
        <x:v>46</x:v>
      </x:c>
      <x:c r="C143" s="72" t="s">
        <x:v>107</x:v>
      </x:c>
      <x:c r="D143" s="72" t="s">
        <x:v>108</x:v>
      </x:c>
      <x:c r="E143" s="72" t="s">
        <x:v>108</x:v>
      </x:c>
      <x:c r="F143" s="73">
        <x:v>1494768</x:v>
      </x:c>
      <x:c r="G143" s="74" t="s">
        <x:v>109</x:v>
      </x:c>
      <x:c r="H143" s="72" t="s">
        <x:v>110</x:v>
      </x:c>
      <x:c r="I143" s="86"/>
      <x:c r="J143" s="75">
        <x:f>+Puantaj!C147</x:f>
      </x:c>
      <x:c r="K143" s="72">
        <x:f>+Puantaj!D147</x:f>
      </x:c>
      <x:c r="L143" s="72">
        <x:f>+Puantaj!E147</x:f>
      </x:c>
      <x:c r="M143" s="265">
        <x:f>+BORDRO!F147</x:f>
      </x:c>
      <x:c r="N143" s="72"/>
      <x:c r="O143" s="87">
        <x:f>+BORDRO!G147</x:f>
      </x:c>
      <x:c r="P143" s="87">
        <x:v>0</x:v>
      </x:c>
      <x:c r="Q143" s="266">
        <x:v>24</x:v>
      </x:c>
      <x:c r="R143" s="267" t="s">
        <x:v>111</x:v>
      </x:c>
      <x:c r="S143" s="78"/>
      <x:c r="T143" s="78"/>
      <x:c r="U143" s="79"/>
      <x:c r="V143" s="268">
        <x:f>31-M143-Q143</x:f>
      </x:c>
      <x:c r="W143" s="269">
        <x:v>6</x:v>
      </x:c>
      <x:c r="X143" s="270" t="s">
        <x:v>112</x:v>
      </x:c>
      <x:c r="Y143" s="73">
        <x:v>2</x:v>
      </x:c>
      <x:c r="Z143" s="72" t="s">
        <x:v>106</x:v>
      </x:c>
      <x:c r="AA143" s="82" t="s">
        <x:v>111</x:v>
      </x:c>
      <x:c r="AB143" s="72">
        <x:v>2025</x:v>
      </x:c>
      <x:c r="AC143" s="72" t="s">
        <x:v>113</x:v>
      </x:c>
      <x:c r="AD143" s="88">
        <x:f>+BORDRO!J147</x:f>
      </x:c>
      <x:c r="AE143" s="83"/>
      <x:c r="AF143" s="83">
        <x:f>+BORDRO!K147</x:f>
      </x:c>
      <x:c r="AG143" s="83">
        <x:f>+BORDRO!L147</x:f>
      </x:c>
      <x:c r="AH143" s="88">
        <x:f>+BORDRO!M147</x:f>
      </x:c>
      <x:c r="AI143" s="83">
        <x:f>+BORDRO!O147</x:f>
      </x:c>
      <x:c r="AJ143" s="84">
        <x:f>+BORDRO!P147</x:f>
      </x:c>
    </x:row>
    <x:row r="144" spans="1:36" ht="15" customHeight="1" x14ac:dyDescent="0.25">
      <x:c r="A144" s="72" t="s">
        <x:v>106</x:v>
      </x:c>
      <x:c r="B144" s="264">
        <x:v>46</x:v>
      </x:c>
      <x:c r="C144" s="72" t="s">
        <x:v>107</x:v>
      </x:c>
      <x:c r="D144" s="72" t="s">
        <x:v>108</x:v>
      </x:c>
      <x:c r="E144" s="72" t="s">
        <x:v>108</x:v>
      </x:c>
      <x:c r="F144" s="73">
        <x:v>1494768</x:v>
      </x:c>
      <x:c r="G144" s="74" t="s">
        <x:v>109</x:v>
      </x:c>
      <x:c r="H144" s="72" t="s">
        <x:v>110</x:v>
      </x:c>
      <x:c r="I144" s="86"/>
      <x:c r="J144" s="75">
        <x:f>+Puantaj!C148</x:f>
      </x:c>
      <x:c r="K144" s="72">
        <x:f>+Puantaj!D148</x:f>
      </x:c>
      <x:c r="L144" s="72">
        <x:f>+Puantaj!E148</x:f>
      </x:c>
      <x:c r="M144" s="265">
        <x:f>+BORDRO!F148</x:f>
      </x:c>
      <x:c r="N144" s="72"/>
      <x:c r="O144" s="87">
        <x:f>+BORDRO!G148</x:f>
      </x:c>
      <x:c r="P144" s="87">
        <x:v>0</x:v>
      </x:c>
      <x:c r="Q144" s="266">
        <x:v>24</x:v>
      </x:c>
      <x:c r="R144" s="267" t="s">
        <x:v>111</x:v>
      </x:c>
      <x:c r="S144" s="78"/>
      <x:c r="T144" s="78"/>
      <x:c r="U144" s="79"/>
      <x:c r="V144" s="268">
        <x:f>31-M144-Q144</x:f>
      </x:c>
      <x:c r="W144" s="269">
        <x:v>6</x:v>
      </x:c>
      <x:c r="X144" s="270" t="s">
        <x:v>112</x:v>
      </x:c>
      <x:c r="Y144" s="73">
        <x:v>2</x:v>
      </x:c>
      <x:c r="Z144" s="72" t="s">
        <x:v>106</x:v>
      </x:c>
      <x:c r="AA144" s="82" t="s">
        <x:v>111</x:v>
      </x:c>
      <x:c r="AB144" s="72">
        <x:v>2025</x:v>
      </x:c>
      <x:c r="AC144" s="72" t="s">
        <x:v>113</x:v>
      </x:c>
      <x:c r="AD144" s="88">
        <x:f>+BORDRO!J148</x:f>
      </x:c>
      <x:c r="AE144" s="83"/>
      <x:c r="AF144" s="83">
        <x:f>+BORDRO!K148</x:f>
      </x:c>
      <x:c r="AG144" s="83">
        <x:f>+BORDRO!L148</x:f>
      </x:c>
      <x:c r="AH144" s="88">
        <x:f>+BORDRO!M148</x:f>
      </x:c>
      <x:c r="AI144" s="83">
        <x:f>+BORDRO!O148</x:f>
      </x:c>
      <x:c r="AJ144" s="84">
        <x:f>+BORDRO!P148</x:f>
      </x:c>
    </x:row>
    <x:row r="145" spans="1:36" ht="14.25" customHeight="1" x14ac:dyDescent="0.2">
      <x:c r="A145" s="72" t="s">
        <x:v>106</x:v>
      </x:c>
      <x:c r="B145" s="271">
        <x:v>46</x:v>
      </x:c>
      <x:c r="C145" s="72" t="s">
        <x:v>107</x:v>
      </x:c>
      <x:c r="D145" s="72" t="s">
        <x:v>108</x:v>
      </x:c>
      <x:c r="E145" s="72" t="s">
        <x:v>108</x:v>
      </x:c>
      <x:c r="F145" s="73">
        <x:v>1494768</x:v>
      </x:c>
      <x:c r="G145" s="74" t="s">
        <x:v>109</x:v>
      </x:c>
      <x:c r="H145" s="72" t="s">
        <x:v>110</x:v>
      </x:c>
      <x:c r="I145" s="86"/>
      <x:c r="J145" s="75">
        <x:f>+Puantaj!C149</x:f>
      </x:c>
      <x:c r="K145" s="72">
        <x:f>+Puantaj!D149</x:f>
      </x:c>
      <x:c r="L145" s="72">
        <x:f>+Puantaj!E149</x:f>
      </x:c>
      <x:c r="M145" s="265">
        <x:f>+BORDRO!F149</x:f>
      </x:c>
      <x:c r="N145" s="72"/>
      <x:c r="O145" s="87">
        <x:f>+BORDRO!G149</x:f>
      </x:c>
      <x:c r="P145" s="87">
        <x:v>0</x:v>
      </x:c>
      <x:c r="Q145" s="266">
        <x:v>24</x:v>
      </x:c>
      <x:c r="R145" s="267" t="s">
        <x:v>111</x:v>
      </x:c>
      <x:c r="S145" s="78"/>
      <x:c r="T145" s="78"/>
      <x:c r="U145" s="79"/>
      <x:c r="V145" s="268">
        <x:f>31-M145-Q145</x:f>
      </x:c>
      <x:c r="W145" s="269">
        <x:v>6</x:v>
      </x:c>
      <x:c r="X145" s="270" t="s">
        <x:v>112</x:v>
      </x:c>
      <x:c r="Y145" s="73">
        <x:v>2</x:v>
      </x:c>
      <x:c r="Z145" s="72" t="s">
        <x:v>106</x:v>
      </x:c>
      <x:c r="AA145" s="82" t="s">
        <x:v>111</x:v>
      </x:c>
      <x:c r="AB145" s="72">
        <x:v>2025</x:v>
      </x:c>
      <x:c r="AC145" s="72" t="s">
        <x:v>113</x:v>
      </x:c>
      <x:c r="AD145" s="88">
        <x:f>+BORDRO!J149</x:f>
      </x:c>
      <x:c r="AE145" s="83"/>
      <x:c r="AF145" s="83">
        <x:f>+BORDRO!K149</x:f>
      </x:c>
      <x:c r="AG145" s="83">
        <x:f>+BORDRO!L149</x:f>
      </x:c>
      <x:c r="AH145" s="88">
        <x:f>+BORDRO!M149</x:f>
      </x:c>
      <x:c r="AI145" s="83">
        <x:f>+BORDRO!O149</x:f>
      </x:c>
      <x:c r="AJ145" s="84">
        <x:f>+BORDRO!P149</x:f>
      </x:c>
    </x:row>
    <x:row r="146" spans="1:36" ht="15" customHeight="1" x14ac:dyDescent="0.25">
      <x:c r="A146" s="72" t="s">
        <x:v>106</x:v>
      </x:c>
      <x:c r="B146" s="264">
        <x:v>46</x:v>
      </x:c>
      <x:c r="C146" s="72" t="s">
        <x:v>107</x:v>
      </x:c>
      <x:c r="D146" s="72" t="s">
        <x:v>108</x:v>
      </x:c>
      <x:c r="E146" s="72" t="s">
        <x:v>108</x:v>
      </x:c>
      <x:c r="F146" s="73">
        <x:v>1494768</x:v>
      </x:c>
      <x:c r="G146" s="74" t="s">
        <x:v>109</x:v>
      </x:c>
      <x:c r="H146" s="72" t="s">
        <x:v>110</x:v>
      </x:c>
      <x:c r="I146" s="86"/>
      <x:c r="J146" s="75">
        <x:f>+Puantaj!C150</x:f>
      </x:c>
      <x:c r="K146" s="72">
        <x:f>+Puantaj!D150</x:f>
      </x:c>
      <x:c r="L146" s="72">
        <x:f>+Puantaj!E150</x:f>
      </x:c>
      <x:c r="M146" s="265">
        <x:f>+BORDRO!F150</x:f>
      </x:c>
      <x:c r="N146" s="72"/>
      <x:c r="O146" s="87">
        <x:f>+BORDRO!G150</x:f>
      </x:c>
      <x:c r="P146" s="87">
        <x:v>0</x:v>
      </x:c>
      <x:c r="Q146" s="266">
        <x:v>24</x:v>
      </x:c>
      <x:c r="R146" s="267" t="s">
        <x:v>111</x:v>
      </x:c>
      <x:c r="S146" s="78"/>
      <x:c r="T146" s="78"/>
      <x:c r="U146" s="79"/>
      <x:c r="V146" s="268">
        <x:f>31-M146-Q146</x:f>
      </x:c>
      <x:c r="W146" s="269">
        <x:v>6</x:v>
      </x:c>
      <x:c r="X146" s="270" t="s">
        <x:v>112</x:v>
      </x:c>
      <x:c r="Y146" s="73">
        <x:v>2</x:v>
      </x:c>
      <x:c r="Z146" s="72" t="s">
        <x:v>106</x:v>
      </x:c>
      <x:c r="AA146" s="82" t="s">
        <x:v>111</x:v>
      </x:c>
      <x:c r="AB146" s="72">
        <x:v>2025</x:v>
      </x:c>
      <x:c r="AC146" s="72" t="s">
        <x:v>113</x:v>
      </x:c>
      <x:c r="AD146" s="88">
        <x:f>+BORDRO!J150</x:f>
      </x:c>
      <x:c r="AE146" s="83"/>
      <x:c r="AF146" s="83">
        <x:f>+BORDRO!K150</x:f>
      </x:c>
      <x:c r="AG146" s="83">
        <x:f>+BORDRO!L150</x:f>
      </x:c>
      <x:c r="AH146" s="88">
        <x:f>+BORDRO!M150</x:f>
      </x:c>
      <x:c r="AI146" s="83">
        <x:f>+BORDRO!O150</x:f>
      </x:c>
      <x:c r="AJ146" s="84">
        <x:f>+BORDRO!P150</x:f>
      </x:c>
    </x:row>
    <x:row r="147" spans="1:36" ht="14.25" customHeight="1" x14ac:dyDescent="0.2">
      <x:c r="A147" s="72" t="s">
        <x:v>106</x:v>
      </x:c>
      <x:c r="B147" s="271">
        <x:v>46</x:v>
      </x:c>
      <x:c r="C147" s="72" t="s">
        <x:v>107</x:v>
      </x:c>
      <x:c r="D147" s="72" t="s">
        <x:v>108</x:v>
      </x:c>
      <x:c r="E147" s="72" t="s">
        <x:v>108</x:v>
      </x:c>
      <x:c r="F147" s="73">
        <x:v>1494768</x:v>
      </x:c>
      <x:c r="G147" s="74" t="s">
        <x:v>109</x:v>
      </x:c>
      <x:c r="H147" s="72" t="s">
        <x:v>110</x:v>
      </x:c>
      <x:c r="I147" s="86"/>
      <x:c r="J147" s="75">
        <x:f>+Puantaj!C151</x:f>
      </x:c>
      <x:c r="K147" s="72">
        <x:f>+Puantaj!D151</x:f>
      </x:c>
      <x:c r="L147" s="72">
        <x:f>+Puantaj!E151</x:f>
      </x:c>
      <x:c r="M147" s="265">
        <x:f>+BORDRO!F151</x:f>
      </x:c>
      <x:c r="N147" s="72"/>
      <x:c r="O147" s="87">
        <x:f>+BORDRO!G151</x:f>
      </x:c>
      <x:c r="P147" s="87">
        <x:v>0</x:v>
      </x:c>
      <x:c r="Q147" s="266">
        <x:v>24</x:v>
      </x:c>
      <x:c r="R147" s="267" t="s">
        <x:v>111</x:v>
      </x:c>
      <x:c r="S147" s="78"/>
      <x:c r="T147" s="78"/>
      <x:c r="U147" s="79"/>
      <x:c r="V147" s="268">
        <x:f>31-M147-Q147</x:f>
      </x:c>
      <x:c r="W147" s="269">
        <x:v>6</x:v>
      </x:c>
      <x:c r="X147" s="270" t="s">
        <x:v>112</x:v>
      </x:c>
      <x:c r="Y147" s="73">
        <x:v>2</x:v>
      </x:c>
      <x:c r="Z147" s="72" t="s">
        <x:v>106</x:v>
      </x:c>
      <x:c r="AA147" s="82" t="s">
        <x:v>111</x:v>
      </x:c>
      <x:c r="AB147" s="72">
        <x:v>2025</x:v>
      </x:c>
      <x:c r="AC147" s="72" t="s">
        <x:v>113</x:v>
      </x:c>
      <x:c r="AD147" s="88">
        <x:f>+BORDRO!J151</x:f>
      </x:c>
      <x:c r="AE147" s="83"/>
      <x:c r="AF147" s="83">
        <x:f>+BORDRO!K151</x:f>
      </x:c>
      <x:c r="AG147" s="83">
        <x:f>+BORDRO!L151</x:f>
      </x:c>
      <x:c r="AH147" s="88">
        <x:f>+BORDRO!M151</x:f>
      </x:c>
      <x:c r="AI147" s="83">
        <x:f>+BORDRO!O151</x:f>
      </x:c>
      <x:c r="AJ147" s="84">
        <x:f>+BORDRO!P151</x:f>
      </x:c>
    </x:row>
    <x:row r="148" spans="1:36" ht="15" customHeight="1" x14ac:dyDescent="0.25">
      <x:c r="A148" s="72" t="s">
        <x:v>106</x:v>
      </x:c>
      <x:c r="B148" s="264">
        <x:v>46</x:v>
      </x:c>
      <x:c r="C148" s="72" t="s">
        <x:v>107</x:v>
      </x:c>
      <x:c r="D148" s="72" t="s">
        <x:v>108</x:v>
      </x:c>
      <x:c r="E148" s="72" t="s">
        <x:v>108</x:v>
      </x:c>
      <x:c r="F148" s="73">
        <x:v>1494768</x:v>
      </x:c>
      <x:c r="G148" s="74" t="s">
        <x:v>109</x:v>
      </x:c>
      <x:c r="H148" s="72" t="s">
        <x:v>110</x:v>
      </x:c>
      <x:c r="I148" s="86"/>
      <x:c r="J148" s="75">
        <x:f>+Puantaj!C152</x:f>
      </x:c>
      <x:c r="K148" s="72">
        <x:f>+Puantaj!D152</x:f>
      </x:c>
      <x:c r="L148" s="72">
        <x:f>+Puantaj!E152</x:f>
      </x:c>
      <x:c r="M148" s="265">
        <x:f>+BORDRO!F152</x:f>
      </x:c>
      <x:c r="N148" s="72"/>
      <x:c r="O148" s="87">
        <x:f>+BORDRO!G152</x:f>
      </x:c>
      <x:c r="P148" s="87">
        <x:v>0</x:v>
      </x:c>
      <x:c r="Q148" s="266">
        <x:v>24</x:v>
      </x:c>
      <x:c r="R148" s="267" t="s">
        <x:v>111</x:v>
      </x:c>
      <x:c r="S148" s="78"/>
      <x:c r="T148" s="78"/>
      <x:c r="U148" s="79"/>
      <x:c r="V148" s="268">
        <x:f>31-M148-Q148</x:f>
      </x:c>
      <x:c r="W148" s="269">
        <x:v>6</x:v>
      </x:c>
      <x:c r="X148" s="270" t="s">
        <x:v>112</x:v>
      </x:c>
      <x:c r="Y148" s="73">
        <x:v>2</x:v>
      </x:c>
      <x:c r="Z148" s="72" t="s">
        <x:v>106</x:v>
      </x:c>
      <x:c r="AA148" s="82" t="s">
        <x:v>111</x:v>
      </x:c>
      <x:c r="AB148" s="72">
        <x:v>2025</x:v>
      </x:c>
      <x:c r="AC148" s="72" t="s">
        <x:v>113</x:v>
      </x:c>
      <x:c r="AD148" s="88">
        <x:f>+BORDRO!J152</x:f>
      </x:c>
      <x:c r="AE148" s="83"/>
      <x:c r="AF148" s="83">
        <x:f>+BORDRO!K152</x:f>
      </x:c>
      <x:c r="AG148" s="83">
        <x:f>+BORDRO!L152</x:f>
      </x:c>
      <x:c r="AH148" s="88">
        <x:f>+BORDRO!M152</x:f>
      </x:c>
      <x:c r="AI148" s="83">
        <x:f>+BORDRO!O152</x:f>
      </x:c>
      <x:c r="AJ148" s="84">
        <x:f>+BORDRO!P152</x:f>
      </x:c>
    </x:row>
    <x:row r="149" spans="1:36" ht="14.25" customHeight="1" x14ac:dyDescent="0.2">
      <x:c r="A149" s="72" t="s">
        <x:v>106</x:v>
      </x:c>
      <x:c r="B149" s="271">
        <x:v>46</x:v>
      </x:c>
      <x:c r="C149" s="72" t="s">
        <x:v>107</x:v>
      </x:c>
      <x:c r="D149" s="72" t="s">
        <x:v>108</x:v>
      </x:c>
      <x:c r="E149" s="72" t="s">
        <x:v>108</x:v>
      </x:c>
      <x:c r="F149" s="73">
        <x:v>1494768</x:v>
      </x:c>
      <x:c r="G149" s="74" t="s">
        <x:v>109</x:v>
      </x:c>
      <x:c r="H149" s="72" t="s">
        <x:v>110</x:v>
      </x:c>
      <x:c r="I149" s="86"/>
      <x:c r="J149" s="75">
        <x:f>+Puantaj!C153</x:f>
      </x:c>
      <x:c r="K149" s="72">
        <x:f>+Puantaj!D153</x:f>
      </x:c>
      <x:c r="L149" s="72">
        <x:f>+Puantaj!E153</x:f>
      </x:c>
      <x:c r="M149" s="265">
        <x:f>+BORDRO!F153</x:f>
      </x:c>
      <x:c r="N149" s="72"/>
      <x:c r="O149" s="87">
        <x:f>+BORDRO!G153</x:f>
      </x:c>
      <x:c r="P149" s="87">
        <x:v>0</x:v>
      </x:c>
      <x:c r="Q149" s="266">
        <x:v>24</x:v>
      </x:c>
      <x:c r="R149" s="267" t="s">
        <x:v>111</x:v>
      </x:c>
      <x:c r="S149" s="78"/>
      <x:c r="T149" s="78"/>
      <x:c r="U149" s="79"/>
      <x:c r="V149" s="268">
        <x:f>31-M149-Q149</x:f>
      </x:c>
      <x:c r="W149" s="269">
        <x:v>6</x:v>
      </x:c>
      <x:c r="X149" s="270" t="s">
        <x:v>112</x:v>
      </x:c>
      <x:c r="Y149" s="73">
        <x:v>2</x:v>
      </x:c>
      <x:c r="Z149" s="72" t="s">
        <x:v>106</x:v>
      </x:c>
      <x:c r="AA149" s="82" t="s">
        <x:v>111</x:v>
      </x:c>
      <x:c r="AB149" s="72">
        <x:v>2025</x:v>
      </x:c>
      <x:c r="AC149" s="72" t="s">
        <x:v>113</x:v>
      </x:c>
      <x:c r="AD149" s="88">
        <x:f>+BORDRO!J153</x:f>
      </x:c>
      <x:c r="AE149" s="83"/>
      <x:c r="AF149" s="83">
        <x:f>+BORDRO!K153</x:f>
      </x:c>
      <x:c r="AG149" s="83">
        <x:f>+BORDRO!L153</x:f>
      </x:c>
      <x:c r="AH149" s="88">
        <x:f>+BORDRO!M153</x:f>
      </x:c>
      <x:c r="AI149" s="83">
        <x:f>+BORDRO!O153</x:f>
      </x:c>
      <x:c r="AJ149" s="84">
        <x:f>+BORDRO!P153</x:f>
      </x:c>
    </x:row>
    <x:row r="150" spans="1:36" ht="15" customHeight="1" x14ac:dyDescent="0.25">
      <x:c r="A150" s="72" t="s">
        <x:v>106</x:v>
      </x:c>
      <x:c r="B150" s="264">
        <x:v>46</x:v>
      </x:c>
      <x:c r="C150" s="72" t="s">
        <x:v>107</x:v>
      </x:c>
      <x:c r="D150" s="72" t="s">
        <x:v>108</x:v>
      </x:c>
      <x:c r="E150" s="72" t="s">
        <x:v>108</x:v>
      </x:c>
      <x:c r="F150" s="73">
        <x:v>1494768</x:v>
      </x:c>
      <x:c r="G150" s="74" t="s">
        <x:v>109</x:v>
      </x:c>
      <x:c r="H150" s="72" t="s">
        <x:v>110</x:v>
      </x:c>
      <x:c r="I150" s="86"/>
      <x:c r="J150" s="75">
        <x:f>+Puantaj!C154</x:f>
      </x:c>
      <x:c r="K150" s="72">
        <x:f>+Puantaj!D154</x:f>
      </x:c>
      <x:c r="L150" s="72">
        <x:f>+Puantaj!E154</x:f>
      </x:c>
      <x:c r="M150" s="265">
        <x:f>+BORDRO!F154</x:f>
      </x:c>
      <x:c r="N150" s="72"/>
      <x:c r="O150" s="87">
        <x:f>+BORDRO!G154</x:f>
      </x:c>
      <x:c r="P150" s="87">
        <x:v>0</x:v>
      </x:c>
      <x:c r="Q150" s="266">
        <x:v>24</x:v>
      </x:c>
      <x:c r="R150" s="267" t="s">
        <x:v>111</x:v>
      </x:c>
      <x:c r="S150" s="78"/>
      <x:c r="T150" s="78"/>
      <x:c r="U150" s="79"/>
      <x:c r="V150" s="268">
        <x:f>31-M150-Q150</x:f>
      </x:c>
      <x:c r="W150" s="269">
        <x:v>6</x:v>
      </x:c>
      <x:c r="X150" s="270" t="s">
        <x:v>112</x:v>
      </x:c>
      <x:c r="Y150" s="73">
        <x:v>2</x:v>
      </x:c>
      <x:c r="Z150" s="72" t="s">
        <x:v>106</x:v>
      </x:c>
      <x:c r="AA150" s="82" t="s">
        <x:v>111</x:v>
      </x:c>
      <x:c r="AB150" s="72">
        <x:v>2025</x:v>
      </x:c>
      <x:c r="AC150" s="72" t="s">
        <x:v>113</x:v>
      </x:c>
      <x:c r="AD150" s="88">
        <x:f>+BORDRO!J154</x:f>
      </x:c>
      <x:c r="AE150" s="83"/>
      <x:c r="AF150" s="83">
        <x:f>+BORDRO!K154</x:f>
      </x:c>
      <x:c r="AG150" s="83">
        <x:f>+BORDRO!L154</x:f>
      </x:c>
      <x:c r="AH150" s="88">
        <x:f>+BORDRO!M154</x:f>
      </x:c>
      <x:c r="AI150" s="83">
        <x:f>+BORDRO!O154</x:f>
      </x:c>
      <x:c r="AJ150" s="84">
        <x:f>+BORDRO!P154</x:f>
      </x:c>
    </x:row>
    <x:row r="151" spans="1:36" ht="14.25" customHeight="1" x14ac:dyDescent="0.2">
      <x:c r="A151" s="72" t="s">
        <x:v>106</x:v>
      </x:c>
      <x:c r="B151" s="271">
        <x:v>46</x:v>
      </x:c>
      <x:c r="C151" s="72" t="s">
        <x:v>107</x:v>
      </x:c>
      <x:c r="D151" s="72" t="s">
        <x:v>108</x:v>
      </x:c>
      <x:c r="E151" s="72" t="s">
        <x:v>108</x:v>
      </x:c>
      <x:c r="F151" s="73">
        <x:v>1494768</x:v>
      </x:c>
      <x:c r="G151" s="74" t="s">
        <x:v>109</x:v>
      </x:c>
      <x:c r="H151" s="72" t="s">
        <x:v>110</x:v>
      </x:c>
      <x:c r="I151" s="86"/>
      <x:c r="J151" s="75">
        <x:f>+Puantaj!C155</x:f>
      </x:c>
      <x:c r="K151" s="72">
        <x:f>+Puantaj!D155</x:f>
      </x:c>
      <x:c r="L151" s="72">
        <x:f>+Puantaj!E155</x:f>
      </x:c>
      <x:c r="M151" s="265">
        <x:f>+BORDRO!F155</x:f>
      </x:c>
      <x:c r="N151" s="72"/>
      <x:c r="O151" s="87">
        <x:f>+BORDRO!G155</x:f>
      </x:c>
      <x:c r="P151" s="87">
        <x:v>0</x:v>
      </x:c>
      <x:c r="Q151" s="266">
        <x:v>24</x:v>
      </x:c>
      <x:c r="R151" s="267" t="s">
        <x:v>111</x:v>
      </x:c>
      <x:c r="S151" s="78"/>
      <x:c r="T151" s="78"/>
      <x:c r="U151" s="79"/>
      <x:c r="V151" s="268">
        <x:f>31-M151-Q151</x:f>
      </x:c>
      <x:c r="W151" s="269">
        <x:v>6</x:v>
      </x:c>
      <x:c r="X151" s="270" t="s">
        <x:v>112</x:v>
      </x:c>
      <x:c r="Y151" s="73">
        <x:v>2</x:v>
      </x:c>
      <x:c r="Z151" s="72" t="s">
        <x:v>106</x:v>
      </x:c>
      <x:c r="AA151" s="82" t="s">
        <x:v>111</x:v>
      </x:c>
      <x:c r="AB151" s="72">
        <x:v>2025</x:v>
      </x:c>
      <x:c r="AC151" s="72" t="s">
        <x:v>113</x:v>
      </x:c>
      <x:c r="AD151" s="88">
        <x:f>+BORDRO!J155</x:f>
      </x:c>
      <x:c r="AE151" s="83"/>
      <x:c r="AF151" s="83">
        <x:f>+BORDRO!K155</x:f>
      </x:c>
      <x:c r="AG151" s="83">
        <x:f>+BORDRO!L155</x:f>
      </x:c>
      <x:c r="AH151" s="88">
        <x:f>+BORDRO!M155</x:f>
      </x:c>
      <x:c r="AI151" s="83">
        <x:f>+BORDRO!O155</x:f>
      </x:c>
      <x:c r="AJ151" s="84">
        <x:f>+BORDRO!P155</x:f>
      </x:c>
    </x:row>
    <x:row r="152" spans="1:36" ht="15" customHeight="1" x14ac:dyDescent="0.25">
      <x:c r="A152" s="72" t="s">
        <x:v>106</x:v>
      </x:c>
      <x:c r="B152" s="264">
        <x:v>46</x:v>
      </x:c>
      <x:c r="C152" s="72" t="s">
        <x:v>107</x:v>
      </x:c>
      <x:c r="D152" s="72" t="s">
        <x:v>108</x:v>
      </x:c>
      <x:c r="E152" s="72" t="s">
        <x:v>108</x:v>
      </x:c>
      <x:c r="F152" s="73">
        <x:v>1494768</x:v>
      </x:c>
      <x:c r="G152" s="74" t="s">
        <x:v>109</x:v>
      </x:c>
      <x:c r="H152" s="72" t="s">
        <x:v>110</x:v>
      </x:c>
      <x:c r="I152" s="86"/>
      <x:c r="J152" s="75">
        <x:f>+Puantaj!C156</x:f>
      </x:c>
      <x:c r="K152" s="72">
        <x:f>+Puantaj!D156</x:f>
      </x:c>
      <x:c r="L152" s="72">
        <x:f>+Puantaj!E156</x:f>
      </x:c>
      <x:c r="M152" s="265">
        <x:f>+BORDRO!F156</x:f>
      </x:c>
      <x:c r="N152" s="72"/>
      <x:c r="O152" s="87">
        <x:f>+BORDRO!G156</x:f>
      </x:c>
      <x:c r="P152" s="87">
        <x:v>0</x:v>
      </x:c>
      <x:c r="Q152" s="266">
        <x:v>24</x:v>
      </x:c>
      <x:c r="R152" s="267" t="s">
        <x:v>111</x:v>
      </x:c>
      <x:c r="S152" s="78"/>
      <x:c r="T152" s="78"/>
      <x:c r="U152" s="79"/>
      <x:c r="V152" s="268">
        <x:f>31-M152-Q152</x:f>
      </x:c>
      <x:c r="W152" s="269">
        <x:v>6</x:v>
      </x:c>
      <x:c r="X152" s="270" t="s">
        <x:v>112</x:v>
      </x:c>
      <x:c r="Y152" s="73">
        <x:v>2</x:v>
      </x:c>
      <x:c r="Z152" s="72" t="s">
        <x:v>106</x:v>
      </x:c>
      <x:c r="AA152" s="82" t="s">
        <x:v>111</x:v>
      </x:c>
      <x:c r="AB152" s="72">
        <x:v>2025</x:v>
      </x:c>
      <x:c r="AC152" s="72" t="s">
        <x:v>113</x:v>
      </x:c>
      <x:c r="AD152" s="88">
        <x:f>+BORDRO!J156</x:f>
      </x:c>
      <x:c r="AE152" s="83"/>
      <x:c r="AF152" s="83">
        <x:f>+BORDRO!K156</x:f>
      </x:c>
      <x:c r="AG152" s="83">
        <x:f>+BORDRO!L156</x:f>
      </x:c>
      <x:c r="AH152" s="88">
        <x:f>+BORDRO!M156</x:f>
      </x:c>
      <x:c r="AI152" s="83">
        <x:f>+BORDRO!O156</x:f>
      </x:c>
      <x:c r="AJ152" s="84">
        <x:f>+BORDRO!P156</x:f>
      </x:c>
    </x:row>
    <x:row r="153" spans="1:36" ht="14.25" customHeight="1" x14ac:dyDescent="0.2">
      <x:c r="A153" s="72" t="s">
        <x:v>106</x:v>
      </x:c>
      <x:c r="B153" s="271">
        <x:v>46</x:v>
      </x:c>
      <x:c r="C153" s="72" t="s">
        <x:v>107</x:v>
      </x:c>
      <x:c r="D153" s="72" t="s">
        <x:v>108</x:v>
      </x:c>
      <x:c r="E153" s="72" t="s">
        <x:v>108</x:v>
      </x:c>
      <x:c r="F153" s="73">
        <x:v>1494768</x:v>
      </x:c>
      <x:c r="G153" s="74" t="s">
        <x:v>109</x:v>
      </x:c>
      <x:c r="H153" s="72" t="s">
        <x:v>110</x:v>
      </x:c>
      <x:c r="I153" s="86"/>
      <x:c r="J153" s="75">
        <x:f>+Puantaj!C157</x:f>
      </x:c>
      <x:c r="K153" s="72">
        <x:f>+Puantaj!D157</x:f>
      </x:c>
      <x:c r="L153" s="72">
        <x:f>+Puantaj!E157</x:f>
      </x:c>
      <x:c r="M153" s="265">
        <x:f>+BORDRO!F157</x:f>
      </x:c>
      <x:c r="N153" s="72"/>
      <x:c r="O153" s="87">
        <x:f>+BORDRO!G157</x:f>
      </x:c>
      <x:c r="P153" s="87">
        <x:v>0</x:v>
      </x:c>
      <x:c r="Q153" s="266">
        <x:v>24</x:v>
      </x:c>
      <x:c r="R153" s="267" t="s">
        <x:v>111</x:v>
      </x:c>
      <x:c r="S153" s="78"/>
      <x:c r="T153" s="78"/>
      <x:c r="U153" s="79"/>
      <x:c r="V153" s="268">
        <x:f>31-M153-Q153</x:f>
      </x:c>
      <x:c r="W153" s="269">
        <x:v>6</x:v>
      </x:c>
      <x:c r="X153" s="270" t="s">
        <x:v>112</x:v>
      </x:c>
      <x:c r="Y153" s="73">
        <x:v>2</x:v>
      </x:c>
      <x:c r="Z153" s="72" t="s">
        <x:v>106</x:v>
      </x:c>
      <x:c r="AA153" s="82" t="s">
        <x:v>111</x:v>
      </x:c>
      <x:c r="AB153" s="72">
        <x:v>2025</x:v>
      </x:c>
      <x:c r="AC153" s="72" t="s">
        <x:v>113</x:v>
      </x:c>
      <x:c r="AD153" s="88">
        <x:f>+BORDRO!J157</x:f>
      </x:c>
      <x:c r="AE153" s="83"/>
      <x:c r="AF153" s="83">
        <x:f>+BORDRO!K157</x:f>
      </x:c>
      <x:c r="AG153" s="83">
        <x:f>+BORDRO!L157</x:f>
      </x:c>
      <x:c r="AH153" s="88">
        <x:f>+BORDRO!M157</x:f>
      </x:c>
      <x:c r="AI153" s="83">
        <x:f>+BORDRO!O157</x:f>
      </x:c>
      <x:c r="AJ153" s="84">
        <x:f>+BORDRO!P157</x:f>
      </x:c>
    </x:row>
    <x:row r="154" spans="1:36" ht="15" customHeight="1" x14ac:dyDescent="0.25">
      <x:c r="A154" s="72" t="s">
        <x:v>106</x:v>
      </x:c>
      <x:c r="B154" s="264">
        <x:v>46</x:v>
      </x:c>
      <x:c r="C154" s="72" t="s">
        <x:v>107</x:v>
      </x:c>
      <x:c r="D154" s="72" t="s">
        <x:v>108</x:v>
      </x:c>
      <x:c r="E154" s="72" t="s">
        <x:v>108</x:v>
      </x:c>
      <x:c r="F154" s="73">
        <x:v>1494768</x:v>
      </x:c>
      <x:c r="G154" s="74" t="s">
        <x:v>109</x:v>
      </x:c>
      <x:c r="H154" s="72" t="s">
        <x:v>110</x:v>
      </x:c>
      <x:c r="I154" s="86"/>
      <x:c r="J154" s="75">
        <x:f>+Puantaj!C158</x:f>
      </x:c>
      <x:c r="K154" s="72">
        <x:f>+Puantaj!D158</x:f>
      </x:c>
      <x:c r="L154" s="72">
        <x:f>+Puantaj!E158</x:f>
      </x:c>
      <x:c r="M154" s="265">
        <x:f>+BORDRO!F158</x:f>
      </x:c>
      <x:c r="N154" s="72"/>
      <x:c r="O154" s="87">
        <x:f>+BORDRO!G158</x:f>
      </x:c>
      <x:c r="P154" s="87">
        <x:v>0</x:v>
      </x:c>
      <x:c r="Q154" s="266">
        <x:v>24</x:v>
      </x:c>
      <x:c r="R154" s="267" t="s">
        <x:v>111</x:v>
      </x:c>
      <x:c r="S154" s="78"/>
      <x:c r="T154" s="78"/>
      <x:c r="U154" s="79"/>
      <x:c r="V154" s="268">
        <x:f>31-M154-Q154</x:f>
      </x:c>
      <x:c r="W154" s="269">
        <x:v>6</x:v>
      </x:c>
      <x:c r="X154" s="270" t="s">
        <x:v>112</x:v>
      </x:c>
      <x:c r="Y154" s="73">
        <x:v>2</x:v>
      </x:c>
      <x:c r="Z154" s="72" t="s">
        <x:v>106</x:v>
      </x:c>
      <x:c r="AA154" s="82" t="s">
        <x:v>111</x:v>
      </x:c>
      <x:c r="AB154" s="72">
        <x:v>2025</x:v>
      </x:c>
      <x:c r="AC154" s="72" t="s">
        <x:v>113</x:v>
      </x:c>
      <x:c r="AD154" s="88">
        <x:f>+BORDRO!J158</x:f>
      </x:c>
      <x:c r="AE154" s="83"/>
      <x:c r="AF154" s="83">
        <x:f>+BORDRO!K158</x:f>
      </x:c>
      <x:c r="AG154" s="83">
        <x:f>+BORDRO!L158</x:f>
      </x:c>
      <x:c r="AH154" s="88">
        <x:f>+BORDRO!M158</x:f>
      </x:c>
      <x:c r="AI154" s="83">
        <x:f>+BORDRO!O158</x:f>
      </x:c>
      <x:c r="AJ154" s="84">
        <x:f>+BORDRO!P158</x:f>
      </x:c>
    </x:row>
    <x:row r="155" spans="1:36" ht="14.25" customHeight="1" x14ac:dyDescent="0.2">
      <x:c r="A155" s="72" t="s">
        <x:v>106</x:v>
      </x:c>
      <x:c r="B155" s="271">
        <x:v>46</x:v>
      </x:c>
      <x:c r="C155" s="72" t="s">
        <x:v>107</x:v>
      </x:c>
      <x:c r="D155" s="72" t="s">
        <x:v>108</x:v>
      </x:c>
      <x:c r="E155" s="72" t="s">
        <x:v>108</x:v>
      </x:c>
      <x:c r="F155" s="73">
        <x:v>1494768</x:v>
      </x:c>
      <x:c r="G155" s="74" t="s">
        <x:v>109</x:v>
      </x:c>
      <x:c r="H155" s="72" t="s">
        <x:v>110</x:v>
      </x:c>
      <x:c r="I155" s="86"/>
      <x:c r="J155" s="75">
        <x:f>+Puantaj!C159</x:f>
      </x:c>
      <x:c r="K155" s="72">
        <x:f>+Puantaj!D159</x:f>
      </x:c>
      <x:c r="L155" s="72">
        <x:f>+Puantaj!E159</x:f>
      </x:c>
      <x:c r="M155" s="265">
        <x:f>+BORDRO!F159</x:f>
      </x:c>
      <x:c r="N155" s="72"/>
      <x:c r="O155" s="87">
        <x:f>+BORDRO!G159</x:f>
      </x:c>
      <x:c r="P155" s="87">
        <x:v>0</x:v>
      </x:c>
      <x:c r="Q155" s="266">
        <x:v>24</x:v>
      </x:c>
      <x:c r="R155" s="267" t="s">
        <x:v>111</x:v>
      </x:c>
      <x:c r="S155" s="78"/>
      <x:c r="T155" s="78"/>
      <x:c r="U155" s="79"/>
      <x:c r="V155" s="268">
        <x:f>31-M155-Q155</x:f>
      </x:c>
      <x:c r="W155" s="269">
        <x:v>6</x:v>
      </x:c>
      <x:c r="X155" s="270" t="s">
        <x:v>112</x:v>
      </x:c>
      <x:c r="Y155" s="73">
        <x:v>2</x:v>
      </x:c>
      <x:c r="Z155" s="72" t="s">
        <x:v>106</x:v>
      </x:c>
      <x:c r="AA155" s="82" t="s">
        <x:v>111</x:v>
      </x:c>
      <x:c r="AB155" s="72">
        <x:v>2025</x:v>
      </x:c>
      <x:c r="AC155" s="72" t="s">
        <x:v>113</x:v>
      </x:c>
      <x:c r="AD155" s="88">
        <x:f>+BORDRO!J159</x:f>
      </x:c>
      <x:c r="AE155" s="83"/>
      <x:c r="AF155" s="83">
        <x:f>+BORDRO!K159</x:f>
      </x:c>
      <x:c r="AG155" s="83">
        <x:f>+BORDRO!L159</x:f>
      </x:c>
      <x:c r="AH155" s="88">
        <x:f>+BORDRO!M159</x:f>
      </x:c>
      <x:c r="AI155" s="83">
        <x:f>+BORDRO!O159</x:f>
      </x:c>
      <x:c r="AJ155" s="84">
        <x:f>+BORDRO!P159</x:f>
      </x:c>
    </x:row>
    <x:row r="156" spans="1:36" ht="15" customHeight="1" x14ac:dyDescent="0.25">
      <x:c r="A156" s="72" t="s">
        <x:v>106</x:v>
      </x:c>
      <x:c r="B156" s="264">
        <x:v>46</x:v>
      </x:c>
      <x:c r="C156" s="72" t="s">
        <x:v>107</x:v>
      </x:c>
      <x:c r="D156" s="72" t="s">
        <x:v>108</x:v>
      </x:c>
      <x:c r="E156" s="72" t="s">
        <x:v>108</x:v>
      </x:c>
      <x:c r="F156" s="73">
        <x:v>1494768</x:v>
      </x:c>
      <x:c r="G156" s="74" t="s">
        <x:v>109</x:v>
      </x:c>
      <x:c r="H156" s="72" t="s">
        <x:v>110</x:v>
      </x:c>
      <x:c r="I156" s="86"/>
      <x:c r="J156" s="75">
        <x:f>+Puantaj!C160</x:f>
      </x:c>
      <x:c r="K156" s="72">
        <x:f>+Puantaj!D160</x:f>
      </x:c>
      <x:c r="L156" s="72">
        <x:f>+Puantaj!E160</x:f>
      </x:c>
      <x:c r="M156" s="265">
        <x:f>+BORDRO!F160</x:f>
      </x:c>
      <x:c r="N156" s="72"/>
      <x:c r="O156" s="87">
        <x:f>+BORDRO!G160</x:f>
      </x:c>
      <x:c r="P156" s="87">
        <x:v>0</x:v>
      </x:c>
      <x:c r="Q156" s="266">
        <x:v>24</x:v>
      </x:c>
      <x:c r="R156" s="267" t="s">
        <x:v>111</x:v>
      </x:c>
      <x:c r="S156" s="78"/>
      <x:c r="T156" s="78"/>
      <x:c r="U156" s="79"/>
      <x:c r="V156" s="268">
        <x:f>31-M156-Q156</x:f>
      </x:c>
      <x:c r="W156" s="269">
        <x:v>6</x:v>
      </x:c>
      <x:c r="X156" s="270" t="s">
        <x:v>112</x:v>
      </x:c>
      <x:c r="Y156" s="73">
        <x:v>2</x:v>
      </x:c>
      <x:c r="Z156" s="72" t="s">
        <x:v>106</x:v>
      </x:c>
      <x:c r="AA156" s="82" t="s">
        <x:v>111</x:v>
      </x:c>
      <x:c r="AB156" s="72">
        <x:v>2025</x:v>
      </x:c>
      <x:c r="AC156" s="72" t="s">
        <x:v>113</x:v>
      </x:c>
      <x:c r="AD156" s="88">
        <x:f>+BORDRO!J160</x:f>
      </x:c>
      <x:c r="AE156" s="83"/>
      <x:c r="AF156" s="83">
        <x:f>+BORDRO!K160</x:f>
      </x:c>
      <x:c r="AG156" s="83">
        <x:f>+BORDRO!L160</x:f>
      </x:c>
      <x:c r="AH156" s="88">
        <x:f>+BORDRO!M160</x:f>
      </x:c>
      <x:c r="AI156" s="83">
        <x:f>+BORDRO!O160</x:f>
      </x:c>
      <x:c r="AJ156" s="84">
        <x:f>+BORDRO!P160</x:f>
      </x:c>
    </x:row>
    <x:row r="157" spans="1:36" ht="14.25" customHeight="1" x14ac:dyDescent="0.2">
      <x:c r="A157" s="72" t="s">
        <x:v>106</x:v>
      </x:c>
      <x:c r="B157" s="271">
        <x:v>46</x:v>
      </x:c>
      <x:c r="C157" s="72" t="s">
        <x:v>107</x:v>
      </x:c>
      <x:c r="D157" s="72" t="s">
        <x:v>108</x:v>
      </x:c>
      <x:c r="E157" s="72" t="s">
        <x:v>108</x:v>
      </x:c>
      <x:c r="F157" s="73">
        <x:v>1494768</x:v>
      </x:c>
      <x:c r="G157" s="74" t="s">
        <x:v>109</x:v>
      </x:c>
      <x:c r="H157" s="72" t="s">
        <x:v>110</x:v>
      </x:c>
      <x:c r="I157" s="86"/>
      <x:c r="J157" s="75">
        <x:f>+Puantaj!C161</x:f>
      </x:c>
      <x:c r="K157" s="72">
        <x:f>+Puantaj!D161</x:f>
      </x:c>
      <x:c r="L157" s="72">
        <x:f>+Puantaj!E161</x:f>
      </x:c>
      <x:c r="M157" s="265">
        <x:f>+BORDRO!F161</x:f>
      </x:c>
      <x:c r="N157" s="72"/>
      <x:c r="O157" s="87">
        <x:f>+BORDRO!G161</x:f>
      </x:c>
      <x:c r="P157" s="87">
        <x:v>0</x:v>
      </x:c>
      <x:c r="Q157" s="266">
        <x:v>24</x:v>
      </x:c>
      <x:c r="R157" s="267" t="s">
        <x:v>111</x:v>
      </x:c>
      <x:c r="S157" s="78"/>
      <x:c r="T157" s="78"/>
      <x:c r="U157" s="79"/>
      <x:c r="V157" s="268">
        <x:f>31-M157-Q157</x:f>
      </x:c>
      <x:c r="W157" s="269">
        <x:v>6</x:v>
      </x:c>
      <x:c r="X157" s="270" t="s">
        <x:v>112</x:v>
      </x:c>
      <x:c r="Y157" s="73">
        <x:v>2</x:v>
      </x:c>
      <x:c r="Z157" s="72" t="s">
        <x:v>106</x:v>
      </x:c>
      <x:c r="AA157" s="82" t="s">
        <x:v>111</x:v>
      </x:c>
      <x:c r="AB157" s="72">
        <x:v>2025</x:v>
      </x:c>
      <x:c r="AC157" s="72" t="s">
        <x:v>113</x:v>
      </x:c>
      <x:c r="AD157" s="88">
        <x:f>+BORDRO!J161</x:f>
      </x:c>
      <x:c r="AE157" s="83"/>
      <x:c r="AF157" s="83">
        <x:f>+BORDRO!K161</x:f>
      </x:c>
      <x:c r="AG157" s="83">
        <x:f>+BORDRO!L161</x:f>
      </x:c>
      <x:c r="AH157" s="88">
        <x:f>+BORDRO!M161</x:f>
      </x:c>
      <x:c r="AI157" s="83">
        <x:f>+BORDRO!O161</x:f>
      </x:c>
      <x:c r="AJ157" s="84">
        <x:f>+BORDRO!P161</x:f>
      </x:c>
    </x:row>
    <x:row r="158" spans="1:36" ht="15" customHeight="1" x14ac:dyDescent="0.25">
      <x:c r="A158" s="72" t="s">
        <x:v>106</x:v>
      </x:c>
      <x:c r="B158" s="264">
        <x:v>46</x:v>
      </x:c>
      <x:c r="C158" s="72" t="s">
        <x:v>107</x:v>
      </x:c>
      <x:c r="D158" s="72" t="s">
        <x:v>108</x:v>
      </x:c>
      <x:c r="E158" s="72" t="s">
        <x:v>108</x:v>
      </x:c>
      <x:c r="F158" s="73">
        <x:v>1494768</x:v>
      </x:c>
      <x:c r="G158" s="74" t="s">
        <x:v>109</x:v>
      </x:c>
      <x:c r="H158" s="72" t="s">
        <x:v>110</x:v>
      </x:c>
      <x:c r="I158" s="86"/>
      <x:c r="J158" s="75">
        <x:f>+Puantaj!C162</x:f>
      </x:c>
      <x:c r="K158" s="72">
        <x:f>+Puantaj!D162</x:f>
      </x:c>
      <x:c r="L158" s="72">
        <x:f>+Puantaj!E162</x:f>
      </x:c>
      <x:c r="M158" s="265">
        <x:f>+BORDRO!F162</x:f>
      </x:c>
      <x:c r="N158" s="72"/>
      <x:c r="O158" s="87">
        <x:f>+BORDRO!G162</x:f>
      </x:c>
      <x:c r="P158" s="87">
        <x:v>0</x:v>
      </x:c>
      <x:c r="Q158" s="266">
        <x:v>24</x:v>
      </x:c>
      <x:c r="R158" s="267" t="s">
        <x:v>111</x:v>
      </x:c>
      <x:c r="S158" s="78"/>
      <x:c r="T158" s="78"/>
      <x:c r="U158" s="79"/>
      <x:c r="V158" s="268">
        <x:f>31-M158-Q158</x:f>
      </x:c>
      <x:c r="W158" s="269">
        <x:v>6</x:v>
      </x:c>
      <x:c r="X158" s="270" t="s">
        <x:v>112</x:v>
      </x:c>
      <x:c r="Y158" s="73">
        <x:v>2</x:v>
      </x:c>
      <x:c r="Z158" s="72" t="s">
        <x:v>106</x:v>
      </x:c>
      <x:c r="AA158" s="82" t="s">
        <x:v>111</x:v>
      </x:c>
      <x:c r="AB158" s="72">
        <x:v>2025</x:v>
      </x:c>
      <x:c r="AC158" s="72" t="s">
        <x:v>113</x:v>
      </x:c>
      <x:c r="AD158" s="88">
        <x:f>+BORDRO!J162</x:f>
      </x:c>
      <x:c r="AE158" s="83"/>
      <x:c r="AF158" s="83">
        <x:f>+BORDRO!K162</x:f>
      </x:c>
      <x:c r="AG158" s="83">
        <x:f>+BORDRO!L162</x:f>
      </x:c>
      <x:c r="AH158" s="88">
        <x:f>+BORDRO!M162</x:f>
      </x:c>
      <x:c r="AI158" s="83">
        <x:f>+BORDRO!O162</x:f>
      </x:c>
      <x:c r="AJ158" s="84">
        <x:f>+BORDRO!P162</x:f>
      </x:c>
    </x:row>
    <x:row r="159" spans="1:36" ht="14.25" customHeight="1" x14ac:dyDescent="0.2">
      <x:c r="A159" s="72" t="s">
        <x:v>106</x:v>
      </x:c>
      <x:c r="B159" s="271">
        <x:v>46</x:v>
      </x:c>
      <x:c r="C159" s="72" t="s">
        <x:v>107</x:v>
      </x:c>
      <x:c r="D159" s="72" t="s">
        <x:v>108</x:v>
      </x:c>
      <x:c r="E159" s="72" t="s">
        <x:v>108</x:v>
      </x:c>
      <x:c r="F159" s="73">
        <x:v>1494768</x:v>
      </x:c>
      <x:c r="G159" s="74" t="s">
        <x:v>109</x:v>
      </x:c>
      <x:c r="H159" s="72" t="s">
        <x:v>110</x:v>
      </x:c>
      <x:c r="I159" s="86"/>
      <x:c r="J159" s="75">
        <x:f>+Puantaj!C163</x:f>
      </x:c>
      <x:c r="K159" s="72">
        <x:f>+Puantaj!D163</x:f>
      </x:c>
      <x:c r="L159" s="72">
        <x:f>+Puantaj!E163</x:f>
      </x:c>
      <x:c r="M159" s="265">
        <x:f>+BORDRO!F163</x:f>
      </x:c>
      <x:c r="N159" s="72"/>
      <x:c r="O159" s="87">
        <x:f>+BORDRO!G163</x:f>
      </x:c>
      <x:c r="P159" s="87">
        <x:v>0</x:v>
      </x:c>
      <x:c r="Q159" s="266">
        <x:v>24</x:v>
      </x:c>
      <x:c r="R159" s="267" t="s">
        <x:v>111</x:v>
      </x:c>
      <x:c r="S159" s="78"/>
      <x:c r="T159" s="78"/>
      <x:c r="U159" s="79"/>
      <x:c r="V159" s="268">
        <x:f>31-M159-Q159</x:f>
      </x:c>
      <x:c r="W159" s="269">
        <x:v>6</x:v>
      </x:c>
      <x:c r="X159" s="270" t="s">
        <x:v>112</x:v>
      </x:c>
      <x:c r="Y159" s="73">
        <x:v>2</x:v>
      </x:c>
      <x:c r="Z159" s="72" t="s">
        <x:v>106</x:v>
      </x:c>
      <x:c r="AA159" s="82" t="s">
        <x:v>111</x:v>
      </x:c>
      <x:c r="AB159" s="72">
        <x:v>2025</x:v>
      </x:c>
      <x:c r="AC159" s="72" t="s">
        <x:v>113</x:v>
      </x:c>
      <x:c r="AD159" s="88">
        <x:f>+BORDRO!J163</x:f>
      </x:c>
      <x:c r="AE159" s="83"/>
      <x:c r="AF159" s="83">
        <x:f>+BORDRO!K163</x:f>
      </x:c>
      <x:c r="AG159" s="83">
        <x:f>+BORDRO!L163</x:f>
      </x:c>
      <x:c r="AH159" s="88">
        <x:f>+BORDRO!M163</x:f>
      </x:c>
      <x:c r="AI159" s="83">
        <x:f>+BORDRO!O163</x:f>
      </x:c>
      <x:c r="AJ159" s="84">
        <x:f>+BORDRO!P163</x:f>
      </x:c>
    </x:row>
    <x:row r="160" spans="1:36" ht="15" customHeight="1" x14ac:dyDescent="0.25">
      <x:c r="A160" s="72" t="s">
        <x:v>106</x:v>
      </x:c>
      <x:c r="B160" s="264">
        <x:v>46</x:v>
      </x:c>
      <x:c r="C160" s="72" t="s">
        <x:v>107</x:v>
      </x:c>
      <x:c r="D160" s="72" t="s">
        <x:v>108</x:v>
      </x:c>
      <x:c r="E160" s="72" t="s">
        <x:v>108</x:v>
      </x:c>
      <x:c r="F160" s="73">
        <x:v>1494768</x:v>
      </x:c>
      <x:c r="G160" s="74" t="s">
        <x:v>109</x:v>
      </x:c>
      <x:c r="H160" s="72" t="s">
        <x:v>110</x:v>
      </x:c>
      <x:c r="I160" s="86"/>
      <x:c r="J160" s="75">
        <x:f>+Puantaj!C164</x:f>
      </x:c>
      <x:c r="K160" s="72">
        <x:f>+Puantaj!D164</x:f>
      </x:c>
      <x:c r="L160" s="72">
        <x:f>+Puantaj!E164</x:f>
      </x:c>
      <x:c r="M160" s="265">
        <x:f>+BORDRO!F164</x:f>
      </x:c>
      <x:c r="N160" s="72"/>
      <x:c r="O160" s="87">
        <x:f>+BORDRO!G164</x:f>
      </x:c>
      <x:c r="P160" s="87">
        <x:v>0</x:v>
      </x:c>
      <x:c r="Q160" s="266">
        <x:v>24</x:v>
      </x:c>
      <x:c r="R160" s="267" t="s">
        <x:v>111</x:v>
      </x:c>
      <x:c r="S160" s="78"/>
      <x:c r="T160" s="78"/>
      <x:c r="U160" s="79"/>
      <x:c r="V160" s="268">
        <x:f>31-M160-Q160</x:f>
      </x:c>
      <x:c r="W160" s="269">
        <x:v>6</x:v>
      </x:c>
      <x:c r="X160" s="270" t="s">
        <x:v>112</x:v>
      </x:c>
      <x:c r="Y160" s="73">
        <x:v>2</x:v>
      </x:c>
      <x:c r="Z160" s="72" t="s">
        <x:v>106</x:v>
      </x:c>
      <x:c r="AA160" s="82" t="s">
        <x:v>111</x:v>
      </x:c>
      <x:c r="AB160" s="72">
        <x:v>2025</x:v>
      </x:c>
      <x:c r="AC160" s="72" t="s">
        <x:v>113</x:v>
      </x:c>
      <x:c r="AD160" s="88">
        <x:f>+BORDRO!J164</x:f>
      </x:c>
      <x:c r="AE160" s="83"/>
      <x:c r="AF160" s="83">
        <x:f>+BORDRO!K164</x:f>
      </x:c>
      <x:c r="AG160" s="83">
        <x:f>+BORDRO!L164</x:f>
      </x:c>
      <x:c r="AH160" s="88">
        <x:f>+BORDRO!M164</x:f>
      </x:c>
      <x:c r="AI160" s="83">
        <x:f>+BORDRO!O164</x:f>
      </x:c>
      <x:c r="AJ160" s="84">
        <x:f>+BORDRO!P164</x:f>
      </x:c>
    </x:row>
    <x:row r="161" spans="1:36" ht="14.25" customHeight="1" x14ac:dyDescent="0.2">
      <x:c r="A161" s="72" t="s">
        <x:v>106</x:v>
      </x:c>
      <x:c r="B161" s="271">
        <x:v>46</x:v>
      </x:c>
      <x:c r="C161" s="72" t="s">
        <x:v>107</x:v>
      </x:c>
      <x:c r="D161" s="72" t="s">
        <x:v>108</x:v>
      </x:c>
      <x:c r="E161" s="72" t="s">
        <x:v>108</x:v>
      </x:c>
      <x:c r="F161" s="73">
        <x:v>1494768</x:v>
      </x:c>
      <x:c r="G161" s="74" t="s">
        <x:v>109</x:v>
      </x:c>
      <x:c r="H161" s="72" t="s">
        <x:v>110</x:v>
      </x:c>
      <x:c r="I161" s="86"/>
      <x:c r="J161" s="75">
        <x:f>+Puantaj!C165</x:f>
      </x:c>
      <x:c r="K161" s="72">
        <x:f>+Puantaj!D165</x:f>
      </x:c>
      <x:c r="L161" s="72">
        <x:f>+Puantaj!E165</x:f>
      </x:c>
      <x:c r="M161" s="265">
        <x:f>+BORDRO!F165</x:f>
      </x:c>
      <x:c r="N161" s="72"/>
      <x:c r="O161" s="87">
        <x:f>+BORDRO!G165</x:f>
      </x:c>
      <x:c r="P161" s="87">
        <x:v>0</x:v>
      </x:c>
      <x:c r="Q161" s="266">
        <x:v>24</x:v>
      </x:c>
      <x:c r="R161" s="267" t="s">
        <x:v>111</x:v>
      </x:c>
      <x:c r="S161" s="78"/>
      <x:c r="T161" s="78"/>
      <x:c r="U161" s="79"/>
      <x:c r="V161" s="268">
        <x:f>31-M161-Q161</x:f>
      </x:c>
      <x:c r="W161" s="269">
        <x:v>6</x:v>
      </x:c>
      <x:c r="X161" s="270" t="s">
        <x:v>112</x:v>
      </x:c>
      <x:c r="Y161" s="73">
        <x:v>2</x:v>
      </x:c>
      <x:c r="Z161" s="72" t="s">
        <x:v>106</x:v>
      </x:c>
      <x:c r="AA161" s="82" t="s">
        <x:v>111</x:v>
      </x:c>
      <x:c r="AB161" s="72">
        <x:v>2025</x:v>
      </x:c>
      <x:c r="AC161" s="72" t="s">
        <x:v>113</x:v>
      </x:c>
      <x:c r="AD161" s="88">
        <x:f>+BORDRO!J165</x:f>
      </x:c>
      <x:c r="AE161" s="83"/>
      <x:c r="AF161" s="83">
        <x:f>+BORDRO!K165</x:f>
      </x:c>
      <x:c r="AG161" s="83">
        <x:f>+BORDRO!L165</x:f>
      </x:c>
      <x:c r="AH161" s="88">
        <x:f>+BORDRO!M165</x:f>
      </x:c>
      <x:c r="AI161" s="83">
        <x:f>+BORDRO!O165</x:f>
      </x:c>
      <x:c r="AJ161" s="84">
        <x:f>+BORDRO!P165</x:f>
      </x:c>
    </x:row>
    <x:row r="162" spans="1:36" ht="15" customHeight="1" x14ac:dyDescent="0.25">
      <x:c r="A162" s="72" t="s">
        <x:v>106</x:v>
      </x:c>
      <x:c r="B162" s="264">
        <x:v>46</x:v>
      </x:c>
      <x:c r="C162" s="72" t="s">
        <x:v>107</x:v>
      </x:c>
      <x:c r="D162" s="72" t="s">
        <x:v>108</x:v>
      </x:c>
      <x:c r="E162" s="72" t="s">
        <x:v>108</x:v>
      </x:c>
      <x:c r="F162" s="73">
        <x:v>1494768</x:v>
      </x:c>
      <x:c r="G162" s="74" t="s">
        <x:v>109</x:v>
      </x:c>
      <x:c r="H162" s="72" t="s">
        <x:v>110</x:v>
      </x:c>
      <x:c r="I162" s="86"/>
      <x:c r="J162" s="75">
        <x:f>+Puantaj!C166</x:f>
      </x:c>
      <x:c r="K162" s="72">
        <x:f>+Puantaj!D166</x:f>
      </x:c>
      <x:c r="L162" s="72">
        <x:f>+Puantaj!E166</x:f>
      </x:c>
      <x:c r="M162" s="265">
        <x:f>+BORDRO!F166</x:f>
      </x:c>
      <x:c r="N162" s="72"/>
      <x:c r="O162" s="87">
        <x:f>+BORDRO!G166</x:f>
      </x:c>
      <x:c r="P162" s="87">
        <x:v>0</x:v>
      </x:c>
      <x:c r="Q162" s="266">
        <x:v>24</x:v>
      </x:c>
      <x:c r="R162" s="267" t="s">
        <x:v>111</x:v>
      </x:c>
      <x:c r="S162" s="78"/>
      <x:c r="T162" s="78"/>
      <x:c r="U162" s="79"/>
      <x:c r="V162" s="268">
        <x:f>31-M162-Q162</x:f>
      </x:c>
      <x:c r="W162" s="269">
        <x:v>6</x:v>
      </x:c>
      <x:c r="X162" s="270" t="s">
        <x:v>112</x:v>
      </x:c>
      <x:c r="Y162" s="73">
        <x:v>2</x:v>
      </x:c>
      <x:c r="Z162" s="72" t="s">
        <x:v>106</x:v>
      </x:c>
      <x:c r="AA162" s="82" t="s">
        <x:v>111</x:v>
      </x:c>
      <x:c r="AB162" s="72">
        <x:v>2025</x:v>
      </x:c>
      <x:c r="AC162" s="72" t="s">
        <x:v>113</x:v>
      </x:c>
      <x:c r="AD162" s="88">
        <x:f>+BORDRO!J166</x:f>
      </x:c>
      <x:c r="AE162" s="83"/>
      <x:c r="AF162" s="83">
        <x:f>+BORDRO!K166</x:f>
      </x:c>
      <x:c r="AG162" s="83">
        <x:f>+BORDRO!L166</x:f>
      </x:c>
      <x:c r="AH162" s="88">
        <x:f>+BORDRO!M166</x:f>
      </x:c>
      <x:c r="AI162" s="83">
        <x:f>+BORDRO!O166</x:f>
      </x:c>
      <x:c r="AJ162" s="84">
        <x:f>+BORDRO!P166</x:f>
      </x:c>
    </x:row>
    <x:row r="163" spans="1:36" ht="14.25" customHeight="1" x14ac:dyDescent="0.2">
      <x:c r="A163" s="72" t="s">
        <x:v>106</x:v>
      </x:c>
      <x:c r="B163" s="271">
        <x:v>46</x:v>
      </x:c>
      <x:c r="C163" s="72" t="s">
        <x:v>107</x:v>
      </x:c>
      <x:c r="D163" s="72" t="s">
        <x:v>108</x:v>
      </x:c>
      <x:c r="E163" s="72" t="s">
        <x:v>108</x:v>
      </x:c>
      <x:c r="F163" s="73">
        <x:v>1494768</x:v>
      </x:c>
      <x:c r="G163" s="74" t="s">
        <x:v>109</x:v>
      </x:c>
      <x:c r="H163" s="72" t="s">
        <x:v>110</x:v>
      </x:c>
      <x:c r="I163" s="86"/>
      <x:c r="J163" s="75">
        <x:f>+Puantaj!C167</x:f>
      </x:c>
      <x:c r="K163" s="72">
        <x:f>+Puantaj!D167</x:f>
      </x:c>
      <x:c r="L163" s="72">
        <x:f>+Puantaj!E167</x:f>
      </x:c>
      <x:c r="M163" s="265">
        <x:f>+BORDRO!F167</x:f>
      </x:c>
      <x:c r="N163" s="72"/>
      <x:c r="O163" s="87">
        <x:f>+BORDRO!G167</x:f>
      </x:c>
      <x:c r="P163" s="87">
        <x:v>0</x:v>
      </x:c>
      <x:c r="Q163" s="266">
        <x:v>24</x:v>
      </x:c>
      <x:c r="R163" s="267" t="s">
        <x:v>111</x:v>
      </x:c>
      <x:c r="S163" s="78"/>
      <x:c r="T163" s="78"/>
      <x:c r="U163" s="79"/>
      <x:c r="V163" s="268">
        <x:f>31-M163-Q163</x:f>
      </x:c>
      <x:c r="W163" s="269">
        <x:v>6</x:v>
      </x:c>
      <x:c r="X163" s="270" t="s">
        <x:v>112</x:v>
      </x:c>
      <x:c r="Y163" s="73">
        <x:v>2</x:v>
      </x:c>
      <x:c r="Z163" s="72" t="s">
        <x:v>106</x:v>
      </x:c>
      <x:c r="AA163" s="82" t="s">
        <x:v>111</x:v>
      </x:c>
      <x:c r="AB163" s="72">
        <x:v>2025</x:v>
      </x:c>
      <x:c r="AC163" s="72" t="s">
        <x:v>113</x:v>
      </x:c>
      <x:c r="AD163" s="88">
        <x:f>+BORDRO!J167</x:f>
      </x:c>
      <x:c r="AE163" s="83"/>
      <x:c r="AF163" s="83">
        <x:f>+BORDRO!K167</x:f>
      </x:c>
      <x:c r="AG163" s="83">
        <x:f>+BORDRO!L167</x:f>
      </x:c>
      <x:c r="AH163" s="88">
        <x:f>+BORDRO!M167</x:f>
      </x:c>
      <x:c r="AI163" s="83">
        <x:f>+BORDRO!O167</x:f>
      </x:c>
      <x:c r="AJ163" s="84">
        <x:f>+BORDRO!P167</x:f>
      </x:c>
    </x:row>
    <x:row r="164" spans="1:36" ht="15" customHeight="1" x14ac:dyDescent="0.25">
      <x:c r="A164" s="72" t="s">
        <x:v>106</x:v>
      </x:c>
      <x:c r="B164" s="264">
        <x:v>46</x:v>
      </x:c>
      <x:c r="C164" s="72" t="s">
        <x:v>107</x:v>
      </x:c>
      <x:c r="D164" s="72" t="s">
        <x:v>108</x:v>
      </x:c>
      <x:c r="E164" s="72" t="s">
        <x:v>108</x:v>
      </x:c>
      <x:c r="F164" s="73">
        <x:v>1494768</x:v>
      </x:c>
      <x:c r="G164" s="74" t="s">
        <x:v>109</x:v>
      </x:c>
      <x:c r="H164" s="72" t="s">
        <x:v>110</x:v>
      </x:c>
      <x:c r="I164" s="86"/>
      <x:c r="J164" s="75">
        <x:f>+Puantaj!C168</x:f>
      </x:c>
      <x:c r="K164" s="72">
        <x:f>+Puantaj!D168</x:f>
      </x:c>
      <x:c r="L164" s="72">
        <x:f>+Puantaj!E168</x:f>
      </x:c>
      <x:c r="M164" s="265">
        <x:f>+BORDRO!F168</x:f>
      </x:c>
      <x:c r="N164" s="72"/>
      <x:c r="O164" s="87">
        <x:f>+BORDRO!G168</x:f>
      </x:c>
      <x:c r="P164" s="87">
        <x:v>0</x:v>
      </x:c>
      <x:c r="Q164" s="266">
        <x:v>24</x:v>
      </x:c>
      <x:c r="R164" s="267" t="s">
        <x:v>111</x:v>
      </x:c>
      <x:c r="S164" s="78"/>
      <x:c r="T164" s="78"/>
      <x:c r="U164" s="79"/>
      <x:c r="V164" s="268">
        <x:f>31-M164-Q164</x:f>
      </x:c>
      <x:c r="W164" s="269">
        <x:v>6</x:v>
      </x:c>
      <x:c r="X164" s="270" t="s">
        <x:v>112</x:v>
      </x:c>
      <x:c r="Y164" s="73">
        <x:v>2</x:v>
      </x:c>
      <x:c r="Z164" s="72" t="s">
        <x:v>106</x:v>
      </x:c>
      <x:c r="AA164" s="82" t="s">
        <x:v>111</x:v>
      </x:c>
      <x:c r="AB164" s="72">
        <x:v>2025</x:v>
      </x:c>
      <x:c r="AC164" s="72" t="s">
        <x:v>113</x:v>
      </x:c>
      <x:c r="AD164" s="88">
        <x:f>+BORDRO!J168</x:f>
      </x:c>
      <x:c r="AE164" s="83"/>
      <x:c r="AF164" s="83">
        <x:f>+BORDRO!K168</x:f>
      </x:c>
      <x:c r="AG164" s="83">
        <x:f>+BORDRO!L168</x:f>
      </x:c>
      <x:c r="AH164" s="88">
        <x:f>+BORDRO!M168</x:f>
      </x:c>
      <x:c r="AI164" s="83">
        <x:f>+BORDRO!O168</x:f>
      </x:c>
      <x:c r="AJ164" s="84">
        <x:f>+BORDRO!P168</x:f>
      </x:c>
    </x:row>
    <x:row r="165" spans="1:36" ht="14.25" customHeight="1" x14ac:dyDescent="0.2">
      <x:c r="A165" s="72" t="s">
        <x:v>106</x:v>
      </x:c>
      <x:c r="B165" s="271">
        <x:v>46</x:v>
      </x:c>
      <x:c r="C165" s="72" t="s">
        <x:v>107</x:v>
      </x:c>
      <x:c r="D165" s="72" t="s">
        <x:v>108</x:v>
      </x:c>
      <x:c r="E165" s="72" t="s">
        <x:v>108</x:v>
      </x:c>
      <x:c r="F165" s="73">
        <x:v>1494768</x:v>
      </x:c>
      <x:c r="G165" s="74" t="s">
        <x:v>109</x:v>
      </x:c>
      <x:c r="H165" s="72" t="s">
        <x:v>110</x:v>
      </x:c>
      <x:c r="I165" s="86"/>
      <x:c r="J165" s="75">
        <x:f>+Puantaj!C169</x:f>
      </x:c>
      <x:c r="K165" s="72">
        <x:f>+Puantaj!D169</x:f>
      </x:c>
      <x:c r="L165" s="72">
        <x:f>+Puantaj!E169</x:f>
      </x:c>
      <x:c r="M165" s="265">
        <x:f>+BORDRO!F169</x:f>
      </x:c>
      <x:c r="N165" s="72"/>
      <x:c r="O165" s="87">
        <x:f>+BORDRO!G169</x:f>
      </x:c>
      <x:c r="P165" s="87">
        <x:v>0</x:v>
      </x:c>
      <x:c r="Q165" s="266">
        <x:v>24</x:v>
      </x:c>
      <x:c r="R165" s="267" t="s">
        <x:v>111</x:v>
      </x:c>
      <x:c r="S165" s="78"/>
      <x:c r="T165" s="78"/>
      <x:c r="U165" s="79"/>
      <x:c r="V165" s="268">
        <x:f>31-M165-Q165</x:f>
      </x:c>
      <x:c r="W165" s="269">
        <x:v>6</x:v>
      </x:c>
      <x:c r="X165" s="270" t="s">
        <x:v>112</x:v>
      </x:c>
      <x:c r="Y165" s="73">
        <x:v>2</x:v>
      </x:c>
      <x:c r="Z165" s="72" t="s">
        <x:v>106</x:v>
      </x:c>
      <x:c r="AA165" s="82" t="s">
        <x:v>111</x:v>
      </x:c>
      <x:c r="AB165" s="72">
        <x:v>2025</x:v>
      </x:c>
      <x:c r="AC165" s="72" t="s">
        <x:v>113</x:v>
      </x:c>
      <x:c r="AD165" s="88">
        <x:f>+BORDRO!J169</x:f>
      </x:c>
      <x:c r="AE165" s="83"/>
      <x:c r="AF165" s="83">
        <x:f>+BORDRO!K169</x:f>
      </x:c>
      <x:c r="AG165" s="83">
        <x:f>+BORDRO!L169</x:f>
      </x:c>
      <x:c r="AH165" s="88">
        <x:f>+BORDRO!M169</x:f>
      </x:c>
      <x:c r="AI165" s="83">
        <x:f>+BORDRO!O169</x:f>
      </x:c>
      <x:c r="AJ165" s="84">
        <x:f>+BORDRO!P169</x:f>
      </x:c>
    </x:row>
    <x:row r="166" spans="1:36" ht="15" customHeight="1" x14ac:dyDescent="0.25">
      <x:c r="A166" s="72" t="s">
        <x:v>106</x:v>
      </x:c>
      <x:c r="B166" s="264">
        <x:v>46</x:v>
      </x:c>
      <x:c r="C166" s="72" t="s">
        <x:v>107</x:v>
      </x:c>
      <x:c r="D166" s="72" t="s">
        <x:v>108</x:v>
      </x:c>
      <x:c r="E166" s="72" t="s">
        <x:v>108</x:v>
      </x:c>
      <x:c r="F166" s="73">
        <x:v>1494768</x:v>
      </x:c>
      <x:c r="G166" s="74" t="s">
        <x:v>109</x:v>
      </x:c>
      <x:c r="H166" s="72" t="s">
        <x:v>110</x:v>
      </x:c>
      <x:c r="I166" s="86"/>
      <x:c r="J166" s="75">
        <x:f>+Puantaj!C170</x:f>
      </x:c>
      <x:c r="K166" s="72">
        <x:f>+Puantaj!D170</x:f>
      </x:c>
      <x:c r="L166" s="72">
        <x:f>+Puantaj!E170</x:f>
      </x:c>
      <x:c r="M166" s="265">
        <x:f>+BORDRO!F170</x:f>
      </x:c>
      <x:c r="N166" s="72"/>
      <x:c r="O166" s="87">
        <x:f>+BORDRO!G170</x:f>
      </x:c>
      <x:c r="P166" s="87">
        <x:v>0</x:v>
      </x:c>
      <x:c r="Q166" s="266">
        <x:v>24</x:v>
      </x:c>
      <x:c r="R166" s="267" t="s">
        <x:v>111</x:v>
      </x:c>
      <x:c r="S166" s="78"/>
      <x:c r="T166" s="78"/>
      <x:c r="U166" s="79"/>
      <x:c r="V166" s="268">
        <x:f>31-M166-Q166</x:f>
      </x:c>
      <x:c r="W166" s="269">
        <x:v>6</x:v>
      </x:c>
      <x:c r="X166" s="270" t="s">
        <x:v>112</x:v>
      </x:c>
      <x:c r="Y166" s="73">
        <x:v>2</x:v>
      </x:c>
      <x:c r="Z166" s="72" t="s">
        <x:v>106</x:v>
      </x:c>
      <x:c r="AA166" s="82" t="s">
        <x:v>111</x:v>
      </x:c>
      <x:c r="AB166" s="72">
        <x:v>2025</x:v>
      </x:c>
      <x:c r="AC166" s="72" t="s">
        <x:v>113</x:v>
      </x:c>
      <x:c r="AD166" s="88">
        <x:f>+BORDRO!J170</x:f>
      </x:c>
      <x:c r="AE166" s="83"/>
      <x:c r="AF166" s="83">
        <x:f>+BORDRO!K170</x:f>
      </x:c>
      <x:c r="AG166" s="83">
        <x:f>+BORDRO!L170</x:f>
      </x:c>
      <x:c r="AH166" s="88">
        <x:f>+BORDRO!M170</x:f>
      </x:c>
      <x:c r="AI166" s="83">
        <x:f>+BORDRO!O170</x:f>
      </x:c>
      <x:c r="AJ166" s="84">
        <x:f>+BORDRO!P170</x:f>
      </x:c>
    </x:row>
    <x:row r="167" spans="1:36" ht="14.25" customHeight="1" x14ac:dyDescent="0.2">
      <x:c r="A167" s="72" t="s">
        <x:v>106</x:v>
      </x:c>
      <x:c r="B167" s="271">
        <x:v>46</x:v>
      </x:c>
      <x:c r="C167" s="72" t="s">
        <x:v>107</x:v>
      </x:c>
      <x:c r="D167" s="72" t="s">
        <x:v>108</x:v>
      </x:c>
      <x:c r="E167" s="72" t="s">
        <x:v>108</x:v>
      </x:c>
      <x:c r="F167" s="73">
        <x:v>1494768</x:v>
      </x:c>
      <x:c r="G167" s="74" t="s">
        <x:v>109</x:v>
      </x:c>
      <x:c r="H167" s="72" t="s">
        <x:v>110</x:v>
      </x:c>
      <x:c r="I167" s="86"/>
      <x:c r="J167" s="75">
        <x:f>+Puantaj!C171</x:f>
      </x:c>
      <x:c r="K167" s="72">
        <x:f>+Puantaj!D171</x:f>
      </x:c>
      <x:c r="L167" s="72">
        <x:f>+Puantaj!E171</x:f>
      </x:c>
      <x:c r="M167" s="265">
        <x:f>+BORDRO!F171</x:f>
      </x:c>
      <x:c r="N167" s="72"/>
      <x:c r="O167" s="87">
        <x:f>+BORDRO!G171</x:f>
      </x:c>
      <x:c r="P167" s="87">
        <x:v>0</x:v>
      </x:c>
      <x:c r="Q167" s="266">
        <x:v>24</x:v>
      </x:c>
      <x:c r="R167" s="267" t="s">
        <x:v>111</x:v>
      </x:c>
      <x:c r="S167" s="78"/>
      <x:c r="T167" s="78"/>
      <x:c r="U167" s="79"/>
      <x:c r="V167" s="268">
        <x:f>31-M167-Q167</x:f>
      </x:c>
      <x:c r="W167" s="269">
        <x:v>6</x:v>
      </x:c>
      <x:c r="X167" s="270" t="s">
        <x:v>112</x:v>
      </x:c>
      <x:c r="Y167" s="73">
        <x:v>2</x:v>
      </x:c>
      <x:c r="Z167" s="72" t="s">
        <x:v>106</x:v>
      </x:c>
      <x:c r="AA167" s="82" t="s">
        <x:v>111</x:v>
      </x:c>
      <x:c r="AB167" s="72">
        <x:v>2025</x:v>
      </x:c>
      <x:c r="AC167" s="72" t="s">
        <x:v>113</x:v>
      </x:c>
      <x:c r="AD167" s="88">
        <x:f>+BORDRO!J171</x:f>
      </x:c>
      <x:c r="AE167" s="83"/>
      <x:c r="AF167" s="83">
        <x:f>+BORDRO!K171</x:f>
      </x:c>
      <x:c r="AG167" s="83">
        <x:f>+BORDRO!L171</x:f>
      </x:c>
      <x:c r="AH167" s="88">
        <x:f>+BORDRO!M171</x:f>
      </x:c>
      <x:c r="AI167" s="83">
        <x:f>+BORDRO!O171</x:f>
      </x:c>
      <x:c r="AJ167" s="84">
        <x:f>+BORDRO!P171</x:f>
      </x:c>
    </x:row>
    <x:row r="168" spans="1:36" ht="15" customHeight="1" x14ac:dyDescent="0.25">
      <x:c r="A168" s="72" t="s">
        <x:v>106</x:v>
      </x:c>
      <x:c r="B168" s="264">
        <x:v>46</x:v>
      </x:c>
      <x:c r="C168" s="72" t="s">
        <x:v>107</x:v>
      </x:c>
      <x:c r="D168" s="72" t="s">
        <x:v>108</x:v>
      </x:c>
      <x:c r="E168" s="72" t="s">
        <x:v>108</x:v>
      </x:c>
      <x:c r="F168" s="73">
        <x:v>1494768</x:v>
      </x:c>
      <x:c r="G168" s="74" t="s">
        <x:v>109</x:v>
      </x:c>
      <x:c r="H168" s="72" t="s">
        <x:v>110</x:v>
      </x:c>
      <x:c r="I168" s="86"/>
      <x:c r="J168" s="75">
        <x:f>+Puantaj!C172</x:f>
      </x:c>
      <x:c r="K168" s="72">
        <x:f>+Puantaj!D172</x:f>
      </x:c>
      <x:c r="L168" s="72">
        <x:f>+Puantaj!E172</x:f>
      </x:c>
      <x:c r="M168" s="265">
        <x:f>+BORDRO!F172</x:f>
      </x:c>
      <x:c r="N168" s="72"/>
      <x:c r="O168" s="87">
        <x:f>+BORDRO!G172</x:f>
      </x:c>
      <x:c r="P168" s="87">
        <x:v>0</x:v>
      </x:c>
      <x:c r="Q168" s="266">
        <x:v>24</x:v>
      </x:c>
      <x:c r="R168" s="267" t="s">
        <x:v>111</x:v>
      </x:c>
      <x:c r="S168" s="78"/>
      <x:c r="T168" s="78"/>
      <x:c r="U168" s="79"/>
      <x:c r="V168" s="268">
        <x:f>31-M168-Q168</x:f>
      </x:c>
      <x:c r="W168" s="269">
        <x:v>6</x:v>
      </x:c>
      <x:c r="X168" s="270" t="s">
        <x:v>112</x:v>
      </x:c>
      <x:c r="Y168" s="73">
        <x:v>2</x:v>
      </x:c>
      <x:c r="Z168" s="72" t="s">
        <x:v>106</x:v>
      </x:c>
      <x:c r="AA168" s="82" t="s">
        <x:v>111</x:v>
      </x:c>
      <x:c r="AB168" s="72">
        <x:v>2025</x:v>
      </x:c>
      <x:c r="AC168" s="72" t="s">
        <x:v>113</x:v>
      </x:c>
      <x:c r="AD168" s="88">
        <x:f>+BORDRO!J172</x:f>
      </x:c>
      <x:c r="AE168" s="83"/>
      <x:c r="AF168" s="83">
        <x:f>+BORDRO!K172</x:f>
      </x:c>
      <x:c r="AG168" s="83">
        <x:f>+BORDRO!L172</x:f>
      </x:c>
      <x:c r="AH168" s="88">
        <x:f>+BORDRO!M172</x:f>
      </x:c>
      <x:c r="AI168" s="83">
        <x:f>+BORDRO!O172</x:f>
      </x:c>
      <x:c r="AJ168" s="84">
        <x:f>+BORDRO!P172</x:f>
      </x:c>
    </x:row>
    <x:row r="169" spans="1:36" ht="14.25" customHeight="1" x14ac:dyDescent="0.2">
      <x:c r="A169" s="72" t="s">
        <x:v>106</x:v>
      </x:c>
      <x:c r="B169" s="271">
        <x:v>46</x:v>
      </x:c>
      <x:c r="C169" s="72" t="s">
        <x:v>107</x:v>
      </x:c>
      <x:c r="D169" s="72" t="s">
        <x:v>108</x:v>
      </x:c>
      <x:c r="E169" s="72" t="s">
        <x:v>108</x:v>
      </x:c>
      <x:c r="F169" s="73">
        <x:v>1494768</x:v>
      </x:c>
      <x:c r="G169" s="74" t="s">
        <x:v>109</x:v>
      </x:c>
      <x:c r="H169" s="72" t="s">
        <x:v>110</x:v>
      </x:c>
      <x:c r="I169" s="86"/>
      <x:c r="J169" s="75">
        <x:f>+Puantaj!C173</x:f>
      </x:c>
      <x:c r="K169" s="72">
        <x:f>+Puantaj!D173</x:f>
      </x:c>
      <x:c r="L169" s="72">
        <x:f>+Puantaj!E173</x:f>
      </x:c>
      <x:c r="M169" s="265">
        <x:f>+BORDRO!F173</x:f>
      </x:c>
      <x:c r="N169" s="72"/>
      <x:c r="O169" s="87">
        <x:f>+BORDRO!G173</x:f>
      </x:c>
      <x:c r="P169" s="87">
        <x:v>0</x:v>
      </x:c>
      <x:c r="Q169" s="266">
        <x:v>24</x:v>
      </x:c>
      <x:c r="R169" s="267" t="s">
        <x:v>111</x:v>
      </x:c>
      <x:c r="S169" s="78"/>
      <x:c r="T169" s="78"/>
      <x:c r="U169" s="79"/>
      <x:c r="V169" s="268">
        <x:f>31-M169-Q169</x:f>
      </x:c>
      <x:c r="W169" s="269">
        <x:v>6</x:v>
      </x:c>
      <x:c r="X169" s="270" t="s">
        <x:v>112</x:v>
      </x:c>
      <x:c r="Y169" s="73">
        <x:v>2</x:v>
      </x:c>
      <x:c r="Z169" s="72" t="s">
        <x:v>106</x:v>
      </x:c>
      <x:c r="AA169" s="82" t="s">
        <x:v>111</x:v>
      </x:c>
      <x:c r="AB169" s="72">
        <x:v>2025</x:v>
      </x:c>
      <x:c r="AC169" s="72" t="s">
        <x:v>113</x:v>
      </x:c>
      <x:c r="AD169" s="88">
        <x:f>+BORDRO!J173</x:f>
      </x:c>
      <x:c r="AE169" s="83"/>
      <x:c r="AF169" s="83">
        <x:f>+BORDRO!K173</x:f>
      </x:c>
      <x:c r="AG169" s="83">
        <x:f>+BORDRO!L173</x:f>
      </x:c>
      <x:c r="AH169" s="88">
        <x:f>+BORDRO!M173</x:f>
      </x:c>
      <x:c r="AI169" s="83">
        <x:f>+BORDRO!O173</x:f>
      </x:c>
      <x:c r="AJ169" s="84">
        <x:f>+BORDRO!P173</x:f>
      </x:c>
    </x:row>
    <x:row r="170" spans="1:36" ht="15" customHeight="1" x14ac:dyDescent="0.25">
      <x:c r="A170" s="72" t="s">
        <x:v>106</x:v>
      </x:c>
      <x:c r="B170" s="264">
        <x:v>46</x:v>
      </x:c>
      <x:c r="C170" s="72" t="s">
        <x:v>107</x:v>
      </x:c>
      <x:c r="D170" s="72" t="s">
        <x:v>108</x:v>
      </x:c>
      <x:c r="E170" s="72" t="s">
        <x:v>108</x:v>
      </x:c>
      <x:c r="F170" s="73">
        <x:v>1494768</x:v>
      </x:c>
      <x:c r="G170" s="74" t="s">
        <x:v>109</x:v>
      </x:c>
      <x:c r="H170" s="72" t="s">
        <x:v>110</x:v>
      </x:c>
      <x:c r="I170" s="86"/>
      <x:c r="J170" s="75">
        <x:f>+Puantaj!C174</x:f>
      </x:c>
      <x:c r="K170" s="72">
        <x:f>+Puantaj!D174</x:f>
      </x:c>
      <x:c r="L170" s="72">
        <x:f>+Puantaj!E174</x:f>
      </x:c>
      <x:c r="M170" s="265">
        <x:f>+BORDRO!F174</x:f>
      </x:c>
      <x:c r="N170" s="72"/>
      <x:c r="O170" s="87">
        <x:f>+BORDRO!G174</x:f>
      </x:c>
      <x:c r="P170" s="87">
        <x:v>0</x:v>
      </x:c>
      <x:c r="Q170" s="266">
        <x:v>24</x:v>
      </x:c>
      <x:c r="R170" s="267" t="s">
        <x:v>111</x:v>
      </x:c>
      <x:c r="S170" s="78"/>
      <x:c r="T170" s="78"/>
      <x:c r="U170" s="79"/>
      <x:c r="V170" s="268">
        <x:f>31-M170-Q170</x:f>
      </x:c>
      <x:c r="W170" s="269">
        <x:v>6</x:v>
      </x:c>
      <x:c r="X170" s="270" t="s">
        <x:v>112</x:v>
      </x:c>
      <x:c r="Y170" s="73">
        <x:v>2</x:v>
      </x:c>
      <x:c r="Z170" s="72" t="s">
        <x:v>106</x:v>
      </x:c>
      <x:c r="AA170" s="82" t="s">
        <x:v>111</x:v>
      </x:c>
      <x:c r="AB170" s="72">
        <x:v>2025</x:v>
      </x:c>
      <x:c r="AC170" s="72" t="s">
        <x:v>113</x:v>
      </x:c>
      <x:c r="AD170" s="88">
        <x:f>+BORDRO!J174</x:f>
      </x:c>
      <x:c r="AE170" s="83"/>
      <x:c r="AF170" s="83">
        <x:f>+BORDRO!K174</x:f>
      </x:c>
      <x:c r="AG170" s="83">
        <x:f>+BORDRO!L174</x:f>
      </x:c>
      <x:c r="AH170" s="88">
        <x:f>+BORDRO!M174</x:f>
      </x:c>
      <x:c r="AI170" s="83">
        <x:f>+BORDRO!O174</x:f>
      </x:c>
      <x:c r="AJ170" s="84">
        <x:f>+BORDRO!P174</x:f>
      </x:c>
    </x:row>
    <x:row r="171" spans="1:36" ht="14.25" customHeight="1" x14ac:dyDescent="0.2">
      <x:c r="A171" s="72" t="s">
        <x:v>106</x:v>
      </x:c>
      <x:c r="B171" s="271">
        <x:v>46</x:v>
      </x:c>
      <x:c r="C171" s="72" t="s">
        <x:v>107</x:v>
      </x:c>
      <x:c r="D171" s="72" t="s">
        <x:v>108</x:v>
      </x:c>
      <x:c r="E171" s="72" t="s">
        <x:v>108</x:v>
      </x:c>
      <x:c r="F171" s="73">
        <x:v>1494768</x:v>
      </x:c>
      <x:c r="G171" s="74" t="s">
        <x:v>109</x:v>
      </x:c>
      <x:c r="H171" s="72" t="s">
        <x:v>110</x:v>
      </x:c>
      <x:c r="I171" s="86"/>
      <x:c r="J171" s="75">
        <x:f>+Puantaj!C175</x:f>
      </x:c>
      <x:c r="K171" s="72">
        <x:f>+Puantaj!D175</x:f>
      </x:c>
      <x:c r="L171" s="72">
        <x:f>+Puantaj!E175</x:f>
      </x:c>
      <x:c r="M171" s="265">
        <x:f>+BORDRO!F175</x:f>
      </x:c>
      <x:c r="N171" s="72"/>
      <x:c r="O171" s="87">
        <x:f>+BORDRO!G175</x:f>
      </x:c>
      <x:c r="P171" s="87">
        <x:v>0</x:v>
      </x:c>
      <x:c r="Q171" s="266">
        <x:v>24</x:v>
      </x:c>
      <x:c r="R171" s="267" t="s">
        <x:v>111</x:v>
      </x:c>
      <x:c r="S171" s="78"/>
      <x:c r="T171" s="78"/>
      <x:c r="U171" s="79"/>
      <x:c r="V171" s="268">
        <x:f>31-M171-Q171</x:f>
      </x:c>
      <x:c r="W171" s="269">
        <x:v>6</x:v>
      </x:c>
      <x:c r="X171" s="270" t="s">
        <x:v>112</x:v>
      </x:c>
      <x:c r="Y171" s="73">
        <x:v>2</x:v>
      </x:c>
      <x:c r="Z171" s="72" t="s">
        <x:v>106</x:v>
      </x:c>
      <x:c r="AA171" s="82" t="s">
        <x:v>111</x:v>
      </x:c>
      <x:c r="AB171" s="72">
        <x:v>2025</x:v>
      </x:c>
      <x:c r="AC171" s="72" t="s">
        <x:v>113</x:v>
      </x:c>
      <x:c r="AD171" s="88">
        <x:f>+BORDRO!J175</x:f>
      </x:c>
      <x:c r="AE171" s="83"/>
      <x:c r="AF171" s="83">
        <x:f>+BORDRO!K175</x:f>
      </x:c>
      <x:c r="AG171" s="83">
        <x:f>+BORDRO!L175</x:f>
      </x:c>
      <x:c r="AH171" s="88">
        <x:f>+BORDRO!M175</x:f>
      </x:c>
      <x:c r="AI171" s="83">
        <x:f>+BORDRO!O175</x:f>
      </x:c>
      <x:c r="AJ171" s="84">
        <x:f>+BORDRO!P175</x:f>
      </x:c>
    </x:row>
    <x:row r="172" spans="1:36" ht="15" customHeight="1" x14ac:dyDescent="0.25">
      <x:c r="A172" s="72" t="s">
        <x:v>106</x:v>
      </x:c>
      <x:c r="B172" s="264">
        <x:v>46</x:v>
      </x:c>
      <x:c r="C172" s="72" t="s">
        <x:v>107</x:v>
      </x:c>
      <x:c r="D172" s="72" t="s">
        <x:v>108</x:v>
      </x:c>
      <x:c r="E172" s="72" t="s">
        <x:v>108</x:v>
      </x:c>
      <x:c r="F172" s="73">
        <x:v>1494768</x:v>
      </x:c>
      <x:c r="G172" s="74" t="s">
        <x:v>109</x:v>
      </x:c>
      <x:c r="H172" s="72" t="s">
        <x:v>110</x:v>
      </x:c>
      <x:c r="I172" s="86"/>
      <x:c r="J172" s="75">
        <x:f>+Puantaj!C176</x:f>
      </x:c>
      <x:c r="K172" s="72">
        <x:f>+Puantaj!D176</x:f>
      </x:c>
      <x:c r="L172" s="72">
        <x:f>+Puantaj!E176</x:f>
      </x:c>
      <x:c r="M172" s="265">
        <x:f>+BORDRO!F176</x:f>
      </x:c>
      <x:c r="N172" s="72"/>
      <x:c r="O172" s="87">
        <x:f>+BORDRO!G176</x:f>
      </x:c>
      <x:c r="P172" s="87">
        <x:v>0</x:v>
      </x:c>
      <x:c r="Q172" s="266">
        <x:v>24</x:v>
      </x:c>
      <x:c r="R172" s="267" t="s">
        <x:v>111</x:v>
      </x:c>
      <x:c r="S172" s="78"/>
      <x:c r="T172" s="78"/>
      <x:c r="U172" s="79"/>
      <x:c r="V172" s="268">
        <x:f>31-M172-Q172</x:f>
      </x:c>
      <x:c r="W172" s="269">
        <x:v>6</x:v>
      </x:c>
      <x:c r="X172" s="270" t="s">
        <x:v>112</x:v>
      </x:c>
      <x:c r="Y172" s="73">
        <x:v>2</x:v>
      </x:c>
      <x:c r="Z172" s="72" t="s">
        <x:v>106</x:v>
      </x:c>
      <x:c r="AA172" s="82" t="s">
        <x:v>111</x:v>
      </x:c>
      <x:c r="AB172" s="72">
        <x:v>2025</x:v>
      </x:c>
      <x:c r="AC172" s="72" t="s">
        <x:v>113</x:v>
      </x:c>
      <x:c r="AD172" s="88">
        <x:f>+BORDRO!J176</x:f>
      </x:c>
      <x:c r="AE172" s="83"/>
      <x:c r="AF172" s="83">
        <x:f>+BORDRO!K176</x:f>
      </x:c>
      <x:c r="AG172" s="83">
        <x:f>+BORDRO!L176</x:f>
      </x:c>
      <x:c r="AH172" s="88">
        <x:f>+BORDRO!M176</x:f>
      </x:c>
      <x:c r="AI172" s="83">
        <x:f>+BORDRO!O176</x:f>
      </x:c>
      <x:c r="AJ172" s="84">
        <x:f>+BORDRO!P176</x:f>
      </x:c>
    </x:row>
    <x:row r="173" spans="1:36" ht="14.25" customHeight="1" x14ac:dyDescent="0.2">
      <x:c r="A173" s="72" t="s">
        <x:v>106</x:v>
      </x:c>
      <x:c r="B173" s="271">
        <x:v>46</x:v>
      </x:c>
      <x:c r="C173" s="72" t="s">
        <x:v>107</x:v>
      </x:c>
      <x:c r="D173" s="72" t="s">
        <x:v>108</x:v>
      </x:c>
      <x:c r="E173" s="72" t="s">
        <x:v>108</x:v>
      </x:c>
      <x:c r="F173" s="73">
        <x:v>1494768</x:v>
      </x:c>
      <x:c r="G173" s="74" t="s">
        <x:v>109</x:v>
      </x:c>
      <x:c r="H173" s="72" t="s">
        <x:v>110</x:v>
      </x:c>
      <x:c r="I173" s="86"/>
      <x:c r="J173" s="75">
        <x:f>+Puantaj!C177</x:f>
      </x:c>
      <x:c r="K173" s="72">
        <x:f>+Puantaj!D177</x:f>
      </x:c>
      <x:c r="L173" s="72">
        <x:f>+Puantaj!E177</x:f>
      </x:c>
      <x:c r="M173" s="265">
        <x:f>+BORDRO!F177</x:f>
      </x:c>
      <x:c r="N173" s="72"/>
      <x:c r="O173" s="87">
        <x:f>+BORDRO!G177</x:f>
      </x:c>
      <x:c r="P173" s="87">
        <x:v>0</x:v>
      </x:c>
      <x:c r="Q173" s="266">
        <x:v>24</x:v>
      </x:c>
      <x:c r="R173" s="267" t="s">
        <x:v>111</x:v>
      </x:c>
      <x:c r="S173" s="78"/>
      <x:c r="T173" s="78"/>
      <x:c r="U173" s="79"/>
      <x:c r="V173" s="268">
        <x:f>31-M173-Q173</x:f>
      </x:c>
      <x:c r="W173" s="269">
        <x:v>6</x:v>
      </x:c>
      <x:c r="X173" s="270" t="s">
        <x:v>112</x:v>
      </x:c>
      <x:c r="Y173" s="73">
        <x:v>2</x:v>
      </x:c>
      <x:c r="Z173" s="72" t="s">
        <x:v>106</x:v>
      </x:c>
      <x:c r="AA173" s="82" t="s">
        <x:v>111</x:v>
      </x:c>
      <x:c r="AB173" s="72">
        <x:v>2025</x:v>
      </x:c>
      <x:c r="AC173" s="72" t="s">
        <x:v>113</x:v>
      </x:c>
      <x:c r="AD173" s="88">
        <x:f>+BORDRO!J177</x:f>
      </x:c>
      <x:c r="AE173" s="83"/>
      <x:c r="AF173" s="83">
        <x:f>+BORDRO!K177</x:f>
      </x:c>
      <x:c r="AG173" s="83">
        <x:f>+BORDRO!L177</x:f>
      </x:c>
      <x:c r="AH173" s="88">
        <x:f>+BORDRO!M177</x:f>
      </x:c>
      <x:c r="AI173" s="83">
        <x:f>+BORDRO!O177</x:f>
      </x:c>
      <x:c r="AJ173" s="84">
        <x:f>+BORDRO!P177</x:f>
      </x:c>
    </x:row>
    <x:row r="174" spans="1:36" ht="15" customHeight="1" x14ac:dyDescent="0.25">
      <x:c r="A174" s="72" t="s">
        <x:v>106</x:v>
      </x:c>
      <x:c r="B174" s="264">
        <x:v>46</x:v>
      </x:c>
      <x:c r="C174" s="72" t="s">
        <x:v>107</x:v>
      </x:c>
      <x:c r="D174" s="72" t="s">
        <x:v>108</x:v>
      </x:c>
      <x:c r="E174" s="72" t="s">
        <x:v>108</x:v>
      </x:c>
      <x:c r="F174" s="73">
        <x:v>1494768</x:v>
      </x:c>
      <x:c r="G174" s="74" t="s">
        <x:v>109</x:v>
      </x:c>
      <x:c r="H174" s="72" t="s">
        <x:v>110</x:v>
      </x:c>
      <x:c r="I174" s="86"/>
      <x:c r="J174" s="75">
        <x:f>+Puantaj!C178</x:f>
      </x:c>
      <x:c r="K174" s="72">
        <x:f>+Puantaj!D178</x:f>
      </x:c>
      <x:c r="L174" s="72">
        <x:f>+Puantaj!E178</x:f>
      </x:c>
      <x:c r="M174" s="265">
        <x:f>+BORDRO!F178</x:f>
      </x:c>
      <x:c r="N174" s="72"/>
      <x:c r="O174" s="87">
        <x:f>+BORDRO!G178</x:f>
      </x:c>
      <x:c r="P174" s="87">
        <x:v>0</x:v>
      </x:c>
      <x:c r="Q174" s="266">
        <x:v>24</x:v>
      </x:c>
      <x:c r="R174" s="267" t="s">
        <x:v>111</x:v>
      </x:c>
      <x:c r="S174" s="78"/>
      <x:c r="T174" s="78"/>
      <x:c r="U174" s="79"/>
      <x:c r="V174" s="268">
        <x:f>31-M174-Q174</x:f>
      </x:c>
      <x:c r="W174" s="269">
        <x:v>6</x:v>
      </x:c>
      <x:c r="X174" s="270" t="s">
        <x:v>112</x:v>
      </x:c>
      <x:c r="Y174" s="73">
        <x:v>2</x:v>
      </x:c>
      <x:c r="Z174" s="72" t="s">
        <x:v>106</x:v>
      </x:c>
      <x:c r="AA174" s="82" t="s">
        <x:v>111</x:v>
      </x:c>
      <x:c r="AB174" s="72">
        <x:v>2025</x:v>
      </x:c>
      <x:c r="AC174" s="72" t="s">
        <x:v>113</x:v>
      </x:c>
      <x:c r="AD174" s="88">
        <x:f>+BORDRO!J178</x:f>
      </x:c>
      <x:c r="AE174" s="83"/>
      <x:c r="AF174" s="83">
        <x:f>+BORDRO!K178</x:f>
      </x:c>
      <x:c r="AG174" s="83">
        <x:f>+BORDRO!L178</x:f>
      </x:c>
      <x:c r="AH174" s="88">
        <x:f>+BORDRO!M178</x:f>
      </x:c>
      <x:c r="AI174" s="83">
        <x:f>+BORDRO!O178</x:f>
      </x:c>
      <x:c r="AJ174" s="84">
        <x:f>+BORDRO!P178</x:f>
      </x:c>
    </x:row>
    <x:row r="175" spans="1:36" ht="14.25" customHeight="1" x14ac:dyDescent="0.2">
      <x:c r="A175" s="72" t="s">
        <x:v>106</x:v>
      </x:c>
      <x:c r="B175" s="271">
        <x:v>46</x:v>
      </x:c>
      <x:c r="C175" s="72" t="s">
        <x:v>107</x:v>
      </x:c>
      <x:c r="D175" s="72" t="s">
        <x:v>108</x:v>
      </x:c>
      <x:c r="E175" s="72" t="s">
        <x:v>108</x:v>
      </x:c>
      <x:c r="F175" s="73">
        <x:v>1494768</x:v>
      </x:c>
      <x:c r="G175" s="74" t="s">
        <x:v>109</x:v>
      </x:c>
      <x:c r="H175" s="72" t="s">
        <x:v>110</x:v>
      </x:c>
      <x:c r="I175" s="86"/>
      <x:c r="J175" s="75">
        <x:f>+Puantaj!C179</x:f>
      </x:c>
      <x:c r="K175" s="72">
        <x:f>+Puantaj!D179</x:f>
      </x:c>
      <x:c r="L175" s="72">
        <x:f>+Puantaj!E179</x:f>
      </x:c>
      <x:c r="M175" s="265">
        <x:f>+BORDRO!F179</x:f>
      </x:c>
      <x:c r="N175" s="72"/>
      <x:c r="O175" s="87">
        <x:f>+BORDRO!G179</x:f>
      </x:c>
      <x:c r="P175" s="87">
        <x:v>0</x:v>
      </x:c>
      <x:c r="Q175" s="266">
        <x:v>24</x:v>
      </x:c>
      <x:c r="R175" s="267" t="s">
        <x:v>111</x:v>
      </x:c>
      <x:c r="S175" s="78"/>
      <x:c r="T175" s="78"/>
      <x:c r="U175" s="79"/>
      <x:c r="V175" s="268">
        <x:f>31-M175-Q175</x:f>
      </x:c>
      <x:c r="W175" s="269">
        <x:v>6</x:v>
      </x:c>
      <x:c r="X175" s="270" t="s">
        <x:v>112</x:v>
      </x:c>
      <x:c r="Y175" s="73">
        <x:v>2</x:v>
      </x:c>
      <x:c r="Z175" s="72" t="s">
        <x:v>106</x:v>
      </x:c>
      <x:c r="AA175" s="82" t="s">
        <x:v>111</x:v>
      </x:c>
      <x:c r="AB175" s="72">
        <x:v>2025</x:v>
      </x:c>
      <x:c r="AC175" s="72" t="s">
        <x:v>113</x:v>
      </x:c>
      <x:c r="AD175" s="88">
        <x:f>+BORDRO!J179</x:f>
      </x:c>
      <x:c r="AE175" s="83"/>
      <x:c r="AF175" s="83">
        <x:f>+BORDRO!K179</x:f>
      </x:c>
      <x:c r="AG175" s="83">
        <x:f>+BORDRO!L179</x:f>
      </x:c>
      <x:c r="AH175" s="88">
        <x:f>+BORDRO!M179</x:f>
      </x:c>
      <x:c r="AI175" s="83">
        <x:f>+BORDRO!O179</x:f>
      </x:c>
      <x:c r="AJ175" s="84">
        <x:f>+BORDRO!P179</x:f>
      </x:c>
    </x:row>
    <x:row r="176" spans="1:36" ht="15" customHeight="1" x14ac:dyDescent="0.25">
      <x:c r="A176" s="72" t="s">
        <x:v>106</x:v>
      </x:c>
      <x:c r="B176" s="264">
        <x:v>46</x:v>
      </x:c>
      <x:c r="C176" s="72" t="s">
        <x:v>107</x:v>
      </x:c>
      <x:c r="D176" s="72" t="s">
        <x:v>108</x:v>
      </x:c>
      <x:c r="E176" s="72" t="s">
        <x:v>108</x:v>
      </x:c>
      <x:c r="F176" s="73">
        <x:v>1494768</x:v>
      </x:c>
      <x:c r="G176" s="74" t="s">
        <x:v>109</x:v>
      </x:c>
      <x:c r="H176" s="72" t="s">
        <x:v>110</x:v>
      </x:c>
      <x:c r="I176" s="86"/>
      <x:c r="J176" s="75">
        <x:f>+Puantaj!C180</x:f>
      </x:c>
      <x:c r="K176" s="72">
        <x:f>+Puantaj!D180</x:f>
      </x:c>
      <x:c r="L176" s="72">
        <x:f>+Puantaj!E180</x:f>
      </x:c>
      <x:c r="M176" s="265">
        <x:f>+BORDRO!F180</x:f>
      </x:c>
      <x:c r="N176" s="72"/>
      <x:c r="O176" s="87">
        <x:f>+BORDRO!G180</x:f>
      </x:c>
      <x:c r="P176" s="87">
        <x:v>0</x:v>
      </x:c>
      <x:c r="Q176" s="266">
        <x:v>24</x:v>
      </x:c>
      <x:c r="R176" s="267" t="s">
        <x:v>111</x:v>
      </x:c>
      <x:c r="S176" s="78"/>
      <x:c r="T176" s="78"/>
      <x:c r="U176" s="79"/>
      <x:c r="V176" s="268">
        <x:f>31-M176-Q176</x:f>
      </x:c>
      <x:c r="W176" s="269">
        <x:v>6</x:v>
      </x:c>
      <x:c r="X176" s="270" t="s">
        <x:v>112</x:v>
      </x:c>
      <x:c r="Y176" s="73">
        <x:v>2</x:v>
      </x:c>
      <x:c r="Z176" s="72" t="s">
        <x:v>106</x:v>
      </x:c>
      <x:c r="AA176" s="82" t="s">
        <x:v>111</x:v>
      </x:c>
      <x:c r="AB176" s="72">
        <x:v>2025</x:v>
      </x:c>
      <x:c r="AC176" s="72" t="s">
        <x:v>113</x:v>
      </x:c>
      <x:c r="AD176" s="88">
        <x:f>+BORDRO!J180</x:f>
      </x:c>
      <x:c r="AE176" s="83"/>
      <x:c r="AF176" s="83">
        <x:f>+BORDRO!K180</x:f>
      </x:c>
      <x:c r="AG176" s="83">
        <x:f>+BORDRO!L180</x:f>
      </x:c>
      <x:c r="AH176" s="88">
        <x:f>+BORDRO!M180</x:f>
      </x:c>
      <x:c r="AI176" s="83">
        <x:f>+BORDRO!O180</x:f>
      </x:c>
      <x:c r="AJ176" s="84">
        <x:f>+BORDRO!P180</x:f>
      </x:c>
    </x:row>
    <x:row r="177" spans="1:36" ht="14.25" customHeight="1" x14ac:dyDescent="0.2">
      <x:c r="A177" s="72" t="s">
        <x:v>106</x:v>
      </x:c>
      <x:c r="B177" s="271">
        <x:v>46</x:v>
      </x:c>
      <x:c r="C177" s="72" t="s">
        <x:v>107</x:v>
      </x:c>
      <x:c r="D177" s="72" t="s">
        <x:v>108</x:v>
      </x:c>
      <x:c r="E177" s="72" t="s">
        <x:v>108</x:v>
      </x:c>
      <x:c r="F177" s="73">
        <x:v>1494768</x:v>
      </x:c>
      <x:c r="G177" s="74" t="s">
        <x:v>109</x:v>
      </x:c>
      <x:c r="H177" s="72" t="s">
        <x:v>110</x:v>
      </x:c>
      <x:c r="I177" s="86"/>
      <x:c r="J177" s="75">
        <x:f>+Puantaj!C181</x:f>
      </x:c>
      <x:c r="K177" s="72">
        <x:f>+Puantaj!D181</x:f>
      </x:c>
      <x:c r="L177" s="72">
        <x:f>+Puantaj!E181</x:f>
      </x:c>
      <x:c r="M177" s="265">
        <x:f>+BORDRO!F181</x:f>
      </x:c>
      <x:c r="N177" s="72"/>
      <x:c r="O177" s="87">
        <x:f>+BORDRO!G181</x:f>
      </x:c>
      <x:c r="P177" s="87">
        <x:v>0</x:v>
      </x:c>
      <x:c r="Q177" s="266">
        <x:v>24</x:v>
      </x:c>
      <x:c r="R177" s="267" t="s">
        <x:v>111</x:v>
      </x:c>
      <x:c r="S177" s="78"/>
      <x:c r="T177" s="78"/>
      <x:c r="U177" s="79"/>
      <x:c r="V177" s="268">
        <x:f>31-M177-Q177</x:f>
      </x:c>
      <x:c r="W177" s="269">
        <x:v>6</x:v>
      </x:c>
      <x:c r="X177" s="270" t="s">
        <x:v>112</x:v>
      </x:c>
      <x:c r="Y177" s="73">
        <x:v>2</x:v>
      </x:c>
      <x:c r="Z177" s="72" t="s">
        <x:v>106</x:v>
      </x:c>
      <x:c r="AA177" s="82" t="s">
        <x:v>111</x:v>
      </x:c>
      <x:c r="AB177" s="72">
        <x:v>2025</x:v>
      </x:c>
      <x:c r="AC177" s="72" t="s">
        <x:v>113</x:v>
      </x:c>
      <x:c r="AD177" s="88">
        <x:f>+BORDRO!J181</x:f>
      </x:c>
      <x:c r="AE177" s="83"/>
      <x:c r="AF177" s="83">
        <x:f>+BORDRO!K181</x:f>
      </x:c>
      <x:c r="AG177" s="83">
        <x:f>+BORDRO!L181</x:f>
      </x:c>
      <x:c r="AH177" s="88">
        <x:f>+BORDRO!M181</x:f>
      </x:c>
      <x:c r="AI177" s="83">
        <x:f>+BORDRO!O181</x:f>
      </x:c>
      <x:c r="AJ177" s="84">
        <x:f>+BORDRO!P181</x:f>
      </x:c>
    </x:row>
    <x:row r="178" spans="1:36" ht="15" customHeight="1" x14ac:dyDescent="0.25">
      <x:c r="A178" s="72" t="s">
        <x:v>106</x:v>
      </x:c>
      <x:c r="B178" s="264">
        <x:v>46</x:v>
      </x:c>
      <x:c r="C178" s="72" t="s">
        <x:v>107</x:v>
      </x:c>
      <x:c r="D178" s="72" t="s">
        <x:v>108</x:v>
      </x:c>
      <x:c r="E178" s="72" t="s">
        <x:v>108</x:v>
      </x:c>
      <x:c r="F178" s="73">
        <x:v>1494768</x:v>
      </x:c>
      <x:c r="G178" s="74" t="s">
        <x:v>109</x:v>
      </x:c>
      <x:c r="H178" s="72" t="s">
        <x:v>110</x:v>
      </x:c>
      <x:c r="I178" s="86"/>
      <x:c r="J178" s="75">
        <x:f>+Puantaj!C182</x:f>
      </x:c>
      <x:c r="K178" s="72">
        <x:f>+Puantaj!D182</x:f>
      </x:c>
      <x:c r="L178" s="72">
        <x:f>+Puantaj!E182</x:f>
      </x:c>
      <x:c r="M178" s="265">
        <x:f>+BORDRO!F182</x:f>
      </x:c>
      <x:c r="N178" s="72"/>
      <x:c r="O178" s="87">
        <x:f>+BORDRO!G182</x:f>
      </x:c>
      <x:c r="P178" s="87">
        <x:v>0</x:v>
      </x:c>
      <x:c r="Q178" s="266">
        <x:v>24</x:v>
      </x:c>
      <x:c r="R178" s="267" t="s">
        <x:v>111</x:v>
      </x:c>
      <x:c r="S178" s="78"/>
      <x:c r="T178" s="78"/>
      <x:c r="U178" s="79"/>
      <x:c r="V178" s="268">
        <x:f>31-M178-Q178</x:f>
      </x:c>
      <x:c r="W178" s="269">
        <x:v>6</x:v>
      </x:c>
      <x:c r="X178" s="270" t="s">
        <x:v>112</x:v>
      </x:c>
      <x:c r="Y178" s="73">
        <x:v>2</x:v>
      </x:c>
      <x:c r="Z178" s="72" t="s">
        <x:v>106</x:v>
      </x:c>
      <x:c r="AA178" s="82" t="s">
        <x:v>111</x:v>
      </x:c>
      <x:c r="AB178" s="72">
        <x:v>2025</x:v>
      </x:c>
      <x:c r="AC178" s="72" t="s">
        <x:v>113</x:v>
      </x:c>
      <x:c r="AD178" s="88">
        <x:f>+BORDRO!J182</x:f>
      </x:c>
      <x:c r="AE178" s="83"/>
      <x:c r="AF178" s="83">
        <x:f>+BORDRO!K182</x:f>
      </x:c>
      <x:c r="AG178" s="83">
        <x:f>+BORDRO!L182</x:f>
      </x:c>
      <x:c r="AH178" s="88">
        <x:f>+BORDRO!M182</x:f>
      </x:c>
      <x:c r="AI178" s="83">
        <x:f>+BORDRO!O182</x:f>
      </x:c>
      <x:c r="AJ178" s="84">
        <x:f>+BORDRO!P182</x:f>
      </x:c>
    </x:row>
    <x:row r="179" spans="1:36" ht="14.25" customHeight="1" x14ac:dyDescent="0.2">
      <x:c r="A179" s="72" t="s">
        <x:v>106</x:v>
      </x:c>
      <x:c r="B179" s="271">
        <x:v>46</x:v>
      </x:c>
      <x:c r="C179" s="72" t="s">
        <x:v>107</x:v>
      </x:c>
      <x:c r="D179" s="72" t="s">
        <x:v>108</x:v>
      </x:c>
      <x:c r="E179" s="72" t="s">
        <x:v>108</x:v>
      </x:c>
      <x:c r="F179" s="73">
        <x:v>1494768</x:v>
      </x:c>
      <x:c r="G179" s="74" t="s">
        <x:v>109</x:v>
      </x:c>
      <x:c r="H179" s="72" t="s">
        <x:v>110</x:v>
      </x:c>
      <x:c r="I179" s="86"/>
      <x:c r="J179" s="75">
        <x:f>+Puantaj!C183</x:f>
      </x:c>
      <x:c r="K179" s="72">
        <x:f>+Puantaj!D183</x:f>
      </x:c>
      <x:c r="L179" s="72">
        <x:f>+Puantaj!E183</x:f>
      </x:c>
      <x:c r="M179" s="265">
        <x:f>+BORDRO!F183</x:f>
      </x:c>
      <x:c r="N179" s="72"/>
      <x:c r="O179" s="87">
        <x:f>+BORDRO!G183</x:f>
      </x:c>
      <x:c r="P179" s="87">
        <x:v>0</x:v>
      </x:c>
      <x:c r="Q179" s="266">
        <x:v>24</x:v>
      </x:c>
      <x:c r="R179" s="267" t="s">
        <x:v>111</x:v>
      </x:c>
      <x:c r="S179" s="78"/>
      <x:c r="T179" s="78"/>
      <x:c r="U179" s="79"/>
      <x:c r="V179" s="268">
        <x:f>31-M179-Q179</x:f>
      </x:c>
      <x:c r="W179" s="269">
        <x:v>6</x:v>
      </x:c>
      <x:c r="X179" s="270" t="s">
        <x:v>112</x:v>
      </x:c>
      <x:c r="Y179" s="73">
        <x:v>2</x:v>
      </x:c>
      <x:c r="Z179" s="72" t="s">
        <x:v>106</x:v>
      </x:c>
      <x:c r="AA179" s="82" t="s">
        <x:v>111</x:v>
      </x:c>
      <x:c r="AB179" s="72">
        <x:v>2025</x:v>
      </x:c>
      <x:c r="AC179" s="72" t="s">
        <x:v>113</x:v>
      </x:c>
      <x:c r="AD179" s="88">
        <x:f>+BORDRO!J183</x:f>
      </x:c>
      <x:c r="AE179" s="83"/>
      <x:c r="AF179" s="83">
        <x:f>+BORDRO!K183</x:f>
      </x:c>
      <x:c r="AG179" s="83">
        <x:f>+BORDRO!L183</x:f>
      </x:c>
      <x:c r="AH179" s="88">
        <x:f>+BORDRO!M183</x:f>
      </x:c>
      <x:c r="AI179" s="83">
        <x:f>+BORDRO!O183</x:f>
      </x:c>
      <x:c r="AJ179" s="84">
        <x:f>+BORDRO!P183</x:f>
      </x:c>
    </x:row>
    <x:row r="180" spans="1:36" ht="15" customHeight="1" x14ac:dyDescent="0.25">
      <x:c r="A180" s="72" t="s">
        <x:v>106</x:v>
      </x:c>
      <x:c r="B180" s="264">
        <x:v>46</x:v>
      </x:c>
      <x:c r="C180" s="72" t="s">
        <x:v>107</x:v>
      </x:c>
      <x:c r="D180" s="72" t="s">
        <x:v>108</x:v>
      </x:c>
      <x:c r="E180" s="72" t="s">
        <x:v>108</x:v>
      </x:c>
      <x:c r="F180" s="73">
        <x:v>1494768</x:v>
      </x:c>
      <x:c r="G180" s="74" t="s">
        <x:v>109</x:v>
      </x:c>
      <x:c r="H180" s="72" t="s">
        <x:v>110</x:v>
      </x:c>
      <x:c r="I180" s="86"/>
      <x:c r="J180" s="75">
        <x:f>+Puantaj!C184</x:f>
      </x:c>
      <x:c r="K180" s="72">
        <x:f>+Puantaj!D184</x:f>
      </x:c>
      <x:c r="L180" s="72">
        <x:f>+Puantaj!E184</x:f>
      </x:c>
      <x:c r="M180" s="265">
        <x:f>+BORDRO!F184</x:f>
      </x:c>
      <x:c r="N180" s="72"/>
      <x:c r="O180" s="87">
        <x:f>+BORDRO!G184</x:f>
      </x:c>
      <x:c r="P180" s="87">
        <x:v>0</x:v>
      </x:c>
      <x:c r="Q180" s="266">
        <x:v>24</x:v>
      </x:c>
      <x:c r="R180" s="267" t="s">
        <x:v>111</x:v>
      </x:c>
      <x:c r="S180" s="78"/>
      <x:c r="T180" s="78"/>
      <x:c r="U180" s="79"/>
      <x:c r="V180" s="268">
        <x:f>31-M180-Q180</x:f>
      </x:c>
      <x:c r="W180" s="269">
        <x:v>6</x:v>
      </x:c>
      <x:c r="X180" s="270" t="s">
        <x:v>112</x:v>
      </x:c>
      <x:c r="Y180" s="73">
        <x:v>2</x:v>
      </x:c>
      <x:c r="Z180" s="72" t="s">
        <x:v>106</x:v>
      </x:c>
      <x:c r="AA180" s="82" t="s">
        <x:v>111</x:v>
      </x:c>
      <x:c r="AB180" s="72">
        <x:v>2025</x:v>
      </x:c>
      <x:c r="AC180" s="72" t="s">
        <x:v>113</x:v>
      </x:c>
      <x:c r="AD180" s="88">
        <x:f>+BORDRO!J184</x:f>
      </x:c>
      <x:c r="AE180" s="83"/>
      <x:c r="AF180" s="83">
        <x:f>+BORDRO!K184</x:f>
      </x:c>
      <x:c r="AG180" s="83">
        <x:f>+BORDRO!L184</x:f>
      </x:c>
      <x:c r="AH180" s="88">
        <x:f>+BORDRO!M184</x:f>
      </x:c>
      <x:c r="AI180" s="83">
        <x:f>+BORDRO!O184</x:f>
      </x:c>
      <x:c r="AJ180" s="84">
        <x:f>+BORDRO!P184</x:f>
      </x:c>
    </x:row>
    <x:row r="181" spans="1:36" ht="14.25" customHeight="1" x14ac:dyDescent="0.2">
      <x:c r="A181" s="72" t="s">
        <x:v>106</x:v>
      </x:c>
      <x:c r="B181" s="271">
        <x:v>46</x:v>
      </x:c>
      <x:c r="C181" s="72" t="s">
        <x:v>107</x:v>
      </x:c>
      <x:c r="D181" s="72" t="s">
        <x:v>108</x:v>
      </x:c>
      <x:c r="E181" s="72" t="s">
        <x:v>108</x:v>
      </x:c>
      <x:c r="F181" s="73">
        <x:v>1494768</x:v>
      </x:c>
      <x:c r="G181" s="74" t="s">
        <x:v>109</x:v>
      </x:c>
      <x:c r="H181" s="72" t="s">
        <x:v>110</x:v>
      </x:c>
      <x:c r="I181" s="86"/>
      <x:c r="J181" s="75">
        <x:f>+Puantaj!C185</x:f>
      </x:c>
      <x:c r="K181" s="72">
        <x:f>+Puantaj!D185</x:f>
      </x:c>
      <x:c r="L181" s="72">
        <x:f>+Puantaj!E185</x:f>
      </x:c>
      <x:c r="M181" s="265">
        <x:f>+BORDRO!F185</x:f>
      </x:c>
      <x:c r="N181" s="72"/>
      <x:c r="O181" s="87">
        <x:f>+BORDRO!G185</x:f>
      </x:c>
      <x:c r="P181" s="87">
        <x:v>0</x:v>
      </x:c>
      <x:c r="Q181" s="266">
        <x:v>24</x:v>
      </x:c>
      <x:c r="R181" s="267" t="s">
        <x:v>111</x:v>
      </x:c>
      <x:c r="S181" s="78"/>
      <x:c r="T181" s="78"/>
      <x:c r="U181" s="79"/>
      <x:c r="V181" s="268">
        <x:f>31-M181-Q181</x:f>
      </x:c>
      <x:c r="W181" s="269">
        <x:v>6</x:v>
      </x:c>
      <x:c r="X181" s="270" t="s">
        <x:v>112</x:v>
      </x:c>
      <x:c r="Y181" s="73">
        <x:v>2</x:v>
      </x:c>
      <x:c r="Z181" s="72" t="s">
        <x:v>106</x:v>
      </x:c>
      <x:c r="AA181" s="82" t="s">
        <x:v>111</x:v>
      </x:c>
      <x:c r="AB181" s="72">
        <x:v>2025</x:v>
      </x:c>
      <x:c r="AC181" s="72" t="s">
        <x:v>113</x:v>
      </x:c>
      <x:c r="AD181" s="88">
        <x:f>+BORDRO!J185</x:f>
      </x:c>
      <x:c r="AE181" s="83"/>
      <x:c r="AF181" s="83">
        <x:f>+BORDRO!K185</x:f>
      </x:c>
      <x:c r="AG181" s="83">
        <x:f>+BORDRO!L185</x:f>
      </x:c>
      <x:c r="AH181" s="88">
        <x:f>+BORDRO!M185</x:f>
      </x:c>
      <x:c r="AI181" s="83">
        <x:f>+BORDRO!O185</x:f>
      </x:c>
      <x:c r="AJ181" s="84">
        <x:f>+BORDRO!P185</x:f>
      </x:c>
    </x:row>
    <x:row r="182" spans="1:36" ht="15" customHeight="1" x14ac:dyDescent="0.25">
      <x:c r="A182" s="72" t="s">
        <x:v>106</x:v>
      </x:c>
      <x:c r="B182" s="264">
        <x:v>46</x:v>
      </x:c>
      <x:c r="C182" s="72" t="s">
        <x:v>107</x:v>
      </x:c>
      <x:c r="D182" s="72" t="s">
        <x:v>108</x:v>
      </x:c>
      <x:c r="E182" s="72" t="s">
        <x:v>108</x:v>
      </x:c>
      <x:c r="F182" s="73">
        <x:v>1494768</x:v>
      </x:c>
      <x:c r="G182" s="74" t="s">
        <x:v>109</x:v>
      </x:c>
      <x:c r="H182" s="72" t="s">
        <x:v>110</x:v>
      </x:c>
      <x:c r="I182" s="86"/>
      <x:c r="J182" s="75">
        <x:f>+Puantaj!C186</x:f>
      </x:c>
      <x:c r="K182" s="72">
        <x:f>+Puantaj!D186</x:f>
      </x:c>
      <x:c r="L182" s="72">
        <x:f>+Puantaj!E186</x:f>
      </x:c>
      <x:c r="M182" s="265">
        <x:f>+BORDRO!F186</x:f>
      </x:c>
      <x:c r="N182" s="72"/>
      <x:c r="O182" s="87">
        <x:f>+BORDRO!G186</x:f>
      </x:c>
      <x:c r="P182" s="87">
        <x:v>0</x:v>
      </x:c>
      <x:c r="Q182" s="266">
        <x:v>24</x:v>
      </x:c>
      <x:c r="R182" s="267" t="s">
        <x:v>111</x:v>
      </x:c>
      <x:c r="S182" s="78"/>
      <x:c r="T182" s="78"/>
      <x:c r="U182" s="79"/>
      <x:c r="V182" s="268">
        <x:f>31-M182-Q182</x:f>
      </x:c>
      <x:c r="W182" s="269">
        <x:v>6</x:v>
      </x:c>
      <x:c r="X182" s="270" t="s">
        <x:v>112</x:v>
      </x:c>
      <x:c r="Y182" s="73">
        <x:v>2</x:v>
      </x:c>
      <x:c r="Z182" s="72" t="s">
        <x:v>106</x:v>
      </x:c>
      <x:c r="AA182" s="82" t="s">
        <x:v>111</x:v>
      </x:c>
      <x:c r="AB182" s="72">
        <x:v>2025</x:v>
      </x:c>
      <x:c r="AC182" s="72" t="s">
        <x:v>113</x:v>
      </x:c>
      <x:c r="AD182" s="88">
        <x:f>+BORDRO!J186</x:f>
      </x:c>
      <x:c r="AE182" s="83"/>
      <x:c r="AF182" s="83">
        <x:f>+BORDRO!K186</x:f>
      </x:c>
      <x:c r="AG182" s="83">
        <x:f>+BORDRO!L186</x:f>
      </x:c>
      <x:c r="AH182" s="88">
        <x:f>+BORDRO!M186</x:f>
      </x:c>
      <x:c r="AI182" s="83">
        <x:f>+BORDRO!O186</x:f>
      </x:c>
      <x:c r="AJ182" s="84">
        <x:f>+BORDRO!P186</x:f>
      </x:c>
    </x:row>
    <x:row r="183" spans="1:36" ht="14.25" customHeight="1" x14ac:dyDescent="0.2">
      <x:c r="A183" s="72" t="s">
        <x:v>106</x:v>
      </x:c>
      <x:c r="B183" s="271">
        <x:v>46</x:v>
      </x:c>
      <x:c r="C183" s="72" t="s">
        <x:v>107</x:v>
      </x:c>
      <x:c r="D183" s="72" t="s">
        <x:v>108</x:v>
      </x:c>
      <x:c r="E183" s="72" t="s">
        <x:v>108</x:v>
      </x:c>
      <x:c r="F183" s="73">
        <x:v>1494768</x:v>
      </x:c>
      <x:c r="G183" s="74" t="s">
        <x:v>109</x:v>
      </x:c>
      <x:c r="H183" s="72" t="s">
        <x:v>110</x:v>
      </x:c>
      <x:c r="I183" s="86"/>
      <x:c r="J183" s="75">
        <x:f>+Puantaj!C187</x:f>
      </x:c>
      <x:c r="K183" s="72">
        <x:f>+Puantaj!D187</x:f>
      </x:c>
      <x:c r="L183" s="72">
        <x:f>+Puantaj!E187</x:f>
      </x:c>
      <x:c r="M183" s="265">
        <x:f>+BORDRO!F187</x:f>
      </x:c>
      <x:c r="N183" s="72"/>
      <x:c r="O183" s="87">
        <x:f>+BORDRO!G187</x:f>
      </x:c>
      <x:c r="P183" s="87">
        <x:v>0</x:v>
      </x:c>
      <x:c r="Q183" s="266">
        <x:v>24</x:v>
      </x:c>
      <x:c r="R183" s="267" t="s">
        <x:v>111</x:v>
      </x:c>
      <x:c r="S183" s="78"/>
      <x:c r="T183" s="78"/>
      <x:c r="U183" s="79"/>
      <x:c r="V183" s="268">
        <x:f>31-M183-Q183</x:f>
      </x:c>
      <x:c r="W183" s="269">
        <x:v>6</x:v>
      </x:c>
      <x:c r="X183" s="270" t="s">
        <x:v>112</x:v>
      </x:c>
      <x:c r="Y183" s="73">
        <x:v>2</x:v>
      </x:c>
      <x:c r="Z183" s="72" t="s">
        <x:v>106</x:v>
      </x:c>
      <x:c r="AA183" s="82" t="s">
        <x:v>111</x:v>
      </x:c>
      <x:c r="AB183" s="72">
        <x:v>2025</x:v>
      </x:c>
      <x:c r="AC183" s="72" t="s">
        <x:v>113</x:v>
      </x:c>
      <x:c r="AD183" s="88">
        <x:f>+BORDRO!J187</x:f>
      </x:c>
      <x:c r="AE183" s="83"/>
      <x:c r="AF183" s="83">
        <x:f>+BORDRO!K187</x:f>
      </x:c>
      <x:c r="AG183" s="83">
        <x:f>+BORDRO!L187</x:f>
      </x:c>
      <x:c r="AH183" s="88">
        <x:f>+BORDRO!M187</x:f>
      </x:c>
      <x:c r="AI183" s="83">
        <x:f>+BORDRO!O187</x:f>
      </x:c>
      <x:c r="AJ183" s="84">
        <x:f>+BORDRO!P187</x:f>
      </x:c>
    </x:row>
    <x:row r="184" spans="1:36" ht="15" customHeight="1" x14ac:dyDescent="0.25">
      <x:c r="A184" s="72" t="s">
        <x:v>106</x:v>
      </x:c>
      <x:c r="B184" s="264">
        <x:v>46</x:v>
      </x:c>
      <x:c r="C184" s="72" t="s">
        <x:v>107</x:v>
      </x:c>
      <x:c r="D184" s="72" t="s">
        <x:v>108</x:v>
      </x:c>
      <x:c r="E184" s="72" t="s">
        <x:v>108</x:v>
      </x:c>
      <x:c r="F184" s="73">
        <x:v>1494768</x:v>
      </x:c>
      <x:c r="G184" s="74" t="s">
        <x:v>109</x:v>
      </x:c>
      <x:c r="H184" s="72" t="s">
        <x:v>110</x:v>
      </x:c>
      <x:c r="I184" s="86"/>
      <x:c r="J184" s="75">
        <x:f>+Puantaj!C188</x:f>
      </x:c>
      <x:c r="K184" s="72">
        <x:f>+Puantaj!D188</x:f>
      </x:c>
      <x:c r="L184" s="72">
        <x:f>+Puantaj!E188</x:f>
      </x:c>
      <x:c r="M184" s="265">
        <x:f>+BORDRO!F188</x:f>
      </x:c>
      <x:c r="N184" s="72"/>
      <x:c r="O184" s="87">
        <x:f>+BORDRO!G188</x:f>
      </x:c>
      <x:c r="P184" s="87">
        <x:v>0</x:v>
      </x:c>
      <x:c r="Q184" s="266">
        <x:v>24</x:v>
      </x:c>
      <x:c r="R184" s="267" t="s">
        <x:v>111</x:v>
      </x:c>
      <x:c r="S184" s="78"/>
      <x:c r="T184" s="78"/>
      <x:c r="U184" s="79"/>
      <x:c r="V184" s="268">
        <x:f>31-M184-Q184</x:f>
      </x:c>
      <x:c r="W184" s="269">
        <x:v>6</x:v>
      </x:c>
      <x:c r="X184" s="270" t="s">
        <x:v>112</x:v>
      </x:c>
      <x:c r="Y184" s="73">
        <x:v>2</x:v>
      </x:c>
      <x:c r="Z184" s="72" t="s">
        <x:v>106</x:v>
      </x:c>
      <x:c r="AA184" s="82" t="s">
        <x:v>111</x:v>
      </x:c>
      <x:c r="AB184" s="72">
        <x:v>2025</x:v>
      </x:c>
      <x:c r="AC184" s="72" t="s">
        <x:v>113</x:v>
      </x:c>
      <x:c r="AD184" s="88">
        <x:f>+BORDRO!J188</x:f>
      </x:c>
      <x:c r="AE184" s="83"/>
      <x:c r="AF184" s="83">
        <x:f>+BORDRO!K188</x:f>
      </x:c>
      <x:c r="AG184" s="83">
        <x:f>+BORDRO!L188</x:f>
      </x:c>
      <x:c r="AH184" s="88">
        <x:f>+BORDRO!M188</x:f>
      </x:c>
      <x:c r="AI184" s="83">
        <x:f>+BORDRO!O188</x:f>
      </x:c>
      <x:c r="AJ184" s="84">
        <x:f>+BORDRO!P188</x:f>
      </x:c>
    </x:row>
    <x:row r="185" spans="1:36" ht="14.25" customHeight="1" x14ac:dyDescent="0.2">
      <x:c r="A185" s="72" t="s">
        <x:v>106</x:v>
      </x:c>
      <x:c r="B185" s="271">
        <x:v>46</x:v>
      </x:c>
      <x:c r="C185" s="72" t="s">
        <x:v>107</x:v>
      </x:c>
      <x:c r="D185" s="72" t="s">
        <x:v>108</x:v>
      </x:c>
      <x:c r="E185" s="72" t="s">
        <x:v>108</x:v>
      </x:c>
      <x:c r="F185" s="73">
        <x:v>1494768</x:v>
      </x:c>
      <x:c r="G185" s="74" t="s">
        <x:v>109</x:v>
      </x:c>
      <x:c r="H185" s="72" t="s">
        <x:v>110</x:v>
      </x:c>
      <x:c r="I185" s="86"/>
      <x:c r="J185" s="75">
        <x:f>+Puantaj!C189</x:f>
      </x:c>
      <x:c r="K185" s="72">
        <x:f>+Puantaj!D189</x:f>
      </x:c>
      <x:c r="L185" s="72">
        <x:f>+Puantaj!E189</x:f>
      </x:c>
      <x:c r="M185" s="265">
        <x:f>+BORDRO!F189</x:f>
      </x:c>
      <x:c r="N185" s="72"/>
      <x:c r="O185" s="87">
        <x:f>+BORDRO!G189</x:f>
      </x:c>
      <x:c r="P185" s="87">
        <x:v>0</x:v>
      </x:c>
      <x:c r="Q185" s="266">
        <x:v>24</x:v>
      </x:c>
      <x:c r="R185" s="267" t="s">
        <x:v>111</x:v>
      </x:c>
      <x:c r="S185" s="78"/>
      <x:c r="T185" s="78"/>
      <x:c r="U185" s="79"/>
      <x:c r="V185" s="268">
        <x:f>31-M185-Q185</x:f>
      </x:c>
      <x:c r="W185" s="269">
        <x:v>6</x:v>
      </x:c>
      <x:c r="X185" s="270" t="s">
        <x:v>112</x:v>
      </x:c>
      <x:c r="Y185" s="73">
        <x:v>2</x:v>
      </x:c>
      <x:c r="Z185" s="72" t="s">
        <x:v>106</x:v>
      </x:c>
      <x:c r="AA185" s="82" t="s">
        <x:v>111</x:v>
      </x:c>
      <x:c r="AB185" s="72">
        <x:v>2025</x:v>
      </x:c>
      <x:c r="AC185" s="72" t="s">
        <x:v>113</x:v>
      </x:c>
      <x:c r="AD185" s="88">
        <x:f>+BORDRO!J189</x:f>
      </x:c>
      <x:c r="AE185" s="83"/>
      <x:c r="AF185" s="83">
        <x:f>+BORDRO!K189</x:f>
      </x:c>
      <x:c r="AG185" s="83">
        <x:f>+BORDRO!L189</x:f>
      </x:c>
      <x:c r="AH185" s="88">
        <x:f>+BORDRO!M189</x:f>
      </x:c>
      <x:c r="AI185" s="83">
        <x:f>+BORDRO!O189</x:f>
      </x:c>
      <x:c r="AJ185" s="84">
        <x:f>+BORDRO!P189</x:f>
      </x:c>
    </x:row>
    <x:row r="186" spans="1:36" ht="15" customHeight="1" x14ac:dyDescent="0.25">
      <x:c r="A186" s="72" t="s">
        <x:v>106</x:v>
      </x:c>
      <x:c r="B186" s="264">
        <x:v>46</x:v>
      </x:c>
      <x:c r="C186" s="72" t="s">
        <x:v>107</x:v>
      </x:c>
      <x:c r="D186" s="72" t="s">
        <x:v>108</x:v>
      </x:c>
      <x:c r="E186" s="72" t="s">
        <x:v>108</x:v>
      </x:c>
      <x:c r="F186" s="73">
        <x:v>1494768</x:v>
      </x:c>
      <x:c r="G186" s="74" t="s">
        <x:v>109</x:v>
      </x:c>
      <x:c r="H186" s="72" t="s">
        <x:v>110</x:v>
      </x:c>
      <x:c r="I186" s="86"/>
      <x:c r="J186" s="75">
        <x:f>+Puantaj!C190</x:f>
      </x:c>
      <x:c r="K186" s="72">
        <x:f>+Puantaj!D190</x:f>
      </x:c>
      <x:c r="L186" s="72">
        <x:f>+Puantaj!E190</x:f>
      </x:c>
      <x:c r="M186" s="265">
        <x:f>+BORDRO!F190</x:f>
      </x:c>
      <x:c r="N186" s="72"/>
      <x:c r="O186" s="87">
        <x:f>+BORDRO!G190</x:f>
      </x:c>
      <x:c r="P186" s="87">
        <x:v>0</x:v>
      </x:c>
      <x:c r="Q186" s="266">
        <x:v>24</x:v>
      </x:c>
      <x:c r="R186" s="267" t="s">
        <x:v>111</x:v>
      </x:c>
      <x:c r="S186" s="78"/>
      <x:c r="T186" s="78"/>
      <x:c r="U186" s="79"/>
      <x:c r="V186" s="268">
        <x:f>31-M186-Q186</x:f>
      </x:c>
      <x:c r="W186" s="269">
        <x:v>6</x:v>
      </x:c>
      <x:c r="X186" s="270" t="s">
        <x:v>112</x:v>
      </x:c>
      <x:c r="Y186" s="73">
        <x:v>2</x:v>
      </x:c>
      <x:c r="Z186" s="72" t="s">
        <x:v>106</x:v>
      </x:c>
      <x:c r="AA186" s="82" t="s">
        <x:v>111</x:v>
      </x:c>
      <x:c r="AB186" s="72">
        <x:v>2025</x:v>
      </x:c>
      <x:c r="AC186" s="72" t="s">
        <x:v>113</x:v>
      </x:c>
      <x:c r="AD186" s="88">
        <x:f>+BORDRO!J190</x:f>
      </x:c>
      <x:c r="AE186" s="83"/>
      <x:c r="AF186" s="83">
        <x:f>+BORDRO!K190</x:f>
      </x:c>
      <x:c r="AG186" s="83">
        <x:f>+BORDRO!L190</x:f>
      </x:c>
      <x:c r="AH186" s="88">
        <x:f>+BORDRO!M190</x:f>
      </x:c>
      <x:c r="AI186" s="83">
        <x:f>+BORDRO!O190</x:f>
      </x:c>
      <x:c r="AJ186" s="84">
        <x:f>+BORDRO!P190</x:f>
      </x:c>
    </x:row>
    <x:row r="187" spans="1:36" ht="14.25" customHeight="1" x14ac:dyDescent="0.2">
      <x:c r="A187" s="72" t="s">
        <x:v>106</x:v>
      </x:c>
      <x:c r="B187" s="271">
        <x:v>46</x:v>
      </x:c>
      <x:c r="C187" s="72" t="s">
        <x:v>107</x:v>
      </x:c>
      <x:c r="D187" s="72" t="s">
        <x:v>108</x:v>
      </x:c>
      <x:c r="E187" s="72" t="s">
        <x:v>108</x:v>
      </x:c>
      <x:c r="F187" s="73">
        <x:v>1494768</x:v>
      </x:c>
      <x:c r="G187" s="74" t="s">
        <x:v>109</x:v>
      </x:c>
      <x:c r="H187" s="72" t="s">
        <x:v>110</x:v>
      </x:c>
      <x:c r="I187" s="86"/>
      <x:c r="J187" s="75">
        <x:f>+Puantaj!C191</x:f>
      </x:c>
      <x:c r="K187" s="72">
        <x:f>+Puantaj!D191</x:f>
      </x:c>
      <x:c r="L187" s="72">
        <x:f>+Puantaj!E191</x:f>
      </x:c>
      <x:c r="M187" s="265">
        <x:f>+BORDRO!F191</x:f>
      </x:c>
      <x:c r="N187" s="72"/>
      <x:c r="O187" s="87">
        <x:f>+BORDRO!G191</x:f>
      </x:c>
      <x:c r="P187" s="87">
        <x:v>0</x:v>
      </x:c>
      <x:c r="Q187" s="266">
        <x:v>24</x:v>
      </x:c>
      <x:c r="R187" s="267" t="s">
        <x:v>111</x:v>
      </x:c>
      <x:c r="S187" s="78"/>
      <x:c r="T187" s="78"/>
      <x:c r="U187" s="79"/>
      <x:c r="V187" s="268">
        <x:f>31-M187-Q187</x:f>
      </x:c>
      <x:c r="W187" s="269">
        <x:v>6</x:v>
      </x:c>
      <x:c r="X187" s="270" t="s">
        <x:v>112</x:v>
      </x:c>
      <x:c r="Y187" s="73">
        <x:v>2</x:v>
      </x:c>
      <x:c r="Z187" s="72" t="s">
        <x:v>106</x:v>
      </x:c>
      <x:c r="AA187" s="82" t="s">
        <x:v>111</x:v>
      </x:c>
      <x:c r="AB187" s="72">
        <x:v>2025</x:v>
      </x:c>
      <x:c r="AC187" s="72" t="s">
        <x:v>113</x:v>
      </x:c>
      <x:c r="AD187" s="88">
        <x:f>+BORDRO!J191</x:f>
      </x:c>
      <x:c r="AE187" s="83"/>
      <x:c r="AF187" s="83">
        <x:f>+BORDRO!K191</x:f>
      </x:c>
      <x:c r="AG187" s="83">
        <x:f>+BORDRO!L191</x:f>
      </x:c>
      <x:c r="AH187" s="88">
        <x:f>+BORDRO!M191</x:f>
      </x:c>
      <x:c r="AI187" s="83">
        <x:f>+BORDRO!O191</x:f>
      </x:c>
      <x:c r="AJ187" s="84">
        <x:f>+BORDRO!P191</x:f>
      </x:c>
    </x:row>
    <x:row r="188" spans="1:36" ht="15" customHeight="1" x14ac:dyDescent="0.25">
      <x:c r="A188" s="72" t="s">
        <x:v>106</x:v>
      </x:c>
      <x:c r="B188" s="264">
        <x:v>46</x:v>
      </x:c>
      <x:c r="C188" s="72" t="s">
        <x:v>107</x:v>
      </x:c>
      <x:c r="D188" s="72" t="s">
        <x:v>108</x:v>
      </x:c>
      <x:c r="E188" s="72" t="s">
        <x:v>108</x:v>
      </x:c>
      <x:c r="F188" s="73">
        <x:v>1494768</x:v>
      </x:c>
      <x:c r="G188" s="74" t="s">
        <x:v>109</x:v>
      </x:c>
      <x:c r="H188" s="72" t="s">
        <x:v>110</x:v>
      </x:c>
      <x:c r="I188" s="86"/>
      <x:c r="J188" s="75">
        <x:f>+Puantaj!C192</x:f>
      </x:c>
      <x:c r="K188" s="72">
        <x:f>+Puantaj!D192</x:f>
      </x:c>
      <x:c r="L188" s="72">
        <x:f>+Puantaj!E192</x:f>
      </x:c>
      <x:c r="M188" s="265">
        <x:f>+BORDRO!F192</x:f>
      </x:c>
      <x:c r="N188" s="72"/>
      <x:c r="O188" s="87">
        <x:f>+BORDRO!G192</x:f>
      </x:c>
      <x:c r="P188" s="87">
        <x:v>0</x:v>
      </x:c>
      <x:c r="Q188" s="266">
        <x:v>24</x:v>
      </x:c>
      <x:c r="R188" s="267" t="s">
        <x:v>111</x:v>
      </x:c>
      <x:c r="S188" s="78"/>
      <x:c r="T188" s="78"/>
      <x:c r="U188" s="79"/>
      <x:c r="V188" s="268">
        <x:f>31-M188-Q188</x:f>
      </x:c>
      <x:c r="W188" s="269">
        <x:v>6</x:v>
      </x:c>
      <x:c r="X188" s="270" t="s">
        <x:v>112</x:v>
      </x:c>
      <x:c r="Y188" s="73">
        <x:v>2</x:v>
      </x:c>
      <x:c r="Z188" s="72" t="s">
        <x:v>106</x:v>
      </x:c>
      <x:c r="AA188" s="82" t="s">
        <x:v>111</x:v>
      </x:c>
      <x:c r="AB188" s="72">
        <x:v>2025</x:v>
      </x:c>
      <x:c r="AC188" s="72" t="s">
        <x:v>113</x:v>
      </x:c>
      <x:c r="AD188" s="88">
        <x:f>+BORDRO!J192</x:f>
      </x:c>
      <x:c r="AE188" s="83"/>
      <x:c r="AF188" s="83">
        <x:f>+BORDRO!K192</x:f>
      </x:c>
      <x:c r="AG188" s="83">
        <x:f>+BORDRO!L192</x:f>
      </x:c>
      <x:c r="AH188" s="88">
        <x:f>+BORDRO!M192</x:f>
      </x:c>
      <x:c r="AI188" s="83">
        <x:f>+BORDRO!O192</x:f>
      </x:c>
      <x:c r="AJ188" s="84">
        <x:f>+BORDRO!P192</x:f>
      </x:c>
    </x:row>
    <x:row r="189" spans="1:36" ht="14.25" customHeight="1" x14ac:dyDescent="0.2">
      <x:c r="A189" s="72" t="s">
        <x:v>106</x:v>
      </x:c>
      <x:c r="B189" s="271">
        <x:v>46</x:v>
      </x:c>
      <x:c r="C189" s="72" t="s">
        <x:v>107</x:v>
      </x:c>
      <x:c r="D189" s="72" t="s">
        <x:v>108</x:v>
      </x:c>
      <x:c r="E189" s="72" t="s">
        <x:v>108</x:v>
      </x:c>
      <x:c r="F189" s="73">
        <x:v>1494768</x:v>
      </x:c>
      <x:c r="G189" s="74" t="s">
        <x:v>109</x:v>
      </x:c>
      <x:c r="H189" s="72" t="s">
        <x:v>110</x:v>
      </x:c>
      <x:c r="I189" s="86"/>
      <x:c r="J189" s="75">
        <x:f>+Puantaj!C193</x:f>
      </x:c>
      <x:c r="K189" s="72">
        <x:f>+Puantaj!D193</x:f>
      </x:c>
      <x:c r="L189" s="72">
        <x:f>+Puantaj!E193</x:f>
      </x:c>
      <x:c r="M189" s="265">
        <x:f>+BORDRO!F193</x:f>
      </x:c>
      <x:c r="N189" s="72"/>
      <x:c r="O189" s="87">
        <x:f>+BORDRO!G193</x:f>
      </x:c>
      <x:c r="P189" s="87">
        <x:v>0</x:v>
      </x:c>
      <x:c r="Q189" s="266">
        <x:v>24</x:v>
      </x:c>
      <x:c r="R189" s="267" t="s">
        <x:v>111</x:v>
      </x:c>
      <x:c r="S189" s="78"/>
      <x:c r="T189" s="78"/>
      <x:c r="U189" s="79"/>
      <x:c r="V189" s="268">
        <x:f>31-M189-Q189</x:f>
      </x:c>
      <x:c r="W189" s="269">
        <x:v>6</x:v>
      </x:c>
      <x:c r="X189" s="270" t="s">
        <x:v>112</x:v>
      </x:c>
      <x:c r="Y189" s="73">
        <x:v>2</x:v>
      </x:c>
      <x:c r="Z189" s="72" t="s">
        <x:v>106</x:v>
      </x:c>
      <x:c r="AA189" s="82" t="s">
        <x:v>111</x:v>
      </x:c>
      <x:c r="AB189" s="72">
        <x:v>2025</x:v>
      </x:c>
      <x:c r="AC189" s="72" t="s">
        <x:v>113</x:v>
      </x:c>
      <x:c r="AD189" s="88">
        <x:f>+BORDRO!J193</x:f>
      </x:c>
      <x:c r="AE189" s="83"/>
      <x:c r="AF189" s="83">
        <x:f>+BORDRO!K193</x:f>
      </x:c>
      <x:c r="AG189" s="83">
        <x:f>+BORDRO!L193</x:f>
      </x:c>
      <x:c r="AH189" s="88">
        <x:f>+BORDRO!M193</x:f>
      </x:c>
      <x:c r="AI189" s="83">
        <x:f>+BORDRO!O193</x:f>
      </x:c>
      <x:c r="AJ189" s="84">
        <x:f>+BORDRO!P193</x:f>
      </x:c>
    </x:row>
    <x:row r="190" spans="1:36" ht="15" customHeight="1" x14ac:dyDescent="0.25">
      <x:c r="A190" s="72" t="s">
        <x:v>106</x:v>
      </x:c>
      <x:c r="B190" s="264">
        <x:v>46</x:v>
      </x:c>
      <x:c r="C190" s="72" t="s">
        <x:v>107</x:v>
      </x:c>
      <x:c r="D190" s="72" t="s">
        <x:v>108</x:v>
      </x:c>
      <x:c r="E190" s="72" t="s">
        <x:v>108</x:v>
      </x:c>
      <x:c r="F190" s="73">
        <x:v>1494768</x:v>
      </x:c>
      <x:c r="G190" s="74" t="s">
        <x:v>109</x:v>
      </x:c>
      <x:c r="H190" s="72" t="s">
        <x:v>110</x:v>
      </x:c>
      <x:c r="I190" s="86"/>
      <x:c r="J190" s="75">
        <x:f>+Puantaj!C194</x:f>
      </x:c>
      <x:c r="K190" s="72">
        <x:f>+Puantaj!D194</x:f>
      </x:c>
      <x:c r="L190" s="72">
        <x:f>+Puantaj!E194</x:f>
      </x:c>
      <x:c r="M190" s="265">
        <x:f>+BORDRO!F194</x:f>
      </x:c>
      <x:c r="N190" s="72"/>
      <x:c r="O190" s="87">
        <x:f>+BORDRO!G194</x:f>
      </x:c>
      <x:c r="P190" s="87">
        <x:v>0</x:v>
      </x:c>
      <x:c r="Q190" s="267"/>
      <x:c r="R190" s="267"/>
      <x:c r="S190" s="78"/>
      <x:c r="T190" s="78"/>
      <x:c r="U190" s="79"/>
      <x:c r="V190" s="268">
        <x:f>31-M190-Q190</x:f>
      </x:c>
      <x:c r="W190" s="269">
        <x:v>6</x:v>
      </x:c>
      <x:c r="X190" s="270" t="s">
        <x:v>112</x:v>
      </x:c>
      <x:c r="Y190" s="73">
        <x:v>2</x:v>
      </x:c>
      <x:c r="Z190" s="72" t="s">
        <x:v>106</x:v>
      </x:c>
      <x:c r="AA190" s="82" t="s">
        <x:v>111</x:v>
      </x:c>
      <x:c r="AB190" s="72">
        <x:v>2025</x:v>
      </x:c>
      <x:c r="AC190" s="72" t="s">
        <x:v>113</x:v>
      </x:c>
      <x:c r="AD190" s="88">
        <x:f>+BORDRO!J194</x:f>
      </x:c>
      <x:c r="AE190" s="83"/>
      <x:c r="AF190" s="83">
        <x:f>+BORDRO!K194</x:f>
      </x:c>
      <x:c r="AG190" s="83">
        <x:f>+BORDRO!L194</x:f>
      </x:c>
      <x:c r="AH190" s="88">
        <x:f>+BORDRO!M194</x:f>
      </x:c>
      <x:c r="AI190" s="83">
        <x:f>+BORDRO!O194</x:f>
      </x:c>
      <x:c r="AJ190" s="84">
        <x:f>+BORDRO!P194</x:f>
      </x:c>
    </x:row>
    <x:row r="191" spans="1:36" ht="14.25" customHeight="1" x14ac:dyDescent="0.2">
      <x:c r="A191" s="72" t="s">
        <x:v>106</x:v>
      </x:c>
      <x:c r="B191" s="271">
        <x:v>46</x:v>
      </x:c>
      <x:c r="C191" s="72" t="s">
        <x:v>107</x:v>
      </x:c>
      <x:c r="D191" s="72" t="s">
        <x:v>108</x:v>
      </x:c>
      <x:c r="E191" s="72" t="s">
        <x:v>108</x:v>
      </x:c>
      <x:c r="F191" s="73">
        <x:v>1494768</x:v>
      </x:c>
      <x:c r="G191" s="74" t="s">
        <x:v>109</x:v>
      </x:c>
      <x:c r="H191" s="72" t="s">
        <x:v>110</x:v>
      </x:c>
      <x:c r="I191" s="86"/>
      <x:c r="J191" s="75">
        <x:f>+Puantaj!C195</x:f>
      </x:c>
      <x:c r="K191" s="72">
        <x:f>+Puantaj!D195</x:f>
      </x:c>
      <x:c r="L191" s="72">
        <x:f>+Puantaj!E195</x:f>
      </x:c>
      <x:c r="M191" s="265">
        <x:f>+BORDRO!F195</x:f>
      </x:c>
      <x:c r="N191" s="72"/>
      <x:c r="O191" s="87">
        <x:f>+BORDRO!G195</x:f>
      </x:c>
      <x:c r="P191" s="87">
        <x:v>0</x:v>
      </x:c>
      <x:c r="Q191" s="267"/>
      <x:c r="R191" s="267"/>
      <x:c r="S191" s="78"/>
      <x:c r="T191" s="78"/>
      <x:c r="U191" s="79"/>
      <x:c r="V191" s="268">
        <x:f>31-M191-Q191</x:f>
      </x:c>
      <x:c r="W191" s="269">
        <x:v>6</x:v>
      </x:c>
      <x:c r="X191" s="270" t="s">
        <x:v>112</x:v>
      </x:c>
      <x:c r="Y191" s="73">
        <x:v>2</x:v>
      </x:c>
      <x:c r="Z191" s="72" t="s">
        <x:v>106</x:v>
      </x:c>
      <x:c r="AA191" s="82" t="s">
        <x:v>111</x:v>
      </x:c>
      <x:c r="AB191" s="72">
        <x:v>2025</x:v>
      </x:c>
      <x:c r="AC191" s="72" t="s">
        <x:v>113</x:v>
      </x:c>
      <x:c r="AD191" s="88">
        <x:f>+BORDRO!J195</x:f>
      </x:c>
      <x:c r="AE191" s="83"/>
      <x:c r="AF191" s="83">
        <x:f>+BORDRO!K195</x:f>
      </x:c>
      <x:c r="AG191" s="83">
        <x:f>+BORDRO!L195</x:f>
      </x:c>
      <x:c r="AH191" s="88">
        <x:f>+BORDRO!M195</x:f>
      </x:c>
      <x:c r="AI191" s="83">
        <x:f>+BORDRO!O195</x:f>
      </x:c>
      <x:c r="AJ191" s="84">
        <x:f>+BORDRO!P195</x:f>
      </x:c>
    </x:row>
    <x:row r="192" spans="1:36" ht="15" customHeight="1" x14ac:dyDescent="0.25">
      <x:c r="A192" s="72" t="s">
        <x:v>106</x:v>
      </x:c>
      <x:c r="B192" s="264">
        <x:v>46</x:v>
      </x:c>
      <x:c r="C192" s="72" t="s">
        <x:v>107</x:v>
      </x:c>
      <x:c r="D192" s="72" t="s">
        <x:v>108</x:v>
      </x:c>
      <x:c r="E192" s="72" t="s">
        <x:v>108</x:v>
      </x:c>
      <x:c r="F192" s="73">
        <x:v>1494768</x:v>
      </x:c>
      <x:c r="G192" s="74" t="s">
        <x:v>109</x:v>
      </x:c>
      <x:c r="H192" s="72" t="s">
        <x:v>110</x:v>
      </x:c>
      <x:c r="I192" s="86"/>
      <x:c r="J192" s="75">
        <x:f>+Puantaj!C196</x:f>
      </x:c>
      <x:c r="K192" s="72">
        <x:f>+Puantaj!D196</x:f>
      </x:c>
      <x:c r="L192" s="72">
        <x:f>+Puantaj!E196</x:f>
      </x:c>
      <x:c r="M192" s="265">
        <x:f>+BORDRO!F196</x:f>
      </x:c>
      <x:c r="N192" s="72"/>
      <x:c r="O192" s="87">
        <x:f>+BORDRO!G196</x:f>
      </x:c>
      <x:c r="P192" s="87">
        <x:v>0</x:v>
      </x:c>
      <x:c r="Q192" s="267"/>
      <x:c r="R192" s="267"/>
      <x:c r="S192" s="78"/>
      <x:c r="T192" s="78"/>
      <x:c r="U192" s="79"/>
      <x:c r="V192" s="268">
        <x:f>31-M192-Q192</x:f>
      </x:c>
      <x:c r="W192" s="269">
        <x:v>6</x:v>
      </x:c>
      <x:c r="X192" s="270" t="s">
        <x:v>112</x:v>
      </x:c>
      <x:c r="Y192" s="73">
        <x:v>2</x:v>
      </x:c>
      <x:c r="Z192" s="72" t="s">
        <x:v>106</x:v>
      </x:c>
      <x:c r="AA192" s="82" t="s">
        <x:v>111</x:v>
      </x:c>
      <x:c r="AB192" s="72">
        <x:v>2025</x:v>
      </x:c>
      <x:c r="AC192" s="72" t="s">
        <x:v>113</x:v>
      </x:c>
      <x:c r="AD192" s="88">
        <x:f>+BORDRO!J196</x:f>
      </x:c>
      <x:c r="AE192" s="83"/>
      <x:c r="AF192" s="83">
        <x:f>+BORDRO!K196</x:f>
      </x:c>
      <x:c r="AG192" s="83">
        <x:f>+BORDRO!L196</x:f>
      </x:c>
      <x:c r="AH192" s="88">
        <x:f>+BORDRO!M196</x:f>
      </x:c>
      <x:c r="AI192" s="83">
        <x:f>+BORDRO!O196</x:f>
      </x:c>
      <x:c r="AJ192" s="84">
        <x:f>+BORDRO!P196</x:f>
      </x:c>
    </x:row>
    <x:row r="193" spans="1:36" ht="14.25" customHeight="1" x14ac:dyDescent="0.2">
      <x:c r="A193" s="72" t="s">
        <x:v>106</x:v>
      </x:c>
      <x:c r="B193" s="271">
        <x:v>46</x:v>
      </x:c>
      <x:c r="C193" s="72" t="s">
        <x:v>107</x:v>
      </x:c>
      <x:c r="D193" s="72" t="s">
        <x:v>108</x:v>
      </x:c>
      <x:c r="E193" s="72" t="s">
        <x:v>108</x:v>
      </x:c>
      <x:c r="F193" s="73">
        <x:v>1494768</x:v>
      </x:c>
      <x:c r="G193" s="74" t="s">
        <x:v>109</x:v>
      </x:c>
      <x:c r="H193" s="72" t="s">
        <x:v>110</x:v>
      </x:c>
      <x:c r="I193" s="86"/>
      <x:c r="J193" s="75">
        <x:f>+Puantaj!C197</x:f>
      </x:c>
      <x:c r="K193" s="72">
        <x:f>+Puantaj!D197</x:f>
      </x:c>
      <x:c r="L193" s="72">
        <x:f>+Puantaj!E197</x:f>
      </x:c>
      <x:c r="M193" s="265">
        <x:f>+BORDRO!F197</x:f>
      </x:c>
      <x:c r="N193" s="72"/>
      <x:c r="O193" s="87">
        <x:f>+BORDRO!G197</x:f>
      </x:c>
      <x:c r="P193" s="87">
        <x:v>0</x:v>
      </x:c>
      <x:c r="Q193" s="267"/>
      <x:c r="R193" s="267"/>
      <x:c r="S193" s="78"/>
      <x:c r="T193" s="78"/>
      <x:c r="U193" s="79"/>
      <x:c r="V193" s="268">
        <x:f>31-M193-Q193</x:f>
      </x:c>
      <x:c r="W193" s="269">
        <x:v>6</x:v>
      </x:c>
      <x:c r="X193" s="270" t="s">
        <x:v>112</x:v>
      </x:c>
      <x:c r="Y193" s="73">
        <x:v>2</x:v>
      </x:c>
      <x:c r="Z193" s="72" t="s">
        <x:v>106</x:v>
      </x:c>
      <x:c r="AA193" s="82" t="s">
        <x:v>111</x:v>
      </x:c>
      <x:c r="AB193" s="72">
        <x:v>2025</x:v>
      </x:c>
      <x:c r="AC193" s="72" t="s">
        <x:v>113</x:v>
      </x:c>
      <x:c r="AD193" s="88">
        <x:f>+BORDRO!J197</x:f>
      </x:c>
      <x:c r="AE193" s="83"/>
      <x:c r="AF193" s="83">
        <x:f>+BORDRO!K197</x:f>
      </x:c>
      <x:c r="AG193" s="83">
        <x:f>+BORDRO!L197</x:f>
      </x:c>
      <x:c r="AH193" s="88">
        <x:f>+BORDRO!M197</x:f>
      </x:c>
      <x:c r="AI193" s="83">
        <x:f>+BORDRO!O197</x:f>
      </x:c>
      <x:c r="AJ193" s="84">
        <x:f>+BORDRO!P197</x:f>
      </x:c>
    </x:row>
    <x:row r="194" spans="1:36" ht="15" customHeight="1" x14ac:dyDescent="0.25">
      <x:c r="A194" s="72" t="s">
        <x:v>106</x:v>
      </x:c>
      <x:c r="B194" s="264">
        <x:v>46</x:v>
      </x:c>
      <x:c r="C194" s="72" t="s">
        <x:v>107</x:v>
      </x:c>
      <x:c r="D194" s="72" t="s">
        <x:v>108</x:v>
      </x:c>
      <x:c r="E194" s="72" t="s">
        <x:v>108</x:v>
      </x:c>
      <x:c r="F194" s="73">
        <x:v>1494768</x:v>
      </x:c>
      <x:c r="G194" s="74" t="s">
        <x:v>109</x:v>
      </x:c>
      <x:c r="H194" s="72" t="s">
        <x:v>110</x:v>
      </x:c>
      <x:c r="I194" s="86"/>
      <x:c r="J194" s="75">
        <x:f>+Puantaj!C198</x:f>
      </x:c>
      <x:c r="K194" s="72">
        <x:f>+Puantaj!D198</x:f>
      </x:c>
      <x:c r="L194" s="72">
        <x:f>+Puantaj!E198</x:f>
      </x:c>
      <x:c r="M194" s="265">
        <x:f>+BORDRO!F198</x:f>
      </x:c>
      <x:c r="N194" s="72"/>
      <x:c r="O194" s="87">
        <x:f>+BORDRO!G198</x:f>
      </x:c>
      <x:c r="P194" s="87">
        <x:v>0</x:v>
      </x:c>
      <x:c r="Q194" s="267"/>
      <x:c r="R194" s="267"/>
      <x:c r="S194" s="78"/>
      <x:c r="T194" s="78"/>
      <x:c r="U194" s="79"/>
      <x:c r="V194" s="268">
        <x:f>31-M194-Q194</x:f>
      </x:c>
      <x:c r="W194" s="269">
        <x:v>6</x:v>
      </x:c>
      <x:c r="X194" s="270" t="s">
        <x:v>112</x:v>
      </x:c>
      <x:c r="Y194" s="73">
        <x:v>2</x:v>
      </x:c>
      <x:c r="Z194" s="72" t="s">
        <x:v>106</x:v>
      </x:c>
      <x:c r="AA194" s="82" t="s">
        <x:v>111</x:v>
      </x:c>
      <x:c r="AB194" s="72">
        <x:v>2025</x:v>
      </x:c>
      <x:c r="AC194" s="72" t="s">
        <x:v>113</x:v>
      </x:c>
      <x:c r="AD194" s="88">
        <x:f>+BORDRO!J198</x:f>
      </x:c>
      <x:c r="AE194" s="83"/>
      <x:c r="AF194" s="83">
        <x:f>+BORDRO!K198</x:f>
      </x:c>
      <x:c r="AG194" s="83">
        <x:f>+BORDRO!L198</x:f>
      </x:c>
      <x:c r="AH194" s="88">
        <x:f>+BORDRO!M198</x:f>
      </x:c>
      <x:c r="AI194" s="83">
        <x:f>+BORDRO!O198</x:f>
      </x:c>
      <x:c r="AJ194" s="84">
        <x:f>+BORDRO!P198</x:f>
      </x:c>
    </x:row>
    <x:row r="195" spans="1:36" ht="14.25" customHeight="1" x14ac:dyDescent="0.2">
      <x:c r="A195" s="72" t="s">
        <x:v>106</x:v>
      </x:c>
      <x:c r="B195" s="271">
        <x:v>46</x:v>
      </x:c>
      <x:c r="C195" s="72" t="s">
        <x:v>107</x:v>
      </x:c>
      <x:c r="D195" s="72" t="s">
        <x:v>108</x:v>
      </x:c>
      <x:c r="E195" s="72" t="s">
        <x:v>108</x:v>
      </x:c>
      <x:c r="F195" s="73">
        <x:v>1494768</x:v>
      </x:c>
      <x:c r="G195" s="74" t="s">
        <x:v>109</x:v>
      </x:c>
      <x:c r="H195" s="72" t="s">
        <x:v>110</x:v>
      </x:c>
      <x:c r="I195" s="86"/>
      <x:c r="J195" s="75">
        <x:f>+Puantaj!C199</x:f>
      </x:c>
      <x:c r="K195" s="72">
        <x:f>+Puantaj!D199</x:f>
      </x:c>
      <x:c r="L195" s="72">
        <x:f>+Puantaj!E199</x:f>
      </x:c>
      <x:c r="M195" s="265">
        <x:f>+BORDRO!F199</x:f>
      </x:c>
      <x:c r="N195" s="72"/>
      <x:c r="O195" s="87">
        <x:f>+BORDRO!G199</x:f>
      </x:c>
      <x:c r="P195" s="87">
        <x:v>0</x:v>
      </x:c>
      <x:c r="Q195" s="267"/>
      <x:c r="R195" s="267"/>
      <x:c r="S195" s="78"/>
      <x:c r="T195" s="78"/>
      <x:c r="U195" s="79"/>
      <x:c r="V195" s="268">
        <x:f>31-M195-Q195</x:f>
      </x:c>
      <x:c r="W195" s="269">
        <x:v>6</x:v>
      </x:c>
      <x:c r="X195" s="270" t="s">
        <x:v>112</x:v>
      </x:c>
      <x:c r="Y195" s="73">
        <x:v>2</x:v>
      </x:c>
      <x:c r="Z195" s="72" t="s">
        <x:v>106</x:v>
      </x:c>
      <x:c r="AA195" s="82" t="s">
        <x:v>111</x:v>
      </x:c>
      <x:c r="AB195" s="72">
        <x:v>2025</x:v>
      </x:c>
      <x:c r="AC195" s="72" t="s">
        <x:v>113</x:v>
      </x:c>
      <x:c r="AD195" s="88">
        <x:f>+BORDRO!J199</x:f>
      </x:c>
      <x:c r="AE195" s="83"/>
      <x:c r="AF195" s="83">
        <x:f>+BORDRO!K199</x:f>
      </x:c>
      <x:c r="AG195" s="83">
        <x:f>+BORDRO!L199</x:f>
      </x:c>
      <x:c r="AH195" s="88">
        <x:f>+BORDRO!M199</x:f>
      </x:c>
      <x:c r="AI195" s="83">
        <x:f>+BORDRO!O199</x:f>
      </x:c>
      <x:c r="AJ195" s="84">
        <x:f>+BORDRO!P199</x:f>
      </x:c>
    </x:row>
    <x:row r="196" spans="1:36" ht="15" customHeight="1" x14ac:dyDescent="0.25">
      <x:c r="A196" s="72" t="s">
        <x:v>106</x:v>
      </x:c>
      <x:c r="B196" s="264">
        <x:v>46</x:v>
      </x:c>
      <x:c r="C196" s="72" t="s">
        <x:v>107</x:v>
      </x:c>
      <x:c r="D196" s="72" t="s">
        <x:v>108</x:v>
      </x:c>
      <x:c r="E196" s="72" t="s">
        <x:v>108</x:v>
      </x:c>
      <x:c r="F196" s="73">
        <x:v>1494768</x:v>
      </x:c>
      <x:c r="G196" s="74" t="s">
        <x:v>109</x:v>
      </x:c>
      <x:c r="H196" s="72" t="s">
        <x:v>110</x:v>
      </x:c>
      <x:c r="I196" s="86"/>
      <x:c r="J196" s="75">
        <x:f>+Puantaj!C200</x:f>
      </x:c>
      <x:c r="K196" s="72">
        <x:f>+Puantaj!D200</x:f>
      </x:c>
      <x:c r="L196" s="72">
        <x:f>+Puantaj!E200</x:f>
      </x:c>
      <x:c r="M196" s="265">
        <x:f>+BORDRO!F200</x:f>
      </x:c>
      <x:c r="N196" s="72"/>
      <x:c r="O196" s="87">
        <x:f>+BORDRO!G200</x:f>
      </x:c>
      <x:c r="P196" s="87">
        <x:v>0</x:v>
      </x:c>
      <x:c r="Q196" s="267"/>
      <x:c r="R196" s="267"/>
      <x:c r="S196" s="78"/>
      <x:c r="T196" s="78"/>
      <x:c r="U196" s="79"/>
      <x:c r="V196" s="268">
        <x:f>31-M196-Q196</x:f>
      </x:c>
      <x:c r="W196" s="269">
        <x:v>6</x:v>
      </x:c>
      <x:c r="X196" s="270" t="s">
        <x:v>112</x:v>
      </x:c>
      <x:c r="Y196" s="73">
        <x:v>2</x:v>
      </x:c>
      <x:c r="Z196" s="72" t="s">
        <x:v>106</x:v>
      </x:c>
      <x:c r="AA196" s="82" t="s">
        <x:v>111</x:v>
      </x:c>
      <x:c r="AB196" s="72">
        <x:v>2025</x:v>
      </x:c>
      <x:c r="AC196" s="72" t="s">
        <x:v>113</x:v>
      </x:c>
      <x:c r="AD196" s="88">
        <x:f>+BORDRO!J200</x:f>
      </x:c>
      <x:c r="AE196" s="83"/>
      <x:c r="AF196" s="83">
        <x:f>+BORDRO!K200</x:f>
      </x:c>
      <x:c r="AG196" s="83">
        <x:f>+BORDRO!L200</x:f>
      </x:c>
      <x:c r="AH196" s="88">
        <x:f>+BORDRO!M200</x:f>
      </x:c>
      <x:c r="AI196" s="83">
        <x:f>+BORDRO!O200</x:f>
      </x:c>
      <x:c r="AJ196" s="84">
        <x:f>+BORDRO!P200</x:f>
      </x:c>
    </x:row>
    <x:row r="197" spans="1:36" ht="14.25" customHeight="1" x14ac:dyDescent="0.2">
      <x:c r="A197" s="72" t="s">
        <x:v>106</x:v>
      </x:c>
      <x:c r="B197" s="271">
        <x:v>46</x:v>
      </x:c>
      <x:c r="C197" s="72" t="s">
        <x:v>107</x:v>
      </x:c>
      <x:c r="D197" s="72" t="s">
        <x:v>108</x:v>
      </x:c>
      <x:c r="E197" s="72" t="s">
        <x:v>108</x:v>
      </x:c>
      <x:c r="F197" s="73">
        <x:v>1494768</x:v>
      </x:c>
      <x:c r="G197" s="74" t="s">
        <x:v>109</x:v>
      </x:c>
      <x:c r="H197" s="72" t="s">
        <x:v>110</x:v>
      </x:c>
      <x:c r="I197" s="86"/>
      <x:c r="J197" s="75">
        <x:f>+Puantaj!C201</x:f>
      </x:c>
      <x:c r="K197" s="72">
        <x:f>+Puantaj!D201</x:f>
      </x:c>
      <x:c r="L197" s="72">
        <x:f>+Puantaj!E201</x:f>
      </x:c>
      <x:c r="M197" s="265">
        <x:f>+BORDRO!F201</x:f>
      </x:c>
      <x:c r="N197" s="72"/>
      <x:c r="O197" s="87">
        <x:f>+BORDRO!G201</x:f>
      </x:c>
      <x:c r="P197" s="87">
        <x:v>0</x:v>
      </x:c>
      <x:c r="Q197" s="267"/>
      <x:c r="R197" s="267"/>
      <x:c r="S197" s="78"/>
      <x:c r="T197" s="78"/>
      <x:c r="U197" s="79"/>
      <x:c r="V197" s="268">
        <x:f>31-M197-Q197</x:f>
      </x:c>
      <x:c r="W197" s="269">
        <x:v>6</x:v>
      </x:c>
      <x:c r="X197" s="270" t="s">
        <x:v>112</x:v>
      </x:c>
      <x:c r="Y197" s="73">
        <x:v>2</x:v>
      </x:c>
      <x:c r="Z197" s="72" t="s">
        <x:v>106</x:v>
      </x:c>
      <x:c r="AA197" s="82" t="s">
        <x:v>111</x:v>
      </x:c>
      <x:c r="AB197" s="72">
        <x:v>2025</x:v>
      </x:c>
      <x:c r="AC197" s="72" t="s">
        <x:v>113</x:v>
      </x:c>
      <x:c r="AD197" s="88">
        <x:f>+BORDRO!J201</x:f>
      </x:c>
      <x:c r="AE197" s="83"/>
      <x:c r="AF197" s="83">
        <x:f>+BORDRO!K201</x:f>
      </x:c>
      <x:c r="AG197" s="83">
        <x:f>+BORDRO!L201</x:f>
      </x:c>
      <x:c r="AH197" s="88">
        <x:f>+BORDRO!M201</x:f>
      </x:c>
      <x:c r="AI197" s="83">
        <x:f>+BORDRO!O201</x:f>
      </x:c>
      <x:c r="AJ197" s="84">
        <x:f>+BORDRO!P201</x:f>
      </x:c>
    </x:row>
    <x:row r="198" spans="1:36" ht="15" customHeight="1" x14ac:dyDescent="0.25">
      <x:c r="A198" s="72" t="s">
        <x:v>106</x:v>
      </x:c>
      <x:c r="B198" s="264">
        <x:v>46</x:v>
      </x:c>
      <x:c r="C198" s="72" t="s">
        <x:v>107</x:v>
      </x:c>
      <x:c r="D198" s="72" t="s">
        <x:v>108</x:v>
      </x:c>
      <x:c r="E198" s="72" t="s">
        <x:v>108</x:v>
      </x:c>
      <x:c r="F198" s="73">
        <x:v>1494768</x:v>
      </x:c>
      <x:c r="G198" s="74" t="s">
        <x:v>109</x:v>
      </x:c>
      <x:c r="H198" s="72" t="s">
        <x:v>110</x:v>
      </x:c>
      <x:c r="I198" s="86"/>
      <x:c r="J198" s="75">
        <x:f>+Puantaj!C202</x:f>
      </x:c>
      <x:c r="K198" s="72">
        <x:f>+Puantaj!D202</x:f>
      </x:c>
      <x:c r="L198" s="72">
        <x:f>+Puantaj!E202</x:f>
      </x:c>
      <x:c r="M198" s="265">
        <x:f>+BORDRO!F202</x:f>
      </x:c>
      <x:c r="N198" s="72"/>
      <x:c r="O198" s="87">
        <x:f>+BORDRO!G202</x:f>
      </x:c>
      <x:c r="P198" s="87">
        <x:v>0</x:v>
      </x:c>
      <x:c r="Q198" s="267"/>
      <x:c r="R198" s="267"/>
      <x:c r="S198" s="78"/>
      <x:c r="T198" s="78"/>
      <x:c r="U198" s="79"/>
      <x:c r="V198" s="268">
        <x:f>31-M198-Q198</x:f>
      </x:c>
      <x:c r="W198" s="269">
        <x:v>6</x:v>
      </x:c>
      <x:c r="X198" s="270" t="s">
        <x:v>112</x:v>
      </x:c>
      <x:c r="Y198" s="73">
        <x:v>2</x:v>
      </x:c>
      <x:c r="Z198" s="72" t="s">
        <x:v>106</x:v>
      </x:c>
      <x:c r="AA198" s="82" t="s">
        <x:v>111</x:v>
      </x:c>
      <x:c r="AB198" s="72">
        <x:v>2025</x:v>
      </x:c>
      <x:c r="AC198" s="72" t="s">
        <x:v>113</x:v>
      </x:c>
      <x:c r="AD198" s="88">
        <x:f>+BORDRO!J202</x:f>
      </x:c>
      <x:c r="AE198" s="83"/>
      <x:c r="AF198" s="83">
        <x:f>+BORDRO!K202</x:f>
      </x:c>
      <x:c r="AG198" s="83">
        <x:f>+BORDRO!L202</x:f>
      </x:c>
      <x:c r="AH198" s="88">
        <x:f>+BORDRO!M202</x:f>
      </x:c>
      <x:c r="AI198" s="83">
        <x:f>+BORDRO!O202</x:f>
      </x:c>
      <x:c r="AJ198" s="84">
        <x:f>+BORDRO!P202</x:f>
      </x:c>
    </x:row>
    <x:row r="199" spans="1:36" ht="14.25" customHeight="1" x14ac:dyDescent="0.2">
      <x:c r="A199" s="72" t="s">
        <x:v>106</x:v>
      </x:c>
      <x:c r="B199" s="271">
        <x:v>46</x:v>
      </x:c>
      <x:c r="C199" s="72" t="s">
        <x:v>107</x:v>
      </x:c>
      <x:c r="D199" s="72" t="s">
        <x:v>108</x:v>
      </x:c>
      <x:c r="E199" s="72" t="s">
        <x:v>108</x:v>
      </x:c>
      <x:c r="F199" s="73">
        <x:v>1494768</x:v>
      </x:c>
      <x:c r="G199" s="74" t="s">
        <x:v>109</x:v>
      </x:c>
      <x:c r="H199" s="72" t="s">
        <x:v>110</x:v>
      </x:c>
      <x:c r="I199" s="86"/>
      <x:c r="J199" s="75">
        <x:f>+Puantaj!C203</x:f>
      </x:c>
      <x:c r="K199" s="72">
        <x:f>+Puantaj!D203</x:f>
      </x:c>
      <x:c r="L199" s="72">
        <x:f>+Puantaj!E203</x:f>
      </x:c>
      <x:c r="M199" s="265">
        <x:f>+BORDRO!F203</x:f>
      </x:c>
      <x:c r="N199" s="72"/>
      <x:c r="O199" s="87">
        <x:f>+BORDRO!G203</x:f>
      </x:c>
      <x:c r="P199" s="87">
        <x:v>0</x:v>
      </x:c>
      <x:c r="Q199" s="267"/>
      <x:c r="R199" s="267"/>
      <x:c r="S199" s="78"/>
      <x:c r="T199" s="78"/>
      <x:c r="U199" s="79"/>
      <x:c r="V199" s="268">
        <x:f>31-M199-Q199</x:f>
      </x:c>
      <x:c r="W199" s="269">
        <x:v>6</x:v>
      </x:c>
      <x:c r="X199" s="270" t="s">
        <x:v>112</x:v>
      </x:c>
      <x:c r="Y199" s="73">
        <x:v>2</x:v>
      </x:c>
      <x:c r="Z199" s="72" t="s">
        <x:v>106</x:v>
      </x:c>
      <x:c r="AA199" s="82" t="s">
        <x:v>111</x:v>
      </x:c>
      <x:c r="AB199" s="72">
        <x:v>2025</x:v>
      </x:c>
      <x:c r="AC199" s="72" t="s">
        <x:v>113</x:v>
      </x:c>
      <x:c r="AD199" s="88">
        <x:f>+BORDRO!J203</x:f>
      </x:c>
      <x:c r="AE199" s="83"/>
      <x:c r="AF199" s="83">
        <x:f>+BORDRO!K203</x:f>
      </x:c>
      <x:c r="AG199" s="83">
        <x:f>+BORDRO!L203</x:f>
      </x:c>
      <x:c r="AH199" s="88">
        <x:f>+BORDRO!M203</x:f>
      </x:c>
      <x:c r="AI199" s="83">
        <x:f>+BORDRO!O203</x:f>
      </x:c>
      <x:c r="AJ199" s="84">
        <x:f>+BORDRO!P203</x:f>
      </x:c>
    </x:row>
    <x:row r="200" spans="1:36" ht="15" customHeight="1" x14ac:dyDescent="0.25">
      <x:c r="A200" s="72" t="s">
        <x:v>106</x:v>
      </x:c>
      <x:c r="B200" s="264">
        <x:v>46</x:v>
      </x:c>
      <x:c r="C200" s="72" t="s">
        <x:v>107</x:v>
      </x:c>
      <x:c r="D200" s="72" t="s">
        <x:v>108</x:v>
      </x:c>
      <x:c r="E200" s="72" t="s">
        <x:v>108</x:v>
      </x:c>
      <x:c r="F200" s="73">
        <x:v>1494768</x:v>
      </x:c>
      <x:c r="G200" s="74" t="s">
        <x:v>109</x:v>
      </x:c>
      <x:c r="H200" s="72" t="s">
        <x:v>110</x:v>
      </x:c>
      <x:c r="I200" s="86"/>
      <x:c r="J200" s="75">
        <x:f>+Puantaj!C204</x:f>
      </x:c>
      <x:c r="K200" s="72">
        <x:f>+Puantaj!D204</x:f>
      </x:c>
      <x:c r="L200" s="72">
        <x:f>+Puantaj!E204</x:f>
      </x:c>
      <x:c r="M200" s="265">
        <x:f>+BORDRO!F204</x:f>
      </x:c>
      <x:c r="N200" s="72"/>
      <x:c r="O200" s="87">
        <x:f>+BORDRO!G204</x:f>
      </x:c>
      <x:c r="P200" s="87">
        <x:v>0</x:v>
      </x:c>
      <x:c r="Q200" s="267"/>
      <x:c r="R200" s="267"/>
      <x:c r="S200" s="78"/>
      <x:c r="T200" s="78"/>
      <x:c r="U200" s="79"/>
      <x:c r="V200" s="268">
        <x:f>31-M200-Q200</x:f>
      </x:c>
      <x:c r="W200" s="269">
        <x:v>6</x:v>
      </x:c>
      <x:c r="X200" s="270" t="s">
        <x:v>112</x:v>
      </x:c>
      <x:c r="Y200" s="73">
        <x:v>2</x:v>
      </x:c>
      <x:c r="Z200" s="72" t="s">
        <x:v>106</x:v>
      </x:c>
      <x:c r="AA200" s="82" t="s">
        <x:v>111</x:v>
      </x:c>
      <x:c r="AB200" s="72">
        <x:v>2025</x:v>
      </x:c>
      <x:c r="AC200" s="72" t="s">
        <x:v>113</x:v>
      </x:c>
      <x:c r="AD200" s="88">
        <x:f>+BORDRO!J204</x:f>
      </x:c>
      <x:c r="AE200" s="83"/>
      <x:c r="AF200" s="83">
        <x:f>+BORDRO!K204</x:f>
      </x:c>
      <x:c r="AG200" s="83">
        <x:f>+BORDRO!L204</x:f>
      </x:c>
      <x:c r="AH200" s="88">
        <x:f>+BORDRO!M204</x:f>
      </x:c>
      <x:c r="AI200" s="83">
        <x:f>+BORDRO!O204</x:f>
      </x:c>
      <x:c r="AJ200" s="84">
        <x:f>+BORDRO!P204</x:f>
      </x:c>
    </x:row>
    <x:row r="201" spans="1:36" ht="14.25" customHeight="1" x14ac:dyDescent="0.2">
      <x:c r="A201" s="72" t="s">
        <x:v>106</x:v>
      </x:c>
      <x:c r="B201" s="271">
        <x:v>46</x:v>
      </x:c>
      <x:c r="C201" s="72" t="s">
        <x:v>107</x:v>
      </x:c>
      <x:c r="D201" s="72" t="s">
        <x:v>108</x:v>
      </x:c>
      <x:c r="E201" s="72" t="s">
        <x:v>108</x:v>
      </x:c>
      <x:c r="F201" s="73">
        <x:v>1494768</x:v>
      </x:c>
      <x:c r="G201" s="74" t="s">
        <x:v>109</x:v>
      </x:c>
      <x:c r="H201" s="72" t="s">
        <x:v>110</x:v>
      </x:c>
      <x:c r="I201" s="86"/>
      <x:c r="J201" s="75">
        <x:f>+Puantaj!C205</x:f>
      </x:c>
      <x:c r="K201" s="72">
        <x:f>+Puantaj!D205</x:f>
      </x:c>
      <x:c r="L201" s="72">
        <x:f>+Puantaj!E205</x:f>
      </x:c>
      <x:c r="M201" s="265">
        <x:f>+BORDRO!F205</x:f>
      </x:c>
      <x:c r="N201" s="72"/>
      <x:c r="O201" s="87">
        <x:f>+BORDRO!G205</x:f>
      </x:c>
      <x:c r="P201" s="87">
        <x:v>0</x:v>
      </x:c>
      <x:c r="Q201" s="267"/>
      <x:c r="R201" s="267"/>
      <x:c r="S201" s="78"/>
      <x:c r="T201" s="78"/>
      <x:c r="U201" s="79"/>
      <x:c r="V201" s="268">
        <x:f>31-M201-Q201</x:f>
      </x:c>
      <x:c r="W201" s="269">
        <x:v>6</x:v>
      </x:c>
      <x:c r="X201" s="270" t="s">
        <x:v>112</x:v>
      </x:c>
      <x:c r="Y201" s="73">
        <x:v>2</x:v>
      </x:c>
      <x:c r="Z201" s="72" t="s">
        <x:v>106</x:v>
      </x:c>
      <x:c r="AA201" s="82" t="s">
        <x:v>111</x:v>
      </x:c>
      <x:c r="AB201" s="72">
        <x:v>2025</x:v>
      </x:c>
      <x:c r="AC201" s="72" t="s">
        <x:v>113</x:v>
      </x:c>
      <x:c r="AD201" s="88">
        <x:f>+BORDRO!J205</x:f>
      </x:c>
      <x:c r="AE201" s="83"/>
      <x:c r="AF201" s="83">
        <x:f>+BORDRO!K205</x:f>
      </x:c>
      <x:c r="AG201" s="83">
        <x:f>+BORDRO!L205</x:f>
      </x:c>
      <x:c r="AH201" s="88">
        <x:f>+BORDRO!M205</x:f>
      </x:c>
      <x:c r="AI201" s="83">
        <x:f>+BORDRO!O205</x:f>
      </x:c>
      <x:c r="AJ201" s="84">
        <x:f>+BORDRO!P205</x:f>
      </x:c>
    </x:row>
    <x:row r="202" spans="1:36" ht="15" customHeight="1" x14ac:dyDescent="0.25">
      <x:c r="A202" s="72" t="s">
        <x:v>106</x:v>
      </x:c>
      <x:c r="B202" s="264">
        <x:v>46</x:v>
      </x:c>
      <x:c r="C202" s="72" t="s">
        <x:v>107</x:v>
      </x:c>
      <x:c r="D202" s="72" t="s">
        <x:v>108</x:v>
      </x:c>
      <x:c r="E202" s="72" t="s">
        <x:v>108</x:v>
      </x:c>
      <x:c r="F202" s="73">
        <x:v>1494768</x:v>
      </x:c>
      <x:c r="G202" s="74" t="s">
        <x:v>109</x:v>
      </x:c>
      <x:c r="H202" s="72" t="s">
        <x:v>110</x:v>
      </x:c>
      <x:c r="I202" s="86"/>
      <x:c r="J202" s="75">
        <x:f>+Puantaj!C206</x:f>
      </x:c>
      <x:c r="K202" s="72">
        <x:f>+Puantaj!D206</x:f>
      </x:c>
      <x:c r="L202" s="72">
        <x:f>+Puantaj!E206</x:f>
      </x:c>
      <x:c r="M202" s="265">
        <x:f>+BORDRO!F206</x:f>
      </x:c>
      <x:c r="N202" s="72"/>
      <x:c r="O202" s="87">
        <x:f>+BORDRO!G206</x:f>
      </x:c>
      <x:c r="P202" s="87">
        <x:v>0</x:v>
      </x:c>
      <x:c r="Q202" s="267"/>
      <x:c r="R202" s="267"/>
      <x:c r="S202" s="78"/>
      <x:c r="T202" s="78"/>
      <x:c r="U202" s="79"/>
      <x:c r="V202" s="268">
        <x:f>31-M202-Q202</x:f>
      </x:c>
      <x:c r="W202" s="269">
        <x:v>6</x:v>
      </x:c>
      <x:c r="X202" s="270" t="s">
        <x:v>112</x:v>
      </x:c>
      <x:c r="Y202" s="73">
        <x:v>2</x:v>
      </x:c>
      <x:c r="Z202" s="72" t="s">
        <x:v>106</x:v>
      </x:c>
      <x:c r="AA202" s="82" t="s">
        <x:v>111</x:v>
      </x:c>
      <x:c r="AB202" s="72">
        <x:v>2025</x:v>
      </x:c>
      <x:c r="AC202" s="72" t="s">
        <x:v>113</x:v>
      </x:c>
      <x:c r="AD202" s="88">
        <x:f>+BORDRO!J206</x:f>
      </x:c>
      <x:c r="AE202" s="83"/>
      <x:c r="AF202" s="83">
        <x:f>+BORDRO!K206</x:f>
      </x:c>
      <x:c r="AG202" s="83">
        <x:f>+BORDRO!L206</x:f>
      </x:c>
      <x:c r="AH202" s="88">
        <x:f>+BORDRO!M206</x:f>
      </x:c>
      <x:c r="AI202" s="83">
        <x:f>+BORDRO!O206</x:f>
      </x:c>
      <x:c r="AJ202" s="84">
        <x:f>+BORDRO!P206</x:f>
      </x:c>
    </x:row>
    <x:row r="203" spans="1:36" ht="14.25" customHeight="1" x14ac:dyDescent="0.2">
      <x:c r="A203" s="72" t="s">
        <x:v>106</x:v>
      </x:c>
      <x:c r="B203" s="271">
        <x:v>46</x:v>
      </x:c>
      <x:c r="C203" s="72" t="s">
        <x:v>107</x:v>
      </x:c>
      <x:c r="D203" s="72" t="s">
        <x:v>108</x:v>
      </x:c>
      <x:c r="E203" s="72" t="s">
        <x:v>108</x:v>
      </x:c>
      <x:c r="F203" s="73">
        <x:v>1494768</x:v>
      </x:c>
      <x:c r="G203" s="74" t="s">
        <x:v>109</x:v>
      </x:c>
      <x:c r="H203" s="72" t="s">
        <x:v>110</x:v>
      </x:c>
      <x:c r="I203" s="86"/>
      <x:c r="J203" s="75">
        <x:f>+Puantaj!C207</x:f>
      </x:c>
      <x:c r="K203" s="72">
        <x:f>+Puantaj!D207</x:f>
      </x:c>
      <x:c r="L203" s="72">
        <x:f>+Puantaj!E207</x:f>
      </x:c>
      <x:c r="M203" s="265">
        <x:f>+BORDRO!F207</x:f>
      </x:c>
      <x:c r="N203" s="72"/>
      <x:c r="O203" s="87">
        <x:f>+BORDRO!G207</x:f>
      </x:c>
      <x:c r="P203" s="87">
        <x:v>0</x:v>
      </x:c>
      <x:c r="Q203" s="267"/>
      <x:c r="R203" s="267"/>
      <x:c r="S203" s="78"/>
      <x:c r="T203" s="78"/>
      <x:c r="U203" s="79"/>
      <x:c r="V203" s="268">
        <x:f>31-M203-Q203</x:f>
      </x:c>
      <x:c r="W203" s="269">
        <x:v>6</x:v>
      </x:c>
      <x:c r="X203" s="270" t="s">
        <x:v>112</x:v>
      </x:c>
      <x:c r="Y203" s="73">
        <x:v>2</x:v>
      </x:c>
      <x:c r="Z203" s="72" t="s">
        <x:v>106</x:v>
      </x:c>
      <x:c r="AA203" s="82" t="s">
        <x:v>111</x:v>
      </x:c>
      <x:c r="AB203" s="72">
        <x:v>2025</x:v>
      </x:c>
      <x:c r="AC203" s="72" t="s">
        <x:v>113</x:v>
      </x:c>
      <x:c r="AD203" s="88">
        <x:f>+BORDRO!J207</x:f>
      </x:c>
      <x:c r="AE203" s="83"/>
      <x:c r="AF203" s="83">
        <x:f>+BORDRO!K207</x:f>
      </x:c>
      <x:c r="AG203" s="83">
        <x:f>+BORDRO!L207</x:f>
      </x:c>
      <x:c r="AH203" s="88">
        <x:f>+BORDRO!M207</x:f>
      </x:c>
      <x:c r="AI203" s="83">
        <x:f>+BORDRO!O207</x:f>
      </x:c>
      <x:c r="AJ203" s="84">
        <x:f>+BORDRO!P207</x:f>
      </x:c>
    </x:row>
    <x:row r="204" spans="1:36" ht="15" customHeight="1" x14ac:dyDescent="0.25">
      <x:c r="A204" s="72" t="s">
        <x:v>106</x:v>
      </x:c>
      <x:c r="B204" s="264">
        <x:v>46</x:v>
      </x:c>
      <x:c r="C204" s="72" t="s">
        <x:v>107</x:v>
      </x:c>
      <x:c r="D204" s="72" t="s">
        <x:v>108</x:v>
      </x:c>
      <x:c r="E204" s="72" t="s">
        <x:v>108</x:v>
      </x:c>
      <x:c r="F204" s="73">
        <x:v>1494768</x:v>
      </x:c>
      <x:c r="G204" s="74" t="s">
        <x:v>109</x:v>
      </x:c>
      <x:c r="H204" s="72" t="s">
        <x:v>110</x:v>
      </x:c>
      <x:c r="I204" s="86"/>
      <x:c r="J204" s="75">
        <x:f>+Puantaj!C208</x:f>
      </x:c>
      <x:c r="K204" s="72">
        <x:f>+Puantaj!D208</x:f>
      </x:c>
      <x:c r="L204" s="72">
        <x:f>+Puantaj!E208</x:f>
      </x:c>
      <x:c r="M204" s="265">
        <x:f>+BORDRO!F208</x:f>
      </x:c>
      <x:c r="N204" s="72"/>
      <x:c r="O204" s="87">
        <x:f>+BORDRO!G208</x:f>
      </x:c>
      <x:c r="P204" s="87">
        <x:v>0</x:v>
      </x:c>
      <x:c r="Q204" s="267"/>
      <x:c r="R204" s="267"/>
      <x:c r="S204" s="78"/>
      <x:c r="T204" s="78"/>
      <x:c r="U204" s="79"/>
      <x:c r="V204" s="268">
        <x:f>31-M204-Q204</x:f>
      </x:c>
      <x:c r="W204" s="269">
        <x:v>6</x:v>
      </x:c>
      <x:c r="X204" s="270" t="s">
        <x:v>112</x:v>
      </x:c>
      <x:c r="Y204" s="73">
        <x:v>2</x:v>
      </x:c>
      <x:c r="Z204" s="72" t="s">
        <x:v>106</x:v>
      </x:c>
      <x:c r="AA204" s="82" t="s">
        <x:v>111</x:v>
      </x:c>
      <x:c r="AB204" s="72">
        <x:v>2025</x:v>
      </x:c>
      <x:c r="AC204" s="72" t="s">
        <x:v>113</x:v>
      </x:c>
      <x:c r="AD204" s="88">
        <x:f>+BORDRO!J208</x:f>
      </x:c>
      <x:c r="AE204" s="83"/>
      <x:c r="AF204" s="83">
        <x:f>+BORDRO!K208</x:f>
      </x:c>
      <x:c r="AG204" s="83">
        <x:f>+BORDRO!L208</x:f>
      </x:c>
      <x:c r="AH204" s="88">
        <x:f>+BORDRO!M208</x:f>
      </x:c>
      <x:c r="AI204" s="83">
        <x:f>+BORDRO!O208</x:f>
      </x:c>
      <x:c r="AJ204" s="84">
        <x:f>+BORDRO!P208</x:f>
      </x:c>
    </x:row>
    <x:row r="205" spans="1:36" ht="14.25" customHeight="1" x14ac:dyDescent="0.2">
      <x:c r="A205" s="72" t="s">
        <x:v>106</x:v>
      </x:c>
      <x:c r="B205" s="271">
        <x:v>46</x:v>
      </x:c>
      <x:c r="C205" s="72" t="s">
        <x:v>107</x:v>
      </x:c>
      <x:c r="D205" s="72" t="s">
        <x:v>108</x:v>
      </x:c>
      <x:c r="E205" s="72" t="s">
        <x:v>108</x:v>
      </x:c>
      <x:c r="F205" s="73">
        <x:v>1494768</x:v>
      </x:c>
      <x:c r="G205" s="74" t="s">
        <x:v>109</x:v>
      </x:c>
      <x:c r="H205" s="72" t="s">
        <x:v>110</x:v>
      </x:c>
      <x:c r="I205" s="86"/>
      <x:c r="J205" s="75">
        <x:f>+Puantaj!C209</x:f>
      </x:c>
      <x:c r="K205" s="72">
        <x:f>+Puantaj!D209</x:f>
      </x:c>
      <x:c r="L205" s="72">
        <x:f>+Puantaj!E209</x:f>
      </x:c>
      <x:c r="M205" s="265">
        <x:f>+BORDRO!F209</x:f>
      </x:c>
      <x:c r="N205" s="72"/>
      <x:c r="O205" s="87">
        <x:f>+BORDRO!G209</x:f>
      </x:c>
      <x:c r="P205" s="87">
        <x:v>0</x:v>
      </x:c>
      <x:c r="Q205" s="267"/>
      <x:c r="R205" s="267"/>
      <x:c r="S205" s="78"/>
      <x:c r="T205" s="78"/>
      <x:c r="U205" s="79"/>
      <x:c r="V205" s="268">
        <x:f>31-M205-Q205</x:f>
      </x:c>
      <x:c r="W205" s="269">
        <x:v>6</x:v>
      </x:c>
      <x:c r="X205" s="270" t="s">
        <x:v>112</x:v>
      </x:c>
      <x:c r="Y205" s="73">
        <x:v>2</x:v>
      </x:c>
      <x:c r="Z205" s="72" t="s">
        <x:v>106</x:v>
      </x:c>
      <x:c r="AA205" s="82" t="s">
        <x:v>111</x:v>
      </x:c>
      <x:c r="AB205" s="72">
        <x:v>2025</x:v>
      </x:c>
      <x:c r="AC205" s="72" t="s">
        <x:v>113</x:v>
      </x:c>
      <x:c r="AD205" s="88">
        <x:f>+BORDRO!J209</x:f>
      </x:c>
      <x:c r="AE205" s="83"/>
      <x:c r="AF205" s="83">
        <x:f>+BORDRO!K209</x:f>
      </x:c>
      <x:c r="AG205" s="83">
        <x:f>+BORDRO!L209</x:f>
      </x:c>
      <x:c r="AH205" s="88">
        <x:f>+BORDRO!M209</x:f>
      </x:c>
      <x:c r="AI205" s="83">
        <x:f>+BORDRO!O209</x:f>
      </x:c>
      <x:c r="AJ205" s="84">
        <x:f>+BORDRO!P209</x:f>
      </x:c>
    </x:row>
    <x:row r="206" spans="1:36" ht="15" customHeight="1" x14ac:dyDescent="0.25">
      <x:c r="A206" s="72" t="s">
        <x:v>106</x:v>
      </x:c>
      <x:c r="B206" s="264">
        <x:v>46</x:v>
      </x:c>
      <x:c r="C206" s="72" t="s">
        <x:v>107</x:v>
      </x:c>
      <x:c r="D206" s="72" t="s">
        <x:v>108</x:v>
      </x:c>
      <x:c r="E206" s="72" t="s">
        <x:v>108</x:v>
      </x:c>
      <x:c r="F206" s="73">
        <x:v>1494768</x:v>
      </x:c>
      <x:c r="G206" s="74" t="s">
        <x:v>109</x:v>
      </x:c>
      <x:c r="H206" s="72" t="s">
        <x:v>110</x:v>
      </x:c>
      <x:c r="I206" s="86"/>
      <x:c r="J206" s="75">
        <x:f>+Puantaj!C210</x:f>
      </x:c>
      <x:c r="K206" s="72">
        <x:f>+Puantaj!D210</x:f>
      </x:c>
      <x:c r="L206" s="72">
        <x:f>+Puantaj!E210</x:f>
      </x:c>
      <x:c r="M206" s="265">
        <x:f>+BORDRO!F210</x:f>
      </x:c>
      <x:c r="N206" s="72"/>
      <x:c r="O206" s="87">
        <x:f>+BORDRO!G210</x:f>
      </x:c>
      <x:c r="P206" s="87">
        <x:v>0</x:v>
      </x:c>
      <x:c r="Q206" s="267"/>
      <x:c r="R206" s="267"/>
      <x:c r="S206" s="78"/>
      <x:c r="T206" s="78"/>
      <x:c r="U206" s="79"/>
      <x:c r="V206" s="268">
        <x:f>31-M206-Q206</x:f>
      </x:c>
      <x:c r="W206" s="269">
        <x:v>6</x:v>
      </x:c>
      <x:c r="X206" s="270" t="s">
        <x:v>112</x:v>
      </x:c>
      <x:c r="Y206" s="73">
        <x:v>2</x:v>
      </x:c>
      <x:c r="Z206" s="72" t="s">
        <x:v>106</x:v>
      </x:c>
      <x:c r="AA206" s="82" t="s">
        <x:v>111</x:v>
      </x:c>
      <x:c r="AB206" s="72">
        <x:v>2025</x:v>
      </x:c>
      <x:c r="AC206" s="72" t="s">
        <x:v>113</x:v>
      </x:c>
      <x:c r="AD206" s="88">
        <x:f>+BORDRO!J210</x:f>
      </x:c>
      <x:c r="AE206" s="83"/>
      <x:c r="AF206" s="83">
        <x:f>+BORDRO!K210</x:f>
      </x:c>
      <x:c r="AG206" s="83">
        <x:f>+BORDRO!L210</x:f>
      </x:c>
      <x:c r="AH206" s="88">
        <x:f>+BORDRO!M210</x:f>
      </x:c>
      <x:c r="AI206" s="83">
        <x:f>+BORDRO!O210</x:f>
      </x:c>
      <x:c r="AJ206" s="84">
        <x:f>+BORDRO!P210</x:f>
      </x:c>
    </x:row>
    <x:row r="207" spans="1:36" ht="14.25" customHeight="1" x14ac:dyDescent="0.2">
      <x:c r="A207" s="72" t="s">
        <x:v>106</x:v>
      </x:c>
      <x:c r="B207" s="271">
        <x:v>46</x:v>
      </x:c>
      <x:c r="C207" s="72" t="s">
        <x:v>107</x:v>
      </x:c>
      <x:c r="D207" s="72" t="s">
        <x:v>108</x:v>
      </x:c>
      <x:c r="E207" s="72" t="s">
        <x:v>108</x:v>
      </x:c>
      <x:c r="F207" s="73">
        <x:v>1494768</x:v>
      </x:c>
      <x:c r="G207" s="74" t="s">
        <x:v>109</x:v>
      </x:c>
      <x:c r="H207" s="72" t="s">
        <x:v>110</x:v>
      </x:c>
      <x:c r="I207" s="86"/>
      <x:c r="J207" s="75">
        <x:f>+Puantaj!C211</x:f>
      </x:c>
      <x:c r="K207" s="72">
        <x:f>+Puantaj!D211</x:f>
      </x:c>
      <x:c r="L207" s="72">
        <x:f>+Puantaj!E211</x:f>
      </x:c>
      <x:c r="M207" s="265">
        <x:f>+BORDRO!F211</x:f>
      </x:c>
      <x:c r="N207" s="72"/>
      <x:c r="O207" s="87">
        <x:f>+BORDRO!G211</x:f>
      </x:c>
      <x:c r="P207" s="87">
        <x:v>0</x:v>
      </x:c>
      <x:c r="Q207" s="267"/>
      <x:c r="R207" s="267"/>
      <x:c r="S207" s="78"/>
      <x:c r="T207" s="78"/>
      <x:c r="U207" s="79"/>
      <x:c r="V207" s="268">
        <x:f>31-M207-Q207</x:f>
      </x:c>
      <x:c r="W207" s="269">
        <x:v>6</x:v>
      </x:c>
      <x:c r="X207" s="270" t="s">
        <x:v>112</x:v>
      </x:c>
      <x:c r="Y207" s="73">
        <x:v>2</x:v>
      </x:c>
      <x:c r="Z207" s="72" t="s">
        <x:v>106</x:v>
      </x:c>
      <x:c r="AA207" s="82" t="s">
        <x:v>111</x:v>
      </x:c>
      <x:c r="AB207" s="72">
        <x:v>2025</x:v>
      </x:c>
      <x:c r="AC207" s="72" t="s">
        <x:v>113</x:v>
      </x:c>
      <x:c r="AD207" s="88">
        <x:f>+BORDRO!J211</x:f>
      </x:c>
      <x:c r="AE207" s="83"/>
      <x:c r="AF207" s="83">
        <x:f>+BORDRO!K211</x:f>
      </x:c>
      <x:c r="AG207" s="83">
        <x:f>+BORDRO!L211</x:f>
      </x:c>
      <x:c r="AH207" s="88">
        <x:f>+BORDRO!M211</x:f>
      </x:c>
      <x:c r="AI207" s="83">
        <x:f>+BORDRO!O211</x:f>
      </x:c>
      <x:c r="AJ207" s="84">
        <x:f>+BORDRO!P211</x:f>
      </x:c>
    </x:row>
    <x:row r="208" spans="1:36" ht="15" customHeight="1" x14ac:dyDescent="0.25">
      <x:c r="A208" s="72" t="s">
        <x:v>106</x:v>
      </x:c>
      <x:c r="B208" s="264">
        <x:v>46</x:v>
      </x:c>
      <x:c r="C208" s="72" t="s">
        <x:v>107</x:v>
      </x:c>
      <x:c r="D208" s="72" t="s">
        <x:v>108</x:v>
      </x:c>
      <x:c r="E208" s="72" t="s">
        <x:v>108</x:v>
      </x:c>
      <x:c r="F208" s="73">
        <x:v>1494768</x:v>
      </x:c>
      <x:c r="G208" s="74" t="s">
        <x:v>109</x:v>
      </x:c>
      <x:c r="H208" s="72" t="s">
        <x:v>110</x:v>
      </x:c>
      <x:c r="I208" s="86"/>
      <x:c r="J208" s="75">
        <x:f>+Puantaj!C212</x:f>
      </x:c>
      <x:c r="K208" s="72">
        <x:f>+Puantaj!D212</x:f>
      </x:c>
      <x:c r="L208" s="72">
        <x:f>+Puantaj!E212</x:f>
      </x:c>
      <x:c r="M208" s="265">
        <x:f>+BORDRO!F212</x:f>
      </x:c>
      <x:c r="N208" s="72"/>
      <x:c r="O208" s="87">
        <x:f>+BORDRO!G212</x:f>
      </x:c>
      <x:c r="P208" s="87">
        <x:v>0</x:v>
      </x:c>
      <x:c r="Q208" s="267"/>
      <x:c r="R208" s="267"/>
      <x:c r="S208" s="78"/>
      <x:c r="T208" s="78"/>
      <x:c r="U208" s="79"/>
      <x:c r="V208" s="268">
        <x:f>31-M208-Q208</x:f>
      </x:c>
      <x:c r="W208" s="269">
        <x:v>6</x:v>
      </x:c>
      <x:c r="X208" s="270" t="s">
        <x:v>112</x:v>
      </x:c>
      <x:c r="Y208" s="73">
        <x:v>2</x:v>
      </x:c>
      <x:c r="Z208" s="72" t="s">
        <x:v>106</x:v>
      </x:c>
      <x:c r="AA208" s="82" t="s">
        <x:v>111</x:v>
      </x:c>
      <x:c r="AB208" s="72">
        <x:v>2025</x:v>
      </x:c>
      <x:c r="AC208" s="72" t="s">
        <x:v>113</x:v>
      </x:c>
      <x:c r="AD208" s="88">
        <x:f>+BORDRO!J212</x:f>
      </x:c>
      <x:c r="AE208" s="83"/>
      <x:c r="AF208" s="83">
        <x:f>+BORDRO!K212</x:f>
      </x:c>
      <x:c r="AG208" s="83">
        <x:f>+BORDRO!L212</x:f>
      </x:c>
      <x:c r="AH208" s="88">
        <x:f>+BORDRO!M212</x:f>
      </x:c>
      <x:c r="AI208" s="83">
        <x:f>+BORDRO!O212</x:f>
      </x:c>
      <x:c r="AJ208" s="84">
        <x:f>+BORDRO!P212</x:f>
      </x:c>
    </x:row>
    <x:row r="209" spans="1:36" ht="14.25" customHeight="1" x14ac:dyDescent="0.2">
      <x:c r="A209" s="72" t="s">
        <x:v>106</x:v>
      </x:c>
      <x:c r="B209" s="271">
        <x:v>46</x:v>
      </x:c>
      <x:c r="C209" s="72" t="s">
        <x:v>107</x:v>
      </x:c>
      <x:c r="D209" s="72" t="s">
        <x:v>108</x:v>
      </x:c>
      <x:c r="E209" s="72" t="s">
        <x:v>108</x:v>
      </x:c>
      <x:c r="F209" s="73">
        <x:v>1494768</x:v>
      </x:c>
      <x:c r="G209" s="74" t="s">
        <x:v>109</x:v>
      </x:c>
      <x:c r="H209" s="72" t="s">
        <x:v>110</x:v>
      </x:c>
      <x:c r="I209" s="86"/>
      <x:c r="J209" s="75">
        <x:f>+Puantaj!C213</x:f>
      </x:c>
      <x:c r="K209" s="72">
        <x:f>+Puantaj!D213</x:f>
      </x:c>
      <x:c r="L209" s="72">
        <x:f>+Puantaj!E213</x:f>
      </x:c>
      <x:c r="M209" s="265">
        <x:f>+BORDRO!F213</x:f>
      </x:c>
      <x:c r="N209" s="72"/>
      <x:c r="O209" s="87">
        <x:f>+BORDRO!G213</x:f>
      </x:c>
      <x:c r="P209" s="87">
        <x:v>0</x:v>
      </x:c>
      <x:c r="Q209" s="267"/>
      <x:c r="R209" s="267"/>
      <x:c r="S209" s="78"/>
      <x:c r="T209" s="78"/>
      <x:c r="U209" s="79"/>
      <x:c r="V209" s="268">
        <x:f>31-M209-Q209</x:f>
      </x:c>
      <x:c r="W209" s="269">
        <x:v>6</x:v>
      </x:c>
      <x:c r="X209" s="270" t="s">
        <x:v>112</x:v>
      </x:c>
      <x:c r="Y209" s="73">
        <x:v>2</x:v>
      </x:c>
      <x:c r="Z209" s="72" t="s">
        <x:v>106</x:v>
      </x:c>
      <x:c r="AA209" s="82" t="s">
        <x:v>111</x:v>
      </x:c>
      <x:c r="AB209" s="72">
        <x:v>2025</x:v>
      </x:c>
      <x:c r="AC209" s="72" t="s">
        <x:v>113</x:v>
      </x:c>
      <x:c r="AD209" s="88">
        <x:f>+BORDRO!J213</x:f>
      </x:c>
      <x:c r="AE209" s="83"/>
      <x:c r="AF209" s="83">
        <x:f>+BORDRO!K213</x:f>
      </x:c>
      <x:c r="AG209" s="83">
        <x:f>+BORDRO!L213</x:f>
      </x:c>
      <x:c r="AH209" s="88">
        <x:f>+BORDRO!M213</x:f>
      </x:c>
      <x:c r="AI209" s="83">
        <x:f>+BORDRO!O213</x:f>
      </x:c>
      <x:c r="AJ209" s="84">
        <x:f>+BORDRO!P213</x:f>
      </x:c>
    </x:row>
    <x:row r="210" spans="1:36" ht="15" customHeight="1" x14ac:dyDescent="0.25">
      <x:c r="A210" s="72" t="s">
        <x:v>106</x:v>
      </x:c>
      <x:c r="B210" s="264">
        <x:v>46</x:v>
      </x:c>
      <x:c r="C210" s="72" t="s">
        <x:v>107</x:v>
      </x:c>
      <x:c r="D210" s="72" t="s">
        <x:v>108</x:v>
      </x:c>
      <x:c r="E210" s="72" t="s">
        <x:v>108</x:v>
      </x:c>
      <x:c r="F210" s="73">
        <x:v>1494768</x:v>
      </x:c>
      <x:c r="G210" s="74" t="s">
        <x:v>109</x:v>
      </x:c>
      <x:c r="H210" s="72" t="s">
        <x:v>110</x:v>
      </x:c>
      <x:c r="I210" s="86"/>
      <x:c r="J210" s="75">
        <x:f>+Puantaj!C214</x:f>
      </x:c>
      <x:c r="K210" s="72">
        <x:f>+Puantaj!D214</x:f>
      </x:c>
      <x:c r="L210" s="72">
        <x:f>+Puantaj!E214</x:f>
      </x:c>
      <x:c r="M210" s="265">
        <x:f>+BORDRO!F214</x:f>
      </x:c>
      <x:c r="N210" s="72"/>
      <x:c r="O210" s="87">
        <x:f>+BORDRO!G214</x:f>
      </x:c>
      <x:c r="P210" s="87">
        <x:v>0</x:v>
      </x:c>
      <x:c r="Q210" s="267"/>
      <x:c r="R210" s="267"/>
      <x:c r="S210" s="78"/>
      <x:c r="T210" s="78"/>
      <x:c r="U210" s="79"/>
      <x:c r="V210" s="268">
        <x:f>31-M210-Q210</x:f>
      </x:c>
      <x:c r="W210" s="269">
        <x:v>6</x:v>
      </x:c>
      <x:c r="X210" s="270" t="s">
        <x:v>112</x:v>
      </x:c>
      <x:c r="Y210" s="73">
        <x:v>2</x:v>
      </x:c>
      <x:c r="Z210" s="72" t="s">
        <x:v>106</x:v>
      </x:c>
      <x:c r="AA210" s="82" t="s">
        <x:v>111</x:v>
      </x:c>
      <x:c r="AB210" s="72">
        <x:v>2025</x:v>
      </x:c>
      <x:c r="AC210" s="72" t="s">
        <x:v>113</x:v>
      </x:c>
      <x:c r="AD210" s="88">
        <x:f>+BORDRO!J214</x:f>
      </x:c>
      <x:c r="AE210" s="83"/>
      <x:c r="AF210" s="83">
        <x:f>+BORDRO!K214</x:f>
      </x:c>
      <x:c r="AG210" s="83">
        <x:f>+BORDRO!L214</x:f>
      </x:c>
      <x:c r="AH210" s="88">
        <x:f>+BORDRO!M214</x:f>
      </x:c>
      <x:c r="AI210" s="83">
        <x:f>+BORDRO!O214</x:f>
      </x:c>
      <x:c r="AJ210" s="84">
        <x:f>+BORDRO!P214</x:f>
      </x:c>
    </x:row>
    <x:row r="211" spans="1:36" ht="14.25" customHeight="1" x14ac:dyDescent="0.2">
      <x:c r="A211" s="72" t="s">
        <x:v>106</x:v>
      </x:c>
      <x:c r="B211" s="271">
        <x:v>46</x:v>
      </x:c>
      <x:c r="C211" s="72" t="s">
        <x:v>107</x:v>
      </x:c>
      <x:c r="D211" s="72" t="s">
        <x:v>108</x:v>
      </x:c>
      <x:c r="E211" s="72" t="s">
        <x:v>108</x:v>
      </x:c>
      <x:c r="F211" s="73">
        <x:v>1494768</x:v>
      </x:c>
      <x:c r="G211" s="74" t="s">
        <x:v>109</x:v>
      </x:c>
      <x:c r="H211" s="72" t="s">
        <x:v>110</x:v>
      </x:c>
      <x:c r="I211" s="86"/>
      <x:c r="J211" s="75">
        <x:f>+Puantaj!C215</x:f>
      </x:c>
      <x:c r="K211" s="72">
        <x:f>+Puantaj!D215</x:f>
      </x:c>
      <x:c r="L211" s="72">
        <x:f>+Puantaj!E215</x:f>
      </x:c>
      <x:c r="M211" s="265">
        <x:f>+BORDRO!F215</x:f>
      </x:c>
      <x:c r="N211" s="72"/>
      <x:c r="O211" s="87">
        <x:f>+BORDRO!G215</x:f>
      </x:c>
      <x:c r="P211" s="87">
        <x:v>0</x:v>
      </x:c>
      <x:c r="Q211" s="267"/>
      <x:c r="R211" s="267"/>
      <x:c r="S211" s="78"/>
      <x:c r="T211" s="78"/>
      <x:c r="U211" s="79"/>
      <x:c r="V211" s="268">
        <x:f>31-M211-Q211</x:f>
      </x:c>
      <x:c r="W211" s="269">
        <x:v>6</x:v>
      </x:c>
      <x:c r="X211" s="270" t="s">
        <x:v>112</x:v>
      </x:c>
      <x:c r="Y211" s="73">
        <x:v>2</x:v>
      </x:c>
      <x:c r="Z211" s="72" t="s">
        <x:v>106</x:v>
      </x:c>
      <x:c r="AA211" s="82" t="s">
        <x:v>111</x:v>
      </x:c>
      <x:c r="AB211" s="72">
        <x:v>2025</x:v>
      </x:c>
      <x:c r="AC211" s="72" t="s">
        <x:v>113</x:v>
      </x:c>
      <x:c r="AD211" s="88">
        <x:f>+BORDRO!J215</x:f>
      </x:c>
      <x:c r="AE211" s="83"/>
      <x:c r="AF211" s="83">
        <x:f>+BORDRO!K215</x:f>
      </x:c>
      <x:c r="AG211" s="83">
        <x:f>+BORDRO!L215</x:f>
      </x:c>
      <x:c r="AH211" s="88">
        <x:f>+BORDRO!M215</x:f>
      </x:c>
      <x:c r="AI211" s="83">
        <x:f>+BORDRO!O215</x:f>
      </x:c>
      <x:c r="AJ211" s="84">
        <x:f>+BORDRO!P215</x:f>
      </x:c>
    </x:row>
    <x:row r="212" spans="1:36" ht="15" customHeight="1" x14ac:dyDescent="0.25">
      <x:c r="A212" s="72" t="s">
        <x:v>106</x:v>
      </x:c>
      <x:c r="B212" s="264">
        <x:v>46</x:v>
      </x:c>
      <x:c r="C212" s="72" t="s">
        <x:v>107</x:v>
      </x:c>
      <x:c r="D212" s="72" t="s">
        <x:v>108</x:v>
      </x:c>
      <x:c r="E212" s="72" t="s">
        <x:v>108</x:v>
      </x:c>
      <x:c r="F212" s="73">
        <x:v>1494768</x:v>
      </x:c>
      <x:c r="G212" s="74" t="s">
        <x:v>109</x:v>
      </x:c>
      <x:c r="H212" s="72" t="s">
        <x:v>110</x:v>
      </x:c>
      <x:c r="I212" s="86"/>
      <x:c r="J212" s="75">
        <x:f>+Puantaj!C216</x:f>
      </x:c>
      <x:c r="K212" s="72">
        <x:f>+Puantaj!D216</x:f>
      </x:c>
      <x:c r="L212" s="72">
        <x:f>+Puantaj!E216</x:f>
      </x:c>
      <x:c r="M212" s="265">
        <x:f>+BORDRO!F216</x:f>
      </x:c>
      <x:c r="N212" s="72"/>
      <x:c r="O212" s="87">
        <x:f>+BORDRO!G216</x:f>
      </x:c>
      <x:c r="P212" s="87">
        <x:v>0</x:v>
      </x:c>
      <x:c r="Q212" s="267"/>
      <x:c r="R212" s="267"/>
      <x:c r="S212" s="78"/>
      <x:c r="T212" s="78"/>
      <x:c r="U212" s="79"/>
      <x:c r="V212" s="268">
        <x:f>31-M212-Q212</x:f>
      </x:c>
      <x:c r="W212" s="269">
        <x:v>6</x:v>
      </x:c>
      <x:c r="X212" s="270" t="s">
        <x:v>112</x:v>
      </x:c>
      <x:c r="Y212" s="73">
        <x:v>2</x:v>
      </x:c>
      <x:c r="Z212" s="72" t="s">
        <x:v>106</x:v>
      </x:c>
      <x:c r="AA212" s="82" t="s">
        <x:v>111</x:v>
      </x:c>
      <x:c r="AB212" s="72">
        <x:v>2025</x:v>
      </x:c>
      <x:c r="AC212" s="72" t="s">
        <x:v>113</x:v>
      </x:c>
      <x:c r="AD212" s="88">
        <x:f>+BORDRO!J216</x:f>
      </x:c>
      <x:c r="AE212" s="83"/>
      <x:c r="AF212" s="83">
        <x:f>+BORDRO!K216</x:f>
      </x:c>
      <x:c r="AG212" s="83">
        <x:f>+BORDRO!L216</x:f>
      </x:c>
      <x:c r="AH212" s="88">
        <x:f>+BORDRO!M216</x:f>
      </x:c>
      <x:c r="AI212" s="83">
        <x:f>+BORDRO!O216</x:f>
      </x:c>
      <x:c r="AJ212" s="84">
        <x:f>+BORDRO!P216</x:f>
      </x:c>
    </x:row>
    <x:row r="213" spans="1:36" ht="14.25" customHeight="1" x14ac:dyDescent="0.2">
      <x:c r="A213" s="72" t="s">
        <x:v>106</x:v>
      </x:c>
      <x:c r="B213" s="271">
        <x:v>46</x:v>
      </x:c>
      <x:c r="C213" s="72" t="s">
        <x:v>107</x:v>
      </x:c>
      <x:c r="D213" s="72" t="s">
        <x:v>108</x:v>
      </x:c>
      <x:c r="E213" s="72" t="s">
        <x:v>108</x:v>
      </x:c>
      <x:c r="F213" s="73">
        <x:v>1494768</x:v>
      </x:c>
      <x:c r="G213" s="74" t="s">
        <x:v>109</x:v>
      </x:c>
      <x:c r="H213" s="72" t="s">
        <x:v>110</x:v>
      </x:c>
      <x:c r="I213" s="86"/>
      <x:c r="J213" s="75">
        <x:f>+Puantaj!C217</x:f>
      </x:c>
      <x:c r="K213" s="72">
        <x:f>+Puantaj!D217</x:f>
      </x:c>
      <x:c r="L213" s="72">
        <x:f>+Puantaj!E217</x:f>
      </x:c>
      <x:c r="M213" s="265">
        <x:f>+BORDRO!F217</x:f>
      </x:c>
      <x:c r="N213" s="72"/>
      <x:c r="O213" s="87">
        <x:f>+BORDRO!G217</x:f>
      </x:c>
      <x:c r="P213" s="87">
        <x:v>0</x:v>
      </x:c>
      <x:c r="Q213" s="267"/>
      <x:c r="R213" s="267"/>
      <x:c r="S213" s="78"/>
      <x:c r="T213" s="78"/>
      <x:c r="U213" s="79"/>
      <x:c r="V213" s="268">
        <x:f>31-M213-Q213</x:f>
      </x:c>
      <x:c r="W213" s="269">
        <x:v>6</x:v>
      </x:c>
      <x:c r="X213" s="270" t="s">
        <x:v>112</x:v>
      </x:c>
      <x:c r="Y213" s="73">
        <x:v>2</x:v>
      </x:c>
      <x:c r="Z213" s="72" t="s">
        <x:v>106</x:v>
      </x:c>
      <x:c r="AA213" s="82" t="s">
        <x:v>111</x:v>
      </x:c>
      <x:c r="AB213" s="72">
        <x:v>2025</x:v>
      </x:c>
      <x:c r="AC213" s="72" t="s">
        <x:v>113</x:v>
      </x:c>
      <x:c r="AD213" s="88">
        <x:f>+BORDRO!J217</x:f>
      </x:c>
      <x:c r="AE213" s="83"/>
      <x:c r="AF213" s="83">
        <x:f>+BORDRO!K217</x:f>
      </x:c>
      <x:c r="AG213" s="83">
        <x:f>+BORDRO!L217</x:f>
      </x:c>
      <x:c r="AH213" s="88">
        <x:f>+BORDRO!M217</x:f>
      </x:c>
      <x:c r="AI213" s="83">
        <x:f>+BORDRO!O217</x:f>
      </x:c>
      <x:c r="AJ213" s="84">
        <x:f>+BORDRO!P217</x:f>
      </x:c>
    </x:row>
    <x:row r="214" spans="1:36" ht="15" customHeight="1" x14ac:dyDescent="0.25">
      <x:c r="A214" s="72" t="s">
        <x:v>106</x:v>
      </x:c>
      <x:c r="B214" s="264">
        <x:v>46</x:v>
      </x:c>
      <x:c r="C214" s="72" t="s">
        <x:v>107</x:v>
      </x:c>
      <x:c r="D214" s="72" t="s">
        <x:v>108</x:v>
      </x:c>
      <x:c r="E214" s="72" t="s">
        <x:v>108</x:v>
      </x:c>
      <x:c r="F214" s="73">
        <x:v>1494768</x:v>
      </x:c>
      <x:c r="G214" s="74" t="s">
        <x:v>109</x:v>
      </x:c>
      <x:c r="H214" s="72" t="s">
        <x:v>110</x:v>
      </x:c>
      <x:c r="I214" s="86"/>
      <x:c r="J214" s="75">
        <x:f>+Puantaj!C218</x:f>
      </x:c>
      <x:c r="K214" s="72">
        <x:f>+Puantaj!D218</x:f>
      </x:c>
      <x:c r="L214" s="72">
        <x:f>+Puantaj!E218</x:f>
      </x:c>
      <x:c r="M214" s="265">
        <x:f>+BORDRO!F218</x:f>
      </x:c>
      <x:c r="N214" s="72"/>
      <x:c r="O214" s="87">
        <x:f>+BORDRO!G218</x:f>
      </x:c>
      <x:c r="P214" s="87">
        <x:v>0</x:v>
      </x:c>
      <x:c r="Q214" s="267"/>
      <x:c r="R214" s="267"/>
      <x:c r="S214" s="78"/>
      <x:c r="T214" s="78"/>
      <x:c r="U214" s="79"/>
      <x:c r="V214" s="268">
        <x:f>31-M214-Q214</x:f>
      </x:c>
      <x:c r="W214" s="269">
        <x:v>6</x:v>
      </x:c>
      <x:c r="X214" s="270" t="s">
        <x:v>112</x:v>
      </x:c>
      <x:c r="Y214" s="73">
        <x:v>2</x:v>
      </x:c>
      <x:c r="Z214" s="72" t="s">
        <x:v>106</x:v>
      </x:c>
      <x:c r="AA214" s="82" t="s">
        <x:v>111</x:v>
      </x:c>
      <x:c r="AB214" s="72">
        <x:v>2025</x:v>
      </x:c>
      <x:c r="AC214" s="72" t="s">
        <x:v>113</x:v>
      </x:c>
      <x:c r="AD214" s="88">
        <x:f>+BORDRO!J218</x:f>
      </x:c>
      <x:c r="AE214" s="83"/>
      <x:c r="AF214" s="83">
        <x:f>+BORDRO!K218</x:f>
      </x:c>
      <x:c r="AG214" s="83">
        <x:f>+BORDRO!L218</x:f>
      </x:c>
      <x:c r="AH214" s="88">
        <x:f>+BORDRO!M218</x:f>
      </x:c>
      <x:c r="AI214" s="83">
        <x:f>+BORDRO!O218</x:f>
      </x:c>
      <x:c r="AJ214" s="84">
        <x:f>+BORDRO!P218</x:f>
      </x:c>
    </x:row>
    <x:row r="215" spans="1:36" ht="14.25" customHeight="1" x14ac:dyDescent="0.2">
      <x:c r="A215" s="72" t="s">
        <x:v>106</x:v>
      </x:c>
      <x:c r="B215" s="271">
        <x:v>46</x:v>
      </x:c>
      <x:c r="C215" s="72" t="s">
        <x:v>107</x:v>
      </x:c>
      <x:c r="D215" s="72" t="s">
        <x:v>108</x:v>
      </x:c>
      <x:c r="E215" s="72" t="s">
        <x:v>108</x:v>
      </x:c>
      <x:c r="F215" s="73">
        <x:v>1494768</x:v>
      </x:c>
      <x:c r="G215" s="74" t="s">
        <x:v>109</x:v>
      </x:c>
      <x:c r="H215" s="72" t="s">
        <x:v>110</x:v>
      </x:c>
      <x:c r="I215" s="86"/>
      <x:c r="J215" s="75">
        <x:f>+Puantaj!C219</x:f>
      </x:c>
      <x:c r="K215" s="72">
        <x:f>+Puantaj!D219</x:f>
      </x:c>
      <x:c r="L215" s="72">
        <x:f>+Puantaj!E219</x:f>
      </x:c>
      <x:c r="M215" s="265">
        <x:f>+BORDRO!F219</x:f>
      </x:c>
      <x:c r="N215" s="72"/>
      <x:c r="O215" s="87">
        <x:f>+BORDRO!G219</x:f>
      </x:c>
      <x:c r="P215" s="87">
        <x:v>0</x:v>
      </x:c>
      <x:c r="Q215" s="267"/>
      <x:c r="R215" s="267"/>
      <x:c r="S215" s="78"/>
      <x:c r="T215" s="78"/>
      <x:c r="U215" s="79"/>
      <x:c r="V215" s="268">
        <x:f>31-M215-Q215</x:f>
      </x:c>
      <x:c r="W215" s="269">
        <x:v>6</x:v>
      </x:c>
      <x:c r="X215" s="270" t="s">
        <x:v>112</x:v>
      </x:c>
      <x:c r="Y215" s="73">
        <x:v>2</x:v>
      </x:c>
      <x:c r="Z215" s="72" t="s">
        <x:v>106</x:v>
      </x:c>
      <x:c r="AA215" s="82" t="s">
        <x:v>111</x:v>
      </x:c>
      <x:c r="AB215" s="72">
        <x:v>2025</x:v>
      </x:c>
      <x:c r="AC215" s="72" t="s">
        <x:v>113</x:v>
      </x:c>
      <x:c r="AD215" s="88">
        <x:f>+BORDRO!J219</x:f>
      </x:c>
      <x:c r="AE215" s="83"/>
      <x:c r="AF215" s="83">
        <x:f>+BORDRO!K219</x:f>
      </x:c>
      <x:c r="AG215" s="83">
        <x:f>+BORDRO!L219</x:f>
      </x:c>
      <x:c r="AH215" s="88">
        <x:f>+BORDRO!M219</x:f>
      </x:c>
      <x:c r="AI215" s="83">
        <x:f>+BORDRO!O219</x:f>
      </x:c>
      <x:c r="AJ215" s="84">
        <x:f>+BORDRO!P219</x:f>
      </x:c>
    </x:row>
    <x:row r="216" spans="1:36" ht="15" customHeight="1" x14ac:dyDescent="0.25">
      <x:c r="A216" s="72" t="s">
        <x:v>106</x:v>
      </x:c>
      <x:c r="B216" s="264">
        <x:v>46</x:v>
      </x:c>
      <x:c r="C216" s="72" t="s">
        <x:v>107</x:v>
      </x:c>
      <x:c r="D216" s="72" t="s">
        <x:v>108</x:v>
      </x:c>
      <x:c r="E216" s="72" t="s">
        <x:v>108</x:v>
      </x:c>
      <x:c r="F216" s="73">
        <x:v>1494768</x:v>
      </x:c>
      <x:c r="G216" s="74" t="s">
        <x:v>109</x:v>
      </x:c>
      <x:c r="H216" s="72" t="s">
        <x:v>110</x:v>
      </x:c>
      <x:c r="I216" s="86"/>
      <x:c r="J216" s="75">
        <x:f>+Puantaj!C220</x:f>
      </x:c>
      <x:c r="K216" s="72">
        <x:f>+Puantaj!D220</x:f>
      </x:c>
      <x:c r="L216" s="72">
        <x:f>+Puantaj!E220</x:f>
      </x:c>
      <x:c r="M216" s="265">
        <x:f>+BORDRO!F220</x:f>
      </x:c>
      <x:c r="N216" s="72"/>
      <x:c r="O216" s="87">
        <x:f>+BORDRO!G220</x:f>
      </x:c>
      <x:c r="P216" s="87">
        <x:v>0</x:v>
      </x:c>
      <x:c r="Q216" s="267"/>
      <x:c r="R216" s="267"/>
      <x:c r="S216" s="78"/>
      <x:c r="T216" s="78"/>
      <x:c r="U216" s="79"/>
      <x:c r="V216" s="268">
        <x:f>31-M216-Q216</x:f>
      </x:c>
      <x:c r="W216" s="269">
        <x:v>6</x:v>
      </x:c>
      <x:c r="X216" s="270" t="s">
        <x:v>112</x:v>
      </x:c>
      <x:c r="Y216" s="73">
        <x:v>2</x:v>
      </x:c>
      <x:c r="Z216" s="72" t="s">
        <x:v>106</x:v>
      </x:c>
      <x:c r="AA216" s="82" t="s">
        <x:v>111</x:v>
      </x:c>
      <x:c r="AB216" s="72">
        <x:v>2025</x:v>
      </x:c>
      <x:c r="AC216" s="72" t="s">
        <x:v>113</x:v>
      </x:c>
      <x:c r="AD216" s="88">
        <x:f>+BORDRO!J220</x:f>
      </x:c>
      <x:c r="AE216" s="83"/>
      <x:c r="AF216" s="83">
        <x:f>+BORDRO!K220</x:f>
      </x:c>
      <x:c r="AG216" s="83">
        <x:f>+BORDRO!L220</x:f>
      </x:c>
      <x:c r="AH216" s="88">
        <x:f>+BORDRO!M220</x:f>
      </x:c>
      <x:c r="AI216" s="83">
        <x:f>+BORDRO!O220</x:f>
      </x:c>
      <x:c r="AJ216" s="84">
        <x:f>+BORDRO!P220</x:f>
      </x:c>
    </x:row>
    <x:row r="217" spans="1:36" ht="14.25" customHeight="1" x14ac:dyDescent="0.2">
      <x:c r="A217" s="72" t="s">
        <x:v>106</x:v>
      </x:c>
      <x:c r="B217" s="271">
        <x:v>46</x:v>
      </x:c>
      <x:c r="C217" s="72" t="s">
        <x:v>107</x:v>
      </x:c>
      <x:c r="D217" s="72" t="s">
        <x:v>108</x:v>
      </x:c>
      <x:c r="E217" s="72" t="s">
        <x:v>108</x:v>
      </x:c>
      <x:c r="F217" s="73">
        <x:v>1494768</x:v>
      </x:c>
      <x:c r="G217" s="74" t="s">
        <x:v>109</x:v>
      </x:c>
      <x:c r="H217" s="72" t="s">
        <x:v>110</x:v>
      </x:c>
      <x:c r="I217" s="86"/>
      <x:c r="J217" s="75">
        <x:f>+Puantaj!C221</x:f>
      </x:c>
      <x:c r="K217" s="72">
        <x:f>+Puantaj!D221</x:f>
      </x:c>
      <x:c r="L217" s="72">
        <x:f>+Puantaj!E221</x:f>
      </x:c>
      <x:c r="M217" s="265">
        <x:f>+BORDRO!F221</x:f>
      </x:c>
      <x:c r="N217" s="72"/>
      <x:c r="O217" s="87">
        <x:f>+BORDRO!G221</x:f>
      </x:c>
      <x:c r="P217" s="87">
        <x:v>0</x:v>
      </x:c>
      <x:c r="Q217" s="267"/>
      <x:c r="R217" s="267"/>
      <x:c r="S217" s="78"/>
      <x:c r="T217" s="78"/>
      <x:c r="U217" s="79"/>
      <x:c r="V217" s="268">
        <x:f>31-M217-Q217</x:f>
      </x:c>
      <x:c r="W217" s="269">
        <x:v>6</x:v>
      </x:c>
      <x:c r="X217" s="270" t="s">
        <x:v>112</x:v>
      </x:c>
      <x:c r="Y217" s="73">
        <x:v>2</x:v>
      </x:c>
      <x:c r="Z217" s="72" t="s">
        <x:v>106</x:v>
      </x:c>
      <x:c r="AA217" s="82" t="s">
        <x:v>111</x:v>
      </x:c>
      <x:c r="AB217" s="72">
        <x:v>2025</x:v>
      </x:c>
      <x:c r="AC217" s="72" t="s">
        <x:v>113</x:v>
      </x:c>
      <x:c r="AD217" s="88">
        <x:f>+BORDRO!J221</x:f>
      </x:c>
      <x:c r="AE217" s="83"/>
      <x:c r="AF217" s="83">
        <x:f>+BORDRO!K221</x:f>
      </x:c>
      <x:c r="AG217" s="83">
        <x:f>+BORDRO!L221</x:f>
      </x:c>
      <x:c r="AH217" s="88">
        <x:f>+BORDRO!M221</x:f>
      </x:c>
      <x:c r="AI217" s="83">
        <x:f>+BORDRO!O221</x:f>
      </x:c>
      <x:c r="AJ217" s="84">
        <x:f>+BORDRO!P221</x:f>
      </x:c>
    </x:row>
    <x:row r="218" spans="1:36" ht="15" customHeight="1" x14ac:dyDescent="0.25">
      <x:c r="A218" s="72" t="s">
        <x:v>106</x:v>
      </x:c>
      <x:c r="B218" s="264">
        <x:v>46</x:v>
      </x:c>
      <x:c r="C218" s="72" t="s">
        <x:v>107</x:v>
      </x:c>
      <x:c r="D218" s="72" t="s">
        <x:v>108</x:v>
      </x:c>
      <x:c r="E218" s="72" t="s">
        <x:v>108</x:v>
      </x:c>
      <x:c r="F218" s="73">
        <x:v>1494768</x:v>
      </x:c>
      <x:c r="G218" s="74" t="s">
        <x:v>109</x:v>
      </x:c>
      <x:c r="H218" s="72" t="s">
        <x:v>110</x:v>
      </x:c>
      <x:c r="I218" s="86"/>
      <x:c r="J218" s="75">
        <x:f>+Puantaj!C222</x:f>
      </x:c>
      <x:c r="K218" s="72">
        <x:f>+Puantaj!D222</x:f>
      </x:c>
      <x:c r="L218" s="72">
        <x:f>+Puantaj!E222</x:f>
      </x:c>
      <x:c r="M218" s="265">
        <x:f>+BORDRO!F222</x:f>
      </x:c>
      <x:c r="N218" s="72"/>
      <x:c r="O218" s="87">
        <x:f>+BORDRO!G222</x:f>
      </x:c>
      <x:c r="P218" s="87">
        <x:v>0</x:v>
      </x:c>
      <x:c r="Q218" s="267"/>
      <x:c r="R218" s="267"/>
      <x:c r="S218" s="78"/>
      <x:c r="T218" s="78"/>
      <x:c r="U218" s="79"/>
      <x:c r="V218" s="268">
        <x:f>31-M218-Q218</x:f>
      </x:c>
      <x:c r="W218" s="269">
        <x:v>6</x:v>
      </x:c>
      <x:c r="X218" s="270" t="s">
        <x:v>112</x:v>
      </x:c>
      <x:c r="Y218" s="73">
        <x:v>2</x:v>
      </x:c>
      <x:c r="Z218" s="72" t="s">
        <x:v>106</x:v>
      </x:c>
      <x:c r="AA218" s="82" t="s">
        <x:v>111</x:v>
      </x:c>
      <x:c r="AB218" s="72">
        <x:v>2025</x:v>
      </x:c>
      <x:c r="AC218" s="72" t="s">
        <x:v>113</x:v>
      </x:c>
      <x:c r="AD218" s="88">
        <x:f>+BORDRO!J222</x:f>
      </x:c>
      <x:c r="AE218" s="83"/>
      <x:c r="AF218" s="83">
        <x:f>+BORDRO!K222</x:f>
      </x:c>
      <x:c r="AG218" s="83">
        <x:f>+BORDRO!L222</x:f>
      </x:c>
      <x:c r="AH218" s="88">
        <x:f>+BORDRO!M222</x:f>
      </x:c>
      <x:c r="AI218" s="83">
        <x:f>+BORDRO!O222</x:f>
      </x:c>
      <x:c r="AJ218" s="84">
        <x:f>+BORDRO!P222</x:f>
      </x:c>
    </x:row>
    <x:row r="219" spans="1:36" ht="14.25" customHeight="1" x14ac:dyDescent="0.2">
      <x:c r="A219" s="72" t="s">
        <x:v>106</x:v>
      </x:c>
      <x:c r="B219" s="271">
        <x:v>46</x:v>
      </x:c>
      <x:c r="C219" s="72" t="s">
        <x:v>107</x:v>
      </x:c>
      <x:c r="D219" s="72" t="s">
        <x:v>108</x:v>
      </x:c>
      <x:c r="E219" s="72" t="s">
        <x:v>108</x:v>
      </x:c>
      <x:c r="F219" s="73">
        <x:v>1494768</x:v>
      </x:c>
      <x:c r="G219" s="74" t="s">
        <x:v>109</x:v>
      </x:c>
      <x:c r="H219" s="72" t="s">
        <x:v>110</x:v>
      </x:c>
      <x:c r="I219" s="86"/>
      <x:c r="J219" s="75">
        <x:f>+Puantaj!C223</x:f>
      </x:c>
      <x:c r="K219" s="72">
        <x:f>+Puantaj!D223</x:f>
      </x:c>
      <x:c r="L219" s="72">
        <x:f>+Puantaj!E223</x:f>
      </x:c>
      <x:c r="M219" s="265">
        <x:f>+BORDRO!F223</x:f>
      </x:c>
      <x:c r="N219" s="72"/>
      <x:c r="O219" s="87">
        <x:f>+BORDRO!G223</x:f>
      </x:c>
      <x:c r="P219" s="87">
        <x:v>0</x:v>
      </x:c>
      <x:c r="Q219" s="267"/>
      <x:c r="R219" s="267"/>
      <x:c r="S219" s="78"/>
      <x:c r="T219" s="78"/>
      <x:c r="U219" s="79"/>
      <x:c r="V219" s="268">
        <x:f>31-M219-Q219</x:f>
      </x:c>
      <x:c r="W219" s="269">
        <x:v>6</x:v>
      </x:c>
      <x:c r="X219" s="270" t="s">
        <x:v>112</x:v>
      </x:c>
      <x:c r="Y219" s="73">
        <x:v>2</x:v>
      </x:c>
      <x:c r="Z219" s="72" t="s">
        <x:v>106</x:v>
      </x:c>
      <x:c r="AA219" s="82" t="s">
        <x:v>111</x:v>
      </x:c>
      <x:c r="AB219" s="72">
        <x:v>2025</x:v>
      </x:c>
      <x:c r="AC219" s="72" t="s">
        <x:v>113</x:v>
      </x:c>
      <x:c r="AD219" s="88">
        <x:f>+BORDRO!J223</x:f>
      </x:c>
      <x:c r="AE219" s="83"/>
      <x:c r="AF219" s="83">
        <x:f>+BORDRO!K223</x:f>
      </x:c>
      <x:c r="AG219" s="83">
        <x:f>+BORDRO!L223</x:f>
      </x:c>
      <x:c r="AH219" s="88">
        <x:f>+BORDRO!M223</x:f>
      </x:c>
      <x:c r="AI219" s="83">
        <x:f>+BORDRO!O223</x:f>
      </x:c>
      <x:c r="AJ219" s="84">
        <x:f>+BORDRO!P223</x:f>
      </x:c>
    </x:row>
    <x:row r="220" spans="1:36" ht="15" customHeight="1" x14ac:dyDescent="0.25">
      <x:c r="A220" s="72" t="s">
        <x:v>106</x:v>
      </x:c>
      <x:c r="B220" s="264">
        <x:v>46</x:v>
      </x:c>
      <x:c r="C220" s="72" t="s">
        <x:v>107</x:v>
      </x:c>
      <x:c r="D220" s="72" t="s">
        <x:v>108</x:v>
      </x:c>
      <x:c r="E220" s="72" t="s">
        <x:v>108</x:v>
      </x:c>
      <x:c r="F220" s="73">
        <x:v>1494768</x:v>
      </x:c>
      <x:c r="G220" s="74" t="s">
        <x:v>109</x:v>
      </x:c>
      <x:c r="H220" s="72" t="s">
        <x:v>110</x:v>
      </x:c>
      <x:c r="I220" s="86"/>
      <x:c r="J220" s="75">
        <x:f>+Puantaj!C224</x:f>
      </x:c>
      <x:c r="K220" s="72">
        <x:f>+Puantaj!D224</x:f>
      </x:c>
      <x:c r="L220" s="72">
        <x:f>+Puantaj!E224</x:f>
      </x:c>
      <x:c r="M220" s="265">
        <x:f>+BORDRO!F224</x:f>
      </x:c>
      <x:c r="N220" s="72"/>
      <x:c r="O220" s="87">
        <x:f>+BORDRO!G224</x:f>
      </x:c>
      <x:c r="P220" s="87">
        <x:v>0</x:v>
      </x:c>
      <x:c r="Q220" s="267"/>
      <x:c r="R220" s="267"/>
      <x:c r="S220" s="78"/>
      <x:c r="T220" s="78"/>
      <x:c r="U220" s="79"/>
      <x:c r="V220" s="268">
        <x:f>31-M220-Q220</x:f>
      </x:c>
      <x:c r="W220" s="269">
        <x:v>6</x:v>
      </x:c>
      <x:c r="X220" s="270" t="s">
        <x:v>112</x:v>
      </x:c>
      <x:c r="Y220" s="73">
        <x:v>2</x:v>
      </x:c>
      <x:c r="Z220" s="72" t="s">
        <x:v>106</x:v>
      </x:c>
      <x:c r="AA220" s="82" t="s">
        <x:v>111</x:v>
      </x:c>
      <x:c r="AB220" s="72">
        <x:v>2025</x:v>
      </x:c>
      <x:c r="AC220" s="72" t="s">
        <x:v>113</x:v>
      </x:c>
      <x:c r="AD220" s="88">
        <x:f>+BORDRO!J224</x:f>
      </x:c>
      <x:c r="AE220" s="83"/>
      <x:c r="AF220" s="83">
        <x:f>+BORDRO!K224</x:f>
      </x:c>
      <x:c r="AG220" s="83">
        <x:f>+BORDRO!L224</x:f>
      </x:c>
      <x:c r="AH220" s="88">
        <x:f>+BORDRO!M224</x:f>
      </x:c>
      <x:c r="AI220" s="83">
        <x:f>+BORDRO!O224</x:f>
      </x:c>
      <x:c r="AJ220" s="84">
        <x:f>+BORDRO!P224</x:f>
      </x:c>
    </x:row>
    <x:row r="221" spans="1:36" ht="14.25" customHeight="1" x14ac:dyDescent="0.2">
      <x:c r="A221" s="72" t="s">
        <x:v>106</x:v>
      </x:c>
      <x:c r="B221" s="271">
        <x:v>46</x:v>
      </x:c>
      <x:c r="C221" s="72" t="s">
        <x:v>107</x:v>
      </x:c>
      <x:c r="D221" s="72" t="s">
        <x:v>108</x:v>
      </x:c>
      <x:c r="E221" s="72" t="s">
        <x:v>108</x:v>
      </x:c>
      <x:c r="F221" s="73">
        <x:v>1494768</x:v>
      </x:c>
      <x:c r="G221" s="74" t="s">
        <x:v>109</x:v>
      </x:c>
      <x:c r="H221" s="72" t="s">
        <x:v>110</x:v>
      </x:c>
      <x:c r="I221" s="86"/>
      <x:c r="J221" s="75">
        <x:f>+Puantaj!C225</x:f>
      </x:c>
      <x:c r="K221" s="72">
        <x:f>+Puantaj!D225</x:f>
      </x:c>
      <x:c r="L221" s="72">
        <x:f>+Puantaj!E225</x:f>
      </x:c>
      <x:c r="M221" s="265">
        <x:f>+BORDRO!F225</x:f>
      </x:c>
      <x:c r="N221" s="72"/>
      <x:c r="O221" s="87">
        <x:f>+BORDRO!G225</x:f>
      </x:c>
      <x:c r="P221" s="87">
        <x:v>0</x:v>
      </x:c>
      <x:c r="Q221" s="267"/>
      <x:c r="R221" s="267"/>
      <x:c r="S221" s="78"/>
      <x:c r="T221" s="78"/>
      <x:c r="U221" s="79"/>
      <x:c r="V221" s="268">
        <x:f>31-M221-Q221</x:f>
      </x:c>
      <x:c r="W221" s="269">
        <x:v>6</x:v>
      </x:c>
      <x:c r="X221" s="270" t="s">
        <x:v>112</x:v>
      </x:c>
      <x:c r="Y221" s="73">
        <x:v>2</x:v>
      </x:c>
      <x:c r="Z221" s="72" t="s">
        <x:v>106</x:v>
      </x:c>
      <x:c r="AA221" s="82" t="s">
        <x:v>111</x:v>
      </x:c>
      <x:c r="AB221" s="72">
        <x:v>2025</x:v>
      </x:c>
      <x:c r="AC221" s="72" t="s">
        <x:v>113</x:v>
      </x:c>
      <x:c r="AD221" s="88">
        <x:f>+BORDRO!J225</x:f>
      </x:c>
      <x:c r="AE221" s="83"/>
      <x:c r="AF221" s="83">
        <x:f>+BORDRO!K225</x:f>
      </x:c>
      <x:c r="AG221" s="83">
        <x:f>+BORDRO!L225</x:f>
      </x:c>
      <x:c r="AH221" s="88">
        <x:f>+BORDRO!M225</x:f>
      </x:c>
      <x:c r="AI221" s="83">
        <x:f>+BORDRO!O225</x:f>
      </x:c>
      <x:c r="AJ221" s="84">
        <x:f>+BORDRO!P225</x:f>
      </x:c>
    </x:row>
    <x:row r="222" spans="1:36" ht="15" customHeight="1" x14ac:dyDescent="0.25">
      <x:c r="A222" s="72" t="s">
        <x:v>106</x:v>
      </x:c>
      <x:c r="B222" s="264">
        <x:v>46</x:v>
      </x:c>
      <x:c r="C222" s="72" t="s">
        <x:v>107</x:v>
      </x:c>
      <x:c r="D222" s="72" t="s">
        <x:v>108</x:v>
      </x:c>
      <x:c r="E222" s="72" t="s">
        <x:v>108</x:v>
      </x:c>
      <x:c r="F222" s="73">
        <x:v>1494768</x:v>
      </x:c>
      <x:c r="G222" s="74" t="s">
        <x:v>109</x:v>
      </x:c>
      <x:c r="H222" s="72" t="s">
        <x:v>110</x:v>
      </x:c>
      <x:c r="I222" s="86"/>
      <x:c r="J222" s="75">
        <x:f>+Puantaj!C226</x:f>
      </x:c>
      <x:c r="K222" s="72">
        <x:f>+Puantaj!D226</x:f>
      </x:c>
      <x:c r="L222" s="72">
        <x:f>+Puantaj!E226</x:f>
      </x:c>
      <x:c r="M222" s="265">
        <x:f>+BORDRO!F226</x:f>
      </x:c>
      <x:c r="N222" s="72"/>
      <x:c r="O222" s="87">
        <x:f>+BORDRO!G226</x:f>
      </x:c>
      <x:c r="P222" s="87">
        <x:v>0</x:v>
      </x:c>
      <x:c r="Q222" s="267"/>
      <x:c r="R222" s="267"/>
      <x:c r="S222" s="78"/>
      <x:c r="T222" s="78"/>
      <x:c r="U222" s="79"/>
      <x:c r="V222" s="268">
        <x:f>31-M222-Q222</x:f>
      </x:c>
      <x:c r="W222" s="269">
        <x:v>6</x:v>
      </x:c>
      <x:c r="X222" s="270" t="s">
        <x:v>112</x:v>
      </x:c>
      <x:c r="Y222" s="73">
        <x:v>2</x:v>
      </x:c>
      <x:c r="Z222" s="72" t="s">
        <x:v>106</x:v>
      </x:c>
      <x:c r="AA222" s="82" t="s">
        <x:v>111</x:v>
      </x:c>
      <x:c r="AB222" s="72">
        <x:v>2025</x:v>
      </x:c>
      <x:c r="AC222" s="72" t="s">
        <x:v>113</x:v>
      </x:c>
      <x:c r="AD222" s="88">
        <x:f>+BORDRO!J226</x:f>
      </x:c>
      <x:c r="AE222" s="83"/>
      <x:c r="AF222" s="83">
        <x:f>+BORDRO!K226</x:f>
      </x:c>
      <x:c r="AG222" s="83">
        <x:f>+BORDRO!L226</x:f>
      </x:c>
      <x:c r="AH222" s="88">
        <x:f>+BORDRO!M226</x:f>
      </x:c>
      <x:c r="AI222" s="83">
        <x:f>+BORDRO!O226</x:f>
      </x:c>
      <x:c r="AJ222" s="84">
        <x:f>+BORDRO!P226</x:f>
      </x:c>
    </x:row>
    <x:row r="223" spans="1:36" ht="14.25" customHeight="1" x14ac:dyDescent="0.2">
      <x:c r="A223" s="72" t="s">
        <x:v>106</x:v>
      </x:c>
      <x:c r="B223" s="271">
        <x:v>46</x:v>
      </x:c>
      <x:c r="C223" s="72" t="s">
        <x:v>107</x:v>
      </x:c>
      <x:c r="D223" s="72" t="s">
        <x:v>108</x:v>
      </x:c>
      <x:c r="E223" s="72" t="s">
        <x:v>108</x:v>
      </x:c>
      <x:c r="F223" s="73">
        <x:v>1494768</x:v>
      </x:c>
      <x:c r="G223" s="74" t="s">
        <x:v>109</x:v>
      </x:c>
      <x:c r="H223" s="72" t="s">
        <x:v>110</x:v>
      </x:c>
      <x:c r="I223" s="86"/>
      <x:c r="J223" s="75">
        <x:f>+Puantaj!C227</x:f>
      </x:c>
      <x:c r="K223" s="72">
        <x:f>+Puantaj!D227</x:f>
      </x:c>
      <x:c r="L223" s="72">
        <x:f>+Puantaj!E227</x:f>
      </x:c>
      <x:c r="M223" s="265">
        <x:f>+BORDRO!F227</x:f>
      </x:c>
      <x:c r="N223" s="72"/>
      <x:c r="O223" s="87">
        <x:f>+BORDRO!G227</x:f>
      </x:c>
      <x:c r="P223" s="87">
        <x:v>0</x:v>
      </x:c>
      <x:c r="Q223" s="267"/>
      <x:c r="R223" s="267"/>
      <x:c r="S223" s="78"/>
      <x:c r="T223" s="78"/>
      <x:c r="U223" s="79"/>
      <x:c r="V223" s="268">
        <x:f>31-M223-Q223</x:f>
      </x:c>
      <x:c r="W223" s="269">
        <x:v>6</x:v>
      </x:c>
      <x:c r="X223" s="270" t="s">
        <x:v>112</x:v>
      </x:c>
      <x:c r="Y223" s="73">
        <x:v>2</x:v>
      </x:c>
      <x:c r="Z223" s="72" t="s">
        <x:v>106</x:v>
      </x:c>
      <x:c r="AA223" s="82" t="s">
        <x:v>111</x:v>
      </x:c>
      <x:c r="AB223" s="72">
        <x:v>2025</x:v>
      </x:c>
      <x:c r="AC223" s="72" t="s">
        <x:v>113</x:v>
      </x:c>
      <x:c r="AD223" s="88">
        <x:f>+BORDRO!J227</x:f>
      </x:c>
      <x:c r="AE223" s="83"/>
      <x:c r="AF223" s="83">
        <x:f>+BORDRO!K227</x:f>
      </x:c>
      <x:c r="AG223" s="83">
        <x:f>+BORDRO!L227</x:f>
      </x:c>
      <x:c r="AH223" s="88">
        <x:f>+BORDRO!M227</x:f>
      </x:c>
      <x:c r="AI223" s="83">
        <x:f>+BORDRO!O227</x:f>
      </x:c>
      <x:c r="AJ223" s="84">
        <x:f>+BORDRO!P227</x:f>
      </x:c>
    </x:row>
    <x:row r="224" spans="1:36" ht="15" customHeight="1" x14ac:dyDescent="0.25">
      <x:c r="A224" s="72" t="s">
        <x:v>106</x:v>
      </x:c>
      <x:c r="B224" s="264">
        <x:v>46</x:v>
      </x:c>
      <x:c r="C224" s="72" t="s">
        <x:v>107</x:v>
      </x:c>
      <x:c r="D224" s="72" t="s">
        <x:v>108</x:v>
      </x:c>
      <x:c r="E224" s="72" t="s">
        <x:v>108</x:v>
      </x:c>
      <x:c r="F224" s="73">
        <x:v>1494768</x:v>
      </x:c>
      <x:c r="G224" s="74" t="s">
        <x:v>109</x:v>
      </x:c>
      <x:c r="H224" s="72" t="s">
        <x:v>110</x:v>
      </x:c>
      <x:c r="I224" s="86"/>
      <x:c r="J224" s="75">
        <x:f>+Puantaj!C228</x:f>
      </x:c>
      <x:c r="K224" s="72">
        <x:f>+Puantaj!D228</x:f>
      </x:c>
      <x:c r="L224" s="72">
        <x:f>+Puantaj!E228</x:f>
      </x:c>
      <x:c r="M224" s="265">
        <x:f>+BORDRO!F228</x:f>
      </x:c>
      <x:c r="N224" s="72"/>
      <x:c r="O224" s="87">
        <x:f>+BORDRO!G228</x:f>
      </x:c>
      <x:c r="P224" s="87">
        <x:v>0</x:v>
      </x:c>
      <x:c r="Q224" s="267"/>
      <x:c r="R224" s="267"/>
      <x:c r="S224" s="78"/>
      <x:c r="T224" s="78"/>
      <x:c r="U224" s="79"/>
      <x:c r="V224" s="268">
        <x:f>31-M224-Q224</x:f>
      </x:c>
      <x:c r="W224" s="269">
        <x:v>6</x:v>
      </x:c>
      <x:c r="X224" s="270" t="s">
        <x:v>112</x:v>
      </x:c>
      <x:c r="Y224" s="73">
        <x:v>2</x:v>
      </x:c>
      <x:c r="Z224" s="72" t="s">
        <x:v>106</x:v>
      </x:c>
      <x:c r="AA224" s="82" t="s">
        <x:v>111</x:v>
      </x:c>
      <x:c r="AB224" s="72">
        <x:v>2025</x:v>
      </x:c>
      <x:c r="AC224" s="72" t="s">
        <x:v>113</x:v>
      </x:c>
      <x:c r="AD224" s="88">
        <x:f>+BORDRO!J228</x:f>
      </x:c>
      <x:c r="AE224" s="83"/>
      <x:c r="AF224" s="83">
        <x:f>+BORDRO!K228</x:f>
      </x:c>
      <x:c r="AG224" s="83">
        <x:f>+BORDRO!L228</x:f>
      </x:c>
      <x:c r="AH224" s="88">
        <x:f>+BORDRO!M228</x:f>
      </x:c>
      <x:c r="AI224" s="83">
        <x:f>+BORDRO!O228</x:f>
      </x:c>
      <x:c r="AJ224" s="84">
        <x:f>+BORDRO!P228</x:f>
      </x:c>
    </x:row>
    <x:row r="225" spans="1:36" ht="14.25" customHeight="1" x14ac:dyDescent="0.2">
      <x:c r="A225" s="72" t="s">
        <x:v>106</x:v>
      </x:c>
      <x:c r="B225" s="271">
        <x:v>46</x:v>
      </x:c>
      <x:c r="C225" s="72" t="s">
        <x:v>107</x:v>
      </x:c>
      <x:c r="D225" s="72" t="s">
        <x:v>108</x:v>
      </x:c>
      <x:c r="E225" s="72" t="s">
        <x:v>108</x:v>
      </x:c>
      <x:c r="F225" s="73">
        <x:v>1494768</x:v>
      </x:c>
      <x:c r="G225" s="74" t="s">
        <x:v>109</x:v>
      </x:c>
      <x:c r="H225" s="72" t="s">
        <x:v>110</x:v>
      </x:c>
      <x:c r="I225" s="86"/>
      <x:c r="J225" s="75">
        <x:f>+Puantaj!C229</x:f>
      </x:c>
      <x:c r="K225" s="72">
        <x:f>+Puantaj!D229</x:f>
      </x:c>
      <x:c r="L225" s="72">
        <x:f>+Puantaj!E229</x:f>
      </x:c>
      <x:c r="M225" s="265">
        <x:f>+BORDRO!F229</x:f>
      </x:c>
      <x:c r="N225" s="72"/>
      <x:c r="O225" s="87">
        <x:f>+BORDRO!G229</x:f>
      </x:c>
      <x:c r="P225" s="87">
        <x:v>0</x:v>
      </x:c>
      <x:c r="Q225" s="267"/>
      <x:c r="R225" s="267"/>
      <x:c r="S225" s="78"/>
      <x:c r="T225" s="78"/>
      <x:c r="U225" s="79"/>
      <x:c r="V225" s="268">
        <x:f>31-M225-Q225</x:f>
      </x:c>
      <x:c r="W225" s="269">
        <x:v>6</x:v>
      </x:c>
      <x:c r="X225" s="270" t="s">
        <x:v>112</x:v>
      </x:c>
      <x:c r="Y225" s="73">
        <x:v>2</x:v>
      </x:c>
      <x:c r="Z225" s="72" t="s">
        <x:v>106</x:v>
      </x:c>
      <x:c r="AA225" s="82" t="s">
        <x:v>111</x:v>
      </x:c>
      <x:c r="AB225" s="72">
        <x:v>2025</x:v>
      </x:c>
      <x:c r="AC225" s="72" t="s">
        <x:v>113</x:v>
      </x:c>
      <x:c r="AD225" s="88">
        <x:f>+BORDRO!J229</x:f>
      </x:c>
      <x:c r="AE225" s="83"/>
      <x:c r="AF225" s="83">
        <x:f>+BORDRO!K229</x:f>
      </x:c>
      <x:c r="AG225" s="83">
        <x:f>+BORDRO!L229</x:f>
      </x:c>
      <x:c r="AH225" s="88">
        <x:f>+BORDRO!M229</x:f>
      </x:c>
      <x:c r="AI225" s="83">
        <x:f>+BORDRO!O229</x:f>
      </x:c>
      <x:c r="AJ225" s="84">
        <x:f>+BORDRO!P229</x:f>
      </x:c>
    </x:row>
    <x:row r="226" spans="1:36" ht="15" customHeight="1" x14ac:dyDescent="0.25">
      <x:c r="A226" s="72" t="s">
        <x:v>106</x:v>
      </x:c>
      <x:c r="B226" s="264">
        <x:v>46</x:v>
      </x:c>
      <x:c r="C226" s="72" t="s">
        <x:v>107</x:v>
      </x:c>
      <x:c r="D226" s="72" t="s">
        <x:v>108</x:v>
      </x:c>
      <x:c r="E226" s="72" t="s">
        <x:v>108</x:v>
      </x:c>
      <x:c r="F226" s="73">
        <x:v>1494768</x:v>
      </x:c>
      <x:c r="G226" s="74" t="s">
        <x:v>109</x:v>
      </x:c>
      <x:c r="H226" s="72" t="s">
        <x:v>110</x:v>
      </x:c>
      <x:c r="I226" s="86"/>
      <x:c r="J226" s="75">
        <x:f>+Puantaj!C230</x:f>
      </x:c>
      <x:c r="K226" s="72">
        <x:f>+Puantaj!D230</x:f>
      </x:c>
      <x:c r="L226" s="72">
        <x:f>+Puantaj!E230</x:f>
      </x:c>
      <x:c r="M226" s="265">
        <x:f>+BORDRO!F230</x:f>
      </x:c>
      <x:c r="N226" s="72"/>
      <x:c r="O226" s="87">
        <x:f>+BORDRO!G230</x:f>
      </x:c>
      <x:c r="P226" s="87">
        <x:v>0</x:v>
      </x:c>
      <x:c r="Q226" s="267"/>
      <x:c r="R226" s="267"/>
      <x:c r="S226" s="78"/>
      <x:c r="T226" s="78"/>
      <x:c r="U226" s="79"/>
      <x:c r="V226" s="268">
        <x:f>31-M226-Q226</x:f>
      </x:c>
      <x:c r="W226" s="269">
        <x:v>6</x:v>
      </x:c>
      <x:c r="X226" s="270" t="s">
        <x:v>112</x:v>
      </x:c>
      <x:c r="Y226" s="73">
        <x:v>2</x:v>
      </x:c>
      <x:c r="Z226" s="72" t="s">
        <x:v>106</x:v>
      </x:c>
      <x:c r="AA226" s="82" t="s">
        <x:v>111</x:v>
      </x:c>
      <x:c r="AB226" s="72">
        <x:v>2025</x:v>
      </x:c>
      <x:c r="AC226" s="72" t="s">
        <x:v>113</x:v>
      </x:c>
      <x:c r="AD226" s="88">
        <x:f>+BORDRO!J230</x:f>
      </x:c>
      <x:c r="AE226" s="83"/>
      <x:c r="AF226" s="83">
        <x:f>+BORDRO!K230</x:f>
      </x:c>
      <x:c r="AG226" s="83">
        <x:f>+BORDRO!L230</x:f>
      </x:c>
      <x:c r="AH226" s="88">
        <x:f>+BORDRO!M230</x:f>
      </x:c>
      <x:c r="AI226" s="83">
        <x:f>+BORDRO!O230</x:f>
      </x:c>
      <x:c r="AJ226" s="84">
        <x:f>+BORDRO!P230</x:f>
      </x:c>
    </x:row>
    <x:row r="227" spans="1:36" ht="14.25" customHeight="1" x14ac:dyDescent="0.2">
      <x:c r="A227" s="72" t="s">
        <x:v>106</x:v>
      </x:c>
      <x:c r="B227" s="271">
        <x:v>46</x:v>
      </x:c>
      <x:c r="C227" s="72" t="s">
        <x:v>107</x:v>
      </x:c>
      <x:c r="D227" s="72" t="s">
        <x:v>108</x:v>
      </x:c>
      <x:c r="E227" s="72" t="s">
        <x:v>108</x:v>
      </x:c>
      <x:c r="F227" s="73">
        <x:v>1494768</x:v>
      </x:c>
      <x:c r="G227" s="74" t="s">
        <x:v>109</x:v>
      </x:c>
      <x:c r="H227" s="72" t="s">
        <x:v>110</x:v>
      </x:c>
      <x:c r="I227" s="86"/>
      <x:c r="J227" s="75">
        <x:f>+Puantaj!C231</x:f>
      </x:c>
      <x:c r="K227" s="72">
        <x:f>+Puantaj!D231</x:f>
      </x:c>
      <x:c r="L227" s="72">
        <x:f>+Puantaj!E231</x:f>
      </x:c>
      <x:c r="M227" s="265">
        <x:f>+BORDRO!F231</x:f>
      </x:c>
      <x:c r="N227" s="72"/>
      <x:c r="O227" s="87">
        <x:f>+BORDRO!G231</x:f>
      </x:c>
      <x:c r="P227" s="87">
        <x:v>0</x:v>
      </x:c>
      <x:c r="Q227" s="267"/>
      <x:c r="R227" s="267"/>
      <x:c r="S227" s="78"/>
      <x:c r="T227" s="78"/>
      <x:c r="U227" s="79"/>
      <x:c r="V227" s="268">
        <x:f>31-M227-Q227</x:f>
      </x:c>
      <x:c r="W227" s="269">
        <x:v>6</x:v>
      </x:c>
      <x:c r="X227" s="270" t="s">
        <x:v>112</x:v>
      </x:c>
      <x:c r="Y227" s="73">
        <x:v>2</x:v>
      </x:c>
      <x:c r="Z227" s="72" t="s">
        <x:v>106</x:v>
      </x:c>
      <x:c r="AA227" s="82" t="s">
        <x:v>111</x:v>
      </x:c>
      <x:c r="AB227" s="72">
        <x:v>2025</x:v>
      </x:c>
      <x:c r="AC227" s="72" t="s">
        <x:v>113</x:v>
      </x:c>
      <x:c r="AD227" s="88">
        <x:f>+BORDRO!J231</x:f>
      </x:c>
      <x:c r="AE227" s="83"/>
      <x:c r="AF227" s="83">
        <x:f>+BORDRO!K231</x:f>
      </x:c>
      <x:c r="AG227" s="83">
        <x:f>+BORDRO!L231</x:f>
      </x:c>
      <x:c r="AH227" s="88">
        <x:f>+BORDRO!M231</x:f>
      </x:c>
      <x:c r="AI227" s="83">
        <x:f>+BORDRO!O231</x:f>
      </x:c>
      <x:c r="AJ227" s="84">
        <x:f>+BORDRO!P231</x:f>
      </x:c>
    </x:row>
    <x:row r="228" spans="1:36" ht="15" customHeight="1" x14ac:dyDescent="0.25">
      <x:c r="A228" s="72" t="s">
        <x:v>106</x:v>
      </x:c>
      <x:c r="B228" s="264">
        <x:v>46</x:v>
      </x:c>
      <x:c r="C228" s="72" t="s">
        <x:v>107</x:v>
      </x:c>
      <x:c r="D228" s="72" t="s">
        <x:v>108</x:v>
      </x:c>
      <x:c r="E228" s="72" t="s">
        <x:v>108</x:v>
      </x:c>
      <x:c r="F228" s="73">
        <x:v>1494768</x:v>
      </x:c>
      <x:c r="G228" s="74" t="s">
        <x:v>109</x:v>
      </x:c>
      <x:c r="H228" s="72" t="s">
        <x:v>110</x:v>
      </x:c>
      <x:c r="I228" s="86"/>
      <x:c r="J228" s="75">
        <x:f>+Puantaj!C232</x:f>
      </x:c>
      <x:c r="K228" s="72">
        <x:f>+Puantaj!D232</x:f>
      </x:c>
      <x:c r="L228" s="72">
        <x:f>+Puantaj!E232</x:f>
      </x:c>
      <x:c r="M228" s="265">
        <x:f>+BORDRO!F232</x:f>
      </x:c>
      <x:c r="N228" s="72"/>
      <x:c r="O228" s="87">
        <x:f>+BORDRO!G232</x:f>
      </x:c>
      <x:c r="P228" s="87">
        <x:v>0</x:v>
      </x:c>
      <x:c r="Q228" s="267"/>
      <x:c r="R228" s="267"/>
      <x:c r="S228" s="78"/>
      <x:c r="T228" s="78"/>
      <x:c r="U228" s="79"/>
      <x:c r="V228" s="268">
        <x:f>31-M228-Q228</x:f>
      </x:c>
      <x:c r="W228" s="269">
        <x:v>6</x:v>
      </x:c>
      <x:c r="X228" s="270" t="s">
        <x:v>112</x:v>
      </x:c>
      <x:c r="Y228" s="73">
        <x:v>2</x:v>
      </x:c>
      <x:c r="Z228" s="72" t="s">
        <x:v>106</x:v>
      </x:c>
      <x:c r="AA228" s="82" t="s">
        <x:v>111</x:v>
      </x:c>
      <x:c r="AB228" s="72">
        <x:v>2025</x:v>
      </x:c>
      <x:c r="AC228" s="72" t="s">
        <x:v>113</x:v>
      </x:c>
      <x:c r="AD228" s="88">
        <x:f>+BORDRO!J232</x:f>
      </x:c>
      <x:c r="AE228" s="83"/>
      <x:c r="AF228" s="83">
        <x:f>+BORDRO!K232</x:f>
      </x:c>
      <x:c r="AG228" s="83">
        <x:f>+BORDRO!L232</x:f>
      </x:c>
      <x:c r="AH228" s="88">
        <x:f>+BORDRO!M232</x:f>
      </x:c>
      <x:c r="AI228" s="83">
        <x:f>+BORDRO!O232</x:f>
      </x:c>
      <x:c r="AJ228" s="84">
        <x:f>+BORDRO!P232</x:f>
      </x:c>
    </x:row>
    <x:row r="229" spans="1:36" ht="14.25" customHeight="1" x14ac:dyDescent="0.2">
      <x:c r="A229" s="72" t="s">
        <x:v>106</x:v>
      </x:c>
      <x:c r="B229" s="271">
        <x:v>46</x:v>
      </x:c>
      <x:c r="C229" s="72" t="s">
        <x:v>107</x:v>
      </x:c>
      <x:c r="D229" s="72" t="s">
        <x:v>108</x:v>
      </x:c>
      <x:c r="E229" s="72" t="s">
        <x:v>108</x:v>
      </x:c>
      <x:c r="F229" s="73">
        <x:v>1494768</x:v>
      </x:c>
      <x:c r="G229" s="74" t="s">
        <x:v>109</x:v>
      </x:c>
      <x:c r="H229" s="72" t="s">
        <x:v>110</x:v>
      </x:c>
      <x:c r="I229" s="86"/>
      <x:c r="J229" s="75">
        <x:f>+Puantaj!C233</x:f>
      </x:c>
      <x:c r="K229" s="72">
        <x:f>+Puantaj!D233</x:f>
      </x:c>
      <x:c r="L229" s="72">
        <x:f>+Puantaj!E233</x:f>
      </x:c>
      <x:c r="M229" s="265">
        <x:f>+BORDRO!F233</x:f>
      </x:c>
      <x:c r="N229" s="72"/>
      <x:c r="O229" s="87">
        <x:f>+BORDRO!G233</x:f>
      </x:c>
      <x:c r="P229" s="87">
        <x:v>0</x:v>
      </x:c>
      <x:c r="Q229" s="267"/>
      <x:c r="R229" s="267"/>
      <x:c r="S229" s="78"/>
      <x:c r="T229" s="78"/>
      <x:c r="U229" s="79"/>
      <x:c r="V229" s="268">
        <x:f>31-M229-Q229</x:f>
      </x:c>
      <x:c r="W229" s="269">
        <x:v>6</x:v>
      </x:c>
      <x:c r="X229" s="270" t="s">
        <x:v>112</x:v>
      </x:c>
      <x:c r="Y229" s="73">
        <x:v>2</x:v>
      </x:c>
      <x:c r="Z229" s="72" t="s">
        <x:v>106</x:v>
      </x:c>
      <x:c r="AA229" s="82" t="s">
        <x:v>111</x:v>
      </x:c>
      <x:c r="AB229" s="72">
        <x:v>2025</x:v>
      </x:c>
      <x:c r="AC229" s="72" t="s">
        <x:v>113</x:v>
      </x:c>
      <x:c r="AD229" s="88">
        <x:f>+BORDRO!J233</x:f>
      </x:c>
      <x:c r="AE229" s="83"/>
      <x:c r="AF229" s="83">
        <x:f>+BORDRO!K233</x:f>
      </x:c>
      <x:c r="AG229" s="83">
        <x:f>+BORDRO!L233</x:f>
      </x:c>
      <x:c r="AH229" s="88">
        <x:f>+BORDRO!M233</x:f>
      </x:c>
      <x:c r="AI229" s="83">
        <x:f>+BORDRO!O233</x:f>
      </x:c>
      <x:c r="AJ229" s="84">
        <x:f>+BORDRO!P233</x:f>
      </x:c>
    </x:row>
    <x:row r="230" spans="1:36" ht="15" customHeight="1" x14ac:dyDescent="0.25">
      <x:c r="A230" s="72" t="s">
        <x:v>106</x:v>
      </x:c>
      <x:c r="B230" s="264">
        <x:v>46</x:v>
      </x:c>
      <x:c r="C230" s="72" t="s">
        <x:v>107</x:v>
      </x:c>
      <x:c r="D230" s="72" t="s">
        <x:v>108</x:v>
      </x:c>
      <x:c r="E230" s="72" t="s">
        <x:v>108</x:v>
      </x:c>
      <x:c r="F230" s="73">
        <x:v>1494768</x:v>
      </x:c>
      <x:c r="G230" s="74" t="s">
        <x:v>109</x:v>
      </x:c>
      <x:c r="H230" s="72" t="s">
        <x:v>110</x:v>
      </x:c>
      <x:c r="I230" s="86"/>
      <x:c r="J230" s="75">
        <x:f>+Puantaj!C234</x:f>
      </x:c>
      <x:c r="K230" s="72">
        <x:f>+Puantaj!D234</x:f>
      </x:c>
      <x:c r="L230" s="72">
        <x:f>+Puantaj!E234</x:f>
      </x:c>
      <x:c r="M230" s="265">
        <x:f>+BORDRO!F234</x:f>
      </x:c>
      <x:c r="N230" s="72"/>
      <x:c r="O230" s="87">
        <x:f>+BORDRO!G234</x:f>
      </x:c>
      <x:c r="P230" s="87">
        <x:v>0</x:v>
      </x:c>
      <x:c r="Q230" s="267"/>
      <x:c r="R230" s="267"/>
      <x:c r="S230" s="78"/>
      <x:c r="T230" s="78"/>
      <x:c r="U230" s="79"/>
      <x:c r="V230" s="268">
        <x:f>31-M230-Q230</x:f>
      </x:c>
      <x:c r="W230" s="269">
        <x:v>6</x:v>
      </x:c>
      <x:c r="X230" s="270" t="s">
        <x:v>112</x:v>
      </x:c>
      <x:c r="Y230" s="73">
        <x:v>2</x:v>
      </x:c>
      <x:c r="Z230" s="72" t="s">
        <x:v>106</x:v>
      </x:c>
      <x:c r="AA230" s="82" t="s">
        <x:v>111</x:v>
      </x:c>
      <x:c r="AB230" s="72">
        <x:v>2025</x:v>
      </x:c>
      <x:c r="AC230" s="72" t="s">
        <x:v>113</x:v>
      </x:c>
      <x:c r="AD230" s="88">
        <x:f>+BORDRO!J234</x:f>
      </x:c>
      <x:c r="AE230" s="83"/>
      <x:c r="AF230" s="83">
        <x:f>+BORDRO!K234</x:f>
      </x:c>
      <x:c r="AG230" s="83">
        <x:f>+BORDRO!L234</x:f>
      </x:c>
      <x:c r="AH230" s="88">
        <x:f>+BORDRO!M234</x:f>
      </x:c>
      <x:c r="AI230" s="83">
        <x:f>+BORDRO!O234</x:f>
      </x:c>
      <x:c r="AJ230" s="84">
        <x:f>+BORDRO!P234</x:f>
      </x:c>
    </x:row>
    <x:row r="231" spans="1:36" ht="14.25" customHeight="1" x14ac:dyDescent="0.2">
      <x:c r="A231" s="72" t="s">
        <x:v>106</x:v>
      </x:c>
      <x:c r="B231" s="271">
        <x:v>46</x:v>
      </x:c>
      <x:c r="C231" s="72" t="s">
        <x:v>107</x:v>
      </x:c>
      <x:c r="D231" s="72" t="s">
        <x:v>108</x:v>
      </x:c>
      <x:c r="E231" s="72" t="s">
        <x:v>108</x:v>
      </x:c>
      <x:c r="F231" s="73">
        <x:v>1494768</x:v>
      </x:c>
      <x:c r="G231" s="74" t="s">
        <x:v>109</x:v>
      </x:c>
      <x:c r="H231" s="72" t="s">
        <x:v>110</x:v>
      </x:c>
      <x:c r="I231" s="86"/>
      <x:c r="J231" s="75">
        <x:f>+Puantaj!C235</x:f>
      </x:c>
      <x:c r="K231" s="72">
        <x:f>+Puantaj!D235</x:f>
      </x:c>
      <x:c r="L231" s="72">
        <x:f>+Puantaj!E235</x:f>
      </x:c>
      <x:c r="M231" s="265">
        <x:f>+BORDRO!F235</x:f>
      </x:c>
      <x:c r="N231" s="72"/>
      <x:c r="O231" s="87">
        <x:f>+BORDRO!G235</x:f>
      </x:c>
      <x:c r="P231" s="87">
        <x:v>0</x:v>
      </x:c>
      <x:c r="Q231" s="267"/>
      <x:c r="R231" s="267"/>
      <x:c r="S231" s="78"/>
      <x:c r="T231" s="78"/>
      <x:c r="U231" s="79"/>
      <x:c r="V231" s="268">
        <x:f>31-M231-Q231</x:f>
      </x:c>
      <x:c r="W231" s="269">
        <x:v>6</x:v>
      </x:c>
      <x:c r="X231" s="270" t="s">
        <x:v>112</x:v>
      </x:c>
      <x:c r="Y231" s="73">
        <x:v>2</x:v>
      </x:c>
      <x:c r="Z231" s="72" t="s">
        <x:v>106</x:v>
      </x:c>
      <x:c r="AA231" s="82" t="s">
        <x:v>111</x:v>
      </x:c>
      <x:c r="AB231" s="72">
        <x:v>2025</x:v>
      </x:c>
      <x:c r="AC231" s="72" t="s">
        <x:v>113</x:v>
      </x:c>
      <x:c r="AD231" s="88">
        <x:f>+BORDRO!J235</x:f>
      </x:c>
      <x:c r="AE231" s="83"/>
      <x:c r="AF231" s="83">
        <x:f>+BORDRO!K235</x:f>
      </x:c>
      <x:c r="AG231" s="83">
        <x:f>+BORDRO!L235</x:f>
      </x:c>
      <x:c r="AH231" s="88">
        <x:f>+BORDRO!M235</x:f>
      </x:c>
      <x:c r="AI231" s="83">
        <x:f>+BORDRO!O235</x:f>
      </x:c>
      <x:c r="AJ231" s="84">
        <x:f>+BORDRO!P235</x:f>
      </x:c>
    </x:row>
    <x:row r="232" spans="1:36" ht="15" customHeight="1" x14ac:dyDescent="0.25">
      <x:c r="A232" s="72" t="s">
        <x:v>106</x:v>
      </x:c>
      <x:c r="B232" s="264">
        <x:v>46</x:v>
      </x:c>
      <x:c r="C232" s="72" t="s">
        <x:v>107</x:v>
      </x:c>
      <x:c r="D232" s="72" t="s">
        <x:v>108</x:v>
      </x:c>
      <x:c r="E232" s="72" t="s">
        <x:v>108</x:v>
      </x:c>
      <x:c r="F232" s="73">
        <x:v>1494768</x:v>
      </x:c>
      <x:c r="G232" s="74" t="s">
        <x:v>109</x:v>
      </x:c>
      <x:c r="H232" s="72" t="s">
        <x:v>110</x:v>
      </x:c>
      <x:c r="I232" s="86"/>
      <x:c r="J232" s="75">
        <x:f>+Puantaj!C236</x:f>
      </x:c>
      <x:c r="K232" s="72">
        <x:f>+Puantaj!D236</x:f>
      </x:c>
      <x:c r="L232" s="72">
        <x:f>+Puantaj!E236</x:f>
      </x:c>
      <x:c r="M232" s="265">
        <x:f>+BORDRO!F236</x:f>
      </x:c>
      <x:c r="N232" s="72"/>
      <x:c r="O232" s="87">
        <x:f>+BORDRO!G236</x:f>
      </x:c>
      <x:c r="P232" s="87">
        <x:v>0</x:v>
      </x:c>
      <x:c r="Q232" s="267"/>
      <x:c r="R232" s="267"/>
      <x:c r="S232" s="78"/>
      <x:c r="T232" s="78"/>
      <x:c r="U232" s="79"/>
      <x:c r="V232" s="268">
        <x:f>31-M232-Q232</x:f>
      </x:c>
      <x:c r="W232" s="269">
        <x:v>6</x:v>
      </x:c>
      <x:c r="X232" s="270" t="s">
        <x:v>112</x:v>
      </x:c>
      <x:c r="Y232" s="73">
        <x:v>2</x:v>
      </x:c>
      <x:c r="Z232" s="72" t="s">
        <x:v>106</x:v>
      </x:c>
      <x:c r="AA232" s="82" t="s">
        <x:v>111</x:v>
      </x:c>
      <x:c r="AB232" s="72">
        <x:v>2025</x:v>
      </x:c>
      <x:c r="AC232" s="72" t="s">
        <x:v>113</x:v>
      </x:c>
      <x:c r="AD232" s="88">
        <x:f>+BORDRO!J236</x:f>
      </x:c>
      <x:c r="AE232" s="83"/>
      <x:c r="AF232" s="83">
        <x:f>+BORDRO!K236</x:f>
      </x:c>
      <x:c r="AG232" s="83">
        <x:f>+BORDRO!L236</x:f>
      </x:c>
      <x:c r="AH232" s="88">
        <x:f>+BORDRO!M236</x:f>
      </x:c>
      <x:c r="AI232" s="83">
        <x:f>+BORDRO!O236</x:f>
      </x:c>
      <x:c r="AJ232" s="84">
        <x:f>+BORDRO!P236</x:f>
      </x:c>
    </x:row>
    <x:row r="233" spans="1:36" ht="14.25" customHeight="1" x14ac:dyDescent="0.2">
      <x:c r="A233" s="72" t="s">
        <x:v>106</x:v>
      </x:c>
      <x:c r="B233" s="271">
        <x:v>46</x:v>
      </x:c>
      <x:c r="C233" s="72" t="s">
        <x:v>107</x:v>
      </x:c>
      <x:c r="D233" s="72" t="s">
        <x:v>108</x:v>
      </x:c>
      <x:c r="E233" s="72" t="s">
        <x:v>108</x:v>
      </x:c>
      <x:c r="F233" s="73">
        <x:v>1494768</x:v>
      </x:c>
      <x:c r="G233" s="74" t="s">
        <x:v>109</x:v>
      </x:c>
      <x:c r="H233" s="72" t="s">
        <x:v>110</x:v>
      </x:c>
      <x:c r="I233" s="86"/>
      <x:c r="J233" s="75">
        <x:f>+Puantaj!C237</x:f>
      </x:c>
      <x:c r="K233" s="72">
        <x:f>+Puantaj!D237</x:f>
      </x:c>
      <x:c r="L233" s="72">
        <x:f>+Puantaj!E237</x:f>
      </x:c>
      <x:c r="M233" s="265">
        <x:f>+BORDRO!F237</x:f>
      </x:c>
      <x:c r="N233" s="72"/>
      <x:c r="O233" s="87">
        <x:f>+BORDRO!G237</x:f>
      </x:c>
      <x:c r="P233" s="87">
        <x:v>0</x:v>
      </x:c>
      <x:c r="Q233" s="267"/>
      <x:c r="R233" s="267"/>
      <x:c r="S233" s="78"/>
      <x:c r="T233" s="78"/>
      <x:c r="U233" s="79"/>
      <x:c r="V233" s="268">
        <x:f>31-M233-Q233</x:f>
      </x:c>
      <x:c r="W233" s="269">
        <x:v>6</x:v>
      </x:c>
      <x:c r="X233" s="270" t="s">
        <x:v>112</x:v>
      </x:c>
      <x:c r="Y233" s="73">
        <x:v>2</x:v>
      </x:c>
      <x:c r="Z233" s="72" t="s">
        <x:v>106</x:v>
      </x:c>
      <x:c r="AA233" s="82" t="s">
        <x:v>111</x:v>
      </x:c>
      <x:c r="AB233" s="72">
        <x:v>2025</x:v>
      </x:c>
      <x:c r="AC233" s="72" t="s">
        <x:v>113</x:v>
      </x:c>
      <x:c r="AD233" s="88">
        <x:f>+BORDRO!J237</x:f>
      </x:c>
      <x:c r="AE233" s="83"/>
      <x:c r="AF233" s="83">
        <x:f>+BORDRO!K237</x:f>
      </x:c>
      <x:c r="AG233" s="83">
        <x:f>+BORDRO!L237</x:f>
      </x:c>
      <x:c r="AH233" s="88">
        <x:f>+BORDRO!M237</x:f>
      </x:c>
      <x:c r="AI233" s="83">
        <x:f>+BORDRO!O237</x:f>
      </x:c>
      <x:c r="AJ233" s="84">
        <x:f>+BORDRO!P237</x:f>
      </x:c>
    </x:row>
    <x:row r="234" spans="1:36" ht="15" customHeight="1" x14ac:dyDescent="0.25">
      <x:c r="A234" s="72" t="s">
        <x:v>106</x:v>
      </x:c>
      <x:c r="B234" s="264">
        <x:v>46</x:v>
      </x:c>
      <x:c r="C234" s="72" t="s">
        <x:v>107</x:v>
      </x:c>
      <x:c r="D234" s="72" t="s">
        <x:v>108</x:v>
      </x:c>
      <x:c r="E234" s="72" t="s">
        <x:v>108</x:v>
      </x:c>
      <x:c r="F234" s="73">
        <x:v>1494768</x:v>
      </x:c>
      <x:c r="G234" s="74" t="s">
        <x:v>109</x:v>
      </x:c>
      <x:c r="H234" s="72" t="s">
        <x:v>110</x:v>
      </x:c>
      <x:c r="I234" s="86"/>
      <x:c r="J234" s="75">
        <x:f>+Puantaj!C238</x:f>
      </x:c>
      <x:c r="K234" s="72">
        <x:f>+Puantaj!D238</x:f>
      </x:c>
      <x:c r="L234" s="72">
        <x:f>+Puantaj!E238</x:f>
      </x:c>
      <x:c r="M234" s="265">
        <x:f>+BORDRO!F238</x:f>
      </x:c>
      <x:c r="N234" s="72"/>
      <x:c r="O234" s="87">
        <x:f>+BORDRO!G238</x:f>
      </x:c>
      <x:c r="P234" s="87">
        <x:v>0</x:v>
      </x:c>
      <x:c r="Q234" s="267"/>
      <x:c r="R234" s="267"/>
      <x:c r="S234" s="78"/>
      <x:c r="T234" s="78"/>
      <x:c r="U234" s="79"/>
      <x:c r="V234" s="268">
        <x:f>31-M234-Q234</x:f>
      </x:c>
      <x:c r="W234" s="269">
        <x:v>6</x:v>
      </x:c>
      <x:c r="X234" s="270" t="s">
        <x:v>112</x:v>
      </x:c>
      <x:c r="Y234" s="73">
        <x:v>2</x:v>
      </x:c>
      <x:c r="Z234" s="72" t="s">
        <x:v>106</x:v>
      </x:c>
      <x:c r="AA234" s="82" t="s">
        <x:v>111</x:v>
      </x:c>
      <x:c r="AB234" s="72">
        <x:v>2025</x:v>
      </x:c>
      <x:c r="AC234" s="72" t="s">
        <x:v>113</x:v>
      </x:c>
      <x:c r="AD234" s="88">
        <x:f>+BORDRO!J238</x:f>
      </x:c>
      <x:c r="AE234" s="83"/>
      <x:c r="AF234" s="83">
        <x:f>+BORDRO!K238</x:f>
      </x:c>
      <x:c r="AG234" s="83">
        <x:f>+BORDRO!L238</x:f>
      </x:c>
      <x:c r="AH234" s="88">
        <x:f>+BORDRO!M238</x:f>
      </x:c>
      <x:c r="AI234" s="83">
        <x:f>+BORDRO!O238</x:f>
      </x:c>
      <x:c r="AJ234" s="84">
        <x:f>+BORDRO!P238</x:f>
      </x:c>
    </x:row>
    <x:row r="235" spans="1:36" ht="14.25" customHeight="1" x14ac:dyDescent="0.2">
      <x:c r="A235" s="72" t="s">
        <x:v>106</x:v>
      </x:c>
      <x:c r="B235" s="271">
        <x:v>46</x:v>
      </x:c>
      <x:c r="C235" s="72" t="s">
        <x:v>107</x:v>
      </x:c>
      <x:c r="D235" s="72" t="s">
        <x:v>108</x:v>
      </x:c>
      <x:c r="E235" s="72" t="s">
        <x:v>108</x:v>
      </x:c>
      <x:c r="F235" s="73">
        <x:v>1494768</x:v>
      </x:c>
      <x:c r="G235" s="74" t="s">
        <x:v>109</x:v>
      </x:c>
      <x:c r="H235" s="72" t="s">
        <x:v>110</x:v>
      </x:c>
      <x:c r="I235" s="86"/>
      <x:c r="J235" s="75">
        <x:f>+Puantaj!C239</x:f>
      </x:c>
      <x:c r="K235" s="72">
        <x:f>+Puantaj!D239</x:f>
      </x:c>
      <x:c r="L235" s="72">
        <x:f>+Puantaj!E239</x:f>
      </x:c>
      <x:c r="M235" s="265">
        <x:f>+BORDRO!F239</x:f>
      </x:c>
      <x:c r="N235" s="72"/>
      <x:c r="O235" s="87">
        <x:f>+BORDRO!G239</x:f>
      </x:c>
      <x:c r="P235" s="87">
        <x:v>0</x:v>
      </x:c>
      <x:c r="Q235" s="267"/>
      <x:c r="R235" s="267"/>
      <x:c r="S235" s="78"/>
      <x:c r="T235" s="78"/>
      <x:c r="U235" s="79"/>
      <x:c r="V235" s="268">
        <x:f>31-M235-Q235</x:f>
      </x:c>
      <x:c r="W235" s="269">
        <x:v>6</x:v>
      </x:c>
      <x:c r="X235" s="270" t="s">
        <x:v>112</x:v>
      </x:c>
      <x:c r="Y235" s="73">
        <x:v>2</x:v>
      </x:c>
      <x:c r="Z235" s="72" t="s">
        <x:v>106</x:v>
      </x:c>
      <x:c r="AA235" s="82" t="s">
        <x:v>111</x:v>
      </x:c>
      <x:c r="AB235" s="72">
        <x:v>2025</x:v>
      </x:c>
      <x:c r="AC235" s="72" t="s">
        <x:v>113</x:v>
      </x:c>
      <x:c r="AD235" s="88">
        <x:f>+BORDRO!J239</x:f>
      </x:c>
      <x:c r="AE235" s="83"/>
      <x:c r="AF235" s="83">
        <x:f>+BORDRO!K239</x:f>
      </x:c>
      <x:c r="AG235" s="83">
        <x:f>+BORDRO!L239</x:f>
      </x:c>
      <x:c r="AH235" s="88">
        <x:f>+BORDRO!M239</x:f>
      </x:c>
      <x:c r="AI235" s="83">
        <x:f>+BORDRO!O239</x:f>
      </x:c>
      <x:c r="AJ235" s="84">
        <x:f>+BORDRO!P239</x:f>
      </x:c>
    </x:row>
    <x:row r="236" spans="1:36" ht="15" customHeight="1" x14ac:dyDescent="0.25">
      <x:c r="A236" s="72" t="s">
        <x:v>106</x:v>
      </x:c>
      <x:c r="B236" s="264">
        <x:v>46</x:v>
      </x:c>
      <x:c r="C236" s="72" t="s">
        <x:v>107</x:v>
      </x:c>
      <x:c r="D236" s="72" t="s">
        <x:v>108</x:v>
      </x:c>
      <x:c r="E236" s="72" t="s">
        <x:v>108</x:v>
      </x:c>
      <x:c r="F236" s="73">
        <x:v>1494768</x:v>
      </x:c>
      <x:c r="G236" s="74" t="s">
        <x:v>109</x:v>
      </x:c>
      <x:c r="H236" s="72" t="s">
        <x:v>110</x:v>
      </x:c>
      <x:c r="I236" s="86"/>
      <x:c r="J236" s="75">
        <x:f>+Puantaj!C240</x:f>
      </x:c>
      <x:c r="K236" s="72">
        <x:f>+Puantaj!D240</x:f>
      </x:c>
      <x:c r="L236" s="72">
        <x:f>+Puantaj!E240</x:f>
      </x:c>
      <x:c r="M236" s="265">
        <x:f>+BORDRO!F240</x:f>
      </x:c>
      <x:c r="N236" s="72"/>
      <x:c r="O236" s="87">
        <x:f>+BORDRO!G240</x:f>
      </x:c>
      <x:c r="P236" s="87">
        <x:v>0</x:v>
      </x:c>
      <x:c r="Q236" s="267"/>
      <x:c r="R236" s="267"/>
      <x:c r="S236" s="78"/>
      <x:c r="T236" s="78"/>
      <x:c r="U236" s="79"/>
      <x:c r="V236" s="268">
        <x:f>31-M236-Q236</x:f>
      </x:c>
      <x:c r="W236" s="269">
        <x:v>6</x:v>
      </x:c>
      <x:c r="X236" s="270" t="s">
        <x:v>112</x:v>
      </x:c>
      <x:c r="Y236" s="73">
        <x:v>2</x:v>
      </x:c>
      <x:c r="Z236" s="72" t="s">
        <x:v>106</x:v>
      </x:c>
      <x:c r="AA236" s="82" t="s">
        <x:v>111</x:v>
      </x:c>
      <x:c r="AB236" s="72">
        <x:v>2025</x:v>
      </x:c>
      <x:c r="AC236" s="72" t="s">
        <x:v>113</x:v>
      </x:c>
      <x:c r="AD236" s="88">
        <x:f>+BORDRO!J240</x:f>
      </x:c>
      <x:c r="AE236" s="83"/>
      <x:c r="AF236" s="83">
        <x:f>+BORDRO!K240</x:f>
      </x:c>
      <x:c r="AG236" s="83">
        <x:f>+BORDRO!L240</x:f>
      </x:c>
      <x:c r="AH236" s="88">
        <x:f>+BORDRO!M240</x:f>
      </x:c>
      <x:c r="AI236" s="83">
        <x:f>+BORDRO!O240</x:f>
      </x:c>
      <x:c r="AJ236" s="84">
        <x:f>+BORDRO!P240</x:f>
      </x:c>
    </x:row>
    <x:row r="237" spans="1:36" ht="14.25" customHeight="1" x14ac:dyDescent="0.2">
      <x:c r="A237" s="72" t="s">
        <x:v>106</x:v>
      </x:c>
      <x:c r="B237" s="271">
        <x:v>46</x:v>
      </x:c>
      <x:c r="C237" s="72" t="s">
        <x:v>107</x:v>
      </x:c>
      <x:c r="D237" s="72" t="s">
        <x:v>108</x:v>
      </x:c>
      <x:c r="E237" s="72" t="s">
        <x:v>108</x:v>
      </x:c>
      <x:c r="F237" s="73">
        <x:v>1494768</x:v>
      </x:c>
      <x:c r="G237" s="74" t="s">
        <x:v>109</x:v>
      </x:c>
      <x:c r="H237" s="72" t="s">
        <x:v>110</x:v>
      </x:c>
      <x:c r="I237" s="86"/>
      <x:c r="J237" s="75">
        <x:f>+Puantaj!C241</x:f>
      </x:c>
      <x:c r="K237" s="72">
        <x:f>+Puantaj!D241</x:f>
      </x:c>
      <x:c r="L237" s="72">
        <x:f>+Puantaj!E241</x:f>
      </x:c>
      <x:c r="M237" s="265">
        <x:f>+BORDRO!F241</x:f>
      </x:c>
      <x:c r="N237" s="72"/>
      <x:c r="O237" s="87">
        <x:f>+BORDRO!G241</x:f>
      </x:c>
      <x:c r="P237" s="87">
        <x:v>0</x:v>
      </x:c>
      <x:c r="Q237" s="267"/>
      <x:c r="R237" s="267"/>
      <x:c r="S237" s="78"/>
      <x:c r="T237" s="78"/>
      <x:c r="U237" s="79"/>
      <x:c r="V237" s="268">
        <x:f>31-M237-Q237</x:f>
      </x:c>
      <x:c r="W237" s="269">
        <x:v>6</x:v>
      </x:c>
      <x:c r="X237" s="270" t="s">
        <x:v>112</x:v>
      </x:c>
      <x:c r="Y237" s="73">
        <x:v>2</x:v>
      </x:c>
      <x:c r="Z237" s="72" t="s">
        <x:v>106</x:v>
      </x:c>
      <x:c r="AA237" s="82" t="s">
        <x:v>111</x:v>
      </x:c>
      <x:c r="AB237" s="72">
        <x:v>2025</x:v>
      </x:c>
      <x:c r="AC237" s="72" t="s">
        <x:v>113</x:v>
      </x:c>
      <x:c r="AD237" s="88">
        <x:f>+BORDRO!J241</x:f>
      </x:c>
      <x:c r="AE237" s="83"/>
      <x:c r="AF237" s="83">
        <x:f>+BORDRO!K241</x:f>
      </x:c>
      <x:c r="AG237" s="83">
        <x:f>+BORDRO!L241</x:f>
      </x:c>
      <x:c r="AH237" s="88">
        <x:f>+BORDRO!M241</x:f>
      </x:c>
      <x:c r="AI237" s="83">
        <x:f>+BORDRO!O241</x:f>
      </x:c>
      <x:c r="AJ237" s="84">
        <x:f>+BORDRO!P241</x:f>
      </x:c>
    </x:row>
    <x:row r="238" spans="1:36" ht="15" customHeight="1" x14ac:dyDescent="0.25">
      <x:c r="A238" s="72" t="s">
        <x:v>106</x:v>
      </x:c>
      <x:c r="B238" s="264">
        <x:v>46</x:v>
      </x:c>
      <x:c r="C238" s="72" t="s">
        <x:v>107</x:v>
      </x:c>
      <x:c r="D238" s="72" t="s">
        <x:v>108</x:v>
      </x:c>
      <x:c r="E238" s="72" t="s">
        <x:v>108</x:v>
      </x:c>
      <x:c r="F238" s="73">
        <x:v>1494768</x:v>
      </x:c>
      <x:c r="G238" s="74" t="s">
        <x:v>109</x:v>
      </x:c>
      <x:c r="H238" s="72" t="s">
        <x:v>110</x:v>
      </x:c>
      <x:c r="I238" s="86"/>
      <x:c r="J238" s="75">
        <x:f>+Puantaj!C242</x:f>
      </x:c>
      <x:c r="K238" s="72">
        <x:f>+Puantaj!D242</x:f>
      </x:c>
      <x:c r="L238" s="72">
        <x:f>+Puantaj!E242</x:f>
      </x:c>
      <x:c r="M238" s="265">
        <x:f>+BORDRO!F242</x:f>
      </x:c>
      <x:c r="N238" s="72"/>
      <x:c r="O238" s="87">
        <x:f>+BORDRO!G242</x:f>
      </x:c>
      <x:c r="P238" s="87">
        <x:v>0</x:v>
      </x:c>
      <x:c r="Q238" s="267"/>
      <x:c r="R238" s="267"/>
      <x:c r="S238" s="78"/>
      <x:c r="T238" s="78"/>
      <x:c r="U238" s="79"/>
      <x:c r="V238" s="268">
        <x:f>31-M238-Q238</x:f>
      </x:c>
      <x:c r="W238" s="269">
        <x:v>6</x:v>
      </x:c>
      <x:c r="X238" s="270" t="s">
        <x:v>112</x:v>
      </x:c>
      <x:c r="Y238" s="73">
        <x:v>2</x:v>
      </x:c>
      <x:c r="Z238" s="72" t="s">
        <x:v>106</x:v>
      </x:c>
      <x:c r="AA238" s="82" t="s">
        <x:v>111</x:v>
      </x:c>
      <x:c r="AB238" s="72">
        <x:v>2025</x:v>
      </x:c>
      <x:c r="AC238" s="72" t="s">
        <x:v>113</x:v>
      </x:c>
      <x:c r="AD238" s="88">
        <x:f>+BORDRO!J242</x:f>
      </x:c>
      <x:c r="AE238" s="83"/>
      <x:c r="AF238" s="83">
        <x:f>+BORDRO!K242</x:f>
      </x:c>
      <x:c r="AG238" s="83">
        <x:f>+BORDRO!L242</x:f>
      </x:c>
      <x:c r="AH238" s="88">
        <x:f>+BORDRO!M242</x:f>
      </x:c>
      <x:c r="AI238" s="83">
        <x:f>+BORDRO!O242</x:f>
      </x:c>
      <x:c r="AJ238" s="84">
        <x:f>+BORDRO!P242</x:f>
      </x:c>
    </x:row>
    <x:row r="239" spans="1:36" ht="14.25" customHeight="1" x14ac:dyDescent="0.2">
      <x:c r="A239" s="72" t="s">
        <x:v>106</x:v>
      </x:c>
      <x:c r="B239" s="271">
        <x:v>46</x:v>
      </x:c>
      <x:c r="C239" s="72" t="s">
        <x:v>107</x:v>
      </x:c>
      <x:c r="D239" s="72" t="s">
        <x:v>108</x:v>
      </x:c>
      <x:c r="E239" s="72" t="s">
        <x:v>108</x:v>
      </x:c>
      <x:c r="F239" s="73">
        <x:v>1494768</x:v>
      </x:c>
      <x:c r="G239" s="74" t="s">
        <x:v>109</x:v>
      </x:c>
      <x:c r="H239" s="72" t="s">
        <x:v>110</x:v>
      </x:c>
      <x:c r="I239" s="86"/>
      <x:c r="J239" s="75">
        <x:f>+Puantaj!C243</x:f>
      </x:c>
      <x:c r="K239" s="72">
        <x:f>+Puantaj!D243</x:f>
      </x:c>
      <x:c r="L239" s="72">
        <x:f>+Puantaj!E243</x:f>
      </x:c>
      <x:c r="M239" s="265">
        <x:f>+BORDRO!F243</x:f>
      </x:c>
      <x:c r="N239" s="72"/>
      <x:c r="O239" s="87">
        <x:f>+BORDRO!G243</x:f>
      </x:c>
      <x:c r="P239" s="87">
        <x:v>0</x:v>
      </x:c>
      <x:c r="Q239" s="267"/>
      <x:c r="R239" s="267"/>
      <x:c r="S239" s="78"/>
      <x:c r="T239" s="78"/>
      <x:c r="U239" s="79"/>
      <x:c r="V239" s="268">
        <x:f>31-M239-Q239</x:f>
      </x:c>
      <x:c r="W239" s="269">
        <x:v>6</x:v>
      </x:c>
      <x:c r="X239" s="270" t="s">
        <x:v>112</x:v>
      </x:c>
      <x:c r="Y239" s="73">
        <x:v>2</x:v>
      </x:c>
      <x:c r="Z239" s="72" t="s">
        <x:v>106</x:v>
      </x:c>
      <x:c r="AA239" s="82" t="s">
        <x:v>111</x:v>
      </x:c>
      <x:c r="AB239" s="72">
        <x:v>2025</x:v>
      </x:c>
      <x:c r="AC239" s="72" t="s">
        <x:v>113</x:v>
      </x:c>
      <x:c r="AD239" s="88">
        <x:f>+BORDRO!J243</x:f>
      </x:c>
      <x:c r="AE239" s="83"/>
      <x:c r="AF239" s="83">
        <x:f>+BORDRO!K243</x:f>
      </x:c>
      <x:c r="AG239" s="83">
        <x:f>+BORDRO!L243</x:f>
      </x:c>
      <x:c r="AH239" s="88">
        <x:f>+BORDRO!M243</x:f>
      </x:c>
      <x:c r="AI239" s="83">
        <x:f>+BORDRO!O243</x:f>
      </x:c>
      <x:c r="AJ239" s="84">
        <x:f>+BORDRO!P243</x:f>
      </x:c>
    </x:row>
    <x:row r="240" spans="1:36" ht="15" customHeight="1" x14ac:dyDescent="0.25">
      <x:c r="A240" s="72" t="s">
        <x:v>106</x:v>
      </x:c>
      <x:c r="B240" s="264">
        <x:v>46</x:v>
      </x:c>
      <x:c r="C240" s="72" t="s">
        <x:v>107</x:v>
      </x:c>
      <x:c r="D240" s="72" t="s">
        <x:v>108</x:v>
      </x:c>
      <x:c r="E240" s="72" t="s">
        <x:v>108</x:v>
      </x:c>
      <x:c r="F240" s="73">
        <x:v>1494768</x:v>
      </x:c>
      <x:c r="G240" s="74" t="s">
        <x:v>109</x:v>
      </x:c>
      <x:c r="H240" s="72" t="s">
        <x:v>110</x:v>
      </x:c>
      <x:c r="I240" s="86"/>
      <x:c r="J240" s="75">
        <x:f>+Puantaj!C244</x:f>
      </x:c>
      <x:c r="K240" s="72">
        <x:f>+Puantaj!D244</x:f>
      </x:c>
      <x:c r="L240" s="72">
        <x:f>+Puantaj!E244</x:f>
      </x:c>
      <x:c r="M240" s="265">
        <x:f>+BORDRO!F244</x:f>
      </x:c>
      <x:c r="N240" s="72"/>
      <x:c r="O240" s="87">
        <x:f>+BORDRO!G244</x:f>
      </x:c>
      <x:c r="P240" s="87">
        <x:v>0</x:v>
      </x:c>
      <x:c r="Q240" s="267"/>
      <x:c r="R240" s="267"/>
      <x:c r="S240" s="78"/>
      <x:c r="T240" s="78"/>
      <x:c r="U240" s="79"/>
      <x:c r="V240" s="268">
        <x:f>31-M240-Q240</x:f>
      </x:c>
      <x:c r="W240" s="269">
        <x:v>6</x:v>
      </x:c>
      <x:c r="X240" s="270" t="s">
        <x:v>112</x:v>
      </x:c>
      <x:c r="Y240" s="73">
        <x:v>2</x:v>
      </x:c>
      <x:c r="Z240" s="72" t="s">
        <x:v>106</x:v>
      </x:c>
      <x:c r="AA240" s="82" t="s">
        <x:v>111</x:v>
      </x:c>
      <x:c r="AB240" s="72">
        <x:v>2025</x:v>
      </x:c>
      <x:c r="AC240" s="72" t="s">
        <x:v>113</x:v>
      </x:c>
      <x:c r="AD240" s="88">
        <x:f>+BORDRO!J244</x:f>
      </x:c>
      <x:c r="AE240" s="83"/>
      <x:c r="AF240" s="83">
        <x:f>+BORDRO!K244</x:f>
      </x:c>
      <x:c r="AG240" s="83">
        <x:f>+BORDRO!L244</x:f>
      </x:c>
      <x:c r="AH240" s="88">
        <x:f>+BORDRO!M244</x:f>
      </x:c>
      <x:c r="AI240" s="83">
        <x:f>+BORDRO!O244</x:f>
      </x:c>
      <x:c r="AJ240" s="84">
        <x:f>+BORDRO!P244</x:f>
      </x:c>
    </x:row>
    <x:row r="241" spans="1:36" ht="14.25" customHeight="1" x14ac:dyDescent="0.2">
      <x:c r="A241" s="72" t="s">
        <x:v>106</x:v>
      </x:c>
      <x:c r="B241" s="271">
        <x:v>46</x:v>
      </x:c>
      <x:c r="C241" s="72" t="s">
        <x:v>107</x:v>
      </x:c>
      <x:c r="D241" s="72" t="s">
        <x:v>108</x:v>
      </x:c>
      <x:c r="E241" s="72" t="s">
        <x:v>108</x:v>
      </x:c>
      <x:c r="F241" s="73">
        <x:v>1494768</x:v>
      </x:c>
      <x:c r="G241" s="74" t="s">
        <x:v>109</x:v>
      </x:c>
      <x:c r="H241" s="72" t="s">
        <x:v>110</x:v>
      </x:c>
      <x:c r="I241" s="86"/>
      <x:c r="J241" s="75">
        <x:f>+Puantaj!C245</x:f>
      </x:c>
      <x:c r="K241" s="72">
        <x:f>+Puantaj!D245</x:f>
      </x:c>
      <x:c r="L241" s="72">
        <x:f>+Puantaj!E245</x:f>
      </x:c>
      <x:c r="M241" s="265">
        <x:f>+BORDRO!F245</x:f>
      </x:c>
      <x:c r="N241" s="72"/>
      <x:c r="O241" s="87">
        <x:f>+BORDRO!G245</x:f>
      </x:c>
      <x:c r="P241" s="87">
        <x:v>0</x:v>
      </x:c>
      <x:c r="Q241" s="267"/>
      <x:c r="R241" s="267"/>
      <x:c r="S241" s="78"/>
      <x:c r="T241" s="78"/>
      <x:c r="U241" s="79"/>
      <x:c r="V241" s="268">
        <x:f>31-M241-Q241</x:f>
      </x:c>
      <x:c r="W241" s="269">
        <x:v>6</x:v>
      </x:c>
      <x:c r="X241" s="270" t="s">
        <x:v>112</x:v>
      </x:c>
      <x:c r="Y241" s="73">
        <x:v>2</x:v>
      </x:c>
      <x:c r="Z241" s="72" t="s">
        <x:v>106</x:v>
      </x:c>
      <x:c r="AA241" s="82" t="s">
        <x:v>111</x:v>
      </x:c>
      <x:c r="AB241" s="72">
        <x:v>2025</x:v>
      </x:c>
      <x:c r="AC241" s="72" t="s">
        <x:v>113</x:v>
      </x:c>
      <x:c r="AD241" s="88">
        <x:f>+BORDRO!J245</x:f>
      </x:c>
      <x:c r="AE241" s="83"/>
      <x:c r="AF241" s="83">
        <x:f>+BORDRO!K245</x:f>
      </x:c>
      <x:c r="AG241" s="83">
        <x:f>+BORDRO!L245</x:f>
      </x:c>
      <x:c r="AH241" s="88">
        <x:f>+BORDRO!M245</x:f>
      </x:c>
      <x:c r="AI241" s="83">
        <x:f>+BORDRO!O245</x:f>
      </x:c>
      <x:c r="AJ241" s="84">
        <x:f>+BORDRO!P245</x:f>
      </x:c>
    </x:row>
    <x:row r="242" spans="1:36" ht="15" customHeight="1" x14ac:dyDescent="0.25">
      <x:c r="A242" s="72" t="s">
        <x:v>106</x:v>
      </x:c>
      <x:c r="B242" s="264">
        <x:v>46</x:v>
      </x:c>
      <x:c r="C242" s="72" t="s">
        <x:v>107</x:v>
      </x:c>
      <x:c r="D242" s="72" t="s">
        <x:v>108</x:v>
      </x:c>
      <x:c r="E242" s="72" t="s">
        <x:v>108</x:v>
      </x:c>
      <x:c r="F242" s="73">
        <x:v>1494768</x:v>
      </x:c>
      <x:c r="G242" s="74" t="s">
        <x:v>109</x:v>
      </x:c>
      <x:c r="H242" s="72" t="s">
        <x:v>110</x:v>
      </x:c>
      <x:c r="I242" s="86"/>
      <x:c r="J242" s="75">
        <x:f>+Puantaj!C246</x:f>
      </x:c>
      <x:c r="K242" s="72">
        <x:f>+Puantaj!D246</x:f>
      </x:c>
      <x:c r="L242" s="72">
        <x:f>+Puantaj!E246</x:f>
      </x:c>
      <x:c r="M242" s="265">
        <x:f>+BORDRO!F246</x:f>
      </x:c>
      <x:c r="N242" s="72"/>
      <x:c r="O242" s="87">
        <x:f>+BORDRO!G246</x:f>
      </x:c>
      <x:c r="P242" s="87">
        <x:v>0</x:v>
      </x:c>
      <x:c r="Q242" s="267"/>
      <x:c r="R242" s="267"/>
      <x:c r="S242" s="78"/>
      <x:c r="T242" s="78"/>
      <x:c r="U242" s="79"/>
      <x:c r="V242" s="268">
        <x:f>31-M242-Q242</x:f>
      </x:c>
      <x:c r="W242" s="269">
        <x:v>6</x:v>
      </x:c>
      <x:c r="X242" s="270" t="s">
        <x:v>112</x:v>
      </x:c>
      <x:c r="Y242" s="73">
        <x:v>2</x:v>
      </x:c>
      <x:c r="Z242" s="72" t="s">
        <x:v>106</x:v>
      </x:c>
      <x:c r="AA242" s="82" t="s">
        <x:v>111</x:v>
      </x:c>
      <x:c r="AB242" s="72">
        <x:v>2025</x:v>
      </x:c>
      <x:c r="AC242" s="72" t="s">
        <x:v>113</x:v>
      </x:c>
      <x:c r="AD242" s="88">
        <x:f>+BORDRO!J246</x:f>
      </x:c>
      <x:c r="AE242" s="83"/>
      <x:c r="AF242" s="83">
        <x:f>+BORDRO!K246</x:f>
      </x:c>
      <x:c r="AG242" s="83">
        <x:f>+BORDRO!L246</x:f>
      </x:c>
      <x:c r="AH242" s="88">
        <x:f>+BORDRO!M246</x:f>
      </x:c>
      <x:c r="AI242" s="83">
        <x:f>+BORDRO!O246</x:f>
      </x:c>
      <x:c r="AJ242" s="84">
        <x:f>+BORDRO!P246</x:f>
      </x:c>
    </x:row>
    <x:row r="243" spans="1:36" ht="14.25" customHeight="1" x14ac:dyDescent="0.2">
      <x:c r="A243" s="72" t="s">
        <x:v>106</x:v>
      </x:c>
      <x:c r="B243" s="271">
        <x:v>46</x:v>
      </x:c>
      <x:c r="C243" s="72" t="s">
        <x:v>107</x:v>
      </x:c>
      <x:c r="D243" s="72" t="s">
        <x:v>108</x:v>
      </x:c>
      <x:c r="E243" s="72" t="s">
        <x:v>108</x:v>
      </x:c>
      <x:c r="F243" s="73">
        <x:v>1494768</x:v>
      </x:c>
      <x:c r="G243" s="74" t="s">
        <x:v>109</x:v>
      </x:c>
      <x:c r="H243" s="72" t="s">
        <x:v>110</x:v>
      </x:c>
      <x:c r="I243" s="86"/>
      <x:c r="J243" s="75">
        <x:f>+Puantaj!C247</x:f>
      </x:c>
      <x:c r="K243" s="72">
        <x:f>+Puantaj!D247</x:f>
      </x:c>
      <x:c r="L243" s="72">
        <x:f>+Puantaj!E247</x:f>
      </x:c>
      <x:c r="M243" s="265">
        <x:f>+BORDRO!F247</x:f>
      </x:c>
      <x:c r="N243" s="72"/>
      <x:c r="O243" s="87">
        <x:f>+BORDRO!G247</x:f>
      </x:c>
      <x:c r="P243" s="87">
        <x:v>0</x:v>
      </x:c>
      <x:c r="Q243" s="267"/>
      <x:c r="R243" s="267"/>
      <x:c r="S243" s="78"/>
      <x:c r="T243" s="78"/>
      <x:c r="U243" s="79"/>
      <x:c r="V243" s="268">
        <x:f>31-M243-Q243</x:f>
      </x:c>
      <x:c r="W243" s="269">
        <x:v>6</x:v>
      </x:c>
      <x:c r="X243" s="270" t="s">
        <x:v>112</x:v>
      </x:c>
      <x:c r="Y243" s="73">
        <x:v>2</x:v>
      </x:c>
      <x:c r="Z243" s="72" t="s">
        <x:v>106</x:v>
      </x:c>
      <x:c r="AA243" s="82" t="s">
        <x:v>111</x:v>
      </x:c>
      <x:c r="AB243" s="72">
        <x:v>2025</x:v>
      </x:c>
      <x:c r="AC243" s="72" t="s">
        <x:v>113</x:v>
      </x:c>
      <x:c r="AD243" s="88">
        <x:f>+BORDRO!J247</x:f>
      </x:c>
      <x:c r="AE243" s="83"/>
      <x:c r="AF243" s="83">
        <x:f>+BORDRO!K247</x:f>
      </x:c>
      <x:c r="AG243" s="83">
        <x:f>+BORDRO!L247</x:f>
      </x:c>
      <x:c r="AH243" s="88">
        <x:f>+BORDRO!M247</x:f>
      </x:c>
      <x:c r="AI243" s="83">
        <x:f>+BORDRO!O247</x:f>
      </x:c>
      <x:c r="AJ243" s="84">
        <x:f>+BORDRO!P247</x:f>
      </x:c>
    </x:row>
    <x:row r="244" spans="1:36" ht="15" customHeight="1" x14ac:dyDescent="0.25">
      <x:c r="A244" s="72" t="s">
        <x:v>106</x:v>
      </x:c>
      <x:c r="B244" s="264">
        <x:v>46</x:v>
      </x:c>
      <x:c r="C244" s="72" t="s">
        <x:v>107</x:v>
      </x:c>
      <x:c r="D244" s="72" t="s">
        <x:v>108</x:v>
      </x:c>
      <x:c r="E244" s="72" t="s">
        <x:v>108</x:v>
      </x:c>
      <x:c r="F244" s="73">
        <x:v>1494768</x:v>
      </x:c>
      <x:c r="G244" s="74" t="s">
        <x:v>109</x:v>
      </x:c>
      <x:c r="H244" s="72" t="s">
        <x:v>110</x:v>
      </x:c>
      <x:c r="I244" s="86"/>
      <x:c r="J244" s="75">
        <x:f>+Puantaj!C248</x:f>
      </x:c>
      <x:c r="K244" s="72">
        <x:f>+Puantaj!D248</x:f>
      </x:c>
      <x:c r="L244" s="72">
        <x:f>+Puantaj!E248</x:f>
      </x:c>
      <x:c r="M244" s="265">
        <x:f>+BORDRO!F248</x:f>
      </x:c>
      <x:c r="N244" s="72"/>
      <x:c r="O244" s="87">
        <x:f>+BORDRO!G248</x:f>
      </x:c>
      <x:c r="P244" s="87">
        <x:v>0</x:v>
      </x:c>
      <x:c r="Q244" s="267"/>
      <x:c r="R244" s="267"/>
      <x:c r="S244" s="78"/>
      <x:c r="T244" s="78"/>
      <x:c r="U244" s="79"/>
      <x:c r="V244" s="268">
        <x:f>31-M244-Q244</x:f>
      </x:c>
      <x:c r="W244" s="269">
        <x:v>6</x:v>
      </x:c>
      <x:c r="X244" s="270" t="s">
        <x:v>112</x:v>
      </x:c>
      <x:c r="Y244" s="73">
        <x:v>2</x:v>
      </x:c>
      <x:c r="Z244" s="72" t="s">
        <x:v>106</x:v>
      </x:c>
      <x:c r="AA244" s="82" t="s">
        <x:v>111</x:v>
      </x:c>
      <x:c r="AB244" s="72">
        <x:v>2025</x:v>
      </x:c>
      <x:c r="AC244" s="72" t="s">
        <x:v>113</x:v>
      </x:c>
      <x:c r="AD244" s="88">
        <x:f>+BORDRO!J248</x:f>
      </x:c>
      <x:c r="AE244" s="83"/>
      <x:c r="AF244" s="83">
        <x:f>+BORDRO!K248</x:f>
      </x:c>
      <x:c r="AG244" s="83">
        <x:f>+BORDRO!L248</x:f>
      </x:c>
      <x:c r="AH244" s="88">
        <x:f>+BORDRO!M248</x:f>
      </x:c>
      <x:c r="AI244" s="83">
        <x:f>+BORDRO!O248</x:f>
      </x:c>
      <x:c r="AJ244" s="84">
        <x:f>+BORDRO!P248</x:f>
      </x:c>
    </x:row>
    <x:row r="245" spans="1:36" ht="14.25" customHeight="1" x14ac:dyDescent="0.2">
      <x:c r="A245" s="72" t="s">
        <x:v>106</x:v>
      </x:c>
      <x:c r="B245" s="271">
        <x:v>46</x:v>
      </x:c>
      <x:c r="C245" s="72" t="s">
        <x:v>107</x:v>
      </x:c>
      <x:c r="D245" s="72" t="s">
        <x:v>108</x:v>
      </x:c>
      <x:c r="E245" s="72" t="s">
        <x:v>108</x:v>
      </x:c>
      <x:c r="F245" s="73">
        <x:v>1494768</x:v>
      </x:c>
      <x:c r="G245" s="74" t="s">
        <x:v>109</x:v>
      </x:c>
      <x:c r="H245" s="72" t="s">
        <x:v>110</x:v>
      </x:c>
      <x:c r="I245" s="86"/>
      <x:c r="J245" s="75">
        <x:f>+Puantaj!C249</x:f>
      </x:c>
      <x:c r="K245" s="72">
        <x:f>+Puantaj!D249</x:f>
      </x:c>
      <x:c r="L245" s="72">
        <x:f>+Puantaj!E249</x:f>
      </x:c>
      <x:c r="M245" s="265">
        <x:f>+BORDRO!F249</x:f>
      </x:c>
      <x:c r="N245" s="72"/>
      <x:c r="O245" s="87">
        <x:f>+BORDRO!G249</x:f>
      </x:c>
      <x:c r="P245" s="87">
        <x:v>0</x:v>
      </x:c>
      <x:c r="Q245" s="267"/>
      <x:c r="R245" s="267"/>
      <x:c r="S245" s="78"/>
      <x:c r="T245" s="78"/>
      <x:c r="U245" s="79"/>
      <x:c r="V245" s="268">
        <x:f>31-M245-Q245</x:f>
      </x:c>
      <x:c r="W245" s="269">
        <x:v>6</x:v>
      </x:c>
      <x:c r="X245" s="270" t="s">
        <x:v>112</x:v>
      </x:c>
      <x:c r="Y245" s="73">
        <x:v>2</x:v>
      </x:c>
      <x:c r="Z245" s="72" t="s">
        <x:v>106</x:v>
      </x:c>
      <x:c r="AA245" s="82" t="s">
        <x:v>111</x:v>
      </x:c>
      <x:c r="AB245" s="72">
        <x:v>2025</x:v>
      </x:c>
      <x:c r="AC245" s="72" t="s">
        <x:v>113</x:v>
      </x:c>
      <x:c r="AD245" s="88">
        <x:f>+BORDRO!J249</x:f>
      </x:c>
      <x:c r="AE245" s="83"/>
      <x:c r="AF245" s="83">
        <x:f>+BORDRO!K249</x:f>
      </x:c>
      <x:c r="AG245" s="83">
        <x:f>+BORDRO!L249</x:f>
      </x:c>
      <x:c r="AH245" s="88">
        <x:f>+BORDRO!M249</x:f>
      </x:c>
      <x:c r="AI245" s="83">
        <x:f>+BORDRO!O249</x:f>
      </x:c>
      <x:c r="AJ245" s="84">
        <x:f>+BORDRO!P249</x:f>
      </x:c>
    </x:row>
    <x:row r="246" spans="1:36" ht="15" customHeight="1" x14ac:dyDescent="0.25">
      <x:c r="A246" s="72" t="s">
        <x:v>106</x:v>
      </x:c>
      <x:c r="B246" s="264">
        <x:v>46</x:v>
      </x:c>
      <x:c r="C246" s="72" t="s">
        <x:v>107</x:v>
      </x:c>
      <x:c r="D246" s="72" t="s">
        <x:v>108</x:v>
      </x:c>
      <x:c r="E246" s="72" t="s">
        <x:v>108</x:v>
      </x:c>
      <x:c r="F246" s="73">
        <x:v>1494768</x:v>
      </x:c>
      <x:c r="G246" s="74" t="s">
        <x:v>109</x:v>
      </x:c>
      <x:c r="H246" s="72" t="s">
        <x:v>110</x:v>
      </x:c>
      <x:c r="I246" s="86"/>
      <x:c r="J246" s="75">
        <x:f>+Puantaj!C250</x:f>
      </x:c>
      <x:c r="K246" s="72">
        <x:f>+Puantaj!D250</x:f>
      </x:c>
      <x:c r="L246" s="72">
        <x:f>+Puantaj!E250</x:f>
      </x:c>
      <x:c r="M246" s="265">
        <x:f>+BORDRO!F250</x:f>
      </x:c>
      <x:c r="N246" s="72"/>
      <x:c r="O246" s="87">
        <x:f>+BORDRO!G250</x:f>
      </x:c>
      <x:c r="P246" s="87">
        <x:v>0</x:v>
      </x:c>
      <x:c r="Q246" s="267"/>
      <x:c r="R246" s="267"/>
      <x:c r="S246" s="78"/>
      <x:c r="T246" s="78"/>
      <x:c r="U246" s="79"/>
      <x:c r="V246" s="268">
        <x:f>31-M246-Q246</x:f>
      </x:c>
      <x:c r="W246" s="269">
        <x:v>6</x:v>
      </x:c>
      <x:c r="X246" s="270" t="s">
        <x:v>112</x:v>
      </x:c>
      <x:c r="Y246" s="73">
        <x:v>2</x:v>
      </x:c>
      <x:c r="Z246" s="72" t="s">
        <x:v>106</x:v>
      </x:c>
      <x:c r="AA246" s="82" t="s">
        <x:v>111</x:v>
      </x:c>
      <x:c r="AB246" s="72">
        <x:v>2025</x:v>
      </x:c>
      <x:c r="AC246" s="72" t="s">
        <x:v>113</x:v>
      </x:c>
      <x:c r="AD246" s="88">
        <x:f>+BORDRO!J250</x:f>
      </x:c>
      <x:c r="AE246" s="83"/>
      <x:c r="AF246" s="83">
        <x:f>+BORDRO!K250</x:f>
      </x:c>
      <x:c r="AG246" s="83">
        <x:f>+BORDRO!L250</x:f>
      </x:c>
      <x:c r="AH246" s="88">
        <x:f>+BORDRO!M250</x:f>
      </x:c>
      <x:c r="AI246" s="83">
        <x:f>+BORDRO!O250</x:f>
      </x:c>
      <x:c r="AJ246" s="84">
        <x:f>+BORDRO!P250</x:f>
      </x:c>
    </x:row>
    <x:row r="247" spans="1:36" ht="14.25" customHeight="1" x14ac:dyDescent="0.2">
      <x:c r="A247" s="72" t="s">
        <x:v>106</x:v>
      </x:c>
      <x:c r="B247" s="271">
        <x:v>46</x:v>
      </x:c>
      <x:c r="C247" s="72" t="s">
        <x:v>107</x:v>
      </x:c>
      <x:c r="D247" s="72" t="s">
        <x:v>108</x:v>
      </x:c>
      <x:c r="E247" s="72" t="s">
        <x:v>108</x:v>
      </x:c>
      <x:c r="F247" s="73">
        <x:v>1494768</x:v>
      </x:c>
      <x:c r="G247" s="74" t="s">
        <x:v>109</x:v>
      </x:c>
      <x:c r="H247" s="72" t="s">
        <x:v>110</x:v>
      </x:c>
      <x:c r="I247" s="86"/>
      <x:c r="J247" s="75">
        <x:f>+Puantaj!C251</x:f>
      </x:c>
      <x:c r="K247" s="72">
        <x:f>+Puantaj!D251</x:f>
      </x:c>
      <x:c r="L247" s="72">
        <x:f>+Puantaj!E251</x:f>
      </x:c>
      <x:c r="M247" s="265">
        <x:f>+BORDRO!F251</x:f>
      </x:c>
      <x:c r="N247" s="72"/>
      <x:c r="O247" s="87">
        <x:f>+BORDRO!G251</x:f>
      </x:c>
      <x:c r="P247" s="87">
        <x:v>0</x:v>
      </x:c>
      <x:c r="Q247" s="267"/>
      <x:c r="R247" s="267"/>
      <x:c r="S247" s="78"/>
      <x:c r="T247" s="78"/>
      <x:c r="U247" s="79"/>
      <x:c r="V247" s="268">
        <x:f>31-M247-Q247</x:f>
      </x:c>
      <x:c r="W247" s="269">
        <x:v>6</x:v>
      </x:c>
      <x:c r="X247" s="270" t="s">
        <x:v>112</x:v>
      </x:c>
      <x:c r="Y247" s="73">
        <x:v>2</x:v>
      </x:c>
      <x:c r="Z247" s="72" t="s">
        <x:v>106</x:v>
      </x:c>
      <x:c r="AA247" s="82" t="s">
        <x:v>111</x:v>
      </x:c>
      <x:c r="AB247" s="72">
        <x:v>2025</x:v>
      </x:c>
      <x:c r="AC247" s="72" t="s">
        <x:v>113</x:v>
      </x:c>
      <x:c r="AD247" s="88">
        <x:f>+BORDRO!J251</x:f>
      </x:c>
      <x:c r="AE247" s="83"/>
      <x:c r="AF247" s="83">
        <x:f>+BORDRO!K251</x:f>
      </x:c>
      <x:c r="AG247" s="83">
        <x:f>+BORDRO!L251</x:f>
      </x:c>
      <x:c r="AH247" s="88">
        <x:f>+BORDRO!M251</x:f>
      </x:c>
      <x:c r="AI247" s="83">
        <x:f>+BORDRO!O251</x:f>
      </x:c>
      <x:c r="AJ247" s="84">
        <x:f>+BORDRO!P251</x:f>
      </x:c>
    </x:row>
    <x:row r="248" spans="1:36" ht="15" customHeight="1" x14ac:dyDescent="0.25">
      <x:c r="A248" s="72" t="s">
        <x:v>106</x:v>
      </x:c>
      <x:c r="B248" s="264">
        <x:v>46</x:v>
      </x:c>
      <x:c r="C248" s="72" t="s">
        <x:v>107</x:v>
      </x:c>
      <x:c r="D248" s="72" t="s">
        <x:v>108</x:v>
      </x:c>
      <x:c r="E248" s="72" t="s">
        <x:v>108</x:v>
      </x:c>
      <x:c r="F248" s="73">
        <x:v>1494768</x:v>
      </x:c>
      <x:c r="G248" s="74" t="s">
        <x:v>109</x:v>
      </x:c>
      <x:c r="H248" s="72" t="s">
        <x:v>110</x:v>
      </x:c>
      <x:c r="I248" s="86"/>
      <x:c r="J248" s="75">
        <x:f>+Puantaj!C252</x:f>
      </x:c>
      <x:c r="K248" s="72">
        <x:f>+Puantaj!D252</x:f>
      </x:c>
      <x:c r="L248" s="72">
        <x:f>+Puantaj!E252</x:f>
      </x:c>
      <x:c r="M248" s="265">
        <x:f>+BORDRO!F252</x:f>
      </x:c>
      <x:c r="N248" s="72"/>
      <x:c r="O248" s="87">
        <x:f>+BORDRO!G252</x:f>
      </x:c>
      <x:c r="P248" s="87">
        <x:v>0</x:v>
      </x:c>
      <x:c r="Q248" s="267"/>
      <x:c r="R248" s="267"/>
      <x:c r="S248" s="78"/>
      <x:c r="T248" s="78"/>
      <x:c r="U248" s="79"/>
      <x:c r="V248" s="268">
        <x:f>31-M248-Q248</x:f>
      </x:c>
      <x:c r="W248" s="269">
        <x:v>6</x:v>
      </x:c>
      <x:c r="X248" s="270" t="s">
        <x:v>112</x:v>
      </x:c>
      <x:c r="Y248" s="73">
        <x:v>2</x:v>
      </x:c>
      <x:c r="Z248" s="72" t="s">
        <x:v>106</x:v>
      </x:c>
      <x:c r="AA248" s="82" t="s">
        <x:v>111</x:v>
      </x:c>
      <x:c r="AB248" s="72">
        <x:v>2025</x:v>
      </x:c>
      <x:c r="AC248" s="72" t="s">
        <x:v>113</x:v>
      </x:c>
      <x:c r="AD248" s="88">
        <x:f>+BORDRO!J252</x:f>
      </x:c>
      <x:c r="AE248" s="83"/>
      <x:c r="AF248" s="83">
        <x:f>+BORDRO!K252</x:f>
      </x:c>
      <x:c r="AG248" s="83">
        <x:f>+BORDRO!L252</x:f>
      </x:c>
      <x:c r="AH248" s="88">
        <x:f>+BORDRO!M252</x:f>
      </x:c>
      <x:c r="AI248" s="83">
        <x:f>+BORDRO!O252</x:f>
      </x:c>
      <x:c r="AJ248" s="84">
        <x:f>+BORDRO!P252</x:f>
      </x:c>
    </x:row>
    <x:row r="249" spans="1:36" ht="14.25" customHeight="1" x14ac:dyDescent="0.2">
      <x:c r="A249" s="72" t="s">
        <x:v>106</x:v>
      </x:c>
      <x:c r="B249" s="271">
        <x:v>46</x:v>
      </x:c>
      <x:c r="C249" s="72" t="s">
        <x:v>107</x:v>
      </x:c>
      <x:c r="D249" s="72" t="s">
        <x:v>108</x:v>
      </x:c>
      <x:c r="E249" s="72" t="s">
        <x:v>108</x:v>
      </x:c>
      <x:c r="F249" s="73">
        <x:v>1494768</x:v>
      </x:c>
      <x:c r="G249" s="74" t="s">
        <x:v>109</x:v>
      </x:c>
      <x:c r="H249" s="72" t="s">
        <x:v>110</x:v>
      </x:c>
      <x:c r="I249" s="86"/>
      <x:c r="J249" s="75">
        <x:f>+Puantaj!C253</x:f>
      </x:c>
      <x:c r="K249" s="72">
        <x:f>+Puantaj!D253</x:f>
      </x:c>
      <x:c r="L249" s="72">
        <x:f>+Puantaj!E253</x:f>
      </x:c>
      <x:c r="M249" s="265">
        <x:f>+BORDRO!F253</x:f>
      </x:c>
      <x:c r="N249" s="72"/>
      <x:c r="O249" s="87">
        <x:f>+BORDRO!G253</x:f>
      </x:c>
      <x:c r="P249" s="87">
        <x:v>0</x:v>
      </x:c>
      <x:c r="Q249" s="267"/>
      <x:c r="R249" s="267"/>
      <x:c r="S249" s="78"/>
      <x:c r="T249" s="78"/>
      <x:c r="U249" s="79"/>
      <x:c r="V249" s="268">
        <x:f>31-M249-Q249</x:f>
      </x:c>
      <x:c r="W249" s="269">
        <x:v>6</x:v>
      </x:c>
      <x:c r="X249" s="270" t="s">
        <x:v>112</x:v>
      </x:c>
      <x:c r="Y249" s="73">
        <x:v>2</x:v>
      </x:c>
      <x:c r="Z249" s="72" t="s">
        <x:v>106</x:v>
      </x:c>
      <x:c r="AA249" s="82" t="s">
        <x:v>111</x:v>
      </x:c>
      <x:c r="AB249" s="72">
        <x:v>2025</x:v>
      </x:c>
      <x:c r="AC249" s="72" t="s">
        <x:v>113</x:v>
      </x:c>
      <x:c r="AD249" s="88">
        <x:f>+BORDRO!J253</x:f>
      </x:c>
      <x:c r="AE249" s="83"/>
      <x:c r="AF249" s="83">
        <x:f>+BORDRO!K253</x:f>
      </x:c>
      <x:c r="AG249" s="83">
        <x:f>+BORDRO!L253</x:f>
      </x:c>
      <x:c r="AH249" s="88">
        <x:f>+BORDRO!M253</x:f>
      </x:c>
      <x:c r="AI249" s="83">
        <x:f>+BORDRO!O253</x:f>
      </x:c>
      <x:c r="AJ249" s="84">
        <x:f>+BORDRO!P253</x:f>
      </x:c>
    </x:row>
    <x:row r="250" spans="1:36" ht="15" customHeight="1" x14ac:dyDescent="0.25">
      <x:c r="A250" s="72" t="s">
        <x:v>106</x:v>
      </x:c>
      <x:c r="B250" s="264">
        <x:v>46</x:v>
      </x:c>
      <x:c r="C250" s="72" t="s">
        <x:v>107</x:v>
      </x:c>
      <x:c r="D250" s="72" t="s">
        <x:v>108</x:v>
      </x:c>
      <x:c r="E250" s="72" t="s">
        <x:v>108</x:v>
      </x:c>
      <x:c r="F250" s="73">
        <x:v>1494768</x:v>
      </x:c>
      <x:c r="G250" s="74" t="s">
        <x:v>109</x:v>
      </x:c>
      <x:c r="H250" s="72" t="s">
        <x:v>110</x:v>
      </x:c>
      <x:c r="I250" s="86"/>
      <x:c r="J250" s="75">
        <x:f>+Puantaj!C254</x:f>
      </x:c>
      <x:c r="K250" s="72">
        <x:f>+Puantaj!D254</x:f>
      </x:c>
      <x:c r="L250" s="72">
        <x:f>+Puantaj!E254</x:f>
      </x:c>
      <x:c r="M250" s="265">
        <x:f>+BORDRO!F254</x:f>
      </x:c>
      <x:c r="N250" s="72"/>
      <x:c r="O250" s="87">
        <x:f>+BORDRO!G254</x:f>
      </x:c>
      <x:c r="P250" s="87">
        <x:v>0</x:v>
      </x:c>
      <x:c r="Q250" s="267"/>
      <x:c r="R250" s="267"/>
      <x:c r="S250" s="78"/>
      <x:c r="T250" s="78"/>
      <x:c r="U250" s="79"/>
      <x:c r="V250" s="268">
        <x:f>31-M250-Q250</x:f>
      </x:c>
      <x:c r="W250" s="269">
        <x:v>6</x:v>
      </x:c>
      <x:c r="X250" s="270" t="s">
        <x:v>112</x:v>
      </x:c>
      <x:c r="Y250" s="73">
        <x:v>2</x:v>
      </x:c>
      <x:c r="Z250" s="72" t="s">
        <x:v>106</x:v>
      </x:c>
      <x:c r="AA250" s="82" t="s">
        <x:v>111</x:v>
      </x:c>
      <x:c r="AB250" s="72">
        <x:v>2025</x:v>
      </x:c>
      <x:c r="AC250" s="72" t="s">
        <x:v>113</x:v>
      </x:c>
      <x:c r="AD250" s="88">
        <x:f>+BORDRO!J254</x:f>
      </x:c>
      <x:c r="AE250" s="83"/>
      <x:c r="AF250" s="83">
        <x:f>+BORDRO!K254</x:f>
      </x:c>
      <x:c r="AG250" s="83">
        <x:f>+BORDRO!L254</x:f>
      </x:c>
      <x:c r="AH250" s="88">
        <x:f>+BORDRO!M254</x:f>
      </x:c>
      <x:c r="AI250" s="83">
        <x:f>+BORDRO!O254</x:f>
      </x:c>
      <x:c r="AJ250" s="84">
        <x:f>+BORDRO!P254</x:f>
      </x:c>
    </x:row>
    <x:row r="251" spans="1:36" ht="14.25" customHeight="1" x14ac:dyDescent="0.2">
      <x:c r="A251" s="72" t="s">
        <x:v>106</x:v>
      </x:c>
      <x:c r="B251" s="271">
        <x:v>46</x:v>
      </x:c>
      <x:c r="C251" s="72" t="s">
        <x:v>107</x:v>
      </x:c>
      <x:c r="D251" s="72" t="s">
        <x:v>108</x:v>
      </x:c>
      <x:c r="E251" s="72" t="s">
        <x:v>108</x:v>
      </x:c>
      <x:c r="F251" s="73">
        <x:v>1494768</x:v>
      </x:c>
      <x:c r="G251" s="74" t="s">
        <x:v>109</x:v>
      </x:c>
      <x:c r="H251" s="72" t="s">
        <x:v>110</x:v>
      </x:c>
      <x:c r="I251" s="86"/>
      <x:c r="J251" s="75">
        <x:f>+Puantaj!C255</x:f>
      </x:c>
      <x:c r="K251" s="72">
        <x:f>+Puantaj!D255</x:f>
      </x:c>
      <x:c r="L251" s="72">
        <x:f>+Puantaj!E255</x:f>
      </x:c>
      <x:c r="M251" s="265">
        <x:f>+BORDRO!F255</x:f>
      </x:c>
      <x:c r="N251" s="72"/>
      <x:c r="O251" s="87">
        <x:f>+BORDRO!G255</x:f>
      </x:c>
      <x:c r="P251" s="87">
        <x:v>0</x:v>
      </x:c>
      <x:c r="Q251" s="267"/>
      <x:c r="R251" s="267"/>
      <x:c r="S251" s="78"/>
      <x:c r="T251" s="78"/>
      <x:c r="U251" s="79"/>
      <x:c r="V251" s="268">
        <x:f>31-M251-Q251</x:f>
      </x:c>
      <x:c r="W251" s="269">
        <x:v>6</x:v>
      </x:c>
      <x:c r="X251" s="270" t="s">
        <x:v>112</x:v>
      </x:c>
      <x:c r="Y251" s="73">
        <x:v>2</x:v>
      </x:c>
      <x:c r="Z251" s="72" t="s">
        <x:v>106</x:v>
      </x:c>
      <x:c r="AA251" s="82" t="s">
        <x:v>111</x:v>
      </x:c>
      <x:c r="AB251" s="72">
        <x:v>2025</x:v>
      </x:c>
      <x:c r="AC251" s="72" t="s">
        <x:v>113</x:v>
      </x:c>
      <x:c r="AD251" s="88">
        <x:f>+BORDRO!J255</x:f>
      </x:c>
      <x:c r="AE251" s="83"/>
      <x:c r="AF251" s="83">
        <x:f>+BORDRO!K255</x:f>
      </x:c>
      <x:c r="AG251" s="83">
        <x:f>+BORDRO!L255</x:f>
      </x:c>
      <x:c r="AH251" s="88">
        <x:f>+BORDRO!M255</x:f>
      </x:c>
      <x:c r="AI251" s="83">
        <x:f>+BORDRO!O255</x:f>
      </x:c>
      <x:c r="AJ251" s="84">
        <x:f>+BORDRO!P255</x:f>
      </x:c>
    </x:row>
    <x:row r="252" spans="1:36" ht="15" customHeight="1" x14ac:dyDescent="0.25">
      <x:c r="A252" s="72" t="s">
        <x:v>106</x:v>
      </x:c>
      <x:c r="B252" s="264">
        <x:v>46</x:v>
      </x:c>
      <x:c r="C252" s="72" t="s">
        <x:v>107</x:v>
      </x:c>
      <x:c r="D252" s="72" t="s">
        <x:v>108</x:v>
      </x:c>
      <x:c r="E252" s="72" t="s">
        <x:v>108</x:v>
      </x:c>
      <x:c r="F252" s="73">
        <x:v>1494768</x:v>
      </x:c>
      <x:c r="G252" s="74" t="s">
        <x:v>109</x:v>
      </x:c>
      <x:c r="H252" s="72" t="s">
        <x:v>110</x:v>
      </x:c>
      <x:c r="I252" s="86"/>
      <x:c r="J252" s="75">
        <x:f>+Puantaj!C256</x:f>
      </x:c>
      <x:c r="K252" s="72">
        <x:f>+Puantaj!D256</x:f>
      </x:c>
      <x:c r="L252" s="72">
        <x:f>+Puantaj!E256</x:f>
      </x:c>
      <x:c r="M252" s="265">
        <x:f>+BORDRO!F256</x:f>
      </x:c>
      <x:c r="N252" s="72"/>
      <x:c r="O252" s="87">
        <x:f>+BORDRO!G256</x:f>
      </x:c>
      <x:c r="P252" s="87">
        <x:v>0</x:v>
      </x:c>
      <x:c r="Q252" s="267"/>
      <x:c r="R252" s="267"/>
      <x:c r="S252" s="78"/>
      <x:c r="T252" s="78"/>
      <x:c r="U252" s="79"/>
      <x:c r="V252" s="268">
        <x:f>31-M252-Q252</x:f>
      </x:c>
      <x:c r="W252" s="269">
        <x:v>6</x:v>
      </x:c>
      <x:c r="X252" s="270" t="s">
        <x:v>112</x:v>
      </x:c>
      <x:c r="Y252" s="73">
        <x:v>2</x:v>
      </x:c>
      <x:c r="Z252" s="72" t="s">
        <x:v>106</x:v>
      </x:c>
      <x:c r="AA252" s="82" t="s">
        <x:v>111</x:v>
      </x:c>
      <x:c r="AB252" s="72">
        <x:v>2025</x:v>
      </x:c>
      <x:c r="AC252" s="72" t="s">
        <x:v>113</x:v>
      </x:c>
      <x:c r="AD252" s="88">
        <x:f>+BORDRO!J256</x:f>
      </x:c>
      <x:c r="AE252" s="83"/>
      <x:c r="AF252" s="83">
        <x:f>+BORDRO!K256</x:f>
      </x:c>
      <x:c r="AG252" s="83">
        <x:f>+BORDRO!L256</x:f>
      </x:c>
      <x:c r="AH252" s="88">
        <x:f>+BORDRO!M256</x:f>
      </x:c>
      <x:c r="AI252" s="83">
        <x:f>+BORDRO!O256</x:f>
      </x:c>
      <x:c r="AJ252" s="84">
        <x:f>+BORDRO!P256</x:f>
      </x:c>
    </x:row>
    <x:row r="253" spans="1:36" ht="14.25" customHeight="1" x14ac:dyDescent="0.2">
      <x:c r="A253" s="72" t="s">
        <x:v>106</x:v>
      </x:c>
      <x:c r="B253" s="271">
        <x:v>46</x:v>
      </x:c>
      <x:c r="C253" s="72" t="s">
        <x:v>107</x:v>
      </x:c>
      <x:c r="D253" s="72" t="s">
        <x:v>108</x:v>
      </x:c>
      <x:c r="E253" s="72" t="s">
        <x:v>108</x:v>
      </x:c>
      <x:c r="F253" s="73">
        <x:v>1494768</x:v>
      </x:c>
      <x:c r="G253" s="74" t="s">
        <x:v>109</x:v>
      </x:c>
      <x:c r="H253" s="72" t="s">
        <x:v>110</x:v>
      </x:c>
      <x:c r="I253" s="86"/>
      <x:c r="J253" s="75">
        <x:f>+Puantaj!C257</x:f>
      </x:c>
      <x:c r="K253" s="72">
        <x:f>+Puantaj!D257</x:f>
      </x:c>
      <x:c r="L253" s="72">
        <x:f>+Puantaj!E257</x:f>
      </x:c>
      <x:c r="M253" s="265">
        <x:f>+BORDRO!F257</x:f>
      </x:c>
      <x:c r="N253" s="72"/>
      <x:c r="O253" s="87">
        <x:f>+BORDRO!G257</x:f>
      </x:c>
      <x:c r="P253" s="87">
        <x:v>0</x:v>
      </x:c>
      <x:c r="Q253" s="267"/>
      <x:c r="R253" s="267"/>
      <x:c r="S253" s="78"/>
      <x:c r="T253" s="78"/>
      <x:c r="U253" s="79"/>
      <x:c r="V253" s="268">
        <x:f>31-M253-Q253</x:f>
      </x:c>
      <x:c r="W253" s="269">
        <x:v>6</x:v>
      </x:c>
      <x:c r="X253" s="270" t="s">
        <x:v>112</x:v>
      </x:c>
      <x:c r="Y253" s="73">
        <x:v>2</x:v>
      </x:c>
      <x:c r="Z253" s="72" t="s">
        <x:v>106</x:v>
      </x:c>
      <x:c r="AA253" s="82" t="s">
        <x:v>111</x:v>
      </x:c>
      <x:c r="AB253" s="72">
        <x:v>2025</x:v>
      </x:c>
      <x:c r="AC253" s="72" t="s">
        <x:v>113</x:v>
      </x:c>
      <x:c r="AD253" s="88">
        <x:f>+BORDRO!J257</x:f>
      </x:c>
      <x:c r="AE253" s="83"/>
      <x:c r="AF253" s="83">
        <x:f>+BORDRO!K257</x:f>
      </x:c>
      <x:c r="AG253" s="83">
        <x:f>+BORDRO!L257</x:f>
      </x:c>
      <x:c r="AH253" s="88">
        <x:f>+BORDRO!M257</x:f>
      </x:c>
      <x:c r="AI253" s="83">
        <x:f>+BORDRO!O257</x:f>
      </x:c>
      <x:c r="AJ253" s="84">
        <x:f>+BORDRO!P257</x:f>
      </x:c>
    </x:row>
    <x:row r="254" spans="1:36" ht="15" customHeight="1" x14ac:dyDescent="0.25">
      <x:c r="A254" s="72" t="s">
        <x:v>106</x:v>
      </x:c>
      <x:c r="B254" s="264">
        <x:v>46</x:v>
      </x:c>
      <x:c r="C254" s="72" t="s">
        <x:v>107</x:v>
      </x:c>
      <x:c r="D254" s="72" t="s">
        <x:v>108</x:v>
      </x:c>
      <x:c r="E254" s="72" t="s">
        <x:v>108</x:v>
      </x:c>
      <x:c r="F254" s="73">
        <x:v>1494768</x:v>
      </x:c>
      <x:c r="G254" s="74" t="s">
        <x:v>109</x:v>
      </x:c>
      <x:c r="H254" s="72" t="s">
        <x:v>110</x:v>
      </x:c>
      <x:c r="I254" s="86"/>
      <x:c r="J254" s="75">
        <x:f>+Puantaj!C258</x:f>
      </x:c>
      <x:c r="K254" s="72">
        <x:f>+Puantaj!D258</x:f>
      </x:c>
      <x:c r="L254" s="72">
        <x:f>+Puantaj!E258</x:f>
      </x:c>
      <x:c r="M254" s="265">
        <x:f>+BORDRO!F258</x:f>
      </x:c>
      <x:c r="N254" s="72"/>
      <x:c r="O254" s="87">
        <x:f>+BORDRO!G258</x:f>
      </x:c>
      <x:c r="P254" s="87">
        <x:v>0</x:v>
      </x:c>
      <x:c r="Q254" s="267"/>
      <x:c r="R254" s="267"/>
      <x:c r="S254" s="78"/>
      <x:c r="T254" s="78"/>
      <x:c r="U254" s="79"/>
      <x:c r="V254" s="268">
        <x:f>31-M254-Q254</x:f>
      </x:c>
      <x:c r="W254" s="269">
        <x:v>6</x:v>
      </x:c>
      <x:c r="X254" s="270" t="s">
        <x:v>112</x:v>
      </x:c>
      <x:c r="Y254" s="73">
        <x:v>2</x:v>
      </x:c>
      <x:c r="Z254" s="72" t="s">
        <x:v>106</x:v>
      </x:c>
      <x:c r="AA254" s="82" t="s">
        <x:v>111</x:v>
      </x:c>
      <x:c r="AB254" s="72">
        <x:v>2025</x:v>
      </x:c>
      <x:c r="AC254" s="72" t="s">
        <x:v>113</x:v>
      </x:c>
      <x:c r="AD254" s="88">
        <x:f>+BORDRO!J258</x:f>
      </x:c>
      <x:c r="AE254" s="83"/>
      <x:c r="AF254" s="83">
        <x:f>+BORDRO!K258</x:f>
      </x:c>
      <x:c r="AG254" s="83">
        <x:f>+BORDRO!L258</x:f>
      </x:c>
      <x:c r="AH254" s="88">
        <x:f>+BORDRO!M258</x:f>
      </x:c>
      <x:c r="AI254" s="83">
        <x:f>+BORDRO!O258</x:f>
      </x:c>
      <x:c r="AJ254" s="84">
        <x:f>+BORDRO!P258</x:f>
      </x:c>
    </x:row>
    <x:row r="255" spans="1:36" ht="14.25" customHeight="1" x14ac:dyDescent="0.2">
      <x:c r="A255" s="72" t="s">
        <x:v>106</x:v>
      </x:c>
      <x:c r="B255" s="271">
        <x:v>46</x:v>
      </x:c>
      <x:c r="C255" s="72" t="s">
        <x:v>107</x:v>
      </x:c>
      <x:c r="D255" s="72" t="s">
        <x:v>108</x:v>
      </x:c>
      <x:c r="E255" s="72" t="s">
        <x:v>108</x:v>
      </x:c>
      <x:c r="F255" s="73">
        <x:v>1494768</x:v>
      </x:c>
      <x:c r="G255" s="74" t="s">
        <x:v>109</x:v>
      </x:c>
      <x:c r="H255" s="72" t="s">
        <x:v>110</x:v>
      </x:c>
      <x:c r="I255" s="86"/>
      <x:c r="J255" s="75">
        <x:f>+Puantaj!C259</x:f>
      </x:c>
      <x:c r="K255" s="72">
        <x:f>+Puantaj!D259</x:f>
      </x:c>
      <x:c r="L255" s="72">
        <x:f>+Puantaj!E259</x:f>
      </x:c>
      <x:c r="M255" s="265">
        <x:f>+BORDRO!F259</x:f>
      </x:c>
      <x:c r="N255" s="72"/>
      <x:c r="O255" s="87">
        <x:f>+BORDRO!G259</x:f>
      </x:c>
      <x:c r="P255" s="87">
        <x:v>0</x:v>
      </x:c>
      <x:c r="Q255" s="267"/>
      <x:c r="R255" s="267"/>
      <x:c r="S255" s="78"/>
      <x:c r="T255" s="78"/>
      <x:c r="U255" s="79"/>
      <x:c r="V255" s="268">
        <x:f>31-M255-Q255</x:f>
      </x:c>
      <x:c r="W255" s="269">
        <x:v>6</x:v>
      </x:c>
      <x:c r="X255" s="270" t="s">
        <x:v>112</x:v>
      </x:c>
      <x:c r="Y255" s="73">
        <x:v>2</x:v>
      </x:c>
      <x:c r="Z255" s="72" t="s">
        <x:v>106</x:v>
      </x:c>
      <x:c r="AA255" s="82" t="s">
        <x:v>111</x:v>
      </x:c>
      <x:c r="AB255" s="72">
        <x:v>2025</x:v>
      </x:c>
      <x:c r="AC255" s="72" t="s">
        <x:v>113</x:v>
      </x:c>
      <x:c r="AD255" s="88">
        <x:f>+BORDRO!J259</x:f>
      </x:c>
      <x:c r="AE255" s="83"/>
      <x:c r="AF255" s="83">
        <x:f>+BORDRO!K259</x:f>
      </x:c>
      <x:c r="AG255" s="83">
        <x:f>+BORDRO!L259</x:f>
      </x:c>
      <x:c r="AH255" s="88">
        <x:f>+BORDRO!M259</x:f>
      </x:c>
      <x:c r="AI255" s="83">
        <x:f>+BORDRO!O259</x:f>
      </x:c>
      <x:c r="AJ255" s="84">
        <x:f>+BORDRO!P259</x:f>
      </x:c>
    </x:row>
    <x:row r="256" spans="1:36" ht="15" customHeight="1" x14ac:dyDescent="0.25">
      <x:c r="A256" s="72" t="s">
        <x:v>106</x:v>
      </x:c>
      <x:c r="B256" s="264">
        <x:v>46</x:v>
      </x:c>
      <x:c r="C256" s="72" t="s">
        <x:v>107</x:v>
      </x:c>
      <x:c r="D256" s="72" t="s">
        <x:v>108</x:v>
      </x:c>
      <x:c r="E256" s="72" t="s">
        <x:v>108</x:v>
      </x:c>
      <x:c r="F256" s="73">
        <x:v>1494768</x:v>
      </x:c>
      <x:c r="G256" s="74" t="s">
        <x:v>109</x:v>
      </x:c>
      <x:c r="H256" s="72" t="s">
        <x:v>110</x:v>
      </x:c>
      <x:c r="I256" s="86"/>
      <x:c r="J256" s="75">
        <x:f>+Puantaj!C260</x:f>
      </x:c>
      <x:c r="K256" s="72">
        <x:f>+Puantaj!D260</x:f>
      </x:c>
      <x:c r="L256" s="72">
        <x:f>+Puantaj!E260</x:f>
      </x:c>
      <x:c r="M256" s="265">
        <x:f>+BORDRO!F260</x:f>
      </x:c>
      <x:c r="N256" s="72"/>
      <x:c r="O256" s="87">
        <x:f>+BORDRO!G260</x:f>
      </x:c>
      <x:c r="P256" s="87">
        <x:v>0</x:v>
      </x:c>
      <x:c r="Q256" s="267"/>
      <x:c r="R256" s="267"/>
      <x:c r="S256" s="78"/>
      <x:c r="T256" s="78"/>
      <x:c r="U256" s="79"/>
      <x:c r="V256" s="268">
        <x:f>31-M256-Q256</x:f>
      </x:c>
      <x:c r="W256" s="269">
        <x:v>6</x:v>
      </x:c>
      <x:c r="X256" s="270" t="s">
        <x:v>112</x:v>
      </x:c>
      <x:c r="Y256" s="73">
        <x:v>2</x:v>
      </x:c>
      <x:c r="Z256" s="72" t="s">
        <x:v>106</x:v>
      </x:c>
      <x:c r="AA256" s="82" t="s">
        <x:v>111</x:v>
      </x:c>
      <x:c r="AB256" s="72">
        <x:v>2025</x:v>
      </x:c>
      <x:c r="AC256" s="72" t="s">
        <x:v>113</x:v>
      </x:c>
      <x:c r="AD256" s="88">
        <x:f>+BORDRO!J260</x:f>
      </x:c>
      <x:c r="AE256" s="83"/>
      <x:c r="AF256" s="83">
        <x:f>+BORDRO!K260</x:f>
      </x:c>
      <x:c r="AG256" s="83">
        <x:f>+BORDRO!L260</x:f>
      </x:c>
      <x:c r="AH256" s="88">
        <x:f>+BORDRO!M260</x:f>
      </x:c>
      <x:c r="AI256" s="83">
        <x:f>+BORDRO!O260</x:f>
      </x:c>
      <x:c r="AJ256" s="84">
        <x:f>+BORDRO!P260</x:f>
      </x:c>
    </x:row>
    <x:row r="257" spans="1:36" ht="14.25" customHeight="1" x14ac:dyDescent="0.2">
      <x:c r="A257" s="72" t="s">
        <x:v>106</x:v>
      </x:c>
      <x:c r="B257" s="271">
        <x:v>46</x:v>
      </x:c>
      <x:c r="C257" s="72" t="s">
        <x:v>107</x:v>
      </x:c>
      <x:c r="D257" s="72" t="s">
        <x:v>108</x:v>
      </x:c>
      <x:c r="E257" s="72" t="s">
        <x:v>108</x:v>
      </x:c>
      <x:c r="F257" s="73">
        <x:v>1494768</x:v>
      </x:c>
      <x:c r="G257" s="74" t="s">
        <x:v>109</x:v>
      </x:c>
      <x:c r="H257" s="72" t="s">
        <x:v>110</x:v>
      </x:c>
      <x:c r="I257" s="86"/>
      <x:c r="J257" s="75">
        <x:f>+Puantaj!C261</x:f>
      </x:c>
      <x:c r="K257" s="72">
        <x:f>+Puantaj!D261</x:f>
      </x:c>
      <x:c r="L257" s="72">
        <x:f>+Puantaj!E261</x:f>
      </x:c>
      <x:c r="M257" s="265">
        <x:f>+BORDRO!F261</x:f>
      </x:c>
      <x:c r="N257" s="72"/>
      <x:c r="O257" s="87">
        <x:f>+BORDRO!G261</x:f>
      </x:c>
      <x:c r="P257" s="87">
        <x:v>0</x:v>
      </x:c>
      <x:c r="Q257" s="267"/>
      <x:c r="R257" s="267"/>
      <x:c r="S257" s="78"/>
      <x:c r="T257" s="78"/>
      <x:c r="U257" s="79"/>
      <x:c r="V257" s="268">
        <x:f>31-M257-Q257</x:f>
      </x:c>
      <x:c r="W257" s="269">
        <x:v>6</x:v>
      </x:c>
      <x:c r="X257" s="270" t="s">
        <x:v>112</x:v>
      </x:c>
      <x:c r="Y257" s="73">
        <x:v>2</x:v>
      </x:c>
      <x:c r="Z257" s="72" t="s">
        <x:v>106</x:v>
      </x:c>
      <x:c r="AA257" s="82" t="s">
        <x:v>111</x:v>
      </x:c>
      <x:c r="AB257" s="72">
        <x:v>2025</x:v>
      </x:c>
      <x:c r="AC257" s="72" t="s">
        <x:v>113</x:v>
      </x:c>
      <x:c r="AD257" s="88">
        <x:f>+BORDRO!J261</x:f>
      </x:c>
      <x:c r="AE257" s="83"/>
      <x:c r="AF257" s="83">
        <x:f>+BORDRO!K261</x:f>
      </x:c>
      <x:c r="AG257" s="83">
        <x:f>+BORDRO!L261</x:f>
      </x:c>
      <x:c r="AH257" s="88">
        <x:f>+BORDRO!M261</x:f>
      </x:c>
      <x:c r="AI257" s="83">
        <x:f>+BORDRO!O261</x:f>
      </x:c>
      <x:c r="AJ257" s="84">
        <x:f>+BORDRO!P261</x:f>
      </x:c>
    </x:row>
    <x:row r="258" spans="1:36" ht="15" customHeight="1" x14ac:dyDescent="0.25">
      <x:c r="A258" s="72" t="s">
        <x:v>106</x:v>
      </x:c>
      <x:c r="B258" s="264">
        <x:v>46</x:v>
      </x:c>
      <x:c r="C258" s="72" t="s">
        <x:v>107</x:v>
      </x:c>
      <x:c r="D258" s="72" t="s">
        <x:v>108</x:v>
      </x:c>
      <x:c r="E258" s="72" t="s">
        <x:v>108</x:v>
      </x:c>
      <x:c r="F258" s="73">
        <x:v>1494768</x:v>
      </x:c>
      <x:c r="G258" s="74" t="s">
        <x:v>109</x:v>
      </x:c>
      <x:c r="H258" s="72" t="s">
        <x:v>110</x:v>
      </x:c>
      <x:c r="I258" s="86"/>
      <x:c r="J258" s="75">
        <x:f>+Puantaj!C262</x:f>
      </x:c>
      <x:c r="K258" s="72">
        <x:f>+Puantaj!D262</x:f>
      </x:c>
      <x:c r="L258" s="72">
        <x:f>+Puantaj!E262</x:f>
      </x:c>
      <x:c r="M258" s="265">
        <x:f>+BORDRO!F262</x:f>
      </x:c>
      <x:c r="N258" s="72"/>
      <x:c r="O258" s="87">
        <x:f>+BORDRO!G262</x:f>
      </x:c>
      <x:c r="P258" s="87">
        <x:v>0</x:v>
      </x:c>
      <x:c r="Q258" s="267"/>
      <x:c r="R258" s="267"/>
      <x:c r="S258" s="78"/>
      <x:c r="T258" s="78"/>
      <x:c r="U258" s="79"/>
      <x:c r="V258" s="268">
        <x:f>31-M258-Q258</x:f>
      </x:c>
      <x:c r="W258" s="269">
        <x:v>6</x:v>
      </x:c>
      <x:c r="X258" s="270" t="s">
        <x:v>112</x:v>
      </x:c>
      <x:c r="Y258" s="73">
        <x:v>2</x:v>
      </x:c>
      <x:c r="Z258" s="72" t="s">
        <x:v>106</x:v>
      </x:c>
      <x:c r="AA258" s="82" t="s">
        <x:v>111</x:v>
      </x:c>
      <x:c r="AB258" s="72">
        <x:v>2025</x:v>
      </x:c>
      <x:c r="AC258" s="72" t="s">
        <x:v>113</x:v>
      </x:c>
      <x:c r="AD258" s="88">
        <x:f>+BORDRO!J262</x:f>
      </x:c>
      <x:c r="AE258" s="83"/>
      <x:c r="AF258" s="83">
        <x:f>+BORDRO!K262</x:f>
      </x:c>
      <x:c r="AG258" s="83">
        <x:f>+BORDRO!L262</x:f>
      </x:c>
      <x:c r="AH258" s="88">
        <x:f>+BORDRO!M262</x:f>
      </x:c>
      <x:c r="AI258" s="83">
        <x:f>+BORDRO!O262</x:f>
      </x:c>
      <x:c r="AJ258" s="84">
        <x:f>+BORDRO!P262</x:f>
      </x:c>
    </x:row>
    <x:row r="259" spans="1:36" ht="14.25" customHeight="1" x14ac:dyDescent="0.2">
      <x:c r="A259" s="72" t="s">
        <x:v>106</x:v>
      </x:c>
      <x:c r="B259" s="271">
        <x:v>46</x:v>
      </x:c>
      <x:c r="C259" s="72" t="s">
        <x:v>107</x:v>
      </x:c>
      <x:c r="D259" s="72" t="s">
        <x:v>108</x:v>
      </x:c>
      <x:c r="E259" s="72" t="s">
        <x:v>108</x:v>
      </x:c>
      <x:c r="F259" s="73">
        <x:v>1494768</x:v>
      </x:c>
      <x:c r="G259" s="74" t="s">
        <x:v>109</x:v>
      </x:c>
      <x:c r="H259" s="72" t="s">
        <x:v>110</x:v>
      </x:c>
      <x:c r="I259" s="86"/>
      <x:c r="J259" s="75">
        <x:f>+Puantaj!C263</x:f>
      </x:c>
      <x:c r="K259" s="72">
        <x:f>+Puantaj!D263</x:f>
      </x:c>
      <x:c r="L259" s="72">
        <x:f>+Puantaj!E263</x:f>
      </x:c>
      <x:c r="M259" s="265">
        <x:f>+BORDRO!F263</x:f>
      </x:c>
      <x:c r="N259" s="72"/>
      <x:c r="O259" s="87">
        <x:f>+BORDRO!G263</x:f>
      </x:c>
      <x:c r="P259" s="87">
        <x:v>0</x:v>
      </x:c>
      <x:c r="Q259" s="267"/>
      <x:c r="R259" s="267"/>
      <x:c r="S259" s="78"/>
      <x:c r="T259" s="78"/>
      <x:c r="U259" s="79"/>
      <x:c r="V259" s="268">
        <x:f>31-M259-Q259</x:f>
      </x:c>
      <x:c r="W259" s="269">
        <x:v>6</x:v>
      </x:c>
      <x:c r="X259" s="270" t="s">
        <x:v>112</x:v>
      </x:c>
      <x:c r="Y259" s="73">
        <x:v>2</x:v>
      </x:c>
      <x:c r="Z259" s="72" t="s">
        <x:v>106</x:v>
      </x:c>
      <x:c r="AA259" s="82" t="s">
        <x:v>111</x:v>
      </x:c>
      <x:c r="AB259" s="72">
        <x:v>2025</x:v>
      </x:c>
      <x:c r="AC259" s="72" t="s">
        <x:v>113</x:v>
      </x:c>
      <x:c r="AD259" s="88">
        <x:f>+BORDRO!J263</x:f>
      </x:c>
      <x:c r="AE259" s="83"/>
      <x:c r="AF259" s="83">
        <x:f>+BORDRO!K263</x:f>
      </x:c>
      <x:c r="AG259" s="83">
        <x:f>+BORDRO!L263</x:f>
      </x:c>
      <x:c r="AH259" s="88">
        <x:f>+BORDRO!M263</x:f>
      </x:c>
      <x:c r="AI259" s="83">
        <x:f>+BORDRO!O263</x:f>
      </x:c>
      <x:c r="AJ259" s="84">
        <x:f>+BORDRO!P263</x:f>
      </x:c>
    </x:row>
    <x:row r="260" spans="1:36" ht="15" customHeight="1" x14ac:dyDescent="0.25">
      <x:c r="A260" s="72" t="s">
        <x:v>106</x:v>
      </x:c>
      <x:c r="B260" s="264">
        <x:v>46</x:v>
      </x:c>
      <x:c r="C260" s="72" t="s">
        <x:v>107</x:v>
      </x:c>
      <x:c r="D260" s="72" t="s">
        <x:v>108</x:v>
      </x:c>
      <x:c r="E260" s="72" t="s">
        <x:v>108</x:v>
      </x:c>
      <x:c r="F260" s="73">
        <x:v>1494768</x:v>
      </x:c>
      <x:c r="G260" s="74" t="s">
        <x:v>109</x:v>
      </x:c>
      <x:c r="H260" s="72" t="s">
        <x:v>110</x:v>
      </x:c>
      <x:c r="I260" s="86"/>
      <x:c r="J260" s="75">
        <x:f>+Puantaj!C264</x:f>
      </x:c>
      <x:c r="K260" s="72">
        <x:f>+Puantaj!D264</x:f>
      </x:c>
      <x:c r="L260" s="72">
        <x:f>+Puantaj!E264</x:f>
      </x:c>
      <x:c r="M260" s="265">
        <x:f>+BORDRO!F264</x:f>
      </x:c>
      <x:c r="N260" s="72"/>
      <x:c r="O260" s="87">
        <x:f>+BORDRO!G264</x:f>
      </x:c>
      <x:c r="P260" s="87">
        <x:v>0</x:v>
      </x:c>
      <x:c r="Q260" s="267"/>
      <x:c r="R260" s="267"/>
      <x:c r="S260" s="78"/>
      <x:c r="T260" s="78"/>
      <x:c r="U260" s="79"/>
      <x:c r="V260" s="268">
        <x:f>31-M260-Q260</x:f>
      </x:c>
      <x:c r="W260" s="269">
        <x:v>6</x:v>
      </x:c>
      <x:c r="X260" s="270" t="s">
        <x:v>112</x:v>
      </x:c>
      <x:c r="Y260" s="73">
        <x:v>2</x:v>
      </x:c>
      <x:c r="Z260" s="72" t="s">
        <x:v>106</x:v>
      </x:c>
      <x:c r="AA260" s="82" t="s">
        <x:v>111</x:v>
      </x:c>
      <x:c r="AB260" s="72">
        <x:v>2025</x:v>
      </x:c>
      <x:c r="AC260" s="72" t="s">
        <x:v>113</x:v>
      </x:c>
      <x:c r="AD260" s="88">
        <x:f>+BORDRO!J264</x:f>
      </x:c>
      <x:c r="AE260" s="83"/>
      <x:c r="AF260" s="83">
        <x:f>+BORDRO!K264</x:f>
      </x:c>
      <x:c r="AG260" s="83">
        <x:f>+BORDRO!L264</x:f>
      </x:c>
      <x:c r="AH260" s="88">
        <x:f>+BORDRO!M264</x:f>
      </x:c>
      <x:c r="AI260" s="83">
        <x:f>+BORDRO!O264</x:f>
      </x:c>
      <x:c r="AJ260" s="84">
        <x:f>+BORDRO!P264</x:f>
      </x:c>
    </x:row>
    <x:row r="261" spans="1:36" ht="14.25" customHeight="1" x14ac:dyDescent="0.2">
      <x:c r="A261" s="72" t="s">
        <x:v>106</x:v>
      </x:c>
      <x:c r="B261" s="271">
        <x:v>46</x:v>
      </x:c>
      <x:c r="C261" s="72" t="s">
        <x:v>107</x:v>
      </x:c>
      <x:c r="D261" s="72" t="s">
        <x:v>108</x:v>
      </x:c>
      <x:c r="E261" s="72" t="s">
        <x:v>108</x:v>
      </x:c>
      <x:c r="F261" s="73">
        <x:v>1494768</x:v>
      </x:c>
      <x:c r="G261" s="74" t="s">
        <x:v>109</x:v>
      </x:c>
      <x:c r="H261" s="72" t="s">
        <x:v>110</x:v>
      </x:c>
      <x:c r="I261" s="86"/>
      <x:c r="J261" s="75">
        <x:f>+Puantaj!C265</x:f>
      </x:c>
      <x:c r="K261" s="72">
        <x:f>+Puantaj!D265</x:f>
      </x:c>
      <x:c r="L261" s="72">
        <x:f>+Puantaj!E265</x:f>
      </x:c>
      <x:c r="M261" s="265">
        <x:f>+BORDRO!F265</x:f>
      </x:c>
      <x:c r="N261" s="72"/>
      <x:c r="O261" s="87">
        <x:f>+BORDRO!G265</x:f>
      </x:c>
      <x:c r="P261" s="87">
        <x:v>0</x:v>
      </x:c>
      <x:c r="Q261" s="267"/>
      <x:c r="R261" s="267"/>
      <x:c r="S261" s="78"/>
      <x:c r="T261" s="78"/>
      <x:c r="U261" s="79"/>
      <x:c r="V261" s="268">
        <x:f>31-M261-Q261</x:f>
      </x:c>
      <x:c r="W261" s="269">
        <x:v>6</x:v>
      </x:c>
      <x:c r="X261" s="270" t="s">
        <x:v>112</x:v>
      </x:c>
      <x:c r="Y261" s="73">
        <x:v>2</x:v>
      </x:c>
      <x:c r="Z261" s="72" t="s">
        <x:v>106</x:v>
      </x:c>
      <x:c r="AA261" s="82" t="s">
        <x:v>111</x:v>
      </x:c>
      <x:c r="AB261" s="72">
        <x:v>2025</x:v>
      </x:c>
      <x:c r="AC261" s="72" t="s">
        <x:v>113</x:v>
      </x:c>
      <x:c r="AD261" s="88">
        <x:f>+BORDRO!J265</x:f>
      </x:c>
      <x:c r="AE261" s="83"/>
      <x:c r="AF261" s="83">
        <x:f>+BORDRO!K265</x:f>
      </x:c>
      <x:c r="AG261" s="83">
        <x:f>+BORDRO!L265</x:f>
      </x:c>
      <x:c r="AH261" s="88">
        <x:f>+BORDRO!M265</x:f>
      </x:c>
      <x:c r="AI261" s="83">
        <x:f>+BORDRO!O265</x:f>
      </x:c>
      <x:c r="AJ261" s="84">
        <x:f>+BORDRO!P265</x:f>
      </x:c>
    </x:row>
    <x:row r="262" spans="1:36" ht="15" customHeight="1" x14ac:dyDescent="0.25">
      <x:c r="A262" s="72" t="s">
        <x:v>106</x:v>
      </x:c>
      <x:c r="B262" s="264">
        <x:v>46</x:v>
      </x:c>
      <x:c r="C262" s="72" t="s">
        <x:v>107</x:v>
      </x:c>
      <x:c r="D262" s="72" t="s">
        <x:v>108</x:v>
      </x:c>
      <x:c r="E262" s="72" t="s">
        <x:v>108</x:v>
      </x:c>
      <x:c r="F262" s="73">
        <x:v>1494768</x:v>
      </x:c>
      <x:c r="G262" s="74" t="s">
        <x:v>109</x:v>
      </x:c>
      <x:c r="H262" s="72" t="s">
        <x:v>110</x:v>
      </x:c>
      <x:c r="I262" s="86"/>
      <x:c r="J262" s="75">
        <x:f>+Puantaj!C266</x:f>
      </x:c>
      <x:c r="K262" s="72">
        <x:f>+Puantaj!D266</x:f>
      </x:c>
      <x:c r="L262" s="72">
        <x:f>+Puantaj!E266</x:f>
      </x:c>
      <x:c r="M262" s="265">
        <x:f>+BORDRO!F266</x:f>
      </x:c>
      <x:c r="N262" s="72"/>
      <x:c r="O262" s="87">
        <x:f>+BORDRO!G266</x:f>
      </x:c>
      <x:c r="P262" s="87">
        <x:v>0</x:v>
      </x:c>
      <x:c r="Q262" s="267"/>
      <x:c r="R262" s="267"/>
      <x:c r="S262" s="78"/>
      <x:c r="T262" s="78"/>
      <x:c r="U262" s="79"/>
      <x:c r="V262" s="268">
        <x:f>31-M262-Q262</x:f>
      </x:c>
      <x:c r="W262" s="269">
        <x:v>6</x:v>
      </x:c>
      <x:c r="X262" s="270" t="s">
        <x:v>112</x:v>
      </x:c>
      <x:c r="Y262" s="73">
        <x:v>2</x:v>
      </x:c>
      <x:c r="Z262" s="72" t="s">
        <x:v>106</x:v>
      </x:c>
      <x:c r="AA262" s="82" t="s">
        <x:v>111</x:v>
      </x:c>
      <x:c r="AB262" s="72">
        <x:v>2025</x:v>
      </x:c>
      <x:c r="AC262" s="72" t="s">
        <x:v>113</x:v>
      </x:c>
      <x:c r="AD262" s="88">
        <x:f>+BORDRO!J266</x:f>
      </x:c>
      <x:c r="AE262" s="83"/>
      <x:c r="AF262" s="83">
        <x:f>+BORDRO!K266</x:f>
      </x:c>
      <x:c r="AG262" s="83">
        <x:f>+BORDRO!L266</x:f>
      </x:c>
      <x:c r="AH262" s="88">
        <x:f>+BORDRO!M266</x:f>
      </x:c>
      <x:c r="AI262" s="83">
        <x:f>+BORDRO!O266</x:f>
      </x:c>
      <x:c r="AJ262" s="84">
        <x:f>+BORDRO!P266</x:f>
      </x:c>
    </x:row>
    <x:row r="263" spans="1:36" ht="14.25" customHeight="1" x14ac:dyDescent="0.2">
      <x:c r="A263" s="72" t="s">
        <x:v>106</x:v>
      </x:c>
      <x:c r="B263" s="271">
        <x:v>46</x:v>
      </x:c>
      <x:c r="C263" s="72" t="s">
        <x:v>107</x:v>
      </x:c>
      <x:c r="D263" s="72" t="s">
        <x:v>108</x:v>
      </x:c>
      <x:c r="E263" s="72" t="s">
        <x:v>108</x:v>
      </x:c>
      <x:c r="F263" s="73">
        <x:v>1494768</x:v>
      </x:c>
      <x:c r="G263" s="74" t="s">
        <x:v>109</x:v>
      </x:c>
      <x:c r="H263" s="72" t="s">
        <x:v>110</x:v>
      </x:c>
      <x:c r="I263" s="86"/>
      <x:c r="J263" s="75">
        <x:f>+Puantaj!C267</x:f>
      </x:c>
      <x:c r="K263" s="72">
        <x:f>+Puantaj!D267</x:f>
      </x:c>
      <x:c r="L263" s="72">
        <x:f>+Puantaj!E267</x:f>
      </x:c>
      <x:c r="M263" s="265">
        <x:f>+BORDRO!F267</x:f>
      </x:c>
      <x:c r="N263" s="72"/>
      <x:c r="O263" s="87">
        <x:f>+BORDRO!G267</x:f>
      </x:c>
      <x:c r="P263" s="87">
        <x:v>0</x:v>
      </x:c>
      <x:c r="Q263" s="267"/>
      <x:c r="R263" s="267"/>
      <x:c r="S263" s="78"/>
      <x:c r="T263" s="78"/>
      <x:c r="U263" s="79"/>
      <x:c r="V263" s="268">
        <x:f>31-M263-Q263</x:f>
      </x:c>
      <x:c r="W263" s="269">
        <x:v>6</x:v>
      </x:c>
      <x:c r="X263" s="270" t="s">
        <x:v>112</x:v>
      </x:c>
      <x:c r="Y263" s="73">
        <x:v>2</x:v>
      </x:c>
      <x:c r="Z263" s="72" t="s">
        <x:v>106</x:v>
      </x:c>
      <x:c r="AA263" s="82" t="s">
        <x:v>111</x:v>
      </x:c>
      <x:c r="AB263" s="72">
        <x:v>2025</x:v>
      </x:c>
      <x:c r="AC263" s="72" t="s">
        <x:v>113</x:v>
      </x:c>
      <x:c r="AD263" s="88">
        <x:f>+BORDRO!J267</x:f>
      </x:c>
      <x:c r="AE263" s="83"/>
      <x:c r="AF263" s="83">
        <x:f>+BORDRO!K267</x:f>
      </x:c>
      <x:c r="AG263" s="83">
        <x:f>+BORDRO!L267</x:f>
      </x:c>
      <x:c r="AH263" s="88">
        <x:f>+BORDRO!M267</x:f>
      </x:c>
      <x:c r="AI263" s="83">
        <x:f>+BORDRO!O267</x:f>
      </x:c>
      <x:c r="AJ263" s="84">
        <x:f>+BORDRO!P267</x:f>
      </x:c>
    </x:row>
    <x:row r="264" spans="1:36" ht="15" customHeight="1" x14ac:dyDescent="0.25">
      <x:c r="A264" s="72" t="s">
        <x:v>106</x:v>
      </x:c>
      <x:c r="B264" s="264">
        <x:v>46</x:v>
      </x:c>
      <x:c r="C264" s="72" t="s">
        <x:v>107</x:v>
      </x:c>
      <x:c r="D264" s="72" t="s">
        <x:v>108</x:v>
      </x:c>
      <x:c r="E264" s="72" t="s">
        <x:v>108</x:v>
      </x:c>
      <x:c r="F264" s="73">
        <x:v>1494768</x:v>
      </x:c>
      <x:c r="G264" s="74" t="s">
        <x:v>109</x:v>
      </x:c>
      <x:c r="H264" s="72" t="s">
        <x:v>110</x:v>
      </x:c>
      <x:c r="I264" s="86"/>
      <x:c r="J264" s="75">
        <x:f>+Puantaj!C268</x:f>
      </x:c>
      <x:c r="K264" s="72">
        <x:f>+Puantaj!D268</x:f>
      </x:c>
      <x:c r="L264" s="72">
        <x:f>+Puantaj!E268</x:f>
      </x:c>
      <x:c r="M264" s="265">
        <x:f>+BORDRO!F268</x:f>
      </x:c>
      <x:c r="N264" s="72"/>
      <x:c r="O264" s="87">
        <x:f>+BORDRO!G268</x:f>
      </x:c>
      <x:c r="P264" s="87">
        <x:v>0</x:v>
      </x:c>
      <x:c r="Q264" s="267"/>
      <x:c r="R264" s="267"/>
      <x:c r="S264" s="78"/>
      <x:c r="T264" s="78"/>
      <x:c r="U264" s="79"/>
      <x:c r="V264" s="268">
        <x:f>31-M264-Q264</x:f>
      </x:c>
      <x:c r="W264" s="269">
        <x:v>6</x:v>
      </x:c>
      <x:c r="X264" s="270" t="s">
        <x:v>112</x:v>
      </x:c>
      <x:c r="Y264" s="73">
        <x:v>2</x:v>
      </x:c>
      <x:c r="Z264" s="72" t="s">
        <x:v>106</x:v>
      </x:c>
      <x:c r="AA264" s="82" t="s">
        <x:v>111</x:v>
      </x:c>
      <x:c r="AB264" s="72">
        <x:v>2025</x:v>
      </x:c>
      <x:c r="AC264" s="72" t="s">
        <x:v>113</x:v>
      </x:c>
      <x:c r="AD264" s="88">
        <x:f>+BORDRO!J268</x:f>
      </x:c>
      <x:c r="AE264" s="83"/>
      <x:c r="AF264" s="83">
        <x:f>+BORDRO!K268</x:f>
      </x:c>
      <x:c r="AG264" s="83">
        <x:f>+BORDRO!L268</x:f>
      </x:c>
      <x:c r="AH264" s="88">
        <x:f>+BORDRO!M268</x:f>
      </x:c>
      <x:c r="AI264" s="83">
        <x:f>+BORDRO!O268</x:f>
      </x:c>
      <x:c r="AJ264" s="84">
        <x:f>+BORDRO!P268</x:f>
      </x:c>
    </x:row>
    <x:row r="265" spans="1:36" ht="14.25" customHeight="1" x14ac:dyDescent="0.2">
      <x:c r="A265" s="72" t="s">
        <x:v>106</x:v>
      </x:c>
      <x:c r="B265" s="271">
        <x:v>46</x:v>
      </x:c>
      <x:c r="C265" s="72" t="s">
        <x:v>107</x:v>
      </x:c>
      <x:c r="D265" s="72" t="s">
        <x:v>108</x:v>
      </x:c>
      <x:c r="E265" s="72" t="s">
        <x:v>108</x:v>
      </x:c>
      <x:c r="F265" s="73">
        <x:v>1494768</x:v>
      </x:c>
      <x:c r="G265" s="74" t="s">
        <x:v>109</x:v>
      </x:c>
      <x:c r="H265" s="72" t="s">
        <x:v>110</x:v>
      </x:c>
      <x:c r="I265" s="86"/>
      <x:c r="J265" s="75">
        <x:f>+Puantaj!C269</x:f>
      </x:c>
      <x:c r="K265" s="72">
        <x:f>+Puantaj!D269</x:f>
      </x:c>
      <x:c r="L265" s="72">
        <x:f>+Puantaj!E269</x:f>
      </x:c>
      <x:c r="M265" s="265">
        <x:f>+BORDRO!F269</x:f>
      </x:c>
      <x:c r="N265" s="72"/>
      <x:c r="O265" s="87">
        <x:f>+BORDRO!G269</x:f>
      </x:c>
      <x:c r="P265" s="87">
        <x:v>0</x:v>
      </x:c>
      <x:c r="Q265" s="267"/>
      <x:c r="R265" s="267"/>
      <x:c r="S265" s="78"/>
      <x:c r="T265" s="78"/>
      <x:c r="U265" s="79"/>
      <x:c r="V265" s="268">
        <x:f>31-M265-Q265</x:f>
      </x:c>
      <x:c r="W265" s="269">
        <x:v>6</x:v>
      </x:c>
      <x:c r="X265" s="270" t="s">
        <x:v>112</x:v>
      </x:c>
      <x:c r="Y265" s="73">
        <x:v>2</x:v>
      </x:c>
      <x:c r="Z265" s="72" t="s">
        <x:v>106</x:v>
      </x:c>
      <x:c r="AA265" s="82" t="s">
        <x:v>111</x:v>
      </x:c>
      <x:c r="AB265" s="72">
        <x:v>2025</x:v>
      </x:c>
      <x:c r="AC265" s="72" t="s">
        <x:v>113</x:v>
      </x:c>
      <x:c r="AD265" s="88">
        <x:f>+BORDRO!J269</x:f>
      </x:c>
      <x:c r="AE265" s="83"/>
      <x:c r="AF265" s="83">
        <x:f>+BORDRO!K269</x:f>
      </x:c>
      <x:c r="AG265" s="83">
        <x:f>+BORDRO!L269</x:f>
      </x:c>
      <x:c r="AH265" s="88">
        <x:f>+BORDRO!M269</x:f>
      </x:c>
      <x:c r="AI265" s="83">
        <x:f>+BORDRO!O269</x:f>
      </x:c>
      <x:c r="AJ265" s="84">
        <x:f>+BORDRO!P269</x:f>
      </x:c>
    </x:row>
    <x:row r="266" spans="1:36" ht="15" customHeight="1" x14ac:dyDescent="0.25">
      <x:c r="A266" s="72" t="s">
        <x:v>106</x:v>
      </x:c>
      <x:c r="B266" s="264">
        <x:v>46</x:v>
      </x:c>
      <x:c r="C266" s="72" t="s">
        <x:v>107</x:v>
      </x:c>
      <x:c r="D266" s="72" t="s">
        <x:v>108</x:v>
      </x:c>
      <x:c r="E266" s="72" t="s">
        <x:v>108</x:v>
      </x:c>
      <x:c r="F266" s="73">
        <x:v>1494768</x:v>
      </x:c>
      <x:c r="G266" s="74" t="s">
        <x:v>109</x:v>
      </x:c>
      <x:c r="H266" s="72" t="s">
        <x:v>110</x:v>
      </x:c>
      <x:c r="I266" s="86"/>
      <x:c r="J266" s="75">
        <x:f>+Puantaj!C270</x:f>
      </x:c>
      <x:c r="K266" s="72">
        <x:f>+Puantaj!D270</x:f>
      </x:c>
      <x:c r="L266" s="72">
        <x:f>+Puantaj!E270</x:f>
      </x:c>
      <x:c r="M266" s="265">
        <x:f>+BORDRO!F270</x:f>
      </x:c>
      <x:c r="N266" s="72"/>
      <x:c r="O266" s="87">
        <x:f>+BORDRO!G270</x:f>
      </x:c>
      <x:c r="P266" s="87">
        <x:v>0</x:v>
      </x:c>
      <x:c r="Q266" s="267"/>
      <x:c r="R266" s="267"/>
      <x:c r="S266" s="78"/>
      <x:c r="T266" s="78"/>
      <x:c r="U266" s="79"/>
      <x:c r="V266" s="268">
        <x:f>31-M266-Q266</x:f>
      </x:c>
      <x:c r="W266" s="269">
        <x:v>6</x:v>
      </x:c>
      <x:c r="X266" s="270" t="s">
        <x:v>112</x:v>
      </x:c>
      <x:c r="Y266" s="73">
        <x:v>2</x:v>
      </x:c>
      <x:c r="Z266" s="72" t="s">
        <x:v>106</x:v>
      </x:c>
      <x:c r="AA266" s="82" t="s">
        <x:v>111</x:v>
      </x:c>
      <x:c r="AB266" s="72">
        <x:v>2025</x:v>
      </x:c>
      <x:c r="AC266" s="72" t="s">
        <x:v>113</x:v>
      </x:c>
      <x:c r="AD266" s="88">
        <x:f>+BORDRO!J270</x:f>
      </x:c>
      <x:c r="AE266" s="83"/>
      <x:c r="AF266" s="83">
        <x:f>+BORDRO!K270</x:f>
      </x:c>
      <x:c r="AG266" s="83">
        <x:f>+BORDRO!L270</x:f>
      </x:c>
      <x:c r="AH266" s="88">
        <x:f>+BORDRO!M270</x:f>
      </x:c>
      <x:c r="AI266" s="83">
        <x:f>+BORDRO!O270</x:f>
      </x:c>
      <x:c r="AJ266" s="84">
        <x:f>+BORDRO!P270</x:f>
      </x:c>
    </x:row>
    <x:row r="267" spans="1:36" ht="14.25" customHeight="1" x14ac:dyDescent="0.2">
      <x:c r="A267" s="72" t="s">
        <x:v>106</x:v>
      </x:c>
      <x:c r="B267" s="271">
        <x:v>46</x:v>
      </x:c>
      <x:c r="C267" s="72" t="s">
        <x:v>107</x:v>
      </x:c>
      <x:c r="D267" s="72" t="s">
        <x:v>108</x:v>
      </x:c>
      <x:c r="E267" s="72" t="s">
        <x:v>108</x:v>
      </x:c>
      <x:c r="F267" s="73">
        <x:v>1494768</x:v>
      </x:c>
      <x:c r="G267" s="74" t="s">
        <x:v>109</x:v>
      </x:c>
      <x:c r="H267" s="72" t="s">
        <x:v>110</x:v>
      </x:c>
      <x:c r="I267" s="86"/>
      <x:c r="J267" s="75">
        <x:f>+Puantaj!C271</x:f>
      </x:c>
      <x:c r="K267" s="72">
        <x:f>+Puantaj!D271</x:f>
      </x:c>
      <x:c r="L267" s="72">
        <x:f>+Puantaj!E271</x:f>
      </x:c>
      <x:c r="M267" s="265">
        <x:f>+BORDRO!F271</x:f>
      </x:c>
      <x:c r="N267" s="72"/>
      <x:c r="O267" s="87">
        <x:f>+BORDRO!G271</x:f>
      </x:c>
      <x:c r="P267" s="87">
        <x:v>0</x:v>
      </x:c>
      <x:c r="Q267" s="267"/>
      <x:c r="R267" s="267"/>
      <x:c r="S267" s="78"/>
      <x:c r="T267" s="78"/>
      <x:c r="U267" s="79"/>
      <x:c r="V267" s="268">
        <x:f>31-M267-Q267</x:f>
      </x:c>
      <x:c r="W267" s="269">
        <x:v>6</x:v>
      </x:c>
      <x:c r="X267" s="270" t="s">
        <x:v>112</x:v>
      </x:c>
      <x:c r="Y267" s="73">
        <x:v>2</x:v>
      </x:c>
      <x:c r="Z267" s="72" t="s">
        <x:v>106</x:v>
      </x:c>
      <x:c r="AA267" s="82" t="s">
        <x:v>111</x:v>
      </x:c>
      <x:c r="AB267" s="72">
        <x:v>2025</x:v>
      </x:c>
      <x:c r="AC267" s="72" t="s">
        <x:v>113</x:v>
      </x:c>
      <x:c r="AD267" s="88">
        <x:f>+BORDRO!J271</x:f>
      </x:c>
      <x:c r="AE267" s="83"/>
      <x:c r="AF267" s="83">
        <x:f>+BORDRO!K271</x:f>
      </x:c>
      <x:c r="AG267" s="83">
        <x:f>+BORDRO!L271</x:f>
      </x:c>
      <x:c r="AH267" s="88">
        <x:f>+BORDRO!M271</x:f>
      </x:c>
      <x:c r="AI267" s="83">
        <x:f>+BORDRO!O271</x:f>
      </x:c>
      <x:c r="AJ267" s="84">
        <x:f>+BORDRO!P271</x:f>
      </x:c>
    </x:row>
    <x:row r="268" spans="1:36" ht="15" customHeight="1" x14ac:dyDescent="0.25">
      <x:c r="A268" s="72" t="s">
        <x:v>106</x:v>
      </x:c>
      <x:c r="B268" s="264">
        <x:v>46</x:v>
      </x:c>
      <x:c r="C268" s="72" t="s">
        <x:v>107</x:v>
      </x:c>
      <x:c r="D268" s="72" t="s">
        <x:v>108</x:v>
      </x:c>
      <x:c r="E268" s="72" t="s">
        <x:v>108</x:v>
      </x:c>
      <x:c r="F268" s="73">
        <x:v>1494768</x:v>
      </x:c>
      <x:c r="G268" s="74" t="s">
        <x:v>109</x:v>
      </x:c>
      <x:c r="H268" s="72" t="s">
        <x:v>110</x:v>
      </x:c>
      <x:c r="I268" s="86"/>
      <x:c r="J268" s="75">
        <x:f>+Puantaj!C272</x:f>
      </x:c>
      <x:c r="K268" s="72">
        <x:f>+Puantaj!D272</x:f>
      </x:c>
      <x:c r="L268" s="72">
        <x:f>+Puantaj!E272</x:f>
      </x:c>
      <x:c r="M268" s="265">
        <x:f>+BORDRO!F272</x:f>
      </x:c>
      <x:c r="N268" s="72"/>
      <x:c r="O268" s="87">
        <x:f>+BORDRO!G272</x:f>
      </x:c>
      <x:c r="P268" s="87">
        <x:v>0</x:v>
      </x:c>
      <x:c r="Q268" s="267"/>
      <x:c r="R268" s="267"/>
      <x:c r="S268" s="78"/>
      <x:c r="T268" s="78"/>
      <x:c r="U268" s="79"/>
      <x:c r="V268" s="268">
        <x:f>31-M268-Q268</x:f>
      </x:c>
      <x:c r="W268" s="269">
        <x:v>6</x:v>
      </x:c>
      <x:c r="X268" s="270" t="s">
        <x:v>112</x:v>
      </x:c>
      <x:c r="Y268" s="73">
        <x:v>2</x:v>
      </x:c>
      <x:c r="Z268" s="72" t="s">
        <x:v>106</x:v>
      </x:c>
      <x:c r="AA268" s="82" t="s">
        <x:v>111</x:v>
      </x:c>
      <x:c r="AB268" s="72">
        <x:v>2025</x:v>
      </x:c>
      <x:c r="AC268" s="72" t="s">
        <x:v>113</x:v>
      </x:c>
      <x:c r="AD268" s="88">
        <x:f>+BORDRO!J272</x:f>
      </x:c>
      <x:c r="AE268" s="83"/>
      <x:c r="AF268" s="83">
        <x:f>+BORDRO!K272</x:f>
      </x:c>
      <x:c r="AG268" s="83">
        <x:f>+BORDRO!L272</x:f>
      </x:c>
      <x:c r="AH268" s="88">
        <x:f>+BORDRO!M272</x:f>
      </x:c>
      <x:c r="AI268" s="83">
        <x:f>+BORDRO!O272</x:f>
      </x:c>
      <x:c r="AJ268" s="84">
        <x:f>+BORDRO!P272</x:f>
      </x:c>
    </x:row>
    <x:row r="269" spans="1:36" ht="14.25" customHeight="1" x14ac:dyDescent="0.2">
      <x:c r="A269" s="72" t="s">
        <x:v>106</x:v>
      </x:c>
      <x:c r="B269" s="271">
        <x:v>46</x:v>
      </x:c>
      <x:c r="C269" s="72" t="s">
        <x:v>107</x:v>
      </x:c>
      <x:c r="D269" s="72" t="s">
        <x:v>108</x:v>
      </x:c>
      <x:c r="E269" s="72" t="s">
        <x:v>108</x:v>
      </x:c>
      <x:c r="F269" s="73">
        <x:v>1494768</x:v>
      </x:c>
      <x:c r="G269" s="74" t="s">
        <x:v>109</x:v>
      </x:c>
      <x:c r="H269" s="72" t="s">
        <x:v>110</x:v>
      </x:c>
      <x:c r="I269" s="86"/>
      <x:c r="J269" s="75">
        <x:f>+Puantaj!C273</x:f>
      </x:c>
      <x:c r="K269" s="72">
        <x:f>+Puantaj!D273</x:f>
      </x:c>
      <x:c r="L269" s="72">
        <x:f>+Puantaj!E273</x:f>
      </x:c>
      <x:c r="M269" s="265">
        <x:f>+BORDRO!F273</x:f>
      </x:c>
      <x:c r="N269" s="72"/>
      <x:c r="O269" s="87">
        <x:f>+BORDRO!G273</x:f>
      </x:c>
      <x:c r="P269" s="87">
        <x:v>0</x:v>
      </x:c>
      <x:c r="Q269" s="267"/>
      <x:c r="R269" s="267"/>
      <x:c r="S269" s="78"/>
      <x:c r="T269" s="78"/>
      <x:c r="U269" s="79"/>
      <x:c r="V269" s="268">
        <x:f>31-M269-Q269</x:f>
      </x:c>
      <x:c r="W269" s="269">
        <x:v>6</x:v>
      </x:c>
      <x:c r="X269" s="270" t="s">
        <x:v>112</x:v>
      </x:c>
      <x:c r="Y269" s="73">
        <x:v>2</x:v>
      </x:c>
      <x:c r="Z269" s="72" t="s">
        <x:v>106</x:v>
      </x:c>
      <x:c r="AA269" s="82" t="s">
        <x:v>111</x:v>
      </x:c>
      <x:c r="AB269" s="72">
        <x:v>2025</x:v>
      </x:c>
      <x:c r="AC269" s="72" t="s">
        <x:v>113</x:v>
      </x:c>
      <x:c r="AD269" s="88">
        <x:f>+BORDRO!J273</x:f>
      </x:c>
      <x:c r="AE269" s="83"/>
      <x:c r="AF269" s="83">
        <x:f>+BORDRO!K273</x:f>
      </x:c>
      <x:c r="AG269" s="83">
        <x:f>+BORDRO!L273</x:f>
      </x:c>
      <x:c r="AH269" s="88">
        <x:f>+BORDRO!M273</x:f>
      </x:c>
      <x:c r="AI269" s="83">
        <x:f>+BORDRO!O273</x:f>
      </x:c>
      <x:c r="AJ269" s="84">
        <x:f>+BORDRO!P273</x:f>
      </x:c>
    </x:row>
    <x:row r="270" spans="1:36" ht="15" customHeight="1" x14ac:dyDescent="0.25">
      <x:c r="A270" s="72" t="s">
        <x:v>106</x:v>
      </x:c>
      <x:c r="B270" s="264">
        <x:v>46</x:v>
      </x:c>
      <x:c r="C270" s="72" t="s">
        <x:v>107</x:v>
      </x:c>
      <x:c r="D270" s="72" t="s">
        <x:v>108</x:v>
      </x:c>
      <x:c r="E270" s="72" t="s">
        <x:v>108</x:v>
      </x:c>
      <x:c r="F270" s="73">
        <x:v>1494768</x:v>
      </x:c>
      <x:c r="G270" s="74" t="s">
        <x:v>109</x:v>
      </x:c>
      <x:c r="H270" s="72" t="s">
        <x:v>110</x:v>
      </x:c>
      <x:c r="I270" s="86"/>
      <x:c r="J270" s="75">
        <x:f>+Puantaj!C274</x:f>
      </x:c>
      <x:c r="K270" s="72">
        <x:f>+Puantaj!D274</x:f>
      </x:c>
      <x:c r="L270" s="72">
        <x:f>+Puantaj!E274</x:f>
      </x:c>
      <x:c r="M270" s="265">
        <x:f>+BORDRO!F274</x:f>
      </x:c>
      <x:c r="N270" s="72"/>
      <x:c r="O270" s="87">
        <x:f>+BORDRO!G274</x:f>
      </x:c>
      <x:c r="P270" s="87">
        <x:v>0</x:v>
      </x:c>
      <x:c r="Q270" s="267"/>
      <x:c r="R270" s="267"/>
      <x:c r="S270" s="78"/>
      <x:c r="T270" s="78"/>
      <x:c r="U270" s="79"/>
      <x:c r="V270" s="268">
        <x:f>31-M270-Q270</x:f>
      </x:c>
      <x:c r="W270" s="269">
        <x:v>6</x:v>
      </x:c>
      <x:c r="X270" s="270" t="s">
        <x:v>112</x:v>
      </x:c>
      <x:c r="Y270" s="73">
        <x:v>2</x:v>
      </x:c>
      <x:c r="Z270" s="72" t="s">
        <x:v>106</x:v>
      </x:c>
      <x:c r="AA270" s="82" t="s">
        <x:v>111</x:v>
      </x:c>
      <x:c r="AB270" s="72">
        <x:v>2025</x:v>
      </x:c>
      <x:c r="AC270" s="72" t="s">
        <x:v>113</x:v>
      </x:c>
      <x:c r="AD270" s="88">
        <x:f>+BORDRO!J274</x:f>
      </x:c>
      <x:c r="AE270" s="83"/>
      <x:c r="AF270" s="83">
        <x:f>+BORDRO!K274</x:f>
      </x:c>
      <x:c r="AG270" s="83">
        <x:f>+BORDRO!L274</x:f>
      </x:c>
      <x:c r="AH270" s="88">
        <x:f>+BORDRO!M274</x:f>
      </x:c>
      <x:c r="AI270" s="83">
        <x:f>+BORDRO!O274</x:f>
      </x:c>
      <x:c r="AJ270" s="84">
        <x:f>+BORDRO!P274</x:f>
      </x:c>
    </x:row>
    <x:row r="271" spans="1:36" ht="14.25" customHeight="1" x14ac:dyDescent="0.2">
      <x:c r="A271" s="72" t="s">
        <x:v>106</x:v>
      </x:c>
      <x:c r="B271" s="271">
        <x:v>46</x:v>
      </x:c>
      <x:c r="C271" s="72" t="s">
        <x:v>107</x:v>
      </x:c>
      <x:c r="D271" s="72" t="s">
        <x:v>108</x:v>
      </x:c>
      <x:c r="E271" s="72" t="s">
        <x:v>108</x:v>
      </x:c>
      <x:c r="F271" s="73">
        <x:v>1494768</x:v>
      </x:c>
      <x:c r="G271" s="74" t="s">
        <x:v>109</x:v>
      </x:c>
      <x:c r="H271" s="72" t="s">
        <x:v>110</x:v>
      </x:c>
      <x:c r="I271" s="86"/>
      <x:c r="J271" s="75">
        <x:f>+Puantaj!C275</x:f>
      </x:c>
      <x:c r="K271" s="72">
        <x:f>+Puantaj!D275</x:f>
      </x:c>
      <x:c r="L271" s="72">
        <x:f>+Puantaj!E275</x:f>
      </x:c>
      <x:c r="M271" s="265">
        <x:f>+BORDRO!F275</x:f>
      </x:c>
      <x:c r="N271" s="72"/>
      <x:c r="O271" s="87">
        <x:f>+BORDRO!G275</x:f>
      </x:c>
      <x:c r="P271" s="87">
        <x:v>0</x:v>
      </x:c>
      <x:c r="Q271" s="267"/>
      <x:c r="R271" s="267"/>
      <x:c r="S271" s="78"/>
      <x:c r="T271" s="78"/>
      <x:c r="U271" s="79"/>
      <x:c r="V271" s="268">
        <x:f>31-M271-Q271</x:f>
      </x:c>
      <x:c r="W271" s="269">
        <x:v>6</x:v>
      </x:c>
      <x:c r="X271" s="270" t="s">
        <x:v>112</x:v>
      </x:c>
      <x:c r="Y271" s="73">
        <x:v>2</x:v>
      </x:c>
      <x:c r="Z271" s="72" t="s">
        <x:v>106</x:v>
      </x:c>
      <x:c r="AA271" s="82" t="s">
        <x:v>111</x:v>
      </x:c>
      <x:c r="AB271" s="72">
        <x:v>2025</x:v>
      </x:c>
      <x:c r="AC271" s="72" t="s">
        <x:v>113</x:v>
      </x:c>
      <x:c r="AD271" s="88">
        <x:f>+BORDRO!J275</x:f>
      </x:c>
      <x:c r="AE271" s="83"/>
      <x:c r="AF271" s="83">
        <x:f>+BORDRO!K275</x:f>
      </x:c>
      <x:c r="AG271" s="83">
        <x:f>+BORDRO!L275</x:f>
      </x:c>
      <x:c r="AH271" s="88">
        <x:f>+BORDRO!M275</x:f>
      </x:c>
      <x:c r="AI271" s="83">
        <x:f>+BORDRO!O275</x:f>
      </x:c>
      <x:c r="AJ271" s="84">
        <x:f>+BORDRO!P275</x:f>
      </x:c>
    </x:row>
    <x:row r="272" spans="1:36" ht="15" customHeight="1" x14ac:dyDescent="0.25">
      <x:c r="A272" s="72" t="s">
        <x:v>106</x:v>
      </x:c>
      <x:c r="B272" s="264">
        <x:v>46</x:v>
      </x:c>
      <x:c r="C272" s="72" t="s">
        <x:v>107</x:v>
      </x:c>
      <x:c r="D272" s="72" t="s">
        <x:v>108</x:v>
      </x:c>
      <x:c r="E272" s="72" t="s">
        <x:v>108</x:v>
      </x:c>
      <x:c r="F272" s="73">
        <x:v>1494768</x:v>
      </x:c>
      <x:c r="G272" s="74" t="s">
        <x:v>109</x:v>
      </x:c>
      <x:c r="H272" s="72" t="s">
        <x:v>110</x:v>
      </x:c>
      <x:c r="I272" s="86"/>
      <x:c r="J272" s="75">
        <x:f>+Puantaj!C276</x:f>
      </x:c>
      <x:c r="K272" s="72">
        <x:f>+Puantaj!D276</x:f>
      </x:c>
      <x:c r="L272" s="72">
        <x:f>+Puantaj!E276</x:f>
      </x:c>
      <x:c r="M272" s="265">
        <x:f>+BORDRO!F276</x:f>
      </x:c>
      <x:c r="N272" s="72"/>
      <x:c r="O272" s="87">
        <x:f>+BORDRO!G276</x:f>
      </x:c>
      <x:c r="P272" s="87">
        <x:v>0</x:v>
      </x:c>
      <x:c r="Q272" s="267"/>
      <x:c r="R272" s="267"/>
      <x:c r="S272" s="78"/>
      <x:c r="T272" s="78"/>
      <x:c r="U272" s="79"/>
      <x:c r="V272" s="268">
        <x:f>31-M272-Q272</x:f>
      </x:c>
      <x:c r="W272" s="269">
        <x:v>6</x:v>
      </x:c>
      <x:c r="X272" s="270" t="s">
        <x:v>112</x:v>
      </x:c>
      <x:c r="Y272" s="73">
        <x:v>2</x:v>
      </x:c>
      <x:c r="Z272" s="72" t="s">
        <x:v>106</x:v>
      </x:c>
      <x:c r="AA272" s="82" t="s">
        <x:v>111</x:v>
      </x:c>
      <x:c r="AB272" s="72">
        <x:v>2025</x:v>
      </x:c>
      <x:c r="AC272" s="72" t="s">
        <x:v>113</x:v>
      </x:c>
      <x:c r="AD272" s="88">
        <x:f>+BORDRO!J276</x:f>
      </x:c>
      <x:c r="AE272" s="83"/>
      <x:c r="AF272" s="83">
        <x:f>+BORDRO!K276</x:f>
      </x:c>
      <x:c r="AG272" s="83">
        <x:f>+BORDRO!L276</x:f>
      </x:c>
      <x:c r="AH272" s="88">
        <x:f>+BORDRO!M276</x:f>
      </x:c>
      <x:c r="AI272" s="83">
        <x:f>+BORDRO!O276</x:f>
      </x:c>
      <x:c r="AJ272" s="84">
        <x:f>+BORDRO!P276</x:f>
      </x:c>
    </x:row>
    <x:row r="273" spans="1:36" ht="14.25" customHeight="1" x14ac:dyDescent="0.2">
      <x:c r="A273" s="72" t="s">
        <x:v>106</x:v>
      </x:c>
      <x:c r="B273" s="271">
        <x:v>46</x:v>
      </x:c>
      <x:c r="C273" s="72" t="s">
        <x:v>107</x:v>
      </x:c>
      <x:c r="D273" s="72" t="s">
        <x:v>108</x:v>
      </x:c>
      <x:c r="E273" s="72" t="s">
        <x:v>108</x:v>
      </x:c>
      <x:c r="F273" s="73">
        <x:v>1494768</x:v>
      </x:c>
      <x:c r="G273" s="74" t="s">
        <x:v>109</x:v>
      </x:c>
      <x:c r="H273" s="72" t="s">
        <x:v>110</x:v>
      </x:c>
      <x:c r="I273" s="86"/>
      <x:c r="J273" s="75">
        <x:f>+Puantaj!C277</x:f>
      </x:c>
      <x:c r="K273" s="72">
        <x:f>+Puantaj!D277</x:f>
      </x:c>
      <x:c r="L273" s="72">
        <x:f>+Puantaj!E277</x:f>
      </x:c>
      <x:c r="M273" s="265">
        <x:f>+BORDRO!F277</x:f>
      </x:c>
      <x:c r="N273" s="72"/>
      <x:c r="O273" s="87">
        <x:f>+BORDRO!G277</x:f>
      </x:c>
      <x:c r="P273" s="87">
        <x:v>0</x:v>
      </x:c>
      <x:c r="Q273" s="267"/>
      <x:c r="R273" s="267"/>
      <x:c r="S273" s="78"/>
      <x:c r="T273" s="78"/>
      <x:c r="U273" s="79"/>
      <x:c r="V273" s="268">
        <x:f>31-M273-Q273</x:f>
      </x:c>
      <x:c r="W273" s="269">
        <x:v>6</x:v>
      </x:c>
      <x:c r="X273" s="270" t="s">
        <x:v>112</x:v>
      </x:c>
      <x:c r="Y273" s="73">
        <x:v>2</x:v>
      </x:c>
      <x:c r="Z273" s="72" t="s">
        <x:v>106</x:v>
      </x:c>
      <x:c r="AA273" s="82" t="s">
        <x:v>111</x:v>
      </x:c>
      <x:c r="AB273" s="72">
        <x:v>2025</x:v>
      </x:c>
      <x:c r="AC273" s="72" t="s">
        <x:v>113</x:v>
      </x:c>
      <x:c r="AD273" s="88">
        <x:f>+BORDRO!J277</x:f>
      </x:c>
      <x:c r="AE273" s="83"/>
      <x:c r="AF273" s="83">
        <x:f>+BORDRO!K277</x:f>
      </x:c>
      <x:c r="AG273" s="83">
        <x:f>+BORDRO!L277</x:f>
      </x:c>
      <x:c r="AH273" s="88">
        <x:f>+BORDRO!M277</x:f>
      </x:c>
      <x:c r="AI273" s="83">
        <x:f>+BORDRO!O277</x:f>
      </x:c>
      <x:c r="AJ273" s="84">
        <x:f>+BORDRO!P277</x:f>
      </x:c>
    </x:row>
    <x:row r="274" spans="1:36" ht="15" customHeight="1" x14ac:dyDescent="0.25">
      <x:c r="A274" s="72" t="s">
        <x:v>106</x:v>
      </x:c>
      <x:c r="B274" s="264">
        <x:v>46</x:v>
      </x:c>
      <x:c r="C274" s="72" t="s">
        <x:v>107</x:v>
      </x:c>
      <x:c r="D274" s="72" t="s">
        <x:v>108</x:v>
      </x:c>
      <x:c r="E274" s="72" t="s">
        <x:v>108</x:v>
      </x:c>
      <x:c r="F274" s="73">
        <x:v>1494768</x:v>
      </x:c>
      <x:c r="G274" s="74" t="s">
        <x:v>109</x:v>
      </x:c>
      <x:c r="H274" s="72" t="s">
        <x:v>110</x:v>
      </x:c>
      <x:c r="I274" s="86"/>
      <x:c r="J274" s="75">
        <x:f>+Puantaj!C278</x:f>
      </x:c>
      <x:c r="K274" s="72">
        <x:f>+Puantaj!D278</x:f>
      </x:c>
      <x:c r="L274" s="72">
        <x:f>+Puantaj!E278</x:f>
      </x:c>
      <x:c r="M274" s="265">
        <x:f>+BORDRO!F278</x:f>
      </x:c>
      <x:c r="N274" s="72"/>
      <x:c r="O274" s="87">
        <x:f>+BORDRO!G278</x:f>
      </x:c>
      <x:c r="P274" s="87">
        <x:v>0</x:v>
      </x:c>
      <x:c r="Q274" s="267"/>
      <x:c r="R274" s="267"/>
      <x:c r="S274" s="78"/>
      <x:c r="T274" s="78"/>
      <x:c r="U274" s="79"/>
      <x:c r="V274" s="268">
        <x:f>31-M274-Q274</x:f>
      </x:c>
      <x:c r="W274" s="269">
        <x:v>6</x:v>
      </x:c>
      <x:c r="X274" s="270" t="s">
        <x:v>112</x:v>
      </x:c>
      <x:c r="Y274" s="73">
        <x:v>2</x:v>
      </x:c>
      <x:c r="Z274" s="72" t="s">
        <x:v>106</x:v>
      </x:c>
      <x:c r="AA274" s="82" t="s">
        <x:v>111</x:v>
      </x:c>
      <x:c r="AB274" s="72">
        <x:v>2025</x:v>
      </x:c>
      <x:c r="AC274" s="72" t="s">
        <x:v>113</x:v>
      </x:c>
      <x:c r="AD274" s="88">
        <x:f>+BORDRO!J278</x:f>
      </x:c>
      <x:c r="AE274" s="83"/>
      <x:c r="AF274" s="83">
        <x:f>+BORDRO!K278</x:f>
      </x:c>
      <x:c r="AG274" s="83">
        <x:f>+BORDRO!L278</x:f>
      </x:c>
      <x:c r="AH274" s="88">
        <x:f>+BORDRO!M278</x:f>
      </x:c>
      <x:c r="AI274" s="83">
        <x:f>+BORDRO!O278</x:f>
      </x:c>
      <x:c r="AJ274" s="84">
        <x:f>+BORDRO!P278</x:f>
      </x:c>
    </x:row>
    <x:row r="275" spans="1:36" ht="14.25" customHeight="1" x14ac:dyDescent="0.2">
      <x:c r="A275" s="72" t="s">
        <x:v>106</x:v>
      </x:c>
      <x:c r="B275" s="271">
        <x:v>46</x:v>
      </x:c>
      <x:c r="C275" s="72" t="s">
        <x:v>107</x:v>
      </x:c>
      <x:c r="D275" s="72" t="s">
        <x:v>108</x:v>
      </x:c>
      <x:c r="E275" s="72" t="s">
        <x:v>108</x:v>
      </x:c>
      <x:c r="F275" s="73">
        <x:v>1494768</x:v>
      </x:c>
      <x:c r="G275" s="74" t="s">
        <x:v>109</x:v>
      </x:c>
      <x:c r="H275" s="72" t="s">
        <x:v>110</x:v>
      </x:c>
      <x:c r="I275" s="86"/>
      <x:c r="J275" s="75">
        <x:f>+Puantaj!C279</x:f>
      </x:c>
      <x:c r="K275" s="72">
        <x:f>+Puantaj!D279</x:f>
      </x:c>
      <x:c r="L275" s="72">
        <x:f>+Puantaj!E279</x:f>
      </x:c>
      <x:c r="M275" s="265">
        <x:f>+BORDRO!F279</x:f>
      </x:c>
      <x:c r="N275" s="72"/>
      <x:c r="O275" s="87">
        <x:f>+BORDRO!G279</x:f>
      </x:c>
      <x:c r="P275" s="87">
        <x:v>0</x:v>
      </x:c>
      <x:c r="Q275" s="267"/>
      <x:c r="R275" s="267"/>
      <x:c r="S275" s="78"/>
      <x:c r="T275" s="78"/>
      <x:c r="U275" s="79"/>
      <x:c r="V275" s="268">
        <x:f>31-M275-Q275</x:f>
      </x:c>
      <x:c r="W275" s="269">
        <x:v>6</x:v>
      </x:c>
      <x:c r="X275" s="270" t="s">
        <x:v>112</x:v>
      </x:c>
      <x:c r="Y275" s="73">
        <x:v>2</x:v>
      </x:c>
      <x:c r="Z275" s="72" t="s">
        <x:v>106</x:v>
      </x:c>
      <x:c r="AA275" s="82" t="s">
        <x:v>111</x:v>
      </x:c>
      <x:c r="AB275" s="72">
        <x:v>2025</x:v>
      </x:c>
      <x:c r="AC275" s="72" t="s">
        <x:v>113</x:v>
      </x:c>
      <x:c r="AD275" s="88">
        <x:f>+BORDRO!J279</x:f>
      </x:c>
      <x:c r="AE275" s="83"/>
      <x:c r="AF275" s="83">
        <x:f>+BORDRO!K279</x:f>
      </x:c>
      <x:c r="AG275" s="83">
        <x:f>+BORDRO!L279</x:f>
      </x:c>
      <x:c r="AH275" s="88">
        <x:f>+BORDRO!M279</x:f>
      </x:c>
      <x:c r="AI275" s="83">
        <x:f>+BORDRO!O279</x:f>
      </x:c>
      <x:c r="AJ275" s="84">
        <x:f>+BORDRO!P279</x:f>
      </x:c>
    </x:row>
    <x:row r="276" spans="1:36" ht="15" customHeight="1" x14ac:dyDescent="0.25">
      <x:c r="A276" s="72" t="s">
        <x:v>106</x:v>
      </x:c>
      <x:c r="B276" s="264">
        <x:v>46</x:v>
      </x:c>
      <x:c r="C276" s="72" t="s">
        <x:v>107</x:v>
      </x:c>
      <x:c r="D276" s="72" t="s">
        <x:v>108</x:v>
      </x:c>
      <x:c r="E276" s="72" t="s">
        <x:v>108</x:v>
      </x:c>
      <x:c r="F276" s="73">
        <x:v>1494768</x:v>
      </x:c>
      <x:c r="G276" s="74" t="s">
        <x:v>109</x:v>
      </x:c>
      <x:c r="H276" s="72" t="s">
        <x:v>110</x:v>
      </x:c>
      <x:c r="I276" s="86"/>
      <x:c r="J276" s="75">
        <x:f>+Puantaj!C280</x:f>
      </x:c>
      <x:c r="K276" s="72">
        <x:f>+Puantaj!D280</x:f>
      </x:c>
      <x:c r="L276" s="72">
        <x:f>+Puantaj!E280</x:f>
      </x:c>
      <x:c r="M276" s="265">
        <x:f>+BORDRO!F280</x:f>
      </x:c>
      <x:c r="N276" s="72"/>
      <x:c r="O276" s="87">
        <x:f>+BORDRO!G280</x:f>
      </x:c>
      <x:c r="P276" s="87">
        <x:v>0</x:v>
      </x:c>
      <x:c r="Q276" s="267"/>
      <x:c r="R276" s="267"/>
      <x:c r="S276" s="78"/>
      <x:c r="T276" s="78"/>
      <x:c r="U276" s="79"/>
      <x:c r="V276" s="268">
        <x:f>31-M276-Q276</x:f>
      </x:c>
      <x:c r="W276" s="269">
        <x:v>6</x:v>
      </x:c>
      <x:c r="X276" s="270" t="s">
        <x:v>112</x:v>
      </x:c>
      <x:c r="Y276" s="73">
        <x:v>2</x:v>
      </x:c>
      <x:c r="Z276" s="72" t="s">
        <x:v>106</x:v>
      </x:c>
      <x:c r="AA276" s="82" t="s">
        <x:v>111</x:v>
      </x:c>
      <x:c r="AB276" s="72">
        <x:v>2025</x:v>
      </x:c>
      <x:c r="AC276" s="72" t="s">
        <x:v>113</x:v>
      </x:c>
      <x:c r="AD276" s="88">
        <x:f>+BORDRO!J280</x:f>
      </x:c>
      <x:c r="AE276" s="83"/>
      <x:c r="AF276" s="83">
        <x:f>+BORDRO!K280</x:f>
      </x:c>
      <x:c r="AG276" s="83">
        <x:f>+BORDRO!L280</x:f>
      </x:c>
      <x:c r="AH276" s="88">
        <x:f>+BORDRO!M280</x:f>
      </x:c>
      <x:c r="AI276" s="83">
        <x:f>+BORDRO!O280</x:f>
      </x:c>
      <x:c r="AJ276" s="84">
        <x:f>+BORDRO!P280</x:f>
      </x:c>
    </x:row>
    <x:row r="277" spans="1:36" ht="14.25" customHeight="1" x14ac:dyDescent="0.2">
      <x:c r="A277" s="72" t="s">
        <x:v>106</x:v>
      </x:c>
      <x:c r="B277" s="271">
        <x:v>46</x:v>
      </x:c>
      <x:c r="C277" s="72" t="s">
        <x:v>107</x:v>
      </x:c>
      <x:c r="D277" s="72" t="s">
        <x:v>108</x:v>
      </x:c>
      <x:c r="E277" s="72" t="s">
        <x:v>108</x:v>
      </x:c>
      <x:c r="F277" s="73">
        <x:v>1494768</x:v>
      </x:c>
      <x:c r="G277" s="74" t="s">
        <x:v>109</x:v>
      </x:c>
      <x:c r="H277" s="72" t="s">
        <x:v>110</x:v>
      </x:c>
      <x:c r="I277" s="86"/>
      <x:c r="J277" s="75">
        <x:f>+Puantaj!C281</x:f>
      </x:c>
      <x:c r="K277" s="72">
        <x:f>+Puantaj!D281</x:f>
      </x:c>
      <x:c r="L277" s="72">
        <x:f>+Puantaj!E281</x:f>
      </x:c>
      <x:c r="M277" s="265">
        <x:f>+BORDRO!F281</x:f>
      </x:c>
      <x:c r="N277" s="72"/>
      <x:c r="O277" s="87">
        <x:f>+BORDRO!G281</x:f>
      </x:c>
      <x:c r="P277" s="87">
        <x:v>0</x:v>
      </x:c>
      <x:c r="Q277" s="267"/>
      <x:c r="R277" s="267"/>
      <x:c r="S277" s="78"/>
      <x:c r="T277" s="78"/>
      <x:c r="U277" s="79"/>
      <x:c r="V277" s="268">
        <x:f>31-M277-Q277</x:f>
      </x:c>
      <x:c r="W277" s="269">
        <x:v>6</x:v>
      </x:c>
      <x:c r="X277" s="270" t="s">
        <x:v>112</x:v>
      </x:c>
      <x:c r="Y277" s="73">
        <x:v>2</x:v>
      </x:c>
      <x:c r="Z277" s="72" t="s">
        <x:v>106</x:v>
      </x:c>
      <x:c r="AA277" s="82" t="s">
        <x:v>111</x:v>
      </x:c>
      <x:c r="AB277" s="72">
        <x:v>2025</x:v>
      </x:c>
      <x:c r="AC277" s="72" t="s">
        <x:v>113</x:v>
      </x:c>
      <x:c r="AD277" s="88">
        <x:f>+BORDRO!J281</x:f>
      </x:c>
      <x:c r="AE277" s="83"/>
      <x:c r="AF277" s="83">
        <x:f>+BORDRO!K281</x:f>
      </x:c>
      <x:c r="AG277" s="83">
        <x:f>+BORDRO!L281</x:f>
      </x:c>
      <x:c r="AH277" s="88">
        <x:f>+BORDRO!M281</x:f>
      </x:c>
      <x:c r="AI277" s="83">
        <x:f>+BORDRO!O281</x:f>
      </x:c>
      <x:c r="AJ277" s="84">
        <x:f>+BORDRO!P281</x:f>
      </x:c>
    </x:row>
    <x:row r="278" spans="1:36" ht="15" customHeight="1" x14ac:dyDescent="0.25">
      <x:c r="A278" s="72" t="s">
        <x:v>106</x:v>
      </x:c>
      <x:c r="B278" s="264">
        <x:v>46</x:v>
      </x:c>
      <x:c r="C278" s="72" t="s">
        <x:v>107</x:v>
      </x:c>
      <x:c r="D278" s="72" t="s">
        <x:v>108</x:v>
      </x:c>
      <x:c r="E278" s="72" t="s">
        <x:v>108</x:v>
      </x:c>
      <x:c r="F278" s="73">
        <x:v>1494768</x:v>
      </x:c>
      <x:c r="G278" s="74" t="s">
        <x:v>109</x:v>
      </x:c>
      <x:c r="H278" s="72" t="s">
        <x:v>110</x:v>
      </x:c>
      <x:c r="I278" s="86"/>
      <x:c r="J278" s="75">
        <x:f>+Puantaj!C282</x:f>
      </x:c>
      <x:c r="K278" s="72">
        <x:f>+Puantaj!D282</x:f>
      </x:c>
      <x:c r="L278" s="72">
        <x:f>+Puantaj!E282</x:f>
      </x:c>
      <x:c r="M278" s="265">
        <x:f>+BORDRO!F282</x:f>
      </x:c>
      <x:c r="N278" s="72"/>
      <x:c r="O278" s="87">
        <x:f>+BORDRO!G282</x:f>
      </x:c>
      <x:c r="P278" s="87">
        <x:v>0</x:v>
      </x:c>
      <x:c r="Q278" s="267"/>
      <x:c r="R278" s="267"/>
      <x:c r="S278" s="78"/>
      <x:c r="T278" s="78"/>
      <x:c r="U278" s="79"/>
      <x:c r="V278" s="268">
        <x:f>31-M278-Q278</x:f>
      </x:c>
      <x:c r="W278" s="269">
        <x:v>6</x:v>
      </x:c>
      <x:c r="X278" s="270" t="s">
        <x:v>112</x:v>
      </x:c>
      <x:c r="Y278" s="73">
        <x:v>2</x:v>
      </x:c>
      <x:c r="Z278" s="72" t="s">
        <x:v>106</x:v>
      </x:c>
      <x:c r="AA278" s="82" t="s">
        <x:v>111</x:v>
      </x:c>
      <x:c r="AB278" s="72">
        <x:v>2025</x:v>
      </x:c>
      <x:c r="AC278" s="72" t="s">
        <x:v>113</x:v>
      </x:c>
      <x:c r="AD278" s="88">
        <x:f>+BORDRO!J282</x:f>
      </x:c>
      <x:c r="AE278" s="83"/>
      <x:c r="AF278" s="83">
        <x:f>+BORDRO!K282</x:f>
      </x:c>
      <x:c r="AG278" s="83">
        <x:f>+BORDRO!L282</x:f>
      </x:c>
      <x:c r="AH278" s="88">
        <x:f>+BORDRO!M282</x:f>
      </x:c>
      <x:c r="AI278" s="83">
        <x:f>+BORDRO!O282</x:f>
      </x:c>
      <x:c r="AJ278" s="84">
        <x:f>+BORDRO!P282</x:f>
      </x:c>
    </x:row>
    <x:row r="279" spans="1:36" ht="14.25" customHeight="1" x14ac:dyDescent="0.2">
      <x:c r="A279" s="72" t="s">
        <x:v>106</x:v>
      </x:c>
      <x:c r="B279" s="271">
        <x:v>46</x:v>
      </x:c>
      <x:c r="C279" s="72" t="s">
        <x:v>107</x:v>
      </x:c>
      <x:c r="D279" s="72" t="s">
        <x:v>108</x:v>
      </x:c>
      <x:c r="E279" s="72" t="s">
        <x:v>108</x:v>
      </x:c>
      <x:c r="F279" s="73">
        <x:v>1494768</x:v>
      </x:c>
      <x:c r="G279" s="74" t="s">
        <x:v>109</x:v>
      </x:c>
      <x:c r="H279" s="72" t="s">
        <x:v>110</x:v>
      </x:c>
      <x:c r="I279" s="86"/>
      <x:c r="J279" s="75">
        <x:f>+Puantaj!C283</x:f>
      </x:c>
      <x:c r="K279" s="72">
        <x:f>+Puantaj!D283</x:f>
      </x:c>
      <x:c r="L279" s="72">
        <x:f>+Puantaj!E283</x:f>
      </x:c>
      <x:c r="M279" s="265">
        <x:f>+BORDRO!F283</x:f>
      </x:c>
      <x:c r="N279" s="72"/>
      <x:c r="O279" s="87">
        <x:f>+BORDRO!G283</x:f>
      </x:c>
      <x:c r="P279" s="87">
        <x:v>0</x:v>
      </x:c>
      <x:c r="Q279" s="267"/>
      <x:c r="R279" s="267"/>
      <x:c r="S279" s="78"/>
      <x:c r="T279" s="78"/>
      <x:c r="U279" s="79"/>
      <x:c r="V279" s="268">
        <x:f>31-M279-Q279</x:f>
      </x:c>
      <x:c r="W279" s="269">
        <x:v>6</x:v>
      </x:c>
      <x:c r="X279" s="270" t="s">
        <x:v>112</x:v>
      </x:c>
      <x:c r="Y279" s="73">
        <x:v>2</x:v>
      </x:c>
      <x:c r="Z279" s="72" t="s">
        <x:v>106</x:v>
      </x:c>
      <x:c r="AA279" s="82" t="s">
        <x:v>111</x:v>
      </x:c>
      <x:c r="AB279" s="72">
        <x:v>2025</x:v>
      </x:c>
      <x:c r="AC279" s="72" t="s">
        <x:v>113</x:v>
      </x:c>
      <x:c r="AD279" s="88">
        <x:f>+BORDRO!J283</x:f>
      </x:c>
      <x:c r="AE279" s="83"/>
      <x:c r="AF279" s="83">
        <x:f>+BORDRO!K283</x:f>
      </x:c>
      <x:c r="AG279" s="83">
        <x:f>+BORDRO!L283</x:f>
      </x:c>
      <x:c r="AH279" s="88">
        <x:f>+BORDRO!M283</x:f>
      </x:c>
      <x:c r="AI279" s="83">
        <x:f>+BORDRO!O283</x:f>
      </x:c>
      <x:c r="AJ279" s="84">
        <x:f>+BORDRO!P283</x:f>
      </x:c>
    </x:row>
    <x:row r="280" spans="1:36" ht="15" customHeight="1" x14ac:dyDescent="0.25">
      <x:c r="A280" s="72" t="s">
        <x:v>106</x:v>
      </x:c>
      <x:c r="B280" s="264">
        <x:v>46</x:v>
      </x:c>
      <x:c r="C280" s="72" t="s">
        <x:v>107</x:v>
      </x:c>
      <x:c r="D280" s="72" t="s">
        <x:v>108</x:v>
      </x:c>
      <x:c r="E280" s="72" t="s">
        <x:v>108</x:v>
      </x:c>
      <x:c r="F280" s="73">
        <x:v>1494768</x:v>
      </x:c>
      <x:c r="G280" s="74" t="s">
        <x:v>109</x:v>
      </x:c>
      <x:c r="H280" s="72" t="s">
        <x:v>110</x:v>
      </x:c>
      <x:c r="I280" s="86"/>
      <x:c r="J280" s="75">
        <x:f>+Puantaj!C284</x:f>
      </x:c>
      <x:c r="K280" s="72">
        <x:f>+Puantaj!D284</x:f>
      </x:c>
      <x:c r="L280" s="72">
        <x:f>+Puantaj!E284</x:f>
      </x:c>
      <x:c r="M280" s="265">
        <x:f>+BORDRO!F284</x:f>
      </x:c>
      <x:c r="N280" s="72"/>
      <x:c r="O280" s="87">
        <x:f>+BORDRO!G284</x:f>
      </x:c>
      <x:c r="P280" s="87">
        <x:v>0</x:v>
      </x:c>
      <x:c r="Q280" s="267"/>
      <x:c r="R280" s="267"/>
      <x:c r="S280" s="78"/>
      <x:c r="T280" s="78"/>
      <x:c r="U280" s="79"/>
      <x:c r="V280" s="268">
        <x:f>31-M280-Q280</x:f>
      </x:c>
      <x:c r="W280" s="269">
        <x:v>6</x:v>
      </x:c>
      <x:c r="X280" s="270" t="s">
        <x:v>112</x:v>
      </x:c>
      <x:c r="Y280" s="73">
        <x:v>2</x:v>
      </x:c>
      <x:c r="Z280" s="72" t="s">
        <x:v>106</x:v>
      </x:c>
      <x:c r="AA280" s="82" t="s">
        <x:v>111</x:v>
      </x:c>
      <x:c r="AB280" s="72">
        <x:v>2025</x:v>
      </x:c>
      <x:c r="AC280" s="72" t="s">
        <x:v>113</x:v>
      </x:c>
      <x:c r="AD280" s="88">
        <x:f>+BORDRO!J284</x:f>
      </x:c>
      <x:c r="AE280" s="83"/>
      <x:c r="AF280" s="83">
        <x:f>+BORDRO!K284</x:f>
      </x:c>
      <x:c r="AG280" s="83">
        <x:f>+BORDRO!L284</x:f>
      </x:c>
      <x:c r="AH280" s="88">
        <x:f>+BORDRO!M284</x:f>
      </x:c>
      <x:c r="AI280" s="83">
        <x:f>+BORDRO!O284</x:f>
      </x:c>
      <x:c r="AJ280" s="84">
        <x:f>+BORDRO!P284</x:f>
      </x:c>
    </x:row>
    <x:row r="281" spans="1:36" ht="14.25" customHeight="1" x14ac:dyDescent="0.2">
      <x:c r="A281" s="72" t="s">
        <x:v>106</x:v>
      </x:c>
      <x:c r="B281" s="271">
        <x:v>46</x:v>
      </x:c>
      <x:c r="C281" s="72" t="s">
        <x:v>107</x:v>
      </x:c>
      <x:c r="D281" s="72" t="s">
        <x:v>108</x:v>
      </x:c>
      <x:c r="E281" s="72" t="s">
        <x:v>108</x:v>
      </x:c>
      <x:c r="F281" s="73">
        <x:v>1494768</x:v>
      </x:c>
      <x:c r="G281" s="74" t="s">
        <x:v>109</x:v>
      </x:c>
      <x:c r="H281" s="72" t="s">
        <x:v>110</x:v>
      </x:c>
      <x:c r="I281" s="86"/>
      <x:c r="J281" s="75">
        <x:f>+Puantaj!C285</x:f>
      </x:c>
      <x:c r="K281" s="72">
        <x:f>+Puantaj!D285</x:f>
      </x:c>
      <x:c r="L281" s="72">
        <x:f>+Puantaj!E285</x:f>
      </x:c>
      <x:c r="M281" s="265">
        <x:f>+BORDRO!F285</x:f>
      </x:c>
      <x:c r="N281" s="72"/>
      <x:c r="O281" s="87">
        <x:f>+BORDRO!G285</x:f>
      </x:c>
      <x:c r="P281" s="87">
        <x:v>0</x:v>
      </x:c>
      <x:c r="Q281" s="267"/>
      <x:c r="R281" s="267"/>
      <x:c r="S281" s="78"/>
      <x:c r="T281" s="78"/>
      <x:c r="U281" s="79"/>
      <x:c r="V281" s="268">
        <x:f>31-M281-Q281</x:f>
      </x:c>
      <x:c r="W281" s="269">
        <x:v>6</x:v>
      </x:c>
      <x:c r="X281" s="270" t="s">
        <x:v>112</x:v>
      </x:c>
      <x:c r="Y281" s="73">
        <x:v>2</x:v>
      </x:c>
      <x:c r="Z281" s="72" t="s">
        <x:v>106</x:v>
      </x:c>
      <x:c r="AA281" s="82" t="s">
        <x:v>111</x:v>
      </x:c>
      <x:c r="AB281" s="72">
        <x:v>2025</x:v>
      </x:c>
      <x:c r="AC281" s="72" t="s">
        <x:v>113</x:v>
      </x:c>
      <x:c r="AD281" s="88">
        <x:f>+BORDRO!J285</x:f>
      </x:c>
      <x:c r="AE281" s="83"/>
      <x:c r="AF281" s="83">
        <x:f>+BORDRO!K285</x:f>
      </x:c>
      <x:c r="AG281" s="83">
        <x:f>+BORDRO!L285</x:f>
      </x:c>
      <x:c r="AH281" s="88">
        <x:f>+BORDRO!M285</x:f>
      </x:c>
      <x:c r="AI281" s="83">
        <x:f>+BORDRO!O285</x:f>
      </x:c>
      <x:c r="AJ281" s="84">
        <x:f>+BORDRO!P285</x:f>
      </x:c>
    </x:row>
    <x:row r="282" spans="1:36" ht="15" customHeight="1" x14ac:dyDescent="0.25">
      <x:c r="A282" s="72" t="s">
        <x:v>106</x:v>
      </x:c>
      <x:c r="B282" s="264">
        <x:v>46</x:v>
      </x:c>
      <x:c r="C282" s="72" t="s">
        <x:v>107</x:v>
      </x:c>
      <x:c r="D282" s="72" t="s">
        <x:v>108</x:v>
      </x:c>
      <x:c r="E282" s="72" t="s">
        <x:v>108</x:v>
      </x:c>
      <x:c r="F282" s="73">
        <x:v>1494768</x:v>
      </x:c>
      <x:c r="G282" s="74" t="s">
        <x:v>109</x:v>
      </x:c>
      <x:c r="H282" s="72" t="s">
        <x:v>110</x:v>
      </x:c>
      <x:c r="I282" s="86"/>
      <x:c r="J282" s="75">
        <x:f>+Puantaj!C286</x:f>
      </x:c>
      <x:c r="K282" s="72">
        <x:f>+Puantaj!D286</x:f>
      </x:c>
      <x:c r="L282" s="72">
        <x:f>+Puantaj!E286</x:f>
      </x:c>
      <x:c r="M282" s="265">
        <x:f>+BORDRO!F286</x:f>
      </x:c>
      <x:c r="N282" s="72"/>
      <x:c r="O282" s="87">
        <x:f>+BORDRO!G286</x:f>
      </x:c>
      <x:c r="P282" s="87">
        <x:v>0</x:v>
      </x:c>
      <x:c r="Q282" s="267"/>
      <x:c r="R282" s="267"/>
      <x:c r="S282" s="78"/>
      <x:c r="T282" s="78"/>
      <x:c r="U282" s="79"/>
      <x:c r="V282" s="268">
        <x:f>31-M282-Q282</x:f>
      </x:c>
      <x:c r="W282" s="269">
        <x:v>6</x:v>
      </x:c>
      <x:c r="X282" s="270" t="s">
        <x:v>112</x:v>
      </x:c>
      <x:c r="Y282" s="73">
        <x:v>2</x:v>
      </x:c>
      <x:c r="Z282" s="72" t="s">
        <x:v>106</x:v>
      </x:c>
      <x:c r="AA282" s="82" t="s">
        <x:v>111</x:v>
      </x:c>
      <x:c r="AB282" s="72">
        <x:v>2025</x:v>
      </x:c>
      <x:c r="AC282" s="72" t="s">
        <x:v>113</x:v>
      </x:c>
      <x:c r="AD282" s="88">
        <x:f>+BORDRO!J286</x:f>
      </x:c>
      <x:c r="AE282" s="83"/>
      <x:c r="AF282" s="83">
        <x:f>+BORDRO!K286</x:f>
      </x:c>
      <x:c r="AG282" s="83">
        <x:f>+BORDRO!L286</x:f>
      </x:c>
      <x:c r="AH282" s="88">
        <x:f>+BORDRO!M286</x:f>
      </x:c>
      <x:c r="AI282" s="83">
        <x:f>+BORDRO!O286</x:f>
      </x:c>
      <x:c r="AJ282" s="84">
        <x:f>+BORDRO!P286</x:f>
      </x:c>
    </x:row>
    <x:row r="283" spans="1:36" ht="14.25" customHeight="1" x14ac:dyDescent="0.2">
      <x:c r="A283" s="72" t="s">
        <x:v>106</x:v>
      </x:c>
      <x:c r="B283" s="271">
        <x:v>46</x:v>
      </x:c>
      <x:c r="C283" s="72" t="s">
        <x:v>107</x:v>
      </x:c>
      <x:c r="D283" s="72" t="s">
        <x:v>108</x:v>
      </x:c>
      <x:c r="E283" s="72" t="s">
        <x:v>108</x:v>
      </x:c>
      <x:c r="F283" s="73">
        <x:v>1494768</x:v>
      </x:c>
      <x:c r="G283" s="74" t="s">
        <x:v>109</x:v>
      </x:c>
      <x:c r="H283" s="72" t="s">
        <x:v>110</x:v>
      </x:c>
      <x:c r="I283" s="86"/>
      <x:c r="J283" s="75">
        <x:f>+Puantaj!C287</x:f>
      </x:c>
      <x:c r="K283" s="72">
        <x:f>+Puantaj!D287</x:f>
      </x:c>
      <x:c r="L283" s="72">
        <x:f>+Puantaj!E287</x:f>
      </x:c>
      <x:c r="M283" s="265">
        <x:f>+BORDRO!F287</x:f>
      </x:c>
      <x:c r="N283" s="72"/>
      <x:c r="O283" s="87">
        <x:f>+BORDRO!G287</x:f>
      </x:c>
      <x:c r="P283" s="87">
        <x:v>0</x:v>
      </x:c>
      <x:c r="Q283" s="267"/>
      <x:c r="R283" s="267"/>
      <x:c r="S283" s="78"/>
      <x:c r="T283" s="78"/>
      <x:c r="U283" s="79"/>
      <x:c r="V283" s="268">
        <x:f>31-M283-Q283</x:f>
      </x:c>
      <x:c r="W283" s="269">
        <x:v>6</x:v>
      </x:c>
      <x:c r="X283" s="270" t="s">
        <x:v>112</x:v>
      </x:c>
      <x:c r="Y283" s="73">
        <x:v>2</x:v>
      </x:c>
      <x:c r="Z283" s="72" t="s">
        <x:v>106</x:v>
      </x:c>
      <x:c r="AA283" s="82" t="s">
        <x:v>111</x:v>
      </x:c>
      <x:c r="AB283" s="72">
        <x:v>2025</x:v>
      </x:c>
      <x:c r="AC283" s="72" t="s">
        <x:v>113</x:v>
      </x:c>
      <x:c r="AD283" s="88">
        <x:f>+BORDRO!J287</x:f>
      </x:c>
      <x:c r="AE283" s="83"/>
      <x:c r="AF283" s="83">
        <x:f>+BORDRO!K287</x:f>
      </x:c>
      <x:c r="AG283" s="83">
        <x:f>+BORDRO!L287</x:f>
      </x:c>
      <x:c r="AH283" s="88">
        <x:f>+BORDRO!M287</x:f>
      </x:c>
      <x:c r="AI283" s="83">
        <x:f>+BORDRO!O287</x:f>
      </x:c>
      <x:c r="AJ283" s="84">
        <x:f>+BORDRO!P287</x:f>
      </x:c>
    </x:row>
    <x:row r="284" spans="1:36" ht="15" customHeight="1" x14ac:dyDescent="0.25">
      <x:c r="A284" s="72" t="s">
        <x:v>106</x:v>
      </x:c>
      <x:c r="B284" s="264">
        <x:v>46</x:v>
      </x:c>
      <x:c r="C284" s="72" t="s">
        <x:v>107</x:v>
      </x:c>
      <x:c r="D284" s="72" t="s">
        <x:v>108</x:v>
      </x:c>
      <x:c r="E284" s="72" t="s">
        <x:v>108</x:v>
      </x:c>
      <x:c r="F284" s="73">
        <x:v>1494768</x:v>
      </x:c>
      <x:c r="G284" s="74" t="s">
        <x:v>109</x:v>
      </x:c>
      <x:c r="H284" s="72" t="s">
        <x:v>110</x:v>
      </x:c>
      <x:c r="I284" s="86"/>
      <x:c r="J284" s="75">
        <x:f>+Puantaj!C288</x:f>
      </x:c>
      <x:c r="K284" s="72">
        <x:f>+Puantaj!D288</x:f>
      </x:c>
      <x:c r="L284" s="72">
        <x:f>+Puantaj!E288</x:f>
      </x:c>
      <x:c r="M284" s="265">
        <x:f>+BORDRO!F288</x:f>
      </x:c>
      <x:c r="N284" s="72"/>
      <x:c r="O284" s="87">
        <x:f>+BORDRO!G288</x:f>
      </x:c>
      <x:c r="P284" s="87">
        <x:v>0</x:v>
      </x:c>
      <x:c r="Q284" s="267"/>
      <x:c r="R284" s="267"/>
      <x:c r="S284" s="78"/>
      <x:c r="T284" s="78"/>
      <x:c r="U284" s="79"/>
      <x:c r="V284" s="268">
        <x:f>31-M284-Q284</x:f>
      </x:c>
      <x:c r="W284" s="269">
        <x:v>6</x:v>
      </x:c>
      <x:c r="X284" s="270" t="s">
        <x:v>112</x:v>
      </x:c>
      <x:c r="Y284" s="73">
        <x:v>2</x:v>
      </x:c>
      <x:c r="Z284" s="72" t="s">
        <x:v>106</x:v>
      </x:c>
      <x:c r="AA284" s="82" t="s">
        <x:v>111</x:v>
      </x:c>
      <x:c r="AB284" s="72">
        <x:v>2025</x:v>
      </x:c>
      <x:c r="AC284" s="72" t="s">
        <x:v>113</x:v>
      </x:c>
      <x:c r="AD284" s="88">
        <x:f>+BORDRO!J288</x:f>
      </x:c>
      <x:c r="AE284" s="83"/>
      <x:c r="AF284" s="83">
        <x:f>+BORDRO!K288</x:f>
      </x:c>
      <x:c r="AG284" s="83">
        <x:f>+BORDRO!L288</x:f>
      </x:c>
      <x:c r="AH284" s="88">
        <x:f>+BORDRO!M288</x:f>
      </x:c>
      <x:c r="AI284" s="83">
        <x:f>+BORDRO!O288</x:f>
      </x:c>
      <x:c r="AJ284" s="84">
        <x:f>+BORDRO!P288</x:f>
      </x:c>
    </x:row>
    <x:row r="285" spans="1:36" ht="14.25" customHeight="1" x14ac:dyDescent="0.2">
      <x:c r="A285" s="72" t="s">
        <x:v>106</x:v>
      </x:c>
      <x:c r="B285" s="271">
        <x:v>46</x:v>
      </x:c>
      <x:c r="C285" s="72" t="s">
        <x:v>107</x:v>
      </x:c>
      <x:c r="D285" s="72" t="s">
        <x:v>108</x:v>
      </x:c>
      <x:c r="E285" s="72" t="s">
        <x:v>108</x:v>
      </x:c>
      <x:c r="F285" s="73">
        <x:v>1494768</x:v>
      </x:c>
      <x:c r="G285" s="74" t="s">
        <x:v>109</x:v>
      </x:c>
      <x:c r="H285" s="72" t="s">
        <x:v>110</x:v>
      </x:c>
      <x:c r="I285" s="86"/>
      <x:c r="J285" s="75">
        <x:f>+Puantaj!C289</x:f>
      </x:c>
      <x:c r="K285" s="72">
        <x:f>+Puantaj!D289</x:f>
      </x:c>
      <x:c r="L285" s="72">
        <x:f>+Puantaj!E289</x:f>
      </x:c>
      <x:c r="M285" s="265">
        <x:f>+BORDRO!F289</x:f>
      </x:c>
      <x:c r="N285" s="72"/>
      <x:c r="O285" s="87">
        <x:f>+BORDRO!G289</x:f>
      </x:c>
      <x:c r="P285" s="87">
        <x:v>0</x:v>
      </x:c>
      <x:c r="Q285" s="267"/>
      <x:c r="R285" s="267"/>
      <x:c r="S285" s="78"/>
      <x:c r="T285" s="78"/>
      <x:c r="U285" s="79"/>
      <x:c r="V285" s="268">
        <x:f>31-M285-Q285</x:f>
      </x:c>
      <x:c r="W285" s="269">
        <x:v>6</x:v>
      </x:c>
      <x:c r="X285" s="270" t="s">
        <x:v>112</x:v>
      </x:c>
      <x:c r="Y285" s="73">
        <x:v>2</x:v>
      </x:c>
      <x:c r="Z285" s="72" t="s">
        <x:v>106</x:v>
      </x:c>
      <x:c r="AA285" s="82" t="s">
        <x:v>111</x:v>
      </x:c>
      <x:c r="AB285" s="72">
        <x:v>2025</x:v>
      </x:c>
      <x:c r="AC285" s="72" t="s">
        <x:v>113</x:v>
      </x:c>
      <x:c r="AD285" s="88">
        <x:f>+BORDRO!J289</x:f>
      </x:c>
      <x:c r="AE285" s="83"/>
      <x:c r="AF285" s="83">
        <x:f>+BORDRO!K289</x:f>
      </x:c>
      <x:c r="AG285" s="83">
        <x:f>+BORDRO!L289</x:f>
      </x:c>
      <x:c r="AH285" s="88">
        <x:f>+BORDRO!M289</x:f>
      </x:c>
      <x:c r="AI285" s="83">
        <x:f>+BORDRO!O289</x:f>
      </x:c>
      <x:c r="AJ285" s="84">
        <x:f>+BORDRO!P289</x:f>
      </x:c>
    </x:row>
    <x:row r="286" spans="1:36" ht="15" customHeight="1" x14ac:dyDescent="0.25">
      <x:c r="A286" s="72" t="s">
        <x:v>106</x:v>
      </x:c>
      <x:c r="B286" s="264">
        <x:v>46</x:v>
      </x:c>
      <x:c r="C286" s="72" t="s">
        <x:v>107</x:v>
      </x:c>
      <x:c r="D286" s="72" t="s">
        <x:v>108</x:v>
      </x:c>
      <x:c r="E286" s="72" t="s">
        <x:v>108</x:v>
      </x:c>
      <x:c r="F286" s="73">
        <x:v>1494768</x:v>
      </x:c>
      <x:c r="G286" s="74" t="s">
        <x:v>109</x:v>
      </x:c>
      <x:c r="H286" s="72" t="s">
        <x:v>110</x:v>
      </x:c>
      <x:c r="I286" s="86"/>
      <x:c r="J286" s="75">
        <x:f>+Puantaj!C290</x:f>
      </x:c>
      <x:c r="K286" s="72">
        <x:f>+Puantaj!D290</x:f>
      </x:c>
      <x:c r="L286" s="72">
        <x:f>+Puantaj!E290</x:f>
      </x:c>
      <x:c r="M286" s="265">
        <x:f>+BORDRO!F290</x:f>
      </x:c>
      <x:c r="N286" s="72"/>
      <x:c r="O286" s="87">
        <x:f>+BORDRO!G290</x:f>
      </x:c>
      <x:c r="P286" s="87">
        <x:v>0</x:v>
      </x:c>
      <x:c r="Q286" s="267"/>
      <x:c r="R286" s="267"/>
      <x:c r="S286" s="78"/>
      <x:c r="T286" s="78"/>
      <x:c r="U286" s="79"/>
      <x:c r="V286" s="268">
        <x:f>31-M286-Q286</x:f>
      </x:c>
      <x:c r="W286" s="269">
        <x:v>6</x:v>
      </x:c>
      <x:c r="X286" s="270" t="s">
        <x:v>112</x:v>
      </x:c>
      <x:c r="Y286" s="73">
        <x:v>2</x:v>
      </x:c>
      <x:c r="Z286" s="72" t="s">
        <x:v>106</x:v>
      </x:c>
      <x:c r="AA286" s="82" t="s">
        <x:v>111</x:v>
      </x:c>
      <x:c r="AB286" s="72">
        <x:v>2025</x:v>
      </x:c>
      <x:c r="AC286" s="72" t="s">
        <x:v>113</x:v>
      </x:c>
      <x:c r="AD286" s="88">
        <x:f>+BORDRO!J290</x:f>
      </x:c>
      <x:c r="AE286" s="83"/>
      <x:c r="AF286" s="83">
        <x:f>+BORDRO!K290</x:f>
      </x:c>
      <x:c r="AG286" s="83">
        <x:f>+BORDRO!L290</x:f>
      </x:c>
      <x:c r="AH286" s="88">
        <x:f>+BORDRO!M290</x:f>
      </x:c>
      <x:c r="AI286" s="83">
        <x:f>+BORDRO!O290</x:f>
      </x:c>
      <x:c r="AJ286" s="84">
        <x:f>+BORDRO!P290</x:f>
      </x:c>
    </x:row>
    <x:row r="287" spans="1:36" ht="14.25" customHeight="1" x14ac:dyDescent="0.2">
      <x:c r="A287" s="72" t="s">
        <x:v>106</x:v>
      </x:c>
      <x:c r="B287" s="271">
        <x:v>46</x:v>
      </x:c>
      <x:c r="C287" s="72" t="s">
        <x:v>107</x:v>
      </x:c>
      <x:c r="D287" s="72" t="s">
        <x:v>108</x:v>
      </x:c>
      <x:c r="E287" s="72" t="s">
        <x:v>108</x:v>
      </x:c>
      <x:c r="F287" s="73">
        <x:v>1494768</x:v>
      </x:c>
      <x:c r="G287" s="74" t="s">
        <x:v>109</x:v>
      </x:c>
      <x:c r="H287" s="72" t="s">
        <x:v>110</x:v>
      </x:c>
      <x:c r="I287" s="86"/>
      <x:c r="J287" s="75">
        <x:f>+Puantaj!C291</x:f>
      </x:c>
      <x:c r="K287" s="72">
        <x:f>+Puantaj!D291</x:f>
      </x:c>
      <x:c r="L287" s="72">
        <x:f>+Puantaj!E291</x:f>
      </x:c>
      <x:c r="M287" s="265">
        <x:f>+BORDRO!F291</x:f>
      </x:c>
      <x:c r="N287" s="72"/>
      <x:c r="O287" s="87">
        <x:f>+BORDRO!G291</x:f>
      </x:c>
      <x:c r="P287" s="87">
        <x:v>0</x:v>
      </x:c>
      <x:c r="Q287" s="267"/>
      <x:c r="R287" s="267"/>
      <x:c r="S287" s="78"/>
      <x:c r="T287" s="78"/>
      <x:c r="U287" s="79"/>
      <x:c r="V287" s="268">
        <x:f>31-M287-Q287</x:f>
      </x:c>
      <x:c r="W287" s="269">
        <x:v>6</x:v>
      </x:c>
      <x:c r="X287" s="270" t="s">
        <x:v>112</x:v>
      </x:c>
      <x:c r="Y287" s="73">
        <x:v>2</x:v>
      </x:c>
      <x:c r="Z287" s="72" t="s">
        <x:v>106</x:v>
      </x:c>
      <x:c r="AA287" s="82" t="s">
        <x:v>111</x:v>
      </x:c>
      <x:c r="AB287" s="72">
        <x:v>2025</x:v>
      </x:c>
      <x:c r="AC287" s="72" t="s">
        <x:v>113</x:v>
      </x:c>
      <x:c r="AD287" s="88">
        <x:f>+BORDRO!J291</x:f>
      </x:c>
      <x:c r="AE287" s="83"/>
      <x:c r="AF287" s="83">
        <x:f>+BORDRO!K291</x:f>
      </x:c>
      <x:c r="AG287" s="83">
        <x:f>+BORDRO!L291</x:f>
      </x:c>
      <x:c r="AH287" s="88">
        <x:f>+BORDRO!M291</x:f>
      </x:c>
      <x:c r="AI287" s="83">
        <x:f>+BORDRO!O291</x:f>
      </x:c>
      <x:c r="AJ287" s="84">
        <x:f>+BORDRO!P291</x:f>
      </x:c>
    </x:row>
    <x:row r="288" spans="1:36" ht="15" customHeight="1" x14ac:dyDescent="0.25">
      <x:c r="A288" s="72" t="s">
        <x:v>106</x:v>
      </x:c>
      <x:c r="B288" s="264">
        <x:v>46</x:v>
      </x:c>
      <x:c r="C288" s="72" t="s">
        <x:v>107</x:v>
      </x:c>
      <x:c r="D288" s="72" t="s">
        <x:v>108</x:v>
      </x:c>
      <x:c r="E288" s="72" t="s">
        <x:v>108</x:v>
      </x:c>
      <x:c r="F288" s="73">
        <x:v>1494768</x:v>
      </x:c>
      <x:c r="G288" s="74" t="s">
        <x:v>109</x:v>
      </x:c>
      <x:c r="H288" s="72" t="s">
        <x:v>110</x:v>
      </x:c>
      <x:c r="I288" s="86"/>
      <x:c r="J288" s="75">
        <x:f>+Puantaj!C292</x:f>
      </x:c>
      <x:c r="K288" s="72">
        <x:f>+Puantaj!D292</x:f>
      </x:c>
      <x:c r="L288" s="72">
        <x:f>+Puantaj!E292</x:f>
      </x:c>
      <x:c r="M288" s="265">
        <x:f>+BORDRO!F292</x:f>
      </x:c>
      <x:c r="N288" s="72"/>
      <x:c r="O288" s="87">
        <x:f>+BORDRO!G292</x:f>
      </x:c>
      <x:c r="P288" s="87">
        <x:v>0</x:v>
      </x:c>
      <x:c r="Q288" s="267"/>
      <x:c r="R288" s="267"/>
      <x:c r="S288" s="78"/>
      <x:c r="T288" s="78"/>
      <x:c r="U288" s="79"/>
      <x:c r="V288" s="268">
        <x:f>31-M288-Q288</x:f>
      </x:c>
      <x:c r="W288" s="269">
        <x:v>6</x:v>
      </x:c>
      <x:c r="X288" s="270" t="s">
        <x:v>112</x:v>
      </x:c>
      <x:c r="Y288" s="73">
        <x:v>2</x:v>
      </x:c>
      <x:c r="Z288" s="72" t="s">
        <x:v>106</x:v>
      </x:c>
      <x:c r="AA288" s="82" t="s">
        <x:v>111</x:v>
      </x:c>
      <x:c r="AB288" s="72">
        <x:v>2025</x:v>
      </x:c>
      <x:c r="AC288" s="72" t="s">
        <x:v>113</x:v>
      </x:c>
      <x:c r="AD288" s="88">
        <x:f>+BORDRO!J292</x:f>
      </x:c>
      <x:c r="AE288" s="83"/>
      <x:c r="AF288" s="83">
        <x:f>+BORDRO!K292</x:f>
      </x:c>
      <x:c r="AG288" s="83">
        <x:f>+BORDRO!L292</x:f>
      </x:c>
      <x:c r="AH288" s="88">
        <x:f>+BORDRO!M292</x:f>
      </x:c>
      <x:c r="AI288" s="83">
        <x:f>+BORDRO!O292</x:f>
      </x:c>
      <x:c r="AJ288" s="84">
        <x:f>+BORDRO!P292</x:f>
      </x:c>
    </x:row>
    <x:row r="289" spans="1:36" ht="14.25" customHeight="1" x14ac:dyDescent="0.2">
      <x:c r="A289" s="72" t="s">
        <x:v>106</x:v>
      </x:c>
      <x:c r="B289" s="271">
        <x:v>46</x:v>
      </x:c>
      <x:c r="C289" s="72" t="s">
        <x:v>107</x:v>
      </x:c>
      <x:c r="D289" s="72" t="s">
        <x:v>108</x:v>
      </x:c>
      <x:c r="E289" s="72" t="s">
        <x:v>108</x:v>
      </x:c>
      <x:c r="F289" s="73">
        <x:v>1494768</x:v>
      </x:c>
      <x:c r="G289" s="74" t="s">
        <x:v>109</x:v>
      </x:c>
      <x:c r="H289" s="72" t="s">
        <x:v>110</x:v>
      </x:c>
      <x:c r="I289" s="86"/>
      <x:c r="J289" s="75">
        <x:f>+Puantaj!C293</x:f>
      </x:c>
      <x:c r="K289" s="72">
        <x:f>+Puantaj!D293</x:f>
      </x:c>
      <x:c r="L289" s="72">
        <x:f>+Puantaj!E293</x:f>
      </x:c>
      <x:c r="M289" s="265">
        <x:f>+BORDRO!F293</x:f>
      </x:c>
      <x:c r="N289" s="72"/>
      <x:c r="O289" s="87">
        <x:f>+BORDRO!G293</x:f>
      </x:c>
      <x:c r="P289" s="87">
        <x:v>0</x:v>
      </x:c>
      <x:c r="Q289" s="267"/>
      <x:c r="R289" s="267"/>
      <x:c r="S289" s="78"/>
      <x:c r="T289" s="78"/>
      <x:c r="U289" s="79"/>
      <x:c r="V289" s="268">
        <x:f>31-M289-Q289</x:f>
      </x:c>
      <x:c r="W289" s="269">
        <x:v>6</x:v>
      </x:c>
      <x:c r="X289" s="270" t="s">
        <x:v>112</x:v>
      </x:c>
      <x:c r="Y289" s="73">
        <x:v>2</x:v>
      </x:c>
      <x:c r="Z289" s="72" t="s">
        <x:v>106</x:v>
      </x:c>
      <x:c r="AA289" s="82" t="s">
        <x:v>111</x:v>
      </x:c>
      <x:c r="AB289" s="72">
        <x:v>2025</x:v>
      </x:c>
      <x:c r="AC289" s="72" t="s">
        <x:v>113</x:v>
      </x:c>
      <x:c r="AD289" s="88">
        <x:f>+BORDRO!J293</x:f>
      </x:c>
      <x:c r="AE289" s="83"/>
      <x:c r="AF289" s="83">
        <x:f>+BORDRO!K293</x:f>
      </x:c>
      <x:c r="AG289" s="83">
        <x:f>+BORDRO!L293</x:f>
      </x:c>
      <x:c r="AH289" s="88">
        <x:f>+BORDRO!M293</x:f>
      </x:c>
      <x:c r="AI289" s="83">
        <x:f>+BORDRO!O293</x:f>
      </x:c>
      <x:c r="AJ289" s="84">
        <x:f>+BORDRO!P293</x:f>
      </x:c>
    </x:row>
    <x:row r="290" spans="1:36" ht="15" customHeight="1" x14ac:dyDescent="0.25">
      <x:c r="A290" s="72" t="s">
        <x:v>106</x:v>
      </x:c>
      <x:c r="B290" s="264">
        <x:v>46</x:v>
      </x:c>
      <x:c r="C290" s="72" t="s">
        <x:v>107</x:v>
      </x:c>
      <x:c r="D290" s="72" t="s">
        <x:v>108</x:v>
      </x:c>
      <x:c r="E290" s="72" t="s">
        <x:v>108</x:v>
      </x:c>
      <x:c r="F290" s="73">
        <x:v>1494768</x:v>
      </x:c>
      <x:c r="G290" s="74" t="s">
        <x:v>109</x:v>
      </x:c>
      <x:c r="H290" s="72" t="s">
        <x:v>110</x:v>
      </x:c>
      <x:c r="I290" s="86"/>
      <x:c r="J290" s="75">
        <x:f>+Puantaj!C294</x:f>
      </x:c>
      <x:c r="K290" s="72">
        <x:f>+Puantaj!D294</x:f>
      </x:c>
      <x:c r="L290" s="72">
        <x:f>+Puantaj!E294</x:f>
      </x:c>
      <x:c r="M290" s="265">
        <x:f>+BORDRO!F294</x:f>
      </x:c>
      <x:c r="N290" s="72"/>
      <x:c r="O290" s="87">
        <x:f>+BORDRO!G294</x:f>
      </x:c>
      <x:c r="P290" s="87">
        <x:v>0</x:v>
      </x:c>
      <x:c r="Q290" s="267"/>
      <x:c r="R290" s="267"/>
      <x:c r="S290" s="78"/>
      <x:c r="T290" s="78"/>
      <x:c r="U290" s="79"/>
      <x:c r="V290" s="268">
        <x:f>31-M290-Q290</x:f>
      </x:c>
      <x:c r="W290" s="269">
        <x:v>6</x:v>
      </x:c>
      <x:c r="X290" s="270" t="s">
        <x:v>112</x:v>
      </x:c>
      <x:c r="Y290" s="73">
        <x:v>2</x:v>
      </x:c>
      <x:c r="Z290" s="72" t="s">
        <x:v>106</x:v>
      </x:c>
      <x:c r="AA290" s="82" t="s">
        <x:v>111</x:v>
      </x:c>
      <x:c r="AB290" s="72">
        <x:v>2025</x:v>
      </x:c>
      <x:c r="AC290" s="72" t="s">
        <x:v>113</x:v>
      </x:c>
      <x:c r="AD290" s="88">
        <x:f>+BORDRO!J294</x:f>
      </x:c>
      <x:c r="AE290" s="83"/>
      <x:c r="AF290" s="83">
        <x:f>+BORDRO!K294</x:f>
      </x:c>
      <x:c r="AG290" s="83">
        <x:f>+BORDRO!L294</x:f>
      </x:c>
      <x:c r="AH290" s="88">
        <x:f>+BORDRO!M294</x:f>
      </x:c>
      <x:c r="AI290" s="83">
        <x:f>+BORDRO!O294</x:f>
      </x:c>
      <x:c r="AJ290" s="84">
        <x:f>+BORDRO!P294</x:f>
      </x:c>
    </x:row>
    <x:row r="291" spans="1:36" ht="14.25" customHeight="1" x14ac:dyDescent="0.2">
      <x:c r="A291" s="72" t="s">
        <x:v>106</x:v>
      </x:c>
      <x:c r="B291" s="271">
        <x:v>46</x:v>
      </x:c>
      <x:c r="C291" s="72" t="s">
        <x:v>107</x:v>
      </x:c>
      <x:c r="D291" s="72" t="s">
        <x:v>108</x:v>
      </x:c>
      <x:c r="E291" s="72" t="s">
        <x:v>108</x:v>
      </x:c>
      <x:c r="F291" s="73">
        <x:v>1494768</x:v>
      </x:c>
      <x:c r="G291" s="74" t="s">
        <x:v>109</x:v>
      </x:c>
      <x:c r="H291" s="72" t="s">
        <x:v>110</x:v>
      </x:c>
      <x:c r="I291" s="86"/>
      <x:c r="J291" s="75">
        <x:f>+Puantaj!C295</x:f>
      </x:c>
      <x:c r="K291" s="72">
        <x:f>+Puantaj!D295</x:f>
      </x:c>
      <x:c r="L291" s="72">
        <x:f>+Puantaj!E295</x:f>
      </x:c>
      <x:c r="M291" s="265">
        <x:f>+BORDRO!F295</x:f>
      </x:c>
      <x:c r="N291" s="72"/>
      <x:c r="O291" s="87">
        <x:f>+BORDRO!G295</x:f>
      </x:c>
      <x:c r="P291" s="87">
        <x:v>0</x:v>
      </x:c>
      <x:c r="Q291" s="267"/>
      <x:c r="R291" s="267"/>
      <x:c r="S291" s="78"/>
      <x:c r="T291" s="78"/>
      <x:c r="U291" s="79"/>
      <x:c r="V291" s="268">
        <x:f>31-M291-Q291</x:f>
      </x:c>
      <x:c r="W291" s="269">
        <x:v>6</x:v>
      </x:c>
      <x:c r="X291" s="270" t="s">
        <x:v>112</x:v>
      </x:c>
      <x:c r="Y291" s="73">
        <x:v>2</x:v>
      </x:c>
      <x:c r="Z291" s="72" t="s">
        <x:v>106</x:v>
      </x:c>
      <x:c r="AA291" s="82" t="s">
        <x:v>111</x:v>
      </x:c>
      <x:c r="AB291" s="72">
        <x:v>2025</x:v>
      </x:c>
      <x:c r="AC291" s="72" t="s">
        <x:v>113</x:v>
      </x:c>
      <x:c r="AD291" s="88">
        <x:f>+BORDRO!J295</x:f>
      </x:c>
      <x:c r="AE291" s="83"/>
      <x:c r="AF291" s="83">
        <x:f>+BORDRO!K295</x:f>
      </x:c>
      <x:c r="AG291" s="83">
        <x:f>+BORDRO!L295</x:f>
      </x:c>
      <x:c r="AH291" s="88">
        <x:f>+BORDRO!M295</x:f>
      </x:c>
      <x:c r="AI291" s="83">
        <x:f>+BORDRO!O295</x:f>
      </x:c>
      <x:c r="AJ291" s="84">
        <x:f>+BORDRO!P295</x:f>
      </x:c>
    </x:row>
    <x:row r="292" spans="1:36" ht="15" customHeight="1" x14ac:dyDescent="0.25">
      <x:c r="A292" s="72" t="s">
        <x:v>106</x:v>
      </x:c>
      <x:c r="B292" s="264">
        <x:v>46</x:v>
      </x:c>
      <x:c r="C292" s="72" t="s">
        <x:v>107</x:v>
      </x:c>
      <x:c r="D292" s="72" t="s">
        <x:v>108</x:v>
      </x:c>
      <x:c r="E292" s="72" t="s">
        <x:v>108</x:v>
      </x:c>
      <x:c r="F292" s="73">
        <x:v>1494768</x:v>
      </x:c>
      <x:c r="G292" s="74" t="s">
        <x:v>109</x:v>
      </x:c>
      <x:c r="H292" s="72" t="s">
        <x:v>110</x:v>
      </x:c>
      <x:c r="I292" s="86"/>
      <x:c r="J292" s="75">
        <x:f>+Puantaj!C296</x:f>
      </x:c>
      <x:c r="K292" s="72">
        <x:f>+Puantaj!D296</x:f>
      </x:c>
      <x:c r="L292" s="72">
        <x:f>+Puantaj!E296</x:f>
      </x:c>
      <x:c r="M292" s="265">
        <x:f>+BORDRO!F296</x:f>
      </x:c>
      <x:c r="N292" s="72"/>
      <x:c r="O292" s="87">
        <x:f>+BORDRO!G296</x:f>
      </x:c>
      <x:c r="P292" s="87">
        <x:v>0</x:v>
      </x:c>
      <x:c r="Q292" s="267"/>
      <x:c r="R292" s="267"/>
      <x:c r="S292" s="78"/>
      <x:c r="T292" s="78"/>
      <x:c r="U292" s="79"/>
      <x:c r="V292" s="268">
        <x:f>31-M292-Q292</x:f>
      </x:c>
      <x:c r="W292" s="269">
        <x:v>6</x:v>
      </x:c>
      <x:c r="X292" s="270" t="s">
        <x:v>112</x:v>
      </x:c>
      <x:c r="Y292" s="73">
        <x:v>2</x:v>
      </x:c>
      <x:c r="Z292" s="72" t="s">
        <x:v>106</x:v>
      </x:c>
      <x:c r="AA292" s="82" t="s">
        <x:v>111</x:v>
      </x:c>
      <x:c r="AB292" s="72">
        <x:v>2025</x:v>
      </x:c>
      <x:c r="AC292" s="72" t="s">
        <x:v>113</x:v>
      </x:c>
      <x:c r="AD292" s="88">
        <x:f>+BORDRO!J296</x:f>
      </x:c>
      <x:c r="AE292" s="83"/>
      <x:c r="AF292" s="83">
        <x:f>+BORDRO!K296</x:f>
      </x:c>
      <x:c r="AG292" s="83">
        <x:f>+BORDRO!L296</x:f>
      </x:c>
      <x:c r="AH292" s="88">
        <x:f>+BORDRO!M296</x:f>
      </x:c>
      <x:c r="AI292" s="83">
        <x:f>+BORDRO!O296</x:f>
      </x:c>
      <x:c r="AJ292" s="84">
        <x:f>+BORDRO!P296</x:f>
      </x:c>
    </x:row>
    <x:row r="293" spans="1:36" ht="14.25" customHeight="1" x14ac:dyDescent="0.2">
      <x:c r="A293" s="72" t="s">
        <x:v>106</x:v>
      </x:c>
      <x:c r="B293" s="271">
        <x:v>46</x:v>
      </x:c>
      <x:c r="C293" s="72" t="s">
        <x:v>107</x:v>
      </x:c>
      <x:c r="D293" s="72" t="s">
        <x:v>108</x:v>
      </x:c>
      <x:c r="E293" s="72" t="s">
        <x:v>108</x:v>
      </x:c>
      <x:c r="F293" s="73">
        <x:v>1494768</x:v>
      </x:c>
      <x:c r="G293" s="74" t="s">
        <x:v>109</x:v>
      </x:c>
      <x:c r="H293" s="72" t="s">
        <x:v>110</x:v>
      </x:c>
      <x:c r="I293" s="86"/>
      <x:c r="J293" s="75">
        <x:f>+Puantaj!C297</x:f>
      </x:c>
      <x:c r="K293" s="72">
        <x:f>+Puantaj!D297</x:f>
      </x:c>
      <x:c r="L293" s="72">
        <x:f>+Puantaj!E297</x:f>
      </x:c>
      <x:c r="M293" s="265">
        <x:f>+BORDRO!F297</x:f>
      </x:c>
      <x:c r="N293" s="72"/>
      <x:c r="O293" s="87">
        <x:f>+BORDRO!G297</x:f>
      </x:c>
      <x:c r="P293" s="87">
        <x:v>0</x:v>
      </x:c>
      <x:c r="Q293" s="267"/>
      <x:c r="R293" s="267"/>
      <x:c r="S293" s="78"/>
      <x:c r="T293" s="78"/>
      <x:c r="U293" s="79"/>
      <x:c r="V293" s="268">
        <x:f>31-M293-Q293</x:f>
      </x:c>
      <x:c r="W293" s="269">
        <x:v>6</x:v>
      </x:c>
      <x:c r="X293" s="270" t="s">
        <x:v>112</x:v>
      </x:c>
      <x:c r="Y293" s="73">
        <x:v>2</x:v>
      </x:c>
      <x:c r="Z293" s="72" t="s">
        <x:v>106</x:v>
      </x:c>
      <x:c r="AA293" s="82" t="s">
        <x:v>111</x:v>
      </x:c>
      <x:c r="AB293" s="72">
        <x:v>2025</x:v>
      </x:c>
      <x:c r="AC293" s="72" t="s">
        <x:v>113</x:v>
      </x:c>
      <x:c r="AD293" s="88">
        <x:f>+BORDRO!J297</x:f>
      </x:c>
      <x:c r="AE293" s="83"/>
      <x:c r="AF293" s="83">
        <x:f>+BORDRO!K297</x:f>
      </x:c>
      <x:c r="AG293" s="83">
        <x:f>+BORDRO!L297</x:f>
      </x:c>
      <x:c r="AH293" s="88">
        <x:f>+BORDRO!M297</x:f>
      </x:c>
      <x:c r="AI293" s="83">
        <x:f>+BORDRO!O297</x:f>
      </x:c>
      <x:c r="AJ293" s="84">
        <x:f>+BORDRO!P297</x:f>
      </x:c>
    </x:row>
    <x:row r="294" spans="1:36" ht="15" customHeight="1" x14ac:dyDescent="0.25">
      <x:c r="A294" s="72" t="s">
        <x:v>106</x:v>
      </x:c>
      <x:c r="B294" s="264">
        <x:v>46</x:v>
      </x:c>
      <x:c r="C294" s="72" t="s">
        <x:v>107</x:v>
      </x:c>
      <x:c r="D294" s="72" t="s">
        <x:v>108</x:v>
      </x:c>
      <x:c r="E294" s="72" t="s">
        <x:v>108</x:v>
      </x:c>
      <x:c r="F294" s="73">
        <x:v>1494768</x:v>
      </x:c>
      <x:c r="G294" s="74" t="s">
        <x:v>109</x:v>
      </x:c>
      <x:c r="H294" s="72" t="s">
        <x:v>110</x:v>
      </x:c>
      <x:c r="I294" s="86"/>
      <x:c r="J294" s="75">
        <x:f>+Puantaj!C298</x:f>
      </x:c>
      <x:c r="K294" s="72">
        <x:f>+Puantaj!D298</x:f>
      </x:c>
      <x:c r="L294" s="72">
        <x:f>+Puantaj!E298</x:f>
      </x:c>
      <x:c r="M294" s="265">
        <x:f>+BORDRO!F298</x:f>
      </x:c>
      <x:c r="N294" s="72"/>
      <x:c r="O294" s="87">
        <x:f>+BORDRO!G298</x:f>
      </x:c>
      <x:c r="P294" s="87">
        <x:v>0</x:v>
      </x:c>
      <x:c r="Q294" s="267"/>
      <x:c r="R294" s="267"/>
      <x:c r="S294" s="78"/>
      <x:c r="T294" s="78"/>
      <x:c r="U294" s="79"/>
      <x:c r="V294" s="268">
        <x:f>31-M294-Q294</x:f>
      </x:c>
      <x:c r="W294" s="269">
        <x:v>6</x:v>
      </x:c>
      <x:c r="X294" s="270" t="s">
        <x:v>112</x:v>
      </x:c>
      <x:c r="Y294" s="73">
        <x:v>2</x:v>
      </x:c>
      <x:c r="Z294" s="72" t="s">
        <x:v>106</x:v>
      </x:c>
      <x:c r="AA294" s="82" t="s">
        <x:v>111</x:v>
      </x:c>
      <x:c r="AB294" s="72">
        <x:v>2025</x:v>
      </x:c>
      <x:c r="AC294" s="72" t="s">
        <x:v>113</x:v>
      </x:c>
      <x:c r="AD294" s="88">
        <x:f>+BORDRO!J298</x:f>
      </x:c>
      <x:c r="AE294" s="83"/>
      <x:c r="AF294" s="83">
        <x:f>+BORDRO!K298</x:f>
      </x:c>
      <x:c r="AG294" s="83">
        <x:f>+BORDRO!L298</x:f>
      </x:c>
      <x:c r="AH294" s="88">
        <x:f>+BORDRO!M298</x:f>
      </x:c>
      <x:c r="AI294" s="83">
        <x:f>+BORDRO!O298</x:f>
      </x:c>
      <x:c r="AJ294" s="84">
        <x:f>+BORDRO!P298</x:f>
      </x:c>
    </x:row>
    <x:row r="295" spans="1:36" ht="14.25" customHeight="1" x14ac:dyDescent="0.2">
      <x:c r="A295" s="72" t="s">
        <x:v>106</x:v>
      </x:c>
      <x:c r="B295" s="271">
        <x:v>46</x:v>
      </x:c>
      <x:c r="C295" s="72" t="s">
        <x:v>107</x:v>
      </x:c>
      <x:c r="D295" s="72" t="s">
        <x:v>108</x:v>
      </x:c>
      <x:c r="E295" s="72" t="s">
        <x:v>108</x:v>
      </x:c>
      <x:c r="F295" s="73">
        <x:v>1494768</x:v>
      </x:c>
      <x:c r="G295" s="74" t="s">
        <x:v>109</x:v>
      </x:c>
      <x:c r="H295" s="72" t="s">
        <x:v>110</x:v>
      </x:c>
      <x:c r="I295" s="86"/>
      <x:c r="J295" s="75">
        <x:f>+Puantaj!C299</x:f>
      </x:c>
      <x:c r="K295" s="72">
        <x:f>+Puantaj!D299</x:f>
      </x:c>
      <x:c r="L295" s="72">
        <x:f>+Puantaj!E299</x:f>
      </x:c>
      <x:c r="M295" s="265">
        <x:f>+BORDRO!F299</x:f>
      </x:c>
      <x:c r="N295" s="72"/>
      <x:c r="O295" s="87">
        <x:f>+BORDRO!G299</x:f>
      </x:c>
      <x:c r="P295" s="87">
        <x:v>0</x:v>
      </x:c>
      <x:c r="Q295" s="267"/>
      <x:c r="R295" s="267"/>
      <x:c r="S295" s="78"/>
      <x:c r="T295" s="78"/>
      <x:c r="U295" s="79"/>
      <x:c r="V295" s="268">
        <x:f>31-M295-Q295</x:f>
      </x:c>
      <x:c r="W295" s="269">
        <x:v>6</x:v>
      </x:c>
      <x:c r="X295" s="270" t="s">
        <x:v>112</x:v>
      </x:c>
      <x:c r="Y295" s="73">
        <x:v>2</x:v>
      </x:c>
      <x:c r="Z295" s="72" t="s">
        <x:v>106</x:v>
      </x:c>
      <x:c r="AA295" s="82" t="s">
        <x:v>111</x:v>
      </x:c>
      <x:c r="AB295" s="72">
        <x:v>2025</x:v>
      </x:c>
      <x:c r="AC295" s="72" t="s">
        <x:v>113</x:v>
      </x:c>
      <x:c r="AD295" s="88">
        <x:f>+BORDRO!J299</x:f>
      </x:c>
      <x:c r="AE295" s="83"/>
      <x:c r="AF295" s="83">
        <x:f>+BORDRO!K299</x:f>
      </x:c>
      <x:c r="AG295" s="83">
        <x:f>+BORDRO!L299</x:f>
      </x:c>
      <x:c r="AH295" s="88">
        <x:f>+BORDRO!M299</x:f>
      </x:c>
      <x:c r="AI295" s="83">
        <x:f>+BORDRO!O299</x:f>
      </x:c>
      <x:c r="AJ295" s="84">
        <x:f>+BORDRO!P299</x:f>
      </x:c>
    </x:row>
    <x:row r="296" spans="1:36" ht="15" customHeight="1" x14ac:dyDescent="0.25">
      <x:c r="A296" s="72" t="s">
        <x:v>106</x:v>
      </x:c>
      <x:c r="B296" s="264">
        <x:v>46</x:v>
      </x:c>
      <x:c r="C296" s="72" t="s">
        <x:v>107</x:v>
      </x:c>
      <x:c r="D296" s="72" t="s">
        <x:v>108</x:v>
      </x:c>
      <x:c r="E296" s="72" t="s">
        <x:v>108</x:v>
      </x:c>
      <x:c r="F296" s="73">
        <x:v>1494768</x:v>
      </x:c>
      <x:c r="G296" s="74" t="s">
        <x:v>109</x:v>
      </x:c>
      <x:c r="H296" s="72" t="s">
        <x:v>110</x:v>
      </x:c>
      <x:c r="I296" s="86"/>
      <x:c r="J296" s="75">
        <x:f>+Puantaj!C300</x:f>
      </x:c>
      <x:c r="K296" s="72">
        <x:f>+Puantaj!D300</x:f>
      </x:c>
      <x:c r="L296" s="72">
        <x:f>+Puantaj!E300</x:f>
      </x:c>
      <x:c r="M296" s="265">
        <x:f>+BORDRO!F300</x:f>
      </x:c>
      <x:c r="N296" s="72"/>
      <x:c r="O296" s="87">
        <x:f>+BORDRO!G300</x:f>
      </x:c>
      <x:c r="P296" s="87">
        <x:v>0</x:v>
      </x:c>
      <x:c r="Q296" s="267"/>
      <x:c r="R296" s="267"/>
      <x:c r="S296" s="78"/>
      <x:c r="T296" s="78"/>
      <x:c r="U296" s="79"/>
      <x:c r="V296" s="268">
        <x:f>31-M296-Q296</x:f>
      </x:c>
      <x:c r="W296" s="269">
        <x:v>6</x:v>
      </x:c>
      <x:c r="X296" s="270" t="s">
        <x:v>112</x:v>
      </x:c>
      <x:c r="Y296" s="73">
        <x:v>2</x:v>
      </x:c>
      <x:c r="Z296" s="72" t="s">
        <x:v>106</x:v>
      </x:c>
      <x:c r="AA296" s="82" t="s">
        <x:v>111</x:v>
      </x:c>
      <x:c r="AB296" s="72">
        <x:v>2025</x:v>
      </x:c>
      <x:c r="AC296" s="72" t="s">
        <x:v>113</x:v>
      </x:c>
      <x:c r="AD296" s="88">
        <x:f>+BORDRO!J300</x:f>
      </x:c>
      <x:c r="AE296" s="83"/>
      <x:c r="AF296" s="83">
        <x:f>+BORDRO!K300</x:f>
      </x:c>
      <x:c r="AG296" s="83">
        <x:f>+BORDRO!L300</x:f>
      </x:c>
      <x:c r="AH296" s="88">
        <x:f>+BORDRO!M300</x:f>
      </x:c>
      <x:c r="AI296" s="83">
        <x:f>+BORDRO!O300</x:f>
      </x:c>
      <x:c r="AJ296" s="84">
        <x:f>+BORDRO!P300</x:f>
      </x:c>
    </x:row>
    <x:row r="297" spans="1:36" ht="14.25" customHeight="1" x14ac:dyDescent="0.2">
      <x:c r="A297" s="72" t="s">
        <x:v>106</x:v>
      </x:c>
      <x:c r="B297" s="271">
        <x:v>46</x:v>
      </x:c>
      <x:c r="C297" s="72" t="s">
        <x:v>107</x:v>
      </x:c>
      <x:c r="D297" s="72" t="s">
        <x:v>108</x:v>
      </x:c>
      <x:c r="E297" s="72" t="s">
        <x:v>108</x:v>
      </x:c>
      <x:c r="F297" s="73">
        <x:v>1494768</x:v>
      </x:c>
      <x:c r="G297" s="74" t="s">
        <x:v>109</x:v>
      </x:c>
      <x:c r="H297" s="72" t="s">
        <x:v>110</x:v>
      </x:c>
      <x:c r="I297" s="86"/>
      <x:c r="J297" s="75">
        <x:f>+Puantaj!C301</x:f>
      </x:c>
      <x:c r="K297" s="72">
        <x:f>+Puantaj!D301</x:f>
      </x:c>
      <x:c r="L297" s="72">
        <x:f>+Puantaj!E301</x:f>
      </x:c>
      <x:c r="M297" s="265">
        <x:f>+BORDRO!F301</x:f>
      </x:c>
      <x:c r="N297" s="72"/>
      <x:c r="O297" s="87">
        <x:f>+BORDRO!G301</x:f>
      </x:c>
      <x:c r="P297" s="87">
        <x:v>0</x:v>
      </x:c>
      <x:c r="Q297" s="267"/>
      <x:c r="R297" s="267"/>
      <x:c r="S297" s="78"/>
      <x:c r="T297" s="78"/>
      <x:c r="U297" s="79"/>
      <x:c r="V297" s="268">
        <x:f>31-M297-Q297</x:f>
      </x:c>
      <x:c r="W297" s="269">
        <x:v>6</x:v>
      </x:c>
      <x:c r="X297" s="270" t="s">
        <x:v>112</x:v>
      </x:c>
      <x:c r="Y297" s="73">
        <x:v>2</x:v>
      </x:c>
      <x:c r="Z297" s="72" t="s">
        <x:v>106</x:v>
      </x:c>
      <x:c r="AA297" s="82" t="s">
        <x:v>111</x:v>
      </x:c>
      <x:c r="AB297" s="72">
        <x:v>2025</x:v>
      </x:c>
      <x:c r="AC297" s="72" t="s">
        <x:v>113</x:v>
      </x:c>
      <x:c r="AD297" s="88">
        <x:f>+BORDRO!J301</x:f>
      </x:c>
      <x:c r="AE297" s="83"/>
      <x:c r="AF297" s="83">
        <x:f>+BORDRO!K301</x:f>
      </x:c>
      <x:c r="AG297" s="83">
        <x:f>+BORDRO!L301</x:f>
      </x:c>
      <x:c r="AH297" s="88">
        <x:f>+BORDRO!M301</x:f>
      </x:c>
      <x:c r="AI297" s="83">
        <x:f>+BORDRO!O301</x:f>
      </x:c>
      <x:c r="AJ297" s="84">
        <x:f>+BORDRO!P301</x:f>
      </x:c>
    </x:row>
    <x:row r="298" spans="1:36" ht="15" customHeight="1" x14ac:dyDescent="0.25">
      <x:c r="A298" s="72" t="s">
        <x:v>106</x:v>
      </x:c>
      <x:c r="B298" s="264">
        <x:v>46</x:v>
      </x:c>
      <x:c r="C298" s="72" t="s">
        <x:v>107</x:v>
      </x:c>
      <x:c r="D298" s="72" t="s">
        <x:v>108</x:v>
      </x:c>
      <x:c r="E298" s="72" t="s">
        <x:v>108</x:v>
      </x:c>
      <x:c r="F298" s="73">
        <x:v>1494768</x:v>
      </x:c>
      <x:c r="G298" s="74" t="s">
        <x:v>109</x:v>
      </x:c>
      <x:c r="H298" s="72" t="s">
        <x:v>110</x:v>
      </x:c>
      <x:c r="I298" s="86"/>
      <x:c r="J298" s="75">
        <x:f>+Puantaj!C302</x:f>
      </x:c>
      <x:c r="K298" s="72">
        <x:f>+Puantaj!D302</x:f>
      </x:c>
      <x:c r="L298" s="72">
        <x:f>+Puantaj!E302</x:f>
      </x:c>
      <x:c r="M298" s="265">
        <x:f>+BORDRO!F302</x:f>
      </x:c>
      <x:c r="N298" s="72"/>
      <x:c r="O298" s="87">
        <x:f>+BORDRO!G302</x:f>
      </x:c>
      <x:c r="P298" s="87">
        <x:v>0</x:v>
      </x:c>
      <x:c r="Q298" s="267"/>
      <x:c r="R298" s="267"/>
      <x:c r="S298" s="78"/>
      <x:c r="T298" s="78"/>
      <x:c r="U298" s="79"/>
      <x:c r="V298" s="268">
        <x:f>31-M298-Q298</x:f>
      </x:c>
      <x:c r="W298" s="269">
        <x:v>6</x:v>
      </x:c>
      <x:c r="X298" s="270" t="s">
        <x:v>112</x:v>
      </x:c>
      <x:c r="Y298" s="73">
        <x:v>2</x:v>
      </x:c>
      <x:c r="Z298" s="72" t="s">
        <x:v>106</x:v>
      </x:c>
      <x:c r="AA298" s="82" t="s">
        <x:v>111</x:v>
      </x:c>
      <x:c r="AB298" s="72">
        <x:v>2025</x:v>
      </x:c>
      <x:c r="AC298" s="72" t="s">
        <x:v>113</x:v>
      </x:c>
      <x:c r="AD298" s="88">
        <x:f>+BORDRO!J302</x:f>
      </x:c>
      <x:c r="AE298" s="83"/>
      <x:c r="AF298" s="83">
        <x:f>+BORDRO!K302</x:f>
      </x:c>
      <x:c r="AG298" s="83">
        <x:f>+BORDRO!L302</x:f>
      </x:c>
      <x:c r="AH298" s="88">
        <x:f>+BORDRO!M302</x:f>
      </x:c>
      <x:c r="AI298" s="83">
        <x:f>+BORDRO!O302</x:f>
      </x:c>
      <x:c r="AJ298" s="84">
        <x:f>+BORDRO!P302</x:f>
      </x:c>
    </x:row>
    <x:row r="299" spans="1:36" ht="14.25" customHeight="1" x14ac:dyDescent="0.2">
      <x:c r="A299" s="72" t="s">
        <x:v>106</x:v>
      </x:c>
      <x:c r="B299" s="271">
        <x:v>46</x:v>
      </x:c>
      <x:c r="C299" s="72" t="s">
        <x:v>107</x:v>
      </x:c>
      <x:c r="D299" s="72" t="s">
        <x:v>108</x:v>
      </x:c>
      <x:c r="E299" s="72" t="s">
        <x:v>108</x:v>
      </x:c>
      <x:c r="F299" s="73">
        <x:v>1494768</x:v>
      </x:c>
      <x:c r="G299" s="74" t="s">
        <x:v>109</x:v>
      </x:c>
      <x:c r="H299" s="72" t="s">
        <x:v>110</x:v>
      </x:c>
      <x:c r="I299" s="86"/>
      <x:c r="J299" s="75">
        <x:f>+Puantaj!C303</x:f>
      </x:c>
      <x:c r="K299" s="72">
        <x:f>+Puantaj!D303</x:f>
      </x:c>
      <x:c r="L299" s="72">
        <x:f>+Puantaj!E303</x:f>
      </x:c>
      <x:c r="M299" s="265">
        <x:f>+BORDRO!F303</x:f>
      </x:c>
      <x:c r="N299" s="72"/>
      <x:c r="O299" s="87">
        <x:f>+BORDRO!G303</x:f>
      </x:c>
      <x:c r="P299" s="87">
        <x:v>0</x:v>
      </x:c>
      <x:c r="Q299" s="267"/>
      <x:c r="R299" s="267"/>
      <x:c r="S299" s="78"/>
      <x:c r="T299" s="78"/>
      <x:c r="U299" s="79"/>
      <x:c r="V299" s="268">
        <x:f>31-M299-Q299</x:f>
      </x:c>
      <x:c r="W299" s="269">
        <x:v>6</x:v>
      </x:c>
      <x:c r="X299" s="270" t="s">
        <x:v>112</x:v>
      </x:c>
      <x:c r="Y299" s="73">
        <x:v>2</x:v>
      </x:c>
      <x:c r="Z299" s="72" t="s">
        <x:v>106</x:v>
      </x:c>
      <x:c r="AA299" s="82" t="s">
        <x:v>111</x:v>
      </x:c>
      <x:c r="AB299" s="72">
        <x:v>2025</x:v>
      </x:c>
      <x:c r="AC299" s="72" t="s">
        <x:v>113</x:v>
      </x:c>
      <x:c r="AD299" s="88">
        <x:f>+BORDRO!J303</x:f>
      </x:c>
      <x:c r="AE299" s="83"/>
      <x:c r="AF299" s="83">
        <x:f>+BORDRO!K303</x:f>
      </x:c>
      <x:c r="AG299" s="83">
        <x:f>+BORDRO!L303</x:f>
      </x:c>
      <x:c r="AH299" s="88">
        <x:f>+BORDRO!M303</x:f>
      </x:c>
      <x:c r="AI299" s="83">
        <x:f>+BORDRO!O303</x:f>
      </x:c>
      <x:c r="AJ299" s="84">
        <x:f>+BORDRO!P303</x:f>
      </x:c>
    </x:row>
    <x:row r="300" spans="1:36" ht="15" customHeight="1" x14ac:dyDescent="0.25">
      <x:c r="A300" s="72" t="s">
        <x:v>106</x:v>
      </x:c>
      <x:c r="B300" s="264">
        <x:v>46</x:v>
      </x:c>
      <x:c r="C300" s="72" t="s">
        <x:v>107</x:v>
      </x:c>
      <x:c r="D300" s="72" t="s">
        <x:v>108</x:v>
      </x:c>
      <x:c r="E300" s="72" t="s">
        <x:v>108</x:v>
      </x:c>
      <x:c r="F300" s="73">
        <x:v>1494768</x:v>
      </x:c>
      <x:c r="G300" s="74" t="s">
        <x:v>109</x:v>
      </x:c>
      <x:c r="H300" s="72" t="s">
        <x:v>110</x:v>
      </x:c>
      <x:c r="I300" s="86"/>
      <x:c r="J300" s="75">
        <x:f>+Puantaj!C304</x:f>
      </x:c>
      <x:c r="K300" s="72">
        <x:f>+Puantaj!D304</x:f>
      </x:c>
      <x:c r="L300" s="72">
        <x:f>+Puantaj!E304</x:f>
      </x:c>
      <x:c r="M300" s="265">
        <x:f>+BORDRO!F304</x:f>
      </x:c>
      <x:c r="N300" s="72"/>
      <x:c r="O300" s="87">
        <x:f>+BORDRO!G304</x:f>
      </x:c>
      <x:c r="P300" s="87">
        <x:v>0</x:v>
      </x:c>
      <x:c r="Q300" s="267"/>
      <x:c r="R300" s="267"/>
      <x:c r="S300" s="78"/>
      <x:c r="T300" s="78"/>
      <x:c r="U300" s="79"/>
      <x:c r="V300" s="268">
        <x:f>31-M300-Q300</x:f>
      </x:c>
      <x:c r="W300" s="269">
        <x:v>6</x:v>
      </x:c>
      <x:c r="X300" s="270" t="s">
        <x:v>112</x:v>
      </x:c>
      <x:c r="Y300" s="73">
        <x:v>2</x:v>
      </x:c>
      <x:c r="Z300" s="72" t="s">
        <x:v>106</x:v>
      </x:c>
      <x:c r="AA300" s="82" t="s">
        <x:v>111</x:v>
      </x:c>
      <x:c r="AB300" s="72">
        <x:v>2025</x:v>
      </x:c>
      <x:c r="AC300" s="72" t="s">
        <x:v>113</x:v>
      </x:c>
      <x:c r="AD300" s="88">
        <x:f>+BORDRO!J304</x:f>
      </x:c>
      <x:c r="AE300" s="83"/>
      <x:c r="AF300" s="83">
        <x:f>+BORDRO!K304</x:f>
      </x:c>
      <x:c r="AG300" s="83">
        <x:f>+BORDRO!L304</x:f>
      </x:c>
      <x:c r="AH300" s="88">
        <x:f>+BORDRO!M304</x:f>
      </x:c>
      <x:c r="AI300" s="83">
        <x:f>+BORDRO!O304</x:f>
      </x:c>
      <x:c r="AJ300" s="84">
        <x:f>+BORDRO!P304</x:f>
      </x:c>
    </x:row>
    <x:row r="301" spans="1:36" ht="14.25" customHeight="1" x14ac:dyDescent="0.2">
      <x:c r="A301" s="72" t="s">
        <x:v>106</x:v>
      </x:c>
      <x:c r="B301" s="271">
        <x:v>46</x:v>
      </x:c>
      <x:c r="C301" s="72" t="s">
        <x:v>107</x:v>
      </x:c>
      <x:c r="D301" s="72" t="s">
        <x:v>108</x:v>
      </x:c>
      <x:c r="E301" s="72" t="s">
        <x:v>108</x:v>
      </x:c>
      <x:c r="F301" s="73">
        <x:v>1494768</x:v>
      </x:c>
      <x:c r="G301" s="74" t="s">
        <x:v>109</x:v>
      </x:c>
      <x:c r="H301" s="72" t="s">
        <x:v>110</x:v>
      </x:c>
      <x:c r="I301" s="86"/>
      <x:c r="J301" s="75">
        <x:f>+Puantaj!C305</x:f>
      </x:c>
      <x:c r="K301" s="72">
        <x:f>+Puantaj!D305</x:f>
      </x:c>
      <x:c r="L301" s="72">
        <x:f>+Puantaj!E305</x:f>
      </x:c>
      <x:c r="M301" s="265">
        <x:f>+BORDRO!F305</x:f>
      </x:c>
      <x:c r="N301" s="72"/>
      <x:c r="O301" s="87">
        <x:f>+BORDRO!G305</x:f>
      </x:c>
      <x:c r="P301" s="87">
        <x:v>0</x:v>
      </x:c>
      <x:c r="Q301" s="267"/>
      <x:c r="R301" s="267"/>
      <x:c r="S301" s="78"/>
      <x:c r="T301" s="78"/>
      <x:c r="U301" s="79"/>
      <x:c r="V301" s="268">
        <x:f>31-M301-Q301</x:f>
      </x:c>
      <x:c r="W301" s="269">
        <x:v>6</x:v>
      </x:c>
      <x:c r="X301" s="270" t="s">
        <x:v>112</x:v>
      </x:c>
      <x:c r="Y301" s="73">
        <x:v>2</x:v>
      </x:c>
      <x:c r="Z301" s="72" t="s">
        <x:v>106</x:v>
      </x:c>
      <x:c r="AA301" s="82" t="s">
        <x:v>111</x:v>
      </x:c>
      <x:c r="AB301" s="72">
        <x:v>2025</x:v>
      </x:c>
      <x:c r="AC301" s="72" t="s">
        <x:v>113</x:v>
      </x:c>
      <x:c r="AD301" s="88">
        <x:f>+BORDRO!J305</x:f>
      </x:c>
      <x:c r="AE301" s="83"/>
      <x:c r="AF301" s="83">
        <x:f>+BORDRO!K305</x:f>
      </x:c>
      <x:c r="AG301" s="83">
        <x:f>+BORDRO!L305</x:f>
      </x:c>
      <x:c r="AH301" s="88">
        <x:f>+BORDRO!M305</x:f>
      </x:c>
      <x:c r="AI301" s="83">
        <x:f>+BORDRO!O305</x:f>
      </x:c>
      <x:c r="AJ301" s="84">
        <x:f>+BORDRO!P305</x:f>
      </x:c>
    </x:row>
    <x:row r="302" spans="1:36" ht="15" customHeight="1" x14ac:dyDescent="0.25">
      <x:c r="A302" s="72" t="s">
        <x:v>106</x:v>
      </x:c>
      <x:c r="B302" s="264">
        <x:v>46</x:v>
      </x:c>
      <x:c r="C302" s="72" t="s">
        <x:v>107</x:v>
      </x:c>
      <x:c r="D302" s="72" t="s">
        <x:v>108</x:v>
      </x:c>
      <x:c r="E302" s="72" t="s">
        <x:v>108</x:v>
      </x:c>
      <x:c r="F302" s="73">
        <x:v>1494768</x:v>
      </x:c>
      <x:c r="G302" s="74" t="s">
        <x:v>109</x:v>
      </x:c>
      <x:c r="H302" s="72" t="s">
        <x:v>110</x:v>
      </x:c>
      <x:c r="I302" s="86"/>
      <x:c r="J302" s="75">
        <x:f>+Puantaj!C306</x:f>
      </x:c>
      <x:c r="K302" s="72">
        <x:f>+Puantaj!D306</x:f>
      </x:c>
      <x:c r="L302" s="72">
        <x:f>+Puantaj!E306</x:f>
      </x:c>
      <x:c r="M302" s="265">
        <x:f>+BORDRO!F306</x:f>
      </x:c>
      <x:c r="N302" s="72"/>
      <x:c r="O302" s="87">
        <x:f>+BORDRO!G306</x:f>
      </x:c>
      <x:c r="P302" s="87">
        <x:v>0</x:v>
      </x:c>
      <x:c r="Q302" s="267"/>
      <x:c r="R302" s="267"/>
      <x:c r="S302" s="78"/>
      <x:c r="T302" s="78"/>
      <x:c r="U302" s="79"/>
      <x:c r="V302" s="268">
        <x:f>31-M302-Q302</x:f>
      </x:c>
      <x:c r="W302" s="269">
        <x:v>6</x:v>
      </x:c>
      <x:c r="X302" s="270" t="s">
        <x:v>112</x:v>
      </x:c>
      <x:c r="Y302" s="73">
        <x:v>2</x:v>
      </x:c>
      <x:c r="Z302" s="72" t="s">
        <x:v>106</x:v>
      </x:c>
      <x:c r="AA302" s="82" t="s">
        <x:v>111</x:v>
      </x:c>
      <x:c r="AB302" s="72">
        <x:v>2025</x:v>
      </x:c>
      <x:c r="AC302" s="72" t="s">
        <x:v>113</x:v>
      </x:c>
      <x:c r="AD302" s="88">
        <x:f>+BORDRO!J306</x:f>
      </x:c>
      <x:c r="AE302" s="83"/>
      <x:c r="AF302" s="83">
        <x:f>+BORDRO!K306</x:f>
      </x:c>
      <x:c r="AG302" s="83">
        <x:f>+BORDRO!L306</x:f>
      </x:c>
      <x:c r="AH302" s="88">
        <x:f>+BORDRO!M306</x:f>
      </x:c>
      <x:c r="AI302" s="83">
        <x:f>+BORDRO!O306</x:f>
      </x:c>
      <x:c r="AJ302" s="84">
        <x:f>+BORDRO!P306</x:f>
      </x:c>
    </x:row>
    <x:row r="303" spans="1:36" ht="14.25" customHeight="1" x14ac:dyDescent="0.2">
      <x:c r="A303" s="72" t="s">
        <x:v>106</x:v>
      </x:c>
      <x:c r="B303" s="271">
        <x:v>46</x:v>
      </x:c>
      <x:c r="C303" s="72" t="s">
        <x:v>107</x:v>
      </x:c>
      <x:c r="D303" s="72" t="s">
        <x:v>108</x:v>
      </x:c>
      <x:c r="E303" s="72" t="s">
        <x:v>108</x:v>
      </x:c>
      <x:c r="F303" s="73">
        <x:v>1494768</x:v>
      </x:c>
      <x:c r="G303" s="74" t="s">
        <x:v>109</x:v>
      </x:c>
      <x:c r="H303" s="72" t="s">
        <x:v>110</x:v>
      </x:c>
      <x:c r="I303" s="86"/>
      <x:c r="J303" s="75">
        <x:f>+Puantaj!C307</x:f>
      </x:c>
      <x:c r="K303" s="72">
        <x:f>+Puantaj!D307</x:f>
      </x:c>
      <x:c r="L303" s="72">
        <x:f>+Puantaj!E307</x:f>
      </x:c>
      <x:c r="M303" s="265">
        <x:f>+BORDRO!F307</x:f>
      </x:c>
      <x:c r="N303" s="72"/>
      <x:c r="O303" s="87">
        <x:f>+BORDRO!G307</x:f>
      </x:c>
      <x:c r="P303" s="87">
        <x:v>0</x:v>
      </x:c>
      <x:c r="Q303" s="267"/>
      <x:c r="R303" s="267"/>
      <x:c r="S303" s="78"/>
      <x:c r="T303" s="78"/>
      <x:c r="U303" s="79"/>
      <x:c r="V303" s="268">
        <x:f>31-M303-Q303</x:f>
      </x:c>
      <x:c r="W303" s="269">
        <x:v>6</x:v>
      </x:c>
      <x:c r="X303" s="270" t="s">
        <x:v>112</x:v>
      </x:c>
      <x:c r="Y303" s="73">
        <x:v>2</x:v>
      </x:c>
      <x:c r="Z303" s="72" t="s">
        <x:v>106</x:v>
      </x:c>
      <x:c r="AA303" s="82" t="s">
        <x:v>111</x:v>
      </x:c>
      <x:c r="AB303" s="72">
        <x:v>2025</x:v>
      </x:c>
      <x:c r="AC303" s="72" t="s">
        <x:v>113</x:v>
      </x:c>
      <x:c r="AD303" s="88">
        <x:f>+BORDRO!J307</x:f>
      </x:c>
      <x:c r="AE303" s="83"/>
      <x:c r="AF303" s="83">
        <x:f>+BORDRO!K307</x:f>
      </x:c>
      <x:c r="AG303" s="83">
        <x:f>+BORDRO!L307</x:f>
      </x:c>
      <x:c r="AH303" s="88">
        <x:f>+BORDRO!M307</x:f>
      </x:c>
      <x:c r="AI303" s="83">
        <x:f>+BORDRO!O307</x:f>
      </x:c>
      <x:c r="AJ303" s="84">
        <x:f>+BORDRO!P307</x:f>
      </x:c>
    </x:row>
    <x:row r="304" spans="1:36" ht="15" customHeight="1" x14ac:dyDescent="0.25">
      <x:c r="A304" s="72" t="s">
        <x:v>106</x:v>
      </x:c>
      <x:c r="B304" s="264">
        <x:v>46</x:v>
      </x:c>
      <x:c r="C304" s="72" t="s">
        <x:v>107</x:v>
      </x:c>
      <x:c r="D304" s="72" t="s">
        <x:v>108</x:v>
      </x:c>
      <x:c r="E304" s="72" t="s">
        <x:v>108</x:v>
      </x:c>
      <x:c r="F304" s="73">
        <x:v>1494768</x:v>
      </x:c>
      <x:c r="G304" s="74" t="s">
        <x:v>109</x:v>
      </x:c>
      <x:c r="H304" s="72" t="s">
        <x:v>110</x:v>
      </x:c>
      <x:c r="I304" s="86"/>
      <x:c r="J304" s="75">
        <x:f>+Puantaj!C308</x:f>
      </x:c>
      <x:c r="K304" s="72">
        <x:f>+Puantaj!D308</x:f>
      </x:c>
      <x:c r="L304" s="72">
        <x:f>+Puantaj!E308</x:f>
      </x:c>
      <x:c r="M304" s="265">
        <x:f>+BORDRO!F308</x:f>
      </x:c>
      <x:c r="N304" s="72"/>
      <x:c r="O304" s="87">
        <x:f>+BORDRO!G308</x:f>
      </x:c>
      <x:c r="P304" s="87">
        <x:v>0</x:v>
      </x:c>
      <x:c r="Q304" s="267"/>
      <x:c r="R304" s="267"/>
      <x:c r="S304" s="78"/>
      <x:c r="T304" s="78"/>
      <x:c r="U304" s="79"/>
      <x:c r="V304" s="268">
        <x:f>31-M304-Q304</x:f>
      </x:c>
      <x:c r="W304" s="269">
        <x:v>6</x:v>
      </x:c>
      <x:c r="X304" s="270" t="s">
        <x:v>112</x:v>
      </x:c>
      <x:c r="Y304" s="73">
        <x:v>2</x:v>
      </x:c>
      <x:c r="Z304" s="72" t="s">
        <x:v>106</x:v>
      </x:c>
      <x:c r="AA304" s="82" t="s">
        <x:v>111</x:v>
      </x:c>
      <x:c r="AB304" s="72">
        <x:v>2025</x:v>
      </x:c>
      <x:c r="AC304" s="72" t="s">
        <x:v>113</x:v>
      </x:c>
      <x:c r="AD304" s="88">
        <x:f>+BORDRO!J308</x:f>
      </x:c>
      <x:c r="AE304" s="83"/>
      <x:c r="AF304" s="83">
        <x:f>+BORDRO!K308</x:f>
      </x:c>
      <x:c r="AG304" s="83">
        <x:f>+BORDRO!L308</x:f>
      </x:c>
      <x:c r="AH304" s="88">
        <x:f>+BORDRO!M308</x:f>
      </x:c>
      <x:c r="AI304" s="83">
        <x:f>+BORDRO!O308</x:f>
      </x:c>
      <x:c r="AJ304" s="84">
        <x:f>+BORDRO!P308</x:f>
      </x:c>
    </x:row>
    <x:row r="305" spans="1:36" ht="14.25" customHeight="1" x14ac:dyDescent="0.2">
      <x:c r="A305" s="72" t="s">
        <x:v>106</x:v>
      </x:c>
      <x:c r="B305" s="271">
        <x:v>46</x:v>
      </x:c>
      <x:c r="C305" s="72" t="s">
        <x:v>107</x:v>
      </x:c>
      <x:c r="D305" s="72" t="s">
        <x:v>108</x:v>
      </x:c>
      <x:c r="E305" s="72" t="s">
        <x:v>108</x:v>
      </x:c>
      <x:c r="F305" s="73">
        <x:v>1494768</x:v>
      </x:c>
      <x:c r="G305" s="74" t="s">
        <x:v>109</x:v>
      </x:c>
      <x:c r="H305" s="72" t="s">
        <x:v>110</x:v>
      </x:c>
      <x:c r="I305" s="86"/>
      <x:c r="J305" s="75">
        <x:f>+Puantaj!C309</x:f>
      </x:c>
      <x:c r="K305" s="72">
        <x:f>+Puantaj!D309</x:f>
      </x:c>
      <x:c r="L305" s="72">
        <x:f>+Puantaj!E309</x:f>
      </x:c>
      <x:c r="M305" s="265">
        <x:f>+BORDRO!F309</x:f>
      </x:c>
      <x:c r="N305" s="72"/>
      <x:c r="O305" s="87">
        <x:f>+BORDRO!G309</x:f>
      </x:c>
      <x:c r="P305" s="87">
        <x:v>0</x:v>
      </x:c>
      <x:c r="Q305" s="267"/>
      <x:c r="R305" s="267"/>
      <x:c r="S305" s="78"/>
      <x:c r="T305" s="78"/>
      <x:c r="U305" s="79"/>
      <x:c r="V305" s="268">
        <x:f>31-M305-Q305</x:f>
      </x:c>
      <x:c r="W305" s="269">
        <x:v>6</x:v>
      </x:c>
      <x:c r="X305" s="270" t="s">
        <x:v>112</x:v>
      </x:c>
      <x:c r="Y305" s="73">
        <x:v>2</x:v>
      </x:c>
      <x:c r="Z305" s="72" t="s">
        <x:v>106</x:v>
      </x:c>
      <x:c r="AA305" s="82" t="s">
        <x:v>111</x:v>
      </x:c>
      <x:c r="AB305" s="72">
        <x:v>2025</x:v>
      </x:c>
      <x:c r="AC305" s="72" t="s">
        <x:v>113</x:v>
      </x:c>
      <x:c r="AD305" s="88">
        <x:f>+BORDRO!J309</x:f>
      </x:c>
      <x:c r="AE305" s="83"/>
      <x:c r="AF305" s="83">
        <x:f>+BORDRO!K309</x:f>
      </x:c>
      <x:c r="AG305" s="83">
        <x:f>+BORDRO!L309</x:f>
      </x:c>
      <x:c r="AH305" s="88">
        <x:f>+BORDRO!M309</x:f>
      </x:c>
      <x:c r="AI305" s="83">
        <x:f>+BORDRO!O309</x:f>
      </x:c>
      <x:c r="AJ305" s="84">
        <x:f>+BORDRO!P309</x:f>
      </x:c>
    </x:row>
    <x:row r="306" spans="1:36" ht="15" customHeight="1" x14ac:dyDescent="0.25">
      <x:c r="A306" s="72" t="s">
        <x:v>106</x:v>
      </x:c>
      <x:c r="B306" s="264">
        <x:v>46</x:v>
      </x:c>
      <x:c r="C306" s="72" t="s">
        <x:v>107</x:v>
      </x:c>
      <x:c r="D306" s="72" t="s">
        <x:v>108</x:v>
      </x:c>
      <x:c r="E306" s="72" t="s">
        <x:v>108</x:v>
      </x:c>
      <x:c r="F306" s="73">
        <x:v>1494768</x:v>
      </x:c>
      <x:c r="G306" s="74" t="s">
        <x:v>109</x:v>
      </x:c>
      <x:c r="H306" s="72" t="s">
        <x:v>110</x:v>
      </x:c>
      <x:c r="I306" s="86"/>
      <x:c r="J306" s="75">
        <x:f>+Puantaj!C310</x:f>
      </x:c>
      <x:c r="K306" s="72">
        <x:f>+Puantaj!D310</x:f>
      </x:c>
      <x:c r="L306" s="72">
        <x:f>+Puantaj!E310</x:f>
      </x:c>
      <x:c r="M306" s="265">
        <x:f>+BORDRO!F310</x:f>
      </x:c>
      <x:c r="N306" s="72"/>
      <x:c r="O306" s="87">
        <x:f>+BORDRO!G310</x:f>
      </x:c>
      <x:c r="P306" s="87">
        <x:v>0</x:v>
      </x:c>
      <x:c r="Q306" s="267"/>
      <x:c r="R306" s="267"/>
      <x:c r="S306" s="78"/>
      <x:c r="T306" s="78"/>
      <x:c r="U306" s="79"/>
      <x:c r="V306" s="268">
        <x:f>31-M306-Q306</x:f>
      </x:c>
      <x:c r="W306" s="269">
        <x:v>6</x:v>
      </x:c>
      <x:c r="X306" s="270" t="s">
        <x:v>112</x:v>
      </x:c>
      <x:c r="Y306" s="73">
        <x:v>2</x:v>
      </x:c>
      <x:c r="Z306" s="72" t="s">
        <x:v>106</x:v>
      </x:c>
      <x:c r="AA306" s="82" t="s">
        <x:v>111</x:v>
      </x:c>
      <x:c r="AB306" s="72">
        <x:v>2025</x:v>
      </x:c>
      <x:c r="AC306" s="72" t="s">
        <x:v>113</x:v>
      </x:c>
      <x:c r="AD306" s="88">
        <x:f>+BORDRO!J310</x:f>
      </x:c>
      <x:c r="AE306" s="83"/>
      <x:c r="AF306" s="83">
        <x:f>+BORDRO!K310</x:f>
      </x:c>
      <x:c r="AG306" s="83">
        <x:f>+BORDRO!L310</x:f>
      </x:c>
      <x:c r="AH306" s="88">
        <x:f>+BORDRO!M310</x:f>
      </x:c>
      <x:c r="AI306" s="83">
        <x:f>+BORDRO!O310</x:f>
      </x:c>
      <x:c r="AJ306" s="84">
        <x:f>+BORDRO!P310</x:f>
      </x:c>
    </x:row>
    <x:row r="307" spans="1:36" ht="14.25" customHeight="1" x14ac:dyDescent="0.2">
      <x:c r="A307" s="72" t="s">
        <x:v>106</x:v>
      </x:c>
      <x:c r="B307" s="271">
        <x:v>46</x:v>
      </x:c>
      <x:c r="C307" s="72" t="s">
        <x:v>107</x:v>
      </x:c>
      <x:c r="D307" s="72" t="s">
        <x:v>108</x:v>
      </x:c>
      <x:c r="E307" s="72" t="s">
        <x:v>108</x:v>
      </x:c>
      <x:c r="F307" s="73">
        <x:v>1494768</x:v>
      </x:c>
      <x:c r="G307" s="74" t="s">
        <x:v>109</x:v>
      </x:c>
      <x:c r="H307" s="72" t="s">
        <x:v>110</x:v>
      </x:c>
      <x:c r="I307" s="86"/>
      <x:c r="J307" s="75">
        <x:f>+Puantaj!C311</x:f>
      </x:c>
      <x:c r="K307" s="72">
        <x:f>+Puantaj!D311</x:f>
      </x:c>
      <x:c r="L307" s="72">
        <x:f>+Puantaj!E311</x:f>
      </x:c>
      <x:c r="M307" s="265">
        <x:f>+BORDRO!F311</x:f>
      </x:c>
      <x:c r="N307" s="72"/>
      <x:c r="O307" s="87">
        <x:f>+BORDRO!G311</x:f>
      </x:c>
      <x:c r="P307" s="87">
        <x:v>0</x:v>
      </x:c>
      <x:c r="Q307" s="267"/>
      <x:c r="R307" s="267"/>
      <x:c r="S307" s="78"/>
      <x:c r="T307" s="78"/>
      <x:c r="U307" s="79"/>
      <x:c r="V307" s="268">
        <x:f>31-M307-Q307</x:f>
      </x:c>
      <x:c r="W307" s="269">
        <x:v>6</x:v>
      </x:c>
      <x:c r="X307" s="270" t="s">
        <x:v>112</x:v>
      </x:c>
      <x:c r="Y307" s="73">
        <x:v>2</x:v>
      </x:c>
      <x:c r="Z307" s="72" t="s">
        <x:v>106</x:v>
      </x:c>
      <x:c r="AA307" s="82" t="s">
        <x:v>111</x:v>
      </x:c>
      <x:c r="AB307" s="72">
        <x:v>2025</x:v>
      </x:c>
      <x:c r="AC307" s="72" t="s">
        <x:v>113</x:v>
      </x:c>
      <x:c r="AD307" s="88">
        <x:f>+BORDRO!J311</x:f>
      </x:c>
      <x:c r="AE307" s="83"/>
      <x:c r="AF307" s="83">
        <x:f>+BORDRO!K311</x:f>
      </x:c>
      <x:c r="AG307" s="83">
        <x:f>+BORDRO!L311</x:f>
      </x:c>
      <x:c r="AH307" s="88">
        <x:f>+BORDRO!M311</x:f>
      </x:c>
      <x:c r="AI307" s="83">
        <x:f>+BORDRO!O311</x:f>
      </x:c>
      <x:c r="AJ307" s="84">
        <x:f>+BORDRO!P311</x:f>
      </x:c>
    </x:row>
    <x:row r="308" spans="1:36" ht="15" customHeight="1" x14ac:dyDescent="0.25">
      <x:c r="A308" s="72" t="s">
        <x:v>106</x:v>
      </x:c>
      <x:c r="B308" s="264">
        <x:v>46</x:v>
      </x:c>
      <x:c r="C308" s="72" t="s">
        <x:v>107</x:v>
      </x:c>
      <x:c r="D308" s="72" t="s">
        <x:v>108</x:v>
      </x:c>
      <x:c r="E308" s="72" t="s">
        <x:v>108</x:v>
      </x:c>
      <x:c r="F308" s="73">
        <x:v>1494768</x:v>
      </x:c>
      <x:c r="G308" s="74" t="s">
        <x:v>109</x:v>
      </x:c>
      <x:c r="H308" s="72" t="s">
        <x:v>110</x:v>
      </x:c>
      <x:c r="I308" s="86"/>
      <x:c r="J308" s="75">
        <x:f>+Puantaj!C312</x:f>
      </x:c>
      <x:c r="K308" s="72">
        <x:f>+Puantaj!D312</x:f>
      </x:c>
      <x:c r="L308" s="72">
        <x:f>+Puantaj!E312</x:f>
      </x:c>
      <x:c r="M308" s="265">
        <x:f>+BORDRO!F312</x:f>
      </x:c>
      <x:c r="N308" s="72"/>
      <x:c r="O308" s="87">
        <x:f>+BORDRO!G312</x:f>
      </x:c>
      <x:c r="P308" s="87">
        <x:v>0</x:v>
      </x:c>
      <x:c r="Q308" s="267"/>
      <x:c r="R308" s="267"/>
      <x:c r="S308" s="78"/>
      <x:c r="T308" s="78"/>
      <x:c r="U308" s="79"/>
      <x:c r="V308" s="268">
        <x:f>31-M308-Q308</x:f>
      </x:c>
      <x:c r="W308" s="269">
        <x:v>6</x:v>
      </x:c>
      <x:c r="X308" s="270" t="s">
        <x:v>112</x:v>
      </x:c>
      <x:c r="Y308" s="73">
        <x:v>2</x:v>
      </x:c>
      <x:c r="Z308" s="72" t="s">
        <x:v>106</x:v>
      </x:c>
      <x:c r="AA308" s="82" t="s">
        <x:v>111</x:v>
      </x:c>
      <x:c r="AB308" s="72">
        <x:v>2025</x:v>
      </x:c>
      <x:c r="AC308" s="72" t="s">
        <x:v>113</x:v>
      </x:c>
      <x:c r="AD308" s="88">
        <x:f>+BORDRO!J312</x:f>
      </x:c>
      <x:c r="AE308" s="83"/>
      <x:c r="AF308" s="83">
        <x:f>+BORDRO!K312</x:f>
      </x:c>
      <x:c r="AG308" s="83">
        <x:f>+BORDRO!L312</x:f>
      </x:c>
      <x:c r="AH308" s="88">
        <x:f>+BORDRO!M312</x:f>
      </x:c>
      <x:c r="AI308" s="83">
        <x:f>+BORDRO!O312</x:f>
      </x:c>
      <x:c r="AJ308" s="84">
        <x:f>+BORDRO!P312</x:f>
      </x:c>
    </x:row>
    <x:row r="309" spans="1:36" ht="14.25" customHeight="1" x14ac:dyDescent="0.2">
      <x:c r="A309" s="72" t="s">
        <x:v>106</x:v>
      </x:c>
      <x:c r="B309" s="271">
        <x:v>46</x:v>
      </x:c>
      <x:c r="C309" s="72" t="s">
        <x:v>107</x:v>
      </x:c>
      <x:c r="D309" s="72" t="s">
        <x:v>108</x:v>
      </x:c>
      <x:c r="E309" s="72" t="s">
        <x:v>108</x:v>
      </x:c>
      <x:c r="F309" s="73">
        <x:v>1494768</x:v>
      </x:c>
      <x:c r="G309" s="74" t="s">
        <x:v>109</x:v>
      </x:c>
      <x:c r="H309" s="72" t="s">
        <x:v>110</x:v>
      </x:c>
      <x:c r="I309" s="86"/>
      <x:c r="J309" s="75">
        <x:f>+Puantaj!C313</x:f>
      </x:c>
      <x:c r="K309" s="72">
        <x:f>+Puantaj!D313</x:f>
      </x:c>
      <x:c r="L309" s="72">
        <x:f>+Puantaj!E313</x:f>
      </x:c>
      <x:c r="M309" s="265">
        <x:f>+BORDRO!F313</x:f>
      </x:c>
      <x:c r="N309" s="72"/>
      <x:c r="O309" s="87">
        <x:f>+BORDRO!G313</x:f>
      </x:c>
      <x:c r="P309" s="87">
        <x:v>0</x:v>
      </x:c>
      <x:c r="Q309" s="267"/>
      <x:c r="R309" s="267"/>
      <x:c r="S309" s="78"/>
      <x:c r="T309" s="78"/>
      <x:c r="U309" s="79"/>
      <x:c r="V309" s="268">
        <x:f>31-M309-Q309</x:f>
      </x:c>
      <x:c r="W309" s="269">
        <x:v>6</x:v>
      </x:c>
      <x:c r="X309" s="270" t="s">
        <x:v>112</x:v>
      </x:c>
      <x:c r="Y309" s="73">
        <x:v>2</x:v>
      </x:c>
      <x:c r="Z309" s="72" t="s">
        <x:v>106</x:v>
      </x:c>
      <x:c r="AA309" s="82" t="s">
        <x:v>111</x:v>
      </x:c>
      <x:c r="AB309" s="72">
        <x:v>2025</x:v>
      </x:c>
      <x:c r="AC309" s="72" t="s">
        <x:v>113</x:v>
      </x:c>
      <x:c r="AD309" s="88">
        <x:f>+BORDRO!J313</x:f>
      </x:c>
      <x:c r="AE309" s="83"/>
      <x:c r="AF309" s="83">
        <x:f>+BORDRO!K313</x:f>
      </x:c>
      <x:c r="AG309" s="83">
        <x:f>+BORDRO!L313</x:f>
      </x:c>
      <x:c r="AH309" s="88">
        <x:f>+BORDRO!M313</x:f>
      </x:c>
      <x:c r="AI309" s="83">
        <x:f>+BORDRO!O313</x:f>
      </x:c>
      <x:c r="AJ309" s="84">
        <x:f>+BORDRO!P313</x:f>
      </x:c>
    </x:row>
    <x:row r="310" spans="1:36" ht="15" customHeight="1" x14ac:dyDescent="0.25">
      <x:c r="A310" s="72" t="s">
        <x:v>106</x:v>
      </x:c>
      <x:c r="B310" s="264">
        <x:v>46</x:v>
      </x:c>
      <x:c r="C310" s="72" t="s">
        <x:v>107</x:v>
      </x:c>
      <x:c r="D310" s="72" t="s">
        <x:v>108</x:v>
      </x:c>
      <x:c r="E310" s="72" t="s">
        <x:v>108</x:v>
      </x:c>
      <x:c r="F310" s="73">
        <x:v>1494768</x:v>
      </x:c>
      <x:c r="G310" s="74" t="s">
        <x:v>109</x:v>
      </x:c>
      <x:c r="H310" s="72" t="s">
        <x:v>110</x:v>
      </x:c>
      <x:c r="I310" s="86"/>
      <x:c r="J310" s="75">
        <x:f>+Puantaj!C314</x:f>
      </x:c>
      <x:c r="K310" s="72">
        <x:f>+Puantaj!D314</x:f>
      </x:c>
      <x:c r="L310" s="72">
        <x:f>+Puantaj!E314</x:f>
      </x:c>
      <x:c r="M310" s="265">
        <x:f>+BORDRO!F314</x:f>
      </x:c>
      <x:c r="N310" s="72"/>
      <x:c r="O310" s="87">
        <x:f>+BORDRO!G314</x:f>
      </x:c>
      <x:c r="P310" s="87">
        <x:v>0</x:v>
      </x:c>
      <x:c r="Q310" s="267"/>
      <x:c r="R310" s="267"/>
      <x:c r="S310" s="78"/>
      <x:c r="T310" s="78"/>
      <x:c r="U310" s="79"/>
      <x:c r="V310" s="268">
        <x:f>31-M310-Q310</x:f>
      </x:c>
      <x:c r="W310" s="269">
        <x:v>6</x:v>
      </x:c>
      <x:c r="X310" s="270" t="s">
        <x:v>112</x:v>
      </x:c>
      <x:c r="Y310" s="73">
        <x:v>2</x:v>
      </x:c>
      <x:c r="Z310" s="72" t="s">
        <x:v>106</x:v>
      </x:c>
      <x:c r="AA310" s="82" t="s">
        <x:v>111</x:v>
      </x:c>
      <x:c r="AB310" s="72">
        <x:v>2025</x:v>
      </x:c>
      <x:c r="AC310" s="72" t="s">
        <x:v>113</x:v>
      </x:c>
      <x:c r="AD310" s="88">
        <x:f>+BORDRO!J314</x:f>
      </x:c>
      <x:c r="AE310" s="83"/>
      <x:c r="AF310" s="83">
        <x:f>+BORDRO!K314</x:f>
      </x:c>
      <x:c r="AG310" s="83">
        <x:f>+BORDRO!L314</x:f>
      </x:c>
      <x:c r="AH310" s="88">
        <x:f>+BORDRO!M314</x:f>
      </x:c>
      <x:c r="AI310" s="83">
        <x:f>+BORDRO!O314</x:f>
      </x:c>
      <x:c r="AJ310" s="84">
        <x:f>+BORDRO!P314</x:f>
      </x:c>
    </x:row>
    <x:row r="311" spans="1:36" ht="14.25" customHeight="1" x14ac:dyDescent="0.2">
      <x:c r="A311" s="72" t="s">
        <x:v>106</x:v>
      </x:c>
      <x:c r="B311" s="271">
        <x:v>46</x:v>
      </x:c>
      <x:c r="C311" s="72" t="s">
        <x:v>107</x:v>
      </x:c>
      <x:c r="D311" s="72" t="s">
        <x:v>108</x:v>
      </x:c>
      <x:c r="E311" s="72" t="s">
        <x:v>108</x:v>
      </x:c>
      <x:c r="F311" s="73">
        <x:v>1494768</x:v>
      </x:c>
      <x:c r="G311" s="74" t="s">
        <x:v>109</x:v>
      </x:c>
      <x:c r="H311" s="72" t="s">
        <x:v>110</x:v>
      </x:c>
      <x:c r="I311" s="86"/>
      <x:c r="J311" s="75">
        <x:f>+Puantaj!C315</x:f>
      </x:c>
      <x:c r="K311" s="72">
        <x:f>+Puantaj!D315</x:f>
      </x:c>
      <x:c r="L311" s="72">
        <x:f>+Puantaj!E315</x:f>
      </x:c>
      <x:c r="M311" s="265">
        <x:f>+BORDRO!F315</x:f>
      </x:c>
      <x:c r="N311" s="72"/>
      <x:c r="O311" s="87">
        <x:f>+BORDRO!G315</x:f>
      </x:c>
      <x:c r="P311" s="87">
        <x:v>0</x:v>
      </x:c>
      <x:c r="Q311" s="267"/>
      <x:c r="R311" s="267"/>
      <x:c r="S311" s="78"/>
      <x:c r="T311" s="78"/>
      <x:c r="U311" s="79"/>
      <x:c r="V311" s="268">
        <x:f>31-M311-Q311</x:f>
      </x:c>
      <x:c r="W311" s="269">
        <x:v>6</x:v>
      </x:c>
      <x:c r="X311" s="270" t="s">
        <x:v>112</x:v>
      </x:c>
      <x:c r="Y311" s="73">
        <x:v>2</x:v>
      </x:c>
      <x:c r="Z311" s="72" t="s">
        <x:v>106</x:v>
      </x:c>
      <x:c r="AA311" s="82" t="s">
        <x:v>111</x:v>
      </x:c>
      <x:c r="AB311" s="72">
        <x:v>2025</x:v>
      </x:c>
      <x:c r="AC311" s="72" t="s">
        <x:v>113</x:v>
      </x:c>
      <x:c r="AD311" s="88">
        <x:f>+BORDRO!J315</x:f>
      </x:c>
      <x:c r="AE311" s="83"/>
      <x:c r="AF311" s="83">
        <x:f>+BORDRO!K315</x:f>
      </x:c>
      <x:c r="AG311" s="83">
        <x:f>+BORDRO!L315</x:f>
      </x:c>
      <x:c r="AH311" s="88">
        <x:f>+BORDRO!M315</x:f>
      </x:c>
      <x:c r="AI311" s="83">
        <x:f>+BORDRO!O315</x:f>
      </x:c>
      <x:c r="AJ311" s="84">
        <x:f>+BORDRO!P315</x:f>
      </x:c>
    </x:row>
    <x:row r="312" spans="1:36" ht="15" customHeight="1" x14ac:dyDescent="0.25">
      <x:c r="A312" s="72" t="s">
        <x:v>106</x:v>
      </x:c>
      <x:c r="B312" s="264">
        <x:v>46</x:v>
      </x:c>
      <x:c r="C312" s="72" t="s">
        <x:v>107</x:v>
      </x:c>
      <x:c r="D312" s="72" t="s">
        <x:v>108</x:v>
      </x:c>
      <x:c r="E312" s="72" t="s">
        <x:v>108</x:v>
      </x:c>
      <x:c r="F312" s="73">
        <x:v>1494768</x:v>
      </x:c>
      <x:c r="G312" s="74" t="s">
        <x:v>109</x:v>
      </x:c>
      <x:c r="H312" s="72" t="s">
        <x:v>110</x:v>
      </x:c>
      <x:c r="I312" s="86"/>
      <x:c r="J312" s="75">
        <x:f>+Puantaj!C316</x:f>
      </x:c>
      <x:c r="K312" s="72">
        <x:f>+Puantaj!D316</x:f>
      </x:c>
      <x:c r="L312" s="72">
        <x:f>+Puantaj!E316</x:f>
      </x:c>
      <x:c r="M312" s="265">
        <x:f>+BORDRO!F316</x:f>
      </x:c>
      <x:c r="N312" s="72"/>
      <x:c r="O312" s="87">
        <x:f>+BORDRO!G316</x:f>
      </x:c>
      <x:c r="P312" s="87">
        <x:v>0</x:v>
      </x:c>
      <x:c r="Q312" s="267"/>
      <x:c r="R312" s="267"/>
      <x:c r="S312" s="78"/>
      <x:c r="T312" s="78"/>
      <x:c r="U312" s="79"/>
      <x:c r="V312" s="268">
        <x:f>31-M312-Q312</x:f>
      </x:c>
      <x:c r="W312" s="269">
        <x:v>6</x:v>
      </x:c>
      <x:c r="X312" s="270" t="s">
        <x:v>112</x:v>
      </x:c>
      <x:c r="Y312" s="73">
        <x:v>2</x:v>
      </x:c>
      <x:c r="Z312" s="72" t="s">
        <x:v>106</x:v>
      </x:c>
      <x:c r="AA312" s="82" t="s">
        <x:v>111</x:v>
      </x:c>
      <x:c r="AB312" s="72">
        <x:v>2025</x:v>
      </x:c>
      <x:c r="AC312" s="72" t="s">
        <x:v>113</x:v>
      </x:c>
      <x:c r="AD312" s="88">
        <x:f>+BORDRO!J316</x:f>
      </x:c>
      <x:c r="AE312" s="83"/>
      <x:c r="AF312" s="83">
        <x:f>+BORDRO!K316</x:f>
      </x:c>
      <x:c r="AG312" s="83">
        <x:f>+BORDRO!L316</x:f>
      </x:c>
      <x:c r="AH312" s="88">
        <x:f>+BORDRO!M316</x:f>
      </x:c>
      <x:c r="AI312" s="83">
        <x:f>+BORDRO!O316</x:f>
      </x:c>
      <x:c r="AJ312" s="84">
        <x:f>+BORDRO!P316</x:f>
      </x:c>
    </x:row>
    <x:row r="313" spans="1:36" ht="14.25" customHeight="1" x14ac:dyDescent="0.2">
      <x:c r="A313" s="72" t="s">
        <x:v>106</x:v>
      </x:c>
      <x:c r="B313" s="271">
        <x:v>46</x:v>
      </x:c>
      <x:c r="C313" s="72" t="s">
        <x:v>107</x:v>
      </x:c>
      <x:c r="D313" s="72" t="s">
        <x:v>108</x:v>
      </x:c>
      <x:c r="E313" s="72" t="s">
        <x:v>108</x:v>
      </x:c>
      <x:c r="F313" s="73">
        <x:v>1494768</x:v>
      </x:c>
      <x:c r="G313" s="74" t="s">
        <x:v>109</x:v>
      </x:c>
      <x:c r="H313" s="72" t="s">
        <x:v>110</x:v>
      </x:c>
      <x:c r="I313" s="86"/>
      <x:c r="J313" s="75">
        <x:f>+Puantaj!C317</x:f>
      </x:c>
      <x:c r="K313" s="72">
        <x:f>+Puantaj!D317</x:f>
      </x:c>
      <x:c r="L313" s="72">
        <x:f>+Puantaj!E317</x:f>
      </x:c>
      <x:c r="M313" s="265">
        <x:f>+BORDRO!F317</x:f>
      </x:c>
      <x:c r="N313" s="72"/>
      <x:c r="O313" s="87">
        <x:f>+BORDRO!G317</x:f>
      </x:c>
      <x:c r="P313" s="87">
        <x:v>0</x:v>
      </x:c>
      <x:c r="Q313" s="267"/>
      <x:c r="R313" s="267"/>
      <x:c r="S313" s="78"/>
      <x:c r="T313" s="78"/>
      <x:c r="U313" s="79"/>
      <x:c r="V313" s="268">
        <x:f>31-M313-Q313</x:f>
      </x:c>
      <x:c r="W313" s="269">
        <x:v>6</x:v>
      </x:c>
      <x:c r="X313" s="270" t="s">
        <x:v>112</x:v>
      </x:c>
      <x:c r="Y313" s="73">
        <x:v>2</x:v>
      </x:c>
      <x:c r="Z313" s="72" t="s">
        <x:v>106</x:v>
      </x:c>
      <x:c r="AA313" s="82" t="s">
        <x:v>111</x:v>
      </x:c>
      <x:c r="AB313" s="72">
        <x:v>2025</x:v>
      </x:c>
      <x:c r="AC313" s="72" t="s">
        <x:v>113</x:v>
      </x:c>
      <x:c r="AD313" s="88">
        <x:f>+BORDRO!J317</x:f>
      </x:c>
      <x:c r="AE313" s="83"/>
      <x:c r="AF313" s="83">
        <x:f>+BORDRO!K317</x:f>
      </x:c>
      <x:c r="AG313" s="83">
        <x:f>+BORDRO!L317</x:f>
      </x:c>
      <x:c r="AH313" s="88">
        <x:f>+BORDRO!M317</x:f>
      </x:c>
      <x:c r="AI313" s="83">
        <x:f>+BORDRO!O317</x:f>
      </x:c>
      <x:c r="AJ313" s="84">
        <x:f>+BORDRO!P317</x:f>
      </x:c>
    </x:row>
    <x:row r="314" spans="1:36" ht="15" customHeight="1" x14ac:dyDescent="0.25">
      <x:c r="A314" s="72" t="s">
        <x:v>106</x:v>
      </x:c>
      <x:c r="B314" s="264">
        <x:v>46</x:v>
      </x:c>
      <x:c r="C314" s="72" t="s">
        <x:v>107</x:v>
      </x:c>
      <x:c r="D314" s="72" t="s">
        <x:v>108</x:v>
      </x:c>
      <x:c r="E314" s="72" t="s">
        <x:v>108</x:v>
      </x:c>
      <x:c r="F314" s="73">
        <x:v>1494768</x:v>
      </x:c>
      <x:c r="G314" s="74" t="s">
        <x:v>109</x:v>
      </x:c>
      <x:c r="H314" s="72" t="s">
        <x:v>110</x:v>
      </x:c>
      <x:c r="I314" s="86"/>
      <x:c r="J314" s="75">
        <x:f>+Puantaj!C318</x:f>
      </x:c>
      <x:c r="K314" s="72">
        <x:f>+Puantaj!D318</x:f>
      </x:c>
      <x:c r="L314" s="72">
        <x:f>+Puantaj!E318</x:f>
      </x:c>
      <x:c r="M314" s="265">
        <x:f>+BORDRO!F318</x:f>
      </x:c>
      <x:c r="N314" s="72"/>
      <x:c r="O314" s="87">
        <x:f>+BORDRO!G318</x:f>
      </x:c>
      <x:c r="P314" s="87">
        <x:v>0</x:v>
      </x:c>
      <x:c r="Q314" s="267"/>
      <x:c r="R314" s="267"/>
      <x:c r="S314" s="78"/>
      <x:c r="T314" s="78"/>
      <x:c r="U314" s="79"/>
      <x:c r="V314" s="268">
        <x:f>31-M314-Q314</x:f>
      </x:c>
      <x:c r="W314" s="269">
        <x:v>6</x:v>
      </x:c>
      <x:c r="X314" s="270" t="s">
        <x:v>112</x:v>
      </x:c>
      <x:c r="Y314" s="73">
        <x:v>2</x:v>
      </x:c>
      <x:c r="Z314" s="72" t="s">
        <x:v>106</x:v>
      </x:c>
      <x:c r="AA314" s="82" t="s">
        <x:v>111</x:v>
      </x:c>
      <x:c r="AB314" s="72">
        <x:v>2025</x:v>
      </x:c>
      <x:c r="AC314" s="72" t="s">
        <x:v>113</x:v>
      </x:c>
      <x:c r="AD314" s="88">
        <x:f>+BORDRO!J318</x:f>
      </x:c>
      <x:c r="AE314" s="83"/>
      <x:c r="AF314" s="83">
        <x:f>+BORDRO!K318</x:f>
      </x:c>
      <x:c r="AG314" s="83">
        <x:f>+BORDRO!L318</x:f>
      </x:c>
      <x:c r="AH314" s="88">
        <x:f>+BORDRO!M318</x:f>
      </x:c>
      <x:c r="AI314" s="83">
        <x:f>+BORDRO!O318</x:f>
      </x:c>
      <x:c r="AJ314" s="84">
        <x:f>+BORDRO!P318</x:f>
      </x:c>
    </x:row>
    <x:row r="315" spans="1:36" ht="14.25" customHeight="1" x14ac:dyDescent="0.2">
      <x:c r="A315" s="72" t="s">
        <x:v>106</x:v>
      </x:c>
      <x:c r="B315" s="271">
        <x:v>46</x:v>
      </x:c>
      <x:c r="C315" s="72" t="s">
        <x:v>107</x:v>
      </x:c>
      <x:c r="D315" s="72" t="s">
        <x:v>108</x:v>
      </x:c>
      <x:c r="E315" s="72" t="s">
        <x:v>108</x:v>
      </x:c>
      <x:c r="F315" s="73">
        <x:v>1494768</x:v>
      </x:c>
      <x:c r="G315" s="74" t="s">
        <x:v>109</x:v>
      </x:c>
      <x:c r="H315" s="72" t="s">
        <x:v>110</x:v>
      </x:c>
      <x:c r="I315" s="86"/>
      <x:c r="J315" s="75">
        <x:f>+Puantaj!C319</x:f>
      </x:c>
      <x:c r="K315" s="72">
        <x:f>+Puantaj!D319</x:f>
      </x:c>
      <x:c r="L315" s="72">
        <x:f>+Puantaj!E319</x:f>
      </x:c>
      <x:c r="M315" s="265">
        <x:f>+BORDRO!F319</x:f>
      </x:c>
      <x:c r="N315" s="72"/>
      <x:c r="O315" s="87">
        <x:f>+BORDRO!G319</x:f>
      </x:c>
      <x:c r="P315" s="87">
        <x:v>0</x:v>
      </x:c>
      <x:c r="Q315" s="267"/>
      <x:c r="R315" s="267"/>
      <x:c r="S315" s="78"/>
      <x:c r="T315" s="78"/>
      <x:c r="U315" s="79"/>
      <x:c r="V315" s="268">
        <x:f>31-M315-Q315</x:f>
      </x:c>
      <x:c r="W315" s="269">
        <x:v>6</x:v>
      </x:c>
      <x:c r="X315" s="270" t="s">
        <x:v>112</x:v>
      </x:c>
      <x:c r="Y315" s="73">
        <x:v>2</x:v>
      </x:c>
      <x:c r="Z315" s="72" t="s">
        <x:v>106</x:v>
      </x:c>
      <x:c r="AA315" s="82" t="s">
        <x:v>111</x:v>
      </x:c>
      <x:c r="AB315" s="72">
        <x:v>2025</x:v>
      </x:c>
      <x:c r="AC315" s="72" t="s">
        <x:v>113</x:v>
      </x:c>
      <x:c r="AD315" s="88">
        <x:f>+BORDRO!J319</x:f>
      </x:c>
      <x:c r="AE315" s="83"/>
      <x:c r="AF315" s="83">
        <x:f>+BORDRO!K319</x:f>
      </x:c>
      <x:c r="AG315" s="83">
        <x:f>+BORDRO!L319</x:f>
      </x:c>
      <x:c r="AH315" s="88">
        <x:f>+BORDRO!M319</x:f>
      </x:c>
      <x:c r="AI315" s="83">
        <x:f>+BORDRO!O319</x:f>
      </x:c>
      <x:c r="AJ315" s="84">
        <x:f>+BORDRO!P319</x:f>
      </x:c>
    </x:row>
    <x:row r="316" spans="1:36" ht="15" customHeight="1" x14ac:dyDescent="0.25">
      <x:c r="A316" s="72" t="s">
        <x:v>106</x:v>
      </x:c>
      <x:c r="B316" s="264">
        <x:v>46</x:v>
      </x:c>
      <x:c r="C316" s="72" t="s">
        <x:v>107</x:v>
      </x:c>
      <x:c r="D316" s="72" t="s">
        <x:v>108</x:v>
      </x:c>
      <x:c r="E316" s="72" t="s">
        <x:v>108</x:v>
      </x:c>
      <x:c r="F316" s="73">
        <x:v>1494768</x:v>
      </x:c>
      <x:c r="G316" s="74" t="s">
        <x:v>109</x:v>
      </x:c>
      <x:c r="H316" s="72" t="s">
        <x:v>110</x:v>
      </x:c>
      <x:c r="I316" s="86"/>
      <x:c r="J316" s="75">
        <x:f>+Puantaj!C320</x:f>
      </x:c>
      <x:c r="K316" s="72">
        <x:f>+Puantaj!D320</x:f>
      </x:c>
      <x:c r="L316" s="72">
        <x:f>+Puantaj!E320</x:f>
      </x:c>
      <x:c r="M316" s="265">
        <x:f>+BORDRO!F320</x:f>
      </x:c>
      <x:c r="N316" s="72"/>
      <x:c r="O316" s="87">
        <x:f>+BORDRO!G320</x:f>
      </x:c>
      <x:c r="P316" s="87">
        <x:v>0</x:v>
      </x:c>
      <x:c r="Q316" s="267"/>
      <x:c r="R316" s="267"/>
      <x:c r="S316" s="78"/>
      <x:c r="T316" s="78"/>
      <x:c r="U316" s="79"/>
      <x:c r="V316" s="268">
        <x:f>31-M316-Q316</x:f>
      </x:c>
      <x:c r="W316" s="269">
        <x:v>6</x:v>
      </x:c>
      <x:c r="X316" s="270" t="s">
        <x:v>112</x:v>
      </x:c>
      <x:c r="Y316" s="73">
        <x:v>2</x:v>
      </x:c>
      <x:c r="Z316" s="72" t="s">
        <x:v>106</x:v>
      </x:c>
      <x:c r="AA316" s="82" t="s">
        <x:v>111</x:v>
      </x:c>
      <x:c r="AB316" s="72">
        <x:v>2025</x:v>
      </x:c>
      <x:c r="AC316" s="72" t="s">
        <x:v>113</x:v>
      </x:c>
      <x:c r="AD316" s="88">
        <x:f>+BORDRO!J320</x:f>
      </x:c>
      <x:c r="AE316" s="83"/>
      <x:c r="AF316" s="83">
        <x:f>+BORDRO!K320</x:f>
      </x:c>
      <x:c r="AG316" s="83">
        <x:f>+BORDRO!L320</x:f>
      </x:c>
      <x:c r="AH316" s="88">
        <x:f>+BORDRO!M320</x:f>
      </x:c>
      <x:c r="AI316" s="83">
        <x:f>+BORDRO!O320</x:f>
      </x:c>
      <x:c r="AJ316" s="84">
        <x:f>+BORDRO!P320</x:f>
      </x:c>
    </x:row>
    <x:row r="317" spans="1:36" ht="14.25" customHeight="1" x14ac:dyDescent="0.2">
      <x:c r="A317" s="72" t="s">
        <x:v>106</x:v>
      </x:c>
      <x:c r="B317" s="271">
        <x:v>46</x:v>
      </x:c>
      <x:c r="C317" s="72" t="s">
        <x:v>107</x:v>
      </x:c>
      <x:c r="D317" s="72" t="s">
        <x:v>108</x:v>
      </x:c>
      <x:c r="E317" s="72" t="s">
        <x:v>108</x:v>
      </x:c>
      <x:c r="F317" s="73">
        <x:v>1494768</x:v>
      </x:c>
      <x:c r="G317" s="74" t="s">
        <x:v>109</x:v>
      </x:c>
      <x:c r="H317" s="72" t="s">
        <x:v>110</x:v>
      </x:c>
      <x:c r="I317" s="86"/>
      <x:c r="J317" s="75">
        <x:f>+Puantaj!C321</x:f>
      </x:c>
      <x:c r="K317" s="72">
        <x:f>+Puantaj!D321</x:f>
      </x:c>
      <x:c r="L317" s="72">
        <x:f>+Puantaj!E321</x:f>
      </x:c>
      <x:c r="M317" s="265">
        <x:f>+BORDRO!F321</x:f>
      </x:c>
      <x:c r="N317" s="72"/>
      <x:c r="O317" s="87">
        <x:f>+BORDRO!G321</x:f>
      </x:c>
      <x:c r="P317" s="87">
        <x:v>0</x:v>
      </x:c>
      <x:c r="Q317" s="267"/>
      <x:c r="R317" s="267"/>
      <x:c r="S317" s="78"/>
      <x:c r="T317" s="78"/>
      <x:c r="U317" s="79"/>
      <x:c r="V317" s="268">
        <x:f>31-M317-Q317</x:f>
      </x:c>
      <x:c r="W317" s="269">
        <x:v>6</x:v>
      </x:c>
      <x:c r="X317" s="270" t="s">
        <x:v>112</x:v>
      </x:c>
      <x:c r="Y317" s="73">
        <x:v>2</x:v>
      </x:c>
      <x:c r="Z317" s="72" t="s">
        <x:v>106</x:v>
      </x:c>
      <x:c r="AA317" s="82" t="s">
        <x:v>111</x:v>
      </x:c>
      <x:c r="AB317" s="72">
        <x:v>2025</x:v>
      </x:c>
      <x:c r="AC317" s="72" t="s">
        <x:v>113</x:v>
      </x:c>
      <x:c r="AD317" s="88">
        <x:f>+BORDRO!J321</x:f>
      </x:c>
      <x:c r="AE317" s="83"/>
      <x:c r="AF317" s="83">
        <x:f>+BORDRO!K321</x:f>
      </x:c>
      <x:c r="AG317" s="83">
        <x:f>+BORDRO!L321</x:f>
      </x:c>
      <x:c r="AH317" s="88">
        <x:f>+BORDRO!M321</x:f>
      </x:c>
      <x:c r="AI317" s="83">
        <x:f>+BORDRO!O321</x:f>
      </x:c>
      <x:c r="AJ317" s="84">
        <x:f>+BORDRO!P321</x:f>
      </x:c>
    </x:row>
    <x:row r="318" spans="1:36" ht="15" customHeight="1" x14ac:dyDescent="0.25">
      <x:c r="A318" s="72" t="s">
        <x:v>106</x:v>
      </x:c>
      <x:c r="B318" s="264">
        <x:v>46</x:v>
      </x:c>
      <x:c r="C318" s="72" t="s">
        <x:v>107</x:v>
      </x:c>
      <x:c r="D318" s="72" t="s">
        <x:v>108</x:v>
      </x:c>
      <x:c r="E318" s="72" t="s">
        <x:v>108</x:v>
      </x:c>
      <x:c r="F318" s="73">
        <x:v>1494768</x:v>
      </x:c>
      <x:c r="G318" s="74" t="s">
        <x:v>109</x:v>
      </x:c>
      <x:c r="H318" s="72" t="s">
        <x:v>110</x:v>
      </x:c>
      <x:c r="I318" s="86"/>
      <x:c r="J318" s="75">
        <x:f>+Puantaj!C322</x:f>
      </x:c>
      <x:c r="K318" s="72">
        <x:f>+Puantaj!D322</x:f>
      </x:c>
      <x:c r="L318" s="72">
        <x:f>+Puantaj!E322</x:f>
      </x:c>
      <x:c r="M318" s="265">
        <x:f>+BORDRO!F322</x:f>
      </x:c>
      <x:c r="N318" s="72"/>
      <x:c r="O318" s="87">
        <x:f>+BORDRO!G322</x:f>
      </x:c>
      <x:c r="P318" s="87">
        <x:v>0</x:v>
      </x:c>
      <x:c r="Q318" s="267"/>
      <x:c r="R318" s="267"/>
      <x:c r="S318" s="78"/>
      <x:c r="T318" s="78"/>
      <x:c r="U318" s="79"/>
      <x:c r="V318" s="268">
        <x:f>31-M318-Q318</x:f>
      </x:c>
      <x:c r="W318" s="269">
        <x:v>6</x:v>
      </x:c>
      <x:c r="X318" s="270" t="s">
        <x:v>112</x:v>
      </x:c>
      <x:c r="Y318" s="73">
        <x:v>2</x:v>
      </x:c>
      <x:c r="Z318" s="72" t="s">
        <x:v>106</x:v>
      </x:c>
      <x:c r="AA318" s="82" t="s">
        <x:v>111</x:v>
      </x:c>
      <x:c r="AB318" s="72">
        <x:v>2025</x:v>
      </x:c>
      <x:c r="AC318" s="72" t="s">
        <x:v>113</x:v>
      </x:c>
      <x:c r="AD318" s="88">
        <x:f>+BORDRO!J322</x:f>
      </x:c>
      <x:c r="AE318" s="83"/>
      <x:c r="AF318" s="83">
        <x:f>+BORDRO!K322</x:f>
      </x:c>
      <x:c r="AG318" s="83">
        <x:f>+BORDRO!L322</x:f>
      </x:c>
      <x:c r="AH318" s="88">
        <x:f>+BORDRO!M322</x:f>
      </x:c>
      <x:c r="AI318" s="83">
        <x:f>+BORDRO!O322</x:f>
      </x:c>
      <x:c r="AJ318" s="84">
        <x:f>+BORDRO!P322</x:f>
      </x:c>
    </x:row>
    <x:row r="319" spans="1:36" ht="14.25" customHeight="1" x14ac:dyDescent="0.2">
      <x:c r="A319" s="72" t="s">
        <x:v>106</x:v>
      </x:c>
      <x:c r="B319" s="271">
        <x:v>46</x:v>
      </x:c>
      <x:c r="C319" s="72" t="s">
        <x:v>107</x:v>
      </x:c>
      <x:c r="D319" s="72" t="s">
        <x:v>108</x:v>
      </x:c>
      <x:c r="E319" s="72" t="s">
        <x:v>108</x:v>
      </x:c>
      <x:c r="F319" s="73">
        <x:v>1494768</x:v>
      </x:c>
      <x:c r="G319" s="74" t="s">
        <x:v>109</x:v>
      </x:c>
      <x:c r="H319" s="72" t="s">
        <x:v>110</x:v>
      </x:c>
      <x:c r="I319" s="86"/>
      <x:c r="J319" s="75">
        <x:f>+Puantaj!C323</x:f>
      </x:c>
      <x:c r="K319" s="72">
        <x:f>+Puantaj!D323</x:f>
      </x:c>
      <x:c r="L319" s="72">
        <x:f>+Puantaj!E323</x:f>
      </x:c>
      <x:c r="M319" s="265">
        <x:f>+BORDRO!F323</x:f>
      </x:c>
      <x:c r="N319" s="72"/>
      <x:c r="O319" s="87">
        <x:f>+BORDRO!G323</x:f>
      </x:c>
      <x:c r="P319" s="87">
        <x:v>0</x:v>
      </x:c>
      <x:c r="Q319" s="267"/>
      <x:c r="R319" s="267"/>
      <x:c r="S319" s="78"/>
      <x:c r="T319" s="78"/>
      <x:c r="U319" s="79"/>
      <x:c r="V319" s="268">
        <x:f>31-M319-Q319</x:f>
      </x:c>
      <x:c r="W319" s="269">
        <x:v>6</x:v>
      </x:c>
      <x:c r="X319" s="270" t="s">
        <x:v>112</x:v>
      </x:c>
      <x:c r="Y319" s="73">
        <x:v>2</x:v>
      </x:c>
      <x:c r="Z319" s="72" t="s">
        <x:v>106</x:v>
      </x:c>
      <x:c r="AA319" s="82" t="s">
        <x:v>111</x:v>
      </x:c>
      <x:c r="AB319" s="72">
        <x:v>2025</x:v>
      </x:c>
      <x:c r="AC319" s="72" t="s">
        <x:v>113</x:v>
      </x:c>
      <x:c r="AD319" s="88">
        <x:f>+BORDRO!J323</x:f>
      </x:c>
      <x:c r="AE319" s="83"/>
      <x:c r="AF319" s="83">
        <x:f>+BORDRO!K323</x:f>
      </x:c>
      <x:c r="AG319" s="83">
        <x:f>+BORDRO!L323</x:f>
      </x:c>
      <x:c r="AH319" s="88">
        <x:f>+BORDRO!M323</x:f>
      </x:c>
      <x:c r="AI319" s="83">
        <x:f>+BORDRO!O323</x:f>
      </x:c>
      <x:c r="AJ319" s="84">
        <x:f>+BORDRO!P323</x:f>
      </x:c>
    </x:row>
    <x:row r="320" spans="1:36" ht="15" customHeight="1" x14ac:dyDescent="0.25">
      <x:c r="A320" s="72" t="s">
        <x:v>106</x:v>
      </x:c>
      <x:c r="B320" s="264">
        <x:v>46</x:v>
      </x:c>
      <x:c r="C320" s="72" t="s">
        <x:v>107</x:v>
      </x:c>
      <x:c r="D320" s="72" t="s">
        <x:v>108</x:v>
      </x:c>
      <x:c r="E320" s="72" t="s">
        <x:v>108</x:v>
      </x:c>
      <x:c r="F320" s="73">
        <x:v>1494768</x:v>
      </x:c>
      <x:c r="G320" s="74" t="s">
        <x:v>109</x:v>
      </x:c>
      <x:c r="H320" s="72" t="s">
        <x:v>110</x:v>
      </x:c>
      <x:c r="I320" s="86"/>
      <x:c r="J320" s="75">
        <x:f>+Puantaj!C324</x:f>
      </x:c>
      <x:c r="K320" s="72">
        <x:f>+Puantaj!D324</x:f>
      </x:c>
      <x:c r="L320" s="72">
        <x:f>+Puantaj!E324</x:f>
      </x:c>
      <x:c r="M320" s="265">
        <x:f>+BORDRO!F324</x:f>
      </x:c>
      <x:c r="N320" s="72"/>
      <x:c r="O320" s="87">
        <x:f>+BORDRO!G324</x:f>
      </x:c>
      <x:c r="P320" s="87">
        <x:v>0</x:v>
      </x:c>
      <x:c r="Q320" s="267"/>
      <x:c r="R320" s="267"/>
      <x:c r="S320" s="78"/>
      <x:c r="T320" s="78"/>
      <x:c r="U320" s="79"/>
      <x:c r="V320" s="268">
        <x:f>31-M320-Q320</x:f>
      </x:c>
      <x:c r="W320" s="269">
        <x:v>6</x:v>
      </x:c>
      <x:c r="X320" s="270" t="s">
        <x:v>112</x:v>
      </x:c>
      <x:c r="Y320" s="73">
        <x:v>2</x:v>
      </x:c>
      <x:c r="Z320" s="72" t="s">
        <x:v>106</x:v>
      </x:c>
      <x:c r="AA320" s="82" t="s">
        <x:v>111</x:v>
      </x:c>
      <x:c r="AB320" s="72">
        <x:v>2025</x:v>
      </x:c>
      <x:c r="AC320" s="72" t="s">
        <x:v>113</x:v>
      </x:c>
      <x:c r="AD320" s="88">
        <x:f>+BORDRO!J324</x:f>
      </x:c>
      <x:c r="AE320" s="83"/>
      <x:c r="AF320" s="83">
        <x:f>+BORDRO!K324</x:f>
      </x:c>
      <x:c r="AG320" s="83">
        <x:f>+BORDRO!L324</x:f>
      </x:c>
      <x:c r="AH320" s="88">
        <x:f>+BORDRO!M324</x:f>
      </x:c>
      <x:c r="AI320" s="83">
        <x:f>+BORDRO!O324</x:f>
      </x:c>
      <x:c r="AJ320" s="84">
        <x:f>+BORDRO!P324</x:f>
      </x:c>
    </x:row>
    <x:row r="321" spans="1:36" ht="14.25" customHeight="1" x14ac:dyDescent="0.2">
      <x:c r="A321" s="72" t="s">
        <x:v>106</x:v>
      </x:c>
      <x:c r="B321" s="271">
        <x:v>46</x:v>
      </x:c>
      <x:c r="C321" s="72" t="s">
        <x:v>107</x:v>
      </x:c>
      <x:c r="D321" s="72" t="s">
        <x:v>108</x:v>
      </x:c>
      <x:c r="E321" s="72" t="s">
        <x:v>108</x:v>
      </x:c>
      <x:c r="F321" s="73">
        <x:v>1494768</x:v>
      </x:c>
      <x:c r="G321" s="74" t="s">
        <x:v>109</x:v>
      </x:c>
      <x:c r="H321" s="72" t="s">
        <x:v>110</x:v>
      </x:c>
      <x:c r="I321" s="86"/>
      <x:c r="J321" s="75">
        <x:f>+Puantaj!C325</x:f>
      </x:c>
      <x:c r="K321" s="72">
        <x:f>+Puantaj!D325</x:f>
      </x:c>
      <x:c r="L321" s="72">
        <x:f>+Puantaj!E325</x:f>
      </x:c>
      <x:c r="M321" s="265">
        <x:f>+BORDRO!F325</x:f>
      </x:c>
      <x:c r="N321" s="72"/>
      <x:c r="O321" s="87">
        <x:f>+BORDRO!G325</x:f>
      </x:c>
      <x:c r="P321" s="87">
        <x:v>0</x:v>
      </x:c>
      <x:c r="Q321" s="267"/>
      <x:c r="R321" s="267"/>
      <x:c r="S321" s="78"/>
      <x:c r="T321" s="78"/>
      <x:c r="U321" s="79"/>
      <x:c r="V321" s="268">
        <x:f>31-M321-Q321</x:f>
      </x:c>
      <x:c r="W321" s="269">
        <x:v>6</x:v>
      </x:c>
      <x:c r="X321" s="270" t="s">
        <x:v>112</x:v>
      </x:c>
      <x:c r="Y321" s="73">
        <x:v>2</x:v>
      </x:c>
      <x:c r="Z321" s="72" t="s">
        <x:v>106</x:v>
      </x:c>
      <x:c r="AA321" s="82" t="s">
        <x:v>111</x:v>
      </x:c>
      <x:c r="AB321" s="72">
        <x:v>2025</x:v>
      </x:c>
      <x:c r="AC321" s="72" t="s">
        <x:v>113</x:v>
      </x:c>
      <x:c r="AD321" s="88">
        <x:f>+BORDRO!J325</x:f>
      </x:c>
      <x:c r="AE321" s="83"/>
      <x:c r="AF321" s="83">
        <x:f>+BORDRO!K325</x:f>
      </x:c>
      <x:c r="AG321" s="83">
        <x:f>+BORDRO!L325</x:f>
      </x:c>
      <x:c r="AH321" s="88">
        <x:f>+BORDRO!M325</x:f>
      </x:c>
      <x:c r="AI321" s="83">
        <x:f>+BORDRO!O325</x:f>
      </x:c>
      <x:c r="AJ321" s="84">
        <x:f>+BORDRO!P325</x:f>
      </x:c>
    </x:row>
    <x:row r="322" spans="1:36" ht="15" customHeight="1" x14ac:dyDescent="0.25">
      <x:c r="A322" s="72" t="s">
        <x:v>106</x:v>
      </x:c>
      <x:c r="B322" s="264">
        <x:v>46</x:v>
      </x:c>
      <x:c r="C322" s="72" t="s">
        <x:v>107</x:v>
      </x:c>
      <x:c r="D322" s="72" t="s">
        <x:v>108</x:v>
      </x:c>
      <x:c r="E322" s="72" t="s">
        <x:v>108</x:v>
      </x:c>
      <x:c r="F322" s="73">
        <x:v>1494768</x:v>
      </x:c>
      <x:c r="G322" s="74" t="s">
        <x:v>109</x:v>
      </x:c>
      <x:c r="H322" s="72" t="s">
        <x:v>110</x:v>
      </x:c>
      <x:c r="I322" s="86"/>
      <x:c r="J322" s="75">
        <x:f>+Puantaj!C326</x:f>
      </x:c>
      <x:c r="K322" s="72">
        <x:f>+Puantaj!D326</x:f>
      </x:c>
      <x:c r="L322" s="72">
        <x:f>+Puantaj!E326</x:f>
      </x:c>
      <x:c r="M322" s="265">
        <x:f>+BORDRO!F326</x:f>
      </x:c>
      <x:c r="N322" s="72"/>
      <x:c r="O322" s="87">
        <x:f>+BORDRO!G326</x:f>
      </x:c>
      <x:c r="P322" s="87">
        <x:v>0</x:v>
      </x:c>
      <x:c r="Q322" s="267"/>
      <x:c r="R322" s="267"/>
      <x:c r="S322" s="78"/>
      <x:c r="T322" s="78"/>
      <x:c r="U322" s="79"/>
      <x:c r="V322" s="268">
        <x:f>31-M322-Q322</x:f>
      </x:c>
      <x:c r="W322" s="269">
        <x:v>6</x:v>
      </x:c>
      <x:c r="X322" s="270" t="s">
        <x:v>112</x:v>
      </x:c>
      <x:c r="Y322" s="73">
        <x:v>2</x:v>
      </x:c>
      <x:c r="Z322" s="72" t="s">
        <x:v>106</x:v>
      </x:c>
      <x:c r="AA322" s="82" t="s">
        <x:v>111</x:v>
      </x:c>
      <x:c r="AB322" s="72">
        <x:v>2025</x:v>
      </x:c>
      <x:c r="AC322" s="72" t="s">
        <x:v>113</x:v>
      </x:c>
      <x:c r="AD322" s="88">
        <x:f>+BORDRO!J326</x:f>
      </x:c>
      <x:c r="AE322" s="83"/>
      <x:c r="AF322" s="83">
        <x:f>+BORDRO!K326</x:f>
      </x:c>
      <x:c r="AG322" s="83">
        <x:f>+BORDRO!L326</x:f>
      </x:c>
      <x:c r="AH322" s="88">
        <x:f>+BORDRO!M326</x:f>
      </x:c>
      <x:c r="AI322" s="83">
        <x:f>+BORDRO!O326</x:f>
      </x:c>
      <x:c r="AJ322" s="84">
        <x:f>+BORDRO!P326</x:f>
      </x:c>
    </x:row>
    <x:row r="323" spans="1:36" ht="14.25" customHeight="1" x14ac:dyDescent="0.2">
      <x:c r="A323" s="72" t="s">
        <x:v>106</x:v>
      </x:c>
      <x:c r="B323" s="271">
        <x:v>46</x:v>
      </x:c>
      <x:c r="C323" s="72" t="s">
        <x:v>107</x:v>
      </x:c>
      <x:c r="D323" s="72" t="s">
        <x:v>108</x:v>
      </x:c>
      <x:c r="E323" s="72" t="s">
        <x:v>108</x:v>
      </x:c>
      <x:c r="F323" s="73">
        <x:v>1494768</x:v>
      </x:c>
      <x:c r="G323" s="74" t="s">
        <x:v>109</x:v>
      </x:c>
      <x:c r="H323" s="72" t="s">
        <x:v>110</x:v>
      </x:c>
      <x:c r="I323" s="86"/>
      <x:c r="J323" s="75">
        <x:f>+Puantaj!C327</x:f>
      </x:c>
      <x:c r="K323" s="72">
        <x:f>+Puantaj!D327</x:f>
      </x:c>
      <x:c r="L323" s="72">
        <x:f>+Puantaj!E327</x:f>
      </x:c>
      <x:c r="M323" s="265">
        <x:f>+BORDRO!F327</x:f>
      </x:c>
      <x:c r="N323" s="72"/>
      <x:c r="O323" s="87">
        <x:f>+BORDRO!G327</x:f>
      </x:c>
      <x:c r="P323" s="87">
        <x:v>0</x:v>
      </x:c>
      <x:c r="Q323" s="267"/>
      <x:c r="R323" s="267"/>
      <x:c r="S323" s="78"/>
      <x:c r="T323" s="78"/>
      <x:c r="U323" s="79"/>
      <x:c r="V323" s="268">
        <x:f>31-M323-Q323</x:f>
      </x:c>
      <x:c r="W323" s="269">
        <x:v>6</x:v>
      </x:c>
      <x:c r="X323" s="270" t="s">
        <x:v>112</x:v>
      </x:c>
      <x:c r="Y323" s="73">
        <x:v>2</x:v>
      </x:c>
      <x:c r="Z323" s="72" t="s">
        <x:v>106</x:v>
      </x:c>
      <x:c r="AA323" s="82" t="s">
        <x:v>111</x:v>
      </x:c>
      <x:c r="AB323" s="72">
        <x:v>2025</x:v>
      </x:c>
      <x:c r="AC323" s="72" t="s">
        <x:v>113</x:v>
      </x:c>
      <x:c r="AD323" s="88">
        <x:f>+BORDRO!J327</x:f>
      </x:c>
      <x:c r="AE323" s="83"/>
      <x:c r="AF323" s="83">
        <x:f>+BORDRO!K327</x:f>
      </x:c>
      <x:c r="AG323" s="83">
        <x:f>+BORDRO!L327</x:f>
      </x:c>
      <x:c r="AH323" s="88">
        <x:f>+BORDRO!M327</x:f>
      </x:c>
      <x:c r="AI323" s="83">
        <x:f>+BORDRO!O327</x:f>
      </x:c>
      <x:c r="AJ323" s="84">
        <x:f>+BORDRO!P327</x:f>
      </x:c>
    </x:row>
    <x:row r="324" spans="1:36" ht="15" customHeight="1" x14ac:dyDescent="0.25">
      <x:c r="A324" s="72" t="s">
        <x:v>106</x:v>
      </x:c>
      <x:c r="B324" s="264">
        <x:v>46</x:v>
      </x:c>
      <x:c r="C324" s="72" t="s">
        <x:v>107</x:v>
      </x:c>
      <x:c r="D324" s="72" t="s">
        <x:v>108</x:v>
      </x:c>
      <x:c r="E324" s="72" t="s">
        <x:v>108</x:v>
      </x:c>
      <x:c r="F324" s="73">
        <x:v>1494768</x:v>
      </x:c>
      <x:c r="G324" s="74" t="s">
        <x:v>109</x:v>
      </x:c>
      <x:c r="H324" s="72" t="s">
        <x:v>110</x:v>
      </x:c>
      <x:c r="I324" s="86"/>
      <x:c r="J324" s="75">
        <x:f>+Puantaj!C328</x:f>
      </x:c>
      <x:c r="K324" s="72">
        <x:f>+Puantaj!D328</x:f>
      </x:c>
      <x:c r="L324" s="72">
        <x:f>+Puantaj!E328</x:f>
      </x:c>
      <x:c r="M324" s="265">
        <x:f>+BORDRO!F328</x:f>
      </x:c>
      <x:c r="N324" s="72"/>
      <x:c r="O324" s="87">
        <x:f>+BORDRO!G328</x:f>
      </x:c>
      <x:c r="P324" s="87">
        <x:v>0</x:v>
      </x:c>
      <x:c r="Q324" s="267"/>
      <x:c r="R324" s="267"/>
      <x:c r="S324" s="78"/>
      <x:c r="T324" s="78"/>
      <x:c r="U324" s="79"/>
      <x:c r="V324" s="268">
        <x:f>31-M324-Q324</x:f>
      </x:c>
      <x:c r="W324" s="269">
        <x:v>6</x:v>
      </x:c>
      <x:c r="X324" s="270" t="s">
        <x:v>112</x:v>
      </x:c>
      <x:c r="Y324" s="73">
        <x:v>2</x:v>
      </x:c>
      <x:c r="Z324" s="72" t="s">
        <x:v>106</x:v>
      </x:c>
      <x:c r="AA324" s="82" t="s">
        <x:v>111</x:v>
      </x:c>
      <x:c r="AB324" s="72">
        <x:v>2025</x:v>
      </x:c>
      <x:c r="AC324" s="72" t="s">
        <x:v>113</x:v>
      </x:c>
      <x:c r="AD324" s="88">
        <x:f>+BORDRO!J328</x:f>
      </x:c>
      <x:c r="AE324" s="83"/>
      <x:c r="AF324" s="83">
        <x:f>+BORDRO!K328</x:f>
      </x:c>
      <x:c r="AG324" s="83">
        <x:f>+BORDRO!L328</x:f>
      </x:c>
      <x:c r="AH324" s="88">
        <x:f>+BORDRO!M328</x:f>
      </x:c>
      <x:c r="AI324" s="83">
        <x:f>+BORDRO!O328</x:f>
      </x:c>
      <x:c r="AJ324" s="84">
        <x:f>+BORDRO!P328</x:f>
      </x:c>
    </x:row>
    <x:row r="325" spans="1:36" ht="14.25" customHeight="1" x14ac:dyDescent="0.2">
      <x:c r="A325" s="72" t="s">
        <x:v>106</x:v>
      </x:c>
      <x:c r="B325" s="271">
        <x:v>46</x:v>
      </x:c>
      <x:c r="C325" s="72" t="s">
        <x:v>107</x:v>
      </x:c>
      <x:c r="D325" s="72" t="s">
        <x:v>108</x:v>
      </x:c>
      <x:c r="E325" s="72" t="s">
        <x:v>108</x:v>
      </x:c>
      <x:c r="F325" s="73">
        <x:v>1494768</x:v>
      </x:c>
      <x:c r="G325" s="74" t="s">
        <x:v>109</x:v>
      </x:c>
      <x:c r="H325" s="72" t="s">
        <x:v>110</x:v>
      </x:c>
      <x:c r="I325" s="86"/>
      <x:c r="J325" s="75">
        <x:f>+Puantaj!C329</x:f>
      </x:c>
      <x:c r="K325" s="72">
        <x:f>+Puantaj!D329</x:f>
      </x:c>
      <x:c r="L325" s="72">
        <x:f>+Puantaj!E329</x:f>
      </x:c>
      <x:c r="M325" s="265">
        <x:f>+BORDRO!F329</x:f>
      </x:c>
      <x:c r="N325" s="72"/>
      <x:c r="O325" s="87">
        <x:f>+BORDRO!G329</x:f>
      </x:c>
      <x:c r="P325" s="87">
        <x:v>0</x:v>
      </x:c>
      <x:c r="Q325" s="267"/>
      <x:c r="R325" s="267"/>
      <x:c r="S325" s="78"/>
      <x:c r="T325" s="78"/>
      <x:c r="U325" s="79"/>
      <x:c r="V325" s="268">
        <x:f>31-M325-Q325</x:f>
      </x:c>
      <x:c r="W325" s="269">
        <x:v>6</x:v>
      </x:c>
      <x:c r="X325" s="270" t="s">
        <x:v>112</x:v>
      </x:c>
      <x:c r="Y325" s="73">
        <x:v>2</x:v>
      </x:c>
      <x:c r="Z325" s="72" t="s">
        <x:v>106</x:v>
      </x:c>
      <x:c r="AA325" s="82" t="s">
        <x:v>111</x:v>
      </x:c>
      <x:c r="AB325" s="72">
        <x:v>2025</x:v>
      </x:c>
      <x:c r="AC325" s="72" t="s">
        <x:v>113</x:v>
      </x:c>
      <x:c r="AD325" s="88">
        <x:f>+BORDRO!J329</x:f>
      </x:c>
      <x:c r="AE325" s="83"/>
      <x:c r="AF325" s="83">
        <x:f>+BORDRO!K329</x:f>
      </x:c>
      <x:c r="AG325" s="83">
        <x:f>+BORDRO!L329</x:f>
      </x:c>
      <x:c r="AH325" s="88">
        <x:f>+BORDRO!M329</x:f>
      </x:c>
      <x:c r="AI325" s="83">
        <x:f>+BORDRO!O329</x:f>
      </x:c>
      <x:c r="AJ325" s="84">
        <x:f>+BORDRO!P329</x:f>
      </x:c>
    </x:row>
    <x:row r="326" spans="1:36" ht="15" customHeight="1" x14ac:dyDescent="0.25">
      <x:c r="A326" s="72" t="s">
        <x:v>106</x:v>
      </x:c>
      <x:c r="B326" s="264">
        <x:v>46</x:v>
      </x:c>
      <x:c r="C326" s="72" t="s">
        <x:v>107</x:v>
      </x:c>
      <x:c r="D326" s="72" t="s">
        <x:v>108</x:v>
      </x:c>
      <x:c r="E326" s="72" t="s">
        <x:v>108</x:v>
      </x:c>
      <x:c r="F326" s="73">
        <x:v>1494768</x:v>
      </x:c>
      <x:c r="G326" s="74" t="s">
        <x:v>109</x:v>
      </x:c>
      <x:c r="H326" s="72" t="s">
        <x:v>110</x:v>
      </x:c>
      <x:c r="I326" s="86"/>
      <x:c r="J326" s="75">
        <x:f>+Puantaj!C330</x:f>
      </x:c>
      <x:c r="K326" s="72">
        <x:f>+Puantaj!D330</x:f>
      </x:c>
      <x:c r="L326" s="72">
        <x:f>+Puantaj!E330</x:f>
      </x:c>
      <x:c r="M326" s="265">
        <x:f>+BORDRO!F330</x:f>
      </x:c>
      <x:c r="N326" s="72"/>
      <x:c r="O326" s="87">
        <x:f>+BORDRO!G330</x:f>
      </x:c>
      <x:c r="P326" s="87">
        <x:v>0</x:v>
      </x:c>
      <x:c r="Q326" s="267"/>
      <x:c r="R326" s="267"/>
      <x:c r="S326" s="78"/>
      <x:c r="T326" s="78"/>
      <x:c r="U326" s="79"/>
      <x:c r="V326" s="268">
        <x:f>31-M326-Q326</x:f>
      </x:c>
      <x:c r="W326" s="269">
        <x:v>6</x:v>
      </x:c>
      <x:c r="X326" s="270" t="s">
        <x:v>112</x:v>
      </x:c>
      <x:c r="Y326" s="73">
        <x:v>2</x:v>
      </x:c>
      <x:c r="Z326" s="72" t="s">
        <x:v>106</x:v>
      </x:c>
      <x:c r="AA326" s="82" t="s">
        <x:v>111</x:v>
      </x:c>
      <x:c r="AB326" s="72">
        <x:v>2025</x:v>
      </x:c>
      <x:c r="AC326" s="72" t="s">
        <x:v>113</x:v>
      </x:c>
      <x:c r="AD326" s="88">
        <x:f>+BORDRO!J330</x:f>
      </x:c>
      <x:c r="AE326" s="83"/>
      <x:c r="AF326" s="83">
        <x:f>+BORDRO!K330</x:f>
      </x:c>
      <x:c r="AG326" s="83">
        <x:f>+BORDRO!L330</x:f>
      </x:c>
      <x:c r="AH326" s="88">
        <x:f>+BORDRO!M330</x:f>
      </x:c>
      <x:c r="AI326" s="83">
        <x:f>+BORDRO!O330</x:f>
      </x:c>
      <x:c r="AJ326" s="84">
        <x:f>+BORDRO!P330</x:f>
      </x:c>
    </x:row>
    <x:row r="327" spans="1:36" ht="14.25" customHeight="1" x14ac:dyDescent="0.2">
      <x:c r="A327" s="72" t="s">
        <x:v>106</x:v>
      </x:c>
      <x:c r="B327" s="271">
        <x:v>46</x:v>
      </x:c>
      <x:c r="C327" s="72" t="s">
        <x:v>107</x:v>
      </x:c>
      <x:c r="D327" s="72" t="s">
        <x:v>108</x:v>
      </x:c>
      <x:c r="E327" s="72" t="s">
        <x:v>108</x:v>
      </x:c>
      <x:c r="F327" s="73">
        <x:v>1494768</x:v>
      </x:c>
      <x:c r="G327" s="74" t="s">
        <x:v>109</x:v>
      </x:c>
      <x:c r="H327" s="72" t="s">
        <x:v>110</x:v>
      </x:c>
      <x:c r="I327" s="86"/>
      <x:c r="J327" s="75">
        <x:f>+Puantaj!C331</x:f>
      </x:c>
      <x:c r="K327" s="72">
        <x:f>+Puantaj!D331</x:f>
      </x:c>
      <x:c r="L327" s="72">
        <x:f>+Puantaj!E331</x:f>
      </x:c>
      <x:c r="M327" s="265">
        <x:f>+BORDRO!F331</x:f>
      </x:c>
      <x:c r="N327" s="72"/>
      <x:c r="O327" s="87">
        <x:f>+BORDRO!G331</x:f>
      </x:c>
      <x:c r="P327" s="87">
        <x:v>0</x:v>
      </x:c>
      <x:c r="Q327" s="267"/>
      <x:c r="R327" s="267"/>
      <x:c r="S327" s="78"/>
      <x:c r="T327" s="78"/>
      <x:c r="U327" s="79"/>
      <x:c r="V327" s="268">
        <x:f>31-M327-Q327</x:f>
      </x:c>
      <x:c r="W327" s="269">
        <x:v>6</x:v>
      </x:c>
      <x:c r="X327" s="270" t="s">
        <x:v>112</x:v>
      </x:c>
      <x:c r="Y327" s="73">
        <x:v>2</x:v>
      </x:c>
      <x:c r="Z327" s="72" t="s">
        <x:v>106</x:v>
      </x:c>
      <x:c r="AA327" s="82" t="s">
        <x:v>111</x:v>
      </x:c>
      <x:c r="AB327" s="72">
        <x:v>2025</x:v>
      </x:c>
      <x:c r="AC327" s="72" t="s">
        <x:v>113</x:v>
      </x:c>
      <x:c r="AD327" s="88">
        <x:f>+BORDRO!J331</x:f>
      </x:c>
      <x:c r="AE327" s="83"/>
      <x:c r="AF327" s="83">
        <x:f>+BORDRO!K331</x:f>
      </x:c>
      <x:c r="AG327" s="83">
        <x:f>+BORDRO!L331</x:f>
      </x:c>
      <x:c r="AH327" s="88">
        <x:f>+BORDRO!M331</x:f>
      </x:c>
      <x:c r="AI327" s="83">
        <x:f>+BORDRO!O331</x:f>
      </x:c>
      <x:c r="AJ327" s="84">
        <x:f>+BORDRO!P331</x:f>
      </x:c>
    </x:row>
    <x:row r="328" spans="1:36" ht="15" customHeight="1" x14ac:dyDescent="0.25">
      <x:c r="A328" s="72" t="s">
        <x:v>106</x:v>
      </x:c>
      <x:c r="B328" s="264">
        <x:v>46</x:v>
      </x:c>
      <x:c r="C328" s="72" t="s">
        <x:v>107</x:v>
      </x:c>
      <x:c r="D328" s="72" t="s">
        <x:v>108</x:v>
      </x:c>
      <x:c r="E328" s="72" t="s">
        <x:v>108</x:v>
      </x:c>
      <x:c r="F328" s="73">
        <x:v>1494768</x:v>
      </x:c>
      <x:c r="G328" s="74" t="s">
        <x:v>109</x:v>
      </x:c>
      <x:c r="H328" s="72" t="s">
        <x:v>110</x:v>
      </x:c>
      <x:c r="I328" s="86"/>
      <x:c r="J328" s="75">
        <x:f>+Puantaj!C332</x:f>
      </x:c>
      <x:c r="K328" s="72">
        <x:f>+Puantaj!D332</x:f>
      </x:c>
      <x:c r="L328" s="72">
        <x:f>+Puantaj!E332</x:f>
      </x:c>
      <x:c r="M328" s="265">
        <x:f>+BORDRO!F332</x:f>
      </x:c>
      <x:c r="N328" s="72"/>
      <x:c r="O328" s="87">
        <x:f>+BORDRO!G332</x:f>
      </x:c>
      <x:c r="P328" s="87">
        <x:v>0</x:v>
      </x:c>
      <x:c r="Q328" s="267"/>
      <x:c r="R328" s="267"/>
      <x:c r="S328" s="78"/>
      <x:c r="T328" s="78"/>
      <x:c r="U328" s="79"/>
      <x:c r="V328" s="268">
        <x:f>31-M328-Q328</x:f>
      </x:c>
      <x:c r="W328" s="269">
        <x:v>6</x:v>
      </x:c>
      <x:c r="X328" s="270" t="s">
        <x:v>112</x:v>
      </x:c>
      <x:c r="Y328" s="73">
        <x:v>2</x:v>
      </x:c>
      <x:c r="Z328" s="72" t="s">
        <x:v>106</x:v>
      </x:c>
      <x:c r="AA328" s="82" t="s">
        <x:v>111</x:v>
      </x:c>
      <x:c r="AB328" s="72">
        <x:v>2025</x:v>
      </x:c>
      <x:c r="AC328" s="72" t="s">
        <x:v>113</x:v>
      </x:c>
      <x:c r="AD328" s="88">
        <x:f>+BORDRO!J332</x:f>
      </x:c>
      <x:c r="AE328" s="83"/>
      <x:c r="AF328" s="83">
        <x:f>+BORDRO!K332</x:f>
      </x:c>
      <x:c r="AG328" s="83">
        <x:f>+BORDRO!L332</x:f>
      </x:c>
      <x:c r="AH328" s="88">
        <x:f>+BORDRO!M332</x:f>
      </x:c>
      <x:c r="AI328" s="83">
        <x:f>+BORDRO!O332</x:f>
      </x:c>
      <x:c r="AJ328" s="84">
        <x:f>+BORDRO!P332</x:f>
      </x:c>
    </x:row>
    <x:row r="329" spans="1:36" ht="14.25" customHeight="1" x14ac:dyDescent="0.2">
      <x:c r="A329" s="72" t="s">
        <x:v>106</x:v>
      </x:c>
      <x:c r="B329" s="271">
        <x:v>46</x:v>
      </x:c>
      <x:c r="C329" s="72" t="s">
        <x:v>107</x:v>
      </x:c>
      <x:c r="D329" s="72" t="s">
        <x:v>108</x:v>
      </x:c>
      <x:c r="E329" s="72" t="s">
        <x:v>108</x:v>
      </x:c>
      <x:c r="F329" s="73">
        <x:v>1494768</x:v>
      </x:c>
      <x:c r="G329" s="74" t="s">
        <x:v>109</x:v>
      </x:c>
      <x:c r="H329" s="72" t="s">
        <x:v>110</x:v>
      </x:c>
      <x:c r="I329" s="86"/>
      <x:c r="J329" s="75">
        <x:f>+Puantaj!C333</x:f>
      </x:c>
      <x:c r="K329" s="72">
        <x:f>+Puantaj!D333</x:f>
      </x:c>
      <x:c r="L329" s="72">
        <x:f>+Puantaj!E333</x:f>
      </x:c>
      <x:c r="M329" s="265">
        <x:f>+BORDRO!F333</x:f>
      </x:c>
      <x:c r="N329" s="72"/>
      <x:c r="O329" s="87">
        <x:f>+BORDRO!G333</x:f>
      </x:c>
      <x:c r="P329" s="87">
        <x:v>0</x:v>
      </x:c>
      <x:c r="Q329" s="267"/>
      <x:c r="R329" s="267"/>
      <x:c r="S329" s="78"/>
      <x:c r="T329" s="78"/>
      <x:c r="U329" s="79"/>
      <x:c r="V329" s="268">
        <x:f>31-M329-Q329</x:f>
      </x:c>
      <x:c r="W329" s="269">
        <x:v>6</x:v>
      </x:c>
      <x:c r="X329" s="270" t="s">
        <x:v>112</x:v>
      </x:c>
      <x:c r="Y329" s="73">
        <x:v>2</x:v>
      </x:c>
      <x:c r="Z329" s="72" t="s">
        <x:v>106</x:v>
      </x:c>
      <x:c r="AA329" s="82" t="s">
        <x:v>111</x:v>
      </x:c>
      <x:c r="AB329" s="72">
        <x:v>2025</x:v>
      </x:c>
      <x:c r="AC329" s="72" t="s">
        <x:v>113</x:v>
      </x:c>
      <x:c r="AD329" s="88">
        <x:f>+BORDRO!J333</x:f>
      </x:c>
      <x:c r="AE329" s="83"/>
      <x:c r="AF329" s="83">
        <x:f>+BORDRO!K333</x:f>
      </x:c>
      <x:c r="AG329" s="83">
        <x:f>+BORDRO!L333</x:f>
      </x:c>
      <x:c r="AH329" s="88">
        <x:f>+BORDRO!M333</x:f>
      </x:c>
      <x:c r="AI329" s="83">
        <x:f>+BORDRO!O333</x:f>
      </x:c>
      <x:c r="AJ329" s="84">
        <x:f>+BORDRO!P333</x:f>
      </x:c>
    </x:row>
    <x:row r="330" spans="1:36" ht="15" customHeight="1" x14ac:dyDescent="0.25">
      <x:c r="A330" s="72" t="s">
        <x:v>106</x:v>
      </x:c>
      <x:c r="B330" s="264">
        <x:v>46</x:v>
      </x:c>
      <x:c r="C330" s="72" t="s">
        <x:v>107</x:v>
      </x:c>
      <x:c r="D330" s="72" t="s">
        <x:v>108</x:v>
      </x:c>
      <x:c r="E330" s="72" t="s">
        <x:v>108</x:v>
      </x:c>
      <x:c r="F330" s="73">
        <x:v>1494768</x:v>
      </x:c>
      <x:c r="G330" s="74" t="s">
        <x:v>109</x:v>
      </x:c>
      <x:c r="H330" s="72" t="s">
        <x:v>110</x:v>
      </x:c>
      <x:c r="I330" s="86"/>
      <x:c r="J330" s="75">
        <x:f>+Puantaj!C334</x:f>
      </x:c>
      <x:c r="K330" s="72">
        <x:f>+Puantaj!D334</x:f>
      </x:c>
      <x:c r="L330" s="72">
        <x:f>+Puantaj!E334</x:f>
      </x:c>
      <x:c r="M330" s="265">
        <x:f>+BORDRO!F334</x:f>
      </x:c>
      <x:c r="N330" s="72"/>
      <x:c r="O330" s="87">
        <x:f>+BORDRO!G334</x:f>
      </x:c>
      <x:c r="P330" s="87">
        <x:v>0</x:v>
      </x:c>
      <x:c r="Q330" s="267"/>
      <x:c r="R330" s="267"/>
      <x:c r="S330" s="78"/>
      <x:c r="T330" s="78"/>
      <x:c r="U330" s="79"/>
      <x:c r="V330" s="268">
        <x:f>31-M330-Q330</x:f>
      </x:c>
      <x:c r="W330" s="269">
        <x:v>6</x:v>
      </x:c>
      <x:c r="X330" s="270" t="s">
        <x:v>112</x:v>
      </x:c>
      <x:c r="Y330" s="73">
        <x:v>2</x:v>
      </x:c>
      <x:c r="Z330" s="72" t="s">
        <x:v>106</x:v>
      </x:c>
      <x:c r="AA330" s="82" t="s">
        <x:v>111</x:v>
      </x:c>
      <x:c r="AB330" s="72">
        <x:v>2025</x:v>
      </x:c>
      <x:c r="AC330" s="72" t="s">
        <x:v>113</x:v>
      </x:c>
      <x:c r="AD330" s="88">
        <x:f>+BORDRO!J334</x:f>
      </x:c>
      <x:c r="AE330" s="83"/>
      <x:c r="AF330" s="83">
        <x:f>+BORDRO!K334</x:f>
      </x:c>
      <x:c r="AG330" s="83">
        <x:f>+BORDRO!L334</x:f>
      </x:c>
      <x:c r="AH330" s="88">
        <x:f>+BORDRO!M334</x:f>
      </x:c>
      <x:c r="AI330" s="83">
        <x:f>+BORDRO!O334</x:f>
      </x:c>
      <x:c r="AJ330" s="84">
        <x:f>+BORDRO!P334</x:f>
      </x:c>
    </x:row>
    <x:row r="331" spans="1:36" ht="14.25" customHeight="1" x14ac:dyDescent="0.2">
      <x:c r="A331" s="72" t="s">
        <x:v>106</x:v>
      </x:c>
      <x:c r="B331" s="271">
        <x:v>46</x:v>
      </x:c>
      <x:c r="C331" s="72" t="s">
        <x:v>107</x:v>
      </x:c>
      <x:c r="D331" s="72" t="s">
        <x:v>108</x:v>
      </x:c>
      <x:c r="E331" s="72" t="s">
        <x:v>108</x:v>
      </x:c>
      <x:c r="F331" s="73">
        <x:v>1494768</x:v>
      </x:c>
      <x:c r="G331" s="74" t="s">
        <x:v>109</x:v>
      </x:c>
      <x:c r="H331" s="72" t="s">
        <x:v>110</x:v>
      </x:c>
      <x:c r="I331" s="86"/>
      <x:c r="J331" s="75">
        <x:f>+Puantaj!C335</x:f>
      </x:c>
      <x:c r="K331" s="72">
        <x:f>+Puantaj!D335</x:f>
      </x:c>
      <x:c r="L331" s="72">
        <x:f>+Puantaj!E335</x:f>
      </x:c>
      <x:c r="M331" s="265">
        <x:f>+BORDRO!F335</x:f>
      </x:c>
      <x:c r="N331" s="72"/>
      <x:c r="O331" s="87">
        <x:f>+BORDRO!G335</x:f>
      </x:c>
      <x:c r="P331" s="87">
        <x:v>0</x:v>
      </x:c>
      <x:c r="Q331" s="267"/>
      <x:c r="R331" s="267"/>
      <x:c r="S331" s="78"/>
      <x:c r="T331" s="78"/>
      <x:c r="U331" s="79"/>
      <x:c r="V331" s="268">
        <x:f>31-M331-Q331</x:f>
      </x:c>
      <x:c r="W331" s="269">
        <x:v>6</x:v>
      </x:c>
      <x:c r="X331" s="270" t="s">
        <x:v>112</x:v>
      </x:c>
      <x:c r="Y331" s="73">
        <x:v>2</x:v>
      </x:c>
      <x:c r="Z331" s="72" t="s">
        <x:v>106</x:v>
      </x:c>
      <x:c r="AA331" s="82" t="s">
        <x:v>111</x:v>
      </x:c>
      <x:c r="AB331" s="72">
        <x:v>2025</x:v>
      </x:c>
      <x:c r="AC331" s="72" t="s">
        <x:v>113</x:v>
      </x:c>
      <x:c r="AD331" s="88">
        <x:f>+BORDRO!J335</x:f>
      </x:c>
      <x:c r="AE331" s="83"/>
      <x:c r="AF331" s="83">
        <x:f>+BORDRO!K335</x:f>
      </x:c>
      <x:c r="AG331" s="83">
        <x:f>+BORDRO!L335</x:f>
      </x:c>
      <x:c r="AH331" s="88">
        <x:f>+BORDRO!M335</x:f>
      </x:c>
      <x:c r="AI331" s="83">
        <x:f>+BORDRO!O335</x:f>
      </x:c>
      <x:c r="AJ331" s="84">
        <x:f>+BORDRO!P335</x:f>
      </x:c>
    </x:row>
    <x:row r="332" spans="1:36" ht="15" customHeight="1" x14ac:dyDescent="0.25">
      <x:c r="A332" s="72" t="s">
        <x:v>106</x:v>
      </x:c>
      <x:c r="B332" s="264">
        <x:v>46</x:v>
      </x:c>
      <x:c r="C332" s="72" t="s">
        <x:v>107</x:v>
      </x:c>
      <x:c r="D332" s="72" t="s">
        <x:v>108</x:v>
      </x:c>
      <x:c r="E332" s="72" t="s">
        <x:v>108</x:v>
      </x:c>
      <x:c r="F332" s="73">
        <x:v>1494768</x:v>
      </x:c>
      <x:c r="G332" s="74" t="s">
        <x:v>109</x:v>
      </x:c>
      <x:c r="H332" s="72" t="s">
        <x:v>110</x:v>
      </x:c>
      <x:c r="I332" s="86"/>
      <x:c r="J332" s="75">
        <x:f>+Puantaj!C336</x:f>
      </x:c>
      <x:c r="K332" s="72">
        <x:f>+Puantaj!D336</x:f>
      </x:c>
      <x:c r="L332" s="72">
        <x:f>+Puantaj!E336</x:f>
      </x:c>
      <x:c r="M332" s="265">
        <x:f>+BORDRO!F336</x:f>
      </x:c>
      <x:c r="N332" s="72"/>
      <x:c r="O332" s="87">
        <x:f>+BORDRO!G336</x:f>
      </x:c>
      <x:c r="P332" s="87">
        <x:v>0</x:v>
      </x:c>
      <x:c r="Q332" s="267"/>
      <x:c r="R332" s="267"/>
      <x:c r="S332" s="78"/>
      <x:c r="T332" s="78"/>
      <x:c r="U332" s="79"/>
      <x:c r="V332" s="268">
        <x:f>31-M332-Q332</x:f>
      </x:c>
      <x:c r="W332" s="269">
        <x:v>6</x:v>
      </x:c>
      <x:c r="X332" s="270" t="s">
        <x:v>112</x:v>
      </x:c>
      <x:c r="Y332" s="73">
        <x:v>2</x:v>
      </x:c>
      <x:c r="Z332" s="72" t="s">
        <x:v>106</x:v>
      </x:c>
      <x:c r="AA332" s="82" t="s">
        <x:v>111</x:v>
      </x:c>
      <x:c r="AB332" s="72">
        <x:v>2025</x:v>
      </x:c>
      <x:c r="AC332" s="72" t="s">
        <x:v>113</x:v>
      </x:c>
      <x:c r="AD332" s="88">
        <x:f>+BORDRO!J336</x:f>
      </x:c>
      <x:c r="AE332" s="83"/>
      <x:c r="AF332" s="83">
        <x:f>+BORDRO!K336</x:f>
      </x:c>
      <x:c r="AG332" s="83">
        <x:f>+BORDRO!L336</x:f>
      </x:c>
      <x:c r="AH332" s="88">
        <x:f>+BORDRO!M336</x:f>
      </x:c>
      <x:c r="AI332" s="83">
        <x:f>+BORDRO!O336</x:f>
      </x:c>
      <x:c r="AJ332" s="84">
        <x:f>+BORDRO!P336</x:f>
      </x:c>
    </x:row>
    <x:row r="333" spans="1:36" ht="14.25" customHeight="1" x14ac:dyDescent="0.2">
      <x:c r="A333" s="72" t="s">
        <x:v>106</x:v>
      </x:c>
      <x:c r="B333" s="271">
        <x:v>46</x:v>
      </x:c>
      <x:c r="C333" s="72" t="s">
        <x:v>107</x:v>
      </x:c>
      <x:c r="D333" s="72" t="s">
        <x:v>108</x:v>
      </x:c>
      <x:c r="E333" s="72" t="s">
        <x:v>108</x:v>
      </x:c>
      <x:c r="F333" s="73">
        <x:v>1494768</x:v>
      </x:c>
      <x:c r="G333" s="74" t="s">
        <x:v>109</x:v>
      </x:c>
      <x:c r="H333" s="72" t="s">
        <x:v>110</x:v>
      </x:c>
      <x:c r="I333" s="86"/>
      <x:c r="J333" s="75">
        <x:f>+Puantaj!C337</x:f>
      </x:c>
      <x:c r="K333" s="72">
        <x:f>+Puantaj!D337</x:f>
      </x:c>
      <x:c r="L333" s="72">
        <x:f>+Puantaj!E337</x:f>
      </x:c>
      <x:c r="M333" s="265">
        <x:f>+BORDRO!F337</x:f>
      </x:c>
      <x:c r="N333" s="72"/>
      <x:c r="O333" s="87">
        <x:f>+BORDRO!G337</x:f>
      </x:c>
      <x:c r="P333" s="87">
        <x:v>0</x:v>
      </x:c>
      <x:c r="Q333" s="267"/>
      <x:c r="R333" s="267"/>
      <x:c r="S333" s="78"/>
      <x:c r="T333" s="78"/>
      <x:c r="U333" s="79"/>
      <x:c r="V333" s="268">
        <x:f>31-M333-Q333</x:f>
      </x:c>
      <x:c r="W333" s="269">
        <x:v>6</x:v>
      </x:c>
      <x:c r="X333" s="270" t="s">
        <x:v>112</x:v>
      </x:c>
      <x:c r="Y333" s="73">
        <x:v>2</x:v>
      </x:c>
      <x:c r="Z333" s="72" t="s">
        <x:v>106</x:v>
      </x:c>
      <x:c r="AA333" s="82" t="s">
        <x:v>111</x:v>
      </x:c>
      <x:c r="AB333" s="72">
        <x:v>2025</x:v>
      </x:c>
      <x:c r="AC333" s="72" t="s">
        <x:v>113</x:v>
      </x:c>
      <x:c r="AD333" s="88">
        <x:f>+BORDRO!J337</x:f>
      </x:c>
      <x:c r="AE333" s="83"/>
      <x:c r="AF333" s="83">
        <x:f>+BORDRO!K337</x:f>
      </x:c>
      <x:c r="AG333" s="83">
        <x:f>+BORDRO!L337</x:f>
      </x:c>
      <x:c r="AH333" s="88">
        <x:f>+BORDRO!M337</x:f>
      </x:c>
      <x:c r="AI333" s="83">
        <x:f>+BORDRO!O337</x:f>
      </x:c>
      <x:c r="AJ333" s="84">
        <x:f>+BORDRO!P337</x:f>
      </x:c>
    </x:row>
    <x:row r="334" spans="1:36" ht="15" customHeight="1" x14ac:dyDescent="0.25">
      <x:c r="A334" s="72" t="s">
        <x:v>106</x:v>
      </x:c>
      <x:c r="B334" s="264">
        <x:v>46</x:v>
      </x:c>
      <x:c r="C334" s="72" t="s">
        <x:v>107</x:v>
      </x:c>
      <x:c r="D334" s="72" t="s">
        <x:v>108</x:v>
      </x:c>
      <x:c r="E334" s="72" t="s">
        <x:v>108</x:v>
      </x:c>
      <x:c r="F334" s="73">
        <x:v>1494768</x:v>
      </x:c>
      <x:c r="G334" s="74" t="s">
        <x:v>109</x:v>
      </x:c>
      <x:c r="H334" s="72" t="s">
        <x:v>110</x:v>
      </x:c>
      <x:c r="I334" s="86"/>
      <x:c r="J334" s="75">
        <x:f>+Puantaj!C338</x:f>
      </x:c>
      <x:c r="K334" s="72">
        <x:f>+Puantaj!D338</x:f>
      </x:c>
      <x:c r="L334" s="72">
        <x:f>+Puantaj!E338</x:f>
      </x:c>
      <x:c r="M334" s="265">
        <x:f>+BORDRO!F338</x:f>
      </x:c>
      <x:c r="N334" s="72"/>
      <x:c r="O334" s="87">
        <x:f>+BORDRO!G338</x:f>
      </x:c>
      <x:c r="P334" s="87">
        <x:v>0</x:v>
      </x:c>
      <x:c r="Q334" s="267"/>
      <x:c r="R334" s="267"/>
      <x:c r="S334" s="78"/>
      <x:c r="T334" s="78"/>
      <x:c r="U334" s="79"/>
      <x:c r="V334" s="268">
        <x:f>31-M334-Q334</x:f>
      </x:c>
      <x:c r="W334" s="269">
        <x:v>6</x:v>
      </x:c>
      <x:c r="X334" s="270" t="s">
        <x:v>112</x:v>
      </x:c>
      <x:c r="Y334" s="73">
        <x:v>2</x:v>
      </x:c>
      <x:c r="Z334" s="72" t="s">
        <x:v>106</x:v>
      </x:c>
      <x:c r="AA334" s="82" t="s">
        <x:v>111</x:v>
      </x:c>
      <x:c r="AB334" s="72">
        <x:v>2025</x:v>
      </x:c>
      <x:c r="AC334" s="72" t="s">
        <x:v>113</x:v>
      </x:c>
      <x:c r="AD334" s="88">
        <x:f>+BORDRO!J338</x:f>
      </x:c>
      <x:c r="AE334" s="83"/>
      <x:c r="AF334" s="83">
        <x:f>+BORDRO!K338</x:f>
      </x:c>
      <x:c r="AG334" s="83">
        <x:f>+BORDRO!L338</x:f>
      </x:c>
      <x:c r="AH334" s="88">
        <x:f>+BORDRO!M338</x:f>
      </x:c>
      <x:c r="AI334" s="83">
        <x:f>+BORDRO!O338</x:f>
      </x:c>
      <x:c r="AJ334" s="84">
        <x:f>+BORDRO!P338</x:f>
      </x:c>
    </x:row>
    <x:row r="335" spans="1:36" ht="14.25" customHeight="1" x14ac:dyDescent="0.2">
      <x:c r="A335" s="72" t="s">
        <x:v>106</x:v>
      </x:c>
      <x:c r="B335" s="271">
        <x:v>46</x:v>
      </x:c>
      <x:c r="C335" s="72" t="s">
        <x:v>107</x:v>
      </x:c>
      <x:c r="D335" s="72" t="s">
        <x:v>108</x:v>
      </x:c>
      <x:c r="E335" s="72" t="s">
        <x:v>108</x:v>
      </x:c>
      <x:c r="F335" s="73">
        <x:v>1494768</x:v>
      </x:c>
      <x:c r="G335" s="74" t="s">
        <x:v>109</x:v>
      </x:c>
      <x:c r="H335" s="72" t="s">
        <x:v>110</x:v>
      </x:c>
      <x:c r="I335" s="86"/>
      <x:c r="J335" s="75">
        <x:f>+Puantaj!C339</x:f>
      </x:c>
      <x:c r="K335" s="72">
        <x:f>+Puantaj!D339</x:f>
      </x:c>
      <x:c r="L335" s="72">
        <x:f>+Puantaj!E339</x:f>
      </x:c>
      <x:c r="M335" s="265">
        <x:f>+BORDRO!F339</x:f>
      </x:c>
      <x:c r="N335" s="72"/>
      <x:c r="O335" s="87">
        <x:f>+BORDRO!G339</x:f>
      </x:c>
      <x:c r="P335" s="87">
        <x:v>0</x:v>
      </x:c>
      <x:c r="Q335" s="267"/>
      <x:c r="R335" s="267"/>
      <x:c r="S335" s="78"/>
      <x:c r="T335" s="78"/>
      <x:c r="U335" s="79"/>
      <x:c r="V335" s="268">
        <x:f>31-M335-Q335</x:f>
      </x:c>
      <x:c r="W335" s="269">
        <x:v>6</x:v>
      </x:c>
      <x:c r="X335" s="270" t="s">
        <x:v>112</x:v>
      </x:c>
      <x:c r="Y335" s="73">
        <x:v>2</x:v>
      </x:c>
      <x:c r="Z335" s="72" t="s">
        <x:v>106</x:v>
      </x:c>
      <x:c r="AA335" s="82" t="s">
        <x:v>111</x:v>
      </x:c>
      <x:c r="AB335" s="72">
        <x:v>2025</x:v>
      </x:c>
      <x:c r="AC335" s="72" t="s">
        <x:v>113</x:v>
      </x:c>
      <x:c r="AD335" s="88">
        <x:f>+BORDRO!J339</x:f>
      </x:c>
      <x:c r="AE335" s="83"/>
      <x:c r="AF335" s="83">
        <x:f>+BORDRO!K339</x:f>
      </x:c>
      <x:c r="AG335" s="83">
        <x:f>+BORDRO!L339</x:f>
      </x:c>
      <x:c r="AH335" s="88">
        <x:f>+BORDRO!M339</x:f>
      </x:c>
      <x:c r="AI335" s="83">
        <x:f>+BORDRO!O339</x:f>
      </x:c>
      <x:c r="AJ335" s="84">
        <x:f>+BORDRO!P339</x:f>
      </x:c>
    </x:row>
    <x:row r="336" spans="1:36" ht="15" customHeight="1" x14ac:dyDescent="0.25">
      <x:c r="A336" s="72" t="s">
        <x:v>106</x:v>
      </x:c>
      <x:c r="B336" s="264">
        <x:v>46</x:v>
      </x:c>
      <x:c r="C336" s="72" t="s">
        <x:v>107</x:v>
      </x:c>
      <x:c r="D336" s="72" t="s">
        <x:v>108</x:v>
      </x:c>
      <x:c r="E336" s="72" t="s">
        <x:v>108</x:v>
      </x:c>
      <x:c r="F336" s="73">
        <x:v>1494768</x:v>
      </x:c>
      <x:c r="G336" s="74" t="s">
        <x:v>109</x:v>
      </x:c>
      <x:c r="H336" s="72" t="s">
        <x:v>110</x:v>
      </x:c>
      <x:c r="I336" s="86"/>
      <x:c r="J336" s="75">
        <x:f>+Puantaj!C340</x:f>
      </x:c>
      <x:c r="K336" s="72">
        <x:f>+Puantaj!D340</x:f>
      </x:c>
      <x:c r="L336" s="72">
        <x:f>+Puantaj!E340</x:f>
      </x:c>
      <x:c r="M336" s="265">
        <x:f>+BORDRO!F340</x:f>
      </x:c>
      <x:c r="N336" s="72"/>
      <x:c r="O336" s="87">
        <x:f>+BORDRO!G340</x:f>
      </x:c>
      <x:c r="P336" s="87">
        <x:v>0</x:v>
      </x:c>
      <x:c r="Q336" s="267"/>
      <x:c r="R336" s="267"/>
      <x:c r="S336" s="78"/>
      <x:c r="T336" s="78"/>
      <x:c r="U336" s="79"/>
      <x:c r="V336" s="268">
        <x:f>31-M336-Q336</x:f>
      </x:c>
      <x:c r="W336" s="269">
        <x:v>6</x:v>
      </x:c>
      <x:c r="X336" s="270" t="s">
        <x:v>112</x:v>
      </x:c>
      <x:c r="Y336" s="73">
        <x:v>2</x:v>
      </x:c>
      <x:c r="Z336" s="72" t="s">
        <x:v>106</x:v>
      </x:c>
      <x:c r="AA336" s="82" t="s">
        <x:v>111</x:v>
      </x:c>
      <x:c r="AB336" s="72">
        <x:v>2025</x:v>
      </x:c>
      <x:c r="AC336" s="72" t="s">
        <x:v>113</x:v>
      </x:c>
      <x:c r="AD336" s="88">
        <x:f>+BORDRO!J340</x:f>
      </x:c>
      <x:c r="AE336" s="83"/>
      <x:c r="AF336" s="83">
        <x:f>+BORDRO!K340</x:f>
      </x:c>
      <x:c r="AG336" s="83">
        <x:f>+BORDRO!L340</x:f>
      </x:c>
      <x:c r="AH336" s="88">
        <x:f>+BORDRO!M340</x:f>
      </x:c>
      <x:c r="AI336" s="83">
        <x:f>+BORDRO!O340</x:f>
      </x:c>
      <x:c r="AJ336" s="84">
        <x:f>+BORDRO!P340</x:f>
      </x:c>
    </x:row>
    <x:row r="337" spans="1:36" ht="14.25" customHeight="1" x14ac:dyDescent="0.2">
      <x:c r="A337" s="72" t="s">
        <x:v>106</x:v>
      </x:c>
      <x:c r="B337" s="271">
        <x:v>46</x:v>
      </x:c>
      <x:c r="C337" s="72" t="s">
        <x:v>107</x:v>
      </x:c>
      <x:c r="D337" s="72" t="s">
        <x:v>108</x:v>
      </x:c>
      <x:c r="E337" s="72" t="s">
        <x:v>108</x:v>
      </x:c>
      <x:c r="F337" s="73">
        <x:v>1494768</x:v>
      </x:c>
      <x:c r="G337" s="74" t="s">
        <x:v>109</x:v>
      </x:c>
      <x:c r="H337" s="72" t="s">
        <x:v>110</x:v>
      </x:c>
      <x:c r="I337" s="86"/>
      <x:c r="J337" s="75">
        <x:f>+Puantaj!C341</x:f>
      </x:c>
      <x:c r="K337" s="72">
        <x:f>+Puantaj!D341</x:f>
      </x:c>
      <x:c r="L337" s="72">
        <x:f>+Puantaj!E341</x:f>
      </x:c>
      <x:c r="M337" s="265">
        <x:f>+BORDRO!F341</x:f>
      </x:c>
      <x:c r="N337" s="72"/>
      <x:c r="O337" s="87">
        <x:f>+BORDRO!G341</x:f>
      </x:c>
      <x:c r="P337" s="87">
        <x:v>0</x:v>
      </x:c>
      <x:c r="Q337" s="267"/>
      <x:c r="R337" s="267"/>
      <x:c r="S337" s="78"/>
      <x:c r="T337" s="78"/>
      <x:c r="U337" s="79"/>
      <x:c r="V337" s="268">
        <x:f>31-M337-Q337</x:f>
      </x:c>
      <x:c r="W337" s="269">
        <x:v>6</x:v>
      </x:c>
      <x:c r="X337" s="270" t="s">
        <x:v>112</x:v>
      </x:c>
      <x:c r="Y337" s="73">
        <x:v>2</x:v>
      </x:c>
      <x:c r="Z337" s="72" t="s">
        <x:v>106</x:v>
      </x:c>
      <x:c r="AA337" s="82" t="s">
        <x:v>111</x:v>
      </x:c>
      <x:c r="AB337" s="72">
        <x:v>2025</x:v>
      </x:c>
      <x:c r="AC337" s="72" t="s">
        <x:v>113</x:v>
      </x:c>
      <x:c r="AD337" s="88">
        <x:f>+BORDRO!J341</x:f>
      </x:c>
      <x:c r="AE337" s="83"/>
      <x:c r="AF337" s="83">
        <x:f>+BORDRO!K341</x:f>
      </x:c>
      <x:c r="AG337" s="83">
        <x:f>+BORDRO!L341</x:f>
      </x:c>
      <x:c r="AH337" s="88">
        <x:f>+BORDRO!M341</x:f>
      </x:c>
      <x:c r="AI337" s="83">
        <x:f>+BORDRO!O341</x:f>
      </x:c>
      <x:c r="AJ337" s="84">
        <x:f>+BORDRO!P341</x:f>
      </x:c>
    </x:row>
    <x:row r="338" spans="1:36" ht="15" customHeight="1" x14ac:dyDescent="0.25">
      <x:c r="A338" s="72" t="s">
        <x:v>106</x:v>
      </x:c>
      <x:c r="B338" s="264">
        <x:v>46</x:v>
      </x:c>
      <x:c r="C338" s="72" t="s">
        <x:v>107</x:v>
      </x:c>
      <x:c r="D338" s="72" t="s">
        <x:v>108</x:v>
      </x:c>
      <x:c r="E338" s="72" t="s">
        <x:v>108</x:v>
      </x:c>
      <x:c r="F338" s="73">
        <x:v>1494768</x:v>
      </x:c>
      <x:c r="G338" s="74" t="s">
        <x:v>109</x:v>
      </x:c>
      <x:c r="H338" s="72" t="s">
        <x:v>110</x:v>
      </x:c>
      <x:c r="I338" s="86"/>
      <x:c r="J338" s="75">
        <x:f>+Puantaj!C342</x:f>
      </x:c>
      <x:c r="K338" s="72">
        <x:f>+Puantaj!D342</x:f>
      </x:c>
      <x:c r="L338" s="72">
        <x:f>+Puantaj!E342</x:f>
      </x:c>
      <x:c r="M338" s="265">
        <x:f>+BORDRO!F342</x:f>
      </x:c>
      <x:c r="N338" s="72"/>
      <x:c r="O338" s="87">
        <x:f>+BORDRO!G342</x:f>
      </x:c>
      <x:c r="P338" s="87">
        <x:v>0</x:v>
      </x:c>
      <x:c r="Q338" s="267"/>
      <x:c r="R338" s="267"/>
      <x:c r="S338" s="78"/>
      <x:c r="T338" s="78"/>
      <x:c r="U338" s="79"/>
      <x:c r="V338" s="268">
        <x:f>31-M338-Q338</x:f>
      </x:c>
      <x:c r="W338" s="269">
        <x:v>6</x:v>
      </x:c>
      <x:c r="X338" s="270" t="s">
        <x:v>112</x:v>
      </x:c>
      <x:c r="Y338" s="73">
        <x:v>2</x:v>
      </x:c>
      <x:c r="Z338" s="72" t="s">
        <x:v>106</x:v>
      </x:c>
      <x:c r="AA338" s="82" t="s">
        <x:v>111</x:v>
      </x:c>
      <x:c r="AB338" s="72">
        <x:v>2025</x:v>
      </x:c>
      <x:c r="AC338" s="72" t="s">
        <x:v>113</x:v>
      </x:c>
      <x:c r="AD338" s="88">
        <x:f>+BORDRO!J342</x:f>
      </x:c>
      <x:c r="AE338" s="83"/>
      <x:c r="AF338" s="83">
        <x:f>+BORDRO!K342</x:f>
      </x:c>
      <x:c r="AG338" s="83">
        <x:f>+BORDRO!L342</x:f>
      </x:c>
      <x:c r="AH338" s="88">
        <x:f>+BORDRO!M342</x:f>
      </x:c>
      <x:c r="AI338" s="83">
        <x:f>+BORDRO!O342</x:f>
      </x:c>
      <x:c r="AJ338" s="84">
        <x:f>+BORDRO!P342</x:f>
      </x:c>
    </x:row>
    <x:row r="339" spans="1:36" ht="14.25" customHeight="1" x14ac:dyDescent="0.2">
      <x:c r="A339" s="72" t="s">
        <x:v>106</x:v>
      </x:c>
      <x:c r="B339" s="271">
        <x:v>46</x:v>
      </x:c>
      <x:c r="C339" s="72" t="s">
        <x:v>107</x:v>
      </x:c>
      <x:c r="D339" s="72" t="s">
        <x:v>108</x:v>
      </x:c>
      <x:c r="E339" s="72" t="s">
        <x:v>108</x:v>
      </x:c>
      <x:c r="F339" s="73">
        <x:v>1494768</x:v>
      </x:c>
      <x:c r="G339" s="74" t="s">
        <x:v>109</x:v>
      </x:c>
      <x:c r="H339" s="72" t="s">
        <x:v>110</x:v>
      </x:c>
      <x:c r="I339" s="86"/>
      <x:c r="J339" s="75">
        <x:f>+Puantaj!C343</x:f>
      </x:c>
      <x:c r="K339" s="72">
        <x:f>+Puantaj!D343</x:f>
      </x:c>
      <x:c r="L339" s="72">
        <x:f>+Puantaj!E343</x:f>
      </x:c>
      <x:c r="M339" s="265">
        <x:f>+BORDRO!F343</x:f>
      </x:c>
      <x:c r="N339" s="72"/>
      <x:c r="O339" s="87">
        <x:f>+BORDRO!G343</x:f>
      </x:c>
      <x:c r="P339" s="87">
        <x:v>0</x:v>
      </x:c>
      <x:c r="Q339" s="267"/>
      <x:c r="R339" s="267"/>
      <x:c r="S339" s="78"/>
      <x:c r="T339" s="78"/>
      <x:c r="U339" s="79"/>
      <x:c r="V339" s="268">
        <x:f>31-M339-Q339</x:f>
      </x:c>
      <x:c r="W339" s="269">
        <x:v>6</x:v>
      </x:c>
      <x:c r="X339" s="270" t="s">
        <x:v>112</x:v>
      </x:c>
      <x:c r="Y339" s="73">
        <x:v>2</x:v>
      </x:c>
      <x:c r="Z339" s="72" t="s">
        <x:v>106</x:v>
      </x:c>
      <x:c r="AA339" s="82" t="s">
        <x:v>111</x:v>
      </x:c>
      <x:c r="AB339" s="72">
        <x:v>2025</x:v>
      </x:c>
      <x:c r="AC339" s="72" t="s">
        <x:v>113</x:v>
      </x:c>
      <x:c r="AD339" s="88">
        <x:f>+BORDRO!J343</x:f>
      </x:c>
      <x:c r="AE339" s="83"/>
      <x:c r="AF339" s="83">
        <x:f>+BORDRO!K343</x:f>
      </x:c>
      <x:c r="AG339" s="83">
        <x:f>+BORDRO!L343</x:f>
      </x:c>
      <x:c r="AH339" s="88">
        <x:f>+BORDRO!M343</x:f>
      </x:c>
      <x:c r="AI339" s="83">
        <x:f>+BORDRO!O343</x:f>
      </x:c>
      <x:c r="AJ339" s="84">
        <x:f>+BORDRO!P343</x:f>
      </x:c>
    </x:row>
    <x:row r="340" spans="1:36" ht="15" customHeight="1" x14ac:dyDescent="0.25">
      <x:c r="A340" s="72" t="s">
        <x:v>106</x:v>
      </x:c>
      <x:c r="B340" s="264">
        <x:v>46</x:v>
      </x:c>
      <x:c r="C340" s="72" t="s">
        <x:v>107</x:v>
      </x:c>
      <x:c r="D340" s="72" t="s">
        <x:v>108</x:v>
      </x:c>
      <x:c r="E340" s="72" t="s">
        <x:v>108</x:v>
      </x:c>
      <x:c r="F340" s="73">
        <x:v>1494768</x:v>
      </x:c>
      <x:c r="G340" s="74" t="s">
        <x:v>109</x:v>
      </x:c>
      <x:c r="H340" s="72" t="s">
        <x:v>110</x:v>
      </x:c>
      <x:c r="I340" s="86"/>
      <x:c r="J340" s="75">
        <x:f>+Puantaj!C344</x:f>
      </x:c>
      <x:c r="K340" s="72">
        <x:f>+Puantaj!D344</x:f>
      </x:c>
      <x:c r="L340" s="72">
        <x:f>+Puantaj!E344</x:f>
      </x:c>
      <x:c r="M340" s="265">
        <x:f>+BORDRO!F344</x:f>
      </x:c>
      <x:c r="N340" s="72"/>
      <x:c r="O340" s="87">
        <x:f>+BORDRO!G344</x:f>
      </x:c>
      <x:c r="P340" s="87">
        <x:v>0</x:v>
      </x:c>
      <x:c r="Q340" s="267"/>
      <x:c r="R340" s="267"/>
      <x:c r="S340" s="78"/>
      <x:c r="T340" s="78"/>
      <x:c r="U340" s="79"/>
      <x:c r="V340" s="268">
        <x:f>31-M340-Q340</x:f>
      </x:c>
      <x:c r="W340" s="269">
        <x:v>6</x:v>
      </x:c>
      <x:c r="X340" s="270" t="s">
        <x:v>112</x:v>
      </x:c>
      <x:c r="Y340" s="73">
        <x:v>2</x:v>
      </x:c>
      <x:c r="Z340" s="72" t="s">
        <x:v>106</x:v>
      </x:c>
      <x:c r="AA340" s="82" t="s">
        <x:v>111</x:v>
      </x:c>
      <x:c r="AB340" s="72">
        <x:v>2025</x:v>
      </x:c>
      <x:c r="AC340" s="72" t="s">
        <x:v>113</x:v>
      </x:c>
      <x:c r="AD340" s="88">
        <x:f>+BORDRO!J344</x:f>
      </x:c>
      <x:c r="AE340" s="83"/>
      <x:c r="AF340" s="83">
        <x:f>+BORDRO!K344</x:f>
      </x:c>
      <x:c r="AG340" s="83">
        <x:f>+BORDRO!L344</x:f>
      </x:c>
      <x:c r="AH340" s="88">
        <x:f>+BORDRO!M344</x:f>
      </x:c>
      <x:c r="AI340" s="83">
        <x:f>+BORDRO!O344</x:f>
      </x:c>
      <x:c r="AJ340" s="84">
        <x:f>+BORDRO!P344</x:f>
      </x:c>
    </x:row>
    <x:row r="341" spans="1:36" ht="14.25" customHeight="1" x14ac:dyDescent="0.2">
      <x:c r="A341" s="72" t="s">
        <x:v>106</x:v>
      </x:c>
      <x:c r="B341" s="271">
        <x:v>46</x:v>
      </x:c>
      <x:c r="C341" s="72" t="s">
        <x:v>107</x:v>
      </x:c>
      <x:c r="D341" s="72" t="s">
        <x:v>108</x:v>
      </x:c>
      <x:c r="E341" s="72" t="s">
        <x:v>108</x:v>
      </x:c>
      <x:c r="F341" s="73">
        <x:v>1494768</x:v>
      </x:c>
      <x:c r="G341" s="74" t="s">
        <x:v>109</x:v>
      </x:c>
      <x:c r="H341" s="72" t="s">
        <x:v>110</x:v>
      </x:c>
      <x:c r="I341" s="86"/>
      <x:c r="J341" s="75">
        <x:f>+Puantaj!C345</x:f>
      </x:c>
      <x:c r="K341" s="72">
        <x:f>+Puantaj!D345</x:f>
      </x:c>
      <x:c r="L341" s="72">
        <x:f>+Puantaj!E345</x:f>
      </x:c>
      <x:c r="M341" s="265">
        <x:f>+BORDRO!F345</x:f>
      </x:c>
      <x:c r="N341" s="72"/>
      <x:c r="O341" s="87">
        <x:f>+BORDRO!G345</x:f>
      </x:c>
      <x:c r="P341" s="87">
        <x:v>0</x:v>
      </x:c>
      <x:c r="Q341" s="267"/>
      <x:c r="R341" s="267"/>
      <x:c r="S341" s="78"/>
      <x:c r="T341" s="78"/>
      <x:c r="U341" s="79"/>
      <x:c r="V341" s="268">
        <x:f>31-M341-Q341</x:f>
      </x:c>
      <x:c r="W341" s="269">
        <x:v>6</x:v>
      </x:c>
      <x:c r="X341" s="270" t="s">
        <x:v>112</x:v>
      </x:c>
      <x:c r="Y341" s="73">
        <x:v>2</x:v>
      </x:c>
      <x:c r="Z341" s="72" t="s">
        <x:v>106</x:v>
      </x:c>
      <x:c r="AA341" s="82" t="s">
        <x:v>111</x:v>
      </x:c>
      <x:c r="AB341" s="72">
        <x:v>2025</x:v>
      </x:c>
      <x:c r="AC341" s="72" t="s">
        <x:v>113</x:v>
      </x:c>
      <x:c r="AD341" s="88">
        <x:f>+BORDRO!J345</x:f>
      </x:c>
      <x:c r="AE341" s="83"/>
      <x:c r="AF341" s="83">
        <x:f>+BORDRO!K345</x:f>
      </x:c>
      <x:c r="AG341" s="83">
        <x:f>+BORDRO!L345</x:f>
      </x:c>
      <x:c r="AH341" s="88">
        <x:f>+BORDRO!M345</x:f>
      </x:c>
      <x:c r="AI341" s="83">
        <x:f>+BORDRO!O345</x:f>
      </x:c>
      <x:c r="AJ341" s="84">
        <x:f>+BORDRO!P345</x:f>
      </x:c>
    </x:row>
    <x:row r="342" spans="1:36" ht="15" customHeight="1" x14ac:dyDescent="0.25">
      <x:c r="A342" s="72" t="s">
        <x:v>106</x:v>
      </x:c>
      <x:c r="B342" s="264">
        <x:v>46</x:v>
      </x:c>
      <x:c r="C342" s="72" t="s">
        <x:v>107</x:v>
      </x:c>
      <x:c r="D342" s="72" t="s">
        <x:v>108</x:v>
      </x:c>
      <x:c r="E342" s="72" t="s">
        <x:v>108</x:v>
      </x:c>
      <x:c r="F342" s="73">
        <x:v>1494768</x:v>
      </x:c>
      <x:c r="G342" s="74" t="s">
        <x:v>109</x:v>
      </x:c>
      <x:c r="H342" s="72" t="s">
        <x:v>110</x:v>
      </x:c>
      <x:c r="I342" s="86"/>
      <x:c r="J342" s="75">
        <x:f>+Puantaj!C346</x:f>
      </x:c>
      <x:c r="K342" s="72">
        <x:f>+Puantaj!D346</x:f>
      </x:c>
      <x:c r="L342" s="72">
        <x:f>+Puantaj!E346</x:f>
      </x:c>
      <x:c r="M342" s="265">
        <x:f>+BORDRO!F346</x:f>
      </x:c>
      <x:c r="N342" s="72"/>
      <x:c r="O342" s="87">
        <x:f>+BORDRO!G346</x:f>
      </x:c>
      <x:c r="P342" s="87">
        <x:v>0</x:v>
      </x:c>
      <x:c r="Q342" s="267"/>
      <x:c r="R342" s="267"/>
      <x:c r="S342" s="78"/>
      <x:c r="T342" s="78"/>
      <x:c r="U342" s="79"/>
      <x:c r="V342" s="268">
        <x:f>31-M342-Q342</x:f>
      </x:c>
      <x:c r="W342" s="269">
        <x:v>6</x:v>
      </x:c>
      <x:c r="X342" s="270" t="s">
        <x:v>112</x:v>
      </x:c>
      <x:c r="Y342" s="73">
        <x:v>2</x:v>
      </x:c>
      <x:c r="Z342" s="72" t="s">
        <x:v>106</x:v>
      </x:c>
      <x:c r="AA342" s="82" t="s">
        <x:v>111</x:v>
      </x:c>
      <x:c r="AB342" s="72">
        <x:v>2025</x:v>
      </x:c>
      <x:c r="AC342" s="72" t="s">
        <x:v>113</x:v>
      </x:c>
      <x:c r="AD342" s="88">
        <x:f>+BORDRO!J346</x:f>
      </x:c>
      <x:c r="AE342" s="83"/>
      <x:c r="AF342" s="83">
        <x:f>+BORDRO!K346</x:f>
      </x:c>
      <x:c r="AG342" s="83">
        <x:f>+BORDRO!L346</x:f>
      </x:c>
      <x:c r="AH342" s="88">
        <x:f>+BORDRO!M346</x:f>
      </x:c>
      <x:c r="AI342" s="83">
        <x:f>+BORDRO!O346</x:f>
      </x:c>
      <x:c r="AJ342" s="84">
        <x:f>+BORDRO!P346</x:f>
      </x:c>
    </x:row>
    <x:row r="343" spans="1:36" ht="14.25" customHeight="1" x14ac:dyDescent="0.2">
      <x:c r="A343" s="72" t="s">
        <x:v>106</x:v>
      </x:c>
      <x:c r="B343" s="271">
        <x:v>46</x:v>
      </x:c>
      <x:c r="C343" s="72" t="s">
        <x:v>107</x:v>
      </x:c>
      <x:c r="D343" s="72" t="s">
        <x:v>108</x:v>
      </x:c>
      <x:c r="E343" s="72" t="s">
        <x:v>108</x:v>
      </x:c>
      <x:c r="F343" s="73">
        <x:v>1494768</x:v>
      </x:c>
      <x:c r="G343" s="74" t="s">
        <x:v>109</x:v>
      </x:c>
      <x:c r="H343" s="72" t="s">
        <x:v>110</x:v>
      </x:c>
      <x:c r="I343" s="86"/>
      <x:c r="J343" s="75">
        <x:f>+Puantaj!C347</x:f>
      </x:c>
      <x:c r="K343" s="72">
        <x:f>+Puantaj!D347</x:f>
      </x:c>
      <x:c r="L343" s="72">
        <x:f>+Puantaj!E347</x:f>
      </x:c>
      <x:c r="M343" s="265">
        <x:f>+BORDRO!F347</x:f>
      </x:c>
      <x:c r="N343" s="72"/>
      <x:c r="O343" s="87">
        <x:f>+BORDRO!G347</x:f>
      </x:c>
      <x:c r="P343" s="87">
        <x:v>0</x:v>
      </x:c>
      <x:c r="Q343" s="267"/>
      <x:c r="R343" s="267"/>
      <x:c r="S343" s="78"/>
      <x:c r="T343" s="78"/>
      <x:c r="U343" s="79"/>
      <x:c r="V343" s="268">
        <x:f>31-M343-Q343</x:f>
      </x:c>
      <x:c r="W343" s="269">
        <x:v>6</x:v>
      </x:c>
      <x:c r="X343" s="270" t="s">
        <x:v>112</x:v>
      </x:c>
      <x:c r="Y343" s="73">
        <x:v>2</x:v>
      </x:c>
      <x:c r="Z343" s="72" t="s">
        <x:v>106</x:v>
      </x:c>
      <x:c r="AA343" s="82" t="s">
        <x:v>111</x:v>
      </x:c>
      <x:c r="AB343" s="72">
        <x:v>2025</x:v>
      </x:c>
      <x:c r="AC343" s="72" t="s">
        <x:v>113</x:v>
      </x:c>
      <x:c r="AD343" s="88">
        <x:f>+BORDRO!J347</x:f>
      </x:c>
      <x:c r="AE343" s="83"/>
      <x:c r="AF343" s="83">
        <x:f>+BORDRO!K347</x:f>
      </x:c>
      <x:c r="AG343" s="83">
        <x:f>+BORDRO!L347</x:f>
      </x:c>
      <x:c r="AH343" s="88">
        <x:f>+BORDRO!M347</x:f>
      </x:c>
      <x:c r="AI343" s="83">
        <x:f>+BORDRO!O347</x:f>
      </x:c>
      <x:c r="AJ343" s="84">
        <x:f>+BORDRO!P347</x:f>
      </x:c>
    </x:row>
    <x:row r="344" spans="1:36" ht="15" customHeight="1" x14ac:dyDescent="0.25">
      <x:c r="A344" s="72" t="s">
        <x:v>106</x:v>
      </x:c>
      <x:c r="B344" s="264">
        <x:v>46</x:v>
      </x:c>
      <x:c r="C344" s="72" t="s">
        <x:v>107</x:v>
      </x:c>
      <x:c r="D344" s="72" t="s">
        <x:v>108</x:v>
      </x:c>
      <x:c r="E344" s="72" t="s">
        <x:v>108</x:v>
      </x:c>
      <x:c r="F344" s="73">
        <x:v>1494768</x:v>
      </x:c>
      <x:c r="G344" s="74" t="s">
        <x:v>109</x:v>
      </x:c>
      <x:c r="H344" s="72" t="s">
        <x:v>110</x:v>
      </x:c>
      <x:c r="I344" s="86"/>
      <x:c r="J344" s="75">
        <x:f>+Puantaj!C348</x:f>
      </x:c>
      <x:c r="K344" s="72">
        <x:f>+Puantaj!D348</x:f>
      </x:c>
      <x:c r="L344" s="72">
        <x:f>+Puantaj!E348</x:f>
      </x:c>
      <x:c r="M344" s="265">
        <x:f>+BORDRO!F348</x:f>
      </x:c>
      <x:c r="N344" s="72"/>
      <x:c r="O344" s="87">
        <x:f>+BORDRO!G348</x:f>
      </x:c>
      <x:c r="P344" s="87">
        <x:v>0</x:v>
      </x:c>
      <x:c r="Q344" s="267"/>
      <x:c r="R344" s="267"/>
      <x:c r="S344" s="78"/>
      <x:c r="T344" s="78"/>
      <x:c r="U344" s="79"/>
      <x:c r="V344" s="268">
        <x:f>31-M344-Q344</x:f>
      </x:c>
      <x:c r="W344" s="269">
        <x:v>6</x:v>
      </x:c>
      <x:c r="X344" s="270" t="s">
        <x:v>112</x:v>
      </x:c>
      <x:c r="Y344" s="73">
        <x:v>2</x:v>
      </x:c>
      <x:c r="Z344" s="72" t="s">
        <x:v>106</x:v>
      </x:c>
      <x:c r="AA344" s="82" t="s">
        <x:v>111</x:v>
      </x:c>
      <x:c r="AB344" s="72">
        <x:v>2025</x:v>
      </x:c>
      <x:c r="AC344" s="72" t="s">
        <x:v>113</x:v>
      </x:c>
      <x:c r="AD344" s="88">
        <x:f>+BORDRO!J348</x:f>
      </x:c>
      <x:c r="AE344" s="83"/>
      <x:c r="AF344" s="83">
        <x:f>+BORDRO!K348</x:f>
      </x:c>
      <x:c r="AG344" s="83">
        <x:f>+BORDRO!L348</x:f>
      </x:c>
      <x:c r="AH344" s="88">
        <x:f>+BORDRO!M348</x:f>
      </x:c>
      <x:c r="AI344" s="83">
        <x:f>+BORDRO!O348</x:f>
      </x:c>
      <x:c r="AJ344" s="84">
        <x:f>+BORDRO!P348</x:f>
      </x:c>
    </x:row>
    <x:row r="345" spans="1:36" ht="14.25" customHeight="1" x14ac:dyDescent="0.2">
      <x:c r="A345" s="72" t="s">
        <x:v>106</x:v>
      </x:c>
      <x:c r="B345" s="271">
        <x:v>46</x:v>
      </x:c>
      <x:c r="C345" s="72" t="s">
        <x:v>107</x:v>
      </x:c>
      <x:c r="D345" s="72" t="s">
        <x:v>108</x:v>
      </x:c>
      <x:c r="E345" s="72" t="s">
        <x:v>108</x:v>
      </x:c>
      <x:c r="F345" s="73">
        <x:v>1494768</x:v>
      </x:c>
      <x:c r="G345" s="74" t="s">
        <x:v>109</x:v>
      </x:c>
      <x:c r="H345" s="72" t="s">
        <x:v>110</x:v>
      </x:c>
      <x:c r="I345" s="86"/>
      <x:c r="J345" s="75">
        <x:f>+Puantaj!C349</x:f>
      </x:c>
      <x:c r="K345" s="72">
        <x:f>+Puantaj!D349</x:f>
      </x:c>
      <x:c r="L345" s="72">
        <x:f>+Puantaj!E349</x:f>
      </x:c>
      <x:c r="M345" s="265">
        <x:f>+BORDRO!F349</x:f>
      </x:c>
      <x:c r="N345" s="72"/>
      <x:c r="O345" s="87">
        <x:f>+BORDRO!G349</x:f>
      </x:c>
      <x:c r="P345" s="87">
        <x:v>0</x:v>
      </x:c>
      <x:c r="Q345" s="267"/>
      <x:c r="R345" s="267"/>
      <x:c r="S345" s="78"/>
      <x:c r="T345" s="78"/>
      <x:c r="U345" s="79"/>
      <x:c r="V345" s="268">
        <x:f>31-M345-Q345</x:f>
      </x:c>
      <x:c r="W345" s="269">
        <x:v>6</x:v>
      </x:c>
      <x:c r="X345" s="270" t="s">
        <x:v>112</x:v>
      </x:c>
      <x:c r="Y345" s="73">
        <x:v>2</x:v>
      </x:c>
      <x:c r="Z345" s="72" t="s">
        <x:v>106</x:v>
      </x:c>
      <x:c r="AA345" s="82" t="s">
        <x:v>111</x:v>
      </x:c>
      <x:c r="AB345" s="72">
        <x:v>2025</x:v>
      </x:c>
      <x:c r="AC345" s="72" t="s">
        <x:v>113</x:v>
      </x:c>
      <x:c r="AD345" s="88">
        <x:f>+BORDRO!J349</x:f>
      </x:c>
      <x:c r="AE345" s="83"/>
      <x:c r="AF345" s="83">
        <x:f>+BORDRO!K349</x:f>
      </x:c>
      <x:c r="AG345" s="83">
        <x:f>+BORDRO!L349</x:f>
      </x:c>
      <x:c r="AH345" s="88">
        <x:f>+BORDRO!M349</x:f>
      </x:c>
      <x:c r="AI345" s="83">
        <x:f>+BORDRO!O349</x:f>
      </x:c>
      <x:c r="AJ345" s="84">
        <x:f>+BORDRO!P349</x:f>
      </x:c>
    </x:row>
    <x:row r="346" spans="1:36" ht="15" customHeight="1" x14ac:dyDescent="0.25">
      <x:c r="A346" s="72" t="s">
        <x:v>106</x:v>
      </x:c>
      <x:c r="B346" s="264">
        <x:v>46</x:v>
      </x:c>
      <x:c r="C346" s="72" t="s">
        <x:v>107</x:v>
      </x:c>
      <x:c r="D346" s="72" t="s">
        <x:v>108</x:v>
      </x:c>
      <x:c r="E346" s="72" t="s">
        <x:v>108</x:v>
      </x:c>
      <x:c r="F346" s="73">
        <x:v>1494768</x:v>
      </x:c>
      <x:c r="G346" s="74" t="s">
        <x:v>109</x:v>
      </x:c>
      <x:c r="H346" s="72" t="s">
        <x:v>110</x:v>
      </x:c>
      <x:c r="I346" s="86"/>
      <x:c r="J346" s="75">
        <x:f>+Puantaj!C350</x:f>
      </x:c>
      <x:c r="K346" s="72">
        <x:f>+Puantaj!D350</x:f>
      </x:c>
      <x:c r="L346" s="72">
        <x:f>+Puantaj!E350</x:f>
      </x:c>
      <x:c r="M346" s="265">
        <x:f>+BORDRO!F350</x:f>
      </x:c>
      <x:c r="N346" s="72"/>
      <x:c r="O346" s="87">
        <x:f>+BORDRO!G350</x:f>
      </x:c>
      <x:c r="P346" s="87">
        <x:v>0</x:v>
      </x:c>
      <x:c r="Q346" s="267"/>
      <x:c r="R346" s="267"/>
      <x:c r="S346" s="78"/>
      <x:c r="T346" s="78"/>
      <x:c r="U346" s="79"/>
      <x:c r="V346" s="268">
        <x:f>31-M346-Q346</x:f>
      </x:c>
      <x:c r="W346" s="269">
        <x:v>6</x:v>
      </x:c>
      <x:c r="X346" s="270" t="s">
        <x:v>112</x:v>
      </x:c>
      <x:c r="Y346" s="73">
        <x:v>2</x:v>
      </x:c>
      <x:c r="Z346" s="72" t="s">
        <x:v>106</x:v>
      </x:c>
      <x:c r="AA346" s="82" t="s">
        <x:v>111</x:v>
      </x:c>
      <x:c r="AB346" s="72">
        <x:v>2025</x:v>
      </x:c>
      <x:c r="AC346" s="72" t="s">
        <x:v>113</x:v>
      </x:c>
      <x:c r="AD346" s="88">
        <x:f>+BORDRO!J350</x:f>
      </x:c>
      <x:c r="AE346" s="83"/>
      <x:c r="AF346" s="83">
        <x:f>+BORDRO!K350</x:f>
      </x:c>
      <x:c r="AG346" s="83">
        <x:f>+BORDRO!L350</x:f>
      </x:c>
      <x:c r="AH346" s="88">
        <x:f>+BORDRO!M350</x:f>
      </x:c>
      <x:c r="AI346" s="83">
        <x:f>+BORDRO!O350</x:f>
      </x:c>
      <x:c r="AJ346" s="84">
        <x:f>+BORDRO!P350</x:f>
      </x:c>
    </x:row>
    <x:row r="347" spans="1:36" ht="14.25" customHeight="1" x14ac:dyDescent="0.2">
      <x:c r="A347" s="72" t="s">
        <x:v>106</x:v>
      </x:c>
      <x:c r="B347" s="271">
        <x:v>46</x:v>
      </x:c>
      <x:c r="C347" s="72" t="s">
        <x:v>107</x:v>
      </x:c>
      <x:c r="D347" s="72" t="s">
        <x:v>108</x:v>
      </x:c>
      <x:c r="E347" s="72" t="s">
        <x:v>108</x:v>
      </x:c>
      <x:c r="F347" s="73">
        <x:v>1494768</x:v>
      </x:c>
      <x:c r="G347" s="74" t="s">
        <x:v>109</x:v>
      </x:c>
      <x:c r="H347" s="72" t="s">
        <x:v>110</x:v>
      </x:c>
      <x:c r="I347" s="86"/>
      <x:c r="J347" s="75">
        <x:f>+Puantaj!C351</x:f>
      </x:c>
      <x:c r="K347" s="72">
        <x:f>+Puantaj!D351</x:f>
      </x:c>
      <x:c r="L347" s="72">
        <x:f>+Puantaj!E351</x:f>
      </x:c>
      <x:c r="M347" s="265">
        <x:f>+BORDRO!F351</x:f>
      </x:c>
      <x:c r="N347" s="72"/>
      <x:c r="O347" s="87">
        <x:f>+BORDRO!G351</x:f>
      </x:c>
      <x:c r="P347" s="87">
        <x:v>0</x:v>
      </x:c>
      <x:c r="Q347" s="267"/>
      <x:c r="R347" s="267"/>
      <x:c r="S347" s="78"/>
      <x:c r="T347" s="78"/>
      <x:c r="U347" s="79"/>
      <x:c r="V347" s="268">
        <x:f>31-M347-Q347</x:f>
      </x:c>
      <x:c r="W347" s="269">
        <x:v>6</x:v>
      </x:c>
      <x:c r="X347" s="270" t="s">
        <x:v>112</x:v>
      </x:c>
      <x:c r="Y347" s="73">
        <x:v>2</x:v>
      </x:c>
      <x:c r="Z347" s="72" t="s">
        <x:v>106</x:v>
      </x:c>
      <x:c r="AA347" s="82" t="s">
        <x:v>111</x:v>
      </x:c>
      <x:c r="AB347" s="72">
        <x:v>2025</x:v>
      </x:c>
      <x:c r="AC347" s="72" t="s">
        <x:v>113</x:v>
      </x:c>
      <x:c r="AD347" s="88">
        <x:f>+BORDRO!J351</x:f>
      </x:c>
      <x:c r="AE347" s="83"/>
      <x:c r="AF347" s="83">
        <x:f>+BORDRO!K351</x:f>
      </x:c>
      <x:c r="AG347" s="83">
        <x:f>+BORDRO!L351</x:f>
      </x:c>
      <x:c r="AH347" s="88">
        <x:f>+BORDRO!M351</x:f>
      </x:c>
      <x:c r="AI347" s="83">
        <x:f>+BORDRO!O351</x:f>
      </x:c>
      <x:c r="AJ347" s="84">
        <x:f>+BORDRO!P351</x:f>
      </x:c>
    </x:row>
    <x:row r="348" spans="1:36" ht="15" customHeight="1" x14ac:dyDescent="0.25">
      <x:c r="A348" s="72" t="s">
        <x:v>106</x:v>
      </x:c>
      <x:c r="B348" s="264">
        <x:v>46</x:v>
      </x:c>
      <x:c r="C348" s="72" t="s">
        <x:v>107</x:v>
      </x:c>
      <x:c r="D348" s="72" t="s">
        <x:v>108</x:v>
      </x:c>
      <x:c r="E348" s="72" t="s">
        <x:v>108</x:v>
      </x:c>
      <x:c r="F348" s="73">
        <x:v>1494768</x:v>
      </x:c>
      <x:c r="G348" s="74" t="s">
        <x:v>109</x:v>
      </x:c>
      <x:c r="H348" s="72" t="s">
        <x:v>110</x:v>
      </x:c>
      <x:c r="I348" s="86"/>
      <x:c r="J348" s="75">
        <x:f>+Puantaj!C352</x:f>
      </x:c>
      <x:c r="K348" s="72">
        <x:f>+Puantaj!D352</x:f>
      </x:c>
      <x:c r="L348" s="72">
        <x:f>+Puantaj!E352</x:f>
      </x:c>
      <x:c r="M348" s="265">
        <x:f>+BORDRO!F352</x:f>
      </x:c>
      <x:c r="N348" s="72"/>
      <x:c r="O348" s="87">
        <x:f>+BORDRO!G352</x:f>
      </x:c>
      <x:c r="P348" s="87">
        <x:v>0</x:v>
      </x:c>
      <x:c r="Q348" s="267"/>
      <x:c r="R348" s="267"/>
      <x:c r="S348" s="78"/>
      <x:c r="T348" s="78"/>
      <x:c r="U348" s="79"/>
      <x:c r="V348" s="268">
        <x:f>31-M348-Q348</x:f>
      </x:c>
      <x:c r="W348" s="269">
        <x:v>6</x:v>
      </x:c>
      <x:c r="X348" s="270" t="s">
        <x:v>112</x:v>
      </x:c>
      <x:c r="Y348" s="73">
        <x:v>2</x:v>
      </x:c>
      <x:c r="Z348" s="72" t="s">
        <x:v>106</x:v>
      </x:c>
      <x:c r="AA348" s="82" t="s">
        <x:v>111</x:v>
      </x:c>
      <x:c r="AB348" s="72">
        <x:v>2025</x:v>
      </x:c>
      <x:c r="AC348" s="72" t="s">
        <x:v>113</x:v>
      </x:c>
      <x:c r="AD348" s="88">
        <x:f>+BORDRO!J352</x:f>
      </x:c>
      <x:c r="AE348" s="83"/>
      <x:c r="AF348" s="83">
        <x:f>+BORDRO!K352</x:f>
      </x:c>
      <x:c r="AG348" s="83">
        <x:f>+BORDRO!L352</x:f>
      </x:c>
      <x:c r="AH348" s="88">
        <x:f>+BORDRO!M352</x:f>
      </x:c>
      <x:c r="AI348" s="83">
        <x:f>+BORDRO!O352</x:f>
      </x:c>
      <x:c r="AJ348" s="84">
        <x:f>+BORDRO!P352</x:f>
      </x:c>
    </x:row>
    <x:row r="349" spans="1:36" ht="14.25" customHeight="1" x14ac:dyDescent="0.2">
      <x:c r="A349" s="72" t="s">
        <x:v>106</x:v>
      </x:c>
      <x:c r="B349" s="271">
        <x:v>46</x:v>
      </x:c>
      <x:c r="C349" s="72" t="s">
        <x:v>107</x:v>
      </x:c>
      <x:c r="D349" s="72" t="s">
        <x:v>108</x:v>
      </x:c>
      <x:c r="E349" s="72" t="s">
        <x:v>108</x:v>
      </x:c>
      <x:c r="F349" s="73">
        <x:v>1494768</x:v>
      </x:c>
      <x:c r="G349" s="74" t="s">
        <x:v>109</x:v>
      </x:c>
      <x:c r="H349" s="72" t="s">
        <x:v>110</x:v>
      </x:c>
      <x:c r="I349" s="86"/>
      <x:c r="J349" s="75">
        <x:f>+Puantaj!C353</x:f>
      </x:c>
      <x:c r="K349" s="72">
        <x:f>+Puantaj!D353</x:f>
      </x:c>
      <x:c r="L349" s="72">
        <x:f>+Puantaj!E353</x:f>
      </x:c>
      <x:c r="M349" s="265">
        <x:f>+BORDRO!F353</x:f>
      </x:c>
      <x:c r="N349" s="72"/>
      <x:c r="O349" s="87">
        <x:f>+BORDRO!G353</x:f>
      </x:c>
      <x:c r="P349" s="87">
        <x:v>0</x:v>
      </x:c>
      <x:c r="Q349" s="267"/>
      <x:c r="R349" s="267"/>
      <x:c r="S349" s="78"/>
      <x:c r="T349" s="78"/>
      <x:c r="U349" s="79"/>
      <x:c r="V349" s="268">
        <x:f>31-M349-Q349</x:f>
      </x:c>
      <x:c r="W349" s="269">
        <x:v>6</x:v>
      </x:c>
      <x:c r="X349" s="270" t="s">
        <x:v>112</x:v>
      </x:c>
      <x:c r="Y349" s="73">
        <x:v>2</x:v>
      </x:c>
      <x:c r="Z349" s="72" t="s">
        <x:v>106</x:v>
      </x:c>
      <x:c r="AA349" s="82" t="s">
        <x:v>111</x:v>
      </x:c>
      <x:c r="AB349" s="72">
        <x:v>2025</x:v>
      </x:c>
      <x:c r="AC349" s="72" t="s">
        <x:v>113</x:v>
      </x:c>
      <x:c r="AD349" s="88">
        <x:f>+BORDRO!J353</x:f>
      </x:c>
      <x:c r="AE349" s="83"/>
      <x:c r="AF349" s="83">
        <x:f>+BORDRO!K353</x:f>
      </x:c>
      <x:c r="AG349" s="83">
        <x:f>+BORDRO!L353</x:f>
      </x:c>
      <x:c r="AH349" s="88">
        <x:f>+BORDRO!M353</x:f>
      </x:c>
      <x:c r="AI349" s="83">
        <x:f>+BORDRO!O353</x:f>
      </x:c>
      <x:c r="AJ349" s="84">
        <x:f>+BORDRO!P353</x:f>
      </x:c>
    </x:row>
    <x:row r="350" spans="1:36" ht="15" customHeight="1" x14ac:dyDescent="0.25">
      <x:c r="A350" s="72" t="s">
        <x:v>106</x:v>
      </x:c>
      <x:c r="B350" s="264">
        <x:v>46</x:v>
      </x:c>
      <x:c r="C350" s="72" t="s">
        <x:v>107</x:v>
      </x:c>
      <x:c r="D350" s="72" t="s">
        <x:v>108</x:v>
      </x:c>
      <x:c r="E350" s="72" t="s">
        <x:v>108</x:v>
      </x:c>
      <x:c r="F350" s="73">
        <x:v>1494768</x:v>
      </x:c>
      <x:c r="G350" s="74" t="s">
        <x:v>109</x:v>
      </x:c>
      <x:c r="H350" s="72" t="s">
        <x:v>110</x:v>
      </x:c>
      <x:c r="I350" s="86"/>
      <x:c r="J350" s="75">
        <x:f>+Puantaj!C354</x:f>
      </x:c>
      <x:c r="K350" s="72">
        <x:f>+Puantaj!D354</x:f>
      </x:c>
      <x:c r="L350" s="72">
        <x:f>+Puantaj!E354</x:f>
      </x:c>
      <x:c r="M350" s="265">
        <x:f>+BORDRO!F354</x:f>
      </x:c>
      <x:c r="N350" s="72"/>
      <x:c r="O350" s="87">
        <x:f>+BORDRO!G354</x:f>
      </x:c>
      <x:c r="P350" s="87">
        <x:v>0</x:v>
      </x:c>
      <x:c r="Q350" s="267"/>
      <x:c r="R350" s="267"/>
      <x:c r="S350" s="78"/>
      <x:c r="T350" s="78"/>
      <x:c r="U350" s="79"/>
      <x:c r="V350" s="268">
        <x:f>31-M350-Q350</x:f>
      </x:c>
      <x:c r="W350" s="269">
        <x:v>6</x:v>
      </x:c>
      <x:c r="X350" s="270" t="s">
        <x:v>112</x:v>
      </x:c>
      <x:c r="Y350" s="73">
        <x:v>2</x:v>
      </x:c>
      <x:c r="Z350" s="72" t="s">
        <x:v>106</x:v>
      </x:c>
      <x:c r="AA350" s="82" t="s">
        <x:v>111</x:v>
      </x:c>
      <x:c r="AB350" s="72">
        <x:v>2025</x:v>
      </x:c>
      <x:c r="AC350" s="72" t="s">
        <x:v>113</x:v>
      </x:c>
      <x:c r="AD350" s="88">
        <x:f>+BORDRO!J354</x:f>
      </x:c>
      <x:c r="AE350" s="83"/>
      <x:c r="AF350" s="83">
        <x:f>+BORDRO!K354</x:f>
      </x:c>
      <x:c r="AG350" s="83">
        <x:f>+BORDRO!L354</x:f>
      </x:c>
      <x:c r="AH350" s="88">
        <x:f>+BORDRO!M354</x:f>
      </x:c>
      <x:c r="AI350" s="83">
        <x:f>+BORDRO!O354</x:f>
      </x:c>
      <x:c r="AJ350" s="84">
        <x:f>+BORDRO!P354</x:f>
      </x:c>
    </x:row>
    <x:row r="351" spans="1:36" ht="14.25" customHeight="1" x14ac:dyDescent="0.2">
      <x:c r="A351" s="72" t="s">
        <x:v>106</x:v>
      </x:c>
      <x:c r="B351" s="271">
        <x:v>46</x:v>
      </x:c>
      <x:c r="C351" s="72" t="s">
        <x:v>107</x:v>
      </x:c>
      <x:c r="D351" s="72" t="s">
        <x:v>108</x:v>
      </x:c>
      <x:c r="E351" s="72" t="s">
        <x:v>108</x:v>
      </x:c>
      <x:c r="F351" s="73">
        <x:v>1494768</x:v>
      </x:c>
      <x:c r="G351" s="74" t="s">
        <x:v>109</x:v>
      </x:c>
      <x:c r="H351" s="72" t="s">
        <x:v>110</x:v>
      </x:c>
      <x:c r="I351" s="86"/>
      <x:c r="J351" s="75">
        <x:f>+Puantaj!C355</x:f>
      </x:c>
      <x:c r="K351" s="72">
        <x:f>+Puantaj!D355</x:f>
      </x:c>
      <x:c r="L351" s="72">
        <x:f>+Puantaj!E355</x:f>
      </x:c>
      <x:c r="M351" s="265">
        <x:f>+BORDRO!F355</x:f>
      </x:c>
      <x:c r="N351" s="72"/>
      <x:c r="O351" s="87">
        <x:f>+BORDRO!G355</x:f>
      </x:c>
      <x:c r="P351" s="87">
        <x:v>0</x:v>
      </x:c>
      <x:c r="Q351" s="267"/>
      <x:c r="R351" s="267"/>
      <x:c r="S351" s="78"/>
      <x:c r="T351" s="78"/>
      <x:c r="U351" s="79"/>
      <x:c r="V351" s="268">
        <x:f>31-M351-Q351</x:f>
      </x:c>
      <x:c r="W351" s="269">
        <x:v>6</x:v>
      </x:c>
      <x:c r="X351" s="270" t="s">
        <x:v>112</x:v>
      </x:c>
      <x:c r="Y351" s="73">
        <x:v>2</x:v>
      </x:c>
      <x:c r="Z351" s="72" t="s">
        <x:v>106</x:v>
      </x:c>
      <x:c r="AA351" s="82" t="s">
        <x:v>111</x:v>
      </x:c>
      <x:c r="AB351" s="72">
        <x:v>2025</x:v>
      </x:c>
      <x:c r="AC351" s="72" t="s">
        <x:v>113</x:v>
      </x:c>
      <x:c r="AD351" s="88">
        <x:f>+BORDRO!J355</x:f>
      </x:c>
      <x:c r="AE351" s="83"/>
      <x:c r="AF351" s="83">
        <x:f>+BORDRO!K355</x:f>
      </x:c>
      <x:c r="AG351" s="83">
        <x:f>+BORDRO!L355</x:f>
      </x:c>
      <x:c r="AH351" s="88">
        <x:f>+BORDRO!M355</x:f>
      </x:c>
      <x:c r="AI351" s="83">
        <x:f>+BORDRO!O355</x:f>
      </x:c>
      <x:c r="AJ351" s="84">
        <x:f>+BORDRO!P355</x:f>
      </x:c>
    </x:row>
    <x:row r="352" spans="1:36" ht="15" customHeight="1" x14ac:dyDescent="0.25">
      <x:c r="A352" s="72" t="s">
        <x:v>106</x:v>
      </x:c>
      <x:c r="B352" s="264">
        <x:v>46</x:v>
      </x:c>
      <x:c r="C352" s="72" t="s">
        <x:v>107</x:v>
      </x:c>
      <x:c r="D352" s="72" t="s">
        <x:v>108</x:v>
      </x:c>
      <x:c r="E352" s="72" t="s">
        <x:v>108</x:v>
      </x:c>
      <x:c r="F352" s="73">
        <x:v>1494768</x:v>
      </x:c>
      <x:c r="G352" s="74" t="s">
        <x:v>109</x:v>
      </x:c>
      <x:c r="H352" s="72" t="s">
        <x:v>110</x:v>
      </x:c>
      <x:c r="I352" s="86"/>
      <x:c r="J352" s="75">
        <x:f>+Puantaj!C356</x:f>
      </x:c>
      <x:c r="K352" s="72">
        <x:f>+Puantaj!D356</x:f>
      </x:c>
      <x:c r="L352" s="72">
        <x:f>+Puantaj!E356</x:f>
      </x:c>
      <x:c r="M352" s="265">
        <x:f>+BORDRO!F356</x:f>
      </x:c>
      <x:c r="N352" s="72"/>
      <x:c r="O352" s="87">
        <x:f>+BORDRO!G356</x:f>
      </x:c>
      <x:c r="P352" s="87">
        <x:v>0</x:v>
      </x:c>
      <x:c r="Q352" s="267"/>
      <x:c r="R352" s="267"/>
      <x:c r="S352" s="78"/>
      <x:c r="T352" s="78"/>
      <x:c r="U352" s="79"/>
      <x:c r="V352" s="268">
        <x:f>31-M352-Q352</x:f>
      </x:c>
      <x:c r="W352" s="269">
        <x:v>6</x:v>
      </x:c>
      <x:c r="X352" s="270" t="s">
        <x:v>112</x:v>
      </x:c>
      <x:c r="Y352" s="73">
        <x:v>2</x:v>
      </x:c>
      <x:c r="Z352" s="72" t="s">
        <x:v>106</x:v>
      </x:c>
      <x:c r="AA352" s="82" t="s">
        <x:v>111</x:v>
      </x:c>
      <x:c r="AB352" s="72">
        <x:v>2025</x:v>
      </x:c>
      <x:c r="AC352" s="72" t="s">
        <x:v>113</x:v>
      </x:c>
      <x:c r="AD352" s="88">
        <x:f>+BORDRO!J356</x:f>
      </x:c>
      <x:c r="AE352" s="83"/>
      <x:c r="AF352" s="83">
        <x:f>+BORDRO!K356</x:f>
      </x:c>
      <x:c r="AG352" s="83">
        <x:f>+BORDRO!L356</x:f>
      </x:c>
      <x:c r="AH352" s="88">
        <x:f>+BORDRO!M356</x:f>
      </x:c>
      <x:c r="AI352" s="83">
        <x:f>+BORDRO!O356</x:f>
      </x:c>
      <x:c r="AJ352" s="84">
        <x:f>+BORDRO!P356</x:f>
      </x:c>
    </x:row>
    <x:row r="353" spans="1:36" ht="14.25" customHeight="1" x14ac:dyDescent="0.2">
      <x:c r="A353" s="72" t="s">
        <x:v>106</x:v>
      </x:c>
      <x:c r="B353" s="271">
        <x:v>46</x:v>
      </x:c>
      <x:c r="C353" s="72" t="s">
        <x:v>107</x:v>
      </x:c>
      <x:c r="D353" s="72" t="s">
        <x:v>108</x:v>
      </x:c>
      <x:c r="E353" s="72" t="s">
        <x:v>108</x:v>
      </x:c>
      <x:c r="F353" s="73">
        <x:v>1494768</x:v>
      </x:c>
      <x:c r="G353" s="74" t="s">
        <x:v>109</x:v>
      </x:c>
      <x:c r="H353" s="72" t="s">
        <x:v>110</x:v>
      </x:c>
      <x:c r="I353" s="86"/>
      <x:c r="J353" s="75">
        <x:f>+Puantaj!C357</x:f>
      </x:c>
      <x:c r="K353" s="72">
        <x:f>+Puantaj!D357</x:f>
      </x:c>
      <x:c r="L353" s="72">
        <x:f>+Puantaj!E357</x:f>
      </x:c>
      <x:c r="M353" s="265">
        <x:f>+BORDRO!F357</x:f>
      </x:c>
      <x:c r="N353" s="72"/>
      <x:c r="O353" s="87">
        <x:f>+BORDRO!G357</x:f>
      </x:c>
      <x:c r="P353" s="87">
        <x:v>0</x:v>
      </x:c>
      <x:c r="Q353" s="267"/>
      <x:c r="R353" s="267"/>
      <x:c r="S353" s="78"/>
      <x:c r="T353" s="78"/>
      <x:c r="U353" s="79"/>
      <x:c r="V353" s="268">
        <x:f>31-M353-Q353</x:f>
      </x:c>
      <x:c r="W353" s="269">
        <x:v>6</x:v>
      </x:c>
      <x:c r="X353" s="270" t="s">
        <x:v>112</x:v>
      </x:c>
      <x:c r="Y353" s="73">
        <x:v>2</x:v>
      </x:c>
      <x:c r="Z353" s="72" t="s">
        <x:v>106</x:v>
      </x:c>
      <x:c r="AA353" s="82" t="s">
        <x:v>111</x:v>
      </x:c>
      <x:c r="AB353" s="72">
        <x:v>2025</x:v>
      </x:c>
      <x:c r="AC353" s="72" t="s">
        <x:v>113</x:v>
      </x:c>
      <x:c r="AD353" s="88">
        <x:f>+BORDRO!J357</x:f>
      </x:c>
      <x:c r="AE353" s="83"/>
      <x:c r="AF353" s="83">
        <x:f>+BORDRO!K357</x:f>
      </x:c>
      <x:c r="AG353" s="83">
        <x:f>+BORDRO!L357</x:f>
      </x:c>
      <x:c r="AH353" s="88">
        <x:f>+BORDRO!M357</x:f>
      </x:c>
      <x:c r="AI353" s="83">
        <x:f>+BORDRO!O357</x:f>
      </x:c>
      <x:c r="AJ353" s="84">
        <x:f>+BORDRO!P357</x:f>
      </x:c>
    </x:row>
    <x:row r="354" spans="1:36" ht="15" customHeight="1" x14ac:dyDescent="0.25">
      <x:c r="A354" s="72" t="s">
        <x:v>106</x:v>
      </x:c>
      <x:c r="B354" s="264">
        <x:v>46</x:v>
      </x:c>
      <x:c r="C354" s="72" t="s">
        <x:v>107</x:v>
      </x:c>
      <x:c r="D354" s="72" t="s">
        <x:v>108</x:v>
      </x:c>
      <x:c r="E354" s="72" t="s">
        <x:v>108</x:v>
      </x:c>
      <x:c r="F354" s="73">
        <x:v>1494768</x:v>
      </x:c>
      <x:c r="G354" s="74" t="s">
        <x:v>109</x:v>
      </x:c>
      <x:c r="H354" s="72" t="s">
        <x:v>110</x:v>
      </x:c>
      <x:c r="I354" s="86"/>
      <x:c r="J354" s="75">
        <x:f>+Puantaj!C358</x:f>
      </x:c>
      <x:c r="K354" s="72">
        <x:f>+Puantaj!D358</x:f>
      </x:c>
      <x:c r="L354" s="72">
        <x:f>+Puantaj!E358</x:f>
      </x:c>
      <x:c r="M354" s="265">
        <x:f>+BORDRO!F358</x:f>
      </x:c>
      <x:c r="N354" s="72"/>
      <x:c r="O354" s="87">
        <x:f>+BORDRO!G358</x:f>
      </x:c>
      <x:c r="P354" s="87">
        <x:v>0</x:v>
      </x:c>
      <x:c r="Q354" s="267"/>
      <x:c r="R354" s="267"/>
      <x:c r="S354" s="78"/>
      <x:c r="T354" s="78"/>
      <x:c r="U354" s="79"/>
      <x:c r="V354" s="268">
        <x:f>31-M354-Q354</x:f>
      </x:c>
      <x:c r="W354" s="269">
        <x:v>6</x:v>
      </x:c>
      <x:c r="X354" s="270" t="s">
        <x:v>112</x:v>
      </x:c>
      <x:c r="Y354" s="73">
        <x:v>2</x:v>
      </x:c>
      <x:c r="Z354" s="72" t="s">
        <x:v>106</x:v>
      </x:c>
      <x:c r="AA354" s="82" t="s">
        <x:v>111</x:v>
      </x:c>
      <x:c r="AB354" s="72">
        <x:v>2025</x:v>
      </x:c>
      <x:c r="AC354" s="72" t="s">
        <x:v>113</x:v>
      </x:c>
      <x:c r="AD354" s="88">
        <x:f>+BORDRO!J358</x:f>
      </x:c>
      <x:c r="AE354" s="83"/>
      <x:c r="AF354" s="83">
        <x:f>+BORDRO!K358</x:f>
      </x:c>
      <x:c r="AG354" s="83">
        <x:f>+BORDRO!L358</x:f>
      </x:c>
      <x:c r="AH354" s="88">
        <x:f>+BORDRO!M358</x:f>
      </x:c>
      <x:c r="AI354" s="83">
        <x:f>+BORDRO!O358</x:f>
      </x:c>
      <x:c r="AJ354" s="84">
        <x:f>+BORDRO!P358</x:f>
      </x:c>
    </x:row>
    <x:row r="355" spans="1:36" ht="14.25" customHeight="1" x14ac:dyDescent="0.2">
      <x:c r="A355" s="72" t="s">
        <x:v>106</x:v>
      </x:c>
      <x:c r="B355" s="271">
        <x:v>46</x:v>
      </x:c>
      <x:c r="C355" s="72" t="s">
        <x:v>107</x:v>
      </x:c>
      <x:c r="D355" s="72" t="s">
        <x:v>108</x:v>
      </x:c>
      <x:c r="E355" s="72" t="s">
        <x:v>108</x:v>
      </x:c>
      <x:c r="F355" s="73">
        <x:v>1494768</x:v>
      </x:c>
      <x:c r="G355" s="74" t="s">
        <x:v>109</x:v>
      </x:c>
      <x:c r="H355" s="72" t="s">
        <x:v>110</x:v>
      </x:c>
      <x:c r="I355" s="86"/>
      <x:c r="J355" s="75">
        <x:f>+Puantaj!C359</x:f>
      </x:c>
      <x:c r="K355" s="72">
        <x:f>+Puantaj!D359</x:f>
      </x:c>
      <x:c r="L355" s="72">
        <x:f>+Puantaj!E359</x:f>
      </x:c>
      <x:c r="M355" s="265">
        <x:f>+BORDRO!F359</x:f>
      </x:c>
      <x:c r="N355" s="72"/>
      <x:c r="O355" s="87">
        <x:f>+BORDRO!G359</x:f>
      </x:c>
      <x:c r="P355" s="87">
        <x:v>0</x:v>
      </x:c>
      <x:c r="Q355" s="267"/>
      <x:c r="R355" s="267"/>
      <x:c r="S355" s="78"/>
      <x:c r="T355" s="78"/>
      <x:c r="U355" s="79"/>
      <x:c r="V355" s="268">
        <x:f>31-M355-Q355</x:f>
      </x:c>
      <x:c r="W355" s="269">
        <x:v>6</x:v>
      </x:c>
      <x:c r="X355" s="270" t="s">
        <x:v>112</x:v>
      </x:c>
      <x:c r="Y355" s="73">
        <x:v>2</x:v>
      </x:c>
      <x:c r="Z355" s="72" t="s">
        <x:v>106</x:v>
      </x:c>
      <x:c r="AA355" s="82" t="s">
        <x:v>111</x:v>
      </x:c>
      <x:c r="AB355" s="72">
        <x:v>2025</x:v>
      </x:c>
      <x:c r="AC355" s="72" t="s">
        <x:v>113</x:v>
      </x:c>
      <x:c r="AD355" s="88">
        <x:f>+BORDRO!J359</x:f>
      </x:c>
      <x:c r="AE355" s="83"/>
      <x:c r="AF355" s="83">
        <x:f>+BORDRO!K359</x:f>
      </x:c>
      <x:c r="AG355" s="83">
        <x:f>+BORDRO!L359</x:f>
      </x:c>
      <x:c r="AH355" s="88">
        <x:f>+BORDRO!M359</x:f>
      </x:c>
      <x:c r="AI355" s="83">
        <x:f>+BORDRO!O359</x:f>
      </x:c>
      <x:c r="AJ355" s="84">
        <x:f>+BORDRO!P359</x:f>
      </x:c>
    </x:row>
    <x:row r="356" spans="1:36" ht="15" customHeight="1" x14ac:dyDescent="0.25">
      <x:c r="A356" s="72" t="s">
        <x:v>106</x:v>
      </x:c>
      <x:c r="B356" s="264">
        <x:v>46</x:v>
      </x:c>
      <x:c r="C356" s="72" t="s">
        <x:v>107</x:v>
      </x:c>
      <x:c r="D356" s="72" t="s">
        <x:v>108</x:v>
      </x:c>
      <x:c r="E356" s="72" t="s">
        <x:v>108</x:v>
      </x:c>
      <x:c r="F356" s="73">
        <x:v>1494768</x:v>
      </x:c>
      <x:c r="G356" s="74" t="s">
        <x:v>109</x:v>
      </x:c>
      <x:c r="H356" s="72" t="s">
        <x:v>110</x:v>
      </x:c>
      <x:c r="I356" s="86"/>
      <x:c r="J356" s="75">
        <x:f>+Puantaj!C360</x:f>
      </x:c>
      <x:c r="K356" s="72">
        <x:f>+Puantaj!D360</x:f>
      </x:c>
      <x:c r="L356" s="72">
        <x:f>+Puantaj!E360</x:f>
      </x:c>
      <x:c r="M356" s="265">
        <x:f>+BORDRO!F360</x:f>
      </x:c>
      <x:c r="N356" s="72"/>
      <x:c r="O356" s="87">
        <x:f>+BORDRO!G360</x:f>
      </x:c>
      <x:c r="P356" s="87">
        <x:v>0</x:v>
      </x:c>
      <x:c r="Q356" s="267"/>
      <x:c r="R356" s="267"/>
      <x:c r="S356" s="78"/>
      <x:c r="T356" s="78"/>
      <x:c r="U356" s="79"/>
      <x:c r="V356" s="268">
        <x:f>31-M356-Q356</x:f>
      </x:c>
      <x:c r="W356" s="269">
        <x:v>6</x:v>
      </x:c>
      <x:c r="X356" s="270" t="s">
        <x:v>112</x:v>
      </x:c>
      <x:c r="Y356" s="73">
        <x:v>2</x:v>
      </x:c>
      <x:c r="Z356" s="72" t="s">
        <x:v>106</x:v>
      </x:c>
      <x:c r="AA356" s="82" t="s">
        <x:v>111</x:v>
      </x:c>
      <x:c r="AB356" s="72">
        <x:v>2025</x:v>
      </x:c>
      <x:c r="AC356" s="72" t="s">
        <x:v>113</x:v>
      </x:c>
      <x:c r="AD356" s="88">
        <x:f>+BORDRO!J360</x:f>
      </x:c>
      <x:c r="AE356" s="83"/>
      <x:c r="AF356" s="83">
        <x:f>+BORDRO!K360</x:f>
      </x:c>
      <x:c r="AG356" s="83">
        <x:f>+BORDRO!L360</x:f>
      </x:c>
      <x:c r="AH356" s="88">
        <x:f>+BORDRO!M360</x:f>
      </x:c>
      <x:c r="AI356" s="83">
        <x:f>+BORDRO!O360</x:f>
      </x:c>
      <x:c r="AJ356" s="84">
        <x:f>+BORDRO!P360</x:f>
      </x:c>
    </x:row>
    <x:row r="357" spans="1:36" ht="14.25" customHeight="1" x14ac:dyDescent="0.2">
      <x:c r="A357" s="72" t="s">
        <x:v>106</x:v>
      </x:c>
      <x:c r="B357" s="271">
        <x:v>46</x:v>
      </x:c>
      <x:c r="C357" s="72" t="s">
        <x:v>107</x:v>
      </x:c>
      <x:c r="D357" s="72" t="s">
        <x:v>108</x:v>
      </x:c>
      <x:c r="E357" s="72" t="s">
        <x:v>108</x:v>
      </x:c>
      <x:c r="F357" s="73">
        <x:v>1494768</x:v>
      </x:c>
      <x:c r="G357" s="74" t="s">
        <x:v>109</x:v>
      </x:c>
      <x:c r="H357" s="72" t="s">
        <x:v>110</x:v>
      </x:c>
      <x:c r="I357" s="86"/>
      <x:c r="J357" s="75">
        <x:f>+Puantaj!C361</x:f>
      </x:c>
      <x:c r="K357" s="72">
        <x:f>+Puantaj!D361</x:f>
      </x:c>
      <x:c r="L357" s="72">
        <x:f>+Puantaj!E361</x:f>
      </x:c>
      <x:c r="M357" s="265">
        <x:f>+BORDRO!F361</x:f>
      </x:c>
      <x:c r="N357" s="72"/>
      <x:c r="O357" s="87">
        <x:f>+BORDRO!G361</x:f>
      </x:c>
      <x:c r="P357" s="87">
        <x:v>0</x:v>
      </x:c>
      <x:c r="Q357" s="267"/>
      <x:c r="R357" s="267"/>
      <x:c r="S357" s="78"/>
      <x:c r="T357" s="78"/>
      <x:c r="U357" s="79"/>
      <x:c r="V357" s="268">
        <x:f>31-M357-Q357</x:f>
      </x:c>
      <x:c r="W357" s="269">
        <x:v>6</x:v>
      </x:c>
      <x:c r="X357" s="270" t="s">
        <x:v>112</x:v>
      </x:c>
      <x:c r="Y357" s="73">
        <x:v>2</x:v>
      </x:c>
      <x:c r="Z357" s="72" t="s">
        <x:v>106</x:v>
      </x:c>
      <x:c r="AA357" s="82" t="s">
        <x:v>111</x:v>
      </x:c>
      <x:c r="AB357" s="72">
        <x:v>2025</x:v>
      </x:c>
      <x:c r="AC357" s="72" t="s">
        <x:v>113</x:v>
      </x:c>
      <x:c r="AD357" s="88">
        <x:f>+BORDRO!J361</x:f>
      </x:c>
      <x:c r="AE357" s="83"/>
      <x:c r="AF357" s="83">
        <x:f>+BORDRO!K361</x:f>
      </x:c>
      <x:c r="AG357" s="83">
        <x:f>+BORDRO!L361</x:f>
      </x:c>
      <x:c r="AH357" s="88">
        <x:f>+BORDRO!M361</x:f>
      </x:c>
      <x:c r="AI357" s="83">
        <x:f>+BORDRO!O361</x:f>
      </x:c>
      <x:c r="AJ357" s="84">
        <x:f>+BORDRO!P361</x:f>
      </x:c>
    </x:row>
    <x:row r="358" spans="1:36" ht="15" customHeight="1" x14ac:dyDescent="0.25">
      <x:c r="A358" s="72" t="s">
        <x:v>106</x:v>
      </x:c>
      <x:c r="B358" s="264">
        <x:v>46</x:v>
      </x:c>
      <x:c r="C358" s="72" t="s">
        <x:v>107</x:v>
      </x:c>
      <x:c r="D358" s="72" t="s">
        <x:v>108</x:v>
      </x:c>
      <x:c r="E358" s="72" t="s">
        <x:v>108</x:v>
      </x:c>
      <x:c r="F358" s="73">
        <x:v>1494768</x:v>
      </x:c>
      <x:c r="G358" s="74" t="s">
        <x:v>109</x:v>
      </x:c>
      <x:c r="H358" s="72" t="s">
        <x:v>110</x:v>
      </x:c>
      <x:c r="I358" s="86"/>
      <x:c r="J358" s="75">
        <x:f>+Puantaj!C362</x:f>
      </x:c>
      <x:c r="K358" s="72">
        <x:f>+Puantaj!D362</x:f>
      </x:c>
      <x:c r="L358" s="72">
        <x:f>+Puantaj!E362</x:f>
      </x:c>
      <x:c r="M358" s="265">
        <x:f>+BORDRO!F362</x:f>
      </x:c>
      <x:c r="N358" s="72"/>
      <x:c r="O358" s="87">
        <x:f>+BORDRO!G362</x:f>
      </x:c>
      <x:c r="P358" s="87">
        <x:v>0</x:v>
      </x:c>
      <x:c r="Q358" s="267"/>
      <x:c r="R358" s="267"/>
      <x:c r="S358" s="78"/>
      <x:c r="T358" s="78"/>
      <x:c r="U358" s="79"/>
      <x:c r="V358" s="268">
        <x:f>31-M358-Q358</x:f>
      </x:c>
      <x:c r="W358" s="269">
        <x:v>6</x:v>
      </x:c>
      <x:c r="X358" s="270" t="s">
        <x:v>112</x:v>
      </x:c>
      <x:c r="Y358" s="73">
        <x:v>2</x:v>
      </x:c>
      <x:c r="Z358" s="72" t="s">
        <x:v>106</x:v>
      </x:c>
      <x:c r="AA358" s="82" t="s">
        <x:v>111</x:v>
      </x:c>
      <x:c r="AB358" s="72">
        <x:v>2025</x:v>
      </x:c>
      <x:c r="AC358" s="72" t="s">
        <x:v>113</x:v>
      </x:c>
      <x:c r="AD358" s="88">
        <x:f>+BORDRO!J362</x:f>
      </x:c>
      <x:c r="AE358" s="83"/>
      <x:c r="AF358" s="83">
        <x:f>+BORDRO!K362</x:f>
      </x:c>
      <x:c r="AG358" s="83">
        <x:f>+BORDRO!L362</x:f>
      </x:c>
      <x:c r="AH358" s="88">
        <x:f>+BORDRO!M362</x:f>
      </x:c>
      <x:c r="AI358" s="83">
        <x:f>+BORDRO!O362</x:f>
      </x:c>
      <x:c r="AJ358" s="84">
        <x:f>+BORDRO!P362</x:f>
      </x:c>
    </x:row>
    <x:row r="359" spans="1:36" ht="14.25" customHeight="1" x14ac:dyDescent="0.2">
      <x:c r="A359" s="72" t="s">
        <x:v>106</x:v>
      </x:c>
      <x:c r="B359" s="271">
        <x:v>46</x:v>
      </x:c>
      <x:c r="C359" s="72" t="s">
        <x:v>107</x:v>
      </x:c>
      <x:c r="D359" s="72" t="s">
        <x:v>108</x:v>
      </x:c>
      <x:c r="E359" s="72" t="s">
        <x:v>108</x:v>
      </x:c>
      <x:c r="F359" s="73">
        <x:v>1494768</x:v>
      </x:c>
      <x:c r="G359" s="74" t="s">
        <x:v>109</x:v>
      </x:c>
      <x:c r="H359" s="72" t="s">
        <x:v>110</x:v>
      </x:c>
      <x:c r="I359" s="86"/>
      <x:c r="J359" s="75">
        <x:f>+Puantaj!C363</x:f>
      </x:c>
      <x:c r="K359" s="72">
        <x:f>+Puantaj!D363</x:f>
      </x:c>
      <x:c r="L359" s="72">
        <x:f>+Puantaj!E363</x:f>
      </x:c>
      <x:c r="M359" s="265">
        <x:f>+BORDRO!F363</x:f>
      </x:c>
      <x:c r="N359" s="72"/>
      <x:c r="O359" s="87">
        <x:f>+BORDRO!G363</x:f>
      </x:c>
      <x:c r="P359" s="87">
        <x:v>0</x:v>
      </x:c>
      <x:c r="Q359" s="267"/>
      <x:c r="R359" s="267"/>
      <x:c r="S359" s="78"/>
      <x:c r="T359" s="78"/>
      <x:c r="U359" s="79"/>
      <x:c r="V359" s="268">
        <x:f>31-M359-Q359</x:f>
      </x:c>
      <x:c r="W359" s="269">
        <x:v>6</x:v>
      </x:c>
      <x:c r="X359" s="270" t="s">
        <x:v>112</x:v>
      </x:c>
      <x:c r="Y359" s="73">
        <x:v>2</x:v>
      </x:c>
      <x:c r="Z359" s="72" t="s">
        <x:v>106</x:v>
      </x:c>
      <x:c r="AA359" s="82" t="s">
        <x:v>111</x:v>
      </x:c>
      <x:c r="AB359" s="72">
        <x:v>2025</x:v>
      </x:c>
      <x:c r="AC359" s="72" t="s">
        <x:v>113</x:v>
      </x:c>
      <x:c r="AD359" s="88">
        <x:f>+BORDRO!J363</x:f>
      </x:c>
      <x:c r="AE359" s="83"/>
      <x:c r="AF359" s="83">
        <x:f>+BORDRO!K363</x:f>
      </x:c>
      <x:c r="AG359" s="83">
        <x:f>+BORDRO!L363</x:f>
      </x:c>
      <x:c r="AH359" s="88">
        <x:f>+BORDRO!M363</x:f>
      </x:c>
      <x:c r="AI359" s="83">
        <x:f>+BORDRO!O363</x:f>
      </x:c>
      <x:c r="AJ359" s="84">
        <x:f>+BORDRO!P363</x:f>
      </x:c>
    </x:row>
    <x:row r="360" spans="1:36" ht="15" customHeight="1" x14ac:dyDescent="0.25">
      <x:c r="A360" s="72" t="s">
        <x:v>106</x:v>
      </x:c>
      <x:c r="B360" s="264">
        <x:v>46</x:v>
      </x:c>
      <x:c r="C360" s="72" t="s">
        <x:v>107</x:v>
      </x:c>
      <x:c r="D360" s="72" t="s">
        <x:v>108</x:v>
      </x:c>
      <x:c r="E360" s="72" t="s">
        <x:v>108</x:v>
      </x:c>
      <x:c r="F360" s="73">
        <x:v>1494768</x:v>
      </x:c>
      <x:c r="G360" s="74" t="s">
        <x:v>109</x:v>
      </x:c>
      <x:c r="H360" s="72" t="s">
        <x:v>110</x:v>
      </x:c>
      <x:c r="I360" s="86"/>
      <x:c r="J360" s="75">
        <x:f>+Puantaj!C364</x:f>
      </x:c>
      <x:c r="K360" s="72">
        <x:f>+Puantaj!D364</x:f>
      </x:c>
      <x:c r="L360" s="72">
        <x:f>+Puantaj!E364</x:f>
      </x:c>
      <x:c r="M360" s="265">
        <x:f>+BORDRO!F364</x:f>
      </x:c>
      <x:c r="N360" s="72"/>
      <x:c r="O360" s="87">
        <x:f>+BORDRO!G364</x:f>
      </x:c>
      <x:c r="P360" s="87">
        <x:v>0</x:v>
      </x:c>
      <x:c r="Q360" s="267"/>
      <x:c r="R360" s="267"/>
      <x:c r="S360" s="78"/>
      <x:c r="T360" s="78"/>
      <x:c r="U360" s="79"/>
      <x:c r="V360" s="268">
        <x:f>31-M360-Q360</x:f>
      </x:c>
      <x:c r="W360" s="269">
        <x:v>6</x:v>
      </x:c>
      <x:c r="X360" s="270" t="s">
        <x:v>112</x:v>
      </x:c>
      <x:c r="Y360" s="73">
        <x:v>2</x:v>
      </x:c>
      <x:c r="Z360" s="72" t="s">
        <x:v>106</x:v>
      </x:c>
      <x:c r="AA360" s="82" t="s">
        <x:v>111</x:v>
      </x:c>
      <x:c r="AB360" s="72">
        <x:v>2025</x:v>
      </x:c>
      <x:c r="AC360" s="72" t="s">
        <x:v>113</x:v>
      </x:c>
      <x:c r="AD360" s="88">
        <x:f>+BORDRO!J364</x:f>
      </x:c>
      <x:c r="AE360" s="83"/>
      <x:c r="AF360" s="83">
        <x:f>+BORDRO!K364</x:f>
      </x:c>
      <x:c r="AG360" s="83">
        <x:f>+BORDRO!L364</x:f>
      </x:c>
      <x:c r="AH360" s="88">
        <x:f>+BORDRO!M364</x:f>
      </x:c>
      <x:c r="AI360" s="83">
        <x:f>+BORDRO!O364</x:f>
      </x:c>
      <x:c r="AJ360" s="84">
        <x:f>+BORDRO!P364</x:f>
      </x:c>
    </x:row>
    <x:row r="361" spans="1:36" ht="14.25" customHeight="1" x14ac:dyDescent="0.2">
      <x:c r="A361" s="72" t="s">
        <x:v>106</x:v>
      </x:c>
      <x:c r="B361" s="271">
        <x:v>46</x:v>
      </x:c>
      <x:c r="C361" s="72" t="s">
        <x:v>107</x:v>
      </x:c>
      <x:c r="D361" s="72" t="s">
        <x:v>108</x:v>
      </x:c>
      <x:c r="E361" s="72" t="s">
        <x:v>108</x:v>
      </x:c>
      <x:c r="F361" s="73">
        <x:v>1494768</x:v>
      </x:c>
      <x:c r="G361" s="74" t="s">
        <x:v>109</x:v>
      </x:c>
      <x:c r="H361" s="72" t="s">
        <x:v>110</x:v>
      </x:c>
      <x:c r="I361" s="86"/>
      <x:c r="J361" s="75">
        <x:f>+Puantaj!C365</x:f>
      </x:c>
      <x:c r="K361" s="72">
        <x:f>+Puantaj!D365</x:f>
      </x:c>
      <x:c r="L361" s="72">
        <x:f>+Puantaj!E365</x:f>
      </x:c>
      <x:c r="M361" s="265">
        <x:f>+BORDRO!F365</x:f>
      </x:c>
      <x:c r="N361" s="72"/>
      <x:c r="O361" s="87">
        <x:f>+BORDRO!G365</x:f>
      </x:c>
      <x:c r="P361" s="87">
        <x:v>0</x:v>
      </x:c>
      <x:c r="Q361" s="267"/>
      <x:c r="R361" s="267"/>
      <x:c r="S361" s="78"/>
      <x:c r="T361" s="78"/>
      <x:c r="U361" s="79"/>
      <x:c r="V361" s="268">
        <x:f>31-M361-Q361</x:f>
      </x:c>
      <x:c r="W361" s="269">
        <x:v>6</x:v>
      </x:c>
      <x:c r="X361" s="270" t="s">
        <x:v>112</x:v>
      </x:c>
      <x:c r="Y361" s="73">
        <x:v>2</x:v>
      </x:c>
      <x:c r="Z361" s="72" t="s">
        <x:v>106</x:v>
      </x:c>
      <x:c r="AA361" s="82" t="s">
        <x:v>111</x:v>
      </x:c>
      <x:c r="AB361" s="72">
        <x:v>2025</x:v>
      </x:c>
      <x:c r="AC361" s="72" t="s">
        <x:v>113</x:v>
      </x:c>
      <x:c r="AD361" s="88">
        <x:f>+BORDRO!J365</x:f>
      </x:c>
      <x:c r="AE361" s="83"/>
      <x:c r="AF361" s="83">
        <x:f>+BORDRO!K365</x:f>
      </x:c>
      <x:c r="AG361" s="83">
        <x:f>+BORDRO!L365</x:f>
      </x:c>
      <x:c r="AH361" s="88">
        <x:f>+BORDRO!M365</x:f>
      </x:c>
      <x:c r="AI361" s="83">
        <x:f>+BORDRO!O365</x:f>
      </x:c>
      <x:c r="AJ361" s="84">
        <x:f>+BORDRO!P365</x:f>
      </x:c>
    </x:row>
    <x:row r="362" spans="1:36" ht="15" customHeight="1" x14ac:dyDescent="0.25">
      <x:c r="A362" s="72" t="s">
        <x:v>106</x:v>
      </x:c>
      <x:c r="B362" s="264">
        <x:v>46</x:v>
      </x:c>
      <x:c r="C362" s="72" t="s">
        <x:v>107</x:v>
      </x:c>
      <x:c r="D362" s="72" t="s">
        <x:v>108</x:v>
      </x:c>
      <x:c r="E362" s="72" t="s">
        <x:v>108</x:v>
      </x:c>
      <x:c r="F362" s="73">
        <x:v>1494768</x:v>
      </x:c>
      <x:c r="G362" s="74" t="s">
        <x:v>109</x:v>
      </x:c>
      <x:c r="H362" s="72" t="s">
        <x:v>110</x:v>
      </x:c>
      <x:c r="I362" s="86"/>
      <x:c r="J362" s="75">
        <x:f>+Puantaj!C366</x:f>
      </x:c>
      <x:c r="K362" s="72">
        <x:f>+Puantaj!D366</x:f>
      </x:c>
      <x:c r="L362" s="72">
        <x:f>+Puantaj!E366</x:f>
      </x:c>
      <x:c r="M362" s="265">
        <x:f>+BORDRO!F366</x:f>
      </x:c>
      <x:c r="N362" s="72"/>
      <x:c r="O362" s="87">
        <x:f>+BORDRO!G366</x:f>
      </x:c>
      <x:c r="P362" s="87">
        <x:v>0</x:v>
      </x:c>
      <x:c r="Q362" s="267"/>
      <x:c r="R362" s="267"/>
      <x:c r="S362" s="78"/>
      <x:c r="T362" s="78"/>
      <x:c r="U362" s="79"/>
      <x:c r="V362" s="268">
        <x:f>31-M362-Q362</x:f>
      </x:c>
      <x:c r="W362" s="269">
        <x:v>6</x:v>
      </x:c>
      <x:c r="X362" s="270" t="s">
        <x:v>112</x:v>
      </x:c>
      <x:c r="Y362" s="73">
        <x:v>2</x:v>
      </x:c>
      <x:c r="Z362" s="72" t="s">
        <x:v>106</x:v>
      </x:c>
      <x:c r="AA362" s="82" t="s">
        <x:v>111</x:v>
      </x:c>
      <x:c r="AB362" s="72">
        <x:v>2025</x:v>
      </x:c>
      <x:c r="AC362" s="72" t="s">
        <x:v>113</x:v>
      </x:c>
      <x:c r="AD362" s="88">
        <x:f>+BORDRO!J366</x:f>
      </x:c>
      <x:c r="AE362" s="83"/>
      <x:c r="AF362" s="83">
        <x:f>+BORDRO!K366</x:f>
      </x:c>
      <x:c r="AG362" s="83">
        <x:f>+BORDRO!L366</x:f>
      </x:c>
      <x:c r="AH362" s="88">
        <x:f>+BORDRO!M366</x:f>
      </x:c>
      <x:c r="AI362" s="83">
        <x:f>+BORDRO!O366</x:f>
      </x:c>
      <x:c r="AJ362" s="84">
        <x:f>+BORDRO!P366</x:f>
      </x:c>
    </x:row>
    <x:row r="363" spans="1:36" ht="14.25" customHeight="1" x14ac:dyDescent="0.2">
      <x:c r="A363" s="72" t="s">
        <x:v>106</x:v>
      </x:c>
      <x:c r="B363" s="271">
        <x:v>46</x:v>
      </x:c>
      <x:c r="C363" s="72" t="s">
        <x:v>107</x:v>
      </x:c>
      <x:c r="D363" s="72" t="s">
        <x:v>108</x:v>
      </x:c>
      <x:c r="E363" s="72" t="s">
        <x:v>108</x:v>
      </x:c>
      <x:c r="F363" s="73">
        <x:v>1494768</x:v>
      </x:c>
      <x:c r="G363" s="74" t="s">
        <x:v>109</x:v>
      </x:c>
      <x:c r="H363" s="72" t="s">
        <x:v>110</x:v>
      </x:c>
      <x:c r="I363" s="86"/>
      <x:c r="J363" s="75">
        <x:f>+Puantaj!C367</x:f>
      </x:c>
      <x:c r="K363" s="72">
        <x:f>+Puantaj!D367</x:f>
      </x:c>
      <x:c r="L363" s="72">
        <x:f>+Puantaj!E367</x:f>
      </x:c>
      <x:c r="M363" s="265">
        <x:f>+BORDRO!F367</x:f>
      </x:c>
      <x:c r="N363" s="72"/>
      <x:c r="O363" s="87">
        <x:f>+BORDRO!G367</x:f>
      </x:c>
      <x:c r="P363" s="87">
        <x:v>0</x:v>
      </x:c>
      <x:c r="Q363" s="267"/>
      <x:c r="R363" s="267"/>
      <x:c r="S363" s="78"/>
      <x:c r="T363" s="78"/>
      <x:c r="U363" s="79"/>
      <x:c r="V363" s="268">
        <x:f>31-M363-Q363</x:f>
      </x:c>
      <x:c r="W363" s="269">
        <x:v>6</x:v>
      </x:c>
      <x:c r="X363" s="270" t="s">
        <x:v>112</x:v>
      </x:c>
      <x:c r="Y363" s="73">
        <x:v>2</x:v>
      </x:c>
      <x:c r="Z363" s="72" t="s">
        <x:v>106</x:v>
      </x:c>
      <x:c r="AA363" s="82" t="s">
        <x:v>111</x:v>
      </x:c>
      <x:c r="AB363" s="72">
        <x:v>2025</x:v>
      </x:c>
      <x:c r="AC363" s="72" t="s">
        <x:v>113</x:v>
      </x:c>
      <x:c r="AD363" s="88">
        <x:f>+BORDRO!J367</x:f>
      </x:c>
      <x:c r="AE363" s="83"/>
      <x:c r="AF363" s="83">
        <x:f>+BORDRO!K367</x:f>
      </x:c>
      <x:c r="AG363" s="83">
        <x:f>+BORDRO!L367</x:f>
      </x:c>
      <x:c r="AH363" s="88">
        <x:f>+BORDRO!M367</x:f>
      </x:c>
      <x:c r="AI363" s="83">
        <x:f>+BORDRO!O367</x:f>
      </x:c>
      <x:c r="AJ363" s="84">
        <x:f>+BORDRO!P367</x:f>
      </x:c>
    </x:row>
    <x:row r="364" spans="1:36" ht="15" customHeight="1" x14ac:dyDescent="0.25">
      <x:c r="A364" s="72" t="s">
        <x:v>106</x:v>
      </x:c>
      <x:c r="B364" s="264">
        <x:v>46</x:v>
      </x:c>
      <x:c r="C364" s="72" t="s">
        <x:v>107</x:v>
      </x:c>
      <x:c r="D364" s="72" t="s">
        <x:v>108</x:v>
      </x:c>
      <x:c r="E364" s="72" t="s">
        <x:v>108</x:v>
      </x:c>
      <x:c r="F364" s="73">
        <x:v>1494768</x:v>
      </x:c>
      <x:c r="G364" s="74" t="s">
        <x:v>109</x:v>
      </x:c>
      <x:c r="H364" s="72" t="s">
        <x:v>110</x:v>
      </x:c>
      <x:c r="I364" s="86"/>
      <x:c r="J364" s="75">
        <x:f>+Puantaj!C368</x:f>
      </x:c>
      <x:c r="K364" s="72">
        <x:f>+Puantaj!D368</x:f>
      </x:c>
      <x:c r="L364" s="72">
        <x:f>+Puantaj!E368</x:f>
      </x:c>
      <x:c r="M364" s="265">
        <x:f>+BORDRO!F368</x:f>
      </x:c>
      <x:c r="N364" s="72"/>
      <x:c r="O364" s="87">
        <x:f>+BORDRO!G368</x:f>
      </x:c>
      <x:c r="P364" s="87">
        <x:v>0</x:v>
      </x:c>
      <x:c r="Q364" s="267"/>
      <x:c r="R364" s="267"/>
      <x:c r="S364" s="78"/>
      <x:c r="T364" s="78"/>
      <x:c r="U364" s="79"/>
      <x:c r="V364" s="268">
        <x:f>31-M364-Q364</x:f>
      </x:c>
      <x:c r="W364" s="269">
        <x:v>6</x:v>
      </x:c>
      <x:c r="X364" s="270" t="s">
        <x:v>112</x:v>
      </x:c>
      <x:c r="Y364" s="73">
        <x:v>2</x:v>
      </x:c>
      <x:c r="Z364" s="72" t="s">
        <x:v>106</x:v>
      </x:c>
      <x:c r="AA364" s="82" t="s">
        <x:v>111</x:v>
      </x:c>
      <x:c r="AB364" s="72">
        <x:v>2025</x:v>
      </x:c>
      <x:c r="AC364" s="72" t="s">
        <x:v>113</x:v>
      </x:c>
      <x:c r="AD364" s="88">
        <x:f>+BORDRO!J368</x:f>
      </x:c>
      <x:c r="AE364" s="83"/>
      <x:c r="AF364" s="83">
        <x:f>+BORDRO!K368</x:f>
      </x:c>
      <x:c r="AG364" s="83">
        <x:f>+BORDRO!L368</x:f>
      </x:c>
      <x:c r="AH364" s="88">
        <x:f>+BORDRO!M368</x:f>
      </x:c>
      <x:c r="AI364" s="83">
        <x:f>+BORDRO!O368</x:f>
      </x:c>
      <x:c r="AJ364" s="84">
        <x:f>+BORDRO!P368</x:f>
      </x:c>
    </x:row>
    <x:row r="365" spans="1:36" ht="14.25" customHeight="1" x14ac:dyDescent="0.2">
      <x:c r="A365" s="72" t="s">
        <x:v>106</x:v>
      </x:c>
      <x:c r="B365" s="271">
        <x:v>46</x:v>
      </x:c>
      <x:c r="C365" s="72" t="s">
        <x:v>107</x:v>
      </x:c>
      <x:c r="D365" s="72" t="s">
        <x:v>108</x:v>
      </x:c>
      <x:c r="E365" s="72" t="s">
        <x:v>108</x:v>
      </x:c>
      <x:c r="F365" s="73">
        <x:v>1494768</x:v>
      </x:c>
      <x:c r="G365" s="74" t="s">
        <x:v>109</x:v>
      </x:c>
      <x:c r="H365" s="72" t="s">
        <x:v>110</x:v>
      </x:c>
      <x:c r="I365" s="86"/>
      <x:c r="J365" s="75">
        <x:f>+Puantaj!C369</x:f>
      </x:c>
      <x:c r="K365" s="72">
        <x:f>+Puantaj!D369</x:f>
      </x:c>
      <x:c r="L365" s="72">
        <x:f>+Puantaj!E369</x:f>
      </x:c>
      <x:c r="M365" s="265">
        <x:f>+BORDRO!F369</x:f>
      </x:c>
      <x:c r="N365" s="72"/>
      <x:c r="O365" s="87">
        <x:f>+BORDRO!G369</x:f>
      </x:c>
      <x:c r="P365" s="87">
        <x:v>0</x:v>
      </x:c>
      <x:c r="Q365" s="267"/>
      <x:c r="R365" s="267"/>
      <x:c r="S365" s="78"/>
      <x:c r="T365" s="78"/>
      <x:c r="U365" s="79"/>
      <x:c r="V365" s="268">
        <x:f>31-M365-Q365</x:f>
      </x:c>
      <x:c r="W365" s="269">
        <x:v>6</x:v>
      </x:c>
      <x:c r="X365" s="270" t="s">
        <x:v>112</x:v>
      </x:c>
      <x:c r="Y365" s="73">
        <x:v>2</x:v>
      </x:c>
      <x:c r="Z365" s="72" t="s">
        <x:v>106</x:v>
      </x:c>
      <x:c r="AA365" s="82" t="s">
        <x:v>111</x:v>
      </x:c>
      <x:c r="AB365" s="72">
        <x:v>2025</x:v>
      </x:c>
      <x:c r="AC365" s="72" t="s">
        <x:v>113</x:v>
      </x:c>
      <x:c r="AD365" s="88">
        <x:f>+BORDRO!J369</x:f>
      </x:c>
      <x:c r="AE365" s="83"/>
      <x:c r="AF365" s="83">
        <x:f>+BORDRO!K369</x:f>
      </x:c>
      <x:c r="AG365" s="83">
        <x:f>+BORDRO!L369</x:f>
      </x:c>
      <x:c r="AH365" s="88">
        <x:f>+BORDRO!M369</x:f>
      </x:c>
      <x:c r="AI365" s="83">
        <x:f>+BORDRO!O369</x:f>
      </x:c>
      <x:c r="AJ365" s="84">
        <x:f>+BORDRO!P369</x:f>
      </x:c>
    </x:row>
    <x:row r="366" spans="1:36" ht="15" customHeight="1" x14ac:dyDescent="0.25">
      <x:c r="A366" s="72" t="s">
        <x:v>106</x:v>
      </x:c>
      <x:c r="B366" s="264">
        <x:v>46</x:v>
      </x:c>
      <x:c r="C366" s="72" t="s">
        <x:v>107</x:v>
      </x:c>
      <x:c r="D366" s="72" t="s">
        <x:v>108</x:v>
      </x:c>
      <x:c r="E366" s="72" t="s">
        <x:v>108</x:v>
      </x:c>
      <x:c r="F366" s="73">
        <x:v>1494768</x:v>
      </x:c>
      <x:c r="G366" s="74" t="s">
        <x:v>109</x:v>
      </x:c>
      <x:c r="H366" s="72" t="s">
        <x:v>110</x:v>
      </x:c>
      <x:c r="I366" s="86"/>
      <x:c r="J366" s="75">
        <x:f>+Puantaj!C370</x:f>
      </x:c>
      <x:c r="K366" s="72">
        <x:f>+Puantaj!D370</x:f>
      </x:c>
      <x:c r="L366" s="72">
        <x:f>+Puantaj!E370</x:f>
      </x:c>
      <x:c r="M366" s="265">
        <x:f>+BORDRO!F370</x:f>
      </x:c>
      <x:c r="N366" s="72"/>
      <x:c r="O366" s="87">
        <x:f>+BORDRO!G370</x:f>
      </x:c>
      <x:c r="P366" s="87">
        <x:v>0</x:v>
      </x:c>
      <x:c r="Q366" s="267"/>
      <x:c r="R366" s="267"/>
      <x:c r="S366" s="78"/>
      <x:c r="T366" s="78"/>
      <x:c r="U366" s="79"/>
      <x:c r="V366" s="268">
        <x:f>31-M366-Q366</x:f>
      </x:c>
      <x:c r="W366" s="269">
        <x:v>6</x:v>
      </x:c>
      <x:c r="X366" s="270" t="s">
        <x:v>112</x:v>
      </x:c>
      <x:c r="Y366" s="73">
        <x:v>2</x:v>
      </x:c>
      <x:c r="Z366" s="72" t="s">
        <x:v>106</x:v>
      </x:c>
      <x:c r="AA366" s="82" t="s">
        <x:v>111</x:v>
      </x:c>
      <x:c r="AB366" s="72">
        <x:v>2025</x:v>
      </x:c>
      <x:c r="AC366" s="72" t="s">
        <x:v>113</x:v>
      </x:c>
      <x:c r="AD366" s="88">
        <x:f>+BORDRO!J370</x:f>
      </x:c>
      <x:c r="AE366" s="83"/>
      <x:c r="AF366" s="83">
        <x:f>+BORDRO!K370</x:f>
      </x:c>
      <x:c r="AG366" s="83">
        <x:f>+BORDRO!L370</x:f>
      </x:c>
      <x:c r="AH366" s="88">
        <x:f>+BORDRO!M370</x:f>
      </x:c>
      <x:c r="AI366" s="83">
        <x:f>+BORDRO!O370</x:f>
      </x:c>
      <x:c r="AJ366" s="84">
        <x:f>+BORDRO!P370</x:f>
      </x:c>
    </x:row>
    <x:row r="367" spans="1:36" ht="14.25" customHeight="1" x14ac:dyDescent="0.2">
      <x:c r="A367" s="72" t="s">
        <x:v>106</x:v>
      </x:c>
      <x:c r="B367" s="271">
        <x:v>46</x:v>
      </x:c>
      <x:c r="C367" s="72" t="s">
        <x:v>107</x:v>
      </x:c>
      <x:c r="D367" s="72" t="s">
        <x:v>108</x:v>
      </x:c>
      <x:c r="E367" s="72" t="s">
        <x:v>108</x:v>
      </x:c>
      <x:c r="F367" s="73">
        <x:v>1494768</x:v>
      </x:c>
      <x:c r="G367" s="74" t="s">
        <x:v>109</x:v>
      </x:c>
      <x:c r="H367" s="72" t="s">
        <x:v>110</x:v>
      </x:c>
      <x:c r="I367" s="86"/>
      <x:c r="J367" s="75">
        <x:f>+Puantaj!C371</x:f>
      </x:c>
      <x:c r="K367" s="72">
        <x:f>+Puantaj!D371</x:f>
      </x:c>
      <x:c r="L367" s="72">
        <x:f>+Puantaj!E371</x:f>
      </x:c>
      <x:c r="M367" s="265">
        <x:f>+BORDRO!F371</x:f>
      </x:c>
      <x:c r="N367" s="72"/>
      <x:c r="O367" s="87">
        <x:f>+BORDRO!G371</x:f>
      </x:c>
      <x:c r="P367" s="87">
        <x:v>0</x:v>
      </x:c>
      <x:c r="Q367" s="267"/>
      <x:c r="R367" s="267"/>
      <x:c r="S367" s="78"/>
      <x:c r="T367" s="78"/>
      <x:c r="U367" s="79"/>
      <x:c r="V367" s="268">
        <x:f>31-M367-Q367</x:f>
      </x:c>
      <x:c r="W367" s="269">
        <x:v>6</x:v>
      </x:c>
      <x:c r="X367" s="270" t="s">
        <x:v>112</x:v>
      </x:c>
      <x:c r="Y367" s="73">
        <x:v>2</x:v>
      </x:c>
      <x:c r="Z367" s="72" t="s">
        <x:v>106</x:v>
      </x:c>
      <x:c r="AA367" s="82" t="s">
        <x:v>111</x:v>
      </x:c>
      <x:c r="AB367" s="72">
        <x:v>2025</x:v>
      </x:c>
      <x:c r="AC367" s="72" t="s">
        <x:v>113</x:v>
      </x:c>
      <x:c r="AD367" s="88">
        <x:f>+BORDRO!J371</x:f>
      </x:c>
      <x:c r="AE367" s="83"/>
      <x:c r="AF367" s="83">
        <x:f>+BORDRO!K371</x:f>
      </x:c>
      <x:c r="AG367" s="83">
        <x:f>+BORDRO!L371</x:f>
      </x:c>
      <x:c r="AH367" s="88">
        <x:f>+BORDRO!M371</x:f>
      </x:c>
      <x:c r="AI367" s="83">
        <x:f>+BORDRO!O371</x:f>
      </x:c>
      <x:c r="AJ367" s="84">
        <x:f>+BORDRO!P371</x:f>
      </x:c>
    </x:row>
    <x:row r="368" spans="1:36" ht="15" customHeight="1" x14ac:dyDescent="0.25">
      <x:c r="A368" s="72" t="s">
        <x:v>106</x:v>
      </x:c>
      <x:c r="B368" s="264">
        <x:v>46</x:v>
      </x:c>
      <x:c r="C368" s="72" t="s">
        <x:v>107</x:v>
      </x:c>
      <x:c r="D368" s="72" t="s">
        <x:v>108</x:v>
      </x:c>
      <x:c r="E368" s="72" t="s">
        <x:v>108</x:v>
      </x:c>
      <x:c r="F368" s="73">
        <x:v>1494768</x:v>
      </x:c>
      <x:c r="G368" s="74" t="s">
        <x:v>109</x:v>
      </x:c>
      <x:c r="H368" s="72" t="s">
        <x:v>110</x:v>
      </x:c>
      <x:c r="I368" s="86"/>
      <x:c r="J368" s="75">
        <x:f>+Puantaj!C372</x:f>
      </x:c>
      <x:c r="K368" s="72">
        <x:f>+Puantaj!D372</x:f>
      </x:c>
      <x:c r="L368" s="72">
        <x:f>+Puantaj!E372</x:f>
      </x:c>
      <x:c r="M368" s="265">
        <x:f>+BORDRO!F372</x:f>
      </x:c>
      <x:c r="N368" s="72"/>
      <x:c r="O368" s="87">
        <x:f>+BORDRO!G372</x:f>
      </x:c>
      <x:c r="P368" s="87">
        <x:v>0</x:v>
      </x:c>
      <x:c r="Q368" s="267"/>
      <x:c r="R368" s="267"/>
      <x:c r="S368" s="78"/>
      <x:c r="T368" s="78"/>
      <x:c r="U368" s="79"/>
      <x:c r="V368" s="268">
        <x:f>31-M368-Q368</x:f>
      </x:c>
      <x:c r="W368" s="269">
        <x:v>6</x:v>
      </x:c>
      <x:c r="X368" s="270" t="s">
        <x:v>112</x:v>
      </x:c>
      <x:c r="Y368" s="73">
        <x:v>2</x:v>
      </x:c>
      <x:c r="Z368" s="72" t="s">
        <x:v>106</x:v>
      </x:c>
      <x:c r="AA368" s="82" t="s">
        <x:v>111</x:v>
      </x:c>
      <x:c r="AB368" s="72">
        <x:v>2025</x:v>
      </x:c>
      <x:c r="AC368" s="72" t="s">
        <x:v>113</x:v>
      </x:c>
      <x:c r="AD368" s="88">
        <x:f>+BORDRO!J372</x:f>
      </x:c>
      <x:c r="AE368" s="83"/>
      <x:c r="AF368" s="83">
        <x:f>+BORDRO!K372</x:f>
      </x:c>
      <x:c r="AG368" s="83">
        <x:f>+BORDRO!L372</x:f>
      </x:c>
      <x:c r="AH368" s="88">
        <x:f>+BORDRO!M372</x:f>
      </x:c>
      <x:c r="AI368" s="83">
        <x:f>+BORDRO!O372</x:f>
      </x:c>
      <x:c r="AJ368" s="84">
        <x:f>+BORDRO!P372</x:f>
      </x:c>
    </x:row>
    <x:row r="369" spans="1:36" ht="14.25" customHeight="1" x14ac:dyDescent="0.2">
      <x:c r="A369" s="72" t="s">
        <x:v>106</x:v>
      </x:c>
      <x:c r="B369" s="271">
        <x:v>46</x:v>
      </x:c>
      <x:c r="C369" s="72" t="s">
        <x:v>107</x:v>
      </x:c>
      <x:c r="D369" s="72" t="s">
        <x:v>108</x:v>
      </x:c>
      <x:c r="E369" s="72" t="s">
        <x:v>108</x:v>
      </x:c>
      <x:c r="F369" s="73">
        <x:v>1494768</x:v>
      </x:c>
      <x:c r="G369" s="74" t="s">
        <x:v>109</x:v>
      </x:c>
      <x:c r="H369" s="72" t="s">
        <x:v>110</x:v>
      </x:c>
      <x:c r="I369" s="86"/>
      <x:c r="J369" s="75">
        <x:f>+Puantaj!C373</x:f>
      </x:c>
      <x:c r="K369" s="72">
        <x:f>+Puantaj!D373</x:f>
      </x:c>
      <x:c r="L369" s="72">
        <x:f>+Puantaj!E373</x:f>
      </x:c>
      <x:c r="M369" s="265">
        <x:f>+BORDRO!F373</x:f>
      </x:c>
      <x:c r="N369" s="72"/>
      <x:c r="O369" s="87">
        <x:f>+BORDRO!G373</x:f>
      </x:c>
      <x:c r="P369" s="87">
        <x:v>0</x:v>
      </x:c>
      <x:c r="Q369" s="267"/>
      <x:c r="R369" s="267"/>
      <x:c r="S369" s="78"/>
      <x:c r="T369" s="78"/>
      <x:c r="U369" s="79"/>
      <x:c r="V369" s="268">
        <x:f>31-M369-Q369</x:f>
      </x:c>
      <x:c r="W369" s="269">
        <x:v>6</x:v>
      </x:c>
      <x:c r="X369" s="270" t="s">
        <x:v>112</x:v>
      </x:c>
      <x:c r="Y369" s="73">
        <x:v>2</x:v>
      </x:c>
      <x:c r="Z369" s="72" t="s">
        <x:v>106</x:v>
      </x:c>
      <x:c r="AA369" s="82" t="s">
        <x:v>111</x:v>
      </x:c>
      <x:c r="AB369" s="72">
        <x:v>2025</x:v>
      </x:c>
      <x:c r="AC369" s="72" t="s">
        <x:v>113</x:v>
      </x:c>
      <x:c r="AD369" s="88">
        <x:f>+BORDRO!J373</x:f>
      </x:c>
      <x:c r="AE369" s="83"/>
      <x:c r="AF369" s="83">
        <x:f>+BORDRO!K373</x:f>
      </x:c>
      <x:c r="AG369" s="83">
        <x:f>+BORDRO!L373</x:f>
      </x:c>
      <x:c r="AH369" s="88">
        <x:f>+BORDRO!M373</x:f>
      </x:c>
      <x:c r="AI369" s="83">
        <x:f>+BORDRO!O373</x:f>
      </x:c>
      <x:c r="AJ369" s="84">
        <x:f>+BORDRO!P373</x:f>
      </x:c>
    </x:row>
    <x:row r="370" spans="1:36" ht="15" customHeight="1" x14ac:dyDescent="0.25">
      <x:c r="A370" s="72" t="s">
        <x:v>106</x:v>
      </x:c>
      <x:c r="B370" s="264">
        <x:v>46</x:v>
      </x:c>
      <x:c r="C370" s="72" t="s">
        <x:v>107</x:v>
      </x:c>
      <x:c r="D370" s="72" t="s">
        <x:v>108</x:v>
      </x:c>
      <x:c r="E370" s="72" t="s">
        <x:v>108</x:v>
      </x:c>
      <x:c r="F370" s="73">
        <x:v>1494768</x:v>
      </x:c>
      <x:c r="G370" s="74" t="s">
        <x:v>109</x:v>
      </x:c>
      <x:c r="H370" s="72" t="s">
        <x:v>110</x:v>
      </x:c>
      <x:c r="I370" s="86"/>
      <x:c r="J370" s="75">
        <x:f>+Puantaj!C374</x:f>
      </x:c>
      <x:c r="K370" s="72">
        <x:f>+Puantaj!D374</x:f>
      </x:c>
      <x:c r="L370" s="72">
        <x:f>+Puantaj!E374</x:f>
      </x:c>
      <x:c r="M370" s="265">
        <x:f>+BORDRO!F374</x:f>
      </x:c>
      <x:c r="N370" s="72"/>
      <x:c r="O370" s="87">
        <x:f>+BORDRO!G374</x:f>
      </x:c>
      <x:c r="P370" s="87">
        <x:v>0</x:v>
      </x:c>
      <x:c r="Q370" s="267"/>
      <x:c r="R370" s="267"/>
      <x:c r="S370" s="78"/>
      <x:c r="T370" s="78"/>
      <x:c r="U370" s="79"/>
      <x:c r="V370" s="268">
        <x:f>31-M370-Q370</x:f>
      </x:c>
      <x:c r="W370" s="269">
        <x:v>6</x:v>
      </x:c>
      <x:c r="X370" s="270" t="s">
        <x:v>112</x:v>
      </x:c>
      <x:c r="Y370" s="73">
        <x:v>2</x:v>
      </x:c>
      <x:c r="Z370" s="72" t="s">
        <x:v>106</x:v>
      </x:c>
      <x:c r="AA370" s="82" t="s">
        <x:v>111</x:v>
      </x:c>
      <x:c r="AB370" s="72">
        <x:v>2025</x:v>
      </x:c>
      <x:c r="AC370" s="72" t="s">
        <x:v>113</x:v>
      </x:c>
      <x:c r="AD370" s="88">
        <x:f>+BORDRO!J374</x:f>
      </x:c>
      <x:c r="AE370" s="83"/>
      <x:c r="AF370" s="83">
        <x:f>+BORDRO!K374</x:f>
      </x:c>
      <x:c r="AG370" s="83">
        <x:f>+BORDRO!L374</x:f>
      </x:c>
      <x:c r="AH370" s="88">
        <x:f>+BORDRO!M374</x:f>
      </x:c>
      <x:c r="AI370" s="83">
        <x:f>+BORDRO!O374</x:f>
      </x:c>
      <x:c r="AJ370" s="84">
        <x:f>+BORDRO!P374</x:f>
      </x:c>
    </x:row>
    <x:row r="371" spans="1:36" ht="14.25" customHeight="1" x14ac:dyDescent="0.2">
      <x:c r="A371" s="72" t="s">
        <x:v>106</x:v>
      </x:c>
      <x:c r="B371" s="271">
        <x:v>46</x:v>
      </x:c>
      <x:c r="C371" s="72" t="s">
        <x:v>107</x:v>
      </x:c>
      <x:c r="D371" s="72" t="s">
        <x:v>108</x:v>
      </x:c>
      <x:c r="E371" s="72" t="s">
        <x:v>108</x:v>
      </x:c>
      <x:c r="F371" s="73">
        <x:v>1494768</x:v>
      </x:c>
      <x:c r="G371" s="74" t="s">
        <x:v>109</x:v>
      </x:c>
      <x:c r="H371" s="72" t="s">
        <x:v>110</x:v>
      </x:c>
      <x:c r="I371" s="86"/>
      <x:c r="J371" s="75">
        <x:f>+Puantaj!C375</x:f>
      </x:c>
      <x:c r="K371" s="72">
        <x:f>+Puantaj!D375</x:f>
      </x:c>
      <x:c r="L371" s="72">
        <x:f>+Puantaj!E375</x:f>
      </x:c>
      <x:c r="M371" s="265">
        <x:f>+BORDRO!F375</x:f>
      </x:c>
      <x:c r="N371" s="72"/>
      <x:c r="O371" s="87">
        <x:f>+BORDRO!G375</x:f>
      </x:c>
      <x:c r="P371" s="87">
        <x:v>0</x:v>
      </x:c>
      <x:c r="Q371" s="267"/>
      <x:c r="R371" s="267"/>
      <x:c r="S371" s="78"/>
      <x:c r="T371" s="78"/>
      <x:c r="U371" s="79"/>
      <x:c r="V371" s="268">
        <x:f>31-M371-Q371</x:f>
      </x:c>
      <x:c r="W371" s="269">
        <x:v>6</x:v>
      </x:c>
      <x:c r="X371" s="270" t="s">
        <x:v>112</x:v>
      </x:c>
      <x:c r="Y371" s="73">
        <x:v>2</x:v>
      </x:c>
      <x:c r="Z371" s="72" t="s">
        <x:v>106</x:v>
      </x:c>
      <x:c r="AA371" s="82" t="s">
        <x:v>111</x:v>
      </x:c>
      <x:c r="AB371" s="72">
        <x:v>2025</x:v>
      </x:c>
      <x:c r="AC371" s="72" t="s">
        <x:v>113</x:v>
      </x:c>
      <x:c r="AD371" s="88">
        <x:f>+BORDRO!J375</x:f>
      </x:c>
      <x:c r="AE371" s="83"/>
      <x:c r="AF371" s="83">
        <x:f>+BORDRO!K375</x:f>
      </x:c>
      <x:c r="AG371" s="83">
        <x:f>+BORDRO!L375</x:f>
      </x:c>
      <x:c r="AH371" s="88">
        <x:f>+BORDRO!M375</x:f>
      </x:c>
      <x:c r="AI371" s="83">
        <x:f>+BORDRO!O375</x:f>
      </x:c>
      <x:c r="AJ371" s="84">
        <x:f>+BORDRO!P375</x:f>
      </x:c>
    </x:row>
    <x:row r="372" spans="1:36" ht="15" customHeight="1" x14ac:dyDescent="0.25">
      <x:c r="A372" s="72" t="s">
        <x:v>106</x:v>
      </x:c>
      <x:c r="B372" s="264">
        <x:v>46</x:v>
      </x:c>
      <x:c r="C372" s="72" t="s">
        <x:v>107</x:v>
      </x:c>
      <x:c r="D372" s="72" t="s">
        <x:v>108</x:v>
      </x:c>
      <x:c r="E372" s="72" t="s">
        <x:v>108</x:v>
      </x:c>
      <x:c r="F372" s="73">
        <x:v>1494768</x:v>
      </x:c>
      <x:c r="G372" s="74" t="s">
        <x:v>109</x:v>
      </x:c>
      <x:c r="H372" s="72" t="s">
        <x:v>110</x:v>
      </x:c>
      <x:c r="I372" s="86"/>
      <x:c r="J372" s="75">
        <x:f>+Puantaj!C376</x:f>
      </x:c>
      <x:c r="K372" s="72">
        <x:f>+Puantaj!D376</x:f>
      </x:c>
      <x:c r="L372" s="72">
        <x:f>+Puantaj!E376</x:f>
      </x:c>
      <x:c r="M372" s="265">
        <x:f>+BORDRO!F376</x:f>
      </x:c>
      <x:c r="N372" s="72"/>
      <x:c r="O372" s="87">
        <x:f>+BORDRO!G376</x:f>
      </x:c>
      <x:c r="P372" s="87">
        <x:v>0</x:v>
      </x:c>
      <x:c r="Q372" s="267"/>
      <x:c r="R372" s="267"/>
      <x:c r="S372" s="78"/>
      <x:c r="T372" s="78"/>
      <x:c r="U372" s="79"/>
      <x:c r="V372" s="268">
        <x:f>31-M372-Q372</x:f>
      </x:c>
      <x:c r="W372" s="269">
        <x:v>6</x:v>
      </x:c>
      <x:c r="X372" s="270" t="s">
        <x:v>112</x:v>
      </x:c>
      <x:c r="Y372" s="73">
        <x:v>2</x:v>
      </x:c>
      <x:c r="Z372" s="72" t="s">
        <x:v>106</x:v>
      </x:c>
      <x:c r="AA372" s="82" t="s">
        <x:v>111</x:v>
      </x:c>
      <x:c r="AB372" s="72">
        <x:v>2025</x:v>
      </x:c>
      <x:c r="AC372" s="72" t="s">
        <x:v>113</x:v>
      </x:c>
      <x:c r="AD372" s="88">
        <x:f>+BORDRO!J376</x:f>
      </x:c>
      <x:c r="AE372" s="83"/>
      <x:c r="AF372" s="83">
        <x:f>+BORDRO!K376</x:f>
      </x:c>
      <x:c r="AG372" s="83">
        <x:f>+BORDRO!L376</x:f>
      </x:c>
      <x:c r="AH372" s="88">
        <x:f>+BORDRO!M376</x:f>
      </x:c>
      <x:c r="AI372" s="83">
        <x:f>+BORDRO!O376</x:f>
      </x:c>
      <x:c r="AJ372" s="84">
        <x:f>+BORDRO!P376</x:f>
      </x:c>
    </x:row>
    <x:row r="373" spans="1:36" ht="14.25" customHeight="1" x14ac:dyDescent="0.2">
      <x:c r="A373" s="72" t="s">
        <x:v>106</x:v>
      </x:c>
      <x:c r="B373" s="271">
        <x:v>46</x:v>
      </x:c>
      <x:c r="C373" s="72" t="s">
        <x:v>107</x:v>
      </x:c>
      <x:c r="D373" s="72" t="s">
        <x:v>108</x:v>
      </x:c>
      <x:c r="E373" s="72" t="s">
        <x:v>108</x:v>
      </x:c>
      <x:c r="F373" s="73">
        <x:v>1494768</x:v>
      </x:c>
      <x:c r="G373" s="74" t="s">
        <x:v>109</x:v>
      </x:c>
      <x:c r="H373" s="72" t="s">
        <x:v>110</x:v>
      </x:c>
      <x:c r="I373" s="86"/>
      <x:c r="J373" s="75">
        <x:f>+Puantaj!C377</x:f>
      </x:c>
      <x:c r="K373" s="72">
        <x:f>+Puantaj!D377</x:f>
      </x:c>
      <x:c r="L373" s="72">
        <x:f>+Puantaj!E377</x:f>
      </x:c>
      <x:c r="M373" s="265">
        <x:f>+BORDRO!F377</x:f>
      </x:c>
      <x:c r="N373" s="72"/>
      <x:c r="O373" s="87">
        <x:f>+BORDRO!G377</x:f>
      </x:c>
      <x:c r="P373" s="87">
        <x:v>0</x:v>
      </x:c>
      <x:c r="Q373" s="267"/>
      <x:c r="R373" s="267"/>
      <x:c r="S373" s="78"/>
      <x:c r="T373" s="78"/>
      <x:c r="U373" s="79"/>
      <x:c r="V373" s="268">
        <x:f>31-M373-Q373</x:f>
      </x:c>
      <x:c r="W373" s="269">
        <x:v>6</x:v>
      </x:c>
      <x:c r="X373" s="270" t="s">
        <x:v>112</x:v>
      </x:c>
      <x:c r="Y373" s="73">
        <x:v>2</x:v>
      </x:c>
      <x:c r="Z373" s="72" t="s">
        <x:v>106</x:v>
      </x:c>
      <x:c r="AA373" s="82" t="s">
        <x:v>111</x:v>
      </x:c>
      <x:c r="AB373" s="72">
        <x:v>2025</x:v>
      </x:c>
      <x:c r="AC373" s="72" t="s">
        <x:v>113</x:v>
      </x:c>
      <x:c r="AD373" s="88">
        <x:f>+BORDRO!J377</x:f>
      </x:c>
      <x:c r="AE373" s="83"/>
      <x:c r="AF373" s="83">
        <x:f>+BORDRO!K377</x:f>
      </x:c>
      <x:c r="AG373" s="83">
        <x:f>+BORDRO!L377</x:f>
      </x:c>
      <x:c r="AH373" s="88">
        <x:f>+BORDRO!M377</x:f>
      </x:c>
      <x:c r="AI373" s="83">
        <x:f>+BORDRO!O377</x:f>
      </x:c>
      <x:c r="AJ373" s="84">
        <x:f>+BORDRO!P377</x:f>
      </x:c>
    </x:row>
    <x:row r="374" spans="1:36" ht="15" customHeight="1" x14ac:dyDescent="0.25">
      <x:c r="A374" s="72" t="s">
        <x:v>106</x:v>
      </x:c>
      <x:c r="B374" s="264">
        <x:v>46</x:v>
      </x:c>
      <x:c r="C374" s="72" t="s">
        <x:v>107</x:v>
      </x:c>
      <x:c r="D374" s="72" t="s">
        <x:v>108</x:v>
      </x:c>
      <x:c r="E374" s="72" t="s">
        <x:v>108</x:v>
      </x:c>
      <x:c r="F374" s="73">
        <x:v>1494768</x:v>
      </x:c>
      <x:c r="G374" s="74" t="s">
        <x:v>109</x:v>
      </x:c>
      <x:c r="H374" s="72" t="s">
        <x:v>110</x:v>
      </x:c>
      <x:c r="I374" s="86"/>
      <x:c r="J374" s="75">
        <x:f>+Puantaj!C378</x:f>
      </x:c>
      <x:c r="K374" s="72">
        <x:f>+Puantaj!D378</x:f>
      </x:c>
      <x:c r="L374" s="72">
        <x:f>+Puantaj!E378</x:f>
      </x:c>
      <x:c r="M374" s="265">
        <x:f>+BORDRO!F378</x:f>
      </x:c>
      <x:c r="N374" s="72"/>
      <x:c r="O374" s="87">
        <x:f>+BORDRO!G378</x:f>
      </x:c>
      <x:c r="P374" s="87">
        <x:v>0</x:v>
      </x:c>
      <x:c r="Q374" s="267"/>
      <x:c r="R374" s="267"/>
      <x:c r="S374" s="78"/>
      <x:c r="T374" s="78"/>
      <x:c r="U374" s="79"/>
      <x:c r="V374" s="268">
        <x:f>31-M374-Q374</x:f>
      </x:c>
      <x:c r="W374" s="269">
        <x:v>6</x:v>
      </x:c>
      <x:c r="X374" s="270" t="s">
        <x:v>112</x:v>
      </x:c>
      <x:c r="Y374" s="73">
        <x:v>2</x:v>
      </x:c>
      <x:c r="Z374" s="72" t="s">
        <x:v>106</x:v>
      </x:c>
      <x:c r="AA374" s="82" t="s">
        <x:v>111</x:v>
      </x:c>
      <x:c r="AB374" s="72">
        <x:v>2025</x:v>
      </x:c>
      <x:c r="AC374" s="72" t="s">
        <x:v>113</x:v>
      </x:c>
      <x:c r="AD374" s="88">
        <x:f>+BORDRO!J378</x:f>
      </x:c>
      <x:c r="AE374" s="83"/>
      <x:c r="AF374" s="83">
        <x:f>+BORDRO!K378</x:f>
      </x:c>
      <x:c r="AG374" s="83">
        <x:f>+BORDRO!L378</x:f>
      </x:c>
      <x:c r="AH374" s="88">
        <x:f>+BORDRO!M378</x:f>
      </x:c>
      <x:c r="AI374" s="83">
        <x:f>+BORDRO!O378</x:f>
      </x:c>
      <x:c r="AJ374" s="84">
        <x:f>+BORDRO!P378</x:f>
      </x:c>
    </x:row>
    <x:row r="375" spans="1:36" ht="14.25" customHeight="1" x14ac:dyDescent="0.2">
      <x:c r="A375" s="72" t="s">
        <x:v>106</x:v>
      </x:c>
      <x:c r="B375" s="271">
        <x:v>46</x:v>
      </x:c>
      <x:c r="C375" s="72" t="s">
        <x:v>107</x:v>
      </x:c>
      <x:c r="D375" s="72" t="s">
        <x:v>108</x:v>
      </x:c>
      <x:c r="E375" s="72" t="s">
        <x:v>108</x:v>
      </x:c>
      <x:c r="F375" s="73">
        <x:v>1494768</x:v>
      </x:c>
      <x:c r="G375" s="74" t="s">
        <x:v>109</x:v>
      </x:c>
      <x:c r="H375" s="72" t="s">
        <x:v>110</x:v>
      </x:c>
      <x:c r="I375" s="86"/>
      <x:c r="J375" s="75">
        <x:f>+Puantaj!C379</x:f>
      </x:c>
      <x:c r="K375" s="72">
        <x:f>+Puantaj!D379</x:f>
      </x:c>
      <x:c r="L375" s="72">
        <x:f>+Puantaj!E379</x:f>
      </x:c>
      <x:c r="M375" s="265">
        <x:f>+BORDRO!F379</x:f>
      </x:c>
      <x:c r="N375" s="72"/>
      <x:c r="O375" s="87">
        <x:f>+BORDRO!G379</x:f>
      </x:c>
      <x:c r="P375" s="87">
        <x:v>0</x:v>
      </x:c>
      <x:c r="Q375" s="267"/>
      <x:c r="R375" s="267"/>
      <x:c r="S375" s="78"/>
      <x:c r="T375" s="78"/>
      <x:c r="U375" s="79"/>
      <x:c r="V375" s="268">
        <x:f>31-M375-Q375</x:f>
      </x:c>
      <x:c r="W375" s="269">
        <x:v>6</x:v>
      </x:c>
      <x:c r="X375" s="270" t="s">
        <x:v>112</x:v>
      </x:c>
      <x:c r="Y375" s="73">
        <x:v>2</x:v>
      </x:c>
      <x:c r="Z375" s="72" t="s">
        <x:v>106</x:v>
      </x:c>
      <x:c r="AA375" s="82" t="s">
        <x:v>111</x:v>
      </x:c>
      <x:c r="AB375" s="72">
        <x:v>2025</x:v>
      </x:c>
      <x:c r="AC375" s="72" t="s">
        <x:v>113</x:v>
      </x:c>
      <x:c r="AD375" s="88">
        <x:f>+BORDRO!J379</x:f>
      </x:c>
      <x:c r="AE375" s="83"/>
      <x:c r="AF375" s="83">
        <x:f>+BORDRO!K379</x:f>
      </x:c>
      <x:c r="AG375" s="83">
        <x:f>+BORDRO!L379</x:f>
      </x:c>
      <x:c r="AH375" s="88">
        <x:f>+BORDRO!M379</x:f>
      </x:c>
      <x:c r="AI375" s="83">
        <x:f>+BORDRO!O379</x:f>
      </x:c>
      <x:c r="AJ375" s="84">
        <x:f>+BORDRO!P379</x:f>
      </x:c>
    </x:row>
    <x:row r="376" spans="1:36" ht="15" customHeight="1" x14ac:dyDescent="0.25">
      <x:c r="A376" s="72" t="s">
        <x:v>106</x:v>
      </x:c>
      <x:c r="B376" s="264">
        <x:v>46</x:v>
      </x:c>
      <x:c r="C376" s="72" t="s">
        <x:v>107</x:v>
      </x:c>
      <x:c r="D376" s="72" t="s">
        <x:v>108</x:v>
      </x:c>
      <x:c r="E376" s="72" t="s">
        <x:v>108</x:v>
      </x:c>
      <x:c r="F376" s="73">
        <x:v>1494768</x:v>
      </x:c>
      <x:c r="G376" s="74" t="s">
        <x:v>109</x:v>
      </x:c>
      <x:c r="H376" s="72" t="s">
        <x:v>110</x:v>
      </x:c>
      <x:c r="I376" s="86"/>
      <x:c r="J376" s="75">
        <x:f>+Puantaj!C380</x:f>
      </x:c>
      <x:c r="K376" s="72">
        <x:f>+Puantaj!D380</x:f>
      </x:c>
      <x:c r="L376" s="72">
        <x:f>+Puantaj!E380</x:f>
      </x:c>
      <x:c r="M376" s="265">
        <x:f>+BORDRO!F380</x:f>
      </x:c>
      <x:c r="N376" s="72"/>
      <x:c r="O376" s="87">
        <x:f>+BORDRO!G380</x:f>
      </x:c>
      <x:c r="P376" s="87">
        <x:v>0</x:v>
      </x:c>
      <x:c r="Q376" s="267"/>
      <x:c r="R376" s="267"/>
      <x:c r="S376" s="78"/>
      <x:c r="T376" s="78"/>
      <x:c r="U376" s="79"/>
      <x:c r="V376" s="268">
        <x:f>31-M376-Q376</x:f>
      </x:c>
      <x:c r="W376" s="269">
        <x:v>6</x:v>
      </x:c>
      <x:c r="X376" s="270" t="s">
        <x:v>112</x:v>
      </x:c>
      <x:c r="Y376" s="73">
        <x:v>2</x:v>
      </x:c>
      <x:c r="Z376" s="72" t="s">
        <x:v>106</x:v>
      </x:c>
      <x:c r="AA376" s="82" t="s">
        <x:v>111</x:v>
      </x:c>
      <x:c r="AB376" s="72">
        <x:v>2025</x:v>
      </x:c>
      <x:c r="AC376" s="72" t="s">
        <x:v>113</x:v>
      </x:c>
      <x:c r="AD376" s="88">
        <x:f>+BORDRO!J380</x:f>
      </x:c>
      <x:c r="AE376" s="83"/>
      <x:c r="AF376" s="83">
        <x:f>+BORDRO!K380</x:f>
      </x:c>
      <x:c r="AG376" s="83">
        <x:f>+BORDRO!L380</x:f>
      </x:c>
      <x:c r="AH376" s="88">
        <x:f>+BORDRO!M380</x:f>
      </x:c>
      <x:c r="AI376" s="83">
        <x:f>+BORDRO!O380</x:f>
      </x:c>
      <x:c r="AJ376" s="84">
        <x:f>+BORDRO!P380</x:f>
      </x:c>
    </x:row>
    <x:row r="377" spans="1:36" ht="14.25" customHeight="1" x14ac:dyDescent="0.2">
      <x:c r="A377" s="72" t="s">
        <x:v>106</x:v>
      </x:c>
      <x:c r="B377" s="271">
        <x:v>46</x:v>
      </x:c>
      <x:c r="C377" s="72" t="s">
        <x:v>107</x:v>
      </x:c>
      <x:c r="D377" s="72" t="s">
        <x:v>108</x:v>
      </x:c>
      <x:c r="E377" s="72" t="s">
        <x:v>108</x:v>
      </x:c>
      <x:c r="F377" s="73">
        <x:v>1494768</x:v>
      </x:c>
      <x:c r="G377" s="74" t="s">
        <x:v>109</x:v>
      </x:c>
      <x:c r="H377" s="72" t="s">
        <x:v>110</x:v>
      </x:c>
      <x:c r="I377" s="86"/>
      <x:c r="J377" s="75">
        <x:f>+Puantaj!C381</x:f>
      </x:c>
      <x:c r="K377" s="72">
        <x:f>+Puantaj!D381</x:f>
      </x:c>
      <x:c r="L377" s="72">
        <x:f>+Puantaj!E381</x:f>
      </x:c>
      <x:c r="M377" s="265">
        <x:f>+BORDRO!F381</x:f>
      </x:c>
      <x:c r="N377" s="72"/>
      <x:c r="O377" s="87">
        <x:f>+BORDRO!G381</x:f>
      </x:c>
      <x:c r="P377" s="87">
        <x:v>0</x:v>
      </x:c>
      <x:c r="Q377" s="267"/>
      <x:c r="R377" s="267"/>
      <x:c r="S377" s="78"/>
      <x:c r="T377" s="78"/>
      <x:c r="U377" s="79"/>
      <x:c r="V377" s="268">
        <x:f>31-M377-Q377</x:f>
      </x:c>
      <x:c r="W377" s="269">
        <x:v>6</x:v>
      </x:c>
      <x:c r="X377" s="270" t="s">
        <x:v>112</x:v>
      </x:c>
      <x:c r="Y377" s="73">
        <x:v>2</x:v>
      </x:c>
      <x:c r="Z377" s="72" t="s">
        <x:v>106</x:v>
      </x:c>
      <x:c r="AA377" s="82" t="s">
        <x:v>111</x:v>
      </x:c>
      <x:c r="AB377" s="72">
        <x:v>2025</x:v>
      </x:c>
      <x:c r="AC377" s="72" t="s">
        <x:v>113</x:v>
      </x:c>
      <x:c r="AD377" s="88">
        <x:f>+BORDRO!J381</x:f>
      </x:c>
      <x:c r="AE377" s="83"/>
      <x:c r="AF377" s="83">
        <x:f>+BORDRO!K381</x:f>
      </x:c>
      <x:c r="AG377" s="83">
        <x:f>+BORDRO!L381</x:f>
      </x:c>
      <x:c r="AH377" s="88">
        <x:f>+BORDRO!M381</x:f>
      </x:c>
      <x:c r="AI377" s="83">
        <x:f>+BORDRO!O381</x:f>
      </x:c>
      <x:c r="AJ377" s="84">
        <x:f>+BORDRO!P381</x:f>
      </x:c>
    </x:row>
    <x:row r="378" spans="1:36" ht="15" customHeight="1" x14ac:dyDescent="0.25">
      <x:c r="A378" s="72" t="s">
        <x:v>106</x:v>
      </x:c>
      <x:c r="B378" s="264">
        <x:v>46</x:v>
      </x:c>
      <x:c r="C378" s="72" t="s">
        <x:v>107</x:v>
      </x:c>
      <x:c r="D378" s="72" t="s">
        <x:v>108</x:v>
      </x:c>
      <x:c r="E378" s="72" t="s">
        <x:v>108</x:v>
      </x:c>
      <x:c r="F378" s="73">
        <x:v>1494768</x:v>
      </x:c>
      <x:c r="G378" s="74" t="s">
        <x:v>109</x:v>
      </x:c>
      <x:c r="H378" s="72" t="s">
        <x:v>110</x:v>
      </x:c>
      <x:c r="I378" s="86"/>
      <x:c r="J378" s="75">
        <x:f>+Puantaj!C382</x:f>
      </x:c>
      <x:c r="K378" s="72">
        <x:f>+Puantaj!D382</x:f>
      </x:c>
      <x:c r="L378" s="72">
        <x:f>+Puantaj!E382</x:f>
      </x:c>
      <x:c r="M378" s="265">
        <x:f>+BORDRO!F382</x:f>
      </x:c>
      <x:c r="N378" s="72"/>
      <x:c r="O378" s="87">
        <x:f>+BORDRO!G382</x:f>
      </x:c>
      <x:c r="P378" s="87">
        <x:v>0</x:v>
      </x:c>
      <x:c r="Q378" s="267"/>
      <x:c r="R378" s="267"/>
      <x:c r="S378" s="78"/>
      <x:c r="T378" s="78"/>
      <x:c r="U378" s="79"/>
      <x:c r="V378" s="268">
        <x:f>31-M378-Q378</x:f>
      </x:c>
      <x:c r="W378" s="269">
        <x:v>6</x:v>
      </x:c>
      <x:c r="X378" s="270" t="s">
        <x:v>112</x:v>
      </x:c>
      <x:c r="Y378" s="73">
        <x:v>2</x:v>
      </x:c>
      <x:c r="Z378" s="72" t="s">
        <x:v>106</x:v>
      </x:c>
      <x:c r="AA378" s="82" t="s">
        <x:v>111</x:v>
      </x:c>
      <x:c r="AB378" s="72">
        <x:v>2025</x:v>
      </x:c>
      <x:c r="AC378" s="72" t="s">
        <x:v>113</x:v>
      </x:c>
      <x:c r="AD378" s="88">
        <x:f>+BORDRO!J382</x:f>
      </x:c>
      <x:c r="AE378" s="83"/>
      <x:c r="AF378" s="83">
        <x:f>+BORDRO!K382</x:f>
      </x:c>
      <x:c r="AG378" s="83">
        <x:f>+BORDRO!L382</x:f>
      </x:c>
      <x:c r="AH378" s="88">
        <x:f>+BORDRO!M382</x:f>
      </x:c>
      <x:c r="AI378" s="83">
        <x:f>+BORDRO!O382</x:f>
      </x:c>
      <x:c r="AJ378" s="84">
        <x:f>+BORDRO!P382</x:f>
      </x:c>
    </x:row>
    <x:row r="379" spans="1:36" ht="14.25" customHeight="1" x14ac:dyDescent="0.2">
      <x:c r="A379" s="72" t="s">
        <x:v>106</x:v>
      </x:c>
      <x:c r="B379" s="271">
        <x:v>46</x:v>
      </x:c>
      <x:c r="C379" s="72" t="s">
        <x:v>107</x:v>
      </x:c>
      <x:c r="D379" s="72" t="s">
        <x:v>108</x:v>
      </x:c>
      <x:c r="E379" s="72" t="s">
        <x:v>108</x:v>
      </x:c>
      <x:c r="F379" s="73">
        <x:v>1494768</x:v>
      </x:c>
      <x:c r="G379" s="74" t="s">
        <x:v>109</x:v>
      </x:c>
      <x:c r="H379" s="72" t="s">
        <x:v>110</x:v>
      </x:c>
      <x:c r="I379" s="86"/>
      <x:c r="J379" s="75">
        <x:f>+Puantaj!C383</x:f>
      </x:c>
      <x:c r="K379" s="72">
        <x:f>+Puantaj!D383</x:f>
      </x:c>
      <x:c r="L379" s="72">
        <x:f>+Puantaj!E383</x:f>
      </x:c>
      <x:c r="M379" s="265">
        <x:f>+BORDRO!F383</x:f>
      </x:c>
      <x:c r="N379" s="72"/>
      <x:c r="O379" s="87">
        <x:f>+BORDRO!G383</x:f>
      </x:c>
      <x:c r="P379" s="87">
        <x:v>0</x:v>
      </x:c>
      <x:c r="Q379" s="267"/>
      <x:c r="R379" s="267"/>
      <x:c r="S379" s="78"/>
      <x:c r="T379" s="78"/>
      <x:c r="U379" s="79"/>
      <x:c r="V379" s="268">
        <x:f>31-M379-Q379</x:f>
      </x:c>
      <x:c r="W379" s="269">
        <x:v>6</x:v>
      </x:c>
      <x:c r="X379" s="270" t="s">
        <x:v>112</x:v>
      </x:c>
      <x:c r="Y379" s="73">
        <x:v>2</x:v>
      </x:c>
      <x:c r="Z379" s="72" t="s">
        <x:v>106</x:v>
      </x:c>
      <x:c r="AA379" s="82" t="s">
        <x:v>111</x:v>
      </x:c>
      <x:c r="AB379" s="72">
        <x:v>2025</x:v>
      </x:c>
      <x:c r="AC379" s="72" t="s">
        <x:v>113</x:v>
      </x:c>
      <x:c r="AD379" s="88">
        <x:f>+BORDRO!J383</x:f>
      </x:c>
      <x:c r="AE379" s="83"/>
      <x:c r="AF379" s="83">
        <x:f>+BORDRO!K383</x:f>
      </x:c>
      <x:c r="AG379" s="83">
        <x:f>+BORDRO!L383</x:f>
      </x:c>
      <x:c r="AH379" s="88">
        <x:f>+BORDRO!M383</x:f>
      </x:c>
      <x:c r="AI379" s="83">
        <x:f>+BORDRO!O383</x:f>
      </x:c>
      <x:c r="AJ379" s="84">
        <x:f>+BORDRO!P383</x:f>
      </x:c>
    </x:row>
    <x:row r="380" spans="1:36" ht="15" customHeight="1" x14ac:dyDescent="0.25">
      <x:c r="A380" s="72" t="s">
        <x:v>106</x:v>
      </x:c>
      <x:c r="B380" s="264">
        <x:v>46</x:v>
      </x:c>
      <x:c r="C380" s="72" t="s">
        <x:v>107</x:v>
      </x:c>
      <x:c r="D380" s="72" t="s">
        <x:v>108</x:v>
      </x:c>
      <x:c r="E380" s="72" t="s">
        <x:v>108</x:v>
      </x:c>
      <x:c r="F380" s="73">
        <x:v>1494768</x:v>
      </x:c>
      <x:c r="G380" s="74" t="s">
        <x:v>109</x:v>
      </x:c>
      <x:c r="H380" s="72" t="s">
        <x:v>110</x:v>
      </x:c>
      <x:c r="I380" s="86"/>
      <x:c r="J380" s="75">
        <x:f>+Puantaj!C384</x:f>
      </x:c>
      <x:c r="K380" s="72">
        <x:f>+Puantaj!D384</x:f>
      </x:c>
      <x:c r="L380" s="72">
        <x:f>+Puantaj!E384</x:f>
      </x:c>
      <x:c r="M380" s="265">
        <x:f>+BORDRO!F384</x:f>
      </x:c>
      <x:c r="N380" s="72"/>
      <x:c r="O380" s="87">
        <x:f>+BORDRO!G384</x:f>
      </x:c>
      <x:c r="P380" s="87">
        <x:v>0</x:v>
      </x:c>
      <x:c r="Q380" s="267"/>
      <x:c r="R380" s="267"/>
      <x:c r="S380" s="78"/>
      <x:c r="T380" s="78"/>
      <x:c r="U380" s="79"/>
      <x:c r="V380" s="268">
        <x:f>31-M380-Q380</x:f>
      </x:c>
      <x:c r="W380" s="269">
        <x:v>6</x:v>
      </x:c>
      <x:c r="X380" s="270" t="s">
        <x:v>112</x:v>
      </x:c>
      <x:c r="Y380" s="73">
        <x:v>2</x:v>
      </x:c>
      <x:c r="Z380" s="72" t="s">
        <x:v>106</x:v>
      </x:c>
      <x:c r="AA380" s="82" t="s">
        <x:v>111</x:v>
      </x:c>
      <x:c r="AB380" s="72">
        <x:v>2025</x:v>
      </x:c>
      <x:c r="AC380" s="72" t="s">
        <x:v>113</x:v>
      </x:c>
      <x:c r="AD380" s="88">
        <x:f>+BORDRO!J384</x:f>
      </x:c>
      <x:c r="AE380" s="83"/>
      <x:c r="AF380" s="83">
        <x:f>+BORDRO!K384</x:f>
      </x:c>
      <x:c r="AG380" s="83">
        <x:f>+BORDRO!L384</x:f>
      </x:c>
      <x:c r="AH380" s="88">
        <x:f>+BORDRO!M384</x:f>
      </x:c>
      <x:c r="AI380" s="83">
        <x:f>+BORDRO!O384</x:f>
      </x:c>
      <x:c r="AJ380" s="84">
        <x:f>+BORDRO!P384</x:f>
      </x:c>
    </x:row>
    <x:row r="381" spans="1:36" ht="14.25" customHeight="1" x14ac:dyDescent="0.2">
      <x:c r="A381" s="72" t="s">
        <x:v>106</x:v>
      </x:c>
      <x:c r="B381" s="271">
        <x:v>46</x:v>
      </x:c>
      <x:c r="C381" s="72" t="s">
        <x:v>107</x:v>
      </x:c>
      <x:c r="D381" s="72" t="s">
        <x:v>108</x:v>
      </x:c>
      <x:c r="E381" s="72" t="s">
        <x:v>108</x:v>
      </x:c>
      <x:c r="F381" s="73">
        <x:v>1494768</x:v>
      </x:c>
      <x:c r="G381" s="74" t="s">
        <x:v>109</x:v>
      </x:c>
      <x:c r="H381" s="72" t="s">
        <x:v>110</x:v>
      </x:c>
      <x:c r="I381" s="86"/>
      <x:c r="J381" s="75">
        <x:f>+Puantaj!C385</x:f>
      </x:c>
      <x:c r="K381" s="72">
        <x:f>+Puantaj!D385</x:f>
      </x:c>
      <x:c r="L381" s="72">
        <x:f>+Puantaj!E385</x:f>
      </x:c>
      <x:c r="M381" s="265">
        <x:f>+BORDRO!F385</x:f>
      </x:c>
      <x:c r="N381" s="72"/>
      <x:c r="O381" s="87">
        <x:f>+BORDRO!G385</x:f>
      </x:c>
      <x:c r="P381" s="87">
        <x:v>0</x:v>
      </x:c>
      <x:c r="Q381" s="267"/>
      <x:c r="R381" s="267"/>
      <x:c r="S381" s="78"/>
      <x:c r="T381" s="78"/>
      <x:c r="U381" s="79"/>
      <x:c r="V381" s="268">
        <x:f>31-M381-Q381</x:f>
      </x:c>
      <x:c r="W381" s="269">
        <x:v>6</x:v>
      </x:c>
      <x:c r="X381" s="270" t="s">
        <x:v>112</x:v>
      </x:c>
      <x:c r="Y381" s="73">
        <x:v>2</x:v>
      </x:c>
      <x:c r="Z381" s="72" t="s">
        <x:v>106</x:v>
      </x:c>
      <x:c r="AA381" s="82" t="s">
        <x:v>111</x:v>
      </x:c>
      <x:c r="AB381" s="72">
        <x:v>2025</x:v>
      </x:c>
      <x:c r="AC381" s="72" t="s">
        <x:v>113</x:v>
      </x:c>
      <x:c r="AD381" s="88">
        <x:f>+BORDRO!J385</x:f>
      </x:c>
      <x:c r="AE381" s="83"/>
      <x:c r="AF381" s="83">
        <x:f>+BORDRO!K385</x:f>
      </x:c>
      <x:c r="AG381" s="83">
        <x:f>+BORDRO!L385</x:f>
      </x:c>
      <x:c r="AH381" s="88">
        <x:f>+BORDRO!M385</x:f>
      </x:c>
      <x:c r="AI381" s="83">
        <x:f>+BORDRO!O385</x:f>
      </x:c>
      <x:c r="AJ381" s="84">
        <x:f>+BORDRO!P385</x:f>
      </x:c>
    </x:row>
    <x:row r="382" spans="1:36" ht="15" customHeight="1" x14ac:dyDescent="0.25">
      <x:c r="A382" s="72" t="s">
        <x:v>106</x:v>
      </x:c>
      <x:c r="B382" s="264">
        <x:v>46</x:v>
      </x:c>
      <x:c r="C382" s="72" t="s">
        <x:v>107</x:v>
      </x:c>
      <x:c r="D382" s="72" t="s">
        <x:v>108</x:v>
      </x:c>
      <x:c r="E382" s="72" t="s">
        <x:v>108</x:v>
      </x:c>
      <x:c r="F382" s="73">
        <x:v>1494768</x:v>
      </x:c>
      <x:c r="G382" s="74" t="s">
        <x:v>109</x:v>
      </x:c>
      <x:c r="H382" s="72" t="s">
        <x:v>110</x:v>
      </x:c>
      <x:c r="I382" s="86"/>
      <x:c r="J382" s="75">
        <x:f>+Puantaj!C386</x:f>
      </x:c>
      <x:c r="K382" s="72">
        <x:f>+Puantaj!D386</x:f>
      </x:c>
      <x:c r="L382" s="72">
        <x:f>+Puantaj!E386</x:f>
      </x:c>
      <x:c r="M382" s="265">
        <x:f>+BORDRO!F386</x:f>
      </x:c>
      <x:c r="N382" s="72"/>
      <x:c r="O382" s="87">
        <x:f>+BORDRO!G386</x:f>
      </x:c>
      <x:c r="P382" s="87">
        <x:v>0</x:v>
      </x:c>
      <x:c r="Q382" s="267"/>
      <x:c r="R382" s="267"/>
      <x:c r="S382" s="78"/>
      <x:c r="T382" s="78"/>
      <x:c r="U382" s="79"/>
      <x:c r="V382" s="268">
        <x:f>31-M382-Q382</x:f>
      </x:c>
      <x:c r="W382" s="269">
        <x:v>6</x:v>
      </x:c>
      <x:c r="X382" s="270" t="s">
        <x:v>112</x:v>
      </x:c>
      <x:c r="Y382" s="73">
        <x:v>2</x:v>
      </x:c>
      <x:c r="Z382" s="72" t="s">
        <x:v>106</x:v>
      </x:c>
      <x:c r="AA382" s="82" t="s">
        <x:v>111</x:v>
      </x:c>
      <x:c r="AB382" s="72">
        <x:v>2025</x:v>
      </x:c>
      <x:c r="AC382" s="72" t="s">
        <x:v>113</x:v>
      </x:c>
      <x:c r="AD382" s="88">
        <x:f>+BORDRO!J386</x:f>
      </x:c>
      <x:c r="AE382" s="83"/>
      <x:c r="AF382" s="83">
        <x:f>+BORDRO!K386</x:f>
      </x:c>
      <x:c r="AG382" s="83">
        <x:f>+BORDRO!L386</x:f>
      </x:c>
      <x:c r="AH382" s="88">
        <x:f>+BORDRO!M386</x:f>
      </x:c>
      <x:c r="AI382" s="83">
        <x:f>+BORDRO!O386</x:f>
      </x:c>
      <x:c r="AJ382" s="84">
        <x:f>+BORDRO!P386</x:f>
      </x:c>
    </x:row>
    <x:row r="383" spans="1:36" ht="14.25" customHeight="1" x14ac:dyDescent="0.2">
      <x:c r="A383" s="72" t="s">
        <x:v>106</x:v>
      </x:c>
      <x:c r="B383" s="271">
        <x:v>46</x:v>
      </x:c>
      <x:c r="C383" s="72" t="s">
        <x:v>107</x:v>
      </x:c>
      <x:c r="D383" s="72" t="s">
        <x:v>108</x:v>
      </x:c>
      <x:c r="E383" s="72" t="s">
        <x:v>108</x:v>
      </x:c>
      <x:c r="F383" s="73">
        <x:v>1494768</x:v>
      </x:c>
      <x:c r="G383" s="74" t="s">
        <x:v>109</x:v>
      </x:c>
      <x:c r="H383" s="72" t="s">
        <x:v>110</x:v>
      </x:c>
      <x:c r="I383" s="86"/>
      <x:c r="J383" s="75">
        <x:f>+Puantaj!C387</x:f>
      </x:c>
      <x:c r="K383" s="72">
        <x:f>+Puantaj!D387</x:f>
      </x:c>
      <x:c r="L383" s="72">
        <x:f>+Puantaj!E387</x:f>
      </x:c>
      <x:c r="M383" s="265">
        <x:f>+BORDRO!F387</x:f>
      </x:c>
      <x:c r="N383" s="72"/>
      <x:c r="O383" s="87">
        <x:f>+BORDRO!G387</x:f>
      </x:c>
      <x:c r="P383" s="87">
        <x:v>0</x:v>
      </x:c>
      <x:c r="Q383" s="267"/>
      <x:c r="R383" s="267"/>
      <x:c r="S383" s="78"/>
      <x:c r="T383" s="78"/>
      <x:c r="U383" s="79"/>
      <x:c r="V383" s="268">
        <x:f>31-M383-Q383</x:f>
      </x:c>
      <x:c r="W383" s="269">
        <x:v>6</x:v>
      </x:c>
      <x:c r="X383" s="270" t="s">
        <x:v>112</x:v>
      </x:c>
      <x:c r="Y383" s="73">
        <x:v>2</x:v>
      </x:c>
      <x:c r="Z383" s="72" t="s">
        <x:v>106</x:v>
      </x:c>
      <x:c r="AA383" s="82" t="s">
        <x:v>111</x:v>
      </x:c>
      <x:c r="AB383" s="72">
        <x:v>2025</x:v>
      </x:c>
      <x:c r="AC383" s="72" t="s">
        <x:v>113</x:v>
      </x:c>
      <x:c r="AD383" s="88">
        <x:f>+BORDRO!J387</x:f>
      </x:c>
      <x:c r="AE383" s="83"/>
      <x:c r="AF383" s="83">
        <x:f>+BORDRO!K387</x:f>
      </x:c>
      <x:c r="AG383" s="83">
        <x:f>+BORDRO!L387</x:f>
      </x:c>
      <x:c r="AH383" s="88">
        <x:f>+BORDRO!M387</x:f>
      </x:c>
      <x:c r="AI383" s="83">
        <x:f>+BORDRO!O387</x:f>
      </x:c>
      <x:c r="AJ383" s="84">
        <x:f>+BORDRO!P387</x:f>
      </x:c>
    </x:row>
    <x:row r="384" spans="1:36" ht="15" customHeight="1" x14ac:dyDescent="0.25">
      <x:c r="A384" s="72" t="s">
        <x:v>106</x:v>
      </x:c>
      <x:c r="B384" s="264">
        <x:v>46</x:v>
      </x:c>
      <x:c r="C384" s="72" t="s">
        <x:v>107</x:v>
      </x:c>
      <x:c r="D384" s="72" t="s">
        <x:v>108</x:v>
      </x:c>
      <x:c r="E384" s="72" t="s">
        <x:v>108</x:v>
      </x:c>
      <x:c r="F384" s="73">
        <x:v>1494768</x:v>
      </x:c>
      <x:c r="G384" s="74" t="s">
        <x:v>109</x:v>
      </x:c>
      <x:c r="H384" s="72" t="s">
        <x:v>110</x:v>
      </x:c>
      <x:c r="I384" s="86"/>
      <x:c r="J384" s="75">
        <x:f>+Puantaj!C388</x:f>
      </x:c>
      <x:c r="K384" s="72">
        <x:f>+Puantaj!D388</x:f>
      </x:c>
      <x:c r="L384" s="72">
        <x:f>+Puantaj!E388</x:f>
      </x:c>
      <x:c r="M384" s="265">
        <x:f>+BORDRO!F388</x:f>
      </x:c>
      <x:c r="N384" s="72"/>
      <x:c r="O384" s="87">
        <x:f>+BORDRO!G388</x:f>
      </x:c>
      <x:c r="P384" s="87">
        <x:v>0</x:v>
      </x:c>
      <x:c r="Q384" s="267"/>
      <x:c r="R384" s="267"/>
      <x:c r="S384" s="78"/>
      <x:c r="T384" s="78"/>
      <x:c r="U384" s="79"/>
      <x:c r="V384" s="268">
        <x:f>31-M384-Q384</x:f>
      </x:c>
      <x:c r="W384" s="269">
        <x:v>6</x:v>
      </x:c>
      <x:c r="X384" s="270" t="s">
        <x:v>112</x:v>
      </x:c>
      <x:c r="Y384" s="73">
        <x:v>2</x:v>
      </x:c>
      <x:c r="Z384" s="72" t="s">
        <x:v>106</x:v>
      </x:c>
      <x:c r="AA384" s="82" t="s">
        <x:v>111</x:v>
      </x:c>
      <x:c r="AB384" s="72">
        <x:v>2025</x:v>
      </x:c>
      <x:c r="AC384" s="72" t="s">
        <x:v>113</x:v>
      </x:c>
      <x:c r="AD384" s="88">
        <x:f>+BORDRO!J388</x:f>
      </x:c>
      <x:c r="AE384" s="83"/>
      <x:c r="AF384" s="83">
        <x:f>+BORDRO!K388</x:f>
      </x:c>
      <x:c r="AG384" s="83">
        <x:f>+BORDRO!L388</x:f>
      </x:c>
      <x:c r="AH384" s="88">
        <x:f>+BORDRO!M388</x:f>
      </x:c>
      <x:c r="AI384" s="83">
        <x:f>+BORDRO!O388</x:f>
      </x:c>
      <x:c r="AJ384" s="84">
        <x:f>+BORDRO!P388</x:f>
      </x:c>
    </x:row>
    <x:row r="385" spans="1:36" ht="14.25" customHeight="1" x14ac:dyDescent="0.2">
      <x:c r="A385" s="72" t="s">
        <x:v>106</x:v>
      </x:c>
      <x:c r="B385" s="271">
        <x:v>46</x:v>
      </x:c>
      <x:c r="C385" s="72" t="s">
        <x:v>107</x:v>
      </x:c>
      <x:c r="D385" s="72" t="s">
        <x:v>108</x:v>
      </x:c>
      <x:c r="E385" s="72" t="s">
        <x:v>108</x:v>
      </x:c>
      <x:c r="F385" s="73">
        <x:v>1494768</x:v>
      </x:c>
      <x:c r="G385" s="74" t="s">
        <x:v>109</x:v>
      </x:c>
      <x:c r="H385" s="72" t="s">
        <x:v>110</x:v>
      </x:c>
      <x:c r="I385" s="86"/>
      <x:c r="J385" s="75">
        <x:f>+Puantaj!C389</x:f>
      </x:c>
      <x:c r="K385" s="72">
        <x:f>+Puantaj!D389</x:f>
      </x:c>
      <x:c r="L385" s="72">
        <x:f>+Puantaj!E389</x:f>
      </x:c>
      <x:c r="M385" s="265">
        <x:f>+BORDRO!F389</x:f>
      </x:c>
      <x:c r="N385" s="72"/>
      <x:c r="O385" s="87">
        <x:f>+BORDRO!G389</x:f>
      </x:c>
      <x:c r="P385" s="87">
        <x:v>0</x:v>
      </x:c>
      <x:c r="Q385" s="267"/>
      <x:c r="R385" s="267"/>
      <x:c r="S385" s="78"/>
      <x:c r="T385" s="78"/>
      <x:c r="U385" s="79"/>
      <x:c r="V385" s="268">
        <x:f>31-M385-Q385</x:f>
      </x:c>
      <x:c r="W385" s="269">
        <x:v>6</x:v>
      </x:c>
      <x:c r="X385" s="270" t="s">
        <x:v>112</x:v>
      </x:c>
      <x:c r="Y385" s="73">
        <x:v>2</x:v>
      </x:c>
      <x:c r="Z385" s="72" t="s">
        <x:v>106</x:v>
      </x:c>
      <x:c r="AA385" s="82" t="s">
        <x:v>111</x:v>
      </x:c>
      <x:c r="AB385" s="72">
        <x:v>2025</x:v>
      </x:c>
      <x:c r="AC385" s="72" t="s">
        <x:v>113</x:v>
      </x:c>
      <x:c r="AD385" s="88">
        <x:f>+BORDRO!J389</x:f>
      </x:c>
      <x:c r="AE385" s="83"/>
      <x:c r="AF385" s="83">
        <x:f>+BORDRO!K389</x:f>
      </x:c>
      <x:c r="AG385" s="83">
        <x:f>+BORDRO!L389</x:f>
      </x:c>
      <x:c r="AH385" s="88">
        <x:f>+BORDRO!M389</x:f>
      </x:c>
      <x:c r="AI385" s="83">
        <x:f>+BORDRO!O389</x:f>
      </x:c>
      <x:c r="AJ385" s="84">
        <x:f>+BORDRO!P389</x:f>
      </x:c>
    </x:row>
    <x:row r="386" spans="1:36" ht="15" customHeight="1" x14ac:dyDescent="0.25">
      <x:c r="A386" s="72" t="s">
        <x:v>106</x:v>
      </x:c>
      <x:c r="B386" s="264">
        <x:v>46</x:v>
      </x:c>
      <x:c r="C386" s="72" t="s">
        <x:v>107</x:v>
      </x:c>
      <x:c r="D386" s="72" t="s">
        <x:v>108</x:v>
      </x:c>
      <x:c r="E386" s="72" t="s">
        <x:v>108</x:v>
      </x:c>
      <x:c r="F386" s="73">
        <x:v>1494768</x:v>
      </x:c>
      <x:c r="G386" s="74" t="s">
        <x:v>109</x:v>
      </x:c>
      <x:c r="H386" s="72" t="s">
        <x:v>110</x:v>
      </x:c>
      <x:c r="I386" s="86"/>
      <x:c r="J386" s="75">
        <x:f>+Puantaj!C390</x:f>
      </x:c>
      <x:c r="K386" s="72">
        <x:f>+Puantaj!D390</x:f>
      </x:c>
      <x:c r="L386" s="72">
        <x:f>+Puantaj!E390</x:f>
      </x:c>
      <x:c r="M386" s="265">
        <x:f>+BORDRO!F390</x:f>
      </x:c>
      <x:c r="N386" s="72"/>
      <x:c r="O386" s="87">
        <x:f>+BORDRO!G390</x:f>
      </x:c>
      <x:c r="P386" s="87">
        <x:v>0</x:v>
      </x:c>
      <x:c r="Q386" s="267"/>
      <x:c r="R386" s="267"/>
      <x:c r="S386" s="78"/>
      <x:c r="T386" s="78"/>
      <x:c r="U386" s="79"/>
      <x:c r="V386" s="268">
        <x:f>31-M386-Q386</x:f>
      </x:c>
      <x:c r="W386" s="269">
        <x:v>6</x:v>
      </x:c>
      <x:c r="X386" s="270" t="s">
        <x:v>112</x:v>
      </x:c>
      <x:c r="Y386" s="73">
        <x:v>2</x:v>
      </x:c>
      <x:c r="Z386" s="72" t="s">
        <x:v>106</x:v>
      </x:c>
      <x:c r="AA386" s="82" t="s">
        <x:v>111</x:v>
      </x:c>
      <x:c r="AB386" s="72">
        <x:v>2025</x:v>
      </x:c>
      <x:c r="AC386" s="72" t="s">
        <x:v>113</x:v>
      </x:c>
      <x:c r="AD386" s="88">
        <x:f>+BORDRO!J390</x:f>
      </x:c>
      <x:c r="AE386" s="83"/>
      <x:c r="AF386" s="83">
        <x:f>+BORDRO!K390</x:f>
      </x:c>
      <x:c r="AG386" s="83">
        <x:f>+BORDRO!L390</x:f>
      </x:c>
      <x:c r="AH386" s="88">
        <x:f>+BORDRO!M390</x:f>
      </x:c>
      <x:c r="AI386" s="83">
        <x:f>+BORDRO!O390</x:f>
      </x:c>
      <x:c r="AJ386" s="84">
        <x:f>+BORDRO!P390</x:f>
      </x:c>
    </x:row>
    <x:row r="387" spans="1:36" ht="14.25" customHeight="1" x14ac:dyDescent="0.2">
      <x:c r="A387" s="72" t="s">
        <x:v>106</x:v>
      </x:c>
      <x:c r="B387" s="271">
        <x:v>46</x:v>
      </x:c>
      <x:c r="C387" s="72" t="s">
        <x:v>107</x:v>
      </x:c>
      <x:c r="D387" s="72" t="s">
        <x:v>108</x:v>
      </x:c>
      <x:c r="E387" s="72" t="s">
        <x:v>108</x:v>
      </x:c>
      <x:c r="F387" s="73">
        <x:v>1494768</x:v>
      </x:c>
      <x:c r="G387" s="74" t="s">
        <x:v>109</x:v>
      </x:c>
      <x:c r="H387" s="72" t="s">
        <x:v>110</x:v>
      </x:c>
      <x:c r="I387" s="86"/>
      <x:c r="J387" s="75">
        <x:f>+Puantaj!C391</x:f>
      </x:c>
      <x:c r="K387" s="72">
        <x:f>+Puantaj!D391</x:f>
      </x:c>
      <x:c r="L387" s="72">
        <x:f>+Puantaj!E391</x:f>
      </x:c>
      <x:c r="M387" s="265">
        <x:f>+BORDRO!F391</x:f>
      </x:c>
      <x:c r="N387" s="72"/>
      <x:c r="O387" s="87">
        <x:f>+BORDRO!G391</x:f>
      </x:c>
      <x:c r="P387" s="87">
        <x:v>0</x:v>
      </x:c>
      <x:c r="Q387" s="267"/>
      <x:c r="R387" s="267"/>
      <x:c r="S387" s="78"/>
      <x:c r="T387" s="78"/>
      <x:c r="U387" s="79"/>
      <x:c r="V387" s="268">
        <x:f>31-M387-Q387</x:f>
      </x:c>
      <x:c r="W387" s="269">
        <x:v>6</x:v>
      </x:c>
      <x:c r="X387" s="270" t="s">
        <x:v>112</x:v>
      </x:c>
      <x:c r="Y387" s="73">
        <x:v>2</x:v>
      </x:c>
      <x:c r="Z387" s="72" t="s">
        <x:v>106</x:v>
      </x:c>
      <x:c r="AA387" s="82" t="s">
        <x:v>111</x:v>
      </x:c>
      <x:c r="AB387" s="72">
        <x:v>2025</x:v>
      </x:c>
      <x:c r="AC387" s="72" t="s">
        <x:v>113</x:v>
      </x:c>
      <x:c r="AD387" s="88">
        <x:f>+BORDRO!J391</x:f>
      </x:c>
      <x:c r="AE387" s="83"/>
      <x:c r="AF387" s="83">
        <x:f>+BORDRO!K391</x:f>
      </x:c>
      <x:c r="AG387" s="83">
        <x:f>+BORDRO!L391</x:f>
      </x:c>
      <x:c r="AH387" s="88">
        <x:f>+BORDRO!M391</x:f>
      </x:c>
      <x:c r="AI387" s="83">
        <x:f>+BORDRO!O391</x:f>
      </x:c>
      <x:c r="AJ387" s="84">
        <x:f>+BORDRO!P391</x:f>
      </x:c>
    </x:row>
    <x:row r="388" spans="1:36" ht="15" customHeight="1" x14ac:dyDescent="0.25">
      <x:c r="A388" s="72" t="s">
        <x:v>106</x:v>
      </x:c>
      <x:c r="B388" s="264">
        <x:v>46</x:v>
      </x:c>
      <x:c r="C388" s="72" t="s">
        <x:v>107</x:v>
      </x:c>
      <x:c r="D388" s="72" t="s">
        <x:v>108</x:v>
      </x:c>
      <x:c r="E388" s="72" t="s">
        <x:v>108</x:v>
      </x:c>
      <x:c r="F388" s="73">
        <x:v>1494768</x:v>
      </x:c>
      <x:c r="G388" s="74" t="s">
        <x:v>109</x:v>
      </x:c>
      <x:c r="H388" s="72" t="s">
        <x:v>110</x:v>
      </x:c>
      <x:c r="I388" s="86"/>
      <x:c r="J388" s="75">
        <x:f>+Puantaj!C392</x:f>
      </x:c>
      <x:c r="K388" s="72">
        <x:f>+Puantaj!D392</x:f>
      </x:c>
      <x:c r="L388" s="72">
        <x:f>+Puantaj!E392</x:f>
      </x:c>
      <x:c r="M388" s="265">
        <x:f>+BORDRO!F392</x:f>
      </x:c>
      <x:c r="N388" s="72"/>
      <x:c r="O388" s="87">
        <x:f>+BORDRO!G392</x:f>
      </x:c>
      <x:c r="P388" s="87">
        <x:v>0</x:v>
      </x:c>
      <x:c r="Q388" s="267"/>
      <x:c r="R388" s="267"/>
      <x:c r="S388" s="78"/>
      <x:c r="T388" s="78"/>
      <x:c r="U388" s="79"/>
      <x:c r="V388" s="268">
        <x:f>31-M388-Q388</x:f>
      </x:c>
      <x:c r="W388" s="269">
        <x:v>6</x:v>
      </x:c>
      <x:c r="X388" s="270" t="s">
        <x:v>112</x:v>
      </x:c>
      <x:c r="Y388" s="73">
        <x:v>2</x:v>
      </x:c>
      <x:c r="Z388" s="72" t="s">
        <x:v>106</x:v>
      </x:c>
      <x:c r="AA388" s="82" t="s">
        <x:v>111</x:v>
      </x:c>
      <x:c r="AB388" s="72">
        <x:v>2025</x:v>
      </x:c>
      <x:c r="AC388" s="72" t="s">
        <x:v>113</x:v>
      </x:c>
      <x:c r="AD388" s="88">
        <x:f>+BORDRO!J392</x:f>
      </x:c>
      <x:c r="AE388" s="83"/>
      <x:c r="AF388" s="83">
        <x:f>+BORDRO!K392</x:f>
      </x:c>
      <x:c r="AG388" s="83">
        <x:f>+BORDRO!L392</x:f>
      </x:c>
      <x:c r="AH388" s="88">
        <x:f>+BORDRO!M392</x:f>
      </x:c>
      <x:c r="AI388" s="83">
        <x:f>+BORDRO!O392</x:f>
      </x:c>
      <x:c r="AJ388" s="84">
        <x:f>+BORDRO!P392</x:f>
      </x:c>
    </x:row>
    <x:row r="389" spans="1:36" ht="14.25" customHeight="1" x14ac:dyDescent="0.2">
      <x:c r="A389" s="72" t="s">
        <x:v>106</x:v>
      </x:c>
      <x:c r="B389" s="271">
        <x:v>46</x:v>
      </x:c>
      <x:c r="C389" s="72" t="s">
        <x:v>107</x:v>
      </x:c>
      <x:c r="D389" s="72" t="s">
        <x:v>108</x:v>
      </x:c>
      <x:c r="E389" s="72" t="s">
        <x:v>108</x:v>
      </x:c>
      <x:c r="F389" s="73">
        <x:v>1494768</x:v>
      </x:c>
      <x:c r="G389" s="74" t="s">
        <x:v>109</x:v>
      </x:c>
      <x:c r="H389" s="72" t="s">
        <x:v>110</x:v>
      </x:c>
      <x:c r="I389" s="86"/>
      <x:c r="J389" s="75">
        <x:f>+Puantaj!C393</x:f>
      </x:c>
      <x:c r="K389" s="72">
        <x:f>+Puantaj!D393</x:f>
      </x:c>
      <x:c r="L389" s="72">
        <x:f>+Puantaj!E393</x:f>
      </x:c>
      <x:c r="M389" s="265">
        <x:f>+BORDRO!F393</x:f>
      </x:c>
      <x:c r="N389" s="72"/>
      <x:c r="O389" s="87">
        <x:f>+BORDRO!G393</x:f>
      </x:c>
      <x:c r="P389" s="87">
        <x:v>0</x:v>
      </x:c>
      <x:c r="Q389" s="267"/>
      <x:c r="R389" s="267"/>
      <x:c r="S389" s="78"/>
      <x:c r="T389" s="78"/>
      <x:c r="U389" s="79"/>
      <x:c r="V389" s="268">
        <x:f>31-M389-Q389</x:f>
      </x:c>
      <x:c r="W389" s="269">
        <x:v>6</x:v>
      </x:c>
      <x:c r="X389" s="270" t="s">
        <x:v>112</x:v>
      </x:c>
      <x:c r="Y389" s="73">
        <x:v>2</x:v>
      </x:c>
      <x:c r="Z389" s="72" t="s">
        <x:v>106</x:v>
      </x:c>
      <x:c r="AA389" s="82" t="s">
        <x:v>111</x:v>
      </x:c>
      <x:c r="AB389" s="72">
        <x:v>2025</x:v>
      </x:c>
      <x:c r="AC389" s="72" t="s">
        <x:v>113</x:v>
      </x:c>
      <x:c r="AD389" s="88">
        <x:f>+BORDRO!J393</x:f>
      </x:c>
      <x:c r="AE389" s="83"/>
      <x:c r="AF389" s="83">
        <x:f>+BORDRO!K393</x:f>
      </x:c>
      <x:c r="AG389" s="83">
        <x:f>+BORDRO!L393</x:f>
      </x:c>
      <x:c r="AH389" s="88">
        <x:f>+BORDRO!M393</x:f>
      </x:c>
      <x:c r="AI389" s="83">
        <x:f>+BORDRO!O393</x:f>
      </x:c>
      <x:c r="AJ389" s="84">
        <x:f>+BORDRO!P393</x:f>
      </x:c>
    </x:row>
    <x:row r="390" spans="1:36" ht="15" customHeight="1" x14ac:dyDescent="0.25">
      <x:c r="A390" s="72" t="s">
        <x:v>106</x:v>
      </x:c>
      <x:c r="B390" s="264">
        <x:v>46</x:v>
      </x:c>
      <x:c r="C390" s="72" t="s">
        <x:v>107</x:v>
      </x:c>
      <x:c r="D390" s="72" t="s">
        <x:v>108</x:v>
      </x:c>
      <x:c r="E390" s="72" t="s">
        <x:v>108</x:v>
      </x:c>
      <x:c r="F390" s="73">
        <x:v>1494768</x:v>
      </x:c>
      <x:c r="G390" s="74" t="s">
        <x:v>109</x:v>
      </x:c>
      <x:c r="H390" s="72" t="s">
        <x:v>110</x:v>
      </x:c>
      <x:c r="I390" s="86"/>
      <x:c r="J390" s="75">
        <x:f>+Puantaj!C394</x:f>
      </x:c>
      <x:c r="K390" s="72">
        <x:f>+Puantaj!D394</x:f>
      </x:c>
      <x:c r="L390" s="72">
        <x:f>+Puantaj!E394</x:f>
      </x:c>
      <x:c r="M390" s="265">
        <x:f>+BORDRO!F394</x:f>
      </x:c>
      <x:c r="N390" s="72"/>
      <x:c r="O390" s="87">
        <x:f>+BORDRO!G394</x:f>
      </x:c>
      <x:c r="P390" s="87">
        <x:v>0</x:v>
      </x:c>
      <x:c r="Q390" s="267"/>
      <x:c r="R390" s="267"/>
      <x:c r="S390" s="78"/>
      <x:c r="T390" s="78"/>
      <x:c r="U390" s="79"/>
      <x:c r="V390" s="268">
        <x:f>31-M390-Q390</x:f>
      </x:c>
      <x:c r="W390" s="269">
        <x:v>6</x:v>
      </x:c>
      <x:c r="X390" s="270" t="s">
        <x:v>112</x:v>
      </x:c>
      <x:c r="Y390" s="73">
        <x:v>2</x:v>
      </x:c>
      <x:c r="Z390" s="72" t="s">
        <x:v>106</x:v>
      </x:c>
      <x:c r="AA390" s="82" t="s">
        <x:v>111</x:v>
      </x:c>
      <x:c r="AB390" s="72">
        <x:v>2025</x:v>
      </x:c>
      <x:c r="AC390" s="72" t="s">
        <x:v>113</x:v>
      </x:c>
      <x:c r="AD390" s="88">
        <x:f>+BORDRO!J394</x:f>
      </x:c>
      <x:c r="AE390" s="83"/>
      <x:c r="AF390" s="83">
        <x:f>+BORDRO!K394</x:f>
      </x:c>
      <x:c r="AG390" s="83">
        <x:f>+BORDRO!L394</x:f>
      </x:c>
      <x:c r="AH390" s="88">
        <x:f>+BORDRO!M394</x:f>
      </x:c>
      <x:c r="AI390" s="83">
        <x:f>+BORDRO!O394</x:f>
      </x:c>
      <x:c r="AJ390" s="84">
        <x:f>+BORDRO!P394</x:f>
      </x:c>
    </x:row>
    <x:row r="391" spans="1:36" ht="14.25" customHeight="1" x14ac:dyDescent="0.2">
      <x:c r="A391" s="72" t="s">
        <x:v>106</x:v>
      </x:c>
      <x:c r="B391" s="271">
        <x:v>46</x:v>
      </x:c>
      <x:c r="C391" s="72" t="s">
        <x:v>107</x:v>
      </x:c>
      <x:c r="D391" s="72" t="s">
        <x:v>108</x:v>
      </x:c>
      <x:c r="E391" s="72" t="s">
        <x:v>108</x:v>
      </x:c>
      <x:c r="F391" s="73">
        <x:v>1494768</x:v>
      </x:c>
      <x:c r="G391" s="74" t="s">
        <x:v>109</x:v>
      </x:c>
      <x:c r="H391" s="72" t="s">
        <x:v>110</x:v>
      </x:c>
      <x:c r="I391" s="86"/>
      <x:c r="J391" s="75">
        <x:f>+Puantaj!C395</x:f>
      </x:c>
      <x:c r="K391" s="72">
        <x:f>+Puantaj!D395</x:f>
      </x:c>
      <x:c r="L391" s="72">
        <x:f>+Puantaj!E395</x:f>
      </x:c>
      <x:c r="M391" s="265">
        <x:f>+BORDRO!F395</x:f>
      </x:c>
      <x:c r="N391" s="72"/>
      <x:c r="O391" s="87">
        <x:f>+BORDRO!G395</x:f>
      </x:c>
      <x:c r="P391" s="87">
        <x:v>0</x:v>
      </x:c>
      <x:c r="Q391" s="267"/>
      <x:c r="R391" s="267"/>
      <x:c r="S391" s="78"/>
      <x:c r="T391" s="78"/>
      <x:c r="U391" s="79"/>
      <x:c r="V391" s="268">
        <x:f>31-M391-Q391</x:f>
      </x:c>
      <x:c r="W391" s="269">
        <x:v>6</x:v>
      </x:c>
      <x:c r="X391" s="270" t="s">
        <x:v>112</x:v>
      </x:c>
      <x:c r="Y391" s="73">
        <x:v>2</x:v>
      </x:c>
      <x:c r="Z391" s="72" t="s">
        <x:v>106</x:v>
      </x:c>
      <x:c r="AA391" s="82" t="s">
        <x:v>111</x:v>
      </x:c>
      <x:c r="AB391" s="72">
        <x:v>2025</x:v>
      </x:c>
      <x:c r="AC391" s="72" t="s">
        <x:v>113</x:v>
      </x:c>
      <x:c r="AD391" s="88">
        <x:f>+BORDRO!J395</x:f>
      </x:c>
      <x:c r="AE391" s="83"/>
      <x:c r="AF391" s="83">
        <x:f>+BORDRO!K395</x:f>
      </x:c>
      <x:c r="AG391" s="83">
        <x:f>+BORDRO!L395</x:f>
      </x:c>
      <x:c r="AH391" s="88">
        <x:f>+BORDRO!M395</x:f>
      </x:c>
      <x:c r="AI391" s="83">
        <x:f>+BORDRO!O395</x:f>
      </x:c>
      <x:c r="AJ391" s="84">
        <x:f>+BORDRO!P395</x:f>
      </x:c>
    </x:row>
    <x:row r="392" spans="1:36" ht="15" customHeight="1" x14ac:dyDescent="0.25">
      <x:c r="A392" s="72" t="s">
        <x:v>106</x:v>
      </x:c>
      <x:c r="B392" s="264">
        <x:v>46</x:v>
      </x:c>
      <x:c r="C392" s="72" t="s">
        <x:v>107</x:v>
      </x:c>
      <x:c r="D392" s="72" t="s">
        <x:v>108</x:v>
      </x:c>
      <x:c r="E392" s="72" t="s">
        <x:v>108</x:v>
      </x:c>
      <x:c r="F392" s="73">
        <x:v>1494768</x:v>
      </x:c>
      <x:c r="G392" s="74" t="s">
        <x:v>109</x:v>
      </x:c>
      <x:c r="H392" s="72" t="s">
        <x:v>110</x:v>
      </x:c>
      <x:c r="I392" s="86"/>
      <x:c r="J392" s="75">
        <x:f>+Puantaj!C396</x:f>
      </x:c>
      <x:c r="K392" s="72">
        <x:f>+Puantaj!D396</x:f>
      </x:c>
      <x:c r="L392" s="72">
        <x:f>+Puantaj!E396</x:f>
      </x:c>
      <x:c r="M392" s="265">
        <x:f>+BORDRO!F396</x:f>
      </x:c>
      <x:c r="N392" s="72"/>
      <x:c r="O392" s="87">
        <x:f>+BORDRO!G396</x:f>
      </x:c>
      <x:c r="P392" s="87">
        <x:v>0</x:v>
      </x:c>
      <x:c r="Q392" s="267"/>
      <x:c r="R392" s="267"/>
      <x:c r="S392" s="78"/>
      <x:c r="T392" s="78"/>
      <x:c r="U392" s="79"/>
      <x:c r="V392" s="268">
        <x:f>31-M392-Q392</x:f>
      </x:c>
      <x:c r="W392" s="269">
        <x:v>6</x:v>
      </x:c>
      <x:c r="X392" s="270" t="s">
        <x:v>112</x:v>
      </x:c>
      <x:c r="Y392" s="73">
        <x:v>2</x:v>
      </x:c>
      <x:c r="Z392" s="72" t="s">
        <x:v>106</x:v>
      </x:c>
      <x:c r="AA392" s="82" t="s">
        <x:v>111</x:v>
      </x:c>
      <x:c r="AB392" s="72">
        <x:v>2025</x:v>
      </x:c>
      <x:c r="AC392" s="72" t="s">
        <x:v>113</x:v>
      </x:c>
      <x:c r="AD392" s="88">
        <x:f>+BORDRO!J396</x:f>
      </x:c>
      <x:c r="AE392" s="83"/>
      <x:c r="AF392" s="83">
        <x:f>+BORDRO!K396</x:f>
      </x:c>
      <x:c r="AG392" s="83">
        <x:f>+BORDRO!L396</x:f>
      </x:c>
      <x:c r="AH392" s="88">
        <x:f>+BORDRO!M396</x:f>
      </x:c>
      <x:c r="AI392" s="83">
        <x:f>+BORDRO!O396</x:f>
      </x:c>
      <x:c r="AJ392" s="84">
        <x:f>+BORDRO!P396</x:f>
      </x:c>
    </x:row>
    <x:row r="393" spans="1:36" ht="14.25" customHeight="1" x14ac:dyDescent="0.2">
      <x:c r="A393" s="72" t="s">
        <x:v>106</x:v>
      </x:c>
      <x:c r="B393" s="271">
        <x:v>46</x:v>
      </x:c>
      <x:c r="C393" s="72" t="s">
        <x:v>107</x:v>
      </x:c>
      <x:c r="D393" s="72" t="s">
        <x:v>108</x:v>
      </x:c>
      <x:c r="E393" s="72" t="s">
        <x:v>108</x:v>
      </x:c>
      <x:c r="F393" s="73">
        <x:v>1494768</x:v>
      </x:c>
      <x:c r="G393" s="74" t="s">
        <x:v>109</x:v>
      </x:c>
      <x:c r="H393" s="72" t="s">
        <x:v>110</x:v>
      </x:c>
      <x:c r="I393" s="86"/>
      <x:c r="J393" s="75">
        <x:f>+Puantaj!C397</x:f>
      </x:c>
      <x:c r="K393" s="72">
        <x:f>+Puantaj!D397</x:f>
      </x:c>
      <x:c r="L393" s="72">
        <x:f>+Puantaj!E397</x:f>
      </x:c>
      <x:c r="M393" s="265">
        <x:f>+BORDRO!F397</x:f>
      </x:c>
      <x:c r="N393" s="72"/>
      <x:c r="O393" s="87">
        <x:f>+BORDRO!G397</x:f>
      </x:c>
      <x:c r="P393" s="87">
        <x:v>0</x:v>
      </x:c>
      <x:c r="Q393" s="267"/>
      <x:c r="R393" s="267"/>
      <x:c r="S393" s="78"/>
      <x:c r="T393" s="78"/>
      <x:c r="U393" s="79"/>
      <x:c r="V393" s="268">
        <x:f>31-M393-Q393</x:f>
      </x:c>
      <x:c r="W393" s="269">
        <x:v>6</x:v>
      </x:c>
      <x:c r="X393" s="270" t="s">
        <x:v>112</x:v>
      </x:c>
      <x:c r="Y393" s="73">
        <x:v>2</x:v>
      </x:c>
      <x:c r="Z393" s="72" t="s">
        <x:v>106</x:v>
      </x:c>
      <x:c r="AA393" s="82" t="s">
        <x:v>111</x:v>
      </x:c>
      <x:c r="AB393" s="72">
        <x:v>2025</x:v>
      </x:c>
      <x:c r="AC393" s="72" t="s">
        <x:v>113</x:v>
      </x:c>
      <x:c r="AD393" s="88">
        <x:f>+BORDRO!J397</x:f>
      </x:c>
      <x:c r="AE393" s="83"/>
      <x:c r="AF393" s="83">
        <x:f>+BORDRO!K397</x:f>
      </x:c>
      <x:c r="AG393" s="83">
        <x:f>+BORDRO!L397</x:f>
      </x:c>
      <x:c r="AH393" s="88">
        <x:f>+BORDRO!M397</x:f>
      </x:c>
      <x:c r="AI393" s="83">
        <x:f>+BORDRO!O397</x:f>
      </x:c>
      <x:c r="AJ393" s="84">
        <x:f>+BORDRO!P397</x:f>
      </x:c>
    </x:row>
    <x:row r="394" spans="1:36" ht="15" customHeight="1" x14ac:dyDescent="0.25">
      <x:c r="A394" s="72" t="s">
        <x:v>106</x:v>
      </x:c>
      <x:c r="B394" s="264">
        <x:v>46</x:v>
      </x:c>
      <x:c r="C394" s="72" t="s">
        <x:v>107</x:v>
      </x:c>
      <x:c r="D394" s="72" t="s">
        <x:v>108</x:v>
      </x:c>
      <x:c r="E394" s="72" t="s">
        <x:v>108</x:v>
      </x:c>
      <x:c r="F394" s="73">
        <x:v>1494768</x:v>
      </x:c>
      <x:c r="G394" s="74" t="s">
        <x:v>109</x:v>
      </x:c>
      <x:c r="H394" s="72" t="s">
        <x:v>110</x:v>
      </x:c>
      <x:c r="I394" s="86"/>
      <x:c r="J394" s="75">
        <x:f>+Puantaj!C398</x:f>
      </x:c>
      <x:c r="K394" s="72">
        <x:f>+Puantaj!D398</x:f>
      </x:c>
      <x:c r="L394" s="72">
        <x:f>+Puantaj!E398</x:f>
      </x:c>
      <x:c r="M394" s="265">
        <x:f>+BORDRO!F398</x:f>
      </x:c>
      <x:c r="N394" s="72"/>
      <x:c r="O394" s="87">
        <x:f>+BORDRO!G398</x:f>
      </x:c>
      <x:c r="P394" s="87">
        <x:v>0</x:v>
      </x:c>
      <x:c r="Q394" s="267"/>
      <x:c r="R394" s="267"/>
      <x:c r="S394" s="78"/>
      <x:c r="T394" s="78"/>
      <x:c r="U394" s="79"/>
      <x:c r="V394" s="268">
        <x:f>31-M394-Q394</x:f>
      </x:c>
      <x:c r="W394" s="269">
        <x:v>6</x:v>
      </x:c>
      <x:c r="X394" s="270" t="s">
        <x:v>112</x:v>
      </x:c>
      <x:c r="Y394" s="73">
        <x:v>2</x:v>
      </x:c>
      <x:c r="Z394" s="72" t="s">
        <x:v>106</x:v>
      </x:c>
      <x:c r="AA394" s="82" t="s">
        <x:v>111</x:v>
      </x:c>
      <x:c r="AB394" s="72">
        <x:v>2025</x:v>
      </x:c>
      <x:c r="AC394" s="72" t="s">
        <x:v>113</x:v>
      </x:c>
      <x:c r="AD394" s="88">
        <x:f>+BORDRO!J398</x:f>
      </x:c>
      <x:c r="AE394" s="83"/>
      <x:c r="AF394" s="83">
        <x:f>+BORDRO!K398</x:f>
      </x:c>
      <x:c r="AG394" s="83">
        <x:f>+BORDRO!L398</x:f>
      </x:c>
      <x:c r="AH394" s="88">
        <x:f>+BORDRO!M398</x:f>
      </x:c>
      <x:c r="AI394" s="83">
        <x:f>+BORDRO!O398</x:f>
      </x:c>
      <x:c r="AJ394" s="84">
        <x:f>+BORDRO!P398</x:f>
      </x:c>
    </x:row>
    <x:row r="395" spans="1:36" ht="14.25" customHeight="1" x14ac:dyDescent="0.2">
      <x:c r="A395" s="72" t="s">
        <x:v>106</x:v>
      </x:c>
      <x:c r="B395" s="271">
        <x:v>46</x:v>
      </x:c>
      <x:c r="C395" s="72" t="s">
        <x:v>107</x:v>
      </x:c>
      <x:c r="D395" s="72" t="s">
        <x:v>108</x:v>
      </x:c>
      <x:c r="E395" s="72" t="s">
        <x:v>108</x:v>
      </x:c>
      <x:c r="F395" s="73">
        <x:v>1494768</x:v>
      </x:c>
      <x:c r="G395" s="74" t="s">
        <x:v>109</x:v>
      </x:c>
      <x:c r="H395" s="72" t="s">
        <x:v>110</x:v>
      </x:c>
      <x:c r="I395" s="86"/>
      <x:c r="J395" s="75">
        <x:f>+Puantaj!C399</x:f>
      </x:c>
      <x:c r="K395" s="72">
        <x:f>+Puantaj!D399</x:f>
      </x:c>
      <x:c r="L395" s="72">
        <x:f>+Puantaj!E399</x:f>
      </x:c>
      <x:c r="M395" s="265">
        <x:f>+BORDRO!F399</x:f>
      </x:c>
      <x:c r="N395" s="72"/>
      <x:c r="O395" s="87">
        <x:f>+BORDRO!G399</x:f>
      </x:c>
      <x:c r="P395" s="87">
        <x:v>0</x:v>
      </x:c>
      <x:c r="Q395" s="267"/>
      <x:c r="R395" s="267"/>
      <x:c r="S395" s="78"/>
      <x:c r="T395" s="78"/>
      <x:c r="U395" s="79"/>
      <x:c r="V395" s="268">
        <x:f>31-M395-Q395</x:f>
      </x:c>
      <x:c r="W395" s="269">
        <x:v>6</x:v>
      </x:c>
      <x:c r="X395" s="270" t="s">
        <x:v>112</x:v>
      </x:c>
      <x:c r="Y395" s="73">
        <x:v>2</x:v>
      </x:c>
      <x:c r="Z395" s="72" t="s">
        <x:v>106</x:v>
      </x:c>
      <x:c r="AA395" s="82" t="s">
        <x:v>111</x:v>
      </x:c>
      <x:c r="AB395" s="72">
        <x:v>2025</x:v>
      </x:c>
      <x:c r="AC395" s="72" t="s">
        <x:v>113</x:v>
      </x:c>
      <x:c r="AD395" s="88">
        <x:f>+BORDRO!J399</x:f>
      </x:c>
      <x:c r="AE395" s="83"/>
      <x:c r="AF395" s="83">
        <x:f>+BORDRO!K399</x:f>
      </x:c>
      <x:c r="AG395" s="83">
        <x:f>+BORDRO!L399</x:f>
      </x:c>
      <x:c r="AH395" s="88">
        <x:f>+BORDRO!M399</x:f>
      </x:c>
      <x:c r="AI395" s="83">
        <x:f>+BORDRO!O399</x:f>
      </x:c>
      <x:c r="AJ395" s="84">
        <x:f>+BORDRO!P399</x:f>
      </x:c>
    </x:row>
    <x:row r="396" spans="1:36" ht="15" customHeight="1" x14ac:dyDescent="0.25">
      <x:c r="A396" s="72" t="s">
        <x:v>106</x:v>
      </x:c>
      <x:c r="B396" s="264">
        <x:v>46</x:v>
      </x:c>
      <x:c r="C396" s="72" t="s">
        <x:v>107</x:v>
      </x:c>
      <x:c r="D396" s="72" t="s">
        <x:v>108</x:v>
      </x:c>
      <x:c r="E396" s="72" t="s">
        <x:v>108</x:v>
      </x:c>
      <x:c r="F396" s="73">
        <x:v>1494768</x:v>
      </x:c>
      <x:c r="G396" s="74" t="s">
        <x:v>109</x:v>
      </x:c>
      <x:c r="H396" s="72" t="s">
        <x:v>110</x:v>
      </x:c>
      <x:c r="I396" s="86"/>
      <x:c r="J396" s="75">
        <x:f>+Puantaj!C400</x:f>
      </x:c>
      <x:c r="K396" s="72">
        <x:f>+Puantaj!D400</x:f>
      </x:c>
      <x:c r="L396" s="72">
        <x:f>+Puantaj!E400</x:f>
      </x:c>
      <x:c r="M396" s="265">
        <x:f>+BORDRO!F400</x:f>
      </x:c>
      <x:c r="N396" s="72"/>
      <x:c r="O396" s="87">
        <x:f>+BORDRO!G400</x:f>
      </x:c>
      <x:c r="P396" s="87">
        <x:v>0</x:v>
      </x:c>
      <x:c r="Q396" s="267"/>
      <x:c r="R396" s="267"/>
      <x:c r="S396" s="78"/>
      <x:c r="T396" s="78"/>
      <x:c r="U396" s="79"/>
      <x:c r="V396" s="268">
        <x:f>31-M396-Q396</x:f>
      </x:c>
      <x:c r="W396" s="269">
        <x:v>6</x:v>
      </x:c>
      <x:c r="X396" s="270" t="s">
        <x:v>112</x:v>
      </x:c>
      <x:c r="Y396" s="73">
        <x:v>2</x:v>
      </x:c>
      <x:c r="Z396" s="72" t="s">
        <x:v>106</x:v>
      </x:c>
      <x:c r="AA396" s="82" t="s">
        <x:v>111</x:v>
      </x:c>
      <x:c r="AB396" s="72">
        <x:v>2025</x:v>
      </x:c>
      <x:c r="AC396" s="72" t="s">
        <x:v>113</x:v>
      </x:c>
      <x:c r="AD396" s="88">
        <x:f>+BORDRO!J400</x:f>
      </x:c>
      <x:c r="AE396" s="83"/>
      <x:c r="AF396" s="83">
        <x:f>+BORDRO!K400</x:f>
      </x:c>
      <x:c r="AG396" s="83">
        <x:f>+BORDRO!L400</x:f>
      </x:c>
      <x:c r="AH396" s="88">
        <x:f>+BORDRO!M400</x:f>
      </x:c>
      <x:c r="AI396" s="83">
        <x:f>+BORDRO!O400</x:f>
      </x:c>
      <x:c r="AJ396" s="84">
        <x:f>+BORDRO!P400</x:f>
      </x:c>
    </x:row>
    <x:row r="397" spans="1:36" ht="14.25" customHeight="1" x14ac:dyDescent="0.2">
      <x:c r="A397" s="72" t="s">
        <x:v>106</x:v>
      </x:c>
      <x:c r="B397" s="271">
        <x:v>46</x:v>
      </x:c>
      <x:c r="C397" s="72" t="s">
        <x:v>107</x:v>
      </x:c>
      <x:c r="D397" s="72" t="s">
        <x:v>108</x:v>
      </x:c>
      <x:c r="E397" s="72" t="s">
        <x:v>108</x:v>
      </x:c>
      <x:c r="F397" s="73">
        <x:v>1494768</x:v>
      </x:c>
      <x:c r="G397" s="74" t="s">
        <x:v>109</x:v>
      </x:c>
      <x:c r="H397" s="72" t="s">
        <x:v>110</x:v>
      </x:c>
      <x:c r="I397" s="86"/>
      <x:c r="J397" s="75">
        <x:f>+Puantaj!C401</x:f>
      </x:c>
      <x:c r="K397" s="72">
        <x:f>+Puantaj!D401</x:f>
      </x:c>
      <x:c r="L397" s="72">
        <x:f>+Puantaj!E401</x:f>
      </x:c>
      <x:c r="M397" s="265">
        <x:f>+BORDRO!F401</x:f>
      </x:c>
      <x:c r="N397" s="72"/>
      <x:c r="O397" s="87">
        <x:f>+BORDRO!G401</x:f>
      </x:c>
      <x:c r="P397" s="87">
        <x:v>0</x:v>
      </x:c>
      <x:c r="Q397" s="267"/>
      <x:c r="R397" s="267"/>
      <x:c r="S397" s="78"/>
      <x:c r="T397" s="78"/>
      <x:c r="U397" s="79"/>
      <x:c r="V397" s="268">
        <x:f>31-M397-Q397</x:f>
      </x:c>
      <x:c r="W397" s="269">
        <x:v>6</x:v>
      </x:c>
      <x:c r="X397" s="270" t="s">
        <x:v>112</x:v>
      </x:c>
      <x:c r="Y397" s="73">
        <x:v>2</x:v>
      </x:c>
      <x:c r="Z397" s="72" t="s">
        <x:v>106</x:v>
      </x:c>
      <x:c r="AA397" s="82" t="s">
        <x:v>111</x:v>
      </x:c>
      <x:c r="AB397" s="72">
        <x:v>2025</x:v>
      </x:c>
      <x:c r="AC397" s="72" t="s">
        <x:v>113</x:v>
      </x:c>
      <x:c r="AD397" s="88">
        <x:f>+BORDRO!J401</x:f>
      </x:c>
      <x:c r="AE397" s="83"/>
      <x:c r="AF397" s="83">
        <x:f>+BORDRO!K401</x:f>
      </x:c>
      <x:c r="AG397" s="83">
        <x:f>+BORDRO!L401</x:f>
      </x:c>
      <x:c r="AH397" s="88">
        <x:f>+BORDRO!M401</x:f>
      </x:c>
      <x:c r="AI397" s="83">
        <x:f>+BORDRO!O401</x:f>
      </x:c>
      <x:c r="AJ397" s="84">
        <x:f>+BORDRO!P401</x:f>
      </x:c>
    </x:row>
    <x:row r="398" spans="1:36" ht="15" customHeight="1" x14ac:dyDescent="0.25">
      <x:c r="A398" s="72" t="s">
        <x:v>106</x:v>
      </x:c>
      <x:c r="B398" s="264">
        <x:v>46</x:v>
      </x:c>
      <x:c r="C398" s="72" t="s">
        <x:v>107</x:v>
      </x:c>
      <x:c r="D398" s="72" t="s">
        <x:v>108</x:v>
      </x:c>
      <x:c r="E398" s="72" t="s">
        <x:v>108</x:v>
      </x:c>
      <x:c r="F398" s="73">
        <x:v>1494768</x:v>
      </x:c>
      <x:c r="G398" s="74" t="s">
        <x:v>109</x:v>
      </x:c>
      <x:c r="H398" s="72" t="s">
        <x:v>110</x:v>
      </x:c>
      <x:c r="I398" s="86"/>
      <x:c r="J398" s="75">
        <x:f>+Puantaj!C402</x:f>
      </x:c>
      <x:c r="K398" s="72">
        <x:f>+Puantaj!D402</x:f>
      </x:c>
      <x:c r="L398" s="72">
        <x:f>+Puantaj!E402</x:f>
      </x:c>
      <x:c r="M398" s="265">
        <x:f>+BORDRO!F402</x:f>
      </x:c>
      <x:c r="N398" s="72"/>
      <x:c r="O398" s="87">
        <x:f>+BORDRO!G402</x:f>
      </x:c>
      <x:c r="P398" s="87">
        <x:v>0</x:v>
      </x:c>
      <x:c r="Q398" s="267"/>
      <x:c r="R398" s="267"/>
      <x:c r="S398" s="78"/>
      <x:c r="T398" s="78"/>
      <x:c r="U398" s="79"/>
      <x:c r="V398" s="268">
        <x:f>31-M398-Q398</x:f>
      </x:c>
      <x:c r="W398" s="269">
        <x:v>6</x:v>
      </x:c>
      <x:c r="X398" s="270" t="s">
        <x:v>112</x:v>
      </x:c>
      <x:c r="Y398" s="73">
        <x:v>2</x:v>
      </x:c>
      <x:c r="Z398" s="72" t="s">
        <x:v>106</x:v>
      </x:c>
      <x:c r="AA398" s="82" t="s">
        <x:v>111</x:v>
      </x:c>
      <x:c r="AB398" s="72">
        <x:v>2025</x:v>
      </x:c>
      <x:c r="AC398" s="72" t="s">
        <x:v>113</x:v>
      </x:c>
      <x:c r="AD398" s="88">
        <x:f>+BORDRO!J402</x:f>
      </x:c>
      <x:c r="AE398" s="83"/>
      <x:c r="AF398" s="83">
        <x:f>+BORDRO!K402</x:f>
      </x:c>
      <x:c r="AG398" s="83">
        <x:f>+BORDRO!L402</x:f>
      </x:c>
      <x:c r="AH398" s="88">
        <x:f>+BORDRO!M402</x:f>
      </x:c>
      <x:c r="AI398" s="83">
        <x:f>+BORDRO!O402</x:f>
      </x:c>
      <x:c r="AJ398" s="84">
        <x:f>+BORDRO!P402</x:f>
      </x:c>
    </x:row>
    <x:row r="399" spans="1:36" ht="14.25" customHeight="1" x14ac:dyDescent="0.2">
      <x:c r="A399" s="72" t="s">
        <x:v>106</x:v>
      </x:c>
      <x:c r="B399" s="271">
        <x:v>46</x:v>
      </x:c>
      <x:c r="C399" s="72" t="s">
        <x:v>107</x:v>
      </x:c>
      <x:c r="D399" s="72" t="s">
        <x:v>108</x:v>
      </x:c>
      <x:c r="E399" s="72" t="s">
        <x:v>108</x:v>
      </x:c>
      <x:c r="F399" s="73">
        <x:v>1494768</x:v>
      </x:c>
      <x:c r="G399" s="74" t="s">
        <x:v>109</x:v>
      </x:c>
      <x:c r="H399" s="72" t="s">
        <x:v>110</x:v>
      </x:c>
      <x:c r="I399" s="86"/>
      <x:c r="J399" s="75">
        <x:f>+Puantaj!C403</x:f>
      </x:c>
      <x:c r="K399" s="72">
        <x:f>+Puantaj!D403</x:f>
      </x:c>
      <x:c r="L399" s="72">
        <x:f>+Puantaj!E403</x:f>
      </x:c>
      <x:c r="M399" s="265">
        <x:f>+BORDRO!F403</x:f>
      </x:c>
      <x:c r="N399" s="72"/>
      <x:c r="O399" s="87">
        <x:f>+BORDRO!G403</x:f>
      </x:c>
      <x:c r="P399" s="87">
        <x:v>0</x:v>
      </x:c>
      <x:c r="Q399" s="267"/>
      <x:c r="R399" s="267"/>
      <x:c r="S399" s="78"/>
      <x:c r="T399" s="78"/>
      <x:c r="U399" s="79"/>
      <x:c r="V399" s="268">
        <x:f>31-M399-Q399</x:f>
      </x:c>
      <x:c r="W399" s="269">
        <x:v>6</x:v>
      </x:c>
      <x:c r="X399" s="270" t="s">
        <x:v>112</x:v>
      </x:c>
      <x:c r="Y399" s="73">
        <x:v>2</x:v>
      </x:c>
      <x:c r="Z399" s="72" t="s">
        <x:v>106</x:v>
      </x:c>
      <x:c r="AA399" s="82" t="s">
        <x:v>111</x:v>
      </x:c>
      <x:c r="AB399" s="72">
        <x:v>2025</x:v>
      </x:c>
      <x:c r="AC399" s="72" t="s">
        <x:v>113</x:v>
      </x:c>
      <x:c r="AD399" s="88">
        <x:f>+BORDRO!J403</x:f>
      </x:c>
      <x:c r="AE399" s="83"/>
      <x:c r="AF399" s="83">
        <x:f>+BORDRO!K403</x:f>
      </x:c>
      <x:c r="AG399" s="83">
        <x:f>+BORDRO!L403</x:f>
      </x:c>
      <x:c r="AH399" s="88">
        <x:f>+BORDRO!M403</x:f>
      </x:c>
      <x:c r="AI399" s="83">
        <x:f>+BORDRO!O403</x:f>
      </x:c>
      <x:c r="AJ399" s="84">
        <x:f>+BORDRO!P403</x:f>
      </x:c>
    </x:row>
    <x:row r="400" spans="1:36" ht="15" customHeight="1" x14ac:dyDescent="0.25">
      <x:c r="A400" s="72" t="s">
        <x:v>106</x:v>
      </x:c>
      <x:c r="B400" s="264">
        <x:v>46</x:v>
      </x:c>
      <x:c r="C400" s="72" t="s">
        <x:v>107</x:v>
      </x:c>
      <x:c r="D400" s="72" t="s">
        <x:v>108</x:v>
      </x:c>
      <x:c r="E400" s="72" t="s">
        <x:v>108</x:v>
      </x:c>
      <x:c r="F400" s="73">
        <x:v>1494768</x:v>
      </x:c>
      <x:c r="G400" s="74" t="s">
        <x:v>109</x:v>
      </x:c>
      <x:c r="H400" s="72" t="s">
        <x:v>110</x:v>
      </x:c>
      <x:c r="I400" s="86"/>
      <x:c r="J400" s="75">
        <x:f>+Puantaj!C404</x:f>
      </x:c>
      <x:c r="K400" s="72">
        <x:f>+Puantaj!D404</x:f>
      </x:c>
      <x:c r="L400" s="72">
        <x:f>+Puantaj!E404</x:f>
      </x:c>
      <x:c r="M400" s="265">
        <x:f>+BORDRO!F404</x:f>
      </x:c>
      <x:c r="N400" s="72"/>
      <x:c r="O400" s="87">
        <x:f>+BORDRO!G404</x:f>
      </x:c>
      <x:c r="P400" s="87">
        <x:v>0</x:v>
      </x:c>
      <x:c r="Q400" s="267"/>
      <x:c r="R400" s="267"/>
      <x:c r="S400" s="78"/>
      <x:c r="T400" s="78"/>
      <x:c r="U400" s="79"/>
      <x:c r="V400" s="268">
        <x:f>31-M400-Q400</x:f>
      </x:c>
      <x:c r="W400" s="269">
        <x:v>6</x:v>
      </x:c>
      <x:c r="X400" s="270" t="s">
        <x:v>112</x:v>
      </x:c>
      <x:c r="Y400" s="73">
        <x:v>2</x:v>
      </x:c>
      <x:c r="Z400" s="72" t="s">
        <x:v>106</x:v>
      </x:c>
      <x:c r="AA400" s="82" t="s">
        <x:v>111</x:v>
      </x:c>
      <x:c r="AB400" s="72">
        <x:v>2025</x:v>
      </x:c>
      <x:c r="AC400" s="72" t="s">
        <x:v>113</x:v>
      </x:c>
      <x:c r="AD400" s="88">
        <x:f>+BORDRO!J404</x:f>
      </x:c>
      <x:c r="AE400" s="83"/>
      <x:c r="AF400" s="83">
        <x:f>+BORDRO!K404</x:f>
      </x:c>
      <x:c r="AG400" s="83">
        <x:f>+BORDRO!L404</x:f>
      </x:c>
      <x:c r="AH400" s="88">
        <x:f>+BORDRO!M404</x:f>
      </x:c>
      <x:c r="AI400" s="83">
        <x:f>+BORDRO!O404</x:f>
      </x:c>
      <x:c r="AJ400" s="84">
        <x:f>+BORDRO!P78</x:f>
      </x:c>
    </x:row>
    <x:row r="401" spans="1:36" ht="14.25" customHeight="1" x14ac:dyDescent="0.2">
      <x:c r="A401" s="72" t="s">
        <x:v>106</x:v>
      </x:c>
      <x:c r="B401" s="271">
        <x:v>46</x:v>
      </x:c>
      <x:c r="C401" s="72" t="s">
        <x:v>107</x:v>
      </x:c>
      <x:c r="D401" s="72" t="s">
        <x:v>108</x:v>
      </x:c>
      <x:c r="E401" s="72" t="s">
        <x:v>108</x:v>
      </x:c>
      <x:c r="F401" s="73">
        <x:v>1494768</x:v>
      </x:c>
      <x:c r="G401" s="74" t="s">
        <x:v>109</x:v>
      </x:c>
      <x:c r="H401" s="72" t="s">
        <x:v>110</x:v>
      </x:c>
      <x:c r="I401" s="86"/>
      <x:c r="J401" s="75">
        <x:f>+Puantaj!C405</x:f>
      </x:c>
      <x:c r="K401" s="72">
        <x:f>+Puantaj!D405</x:f>
      </x:c>
      <x:c r="L401" s="72">
        <x:f>+Puantaj!E405</x:f>
      </x:c>
      <x:c r="M401" s="265">
        <x:f>+BORDRO!F405</x:f>
      </x:c>
      <x:c r="N401" s="72"/>
      <x:c r="O401" s="87">
        <x:f>+BORDRO!G405</x:f>
      </x:c>
      <x:c r="P401" s="87">
        <x:v>0</x:v>
      </x:c>
      <x:c r="Q401" s="267"/>
      <x:c r="R401" s="267"/>
      <x:c r="S401" s="78"/>
      <x:c r="T401" s="78"/>
      <x:c r="U401" s="79"/>
      <x:c r="V401" s="268">
        <x:f>31-M401-Q401</x:f>
      </x:c>
      <x:c r="W401" s="269">
        <x:v>6</x:v>
      </x:c>
      <x:c r="X401" s="270" t="s">
        <x:v>112</x:v>
      </x:c>
      <x:c r="Y401" s="73">
        <x:v>2</x:v>
      </x:c>
      <x:c r="Z401" s="72" t="s">
        <x:v>106</x:v>
      </x:c>
      <x:c r="AA401" s="82" t="s">
        <x:v>111</x:v>
      </x:c>
      <x:c r="AB401" s="72">
        <x:v>2025</x:v>
      </x:c>
      <x:c r="AC401" s="72" t="s">
        <x:v>113</x:v>
      </x:c>
      <x:c r="AD401" s="88">
        <x:f>+BORDRO!J405</x:f>
      </x:c>
      <x:c r="AE401" s="83"/>
      <x:c r="AF401" s="83">
        <x:f>+BORDRO!K405</x:f>
      </x:c>
      <x:c r="AG401" s="83">
        <x:f>+BORDRO!L405</x:f>
      </x:c>
      <x:c r="AH401" s="88">
        <x:f>+BORDRO!M405</x:f>
      </x:c>
      <x:c r="AI401" s="83">
        <x:f>+BORDRO!O405</x:f>
      </x:c>
      <x:c r="AJ401" s="84">
        <x:f>+BORDRO!P79</x:f>
      </x:c>
    </x:row>
    <x:row r="402" spans="1:36" ht="14.25" customHeight="1" x14ac:dyDescent="0.2">
      <x:c r="A402" s="72" t="s">
        <x:v>106</x:v>
      </x:c>
      <x:c r="B402" s="271">
        <x:v>46</x:v>
      </x:c>
      <x:c r="C402" s="72" t="s">
        <x:v>107</x:v>
      </x:c>
      <x:c r="D402" s="72" t="s">
        <x:v>108</x:v>
      </x:c>
      <x:c r="E402" s="72" t="s">
        <x:v>108</x:v>
      </x:c>
      <x:c r="F402" s="73">
        <x:v>1494768</x:v>
      </x:c>
      <x:c r="G402" s="74" t="s">
        <x:v>109</x:v>
      </x:c>
      <x:c r="H402" s="72" t="s">
        <x:v>110</x:v>
      </x:c>
      <x:c r="I402" s="86"/>
      <x:c r="J402" s="75">
        <x:f>+Puantaj!C406</x:f>
      </x:c>
      <x:c r="K402" s="72">
        <x:f>+Puantaj!D406</x:f>
      </x:c>
      <x:c r="L402" s="72">
        <x:f>+Puantaj!E406</x:f>
      </x:c>
      <x:c r="M402" s="265">
        <x:f>+BORDRO!F406</x:f>
      </x:c>
      <x:c r="N402" s="72"/>
      <x:c r="O402" s="87">
        <x:f>+BORDRO!G406</x:f>
      </x:c>
      <x:c r="P402" s="87">
        <x:v>0</x:v>
      </x:c>
      <x:c r="Q402" s="267"/>
      <x:c r="R402" s="267"/>
      <x:c r="S402" s="78"/>
      <x:c r="T402" s="78"/>
      <x:c r="U402" s="79"/>
      <x:c r="V402" s="268">
        <x:f>31-M402-Q402</x:f>
      </x:c>
      <x:c r="W402" s="269">
        <x:v>6</x:v>
      </x:c>
      <x:c r="X402" s="270" t="s">
        <x:v>112</x:v>
      </x:c>
      <x:c r="Y402" s="73">
        <x:v>2</x:v>
      </x:c>
      <x:c r="Z402" s="72" t="s">
        <x:v>106</x:v>
      </x:c>
      <x:c r="AA402" s="82" t="s">
        <x:v>111</x:v>
      </x:c>
      <x:c r="AB402" s="72">
        <x:v>2025</x:v>
      </x:c>
      <x:c r="AC402" s="72" t="s">
        <x:v>113</x:v>
      </x:c>
      <x:c r="AD402" s="88">
        <x:f>+BORDRO!J406</x:f>
      </x:c>
      <x:c r="AE402" s="83"/>
      <x:c r="AF402" s="83">
        <x:f>+BORDRO!K406</x:f>
      </x:c>
      <x:c r="AG402" s="83">
        <x:f>+BORDRO!L406</x:f>
      </x:c>
      <x:c r="AH402" s="88">
        <x:f>+BORDRO!M406</x:f>
      </x:c>
      <x:c r="AI402" s="83">
        <x:f>+BORDRO!O406</x:f>
      </x:c>
      <x:c r="AJ402" s="84">
        <x:f>+BORDRO!P80</x:f>
      </x:c>
    </x:row>
    <x:row r="403" spans="1:36" ht="14.25" customHeight="1" x14ac:dyDescent="0.2">
      <x:c r="A403" s="72" t="s">
        <x:v>106</x:v>
      </x:c>
      <x:c r="B403" s="271">
        <x:v>46</x:v>
      </x:c>
      <x:c r="C403" s="72" t="s">
        <x:v>107</x:v>
      </x:c>
      <x:c r="D403" s="72" t="s">
        <x:v>108</x:v>
      </x:c>
      <x:c r="E403" s="72" t="s">
        <x:v>108</x:v>
      </x:c>
      <x:c r="F403" s="73">
        <x:v>1494768</x:v>
      </x:c>
      <x:c r="G403" s="74" t="s">
        <x:v>109</x:v>
      </x:c>
      <x:c r="H403" s="72" t="s">
        <x:v>110</x:v>
      </x:c>
      <x:c r="I403" s="86"/>
      <x:c r="J403" s="75">
        <x:f>+Puantaj!C407</x:f>
      </x:c>
      <x:c r="K403" s="72">
        <x:f>+Puantaj!D407</x:f>
      </x:c>
      <x:c r="L403" s="72">
        <x:f>+Puantaj!E407</x:f>
      </x:c>
      <x:c r="M403" s="265">
        <x:f>+BORDRO!F407</x:f>
      </x:c>
      <x:c r="N403" s="72"/>
      <x:c r="O403" s="87">
        <x:f>+BORDRO!G407</x:f>
      </x:c>
      <x:c r="P403" s="87">
        <x:v>0</x:v>
      </x:c>
      <x:c r="Q403" s="267"/>
      <x:c r="R403" s="267"/>
      <x:c r="S403" s="78"/>
      <x:c r="T403" s="78"/>
      <x:c r="U403" s="79"/>
      <x:c r="V403" s="268">
        <x:f>31-M403-Q403</x:f>
      </x:c>
      <x:c r="W403" s="269">
        <x:v>6</x:v>
      </x:c>
      <x:c r="X403" s="270" t="s">
        <x:v>112</x:v>
      </x:c>
      <x:c r="Y403" s="73">
        <x:v>2</x:v>
      </x:c>
      <x:c r="Z403" s="72" t="s">
        <x:v>106</x:v>
      </x:c>
      <x:c r="AA403" s="82" t="s">
        <x:v>111</x:v>
      </x:c>
      <x:c r="AB403" s="72">
        <x:v>2025</x:v>
      </x:c>
      <x:c r="AC403" s="72" t="s">
        <x:v>113</x:v>
      </x:c>
      <x:c r="AD403" s="88">
        <x:f>+BORDRO!J407</x:f>
      </x:c>
      <x:c r="AE403" s="83"/>
      <x:c r="AF403" s="83">
        <x:f>+BORDRO!K407</x:f>
      </x:c>
      <x:c r="AG403" s="83">
        <x:f>+BORDRO!L407</x:f>
      </x:c>
      <x:c r="AH403" s="88">
        <x:f>+BORDRO!M407</x:f>
      </x:c>
      <x:c r="AI403" s="83">
        <x:f>+BORDRO!O407</x:f>
      </x:c>
      <x:c r="AJ403" s="84">
        <x:f>+BORDRO!P81</x:f>
      </x:c>
    </x:row>
    <x:row r="404" spans="1:36" ht="14.25" customHeight="1" x14ac:dyDescent="0.2">
      <x:c r="A404" s="72" t="s">
        <x:v>106</x:v>
      </x:c>
      <x:c r="B404" s="271">
        <x:v>46</x:v>
      </x:c>
      <x:c r="C404" s="72" t="s">
        <x:v>107</x:v>
      </x:c>
      <x:c r="D404" s="72" t="s">
        <x:v>108</x:v>
      </x:c>
      <x:c r="E404" s="72" t="s">
        <x:v>108</x:v>
      </x:c>
      <x:c r="F404" s="73">
        <x:v>1494768</x:v>
      </x:c>
      <x:c r="G404" s="74" t="s">
        <x:v>109</x:v>
      </x:c>
      <x:c r="H404" s="72" t="s">
        <x:v>110</x:v>
      </x:c>
      <x:c r="I404" s="86"/>
      <x:c r="J404" s="75">
        <x:f>+Puantaj!C408</x:f>
      </x:c>
      <x:c r="K404" s="72">
        <x:f>+Puantaj!D408</x:f>
      </x:c>
      <x:c r="L404" s="72">
        <x:f>+Puantaj!E408</x:f>
      </x:c>
      <x:c r="M404" s="265">
        <x:f>+BORDRO!F408</x:f>
      </x:c>
      <x:c r="N404" s="72"/>
      <x:c r="O404" s="87">
        <x:f>+BORDRO!G408</x:f>
      </x:c>
      <x:c r="P404" s="87">
        <x:v>0</x:v>
      </x:c>
      <x:c r="Q404" s="267"/>
      <x:c r="R404" s="267"/>
      <x:c r="S404" s="78"/>
      <x:c r="T404" s="78"/>
      <x:c r="U404" s="79"/>
      <x:c r="V404" s="268">
        <x:f>31-M404-Q404</x:f>
      </x:c>
      <x:c r="W404" s="269">
        <x:v>6</x:v>
      </x:c>
      <x:c r="X404" s="270" t="s">
        <x:v>112</x:v>
      </x:c>
      <x:c r="Y404" s="73">
        <x:v>2</x:v>
      </x:c>
      <x:c r="Z404" s="72" t="s">
        <x:v>106</x:v>
      </x:c>
      <x:c r="AA404" s="82" t="s">
        <x:v>111</x:v>
      </x:c>
      <x:c r="AB404" s="72">
        <x:v>2025</x:v>
      </x:c>
      <x:c r="AC404" s="72" t="s">
        <x:v>113</x:v>
      </x:c>
      <x:c r="AD404" s="88">
        <x:f>+BORDRO!J408</x:f>
      </x:c>
      <x:c r="AE404" s="83"/>
      <x:c r="AF404" s="83">
        <x:f>+BORDRO!K408</x:f>
      </x:c>
      <x:c r="AG404" s="83">
        <x:f>+BORDRO!L408</x:f>
      </x:c>
      <x:c r="AH404" s="88">
        <x:f>+BORDRO!M408</x:f>
      </x:c>
      <x:c r="AI404" s="83">
        <x:f>+BORDRO!O408</x:f>
      </x:c>
      <x:c r="AJ404" s="84">
        <x:f>+BORDRO!P82</x:f>
      </x:c>
    </x:row>
    <x:row r="405" spans="1:36" ht="14.25" customHeight="1" x14ac:dyDescent="0.2">
      <x:c r="A405" s="72" t="s">
        <x:v>106</x:v>
      </x:c>
      <x:c r="B405" s="271">
        <x:v>46</x:v>
      </x:c>
      <x:c r="C405" s="72" t="s">
        <x:v>107</x:v>
      </x:c>
      <x:c r="D405" s="72" t="s">
        <x:v>108</x:v>
      </x:c>
      <x:c r="E405" s="72" t="s">
        <x:v>108</x:v>
      </x:c>
      <x:c r="F405" s="73">
        <x:v>1494768</x:v>
      </x:c>
      <x:c r="G405" s="74" t="s">
        <x:v>109</x:v>
      </x:c>
      <x:c r="H405" s="72" t="s">
        <x:v>110</x:v>
      </x:c>
      <x:c r="I405" s="86"/>
      <x:c r="J405" s="75">
        <x:f>+Puantaj!C409</x:f>
      </x:c>
      <x:c r="K405" s="72">
        <x:f>+Puantaj!D409</x:f>
      </x:c>
      <x:c r="L405" s="72">
        <x:f>+Puantaj!E409</x:f>
      </x:c>
      <x:c r="M405" s="265">
        <x:f>+BORDRO!F409</x:f>
      </x:c>
      <x:c r="N405" s="72"/>
      <x:c r="O405" s="87">
        <x:f>+BORDRO!G409</x:f>
      </x:c>
      <x:c r="P405" s="87">
        <x:v>0</x:v>
      </x:c>
      <x:c r="Q405" s="267"/>
      <x:c r="R405" s="267"/>
      <x:c r="S405" s="78"/>
      <x:c r="T405" s="78"/>
      <x:c r="U405" s="79"/>
      <x:c r="V405" s="268">
        <x:f>31-M405-Q405</x:f>
      </x:c>
      <x:c r="W405" s="269">
        <x:v>6</x:v>
      </x:c>
      <x:c r="X405" s="270" t="s">
        <x:v>112</x:v>
      </x:c>
      <x:c r="Y405" s="73">
        <x:v>2</x:v>
      </x:c>
      <x:c r="Z405" s="72" t="s">
        <x:v>106</x:v>
      </x:c>
      <x:c r="AA405" s="82" t="s">
        <x:v>111</x:v>
      </x:c>
      <x:c r="AB405" s="72">
        <x:v>2025</x:v>
      </x:c>
      <x:c r="AC405" s="72" t="s">
        <x:v>113</x:v>
      </x:c>
      <x:c r="AD405" s="88">
        <x:f>+BORDRO!J409</x:f>
      </x:c>
      <x:c r="AE405" s="83"/>
      <x:c r="AF405" s="83">
        <x:f>+BORDRO!K409</x:f>
      </x:c>
      <x:c r="AG405" s="83">
        <x:f>+BORDRO!L409</x:f>
      </x:c>
      <x:c r="AH405" s="88">
        <x:f>+BORDRO!M409</x:f>
      </x:c>
      <x:c r="AI405" s="83">
        <x:f>+BORDRO!O409</x:f>
      </x:c>
      <x:c r="AJ405" s="84">
        <x:f>+BORDRO!P83</x:f>
      </x:c>
    </x:row>
    <x:row r="406" spans="1:36" ht="14.25" customHeight="1" x14ac:dyDescent="0.2">
      <x:c r="A406" s="72" t="s">
        <x:v>106</x:v>
      </x:c>
      <x:c r="B406" s="271">
        <x:v>46</x:v>
      </x:c>
      <x:c r="C406" s="72" t="s">
        <x:v>107</x:v>
      </x:c>
      <x:c r="D406" s="72" t="s">
        <x:v>108</x:v>
      </x:c>
      <x:c r="E406" s="72" t="s">
        <x:v>108</x:v>
      </x:c>
      <x:c r="F406" s="73">
        <x:v>1494768</x:v>
      </x:c>
      <x:c r="G406" s="74" t="s">
        <x:v>109</x:v>
      </x:c>
      <x:c r="H406" s="72" t="s">
        <x:v>110</x:v>
      </x:c>
      <x:c r="I406" s="86"/>
      <x:c r="J406" s="75">
        <x:f>+Puantaj!C410</x:f>
      </x:c>
      <x:c r="K406" s="72">
        <x:f>+Puantaj!D410</x:f>
      </x:c>
      <x:c r="L406" s="72">
        <x:f>+Puantaj!E410</x:f>
      </x:c>
      <x:c r="M406" s="265">
        <x:f>+BORDRO!F410</x:f>
      </x:c>
      <x:c r="N406" s="72"/>
      <x:c r="O406" s="87">
        <x:f>+BORDRO!G410</x:f>
      </x:c>
      <x:c r="P406" s="87">
        <x:v>0</x:v>
      </x:c>
      <x:c r="Q406" s="267"/>
      <x:c r="R406" s="267"/>
      <x:c r="S406" s="78"/>
      <x:c r="T406" s="78"/>
      <x:c r="U406" s="79"/>
      <x:c r="V406" s="268">
        <x:f>31-M406-Q406</x:f>
      </x:c>
      <x:c r="W406" s="269">
        <x:v>6</x:v>
      </x:c>
      <x:c r="X406" s="270" t="s">
        <x:v>112</x:v>
      </x:c>
      <x:c r="Y406" s="73">
        <x:v>2</x:v>
      </x:c>
      <x:c r="Z406" s="72" t="s">
        <x:v>106</x:v>
      </x:c>
      <x:c r="AA406" s="82" t="s">
        <x:v>111</x:v>
      </x:c>
      <x:c r="AB406" s="72">
        <x:v>2025</x:v>
      </x:c>
      <x:c r="AC406" s="72" t="s">
        <x:v>113</x:v>
      </x:c>
      <x:c r="AD406" s="88">
        <x:f>+BORDRO!J410</x:f>
      </x:c>
      <x:c r="AE406" s="83"/>
      <x:c r="AF406" s="83">
        <x:f>+BORDRO!K410</x:f>
      </x:c>
      <x:c r="AG406" s="83">
        <x:f>+BORDRO!L410</x:f>
      </x:c>
      <x:c r="AH406" s="88">
        <x:f>+BORDRO!M410</x:f>
      </x:c>
      <x:c r="AI406" s="83">
        <x:f>+BORDRO!O410</x:f>
      </x:c>
      <x:c r="AJ406" s="84">
        <x:f>+BORDRO!P84</x:f>
      </x:c>
    </x:row>
    <x:row r="407" spans="1:36" ht="14.25" customHeight="1" x14ac:dyDescent="0.2">
      <x:c r="A407" s="72" t="s">
        <x:v>106</x:v>
      </x:c>
      <x:c r="B407" s="271">
        <x:v>46</x:v>
      </x:c>
      <x:c r="C407" s="72" t="s">
        <x:v>107</x:v>
      </x:c>
      <x:c r="D407" s="72" t="s">
        <x:v>108</x:v>
      </x:c>
      <x:c r="E407" s="72" t="s">
        <x:v>108</x:v>
      </x:c>
      <x:c r="F407" s="73">
        <x:v>1494768</x:v>
      </x:c>
      <x:c r="G407" s="74" t="s">
        <x:v>109</x:v>
      </x:c>
      <x:c r="H407" s="72" t="s">
        <x:v>110</x:v>
      </x:c>
      <x:c r="I407" s="86"/>
      <x:c r="J407" s="75">
        <x:f>+Puantaj!C411</x:f>
      </x:c>
      <x:c r="K407" s="72">
        <x:f>+Puantaj!D411</x:f>
      </x:c>
      <x:c r="L407" s="72">
        <x:f>+Puantaj!E411</x:f>
      </x:c>
      <x:c r="M407" s="265">
        <x:f>+BORDRO!F411</x:f>
      </x:c>
      <x:c r="N407" s="72"/>
      <x:c r="O407" s="87">
        <x:f>+BORDRO!G411</x:f>
      </x:c>
      <x:c r="P407" s="87">
        <x:v>0</x:v>
      </x:c>
      <x:c r="Q407" s="267"/>
      <x:c r="R407" s="267"/>
      <x:c r="S407" s="78"/>
      <x:c r="T407" s="78"/>
      <x:c r="U407" s="79"/>
      <x:c r="V407" s="268">
        <x:f>31-M407-Q407</x:f>
      </x:c>
      <x:c r="W407" s="269">
        <x:v>6</x:v>
      </x:c>
      <x:c r="X407" s="270" t="s">
        <x:v>112</x:v>
      </x:c>
      <x:c r="Y407" s="73">
        <x:v>2</x:v>
      </x:c>
      <x:c r="Z407" s="72" t="s">
        <x:v>106</x:v>
      </x:c>
      <x:c r="AA407" s="82" t="s">
        <x:v>111</x:v>
      </x:c>
      <x:c r="AB407" s="72">
        <x:v>2025</x:v>
      </x:c>
      <x:c r="AC407" s="72" t="s">
        <x:v>113</x:v>
      </x:c>
      <x:c r="AD407" s="88">
        <x:f>+BORDRO!J411</x:f>
      </x:c>
      <x:c r="AE407" s="83"/>
      <x:c r="AF407" s="83">
        <x:f>+BORDRO!K411</x:f>
      </x:c>
      <x:c r="AG407" s="83">
        <x:f>+BORDRO!L411</x:f>
      </x:c>
      <x:c r="AH407" s="88">
        <x:f>+BORDRO!M411</x:f>
      </x:c>
      <x:c r="AI407" s="83">
        <x:f>+BORDRO!O411</x:f>
      </x:c>
      <x:c r="AJ407" s="84">
        <x:f>+BORDRO!P85</x:f>
      </x:c>
    </x:row>
    <x:row r="408" spans="1:36" ht="14.25" customHeight="1" x14ac:dyDescent="0.2">
      <x:c r="A408" s="72" t="s">
        <x:v>106</x:v>
      </x:c>
      <x:c r="B408" s="271">
        <x:v>46</x:v>
      </x:c>
      <x:c r="C408" s="72" t="s">
        <x:v>107</x:v>
      </x:c>
      <x:c r="D408" s="72" t="s">
        <x:v>108</x:v>
      </x:c>
      <x:c r="E408" s="72" t="s">
        <x:v>108</x:v>
      </x:c>
      <x:c r="F408" s="73">
        <x:v>1494768</x:v>
      </x:c>
      <x:c r="G408" s="74" t="s">
        <x:v>109</x:v>
      </x:c>
      <x:c r="H408" s="72" t="s">
        <x:v>110</x:v>
      </x:c>
      <x:c r="I408" s="86"/>
      <x:c r="J408" s="75">
        <x:f>+Puantaj!C412</x:f>
      </x:c>
      <x:c r="K408" s="72">
        <x:f>+Puantaj!D412</x:f>
      </x:c>
      <x:c r="L408" s="72">
        <x:f>+Puantaj!E412</x:f>
      </x:c>
      <x:c r="M408" s="265">
        <x:f>+BORDRO!F412</x:f>
      </x:c>
      <x:c r="N408" s="72"/>
      <x:c r="O408" s="87">
        <x:f>+BORDRO!G412</x:f>
      </x:c>
      <x:c r="P408" s="87">
        <x:v>0</x:v>
      </x:c>
      <x:c r="Q408" s="267"/>
      <x:c r="R408" s="267"/>
      <x:c r="S408" s="78"/>
      <x:c r="T408" s="78"/>
      <x:c r="U408" s="79"/>
      <x:c r="V408" s="268">
        <x:f>31-M408-Q408</x:f>
      </x:c>
      <x:c r="W408" s="269">
        <x:v>6</x:v>
      </x:c>
      <x:c r="X408" s="270" t="s">
        <x:v>112</x:v>
      </x:c>
      <x:c r="Y408" s="73">
        <x:v>2</x:v>
      </x:c>
      <x:c r="Z408" s="72" t="s">
        <x:v>106</x:v>
      </x:c>
      <x:c r="AA408" s="82" t="s">
        <x:v>111</x:v>
      </x:c>
      <x:c r="AB408" s="72">
        <x:v>2025</x:v>
      </x:c>
      <x:c r="AC408" s="72" t="s">
        <x:v>113</x:v>
      </x:c>
      <x:c r="AD408" s="88">
        <x:f>+BORDRO!J412</x:f>
      </x:c>
      <x:c r="AE408" s="83"/>
      <x:c r="AF408" s="83">
        <x:f>+BORDRO!K412</x:f>
      </x:c>
      <x:c r="AG408" s="83">
        <x:f>+BORDRO!L412</x:f>
      </x:c>
      <x:c r="AH408" s="88">
        <x:f>+BORDRO!M412</x:f>
      </x:c>
      <x:c r="AI408" s="83">
        <x:f>+BORDRO!O412</x:f>
      </x:c>
      <x:c r="AJ408" s="84">
        <x:f>+BORDRO!P86</x:f>
      </x:c>
    </x:row>
    <x:row r="409" spans="1:36" ht="14.25" customHeight="1" x14ac:dyDescent="0.2">
      <x:c r="A409" s="72" t="s">
        <x:v>106</x:v>
      </x:c>
      <x:c r="B409" s="271">
        <x:v>46</x:v>
      </x:c>
      <x:c r="C409" s="72" t="s">
        <x:v>107</x:v>
      </x:c>
      <x:c r="D409" s="72" t="s">
        <x:v>108</x:v>
      </x:c>
      <x:c r="E409" s="72" t="s">
        <x:v>108</x:v>
      </x:c>
      <x:c r="F409" s="73">
        <x:v>1494768</x:v>
      </x:c>
      <x:c r="G409" s="74" t="s">
        <x:v>109</x:v>
      </x:c>
      <x:c r="H409" s="72" t="s">
        <x:v>110</x:v>
      </x:c>
      <x:c r="I409" s="86"/>
      <x:c r="J409" s="75">
        <x:f>+Puantaj!C413</x:f>
      </x:c>
      <x:c r="K409" s="72">
        <x:f>+Puantaj!D413</x:f>
      </x:c>
      <x:c r="L409" s="72">
        <x:f>+Puantaj!E413</x:f>
      </x:c>
      <x:c r="M409" s="265">
        <x:f>+BORDRO!F413</x:f>
      </x:c>
      <x:c r="N409" s="72"/>
      <x:c r="O409" s="87">
        <x:f>+BORDRO!G413</x:f>
      </x:c>
      <x:c r="P409" s="87">
        <x:v>0</x:v>
      </x:c>
      <x:c r="Q409" s="267"/>
      <x:c r="R409" s="267"/>
      <x:c r="S409" s="78"/>
      <x:c r="T409" s="78"/>
      <x:c r="U409" s="79"/>
      <x:c r="V409" s="268">
        <x:f>31-M409-Q409</x:f>
      </x:c>
      <x:c r="W409" s="269">
        <x:v>6</x:v>
      </x:c>
      <x:c r="X409" s="270" t="s">
        <x:v>112</x:v>
      </x:c>
      <x:c r="Y409" s="73">
        <x:v>2</x:v>
      </x:c>
      <x:c r="Z409" s="72" t="s">
        <x:v>106</x:v>
      </x:c>
      <x:c r="AA409" s="82" t="s">
        <x:v>111</x:v>
      </x:c>
      <x:c r="AB409" s="72">
        <x:v>2025</x:v>
      </x:c>
      <x:c r="AC409" s="72" t="s">
        <x:v>113</x:v>
      </x:c>
      <x:c r="AD409" s="88">
        <x:f>+BORDRO!J413</x:f>
      </x:c>
      <x:c r="AE409" s="83"/>
      <x:c r="AF409" s="83">
        <x:f>+BORDRO!K413</x:f>
      </x:c>
      <x:c r="AG409" s="83">
        <x:f>+BORDRO!L413</x:f>
      </x:c>
      <x:c r="AH409" s="88">
        <x:f>+BORDRO!M413</x:f>
      </x:c>
      <x:c r="AI409" s="83">
        <x:f>+BORDRO!O413</x:f>
      </x:c>
      <x:c r="AJ409" s="84">
        <x:f>+BORDRO!P87</x:f>
      </x:c>
    </x:row>
    <x:row r="410" spans="1:36" ht="14.25" customHeight="1" x14ac:dyDescent="0.2">
      <x:c r="A410" s="72" t="s">
        <x:v>106</x:v>
      </x:c>
      <x:c r="B410" s="271">
        <x:v>46</x:v>
      </x:c>
      <x:c r="C410" s="72" t="s">
        <x:v>107</x:v>
      </x:c>
      <x:c r="D410" s="72" t="s">
        <x:v>108</x:v>
      </x:c>
      <x:c r="E410" s="72" t="s">
        <x:v>108</x:v>
      </x:c>
      <x:c r="F410" s="73">
        <x:v>1494768</x:v>
      </x:c>
      <x:c r="G410" s="74" t="s">
        <x:v>109</x:v>
      </x:c>
      <x:c r="H410" s="72" t="s">
        <x:v>110</x:v>
      </x:c>
      <x:c r="I410" s="86"/>
      <x:c r="J410" s="75">
        <x:f>+Puantaj!C414</x:f>
      </x:c>
      <x:c r="K410" s="72">
        <x:f>+Puantaj!D414</x:f>
      </x:c>
      <x:c r="L410" s="72">
        <x:f>+Puantaj!E414</x:f>
      </x:c>
      <x:c r="M410" s="265">
        <x:f>+BORDRO!F414</x:f>
      </x:c>
      <x:c r="N410" s="72"/>
      <x:c r="O410" s="87">
        <x:f>+BORDRO!G414</x:f>
      </x:c>
      <x:c r="P410" s="87">
        <x:v>0</x:v>
      </x:c>
      <x:c r="Q410" s="267"/>
      <x:c r="R410" s="267"/>
      <x:c r="S410" s="78"/>
      <x:c r="T410" s="78"/>
      <x:c r="U410" s="79"/>
      <x:c r="V410" s="268">
        <x:f>31-M410-Q410</x:f>
      </x:c>
      <x:c r="W410" s="269">
        <x:v>6</x:v>
      </x:c>
      <x:c r="X410" s="270" t="s">
        <x:v>112</x:v>
      </x:c>
      <x:c r="Y410" s="73">
        <x:v>2</x:v>
      </x:c>
      <x:c r="Z410" s="72" t="s">
        <x:v>106</x:v>
      </x:c>
      <x:c r="AA410" s="82" t="s">
        <x:v>111</x:v>
      </x:c>
      <x:c r="AB410" s="72">
        <x:v>2025</x:v>
      </x:c>
      <x:c r="AC410" s="72" t="s">
        <x:v>113</x:v>
      </x:c>
      <x:c r="AD410" s="88">
        <x:f>+BORDRO!J414</x:f>
      </x:c>
      <x:c r="AE410" s="83"/>
      <x:c r="AF410" s="83">
        <x:f>+BORDRO!K414</x:f>
      </x:c>
      <x:c r="AG410" s="83">
        <x:f>+BORDRO!L414</x:f>
      </x:c>
      <x:c r="AH410" s="88">
        <x:f>+BORDRO!M414</x:f>
      </x:c>
      <x:c r="AI410" s="83">
        <x:f>+BORDRO!O414</x:f>
      </x:c>
      <x:c r="AJ410" s="84">
        <x:f>+BORDRO!P88</x:f>
      </x:c>
    </x:row>
    <x:row r="411" spans="1:36" ht="14.25" customHeight="1" x14ac:dyDescent="0.2">
      <x:c r="A411" s="72" t="s">
        <x:v>106</x:v>
      </x:c>
      <x:c r="B411" s="271">
        <x:v>46</x:v>
      </x:c>
      <x:c r="C411" s="72" t="s">
        <x:v>107</x:v>
      </x:c>
      <x:c r="D411" s="72" t="s">
        <x:v>108</x:v>
      </x:c>
      <x:c r="E411" s="72" t="s">
        <x:v>108</x:v>
      </x:c>
      <x:c r="F411" s="73">
        <x:v>1494768</x:v>
      </x:c>
      <x:c r="G411" s="74" t="s">
        <x:v>109</x:v>
      </x:c>
      <x:c r="H411" s="72" t="s">
        <x:v>110</x:v>
      </x:c>
      <x:c r="I411" s="86"/>
      <x:c r="J411" s="75">
        <x:f>+Puantaj!C415</x:f>
      </x:c>
      <x:c r="K411" s="72">
        <x:f>+Puantaj!D415</x:f>
      </x:c>
      <x:c r="L411" s="72">
        <x:f>+Puantaj!E415</x:f>
      </x:c>
      <x:c r="M411" s="265">
        <x:f>+BORDRO!F415</x:f>
      </x:c>
      <x:c r="N411" s="72"/>
      <x:c r="O411" s="87">
        <x:f>+BORDRO!G415</x:f>
      </x:c>
      <x:c r="P411" s="87">
        <x:v>0</x:v>
      </x:c>
      <x:c r="Q411" s="267"/>
      <x:c r="R411" s="267"/>
      <x:c r="S411" s="78"/>
      <x:c r="T411" s="78"/>
      <x:c r="U411" s="79"/>
      <x:c r="V411" s="268">
        <x:f>31-M411-Q411</x:f>
      </x:c>
      <x:c r="W411" s="269">
        <x:v>6</x:v>
      </x:c>
      <x:c r="X411" s="270" t="s">
        <x:v>112</x:v>
      </x:c>
      <x:c r="Y411" s="73">
        <x:v>2</x:v>
      </x:c>
      <x:c r="Z411" s="72" t="s">
        <x:v>106</x:v>
      </x:c>
      <x:c r="AA411" s="82" t="s">
        <x:v>111</x:v>
      </x:c>
      <x:c r="AB411" s="72">
        <x:v>2025</x:v>
      </x:c>
      <x:c r="AC411" s="72" t="s">
        <x:v>113</x:v>
      </x:c>
      <x:c r="AD411" s="88">
        <x:f>+BORDRO!J415</x:f>
      </x:c>
      <x:c r="AE411" s="83"/>
      <x:c r="AF411" s="83">
        <x:f>+BORDRO!K415</x:f>
      </x:c>
      <x:c r="AG411" s="83">
        <x:f>+BORDRO!L415</x:f>
      </x:c>
      <x:c r="AH411" s="88">
        <x:f>+BORDRO!M415</x:f>
      </x:c>
      <x:c r="AI411" s="83">
        <x:f>+BORDRO!O415</x:f>
      </x:c>
      <x:c r="AJ411" s="84">
        <x:f>+BORDRO!P89</x:f>
      </x:c>
    </x:row>
    <x:row r="412" spans="1:36" ht="14.25" customHeight="1" x14ac:dyDescent="0.2">
      <x:c r="A412" s="72" t="s">
        <x:v>106</x:v>
      </x:c>
      <x:c r="B412" s="271">
        <x:v>46</x:v>
      </x:c>
      <x:c r="C412" s="72" t="s">
        <x:v>107</x:v>
      </x:c>
      <x:c r="D412" s="72" t="s">
        <x:v>108</x:v>
      </x:c>
      <x:c r="E412" s="72" t="s">
        <x:v>108</x:v>
      </x:c>
      <x:c r="F412" s="73">
        <x:v>1494768</x:v>
      </x:c>
      <x:c r="G412" s="74" t="s">
        <x:v>109</x:v>
      </x:c>
      <x:c r="H412" s="72" t="s">
        <x:v>110</x:v>
      </x:c>
      <x:c r="I412" s="86"/>
      <x:c r="J412" s="75">
        <x:f>+Puantaj!C416</x:f>
      </x:c>
      <x:c r="K412" s="72">
        <x:f>+Puantaj!D416</x:f>
      </x:c>
      <x:c r="L412" s="72">
        <x:f>+Puantaj!E416</x:f>
      </x:c>
      <x:c r="M412" s="265">
        <x:f>+BORDRO!F416</x:f>
      </x:c>
      <x:c r="N412" s="72"/>
      <x:c r="O412" s="87">
        <x:f>+BORDRO!G416</x:f>
      </x:c>
      <x:c r="P412" s="87">
        <x:v>0</x:v>
      </x:c>
      <x:c r="Q412" s="267"/>
      <x:c r="R412" s="267"/>
      <x:c r="S412" s="78"/>
      <x:c r="T412" s="78"/>
      <x:c r="U412" s="79"/>
      <x:c r="V412" s="268">
        <x:f>31-M412-Q412</x:f>
      </x:c>
      <x:c r="W412" s="269">
        <x:v>6</x:v>
      </x:c>
      <x:c r="X412" s="270" t="s">
        <x:v>112</x:v>
      </x:c>
      <x:c r="Y412" s="73">
        <x:v>2</x:v>
      </x:c>
      <x:c r="Z412" s="72" t="s">
        <x:v>106</x:v>
      </x:c>
      <x:c r="AA412" s="82" t="s">
        <x:v>111</x:v>
      </x:c>
      <x:c r="AB412" s="72">
        <x:v>2025</x:v>
      </x:c>
      <x:c r="AC412" s="72" t="s">
        <x:v>113</x:v>
      </x:c>
      <x:c r="AD412" s="88">
        <x:f>+BORDRO!J416</x:f>
      </x:c>
      <x:c r="AE412" s="83"/>
      <x:c r="AF412" s="83">
        <x:f>+BORDRO!K416</x:f>
      </x:c>
      <x:c r="AG412" s="83">
        <x:f>+BORDRO!L416</x:f>
      </x:c>
      <x:c r="AH412" s="88">
        <x:f>+BORDRO!M416</x:f>
      </x:c>
      <x:c r="AI412" s="83">
        <x:f>+BORDRO!O416</x:f>
      </x:c>
      <x:c r="AJ412" s="84">
        <x:f>+BORDRO!P90</x:f>
      </x:c>
    </x:row>
    <x:row r="413" spans="1:36" ht="14.25" customHeight="1" x14ac:dyDescent="0.2">
      <x:c r="A413" s="72" t="s">
        <x:v>106</x:v>
      </x:c>
      <x:c r="B413" s="271">
        <x:v>46</x:v>
      </x:c>
      <x:c r="C413" s="72" t="s">
        <x:v>107</x:v>
      </x:c>
      <x:c r="D413" s="72" t="s">
        <x:v>108</x:v>
      </x:c>
      <x:c r="E413" s="72" t="s">
        <x:v>108</x:v>
      </x:c>
      <x:c r="F413" s="73">
        <x:v>1494768</x:v>
      </x:c>
      <x:c r="G413" s="74" t="s">
        <x:v>109</x:v>
      </x:c>
      <x:c r="H413" s="72" t="s">
        <x:v>110</x:v>
      </x:c>
      <x:c r="I413" s="86"/>
      <x:c r="J413" s="75">
        <x:f>+Puantaj!C417</x:f>
      </x:c>
      <x:c r="K413" s="72">
        <x:f>+Puantaj!D417</x:f>
      </x:c>
      <x:c r="L413" s="72">
        <x:f>+Puantaj!E417</x:f>
      </x:c>
      <x:c r="M413" s="265">
        <x:f>+BORDRO!F417</x:f>
      </x:c>
      <x:c r="N413" s="72"/>
      <x:c r="O413" s="87">
        <x:f>+BORDRO!G417</x:f>
      </x:c>
      <x:c r="P413" s="87">
        <x:v>0</x:v>
      </x:c>
      <x:c r="Q413" s="267"/>
      <x:c r="R413" s="267"/>
      <x:c r="S413" s="78"/>
      <x:c r="T413" s="78"/>
      <x:c r="U413" s="79"/>
      <x:c r="V413" s="268">
        <x:f>31-M413-Q413</x:f>
      </x:c>
      <x:c r="W413" s="269">
        <x:v>6</x:v>
      </x:c>
      <x:c r="X413" s="270" t="s">
        <x:v>112</x:v>
      </x:c>
      <x:c r="Y413" s="73">
        <x:v>2</x:v>
      </x:c>
      <x:c r="Z413" s="72" t="s">
        <x:v>106</x:v>
      </x:c>
      <x:c r="AA413" s="82" t="s">
        <x:v>111</x:v>
      </x:c>
      <x:c r="AB413" s="72">
        <x:v>2025</x:v>
      </x:c>
      <x:c r="AC413" s="72" t="s">
        <x:v>113</x:v>
      </x:c>
      <x:c r="AD413" s="88">
        <x:f>+BORDRO!J417</x:f>
      </x:c>
      <x:c r="AE413" s="83"/>
      <x:c r="AF413" s="83">
        <x:f>+BORDRO!K417</x:f>
      </x:c>
      <x:c r="AG413" s="83">
        <x:f>+BORDRO!L417</x:f>
      </x:c>
      <x:c r="AH413" s="88">
        <x:f>+BORDRO!M417</x:f>
      </x:c>
      <x:c r="AI413" s="83">
        <x:f>+BORDRO!O417</x:f>
      </x:c>
      <x:c r="AJ413" s="84">
        <x:f>+BORDRO!P91</x:f>
      </x:c>
    </x:row>
    <x:row r="414" spans="1:36" ht="14.25" customHeight="1" x14ac:dyDescent="0.2">
      <x:c r="A414" s="72" t="s">
        <x:v>106</x:v>
      </x:c>
      <x:c r="B414" s="271">
        <x:v>46</x:v>
      </x:c>
      <x:c r="C414" s="72" t="s">
        <x:v>107</x:v>
      </x:c>
      <x:c r="D414" s="72" t="s">
        <x:v>108</x:v>
      </x:c>
      <x:c r="E414" s="72" t="s">
        <x:v>108</x:v>
      </x:c>
      <x:c r="F414" s="73">
        <x:v>1494768</x:v>
      </x:c>
      <x:c r="G414" s="74" t="s">
        <x:v>109</x:v>
      </x:c>
      <x:c r="H414" s="72" t="s">
        <x:v>110</x:v>
      </x:c>
      <x:c r="I414" s="86"/>
      <x:c r="J414" s="75">
        <x:f>+Puantaj!C418</x:f>
      </x:c>
      <x:c r="K414" s="72">
        <x:f>+Puantaj!D418</x:f>
      </x:c>
      <x:c r="L414" s="72">
        <x:f>+Puantaj!E418</x:f>
      </x:c>
      <x:c r="M414" s="265">
        <x:f>+BORDRO!F418</x:f>
      </x:c>
      <x:c r="N414" s="72"/>
      <x:c r="O414" s="87">
        <x:f>+BORDRO!G418</x:f>
      </x:c>
      <x:c r="P414" s="87">
        <x:v>0</x:v>
      </x:c>
      <x:c r="Q414" s="267"/>
      <x:c r="R414" s="267"/>
      <x:c r="S414" s="78"/>
      <x:c r="T414" s="78"/>
      <x:c r="U414" s="79"/>
      <x:c r="V414" s="268">
        <x:f>31-M414-Q414</x:f>
      </x:c>
      <x:c r="W414" s="269">
        <x:v>6</x:v>
      </x:c>
      <x:c r="X414" s="270" t="s">
        <x:v>112</x:v>
      </x:c>
      <x:c r="Y414" s="73">
        <x:v>2</x:v>
      </x:c>
      <x:c r="Z414" s="72" t="s">
        <x:v>106</x:v>
      </x:c>
      <x:c r="AA414" s="82" t="s">
        <x:v>111</x:v>
      </x:c>
      <x:c r="AB414" s="72">
        <x:v>2025</x:v>
      </x:c>
      <x:c r="AC414" s="72" t="s">
        <x:v>113</x:v>
      </x:c>
      <x:c r="AD414" s="88">
        <x:f>+BORDRO!J418</x:f>
      </x:c>
      <x:c r="AE414" s="83"/>
      <x:c r="AF414" s="83">
        <x:f>+BORDRO!K418</x:f>
      </x:c>
      <x:c r="AG414" s="83">
        <x:f>+BORDRO!L418</x:f>
      </x:c>
      <x:c r="AH414" s="88">
        <x:f>+BORDRO!M418</x:f>
      </x:c>
      <x:c r="AI414" s="83">
        <x:f>+BORDRO!O418</x:f>
      </x:c>
      <x:c r="AJ414" s="84">
        <x:f>+BORDRO!P92</x:f>
      </x:c>
    </x:row>
    <x:row r="415" spans="1:36" ht="14.25" customHeight="1" x14ac:dyDescent="0.2">
      <x:c r="A415" s="72" t="s">
        <x:v>106</x:v>
      </x:c>
      <x:c r="B415" s="271">
        <x:v>46</x:v>
      </x:c>
      <x:c r="C415" s="72" t="s">
        <x:v>107</x:v>
      </x:c>
      <x:c r="D415" s="72" t="s">
        <x:v>108</x:v>
      </x:c>
      <x:c r="E415" s="72" t="s">
        <x:v>108</x:v>
      </x:c>
      <x:c r="F415" s="73">
        <x:v>1494768</x:v>
      </x:c>
      <x:c r="G415" s="74" t="s">
        <x:v>109</x:v>
      </x:c>
      <x:c r="H415" s="72" t="s">
        <x:v>110</x:v>
      </x:c>
      <x:c r="I415" s="86"/>
      <x:c r="J415" s="75">
        <x:f>+Puantaj!C419</x:f>
      </x:c>
      <x:c r="K415" s="72">
        <x:f>+Puantaj!D419</x:f>
      </x:c>
      <x:c r="L415" s="72">
        <x:f>+Puantaj!E419</x:f>
      </x:c>
      <x:c r="M415" s="265">
        <x:f>+BORDRO!F419</x:f>
      </x:c>
      <x:c r="N415" s="72"/>
      <x:c r="O415" s="87">
        <x:f>+BORDRO!G419</x:f>
      </x:c>
      <x:c r="P415" s="87">
        <x:v>0</x:v>
      </x:c>
      <x:c r="Q415" s="267"/>
      <x:c r="R415" s="267"/>
      <x:c r="S415" s="78"/>
      <x:c r="T415" s="78"/>
      <x:c r="U415" s="79"/>
      <x:c r="V415" s="268">
        <x:f>31-M415-Q415</x:f>
      </x:c>
      <x:c r="W415" s="269">
        <x:v>6</x:v>
      </x:c>
      <x:c r="X415" s="270" t="s">
        <x:v>112</x:v>
      </x:c>
      <x:c r="Y415" s="73">
        <x:v>2</x:v>
      </x:c>
      <x:c r="Z415" s="72" t="s">
        <x:v>106</x:v>
      </x:c>
      <x:c r="AA415" s="82" t="s">
        <x:v>111</x:v>
      </x:c>
      <x:c r="AB415" s="72">
        <x:v>2025</x:v>
      </x:c>
      <x:c r="AC415" s="72" t="s">
        <x:v>113</x:v>
      </x:c>
      <x:c r="AD415" s="88">
        <x:f>+BORDRO!J419</x:f>
      </x:c>
      <x:c r="AE415" s="83"/>
      <x:c r="AF415" s="83">
        <x:f>+BORDRO!K419</x:f>
      </x:c>
      <x:c r="AG415" s="83">
        <x:f>+BORDRO!L419</x:f>
      </x:c>
      <x:c r="AH415" s="88">
        <x:f>+BORDRO!M419</x:f>
      </x:c>
      <x:c r="AI415" s="83">
        <x:f>+BORDRO!O419</x:f>
      </x:c>
      <x:c r="AJ415" s="84">
        <x:f>+BORDRO!P93</x:f>
      </x:c>
    </x:row>
    <x:row r="416" spans="1:36" ht="14.25" customHeight="1" x14ac:dyDescent="0.2">
      <x:c r="A416" s="72" t="s">
        <x:v>106</x:v>
      </x:c>
      <x:c r="B416" s="271">
        <x:v>46</x:v>
      </x:c>
      <x:c r="C416" s="72" t="s">
        <x:v>107</x:v>
      </x:c>
      <x:c r="D416" s="72" t="s">
        <x:v>108</x:v>
      </x:c>
      <x:c r="E416" s="72" t="s">
        <x:v>108</x:v>
      </x:c>
      <x:c r="F416" s="73">
        <x:v>1494768</x:v>
      </x:c>
      <x:c r="G416" s="74" t="s">
        <x:v>109</x:v>
      </x:c>
      <x:c r="H416" s="72" t="s">
        <x:v>110</x:v>
      </x:c>
      <x:c r="I416" s="86"/>
      <x:c r="J416" s="75">
        <x:f>+Puantaj!C420</x:f>
      </x:c>
      <x:c r="K416" s="72">
        <x:f>+Puantaj!D420</x:f>
      </x:c>
      <x:c r="L416" s="72">
        <x:f>+Puantaj!E420</x:f>
      </x:c>
      <x:c r="M416" s="265">
        <x:f>+BORDRO!F420</x:f>
      </x:c>
      <x:c r="N416" s="72"/>
      <x:c r="O416" s="87">
        <x:f>+BORDRO!G420</x:f>
      </x:c>
      <x:c r="P416" s="87">
        <x:v>0</x:v>
      </x:c>
      <x:c r="Q416" s="267"/>
      <x:c r="R416" s="267"/>
      <x:c r="S416" s="78"/>
      <x:c r="T416" s="78"/>
      <x:c r="U416" s="79"/>
      <x:c r="V416" s="268">
        <x:f>31-M416-Q416</x:f>
      </x:c>
      <x:c r="W416" s="269">
        <x:v>6</x:v>
      </x:c>
      <x:c r="X416" s="270" t="s">
        <x:v>112</x:v>
      </x:c>
      <x:c r="Y416" s="73">
        <x:v>2</x:v>
      </x:c>
      <x:c r="Z416" s="72" t="s">
        <x:v>106</x:v>
      </x:c>
      <x:c r="AA416" s="82" t="s">
        <x:v>111</x:v>
      </x:c>
      <x:c r="AB416" s="72">
        <x:v>2025</x:v>
      </x:c>
      <x:c r="AC416" s="72" t="s">
        <x:v>113</x:v>
      </x:c>
      <x:c r="AD416" s="88">
        <x:f>+BORDRO!J420</x:f>
      </x:c>
      <x:c r="AE416" s="83"/>
      <x:c r="AF416" s="83">
        <x:f>+BORDRO!K420</x:f>
      </x:c>
      <x:c r="AG416" s="83">
        <x:f>+BORDRO!L420</x:f>
      </x:c>
      <x:c r="AH416" s="88">
        <x:f>+BORDRO!M420</x:f>
      </x:c>
      <x:c r="AI416" s="83">
        <x:f>+BORDRO!O420</x:f>
      </x:c>
      <x:c r="AJ416" s="84">
        <x:f>+BORDRO!P94</x:f>
      </x:c>
    </x:row>
    <x:row r="417" spans="1:36" ht="14.25" customHeight="1" x14ac:dyDescent="0.2">
      <x:c r="A417" s="72" t="s">
        <x:v>106</x:v>
      </x:c>
      <x:c r="B417" s="271">
        <x:v>46</x:v>
      </x:c>
      <x:c r="C417" s="72" t="s">
        <x:v>107</x:v>
      </x:c>
      <x:c r="D417" s="72" t="s">
        <x:v>108</x:v>
      </x:c>
      <x:c r="E417" s="72" t="s">
        <x:v>108</x:v>
      </x:c>
      <x:c r="F417" s="73">
        <x:v>1494768</x:v>
      </x:c>
      <x:c r="G417" s="74" t="s">
        <x:v>109</x:v>
      </x:c>
      <x:c r="H417" s="72" t="s">
        <x:v>110</x:v>
      </x:c>
      <x:c r="I417" s="86"/>
      <x:c r="J417" s="75">
        <x:f>+Puantaj!C421</x:f>
      </x:c>
      <x:c r="K417" s="72">
        <x:f>+Puantaj!D421</x:f>
      </x:c>
      <x:c r="L417" s="72">
        <x:f>+Puantaj!E421</x:f>
      </x:c>
      <x:c r="M417" s="265">
        <x:f>+BORDRO!F421</x:f>
      </x:c>
      <x:c r="N417" s="72"/>
      <x:c r="O417" s="87">
        <x:f>+BORDRO!G421</x:f>
      </x:c>
      <x:c r="P417" s="87">
        <x:v>0</x:v>
      </x:c>
      <x:c r="Q417" s="267"/>
      <x:c r="R417" s="267"/>
      <x:c r="S417" s="78"/>
      <x:c r="T417" s="78"/>
      <x:c r="U417" s="79"/>
      <x:c r="V417" s="268">
        <x:f>31-M417-Q417</x:f>
      </x:c>
      <x:c r="W417" s="269">
        <x:v>6</x:v>
      </x:c>
      <x:c r="X417" s="270" t="s">
        <x:v>112</x:v>
      </x:c>
      <x:c r="Y417" s="73">
        <x:v>2</x:v>
      </x:c>
      <x:c r="Z417" s="72" t="s">
        <x:v>106</x:v>
      </x:c>
      <x:c r="AA417" s="82" t="s">
        <x:v>111</x:v>
      </x:c>
      <x:c r="AB417" s="72">
        <x:v>2025</x:v>
      </x:c>
      <x:c r="AC417" s="72" t="s">
        <x:v>113</x:v>
      </x:c>
      <x:c r="AD417" s="88">
        <x:f>+BORDRO!J421</x:f>
      </x:c>
      <x:c r="AE417" s="83"/>
      <x:c r="AF417" s="83">
        <x:f>+BORDRO!K421</x:f>
      </x:c>
      <x:c r="AG417" s="83">
        <x:f>+BORDRO!L421</x:f>
      </x:c>
      <x:c r="AH417" s="88">
        <x:f>+BORDRO!M421</x:f>
      </x:c>
      <x:c r="AI417" s="83">
        <x:f>+BORDRO!O421</x:f>
      </x:c>
      <x:c r="AJ417" s="84">
        <x:f>+BORDRO!P95</x:f>
      </x:c>
    </x:row>
    <x:row r="418" spans="1:36" ht="14.25" customHeight="1" x14ac:dyDescent="0.2">
      <x:c r="A418" s="72" t="s">
        <x:v>106</x:v>
      </x:c>
      <x:c r="B418" s="271">
        <x:v>46</x:v>
      </x:c>
      <x:c r="C418" s="72" t="s">
        <x:v>107</x:v>
      </x:c>
      <x:c r="D418" s="72" t="s">
        <x:v>108</x:v>
      </x:c>
      <x:c r="E418" s="72" t="s">
        <x:v>108</x:v>
      </x:c>
      <x:c r="F418" s="73">
        <x:v>1494768</x:v>
      </x:c>
      <x:c r="G418" s="74" t="s">
        <x:v>109</x:v>
      </x:c>
      <x:c r="H418" s="72" t="s">
        <x:v>110</x:v>
      </x:c>
      <x:c r="I418" s="86"/>
      <x:c r="J418" s="75">
        <x:f>+Puantaj!C422</x:f>
      </x:c>
      <x:c r="K418" s="72">
        <x:f>+Puantaj!D422</x:f>
      </x:c>
      <x:c r="L418" s="72">
        <x:f>+Puantaj!E422</x:f>
      </x:c>
      <x:c r="M418" s="265">
        <x:f>+BORDRO!F422</x:f>
      </x:c>
      <x:c r="N418" s="72"/>
      <x:c r="O418" s="87">
        <x:f>+BORDRO!G422</x:f>
      </x:c>
      <x:c r="P418" s="87">
        <x:v>0</x:v>
      </x:c>
      <x:c r="Q418" s="267"/>
      <x:c r="R418" s="267"/>
      <x:c r="S418" s="78"/>
      <x:c r="T418" s="78"/>
      <x:c r="U418" s="79"/>
      <x:c r="V418" s="268">
        <x:f>31-M418-Q418</x:f>
      </x:c>
      <x:c r="W418" s="269">
        <x:v>6</x:v>
      </x:c>
      <x:c r="X418" s="270" t="s">
        <x:v>112</x:v>
      </x:c>
      <x:c r="Y418" s="73">
        <x:v>2</x:v>
      </x:c>
      <x:c r="Z418" s="72" t="s">
        <x:v>106</x:v>
      </x:c>
      <x:c r="AA418" s="82" t="s">
        <x:v>111</x:v>
      </x:c>
      <x:c r="AB418" s="72">
        <x:v>2025</x:v>
      </x:c>
      <x:c r="AC418" s="72" t="s">
        <x:v>113</x:v>
      </x:c>
      <x:c r="AD418" s="88">
        <x:f>+BORDRO!J422</x:f>
      </x:c>
      <x:c r="AE418" s="83"/>
      <x:c r="AF418" s="83">
        <x:f>+BORDRO!K422</x:f>
      </x:c>
      <x:c r="AG418" s="83">
        <x:f>+BORDRO!L422</x:f>
      </x:c>
      <x:c r="AH418" s="88">
        <x:f>+BORDRO!M422</x:f>
      </x:c>
      <x:c r="AI418" s="83">
        <x:f>+BORDRO!O422</x:f>
      </x:c>
      <x:c r="AJ418" s="84">
        <x:f>+BORDRO!P96</x:f>
      </x:c>
    </x:row>
    <x:row r="419" spans="1:36" ht="14.25" customHeight="1" x14ac:dyDescent="0.2">
      <x:c r="A419" s="72" t="s">
        <x:v>106</x:v>
      </x:c>
      <x:c r="B419" s="271">
        <x:v>46</x:v>
      </x:c>
      <x:c r="C419" s="72" t="s">
        <x:v>107</x:v>
      </x:c>
      <x:c r="D419" s="72" t="s">
        <x:v>108</x:v>
      </x:c>
      <x:c r="E419" s="72" t="s">
        <x:v>108</x:v>
      </x:c>
      <x:c r="F419" s="73">
        <x:v>1494768</x:v>
      </x:c>
      <x:c r="G419" s="74" t="s">
        <x:v>109</x:v>
      </x:c>
      <x:c r="H419" s="72" t="s">
        <x:v>110</x:v>
      </x:c>
      <x:c r="I419" s="86"/>
      <x:c r="J419" s="75">
        <x:f>+Puantaj!C423</x:f>
      </x:c>
      <x:c r="K419" s="72">
        <x:f>+Puantaj!D423</x:f>
      </x:c>
      <x:c r="L419" s="72">
        <x:f>+Puantaj!E423</x:f>
      </x:c>
      <x:c r="M419" s="265">
        <x:f>+BORDRO!F423</x:f>
      </x:c>
      <x:c r="N419" s="72"/>
      <x:c r="O419" s="87">
        <x:f>+BORDRO!G423</x:f>
      </x:c>
      <x:c r="P419" s="87">
        <x:v>0</x:v>
      </x:c>
      <x:c r="Q419" s="267"/>
      <x:c r="R419" s="267"/>
      <x:c r="S419" s="78"/>
      <x:c r="T419" s="78"/>
      <x:c r="U419" s="79"/>
      <x:c r="V419" s="268">
        <x:f>31-M419-Q419</x:f>
      </x:c>
      <x:c r="W419" s="269">
        <x:v>6</x:v>
      </x:c>
      <x:c r="X419" s="270" t="s">
        <x:v>112</x:v>
      </x:c>
      <x:c r="Y419" s="73">
        <x:v>2</x:v>
      </x:c>
      <x:c r="Z419" s="72" t="s">
        <x:v>106</x:v>
      </x:c>
      <x:c r="AA419" s="82" t="s">
        <x:v>111</x:v>
      </x:c>
      <x:c r="AB419" s="72">
        <x:v>2025</x:v>
      </x:c>
      <x:c r="AC419" s="72" t="s">
        <x:v>113</x:v>
      </x:c>
      <x:c r="AD419" s="88">
        <x:f>+BORDRO!J423</x:f>
      </x:c>
      <x:c r="AE419" s="83"/>
      <x:c r="AF419" s="83">
        <x:f>+BORDRO!K423</x:f>
      </x:c>
      <x:c r="AG419" s="83">
        <x:f>+BORDRO!L423</x:f>
      </x:c>
      <x:c r="AH419" s="88">
        <x:f>+BORDRO!M423</x:f>
      </x:c>
      <x:c r="AI419" s="83">
        <x:f>+BORDRO!O423</x:f>
      </x:c>
      <x:c r="AJ419" s="84">
        <x:f>+BORDRO!P97</x:f>
      </x:c>
    </x:row>
    <x:row r="420" spans="1:36" ht="14.25" customHeight="1" x14ac:dyDescent="0.2">
      <x:c r="A420" s="72" t="s">
        <x:v>106</x:v>
      </x:c>
      <x:c r="B420" s="271">
        <x:v>46</x:v>
      </x:c>
      <x:c r="C420" s="72" t="s">
        <x:v>107</x:v>
      </x:c>
      <x:c r="D420" s="72" t="s">
        <x:v>108</x:v>
      </x:c>
      <x:c r="E420" s="72" t="s">
        <x:v>108</x:v>
      </x:c>
      <x:c r="F420" s="73">
        <x:v>1494768</x:v>
      </x:c>
      <x:c r="G420" s="74" t="s">
        <x:v>109</x:v>
      </x:c>
      <x:c r="H420" s="72" t="s">
        <x:v>110</x:v>
      </x:c>
      <x:c r="I420" s="86"/>
      <x:c r="J420" s="75">
        <x:f>+Puantaj!C424</x:f>
      </x:c>
      <x:c r="K420" s="72">
        <x:f>+Puantaj!D424</x:f>
      </x:c>
      <x:c r="L420" s="72">
        <x:f>+Puantaj!E424</x:f>
      </x:c>
      <x:c r="M420" s="265">
        <x:f>+BORDRO!F424</x:f>
      </x:c>
      <x:c r="N420" s="72"/>
      <x:c r="O420" s="87">
        <x:f>+BORDRO!G424</x:f>
      </x:c>
      <x:c r="P420" s="87">
        <x:v>0</x:v>
      </x:c>
      <x:c r="Q420" s="267"/>
      <x:c r="R420" s="267"/>
      <x:c r="S420" s="78"/>
      <x:c r="T420" s="78"/>
      <x:c r="U420" s="79"/>
      <x:c r="V420" s="268">
        <x:f>31-M420-Q420</x:f>
      </x:c>
      <x:c r="W420" s="269">
        <x:v>6</x:v>
      </x:c>
      <x:c r="X420" s="270" t="s">
        <x:v>112</x:v>
      </x:c>
      <x:c r="Y420" s="73">
        <x:v>2</x:v>
      </x:c>
      <x:c r="Z420" s="72" t="s">
        <x:v>106</x:v>
      </x:c>
      <x:c r="AA420" s="82" t="s">
        <x:v>111</x:v>
      </x:c>
      <x:c r="AB420" s="72">
        <x:v>2025</x:v>
      </x:c>
      <x:c r="AC420" s="72" t="s">
        <x:v>113</x:v>
      </x:c>
      <x:c r="AD420" s="88">
        <x:f>+BORDRO!J424</x:f>
      </x:c>
      <x:c r="AE420" s="83"/>
      <x:c r="AF420" s="83">
        <x:f>+BORDRO!K424</x:f>
      </x:c>
      <x:c r="AG420" s="83">
        <x:f>+BORDRO!L424</x:f>
      </x:c>
      <x:c r="AH420" s="88">
        <x:f>+BORDRO!M424</x:f>
      </x:c>
      <x:c r="AI420" s="83">
        <x:f>+BORDRO!O424</x:f>
      </x:c>
      <x:c r="AJ420" s="84">
        <x:f>+BORDRO!P98</x:f>
      </x:c>
    </x:row>
    <x:row r="421" spans="1:36" ht="14.25" customHeight="1" x14ac:dyDescent="0.2">
      <x:c r="A421" s="72"/>
      <x:c r="B421" s="271"/>
      <x:c r="C421" s="72"/>
      <x:c r="D421" s="72"/>
      <x:c r="E421" s="72"/>
      <x:c r="F421" s="73"/>
      <x:c r="G421" s="74"/>
      <x:c r="H421" s="72"/>
      <x:c r="I421" s="86"/>
      <x:c r="J421" s="75"/>
      <x:c r="K421" s="72"/>
      <x:c r="L421" s="72"/>
      <x:c r="M421" s="265">
        <x:f>SUM(M2:M420)</x:f>
      </x:c>
      <x:c r="N421" s="72"/>
      <x:c r="O421" s="87">
        <x:f>+BORDRO!G425</x:f>
      </x:c>
      <x:c r="P421" s="87">
        <x:v>0</x:v>
      </x:c>
      <x:c r="Q421" s="267"/>
      <x:c r="R421" s="267"/>
      <x:c r="S421" s="78"/>
      <x:c r="T421" s="78"/>
      <x:c r="U421" s="79"/>
      <x:c r="V421" s="268">
        <x:f>SUM(V1:V420)-M421</x:f>
      </x:c>
      <x:c r="W421" s="269"/>
      <x:c r="X421" s="270"/>
      <x:c r="Y421" s="73"/>
      <x:c r="Z421" s="72"/>
      <x:c r="AA421" s="82"/>
      <x:c r="AB421" s="72"/>
      <x:c r="AC421" s="72"/>
      <x:c r="AD421" s="88">
        <x:f>SUM(AD2:AD420)</x:f>
      </x:c>
      <x:c r="AE421" s="83"/>
      <x:c r="AF421" s="83">
        <x:f>SUM(AF2:AF420)</x:f>
      </x:c>
      <x:c r="AG421" s="83">
        <x:f>SUM(AG2:AG420)</x:f>
      </x:c>
      <x:c r="AH421" s="88">
        <x:f>SUM(AH2:AH420)</x:f>
      </x:c>
      <x:c r="AI421" s="83">
        <x:f>SUM(AI2:AI420)</x:f>
      </x:c>
      <x:c r="AJ421" s="84">
        <x:f>+BORDRO!#REF!</x:f>
      </x:c>
    </x:row>
  </x:sheetData>
  <x:phoneticPr fontId="7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U424"/>
  <x:sheetViews>
    <x:sheetView workbookViewId="0">
      <x:pane xSplit="0" ySplit="4" topLeftCell="A5" activePane="bottomLeft" state="frozenSplit"/>
      <x:selection activeCell="A22" sqref="A22"/>
      <x:selection pane="bottomLeft" activeCell="A22" sqref="A22"/>
    </x:sheetView>
  </x:sheetViews>
  <x:sheetFormatPr defaultColWidth="9.140625" defaultRowHeight="11.25"/>
  <x:cols>
    <x:col min="48" max="16384" width="9.140625" style="39" customWidth="1"/>
    <x:col min="1" max="1" width="27.710938" style="39" customWidth="1"/>
    <x:col min="2" max="2" width="5" style="39" customWidth="1"/>
    <x:col min="3" max="3" width="12" style="39" customWidth="1"/>
    <x:col min="4" max="4" width="26.570312" style="39" customWidth="1"/>
    <x:col min="5" max="5" width="14.285156" style="39" customWidth="1"/>
    <x:col min="6" max="36" width="2.855469" style="39" customWidth="1"/>
    <x:col min="37" max="37" width="7.285156" style="39" customWidth="1"/>
    <x:col min="38" max="39" width="10.425781" style="39" customWidth="1"/>
    <x:col min="40" max="40" width="13.140625" style="39" customWidth="1"/>
    <x:col min="41" max="41" width="11.425781" style="39" customWidth="1"/>
    <x:col min="42" max="42" width="4.285156" style="39" customWidth="1"/>
    <x:col min="43" max="43" width="13.140625" style="39" hidden="1" customWidth="1"/>
    <x:col min="44" max="45" width="0" style="39" hidden="1" customWidth="1"/>
    <x:col min="46" max="46" width="9.140625" style="39" customWidth="1"/>
    <x:col min="47" max="47" width="19.285156" style="39" customWidth="1"/>
  </x:cols>
  <x:sheetData>
    <x:row r="1" spans="1:47" ht="14.25" customHeight="1">
      <x:c r="B1" s="203" t="s">
        <x:v>0</x:v>
      </x:c>
      <x:c r="C1" s="203"/>
      <x:c r="D1" s="203"/>
      <x:c r="E1" s="203"/>
      <x:c r="F1" s="203"/>
      <x:c r="G1" s="203"/>
      <x:c r="H1" s="203"/>
      <x:c r="I1" s="203"/>
      <x:c r="J1" s="203"/>
      <x:c r="K1" s="203"/>
      <x:c r="L1" s="203"/>
      <x:c r="M1" s="203"/>
      <x:c r="N1" s="203"/>
      <x:c r="O1" s="203"/>
      <x:c r="P1" s="203"/>
      <x:c r="Q1" s="203"/>
      <x:c r="R1" s="203"/>
      <x:c r="S1" s="203"/>
      <x:c r="T1" s="203"/>
      <x:c r="U1" s="203"/>
      <x:c r="V1" s="203"/>
      <x:c r="W1" s="203"/>
      <x:c r="X1" s="203"/>
      <x:c r="Y1" s="203"/>
      <x:c r="Z1" s="203"/>
      <x:c r="AA1" s="203"/>
      <x:c r="AB1" s="203"/>
      <x:c r="AC1" s="203"/>
      <x:c r="AD1" s="203"/>
      <x:c r="AE1" s="203"/>
      <x:c r="AF1" s="203"/>
      <x:c r="AG1" s="203"/>
      <x:c r="AH1" s="203"/>
      <x:c r="AI1" s="203"/>
      <x:c r="AJ1" s="203"/>
      <x:c r="AK1" s="203"/>
      <x:c r="AL1" s="124"/>
      <x:c r="AM1" s="124"/>
      <x:c r="AN1" s="204" t="s">
        <x:v>1</x:v>
      </x:c>
      <x:c r="AO1" s="205">
        <x:v>2026</x:v>
      </x:c>
      <x:c r="AP1" s="124"/>
      <x:c r="AQ1" s="124"/>
      <x:c r="AR1" s="124"/>
      <x:c r="AS1" s="124"/>
      <x:c r="AT1" s="124"/>
    </x:row>
    <x:row r="2" spans="1:47" ht="15.75" customHeight="1">
      <x:c r="B2" s="203"/>
      <x:c r="C2" s="203"/>
      <x:c r="D2" s="203"/>
      <x:c r="E2" s="203"/>
      <x:c r="F2" s="203"/>
      <x:c r="G2" s="203"/>
      <x:c r="H2" s="203"/>
      <x:c r="I2" s="203"/>
      <x:c r="J2" s="203"/>
      <x:c r="K2" s="203"/>
      <x:c r="L2" s="203"/>
      <x:c r="M2" s="203"/>
      <x:c r="N2" s="203"/>
      <x:c r="O2" s="203"/>
      <x:c r="P2" s="203"/>
      <x:c r="Q2" s="203"/>
      <x:c r="R2" s="203"/>
      <x:c r="S2" s="203"/>
      <x:c r="T2" s="203"/>
      <x:c r="U2" s="203"/>
      <x:c r="V2" s="203"/>
      <x:c r="W2" s="203"/>
      <x:c r="X2" s="203"/>
      <x:c r="Y2" s="203"/>
      <x:c r="Z2" s="203"/>
      <x:c r="AA2" s="203"/>
      <x:c r="AB2" s="203"/>
      <x:c r="AC2" s="203"/>
      <x:c r="AD2" s="203"/>
      <x:c r="AE2" s="203"/>
      <x:c r="AF2" s="203"/>
      <x:c r="AG2" s="203"/>
      <x:c r="AH2" s="203"/>
      <x:c r="AI2" s="203"/>
      <x:c r="AJ2" s="203"/>
      <x:c r="AK2" s="203"/>
      <x:c r="AL2" s="128"/>
      <x:c r="AM2" s="128"/>
      <x:c r="AN2" s="204" t="s">
        <x:v>2</x:v>
      </x:c>
      <x:c r="AO2" s="205" t="s">
        <x:v>20</x:v>
      </x:c>
      <x:c r="AP2" s="124"/>
      <x:c r="AQ2" s="124"/>
      <x:c r="AR2" s="124"/>
      <x:c r="AS2" s="124"/>
      <x:c r="AT2" s="124"/>
    </x:row>
    <x:row r="3" spans="1:47" ht="92.25" customHeight="1">
      <x:c r="B3" s="151" t="s">
        <x:v>4</x:v>
      </x:c>
      <x:c r="C3" s="152"/>
      <x:c r="D3" s="152"/>
      <x:c r="E3" s="153"/>
      <x:c r="F3" s="206">
        <x:v>46082</x:v>
      </x:c>
      <x:c r="G3" s="206">
        <x:v>46083</x:v>
      </x:c>
      <x:c r="H3" s="206">
        <x:v>46084</x:v>
      </x:c>
      <x:c r="I3" s="206">
        <x:v>46085</x:v>
      </x:c>
      <x:c r="J3" s="206">
        <x:v>46086</x:v>
      </x:c>
      <x:c r="K3" s="206">
        <x:v>46087</x:v>
      </x:c>
      <x:c r="L3" s="206">
        <x:v>46088</x:v>
      </x:c>
      <x:c r="M3" s="206">
        <x:v>46089</x:v>
      </x:c>
      <x:c r="N3" s="206">
        <x:v>46090</x:v>
      </x:c>
      <x:c r="O3" s="206">
        <x:v>46091</x:v>
      </x:c>
      <x:c r="P3" s="206">
        <x:v>46092</x:v>
      </x:c>
      <x:c r="Q3" s="206">
        <x:v>46093</x:v>
      </x:c>
      <x:c r="R3" s="206">
        <x:v>46094</x:v>
      </x:c>
      <x:c r="S3" s="206">
        <x:v>46095</x:v>
      </x:c>
      <x:c r="T3" s="206">
        <x:v>46096</x:v>
      </x:c>
      <x:c r="U3" s="206">
        <x:v>46097</x:v>
      </x:c>
      <x:c r="V3" s="206">
        <x:v>46098</x:v>
      </x:c>
      <x:c r="W3" s="206">
        <x:v>46099</x:v>
      </x:c>
      <x:c r="X3" s="206">
        <x:v>46100</x:v>
      </x:c>
      <x:c r="Y3" s="206">
        <x:v>46101</x:v>
      </x:c>
      <x:c r="Z3" s="206">
        <x:v>46102</x:v>
      </x:c>
      <x:c r="AA3" s="206">
        <x:v>46103</x:v>
      </x:c>
      <x:c r="AB3" s="206">
        <x:v>46104</x:v>
      </x:c>
      <x:c r="AC3" s="206">
        <x:v>46105</x:v>
      </x:c>
      <x:c r="AD3" s="206">
        <x:v>46106</x:v>
      </x:c>
      <x:c r="AE3" s="206">
        <x:v>46107</x:v>
      </x:c>
      <x:c r="AF3" s="206">
        <x:v>46108</x:v>
      </x:c>
      <x:c r="AG3" s="206">
        <x:v>46109</x:v>
      </x:c>
      <x:c r="AH3" s="206">
        <x:v>46110</x:v>
      </x:c>
      <x:c r="AI3" s="206">
        <x:v>46111</x:v>
      </x:c>
      <x:c r="AJ3" s="207">
        <x:v>46112</x:v>
      </x:c>
      <x:c r="AK3" s="154" t="s">
        <x:v>5</x:v>
      </x:c>
      <x:c r="AL3" s="154" t="s">
        <x:v>6</x:v>
      </x:c>
      <x:c r="AM3" s="156" t="s">
        <x:v>7</x:v>
      </x:c>
      <x:c r="AN3" s="272" t="s">
        <x:v>8</x:v>
      </x:c>
      <x:c r="AO3" s="273"/>
      <x:c r="AP3" s="208"/>
      <x:c r="AQ3" s="124"/>
      <x:c r="AR3" s="124"/>
      <x:c r="AS3" s="124"/>
      <x:c r="AT3" s="124"/>
    </x:row>
    <x:row r="4" spans="1:47" ht="14.25" customHeight="1">
      <x:c r="A4" s="70" t="s">
        <x:v>9</x:v>
      </x:c>
      <x:c r="B4" s="131" t="s">
        <x:v>10</x:v>
      </x:c>
      <x:c r="C4" s="132" t="s">
        <x:v>11</x:v>
      </x:c>
      <x:c r="D4" s="145" t="s">
        <x:v>12</x:v>
      </x:c>
      <x:c r="E4" s="146"/>
      <x:c r="F4" s="209"/>
      <x:c r="G4" s="209"/>
      <x:c r="H4" s="209"/>
      <x:c r="I4" s="209"/>
      <x:c r="J4" s="209"/>
      <x:c r="K4" s="209"/>
      <x:c r="L4" s="209"/>
      <x:c r="M4" s="209"/>
      <x:c r="N4" s="209"/>
      <x:c r="O4" s="209"/>
      <x:c r="P4" s="209"/>
      <x:c r="Q4" s="209"/>
      <x:c r="R4" s="209"/>
      <x:c r="S4" s="209"/>
      <x:c r="T4" s="209"/>
      <x:c r="U4" s="209"/>
      <x:c r="V4" s="209"/>
      <x:c r="W4" s="209"/>
      <x:c r="X4" s="209"/>
      <x:c r="Y4" s="209"/>
      <x:c r="Z4" s="209"/>
      <x:c r="AA4" s="209"/>
      <x:c r="AB4" s="209"/>
      <x:c r="AC4" s="209"/>
      <x:c r="AD4" s="209"/>
      <x:c r="AE4" s="209"/>
      <x:c r="AF4" s="209"/>
      <x:c r="AG4" s="209"/>
      <x:c r="AH4" s="209"/>
      <x:c r="AI4" s="209"/>
      <x:c r="AJ4" s="210"/>
      <x:c r="AK4" s="155"/>
      <x:c r="AL4" s="155"/>
      <x:c r="AM4" s="157"/>
      <x:c r="AN4" s="211" t="s">
        <x:v>13</x:v>
      </x:c>
      <x:c r="AO4" s="211" t="s">
        <x:v>14</x:v>
      </x:c>
      <x:c r="AP4" s="133"/>
      <x:c r="AQ4" s="212" t="s">
        <x:v>15</x:v>
      </x:c>
      <x:c r="AR4" s="212" t="s">
        <x:v>16</x:v>
      </x:c>
      <x:c r="AS4" s="212" t="s">
        <x:v>17</x:v>
      </x:c>
      <x:c r="AT4" s="124">
        <x:f>SUM(AK6:AK424)</x:f>
      </x:c>
      <x:c r="AU4" s="213"/>
    </x:row>
    <x:row r="5" spans="1:47" ht="15" customHeight="1">
      <x:c r="A5" s="69"/>
      <x:c r="B5" s="108"/>
      <x:c r="C5" s="109"/>
      <x:c r="D5" s="110"/>
      <x:c r="E5" s="111"/>
      <x:c r="F5" s="214">
        <x:v>7</x:v>
      </x:c>
      <x:c r="G5" s="214">
        <x:v>1</x:v>
      </x:c>
      <x:c r="H5" s="214">
        <x:v>2</x:v>
      </x:c>
      <x:c r="I5" s="214">
        <x:v>3</x:v>
      </x:c>
      <x:c r="J5" s="214">
        <x:v>4</x:v>
      </x:c>
      <x:c r="K5" s="214">
        <x:v>5</x:v>
      </x:c>
      <x:c r="L5" s="214">
        <x:v>6</x:v>
      </x:c>
      <x:c r="M5" s="214">
        <x:v>7</x:v>
      </x:c>
      <x:c r="N5" s="214">
        <x:v>1</x:v>
      </x:c>
      <x:c r="O5" s="214">
        <x:v>2</x:v>
      </x:c>
      <x:c r="P5" s="214">
        <x:v>3</x:v>
      </x:c>
      <x:c r="Q5" s="214">
        <x:v>4</x:v>
      </x:c>
      <x:c r="R5" s="214">
        <x:v>5</x:v>
      </x:c>
      <x:c r="S5" s="214">
        <x:v>6</x:v>
      </x:c>
      <x:c r="T5" s="214">
        <x:v>7</x:v>
      </x:c>
      <x:c r="U5" s="214">
        <x:v>1</x:v>
      </x:c>
      <x:c r="V5" s="214">
        <x:v>2</x:v>
      </x:c>
      <x:c r="W5" s="214">
        <x:v>3</x:v>
      </x:c>
      <x:c r="X5" s="214">
        <x:v>4</x:v>
      </x:c>
      <x:c r="Y5" s="214">
        <x:v>5</x:v>
      </x:c>
      <x:c r="Z5" s="214">
        <x:v>6</x:v>
      </x:c>
      <x:c r="AA5" s="214">
        <x:v>7</x:v>
      </x:c>
      <x:c r="AB5" s="214">
        <x:v>1</x:v>
      </x:c>
      <x:c r="AC5" s="214">
        <x:v>2</x:v>
      </x:c>
      <x:c r="AD5" s="214">
        <x:v>3</x:v>
      </x:c>
      <x:c r="AE5" s="214">
        <x:v>4</x:v>
      </x:c>
      <x:c r="AF5" s="214">
        <x:v>5</x:v>
      </x:c>
      <x:c r="AG5" s="214">
        <x:v>6</x:v>
      </x:c>
      <x:c r="AH5" s="214">
        <x:v>7</x:v>
      </x:c>
      <x:c r="AI5" s="214">
        <x:v>1</x:v>
      </x:c>
      <x:c r="AJ5" s="214">
        <x:v>2</x:v>
      </x:c>
      <x:c r="AK5" s="113"/>
      <x:c r="AL5" s="114"/>
      <x:c r="AM5" s="114"/>
      <x:c r="AN5" s="211"/>
      <x:c r="AO5" s="211"/>
      <x:c r="AP5" s="208"/>
      <x:c r="AQ5" s="212"/>
      <x:c r="AR5" s="212"/>
      <x:c r="AS5" s="212"/>
      <x:c r="AT5" s="124"/>
    </x:row>
    <x:row r="6" spans="1:47" ht="19.9" customHeight="1">
      <x:c r="A6" s="274" t="s">
        <x:v>114</x:v>
      </x:c>
      <x:c r="B6" s="216"/>
      <x:c r="C6" s="275" t="s">
        <x:v>115</x:v>
      </x:c>
      <x:c r="D6" s="274" t="s">
        <x:v>116</x:v>
      </x:c>
      <x:c r="E6" s="276" t="s">
        <x:v>117</x:v>
      </x:c>
      <x:c r="F6" s="277" t="s">
        <x:v>118</x:v>
      </x:c>
      <x:c r="G6" s="277" t="s">
        <x:v>119</x:v>
      </x:c>
      <x:c r="H6" s="277" t="s">
        <x:v>119</x:v>
      </x:c>
      <x:c r="I6" s="277" t="s">
        <x:v>119</x:v>
      </x:c>
      <x:c r="J6" s="277" t="s">
        <x:v>118</x:v>
      </x:c>
      <x:c r="K6" s="277" t="s">
        <x:v>118</x:v>
      </x:c>
      <x:c r="L6" s="277" t="s">
        <x:v>118</x:v>
      </x:c>
      <x:c r="M6" s="277" t="s">
        <x:v>118</x:v>
      </x:c>
      <x:c r="N6" s="277" t="s">
        <x:v>118</x:v>
      </x:c>
      <x:c r="O6" s="277" t="s">
        <x:v>118</x:v>
      </x:c>
      <x:c r="P6" s="277" t="s">
        <x:v>118</x:v>
      </x:c>
      <x:c r="Q6" s="277" t="s">
        <x:v>118</x:v>
      </x:c>
      <x:c r="R6" s="277" t="s">
        <x:v>118</x:v>
      </x:c>
      <x:c r="S6" s="277" t="s">
        <x:v>118</x:v>
      </x:c>
      <x:c r="T6" s="277" t="s">
        <x:v>118</x:v>
      </x:c>
      <x:c r="U6" s="277" t="s">
        <x:v>118</x:v>
      </x:c>
      <x:c r="V6" s="277" t="s">
        <x:v>118</x:v>
      </x:c>
      <x:c r="W6" s="277" t="s">
        <x:v>118</x:v>
      </x:c>
      <x:c r="X6" s="277" t="s">
        <x:v>118</x:v>
      </x:c>
      <x:c r="Y6" s="277" t="s">
        <x:v>118</x:v>
      </x:c>
      <x:c r="Z6" s="277" t="s">
        <x:v>118</x:v>
      </x:c>
      <x:c r="AA6" s="277" t="s">
        <x:v>118</x:v>
      </x:c>
      <x:c r="AB6" s="277" t="s">
        <x:v>118</x:v>
      </x:c>
      <x:c r="AC6" s="277" t="s">
        <x:v>118</x:v>
      </x:c>
      <x:c r="AD6" s="277" t="s">
        <x:v>118</x:v>
      </x:c>
      <x:c r="AE6" s="277" t="s">
        <x:v>118</x:v>
      </x:c>
      <x:c r="AF6" s="277" t="s">
        <x:v>118</x:v>
      </x:c>
      <x:c r="AG6" s="277" t="s">
        <x:v>118</x:v>
      </x:c>
      <x:c r="AH6" s="277" t="s">
        <x:v>118</x:v>
      </x:c>
      <x:c r="AI6" s="277" t="s">
        <x:v>118</x:v>
      </x:c>
      <x:c r="AJ6" s="277" t="s">
        <x:v>118</x:v>
      </x:c>
      <x:c r="AK6" s="220">
        <x:f>COUNTIF(F6:AJ6,"X")</x:f>
      </x:c>
      <x:c r="AL6" s="221"/>
      <x:c r="AM6" s="221"/>
      <x:c r="AN6" s="222"/>
      <x:c r="AO6" s="222"/>
      <x:c r="AP6" s="223"/>
      <x:c r="AQ6" s="224"/>
      <x:c r="AR6" s="225"/>
      <x:c r="AS6" s="225"/>
      <x:c r="AT6" s="220"/>
    </x:row>
    <x:row r="7" spans="1:47" ht="19.9" customHeight="1">
      <x:c r="A7" s="274" t="s">
        <x:v>120</x:v>
      </x:c>
      <x:c r="B7" s="216"/>
      <x:c r="C7" s="275" t="s">
        <x:v>121</x:v>
      </x:c>
      <x:c r="D7" s="274" t="s">
        <x:v>122</x:v>
      </x:c>
      <x:c r="E7" s="276" t="s">
        <x:v>123</x:v>
      </x:c>
      <x:c r="F7" s="277" t="s">
        <x:v>118</x:v>
      </x:c>
      <x:c r="G7" s="277" t="s">
        <x:v>118</x:v>
      </x:c>
      <x:c r="H7" s="277" t="s">
        <x:v>118</x:v>
      </x:c>
      <x:c r="I7" s="277" t="s">
        <x:v>118</x:v>
      </x:c>
      <x:c r="J7" s="278" t="s">
        <x:v>118</x:v>
      </x:c>
      <x:c r="K7" s="277" t="s">
        <x:v>118</x:v>
      </x:c>
      <x:c r="L7" s="277" t="s">
        <x:v>118</x:v>
      </x:c>
      <x:c r="M7" s="277" t="s">
        <x:v>118</x:v>
      </x:c>
      <x:c r="N7" s="277" t="s">
        <x:v>118</x:v>
      </x:c>
      <x:c r="O7" s="277" t="s">
        <x:v>118</x:v>
      </x:c>
      <x:c r="P7" s="278" t="s">
        <x:v>118</x:v>
      </x:c>
      <x:c r="Q7" s="277" t="s">
        <x:v>118</x:v>
      </x:c>
      <x:c r="R7" s="277" t="s">
        <x:v>118</x:v>
      </x:c>
      <x:c r="S7" s="277" t="s">
        <x:v>118</x:v>
      </x:c>
      <x:c r="T7" s="277" t="s">
        <x:v>118</x:v>
      </x:c>
      <x:c r="U7" s="277" t="s">
        <x:v>118</x:v>
      </x:c>
      <x:c r="V7" s="277" t="s">
        <x:v>118</x:v>
      </x:c>
      <x:c r="W7" s="277" t="s">
        <x:v>118</x:v>
      </x:c>
      <x:c r="X7" s="277" t="s">
        <x:v>118</x:v>
      </x:c>
      <x:c r="Y7" s="277" t="s">
        <x:v>118</x:v>
      </x:c>
      <x:c r="Z7" s="277" t="s">
        <x:v>118</x:v>
      </x:c>
      <x:c r="AA7" s="277" t="s">
        <x:v>118</x:v>
      </x:c>
      <x:c r="AB7" s="277" t="s">
        <x:v>118</x:v>
      </x:c>
      <x:c r="AC7" s="277" t="s">
        <x:v>118</x:v>
      </x:c>
      <x:c r="AD7" s="277" t="s">
        <x:v>118</x:v>
      </x:c>
      <x:c r="AE7" s="279" t="s">
        <x:v>118</x:v>
      </x:c>
      <x:c r="AF7" s="277" t="s">
        <x:v>118</x:v>
      </x:c>
      <x:c r="AG7" s="277" t="s">
        <x:v>118</x:v>
      </x:c>
      <x:c r="AH7" s="277" t="s">
        <x:v>118</x:v>
      </x:c>
      <x:c r="AI7" s="277" t="s">
        <x:v>118</x:v>
      </x:c>
      <x:c r="AJ7" s="277" t="s">
        <x:v>118</x:v>
      </x:c>
      <x:c r="AK7" s="220">
        <x:f>COUNTIF(F7:AJ7,"X")</x:f>
      </x:c>
      <x:c r="AL7" s="221"/>
      <x:c r="AM7" s="221"/>
      <x:c r="AN7" s="222"/>
      <x:c r="AO7" s="222"/>
      <x:c r="AP7" s="228"/>
      <x:c r="AQ7" s="224"/>
      <x:c r="AR7" s="229"/>
      <x:c r="AS7" s="229"/>
      <x:c r="AT7" s="230"/>
    </x:row>
    <x:row r="8" spans="1:47" ht="19.9" customHeight="1">
      <x:c r="A8" s="274" t="s">
        <x:v>124</x:v>
      </x:c>
      <x:c r="B8" s="216"/>
      <x:c r="C8" s="275" t="s">
        <x:v>125</x:v>
      </x:c>
      <x:c r="D8" s="274" t="s">
        <x:v>126</x:v>
      </x:c>
      <x:c r="E8" s="276" t="s">
        <x:v>127</x:v>
      </x:c>
      <x:c r="F8" s="277" t="s">
        <x:v>118</x:v>
      </x:c>
      <x:c r="G8" s="277" t="s">
        <x:v>118</x:v>
      </x:c>
      <x:c r="H8" s="277" t="s">
        <x:v>118</x:v>
      </x:c>
      <x:c r="I8" s="277" t="s">
        <x:v>118</x:v>
      </x:c>
      <x:c r="J8" s="277" t="s">
        <x:v>118</x:v>
      </x:c>
      <x:c r="K8" s="277" t="s">
        <x:v>118</x:v>
      </x:c>
      <x:c r="L8" s="277" t="s">
        <x:v>118</x:v>
      </x:c>
      <x:c r="M8" s="277" t="s">
        <x:v>118</x:v>
      </x:c>
      <x:c r="N8" s="277" t="s">
        <x:v>118</x:v>
      </x:c>
      <x:c r="O8" s="277" t="s">
        <x:v>118</x:v>
      </x:c>
      <x:c r="P8" s="277" t="s">
        <x:v>118</x:v>
      </x:c>
      <x:c r="Q8" s="277" t="s">
        <x:v>118</x:v>
      </x:c>
      <x:c r="R8" s="277" t="s">
        <x:v>118</x:v>
      </x:c>
      <x:c r="S8" s="277" t="s">
        <x:v>118</x:v>
      </x:c>
      <x:c r="T8" s="277" t="s">
        <x:v>118</x:v>
      </x:c>
      <x:c r="U8" s="277" t="s">
        <x:v>118</x:v>
      </x:c>
      <x:c r="V8" s="277" t="s">
        <x:v>118</x:v>
      </x:c>
      <x:c r="W8" s="277" t="s">
        <x:v>118</x:v>
      </x:c>
      <x:c r="X8" s="277" t="s">
        <x:v>118</x:v>
      </x:c>
      <x:c r="Y8" s="277" t="s">
        <x:v>118</x:v>
      </x:c>
      <x:c r="Z8" s="277" t="s">
        <x:v>118</x:v>
      </x:c>
      <x:c r="AA8" s="277" t="s">
        <x:v>118</x:v>
      </x:c>
      <x:c r="AB8" s="277" t="s">
        <x:v>118</x:v>
      </x:c>
      <x:c r="AC8" s="277" t="s">
        <x:v>118</x:v>
      </x:c>
      <x:c r="AD8" s="277" t="s">
        <x:v>118</x:v>
      </x:c>
      <x:c r="AE8" s="277" t="s">
        <x:v>118</x:v>
      </x:c>
      <x:c r="AF8" s="277" t="s">
        <x:v>118</x:v>
      </x:c>
      <x:c r="AG8" s="277" t="s">
        <x:v>118</x:v>
      </x:c>
      <x:c r="AH8" s="277" t="s">
        <x:v>118</x:v>
      </x:c>
      <x:c r="AI8" s="277" t="s">
        <x:v>118</x:v>
      </x:c>
      <x:c r="AJ8" s="277" t="s">
        <x:v>118</x:v>
      </x:c>
      <x:c r="AK8" s="220">
        <x:f>COUNTIF(F8:AJ8,"X")</x:f>
      </x:c>
      <x:c r="AL8" s="221"/>
      <x:c r="AM8" s="221"/>
      <x:c r="AN8" s="222"/>
      <x:c r="AO8" s="222"/>
      <x:c r="AP8" s="228"/>
      <x:c r="AQ8" s="224"/>
      <x:c r="AR8" s="229"/>
      <x:c r="AS8" s="229"/>
      <x:c r="AT8" s="230"/>
    </x:row>
    <x:row r="9" spans="1:47" ht="19.9" customHeight="1">
      <x:c r="A9" s="274" t="s">
        <x:v>128</x:v>
      </x:c>
      <x:c r="B9" s="216"/>
      <x:c r="C9" s="275" t="s">
        <x:v>129</x:v>
      </x:c>
      <x:c r="D9" s="274" t="s">
        <x:v>130</x:v>
      </x:c>
      <x:c r="E9" s="276" t="s">
        <x:v>131</x:v>
      </x:c>
      <x:c r="F9" s="277" t="s">
        <x:v>118</x:v>
      </x:c>
      <x:c r="G9" s="277" t="s">
        <x:v>118</x:v>
      </x:c>
      <x:c r="H9" s="277" t="s">
        <x:v>118</x:v>
      </x:c>
      <x:c r="I9" s="277" t="s">
        <x:v>118</x:v>
      </x:c>
      <x:c r="J9" s="277" t="s">
        <x:v>118</x:v>
      </x:c>
      <x:c r="K9" s="277" t="s">
        <x:v>118</x:v>
      </x:c>
      <x:c r="L9" s="277" t="s">
        <x:v>118</x:v>
      </x:c>
      <x:c r="M9" s="277" t="s">
        <x:v>118</x:v>
      </x:c>
      <x:c r="N9" s="277" t="s">
        <x:v>118</x:v>
      </x:c>
      <x:c r="O9" s="277" t="s">
        <x:v>118</x:v>
      </x:c>
      <x:c r="P9" s="277" t="s">
        <x:v>118</x:v>
      </x:c>
      <x:c r="Q9" s="277" t="s">
        <x:v>118</x:v>
      </x:c>
      <x:c r="R9" s="277" t="s">
        <x:v>118</x:v>
      </x:c>
      <x:c r="S9" s="277" t="s">
        <x:v>118</x:v>
      </x:c>
      <x:c r="T9" s="277" t="s">
        <x:v>118</x:v>
      </x:c>
      <x:c r="U9" s="277" t="s">
        <x:v>118</x:v>
      </x:c>
      <x:c r="V9" s="277" t="s">
        <x:v>118</x:v>
      </x:c>
      <x:c r="W9" s="277" t="s">
        <x:v>118</x:v>
      </x:c>
      <x:c r="X9" s="277" t="s">
        <x:v>118</x:v>
      </x:c>
      <x:c r="Y9" s="277" t="s">
        <x:v>118</x:v>
      </x:c>
      <x:c r="Z9" s="277" t="s">
        <x:v>118</x:v>
      </x:c>
      <x:c r="AA9" s="277" t="s">
        <x:v>118</x:v>
      </x:c>
      <x:c r="AB9" s="277" t="s">
        <x:v>118</x:v>
      </x:c>
      <x:c r="AC9" s="277" t="s">
        <x:v>118</x:v>
      </x:c>
      <x:c r="AD9" s="277" t="s">
        <x:v>118</x:v>
      </x:c>
      <x:c r="AE9" s="277" t="s">
        <x:v>118</x:v>
      </x:c>
      <x:c r="AF9" s="277" t="s">
        <x:v>118</x:v>
      </x:c>
      <x:c r="AG9" s="277" t="s">
        <x:v>118</x:v>
      </x:c>
      <x:c r="AH9" s="277" t="s">
        <x:v>118</x:v>
      </x:c>
      <x:c r="AI9" s="277" t="s">
        <x:v>118</x:v>
      </x:c>
      <x:c r="AJ9" s="277" t="s">
        <x:v>118</x:v>
      </x:c>
      <x:c r="AK9" s="220">
        <x:f>COUNTIF(F9:AJ9,"X")</x:f>
      </x:c>
      <x:c r="AL9" s="221"/>
      <x:c r="AM9" s="221"/>
      <x:c r="AN9" s="222"/>
      <x:c r="AO9" s="222"/>
      <x:c r="AP9" s="228"/>
      <x:c r="AQ9" s="224"/>
      <x:c r="AR9" s="229"/>
      <x:c r="AS9" s="229"/>
      <x:c r="AT9" s="230"/>
    </x:row>
    <x:row r="10" spans="1:47" ht="19.9" customHeight="1">
      <x:c r="A10" s="274" t="s">
        <x:v>132</x:v>
      </x:c>
      <x:c r="B10" s="216"/>
      <x:c r="C10" s="275" t="s">
        <x:v>133</x:v>
      </x:c>
      <x:c r="D10" s="274" t="s">
        <x:v>134</x:v>
      </x:c>
      <x:c r="E10" s="276" t="s">
        <x:v>135</x:v>
      </x:c>
      <x:c r="F10" s="277" t="s">
        <x:v>118</x:v>
      </x:c>
      <x:c r="G10" s="277" t="s">
        <x:v>118</x:v>
      </x:c>
      <x:c r="H10" s="277" t="s">
        <x:v>118</x:v>
      </x:c>
      <x:c r="I10" s="277" t="s">
        <x:v>118</x:v>
      </x:c>
      <x:c r="J10" s="277" t="s">
        <x:v>118</x:v>
      </x:c>
      <x:c r="K10" s="277" t="s">
        <x:v>118</x:v>
      </x:c>
      <x:c r="L10" s="277" t="s">
        <x:v>118</x:v>
      </x:c>
      <x:c r="M10" s="277" t="s">
        <x:v>118</x:v>
      </x:c>
      <x:c r="N10" s="277" t="s">
        <x:v>118</x:v>
      </x:c>
      <x:c r="O10" s="277" t="s">
        <x:v>118</x:v>
      </x:c>
      <x:c r="P10" s="277" t="s">
        <x:v>118</x:v>
      </x:c>
      <x:c r="Q10" s="277" t="s">
        <x:v>118</x:v>
      </x:c>
      <x:c r="R10" s="277" t="s">
        <x:v>118</x:v>
      </x:c>
      <x:c r="S10" s="277" t="s">
        <x:v>118</x:v>
      </x:c>
      <x:c r="T10" s="277" t="s">
        <x:v>118</x:v>
      </x:c>
      <x:c r="U10" s="277" t="s">
        <x:v>118</x:v>
      </x:c>
      <x:c r="V10" s="277" t="s">
        <x:v>118</x:v>
      </x:c>
      <x:c r="W10" s="277" t="s">
        <x:v>118</x:v>
      </x:c>
      <x:c r="X10" s="277" t="s">
        <x:v>118</x:v>
      </x:c>
      <x:c r="Y10" s="277" t="s">
        <x:v>118</x:v>
      </x:c>
      <x:c r="Z10" s="277" t="s">
        <x:v>118</x:v>
      </x:c>
      <x:c r="AA10" s="277" t="s">
        <x:v>118</x:v>
      </x:c>
      <x:c r="AB10" s="277" t="s">
        <x:v>118</x:v>
      </x:c>
      <x:c r="AC10" s="277" t="s">
        <x:v>118</x:v>
      </x:c>
      <x:c r="AD10" s="277" t="s">
        <x:v>118</x:v>
      </x:c>
      <x:c r="AE10" s="277" t="s">
        <x:v>118</x:v>
      </x:c>
      <x:c r="AF10" s="277" t="s">
        <x:v>118</x:v>
      </x:c>
      <x:c r="AG10" s="277" t="s">
        <x:v>118</x:v>
      </x:c>
      <x:c r="AH10" s="277" t="s">
        <x:v>118</x:v>
      </x:c>
      <x:c r="AI10" s="277" t="s">
        <x:v>118</x:v>
      </x:c>
      <x:c r="AJ10" s="277" t="s">
        <x:v>118</x:v>
      </x:c>
      <x:c r="AK10" s="220">
        <x:f>COUNTIF(F10:AJ10,"X")</x:f>
      </x:c>
      <x:c r="AL10" s="221"/>
      <x:c r="AM10" s="221"/>
      <x:c r="AN10" s="222"/>
      <x:c r="AO10" s="222"/>
      <x:c r="AP10" s="228"/>
      <x:c r="AQ10" s="224"/>
      <x:c r="AR10" s="229"/>
      <x:c r="AS10" s="229"/>
      <x:c r="AT10" s="230"/>
    </x:row>
    <x:row r="11" spans="1:47" ht="19.9" customHeight="1">
      <x:c r="A11" s="274" t="s">
        <x:v>136</x:v>
      </x:c>
      <x:c r="B11" s="216"/>
      <x:c r="C11" s="275" t="s">
        <x:v>137</x:v>
      </x:c>
      <x:c r="D11" s="274" t="s">
        <x:v>138</x:v>
      </x:c>
      <x:c r="E11" s="276" t="s">
        <x:v>139</x:v>
      </x:c>
      <x:c r="F11" s="277" t="s">
        <x:v>118</x:v>
      </x:c>
      <x:c r="G11" s="277" t="s">
        <x:v>118</x:v>
      </x:c>
      <x:c r="H11" s="277" t="s">
        <x:v>118</x:v>
      </x:c>
      <x:c r="I11" s="277" t="s">
        <x:v>118</x:v>
      </x:c>
      <x:c r="J11" s="277" t="s">
        <x:v>118</x:v>
      </x:c>
      <x:c r="K11" s="277" t="s">
        <x:v>118</x:v>
      </x:c>
      <x:c r="L11" s="277" t="s">
        <x:v>118</x:v>
      </x:c>
      <x:c r="M11" s="277" t="s">
        <x:v>118</x:v>
      </x:c>
      <x:c r="N11" s="277" t="s">
        <x:v>118</x:v>
      </x:c>
      <x:c r="O11" s="277" t="s">
        <x:v>118</x:v>
      </x:c>
      <x:c r="P11" s="277" t="s">
        <x:v>118</x:v>
      </x:c>
      <x:c r="Q11" s="277" t="s">
        <x:v>118</x:v>
      </x:c>
      <x:c r="R11" s="277" t="s">
        <x:v>118</x:v>
      </x:c>
      <x:c r="S11" s="277" t="s">
        <x:v>118</x:v>
      </x:c>
      <x:c r="T11" s="277" t="s">
        <x:v>118</x:v>
      </x:c>
      <x:c r="U11" s="277" t="s">
        <x:v>118</x:v>
      </x:c>
      <x:c r="V11" s="277" t="s">
        <x:v>118</x:v>
      </x:c>
      <x:c r="W11" s="277" t="s">
        <x:v>118</x:v>
      </x:c>
      <x:c r="X11" s="277" t="s">
        <x:v>118</x:v>
      </x:c>
      <x:c r="Y11" s="277" t="s">
        <x:v>118</x:v>
      </x:c>
      <x:c r="Z11" s="277" t="s">
        <x:v>118</x:v>
      </x:c>
      <x:c r="AA11" s="277" t="s">
        <x:v>118</x:v>
      </x:c>
      <x:c r="AB11" s="277" t="s">
        <x:v>118</x:v>
      </x:c>
      <x:c r="AC11" s="277" t="s">
        <x:v>118</x:v>
      </x:c>
      <x:c r="AD11" s="277" t="s">
        <x:v>118</x:v>
      </x:c>
      <x:c r="AE11" s="277" t="s">
        <x:v>118</x:v>
      </x:c>
      <x:c r="AF11" s="277" t="s">
        <x:v>118</x:v>
      </x:c>
      <x:c r="AG11" s="277" t="s">
        <x:v>118</x:v>
      </x:c>
      <x:c r="AH11" s="277" t="s">
        <x:v>118</x:v>
      </x:c>
      <x:c r="AI11" s="277" t="s">
        <x:v>118</x:v>
      </x:c>
      <x:c r="AJ11" s="277" t="s">
        <x:v>118</x:v>
      </x:c>
      <x:c r="AK11" s="220">
        <x:f>COUNTIF(F11:AJ11,"X")</x:f>
      </x:c>
      <x:c r="AL11" s="221"/>
      <x:c r="AM11" s="221"/>
      <x:c r="AN11" s="222"/>
      <x:c r="AO11" s="222"/>
      <x:c r="AP11" s="228"/>
      <x:c r="AQ11" s="224"/>
      <x:c r="AR11" s="229"/>
      <x:c r="AS11" s="229"/>
      <x:c r="AT11" s="230"/>
    </x:row>
    <x:row r="12" spans="1:47" ht="19.9" customHeight="1">
      <x:c r="A12" s="274" t="s">
        <x:v>140</x:v>
      </x:c>
      <x:c r="B12" s="216"/>
      <x:c r="C12" s="275" t="s">
        <x:v>141</x:v>
      </x:c>
      <x:c r="D12" s="274" t="s">
        <x:v>142</x:v>
      </x:c>
      <x:c r="E12" s="276" t="s">
        <x:v>143</x:v>
      </x:c>
      <x:c r="F12" s="277" t="s">
        <x:v>118</x:v>
      </x:c>
      <x:c r="G12" s="277" t="s">
        <x:v>118</x:v>
      </x:c>
      <x:c r="H12" s="277" t="s">
        <x:v>118</x:v>
      </x:c>
      <x:c r="I12" s="277" t="s">
        <x:v>118</x:v>
      </x:c>
      <x:c r="J12" s="277" t="s">
        <x:v>118</x:v>
      </x:c>
      <x:c r="K12" s="277" t="s">
        <x:v>118</x:v>
      </x:c>
      <x:c r="L12" s="277" t="s">
        <x:v>118</x:v>
      </x:c>
      <x:c r="M12" s="277" t="s">
        <x:v>118</x:v>
      </x:c>
      <x:c r="N12" s="277" t="s">
        <x:v>118</x:v>
      </x:c>
      <x:c r="O12" s="277" t="s">
        <x:v>118</x:v>
      </x:c>
      <x:c r="P12" s="277" t="s">
        <x:v>118</x:v>
      </x:c>
      <x:c r="Q12" s="277" t="s">
        <x:v>118</x:v>
      </x:c>
      <x:c r="R12" s="277" t="s">
        <x:v>118</x:v>
      </x:c>
      <x:c r="S12" s="277" t="s">
        <x:v>118</x:v>
      </x:c>
      <x:c r="T12" s="277" t="s">
        <x:v>118</x:v>
      </x:c>
      <x:c r="U12" s="277" t="s">
        <x:v>118</x:v>
      </x:c>
      <x:c r="V12" s="277" t="s">
        <x:v>118</x:v>
      </x:c>
      <x:c r="W12" s="277" t="s">
        <x:v>118</x:v>
      </x:c>
      <x:c r="X12" s="277" t="s">
        <x:v>118</x:v>
      </x:c>
      <x:c r="Y12" s="277" t="s">
        <x:v>118</x:v>
      </x:c>
      <x:c r="Z12" s="277" t="s">
        <x:v>118</x:v>
      </x:c>
      <x:c r="AA12" s="277" t="s">
        <x:v>118</x:v>
      </x:c>
      <x:c r="AB12" s="277" t="s">
        <x:v>118</x:v>
      </x:c>
      <x:c r="AC12" s="277" t="s">
        <x:v>118</x:v>
      </x:c>
      <x:c r="AD12" s="277" t="s">
        <x:v>118</x:v>
      </x:c>
      <x:c r="AE12" s="277" t="s">
        <x:v>118</x:v>
      </x:c>
      <x:c r="AF12" s="277" t="s">
        <x:v>118</x:v>
      </x:c>
      <x:c r="AG12" s="277" t="s">
        <x:v>118</x:v>
      </x:c>
      <x:c r="AH12" s="277" t="s">
        <x:v>118</x:v>
      </x:c>
      <x:c r="AI12" s="277" t="s">
        <x:v>118</x:v>
      </x:c>
      <x:c r="AJ12" s="277" t="s">
        <x:v>118</x:v>
      </x:c>
      <x:c r="AK12" s="220">
        <x:f>COUNTIF(F12:AJ12,"X")</x:f>
      </x:c>
      <x:c r="AL12" s="221"/>
      <x:c r="AM12" s="221"/>
      <x:c r="AN12" s="222"/>
      <x:c r="AO12" s="222"/>
      <x:c r="AP12" s="228"/>
      <x:c r="AQ12" s="224"/>
      <x:c r="AR12" s="229"/>
      <x:c r="AS12" s="229"/>
      <x:c r="AT12" s="230"/>
    </x:row>
    <x:row r="13" spans="1:47" ht="19.9" customHeight="1">
      <x:c r="A13" s="274" t="s">
        <x:v>144</x:v>
      </x:c>
      <x:c r="B13" s="216"/>
      <x:c r="C13" s="275" t="s">
        <x:v>145</x:v>
      </x:c>
      <x:c r="D13" s="274" t="s">
        <x:v>146</x:v>
      </x:c>
      <x:c r="E13" s="276" t="s">
        <x:v>147</x:v>
      </x:c>
      <x:c r="F13" s="277" t="s">
        <x:v>118</x:v>
      </x:c>
      <x:c r="G13" s="277" t="s">
        <x:v>118</x:v>
      </x:c>
      <x:c r="H13" s="277" t="s">
        <x:v>118</x:v>
      </x:c>
      <x:c r="I13" s="277" t="s">
        <x:v>118</x:v>
      </x:c>
      <x:c r="J13" s="277" t="s">
        <x:v>118</x:v>
      </x:c>
      <x:c r="K13" s="277" t="s">
        <x:v>118</x:v>
      </x:c>
      <x:c r="L13" s="277" t="s">
        <x:v>118</x:v>
      </x:c>
      <x:c r="M13" s="277" t="s">
        <x:v>118</x:v>
      </x:c>
      <x:c r="N13" s="277" t="s">
        <x:v>118</x:v>
      </x:c>
      <x:c r="O13" s="277" t="s">
        <x:v>118</x:v>
      </x:c>
      <x:c r="P13" s="277" t="s">
        <x:v>118</x:v>
      </x:c>
      <x:c r="Q13" s="277" t="s">
        <x:v>118</x:v>
      </x:c>
      <x:c r="R13" s="277" t="s">
        <x:v>118</x:v>
      </x:c>
      <x:c r="S13" s="277" t="s">
        <x:v>118</x:v>
      </x:c>
      <x:c r="T13" s="277" t="s">
        <x:v>118</x:v>
      </x:c>
      <x:c r="U13" s="277" t="s">
        <x:v>118</x:v>
      </x:c>
      <x:c r="V13" s="277" t="s">
        <x:v>118</x:v>
      </x:c>
      <x:c r="W13" s="277" t="s">
        <x:v>118</x:v>
      </x:c>
      <x:c r="X13" s="277" t="s">
        <x:v>118</x:v>
      </x:c>
      <x:c r="Y13" s="277" t="s">
        <x:v>118</x:v>
      </x:c>
      <x:c r="Z13" s="277" t="s">
        <x:v>118</x:v>
      </x:c>
      <x:c r="AA13" s="277" t="s">
        <x:v>118</x:v>
      </x:c>
      <x:c r="AB13" s="277" t="s">
        <x:v>118</x:v>
      </x:c>
      <x:c r="AC13" s="277" t="s">
        <x:v>118</x:v>
      </x:c>
      <x:c r="AD13" s="277" t="s">
        <x:v>118</x:v>
      </x:c>
      <x:c r="AE13" s="277" t="s">
        <x:v>118</x:v>
      </x:c>
      <x:c r="AF13" s="277" t="s">
        <x:v>118</x:v>
      </x:c>
      <x:c r="AG13" s="277" t="s">
        <x:v>118</x:v>
      </x:c>
      <x:c r="AH13" s="277" t="s">
        <x:v>118</x:v>
      </x:c>
      <x:c r="AI13" s="277" t="s">
        <x:v>118</x:v>
      </x:c>
      <x:c r="AJ13" s="277" t="s">
        <x:v>118</x:v>
      </x:c>
      <x:c r="AK13" s="220">
        <x:f>COUNTIF(F13:AJ13,"X")</x:f>
      </x:c>
      <x:c r="AL13" s="221"/>
      <x:c r="AM13" s="221"/>
      <x:c r="AN13" s="222"/>
      <x:c r="AO13" s="222"/>
      <x:c r="AP13" s="228"/>
      <x:c r="AQ13" s="224"/>
      <x:c r="AR13" s="229"/>
      <x:c r="AS13" s="229"/>
      <x:c r="AT13" s="230"/>
    </x:row>
    <x:row r="14" spans="1:47" ht="19.9" customHeight="1">
      <x:c r="A14" s="274" t="s">
        <x:v>148</x:v>
      </x:c>
      <x:c r="B14" s="216"/>
      <x:c r="C14" s="275" t="s">
        <x:v>149</x:v>
      </x:c>
      <x:c r="D14" s="274" t="s">
        <x:v>150</x:v>
      </x:c>
      <x:c r="E14" s="276" t="s">
        <x:v>151</x:v>
      </x:c>
      <x:c r="F14" s="277" t="s">
        <x:v>118</x:v>
      </x:c>
      <x:c r="G14" s="277" t="s">
        <x:v>118</x:v>
      </x:c>
      <x:c r="H14" s="277" t="s">
        <x:v>118</x:v>
      </x:c>
      <x:c r="I14" s="277" t="s">
        <x:v>118</x:v>
      </x:c>
      <x:c r="J14" s="277" t="s">
        <x:v>118</x:v>
      </x:c>
      <x:c r="K14" s="277" t="s">
        <x:v>118</x:v>
      </x:c>
      <x:c r="L14" s="277" t="s">
        <x:v>118</x:v>
      </x:c>
      <x:c r="M14" s="277" t="s">
        <x:v>118</x:v>
      </x:c>
      <x:c r="N14" s="277" t="s">
        <x:v>118</x:v>
      </x:c>
      <x:c r="O14" s="277" t="s">
        <x:v>118</x:v>
      </x:c>
      <x:c r="P14" s="277" t="s">
        <x:v>118</x:v>
      </x:c>
      <x:c r="Q14" s="277" t="s">
        <x:v>118</x:v>
      </x:c>
      <x:c r="R14" s="277" t="s">
        <x:v>118</x:v>
      </x:c>
      <x:c r="S14" s="277" t="s">
        <x:v>118</x:v>
      </x:c>
      <x:c r="T14" s="277" t="s">
        <x:v>118</x:v>
      </x:c>
      <x:c r="U14" s="277" t="s">
        <x:v>118</x:v>
      </x:c>
      <x:c r="V14" s="277" t="s">
        <x:v>118</x:v>
      </x:c>
      <x:c r="W14" s="277" t="s">
        <x:v>118</x:v>
      </x:c>
      <x:c r="X14" s="277" t="s">
        <x:v>118</x:v>
      </x:c>
      <x:c r="Y14" s="277" t="s">
        <x:v>118</x:v>
      </x:c>
      <x:c r="Z14" s="277" t="s">
        <x:v>118</x:v>
      </x:c>
      <x:c r="AA14" s="277" t="s">
        <x:v>118</x:v>
      </x:c>
      <x:c r="AB14" s="277" t="s">
        <x:v>118</x:v>
      </x:c>
      <x:c r="AC14" s="277" t="s">
        <x:v>118</x:v>
      </x:c>
      <x:c r="AD14" s="277" t="s">
        <x:v>118</x:v>
      </x:c>
      <x:c r="AE14" s="277" t="s">
        <x:v>118</x:v>
      </x:c>
      <x:c r="AF14" s="277" t="s">
        <x:v>118</x:v>
      </x:c>
      <x:c r="AG14" s="277" t="s">
        <x:v>118</x:v>
      </x:c>
      <x:c r="AH14" s="277" t="s">
        <x:v>118</x:v>
      </x:c>
      <x:c r="AI14" s="277" t="s">
        <x:v>118</x:v>
      </x:c>
      <x:c r="AJ14" s="277" t="s">
        <x:v>118</x:v>
      </x:c>
      <x:c r="AK14" s="220">
        <x:f>COUNTIF(F14:AJ14,"X")</x:f>
      </x:c>
      <x:c r="AL14" s="221"/>
      <x:c r="AM14" s="221"/>
      <x:c r="AN14" s="222"/>
      <x:c r="AO14" s="222"/>
      <x:c r="AP14" s="228"/>
      <x:c r="AQ14" s="224"/>
      <x:c r="AR14" s="229"/>
      <x:c r="AS14" s="229"/>
      <x:c r="AT14" s="230"/>
    </x:row>
    <x:row r="15" spans="1:47" ht="19.9" customHeight="1">
      <x:c r="A15" s="274" t="s">
        <x:v>152</x:v>
      </x:c>
      <x:c r="B15" s="216"/>
      <x:c r="C15" s="275" t="s">
        <x:v>153</x:v>
      </x:c>
      <x:c r="D15" s="274" t="s">
        <x:v>154</x:v>
      </x:c>
      <x:c r="E15" s="276" t="s">
        <x:v>155</x:v>
      </x:c>
      <x:c r="F15" s="277" t="s">
        <x:v>118</x:v>
      </x:c>
      <x:c r="G15" s="277" t="s">
        <x:v>118</x:v>
      </x:c>
      <x:c r="H15" s="277" t="s">
        <x:v>118</x:v>
      </x:c>
      <x:c r="I15" s="277" t="s">
        <x:v>118</x:v>
      </x:c>
      <x:c r="J15" s="277" t="s">
        <x:v>118</x:v>
      </x:c>
      <x:c r="K15" s="277" t="s">
        <x:v>118</x:v>
      </x:c>
      <x:c r="L15" s="277" t="s">
        <x:v>118</x:v>
      </x:c>
      <x:c r="M15" s="277" t="s">
        <x:v>118</x:v>
      </x:c>
      <x:c r="N15" s="277" t="s">
        <x:v>118</x:v>
      </x:c>
      <x:c r="O15" s="277" t="s">
        <x:v>118</x:v>
      </x:c>
      <x:c r="P15" s="277" t="s">
        <x:v>118</x:v>
      </x:c>
      <x:c r="Q15" s="277" t="s">
        <x:v>118</x:v>
      </x:c>
      <x:c r="R15" s="277" t="s">
        <x:v>118</x:v>
      </x:c>
      <x:c r="S15" s="277" t="s">
        <x:v>118</x:v>
      </x:c>
      <x:c r="T15" s="277" t="s">
        <x:v>118</x:v>
      </x:c>
      <x:c r="U15" s="277" t="s">
        <x:v>118</x:v>
      </x:c>
      <x:c r="V15" s="277" t="s">
        <x:v>118</x:v>
      </x:c>
      <x:c r="W15" s="277" t="s">
        <x:v>118</x:v>
      </x:c>
      <x:c r="X15" s="277" t="s">
        <x:v>118</x:v>
      </x:c>
      <x:c r="Y15" s="277" t="s">
        <x:v>118</x:v>
      </x:c>
      <x:c r="Z15" s="277" t="s">
        <x:v>118</x:v>
      </x:c>
      <x:c r="AA15" s="277" t="s">
        <x:v>118</x:v>
      </x:c>
      <x:c r="AB15" s="277" t="s">
        <x:v>118</x:v>
      </x:c>
      <x:c r="AC15" s="277" t="s">
        <x:v>118</x:v>
      </x:c>
      <x:c r="AD15" s="277" t="s">
        <x:v>118</x:v>
      </x:c>
      <x:c r="AE15" s="277" t="s">
        <x:v>118</x:v>
      </x:c>
      <x:c r="AF15" s="277" t="s">
        <x:v>118</x:v>
      </x:c>
      <x:c r="AG15" s="277" t="s">
        <x:v>118</x:v>
      </x:c>
      <x:c r="AH15" s="277" t="s">
        <x:v>118</x:v>
      </x:c>
      <x:c r="AI15" s="277" t="s">
        <x:v>118</x:v>
      </x:c>
      <x:c r="AJ15" s="277" t="s">
        <x:v>118</x:v>
      </x:c>
      <x:c r="AK15" s="220">
        <x:f>COUNTIF(F15:AJ15,"X")</x:f>
      </x:c>
      <x:c r="AL15" s="221"/>
      <x:c r="AM15" s="221"/>
      <x:c r="AN15" s="222"/>
      <x:c r="AO15" s="222"/>
      <x:c r="AP15" s="228"/>
      <x:c r="AQ15" s="224"/>
      <x:c r="AR15" s="229"/>
      <x:c r="AS15" s="229"/>
      <x:c r="AT15" s="230"/>
    </x:row>
    <x:row r="16" spans="1:47" ht="19.9" customHeight="1">
      <x:c r="A16" s="274" t="s">
        <x:v>156</x:v>
      </x:c>
      <x:c r="B16" s="216"/>
      <x:c r="C16" s="275" t="s">
        <x:v>157</x:v>
      </x:c>
      <x:c r="D16" s="274" t="s">
        <x:v>158</x:v>
      </x:c>
      <x:c r="E16" s="276" t="s">
        <x:v>159</x:v>
      </x:c>
      <x:c r="F16" s="277" t="s">
        <x:v>118</x:v>
      </x:c>
      <x:c r="G16" s="277" t="s">
        <x:v>118</x:v>
      </x:c>
      <x:c r="H16" s="277" t="s">
        <x:v>118</x:v>
      </x:c>
      <x:c r="I16" s="277" t="s">
        <x:v>118</x:v>
      </x:c>
      <x:c r="J16" s="277" t="s">
        <x:v>118</x:v>
      </x:c>
      <x:c r="K16" s="277" t="s">
        <x:v>118</x:v>
      </x:c>
      <x:c r="L16" s="277" t="s">
        <x:v>118</x:v>
      </x:c>
      <x:c r="M16" s="277" t="s">
        <x:v>118</x:v>
      </x:c>
      <x:c r="N16" s="277" t="s">
        <x:v>118</x:v>
      </x:c>
      <x:c r="O16" s="277" t="s">
        <x:v>118</x:v>
      </x:c>
      <x:c r="P16" s="277" t="s">
        <x:v>118</x:v>
      </x:c>
      <x:c r="Q16" s="277" t="s">
        <x:v>118</x:v>
      </x:c>
      <x:c r="R16" s="277" t="s">
        <x:v>118</x:v>
      </x:c>
      <x:c r="S16" s="277" t="s">
        <x:v>118</x:v>
      </x:c>
      <x:c r="T16" s="277" t="s">
        <x:v>118</x:v>
      </x:c>
      <x:c r="U16" s="277" t="s">
        <x:v>118</x:v>
      </x:c>
      <x:c r="V16" s="277" t="s">
        <x:v>118</x:v>
      </x:c>
      <x:c r="W16" s="277" t="s">
        <x:v>118</x:v>
      </x:c>
      <x:c r="X16" s="277" t="s">
        <x:v>118</x:v>
      </x:c>
      <x:c r="Y16" s="277" t="s">
        <x:v>118</x:v>
      </x:c>
      <x:c r="Z16" s="277" t="s">
        <x:v>118</x:v>
      </x:c>
      <x:c r="AA16" s="277" t="s">
        <x:v>118</x:v>
      </x:c>
      <x:c r="AB16" s="277" t="s">
        <x:v>118</x:v>
      </x:c>
      <x:c r="AC16" s="277" t="s">
        <x:v>118</x:v>
      </x:c>
      <x:c r="AD16" s="277" t="s">
        <x:v>118</x:v>
      </x:c>
      <x:c r="AE16" s="277" t="s">
        <x:v>118</x:v>
      </x:c>
      <x:c r="AF16" s="277" t="s">
        <x:v>118</x:v>
      </x:c>
      <x:c r="AG16" s="277" t="s">
        <x:v>118</x:v>
      </x:c>
      <x:c r="AH16" s="277" t="s">
        <x:v>118</x:v>
      </x:c>
      <x:c r="AI16" s="277" t="s">
        <x:v>118</x:v>
      </x:c>
      <x:c r="AJ16" s="277" t="s">
        <x:v>118</x:v>
      </x:c>
      <x:c r="AK16" s="220">
        <x:f>COUNTIF(F16:AJ16,"X")</x:f>
      </x:c>
      <x:c r="AL16" s="221"/>
      <x:c r="AM16" s="221"/>
      <x:c r="AN16" s="222"/>
      <x:c r="AO16" s="222"/>
      <x:c r="AP16" s="228"/>
      <x:c r="AQ16" s="224"/>
      <x:c r="AR16" s="229"/>
      <x:c r="AS16" s="229"/>
      <x:c r="AT16" s="230"/>
    </x:row>
    <x:row r="17" spans="1:47" ht="19.9" customHeight="1">
      <x:c r="A17" s="274" t="s">
        <x:v>160</x:v>
      </x:c>
      <x:c r="B17" s="216"/>
      <x:c r="C17" s="275" t="s">
        <x:v>161</x:v>
      </x:c>
      <x:c r="D17" s="274" t="s">
        <x:v>162</x:v>
      </x:c>
      <x:c r="E17" s="276" t="s">
        <x:v>163</x:v>
      </x:c>
      <x:c r="F17" s="277" t="s">
        <x:v>118</x:v>
      </x:c>
      <x:c r="G17" s="277" t="s">
        <x:v>118</x:v>
      </x:c>
      <x:c r="H17" s="277" t="s">
        <x:v>118</x:v>
      </x:c>
      <x:c r="I17" s="277" t="s">
        <x:v>118</x:v>
      </x:c>
      <x:c r="J17" s="277" t="s">
        <x:v>118</x:v>
      </x:c>
      <x:c r="K17" s="277" t="s">
        <x:v>118</x:v>
      </x:c>
      <x:c r="L17" s="277" t="s">
        <x:v>118</x:v>
      </x:c>
      <x:c r="M17" s="277" t="s">
        <x:v>118</x:v>
      </x:c>
      <x:c r="N17" s="277" t="s">
        <x:v>118</x:v>
      </x:c>
      <x:c r="O17" s="277" t="s">
        <x:v>118</x:v>
      </x:c>
      <x:c r="P17" s="277" t="s">
        <x:v>118</x:v>
      </x:c>
      <x:c r="Q17" s="277" t="s">
        <x:v>118</x:v>
      </x:c>
      <x:c r="R17" s="277" t="s">
        <x:v>118</x:v>
      </x:c>
      <x:c r="S17" s="277" t="s">
        <x:v>118</x:v>
      </x:c>
      <x:c r="T17" s="277" t="s">
        <x:v>118</x:v>
      </x:c>
      <x:c r="U17" s="277" t="s">
        <x:v>118</x:v>
      </x:c>
      <x:c r="V17" s="277" t="s">
        <x:v>118</x:v>
      </x:c>
      <x:c r="W17" s="277" t="s">
        <x:v>118</x:v>
      </x:c>
      <x:c r="X17" s="277" t="s">
        <x:v>118</x:v>
      </x:c>
      <x:c r="Y17" s="277" t="s">
        <x:v>118</x:v>
      </x:c>
      <x:c r="Z17" s="277" t="s">
        <x:v>118</x:v>
      </x:c>
      <x:c r="AA17" s="277" t="s">
        <x:v>118</x:v>
      </x:c>
      <x:c r="AB17" s="277" t="s">
        <x:v>118</x:v>
      </x:c>
      <x:c r="AC17" s="277" t="s">
        <x:v>118</x:v>
      </x:c>
      <x:c r="AD17" s="277" t="s">
        <x:v>118</x:v>
      </x:c>
      <x:c r="AE17" s="277" t="s">
        <x:v>118</x:v>
      </x:c>
      <x:c r="AF17" s="277" t="s">
        <x:v>118</x:v>
      </x:c>
      <x:c r="AG17" s="277" t="s">
        <x:v>118</x:v>
      </x:c>
      <x:c r="AH17" s="277" t="s">
        <x:v>118</x:v>
      </x:c>
      <x:c r="AI17" s="277" t="s">
        <x:v>118</x:v>
      </x:c>
      <x:c r="AJ17" s="277" t="s">
        <x:v>118</x:v>
      </x:c>
      <x:c r="AK17" s="220">
        <x:f>COUNTIF(F17:AJ17,"X")</x:f>
      </x:c>
      <x:c r="AL17" s="221"/>
      <x:c r="AM17" s="221"/>
      <x:c r="AN17" s="222"/>
      <x:c r="AO17" s="222"/>
      <x:c r="AP17" s="228"/>
      <x:c r="AQ17" s="224"/>
      <x:c r="AR17" s="229"/>
      <x:c r="AS17" s="229"/>
      <x:c r="AT17" s="230"/>
    </x:row>
    <x:row r="18" spans="1:47" ht="19.9" customHeight="1">
      <x:c r="A18" s="274" t="s">
        <x:v>164</x:v>
      </x:c>
      <x:c r="B18" s="216"/>
      <x:c r="C18" s="275" t="s">
        <x:v>165</x:v>
      </x:c>
      <x:c r="D18" s="274" t="s">
        <x:v>162</x:v>
      </x:c>
      <x:c r="E18" s="276" t="s">
        <x:v>166</x:v>
      </x:c>
      <x:c r="F18" s="277" t="s">
        <x:v>118</x:v>
      </x:c>
      <x:c r="G18" s="277" t="s">
        <x:v>118</x:v>
      </x:c>
      <x:c r="H18" s="277" t="s">
        <x:v>118</x:v>
      </x:c>
      <x:c r="I18" s="277" t="s">
        <x:v>118</x:v>
      </x:c>
      <x:c r="J18" s="277" t="s">
        <x:v>118</x:v>
      </x:c>
      <x:c r="K18" s="277" t="s">
        <x:v>118</x:v>
      </x:c>
      <x:c r="L18" s="277" t="s">
        <x:v>118</x:v>
      </x:c>
      <x:c r="M18" s="277" t="s">
        <x:v>118</x:v>
      </x:c>
      <x:c r="N18" s="277" t="s">
        <x:v>118</x:v>
      </x:c>
      <x:c r="O18" s="277" t="s">
        <x:v>118</x:v>
      </x:c>
      <x:c r="P18" s="277" t="s">
        <x:v>118</x:v>
      </x:c>
      <x:c r="Q18" s="277" t="s">
        <x:v>118</x:v>
      </x:c>
      <x:c r="R18" s="277" t="s">
        <x:v>118</x:v>
      </x:c>
      <x:c r="S18" s="277" t="s">
        <x:v>118</x:v>
      </x:c>
      <x:c r="T18" s="277" t="s">
        <x:v>118</x:v>
      </x:c>
      <x:c r="U18" s="277" t="s">
        <x:v>118</x:v>
      </x:c>
      <x:c r="V18" s="277" t="s">
        <x:v>118</x:v>
      </x:c>
      <x:c r="W18" s="277" t="s">
        <x:v>118</x:v>
      </x:c>
      <x:c r="X18" s="277" t="s">
        <x:v>118</x:v>
      </x:c>
      <x:c r="Y18" s="277" t="s">
        <x:v>118</x:v>
      </x:c>
      <x:c r="Z18" s="277" t="s">
        <x:v>118</x:v>
      </x:c>
      <x:c r="AA18" s="277" t="s">
        <x:v>118</x:v>
      </x:c>
      <x:c r="AB18" s="277" t="s">
        <x:v>118</x:v>
      </x:c>
      <x:c r="AC18" s="277" t="s">
        <x:v>118</x:v>
      </x:c>
      <x:c r="AD18" s="277" t="s">
        <x:v>118</x:v>
      </x:c>
      <x:c r="AE18" s="277" t="s">
        <x:v>118</x:v>
      </x:c>
      <x:c r="AF18" s="277" t="s">
        <x:v>118</x:v>
      </x:c>
      <x:c r="AG18" s="277" t="s">
        <x:v>118</x:v>
      </x:c>
      <x:c r="AH18" s="277" t="s">
        <x:v>118</x:v>
      </x:c>
      <x:c r="AI18" s="277" t="s">
        <x:v>118</x:v>
      </x:c>
      <x:c r="AJ18" s="277" t="s">
        <x:v>118</x:v>
      </x:c>
      <x:c r="AK18" s="220">
        <x:f>COUNTIF(F18:AJ18,"X")</x:f>
      </x:c>
      <x:c r="AL18" s="221"/>
      <x:c r="AM18" s="221"/>
      <x:c r="AN18" s="222"/>
      <x:c r="AO18" s="222"/>
      <x:c r="AP18" s="228"/>
      <x:c r="AQ18" s="231"/>
      <x:c r="AR18" s="228"/>
      <x:c r="AS18" s="228"/>
      <x:c r="AT18" s="230"/>
    </x:row>
    <x:row r="19" spans="1:47" ht="19.9" customHeight="1">
      <x:c r="A19" s="274" t="s">
        <x:v>167</x:v>
      </x:c>
      <x:c r="B19" s="216"/>
      <x:c r="C19" s="275" t="s">
        <x:v>168</x:v>
      </x:c>
      <x:c r="D19" s="274" t="s">
        <x:v>169</x:v>
      </x:c>
      <x:c r="E19" s="276" t="s">
        <x:v>170</x:v>
      </x:c>
      <x:c r="F19" s="277" t="s">
        <x:v>118</x:v>
      </x:c>
      <x:c r="G19" s="277" t="s">
        <x:v>118</x:v>
      </x:c>
      <x:c r="H19" s="277" t="s">
        <x:v>118</x:v>
      </x:c>
      <x:c r="I19" s="277" t="s">
        <x:v>118</x:v>
      </x:c>
      <x:c r="J19" s="277" t="s">
        <x:v>118</x:v>
      </x:c>
      <x:c r="K19" s="277" t="s">
        <x:v>118</x:v>
      </x:c>
      <x:c r="L19" s="277" t="s">
        <x:v>118</x:v>
      </x:c>
      <x:c r="M19" s="277" t="s">
        <x:v>118</x:v>
      </x:c>
      <x:c r="N19" s="277" t="s">
        <x:v>118</x:v>
      </x:c>
      <x:c r="O19" s="277" t="s">
        <x:v>118</x:v>
      </x:c>
      <x:c r="P19" s="277" t="s">
        <x:v>118</x:v>
      </x:c>
      <x:c r="Q19" s="277" t="s">
        <x:v>118</x:v>
      </x:c>
      <x:c r="R19" s="277" t="s">
        <x:v>118</x:v>
      </x:c>
      <x:c r="S19" s="277" t="s">
        <x:v>118</x:v>
      </x:c>
      <x:c r="T19" s="277" t="s">
        <x:v>118</x:v>
      </x:c>
      <x:c r="U19" s="277" t="s">
        <x:v>118</x:v>
      </x:c>
      <x:c r="V19" s="277" t="s">
        <x:v>118</x:v>
      </x:c>
      <x:c r="W19" s="277" t="s">
        <x:v>118</x:v>
      </x:c>
      <x:c r="X19" s="277" t="s">
        <x:v>118</x:v>
      </x:c>
      <x:c r="Y19" s="277" t="s">
        <x:v>118</x:v>
      </x:c>
      <x:c r="Z19" s="277" t="s">
        <x:v>118</x:v>
      </x:c>
      <x:c r="AA19" s="277" t="s">
        <x:v>118</x:v>
      </x:c>
      <x:c r="AB19" s="277" t="s">
        <x:v>118</x:v>
      </x:c>
      <x:c r="AC19" s="277" t="s">
        <x:v>118</x:v>
      </x:c>
      <x:c r="AD19" s="277" t="s">
        <x:v>118</x:v>
      </x:c>
      <x:c r="AE19" s="277" t="s">
        <x:v>118</x:v>
      </x:c>
      <x:c r="AF19" s="277" t="s">
        <x:v>118</x:v>
      </x:c>
      <x:c r="AG19" s="277" t="s">
        <x:v>118</x:v>
      </x:c>
      <x:c r="AH19" s="277" t="s">
        <x:v>118</x:v>
      </x:c>
      <x:c r="AI19" s="277" t="s">
        <x:v>118</x:v>
      </x:c>
      <x:c r="AJ19" s="277" t="s">
        <x:v>118</x:v>
      </x:c>
      <x:c r="AK19" s="220">
        <x:f>COUNTIF(F19:AJ19,"X")</x:f>
      </x:c>
      <x:c r="AL19" s="221"/>
      <x:c r="AM19" s="221"/>
      <x:c r="AN19" s="222"/>
      <x:c r="AO19" s="222"/>
      <x:c r="AP19" s="228"/>
      <x:c r="AQ19" s="228"/>
      <x:c r="AR19" s="228"/>
      <x:c r="AS19" s="228"/>
      <x:c r="AT19" s="230"/>
    </x:row>
    <x:row r="20" spans="1:47" ht="19.9" customHeight="1">
      <x:c r="A20" s="274" t="s">
        <x:v>171</x:v>
      </x:c>
      <x:c r="B20" s="216"/>
      <x:c r="C20" s="275" t="s">
        <x:v>172</x:v>
      </x:c>
      <x:c r="D20" s="274" t="s">
        <x:v>173</x:v>
      </x:c>
      <x:c r="E20" s="276" t="s">
        <x:v>174</x:v>
      </x:c>
      <x:c r="F20" s="277" t="s">
        <x:v>118</x:v>
      </x:c>
      <x:c r="G20" s="277" t="s">
        <x:v>118</x:v>
      </x:c>
      <x:c r="H20" s="277" t="s">
        <x:v>118</x:v>
      </x:c>
      <x:c r="I20" s="277" t="s">
        <x:v>118</x:v>
      </x:c>
      <x:c r="J20" s="277" t="s">
        <x:v>118</x:v>
      </x:c>
      <x:c r="K20" s="277" t="s">
        <x:v>118</x:v>
      </x:c>
      <x:c r="L20" s="277" t="s">
        <x:v>118</x:v>
      </x:c>
      <x:c r="M20" s="277" t="s">
        <x:v>118</x:v>
      </x:c>
      <x:c r="N20" s="277" t="s">
        <x:v>118</x:v>
      </x:c>
      <x:c r="O20" s="277" t="s">
        <x:v>118</x:v>
      </x:c>
      <x:c r="P20" s="277" t="s">
        <x:v>118</x:v>
      </x:c>
      <x:c r="Q20" s="277" t="s">
        <x:v>118</x:v>
      </x:c>
      <x:c r="R20" s="277" t="s">
        <x:v>118</x:v>
      </x:c>
      <x:c r="S20" s="277" t="s">
        <x:v>118</x:v>
      </x:c>
      <x:c r="T20" s="277" t="s">
        <x:v>118</x:v>
      </x:c>
      <x:c r="U20" s="277" t="s">
        <x:v>118</x:v>
      </x:c>
      <x:c r="V20" s="277" t="s">
        <x:v>118</x:v>
      </x:c>
      <x:c r="W20" s="277" t="s">
        <x:v>118</x:v>
      </x:c>
      <x:c r="X20" s="277" t="s">
        <x:v>118</x:v>
      </x:c>
      <x:c r="Y20" s="277" t="s">
        <x:v>118</x:v>
      </x:c>
      <x:c r="Z20" s="277" t="s">
        <x:v>118</x:v>
      </x:c>
      <x:c r="AA20" s="277" t="s">
        <x:v>118</x:v>
      </x:c>
      <x:c r="AB20" s="277" t="s">
        <x:v>118</x:v>
      </x:c>
      <x:c r="AC20" s="277" t="s">
        <x:v>118</x:v>
      </x:c>
      <x:c r="AD20" s="277" t="s">
        <x:v>118</x:v>
      </x:c>
      <x:c r="AE20" s="277" t="s">
        <x:v>118</x:v>
      </x:c>
      <x:c r="AF20" s="277" t="s">
        <x:v>118</x:v>
      </x:c>
      <x:c r="AG20" s="277" t="s">
        <x:v>118</x:v>
      </x:c>
      <x:c r="AH20" s="277" t="s">
        <x:v>118</x:v>
      </x:c>
      <x:c r="AI20" s="277" t="s">
        <x:v>118</x:v>
      </x:c>
      <x:c r="AJ20" s="277" t="s">
        <x:v>118</x:v>
      </x:c>
      <x:c r="AK20" s="220">
        <x:f>COUNTIF(F20:AJ20,"X")</x:f>
      </x:c>
      <x:c r="AL20" s="221"/>
      <x:c r="AM20" s="221"/>
      <x:c r="AN20" s="222"/>
      <x:c r="AO20" s="222"/>
      <x:c r="AP20" s="228"/>
      <x:c r="AQ20" s="228"/>
      <x:c r="AR20" s="228"/>
      <x:c r="AS20" s="228"/>
      <x:c r="AT20" s="230"/>
    </x:row>
    <x:row r="21" spans="1:47" ht="19.9" customHeight="1">
      <x:c r="A21" s="274" t="s">
        <x:v>175</x:v>
      </x:c>
      <x:c r="B21" s="216"/>
      <x:c r="C21" s="275" t="s">
        <x:v>176</x:v>
      </x:c>
      <x:c r="D21" s="274" t="s">
        <x:v>173</x:v>
      </x:c>
      <x:c r="E21" s="276" t="s">
        <x:v>177</x:v>
      </x:c>
      <x:c r="F21" s="277" t="s">
        <x:v>118</x:v>
      </x:c>
      <x:c r="G21" s="277" t="s">
        <x:v>118</x:v>
      </x:c>
      <x:c r="H21" s="277" t="s">
        <x:v>118</x:v>
      </x:c>
      <x:c r="I21" s="277" t="s">
        <x:v>118</x:v>
      </x:c>
      <x:c r="J21" s="277" t="s">
        <x:v>118</x:v>
      </x:c>
      <x:c r="K21" s="277" t="s">
        <x:v>118</x:v>
      </x:c>
      <x:c r="L21" s="277" t="s">
        <x:v>118</x:v>
      </x:c>
      <x:c r="M21" s="277" t="s">
        <x:v>118</x:v>
      </x:c>
      <x:c r="N21" s="277" t="s">
        <x:v>118</x:v>
      </x:c>
      <x:c r="O21" s="277" t="s">
        <x:v>118</x:v>
      </x:c>
      <x:c r="P21" s="277" t="s">
        <x:v>118</x:v>
      </x:c>
      <x:c r="Q21" s="277" t="s">
        <x:v>118</x:v>
      </x:c>
      <x:c r="R21" s="277" t="s">
        <x:v>118</x:v>
      </x:c>
      <x:c r="S21" s="277" t="s">
        <x:v>118</x:v>
      </x:c>
      <x:c r="T21" s="277" t="s">
        <x:v>118</x:v>
      </x:c>
      <x:c r="U21" s="277" t="s">
        <x:v>118</x:v>
      </x:c>
      <x:c r="V21" s="277" t="s">
        <x:v>118</x:v>
      </x:c>
      <x:c r="W21" s="277" t="s">
        <x:v>118</x:v>
      </x:c>
      <x:c r="X21" s="277" t="s">
        <x:v>118</x:v>
      </x:c>
      <x:c r="Y21" s="277" t="s">
        <x:v>118</x:v>
      </x:c>
      <x:c r="Z21" s="277" t="s">
        <x:v>118</x:v>
      </x:c>
      <x:c r="AA21" s="277" t="s">
        <x:v>118</x:v>
      </x:c>
      <x:c r="AB21" s="277" t="s">
        <x:v>118</x:v>
      </x:c>
      <x:c r="AC21" s="277" t="s">
        <x:v>118</x:v>
      </x:c>
      <x:c r="AD21" s="277" t="s">
        <x:v>118</x:v>
      </x:c>
      <x:c r="AE21" s="277" t="s">
        <x:v>118</x:v>
      </x:c>
      <x:c r="AF21" s="277" t="s">
        <x:v>118</x:v>
      </x:c>
      <x:c r="AG21" s="277" t="s">
        <x:v>118</x:v>
      </x:c>
      <x:c r="AH21" s="277" t="s">
        <x:v>118</x:v>
      </x:c>
      <x:c r="AI21" s="277" t="s">
        <x:v>118</x:v>
      </x:c>
      <x:c r="AJ21" s="277" t="s">
        <x:v>118</x:v>
      </x:c>
      <x:c r="AK21" s="220">
        <x:f>COUNTIF(F21:AJ21,"X")</x:f>
      </x:c>
      <x:c r="AL21" s="221"/>
      <x:c r="AM21" s="221"/>
      <x:c r="AN21" s="222"/>
      <x:c r="AO21" s="222"/>
      <x:c r="AP21" s="228"/>
      <x:c r="AQ21" s="228"/>
      <x:c r="AR21" s="228"/>
      <x:c r="AS21" s="228"/>
      <x:c r="AT21" s="230"/>
    </x:row>
    <x:row r="22" spans="1:47" ht="19.9" customHeight="1">
      <x:c r="A22" s="274" t="s">
        <x:v>178</x:v>
      </x:c>
      <x:c r="B22" s="216"/>
      <x:c r="C22" s="275" t="s">
        <x:v>179</x:v>
      </x:c>
      <x:c r="D22" s="274" t="s">
        <x:v>180</x:v>
      </x:c>
      <x:c r="E22" s="276" t="s">
        <x:v>181</x:v>
      </x:c>
      <x:c r="F22" s="277" t="s">
        <x:v>118</x:v>
      </x:c>
      <x:c r="G22" s="277" t="s">
        <x:v>118</x:v>
      </x:c>
      <x:c r="H22" s="277" t="s">
        <x:v>118</x:v>
      </x:c>
      <x:c r="I22" s="277" t="s">
        <x:v>118</x:v>
      </x:c>
      <x:c r="J22" s="277" t="s">
        <x:v>118</x:v>
      </x:c>
      <x:c r="K22" s="277" t="s">
        <x:v>118</x:v>
      </x:c>
      <x:c r="L22" s="277" t="s">
        <x:v>118</x:v>
      </x:c>
      <x:c r="M22" s="277" t="s">
        <x:v>118</x:v>
      </x:c>
      <x:c r="N22" s="277" t="s">
        <x:v>118</x:v>
      </x:c>
      <x:c r="O22" s="277" t="s">
        <x:v>118</x:v>
      </x:c>
      <x:c r="P22" s="277" t="s">
        <x:v>118</x:v>
      </x:c>
      <x:c r="Q22" s="277" t="s">
        <x:v>118</x:v>
      </x:c>
      <x:c r="R22" s="277" t="s">
        <x:v>118</x:v>
      </x:c>
      <x:c r="S22" s="277" t="s">
        <x:v>118</x:v>
      </x:c>
      <x:c r="T22" s="277" t="s">
        <x:v>118</x:v>
      </x:c>
      <x:c r="U22" s="277" t="s">
        <x:v>118</x:v>
      </x:c>
      <x:c r="V22" s="277" t="s">
        <x:v>118</x:v>
      </x:c>
      <x:c r="W22" s="277" t="s">
        <x:v>118</x:v>
      </x:c>
      <x:c r="X22" s="277" t="s">
        <x:v>118</x:v>
      </x:c>
      <x:c r="Y22" s="277" t="s">
        <x:v>118</x:v>
      </x:c>
      <x:c r="Z22" s="277" t="s">
        <x:v>118</x:v>
      </x:c>
      <x:c r="AA22" s="277" t="s">
        <x:v>118</x:v>
      </x:c>
      <x:c r="AB22" s="277" t="s">
        <x:v>118</x:v>
      </x:c>
      <x:c r="AC22" s="277" t="s">
        <x:v>118</x:v>
      </x:c>
      <x:c r="AD22" s="277" t="s">
        <x:v>118</x:v>
      </x:c>
      <x:c r="AE22" s="277" t="s">
        <x:v>118</x:v>
      </x:c>
      <x:c r="AF22" s="277" t="s">
        <x:v>118</x:v>
      </x:c>
      <x:c r="AG22" s="277" t="s">
        <x:v>118</x:v>
      </x:c>
      <x:c r="AH22" s="277" t="s">
        <x:v>118</x:v>
      </x:c>
      <x:c r="AI22" s="277" t="s">
        <x:v>118</x:v>
      </x:c>
      <x:c r="AJ22" s="277" t="s">
        <x:v>118</x:v>
      </x:c>
      <x:c r="AK22" s="220">
        <x:f>COUNTIF(F22:AJ22,"X")</x:f>
      </x:c>
      <x:c r="AL22" s="221"/>
      <x:c r="AM22" s="221"/>
      <x:c r="AN22" s="222"/>
      <x:c r="AO22" s="222"/>
      <x:c r="AP22" s="228"/>
      <x:c r="AQ22" s="228"/>
      <x:c r="AR22" s="228"/>
      <x:c r="AS22" s="228"/>
      <x:c r="AT22" s="230"/>
    </x:row>
    <x:row r="23" spans="1:47" ht="19.9" customHeight="1">
      <x:c r="A23" s="274" t="s">
        <x:v>182</x:v>
      </x:c>
      <x:c r="B23" s="216"/>
      <x:c r="C23" s="275" t="s">
        <x:v>183</x:v>
      </x:c>
      <x:c r="D23" s="274" t="s">
        <x:v>184</x:v>
      </x:c>
      <x:c r="E23" s="276" t="s">
        <x:v>185</x:v>
      </x:c>
      <x:c r="F23" s="277" t="s">
        <x:v>118</x:v>
      </x:c>
      <x:c r="G23" s="277" t="s">
        <x:v>118</x:v>
      </x:c>
      <x:c r="H23" s="277" t="s">
        <x:v>118</x:v>
      </x:c>
      <x:c r="I23" s="277" t="s">
        <x:v>118</x:v>
      </x:c>
      <x:c r="J23" s="277" t="s">
        <x:v>118</x:v>
      </x:c>
      <x:c r="K23" s="277" t="s">
        <x:v>118</x:v>
      </x:c>
      <x:c r="L23" s="277" t="s">
        <x:v>118</x:v>
      </x:c>
      <x:c r="M23" s="277" t="s">
        <x:v>118</x:v>
      </x:c>
      <x:c r="N23" s="277" t="s">
        <x:v>118</x:v>
      </x:c>
      <x:c r="O23" s="277" t="s">
        <x:v>118</x:v>
      </x:c>
      <x:c r="P23" s="277" t="s">
        <x:v>118</x:v>
      </x:c>
      <x:c r="Q23" s="277" t="s">
        <x:v>118</x:v>
      </x:c>
      <x:c r="R23" s="277" t="s">
        <x:v>118</x:v>
      </x:c>
      <x:c r="S23" s="277" t="s">
        <x:v>118</x:v>
      </x:c>
      <x:c r="T23" s="277" t="s">
        <x:v>118</x:v>
      </x:c>
      <x:c r="U23" s="277" t="s">
        <x:v>118</x:v>
      </x:c>
      <x:c r="V23" s="277" t="s">
        <x:v>118</x:v>
      </x:c>
      <x:c r="W23" s="277" t="s">
        <x:v>118</x:v>
      </x:c>
      <x:c r="X23" s="277" t="s">
        <x:v>118</x:v>
      </x:c>
      <x:c r="Y23" s="277" t="s">
        <x:v>118</x:v>
      </x:c>
      <x:c r="Z23" s="277" t="s">
        <x:v>118</x:v>
      </x:c>
      <x:c r="AA23" s="277" t="s">
        <x:v>118</x:v>
      </x:c>
      <x:c r="AB23" s="277" t="s">
        <x:v>118</x:v>
      </x:c>
      <x:c r="AC23" s="277" t="s">
        <x:v>118</x:v>
      </x:c>
      <x:c r="AD23" s="277" t="s">
        <x:v>118</x:v>
      </x:c>
      <x:c r="AE23" s="277" t="s">
        <x:v>118</x:v>
      </x:c>
      <x:c r="AF23" s="277" t="s">
        <x:v>118</x:v>
      </x:c>
      <x:c r="AG23" s="277" t="s">
        <x:v>118</x:v>
      </x:c>
      <x:c r="AH23" s="277" t="s">
        <x:v>118</x:v>
      </x:c>
      <x:c r="AI23" s="277" t="s">
        <x:v>118</x:v>
      </x:c>
      <x:c r="AJ23" s="277" t="s">
        <x:v>118</x:v>
      </x:c>
      <x:c r="AK23" s="220">
        <x:f>COUNTIF(F23:AJ23,"X")</x:f>
      </x:c>
      <x:c r="AL23" s="221"/>
      <x:c r="AM23" s="221"/>
      <x:c r="AN23" s="222"/>
      <x:c r="AO23" s="222"/>
      <x:c r="AP23" s="228"/>
      <x:c r="AQ23" s="228"/>
      <x:c r="AR23" s="228"/>
      <x:c r="AS23" s="228"/>
      <x:c r="AT23" s="230"/>
    </x:row>
    <x:row r="24" spans="1:47" ht="19.9" customHeight="1">
      <x:c r="A24" s="274" t="s">
        <x:v>186</x:v>
      </x:c>
      <x:c r="B24" s="216"/>
      <x:c r="C24" s="275" t="s">
        <x:v>187</x:v>
      </x:c>
      <x:c r="D24" s="274" t="s">
        <x:v>188</x:v>
      </x:c>
      <x:c r="E24" s="276" t="s">
        <x:v>189</x:v>
      </x:c>
      <x:c r="F24" s="277" t="s">
        <x:v>118</x:v>
      </x:c>
      <x:c r="G24" s="277" t="s">
        <x:v>118</x:v>
      </x:c>
      <x:c r="H24" s="277" t="s">
        <x:v>118</x:v>
      </x:c>
      <x:c r="I24" s="277" t="s">
        <x:v>118</x:v>
      </x:c>
      <x:c r="J24" s="277" t="s">
        <x:v>118</x:v>
      </x:c>
      <x:c r="K24" s="277" t="s">
        <x:v>118</x:v>
      </x:c>
      <x:c r="L24" s="277" t="s">
        <x:v>118</x:v>
      </x:c>
      <x:c r="M24" s="277" t="s">
        <x:v>118</x:v>
      </x:c>
      <x:c r="N24" s="277" t="s">
        <x:v>118</x:v>
      </x:c>
      <x:c r="O24" s="277" t="s">
        <x:v>118</x:v>
      </x:c>
      <x:c r="P24" s="277" t="s">
        <x:v>118</x:v>
      </x:c>
      <x:c r="Q24" s="277" t="s">
        <x:v>118</x:v>
      </x:c>
      <x:c r="R24" s="277" t="s">
        <x:v>118</x:v>
      </x:c>
      <x:c r="S24" s="277" t="s">
        <x:v>118</x:v>
      </x:c>
      <x:c r="T24" s="277" t="s">
        <x:v>118</x:v>
      </x:c>
      <x:c r="U24" s="277" t="s">
        <x:v>118</x:v>
      </x:c>
      <x:c r="V24" s="277" t="s">
        <x:v>118</x:v>
      </x:c>
      <x:c r="W24" s="277" t="s">
        <x:v>118</x:v>
      </x:c>
      <x:c r="X24" s="277" t="s">
        <x:v>118</x:v>
      </x:c>
      <x:c r="Y24" s="277" t="s">
        <x:v>118</x:v>
      </x:c>
      <x:c r="Z24" s="277" t="s">
        <x:v>118</x:v>
      </x:c>
      <x:c r="AA24" s="277" t="s">
        <x:v>118</x:v>
      </x:c>
      <x:c r="AB24" s="277" t="s">
        <x:v>118</x:v>
      </x:c>
      <x:c r="AC24" s="277" t="s">
        <x:v>118</x:v>
      </x:c>
      <x:c r="AD24" s="277" t="s">
        <x:v>118</x:v>
      </x:c>
      <x:c r="AE24" s="277" t="s">
        <x:v>118</x:v>
      </x:c>
      <x:c r="AF24" s="277" t="s">
        <x:v>118</x:v>
      </x:c>
      <x:c r="AG24" s="277" t="s">
        <x:v>118</x:v>
      </x:c>
      <x:c r="AH24" s="277" t="s">
        <x:v>118</x:v>
      </x:c>
      <x:c r="AI24" s="277" t="s">
        <x:v>118</x:v>
      </x:c>
      <x:c r="AJ24" s="277" t="s">
        <x:v>118</x:v>
      </x:c>
      <x:c r="AK24" s="220">
        <x:f>COUNTIF(F24:AJ24,"X")</x:f>
      </x:c>
      <x:c r="AL24" s="221"/>
      <x:c r="AM24" s="221"/>
      <x:c r="AN24" s="222"/>
      <x:c r="AO24" s="222"/>
      <x:c r="AP24" s="228"/>
      <x:c r="AQ24" s="228"/>
      <x:c r="AR24" s="228"/>
      <x:c r="AS24" s="228"/>
      <x:c r="AT24" s="230"/>
    </x:row>
    <x:row r="25" spans="1:47" ht="19.9" customHeight="1">
      <x:c r="A25" s="274" t="s">
        <x:v>190</x:v>
      </x:c>
      <x:c r="B25" s="216"/>
      <x:c r="C25" s="275" t="s">
        <x:v>191</x:v>
      </x:c>
      <x:c r="D25" s="274" t="s">
        <x:v>192</x:v>
      </x:c>
      <x:c r="E25" s="276" t="s">
        <x:v>193</x:v>
      </x:c>
      <x:c r="F25" s="277" t="s">
        <x:v>118</x:v>
      </x:c>
      <x:c r="G25" s="277" t="s">
        <x:v>118</x:v>
      </x:c>
      <x:c r="H25" s="277" t="s">
        <x:v>118</x:v>
      </x:c>
      <x:c r="I25" s="277" t="s">
        <x:v>118</x:v>
      </x:c>
      <x:c r="J25" s="277" t="s">
        <x:v>118</x:v>
      </x:c>
      <x:c r="K25" s="277" t="s">
        <x:v>118</x:v>
      </x:c>
      <x:c r="L25" s="277" t="s">
        <x:v>118</x:v>
      </x:c>
      <x:c r="M25" s="277" t="s">
        <x:v>118</x:v>
      </x:c>
      <x:c r="N25" s="277" t="s">
        <x:v>118</x:v>
      </x:c>
      <x:c r="O25" s="277" t="s">
        <x:v>118</x:v>
      </x:c>
      <x:c r="P25" s="277" t="s">
        <x:v>118</x:v>
      </x:c>
      <x:c r="Q25" s="277" t="s">
        <x:v>118</x:v>
      </x:c>
      <x:c r="R25" s="277" t="s">
        <x:v>118</x:v>
      </x:c>
      <x:c r="S25" s="277" t="s">
        <x:v>118</x:v>
      </x:c>
      <x:c r="T25" s="277" t="s">
        <x:v>118</x:v>
      </x:c>
      <x:c r="U25" s="277" t="s">
        <x:v>118</x:v>
      </x:c>
      <x:c r="V25" s="277" t="s">
        <x:v>118</x:v>
      </x:c>
      <x:c r="W25" s="277" t="s">
        <x:v>118</x:v>
      </x:c>
      <x:c r="X25" s="277" t="s">
        <x:v>118</x:v>
      </x:c>
      <x:c r="Y25" s="277" t="s">
        <x:v>118</x:v>
      </x:c>
      <x:c r="Z25" s="277" t="s">
        <x:v>118</x:v>
      </x:c>
      <x:c r="AA25" s="277" t="s">
        <x:v>118</x:v>
      </x:c>
      <x:c r="AB25" s="277" t="s">
        <x:v>118</x:v>
      </x:c>
      <x:c r="AC25" s="277" t="s">
        <x:v>118</x:v>
      </x:c>
      <x:c r="AD25" s="277" t="s">
        <x:v>118</x:v>
      </x:c>
      <x:c r="AE25" s="277" t="s">
        <x:v>118</x:v>
      </x:c>
      <x:c r="AF25" s="277" t="s">
        <x:v>118</x:v>
      </x:c>
      <x:c r="AG25" s="277" t="s">
        <x:v>118</x:v>
      </x:c>
      <x:c r="AH25" s="277" t="s">
        <x:v>118</x:v>
      </x:c>
      <x:c r="AI25" s="277" t="s">
        <x:v>118</x:v>
      </x:c>
      <x:c r="AJ25" s="277" t="s">
        <x:v>118</x:v>
      </x:c>
      <x:c r="AK25" s="220">
        <x:f>COUNTIF(F25:AJ25,"X")</x:f>
      </x:c>
      <x:c r="AL25" s="221"/>
      <x:c r="AM25" s="221"/>
      <x:c r="AN25" s="222"/>
      <x:c r="AO25" s="222"/>
      <x:c r="AP25" s="228"/>
      <x:c r="AQ25" s="228"/>
      <x:c r="AR25" s="228"/>
      <x:c r="AS25" s="228"/>
      <x:c r="AT25" s="230"/>
    </x:row>
    <x:row r="26" spans="1:47" ht="19.9" customHeight="1">
      <x:c r="A26" s="274" t="s">
        <x:v>194</x:v>
      </x:c>
      <x:c r="B26" s="216"/>
      <x:c r="C26" s="275" t="s">
        <x:v>195</x:v>
      </x:c>
      <x:c r="D26" s="274" t="s">
        <x:v>196</x:v>
      </x:c>
      <x:c r="E26" s="276" t="s">
        <x:v>197</x:v>
      </x:c>
      <x:c r="F26" s="277" t="s">
        <x:v>118</x:v>
      </x:c>
      <x:c r="G26" s="277" t="s">
        <x:v>118</x:v>
      </x:c>
      <x:c r="H26" s="277" t="s">
        <x:v>118</x:v>
      </x:c>
      <x:c r="I26" s="277" t="s">
        <x:v>118</x:v>
      </x:c>
      <x:c r="J26" s="277" t="s">
        <x:v>118</x:v>
      </x:c>
      <x:c r="K26" s="277" t="s">
        <x:v>118</x:v>
      </x:c>
      <x:c r="L26" s="277" t="s">
        <x:v>118</x:v>
      </x:c>
      <x:c r="M26" s="277" t="s">
        <x:v>118</x:v>
      </x:c>
      <x:c r="N26" s="277" t="s">
        <x:v>118</x:v>
      </x:c>
      <x:c r="O26" s="277" t="s">
        <x:v>118</x:v>
      </x:c>
      <x:c r="P26" s="277" t="s">
        <x:v>118</x:v>
      </x:c>
      <x:c r="Q26" s="277" t="s">
        <x:v>118</x:v>
      </x:c>
      <x:c r="R26" s="277" t="s">
        <x:v>118</x:v>
      </x:c>
      <x:c r="S26" s="277" t="s">
        <x:v>118</x:v>
      </x:c>
      <x:c r="T26" s="277" t="s">
        <x:v>118</x:v>
      </x:c>
      <x:c r="U26" s="277" t="s">
        <x:v>118</x:v>
      </x:c>
      <x:c r="V26" s="277" t="s">
        <x:v>118</x:v>
      </x:c>
      <x:c r="W26" s="277" t="s">
        <x:v>118</x:v>
      </x:c>
      <x:c r="X26" s="277" t="s">
        <x:v>118</x:v>
      </x:c>
      <x:c r="Y26" s="277" t="s">
        <x:v>118</x:v>
      </x:c>
      <x:c r="Z26" s="277" t="s">
        <x:v>118</x:v>
      </x:c>
      <x:c r="AA26" s="277" t="s">
        <x:v>118</x:v>
      </x:c>
      <x:c r="AB26" s="277" t="s">
        <x:v>118</x:v>
      </x:c>
      <x:c r="AC26" s="277" t="s">
        <x:v>118</x:v>
      </x:c>
      <x:c r="AD26" s="277" t="s">
        <x:v>118</x:v>
      </x:c>
      <x:c r="AE26" s="277" t="s">
        <x:v>118</x:v>
      </x:c>
      <x:c r="AF26" s="277" t="s">
        <x:v>118</x:v>
      </x:c>
      <x:c r="AG26" s="277" t="s">
        <x:v>118</x:v>
      </x:c>
      <x:c r="AH26" s="277" t="s">
        <x:v>118</x:v>
      </x:c>
      <x:c r="AI26" s="277" t="s">
        <x:v>118</x:v>
      </x:c>
      <x:c r="AJ26" s="277" t="s">
        <x:v>118</x:v>
      </x:c>
      <x:c r="AK26" s="220">
        <x:f>COUNTIF(F26:AJ26,"X")</x:f>
      </x:c>
      <x:c r="AL26" s="221"/>
      <x:c r="AM26" s="221"/>
      <x:c r="AN26" s="222"/>
      <x:c r="AO26" s="222"/>
      <x:c r="AP26" s="228"/>
      <x:c r="AQ26" s="228"/>
      <x:c r="AR26" s="228"/>
      <x:c r="AS26" s="228"/>
      <x:c r="AT26" s="230"/>
    </x:row>
    <x:row r="27" spans="1:47" ht="19.9" customHeight="1">
      <x:c r="A27" s="274" t="s">
        <x:v>198</x:v>
      </x:c>
      <x:c r="B27" s="216"/>
      <x:c r="C27" s="275" t="s">
        <x:v>199</x:v>
      </x:c>
      <x:c r="D27" s="274" t="s">
        <x:v>200</x:v>
      </x:c>
      <x:c r="E27" s="276" t="s">
        <x:v>201</x:v>
      </x:c>
      <x:c r="F27" s="277" t="s">
        <x:v>118</x:v>
      </x:c>
      <x:c r="G27" s="277" t="s">
        <x:v>118</x:v>
      </x:c>
      <x:c r="H27" s="277" t="s">
        <x:v>118</x:v>
      </x:c>
      <x:c r="I27" s="277" t="s">
        <x:v>118</x:v>
      </x:c>
      <x:c r="J27" s="277" t="s">
        <x:v>118</x:v>
      </x:c>
      <x:c r="K27" s="277" t="s">
        <x:v>118</x:v>
      </x:c>
      <x:c r="L27" s="277" t="s">
        <x:v>118</x:v>
      </x:c>
      <x:c r="M27" s="277" t="s">
        <x:v>118</x:v>
      </x:c>
      <x:c r="N27" s="277" t="s">
        <x:v>118</x:v>
      </x:c>
      <x:c r="O27" s="277" t="s">
        <x:v>118</x:v>
      </x:c>
      <x:c r="P27" s="277" t="s">
        <x:v>118</x:v>
      </x:c>
      <x:c r="Q27" s="277" t="s">
        <x:v>118</x:v>
      </x:c>
      <x:c r="R27" s="277" t="s">
        <x:v>118</x:v>
      </x:c>
      <x:c r="S27" s="277" t="s">
        <x:v>118</x:v>
      </x:c>
      <x:c r="T27" s="277" t="s">
        <x:v>118</x:v>
      </x:c>
      <x:c r="U27" s="277" t="s">
        <x:v>118</x:v>
      </x:c>
      <x:c r="V27" s="277" t="s">
        <x:v>118</x:v>
      </x:c>
      <x:c r="W27" s="277" t="s">
        <x:v>118</x:v>
      </x:c>
      <x:c r="X27" s="277" t="s">
        <x:v>118</x:v>
      </x:c>
      <x:c r="Y27" s="277" t="s">
        <x:v>118</x:v>
      </x:c>
      <x:c r="Z27" s="277" t="s">
        <x:v>118</x:v>
      </x:c>
      <x:c r="AA27" s="277" t="s">
        <x:v>118</x:v>
      </x:c>
      <x:c r="AB27" s="277" t="s">
        <x:v>118</x:v>
      </x:c>
      <x:c r="AC27" s="277" t="s">
        <x:v>118</x:v>
      </x:c>
      <x:c r="AD27" s="277" t="s">
        <x:v>118</x:v>
      </x:c>
      <x:c r="AE27" s="277" t="s">
        <x:v>118</x:v>
      </x:c>
      <x:c r="AF27" s="277" t="s">
        <x:v>118</x:v>
      </x:c>
      <x:c r="AG27" s="277" t="s">
        <x:v>118</x:v>
      </x:c>
      <x:c r="AH27" s="277" t="s">
        <x:v>118</x:v>
      </x:c>
      <x:c r="AI27" s="277" t="s">
        <x:v>118</x:v>
      </x:c>
      <x:c r="AJ27" s="277" t="s">
        <x:v>118</x:v>
      </x:c>
      <x:c r="AK27" s="220">
        <x:f>COUNTIF(F27:AJ27,"X")</x:f>
      </x:c>
      <x:c r="AL27" s="221"/>
      <x:c r="AM27" s="221"/>
      <x:c r="AN27" s="222"/>
      <x:c r="AO27" s="222"/>
      <x:c r="AP27" s="228"/>
      <x:c r="AQ27" s="228"/>
      <x:c r="AR27" s="228"/>
      <x:c r="AS27" s="228"/>
      <x:c r="AT27" s="230"/>
    </x:row>
    <x:row r="28" spans="1:47" ht="19.9" customHeight="1">
      <x:c r="A28" s="274" t="s">
        <x:v>202</x:v>
      </x:c>
      <x:c r="B28" s="216"/>
      <x:c r="C28" s="275" t="s">
        <x:v>203</x:v>
      </x:c>
      <x:c r="D28" s="274" t="s">
        <x:v>204</x:v>
      </x:c>
      <x:c r="E28" s="276" t="s">
        <x:v>205</x:v>
      </x:c>
      <x:c r="F28" s="277" t="s">
        <x:v>118</x:v>
      </x:c>
      <x:c r="G28" s="277" t="s">
        <x:v>118</x:v>
      </x:c>
      <x:c r="H28" s="277" t="s">
        <x:v>118</x:v>
      </x:c>
      <x:c r="I28" s="277" t="s">
        <x:v>118</x:v>
      </x:c>
      <x:c r="J28" s="277" t="s">
        <x:v>118</x:v>
      </x:c>
      <x:c r="K28" s="277" t="s">
        <x:v>118</x:v>
      </x:c>
      <x:c r="L28" s="277" t="s">
        <x:v>118</x:v>
      </x:c>
      <x:c r="M28" s="277" t="s">
        <x:v>118</x:v>
      </x:c>
      <x:c r="N28" s="277" t="s">
        <x:v>118</x:v>
      </x:c>
      <x:c r="O28" s="277" t="s">
        <x:v>118</x:v>
      </x:c>
      <x:c r="P28" s="277" t="s">
        <x:v>118</x:v>
      </x:c>
      <x:c r="Q28" s="277" t="s">
        <x:v>118</x:v>
      </x:c>
      <x:c r="R28" s="277" t="s">
        <x:v>118</x:v>
      </x:c>
      <x:c r="S28" s="277" t="s">
        <x:v>118</x:v>
      </x:c>
      <x:c r="T28" s="277" t="s">
        <x:v>118</x:v>
      </x:c>
      <x:c r="U28" s="277" t="s">
        <x:v>118</x:v>
      </x:c>
      <x:c r="V28" s="277" t="s">
        <x:v>118</x:v>
      </x:c>
      <x:c r="W28" s="277" t="s">
        <x:v>118</x:v>
      </x:c>
      <x:c r="X28" s="277" t="s">
        <x:v>118</x:v>
      </x:c>
      <x:c r="Y28" s="277" t="s">
        <x:v>118</x:v>
      </x:c>
      <x:c r="Z28" s="277" t="s">
        <x:v>118</x:v>
      </x:c>
      <x:c r="AA28" s="277" t="s">
        <x:v>118</x:v>
      </x:c>
      <x:c r="AB28" s="277" t="s">
        <x:v>118</x:v>
      </x:c>
      <x:c r="AC28" s="277" t="s">
        <x:v>118</x:v>
      </x:c>
      <x:c r="AD28" s="277" t="s">
        <x:v>118</x:v>
      </x:c>
      <x:c r="AE28" s="277" t="s">
        <x:v>118</x:v>
      </x:c>
      <x:c r="AF28" s="277" t="s">
        <x:v>118</x:v>
      </x:c>
      <x:c r="AG28" s="277" t="s">
        <x:v>118</x:v>
      </x:c>
      <x:c r="AH28" s="277" t="s">
        <x:v>118</x:v>
      </x:c>
      <x:c r="AI28" s="277" t="s">
        <x:v>118</x:v>
      </x:c>
      <x:c r="AJ28" s="277" t="s">
        <x:v>118</x:v>
      </x:c>
      <x:c r="AK28" s="220">
        <x:f>COUNTIF(F28:AJ28,"X")</x:f>
      </x:c>
      <x:c r="AL28" s="221"/>
      <x:c r="AM28" s="221"/>
      <x:c r="AN28" s="222"/>
      <x:c r="AO28" s="222"/>
      <x:c r="AP28" s="228"/>
      <x:c r="AQ28" s="228"/>
      <x:c r="AR28" s="228"/>
      <x:c r="AS28" s="228"/>
      <x:c r="AT28" s="230"/>
    </x:row>
    <x:row r="29" spans="1:47" ht="19.9" customHeight="1">
      <x:c r="A29" s="274" t="s">
        <x:v>206</x:v>
      </x:c>
      <x:c r="B29" s="216"/>
      <x:c r="C29" s="275" t="s">
        <x:v>207</x:v>
      </x:c>
      <x:c r="D29" s="274" t="s">
        <x:v>208</x:v>
      </x:c>
      <x:c r="E29" s="276" t="s">
        <x:v>209</x:v>
      </x:c>
      <x:c r="F29" s="277" t="s">
        <x:v>118</x:v>
      </x:c>
      <x:c r="G29" s="277" t="s">
        <x:v>118</x:v>
      </x:c>
      <x:c r="H29" s="277" t="s">
        <x:v>118</x:v>
      </x:c>
      <x:c r="I29" s="277" t="s">
        <x:v>118</x:v>
      </x:c>
      <x:c r="J29" s="277" t="s">
        <x:v>118</x:v>
      </x:c>
      <x:c r="K29" s="277" t="s">
        <x:v>118</x:v>
      </x:c>
      <x:c r="L29" s="277" t="s">
        <x:v>118</x:v>
      </x:c>
      <x:c r="M29" s="277" t="s">
        <x:v>118</x:v>
      </x:c>
      <x:c r="N29" s="277" t="s">
        <x:v>118</x:v>
      </x:c>
      <x:c r="O29" s="277" t="s">
        <x:v>118</x:v>
      </x:c>
      <x:c r="P29" s="277" t="s">
        <x:v>118</x:v>
      </x:c>
      <x:c r="Q29" s="277" t="s">
        <x:v>118</x:v>
      </x:c>
      <x:c r="R29" s="277" t="s">
        <x:v>118</x:v>
      </x:c>
      <x:c r="S29" s="277" t="s">
        <x:v>118</x:v>
      </x:c>
      <x:c r="T29" s="277" t="s">
        <x:v>118</x:v>
      </x:c>
      <x:c r="U29" s="277" t="s">
        <x:v>118</x:v>
      </x:c>
      <x:c r="V29" s="277" t="s">
        <x:v>118</x:v>
      </x:c>
      <x:c r="W29" s="277" t="s">
        <x:v>118</x:v>
      </x:c>
      <x:c r="X29" s="277" t="s">
        <x:v>118</x:v>
      </x:c>
      <x:c r="Y29" s="277" t="s">
        <x:v>118</x:v>
      </x:c>
      <x:c r="Z29" s="277" t="s">
        <x:v>118</x:v>
      </x:c>
      <x:c r="AA29" s="277" t="s">
        <x:v>118</x:v>
      </x:c>
      <x:c r="AB29" s="277" t="s">
        <x:v>118</x:v>
      </x:c>
      <x:c r="AC29" s="277" t="s">
        <x:v>118</x:v>
      </x:c>
      <x:c r="AD29" s="277" t="s">
        <x:v>118</x:v>
      </x:c>
      <x:c r="AE29" s="277" t="s">
        <x:v>118</x:v>
      </x:c>
      <x:c r="AF29" s="277" t="s">
        <x:v>118</x:v>
      </x:c>
      <x:c r="AG29" s="277" t="s">
        <x:v>118</x:v>
      </x:c>
      <x:c r="AH29" s="277" t="s">
        <x:v>118</x:v>
      </x:c>
      <x:c r="AI29" s="277" t="s">
        <x:v>118</x:v>
      </x:c>
      <x:c r="AJ29" s="277" t="s">
        <x:v>118</x:v>
      </x:c>
      <x:c r="AK29" s="220">
        <x:f>COUNTIF(F29:AJ29,"X")</x:f>
      </x:c>
      <x:c r="AL29" s="221"/>
      <x:c r="AM29" s="221"/>
      <x:c r="AN29" s="222"/>
      <x:c r="AO29" s="222"/>
      <x:c r="AP29" s="228"/>
      <x:c r="AQ29" s="228"/>
      <x:c r="AR29" s="228"/>
      <x:c r="AS29" s="228"/>
      <x:c r="AT29" s="230"/>
    </x:row>
    <x:row r="30" spans="1:47" ht="19.9" customHeight="1">
      <x:c r="A30" s="274" t="s">
        <x:v>210</x:v>
      </x:c>
      <x:c r="B30" s="216"/>
      <x:c r="C30" s="275" t="s">
        <x:v>211</x:v>
      </x:c>
      <x:c r="D30" s="274" t="s">
        <x:v>208</x:v>
      </x:c>
      <x:c r="E30" s="276" t="s">
        <x:v>212</x:v>
      </x:c>
      <x:c r="F30" s="277" t="s">
        <x:v>118</x:v>
      </x:c>
      <x:c r="G30" s="277" t="s">
        <x:v>118</x:v>
      </x:c>
      <x:c r="H30" s="277" t="s">
        <x:v>118</x:v>
      </x:c>
      <x:c r="I30" s="277" t="s">
        <x:v>118</x:v>
      </x:c>
      <x:c r="J30" s="277" t="s">
        <x:v>118</x:v>
      </x:c>
      <x:c r="K30" s="277" t="s">
        <x:v>118</x:v>
      </x:c>
      <x:c r="L30" s="277" t="s">
        <x:v>118</x:v>
      </x:c>
      <x:c r="M30" s="277" t="s">
        <x:v>118</x:v>
      </x:c>
      <x:c r="N30" s="277" t="s">
        <x:v>118</x:v>
      </x:c>
      <x:c r="O30" s="277" t="s">
        <x:v>118</x:v>
      </x:c>
      <x:c r="P30" s="277" t="s">
        <x:v>118</x:v>
      </x:c>
      <x:c r="Q30" s="277" t="s">
        <x:v>118</x:v>
      </x:c>
      <x:c r="R30" s="277" t="s">
        <x:v>118</x:v>
      </x:c>
      <x:c r="S30" s="277" t="s">
        <x:v>118</x:v>
      </x:c>
      <x:c r="T30" s="277" t="s">
        <x:v>118</x:v>
      </x:c>
      <x:c r="U30" s="277" t="s">
        <x:v>118</x:v>
      </x:c>
      <x:c r="V30" s="277" t="s">
        <x:v>118</x:v>
      </x:c>
      <x:c r="W30" s="277" t="s">
        <x:v>118</x:v>
      </x:c>
      <x:c r="X30" s="277" t="s">
        <x:v>118</x:v>
      </x:c>
      <x:c r="Y30" s="277" t="s">
        <x:v>118</x:v>
      </x:c>
      <x:c r="Z30" s="277" t="s">
        <x:v>118</x:v>
      </x:c>
      <x:c r="AA30" s="277" t="s">
        <x:v>118</x:v>
      </x:c>
      <x:c r="AB30" s="277" t="s">
        <x:v>118</x:v>
      </x:c>
      <x:c r="AC30" s="277" t="s">
        <x:v>118</x:v>
      </x:c>
      <x:c r="AD30" s="277" t="s">
        <x:v>118</x:v>
      </x:c>
      <x:c r="AE30" s="277" t="s">
        <x:v>118</x:v>
      </x:c>
      <x:c r="AF30" s="277" t="s">
        <x:v>118</x:v>
      </x:c>
      <x:c r="AG30" s="277" t="s">
        <x:v>118</x:v>
      </x:c>
      <x:c r="AH30" s="277" t="s">
        <x:v>118</x:v>
      </x:c>
      <x:c r="AI30" s="277" t="s">
        <x:v>118</x:v>
      </x:c>
      <x:c r="AJ30" s="277" t="s">
        <x:v>118</x:v>
      </x:c>
      <x:c r="AK30" s="220">
        <x:f>COUNTIF(F30:AJ30,"X")</x:f>
      </x:c>
      <x:c r="AL30" s="221"/>
      <x:c r="AM30" s="221"/>
      <x:c r="AN30" s="222"/>
      <x:c r="AO30" s="222"/>
      <x:c r="AP30" s="228"/>
      <x:c r="AQ30" s="228"/>
      <x:c r="AR30" s="228"/>
      <x:c r="AS30" s="228"/>
      <x:c r="AT30" s="230"/>
    </x:row>
    <x:row r="31" spans="1:47" ht="19.9" customHeight="1">
      <x:c r="A31" s="274" t="s">
        <x:v>213</x:v>
      </x:c>
      <x:c r="B31" s="216"/>
      <x:c r="C31" s="275" t="s">
        <x:v>214</x:v>
      </x:c>
      <x:c r="D31" s="274" t="s">
        <x:v>215</x:v>
      </x:c>
      <x:c r="E31" s="276" t="s">
        <x:v>216</x:v>
      </x:c>
      <x:c r="F31" s="277" t="s">
        <x:v>118</x:v>
      </x:c>
      <x:c r="G31" s="277" t="s">
        <x:v>118</x:v>
      </x:c>
      <x:c r="H31" s="277" t="s">
        <x:v>118</x:v>
      </x:c>
      <x:c r="I31" s="277" t="s">
        <x:v>118</x:v>
      </x:c>
      <x:c r="J31" s="277" t="s">
        <x:v>118</x:v>
      </x:c>
      <x:c r="K31" s="277" t="s">
        <x:v>118</x:v>
      </x:c>
      <x:c r="L31" s="277" t="s">
        <x:v>118</x:v>
      </x:c>
      <x:c r="M31" s="277" t="s">
        <x:v>118</x:v>
      </x:c>
      <x:c r="N31" s="277" t="s">
        <x:v>118</x:v>
      </x:c>
      <x:c r="O31" s="277" t="s">
        <x:v>118</x:v>
      </x:c>
      <x:c r="P31" s="277" t="s">
        <x:v>118</x:v>
      </x:c>
      <x:c r="Q31" s="277" t="s">
        <x:v>118</x:v>
      </x:c>
      <x:c r="R31" s="277" t="s">
        <x:v>118</x:v>
      </x:c>
      <x:c r="S31" s="277" t="s">
        <x:v>118</x:v>
      </x:c>
      <x:c r="T31" s="277" t="s">
        <x:v>118</x:v>
      </x:c>
      <x:c r="U31" s="277" t="s">
        <x:v>118</x:v>
      </x:c>
      <x:c r="V31" s="277" t="s">
        <x:v>118</x:v>
      </x:c>
      <x:c r="W31" s="277" t="s">
        <x:v>118</x:v>
      </x:c>
      <x:c r="X31" s="277" t="s">
        <x:v>118</x:v>
      </x:c>
      <x:c r="Y31" s="277" t="s">
        <x:v>118</x:v>
      </x:c>
      <x:c r="Z31" s="277" t="s">
        <x:v>118</x:v>
      </x:c>
      <x:c r="AA31" s="277" t="s">
        <x:v>118</x:v>
      </x:c>
      <x:c r="AB31" s="277" t="s">
        <x:v>118</x:v>
      </x:c>
      <x:c r="AC31" s="277" t="s">
        <x:v>118</x:v>
      </x:c>
      <x:c r="AD31" s="277" t="s">
        <x:v>118</x:v>
      </x:c>
      <x:c r="AE31" s="277" t="s">
        <x:v>118</x:v>
      </x:c>
      <x:c r="AF31" s="277" t="s">
        <x:v>118</x:v>
      </x:c>
      <x:c r="AG31" s="277" t="s">
        <x:v>118</x:v>
      </x:c>
      <x:c r="AH31" s="277" t="s">
        <x:v>118</x:v>
      </x:c>
      <x:c r="AI31" s="277" t="s">
        <x:v>118</x:v>
      </x:c>
      <x:c r="AJ31" s="277" t="s">
        <x:v>118</x:v>
      </x:c>
      <x:c r="AK31" s="220">
        <x:f>COUNTIF(F31:AJ31,"X")</x:f>
      </x:c>
      <x:c r="AL31" s="221"/>
      <x:c r="AM31" s="221"/>
      <x:c r="AN31" s="222"/>
      <x:c r="AO31" s="222"/>
      <x:c r="AP31" s="228"/>
      <x:c r="AQ31" s="228"/>
      <x:c r="AR31" s="228"/>
      <x:c r="AS31" s="228"/>
      <x:c r="AT31" s="230"/>
    </x:row>
    <x:row r="32" spans="1:47" ht="19.9" customHeight="1">
      <x:c r="A32" s="274" t="s">
        <x:v>217</x:v>
      </x:c>
      <x:c r="B32" s="216"/>
      <x:c r="C32" s="275" t="s">
        <x:v>218</x:v>
      </x:c>
      <x:c r="D32" s="274" t="s">
        <x:v>219</x:v>
      </x:c>
      <x:c r="E32" s="276" t="s">
        <x:v>220</x:v>
      </x:c>
      <x:c r="F32" s="277" t="s">
        <x:v>118</x:v>
      </x:c>
      <x:c r="G32" s="277" t="s">
        <x:v>118</x:v>
      </x:c>
      <x:c r="H32" s="277" t="s">
        <x:v>118</x:v>
      </x:c>
      <x:c r="I32" s="277" t="s">
        <x:v>118</x:v>
      </x:c>
      <x:c r="J32" s="277" t="s">
        <x:v>118</x:v>
      </x:c>
      <x:c r="K32" s="277" t="s">
        <x:v>118</x:v>
      </x:c>
      <x:c r="L32" s="277" t="s">
        <x:v>118</x:v>
      </x:c>
      <x:c r="M32" s="277" t="s">
        <x:v>118</x:v>
      </x:c>
      <x:c r="N32" s="277" t="s">
        <x:v>118</x:v>
      </x:c>
      <x:c r="O32" s="277" t="s">
        <x:v>118</x:v>
      </x:c>
      <x:c r="P32" s="277" t="s">
        <x:v>118</x:v>
      </x:c>
      <x:c r="Q32" s="277" t="s">
        <x:v>118</x:v>
      </x:c>
      <x:c r="R32" s="277" t="s">
        <x:v>118</x:v>
      </x:c>
      <x:c r="S32" s="277" t="s">
        <x:v>118</x:v>
      </x:c>
      <x:c r="T32" s="277" t="s">
        <x:v>118</x:v>
      </x:c>
      <x:c r="U32" s="277" t="s">
        <x:v>118</x:v>
      </x:c>
      <x:c r="V32" s="277" t="s">
        <x:v>118</x:v>
      </x:c>
      <x:c r="W32" s="277" t="s">
        <x:v>118</x:v>
      </x:c>
      <x:c r="X32" s="277" t="s">
        <x:v>118</x:v>
      </x:c>
      <x:c r="Y32" s="277" t="s">
        <x:v>118</x:v>
      </x:c>
      <x:c r="Z32" s="277" t="s">
        <x:v>118</x:v>
      </x:c>
      <x:c r="AA32" s="277" t="s">
        <x:v>118</x:v>
      </x:c>
      <x:c r="AB32" s="277" t="s">
        <x:v>118</x:v>
      </x:c>
      <x:c r="AC32" s="277" t="s">
        <x:v>118</x:v>
      </x:c>
      <x:c r="AD32" s="277" t="s">
        <x:v>118</x:v>
      </x:c>
      <x:c r="AE32" s="277" t="s">
        <x:v>118</x:v>
      </x:c>
      <x:c r="AF32" s="277" t="s">
        <x:v>118</x:v>
      </x:c>
      <x:c r="AG32" s="277" t="s">
        <x:v>118</x:v>
      </x:c>
      <x:c r="AH32" s="277" t="s">
        <x:v>118</x:v>
      </x:c>
      <x:c r="AI32" s="277" t="s">
        <x:v>118</x:v>
      </x:c>
      <x:c r="AJ32" s="277" t="s">
        <x:v>118</x:v>
      </x:c>
      <x:c r="AK32" s="220">
        <x:f>COUNTIF(F32:AJ32,"X")</x:f>
      </x:c>
      <x:c r="AL32" s="221"/>
      <x:c r="AM32" s="221"/>
      <x:c r="AN32" s="222"/>
      <x:c r="AO32" s="222"/>
      <x:c r="AP32" s="228"/>
      <x:c r="AQ32" s="228"/>
      <x:c r="AR32" s="228"/>
      <x:c r="AS32" s="228"/>
      <x:c r="AT32" s="230"/>
    </x:row>
    <x:row r="33" spans="1:47" ht="19.9" customHeight="1">
      <x:c r="A33" s="274" t="s">
        <x:v>221</x:v>
      </x:c>
      <x:c r="B33" s="216"/>
      <x:c r="C33" s="275" t="s">
        <x:v>222</x:v>
      </x:c>
      <x:c r="D33" s="274" t="s">
        <x:v>223</x:v>
      </x:c>
      <x:c r="E33" s="276" t="s">
        <x:v>224</x:v>
      </x:c>
      <x:c r="F33" s="277" t="s">
        <x:v>118</x:v>
      </x:c>
      <x:c r="G33" s="277" t="s">
        <x:v>118</x:v>
      </x:c>
      <x:c r="H33" s="277" t="s">
        <x:v>118</x:v>
      </x:c>
      <x:c r="I33" s="277" t="s">
        <x:v>118</x:v>
      </x:c>
      <x:c r="J33" s="277" t="s">
        <x:v>118</x:v>
      </x:c>
      <x:c r="K33" s="277" t="s">
        <x:v>118</x:v>
      </x:c>
      <x:c r="L33" s="277" t="s">
        <x:v>118</x:v>
      </x:c>
      <x:c r="M33" s="277" t="s">
        <x:v>118</x:v>
      </x:c>
      <x:c r="N33" s="277" t="s">
        <x:v>118</x:v>
      </x:c>
      <x:c r="O33" s="277" t="s">
        <x:v>118</x:v>
      </x:c>
      <x:c r="P33" s="277" t="s">
        <x:v>118</x:v>
      </x:c>
      <x:c r="Q33" s="277" t="s">
        <x:v>118</x:v>
      </x:c>
      <x:c r="R33" s="277" t="s">
        <x:v>118</x:v>
      </x:c>
      <x:c r="S33" s="277" t="s">
        <x:v>118</x:v>
      </x:c>
      <x:c r="T33" s="277" t="s">
        <x:v>118</x:v>
      </x:c>
      <x:c r="U33" s="277" t="s">
        <x:v>118</x:v>
      </x:c>
      <x:c r="V33" s="277" t="s">
        <x:v>118</x:v>
      </x:c>
      <x:c r="W33" s="277" t="s">
        <x:v>118</x:v>
      </x:c>
      <x:c r="X33" s="277" t="s">
        <x:v>118</x:v>
      </x:c>
      <x:c r="Y33" s="277" t="s">
        <x:v>118</x:v>
      </x:c>
      <x:c r="Z33" s="277" t="s">
        <x:v>118</x:v>
      </x:c>
      <x:c r="AA33" s="277" t="s">
        <x:v>118</x:v>
      </x:c>
      <x:c r="AB33" s="277" t="s">
        <x:v>118</x:v>
      </x:c>
      <x:c r="AC33" s="277" t="s">
        <x:v>118</x:v>
      </x:c>
      <x:c r="AD33" s="277" t="s">
        <x:v>118</x:v>
      </x:c>
      <x:c r="AE33" s="277" t="s">
        <x:v>118</x:v>
      </x:c>
      <x:c r="AF33" s="277" t="s">
        <x:v>118</x:v>
      </x:c>
      <x:c r="AG33" s="277" t="s">
        <x:v>118</x:v>
      </x:c>
      <x:c r="AH33" s="277" t="s">
        <x:v>118</x:v>
      </x:c>
      <x:c r="AI33" s="277" t="s">
        <x:v>118</x:v>
      </x:c>
      <x:c r="AJ33" s="277" t="s">
        <x:v>118</x:v>
      </x:c>
      <x:c r="AK33" s="220">
        <x:f>COUNTIF(F33:AJ33,"X")</x:f>
      </x:c>
      <x:c r="AL33" s="221"/>
      <x:c r="AM33" s="221"/>
      <x:c r="AN33" s="222"/>
      <x:c r="AO33" s="222"/>
      <x:c r="AP33" s="228"/>
      <x:c r="AQ33" s="228"/>
      <x:c r="AR33" s="228"/>
      <x:c r="AS33" s="228"/>
      <x:c r="AT33" s="230"/>
    </x:row>
    <x:row r="34" spans="1:47" ht="19.9" customHeight="1">
      <x:c r="A34" s="274" t="s">
        <x:v>225</x:v>
      </x:c>
      <x:c r="B34" s="216"/>
      <x:c r="C34" s="275" t="s">
        <x:v>226</x:v>
      </x:c>
      <x:c r="D34" s="274" t="s">
        <x:v>223</x:v>
      </x:c>
      <x:c r="E34" s="276" t="s">
        <x:v>227</x:v>
      </x:c>
      <x:c r="F34" s="277" t="s">
        <x:v>118</x:v>
      </x:c>
      <x:c r="G34" s="277" t="s">
        <x:v>118</x:v>
      </x:c>
      <x:c r="H34" s="277" t="s">
        <x:v>118</x:v>
      </x:c>
      <x:c r="I34" s="277" t="s">
        <x:v>118</x:v>
      </x:c>
      <x:c r="J34" s="277" t="s">
        <x:v>118</x:v>
      </x:c>
      <x:c r="K34" s="277" t="s">
        <x:v>118</x:v>
      </x:c>
      <x:c r="L34" s="277" t="s">
        <x:v>118</x:v>
      </x:c>
      <x:c r="M34" s="277" t="s">
        <x:v>118</x:v>
      </x:c>
      <x:c r="N34" s="277" t="s">
        <x:v>118</x:v>
      </x:c>
      <x:c r="O34" s="277" t="s">
        <x:v>118</x:v>
      </x:c>
      <x:c r="P34" s="277" t="s">
        <x:v>118</x:v>
      </x:c>
      <x:c r="Q34" s="277" t="s">
        <x:v>118</x:v>
      </x:c>
      <x:c r="R34" s="277" t="s">
        <x:v>118</x:v>
      </x:c>
      <x:c r="S34" s="277" t="s">
        <x:v>118</x:v>
      </x:c>
      <x:c r="T34" s="277" t="s">
        <x:v>118</x:v>
      </x:c>
      <x:c r="U34" s="277" t="s">
        <x:v>118</x:v>
      </x:c>
      <x:c r="V34" s="277" t="s">
        <x:v>118</x:v>
      </x:c>
      <x:c r="W34" s="277" t="s">
        <x:v>118</x:v>
      </x:c>
      <x:c r="X34" s="277" t="s">
        <x:v>118</x:v>
      </x:c>
      <x:c r="Y34" s="277" t="s">
        <x:v>118</x:v>
      </x:c>
      <x:c r="Z34" s="277" t="s">
        <x:v>118</x:v>
      </x:c>
      <x:c r="AA34" s="277" t="s">
        <x:v>118</x:v>
      </x:c>
      <x:c r="AB34" s="277" t="s">
        <x:v>118</x:v>
      </x:c>
      <x:c r="AC34" s="277" t="s">
        <x:v>118</x:v>
      </x:c>
      <x:c r="AD34" s="277" t="s">
        <x:v>118</x:v>
      </x:c>
      <x:c r="AE34" s="277" t="s">
        <x:v>118</x:v>
      </x:c>
      <x:c r="AF34" s="277" t="s">
        <x:v>118</x:v>
      </x:c>
      <x:c r="AG34" s="277" t="s">
        <x:v>118</x:v>
      </x:c>
      <x:c r="AH34" s="277" t="s">
        <x:v>118</x:v>
      </x:c>
      <x:c r="AI34" s="277" t="s">
        <x:v>118</x:v>
      </x:c>
      <x:c r="AJ34" s="277" t="s">
        <x:v>118</x:v>
      </x:c>
      <x:c r="AK34" s="220">
        <x:f>COUNTIF(F34:AJ34,"X")</x:f>
      </x:c>
      <x:c r="AL34" s="221"/>
      <x:c r="AM34" s="221"/>
      <x:c r="AN34" s="222"/>
      <x:c r="AO34" s="222"/>
      <x:c r="AP34" s="228"/>
      <x:c r="AQ34" s="228"/>
      <x:c r="AR34" s="228"/>
      <x:c r="AS34" s="228"/>
      <x:c r="AT34" s="230"/>
    </x:row>
    <x:row r="35" spans="1:47" ht="19.9" customHeight="1">
      <x:c r="A35" s="274" t="s">
        <x:v>228</x:v>
      </x:c>
      <x:c r="B35" s="216"/>
      <x:c r="C35" s="275" t="s">
        <x:v>229</x:v>
      </x:c>
      <x:c r="D35" s="274" t="s">
        <x:v>230</x:v>
      </x:c>
      <x:c r="E35" s="276" t="s">
        <x:v>231</x:v>
      </x:c>
      <x:c r="F35" s="277" t="s">
        <x:v>118</x:v>
      </x:c>
      <x:c r="G35" s="277" t="s">
        <x:v>118</x:v>
      </x:c>
      <x:c r="H35" s="277" t="s">
        <x:v>118</x:v>
      </x:c>
      <x:c r="I35" s="277" t="s">
        <x:v>118</x:v>
      </x:c>
      <x:c r="J35" s="277" t="s">
        <x:v>118</x:v>
      </x:c>
      <x:c r="K35" s="277" t="s">
        <x:v>118</x:v>
      </x:c>
      <x:c r="L35" s="277" t="s">
        <x:v>118</x:v>
      </x:c>
      <x:c r="M35" s="277" t="s">
        <x:v>118</x:v>
      </x:c>
      <x:c r="N35" s="277" t="s">
        <x:v>118</x:v>
      </x:c>
      <x:c r="O35" s="277" t="s">
        <x:v>118</x:v>
      </x:c>
      <x:c r="P35" s="277" t="s">
        <x:v>118</x:v>
      </x:c>
      <x:c r="Q35" s="277" t="s">
        <x:v>118</x:v>
      </x:c>
      <x:c r="R35" s="277" t="s">
        <x:v>118</x:v>
      </x:c>
      <x:c r="S35" s="277" t="s">
        <x:v>118</x:v>
      </x:c>
      <x:c r="T35" s="277" t="s">
        <x:v>118</x:v>
      </x:c>
      <x:c r="U35" s="277" t="s">
        <x:v>118</x:v>
      </x:c>
      <x:c r="V35" s="277" t="s">
        <x:v>118</x:v>
      </x:c>
      <x:c r="W35" s="277" t="s">
        <x:v>118</x:v>
      </x:c>
      <x:c r="X35" s="277" t="s">
        <x:v>118</x:v>
      </x:c>
      <x:c r="Y35" s="277" t="s">
        <x:v>118</x:v>
      </x:c>
      <x:c r="Z35" s="277" t="s">
        <x:v>118</x:v>
      </x:c>
      <x:c r="AA35" s="277" t="s">
        <x:v>118</x:v>
      </x:c>
      <x:c r="AB35" s="277" t="s">
        <x:v>118</x:v>
      </x:c>
      <x:c r="AC35" s="277" t="s">
        <x:v>118</x:v>
      </x:c>
      <x:c r="AD35" s="277" t="s">
        <x:v>118</x:v>
      </x:c>
      <x:c r="AE35" s="277" t="s">
        <x:v>118</x:v>
      </x:c>
      <x:c r="AF35" s="277" t="s">
        <x:v>118</x:v>
      </x:c>
      <x:c r="AG35" s="277" t="s">
        <x:v>118</x:v>
      </x:c>
      <x:c r="AH35" s="277" t="s">
        <x:v>118</x:v>
      </x:c>
      <x:c r="AI35" s="277" t="s">
        <x:v>118</x:v>
      </x:c>
      <x:c r="AJ35" s="277" t="s">
        <x:v>118</x:v>
      </x:c>
      <x:c r="AK35" s="220">
        <x:f>COUNTIF(F35:AJ35,"X")</x:f>
      </x:c>
      <x:c r="AL35" s="221"/>
      <x:c r="AM35" s="221"/>
      <x:c r="AN35" s="222"/>
      <x:c r="AO35" s="222"/>
      <x:c r="AP35" s="228"/>
      <x:c r="AQ35" s="228"/>
      <x:c r="AR35" s="228"/>
      <x:c r="AS35" s="228"/>
      <x:c r="AT35" s="230"/>
    </x:row>
    <x:row r="36" spans="1:47" ht="19.9" customHeight="1">
      <x:c r="A36" s="274" t="s">
        <x:v>232</x:v>
      </x:c>
      <x:c r="B36" s="216"/>
      <x:c r="C36" s="275" t="s">
        <x:v>233</x:v>
      </x:c>
      <x:c r="D36" s="274" t="s">
        <x:v>234</x:v>
      </x:c>
      <x:c r="E36" s="276" t="s">
        <x:v>235</x:v>
      </x:c>
      <x:c r="F36" s="277" t="s">
        <x:v>118</x:v>
      </x:c>
      <x:c r="G36" s="277" t="s">
        <x:v>118</x:v>
      </x:c>
      <x:c r="H36" s="277" t="s">
        <x:v>118</x:v>
      </x:c>
      <x:c r="I36" s="277" t="s">
        <x:v>118</x:v>
      </x:c>
      <x:c r="J36" s="277" t="s">
        <x:v>118</x:v>
      </x:c>
      <x:c r="K36" s="277" t="s">
        <x:v>118</x:v>
      </x:c>
      <x:c r="L36" s="277" t="s">
        <x:v>118</x:v>
      </x:c>
      <x:c r="M36" s="277" t="s">
        <x:v>118</x:v>
      </x:c>
      <x:c r="N36" s="277" t="s">
        <x:v>118</x:v>
      </x:c>
      <x:c r="O36" s="277" t="s">
        <x:v>118</x:v>
      </x:c>
      <x:c r="P36" s="277" t="s">
        <x:v>118</x:v>
      </x:c>
      <x:c r="Q36" s="277" t="s">
        <x:v>118</x:v>
      </x:c>
      <x:c r="R36" s="277" t="s">
        <x:v>118</x:v>
      </x:c>
      <x:c r="S36" s="277" t="s">
        <x:v>118</x:v>
      </x:c>
      <x:c r="T36" s="277" t="s">
        <x:v>118</x:v>
      </x:c>
      <x:c r="U36" s="277" t="s">
        <x:v>118</x:v>
      </x:c>
      <x:c r="V36" s="277" t="s">
        <x:v>118</x:v>
      </x:c>
      <x:c r="W36" s="277" t="s">
        <x:v>118</x:v>
      </x:c>
      <x:c r="X36" s="277" t="s">
        <x:v>118</x:v>
      </x:c>
      <x:c r="Y36" s="277" t="s">
        <x:v>118</x:v>
      </x:c>
      <x:c r="Z36" s="277" t="s">
        <x:v>118</x:v>
      </x:c>
      <x:c r="AA36" s="277" t="s">
        <x:v>118</x:v>
      </x:c>
      <x:c r="AB36" s="277" t="s">
        <x:v>118</x:v>
      </x:c>
      <x:c r="AC36" s="277" t="s">
        <x:v>118</x:v>
      </x:c>
      <x:c r="AD36" s="277" t="s">
        <x:v>118</x:v>
      </x:c>
      <x:c r="AE36" s="277" t="s">
        <x:v>118</x:v>
      </x:c>
      <x:c r="AF36" s="277" t="s">
        <x:v>118</x:v>
      </x:c>
      <x:c r="AG36" s="277" t="s">
        <x:v>118</x:v>
      </x:c>
      <x:c r="AH36" s="277" t="s">
        <x:v>118</x:v>
      </x:c>
      <x:c r="AI36" s="277" t="s">
        <x:v>118</x:v>
      </x:c>
      <x:c r="AJ36" s="277" t="s">
        <x:v>118</x:v>
      </x:c>
      <x:c r="AK36" s="220">
        <x:f>COUNTIF(F36:AJ36,"X")</x:f>
      </x:c>
      <x:c r="AL36" s="221"/>
      <x:c r="AM36" s="221"/>
      <x:c r="AN36" s="222"/>
      <x:c r="AO36" s="222"/>
      <x:c r="AP36" s="228"/>
      <x:c r="AQ36" s="228"/>
      <x:c r="AR36" s="228"/>
      <x:c r="AS36" s="228"/>
      <x:c r="AT36" s="230"/>
    </x:row>
    <x:row r="37" spans="1:47" ht="19.9" customHeight="1">
      <x:c r="A37" s="274" t="s">
        <x:v>236</x:v>
      </x:c>
      <x:c r="B37" s="216"/>
      <x:c r="C37" s="275" t="s">
        <x:v>237</x:v>
      </x:c>
      <x:c r="D37" s="274" t="s">
        <x:v>238</x:v>
      </x:c>
      <x:c r="E37" s="276" t="s">
        <x:v>239</x:v>
      </x:c>
      <x:c r="F37" s="277" t="s">
        <x:v>118</x:v>
      </x:c>
      <x:c r="G37" s="277" t="s">
        <x:v>118</x:v>
      </x:c>
      <x:c r="H37" s="277" t="s">
        <x:v>118</x:v>
      </x:c>
      <x:c r="I37" s="277" t="s">
        <x:v>118</x:v>
      </x:c>
      <x:c r="J37" s="277" t="s">
        <x:v>118</x:v>
      </x:c>
      <x:c r="K37" s="277" t="s">
        <x:v>118</x:v>
      </x:c>
      <x:c r="L37" s="277" t="s">
        <x:v>118</x:v>
      </x:c>
      <x:c r="M37" s="277" t="s">
        <x:v>118</x:v>
      </x:c>
      <x:c r="N37" s="277" t="s">
        <x:v>118</x:v>
      </x:c>
      <x:c r="O37" s="277" t="s">
        <x:v>118</x:v>
      </x:c>
      <x:c r="P37" s="277" t="s">
        <x:v>118</x:v>
      </x:c>
      <x:c r="Q37" s="277" t="s">
        <x:v>118</x:v>
      </x:c>
      <x:c r="R37" s="277" t="s">
        <x:v>118</x:v>
      </x:c>
      <x:c r="S37" s="277" t="s">
        <x:v>118</x:v>
      </x:c>
      <x:c r="T37" s="277" t="s">
        <x:v>118</x:v>
      </x:c>
      <x:c r="U37" s="277" t="s">
        <x:v>118</x:v>
      </x:c>
      <x:c r="V37" s="277" t="s">
        <x:v>118</x:v>
      </x:c>
      <x:c r="W37" s="277" t="s">
        <x:v>118</x:v>
      </x:c>
      <x:c r="X37" s="277" t="s">
        <x:v>118</x:v>
      </x:c>
      <x:c r="Y37" s="277" t="s">
        <x:v>118</x:v>
      </x:c>
      <x:c r="Z37" s="277" t="s">
        <x:v>118</x:v>
      </x:c>
      <x:c r="AA37" s="277" t="s">
        <x:v>118</x:v>
      </x:c>
      <x:c r="AB37" s="277" t="s">
        <x:v>118</x:v>
      </x:c>
      <x:c r="AC37" s="277" t="s">
        <x:v>118</x:v>
      </x:c>
      <x:c r="AD37" s="277" t="s">
        <x:v>118</x:v>
      </x:c>
      <x:c r="AE37" s="277" t="s">
        <x:v>118</x:v>
      </x:c>
      <x:c r="AF37" s="277" t="s">
        <x:v>118</x:v>
      </x:c>
      <x:c r="AG37" s="277" t="s">
        <x:v>118</x:v>
      </x:c>
      <x:c r="AH37" s="277" t="s">
        <x:v>118</x:v>
      </x:c>
      <x:c r="AI37" s="277" t="s">
        <x:v>118</x:v>
      </x:c>
      <x:c r="AJ37" s="277" t="s">
        <x:v>118</x:v>
      </x:c>
      <x:c r="AK37" s="220">
        <x:f>COUNTIF(F37:AJ37,"X")</x:f>
      </x:c>
      <x:c r="AL37" s="221"/>
      <x:c r="AM37" s="221"/>
      <x:c r="AN37" s="222"/>
      <x:c r="AO37" s="222"/>
      <x:c r="AP37" s="228"/>
      <x:c r="AQ37" s="228"/>
      <x:c r="AR37" s="228"/>
      <x:c r="AS37" s="228"/>
      <x:c r="AT37" s="230"/>
    </x:row>
    <x:row r="38" spans="1:47" ht="19.9" customHeight="1">
      <x:c r="A38" s="274" t="s">
        <x:v>240</x:v>
      </x:c>
      <x:c r="B38" s="216"/>
      <x:c r="C38" s="275" t="s">
        <x:v>241</x:v>
      </x:c>
      <x:c r="D38" s="274" t="s">
        <x:v>242</x:v>
      </x:c>
      <x:c r="E38" s="276" t="s">
        <x:v>181</x:v>
      </x:c>
      <x:c r="F38" s="277" t="s">
        <x:v>118</x:v>
      </x:c>
      <x:c r="G38" s="277" t="s">
        <x:v>118</x:v>
      </x:c>
      <x:c r="H38" s="277" t="s">
        <x:v>118</x:v>
      </x:c>
      <x:c r="I38" s="277" t="s">
        <x:v>118</x:v>
      </x:c>
      <x:c r="J38" s="277" t="s">
        <x:v>118</x:v>
      </x:c>
      <x:c r="K38" s="277" t="s">
        <x:v>118</x:v>
      </x:c>
      <x:c r="L38" s="277" t="s">
        <x:v>118</x:v>
      </x:c>
      <x:c r="M38" s="277" t="s">
        <x:v>118</x:v>
      </x:c>
      <x:c r="N38" s="277" t="s">
        <x:v>118</x:v>
      </x:c>
      <x:c r="O38" s="277" t="s">
        <x:v>118</x:v>
      </x:c>
      <x:c r="P38" s="277" t="s">
        <x:v>118</x:v>
      </x:c>
      <x:c r="Q38" s="277" t="s">
        <x:v>118</x:v>
      </x:c>
      <x:c r="R38" s="277" t="s">
        <x:v>118</x:v>
      </x:c>
      <x:c r="S38" s="277" t="s">
        <x:v>118</x:v>
      </x:c>
      <x:c r="T38" s="277" t="s">
        <x:v>118</x:v>
      </x:c>
      <x:c r="U38" s="277" t="s">
        <x:v>118</x:v>
      </x:c>
      <x:c r="V38" s="277" t="s">
        <x:v>118</x:v>
      </x:c>
      <x:c r="W38" s="277" t="s">
        <x:v>118</x:v>
      </x:c>
      <x:c r="X38" s="277" t="s">
        <x:v>118</x:v>
      </x:c>
      <x:c r="Y38" s="277" t="s">
        <x:v>118</x:v>
      </x:c>
      <x:c r="Z38" s="277" t="s">
        <x:v>118</x:v>
      </x:c>
      <x:c r="AA38" s="277" t="s">
        <x:v>118</x:v>
      </x:c>
      <x:c r="AB38" s="277" t="s">
        <x:v>118</x:v>
      </x:c>
      <x:c r="AC38" s="277" t="s">
        <x:v>118</x:v>
      </x:c>
      <x:c r="AD38" s="277" t="s">
        <x:v>118</x:v>
      </x:c>
      <x:c r="AE38" s="277" t="s">
        <x:v>118</x:v>
      </x:c>
      <x:c r="AF38" s="277" t="s">
        <x:v>118</x:v>
      </x:c>
      <x:c r="AG38" s="277" t="s">
        <x:v>118</x:v>
      </x:c>
      <x:c r="AH38" s="277" t="s">
        <x:v>118</x:v>
      </x:c>
      <x:c r="AI38" s="277" t="s">
        <x:v>118</x:v>
      </x:c>
      <x:c r="AJ38" s="277" t="s">
        <x:v>118</x:v>
      </x:c>
      <x:c r="AK38" s="220">
        <x:f>COUNTIF(F38:AJ38,"X")</x:f>
      </x:c>
      <x:c r="AL38" s="221"/>
      <x:c r="AM38" s="221"/>
      <x:c r="AN38" s="222"/>
      <x:c r="AO38" s="222"/>
      <x:c r="AP38" s="228"/>
      <x:c r="AQ38" s="228"/>
      <x:c r="AR38" s="228"/>
      <x:c r="AS38" s="228"/>
      <x:c r="AT38" s="230"/>
    </x:row>
    <x:row r="39" spans="1:47" ht="19.9" customHeight="1">
      <x:c r="A39" s="274" t="s">
        <x:v>243</x:v>
      </x:c>
      <x:c r="B39" s="216"/>
      <x:c r="C39" s="275" t="s">
        <x:v>244</x:v>
      </x:c>
      <x:c r="D39" s="274" t="s">
        <x:v>245</x:v>
      </x:c>
      <x:c r="E39" s="276" t="s">
        <x:v>246</x:v>
      </x:c>
      <x:c r="F39" s="277" t="s">
        <x:v>118</x:v>
      </x:c>
      <x:c r="G39" s="277" t="s">
        <x:v>118</x:v>
      </x:c>
      <x:c r="H39" s="277" t="s">
        <x:v>118</x:v>
      </x:c>
      <x:c r="I39" s="277" t="s">
        <x:v>118</x:v>
      </x:c>
      <x:c r="J39" s="277" t="s">
        <x:v>118</x:v>
      </x:c>
      <x:c r="K39" s="277" t="s">
        <x:v>118</x:v>
      </x:c>
      <x:c r="L39" s="277" t="s">
        <x:v>118</x:v>
      </x:c>
      <x:c r="M39" s="277" t="s">
        <x:v>118</x:v>
      </x:c>
      <x:c r="N39" s="277" t="s">
        <x:v>118</x:v>
      </x:c>
      <x:c r="O39" s="277" t="s">
        <x:v>118</x:v>
      </x:c>
      <x:c r="P39" s="277" t="s">
        <x:v>118</x:v>
      </x:c>
      <x:c r="Q39" s="277" t="s">
        <x:v>118</x:v>
      </x:c>
      <x:c r="R39" s="277" t="s">
        <x:v>118</x:v>
      </x:c>
      <x:c r="S39" s="277" t="s">
        <x:v>118</x:v>
      </x:c>
      <x:c r="T39" s="277" t="s">
        <x:v>118</x:v>
      </x:c>
      <x:c r="U39" s="277" t="s">
        <x:v>118</x:v>
      </x:c>
      <x:c r="V39" s="277" t="s">
        <x:v>118</x:v>
      </x:c>
      <x:c r="W39" s="277" t="s">
        <x:v>118</x:v>
      </x:c>
      <x:c r="X39" s="277" t="s">
        <x:v>118</x:v>
      </x:c>
      <x:c r="Y39" s="277" t="s">
        <x:v>118</x:v>
      </x:c>
      <x:c r="Z39" s="277" t="s">
        <x:v>118</x:v>
      </x:c>
      <x:c r="AA39" s="277" t="s">
        <x:v>118</x:v>
      </x:c>
      <x:c r="AB39" s="277" t="s">
        <x:v>118</x:v>
      </x:c>
      <x:c r="AC39" s="277" t="s">
        <x:v>118</x:v>
      </x:c>
      <x:c r="AD39" s="277" t="s">
        <x:v>118</x:v>
      </x:c>
      <x:c r="AE39" s="277" t="s">
        <x:v>118</x:v>
      </x:c>
      <x:c r="AF39" s="277" t="s">
        <x:v>118</x:v>
      </x:c>
      <x:c r="AG39" s="277" t="s">
        <x:v>118</x:v>
      </x:c>
      <x:c r="AH39" s="277" t="s">
        <x:v>118</x:v>
      </x:c>
      <x:c r="AI39" s="277" t="s">
        <x:v>118</x:v>
      </x:c>
      <x:c r="AJ39" s="277" t="s">
        <x:v>118</x:v>
      </x:c>
      <x:c r="AK39" s="220">
        <x:f>COUNTIF(F39:AJ39,"X")</x:f>
      </x:c>
      <x:c r="AL39" s="221"/>
      <x:c r="AM39" s="221"/>
      <x:c r="AN39" s="222"/>
      <x:c r="AO39" s="222"/>
      <x:c r="AP39" s="228"/>
      <x:c r="AQ39" s="228"/>
      <x:c r="AR39" s="228"/>
      <x:c r="AS39" s="228"/>
      <x:c r="AT39" s="230"/>
    </x:row>
    <x:row r="40" spans="1:47" ht="19.9" customHeight="1">
      <x:c r="A40" s="274" t="s">
        <x:v>247</x:v>
      </x:c>
      <x:c r="B40" s="216"/>
      <x:c r="C40" s="275" t="s">
        <x:v>248</x:v>
      </x:c>
      <x:c r="D40" s="274" t="s">
        <x:v>249</x:v>
      </x:c>
      <x:c r="E40" s="276" t="s">
        <x:v>185</x:v>
      </x:c>
      <x:c r="F40" s="277" t="s">
        <x:v>118</x:v>
      </x:c>
      <x:c r="G40" s="277" t="s">
        <x:v>118</x:v>
      </x:c>
      <x:c r="H40" s="277" t="s">
        <x:v>118</x:v>
      </x:c>
      <x:c r="I40" s="277" t="s">
        <x:v>118</x:v>
      </x:c>
      <x:c r="J40" s="277" t="s">
        <x:v>118</x:v>
      </x:c>
      <x:c r="K40" s="277" t="s">
        <x:v>118</x:v>
      </x:c>
      <x:c r="L40" s="277" t="s">
        <x:v>118</x:v>
      </x:c>
      <x:c r="M40" s="277" t="s">
        <x:v>118</x:v>
      </x:c>
      <x:c r="N40" s="277" t="s">
        <x:v>118</x:v>
      </x:c>
      <x:c r="O40" s="277" t="s">
        <x:v>118</x:v>
      </x:c>
      <x:c r="P40" s="277" t="s">
        <x:v>118</x:v>
      </x:c>
      <x:c r="Q40" s="277" t="s">
        <x:v>118</x:v>
      </x:c>
      <x:c r="R40" s="277" t="s">
        <x:v>118</x:v>
      </x:c>
      <x:c r="S40" s="277" t="s">
        <x:v>118</x:v>
      </x:c>
      <x:c r="T40" s="277" t="s">
        <x:v>118</x:v>
      </x:c>
      <x:c r="U40" s="277" t="s">
        <x:v>118</x:v>
      </x:c>
      <x:c r="V40" s="277" t="s">
        <x:v>118</x:v>
      </x:c>
      <x:c r="W40" s="277" t="s">
        <x:v>118</x:v>
      </x:c>
      <x:c r="X40" s="277" t="s">
        <x:v>118</x:v>
      </x:c>
      <x:c r="Y40" s="277" t="s">
        <x:v>118</x:v>
      </x:c>
      <x:c r="Z40" s="277" t="s">
        <x:v>118</x:v>
      </x:c>
      <x:c r="AA40" s="277" t="s">
        <x:v>118</x:v>
      </x:c>
      <x:c r="AB40" s="277" t="s">
        <x:v>118</x:v>
      </x:c>
      <x:c r="AC40" s="277" t="s">
        <x:v>118</x:v>
      </x:c>
      <x:c r="AD40" s="277" t="s">
        <x:v>118</x:v>
      </x:c>
      <x:c r="AE40" s="277" t="s">
        <x:v>118</x:v>
      </x:c>
      <x:c r="AF40" s="277" t="s">
        <x:v>118</x:v>
      </x:c>
      <x:c r="AG40" s="277" t="s">
        <x:v>118</x:v>
      </x:c>
      <x:c r="AH40" s="277" t="s">
        <x:v>118</x:v>
      </x:c>
      <x:c r="AI40" s="277" t="s">
        <x:v>118</x:v>
      </x:c>
      <x:c r="AJ40" s="277" t="s">
        <x:v>118</x:v>
      </x:c>
      <x:c r="AK40" s="220">
        <x:f>COUNTIF(F40:AJ40,"X")</x:f>
      </x:c>
      <x:c r="AL40" s="221"/>
      <x:c r="AM40" s="221"/>
      <x:c r="AN40" s="222"/>
      <x:c r="AO40" s="222"/>
      <x:c r="AP40" s="228"/>
      <x:c r="AQ40" s="228"/>
      <x:c r="AR40" s="228"/>
      <x:c r="AS40" s="228"/>
      <x:c r="AT40" s="230"/>
    </x:row>
    <x:row r="41" spans="1:47" ht="19.9" customHeight="1">
      <x:c r="A41" s="274" t="s">
        <x:v>250</x:v>
      </x:c>
      <x:c r="B41" s="216"/>
      <x:c r="C41" s="275" t="s">
        <x:v>251</x:v>
      </x:c>
      <x:c r="D41" s="274" t="s">
        <x:v>252</x:v>
      </x:c>
      <x:c r="E41" s="276" t="s">
        <x:v>253</x:v>
      </x:c>
      <x:c r="F41" s="277" t="s">
        <x:v>118</x:v>
      </x:c>
      <x:c r="G41" s="277" t="s">
        <x:v>118</x:v>
      </x:c>
      <x:c r="H41" s="277" t="s">
        <x:v>118</x:v>
      </x:c>
      <x:c r="I41" s="277" t="s">
        <x:v>118</x:v>
      </x:c>
      <x:c r="J41" s="277" t="s">
        <x:v>118</x:v>
      </x:c>
      <x:c r="K41" s="277" t="s">
        <x:v>118</x:v>
      </x:c>
      <x:c r="L41" s="277" t="s">
        <x:v>118</x:v>
      </x:c>
      <x:c r="M41" s="277" t="s">
        <x:v>118</x:v>
      </x:c>
      <x:c r="N41" s="277" t="s">
        <x:v>118</x:v>
      </x:c>
      <x:c r="O41" s="277" t="s">
        <x:v>118</x:v>
      </x:c>
      <x:c r="P41" s="277" t="s">
        <x:v>118</x:v>
      </x:c>
      <x:c r="Q41" s="277" t="s">
        <x:v>118</x:v>
      </x:c>
      <x:c r="R41" s="277" t="s">
        <x:v>118</x:v>
      </x:c>
      <x:c r="S41" s="277" t="s">
        <x:v>118</x:v>
      </x:c>
      <x:c r="T41" s="277" t="s">
        <x:v>118</x:v>
      </x:c>
      <x:c r="U41" s="277" t="s">
        <x:v>118</x:v>
      </x:c>
      <x:c r="V41" s="277" t="s">
        <x:v>118</x:v>
      </x:c>
      <x:c r="W41" s="277" t="s">
        <x:v>118</x:v>
      </x:c>
      <x:c r="X41" s="277" t="s">
        <x:v>118</x:v>
      </x:c>
      <x:c r="Y41" s="277" t="s">
        <x:v>118</x:v>
      </x:c>
      <x:c r="Z41" s="277" t="s">
        <x:v>118</x:v>
      </x:c>
      <x:c r="AA41" s="277" t="s">
        <x:v>118</x:v>
      </x:c>
      <x:c r="AB41" s="277" t="s">
        <x:v>118</x:v>
      </x:c>
      <x:c r="AC41" s="277" t="s">
        <x:v>118</x:v>
      </x:c>
      <x:c r="AD41" s="277" t="s">
        <x:v>118</x:v>
      </x:c>
      <x:c r="AE41" s="277" t="s">
        <x:v>118</x:v>
      </x:c>
      <x:c r="AF41" s="277" t="s">
        <x:v>118</x:v>
      </x:c>
      <x:c r="AG41" s="277" t="s">
        <x:v>118</x:v>
      </x:c>
      <x:c r="AH41" s="277" t="s">
        <x:v>118</x:v>
      </x:c>
      <x:c r="AI41" s="277" t="s">
        <x:v>118</x:v>
      </x:c>
      <x:c r="AJ41" s="277" t="s">
        <x:v>118</x:v>
      </x:c>
      <x:c r="AK41" s="220">
        <x:f>COUNTIF(F41:AJ41,"X")</x:f>
      </x:c>
      <x:c r="AL41" s="221"/>
      <x:c r="AM41" s="221"/>
      <x:c r="AN41" s="222"/>
      <x:c r="AO41" s="222"/>
      <x:c r="AP41" s="228"/>
      <x:c r="AQ41" s="228"/>
      <x:c r="AR41" s="228"/>
      <x:c r="AS41" s="228"/>
      <x:c r="AT41" s="230"/>
    </x:row>
    <x:row r="42" spans="1:47" ht="19.9" customHeight="1">
      <x:c r="A42" s="274" t="s">
        <x:v>254</x:v>
      </x:c>
      <x:c r="B42" s="216"/>
      <x:c r="C42" s="275" t="s">
        <x:v>255</x:v>
      </x:c>
      <x:c r="D42" s="274" t="s">
        <x:v>256</x:v>
      </x:c>
      <x:c r="E42" s="276" t="s">
        <x:v>257</x:v>
      </x:c>
      <x:c r="F42" s="277" t="s">
        <x:v>118</x:v>
      </x:c>
      <x:c r="G42" s="277" t="s">
        <x:v>118</x:v>
      </x:c>
      <x:c r="H42" s="277" t="s">
        <x:v>118</x:v>
      </x:c>
      <x:c r="I42" s="277" t="s">
        <x:v>118</x:v>
      </x:c>
      <x:c r="J42" s="277" t="s">
        <x:v>118</x:v>
      </x:c>
      <x:c r="K42" s="277" t="s">
        <x:v>118</x:v>
      </x:c>
      <x:c r="L42" s="277" t="s">
        <x:v>118</x:v>
      </x:c>
      <x:c r="M42" s="277" t="s">
        <x:v>118</x:v>
      </x:c>
      <x:c r="N42" s="277" t="s">
        <x:v>118</x:v>
      </x:c>
      <x:c r="O42" s="277" t="s">
        <x:v>118</x:v>
      </x:c>
      <x:c r="P42" s="277" t="s">
        <x:v>118</x:v>
      </x:c>
      <x:c r="Q42" s="277" t="s">
        <x:v>118</x:v>
      </x:c>
      <x:c r="R42" s="277" t="s">
        <x:v>118</x:v>
      </x:c>
      <x:c r="S42" s="277" t="s">
        <x:v>118</x:v>
      </x:c>
      <x:c r="T42" s="277" t="s">
        <x:v>118</x:v>
      </x:c>
      <x:c r="U42" s="277" t="s">
        <x:v>118</x:v>
      </x:c>
      <x:c r="V42" s="277" t="s">
        <x:v>118</x:v>
      </x:c>
      <x:c r="W42" s="277" t="s">
        <x:v>118</x:v>
      </x:c>
      <x:c r="X42" s="277" t="s">
        <x:v>118</x:v>
      </x:c>
      <x:c r="Y42" s="277" t="s">
        <x:v>118</x:v>
      </x:c>
      <x:c r="Z42" s="277" t="s">
        <x:v>118</x:v>
      </x:c>
      <x:c r="AA42" s="277" t="s">
        <x:v>118</x:v>
      </x:c>
      <x:c r="AB42" s="277" t="s">
        <x:v>118</x:v>
      </x:c>
      <x:c r="AC42" s="277" t="s">
        <x:v>118</x:v>
      </x:c>
      <x:c r="AD42" s="277" t="s">
        <x:v>118</x:v>
      </x:c>
      <x:c r="AE42" s="277" t="s">
        <x:v>118</x:v>
      </x:c>
      <x:c r="AF42" s="277" t="s">
        <x:v>118</x:v>
      </x:c>
      <x:c r="AG42" s="277" t="s">
        <x:v>118</x:v>
      </x:c>
      <x:c r="AH42" s="277" t="s">
        <x:v>118</x:v>
      </x:c>
      <x:c r="AI42" s="277" t="s">
        <x:v>118</x:v>
      </x:c>
      <x:c r="AJ42" s="277" t="s">
        <x:v>118</x:v>
      </x:c>
      <x:c r="AK42" s="220">
        <x:f>COUNTIF(F42:AJ42,"X")</x:f>
      </x:c>
      <x:c r="AL42" s="221"/>
      <x:c r="AM42" s="221"/>
      <x:c r="AN42" s="222"/>
      <x:c r="AO42" s="222"/>
      <x:c r="AP42" s="228"/>
      <x:c r="AQ42" s="228"/>
      <x:c r="AR42" s="228"/>
      <x:c r="AS42" s="228"/>
      <x:c r="AT42" s="230"/>
    </x:row>
    <x:row r="43" spans="1:47" ht="19.9" customHeight="1">
      <x:c r="A43" s="274" t="s">
        <x:v>258</x:v>
      </x:c>
      <x:c r="B43" s="216"/>
      <x:c r="C43" s="275" t="s">
        <x:v>259</x:v>
      </x:c>
      <x:c r="D43" s="274" t="s">
        <x:v>260</x:v>
      </x:c>
      <x:c r="E43" s="276" t="s">
        <x:v>261</x:v>
      </x:c>
      <x:c r="F43" s="277" t="s">
        <x:v>118</x:v>
      </x:c>
      <x:c r="G43" s="277" t="s">
        <x:v>118</x:v>
      </x:c>
      <x:c r="H43" s="277" t="s">
        <x:v>118</x:v>
      </x:c>
      <x:c r="I43" s="277" t="s">
        <x:v>118</x:v>
      </x:c>
      <x:c r="J43" s="277" t="s">
        <x:v>118</x:v>
      </x:c>
      <x:c r="K43" s="277" t="s">
        <x:v>118</x:v>
      </x:c>
      <x:c r="L43" s="277" t="s">
        <x:v>118</x:v>
      </x:c>
      <x:c r="M43" s="277" t="s">
        <x:v>118</x:v>
      </x:c>
      <x:c r="N43" s="277" t="s">
        <x:v>118</x:v>
      </x:c>
      <x:c r="O43" s="277" t="s">
        <x:v>118</x:v>
      </x:c>
      <x:c r="P43" s="277" t="s">
        <x:v>118</x:v>
      </x:c>
      <x:c r="Q43" s="277" t="s">
        <x:v>118</x:v>
      </x:c>
      <x:c r="R43" s="277" t="s">
        <x:v>118</x:v>
      </x:c>
      <x:c r="S43" s="277" t="s">
        <x:v>118</x:v>
      </x:c>
      <x:c r="T43" s="277" t="s">
        <x:v>118</x:v>
      </x:c>
      <x:c r="U43" s="277" t="s">
        <x:v>118</x:v>
      </x:c>
      <x:c r="V43" s="277" t="s">
        <x:v>118</x:v>
      </x:c>
      <x:c r="W43" s="277" t="s">
        <x:v>118</x:v>
      </x:c>
      <x:c r="X43" s="277" t="s">
        <x:v>118</x:v>
      </x:c>
      <x:c r="Y43" s="277" t="s">
        <x:v>118</x:v>
      </x:c>
      <x:c r="Z43" s="277" t="s">
        <x:v>118</x:v>
      </x:c>
      <x:c r="AA43" s="277" t="s">
        <x:v>118</x:v>
      </x:c>
      <x:c r="AB43" s="277" t="s">
        <x:v>118</x:v>
      </x:c>
      <x:c r="AC43" s="277" t="s">
        <x:v>118</x:v>
      </x:c>
      <x:c r="AD43" s="277" t="s">
        <x:v>118</x:v>
      </x:c>
      <x:c r="AE43" s="277" t="s">
        <x:v>118</x:v>
      </x:c>
      <x:c r="AF43" s="277" t="s">
        <x:v>118</x:v>
      </x:c>
      <x:c r="AG43" s="277" t="s">
        <x:v>118</x:v>
      </x:c>
      <x:c r="AH43" s="277" t="s">
        <x:v>118</x:v>
      </x:c>
      <x:c r="AI43" s="277" t="s">
        <x:v>118</x:v>
      </x:c>
      <x:c r="AJ43" s="277" t="s">
        <x:v>118</x:v>
      </x:c>
      <x:c r="AK43" s="220">
        <x:f>COUNTIF(F43:AJ43,"X")</x:f>
      </x:c>
      <x:c r="AL43" s="221"/>
      <x:c r="AM43" s="221"/>
      <x:c r="AN43" s="222"/>
      <x:c r="AO43" s="222"/>
      <x:c r="AP43" s="228"/>
      <x:c r="AQ43" s="228"/>
      <x:c r="AR43" s="228"/>
      <x:c r="AS43" s="228"/>
      <x:c r="AT43" s="230"/>
    </x:row>
    <x:row r="44" spans="1:47" ht="19.9" customHeight="1">
      <x:c r="A44" s="274" t="s">
        <x:v>262</x:v>
      </x:c>
      <x:c r="B44" s="216"/>
      <x:c r="C44" s="275" t="s">
        <x:v>263</x:v>
      </x:c>
      <x:c r="D44" s="274" t="s">
        <x:v>260</x:v>
      </x:c>
      <x:c r="E44" s="276" t="s">
        <x:v>264</x:v>
      </x:c>
      <x:c r="F44" s="277" t="s">
        <x:v>118</x:v>
      </x:c>
      <x:c r="G44" s="277" t="s">
        <x:v>118</x:v>
      </x:c>
      <x:c r="H44" s="277" t="s">
        <x:v>118</x:v>
      </x:c>
      <x:c r="I44" s="277" t="s">
        <x:v>118</x:v>
      </x:c>
      <x:c r="J44" s="277" t="s">
        <x:v>118</x:v>
      </x:c>
      <x:c r="K44" s="277" t="s">
        <x:v>118</x:v>
      </x:c>
      <x:c r="L44" s="277" t="s">
        <x:v>118</x:v>
      </x:c>
      <x:c r="M44" s="277" t="s">
        <x:v>118</x:v>
      </x:c>
      <x:c r="N44" s="277" t="s">
        <x:v>118</x:v>
      </x:c>
      <x:c r="O44" s="277" t="s">
        <x:v>118</x:v>
      </x:c>
      <x:c r="P44" s="277" t="s">
        <x:v>118</x:v>
      </x:c>
      <x:c r="Q44" s="277" t="s">
        <x:v>118</x:v>
      </x:c>
      <x:c r="R44" s="277" t="s">
        <x:v>118</x:v>
      </x:c>
      <x:c r="S44" s="277" t="s">
        <x:v>118</x:v>
      </x:c>
      <x:c r="T44" s="277" t="s">
        <x:v>118</x:v>
      </x:c>
      <x:c r="U44" s="277" t="s">
        <x:v>118</x:v>
      </x:c>
      <x:c r="V44" s="277" t="s">
        <x:v>118</x:v>
      </x:c>
      <x:c r="W44" s="277" t="s">
        <x:v>118</x:v>
      </x:c>
      <x:c r="X44" s="277" t="s">
        <x:v>118</x:v>
      </x:c>
      <x:c r="Y44" s="277" t="s">
        <x:v>118</x:v>
      </x:c>
      <x:c r="Z44" s="277" t="s">
        <x:v>118</x:v>
      </x:c>
      <x:c r="AA44" s="277" t="s">
        <x:v>118</x:v>
      </x:c>
      <x:c r="AB44" s="277" t="s">
        <x:v>118</x:v>
      </x:c>
      <x:c r="AC44" s="277" t="s">
        <x:v>118</x:v>
      </x:c>
      <x:c r="AD44" s="277" t="s">
        <x:v>118</x:v>
      </x:c>
      <x:c r="AE44" s="277" t="s">
        <x:v>118</x:v>
      </x:c>
      <x:c r="AF44" s="277" t="s">
        <x:v>118</x:v>
      </x:c>
      <x:c r="AG44" s="277" t="s">
        <x:v>118</x:v>
      </x:c>
      <x:c r="AH44" s="277" t="s">
        <x:v>118</x:v>
      </x:c>
      <x:c r="AI44" s="277" t="s">
        <x:v>118</x:v>
      </x:c>
      <x:c r="AJ44" s="277" t="s">
        <x:v>118</x:v>
      </x:c>
      <x:c r="AK44" s="220">
        <x:f>COUNTIF(F44:AJ44,"X")</x:f>
      </x:c>
      <x:c r="AL44" s="221"/>
      <x:c r="AM44" s="221"/>
      <x:c r="AN44" s="222"/>
      <x:c r="AO44" s="222"/>
      <x:c r="AP44" s="228"/>
      <x:c r="AQ44" s="228"/>
      <x:c r="AR44" s="228"/>
      <x:c r="AS44" s="228"/>
      <x:c r="AT44" s="230"/>
    </x:row>
    <x:row r="45" spans="1:47" ht="19.9" customHeight="1">
      <x:c r="A45" s="274" t="s">
        <x:v>265</x:v>
      </x:c>
      <x:c r="B45" s="216"/>
      <x:c r="C45" s="275" t="s">
        <x:v>266</x:v>
      </x:c>
      <x:c r="D45" s="274" t="s">
        <x:v>267</x:v>
      </x:c>
      <x:c r="E45" s="276" t="s">
        <x:v>268</x:v>
      </x:c>
      <x:c r="F45" s="277" t="s">
        <x:v>118</x:v>
      </x:c>
      <x:c r="G45" s="277" t="s">
        <x:v>118</x:v>
      </x:c>
      <x:c r="H45" s="277" t="s">
        <x:v>118</x:v>
      </x:c>
      <x:c r="I45" s="277" t="s">
        <x:v>118</x:v>
      </x:c>
      <x:c r="J45" s="277" t="s">
        <x:v>118</x:v>
      </x:c>
      <x:c r="K45" s="277" t="s">
        <x:v>118</x:v>
      </x:c>
      <x:c r="L45" s="277" t="s">
        <x:v>118</x:v>
      </x:c>
      <x:c r="M45" s="277" t="s">
        <x:v>118</x:v>
      </x:c>
      <x:c r="N45" s="277" t="s">
        <x:v>118</x:v>
      </x:c>
      <x:c r="O45" s="277" t="s">
        <x:v>118</x:v>
      </x:c>
      <x:c r="P45" s="277" t="s">
        <x:v>118</x:v>
      </x:c>
      <x:c r="Q45" s="277" t="s">
        <x:v>118</x:v>
      </x:c>
      <x:c r="R45" s="277" t="s">
        <x:v>118</x:v>
      </x:c>
      <x:c r="S45" s="277" t="s">
        <x:v>118</x:v>
      </x:c>
      <x:c r="T45" s="277" t="s">
        <x:v>118</x:v>
      </x:c>
      <x:c r="U45" s="277" t="s">
        <x:v>118</x:v>
      </x:c>
      <x:c r="V45" s="277" t="s">
        <x:v>118</x:v>
      </x:c>
      <x:c r="W45" s="277" t="s">
        <x:v>118</x:v>
      </x:c>
      <x:c r="X45" s="277" t="s">
        <x:v>118</x:v>
      </x:c>
      <x:c r="Y45" s="277" t="s">
        <x:v>118</x:v>
      </x:c>
      <x:c r="Z45" s="277" t="s">
        <x:v>118</x:v>
      </x:c>
      <x:c r="AA45" s="277" t="s">
        <x:v>118</x:v>
      </x:c>
      <x:c r="AB45" s="277" t="s">
        <x:v>118</x:v>
      </x:c>
      <x:c r="AC45" s="277" t="s">
        <x:v>118</x:v>
      </x:c>
      <x:c r="AD45" s="277" t="s">
        <x:v>118</x:v>
      </x:c>
      <x:c r="AE45" s="277" t="s">
        <x:v>118</x:v>
      </x:c>
      <x:c r="AF45" s="277" t="s">
        <x:v>118</x:v>
      </x:c>
      <x:c r="AG45" s="277" t="s">
        <x:v>118</x:v>
      </x:c>
      <x:c r="AH45" s="277" t="s">
        <x:v>118</x:v>
      </x:c>
      <x:c r="AI45" s="277" t="s">
        <x:v>118</x:v>
      </x:c>
      <x:c r="AJ45" s="277" t="s">
        <x:v>118</x:v>
      </x:c>
      <x:c r="AK45" s="220">
        <x:f>COUNTIF(F45:AJ45,"X")</x:f>
      </x:c>
      <x:c r="AL45" s="221"/>
      <x:c r="AM45" s="221"/>
      <x:c r="AN45" s="222"/>
      <x:c r="AO45" s="222"/>
      <x:c r="AP45" s="228"/>
      <x:c r="AQ45" s="228"/>
      <x:c r="AR45" s="228"/>
      <x:c r="AS45" s="228"/>
      <x:c r="AT45" s="230"/>
    </x:row>
    <x:row r="46" spans="1:47" ht="19.9" customHeight="1">
      <x:c r="A46" s="274" t="s">
        <x:v>269</x:v>
      </x:c>
      <x:c r="B46" s="216"/>
      <x:c r="C46" s="275" t="s">
        <x:v>270</x:v>
      </x:c>
      <x:c r="D46" s="274" t="s">
        <x:v>271</x:v>
      </x:c>
      <x:c r="E46" s="276" t="s">
        <x:v>272</x:v>
      </x:c>
      <x:c r="F46" s="277" t="s">
        <x:v>118</x:v>
      </x:c>
      <x:c r="G46" s="277" t="s">
        <x:v>118</x:v>
      </x:c>
      <x:c r="H46" s="277" t="s">
        <x:v>118</x:v>
      </x:c>
      <x:c r="I46" s="277" t="s">
        <x:v>118</x:v>
      </x:c>
      <x:c r="J46" s="277" t="s">
        <x:v>118</x:v>
      </x:c>
      <x:c r="K46" s="277" t="s">
        <x:v>118</x:v>
      </x:c>
      <x:c r="L46" s="277" t="s">
        <x:v>118</x:v>
      </x:c>
      <x:c r="M46" s="277" t="s">
        <x:v>118</x:v>
      </x:c>
      <x:c r="N46" s="277" t="s">
        <x:v>118</x:v>
      </x:c>
      <x:c r="O46" s="277" t="s">
        <x:v>118</x:v>
      </x:c>
      <x:c r="P46" s="277" t="s">
        <x:v>118</x:v>
      </x:c>
      <x:c r="Q46" s="277" t="s">
        <x:v>118</x:v>
      </x:c>
      <x:c r="R46" s="277" t="s">
        <x:v>118</x:v>
      </x:c>
      <x:c r="S46" s="277" t="s">
        <x:v>118</x:v>
      </x:c>
      <x:c r="T46" s="277" t="s">
        <x:v>118</x:v>
      </x:c>
      <x:c r="U46" s="277" t="s">
        <x:v>118</x:v>
      </x:c>
      <x:c r="V46" s="277" t="s">
        <x:v>118</x:v>
      </x:c>
      <x:c r="W46" s="277" t="s">
        <x:v>118</x:v>
      </x:c>
      <x:c r="X46" s="277" t="s">
        <x:v>118</x:v>
      </x:c>
      <x:c r="Y46" s="277" t="s">
        <x:v>118</x:v>
      </x:c>
      <x:c r="Z46" s="277" t="s">
        <x:v>118</x:v>
      </x:c>
      <x:c r="AA46" s="277" t="s">
        <x:v>118</x:v>
      </x:c>
      <x:c r="AB46" s="277" t="s">
        <x:v>118</x:v>
      </x:c>
      <x:c r="AC46" s="277" t="s">
        <x:v>118</x:v>
      </x:c>
      <x:c r="AD46" s="277" t="s">
        <x:v>118</x:v>
      </x:c>
      <x:c r="AE46" s="277" t="s">
        <x:v>118</x:v>
      </x:c>
      <x:c r="AF46" s="277" t="s">
        <x:v>118</x:v>
      </x:c>
      <x:c r="AG46" s="277" t="s">
        <x:v>118</x:v>
      </x:c>
      <x:c r="AH46" s="277" t="s">
        <x:v>118</x:v>
      </x:c>
      <x:c r="AI46" s="277" t="s">
        <x:v>118</x:v>
      </x:c>
      <x:c r="AJ46" s="277" t="s">
        <x:v>118</x:v>
      </x:c>
      <x:c r="AK46" s="220">
        <x:f>COUNTIF(F46:AJ46,"X")</x:f>
      </x:c>
      <x:c r="AL46" s="221"/>
      <x:c r="AM46" s="221"/>
      <x:c r="AN46" s="222"/>
      <x:c r="AO46" s="222"/>
      <x:c r="AP46" s="228"/>
      <x:c r="AQ46" s="228"/>
      <x:c r="AR46" s="228"/>
      <x:c r="AS46" s="228"/>
      <x:c r="AT46" s="230"/>
    </x:row>
    <x:row r="47" spans="1:47" ht="19.9" customHeight="1">
      <x:c r="A47" s="274" t="s">
        <x:v>167</x:v>
      </x:c>
      <x:c r="B47" s="216"/>
      <x:c r="C47" s="275" t="s">
        <x:v>273</x:v>
      </x:c>
      <x:c r="D47" s="274" t="s">
        <x:v>274</x:v>
      </x:c>
      <x:c r="E47" s="276" t="s">
        <x:v>275</x:v>
      </x:c>
      <x:c r="F47" s="277" t="s">
        <x:v>118</x:v>
      </x:c>
      <x:c r="G47" s="277" t="s">
        <x:v>118</x:v>
      </x:c>
      <x:c r="H47" s="277" t="s">
        <x:v>118</x:v>
      </x:c>
      <x:c r="I47" s="277" t="s">
        <x:v>118</x:v>
      </x:c>
      <x:c r="J47" s="277" t="s">
        <x:v>118</x:v>
      </x:c>
      <x:c r="K47" s="277" t="s">
        <x:v>118</x:v>
      </x:c>
      <x:c r="L47" s="277" t="s">
        <x:v>118</x:v>
      </x:c>
      <x:c r="M47" s="277" t="s">
        <x:v>118</x:v>
      </x:c>
      <x:c r="N47" s="277" t="s">
        <x:v>118</x:v>
      </x:c>
      <x:c r="O47" s="277" t="s">
        <x:v>118</x:v>
      </x:c>
      <x:c r="P47" s="277" t="s">
        <x:v>118</x:v>
      </x:c>
      <x:c r="Q47" s="277" t="s">
        <x:v>118</x:v>
      </x:c>
      <x:c r="R47" s="277" t="s">
        <x:v>118</x:v>
      </x:c>
      <x:c r="S47" s="277" t="s">
        <x:v>118</x:v>
      </x:c>
      <x:c r="T47" s="277" t="s">
        <x:v>118</x:v>
      </x:c>
      <x:c r="U47" s="277" t="s">
        <x:v>118</x:v>
      </x:c>
      <x:c r="V47" s="277" t="s">
        <x:v>118</x:v>
      </x:c>
      <x:c r="W47" s="277" t="s">
        <x:v>118</x:v>
      </x:c>
      <x:c r="X47" s="277" t="s">
        <x:v>118</x:v>
      </x:c>
      <x:c r="Y47" s="277" t="s">
        <x:v>118</x:v>
      </x:c>
      <x:c r="Z47" s="277" t="s">
        <x:v>118</x:v>
      </x:c>
      <x:c r="AA47" s="277" t="s">
        <x:v>118</x:v>
      </x:c>
      <x:c r="AB47" s="277" t="s">
        <x:v>118</x:v>
      </x:c>
      <x:c r="AC47" s="277" t="s">
        <x:v>118</x:v>
      </x:c>
      <x:c r="AD47" s="277" t="s">
        <x:v>118</x:v>
      </x:c>
      <x:c r="AE47" s="277" t="s">
        <x:v>118</x:v>
      </x:c>
      <x:c r="AF47" s="277" t="s">
        <x:v>118</x:v>
      </x:c>
      <x:c r="AG47" s="277" t="s">
        <x:v>118</x:v>
      </x:c>
      <x:c r="AH47" s="277" t="s">
        <x:v>118</x:v>
      </x:c>
      <x:c r="AI47" s="277" t="s">
        <x:v>118</x:v>
      </x:c>
      <x:c r="AJ47" s="277" t="s">
        <x:v>118</x:v>
      </x:c>
      <x:c r="AK47" s="220">
        <x:f>COUNTIF(F47:AJ47,"X")</x:f>
      </x:c>
      <x:c r="AL47" s="221"/>
      <x:c r="AM47" s="221"/>
      <x:c r="AN47" s="222"/>
      <x:c r="AO47" s="222"/>
      <x:c r="AP47" s="228"/>
      <x:c r="AQ47" s="228"/>
      <x:c r="AR47" s="228"/>
      <x:c r="AS47" s="228"/>
      <x:c r="AT47" s="230"/>
    </x:row>
    <x:row r="48" spans="1:47" ht="19.9" customHeight="1">
      <x:c r="A48" s="274" t="s">
        <x:v>276</x:v>
      </x:c>
      <x:c r="B48" s="216"/>
      <x:c r="C48" s="275" t="s">
        <x:v>277</x:v>
      </x:c>
      <x:c r="D48" s="274" t="s">
        <x:v>278</x:v>
      </x:c>
      <x:c r="E48" s="276" t="s">
        <x:v>279</x:v>
      </x:c>
      <x:c r="F48" s="277" t="s">
        <x:v>118</x:v>
      </x:c>
      <x:c r="G48" s="277" t="s">
        <x:v>118</x:v>
      </x:c>
      <x:c r="H48" s="277" t="s">
        <x:v>118</x:v>
      </x:c>
      <x:c r="I48" s="277" t="s">
        <x:v>118</x:v>
      </x:c>
      <x:c r="J48" s="277" t="s">
        <x:v>118</x:v>
      </x:c>
      <x:c r="K48" s="277" t="s">
        <x:v>118</x:v>
      </x:c>
      <x:c r="L48" s="277" t="s">
        <x:v>118</x:v>
      </x:c>
      <x:c r="M48" s="277" t="s">
        <x:v>118</x:v>
      </x:c>
      <x:c r="N48" s="277" t="s">
        <x:v>118</x:v>
      </x:c>
      <x:c r="O48" s="277" t="s">
        <x:v>118</x:v>
      </x:c>
      <x:c r="P48" s="277" t="s">
        <x:v>118</x:v>
      </x:c>
      <x:c r="Q48" s="277" t="s">
        <x:v>118</x:v>
      </x:c>
      <x:c r="R48" s="277" t="s">
        <x:v>118</x:v>
      </x:c>
      <x:c r="S48" s="277" t="s">
        <x:v>118</x:v>
      </x:c>
      <x:c r="T48" s="277" t="s">
        <x:v>118</x:v>
      </x:c>
      <x:c r="U48" s="277" t="s">
        <x:v>118</x:v>
      </x:c>
      <x:c r="V48" s="277" t="s">
        <x:v>118</x:v>
      </x:c>
      <x:c r="W48" s="277" t="s">
        <x:v>118</x:v>
      </x:c>
      <x:c r="X48" s="277" t="s">
        <x:v>118</x:v>
      </x:c>
      <x:c r="Y48" s="277" t="s">
        <x:v>118</x:v>
      </x:c>
      <x:c r="Z48" s="277" t="s">
        <x:v>118</x:v>
      </x:c>
      <x:c r="AA48" s="277" t="s">
        <x:v>118</x:v>
      </x:c>
      <x:c r="AB48" s="277" t="s">
        <x:v>118</x:v>
      </x:c>
      <x:c r="AC48" s="277" t="s">
        <x:v>118</x:v>
      </x:c>
      <x:c r="AD48" s="277" t="s">
        <x:v>118</x:v>
      </x:c>
      <x:c r="AE48" s="277" t="s">
        <x:v>118</x:v>
      </x:c>
      <x:c r="AF48" s="277" t="s">
        <x:v>118</x:v>
      </x:c>
      <x:c r="AG48" s="277" t="s">
        <x:v>118</x:v>
      </x:c>
      <x:c r="AH48" s="277" t="s">
        <x:v>118</x:v>
      </x:c>
      <x:c r="AI48" s="277" t="s">
        <x:v>118</x:v>
      </x:c>
      <x:c r="AJ48" s="277" t="s">
        <x:v>118</x:v>
      </x:c>
      <x:c r="AK48" s="220">
        <x:f>COUNTIF(F48:AJ48,"X")</x:f>
      </x:c>
      <x:c r="AL48" s="221"/>
      <x:c r="AM48" s="221"/>
      <x:c r="AN48" s="222"/>
      <x:c r="AO48" s="222"/>
      <x:c r="AP48" s="228"/>
      <x:c r="AQ48" s="228"/>
      <x:c r="AR48" s="228"/>
      <x:c r="AS48" s="228"/>
      <x:c r="AT48" s="230"/>
    </x:row>
    <x:row r="49" spans="1:47" ht="19.9" customHeight="1">
      <x:c r="A49" s="274" t="s">
        <x:v>280</x:v>
      </x:c>
      <x:c r="B49" s="216"/>
      <x:c r="C49" s="275" t="s">
        <x:v>281</x:v>
      </x:c>
      <x:c r="D49" s="274" t="s">
        <x:v>282</x:v>
      </x:c>
      <x:c r="E49" s="276" t="s">
        <x:v>283</x:v>
      </x:c>
      <x:c r="F49" s="277" t="s">
        <x:v>118</x:v>
      </x:c>
      <x:c r="G49" s="277" t="s">
        <x:v>118</x:v>
      </x:c>
      <x:c r="H49" s="277" t="s">
        <x:v>118</x:v>
      </x:c>
      <x:c r="I49" s="277" t="s">
        <x:v>118</x:v>
      </x:c>
      <x:c r="J49" s="277" t="s">
        <x:v>118</x:v>
      </x:c>
      <x:c r="K49" s="277" t="s">
        <x:v>118</x:v>
      </x:c>
      <x:c r="L49" s="277" t="s">
        <x:v>118</x:v>
      </x:c>
      <x:c r="M49" s="277" t="s">
        <x:v>118</x:v>
      </x:c>
      <x:c r="N49" s="277" t="s">
        <x:v>118</x:v>
      </x:c>
      <x:c r="O49" s="277" t="s">
        <x:v>118</x:v>
      </x:c>
      <x:c r="P49" s="277" t="s">
        <x:v>118</x:v>
      </x:c>
      <x:c r="Q49" s="277" t="s">
        <x:v>118</x:v>
      </x:c>
      <x:c r="R49" s="277" t="s">
        <x:v>118</x:v>
      </x:c>
      <x:c r="S49" s="277" t="s">
        <x:v>118</x:v>
      </x:c>
      <x:c r="T49" s="277" t="s">
        <x:v>118</x:v>
      </x:c>
      <x:c r="U49" s="277" t="s">
        <x:v>118</x:v>
      </x:c>
      <x:c r="V49" s="277" t="s">
        <x:v>118</x:v>
      </x:c>
      <x:c r="W49" s="277" t="s">
        <x:v>118</x:v>
      </x:c>
      <x:c r="X49" s="277" t="s">
        <x:v>118</x:v>
      </x:c>
      <x:c r="Y49" s="277" t="s">
        <x:v>118</x:v>
      </x:c>
      <x:c r="Z49" s="277" t="s">
        <x:v>118</x:v>
      </x:c>
      <x:c r="AA49" s="277" t="s">
        <x:v>118</x:v>
      </x:c>
      <x:c r="AB49" s="277" t="s">
        <x:v>118</x:v>
      </x:c>
      <x:c r="AC49" s="277" t="s">
        <x:v>118</x:v>
      </x:c>
      <x:c r="AD49" s="277" t="s">
        <x:v>118</x:v>
      </x:c>
      <x:c r="AE49" s="277" t="s">
        <x:v>118</x:v>
      </x:c>
      <x:c r="AF49" s="277" t="s">
        <x:v>118</x:v>
      </x:c>
      <x:c r="AG49" s="277" t="s">
        <x:v>118</x:v>
      </x:c>
      <x:c r="AH49" s="277" t="s">
        <x:v>118</x:v>
      </x:c>
      <x:c r="AI49" s="277" t="s">
        <x:v>118</x:v>
      </x:c>
      <x:c r="AJ49" s="277" t="s">
        <x:v>118</x:v>
      </x:c>
      <x:c r="AK49" s="220">
        <x:f>COUNTIF(F49:AJ49,"X")</x:f>
      </x:c>
      <x:c r="AL49" s="221"/>
      <x:c r="AM49" s="221"/>
      <x:c r="AN49" s="222"/>
      <x:c r="AO49" s="222"/>
      <x:c r="AP49" s="228"/>
      <x:c r="AQ49" s="228"/>
      <x:c r="AR49" s="228"/>
      <x:c r="AS49" s="228"/>
      <x:c r="AT49" s="230"/>
    </x:row>
    <x:row r="50" spans="1:47" ht="19.9" customHeight="1">
      <x:c r="A50" s="274" t="s">
        <x:v>284</x:v>
      </x:c>
      <x:c r="B50" s="216"/>
      <x:c r="C50" s="275" t="s">
        <x:v>285</x:v>
      </x:c>
      <x:c r="D50" s="274" t="s">
        <x:v>286</x:v>
      </x:c>
      <x:c r="E50" s="276" t="s">
        <x:v>287</x:v>
      </x:c>
      <x:c r="F50" s="277" t="s">
        <x:v>118</x:v>
      </x:c>
      <x:c r="G50" s="277" t="s">
        <x:v>118</x:v>
      </x:c>
      <x:c r="H50" s="277" t="s">
        <x:v>118</x:v>
      </x:c>
      <x:c r="I50" s="277" t="s">
        <x:v>118</x:v>
      </x:c>
      <x:c r="J50" s="277" t="s">
        <x:v>118</x:v>
      </x:c>
      <x:c r="K50" s="277" t="s">
        <x:v>118</x:v>
      </x:c>
      <x:c r="L50" s="277" t="s">
        <x:v>118</x:v>
      </x:c>
      <x:c r="M50" s="277" t="s">
        <x:v>118</x:v>
      </x:c>
      <x:c r="N50" s="277" t="s">
        <x:v>118</x:v>
      </x:c>
      <x:c r="O50" s="277" t="s">
        <x:v>118</x:v>
      </x:c>
      <x:c r="P50" s="277" t="s">
        <x:v>118</x:v>
      </x:c>
      <x:c r="Q50" s="277" t="s">
        <x:v>118</x:v>
      </x:c>
      <x:c r="R50" s="277" t="s">
        <x:v>118</x:v>
      </x:c>
      <x:c r="S50" s="277" t="s">
        <x:v>118</x:v>
      </x:c>
      <x:c r="T50" s="277" t="s">
        <x:v>118</x:v>
      </x:c>
      <x:c r="U50" s="277" t="s">
        <x:v>118</x:v>
      </x:c>
      <x:c r="V50" s="277" t="s">
        <x:v>118</x:v>
      </x:c>
      <x:c r="W50" s="277" t="s">
        <x:v>118</x:v>
      </x:c>
      <x:c r="X50" s="277" t="s">
        <x:v>118</x:v>
      </x:c>
      <x:c r="Y50" s="277" t="s">
        <x:v>118</x:v>
      </x:c>
      <x:c r="Z50" s="277" t="s">
        <x:v>118</x:v>
      </x:c>
      <x:c r="AA50" s="277" t="s">
        <x:v>118</x:v>
      </x:c>
      <x:c r="AB50" s="277" t="s">
        <x:v>118</x:v>
      </x:c>
      <x:c r="AC50" s="277" t="s">
        <x:v>118</x:v>
      </x:c>
      <x:c r="AD50" s="277" t="s">
        <x:v>118</x:v>
      </x:c>
      <x:c r="AE50" s="277" t="s">
        <x:v>118</x:v>
      </x:c>
      <x:c r="AF50" s="277" t="s">
        <x:v>118</x:v>
      </x:c>
      <x:c r="AG50" s="277" t="s">
        <x:v>118</x:v>
      </x:c>
      <x:c r="AH50" s="277" t="s">
        <x:v>118</x:v>
      </x:c>
      <x:c r="AI50" s="277" t="s">
        <x:v>118</x:v>
      </x:c>
      <x:c r="AJ50" s="277" t="s">
        <x:v>118</x:v>
      </x:c>
      <x:c r="AK50" s="220">
        <x:f>COUNTIF(F50:AJ50,"X")</x:f>
      </x:c>
      <x:c r="AL50" s="221"/>
      <x:c r="AM50" s="221"/>
      <x:c r="AN50" s="222"/>
      <x:c r="AO50" s="222"/>
      <x:c r="AP50" s="228"/>
      <x:c r="AQ50" s="228"/>
      <x:c r="AR50" s="228"/>
      <x:c r="AS50" s="228"/>
      <x:c r="AT50" s="230"/>
    </x:row>
    <x:row r="51" spans="1:47" ht="19.9" customHeight="1">
      <x:c r="A51" s="274" t="s">
        <x:v>288</x:v>
      </x:c>
      <x:c r="B51" s="216"/>
      <x:c r="C51" s="275" t="s">
        <x:v>289</x:v>
      </x:c>
      <x:c r="D51" s="274" t="s">
        <x:v>290</x:v>
      </x:c>
      <x:c r="E51" s="276" t="s">
        <x:v>291</x:v>
      </x:c>
      <x:c r="F51" s="277" t="s">
        <x:v>118</x:v>
      </x:c>
      <x:c r="G51" s="277" t="s">
        <x:v>118</x:v>
      </x:c>
      <x:c r="H51" s="277" t="s">
        <x:v>118</x:v>
      </x:c>
      <x:c r="I51" s="277" t="s">
        <x:v>118</x:v>
      </x:c>
      <x:c r="J51" s="277" t="s">
        <x:v>118</x:v>
      </x:c>
      <x:c r="K51" s="277" t="s">
        <x:v>118</x:v>
      </x:c>
      <x:c r="L51" s="277" t="s">
        <x:v>118</x:v>
      </x:c>
      <x:c r="M51" s="277" t="s">
        <x:v>118</x:v>
      </x:c>
      <x:c r="N51" s="277" t="s">
        <x:v>118</x:v>
      </x:c>
      <x:c r="O51" s="277" t="s">
        <x:v>118</x:v>
      </x:c>
      <x:c r="P51" s="277" t="s">
        <x:v>118</x:v>
      </x:c>
      <x:c r="Q51" s="277" t="s">
        <x:v>118</x:v>
      </x:c>
      <x:c r="R51" s="277" t="s">
        <x:v>118</x:v>
      </x:c>
      <x:c r="S51" s="277" t="s">
        <x:v>118</x:v>
      </x:c>
      <x:c r="T51" s="277" t="s">
        <x:v>118</x:v>
      </x:c>
      <x:c r="U51" s="277" t="s">
        <x:v>118</x:v>
      </x:c>
      <x:c r="V51" s="277" t="s">
        <x:v>118</x:v>
      </x:c>
      <x:c r="W51" s="277" t="s">
        <x:v>118</x:v>
      </x:c>
      <x:c r="X51" s="277" t="s">
        <x:v>118</x:v>
      </x:c>
      <x:c r="Y51" s="277" t="s">
        <x:v>118</x:v>
      </x:c>
      <x:c r="Z51" s="277" t="s">
        <x:v>118</x:v>
      </x:c>
      <x:c r="AA51" s="277" t="s">
        <x:v>118</x:v>
      </x:c>
      <x:c r="AB51" s="277" t="s">
        <x:v>118</x:v>
      </x:c>
      <x:c r="AC51" s="277" t="s">
        <x:v>118</x:v>
      </x:c>
      <x:c r="AD51" s="277" t="s">
        <x:v>118</x:v>
      </x:c>
      <x:c r="AE51" s="277" t="s">
        <x:v>118</x:v>
      </x:c>
      <x:c r="AF51" s="277" t="s">
        <x:v>118</x:v>
      </x:c>
      <x:c r="AG51" s="277" t="s">
        <x:v>118</x:v>
      </x:c>
      <x:c r="AH51" s="277" t="s">
        <x:v>118</x:v>
      </x:c>
      <x:c r="AI51" s="277" t="s">
        <x:v>118</x:v>
      </x:c>
      <x:c r="AJ51" s="277" t="s">
        <x:v>118</x:v>
      </x:c>
      <x:c r="AK51" s="220">
        <x:f>COUNTIF(F51:AJ51,"X")</x:f>
      </x:c>
      <x:c r="AL51" s="221"/>
      <x:c r="AM51" s="221"/>
      <x:c r="AN51" s="222"/>
      <x:c r="AO51" s="222"/>
      <x:c r="AP51" s="228"/>
      <x:c r="AQ51" s="228"/>
      <x:c r="AR51" s="228"/>
      <x:c r="AS51" s="228"/>
      <x:c r="AT51" s="230"/>
    </x:row>
    <x:row r="52" spans="1:47" ht="19.9" customHeight="1">
      <x:c r="A52" s="274" t="s">
        <x:v>292</x:v>
      </x:c>
      <x:c r="B52" s="216"/>
      <x:c r="C52" s="275" t="s">
        <x:v>293</x:v>
      </x:c>
      <x:c r="D52" s="274" t="s">
        <x:v>294</x:v>
      </x:c>
      <x:c r="E52" s="276" t="s">
        <x:v>295</x:v>
      </x:c>
      <x:c r="F52" s="277" t="s">
        <x:v>118</x:v>
      </x:c>
      <x:c r="G52" s="277" t="s">
        <x:v>118</x:v>
      </x:c>
      <x:c r="H52" s="277" t="s">
        <x:v>118</x:v>
      </x:c>
      <x:c r="I52" s="277" t="s">
        <x:v>118</x:v>
      </x:c>
      <x:c r="J52" s="277" t="s">
        <x:v>118</x:v>
      </x:c>
      <x:c r="K52" s="277" t="s">
        <x:v>118</x:v>
      </x:c>
      <x:c r="L52" s="277" t="s">
        <x:v>118</x:v>
      </x:c>
      <x:c r="M52" s="277" t="s">
        <x:v>118</x:v>
      </x:c>
      <x:c r="N52" s="277" t="s">
        <x:v>118</x:v>
      </x:c>
      <x:c r="O52" s="277" t="s">
        <x:v>118</x:v>
      </x:c>
      <x:c r="P52" s="277" t="s">
        <x:v>118</x:v>
      </x:c>
      <x:c r="Q52" s="277" t="s">
        <x:v>118</x:v>
      </x:c>
      <x:c r="R52" s="277" t="s">
        <x:v>118</x:v>
      </x:c>
      <x:c r="S52" s="277" t="s">
        <x:v>118</x:v>
      </x:c>
      <x:c r="T52" s="277" t="s">
        <x:v>118</x:v>
      </x:c>
      <x:c r="U52" s="277" t="s">
        <x:v>118</x:v>
      </x:c>
      <x:c r="V52" s="277" t="s">
        <x:v>118</x:v>
      </x:c>
      <x:c r="W52" s="277" t="s">
        <x:v>118</x:v>
      </x:c>
      <x:c r="X52" s="277" t="s">
        <x:v>118</x:v>
      </x:c>
      <x:c r="Y52" s="277" t="s">
        <x:v>118</x:v>
      </x:c>
      <x:c r="Z52" s="277" t="s">
        <x:v>118</x:v>
      </x:c>
      <x:c r="AA52" s="277" t="s">
        <x:v>118</x:v>
      </x:c>
      <x:c r="AB52" s="277" t="s">
        <x:v>118</x:v>
      </x:c>
      <x:c r="AC52" s="277" t="s">
        <x:v>118</x:v>
      </x:c>
      <x:c r="AD52" s="277" t="s">
        <x:v>118</x:v>
      </x:c>
      <x:c r="AE52" s="277" t="s">
        <x:v>118</x:v>
      </x:c>
      <x:c r="AF52" s="277" t="s">
        <x:v>118</x:v>
      </x:c>
      <x:c r="AG52" s="277" t="s">
        <x:v>118</x:v>
      </x:c>
      <x:c r="AH52" s="277" t="s">
        <x:v>118</x:v>
      </x:c>
      <x:c r="AI52" s="277" t="s">
        <x:v>118</x:v>
      </x:c>
      <x:c r="AJ52" s="277" t="s">
        <x:v>118</x:v>
      </x:c>
      <x:c r="AK52" s="220">
        <x:f>COUNTIF(F52:AJ52,"X")</x:f>
      </x:c>
      <x:c r="AL52" s="221"/>
      <x:c r="AM52" s="221"/>
      <x:c r="AN52" s="222"/>
      <x:c r="AO52" s="222"/>
      <x:c r="AP52" s="228"/>
      <x:c r="AQ52" s="228"/>
      <x:c r="AR52" s="228"/>
      <x:c r="AS52" s="228"/>
      <x:c r="AT52" s="230"/>
    </x:row>
    <x:row r="53" spans="1:47" ht="19.9" customHeight="1">
      <x:c r="A53" s="274" t="s">
        <x:v>296</x:v>
      </x:c>
      <x:c r="B53" s="216"/>
      <x:c r="C53" s="275" t="s">
        <x:v>297</x:v>
      </x:c>
      <x:c r="D53" s="274" t="s">
        <x:v>294</x:v>
      </x:c>
      <x:c r="E53" s="276" t="s">
        <x:v>298</x:v>
      </x:c>
      <x:c r="F53" s="277" t="s">
        <x:v>118</x:v>
      </x:c>
      <x:c r="G53" s="277" t="s">
        <x:v>118</x:v>
      </x:c>
      <x:c r="H53" s="277" t="s">
        <x:v>118</x:v>
      </x:c>
      <x:c r="I53" s="277" t="s">
        <x:v>118</x:v>
      </x:c>
      <x:c r="J53" s="277" t="s">
        <x:v>118</x:v>
      </x:c>
      <x:c r="K53" s="277" t="s">
        <x:v>118</x:v>
      </x:c>
      <x:c r="L53" s="277" t="s">
        <x:v>118</x:v>
      </x:c>
      <x:c r="M53" s="277" t="s">
        <x:v>118</x:v>
      </x:c>
      <x:c r="N53" s="277" t="s">
        <x:v>118</x:v>
      </x:c>
      <x:c r="O53" s="277" t="s">
        <x:v>118</x:v>
      </x:c>
      <x:c r="P53" s="277" t="s">
        <x:v>118</x:v>
      </x:c>
      <x:c r="Q53" s="277" t="s">
        <x:v>118</x:v>
      </x:c>
      <x:c r="R53" s="277" t="s">
        <x:v>118</x:v>
      </x:c>
      <x:c r="S53" s="277" t="s">
        <x:v>118</x:v>
      </x:c>
      <x:c r="T53" s="277" t="s">
        <x:v>118</x:v>
      </x:c>
      <x:c r="U53" s="277" t="s">
        <x:v>118</x:v>
      </x:c>
      <x:c r="V53" s="277" t="s">
        <x:v>118</x:v>
      </x:c>
      <x:c r="W53" s="277" t="s">
        <x:v>118</x:v>
      </x:c>
      <x:c r="X53" s="277" t="s">
        <x:v>118</x:v>
      </x:c>
      <x:c r="Y53" s="277" t="s">
        <x:v>118</x:v>
      </x:c>
      <x:c r="Z53" s="277" t="s">
        <x:v>118</x:v>
      </x:c>
      <x:c r="AA53" s="277" t="s">
        <x:v>118</x:v>
      </x:c>
      <x:c r="AB53" s="277" t="s">
        <x:v>118</x:v>
      </x:c>
      <x:c r="AC53" s="277" t="s">
        <x:v>118</x:v>
      </x:c>
      <x:c r="AD53" s="277" t="s">
        <x:v>118</x:v>
      </x:c>
      <x:c r="AE53" s="277" t="s">
        <x:v>118</x:v>
      </x:c>
      <x:c r="AF53" s="277" t="s">
        <x:v>118</x:v>
      </x:c>
      <x:c r="AG53" s="277" t="s">
        <x:v>118</x:v>
      </x:c>
      <x:c r="AH53" s="277" t="s">
        <x:v>118</x:v>
      </x:c>
      <x:c r="AI53" s="277" t="s">
        <x:v>118</x:v>
      </x:c>
      <x:c r="AJ53" s="277" t="s">
        <x:v>118</x:v>
      </x:c>
      <x:c r="AK53" s="220">
        <x:f>COUNTIF(F53:AJ53,"X")</x:f>
      </x:c>
      <x:c r="AL53" s="221"/>
      <x:c r="AM53" s="221"/>
      <x:c r="AN53" s="222"/>
      <x:c r="AO53" s="222"/>
      <x:c r="AP53" s="228"/>
      <x:c r="AQ53" s="228"/>
      <x:c r="AR53" s="228"/>
      <x:c r="AS53" s="228"/>
      <x:c r="AT53" s="230"/>
    </x:row>
    <x:row r="54" spans="1:47" ht="19.9" customHeight="1">
      <x:c r="A54" s="274" t="s">
        <x:v>299</x:v>
      </x:c>
      <x:c r="B54" s="216"/>
      <x:c r="C54" s="275" t="s">
        <x:v>300</x:v>
      </x:c>
      <x:c r="D54" s="274" t="s">
        <x:v>301</x:v>
      </x:c>
      <x:c r="E54" s="276" t="s">
        <x:v>302</x:v>
      </x:c>
      <x:c r="F54" s="277" t="s">
        <x:v>118</x:v>
      </x:c>
      <x:c r="G54" s="277" t="s">
        <x:v>118</x:v>
      </x:c>
      <x:c r="H54" s="277" t="s">
        <x:v>118</x:v>
      </x:c>
      <x:c r="I54" s="277" t="s">
        <x:v>118</x:v>
      </x:c>
      <x:c r="J54" s="277" t="s">
        <x:v>118</x:v>
      </x:c>
      <x:c r="K54" s="277" t="s">
        <x:v>118</x:v>
      </x:c>
      <x:c r="L54" s="277" t="s">
        <x:v>118</x:v>
      </x:c>
      <x:c r="M54" s="277" t="s">
        <x:v>118</x:v>
      </x:c>
      <x:c r="N54" s="277" t="s">
        <x:v>118</x:v>
      </x:c>
      <x:c r="O54" s="277" t="s">
        <x:v>118</x:v>
      </x:c>
      <x:c r="P54" s="277" t="s">
        <x:v>118</x:v>
      </x:c>
      <x:c r="Q54" s="277" t="s">
        <x:v>118</x:v>
      </x:c>
      <x:c r="R54" s="277" t="s">
        <x:v>118</x:v>
      </x:c>
      <x:c r="S54" s="277" t="s">
        <x:v>118</x:v>
      </x:c>
      <x:c r="T54" s="277" t="s">
        <x:v>118</x:v>
      </x:c>
      <x:c r="U54" s="277" t="s">
        <x:v>118</x:v>
      </x:c>
      <x:c r="V54" s="277" t="s">
        <x:v>118</x:v>
      </x:c>
      <x:c r="W54" s="277" t="s">
        <x:v>118</x:v>
      </x:c>
      <x:c r="X54" s="277" t="s">
        <x:v>118</x:v>
      </x:c>
      <x:c r="Y54" s="277" t="s">
        <x:v>118</x:v>
      </x:c>
      <x:c r="Z54" s="277" t="s">
        <x:v>118</x:v>
      </x:c>
      <x:c r="AA54" s="277" t="s">
        <x:v>118</x:v>
      </x:c>
      <x:c r="AB54" s="277" t="s">
        <x:v>118</x:v>
      </x:c>
      <x:c r="AC54" s="277" t="s">
        <x:v>118</x:v>
      </x:c>
      <x:c r="AD54" s="277" t="s">
        <x:v>118</x:v>
      </x:c>
      <x:c r="AE54" s="277" t="s">
        <x:v>118</x:v>
      </x:c>
      <x:c r="AF54" s="277" t="s">
        <x:v>118</x:v>
      </x:c>
      <x:c r="AG54" s="277" t="s">
        <x:v>118</x:v>
      </x:c>
      <x:c r="AH54" s="277" t="s">
        <x:v>118</x:v>
      </x:c>
      <x:c r="AI54" s="277" t="s">
        <x:v>118</x:v>
      </x:c>
      <x:c r="AJ54" s="277" t="s">
        <x:v>118</x:v>
      </x:c>
      <x:c r="AK54" s="220">
        <x:f>COUNTIF(F54:AJ54,"X")</x:f>
      </x:c>
      <x:c r="AL54" s="221"/>
      <x:c r="AM54" s="221"/>
      <x:c r="AN54" s="222"/>
      <x:c r="AO54" s="222"/>
      <x:c r="AP54" s="228"/>
      <x:c r="AQ54" s="228"/>
      <x:c r="AR54" s="228"/>
      <x:c r="AS54" s="228"/>
      <x:c r="AT54" s="230"/>
    </x:row>
    <x:row r="55" spans="1:47" ht="19.9" customHeight="1">
      <x:c r="A55" s="274" t="s">
        <x:v>303</x:v>
      </x:c>
      <x:c r="B55" s="216"/>
      <x:c r="C55" s="275" t="s">
        <x:v>304</x:v>
      </x:c>
      <x:c r="D55" s="274" t="s">
        <x:v>305</x:v>
      </x:c>
      <x:c r="E55" s="276" t="s">
        <x:v>306</x:v>
      </x:c>
      <x:c r="F55" s="277" t="s">
        <x:v>118</x:v>
      </x:c>
      <x:c r="G55" s="277" t="s">
        <x:v>118</x:v>
      </x:c>
      <x:c r="H55" s="277" t="s">
        <x:v>118</x:v>
      </x:c>
      <x:c r="I55" s="277" t="s">
        <x:v>118</x:v>
      </x:c>
      <x:c r="J55" s="277" t="s">
        <x:v>118</x:v>
      </x:c>
      <x:c r="K55" s="277" t="s">
        <x:v>118</x:v>
      </x:c>
      <x:c r="L55" s="277" t="s">
        <x:v>118</x:v>
      </x:c>
      <x:c r="M55" s="277" t="s">
        <x:v>118</x:v>
      </x:c>
      <x:c r="N55" s="277" t="s">
        <x:v>118</x:v>
      </x:c>
      <x:c r="O55" s="277" t="s">
        <x:v>118</x:v>
      </x:c>
      <x:c r="P55" s="277" t="s">
        <x:v>118</x:v>
      </x:c>
      <x:c r="Q55" s="277" t="s">
        <x:v>118</x:v>
      </x:c>
      <x:c r="R55" s="277" t="s">
        <x:v>118</x:v>
      </x:c>
      <x:c r="S55" s="277" t="s">
        <x:v>118</x:v>
      </x:c>
      <x:c r="T55" s="277" t="s">
        <x:v>118</x:v>
      </x:c>
      <x:c r="U55" s="277" t="s">
        <x:v>118</x:v>
      </x:c>
      <x:c r="V55" s="277" t="s">
        <x:v>118</x:v>
      </x:c>
      <x:c r="W55" s="277" t="s">
        <x:v>118</x:v>
      </x:c>
      <x:c r="X55" s="277" t="s">
        <x:v>118</x:v>
      </x:c>
      <x:c r="Y55" s="277" t="s">
        <x:v>118</x:v>
      </x:c>
      <x:c r="Z55" s="277" t="s">
        <x:v>118</x:v>
      </x:c>
      <x:c r="AA55" s="277" t="s">
        <x:v>118</x:v>
      </x:c>
      <x:c r="AB55" s="277" t="s">
        <x:v>118</x:v>
      </x:c>
      <x:c r="AC55" s="277" t="s">
        <x:v>118</x:v>
      </x:c>
      <x:c r="AD55" s="277" t="s">
        <x:v>118</x:v>
      </x:c>
      <x:c r="AE55" s="277" t="s">
        <x:v>118</x:v>
      </x:c>
      <x:c r="AF55" s="277" t="s">
        <x:v>118</x:v>
      </x:c>
      <x:c r="AG55" s="277" t="s">
        <x:v>118</x:v>
      </x:c>
      <x:c r="AH55" s="277" t="s">
        <x:v>118</x:v>
      </x:c>
      <x:c r="AI55" s="277" t="s">
        <x:v>118</x:v>
      </x:c>
      <x:c r="AJ55" s="277" t="s">
        <x:v>118</x:v>
      </x:c>
      <x:c r="AK55" s="220">
        <x:f>COUNTIF(F55:AJ55,"X")</x:f>
      </x:c>
      <x:c r="AL55" s="221"/>
      <x:c r="AM55" s="221"/>
      <x:c r="AN55" s="222"/>
      <x:c r="AO55" s="222"/>
      <x:c r="AP55" s="228"/>
      <x:c r="AQ55" s="228"/>
      <x:c r="AR55" s="228"/>
      <x:c r="AS55" s="228"/>
      <x:c r="AT55" s="230"/>
    </x:row>
    <x:row r="56" spans="1:47" ht="19.9" customHeight="1">
      <x:c r="A56" s="274" t="s">
        <x:v>307</x:v>
      </x:c>
      <x:c r="B56" s="216"/>
      <x:c r="C56" s="275" t="s">
        <x:v>308</x:v>
      </x:c>
      <x:c r="D56" s="274" t="s">
        <x:v>305</x:v>
      </x:c>
      <x:c r="E56" s="276" t="s">
        <x:v>309</x:v>
      </x:c>
      <x:c r="F56" s="277" t="s">
        <x:v>118</x:v>
      </x:c>
      <x:c r="G56" s="277" t="s">
        <x:v>118</x:v>
      </x:c>
      <x:c r="H56" s="277" t="s">
        <x:v>118</x:v>
      </x:c>
      <x:c r="I56" s="277" t="s">
        <x:v>118</x:v>
      </x:c>
      <x:c r="J56" s="277" t="s">
        <x:v>118</x:v>
      </x:c>
      <x:c r="K56" s="277" t="s">
        <x:v>118</x:v>
      </x:c>
      <x:c r="L56" s="277" t="s">
        <x:v>118</x:v>
      </x:c>
      <x:c r="M56" s="277" t="s">
        <x:v>118</x:v>
      </x:c>
      <x:c r="N56" s="277" t="s">
        <x:v>118</x:v>
      </x:c>
      <x:c r="O56" s="277" t="s">
        <x:v>118</x:v>
      </x:c>
      <x:c r="P56" s="277" t="s">
        <x:v>118</x:v>
      </x:c>
      <x:c r="Q56" s="277" t="s">
        <x:v>118</x:v>
      </x:c>
      <x:c r="R56" s="277" t="s">
        <x:v>118</x:v>
      </x:c>
      <x:c r="S56" s="277" t="s">
        <x:v>118</x:v>
      </x:c>
      <x:c r="T56" s="277" t="s">
        <x:v>118</x:v>
      </x:c>
      <x:c r="U56" s="277" t="s">
        <x:v>118</x:v>
      </x:c>
      <x:c r="V56" s="277" t="s">
        <x:v>118</x:v>
      </x:c>
      <x:c r="W56" s="277" t="s">
        <x:v>118</x:v>
      </x:c>
      <x:c r="X56" s="277" t="s">
        <x:v>118</x:v>
      </x:c>
      <x:c r="Y56" s="277" t="s">
        <x:v>118</x:v>
      </x:c>
      <x:c r="Z56" s="277" t="s">
        <x:v>118</x:v>
      </x:c>
      <x:c r="AA56" s="277" t="s">
        <x:v>118</x:v>
      </x:c>
      <x:c r="AB56" s="277" t="s">
        <x:v>118</x:v>
      </x:c>
      <x:c r="AC56" s="277" t="s">
        <x:v>118</x:v>
      </x:c>
      <x:c r="AD56" s="277" t="s">
        <x:v>118</x:v>
      </x:c>
      <x:c r="AE56" s="277" t="s">
        <x:v>118</x:v>
      </x:c>
      <x:c r="AF56" s="277" t="s">
        <x:v>118</x:v>
      </x:c>
      <x:c r="AG56" s="277" t="s">
        <x:v>118</x:v>
      </x:c>
      <x:c r="AH56" s="277" t="s">
        <x:v>118</x:v>
      </x:c>
      <x:c r="AI56" s="277" t="s">
        <x:v>118</x:v>
      </x:c>
      <x:c r="AJ56" s="277" t="s">
        <x:v>118</x:v>
      </x:c>
      <x:c r="AK56" s="220">
        <x:f>COUNTIF(F56:AJ56,"X")</x:f>
      </x:c>
      <x:c r="AL56" s="221"/>
      <x:c r="AM56" s="221"/>
      <x:c r="AN56" s="222"/>
      <x:c r="AO56" s="222"/>
      <x:c r="AP56" s="228"/>
      <x:c r="AQ56" s="228"/>
      <x:c r="AR56" s="228"/>
      <x:c r="AS56" s="228"/>
      <x:c r="AT56" s="230"/>
    </x:row>
    <x:row r="57" spans="1:47" ht="19.9" customHeight="1">
      <x:c r="A57" s="274" t="s">
        <x:v>310</x:v>
      </x:c>
      <x:c r="B57" s="216"/>
      <x:c r="C57" s="275" t="s">
        <x:v>311</x:v>
      </x:c>
      <x:c r="D57" s="274" t="s">
        <x:v>305</x:v>
      </x:c>
      <x:c r="E57" s="276" t="s">
        <x:v>185</x:v>
      </x:c>
      <x:c r="F57" s="277" t="s">
        <x:v>118</x:v>
      </x:c>
      <x:c r="G57" s="277" t="s">
        <x:v>118</x:v>
      </x:c>
      <x:c r="H57" s="277" t="s">
        <x:v>118</x:v>
      </x:c>
      <x:c r="I57" s="277" t="s">
        <x:v>118</x:v>
      </x:c>
      <x:c r="J57" s="277" t="s">
        <x:v>118</x:v>
      </x:c>
      <x:c r="K57" s="277" t="s">
        <x:v>118</x:v>
      </x:c>
      <x:c r="L57" s="277" t="s">
        <x:v>118</x:v>
      </x:c>
      <x:c r="M57" s="277" t="s">
        <x:v>118</x:v>
      </x:c>
      <x:c r="N57" s="277" t="s">
        <x:v>118</x:v>
      </x:c>
      <x:c r="O57" s="277" t="s">
        <x:v>118</x:v>
      </x:c>
      <x:c r="P57" s="277" t="s">
        <x:v>118</x:v>
      </x:c>
      <x:c r="Q57" s="277" t="s">
        <x:v>118</x:v>
      </x:c>
      <x:c r="R57" s="277" t="s">
        <x:v>118</x:v>
      </x:c>
      <x:c r="S57" s="277" t="s">
        <x:v>118</x:v>
      </x:c>
      <x:c r="T57" s="277" t="s">
        <x:v>118</x:v>
      </x:c>
      <x:c r="U57" s="277" t="s">
        <x:v>118</x:v>
      </x:c>
      <x:c r="V57" s="277" t="s">
        <x:v>118</x:v>
      </x:c>
      <x:c r="W57" s="277" t="s">
        <x:v>118</x:v>
      </x:c>
      <x:c r="X57" s="277" t="s">
        <x:v>118</x:v>
      </x:c>
      <x:c r="Y57" s="277" t="s">
        <x:v>118</x:v>
      </x:c>
      <x:c r="Z57" s="277" t="s">
        <x:v>118</x:v>
      </x:c>
      <x:c r="AA57" s="277" t="s">
        <x:v>118</x:v>
      </x:c>
      <x:c r="AB57" s="277" t="s">
        <x:v>118</x:v>
      </x:c>
      <x:c r="AC57" s="277" t="s">
        <x:v>118</x:v>
      </x:c>
      <x:c r="AD57" s="277" t="s">
        <x:v>118</x:v>
      </x:c>
      <x:c r="AE57" s="277" t="s">
        <x:v>118</x:v>
      </x:c>
      <x:c r="AF57" s="277" t="s">
        <x:v>118</x:v>
      </x:c>
      <x:c r="AG57" s="277" t="s">
        <x:v>118</x:v>
      </x:c>
      <x:c r="AH57" s="277" t="s">
        <x:v>118</x:v>
      </x:c>
      <x:c r="AI57" s="277" t="s">
        <x:v>118</x:v>
      </x:c>
      <x:c r="AJ57" s="277" t="s">
        <x:v>118</x:v>
      </x:c>
      <x:c r="AK57" s="220">
        <x:f>COUNTIF(F57:AJ57,"X")</x:f>
      </x:c>
      <x:c r="AL57" s="221"/>
      <x:c r="AM57" s="221"/>
      <x:c r="AN57" s="222"/>
      <x:c r="AO57" s="222"/>
      <x:c r="AP57" s="228"/>
      <x:c r="AQ57" s="228"/>
      <x:c r="AR57" s="228"/>
      <x:c r="AS57" s="228"/>
      <x:c r="AT57" s="230"/>
    </x:row>
    <x:row r="58" spans="1:47" ht="19.9" customHeight="1">
      <x:c r="A58" s="274" t="s">
        <x:v>312</x:v>
      </x:c>
      <x:c r="B58" s="216"/>
      <x:c r="C58" s="275" t="s">
        <x:v>313</x:v>
      </x:c>
      <x:c r="D58" s="274" t="s">
        <x:v>305</x:v>
      </x:c>
      <x:c r="E58" s="276" t="s">
        <x:v>239</x:v>
      </x:c>
      <x:c r="F58" s="277" t="s">
        <x:v>118</x:v>
      </x:c>
      <x:c r="G58" s="277" t="s">
        <x:v>118</x:v>
      </x:c>
      <x:c r="H58" s="277" t="s">
        <x:v>118</x:v>
      </x:c>
      <x:c r="I58" s="277" t="s">
        <x:v>118</x:v>
      </x:c>
      <x:c r="J58" s="277" t="s">
        <x:v>118</x:v>
      </x:c>
      <x:c r="K58" s="277" t="s">
        <x:v>118</x:v>
      </x:c>
      <x:c r="L58" s="277" t="s">
        <x:v>118</x:v>
      </x:c>
      <x:c r="M58" s="277" t="s">
        <x:v>118</x:v>
      </x:c>
      <x:c r="N58" s="277" t="s">
        <x:v>118</x:v>
      </x:c>
      <x:c r="O58" s="277" t="s">
        <x:v>118</x:v>
      </x:c>
      <x:c r="P58" s="277" t="s">
        <x:v>118</x:v>
      </x:c>
      <x:c r="Q58" s="277" t="s">
        <x:v>118</x:v>
      </x:c>
      <x:c r="R58" s="277" t="s">
        <x:v>118</x:v>
      </x:c>
      <x:c r="S58" s="277" t="s">
        <x:v>118</x:v>
      </x:c>
      <x:c r="T58" s="277" t="s">
        <x:v>118</x:v>
      </x:c>
      <x:c r="U58" s="277" t="s">
        <x:v>118</x:v>
      </x:c>
      <x:c r="V58" s="277" t="s">
        <x:v>118</x:v>
      </x:c>
      <x:c r="W58" s="277" t="s">
        <x:v>118</x:v>
      </x:c>
      <x:c r="X58" s="277" t="s">
        <x:v>118</x:v>
      </x:c>
      <x:c r="Y58" s="277" t="s">
        <x:v>118</x:v>
      </x:c>
      <x:c r="Z58" s="277" t="s">
        <x:v>118</x:v>
      </x:c>
      <x:c r="AA58" s="277" t="s">
        <x:v>118</x:v>
      </x:c>
      <x:c r="AB58" s="277" t="s">
        <x:v>118</x:v>
      </x:c>
      <x:c r="AC58" s="277" t="s">
        <x:v>118</x:v>
      </x:c>
      <x:c r="AD58" s="277" t="s">
        <x:v>118</x:v>
      </x:c>
      <x:c r="AE58" s="277" t="s">
        <x:v>118</x:v>
      </x:c>
      <x:c r="AF58" s="277" t="s">
        <x:v>118</x:v>
      </x:c>
      <x:c r="AG58" s="277" t="s">
        <x:v>118</x:v>
      </x:c>
      <x:c r="AH58" s="277" t="s">
        <x:v>118</x:v>
      </x:c>
      <x:c r="AI58" s="277" t="s">
        <x:v>118</x:v>
      </x:c>
      <x:c r="AJ58" s="277" t="s">
        <x:v>118</x:v>
      </x:c>
      <x:c r="AK58" s="220">
        <x:f>COUNTIF(F58:AJ58,"X")</x:f>
      </x:c>
      <x:c r="AL58" s="221"/>
      <x:c r="AM58" s="221"/>
      <x:c r="AN58" s="222"/>
      <x:c r="AO58" s="222"/>
      <x:c r="AP58" s="228"/>
      <x:c r="AQ58" s="228"/>
      <x:c r="AR58" s="228"/>
      <x:c r="AS58" s="228"/>
      <x:c r="AT58" s="230"/>
    </x:row>
    <x:row r="59" spans="1:47" ht="19.9" customHeight="1">
      <x:c r="A59" s="274" t="s">
        <x:v>314</x:v>
      </x:c>
      <x:c r="B59" s="216"/>
      <x:c r="C59" s="275" t="s">
        <x:v>315</x:v>
      </x:c>
      <x:c r="D59" s="274" t="s">
        <x:v>316</x:v>
      </x:c>
      <x:c r="E59" s="276" t="s">
        <x:v>317</x:v>
      </x:c>
      <x:c r="F59" s="277" t="s">
        <x:v>118</x:v>
      </x:c>
      <x:c r="G59" s="277" t="s">
        <x:v>118</x:v>
      </x:c>
      <x:c r="H59" s="277" t="s">
        <x:v>118</x:v>
      </x:c>
      <x:c r="I59" s="277" t="s">
        <x:v>118</x:v>
      </x:c>
      <x:c r="J59" s="277" t="s">
        <x:v>118</x:v>
      </x:c>
      <x:c r="K59" s="277" t="s">
        <x:v>118</x:v>
      </x:c>
      <x:c r="L59" s="277" t="s">
        <x:v>118</x:v>
      </x:c>
      <x:c r="M59" s="277" t="s">
        <x:v>118</x:v>
      </x:c>
      <x:c r="N59" s="277" t="s">
        <x:v>118</x:v>
      </x:c>
      <x:c r="O59" s="277" t="s">
        <x:v>118</x:v>
      </x:c>
      <x:c r="P59" s="277" t="s">
        <x:v>118</x:v>
      </x:c>
      <x:c r="Q59" s="277" t="s">
        <x:v>118</x:v>
      </x:c>
      <x:c r="R59" s="277" t="s">
        <x:v>118</x:v>
      </x:c>
      <x:c r="S59" s="277" t="s">
        <x:v>118</x:v>
      </x:c>
      <x:c r="T59" s="277" t="s">
        <x:v>118</x:v>
      </x:c>
      <x:c r="U59" s="277" t="s">
        <x:v>118</x:v>
      </x:c>
      <x:c r="V59" s="277" t="s">
        <x:v>118</x:v>
      </x:c>
      <x:c r="W59" s="277" t="s">
        <x:v>118</x:v>
      </x:c>
      <x:c r="X59" s="277" t="s">
        <x:v>118</x:v>
      </x:c>
      <x:c r="Y59" s="277" t="s">
        <x:v>118</x:v>
      </x:c>
      <x:c r="Z59" s="277" t="s">
        <x:v>118</x:v>
      </x:c>
      <x:c r="AA59" s="277" t="s">
        <x:v>118</x:v>
      </x:c>
      <x:c r="AB59" s="277" t="s">
        <x:v>118</x:v>
      </x:c>
      <x:c r="AC59" s="277" t="s">
        <x:v>118</x:v>
      </x:c>
      <x:c r="AD59" s="277" t="s">
        <x:v>118</x:v>
      </x:c>
      <x:c r="AE59" s="277" t="s">
        <x:v>118</x:v>
      </x:c>
      <x:c r="AF59" s="277" t="s">
        <x:v>118</x:v>
      </x:c>
      <x:c r="AG59" s="277" t="s">
        <x:v>118</x:v>
      </x:c>
      <x:c r="AH59" s="277" t="s">
        <x:v>118</x:v>
      </x:c>
      <x:c r="AI59" s="277" t="s">
        <x:v>118</x:v>
      </x:c>
      <x:c r="AJ59" s="277" t="s">
        <x:v>118</x:v>
      </x:c>
      <x:c r="AK59" s="220">
        <x:f>COUNTIF(F59:AJ59,"X")</x:f>
      </x:c>
      <x:c r="AL59" s="221"/>
      <x:c r="AM59" s="221"/>
      <x:c r="AN59" s="222"/>
      <x:c r="AO59" s="222"/>
      <x:c r="AP59" s="228"/>
      <x:c r="AQ59" s="228"/>
      <x:c r="AR59" s="228"/>
      <x:c r="AS59" s="228"/>
      <x:c r="AT59" s="230"/>
    </x:row>
    <x:row r="60" spans="1:47" ht="19.9" customHeight="1">
      <x:c r="A60" s="274" t="s">
        <x:v>318</x:v>
      </x:c>
      <x:c r="B60" s="216"/>
      <x:c r="C60" s="275" t="s">
        <x:v>319</x:v>
      </x:c>
      <x:c r="D60" s="274" t="s">
        <x:v>316</x:v>
      </x:c>
      <x:c r="E60" s="276" t="s">
        <x:v>320</x:v>
      </x:c>
      <x:c r="F60" s="277" t="s">
        <x:v>118</x:v>
      </x:c>
      <x:c r="G60" s="277" t="s">
        <x:v>118</x:v>
      </x:c>
      <x:c r="H60" s="277" t="s">
        <x:v>118</x:v>
      </x:c>
      <x:c r="I60" s="277" t="s">
        <x:v>118</x:v>
      </x:c>
      <x:c r="J60" s="277" t="s">
        <x:v>118</x:v>
      </x:c>
      <x:c r="K60" s="277" t="s">
        <x:v>118</x:v>
      </x:c>
      <x:c r="L60" s="277" t="s">
        <x:v>118</x:v>
      </x:c>
      <x:c r="M60" s="277" t="s">
        <x:v>118</x:v>
      </x:c>
      <x:c r="N60" s="277" t="s">
        <x:v>118</x:v>
      </x:c>
      <x:c r="O60" s="277" t="s">
        <x:v>118</x:v>
      </x:c>
      <x:c r="P60" s="277" t="s">
        <x:v>118</x:v>
      </x:c>
      <x:c r="Q60" s="277" t="s">
        <x:v>118</x:v>
      </x:c>
      <x:c r="R60" s="277" t="s">
        <x:v>118</x:v>
      </x:c>
      <x:c r="S60" s="277" t="s">
        <x:v>118</x:v>
      </x:c>
      <x:c r="T60" s="277" t="s">
        <x:v>118</x:v>
      </x:c>
      <x:c r="U60" s="277" t="s">
        <x:v>118</x:v>
      </x:c>
      <x:c r="V60" s="277" t="s">
        <x:v>118</x:v>
      </x:c>
      <x:c r="W60" s="277" t="s">
        <x:v>118</x:v>
      </x:c>
      <x:c r="X60" s="277" t="s">
        <x:v>118</x:v>
      </x:c>
      <x:c r="Y60" s="277" t="s">
        <x:v>118</x:v>
      </x:c>
      <x:c r="Z60" s="277" t="s">
        <x:v>118</x:v>
      </x:c>
      <x:c r="AA60" s="277" t="s">
        <x:v>118</x:v>
      </x:c>
      <x:c r="AB60" s="277" t="s">
        <x:v>118</x:v>
      </x:c>
      <x:c r="AC60" s="277" t="s">
        <x:v>118</x:v>
      </x:c>
      <x:c r="AD60" s="277" t="s">
        <x:v>118</x:v>
      </x:c>
      <x:c r="AE60" s="277" t="s">
        <x:v>118</x:v>
      </x:c>
      <x:c r="AF60" s="277" t="s">
        <x:v>118</x:v>
      </x:c>
      <x:c r="AG60" s="277" t="s">
        <x:v>118</x:v>
      </x:c>
      <x:c r="AH60" s="277" t="s">
        <x:v>118</x:v>
      </x:c>
      <x:c r="AI60" s="277" t="s">
        <x:v>118</x:v>
      </x:c>
      <x:c r="AJ60" s="277" t="s">
        <x:v>118</x:v>
      </x:c>
      <x:c r="AK60" s="220">
        <x:f>COUNTIF(F60:AJ60,"X")</x:f>
      </x:c>
      <x:c r="AL60" s="221"/>
      <x:c r="AM60" s="221"/>
      <x:c r="AN60" s="222"/>
      <x:c r="AO60" s="222"/>
      <x:c r="AP60" s="228"/>
      <x:c r="AQ60" s="228"/>
      <x:c r="AR60" s="228"/>
      <x:c r="AS60" s="228"/>
      <x:c r="AT60" s="230"/>
    </x:row>
    <x:row r="61" spans="1:47" ht="19.9" customHeight="1">
      <x:c r="A61" s="274" t="s">
        <x:v>321</x:v>
      </x:c>
      <x:c r="B61" s="216"/>
      <x:c r="C61" s="275" t="s">
        <x:v>322</x:v>
      </x:c>
      <x:c r="D61" s="274" t="s">
        <x:v>316</x:v>
      </x:c>
      <x:c r="E61" s="276" t="s">
        <x:v>323</x:v>
      </x:c>
      <x:c r="F61" s="277" t="s">
        <x:v>118</x:v>
      </x:c>
      <x:c r="G61" s="277" t="s">
        <x:v>118</x:v>
      </x:c>
      <x:c r="H61" s="277" t="s">
        <x:v>118</x:v>
      </x:c>
      <x:c r="I61" s="277" t="s">
        <x:v>118</x:v>
      </x:c>
      <x:c r="J61" s="277" t="s">
        <x:v>118</x:v>
      </x:c>
      <x:c r="K61" s="277" t="s">
        <x:v>118</x:v>
      </x:c>
      <x:c r="L61" s="277" t="s">
        <x:v>118</x:v>
      </x:c>
      <x:c r="M61" s="277" t="s">
        <x:v>118</x:v>
      </x:c>
      <x:c r="N61" s="277" t="s">
        <x:v>118</x:v>
      </x:c>
      <x:c r="O61" s="277" t="s">
        <x:v>118</x:v>
      </x:c>
      <x:c r="P61" s="277" t="s">
        <x:v>118</x:v>
      </x:c>
      <x:c r="Q61" s="277" t="s">
        <x:v>118</x:v>
      </x:c>
      <x:c r="R61" s="277" t="s">
        <x:v>118</x:v>
      </x:c>
      <x:c r="S61" s="277" t="s">
        <x:v>118</x:v>
      </x:c>
      <x:c r="T61" s="277" t="s">
        <x:v>118</x:v>
      </x:c>
      <x:c r="U61" s="277" t="s">
        <x:v>118</x:v>
      </x:c>
      <x:c r="V61" s="277" t="s">
        <x:v>118</x:v>
      </x:c>
      <x:c r="W61" s="277" t="s">
        <x:v>118</x:v>
      </x:c>
      <x:c r="X61" s="277" t="s">
        <x:v>118</x:v>
      </x:c>
      <x:c r="Y61" s="277" t="s">
        <x:v>118</x:v>
      </x:c>
      <x:c r="Z61" s="277" t="s">
        <x:v>118</x:v>
      </x:c>
      <x:c r="AA61" s="277" t="s">
        <x:v>118</x:v>
      </x:c>
      <x:c r="AB61" s="277" t="s">
        <x:v>118</x:v>
      </x:c>
      <x:c r="AC61" s="277" t="s">
        <x:v>118</x:v>
      </x:c>
      <x:c r="AD61" s="277" t="s">
        <x:v>118</x:v>
      </x:c>
      <x:c r="AE61" s="277" t="s">
        <x:v>118</x:v>
      </x:c>
      <x:c r="AF61" s="277" t="s">
        <x:v>118</x:v>
      </x:c>
      <x:c r="AG61" s="277" t="s">
        <x:v>118</x:v>
      </x:c>
      <x:c r="AH61" s="277" t="s">
        <x:v>118</x:v>
      </x:c>
      <x:c r="AI61" s="277" t="s">
        <x:v>118</x:v>
      </x:c>
      <x:c r="AJ61" s="277" t="s">
        <x:v>118</x:v>
      </x:c>
      <x:c r="AK61" s="220">
        <x:f>COUNTIF(F61:AJ61,"X")</x:f>
      </x:c>
      <x:c r="AL61" s="221"/>
      <x:c r="AM61" s="221"/>
      <x:c r="AN61" s="222"/>
      <x:c r="AO61" s="222"/>
      <x:c r="AP61" s="228"/>
      <x:c r="AQ61" s="228"/>
      <x:c r="AR61" s="228"/>
      <x:c r="AS61" s="228"/>
      <x:c r="AT61" s="230"/>
    </x:row>
    <x:row r="62" spans="1:47" ht="19.9" customHeight="1">
      <x:c r="A62" s="274" t="s">
        <x:v>324</x:v>
      </x:c>
      <x:c r="B62" s="216"/>
      <x:c r="C62" s="275" t="s">
        <x:v>325</x:v>
      </x:c>
      <x:c r="D62" s="274" t="s">
        <x:v>326</x:v>
      </x:c>
      <x:c r="E62" s="276" t="s">
        <x:v>327</x:v>
      </x:c>
      <x:c r="F62" s="277" t="s">
        <x:v>118</x:v>
      </x:c>
      <x:c r="G62" s="277" t="s">
        <x:v>118</x:v>
      </x:c>
      <x:c r="H62" s="277" t="s">
        <x:v>118</x:v>
      </x:c>
      <x:c r="I62" s="277" t="s">
        <x:v>118</x:v>
      </x:c>
      <x:c r="J62" s="277" t="s">
        <x:v>118</x:v>
      </x:c>
      <x:c r="K62" s="277" t="s">
        <x:v>118</x:v>
      </x:c>
      <x:c r="L62" s="277" t="s">
        <x:v>118</x:v>
      </x:c>
      <x:c r="M62" s="277" t="s">
        <x:v>118</x:v>
      </x:c>
      <x:c r="N62" s="277" t="s">
        <x:v>118</x:v>
      </x:c>
      <x:c r="O62" s="277" t="s">
        <x:v>118</x:v>
      </x:c>
      <x:c r="P62" s="277" t="s">
        <x:v>118</x:v>
      </x:c>
      <x:c r="Q62" s="277" t="s">
        <x:v>118</x:v>
      </x:c>
      <x:c r="R62" s="277" t="s">
        <x:v>118</x:v>
      </x:c>
      <x:c r="S62" s="277" t="s">
        <x:v>118</x:v>
      </x:c>
      <x:c r="T62" s="277" t="s">
        <x:v>118</x:v>
      </x:c>
      <x:c r="U62" s="277" t="s">
        <x:v>118</x:v>
      </x:c>
      <x:c r="V62" s="277" t="s">
        <x:v>118</x:v>
      </x:c>
      <x:c r="W62" s="277" t="s">
        <x:v>118</x:v>
      </x:c>
      <x:c r="X62" s="277" t="s">
        <x:v>118</x:v>
      </x:c>
      <x:c r="Y62" s="277" t="s">
        <x:v>118</x:v>
      </x:c>
      <x:c r="Z62" s="277" t="s">
        <x:v>118</x:v>
      </x:c>
      <x:c r="AA62" s="277" t="s">
        <x:v>118</x:v>
      </x:c>
      <x:c r="AB62" s="277" t="s">
        <x:v>118</x:v>
      </x:c>
      <x:c r="AC62" s="277" t="s">
        <x:v>118</x:v>
      </x:c>
      <x:c r="AD62" s="277" t="s">
        <x:v>118</x:v>
      </x:c>
      <x:c r="AE62" s="277" t="s">
        <x:v>118</x:v>
      </x:c>
      <x:c r="AF62" s="277" t="s">
        <x:v>118</x:v>
      </x:c>
      <x:c r="AG62" s="277" t="s">
        <x:v>118</x:v>
      </x:c>
      <x:c r="AH62" s="277" t="s">
        <x:v>118</x:v>
      </x:c>
      <x:c r="AI62" s="277" t="s">
        <x:v>118</x:v>
      </x:c>
      <x:c r="AJ62" s="277" t="s">
        <x:v>118</x:v>
      </x:c>
      <x:c r="AK62" s="220">
        <x:f>COUNTIF(F62:AJ62,"X")</x:f>
      </x:c>
      <x:c r="AL62" s="221"/>
      <x:c r="AM62" s="221"/>
      <x:c r="AN62" s="222"/>
      <x:c r="AO62" s="222"/>
      <x:c r="AP62" s="228"/>
      <x:c r="AQ62" s="228"/>
      <x:c r="AR62" s="228"/>
      <x:c r="AS62" s="228"/>
      <x:c r="AT62" s="230"/>
    </x:row>
    <x:row r="63" spans="1:47" ht="19.9" customHeight="1">
      <x:c r="A63" s="274" t="s">
        <x:v>328</x:v>
      </x:c>
      <x:c r="B63" s="216"/>
      <x:c r="C63" s="275" t="s">
        <x:v>329</x:v>
      </x:c>
      <x:c r="D63" s="274" t="s">
        <x:v>326</x:v>
      </x:c>
      <x:c r="E63" s="276" t="s">
        <x:v>330</x:v>
      </x:c>
      <x:c r="F63" s="277" t="s">
        <x:v>118</x:v>
      </x:c>
      <x:c r="G63" s="277" t="s">
        <x:v>118</x:v>
      </x:c>
      <x:c r="H63" s="277" t="s">
        <x:v>118</x:v>
      </x:c>
      <x:c r="I63" s="277" t="s">
        <x:v>118</x:v>
      </x:c>
      <x:c r="J63" s="277" t="s">
        <x:v>118</x:v>
      </x:c>
      <x:c r="K63" s="277" t="s">
        <x:v>118</x:v>
      </x:c>
      <x:c r="L63" s="277" t="s">
        <x:v>118</x:v>
      </x:c>
      <x:c r="M63" s="277" t="s">
        <x:v>118</x:v>
      </x:c>
      <x:c r="N63" s="277" t="s">
        <x:v>118</x:v>
      </x:c>
      <x:c r="O63" s="277" t="s">
        <x:v>118</x:v>
      </x:c>
      <x:c r="P63" s="277" t="s">
        <x:v>118</x:v>
      </x:c>
      <x:c r="Q63" s="277" t="s">
        <x:v>118</x:v>
      </x:c>
      <x:c r="R63" s="277" t="s">
        <x:v>118</x:v>
      </x:c>
      <x:c r="S63" s="277" t="s">
        <x:v>118</x:v>
      </x:c>
      <x:c r="T63" s="277" t="s">
        <x:v>118</x:v>
      </x:c>
      <x:c r="U63" s="277" t="s">
        <x:v>118</x:v>
      </x:c>
      <x:c r="V63" s="277" t="s">
        <x:v>118</x:v>
      </x:c>
      <x:c r="W63" s="277" t="s">
        <x:v>118</x:v>
      </x:c>
      <x:c r="X63" s="277" t="s">
        <x:v>118</x:v>
      </x:c>
      <x:c r="Y63" s="277" t="s">
        <x:v>118</x:v>
      </x:c>
      <x:c r="Z63" s="277" t="s">
        <x:v>118</x:v>
      </x:c>
      <x:c r="AA63" s="277" t="s">
        <x:v>118</x:v>
      </x:c>
      <x:c r="AB63" s="277" t="s">
        <x:v>118</x:v>
      </x:c>
      <x:c r="AC63" s="277" t="s">
        <x:v>118</x:v>
      </x:c>
      <x:c r="AD63" s="277" t="s">
        <x:v>118</x:v>
      </x:c>
      <x:c r="AE63" s="277" t="s">
        <x:v>118</x:v>
      </x:c>
      <x:c r="AF63" s="277" t="s">
        <x:v>118</x:v>
      </x:c>
      <x:c r="AG63" s="277" t="s">
        <x:v>118</x:v>
      </x:c>
      <x:c r="AH63" s="277" t="s">
        <x:v>118</x:v>
      </x:c>
      <x:c r="AI63" s="277" t="s">
        <x:v>118</x:v>
      </x:c>
      <x:c r="AJ63" s="277" t="s">
        <x:v>118</x:v>
      </x:c>
      <x:c r="AK63" s="220">
        <x:f>COUNTIF(F63:AJ63,"X")</x:f>
      </x:c>
      <x:c r="AL63" s="221"/>
      <x:c r="AM63" s="221"/>
      <x:c r="AN63" s="222"/>
      <x:c r="AO63" s="222"/>
      <x:c r="AP63" s="228"/>
      <x:c r="AQ63" s="228"/>
      <x:c r="AR63" s="228"/>
      <x:c r="AS63" s="228"/>
      <x:c r="AT63" s="230"/>
    </x:row>
    <x:row r="64" spans="1:47" ht="19.9" customHeight="1">
      <x:c r="A64" s="274" t="s">
        <x:v>331</x:v>
      </x:c>
      <x:c r="B64" s="216"/>
      <x:c r="C64" s="275" t="s">
        <x:v>332</x:v>
      </x:c>
      <x:c r="D64" s="274" t="s">
        <x:v>333</x:v>
      </x:c>
      <x:c r="E64" s="276" t="s">
        <x:v>220</x:v>
      </x:c>
      <x:c r="F64" s="277" t="s">
        <x:v>118</x:v>
      </x:c>
      <x:c r="G64" s="277" t="s">
        <x:v>118</x:v>
      </x:c>
      <x:c r="H64" s="277" t="s">
        <x:v>118</x:v>
      </x:c>
      <x:c r="I64" s="277" t="s">
        <x:v>118</x:v>
      </x:c>
      <x:c r="J64" s="277" t="s">
        <x:v>118</x:v>
      </x:c>
      <x:c r="K64" s="277" t="s">
        <x:v>118</x:v>
      </x:c>
      <x:c r="L64" s="277" t="s">
        <x:v>118</x:v>
      </x:c>
      <x:c r="M64" s="277" t="s">
        <x:v>118</x:v>
      </x:c>
      <x:c r="N64" s="277" t="s">
        <x:v>118</x:v>
      </x:c>
      <x:c r="O64" s="277" t="s">
        <x:v>118</x:v>
      </x:c>
      <x:c r="P64" s="277" t="s">
        <x:v>118</x:v>
      </x:c>
      <x:c r="Q64" s="277" t="s">
        <x:v>118</x:v>
      </x:c>
      <x:c r="R64" s="277" t="s">
        <x:v>118</x:v>
      </x:c>
      <x:c r="S64" s="277" t="s">
        <x:v>118</x:v>
      </x:c>
      <x:c r="T64" s="277" t="s">
        <x:v>118</x:v>
      </x:c>
      <x:c r="U64" s="277" t="s">
        <x:v>118</x:v>
      </x:c>
      <x:c r="V64" s="277" t="s">
        <x:v>118</x:v>
      </x:c>
      <x:c r="W64" s="277" t="s">
        <x:v>118</x:v>
      </x:c>
      <x:c r="X64" s="277" t="s">
        <x:v>118</x:v>
      </x:c>
      <x:c r="Y64" s="277" t="s">
        <x:v>118</x:v>
      </x:c>
      <x:c r="Z64" s="277" t="s">
        <x:v>118</x:v>
      </x:c>
      <x:c r="AA64" s="277" t="s">
        <x:v>118</x:v>
      </x:c>
      <x:c r="AB64" s="277" t="s">
        <x:v>118</x:v>
      </x:c>
      <x:c r="AC64" s="277" t="s">
        <x:v>118</x:v>
      </x:c>
      <x:c r="AD64" s="277" t="s">
        <x:v>118</x:v>
      </x:c>
      <x:c r="AE64" s="277" t="s">
        <x:v>118</x:v>
      </x:c>
      <x:c r="AF64" s="277" t="s">
        <x:v>118</x:v>
      </x:c>
      <x:c r="AG64" s="277" t="s">
        <x:v>118</x:v>
      </x:c>
      <x:c r="AH64" s="277" t="s">
        <x:v>118</x:v>
      </x:c>
      <x:c r="AI64" s="277" t="s">
        <x:v>118</x:v>
      </x:c>
      <x:c r="AJ64" s="277" t="s">
        <x:v>118</x:v>
      </x:c>
      <x:c r="AK64" s="220">
        <x:f>COUNTIF(F64:AJ64,"X")</x:f>
      </x:c>
      <x:c r="AL64" s="221"/>
      <x:c r="AM64" s="221"/>
      <x:c r="AN64" s="222"/>
      <x:c r="AO64" s="222"/>
      <x:c r="AP64" s="228"/>
      <x:c r="AQ64" s="228"/>
      <x:c r="AR64" s="228"/>
      <x:c r="AS64" s="228"/>
      <x:c r="AT64" s="230"/>
    </x:row>
    <x:row r="65" spans="1:47" ht="19.9" customHeight="1">
      <x:c r="A65" s="274" t="s">
        <x:v>334</x:v>
      </x:c>
      <x:c r="B65" s="216"/>
      <x:c r="C65" s="275" t="s">
        <x:v>335</x:v>
      </x:c>
      <x:c r="D65" s="274" t="s">
        <x:v>336</x:v>
      </x:c>
      <x:c r="E65" s="276" t="s">
        <x:v>337</x:v>
      </x:c>
      <x:c r="F65" s="277" t="s">
        <x:v>118</x:v>
      </x:c>
      <x:c r="G65" s="277" t="s">
        <x:v>118</x:v>
      </x:c>
      <x:c r="H65" s="277" t="s">
        <x:v>118</x:v>
      </x:c>
      <x:c r="I65" s="277" t="s">
        <x:v>118</x:v>
      </x:c>
      <x:c r="J65" s="277" t="s">
        <x:v>118</x:v>
      </x:c>
      <x:c r="K65" s="277" t="s">
        <x:v>118</x:v>
      </x:c>
      <x:c r="L65" s="277" t="s">
        <x:v>118</x:v>
      </x:c>
      <x:c r="M65" s="277" t="s">
        <x:v>118</x:v>
      </x:c>
      <x:c r="N65" s="277" t="s">
        <x:v>118</x:v>
      </x:c>
      <x:c r="O65" s="277" t="s">
        <x:v>118</x:v>
      </x:c>
      <x:c r="P65" s="277" t="s">
        <x:v>118</x:v>
      </x:c>
      <x:c r="Q65" s="277" t="s">
        <x:v>118</x:v>
      </x:c>
      <x:c r="R65" s="277" t="s">
        <x:v>118</x:v>
      </x:c>
      <x:c r="S65" s="277" t="s">
        <x:v>118</x:v>
      </x:c>
      <x:c r="T65" s="277" t="s">
        <x:v>118</x:v>
      </x:c>
      <x:c r="U65" s="277" t="s">
        <x:v>118</x:v>
      </x:c>
      <x:c r="V65" s="277" t="s">
        <x:v>118</x:v>
      </x:c>
      <x:c r="W65" s="277" t="s">
        <x:v>118</x:v>
      </x:c>
      <x:c r="X65" s="277" t="s">
        <x:v>118</x:v>
      </x:c>
      <x:c r="Y65" s="277" t="s">
        <x:v>118</x:v>
      </x:c>
      <x:c r="Z65" s="277" t="s">
        <x:v>118</x:v>
      </x:c>
      <x:c r="AA65" s="277" t="s">
        <x:v>118</x:v>
      </x:c>
      <x:c r="AB65" s="277" t="s">
        <x:v>118</x:v>
      </x:c>
      <x:c r="AC65" s="277" t="s">
        <x:v>118</x:v>
      </x:c>
      <x:c r="AD65" s="277" t="s">
        <x:v>118</x:v>
      </x:c>
      <x:c r="AE65" s="277" t="s">
        <x:v>118</x:v>
      </x:c>
      <x:c r="AF65" s="277" t="s">
        <x:v>118</x:v>
      </x:c>
      <x:c r="AG65" s="277" t="s">
        <x:v>118</x:v>
      </x:c>
      <x:c r="AH65" s="277" t="s">
        <x:v>118</x:v>
      </x:c>
      <x:c r="AI65" s="277" t="s">
        <x:v>118</x:v>
      </x:c>
      <x:c r="AJ65" s="277" t="s">
        <x:v>118</x:v>
      </x:c>
      <x:c r="AK65" s="220">
        <x:f>COUNTIF(F65:AJ65,"X")</x:f>
      </x:c>
      <x:c r="AL65" s="221"/>
      <x:c r="AM65" s="221"/>
      <x:c r="AN65" s="222"/>
      <x:c r="AO65" s="222"/>
      <x:c r="AP65" s="228"/>
      <x:c r="AQ65" s="228"/>
      <x:c r="AR65" s="228"/>
      <x:c r="AS65" s="228"/>
      <x:c r="AT65" s="230"/>
    </x:row>
    <x:row r="66" spans="1:47" ht="19.9" customHeight="1">
      <x:c r="A66" s="274" t="s">
        <x:v>338</x:v>
      </x:c>
      <x:c r="B66" s="216"/>
      <x:c r="C66" s="275" t="s">
        <x:v>339</x:v>
      </x:c>
      <x:c r="D66" s="274" t="s">
        <x:v>163</x:v>
      </x:c>
      <x:c r="E66" s="276" t="s">
        <x:v>340</x:v>
      </x:c>
      <x:c r="F66" s="277" t="s">
        <x:v>118</x:v>
      </x:c>
      <x:c r="G66" s="277" t="s">
        <x:v>118</x:v>
      </x:c>
      <x:c r="H66" s="277" t="s">
        <x:v>118</x:v>
      </x:c>
      <x:c r="I66" s="277" t="s">
        <x:v>118</x:v>
      </x:c>
      <x:c r="J66" s="277" t="s">
        <x:v>118</x:v>
      </x:c>
      <x:c r="K66" s="277" t="s">
        <x:v>118</x:v>
      </x:c>
      <x:c r="L66" s="277" t="s">
        <x:v>118</x:v>
      </x:c>
      <x:c r="M66" s="277" t="s">
        <x:v>118</x:v>
      </x:c>
      <x:c r="N66" s="277" t="s">
        <x:v>118</x:v>
      </x:c>
      <x:c r="O66" s="277" t="s">
        <x:v>118</x:v>
      </x:c>
      <x:c r="P66" s="277" t="s">
        <x:v>118</x:v>
      </x:c>
      <x:c r="Q66" s="277" t="s">
        <x:v>118</x:v>
      </x:c>
      <x:c r="R66" s="277" t="s">
        <x:v>118</x:v>
      </x:c>
      <x:c r="S66" s="277" t="s">
        <x:v>118</x:v>
      </x:c>
      <x:c r="T66" s="277" t="s">
        <x:v>118</x:v>
      </x:c>
      <x:c r="U66" s="277" t="s">
        <x:v>118</x:v>
      </x:c>
      <x:c r="V66" s="277" t="s">
        <x:v>118</x:v>
      </x:c>
      <x:c r="W66" s="277" t="s">
        <x:v>118</x:v>
      </x:c>
      <x:c r="X66" s="277" t="s">
        <x:v>118</x:v>
      </x:c>
      <x:c r="Y66" s="277" t="s">
        <x:v>118</x:v>
      </x:c>
      <x:c r="Z66" s="277" t="s">
        <x:v>118</x:v>
      </x:c>
      <x:c r="AA66" s="277" t="s">
        <x:v>118</x:v>
      </x:c>
      <x:c r="AB66" s="277" t="s">
        <x:v>118</x:v>
      </x:c>
      <x:c r="AC66" s="277" t="s">
        <x:v>118</x:v>
      </x:c>
      <x:c r="AD66" s="277" t="s">
        <x:v>118</x:v>
      </x:c>
      <x:c r="AE66" s="277" t="s">
        <x:v>118</x:v>
      </x:c>
      <x:c r="AF66" s="277" t="s">
        <x:v>118</x:v>
      </x:c>
      <x:c r="AG66" s="277" t="s">
        <x:v>118</x:v>
      </x:c>
      <x:c r="AH66" s="277" t="s">
        <x:v>118</x:v>
      </x:c>
      <x:c r="AI66" s="277" t="s">
        <x:v>118</x:v>
      </x:c>
      <x:c r="AJ66" s="277" t="s">
        <x:v>118</x:v>
      </x:c>
      <x:c r="AK66" s="220">
        <x:f>COUNTIF(F66:AJ66,"X")</x:f>
      </x:c>
      <x:c r="AL66" s="221"/>
      <x:c r="AM66" s="221"/>
      <x:c r="AN66" s="222"/>
      <x:c r="AO66" s="222"/>
      <x:c r="AP66" s="228"/>
      <x:c r="AQ66" s="228"/>
      <x:c r="AR66" s="228"/>
      <x:c r="AS66" s="228"/>
      <x:c r="AT66" s="230"/>
    </x:row>
    <x:row r="67" spans="1:47" ht="19.9" customHeight="1">
      <x:c r="A67" s="274" t="s">
        <x:v>341</x:v>
      </x:c>
      <x:c r="B67" s="216"/>
      <x:c r="C67" s="275" t="s">
        <x:v>342</x:v>
      </x:c>
      <x:c r="D67" s="274" t="s">
        <x:v>163</x:v>
      </x:c>
      <x:c r="E67" s="276" t="s">
        <x:v>343</x:v>
      </x:c>
      <x:c r="F67" s="277" t="s">
        <x:v>118</x:v>
      </x:c>
      <x:c r="G67" s="277" t="s">
        <x:v>118</x:v>
      </x:c>
      <x:c r="H67" s="277" t="s">
        <x:v>118</x:v>
      </x:c>
      <x:c r="I67" s="277" t="s">
        <x:v>118</x:v>
      </x:c>
      <x:c r="J67" s="277" t="s">
        <x:v>118</x:v>
      </x:c>
      <x:c r="K67" s="277" t="s">
        <x:v>118</x:v>
      </x:c>
      <x:c r="L67" s="277" t="s">
        <x:v>118</x:v>
      </x:c>
      <x:c r="M67" s="277" t="s">
        <x:v>118</x:v>
      </x:c>
      <x:c r="N67" s="277" t="s">
        <x:v>118</x:v>
      </x:c>
      <x:c r="O67" s="277" t="s">
        <x:v>118</x:v>
      </x:c>
      <x:c r="P67" s="277" t="s">
        <x:v>118</x:v>
      </x:c>
      <x:c r="Q67" s="277" t="s">
        <x:v>118</x:v>
      </x:c>
      <x:c r="R67" s="277" t="s">
        <x:v>118</x:v>
      </x:c>
      <x:c r="S67" s="277" t="s">
        <x:v>118</x:v>
      </x:c>
      <x:c r="T67" s="277" t="s">
        <x:v>118</x:v>
      </x:c>
      <x:c r="U67" s="277" t="s">
        <x:v>118</x:v>
      </x:c>
      <x:c r="V67" s="277" t="s">
        <x:v>118</x:v>
      </x:c>
      <x:c r="W67" s="277" t="s">
        <x:v>118</x:v>
      </x:c>
      <x:c r="X67" s="277" t="s">
        <x:v>118</x:v>
      </x:c>
      <x:c r="Y67" s="277" t="s">
        <x:v>118</x:v>
      </x:c>
      <x:c r="Z67" s="277" t="s">
        <x:v>118</x:v>
      </x:c>
      <x:c r="AA67" s="277" t="s">
        <x:v>118</x:v>
      </x:c>
      <x:c r="AB67" s="277" t="s">
        <x:v>118</x:v>
      </x:c>
      <x:c r="AC67" s="277" t="s">
        <x:v>118</x:v>
      </x:c>
      <x:c r="AD67" s="277" t="s">
        <x:v>118</x:v>
      </x:c>
      <x:c r="AE67" s="277" t="s">
        <x:v>118</x:v>
      </x:c>
      <x:c r="AF67" s="277" t="s">
        <x:v>118</x:v>
      </x:c>
      <x:c r="AG67" s="277" t="s">
        <x:v>118</x:v>
      </x:c>
      <x:c r="AH67" s="277" t="s">
        <x:v>118</x:v>
      </x:c>
      <x:c r="AI67" s="277" t="s">
        <x:v>118</x:v>
      </x:c>
      <x:c r="AJ67" s="277" t="s">
        <x:v>118</x:v>
      </x:c>
      <x:c r="AK67" s="220">
        <x:f>COUNTIF(F67:AJ67,"X")</x:f>
      </x:c>
      <x:c r="AL67" s="221"/>
      <x:c r="AM67" s="221"/>
      <x:c r="AN67" s="222"/>
      <x:c r="AO67" s="222"/>
      <x:c r="AP67" s="228"/>
      <x:c r="AQ67" s="228"/>
      <x:c r="AR67" s="228"/>
      <x:c r="AS67" s="228"/>
      <x:c r="AT67" s="230"/>
    </x:row>
    <x:row r="68" spans="1:47" ht="19.9" customHeight="1">
      <x:c r="A68" s="274" t="s">
        <x:v>344</x:v>
      </x:c>
      <x:c r="B68" s="216"/>
      <x:c r="C68" s="275" t="s">
        <x:v>345</x:v>
      </x:c>
      <x:c r="D68" s="274" t="s">
        <x:v>163</x:v>
      </x:c>
      <x:c r="E68" s="276" t="s">
        <x:v>346</x:v>
      </x:c>
      <x:c r="F68" s="277" t="s">
        <x:v>118</x:v>
      </x:c>
      <x:c r="G68" s="277" t="s">
        <x:v>118</x:v>
      </x:c>
      <x:c r="H68" s="277" t="s">
        <x:v>118</x:v>
      </x:c>
      <x:c r="I68" s="277" t="s">
        <x:v>118</x:v>
      </x:c>
      <x:c r="J68" s="277" t="s">
        <x:v>118</x:v>
      </x:c>
      <x:c r="K68" s="277" t="s">
        <x:v>118</x:v>
      </x:c>
      <x:c r="L68" s="277" t="s">
        <x:v>118</x:v>
      </x:c>
      <x:c r="M68" s="277" t="s">
        <x:v>118</x:v>
      </x:c>
      <x:c r="N68" s="277" t="s">
        <x:v>118</x:v>
      </x:c>
      <x:c r="O68" s="277" t="s">
        <x:v>118</x:v>
      </x:c>
      <x:c r="P68" s="277" t="s">
        <x:v>118</x:v>
      </x:c>
      <x:c r="Q68" s="277" t="s">
        <x:v>118</x:v>
      </x:c>
      <x:c r="R68" s="277" t="s">
        <x:v>118</x:v>
      </x:c>
      <x:c r="S68" s="277" t="s">
        <x:v>118</x:v>
      </x:c>
      <x:c r="T68" s="277" t="s">
        <x:v>118</x:v>
      </x:c>
      <x:c r="U68" s="277" t="s">
        <x:v>118</x:v>
      </x:c>
      <x:c r="V68" s="277" t="s">
        <x:v>118</x:v>
      </x:c>
      <x:c r="W68" s="277" t="s">
        <x:v>118</x:v>
      </x:c>
      <x:c r="X68" s="277" t="s">
        <x:v>118</x:v>
      </x:c>
      <x:c r="Y68" s="277" t="s">
        <x:v>118</x:v>
      </x:c>
      <x:c r="Z68" s="277" t="s">
        <x:v>118</x:v>
      </x:c>
      <x:c r="AA68" s="277" t="s">
        <x:v>118</x:v>
      </x:c>
      <x:c r="AB68" s="277" t="s">
        <x:v>118</x:v>
      </x:c>
      <x:c r="AC68" s="277" t="s">
        <x:v>118</x:v>
      </x:c>
      <x:c r="AD68" s="277" t="s">
        <x:v>118</x:v>
      </x:c>
      <x:c r="AE68" s="277" t="s">
        <x:v>118</x:v>
      </x:c>
      <x:c r="AF68" s="277" t="s">
        <x:v>118</x:v>
      </x:c>
      <x:c r="AG68" s="277" t="s">
        <x:v>118</x:v>
      </x:c>
      <x:c r="AH68" s="277" t="s">
        <x:v>118</x:v>
      </x:c>
      <x:c r="AI68" s="277" t="s">
        <x:v>118</x:v>
      </x:c>
      <x:c r="AJ68" s="277" t="s">
        <x:v>118</x:v>
      </x:c>
      <x:c r="AK68" s="220">
        <x:f>COUNTIF(F68:AJ68,"X")</x:f>
      </x:c>
      <x:c r="AL68" s="221"/>
      <x:c r="AM68" s="221"/>
      <x:c r="AN68" s="222"/>
      <x:c r="AO68" s="222"/>
      <x:c r="AP68" s="228"/>
      <x:c r="AQ68" s="228"/>
      <x:c r="AR68" s="228"/>
      <x:c r="AS68" s="228"/>
      <x:c r="AT68" s="230"/>
    </x:row>
    <x:row r="69" spans="1:47" ht="19.9" customHeight="1">
      <x:c r="A69" s="274" t="s">
        <x:v>347</x:v>
      </x:c>
      <x:c r="B69" s="216"/>
      <x:c r="C69" s="275" t="s">
        <x:v>348</x:v>
      </x:c>
      <x:c r="D69" s="274" t="s">
        <x:v>349</x:v>
      </x:c>
      <x:c r="E69" s="276" t="s">
        <x:v>350</x:v>
      </x:c>
      <x:c r="F69" s="277" t="s">
        <x:v>118</x:v>
      </x:c>
      <x:c r="G69" s="277" t="s">
        <x:v>118</x:v>
      </x:c>
      <x:c r="H69" s="277" t="s">
        <x:v>118</x:v>
      </x:c>
      <x:c r="I69" s="277" t="s">
        <x:v>118</x:v>
      </x:c>
      <x:c r="J69" s="277" t="s">
        <x:v>118</x:v>
      </x:c>
      <x:c r="K69" s="277" t="s">
        <x:v>118</x:v>
      </x:c>
      <x:c r="L69" s="277" t="s">
        <x:v>118</x:v>
      </x:c>
      <x:c r="M69" s="277" t="s">
        <x:v>118</x:v>
      </x:c>
      <x:c r="N69" s="277" t="s">
        <x:v>118</x:v>
      </x:c>
      <x:c r="O69" s="277" t="s">
        <x:v>118</x:v>
      </x:c>
      <x:c r="P69" s="277" t="s">
        <x:v>118</x:v>
      </x:c>
      <x:c r="Q69" s="277" t="s">
        <x:v>118</x:v>
      </x:c>
      <x:c r="R69" s="277" t="s">
        <x:v>118</x:v>
      </x:c>
      <x:c r="S69" s="277" t="s">
        <x:v>118</x:v>
      </x:c>
      <x:c r="T69" s="277" t="s">
        <x:v>118</x:v>
      </x:c>
      <x:c r="U69" s="277" t="s">
        <x:v>118</x:v>
      </x:c>
      <x:c r="V69" s="277" t="s">
        <x:v>118</x:v>
      </x:c>
      <x:c r="W69" s="277" t="s">
        <x:v>118</x:v>
      </x:c>
      <x:c r="X69" s="277" t="s">
        <x:v>118</x:v>
      </x:c>
      <x:c r="Y69" s="277" t="s">
        <x:v>118</x:v>
      </x:c>
      <x:c r="Z69" s="277" t="s">
        <x:v>118</x:v>
      </x:c>
      <x:c r="AA69" s="277" t="s">
        <x:v>118</x:v>
      </x:c>
      <x:c r="AB69" s="277" t="s">
        <x:v>118</x:v>
      </x:c>
      <x:c r="AC69" s="277" t="s">
        <x:v>118</x:v>
      </x:c>
      <x:c r="AD69" s="277" t="s">
        <x:v>118</x:v>
      </x:c>
      <x:c r="AE69" s="277" t="s">
        <x:v>118</x:v>
      </x:c>
      <x:c r="AF69" s="277" t="s">
        <x:v>118</x:v>
      </x:c>
      <x:c r="AG69" s="277" t="s">
        <x:v>118</x:v>
      </x:c>
      <x:c r="AH69" s="277" t="s">
        <x:v>118</x:v>
      </x:c>
      <x:c r="AI69" s="277" t="s">
        <x:v>118</x:v>
      </x:c>
      <x:c r="AJ69" s="277" t="s">
        <x:v>118</x:v>
      </x:c>
      <x:c r="AK69" s="220">
        <x:f>COUNTIF(F69:AJ69,"X")</x:f>
      </x:c>
      <x:c r="AL69" s="221"/>
      <x:c r="AM69" s="221"/>
      <x:c r="AN69" s="222"/>
      <x:c r="AO69" s="222"/>
      <x:c r="AP69" s="228"/>
      <x:c r="AQ69" s="228"/>
      <x:c r="AR69" s="228"/>
      <x:c r="AS69" s="228"/>
      <x:c r="AT69" s="230"/>
    </x:row>
    <x:row r="70" spans="1:47" ht="19.9" customHeight="1">
      <x:c r="A70" s="274" t="s">
        <x:v>351</x:v>
      </x:c>
      <x:c r="B70" s="216"/>
      <x:c r="C70" s="275" t="s">
        <x:v>352</x:v>
      </x:c>
      <x:c r="D70" s="274" t="s">
        <x:v>353</x:v>
      </x:c>
      <x:c r="E70" s="276" t="s">
        <x:v>354</x:v>
      </x:c>
      <x:c r="F70" s="277" t="s">
        <x:v>118</x:v>
      </x:c>
      <x:c r="G70" s="277" t="s">
        <x:v>118</x:v>
      </x:c>
      <x:c r="H70" s="277" t="s">
        <x:v>118</x:v>
      </x:c>
      <x:c r="I70" s="277" t="s">
        <x:v>118</x:v>
      </x:c>
      <x:c r="J70" s="277" t="s">
        <x:v>118</x:v>
      </x:c>
      <x:c r="K70" s="277" t="s">
        <x:v>118</x:v>
      </x:c>
      <x:c r="L70" s="277" t="s">
        <x:v>118</x:v>
      </x:c>
      <x:c r="M70" s="277" t="s">
        <x:v>118</x:v>
      </x:c>
      <x:c r="N70" s="277" t="s">
        <x:v>118</x:v>
      </x:c>
      <x:c r="O70" s="277" t="s">
        <x:v>118</x:v>
      </x:c>
      <x:c r="P70" s="277" t="s">
        <x:v>118</x:v>
      </x:c>
      <x:c r="Q70" s="277" t="s">
        <x:v>118</x:v>
      </x:c>
      <x:c r="R70" s="277" t="s">
        <x:v>118</x:v>
      </x:c>
      <x:c r="S70" s="277" t="s">
        <x:v>118</x:v>
      </x:c>
      <x:c r="T70" s="277" t="s">
        <x:v>118</x:v>
      </x:c>
      <x:c r="U70" s="277" t="s">
        <x:v>118</x:v>
      </x:c>
      <x:c r="V70" s="277" t="s">
        <x:v>118</x:v>
      </x:c>
      <x:c r="W70" s="277" t="s">
        <x:v>118</x:v>
      </x:c>
      <x:c r="X70" s="277" t="s">
        <x:v>118</x:v>
      </x:c>
      <x:c r="Y70" s="277" t="s">
        <x:v>118</x:v>
      </x:c>
      <x:c r="Z70" s="277" t="s">
        <x:v>118</x:v>
      </x:c>
      <x:c r="AA70" s="277" t="s">
        <x:v>118</x:v>
      </x:c>
      <x:c r="AB70" s="277" t="s">
        <x:v>118</x:v>
      </x:c>
      <x:c r="AC70" s="277" t="s">
        <x:v>118</x:v>
      </x:c>
      <x:c r="AD70" s="277" t="s">
        <x:v>118</x:v>
      </x:c>
      <x:c r="AE70" s="277" t="s">
        <x:v>118</x:v>
      </x:c>
      <x:c r="AF70" s="277" t="s">
        <x:v>118</x:v>
      </x:c>
      <x:c r="AG70" s="277" t="s">
        <x:v>118</x:v>
      </x:c>
      <x:c r="AH70" s="277" t="s">
        <x:v>118</x:v>
      </x:c>
      <x:c r="AI70" s="277" t="s">
        <x:v>118</x:v>
      </x:c>
      <x:c r="AJ70" s="277" t="s">
        <x:v>118</x:v>
      </x:c>
      <x:c r="AK70" s="220">
        <x:f>COUNTIF(F70:AJ70,"X")</x:f>
      </x:c>
      <x:c r="AL70" s="221"/>
      <x:c r="AM70" s="221"/>
      <x:c r="AN70" s="222"/>
      <x:c r="AO70" s="222"/>
      <x:c r="AP70" s="228"/>
      <x:c r="AQ70" s="228"/>
      <x:c r="AR70" s="228"/>
      <x:c r="AS70" s="228"/>
      <x:c r="AT70" s="230"/>
    </x:row>
    <x:row r="71" spans="1:47" ht="19.9" customHeight="1">
      <x:c r="A71" s="274" t="s">
        <x:v>355</x:v>
      </x:c>
      <x:c r="B71" s="216"/>
      <x:c r="C71" s="275" t="s">
        <x:v>356</x:v>
      </x:c>
      <x:c r="D71" s="274" t="s">
        <x:v>357</x:v>
      </x:c>
      <x:c r="E71" s="276" t="s">
        <x:v>358</x:v>
      </x:c>
      <x:c r="F71" s="277" t="s">
        <x:v>118</x:v>
      </x:c>
      <x:c r="G71" s="277" t="s">
        <x:v>118</x:v>
      </x:c>
      <x:c r="H71" s="277" t="s">
        <x:v>118</x:v>
      </x:c>
      <x:c r="I71" s="277" t="s">
        <x:v>118</x:v>
      </x:c>
      <x:c r="J71" s="277" t="s">
        <x:v>118</x:v>
      </x:c>
      <x:c r="K71" s="277" t="s">
        <x:v>118</x:v>
      </x:c>
      <x:c r="L71" s="277" t="s">
        <x:v>118</x:v>
      </x:c>
      <x:c r="M71" s="277" t="s">
        <x:v>118</x:v>
      </x:c>
      <x:c r="N71" s="277" t="s">
        <x:v>118</x:v>
      </x:c>
      <x:c r="O71" s="277" t="s">
        <x:v>118</x:v>
      </x:c>
      <x:c r="P71" s="277" t="s">
        <x:v>118</x:v>
      </x:c>
      <x:c r="Q71" s="277" t="s">
        <x:v>118</x:v>
      </x:c>
      <x:c r="R71" s="277" t="s">
        <x:v>118</x:v>
      </x:c>
      <x:c r="S71" s="277" t="s">
        <x:v>118</x:v>
      </x:c>
      <x:c r="T71" s="277" t="s">
        <x:v>118</x:v>
      </x:c>
      <x:c r="U71" s="277" t="s">
        <x:v>118</x:v>
      </x:c>
      <x:c r="V71" s="277" t="s">
        <x:v>118</x:v>
      </x:c>
      <x:c r="W71" s="277" t="s">
        <x:v>118</x:v>
      </x:c>
      <x:c r="X71" s="277" t="s">
        <x:v>118</x:v>
      </x:c>
      <x:c r="Y71" s="277" t="s">
        <x:v>118</x:v>
      </x:c>
      <x:c r="Z71" s="277" t="s">
        <x:v>118</x:v>
      </x:c>
      <x:c r="AA71" s="277" t="s">
        <x:v>118</x:v>
      </x:c>
      <x:c r="AB71" s="277" t="s">
        <x:v>118</x:v>
      </x:c>
      <x:c r="AC71" s="277" t="s">
        <x:v>118</x:v>
      </x:c>
      <x:c r="AD71" s="277" t="s">
        <x:v>118</x:v>
      </x:c>
      <x:c r="AE71" s="277" t="s">
        <x:v>118</x:v>
      </x:c>
      <x:c r="AF71" s="277" t="s">
        <x:v>118</x:v>
      </x:c>
      <x:c r="AG71" s="277" t="s">
        <x:v>118</x:v>
      </x:c>
      <x:c r="AH71" s="277" t="s">
        <x:v>118</x:v>
      </x:c>
      <x:c r="AI71" s="277" t="s">
        <x:v>118</x:v>
      </x:c>
      <x:c r="AJ71" s="277" t="s">
        <x:v>118</x:v>
      </x:c>
      <x:c r="AK71" s="220">
        <x:f>COUNTIF(F71:AJ71,"X")</x:f>
      </x:c>
      <x:c r="AL71" s="221"/>
      <x:c r="AM71" s="221"/>
      <x:c r="AN71" s="222"/>
      <x:c r="AO71" s="222"/>
      <x:c r="AP71" s="228"/>
      <x:c r="AQ71" s="228"/>
      <x:c r="AR71" s="228"/>
      <x:c r="AS71" s="228"/>
      <x:c r="AT71" s="230"/>
    </x:row>
    <x:row r="72" spans="1:47" ht="19.9" customHeight="1">
      <x:c r="A72" s="274" t="s">
        <x:v>359</x:v>
      </x:c>
      <x:c r="B72" s="216"/>
      <x:c r="C72" s="275" t="s">
        <x:v>360</x:v>
      </x:c>
      <x:c r="D72" s="274" t="s">
        <x:v>361</x:v>
      </x:c>
      <x:c r="E72" s="276" t="s">
        <x:v>362</x:v>
      </x:c>
      <x:c r="F72" s="277" t="s">
        <x:v>118</x:v>
      </x:c>
      <x:c r="G72" s="277" t="s">
        <x:v>118</x:v>
      </x:c>
      <x:c r="H72" s="277" t="s">
        <x:v>118</x:v>
      </x:c>
      <x:c r="I72" s="277" t="s">
        <x:v>118</x:v>
      </x:c>
      <x:c r="J72" s="277" t="s">
        <x:v>118</x:v>
      </x:c>
      <x:c r="K72" s="277" t="s">
        <x:v>118</x:v>
      </x:c>
      <x:c r="L72" s="277" t="s">
        <x:v>118</x:v>
      </x:c>
      <x:c r="M72" s="277" t="s">
        <x:v>118</x:v>
      </x:c>
      <x:c r="N72" s="277" t="s">
        <x:v>118</x:v>
      </x:c>
      <x:c r="O72" s="277" t="s">
        <x:v>118</x:v>
      </x:c>
      <x:c r="P72" s="277" t="s">
        <x:v>118</x:v>
      </x:c>
      <x:c r="Q72" s="277" t="s">
        <x:v>118</x:v>
      </x:c>
      <x:c r="R72" s="277" t="s">
        <x:v>118</x:v>
      </x:c>
      <x:c r="S72" s="277" t="s">
        <x:v>118</x:v>
      </x:c>
      <x:c r="T72" s="277" t="s">
        <x:v>118</x:v>
      </x:c>
      <x:c r="U72" s="277" t="s">
        <x:v>118</x:v>
      </x:c>
      <x:c r="V72" s="277" t="s">
        <x:v>118</x:v>
      </x:c>
      <x:c r="W72" s="277" t="s">
        <x:v>118</x:v>
      </x:c>
      <x:c r="X72" s="277" t="s">
        <x:v>118</x:v>
      </x:c>
      <x:c r="Y72" s="277" t="s">
        <x:v>118</x:v>
      </x:c>
      <x:c r="Z72" s="277" t="s">
        <x:v>118</x:v>
      </x:c>
      <x:c r="AA72" s="277" t="s">
        <x:v>118</x:v>
      </x:c>
      <x:c r="AB72" s="277" t="s">
        <x:v>118</x:v>
      </x:c>
      <x:c r="AC72" s="277" t="s">
        <x:v>118</x:v>
      </x:c>
      <x:c r="AD72" s="277" t="s">
        <x:v>118</x:v>
      </x:c>
      <x:c r="AE72" s="277" t="s">
        <x:v>118</x:v>
      </x:c>
      <x:c r="AF72" s="277" t="s">
        <x:v>118</x:v>
      </x:c>
      <x:c r="AG72" s="277" t="s">
        <x:v>118</x:v>
      </x:c>
      <x:c r="AH72" s="277" t="s">
        <x:v>118</x:v>
      </x:c>
      <x:c r="AI72" s="277" t="s">
        <x:v>118</x:v>
      </x:c>
      <x:c r="AJ72" s="277" t="s">
        <x:v>118</x:v>
      </x:c>
      <x:c r="AK72" s="220">
        <x:f>COUNTIF(F72:AJ72,"X")</x:f>
      </x:c>
      <x:c r="AL72" s="221"/>
      <x:c r="AM72" s="221"/>
      <x:c r="AN72" s="222"/>
      <x:c r="AO72" s="222"/>
      <x:c r="AP72" s="228"/>
      <x:c r="AQ72" s="228"/>
      <x:c r="AR72" s="228"/>
      <x:c r="AS72" s="228"/>
      <x:c r="AT72" s="230"/>
    </x:row>
    <x:row r="73" spans="1:47" ht="19.9" customHeight="1">
      <x:c r="A73" s="274" t="s">
        <x:v>363</x:v>
      </x:c>
      <x:c r="B73" s="216"/>
      <x:c r="C73" s="275" t="s">
        <x:v>364</x:v>
      </x:c>
      <x:c r="D73" s="274" t="s">
        <x:v>365</x:v>
      </x:c>
      <x:c r="E73" s="276" t="s">
        <x:v>366</x:v>
      </x:c>
      <x:c r="F73" s="277" t="s">
        <x:v>118</x:v>
      </x:c>
      <x:c r="G73" s="277" t="s">
        <x:v>118</x:v>
      </x:c>
      <x:c r="H73" s="277" t="s">
        <x:v>118</x:v>
      </x:c>
      <x:c r="I73" s="277" t="s">
        <x:v>118</x:v>
      </x:c>
      <x:c r="J73" s="277" t="s">
        <x:v>118</x:v>
      </x:c>
      <x:c r="K73" s="277" t="s">
        <x:v>118</x:v>
      </x:c>
      <x:c r="L73" s="277" t="s">
        <x:v>118</x:v>
      </x:c>
      <x:c r="M73" s="277" t="s">
        <x:v>118</x:v>
      </x:c>
      <x:c r="N73" s="277" t="s">
        <x:v>118</x:v>
      </x:c>
      <x:c r="O73" s="277" t="s">
        <x:v>118</x:v>
      </x:c>
      <x:c r="P73" s="277" t="s">
        <x:v>118</x:v>
      </x:c>
      <x:c r="Q73" s="277" t="s">
        <x:v>118</x:v>
      </x:c>
      <x:c r="R73" s="277" t="s">
        <x:v>118</x:v>
      </x:c>
      <x:c r="S73" s="277" t="s">
        <x:v>118</x:v>
      </x:c>
      <x:c r="T73" s="277" t="s">
        <x:v>118</x:v>
      </x:c>
      <x:c r="U73" s="277" t="s">
        <x:v>118</x:v>
      </x:c>
      <x:c r="V73" s="277" t="s">
        <x:v>118</x:v>
      </x:c>
      <x:c r="W73" s="277" t="s">
        <x:v>118</x:v>
      </x:c>
      <x:c r="X73" s="277" t="s">
        <x:v>118</x:v>
      </x:c>
      <x:c r="Y73" s="277" t="s">
        <x:v>118</x:v>
      </x:c>
      <x:c r="Z73" s="277" t="s">
        <x:v>118</x:v>
      </x:c>
      <x:c r="AA73" s="277" t="s">
        <x:v>118</x:v>
      </x:c>
      <x:c r="AB73" s="277" t="s">
        <x:v>118</x:v>
      </x:c>
      <x:c r="AC73" s="277" t="s">
        <x:v>118</x:v>
      </x:c>
      <x:c r="AD73" s="277" t="s">
        <x:v>118</x:v>
      </x:c>
      <x:c r="AE73" s="277" t="s">
        <x:v>118</x:v>
      </x:c>
      <x:c r="AF73" s="277" t="s">
        <x:v>118</x:v>
      </x:c>
      <x:c r="AG73" s="277" t="s">
        <x:v>118</x:v>
      </x:c>
      <x:c r="AH73" s="277" t="s">
        <x:v>118</x:v>
      </x:c>
      <x:c r="AI73" s="277" t="s">
        <x:v>118</x:v>
      </x:c>
      <x:c r="AJ73" s="277" t="s">
        <x:v>118</x:v>
      </x:c>
      <x:c r="AK73" s="220">
        <x:f>COUNTIF(F73:AJ73,"X")</x:f>
      </x:c>
      <x:c r="AL73" s="221"/>
      <x:c r="AM73" s="221"/>
      <x:c r="AN73" s="222"/>
      <x:c r="AO73" s="222"/>
      <x:c r="AP73" s="228"/>
      <x:c r="AQ73" s="228"/>
      <x:c r="AR73" s="228"/>
      <x:c r="AS73" s="228"/>
      <x:c r="AT73" s="230"/>
    </x:row>
    <x:row r="74" spans="1:47" ht="19.9" customHeight="1">
      <x:c r="A74" s="274" t="s">
        <x:v>367</x:v>
      </x:c>
      <x:c r="B74" s="216"/>
      <x:c r="C74" s="275" t="s">
        <x:v>368</x:v>
      </x:c>
      <x:c r="D74" s="274" t="s">
        <x:v>369</x:v>
      </x:c>
      <x:c r="E74" s="276" t="s">
        <x:v>370</x:v>
      </x:c>
      <x:c r="F74" s="277" t="s">
        <x:v>118</x:v>
      </x:c>
      <x:c r="G74" s="277" t="s">
        <x:v>118</x:v>
      </x:c>
      <x:c r="H74" s="277" t="s">
        <x:v>118</x:v>
      </x:c>
      <x:c r="I74" s="277" t="s">
        <x:v>118</x:v>
      </x:c>
      <x:c r="J74" s="277" t="s">
        <x:v>118</x:v>
      </x:c>
      <x:c r="K74" s="277" t="s">
        <x:v>118</x:v>
      </x:c>
      <x:c r="L74" s="277" t="s">
        <x:v>118</x:v>
      </x:c>
      <x:c r="M74" s="277" t="s">
        <x:v>118</x:v>
      </x:c>
      <x:c r="N74" s="277" t="s">
        <x:v>118</x:v>
      </x:c>
      <x:c r="O74" s="277" t="s">
        <x:v>118</x:v>
      </x:c>
      <x:c r="P74" s="277" t="s">
        <x:v>118</x:v>
      </x:c>
      <x:c r="Q74" s="277" t="s">
        <x:v>118</x:v>
      </x:c>
      <x:c r="R74" s="277" t="s">
        <x:v>118</x:v>
      </x:c>
      <x:c r="S74" s="277" t="s">
        <x:v>118</x:v>
      </x:c>
      <x:c r="T74" s="277" t="s">
        <x:v>118</x:v>
      </x:c>
      <x:c r="U74" s="277" t="s">
        <x:v>118</x:v>
      </x:c>
      <x:c r="V74" s="277" t="s">
        <x:v>118</x:v>
      </x:c>
      <x:c r="W74" s="277" t="s">
        <x:v>118</x:v>
      </x:c>
      <x:c r="X74" s="277" t="s">
        <x:v>118</x:v>
      </x:c>
      <x:c r="Y74" s="277" t="s">
        <x:v>118</x:v>
      </x:c>
      <x:c r="Z74" s="277" t="s">
        <x:v>118</x:v>
      </x:c>
      <x:c r="AA74" s="277" t="s">
        <x:v>118</x:v>
      </x:c>
      <x:c r="AB74" s="277" t="s">
        <x:v>118</x:v>
      </x:c>
      <x:c r="AC74" s="277" t="s">
        <x:v>118</x:v>
      </x:c>
      <x:c r="AD74" s="277" t="s">
        <x:v>118</x:v>
      </x:c>
      <x:c r="AE74" s="277" t="s">
        <x:v>118</x:v>
      </x:c>
      <x:c r="AF74" s="277" t="s">
        <x:v>118</x:v>
      </x:c>
      <x:c r="AG74" s="277" t="s">
        <x:v>118</x:v>
      </x:c>
      <x:c r="AH74" s="277" t="s">
        <x:v>118</x:v>
      </x:c>
      <x:c r="AI74" s="277" t="s">
        <x:v>118</x:v>
      </x:c>
      <x:c r="AJ74" s="277" t="s">
        <x:v>118</x:v>
      </x:c>
      <x:c r="AK74" s="220">
        <x:f>COUNTIF(F74:AJ74,"X")</x:f>
      </x:c>
      <x:c r="AL74" s="221"/>
      <x:c r="AM74" s="221"/>
      <x:c r="AN74" s="222"/>
      <x:c r="AO74" s="222"/>
      <x:c r="AP74" s="228"/>
      <x:c r="AQ74" s="228"/>
      <x:c r="AR74" s="228"/>
      <x:c r="AS74" s="228"/>
      <x:c r="AT74" s="230"/>
    </x:row>
    <x:row r="75" spans="1:47" ht="19.9" customHeight="1">
      <x:c r="A75" s="274" t="s">
        <x:v>371</x:v>
      </x:c>
      <x:c r="B75" s="216"/>
      <x:c r="C75" s="275" t="s">
        <x:v>372</x:v>
      </x:c>
      <x:c r="D75" s="274" t="s">
        <x:v>373</x:v>
      </x:c>
      <x:c r="E75" s="276" t="s">
        <x:v>374</x:v>
      </x:c>
      <x:c r="F75" s="277" t="s">
        <x:v>118</x:v>
      </x:c>
      <x:c r="G75" s="277" t="s">
        <x:v>118</x:v>
      </x:c>
      <x:c r="H75" s="277" t="s">
        <x:v>118</x:v>
      </x:c>
      <x:c r="I75" s="277" t="s">
        <x:v>118</x:v>
      </x:c>
      <x:c r="J75" s="277" t="s">
        <x:v>118</x:v>
      </x:c>
      <x:c r="K75" s="277" t="s">
        <x:v>118</x:v>
      </x:c>
      <x:c r="L75" s="277" t="s">
        <x:v>118</x:v>
      </x:c>
      <x:c r="M75" s="277" t="s">
        <x:v>118</x:v>
      </x:c>
      <x:c r="N75" s="277" t="s">
        <x:v>118</x:v>
      </x:c>
      <x:c r="O75" s="277" t="s">
        <x:v>118</x:v>
      </x:c>
      <x:c r="P75" s="277" t="s">
        <x:v>118</x:v>
      </x:c>
      <x:c r="Q75" s="277" t="s">
        <x:v>118</x:v>
      </x:c>
      <x:c r="R75" s="277" t="s">
        <x:v>118</x:v>
      </x:c>
      <x:c r="S75" s="277" t="s">
        <x:v>118</x:v>
      </x:c>
      <x:c r="T75" s="277" t="s">
        <x:v>118</x:v>
      </x:c>
      <x:c r="U75" s="277" t="s">
        <x:v>118</x:v>
      </x:c>
      <x:c r="V75" s="277" t="s">
        <x:v>118</x:v>
      </x:c>
      <x:c r="W75" s="277" t="s">
        <x:v>118</x:v>
      </x:c>
      <x:c r="X75" s="277" t="s">
        <x:v>118</x:v>
      </x:c>
      <x:c r="Y75" s="277" t="s">
        <x:v>118</x:v>
      </x:c>
      <x:c r="Z75" s="277" t="s">
        <x:v>118</x:v>
      </x:c>
      <x:c r="AA75" s="277" t="s">
        <x:v>118</x:v>
      </x:c>
      <x:c r="AB75" s="277" t="s">
        <x:v>118</x:v>
      </x:c>
      <x:c r="AC75" s="277" t="s">
        <x:v>118</x:v>
      </x:c>
      <x:c r="AD75" s="277" t="s">
        <x:v>118</x:v>
      </x:c>
      <x:c r="AE75" s="277" t="s">
        <x:v>118</x:v>
      </x:c>
      <x:c r="AF75" s="277" t="s">
        <x:v>118</x:v>
      </x:c>
      <x:c r="AG75" s="277" t="s">
        <x:v>118</x:v>
      </x:c>
      <x:c r="AH75" s="277" t="s">
        <x:v>118</x:v>
      </x:c>
      <x:c r="AI75" s="277" t="s">
        <x:v>118</x:v>
      </x:c>
      <x:c r="AJ75" s="277" t="s">
        <x:v>118</x:v>
      </x:c>
      <x:c r="AK75" s="220">
        <x:f>COUNTIF(F75:AJ75,"X")</x:f>
      </x:c>
      <x:c r="AL75" s="221"/>
      <x:c r="AM75" s="221"/>
      <x:c r="AN75" s="222"/>
      <x:c r="AO75" s="222"/>
      <x:c r="AP75" s="228"/>
      <x:c r="AQ75" s="228"/>
      <x:c r="AR75" s="228"/>
      <x:c r="AS75" s="228"/>
      <x:c r="AT75" s="233"/>
    </x:row>
    <x:row r="76" spans="1:47" ht="19.9" customHeight="1">
      <x:c r="A76" s="274" t="s">
        <x:v>375</x:v>
      </x:c>
      <x:c r="B76" s="216"/>
      <x:c r="C76" s="275" t="s">
        <x:v>376</x:v>
      </x:c>
      <x:c r="D76" s="274" t="s">
        <x:v>377</x:v>
      </x:c>
      <x:c r="E76" s="276" t="s">
        <x:v>378</x:v>
      </x:c>
      <x:c r="F76" s="277" t="s">
        <x:v>118</x:v>
      </x:c>
      <x:c r="G76" s="277" t="s">
        <x:v>118</x:v>
      </x:c>
      <x:c r="H76" s="277" t="s">
        <x:v>118</x:v>
      </x:c>
      <x:c r="I76" s="277" t="s">
        <x:v>118</x:v>
      </x:c>
      <x:c r="J76" s="277" t="s">
        <x:v>118</x:v>
      </x:c>
      <x:c r="K76" s="277" t="s">
        <x:v>118</x:v>
      </x:c>
      <x:c r="L76" s="277" t="s">
        <x:v>118</x:v>
      </x:c>
      <x:c r="M76" s="277" t="s">
        <x:v>118</x:v>
      </x:c>
      <x:c r="N76" s="277" t="s">
        <x:v>118</x:v>
      </x:c>
      <x:c r="O76" s="277" t="s">
        <x:v>118</x:v>
      </x:c>
      <x:c r="P76" s="277" t="s">
        <x:v>118</x:v>
      </x:c>
      <x:c r="Q76" s="277" t="s">
        <x:v>118</x:v>
      </x:c>
      <x:c r="R76" s="277" t="s">
        <x:v>118</x:v>
      </x:c>
      <x:c r="S76" s="277" t="s">
        <x:v>118</x:v>
      </x:c>
      <x:c r="T76" s="277" t="s">
        <x:v>118</x:v>
      </x:c>
      <x:c r="U76" s="277" t="s">
        <x:v>118</x:v>
      </x:c>
      <x:c r="V76" s="277" t="s">
        <x:v>118</x:v>
      </x:c>
      <x:c r="W76" s="277" t="s">
        <x:v>118</x:v>
      </x:c>
      <x:c r="X76" s="277" t="s">
        <x:v>118</x:v>
      </x:c>
      <x:c r="Y76" s="277" t="s">
        <x:v>118</x:v>
      </x:c>
      <x:c r="Z76" s="277" t="s">
        <x:v>118</x:v>
      </x:c>
      <x:c r="AA76" s="277" t="s">
        <x:v>118</x:v>
      </x:c>
      <x:c r="AB76" s="277" t="s">
        <x:v>118</x:v>
      </x:c>
      <x:c r="AC76" s="277" t="s">
        <x:v>118</x:v>
      </x:c>
      <x:c r="AD76" s="277" t="s">
        <x:v>118</x:v>
      </x:c>
      <x:c r="AE76" s="277" t="s">
        <x:v>118</x:v>
      </x:c>
      <x:c r="AF76" s="277" t="s">
        <x:v>118</x:v>
      </x:c>
      <x:c r="AG76" s="277" t="s">
        <x:v>118</x:v>
      </x:c>
      <x:c r="AH76" s="277" t="s">
        <x:v>118</x:v>
      </x:c>
      <x:c r="AI76" s="277" t="s">
        <x:v>118</x:v>
      </x:c>
      <x:c r="AJ76" s="277" t="s">
        <x:v>118</x:v>
      </x:c>
      <x:c r="AK76" s="220">
        <x:f>COUNTIF(F76:AJ76,"X")</x:f>
      </x:c>
      <x:c r="AL76" s="221"/>
      <x:c r="AM76" s="221"/>
      <x:c r="AN76" s="222"/>
      <x:c r="AO76" s="222"/>
      <x:c r="AP76" s="228"/>
      <x:c r="AQ76" s="228"/>
      <x:c r="AR76" s="228"/>
      <x:c r="AS76" s="228"/>
      <x:c r="AT76" s="230"/>
    </x:row>
    <x:row r="77" spans="1:47" ht="19.9" customHeight="1">
      <x:c r="A77" s="274" t="s">
        <x:v>379</x:v>
      </x:c>
      <x:c r="B77" s="216"/>
      <x:c r="C77" s="275" t="s">
        <x:v>380</x:v>
      </x:c>
      <x:c r="D77" s="274" t="s">
        <x:v>381</x:v>
      </x:c>
      <x:c r="E77" s="276" t="s">
        <x:v>382</x:v>
      </x:c>
      <x:c r="F77" s="277" t="s">
        <x:v>118</x:v>
      </x:c>
      <x:c r="G77" s="277" t="s">
        <x:v>118</x:v>
      </x:c>
      <x:c r="H77" s="277" t="s">
        <x:v>118</x:v>
      </x:c>
      <x:c r="I77" s="277" t="s">
        <x:v>118</x:v>
      </x:c>
      <x:c r="J77" s="277" t="s">
        <x:v>118</x:v>
      </x:c>
      <x:c r="K77" s="277" t="s">
        <x:v>118</x:v>
      </x:c>
      <x:c r="L77" s="277" t="s">
        <x:v>118</x:v>
      </x:c>
      <x:c r="M77" s="277" t="s">
        <x:v>118</x:v>
      </x:c>
      <x:c r="N77" s="277" t="s">
        <x:v>118</x:v>
      </x:c>
      <x:c r="O77" s="277" t="s">
        <x:v>118</x:v>
      </x:c>
      <x:c r="P77" s="277" t="s">
        <x:v>118</x:v>
      </x:c>
      <x:c r="Q77" s="277" t="s">
        <x:v>118</x:v>
      </x:c>
      <x:c r="R77" s="277" t="s">
        <x:v>118</x:v>
      </x:c>
      <x:c r="S77" s="277" t="s">
        <x:v>118</x:v>
      </x:c>
      <x:c r="T77" s="277" t="s">
        <x:v>118</x:v>
      </x:c>
      <x:c r="U77" s="277" t="s">
        <x:v>118</x:v>
      </x:c>
      <x:c r="V77" s="277" t="s">
        <x:v>118</x:v>
      </x:c>
      <x:c r="W77" s="277" t="s">
        <x:v>118</x:v>
      </x:c>
      <x:c r="X77" s="277" t="s">
        <x:v>118</x:v>
      </x:c>
      <x:c r="Y77" s="277" t="s">
        <x:v>118</x:v>
      </x:c>
      <x:c r="Z77" s="277" t="s">
        <x:v>118</x:v>
      </x:c>
      <x:c r="AA77" s="277" t="s">
        <x:v>118</x:v>
      </x:c>
      <x:c r="AB77" s="277" t="s">
        <x:v>118</x:v>
      </x:c>
      <x:c r="AC77" s="277" t="s">
        <x:v>118</x:v>
      </x:c>
      <x:c r="AD77" s="277" t="s">
        <x:v>118</x:v>
      </x:c>
      <x:c r="AE77" s="277" t="s">
        <x:v>118</x:v>
      </x:c>
      <x:c r="AF77" s="277" t="s">
        <x:v>118</x:v>
      </x:c>
      <x:c r="AG77" s="277" t="s">
        <x:v>118</x:v>
      </x:c>
      <x:c r="AH77" s="277" t="s">
        <x:v>118</x:v>
      </x:c>
      <x:c r="AI77" s="277" t="s">
        <x:v>118</x:v>
      </x:c>
      <x:c r="AJ77" s="277" t="s">
        <x:v>118</x:v>
      </x:c>
      <x:c r="AK77" s="220">
        <x:f>COUNTIF(F77:AJ77,"X")</x:f>
      </x:c>
      <x:c r="AL77" s="221"/>
      <x:c r="AM77" s="221"/>
      <x:c r="AN77" s="222"/>
      <x:c r="AO77" s="222"/>
      <x:c r="AP77" s="228"/>
      <x:c r="AQ77" s="228"/>
      <x:c r="AR77" s="228"/>
      <x:c r="AS77" s="228"/>
      <x:c r="AT77" s="230"/>
    </x:row>
    <x:row r="78" spans="1:47" ht="19.9" customHeight="1">
      <x:c r="A78" s="274" t="s">
        <x:v>383</x:v>
      </x:c>
      <x:c r="B78" s="216"/>
      <x:c r="C78" s="275" t="s">
        <x:v>384</x:v>
      </x:c>
      <x:c r="D78" s="274" t="s">
        <x:v>385</x:v>
      </x:c>
      <x:c r="E78" s="276" t="s">
        <x:v>327</x:v>
      </x:c>
      <x:c r="F78" s="277" t="s">
        <x:v>118</x:v>
      </x:c>
      <x:c r="G78" s="277" t="s">
        <x:v>118</x:v>
      </x:c>
      <x:c r="H78" s="277" t="s">
        <x:v>118</x:v>
      </x:c>
      <x:c r="I78" s="277" t="s">
        <x:v>118</x:v>
      </x:c>
      <x:c r="J78" s="277" t="s">
        <x:v>118</x:v>
      </x:c>
      <x:c r="K78" s="277" t="s">
        <x:v>118</x:v>
      </x:c>
      <x:c r="L78" s="277" t="s">
        <x:v>118</x:v>
      </x:c>
      <x:c r="M78" s="277" t="s">
        <x:v>118</x:v>
      </x:c>
      <x:c r="N78" s="277" t="s">
        <x:v>118</x:v>
      </x:c>
      <x:c r="O78" s="277" t="s">
        <x:v>118</x:v>
      </x:c>
      <x:c r="P78" s="277" t="s">
        <x:v>118</x:v>
      </x:c>
      <x:c r="Q78" s="277" t="s">
        <x:v>118</x:v>
      </x:c>
      <x:c r="R78" s="277" t="s">
        <x:v>118</x:v>
      </x:c>
      <x:c r="S78" s="277" t="s">
        <x:v>118</x:v>
      </x:c>
      <x:c r="T78" s="277" t="s">
        <x:v>118</x:v>
      </x:c>
      <x:c r="U78" s="277" t="s">
        <x:v>118</x:v>
      </x:c>
      <x:c r="V78" s="277" t="s">
        <x:v>118</x:v>
      </x:c>
      <x:c r="W78" s="277" t="s">
        <x:v>118</x:v>
      </x:c>
      <x:c r="X78" s="277" t="s">
        <x:v>118</x:v>
      </x:c>
      <x:c r="Y78" s="277" t="s">
        <x:v>118</x:v>
      </x:c>
      <x:c r="Z78" s="277" t="s">
        <x:v>118</x:v>
      </x:c>
      <x:c r="AA78" s="277" t="s">
        <x:v>118</x:v>
      </x:c>
      <x:c r="AB78" s="277" t="s">
        <x:v>118</x:v>
      </x:c>
      <x:c r="AC78" s="277" t="s">
        <x:v>118</x:v>
      </x:c>
      <x:c r="AD78" s="277" t="s">
        <x:v>118</x:v>
      </x:c>
      <x:c r="AE78" s="277" t="s">
        <x:v>118</x:v>
      </x:c>
      <x:c r="AF78" s="277" t="s">
        <x:v>118</x:v>
      </x:c>
      <x:c r="AG78" s="277" t="s">
        <x:v>118</x:v>
      </x:c>
      <x:c r="AH78" s="277" t="s">
        <x:v>118</x:v>
      </x:c>
      <x:c r="AI78" s="277" t="s">
        <x:v>118</x:v>
      </x:c>
      <x:c r="AJ78" s="277" t="s">
        <x:v>118</x:v>
      </x:c>
      <x:c r="AK78" s="220">
        <x:f>COUNTIF(F78:AJ78,"X")</x:f>
      </x:c>
      <x:c r="AL78" s="221"/>
      <x:c r="AM78" s="221"/>
      <x:c r="AN78" s="222"/>
      <x:c r="AO78" s="222"/>
      <x:c r="AP78" s="228"/>
      <x:c r="AQ78" s="228"/>
      <x:c r="AR78" s="228"/>
      <x:c r="AS78" s="228"/>
      <x:c r="AT78" s="230"/>
    </x:row>
    <x:row r="79" spans="1:47" ht="19.9" customHeight="1">
      <x:c r="A79" s="274" t="s">
        <x:v>386</x:v>
      </x:c>
      <x:c r="B79" s="216"/>
      <x:c r="C79" s="275" t="s">
        <x:v>387</x:v>
      </x:c>
      <x:c r="D79" s="274" t="s">
        <x:v>388</x:v>
      </x:c>
      <x:c r="E79" s="276" t="s">
        <x:v>389</x:v>
      </x:c>
      <x:c r="F79" s="277" t="s">
        <x:v>118</x:v>
      </x:c>
      <x:c r="G79" s="277" t="s">
        <x:v>118</x:v>
      </x:c>
      <x:c r="H79" s="277" t="s">
        <x:v>118</x:v>
      </x:c>
      <x:c r="I79" s="277" t="s">
        <x:v>118</x:v>
      </x:c>
      <x:c r="J79" s="277" t="s">
        <x:v>118</x:v>
      </x:c>
      <x:c r="K79" s="277" t="s">
        <x:v>118</x:v>
      </x:c>
      <x:c r="L79" s="277" t="s">
        <x:v>118</x:v>
      </x:c>
      <x:c r="M79" s="277" t="s">
        <x:v>118</x:v>
      </x:c>
      <x:c r="N79" s="277" t="s">
        <x:v>118</x:v>
      </x:c>
      <x:c r="O79" s="277" t="s">
        <x:v>118</x:v>
      </x:c>
      <x:c r="P79" s="277" t="s">
        <x:v>118</x:v>
      </x:c>
      <x:c r="Q79" s="277" t="s">
        <x:v>118</x:v>
      </x:c>
      <x:c r="R79" s="277" t="s">
        <x:v>118</x:v>
      </x:c>
      <x:c r="S79" s="277" t="s">
        <x:v>118</x:v>
      </x:c>
      <x:c r="T79" s="277" t="s">
        <x:v>118</x:v>
      </x:c>
      <x:c r="U79" s="277" t="s">
        <x:v>118</x:v>
      </x:c>
      <x:c r="V79" s="277" t="s">
        <x:v>118</x:v>
      </x:c>
      <x:c r="W79" s="277" t="s">
        <x:v>118</x:v>
      </x:c>
      <x:c r="X79" s="277" t="s">
        <x:v>118</x:v>
      </x:c>
      <x:c r="Y79" s="277" t="s">
        <x:v>118</x:v>
      </x:c>
      <x:c r="Z79" s="277" t="s">
        <x:v>118</x:v>
      </x:c>
      <x:c r="AA79" s="277" t="s">
        <x:v>118</x:v>
      </x:c>
      <x:c r="AB79" s="277" t="s">
        <x:v>118</x:v>
      </x:c>
      <x:c r="AC79" s="277" t="s">
        <x:v>118</x:v>
      </x:c>
      <x:c r="AD79" s="277" t="s">
        <x:v>118</x:v>
      </x:c>
      <x:c r="AE79" s="277" t="s">
        <x:v>118</x:v>
      </x:c>
      <x:c r="AF79" s="277" t="s">
        <x:v>118</x:v>
      </x:c>
      <x:c r="AG79" s="277" t="s">
        <x:v>118</x:v>
      </x:c>
      <x:c r="AH79" s="277" t="s">
        <x:v>118</x:v>
      </x:c>
      <x:c r="AI79" s="277" t="s">
        <x:v>118</x:v>
      </x:c>
      <x:c r="AJ79" s="277" t="s">
        <x:v>118</x:v>
      </x:c>
      <x:c r="AK79" s="220">
        <x:f>COUNTIF(F79:AJ79,"X")</x:f>
      </x:c>
      <x:c r="AL79" s="221"/>
      <x:c r="AM79" s="221"/>
      <x:c r="AN79" s="222"/>
      <x:c r="AO79" s="222"/>
      <x:c r="AP79" s="228"/>
      <x:c r="AQ79" s="228"/>
      <x:c r="AR79" s="228"/>
      <x:c r="AS79" s="228"/>
      <x:c r="AT79" s="230"/>
    </x:row>
    <x:row r="80" spans="1:47" ht="19.9" customHeight="1">
      <x:c r="A80" s="274" t="s">
        <x:v>390</x:v>
      </x:c>
      <x:c r="B80" s="216"/>
      <x:c r="C80" s="275" t="s">
        <x:v>391</x:v>
      </x:c>
      <x:c r="D80" s="274" t="s">
        <x:v>392</x:v>
      </x:c>
      <x:c r="E80" s="276" t="s">
        <x:v>393</x:v>
      </x:c>
      <x:c r="F80" s="277" t="s">
        <x:v>118</x:v>
      </x:c>
      <x:c r="G80" s="277" t="s">
        <x:v>118</x:v>
      </x:c>
      <x:c r="H80" s="277" t="s">
        <x:v>118</x:v>
      </x:c>
      <x:c r="I80" s="277" t="s">
        <x:v>118</x:v>
      </x:c>
      <x:c r="J80" s="277" t="s">
        <x:v>118</x:v>
      </x:c>
      <x:c r="K80" s="277" t="s">
        <x:v>118</x:v>
      </x:c>
      <x:c r="L80" s="277" t="s">
        <x:v>118</x:v>
      </x:c>
      <x:c r="M80" s="277" t="s">
        <x:v>118</x:v>
      </x:c>
      <x:c r="N80" s="277" t="s">
        <x:v>118</x:v>
      </x:c>
      <x:c r="O80" s="277" t="s">
        <x:v>118</x:v>
      </x:c>
      <x:c r="P80" s="277" t="s">
        <x:v>118</x:v>
      </x:c>
      <x:c r="Q80" s="277" t="s">
        <x:v>118</x:v>
      </x:c>
      <x:c r="R80" s="277" t="s">
        <x:v>118</x:v>
      </x:c>
      <x:c r="S80" s="277" t="s">
        <x:v>118</x:v>
      </x:c>
      <x:c r="T80" s="277" t="s">
        <x:v>118</x:v>
      </x:c>
      <x:c r="U80" s="277" t="s">
        <x:v>118</x:v>
      </x:c>
      <x:c r="V80" s="277" t="s">
        <x:v>118</x:v>
      </x:c>
      <x:c r="W80" s="277" t="s">
        <x:v>118</x:v>
      </x:c>
      <x:c r="X80" s="277" t="s">
        <x:v>118</x:v>
      </x:c>
      <x:c r="Y80" s="277" t="s">
        <x:v>118</x:v>
      </x:c>
      <x:c r="Z80" s="277" t="s">
        <x:v>118</x:v>
      </x:c>
      <x:c r="AA80" s="277" t="s">
        <x:v>118</x:v>
      </x:c>
      <x:c r="AB80" s="277" t="s">
        <x:v>118</x:v>
      </x:c>
      <x:c r="AC80" s="277" t="s">
        <x:v>118</x:v>
      </x:c>
      <x:c r="AD80" s="277" t="s">
        <x:v>118</x:v>
      </x:c>
      <x:c r="AE80" s="277" t="s">
        <x:v>118</x:v>
      </x:c>
      <x:c r="AF80" s="277" t="s">
        <x:v>118</x:v>
      </x:c>
      <x:c r="AG80" s="277" t="s">
        <x:v>118</x:v>
      </x:c>
      <x:c r="AH80" s="277" t="s">
        <x:v>118</x:v>
      </x:c>
      <x:c r="AI80" s="277" t="s">
        <x:v>118</x:v>
      </x:c>
      <x:c r="AJ80" s="277" t="s">
        <x:v>118</x:v>
      </x:c>
      <x:c r="AK80" s="220">
        <x:f>COUNTIF(F80:AJ80,"X")</x:f>
      </x:c>
      <x:c r="AL80" s="221"/>
      <x:c r="AM80" s="221"/>
      <x:c r="AN80" s="222"/>
      <x:c r="AO80" s="222"/>
      <x:c r="AP80" s="228"/>
      <x:c r="AQ80" s="228"/>
      <x:c r="AR80" s="228"/>
      <x:c r="AS80" s="228"/>
      <x:c r="AT80" s="230"/>
    </x:row>
    <x:row r="81" spans="1:47" ht="19.9" customHeight="1">
      <x:c r="A81" s="274" t="s">
        <x:v>394</x:v>
      </x:c>
      <x:c r="B81" s="216"/>
      <x:c r="C81" s="275" t="s">
        <x:v>395</x:v>
      </x:c>
      <x:c r="D81" s="274" t="s">
        <x:v>396</x:v>
      </x:c>
      <x:c r="E81" s="276" t="s">
        <x:v>397</x:v>
      </x:c>
      <x:c r="F81" s="277" t="s">
        <x:v>118</x:v>
      </x:c>
      <x:c r="G81" s="277" t="s">
        <x:v>118</x:v>
      </x:c>
      <x:c r="H81" s="277" t="s">
        <x:v>118</x:v>
      </x:c>
      <x:c r="I81" s="277" t="s">
        <x:v>118</x:v>
      </x:c>
      <x:c r="J81" s="277" t="s">
        <x:v>118</x:v>
      </x:c>
      <x:c r="K81" s="277" t="s">
        <x:v>118</x:v>
      </x:c>
      <x:c r="L81" s="277" t="s">
        <x:v>118</x:v>
      </x:c>
      <x:c r="M81" s="277" t="s">
        <x:v>118</x:v>
      </x:c>
      <x:c r="N81" s="277" t="s">
        <x:v>118</x:v>
      </x:c>
      <x:c r="O81" s="277" t="s">
        <x:v>118</x:v>
      </x:c>
      <x:c r="P81" s="277" t="s">
        <x:v>118</x:v>
      </x:c>
      <x:c r="Q81" s="277" t="s">
        <x:v>118</x:v>
      </x:c>
      <x:c r="R81" s="277" t="s">
        <x:v>118</x:v>
      </x:c>
      <x:c r="S81" s="277" t="s">
        <x:v>118</x:v>
      </x:c>
      <x:c r="T81" s="277" t="s">
        <x:v>118</x:v>
      </x:c>
      <x:c r="U81" s="277" t="s">
        <x:v>118</x:v>
      </x:c>
      <x:c r="V81" s="277" t="s">
        <x:v>118</x:v>
      </x:c>
      <x:c r="W81" s="277" t="s">
        <x:v>118</x:v>
      </x:c>
      <x:c r="X81" s="277" t="s">
        <x:v>118</x:v>
      </x:c>
      <x:c r="Y81" s="277" t="s">
        <x:v>118</x:v>
      </x:c>
      <x:c r="Z81" s="277" t="s">
        <x:v>118</x:v>
      </x:c>
      <x:c r="AA81" s="277" t="s">
        <x:v>118</x:v>
      </x:c>
      <x:c r="AB81" s="277" t="s">
        <x:v>118</x:v>
      </x:c>
      <x:c r="AC81" s="277" t="s">
        <x:v>118</x:v>
      </x:c>
      <x:c r="AD81" s="277" t="s">
        <x:v>118</x:v>
      </x:c>
      <x:c r="AE81" s="277" t="s">
        <x:v>118</x:v>
      </x:c>
      <x:c r="AF81" s="277" t="s">
        <x:v>118</x:v>
      </x:c>
      <x:c r="AG81" s="277" t="s">
        <x:v>118</x:v>
      </x:c>
      <x:c r="AH81" s="277" t="s">
        <x:v>118</x:v>
      </x:c>
      <x:c r="AI81" s="277" t="s">
        <x:v>118</x:v>
      </x:c>
      <x:c r="AJ81" s="277" t="s">
        <x:v>118</x:v>
      </x:c>
      <x:c r="AK81" s="220">
        <x:f>COUNTIF(F81:AJ81,"X")</x:f>
      </x:c>
      <x:c r="AL81" s="221"/>
      <x:c r="AM81" s="221"/>
      <x:c r="AN81" s="222"/>
      <x:c r="AO81" s="222"/>
      <x:c r="AP81" s="228"/>
      <x:c r="AQ81" s="228"/>
      <x:c r="AR81" s="228"/>
      <x:c r="AS81" s="228"/>
      <x:c r="AT81" s="230"/>
    </x:row>
    <x:row r="82" spans="1:47" ht="19.9" customHeight="1">
      <x:c r="A82" s="274" t="s">
        <x:v>398</x:v>
      </x:c>
      <x:c r="B82" s="216"/>
      <x:c r="C82" s="275" t="s">
        <x:v>399</x:v>
      </x:c>
      <x:c r="D82" s="274" t="s">
        <x:v>400</x:v>
      </x:c>
      <x:c r="E82" s="276" t="s">
        <x:v>401</x:v>
      </x:c>
      <x:c r="F82" s="277" t="s">
        <x:v>118</x:v>
      </x:c>
      <x:c r="G82" s="277" t="s">
        <x:v>118</x:v>
      </x:c>
      <x:c r="H82" s="277" t="s">
        <x:v>118</x:v>
      </x:c>
      <x:c r="I82" s="277" t="s">
        <x:v>118</x:v>
      </x:c>
      <x:c r="J82" s="277" t="s">
        <x:v>118</x:v>
      </x:c>
      <x:c r="K82" s="277" t="s">
        <x:v>118</x:v>
      </x:c>
      <x:c r="L82" s="277" t="s">
        <x:v>118</x:v>
      </x:c>
      <x:c r="M82" s="277" t="s">
        <x:v>118</x:v>
      </x:c>
      <x:c r="N82" s="277" t="s">
        <x:v>118</x:v>
      </x:c>
      <x:c r="O82" s="277" t="s">
        <x:v>118</x:v>
      </x:c>
      <x:c r="P82" s="277" t="s">
        <x:v>118</x:v>
      </x:c>
      <x:c r="Q82" s="277" t="s">
        <x:v>118</x:v>
      </x:c>
      <x:c r="R82" s="277" t="s">
        <x:v>118</x:v>
      </x:c>
      <x:c r="S82" s="277" t="s">
        <x:v>118</x:v>
      </x:c>
      <x:c r="T82" s="277" t="s">
        <x:v>118</x:v>
      </x:c>
      <x:c r="U82" s="277" t="s">
        <x:v>118</x:v>
      </x:c>
      <x:c r="V82" s="277" t="s">
        <x:v>118</x:v>
      </x:c>
      <x:c r="W82" s="277" t="s">
        <x:v>118</x:v>
      </x:c>
      <x:c r="X82" s="277" t="s">
        <x:v>118</x:v>
      </x:c>
      <x:c r="Y82" s="277" t="s">
        <x:v>118</x:v>
      </x:c>
      <x:c r="Z82" s="277" t="s">
        <x:v>118</x:v>
      </x:c>
      <x:c r="AA82" s="277" t="s">
        <x:v>118</x:v>
      </x:c>
      <x:c r="AB82" s="277" t="s">
        <x:v>118</x:v>
      </x:c>
      <x:c r="AC82" s="277" t="s">
        <x:v>118</x:v>
      </x:c>
      <x:c r="AD82" s="277" t="s">
        <x:v>118</x:v>
      </x:c>
      <x:c r="AE82" s="277" t="s">
        <x:v>118</x:v>
      </x:c>
      <x:c r="AF82" s="277" t="s">
        <x:v>118</x:v>
      </x:c>
      <x:c r="AG82" s="277" t="s">
        <x:v>118</x:v>
      </x:c>
      <x:c r="AH82" s="277" t="s">
        <x:v>118</x:v>
      </x:c>
      <x:c r="AI82" s="277" t="s">
        <x:v>118</x:v>
      </x:c>
      <x:c r="AJ82" s="277" t="s">
        <x:v>118</x:v>
      </x:c>
      <x:c r="AK82" s="220">
        <x:f>COUNTIF(F82:AJ82,"X")</x:f>
      </x:c>
      <x:c r="AL82" s="221"/>
      <x:c r="AM82" s="221"/>
      <x:c r="AN82" s="222"/>
      <x:c r="AO82" s="222"/>
      <x:c r="AP82" s="228"/>
      <x:c r="AQ82" s="228"/>
      <x:c r="AR82" s="228"/>
      <x:c r="AS82" s="228"/>
      <x:c r="AT82" s="230"/>
    </x:row>
    <x:row r="83" spans="1:47" ht="19.9" customHeight="1">
      <x:c r="A83" s="274" t="s">
        <x:v>402</x:v>
      </x:c>
      <x:c r="B83" s="216"/>
      <x:c r="C83" s="275" t="s">
        <x:v>403</x:v>
      </x:c>
      <x:c r="D83" s="274" t="s">
        <x:v>404</x:v>
      </x:c>
      <x:c r="E83" s="276" t="s">
        <x:v>405</x:v>
      </x:c>
      <x:c r="F83" s="277" t="s">
        <x:v>118</x:v>
      </x:c>
      <x:c r="G83" s="277" t="s">
        <x:v>118</x:v>
      </x:c>
      <x:c r="H83" s="277" t="s">
        <x:v>118</x:v>
      </x:c>
      <x:c r="I83" s="277" t="s">
        <x:v>118</x:v>
      </x:c>
      <x:c r="J83" s="277" t="s">
        <x:v>118</x:v>
      </x:c>
      <x:c r="K83" s="277" t="s">
        <x:v>118</x:v>
      </x:c>
      <x:c r="L83" s="277" t="s">
        <x:v>118</x:v>
      </x:c>
      <x:c r="M83" s="277" t="s">
        <x:v>118</x:v>
      </x:c>
      <x:c r="N83" s="277" t="s">
        <x:v>118</x:v>
      </x:c>
      <x:c r="O83" s="277" t="s">
        <x:v>118</x:v>
      </x:c>
      <x:c r="P83" s="277" t="s">
        <x:v>118</x:v>
      </x:c>
      <x:c r="Q83" s="277" t="s">
        <x:v>118</x:v>
      </x:c>
      <x:c r="R83" s="277" t="s">
        <x:v>118</x:v>
      </x:c>
      <x:c r="S83" s="277" t="s">
        <x:v>118</x:v>
      </x:c>
      <x:c r="T83" s="277" t="s">
        <x:v>118</x:v>
      </x:c>
      <x:c r="U83" s="277" t="s">
        <x:v>118</x:v>
      </x:c>
      <x:c r="V83" s="277" t="s">
        <x:v>118</x:v>
      </x:c>
      <x:c r="W83" s="277" t="s">
        <x:v>118</x:v>
      </x:c>
      <x:c r="X83" s="277" t="s">
        <x:v>118</x:v>
      </x:c>
      <x:c r="Y83" s="277" t="s">
        <x:v>118</x:v>
      </x:c>
      <x:c r="Z83" s="277" t="s">
        <x:v>118</x:v>
      </x:c>
      <x:c r="AA83" s="277" t="s">
        <x:v>118</x:v>
      </x:c>
      <x:c r="AB83" s="277" t="s">
        <x:v>118</x:v>
      </x:c>
      <x:c r="AC83" s="277" t="s">
        <x:v>118</x:v>
      </x:c>
      <x:c r="AD83" s="277" t="s">
        <x:v>118</x:v>
      </x:c>
      <x:c r="AE83" s="277" t="s">
        <x:v>118</x:v>
      </x:c>
      <x:c r="AF83" s="277" t="s">
        <x:v>118</x:v>
      </x:c>
      <x:c r="AG83" s="277" t="s">
        <x:v>118</x:v>
      </x:c>
      <x:c r="AH83" s="277" t="s">
        <x:v>118</x:v>
      </x:c>
      <x:c r="AI83" s="277" t="s">
        <x:v>118</x:v>
      </x:c>
      <x:c r="AJ83" s="277" t="s">
        <x:v>118</x:v>
      </x:c>
      <x:c r="AK83" s="220">
        <x:f>COUNTIF(F83:AJ83,"X")</x:f>
      </x:c>
      <x:c r="AL83" s="221"/>
      <x:c r="AM83" s="221"/>
      <x:c r="AN83" s="222"/>
      <x:c r="AO83" s="222"/>
      <x:c r="AP83" s="228"/>
      <x:c r="AQ83" s="228"/>
      <x:c r="AR83" s="228"/>
      <x:c r="AS83" s="228"/>
      <x:c r="AT83" s="230"/>
    </x:row>
    <x:row r="84" spans="1:47" ht="19.9" customHeight="1">
      <x:c r="A84" s="274" t="s">
        <x:v>406</x:v>
      </x:c>
      <x:c r="B84" s="216"/>
      <x:c r="C84" s="275" t="s">
        <x:v>407</x:v>
      </x:c>
      <x:c r="D84" s="274" t="s">
        <x:v>408</x:v>
      </x:c>
      <x:c r="E84" s="276" t="s">
        <x:v>409</x:v>
      </x:c>
      <x:c r="F84" s="277" t="s">
        <x:v>118</x:v>
      </x:c>
      <x:c r="G84" s="277" t="s">
        <x:v>118</x:v>
      </x:c>
      <x:c r="H84" s="277" t="s">
        <x:v>118</x:v>
      </x:c>
      <x:c r="I84" s="277" t="s">
        <x:v>118</x:v>
      </x:c>
      <x:c r="J84" s="277" t="s">
        <x:v>118</x:v>
      </x:c>
      <x:c r="K84" s="277" t="s">
        <x:v>118</x:v>
      </x:c>
      <x:c r="L84" s="277" t="s">
        <x:v>118</x:v>
      </x:c>
      <x:c r="M84" s="277" t="s">
        <x:v>118</x:v>
      </x:c>
      <x:c r="N84" s="277" t="s">
        <x:v>118</x:v>
      </x:c>
      <x:c r="O84" s="277" t="s">
        <x:v>118</x:v>
      </x:c>
      <x:c r="P84" s="277" t="s">
        <x:v>118</x:v>
      </x:c>
      <x:c r="Q84" s="277" t="s">
        <x:v>118</x:v>
      </x:c>
      <x:c r="R84" s="277" t="s">
        <x:v>118</x:v>
      </x:c>
      <x:c r="S84" s="277" t="s">
        <x:v>118</x:v>
      </x:c>
      <x:c r="T84" s="277" t="s">
        <x:v>118</x:v>
      </x:c>
      <x:c r="U84" s="277" t="s">
        <x:v>118</x:v>
      </x:c>
      <x:c r="V84" s="277" t="s">
        <x:v>118</x:v>
      </x:c>
      <x:c r="W84" s="277" t="s">
        <x:v>118</x:v>
      </x:c>
      <x:c r="X84" s="277" t="s">
        <x:v>118</x:v>
      </x:c>
      <x:c r="Y84" s="277" t="s">
        <x:v>118</x:v>
      </x:c>
      <x:c r="Z84" s="277" t="s">
        <x:v>118</x:v>
      </x:c>
      <x:c r="AA84" s="277" t="s">
        <x:v>118</x:v>
      </x:c>
      <x:c r="AB84" s="277" t="s">
        <x:v>118</x:v>
      </x:c>
      <x:c r="AC84" s="277" t="s">
        <x:v>118</x:v>
      </x:c>
      <x:c r="AD84" s="277" t="s">
        <x:v>118</x:v>
      </x:c>
      <x:c r="AE84" s="277" t="s">
        <x:v>118</x:v>
      </x:c>
      <x:c r="AF84" s="277" t="s">
        <x:v>118</x:v>
      </x:c>
      <x:c r="AG84" s="277" t="s">
        <x:v>118</x:v>
      </x:c>
      <x:c r="AH84" s="277" t="s">
        <x:v>118</x:v>
      </x:c>
      <x:c r="AI84" s="277" t="s">
        <x:v>118</x:v>
      </x:c>
      <x:c r="AJ84" s="277" t="s">
        <x:v>118</x:v>
      </x:c>
      <x:c r="AK84" s="220">
        <x:f>COUNTIF(F84:AJ84,"X")</x:f>
      </x:c>
      <x:c r="AL84" s="221"/>
      <x:c r="AM84" s="221"/>
      <x:c r="AN84" s="222"/>
      <x:c r="AO84" s="222"/>
      <x:c r="AP84" s="228"/>
      <x:c r="AQ84" s="228"/>
      <x:c r="AR84" s="228"/>
      <x:c r="AS84" s="228"/>
      <x:c r="AT84" s="230"/>
    </x:row>
    <x:row r="85" spans="1:47" ht="19.9" customHeight="1">
      <x:c r="A85" s="274" t="s">
        <x:v>410</x:v>
      </x:c>
      <x:c r="B85" s="216"/>
      <x:c r="C85" s="275" t="s">
        <x:v>411</x:v>
      </x:c>
      <x:c r="D85" s="274" t="s">
        <x:v>412</x:v>
      </x:c>
      <x:c r="E85" s="276" t="s">
        <x:v>413</x:v>
      </x:c>
      <x:c r="F85" s="277" t="s">
        <x:v>118</x:v>
      </x:c>
      <x:c r="G85" s="277" t="s">
        <x:v>118</x:v>
      </x:c>
      <x:c r="H85" s="277" t="s">
        <x:v>118</x:v>
      </x:c>
      <x:c r="I85" s="277" t="s">
        <x:v>118</x:v>
      </x:c>
      <x:c r="J85" s="277" t="s">
        <x:v>118</x:v>
      </x:c>
      <x:c r="K85" s="277" t="s">
        <x:v>118</x:v>
      </x:c>
      <x:c r="L85" s="277" t="s">
        <x:v>118</x:v>
      </x:c>
      <x:c r="M85" s="277" t="s">
        <x:v>118</x:v>
      </x:c>
      <x:c r="N85" s="277" t="s">
        <x:v>118</x:v>
      </x:c>
      <x:c r="O85" s="277" t="s">
        <x:v>118</x:v>
      </x:c>
      <x:c r="P85" s="277" t="s">
        <x:v>118</x:v>
      </x:c>
      <x:c r="Q85" s="277" t="s">
        <x:v>118</x:v>
      </x:c>
      <x:c r="R85" s="277" t="s">
        <x:v>118</x:v>
      </x:c>
      <x:c r="S85" s="277" t="s">
        <x:v>118</x:v>
      </x:c>
      <x:c r="T85" s="277" t="s">
        <x:v>118</x:v>
      </x:c>
      <x:c r="U85" s="277" t="s">
        <x:v>118</x:v>
      </x:c>
      <x:c r="V85" s="277" t="s">
        <x:v>118</x:v>
      </x:c>
      <x:c r="W85" s="277" t="s">
        <x:v>118</x:v>
      </x:c>
      <x:c r="X85" s="277" t="s">
        <x:v>118</x:v>
      </x:c>
      <x:c r="Y85" s="277" t="s">
        <x:v>118</x:v>
      </x:c>
      <x:c r="Z85" s="277" t="s">
        <x:v>118</x:v>
      </x:c>
      <x:c r="AA85" s="277" t="s">
        <x:v>118</x:v>
      </x:c>
      <x:c r="AB85" s="277" t="s">
        <x:v>118</x:v>
      </x:c>
      <x:c r="AC85" s="277" t="s">
        <x:v>118</x:v>
      </x:c>
      <x:c r="AD85" s="277" t="s">
        <x:v>118</x:v>
      </x:c>
      <x:c r="AE85" s="277" t="s">
        <x:v>118</x:v>
      </x:c>
      <x:c r="AF85" s="277" t="s">
        <x:v>118</x:v>
      </x:c>
      <x:c r="AG85" s="277" t="s">
        <x:v>118</x:v>
      </x:c>
      <x:c r="AH85" s="277" t="s">
        <x:v>118</x:v>
      </x:c>
      <x:c r="AI85" s="277" t="s">
        <x:v>118</x:v>
      </x:c>
      <x:c r="AJ85" s="277" t="s">
        <x:v>118</x:v>
      </x:c>
      <x:c r="AK85" s="220">
        <x:f>COUNTIF(F85:AJ85,"X")</x:f>
      </x:c>
      <x:c r="AL85" s="221"/>
      <x:c r="AM85" s="221"/>
      <x:c r="AN85" s="222"/>
      <x:c r="AO85" s="222"/>
      <x:c r="AP85" s="228"/>
      <x:c r="AQ85" s="228"/>
      <x:c r="AR85" s="228"/>
      <x:c r="AS85" s="228"/>
      <x:c r="AT85" s="230"/>
    </x:row>
    <x:row r="86" spans="1:47" ht="19.9" customHeight="1">
      <x:c r="A86" s="274" t="s">
        <x:v>414</x:v>
      </x:c>
      <x:c r="B86" s="216"/>
      <x:c r="C86" s="275" t="s">
        <x:v>415</x:v>
      </x:c>
      <x:c r="D86" s="274" t="s">
        <x:v>416</x:v>
      </x:c>
      <x:c r="E86" s="276" t="s">
        <x:v>417</x:v>
      </x:c>
      <x:c r="F86" s="277" t="s">
        <x:v>118</x:v>
      </x:c>
      <x:c r="G86" s="277" t="s">
        <x:v>118</x:v>
      </x:c>
      <x:c r="H86" s="277" t="s">
        <x:v>118</x:v>
      </x:c>
      <x:c r="I86" s="277" t="s">
        <x:v>118</x:v>
      </x:c>
      <x:c r="J86" s="277" t="s">
        <x:v>118</x:v>
      </x:c>
      <x:c r="K86" s="277" t="s">
        <x:v>118</x:v>
      </x:c>
      <x:c r="L86" s="277" t="s">
        <x:v>118</x:v>
      </x:c>
      <x:c r="M86" s="277" t="s">
        <x:v>118</x:v>
      </x:c>
      <x:c r="N86" s="277" t="s">
        <x:v>118</x:v>
      </x:c>
      <x:c r="O86" s="277" t="s">
        <x:v>118</x:v>
      </x:c>
      <x:c r="P86" s="277" t="s">
        <x:v>118</x:v>
      </x:c>
      <x:c r="Q86" s="277" t="s">
        <x:v>118</x:v>
      </x:c>
      <x:c r="R86" s="277" t="s">
        <x:v>118</x:v>
      </x:c>
      <x:c r="S86" s="277" t="s">
        <x:v>118</x:v>
      </x:c>
      <x:c r="T86" s="277" t="s">
        <x:v>118</x:v>
      </x:c>
      <x:c r="U86" s="277" t="s">
        <x:v>118</x:v>
      </x:c>
      <x:c r="V86" s="277" t="s">
        <x:v>118</x:v>
      </x:c>
      <x:c r="W86" s="277" t="s">
        <x:v>118</x:v>
      </x:c>
      <x:c r="X86" s="277" t="s">
        <x:v>118</x:v>
      </x:c>
      <x:c r="Y86" s="277" t="s">
        <x:v>118</x:v>
      </x:c>
      <x:c r="Z86" s="277" t="s">
        <x:v>118</x:v>
      </x:c>
      <x:c r="AA86" s="277" t="s">
        <x:v>118</x:v>
      </x:c>
      <x:c r="AB86" s="277" t="s">
        <x:v>118</x:v>
      </x:c>
      <x:c r="AC86" s="277" t="s">
        <x:v>118</x:v>
      </x:c>
      <x:c r="AD86" s="277" t="s">
        <x:v>118</x:v>
      </x:c>
      <x:c r="AE86" s="277" t="s">
        <x:v>118</x:v>
      </x:c>
      <x:c r="AF86" s="277" t="s">
        <x:v>118</x:v>
      </x:c>
      <x:c r="AG86" s="277" t="s">
        <x:v>118</x:v>
      </x:c>
      <x:c r="AH86" s="277" t="s">
        <x:v>118</x:v>
      </x:c>
      <x:c r="AI86" s="277" t="s">
        <x:v>118</x:v>
      </x:c>
      <x:c r="AJ86" s="277" t="s">
        <x:v>118</x:v>
      </x:c>
      <x:c r="AK86" s="220">
        <x:f>COUNTIF(F86:AJ86,"X")</x:f>
      </x:c>
      <x:c r="AL86" s="221"/>
      <x:c r="AM86" s="221"/>
      <x:c r="AN86" s="222"/>
      <x:c r="AO86" s="222"/>
      <x:c r="AP86" s="228"/>
      <x:c r="AQ86" s="228"/>
      <x:c r="AR86" s="228"/>
      <x:c r="AS86" s="228"/>
      <x:c r="AT86" s="230"/>
    </x:row>
    <x:row r="87" spans="1:47" ht="19.9" customHeight="1">
      <x:c r="A87" s="274" t="s">
        <x:v>418</x:v>
      </x:c>
      <x:c r="B87" s="216"/>
      <x:c r="C87" s="275" t="s">
        <x:v>419</x:v>
      </x:c>
      <x:c r="D87" s="274" t="s">
        <x:v>420</x:v>
      </x:c>
      <x:c r="E87" s="276" t="s">
        <x:v>279</x:v>
      </x:c>
      <x:c r="F87" s="277" t="s">
        <x:v>118</x:v>
      </x:c>
      <x:c r="G87" s="277" t="s">
        <x:v>118</x:v>
      </x:c>
      <x:c r="H87" s="277" t="s">
        <x:v>118</x:v>
      </x:c>
      <x:c r="I87" s="277" t="s">
        <x:v>118</x:v>
      </x:c>
      <x:c r="J87" s="277" t="s">
        <x:v>118</x:v>
      </x:c>
      <x:c r="K87" s="277" t="s">
        <x:v>118</x:v>
      </x:c>
      <x:c r="L87" s="277" t="s">
        <x:v>118</x:v>
      </x:c>
      <x:c r="M87" s="277" t="s">
        <x:v>118</x:v>
      </x:c>
      <x:c r="N87" s="277" t="s">
        <x:v>118</x:v>
      </x:c>
      <x:c r="O87" s="277" t="s">
        <x:v>118</x:v>
      </x:c>
      <x:c r="P87" s="277" t="s">
        <x:v>118</x:v>
      </x:c>
      <x:c r="Q87" s="277" t="s">
        <x:v>118</x:v>
      </x:c>
      <x:c r="R87" s="277" t="s">
        <x:v>118</x:v>
      </x:c>
      <x:c r="S87" s="277" t="s">
        <x:v>118</x:v>
      </x:c>
      <x:c r="T87" s="277" t="s">
        <x:v>118</x:v>
      </x:c>
      <x:c r="U87" s="277" t="s">
        <x:v>118</x:v>
      </x:c>
      <x:c r="V87" s="277" t="s">
        <x:v>118</x:v>
      </x:c>
      <x:c r="W87" s="277" t="s">
        <x:v>118</x:v>
      </x:c>
      <x:c r="X87" s="277" t="s">
        <x:v>118</x:v>
      </x:c>
      <x:c r="Y87" s="277" t="s">
        <x:v>118</x:v>
      </x:c>
      <x:c r="Z87" s="277" t="s">
        <x:v>118</x:v>
      </x:c>
      <x:c r="AA87" s="277" t="s">
        <x:v>118</x:v>
      </x:c>
      <x:c r="AB87" s="277" t="s">
        <x:v>118</x:v>
      </x:c>
      <x:c r="AC87" s="277" t="s">
        <x:v>118</x:v>
      </x:c>
      <x:c r="AD87" s="277" t="s">
        <x:v>118</x:v>
      </x:c>
      <x:c r="AE87" s="277" t="s">
        <x:v>118</x:v>
      </x:c>
      <x:c r="AF87" s="277" t="s">
        <x:v>118</x:v>
      </x:c>
      <x:c r="AG87" s="277" t="s">
        <x:v>118</x:v>
      </x:c>
      <x:c r="AH87" s="277" t="s">
        <x:v>118</x:v>
      </x:c>
      <x:c r="AI87" s="277" t="s">
        <x:v>118</x:v>
      </x:c>
      <x:c r="AJ87" s="277" t="s">
        <x:v>118</x:v>
      </x:c>
      <x:c r="AK87" s="220">
        <x:f>COUNTIF(F87:AJ87,"X")</x:f>
      </x:c>
      <x:c r="AL87" s="221"/>
      <x:c r="AM87" s="221"/>
      <x:c r="AN87" s="222"/>
      <x:c r="AO87" s="222"/>
      <x:c r="AP87" s="228"/>
      <x:c r="AQ87" s="228"/>
      <x:c r="AR87" s="228"/>
      <x:c r="AS87" s="228"/>
      <x:c r="AT87" s="230"/>
    </x:row>
    <x:row r="88" spans="1:47" ht="19.9" customHeight="1">
      <x:c r="A88" s="274" t="s">
        <x:v>421</x:v>
      </x:c>
      <x:c r="B88" s="216"/>
      <x:c r="C88" s="275" t="s">
        <x:v>422</x:v>
      </x:c>
      <x:c r="D88" s="274" t="s">
        <x:v>423</x:v>
      </x:c>
      <x:c r="E88" s="276" t="s">
        <x:v>424</x:v>
      </x:c>
      <x:c r="F88" s="277" t="s">
        <x:v>118</x:v>
      </x:c>
      <x:c r="G88" s="277" t="s">
        <x:v>118</x:v>
      </x:c>
      <x:c r="H88" s="277" t="s">
        <x:v>118</x:v>
      </x:c>
      <x:c r="I88" s="277" t="s">
        <x:v>118</x:v>
      </x:c>
      <x:c r="J88" s="277" t="s">
        <x:v>118</x:v>
      </x:c>
      <x:c r="K88" s="277" t="s">
        <x:v>118</x:v>
      </x:c>
      <x:c r="L88" s="277" t="s">
        <x:v>118</x:v>
      </x:c>
      <x:c r="M88" s="277" t="s">
        <x:v>118</x:v>
      </x:c>
      <x:c r="N88" s="277" t="s">
        <x:v>118</x:v>
      </x:c>
      <x:c r="O88" s="277" t="s">
        <x:v>118</x:v>
      </x:c>
      <x:c r="P88" s="277" t="s">
        <x:v>118</x:v>
      </x:c>
      <x:c r="Q88" s="277" t="s">
        <x:v>118</x:v>
      </x:c>
      <x:c r="R88" s="277" t="s">
        <x:v>118</x:v>
      </x:c>
      <x:c r="S88" s="277" t="s">
        <x:v>118</x:v>
      </x:c>
      <x:c r="T88" s="277" t="s">
        <x:v>118</x:v>
      </x:c>
      <x:c r="U88" s="277" t="s">
        <x:v>118</x:v>
      </x:c>
      <x:c r="V88" s="277" t="s">
        <x:v>118</x:v>
      </x:c>
      <x:c r="W88" s="277" t="s">
        <x:v>118</x:v>
      </x:c>
      <x:c r="X88" s="277" t="s">
        <x:v>118</x:v>
      </x:c>
      <x:c r="Y88" s="277" t="s">
        <x:v>118</x:v>
      </x:c>
      <x:c r="Z88" s="277" t="s">
        <x:v>118</x:v>
      </x:c>
      <x:c r="AA88" s="277" t="s">
        <x:v>118</x:v>
      </x:c>
      <x:c r="AB88" s="277" t="s">
        <x:v>118</x:v>
      </x:c>
      <x:c r="AC88" s="277" t="s">
        <x:v>118</x:v>
      </x:c>
      <x:c r="AD88" s="277" t="s">
        <x:v>118</x:v>
      </x:c>
      <x:c r="AE88" s="277" t="s">
        <x:v>118</x:v>
      </x:c>
      <x:c r="AF88" s="277" t="s">
        <x:v>118</x:v>
      </x:c>
      <x:c r="AG88" s="277" t="s">
        <x:v>118</x:v>
      </x:c>
      <x:c r="AH88" s="277" t="s">
        <x:v>118</x:v>
      </x:c>
      <x:c r="AI88" s="277" t="s">
        <x:v>118</x:v>
      </x:c>
      <x:c r="AJ88" s="277" t="s">
        <x:v>118</x:v>
      </x:c>
      <x:c r="AK88" s="220">
        <x:f>COUNTIF(F88:AJ88,"X")</x:f>
      </x:c>
      <x:c r="AL88" s="221"/>
      <x:c r="AM88" s="221"/>
      <x:c r="AN88" s="222"/>
      <x:c r="AO88" s="222"/>
      <x:c r="AP88" s="228"/>
      <x:c r="AQ88" s="228"/>
      <x:c r="AR88" s="228"/>
      <x:c r="AS88" s="228"/>
      <x:c r="AT88" s="230"/>
    </x:row>
    <x:row r="89" spans="1:47" ht="19.9" customHeight="1">
      <x:c r="A89" s="274" t="s">
        <x:v>425</x:v>
      </x:c>
      <x:c r="B89" s="216"/>
      <x:c r="C89" s="275" t="s">
        <x:v>426</x:v>
      </x:c>
      <x:c r="D89" s="274" t="s">
        <x:v>427</x:v>
      </x:c>
      <x:c r="E89" s="276" t="s">
        <x:v>428</x:v>
      </x:c>
      <x:c r="F89" s="277" t="s">
        <x:v>118</x:v>
      </x:c>
      <x:c r="G89" s="277" t="s">
        <x:v>118</x:v>
      </x:c>
      <x:c r="H89" s="277" t="s">
        <x:v>118</x:v>
      </x:c>
      <x:c r="I89" s="277" t="s">
        <x:v>118</x:v>
      </x:c>
      <x:c r="J89" s="277" t="s">
        <x:v>118</x:v>
      </x:c>
      <x:c r="K89" s="277" t="s">
        <x:v>118</x:v>
      </x:c>
      <x:c r="L89" s="277" t="s">
        <x:v>118</x:v>
      </x:c>
      <x:c r="M89" s="277" t="s">
        <x:v>118</x:v>
      </x:c>
      <x:c r="N89" s="277" t="s">
        <x:v>118</x:v>
      </x:c>
      <x:c r="O89" s="277" t="s">
        <x:v>118</x:v>
      </x:c>
      <x:c r="P89" s="277" t="s">
        <x:v>118</x:v>
      </x:c>
      <x:c r="Q89" s="277" t="s">
        <x:v>118</x:v>
      </x:c>
      <x:c r="R89" s="277" t="s">
        <x:v>118</x:v>
      </x:c>
      <x:c r="S89" s="277" t="s">
        <x:v>118</x:v>
      </x:c>
      <x:c r="T89" s="277" t="s">
        <x:v>118</x:v>
      </x:c>
      <x:c r="U89" s="277" t="s">
        <x:v>118</x:v>
      </x:c>
      <x:c r="V89" s="277" t="s">
        <x:v>118</x:v>
      </x:c>
      <x:c r="W89" s="277" t="s">
        <x:v>118</x:v>
      </x:c>
      <x:c r="X89" s="277" t="s">
        <x:v>118</x:v>
      </x:c>
      <x:c r="Y89" s="277" t="s">
        <x:v>118</x:v>
      </x:c>
      <x:c r="Z89" s="277" t="s">
        <x:v>118</x:v>
      </x:c>
      <x:c r="AA89" s="277" t="s">
        <x:v>118</x:v>
      </x:c>
      <x:c r="AB89" s="277" t="s">
        <x:v>118</x:v>
      </x:c>
      <x:c r="AC89" s="277" t="s">
        <x:v>118</x:v>
      </x:c>
      <x:c r="AD89" s="277" t="s">
        <x:v>118</x:v>
      </x:c>
      <x:c r="AE89" s="277" t="s">
        <x:v>118</x:v>
      </x:c>
      <x:c r="AF89" s="277" t="s">
        <x:v>118</x:v>
      </x:c>
      <x:c r="AG89" s="277" t="s">
        <x:v>118</x:v>
      </x:c>
      <x:c r="AH89" s="277" t="s">
        <x:v>118</x:v>
      </x:c>
      <x:c r="AI89" s="277" t="s">
        <x:v>118</x:v>
      </x:c>
      <x:c r="AJ89" s="277" t="s">
        <x:v>118</x:v>
      </x:c>
      <x:c r="AK89" s="220">
        <x:f>COUNTIF(F89:AJ89,"X")</x:f>
      </x:c>
      <x:c r="AL89" s="221"/>
      <x:c r="AM89" s="221"/>
      <x:c r="AN89" s="222"/>
      <x:c r="AO89" s="222"/>
      <x:c r="AP89" s="228"/>
      <x:c r="AQ89" s="228"/>
      <x:c r="AR89" s="228"/>
      <x:c r="AS89" s="228"/>
      <x:c r="AT89" s="230"/>
    </x:row>
    <x:row r="90" spans="1:47" ht="19.9" customHeight="1">
      <x:c r="A90" s="274" t="s">
        <x:v>429</x:v>
      </x:c>
      <x:c r="B90" s="216"/>
      <x:c r="C90" s="275" t="s">
        <x:v>430</x:v>
      </x:c>
      <x:c r="D90" s="274" t="s">
        <x:v>431</x:v>
      </x:c>
      <x:c r="E90" s="276" t="s">
        <x:v>432</x:v>
      </x:c>
      <x:c r="F90" s="277" t="s">
        <x:v>118</x:v>
      </x:c>
      <x:c r="G90" s="277" t="s">
        <x:v>118</x:v>
      </x:c>
      <x:c r="H90" s="277" t="s">
        <x:v>118</x:v>
      </x:c>
      <x:c r="I90" s="277" t="s">
        <x:v>118</x:v>
      </x:c>
      <x:c r="J90" s="277" t="s">
        <x:v>118</x:v>
      </x:c>
      <x:c r="K90" s="277" t="s">
        <x:v>118</x:v>
      </x:c>
      <x:c r="L90" s="277" t="s">
        <x:v>118</x:v>
      </x:c>
      <x:c r="M90" s="277" t="s">
        <x:v>118</x:v>
      </x:c>
      <x:c r="N90" s="277" t="s">
        <x:v>118</x:v>
      </x:c>
      <x:c r="O90" s="277" t="s">
        <x:v>118</x:v>
      </x:c>
      <x:c r="P90" s="277" t="s">
        <x:v>118</x:v>
      </x:c>
      <x:c r="Q90" s="277" t="s">
        <x:v>118</x:v>
      </x:c>
      <x:c r="R90" s="277" t="s">
        <x:v>118</x:v>
      </x:c>
      <x:c r="S90" s="277" t="s">
        <x:v>118</x:v>
      </x:c>
      <x:c r="T90" s="277" t="s">
        <x:v>118</x:v>
      </x:c>
      <x:c r="U90" s="277" t="s">
        <x:v>118</x:v>
      </x:c>
      <x:c r="V90" s="277" t="s">
        <x:v>118</x:v>
      </x:c>
      <x:c r="W90" s="277" t="s">
        <x:v>118</x:v>
      </x:c>
      <x:c r="X90" s="277" t="s">
        <x:v>118</x:v>
      </x:c>
      <x:c r="Y90" s="277" t="s">
        <x:v>118</x:v>
      </x:c>
      <x:c r="Z90" s="277" t="s">
        <x:v>118</x:v>
      </x:c>
      <x:c r="AA90" s="277" t="s">
        <x:v>118</x:v>
      </x:c>
      <x:c r="AB90" s="277" t="s">
        <x:v>118</x:v>
      </x:c>
      <x:c r="AC90" s="277" t="s">
        <x:v>118</x:v>
      </x:c>
      <x:c r="AD90" s="277" t="s">
        <x:v>118</x:v>
      </x:c>
      <x:c r="AE90" s="277" t="s">
        <x:v>118</x:v>
      </x:c>
      <x:c r="AF90" s="277" t="s">
        <x:v>118</x:v>
      </x:c>
      <x:c r="AG90" s="277" t="s">
        <x:v>118</x:v>
      </x:c>
      <x:c r="AH90" s="277" t="s">
        <x:v>118</x:v>
      </x:c>
      <x:c r="AI90" s="277" t="s">
        <x:v>118</x:v>
      </x:c>
      <x:c r="AJ90" s="277" t="s">
        <x:v>118</x:v>
      </x:c>
      <x:c r="AK90" s="220">
        <x:f>COUNTIF(F90:AJ90,"X")</x:f>
      </x:c>
      <x:c r="AL90" s="221"/>
      <x:c r="AM90" s="221"/>
      <x:c r="AN90" s="222"/>
      <x:c r="AO90" s="222"/>
      <x:c r="AP90" s="228"/>
      <x:c r="AQ90" s="228"/>
      <x:c r="AR90" s="228"/>
      <x:c r="AS90" s="228"/>
      <x:c r="AT90" s="230"/>
    </x:row>
    <x:row r="91" spans="1:47" ht="19.9" customHeight="1">
      <x:c r="A91" s="274" t="s">
        <x:v>433</x:v>
      </x:c>
      <x:c r="B91" s="216"/>
      <x:c r="C91" s="275" t="s">
        <x:v>434</x:v>
      </x:c>
      <x:c r="D91" s="274" t="s">
        <x:v>431</x:v>
      </x:c>
      <x:c r="E91" s="276" t="s">
        <x:v>435</x:v>
      </x:c>
      <x:c r="F91" s="277" t="s">
        <x:v>118</x:v>
      </x:c>
      <x:c r="G91" s="277" t="s">
        <x:v>118</x:v>
      </x:c>
      <x:c r="H91" s="277" t="s">
        <x:v>118</x:v>
      </x:c>
      <x:c r="I91" s="277" t="s">
        <x:v>118</x:v>
      </x:c>
      <x:c r="J91" s="277" t="s">
        <x:v>118</x:v>
      </x:c>
      <x:c r="K91" s="277" t="s">
        <x:v>118</x:v>
      </x:c>
      <x:c r="L91" s="277" t="s">
        <x:v>118</x:v>
      </x:c>
      <x:c r="M91" s="277" t="s">
        <x:v>118</x:v>
      </x:c>
      <x:c r="N91" s="277" t="s">
        <x:v>118</x:v>
      </x:c>
      <x:c r="O91" s="277" t="s">
        <x:v>118</x:v>
      </x:c>
      <x:c r="P91" s="277" t="s">
        <x:v>118</x:v>
      </x:c>
      <x:c r="Q91" s="277" t="s">
        <x:v>118</x:v>
      </x:c>
      <x:c r="R91" s="277" t="s">
        <x:v>118</x:v>
      </x:c>
      <x:c r="S91" s="277" t="s">
        <x:v>118</x:v>
      </x:c>
      <x:c r="T91" s="277" t="s">
        <x:v>118</x:v>
      </x:c>
      <x:c r="U91" s="277" t="s">
        <x:v>118</x:v>
      </x:c>
      <x:c r="V91" s="277" t="s">
        <x:v>118</x:v>
      </x:c>
      <x:c r="W91" s="277" t="s">
        <x:v>118</x:v>
      </x:c>
      <x:c r="X91" s="277" t="s">
        <x:v>118</x:v>
      </x:c>
      <x:c r="Y91" s="277" t="s">
        <x:v>118</x:v>
      </x:c>
      <x:c r="Z91" s="277" t="s">
        <x:v>118</x:v>
      </x:c>
      <x:c r="AA91" s="277" t="s">
        <x:v>118</x:v>
      </x:c>
      <x:c r="AB91" s="277" t="s">
        <x:v>118</x:v>
      </x:c>
      <x:c r="AC91" s="277" t="s">
        <x:v>118</x:v>
      </x:c>
      <x:c r="AD91" s="277" t="s">
        <x:v>118</x:v>
      </x:c>
      <x:c r="AE91" s="277" t="s">
        <x:v>118</x:v>
      </x:c>
      <x:c r="AF91" s="277" t="s">
        <x:v>118</x:v>
      </x:c>
      <x:c r="AG91" s="277" t="s">
        <x:v>118</x:v>
      </x:c>
      <x:c r="AH91" s="277" t="s">
        <x:v>118</x:v>
      </x:c>
      <x:c r="AI91" s="277" t="s">
        <x:v>118</x:v>
      </x:c>
      <x:c r="AJ91" s="277" t="s">
        <x:v>118</x:v>
      </x:c>
      <x:c r="AK91" s="220">
        <x:f>COUNTIF(F91:AJ91,"X")</x:f>
      </x:c>
      <x:c r="AL91" s="221"/>
      <x:c r="AM91" s="221"/>
      <x:c r="AN91" s="222"/>
      <x:c r="AO91" s="222"/>
      <x:c r="AP91" s="228"/>
      <x:c r="AQ91" s="228"/>
      <x:c r="AR91" s="228"/>
      <x:c r="AS91" s="228"/>
      <x:c r="AT91" s="230"/>
    </x:row>
    <x:row r="92" spans="1:47" ht="19.9" customHeight="1">
      <x:c r="A92" s="274" t="s">
        <x:v>436</x:v>
      </x:c>
      <x:c r="B92" s="216"/>
      <x:c r="C92" s="275" t="s">
        <x:v>437</x:v>
      </x:c>
      <x:c r="D92" s="274" t="s">
        <x:v>438</x:v>
      </x:c>
      <x:c r="E92" s="276" t="s">
        <x:v>439</x:v>
      </x:c>
      <x:c r="F92" s="277" t="s">
        <x:v>118</x:v>
      </x:c>
      <x:c r="G92" s="277" t="s">
        <x:v>118</x:v>
      </x:c>
      <x:c r="H92" s="277" t="s">
        <x:v>118</x:v>
      </x:c>
      <x:c r="I92" s="277" t="s">
        <x:v>118</x:v>
      </x:c>
      <x:c r="J92" s="277" t="s">
        <x:v>118</x:v>
      </x:c>
      <x:c r="K92" s="277" t="s">
        <x:v>118</x:v>
      </x:c>
      <x:c r="L92" s="277" t="s">
        <x:v>118</x:v>
      </x:c>
      <x:c r="M92" s="277" t="s">
        <x:v>118</x:v>
      </x:c>
      <x:c r="N92" s="277" t="s">
        <x:v>118</x:v>
      </x:c>
      <x:c r="O92" s="277" t="s">
        <x:v>118</x:v>
      </x:c>
      <x:c r="P92" s="277" t="s">
        <x:v>118</x:v>
      </x:c>
      <x:c r="Q92" s="277" t="s">
        <x:v>118</x:v>
      </x:c>
      <x:c r="R92" s="277" t="s">
        <x:v>118</x:v>
      </x:c>
      <x:c r="S92" s="277" t="s">
        <x:v>118</x:v>
      </x:c>
      <x:c r="T92" s="277" t="s">
        <x:v>118</x:v>
      </x:c>
      <x:c r="U92" s="277" t="s">
        <x:v>118</x:v>
      </x:c>
      <x:c r="V92" s="277" t="s">
        <x:v>118</x:v>
      </x:c>
      <x:c r="W92" s="277" t="s">
        <x:v>118</x:v>
      </x:c>
      <x:c r="X92" s="277" t="s">
        <x:v>118</x:v>
      </x:c>
      <x:c r="Y92" s="277" t="s">
        <x:v>118</x:v>
      </x:c>
      <x:c r="Z92" s="277" t="s">
        <x:v>118</x:v>
      </x:c>
      <x:c r="AA92" s="277" t="s">
        <x:v>118</x:v>
      </x:c>
      <x:c r="AB92" s="277" t="s">
        <x:v>118</x:v>
      </x:c>
      <x:c r="AC92" s="277" t="s">
        <x:v>118</x:v>
      </x:c>
      <x:c r="AD92" s="277" t="s">
        <x:v>118</x:v>
      </x:c>
      <x:c r="AE92" s="277" t="s">
        <x:v>118</x:v>
      </x:c>
      <x:c r="AF92" s="277" t="s">
        <x:v>118</x:v>
      </x:c>
      <x:c r="AG92" s="277" t="s">
        <x:v>118</x:v>
      </x:c>
      <x:c r="AH92" s="277" t="s">
        <x:v>118</x:v>
      </x:c>
      <x:c r="AI92" s="277" t="s">
        <x:v>118</x:v>
      </x:c>
      <x:c r="AJ92" s="277" t="s">
        <x:v>118</x:v>
      </x:c>
      <x:c r="AK92" s="220">
        <x:f>COUNTIF(F92:AJ92,"X")</x:f>
      </x:c>
      <x:c r="AL92" s="221"/>
      <x:c r="AM92" s="221"/>
      <x:c r="AN92" s="222"/>
      <x:c r="AO92" s="222"/>
      <x:c r="AP92" s="228"/>
      <x:c r="AQ92" s="228"/>
      <x:c r="AR92" s="228"/>
      <x:c r="AS92" s="228"/>
      <x:c r="AT92" s="230"/>
    </x:row>
    <x:row r="93" spans="1:47" ht="19.9" customHeight="1">
      <x:c r="A93" s="274" t="s">
        <x:v>440</x:v>
      </x:c>
      <x:c r="B93" s="216"/>
      <x:c r="C93" s="275" t="s">
        <x:v>441</x:v>
      </x:c>
      <x:c r="D93" s="274" t="s">
        <x:v>442</x:v>
      </x:c>
      <x:c r="E93" s="276" t="s">
        <x:v>147</x:v>
      </x:c>
      <x:c r="F93" s="277" t="s">
        <x:v>118</x:v>
      </x:c>
      <x:c r="G93" s="277" t="s">
        <x:v>118</x:v>
      </x:c>
      <x:c r="H93" s="277" t="s">
        <x:v>118</x:v>
      </x:c>
      <x:c r="I93" s="277" t="s">
        <x:v>118</x:v>
      </x:c>
      <x:c r="J93" s="277" t="s">
        <x:v>118</x:v>
      </x:c>
      <x:c r="K93" s="277" t="s">
        <x:v>118</x:v>
      </x:c>
      <x:c r="L93" s="277" t="s">
        <x:v>118</x:v>
      </x:c>
      <x:c r="M93" s="277" t="s">
        <x:v>118</x:v>
      </x:c>
      <x:c r="N93" s="277" t="s">
        <x:v>118</x:v>
      </x:c>
      <x:c r="O93" s="277" t="s">
        <x:v>118</x:v>
      </x:c>
      <x:c r="P93" s="277" t="s">
        <x:v>118</x:v>
      </x:c>
      <x:c r="Q93" s="277" t="s">
        <x:v>118</x:v>
      </x:c>
      <x:c r="R93" s="277" t="s">
        <x:v>118</x:v>
      </x:c>
      <x:c r="S93" s="277" t="s">
        <x:v>118</x:v>
      </x:c>
      <x:c r="T93" s="277" t="s">
        <x:v>118</x:v>
      </x:c>
      <x:c r="U93" s="277" t="s">
        <x:v>118</x:v>
      </x:c>
      <x:c r="V93" s="277" t="s">
        <x:v>118</x:v>
      </x:c>
      <x:c r="W93" s="277" t="s">
        <x:v>118</x:v>
      </x:c>
      <x:c r="X93" s="277" t="s">
        <x:v>118</x:v>
      </x:c>
      <x:c r="Y93" s="277" t="s">
        <x:v>118</x:v>
      </x:c>
      <x:c r="Z93" s="277" t="s">
        <x:v>118</x:v>
      </x:c>
      <x:c r="AA93" s="277" t="s">
        <x:v>118</x:v>
      </x:c>
      <x:c r="AB93" s="277" t="s">
        <x:v>118</x:v>
      </x:c>
      <x:c r="AC93" s="277" t="s">
        <x:v>118</x:v>
      </x:c>
      <x:c r="AD93" s="277" t="s">
        <x:v>118</x:v>
      </x:c>
      <x:c r="AE93" s="277" t="s">
        <x:v>118</x:v>
      </x:c>
      <x:c r="AF93" s="277" t="s">
        <x:v>118</x:v>
      </x:c>
      <x:c r="AG93" s="277" t="s">
        <x:v>118</x:v>
      </x:c>
      <x:c r="AH93" s="277" t="s">
        <x:v>118</x:v>
      </x:c>
      <x:c r="AI93" s="277" t="s">
        <x:v>118</x:v>
      </x:c>
      <x:c r="AJ93" s="277" t="s">
        <x:v>118</x:v>
      </x:c>
      <x:c r="AK93" s="220">
        <x:f>COUNTIF(F93:AJ93,"X")</x:f>
      </x:c>
      <x:c r="AL93" s="221"/>
      <x:c r="AM93" s="221"/>
      <x:c r="AN93" s="222"/>
      <x:c r="AO93" s="222"/>
      <x:c r="AP93" s="228"/>
      <x:c r="AQ93" s="228"/>
      <x:c r="AR93" s="228"/>
      <x:c r="AS93" s="228"/>
      <x:c r="AT93" s="230"/>
    </x:row>
    <x:row r="94" spans="1:47" ht="19.9" customHeight="1">
      <x:c r="A94" s="280" t="s">
        <x:v>443</x:v>
      </x:c>
      <x:c r="B94" s="216"/>
      <x:c r="C94" s="275" t="s">
        <x:v>444</x:v>
      </x:c>
      <x:c r="D94" s="274" t="s">
        <x:v>445</x:v>
      </x:c>
      <x:c r="E94" s="276" t="s">
        <x:v>323</x:v>
      </x:c>
      <x:c r="F94" s="277" t="s">
        <x:v>118</x:v>
      </x:c>
      <x:c r="G94" s="277" t="s">
        <x:v>118</x:v>
      </x:c>
      <x:c r="H94" s="277" t="s">
        <x:v>118</x:v>
      </x:c>
      <x:c r="I94" s="277" t="s">
        <x:v>118</x:v>
      </x:c>
      <x:c r="J94" s="277" t="s">
        <x:v>118</x:v>
      </x:c>
      <x:c r="K94" s="277" t="s">
        <x:v>118</x:v>
      </x:c>
      <x:c r="L94" s="277" t="s">
        <x:v>118</x:v>
      </x:c>
      <x:c r="M94" s="277" t="s">
        <x:v>118</x:v>
      </x:c>
      <x:c r="N94" s="277" t="s">
        <x:v>118</x:v>
      </x:c>
      <x:c r="O94" s="277" t="s">
        <x:v>118</x:v>
      </x:c>
      <x:c r="P94" s="277" t="s">
        <x:v>118</x:v>
      </x:c>
      <x:c r="Q94" s="277" t="s">
        <x:v>118</x:v>
      </x:c>
      <x:c r="R94" s="277" t="s">
        <x:v>118</x:v>
      </x:c>
      <x:c r="S94" s="277" t="s">
        <x:v>118</x:v>
      </x:c>
      <x:c r="T94" s="277" t="s">
        <x:v>118</x:v>
      </x:c>
      <x:c r="U94" s="277" t="s">
        <x:v>118</x:v>
      </x:c>
      <x:c r="V94" s="277" t="s">
        <x:v>118</x:v>
      </x:c>
      <x:c r="W94" s="277" t="s">
        <x:v>118</x:v>
      </x:c>
      <x:c r="X94" s="277" t="s">
        <x:v>118</x:v>
      </x:c>
      <x:c r="Y94" s="277" t="s">
        <x:v>118</x:v>
      </x:c>
      <x:c r="Z94" s="277" t="s">
        <x:v>118</x:v>
      </x:c>
      <x:c r="AA94" s="277" t="s">
        <x:v>118</x:v>
      </x:c>
      <x:c r="AB94" s="277" t="s">
        <x:v>118</x:v>
      </x:c>
      <x:c r="AC94" s="277" t="s">
        <x:v>118</x:v>
      </x:c>
      <x:c r="AD94" s="277" t="s">
        <x:v>118</x:v>
      </x:c>
      <x:c r="AE94" s="277" t="s">
        <x:v>118</x:v>
      </x:c>
      <x:c r="AF94" s="277" t="s">
        <x:v>118</x:v>
      </x:c>
      <x:c r="AG94" s="277" t="s">
        <x:v>118</x:v>
      </x:c>
      <x:c r="AH94" s="277" t="s">
        <x:v>118</x:v>
      </x:c>
      <x:c r="AI94" s="277" t="s">
        <x:v>118</x:v>
      </x:c>
      <x:c r="AJ94" s="277" t="s">
        <x:v>118</x:v>
      </x:c>
      <x:c r="AK94" s="220">
        <x:f>COUNTIF(F94:AJ94,"X")</x:f>
      </x:c>
      <x:c r="AL94" s="221"/>
      <x:c r="AM94" s="221"/>
      <x:c r="AN94" s="222"/>
      <x:c r="AO94" s="222"/>
      <x:c r="AP94" s="228"/>
      <x:c r="AQ94" s="228"/>
      <x:c r="AR94" s="228"/>
      <x:c r="AS94" s="228"/>
      <x:c r="AT94" s="230"/>
    </x:row>
    <x:row r="95" spans="1:47" ht="19.9" customHeight="1">
      <x:c r="A95" s="274" t="s">
        <x:v>446</x:v>
      </x:c>
      <x:c r="B95" s="216"/>
      <x:c r="C95" s="275" t="s">
        <x:v>447</x:v>
      </x:c>
      <x:c r="D95" s="274" t="s">
        <x:v>448</x:v>
      </x:c>
      <x:c r="E95" s="276" t="s">
        <x:v>449</x:v>
      </x:c>
      <x:c r="F95" s="277" t="s">
        <x:v>118</x:v>
      </x:c>
      <x:c r="G95" s="277" t="s">
        <x:v>118</x:v>
      </x:c>
      <x:c r="H95" s="277" t="s">
        <x:v>118</x:v>
      </x:c>
      <x:c r="I95" s="277" t="s">
        <x:v>118</x:v>
      </x:c>
      <x:c r="J95" s="277" t="s">
        <x:v>118</x:v>
      </x:c>
      <x:c r="K95" s="277" t="s">
        <x:v>118</x:v>
      </x:c>
      <x:c r="L95" s="277" t="s">
        <x:v>118</x:v>
      </x:c>
      <x:c r="M95" s="277" t="s">
        <x:v>118</x:v>
      </x:c>
      <x:c r="N95" s="277" t="s">
        <x:v>118</x:v>
      </x:c>
      <x:c r="O95" s="277" t="s">
        <x:v>118</x:v>
      </x:c>
      <x:c r="P95" s="277" t="s">
        <x:v>118</x:v>
      </x:c>
      <x:c r="Q95" s="277" t="s">
        <x:v>118</x:v>
      </x:c>
      <x:c r="R95" s="277" t="s">
        <x:v>118</x:v>
      </x:c>
      <x:c r="S95" s="277" t="s">
        <x:v>118</x:v>
      </x:c>
      <x:c r="T95" s="277" t="s">
        <x:v>118</x:v>
      </x:c>
      <x:c r="U95" s="277" t="s">
        <x:v>118</x:v>
      </x:c>
      <x:c r="V95" s="277" t="s">
        <x:v>118</x:v>
      </x:c>
      <x:c r="W95" s="277" t="s">
        <x:v>118</x:v>
      </x:c>
      <x:c r="X95" s="277" t="s">
        <x:v>118</x:v>
      </x:c>
      <x:c r="Y95" s="277" t="s">
        <x:v>118</x:v>
      </x:c>
      <x:c r="Z95" s="277" t="s">
        <x:v>118</x:v>
      </x:c>
      <x:c r="AA95" s="277" t="s">
        <x:v>118</x:v>
      </x:c>
      <x:c r="AB95" s="277" t="s">
        <x:v>118</x:v>
      </x:c>
      <x:c r="AC95" s="277" t="s">
        <x:v>118</x:v>
      </x:c>
      <x:c r="AD95" s="277" t="s">
        <x:v>118</x:v>
      </x:c>
      <x:c r="AE95" s="277" t="s">
        <x:v>118</x:v>
      </x:c>
      <x:c r="AF95" s="277" t="s">
        <x:v>118</x:v>
      </x:c>
      <x:c r="AG95" s="277" t="s">
        <x:v>118</x:v>
      </x:c>
      <x:c r="AH95" s="277" t="s">
        <x:v>118</x:v>
      </x:c>
      <x:c r="AI95" s="277" t="s">
        <x:v>118</x:v>
      </x:c>
      <x:c r="AJ95" s="277" t="s">
        <x:v>118</x:v>
      </x:c>
      <x:c r="AK95" s="220">
        <x:f>COUNTIF(F95:AJ95,"X")</x:f>
      </x:c>
      <x:c r="AL95" s="221"/>
      <x:c r="AM95" s="221"/>
      <x:c r="AN95" s="222"/>
      <x:c r="AO95" s="222"/>
      <x:c r="AP95" s="228"/>
      <x:c r="AQ95" s="228"/>
      <x:c r="AR95" s="228"/>
      <x:c r="AS95" s="228"/>
      <x:c r="AT95" s="230"/>
    </x:row>
    <x:row r="96" spans="1:47" ht="19.9" customHeight="1">
      <x:c r="A96" s="274" t="s">
        <x:v>450</x:v>
      </x:c>
      <x:c r="B96" s="216"/>
      <x:c r="C96" s="275" t="s">
        <x:v>451</x:v>
      </x:c>
      <x:c r="D96" s="274" t="s">
        <x:v>452</x:v>
      </x:c>
      <x:c r="E96" s="276" t="s">
        <x:v>453</x:v>
      </x:c>
      <x:c r="F96" s="277" t="s">
        <x:v>118</x:v>
      </x:c>
      <x:c r="G96" s="277" t="s">
        <x:v>118</x:v>
      </x:c>
      <x:c r="H96" s="277" t="s">
        <x:v>118</x:v>
      </x:c>
      <x:c r="I96" s="277" t="s">
        <x:v>118</x:v>
      </x:c>
      <x:c r="J96" s="277" t="s">
        <x:v>118</x:v>
      </x:c>
      <x:c r="K96" s="277" t="s">
        <x:v>118</x:v>
      </x:c>
      <x:c r="L96" s="277" t="s">
        <x:v>118</x:v>
      </x:c>
      <x:c r="M96" s="277" t="s">
        <x:v>118</x:v>
      </x:c>
      <x:c r="N96" s="277" t="s">
        <x:v>118</x:v>
      </x:c>
      <x:c r="O96" s="277" t="s">
        <x:v>118</x:v>
      </x:c>
      <x:c r="P96" s="277" t="s">
        <x:v>118</x:v>
      </x:c>
      <x:c r="Q96" s="277" t="s">
        <x:v>118</x:v>
      </x:c>
      <x:c r="R96" s="277" t="s">
        <x:v>118</x:v>
      </x:c>
      <x:c r="S96" s="277" t="s">
        <x:v>118</x:v>
      </x:c>
      <x:c r="T96" s="277" t="s">
        <x:v>118</x:v>
      </x:c>
      <x:c r="U96" s="277" t="s">
        <x:v>118</x:v>
      </x:c>
      <x:c r="V96" s="277" t="s">
        <x:v>118</x:v>
      </x:c>
      <x:c r="W96" s="277" t="s">
        <x:v>118</x:v>
      </x:c>
      <x:c r="X96" s="277" t="s">
        <x:v>118</x:v>
      </x:c>
      <x:c r="Y96" s="277" t="s">
        <x:v>118</x:v>
      </x:c>
      <x:c r="Z96" s="277" t="s">
        <x:v>118</x:v>
      </x:c>
      <x:c r="AA96" s="277" t="s">
        <x:v>118</x:v>
      </x:c>
      <x:c r="AB96" s="277" t="s">
        <x:v>118</x:v>
      </x:c>
      <x:c r="AC96" s="277" t="s">
        <x:v>118</x:v>
      </x:c>
      <x:c r="AD96" s="277" t="s">
        <x:v>118</x:v>
      </x:c>
      <x:c r="AE96" s="277" t="s">
        <x:v>118</x:v>
      </x:c>
      <x:c r="AF96" s="277" t="s">
        <x:v>118</x:v>
      </x:c>
      <x:c r="AG96" s="277" t="s">
        <x:v>118</x:v>
      </x:c>
      <x:c r="AH96" s="277" t="s">
        <x:v>118</x:v>
      </x:c>
      <x:c r="AI96" s="277" t="s">
        <x:v>118</x:v>
      </x:c>
      <x:c r="AJ96" s="277" t="s">
        <x:v>118</x:v>
      </x:c>
      <x:c r="AK96" s="220">
        <x:f>COUNTIF(F96:AJ96,"X")</x:f>
      </x:c>
      <x:c r="AL96" s="221"/>
      <x:c r="AM96" s="221"/>
      <x:c r="AN96" s="222"/>
      <x:c r="AO96" s="222"/>
      <x:c r="AP96" s="228"/>
      <x:c r="AQ96" s="228"/>
      <x:c r="AR96" s="228"/>
      <x:c r="AS96" s="228"/>
      <x:c r="AT96" s="230"/>
    </x:row>
    <x:row r="97" spans="1:47" ht="19.9" customHeight="1">
      <x:c r="A97" s="274" t="s">
        <x:v>454</x:v>
      </x:c>
      <x:c r="B97" s="216"/>
      <x:c r="C97" s="275" t="s">
        <x:v>455</x:v>
      </x:c>
      <x:c r="D97" s="274" t="s">
        <x:v>452</x:v>
      </x:c>
      <x:c r="E97" s="276" t="s">
        <x:v>456</x:v>
      </x:c>
      <x:c r="F97" s="277" t="s">
        <x:v>118</x:v>
      </x:c>
      <x:c r="G97" s="277" t="s">
        <x:v>118</x:v>
      </x:c>
      <x:c r="H97" s="277" t="s">
        <x:v>118</x:v>
      </x:c>
      <x:c r="I97" s="277" t="s">
        <x:v>118</x:v>
      </x:c>
      <x:c r="J97" s="277" t="s">
        <x:v>118</x:v>
      </x:c>
      <x:c r="K97" s="277" t="s">
        <x:v>118</x:v>
      </x:c>
      <x:c r="L97" s="277" t="s">
        <x:v>118</x:v>
      </x:c>
      <x:c r="M97" s="277" t="s">
        <x:v>118</x:v>
      </x:c>
      <x:c r="N97" s="277" t="s">
        <x:v>118</x:v>
      </x:c>
      <x:c r="O97" s="277" t="s">
        <x:v>118</x:v>
      </x:c>
      <x:c r="P97" s="277" t="s">
        <x:v>118</x:v>
      </x:c>
      <x:c r="Q97" s="277" t="s">
        <x:v>118</x:v>
      </x:c>
      <x:c r="R97" s="277" t="s">
        <x:v>118</x:v>
      </x:c>
      <x:c r="S97" s="277" t="s">
        <x:v>118</x:v>
      </x:c>
      <x:c r="T97" s="277" t="s">
        <x:v>118</x:v>
      </x:c>
      <x:c r="U97" s="277" t="s">
        <x:v>118</x:v>
      </x:c>
      <x:c r="V97" s="277" t="s">
        <x:v>118</x:v>
      </x:c>
      <x:c r="W97" s="277" t="s">
        <x:v>118</x:v>
      </x:c>
      <x:c r="X97" s="277" t="s">
        <x:v>118</x:v>
      </x:c>
      <x:c r="Y97" s="277" t="s">
        <x:v>118</x:v>
      </x:c>
      <x:c r="Z97" s="277" t="s">
        <x:v>118</x:v>
      </x:c>
      <x:c r="AA97" s="277" t="s">
        <x:v>118</x:v>
      </x:c>
      <x:c r="AB97" s="277" t="s">
        <x:v>118</x:v>
      </x:c>
      <x:c r="AC97" s="277" t="s">
        <x:v>118</x:v>
      </x:c>
      <x:c r="AD97" s="277" t="s">
        <x:v>118</x:v>
      </x:c>
      <x:c r="AE97" s="277" t="s">
        <x:v>118</x:v>
      </x:c>
      <x:c r="AF97" s="277" t="s">
        <x:v>118</x:v>
      </x:c>
      <x:c r="AG97" s="277" t="s">
        <x:v>118</x:v>
      </x:c>
      <x:c r="AH97" s="277" t="s">
        <x:v>118</x:v>
      </x:c>
      <x:c r="AI97" s="277" t="s">
        <x:v>118</x:v>
      </x:c>
      <x:c r="AJ97" s="277" t="s">
        <x:v>118</x:v>
      </x:c>
      <x:c r="AK97" s="220">
        <x:f>COUNTIF(F97:AJ97,"X")</x:f>
      </x:c>
      <x:c r="AL97" s="221"/>
      <x:c r="AM97" s="221"/>
      <x:c r="AN97" s="222"/>
      <x:c r="AO97" s="222"/>
      <x:c r="AP97" s="228"/>
      <x:c r="AQ97" s="228"/>
      <x:c r="AR97" s="228"/>
      <x:c r="AS97" s="228"/>
      <x:c r="AT97" s="230"/>
    </x:row>
    <x:row r="98" spans="1:47" ht="19.9" customHeight="1">
      <x:c r="A98" s="274" t="s">
        <x:v>457</x:v>
      </x:c>
      <x:c r="B98" s="216"/>
      <x:c r="C98" s="275" t="s">
        <x:v>458</x:v>
      </x:c>
      <x:c r="D98" s="274" t="s">
        <x:v>459</x:v>
      </x:c>
      <x:c r="E98" s="276" t="s">
        <x:v>323</x:v>
      </x:c>
      <x:c r="F98" s="277" t="s">
        <x:v>118</x:v>
      </x:c>
      <x:c r="G98" s="277" t="s">
        <x:v>118</x:v>
      </x:c>
      <x:c r="H98" s="277" t="s">
        <x:v>118</x:v>
      </x:c>
      <x:c r="I98" s="277" t="s">
        <x:v>118</x:v>
      </x:c>
      <x:c r="J98" s="277" t="s">
        <x:v>118</x:v>
      </x:c>
      <x:c r="K98" s="277" t="s">
        <x:v>118</x:v>
      </x:c>
      <x:c r="L98" s="277" t="s">
        <x:v>118</x:v>
      </x:c>
      <x:c r="M98" s="277" t="s">
        <x:v>118</x:v>
      </x:c>
      <x:c r="N98" s="277" t="s">
        <x:v>118</x:v>
      </x:c>
      <x:c r="O98" s="277" t="s">
        <x:v>118</x:v>
      </x:c>
      <x:c r="P98" s="277" t="s">
        <x:v>118</x:v>
      </x:c>
      <x:c r="Q98" s="277" t="s">
        <x:v>118</x:v>
      </x:c>
      <x:c r="R98" s="277" t="s">
        <x:v>118</x:v>
      </x:c>
      <x:c r="S98" s="277" t="s">
        <x:v>118</x:v>
      </x:c>
      <x:c r="T98" s="277" t="s">
        <x:v>118</x:v>
      </x:c>
      <x:c r="U98" s="277" t="s">
        <x:v>118</x:v>
      </x:c>
      <x:c r="V98" s="277" t="s">
        <x:v>118</x:v>
      </x:c>
      <x:c r="W98" s="277" t="s">
        <x:v>118</x:v>
      </x:c>
      <x:c r="X98" s="277" t="s">
        <x:v>118</x:v>
      </x:c>
      <x:c r="Y98" s="277" t="s">
        <x:v>118</x:v>
      </x:c>
      <x:c r="Z98" s="277" t="s">
        <x:v>118</x:v>
      </x:c>
      <x:c r="AA98" s="277" t="s">
        <x:v>118</x:v>
      </x:c>
      <x:c r="AB98" s="277" t="s">
        <x:v>118</x:v>
      </x:c>
      <x:c r="AC98" s="277" t="s">
        <x:v>118</x:v>
      </x:c>
      <x:c r="AD98" s="277" t="s">
        <x:v>118</x:v>
      </x:c>
      <x:c r="AE98" s="277" t="s">
        <x:v>118</x:v>
      </x:c>
      <x:c r="AF98" s="277" t="s">
        <x:v>118</x:v>
      </x:c>
      <x:c r="AG98" s="277" t="s">
        <x:v>118</x:v>
      </x:c>
      <x:c r="AH98" s="277" t="s">
        <x:v>118</x:v>
      </x:c>
      <x:c r="AI98" s="277" t="s">
        <x:v>118</x:v>
      </x:c>
      <x:c r="AJ98" s="277" t="s">
        <x:v>118</x:v>
      </x:c>
      <x:c r="AK98" s="220">
        <x:f>COUNTIF(F98:AJ98,"X")</x:f>
      </x:c>
      <x:c r="AL98" s="221"/>
      <x:c r="AM98" s="221"/>
      <x:c r="AN98" s="222"/>
      <x:c r="AO98" s="222"/>
      <x:c r="AP98" s="228"/>
      <x:c r="AQ98" s="228"/>
      <x:c r="AR98" s="228"/>
      <x:c r="AS98" s="228"/>
      <x:c r="AT98" s="230"/>
    </x:row>
    <x:row r="99" spans="1:47" ht="19.9" customHeight="1">
      <x:c r="A99" s="274" t="s">
        <x:v>460</x:v>
      </x:c>
      <x:c r="B99" s="216"/>
      <x:c r="C99" s="275" t="s">
        <x:v>461</x:v>
      </x:c>
      <x:c r="D99" s="274" t="s">
        <x:v>462</x:v>
      </x:c>
      <x:c r="E99" s="276" t="s">
        <x:v>166</x:v>
      </x:c>
      <x:c r="F99" s="277" t="s">
        <x:v>118</x:v>
      </x:c>
      <x:c r="G99" s="277" t="s">
        <x:v>118</x:v>
      </x:c>
      <x:c r="H99" s="277" t="s">
        <x:v>118</x:v>
      </x:c>
      <x:c r="I99" s="277" t="s">
        <x:v>118</x:v>
      </x:c>
      <x:c r="J99" s="277" t="s">
        <x:v>118</x:v>
      </x:c>
      <x:c r="K99" s="277" t="s">
        <x:v>118</x:v>
      </x:c>
      <x:c r="L99" s="277" t="s">
        <x:v>118</x:v>
      </x:c>
      <x:c r="M99" s="277" t="s">
        <x:v>118</x:v>
      </x:c>
      <x:c r="N99" s="277" t="s">
        <x:v>118</x:v>
      </x:c>
      <x:c r="O99" s="277" t="s">
        <x:v>118</x:v>
      </x:c>
      <x:c r="P99" s="277" t="s">
        <x:v>118</x:v>
      </x:c>
      <x:c r="Q99" s="277" t="s">
        <x:v>118</x:v>
      </x:c>
      <x:c r="R99" s="277" t="s">
        <x:v>118</x:v>
      </x:c>
      <x:c r="S99" s="277" t="s">
        <x:v>118</x:v>
      </x:c>
      <x:c r="T99" s="277" t="s">
        <x:v>118</x:v>
      </x:c>
      <x:c r="U99" s="277" t="s">
        <x:v>118</x:v>
      </x:c>
      <x:c r="V99" s="277" t="s">
        <x:v>118</x:v>
      </x:c>
      <x:c r="W99" s="277" t="s">
        <x:v>118</x:v>
      </x:c>
      <x:c r="X99" s="277" t="s">
        <x:v>118</x:v>
      </x:c>
      <x:c r="Y99" s="277" t="s">
        <x:v>118</x:v>
      </x:c>
      <x:c r="Z99" s="277" t="s">
        <x:v>118</x:v>
      </x:c>
      <x:c r="AA99" s="277" t="s">
        <x:v>118</x:v>
      </x:c>
      <x:c r="AB99" s="277" t="s">
        <x:v>118</x:v>
      </x:c>
      <x:c r="AC99" s="277" t="s">
        <x:v>118</x:v>
      </x:c>
      <x:c r="AD99" s="277" t="s">
        <x:v>118</x:v>
      </x:c>
      <x:c r="AE99" s="277" t="s">
        <x:v>118</x:v>
      </x:c>
      <x:c r="AF99" s="277" t="s">
        <x:v>118</x:v>
      </x:c>
      <x:c r="AG99" s="277" t="s">
        <x:v>118</x:v>
      </x:c>
      <x:c r="AH99" s="277" t="s">
        <x:v>118</x:v>
      </x:c>
      <x:c r="AI99" s="277" t="s">
        <x:v>118</x:v>
      </x:c>
      <x:c r="AJ99" s="277" t="s">
        <x:v>118</x:v>
      </x:c>
      <x:c r="AK99" s="220">
        <x:f>COUNTIF(F99:AJ99,"X")</x:f>
      </x:c>
      <x:c r="AL99" s="221"/>
      <x:c r="AM99" s="221"/>
      <x:c r="AN99" s="222"/>
      <x:c r="AO99" s="222"/>
      <x:c r="AP99" s="228"/>
      <x:c r="AQ99" s="228"/>
      <x:c r="AR99" s="228"/>
      <x:c r="AS99" s="228"/>
      <x:c r="AT99" s="230"/>
    </x:row>
    <x:row r="100" spans="1:47" ht="19.9" customHeight="1">
      <x:c r="A100" s="274" t="s">
        <x:v>463</x:v>
      </x:c>
      <x:c r="B100" s="216"/>
      <x:c r="C100" s="275" t="s">
        <x:v>464</x:v>
      </x:c>
      <x:c r="D100" s="274" t="s">
        <x:v>465</x:v>
      </x:c>
      <x:c r="E100" s="276" t="s">
        <x:v>466</x:v>
      </x:c>
      <x:c r="F100" s="277" t="s">
        <x:v>118</x:v>
      </x:c>
      <x:c r="G100" s="277" t="s">
        <x:v>118</x:v>
      </x:c>
      <x:c r="H100" s="277" t="s">
        <x:v>118</x:v>
      </x:c>
      <x:c r="I100" s="277" t="s">
        <x:v>118</x:v>
      </x:c>
      <x:c r="J100" s="277" t="s">
        <x:v>118</x:v>
      </x:c>
      <x:c r="K100" s="277" t="s">
        <x:v>118</x:v>
      </x:c>
      <x:c r="L100" s="277" t="s">
        <x:v>118</x:v>
      </x:c>
      <x:c r="M100" s="277" t="s">
        <x:v>118</x:v>
      </x:c>
      <x:c r="N100" s="277" t="s">
        <x:v>118</x:v>
      </x:c>
      <x:c r="O100" s="277" t="s">
        <x:v>118</x:v>
      </x:c>
      <x:c r="P100" s="277" t="s">
        <x:v>118</x:v>
      </x:c>
      <x:c r="Q100" s="277" t="s">
        <x:v>118</x:v>
      </x:c>
      <x:c r="R100" s="277" t="s">
        <x:v>118</x:v>
      </x:c>
      <x:c r="S100" s="277" t="s">
        <x:v>118</x:v>
      </x:c>
      <x:c r="T100" s="277" t="s">
        <x:v>118</x:v>
      </x:c>
      <x:c r="U100" s="277" t="s">
        <x:v>118</x:v>
      </x:c>
      <x:c r="V100" s="277" t="s">
        <x:v>118</x:v>
      </x:c>
      <x:c r="W100" s="277" t="s">
        <x:v>118</x:v>
      </x:c>
      <x:c r="X100" s="277" t="s">
        <x:v>118</x:v>
      </x:c>
      <x:c r="Y100" s="277" t="s">
        <x:v>118</x:v>
      </x:c>
      <x:c r="Z100" s="277" t="s">
        <x:v>118</x:v>
      </x:c>
      <x:c r="AA100" s="277" t="s">
        <x:v>118</x:v>
      </x:c>
      <x:c r="AB100" s="277" t="s">
        <x:v>118</x:v>
      </x:c>
      <x:c r="AC100" s="277" t="s">
        <x:v>118</x:v>
      </x:c>
      <x:c r="AD100" s="277" t="s">
        <x:v>118</x:v>
      </x:c>
      <x:c r="AE100" s="277" t="s">
        <x:v>118</x:v>
      </x:c>
      <x:c r="AF100" s="277" t="s">
        <x:v>118</x:v>
      </x:c>
      <x:c r="AG100" s="277" t="s">
        <x:v>118</x:v>
      </x:c>
      <x:c r="AH100" s="277" t="s">
        <x:v>118</x:v>
      </x:c>
      <x:c r="AI100" s="277" t="s">
        <x:v>118</x:v>
      </x:c>
      <x:c r="AJ100" s="277" t="s">
        <x:v>118</x:v>
      </x:c>
      <x:c r="AK100" s="220">
        <x:f>COUNTIF(F100:AJ100,"X")</x:f>
      </x:c>
      <x:c r="AL100" s="221"/>
      <x:c r="AM100" s="221"/>
      <x:c r="AN100" s="222"/>
      <x:c r="AO100" s="222"/>
      <x:c r="AP100" s="228"/>
      <x:c r="AQ100" s="228"/>
      <x:c r="AR100" s="228"/>
      <x:c r="AS100" s="228"/>
      <x:c r="AT100" s="230"/>
    </x:row>
    <x:row r="101" spans="1:47" ht="19.9" customHeight="1">
      <x:c r="A101" s="274" t="s">
        <x:v>467</x:v>
      </x:c>
      <x:c r="B101" s="216"/>
      <x:c r="C101" s="275" t="s">
        <x:v>468</x:v>
      </x:c>
      <x:c r="D101" s="274" t="s">
        <x:v>469</x:v>
      </x:c>
      <x:c r="E101" s="276" t="s">
        <x:v>470</x:v>
      </x:c>
      <x:c r="F101" s="277" t="s">
        <x:v>118</x:v>
      </x:c>
      <x:c r="G101" s="277" t="s">
        <x:v>118</x:v>
      </x:c>
      <x:c r="H101" s="277" t="s">
        <x:v>118</x:v>
      </x:c>
      <x:c r="I101" s="277" t="s">
        <x:v>118</x:v>
      </x:c>
      <x:c r="J101" s="277" t="s">
        <x:v>118</x:v>
      </x:c>
      <x:c r="K101" s="277" t="s">
        <x:v>118</x:v>
      </x:c>
      <x:c r="L101" s="277" t="s">
        <x:v>118</x:v>
      </x:c>
      <x:c r="M101" s="277" t="s">
        <x:v>118</x:v>
      </x:c>
      <x:c r="N101" s="277" t="s">
        <x:v>118</x:v>
      </x:c>
      <x:c r="O101" s="277" t="s">
        <x:v>118</x:v>
      </x:c>
      <x:c r="P101" s="277" t="s">
        <x:v>118</x:v>
      </x:c>
      <x:c r="Q101" s="277" t="s">
        <x:v>118</x:v>
      </x:c>
      <x:c r="R101" s="277" t="s">
        <x:v>118</x:v>
      </x:c>
      <x:c r="S101" s="277" t="s">
        <x:v>118</x:v>
      </x:c>
      <x:c r="T101" s="277" t="s">
        <x:v>118</x:v>
      </x:c>
      <x:c r="U101" s="277" t="s">
        <x:v>118</x:v>
      </x:c>
      <x:c r="V101" s="277" t="s">
        <x:v>118</x:v>
      </x:c>
      <x:c r="W101" s="277" t="s">
        <x:v>118</x:v>
      </x:c>
      <x:c r="X101" s="277" t="s">
        <x:v>118</x:v>
      </x:c>
      <x:c r="Y101" s="277" t="s">
        <x:v>118</x:v>
      </x:c>
      <x:c r="Z101" s="277" t="s">
        <x:v>118</x:v>
      </x:c>
      <x:c r="AA101" s="277" t="s">
        <x:v>118</x:v>
      </x:c>
      <x:c r="AB101" s="277" t="s">
        <x:v>118</x:v>
      </x:c>
      <x:c r="AC101" s="277" t="s">
        <x:v>118</x:v>
      </x:c>
      <x:c r="AD101" s="277" t="s">
        <x:v>118</x:v>
      </x:c>
      <x:c r="AE101" s="277" t="s">
        <x:v>118</x:v>
      </x:c>
      <x:c r="AF101" s="277" t="s">
        <x:v>118</x:v>
      </x:c>
      <x:c r="AG101" s="277" t="s">
        <x:v>118</x:v>
      </x:c>
      <x:c r="AH101" s="277" t="s">
        <x:v>118</x:v>
      </x:c>
      <x:c r="AI101" s="277" t="s">
        <x:v>118</x:v>
      </x:c>
      <x:c r="AJ101" s="277" t="s">
        <x:v>118</x:v>
      </x:c>
      <x:c r="AK101" s="220">
        <x:f>COUNTIF(F101:AJ101,"X")</x:f>
      </x:c>
      <x:c r="AL101" s="221"/>
      <x:c r="AM101" s="221"/>
      <x:c r="AN101" s="222"/>
      <x:c r="AO101" s="222"/>
      <x:c r="AP101" s="228"/>
      <x:c r="AQ101" s="228"/>
      <x:c r="AR101" s="228"/>
      <x:c r="AS101" s="228"/>
      <x:c r="AT101" s="230"/>
    </x:row>
    <x:row r="102" spans="1:47" ht="19.9" customHeight="1">
      <x:c r="A102" s="274" t="s">
        <x:v>471</x:v>
      </x:c>
      <x:c r="B102" s="216"/>
      <x:c r="C102" s="275" t="s">
        <x:v>472</x:v>
      </x:c>
      <x:c r="D102" s="274" t="s">
        <x:v>473</x:v>
      </x:c>
      <x:c r="E102" s="276" t="s">
        <x:v>474</x:v>
      </x:c>
      <x:c r="F102" s="277" t="s">
        <x:v>118</x:v>
      </x:c>
      <x:c r="G102" s="277" t="s">
        <x:v>118</x:v>
      </x:c>
      <x:c r="H102" s="277" t="s">
        <x:v>118</x:v>
      </x:c>
      <x:c r="I102" s="277" t="s">
        <x:v>118</x:v>
      </x:c>
      <x:c r="J102" s="277" t="s">
        <x:v>118</x:v>
      </x:c>
      <x:c r="K102" s="277" t="s">
        <x:v>118</x:v>
      </x:c>
      <x:c r="L102" s="277" t="s">
        <x:v>118</x:v>
      </x:c>
      <x:c r="M102" s="277" t="s">
        <x:v>118</x:v>
      </x:c>
      <x:c r="N102" s="277" t="s">
        <x:v>118</x:v>
      </x:c>
      <x:c r="O102" s="277" t="s">
        <x:v>118</x:v>
      </x:c>
      <x:c r="P102" s="277" t="s">
        <x:v>118</x:v>
      </x:c>
      <x:c r="Q102" s="277" t="s">
        <x:v>118</x:v>
      </x:c>
      <x:c r="R102" s="277" t="s">
        <x:v>118</x:v>
      </x:c>
      <x:c r="S102" s="277" t="s">
        <x:v>118</x:v>
      </x:c>
      <x:c r="T102" s="277" t="s">
        <x:v>118</x:v>
      </x:c>
      <x:c r="U102" s="277" t="s">
        <x:v>118</x:v>
      </x:c>
      <x:c r="V102" s="277" t="s">
        <x:v>118</x:v>
      </x:c>
      <x:c r="W102" s="277" t="s">
        <x:v>118</x:v>
      </x:c>
      <x:c r="X102" s="277" t="s">
        <x:v>118</x:v>
      </x:c>
      <x:c r="Y102" s="277" t="s">
        <x:v>118</x:v>
      </x:c>
      <x:c r="Z102" s="277" t="s">
        <x:v>118</x:v>
      </x:c>
      <x:c r="AA102" s="277" t="s">
        <x:v>118</x:v>
      </x:c>
      <x:c r="AB102" s="277" t="s">
        <x:v>118</x:v>
      </x:c>
      <x:c r="AC102" s="277" t="s">
        <x:v>118</x:v>
      </x:c>
      <x:c r="AD102" s="277" t="s">
        <x:v>118</x:v>
      </x:c>
      <x:c r="AE102" s="277" t="s">
        <x:v>118</x:v>
      </x:c>
      <x:c r="AF102" s="277" t="s">
        <x:v>118</x:v>
      </x:c>
      <x:c r="AG102" s="277" t="s">
        <x:v>118</x:v>
      </x:c>
      <x:c r="AH102" s="277" t="s">
        <x:v>118</x:v>
      </x:c>
      <x:c r="AI102" s="277" t="s">
        <x:v>118</x:v>
      </x:c>
      <x:c r="AJ102" s="277" t="s">
        <x:v>118</x:v>
      </x:c>
      <x:c r="AK102" s="220">
        <x:f>COUNTIF(F102:AJ102,"X")</x:f>
      </x:c>
      <x:c r="AL102" s="221"/>
      <x:c r="AM102" s="221"/>
      <x:c r="AN102" s="222"/>
      <x:c r="AO102" s="222"/>
      <x:c r="AP102" s="228"/>
      <x:c r="AQ102" s="228"/>
      <x:c r="AR102" s="228"/>
      <x:c r="AS102" s="228"/>
      <x:c r="AT102" s="230"/>
    </x:row>
    <x:row r="103" spans="1:47" ht="19.9" customHeight="1">
      <x:c r="A103" s="274" t="s">
        <x:v>475</x:v>
      </x:c>
      <x:c r="B103" s="216"/>
      <x:c r="C103" s="275" t="s">
        <x:v>476</x:v>
      </x:c>
      <x:c r="D103" s="274" t="s">
        <x:v>477</x:v>
      </x:c>
      <x:c r="E103" s="276" t="s">
        <x:v>478</x:v>
      </x:c>
      <x:c r="F103" s="277" t="s">
        <x:v>118</x:v>
      </x:c>
      <x:c r="G103" s="277" t="s">
        <x:v>118</x:v>
      </x:c>
      <x:c r="H103" s="277" t="s">
        <x:v>118</x:v>
      </x:c>
      <x:c r="I103" s="277" t="s">
        <x:v>118</x:v>
      </x:c>
      <x:c r="J103" s="277" t="s">
        <x:v>118</x:v>
      </x:c>
      <x:c r="K103" s="277" t="s">
        <x:v>118</x:v>
      </x:c>
      <x:c r="L103" s="277" t="s">
        <x:v>118</x:v>
      </x:c>
      <x:c r="M103" s="277" t="s">
        <x:v>118</x:v>
      </x:c>
      <x:c r="N103" s="277" t="s">
        <x:v>118</x:v>
      </x:c>
      <x:c r="O103" s="277" t="s">
        <x:v>118</x:v>
      </x:c>
      <x:c r="P103" s="277" t="s">
        <x:v>118</x:v>
      </x:c>
      <x:c r="Q103" s="277" t="s">
        <x:v>118</x:v>
      </x:c>
      <x:c r="R103" s="277" t="s">
        <x:v>118</x:v>
      </x:c>
      <x:c r="S103" s="277" t="s">
        <x:v>118</x:v>
      </x:c>
      <x:c r="T103" s="277" t="s">
        <x:v>118</x:v>
      </x:c>
      <x:c r="U103" s="277" t="s">
        <x:v>118</x:v>
      </x:c>
      <x:c r="V103" s="277" t="s">
        <x:v>118</x:v>
      </x:c>
      <x:c r="W103" s="277" t="s">
        <x:v>118</x:v>
      </x:c>
      <x:c r="X103" s="277" t="s">
        <x:v>118</x:v>
      </x:c>
      <x:c r="Y103" s="277" t="s">
        <x:v>118</x:v>
      </x:c>
      <x:c r="Z103" s="277" t="s">
        <x:v>118</x:v>
      </x:c>
      <x:c r="AA103" s="277" t="s">
        <x:v>118</x:v>
      </x:c>
      <x:c r="AB103" s="277" t="s">
        <x:v>118</x:v>
      </x:c>
      <x:c r="AC103" s="277" t="s">
        <x:v>118</x:v>
      </x:c>
      <x:c r="AD103" s="277" t="s">
        <x:v>118</x:v>
      </x:c>
      <x:c r="AE103" s="277" t="s">
        <x:v>118</x:v>
      </x:c>
      <x:c r="AF103" s="277" t="s">
        <x:v>118</x:v>
      </x:c>
      <x:c r="AG103" s="277" t="s">
        <x:v>118</x:v>
      </x:c>
      <x:c r="AH103" s="277" t="s">
        <x:v>118</x:v>
      </x:c>
      <x:c r="AI103" s="277" t="s">
        <x:v>118</x:v>
      </x:c>
      <x:c r="AJ103" s="277" t="s">
        <x:v>118</x:v>
      </x:c>
      <x:c r="AK103" s="220">
        <x:f>COUNTIF(F103:AJ103,"X")</x:f>
      </x:c>
      <x:c r="AL103" s="221"/>
      <x:c r="AM103" s="221"/>
      <x:c r="AN103" s="222"/>
      <x:c r="AO103" s="222"/>
      <x:c r="AP103" s="228"/>
      <x:c r="AQ103" s="228"/>
      <x:c r="AR103" s="228"/>
      <x:c r="AS103" s="228"/>
      <x:c r="AT103" s="230"/>
    </x:row>
    <x:row r="104" spans="1:47" ht="19.9" customHeight="1">
      <x:c r="A104" s="274" t="s">
        <x:v>479</x:v>
      </x:c>
      <x:c r="B104" s="216"/>
      <x:c r="C104" s="275" t="s">
        <x:v>480</x:v>
      </x:c>
      <x:c r="D104" s="274" t="s">
        <x:v>481</x:v>
      </x:c>
      <x:c r="E104" s="276" t="s">
        <x:v>482</x:v>
      </x:c>
      <x:c r="F104" s="277" t="s">
        <x:v>118</x:v>
      </x:c>
      <x:c r="G104" s="277" t="s">
        <x:v>118</x:v>
      </x:c>
      <x:c r="H104" s="277" t="s">
        <x:v>118</x:v>
      </x:c>
      <x:c r="I104" s="277" t="s">
        <x:v>118</x:v>
      </x:c>
      <x:c r="J104" s="277" t="s">
        <x:v>118</x:v>
      </x:c>
      <x:c r="K104" s="277" t="s">
        <x:v>118</x:v>
      </x:c>
      <x:c r="L104" s="277" t="s">
        <x:v>118</x:v>
      </x:c>
      <x:c r="M104" s="277" t="s">
        <x:v>118</x:v>
      </x:c>
      <x:c r="N104" s="277" t="s">
        <x:v>118</x:v>
      </x:c>
      <x:c r="O104" s="277" t="s">
        <x:v>118</x:v>
      </x:c>
      <x:c r="P104" s="277" t="s">
        <x:v>118</x:v>
      </x:c>
      <x:c r="Q104" s="277" t="s">
        <x:v>118</x:v>
      </x:c>
      <x:c r="R104" s="277" t="s">
        <x:v>118</x:v>
      </x:c>
      <x:c r="S104" s="277" t="s">
        <x:v>118</x:v>
      </x:c>
      <x:c r="T104" s="277" t="s">
        <x:v>118</x:v>
      </x:c>
      <x:c r="U104" s="277" t="s">
        <x:v>118</x:v>
      </x:c>
      <x:c r="V104" s="277" t="s">
        <x:v>118</x:v>
      </x:c>
      <x:c r="W104" s="277" t="s">
        <x:v>118</x:v>
      </x:c>
      <x:c r="X104" s="277" t="s">
        <x:v>118</x:v>
      </x:c>
      <x:c r="Y104" s="277" t="s">
        <x:v>118</x:v>
      </x:c>
      <x:c r="Z104" s="277" t="s">
        <x:v>118</x:v>
      </x:c>
      <x:c r="AA104" s="277" t="s">
        <x:v>118</x:v>
      </x:c>
      <x:c r="AB104" s="277" t="s">
        <x:v>118</x:v>
      </x:c>
      <x:c r="AC104" s="277" t="s">
        <x:v>118</x:v>
      </x:c>
      <x:c r="AD104" s="277" t="s">
        <x:v>118</x:v>
      </x:c>
      <x:c r="AE104" s="277" t="s">
        <x:v>118</x:v>
      </x:c>
      <x:c r="AF104" s="277" t="s">
        <x:v>118</x:v>
      </x:c>
      <x:c r="AG104" s="277" t="s">
        <x:v>118</x:v>
      </x:c>
      <x:c r="AH104" s="277" t="s">
        <x:v>118</x:v>
      </x:c>
      <x:c r="AI104" s="277" t="s">
        <x:v>118</x:v>
      </x:c>
      <x:c r="AJ104" s="277" t="s">
        <x:v>118</x:v>
      </x:c>
      <x:c r="AK104" s="220">
        <x:f>COUNTIF(F104:AJ104,"X")</x:f>
      </x:c>
      <x:c r="AL104" s="221"/>
      <x:c r="AM104" s="221"/>
      <x:c r="AN104" s="222"/>
      <x:c r="AO104" s="222"/>
      <x:c r="AP104" s="228"/>
      <x:c r="AQ104" s="228"/>
      <x:c r="AR104" s="228"/>
      <x:c r="AS104" s="228"/>
      <x:c r="AT104" s="230"/>
    </x:row>
    <x:row r="105" spans="1:47" ht="19.9" customHeight="1">
      <x:c r="A105" s="274" t="s">
        <x:v>483</x:v>
      </x:c>
      <x:c r="B105" s="216"/>
      <x:c r="C105" s="275" t="s">
        <x:v>484</x:v>
      </x:c>
      <x:c r="D105" s="274" t="s">
        <x:v>485</x:v>
      </x:c>
      <x:c r="E105" s="276" t="s">
        <x:v>486</x:v>
      </x:c>
      <x:c r="F105" s="277" t="s">
        <x:v>118</x:v>
      </x:c>
      <x:c r="G105" s="277" t="s">
        <x:v>118</x:v>
      </x:c>
      <x:c r="H105" s="277" t="s">
        <x:v>118</x:v>
      </x:c>
      <x:c r="I105" s="277" t="s">
        <x:v>118</x:v>
      </x:c>
      <x:c r="J105" s="277" t="s">
        <x:v>118</x:v>
      </x:c>
      <x:c r="K105" s="277" t="s">
        <x:v>118</x:v>
      </x:c>
      <x:c r="L105" s="277" t="s">
        <x:v>118</x:v>
      </x:c>
      <x:c r="M105" s="277" t="s">
        <x:v>118</x:v>
      </x:c>
      <x:c r="N105" s="277" t="s">
        <x:v>118</x:v>
      </x:c>
      <x:c r="O105" s="277" t="s">
        <x:v>118</x:v>
      </x:c>
      <x:c r="P105" s="277" t="s">
        <x:v>118</x:v>
      </x:c>
      <x:c r="Q105" s="277" t="s">
        <x:v>118</x:v>
      </x:c>
      <x:c r="R105" s="277" t="s">
        <x:v>118</x:v>
      </x:c>
      <x:c r="S105" s="277" t="s">
        <x:v>118</x:v>
      </x:c>
      <x:c r="T105" s="277" t="s">
        <x:v>118</x:v>
      </x:c>
      <x:c r="U105" s="277" t="s">
        <x:v>118</x:v>
      </x:c>
      <x:c r="V105" s="277" t="s">
        <x:v>118</x:v>
      </x:c>
      <x:c r="W105" s="277" t="s">
        <x:v>118</x:v>
      </x:c>
      <x:c r="X105" s="277" t="s">
        <x:v>118</x:v>
      </x:c>
      <x:c r="Y105" s="277" t="s">
        <x:v>118</x:v>
      </x:c>
      <x:c r="Z105" s="277" t="s">
        <x:v>118</x:v>
      </x:c>
      <x:c r="AA105" s="277" t="s">
        <x:v>118</x:v>
      </x:c>
      <x:c r="AB105" s="277" t="s">
        <x:v>118</x:v>
      </x:c>
      <x:c r="AC105" s="277" t="s">
        <x:v>118</x:v>
      </x:c>
      <x:c r="AD105" s="277" t="s">
        <x:v>118</x:v>
      </x:c>
      <x:c r="AE105" s="277" t="s">
        <x:v>118</x:v>
      </x:c>
      <x:c r="AF105" s="277" t="s">
        <x:v>118</x:v>
      </x:c>
      <x:c r="AG105" s="277" t="s">
        <x:v>118</x:v>
      </x:c>
      <x:c r="AH105" s="277" t="s">
        <x:v>118</x:v>
      </x:c>
      <x:c r="AI105" s="277" t="s">
        <x:v>118</x:v>
      </x:c>
      <x:c r="AJ105" s="277" t="s">
        <x:v>118</x:v>
      </x:c>
      <x:c r="AK105" s="220">
        <x:f>COUNTIF(F105:AJ105,"X")</x:f>
      </x:c>
      <x:c r="AL105" s="221"/>
      <x:c r="AM105" s="221"/>
      <x:c r="AN105" s="222"/>
      <x:c r="AO105" s="222"/>
      <x:c r="AP105" s="228"/>
      <x:c r="AQ105" s="228"/>
      <x:c r="AR105" s="228"/>
      <x:c r="AS105" s="228"/>
      <x:c r="AT105" s="233"/>
    </x:row>
    <x:row r="106" spans="1:47" ht="19.9" customHeight="1">
      <x:c r="A106" s="274" t="s">
        <x:v>487</x:v>
      </x:c>
      <x:c r="B106" s="216"/>
      <x:c r="C106" s="275" t="s">
        <x:v>488</x:v>
      </x:c>
      <x:c r="D106" s="274" t="s">
        <x:v>489</x:v>
      </x:c>
      <x:c r="E106" s="276" t="s">
        <x:v>220</x:v>
      </x:c>
      <x:c r="F106" s="277" t="s">
        <x:v>118</x:v>
      </x:c>
      <x:c r="G106" s="277" t="s">
        <x:v>118</x:v>
      </x:c>
      <x:c r="H106" s="277" t="s">
        <x:v>118</x:v>
      </x:c>
      <x:c r="I106" s="277" t="s">
        <x:v>118</x:v>
      </x:c>
      <x:c r="J106" s="277" t="s">
        <x:v>118</x:v>
      </x:c>
      <x:c r="K106" s="277" t="s">
        <x:v>118</x:v>
      </x:c>
      <x:c r="L106" s="277" t="s">
        <x:v>118</x:v>
      </x:c>
      <x:c r="M106" s="277" t="s">
        <x:v>118</x:v>
      </x:c>
      <x:c r="N106" s="277" t="s">
        <x:v>118</x:v>
      </x:c>
      <x:c r="O106" s="277" t="s">
        <x:v>118</x:v>
      </x:c>
      <x:c r="P106" s="277" t="s">
        <x:v>118</x:v>
      </x:c>
      <x:c r="Q106" s="277" t="s">
        <x:v>118</x:v>
      </x:c>
      <x:c r="R106" s="277" t="s">
        <x:v>118</x:v>
      </x:c>
      <x:c r="S106" s="277" t="s">
        <x:v>118</x:v>
      </x:c>
      <x:c r="T106" s="277" t="s">
        <x:v>118</x:v>
      </x:c>
      <x:c r="U106" s="277" t="s">
        <x:v>118</x:v>
      </x:c>
      <x:c r="V106" s="277" t="s">
        <x:v>118</x:v>
      </x:c>
      <x:c r="W106" s="277" t="s">
        <x:v>118</x:v>
      </x:c>
      <x:c r="X106" s="277" t="s">
        <x:v>118</x:v>
      </x:c>
      <x:c r="Y106" s="277" t="s">
        <x:v>118</x:v>
      </x:c>
      <x:c r="Z106" s="277" t="s">
        <x:v>118</x:v>
      </x:c>
      <x:c r="AA106" s="277" t="s">
        <x:v>118</x:v>
      </x:c>
      <x:c r="AB106" s="277" t="s">
        <x:v>118</x:v>
      </x:c>
      <x:c r="AC106" s="277" t="s">
        <x:v>118</x:v>
      </x:c>
      <x:c r="AD106" s="277" t="s">
        <x:v>118</x:v>
      </x:c>
      <x:c r="AE106" s="277" t="s">
        <x:v>118</x:v>
      </x:c>
      <x:c r="AF106" s="277" t="s">
        <x:v>118</x:v>
      </x:c>
      <x:c r="AG106" s="277" t="s">
        <x:v>118</x:v>
      </x:c>
      <x:c r="AH106" s="277" t="s">
        <x:v>118</x:v>
      </x:c>
      <x:c r="AI106" s="277" t="s">
        <x:v>118</x:v>
      </x:c>
      <x:c r="AJ106" s="277" t="s">
        <x:v>118</x:v>
      </x:c>
      <x:c r="AK106" s="220">
        <x:f>COUNTIF(F106:AJ106,"X")</x:f>
      </x:c>
      <x:c r="AL106" s="221"/>
      <x:c r="AM106" s="221"/>
      <x:c r="AN106" s="222"/>
      <x:c r="AO106" s="222"/>
      <x:c r="AP106" s="228"/>
      <x:c r="AQ106" s="228"/>
      <x:c r="AR106" s="228"/>
      <x:c r="AS106" s="228"/>
      <x:c r="AT106" s="230"/>
    </x:row>
    <x:row r="107" spans="1:47" ht="19.9" customHeight="1">
      <x:c r="A107" s="274" t="s">
        <x:v>490</x:v>
      </x:c>
      <x:c r="B107" s="216"/>
      <x:c r="C107" s="275" t="s">
        <x:v>491</x:v>
      </x:c>
      <x:c r="D107" s="274" t="s">
        <x:v>492</x:v>
      </x:c>
      <x:c r="E107" s="276" t="s">
        <x:v>493</x:v>
      </x:c>
      <x:c r="F107" s="277" t="s">
        <x:v>118</x:v>
      </x:c>
      <x:c r="G107" s="277" t="s">
        <x:v>118</x:v>
      </x:c>
      <x:c r="H107" s="277" t="s">
        <x:v>118</x:v>
      </x:c>
      <x:c r="I107" s="277" t="s">
        <x:v>118</x:v>
      </x:c>
      <x:c r="J107" s="277" t="s">
        <x:v>118</x:v>
      </x:c>
      <x:c r="K107" s="277" t="s">
        <x:v>118</x:v>
      </x:c>
      <x:c r="L107" s="277" t="s">
        <x:v>118</x:v>
      </x:c>
      <x:c r="M107" s="277" t="s">
        <x:v>118</x:v>
      </x:c>
      <x:c r="N107" s="277" t="s">
        <x:v>118</x:v>
      </x:c>
      <x:c r="O107" s="277" t="s">
        <x:v>118</x:v>
      </x:c>
      <x:c r="P107" s="277" t="s">
        <x:v>118</x:v>
      </x:c>
      <x:c r="Q107" s="277" t="s">
        <x:v>118</x:v>
      </x:c>
      <x:c r="R107" s="277" t="s">
        <x:v>118</x:v>
      </x:c>
      <x:c r="S107" s="277" t="s">
        <x:v>118</x:v>
      </x:c>
      <x:c r="T107" s="277" t="s">
        <x:v>118</x:v>
      </x:c>
      <x:c r="U107" s="277" t="s">
        <x:v>118</x:v>
      </x:c>
      <x:c r="V107" s="277" t="s">
        <x:v>118</x:v>
      </x:c>
      <x:c r="W107" s="277" t="s">
        <x:v>118</x:v>
      </x:c>
      <x:c r="X107" s="277" t="s">
        <x:v>118</x:v>
      </x:c>
      <x:c r="Y107" s="277" t="s">
        <x:v>118</x:v>
      </x:c>
      <x:c r="Z107" s="277" t="s">
        <x:v>118</x:v>
      </x:c>
      <x:c r="AA107" s="277" t="s">
        <x:v>118</x:v>
      </x:c>
      <x:c r="AB107" s="277" t="s">
        <x:v>118</x:v>
      </x:c>
      <x:c r="AC107" s="277" t="s">
        <x:v>118</x:v>
      </x:c>
      <x:c r="AD107" s="277" t="s">
        <x:v>118</x:v>
      </x:c>
      <x:c r="AE107" s="277" t="s">
        <x:v>118</x:v>
      </x:c>
      <x:c r="AF107" s="277" t="s">
        <x:v>118</x:v>
      </x:c>
      <x:c r="AG107" s="277" t="s">
        <x:v>118</x:v>
      </x:c>
      <x:c r="AH107" s="277" t="s">
        <x:v>118</x:v>
      </x:c>
      <x:c r="AI107" s="277" t="s">
        <x:v>118</x:v>
      </x:c>
      <x:c r="AJ107" s="277" t="s">
        <x:v>118</x:v>
      </x:c>
      <x:c r="AK107" s="220">
        <x:f>COUNTIF(F107:AJ107,"X")</x:f>
      </x:c>
      <x:c r="AL107" s="221"/>
      <x:c r="AM107" s="221"/>
      <x:c r="AN107" s="222"/>
      <x:c r="AO107" s="222"/>
      <x:c r="AP107" s="228"/>
      <x:c r="AQ107" s="228"/>
      <x:c r="AR107" s="228"/>
      <x:c r="AS107" s="228"/>
      <x:c r="AT107" s="230"/>
    </x:row>
    <x:row r="108" spans="1:47" ht="19.9" customHeight="1">
      <x:c r="A108" s="274" t="s">
        <x:v>494</x:v>
      </x:c>
      <x:c r="B108" s="216"/>
      <x:c r="C108" s="275" t="s">
        <x:v>495</x:v>
      </x:c>
      <x:c r="D108" s="274" t="s">
        <x:v>496</x:v>
      </x:c>
      <x:c r="E108" s="276" t="s">
        <x:v>497</x:v>
      </x:c>
      <x:c r="F108" s="277" t="s">
        <x:v>118</x:v>
      </x:c>
      <x:c r="G108" s="277" t="s">
        <x:v>118</x:v>
      </x:c>
      <x:c r="H108" s="277" t="s">
        <x:v>118</x:v>
      </x:c>
      <x:c r="I108" s="277" t="s">
        <x:v>118</x:v>
      </x:c>
      <x:c r="J108" s="277" t="s">
        <x:v>118</x:v>
      </x:c>
      <x:c r="K108" s="277" t="s">
        <x:v>118</x:v>
      </x:c>
      <x:c r="L108" s="277" t="s">
        <x:v>118</x:v>
      </x:c>
      <x:c r="M108" s="277" t="s">
        <x:v>118</x:v>
      </x:c>
      <x:c r="N108" s="277" t="s">
        <x:v>118</x:v>
      </x:c>
      <x:c r="O108" s="277" t="s">
        <x:v>118</x:v>
      </x:c>
      <x:c r="P108" s="277" t="s">
        <x:v>118</x:v>
      </x:c>
      <x:c r="Q108" s="277" t="s">
        <x:v>118</x:v>
      </x:c>
      <x:c r="R108" s="277" t="s">
        <x:v>118</x:v>
      </x:c>
      <x:c r="S108" s="277" t="s">
        <x:v>118</x:v>
      </x:c>
      <x:c r="T108" s="277" t="s">
        <x:v>118</x:v>
      </x:c>
      <x:c r="U108" s="277" t="s">
        <x:v>118</x:v>
      </x:c>
      <x:c r="V108" s="277" t="s">
        <x:v>118</x:v>
      </x:c>
      <x:c r="W108" s="277" t="s">
        <x:v>118</x:v>
      </x:c>
      <x:c r="X108" s="277" t="s">
        <x:v>118</x:v>
      </x:c>
      <x:c r="Y108" s="277" t="s">
        <x:v>118</x:v>
      </x:c>
      <x:c r="Z108" s="277" t="s">
        <x:v>118</x:v>
      </x:c>
      <x:c r="AA108" s="277" t="s">
        <x:v>118</x:v>
      </x:c>
      <x:c r="AB108" s="277" t="s">
        <x:v>118</x:v>
      </x:c>
      <x:c r="AC108" s="277" t="s">
        <x:v>118</x:v>
      </x:c>
      <x:c r="AD108" s="277" t="s">
        <x:v>118</x:v>
      </x:c>
      <x:c r="AE108" s="277" t="s">
        <x:v>118</x:v>
      </x:c>
      <x:c r="AF108" s="277" t="s">
        <x:v>118</x:v>
      </x:c>
      <x:c r="AG108" s="277" t="s">
        <x:v>118</x:v>
      </x:c>
      <x:c r="AH108" s="277" t="s">
        <x:v>118</x:v>
      </x:c>
      <x:c r="AI108" s="277" t="s">
        <x:v>118</x:v>
      </x:c>
      <x:c r="AJ108" s="277" t="s">
        <x:v>118</x:v>
      </x:c>
      <x:c r="AK108" s="220">
        <x:f>COUNTIF(F108:AJ108,"X")</x:f>
      </x:c>
      <x:c r="AL108" s="221"/>
      <x:c r="AM108" s="221"/>
      <x:c r="AN108" s="222"/>
      <x:c r="AO108" s="222"/>
      <x:c r="AP108" s="228"/>
      <x:c r="AQ108" s="228"/>
      <x:c r="AR108" s="228"/>
      <x:c r="AS108" s="228"/>
      <x:c r="AT108" s="230"/>
    </x:row>
    <x:row r="109" spans="1:47" ht="19.9" customHeight="1">
      <x:c r="A109" s="274" t="s">
        <x:v>498</x:v>
      </x:c>
      <x:c r="B109" s="216"/>
      <x:c r="C109" s="275" t="s">
        <x:v>499</x:v>
      </x:c>
      <x:c r="D109" s="274" t="s">
        <x:v>496</x:v>
      </x:c>
      <x:c r="E109" s="276" t="s">
        <x:v>500</x:v>
      </x:c>
      <x:c r="F109" s="277" t="s">
        <x:v>118</x:v>
      </x:c>
      <x:c r="G109" s="277" t="s">
        <x:v>118</x:v>
      </x:c>
      <x:c r="H109" s="277" t="s">
        <x:v>118</x:v>
      </x:c>
      <x:c r="I109" s="277" t="s">
        <x:v>118</x:v>
      </x:c>
      <x:c r="J109" s="277" t="s">
        <x:v>118</x:v>
      </x:c>
      <x:c r="K109" s="277" t="s">
        <x:v>118</x:v>
      </x:c>
      <x:c r="L109" s="277" t="s">
        <x:v>118</x:v>
      </x:c>
      <x:c r="M109" s="277" t="s">
        <x:v>118</x:v>
      </x:c>
      <x:c r="N109" s="277" t="s">
        <x:v>118</x:v>
      </x:c>
      <x:c r="O109" s="277" t="s">
        <x:v>118</x:v>
      </x:c>
      <x:c r="P109" s="277" t="s">
        <x:v>118</x:v>
      </x:c>
      <x:c r="Q109" s="277" t="s">
        <x:v>118</x:v>
      </x:c>
      <x:c r="R109" s="277" t="s">
        <x:v>118</x:v>
      </x:c>
      <x:c r="S109" s="277" t="s">
        <x:v>118</x:v>
      </x:c>
      <x:c r="T109" s="277" t="s">
        <x:v>118</x:v>
      </x:c>
      <x:c r="U109" s="277" t="s">
        <x:v>118</x:v>
      </x:c>
      <x:c r="V109" s="277" t="s">
        <x:v>118</x:v>
      </x:c>
      <x:c r="W109" s="277" t="s">
        <x:v>118</x:v>
      </x:c>
      <x:c r="X109" s="277" t="s">
        <x:v>118</x:v>
      </x:c>
      <x:c r="Y109" s="277" t="s">
        <x:v>118</x:v>
      </x:c>
      <x:c r="Z109" s="277" t="s">
        <x:v>118</x:v>
      </x:c>
      <x:c r="AA109" s="277" t="s">
        <x:v>118</x:v>
      </x:c>
      <x:c r="AB109" s="277" t="s">
        <x:v>118</x:v>
      </x:c>
      <x:c r="AC109" s="277" t="s">
        <x:v>118</x:v>
      </x:c>
      <x:c r="AD109" s="277" t="s">
        <x:v>118</x:v>
      </x:c>
      <x:c r="AE109" s="277" t="s">
        <x:v>118</x:v>
      </x:c>
      <x:c r="AF109" s="277" t="s">
        <x:v>118</x:v>
      </x:c>
      <x:c r="AG109" s="277" t="s">
        <x:v>118</x:v>
      </x:c>
      <x:c r="AH109" s="277" t="s">
        <x:v>118</x:v>
      </x:c>
      <x:c r="AI109" s="277" t="s">
        <x:v>118</x:v>
      </x:c>
      <x:c r="AJ109" s="277" t="s">
        <x:v>118</x:v>
      </x:c>
      <x:c r="AK109" s="220">
        <x:f>COUNTIF(F109:AJ109,"X")</x:f>
      </x:c>
      <x:c r="AL109" s="221"/>
      <x:c r="AM109" s="221"/>
      <x:c r="AN109" s="222"/>
      <x:c r="AO109" s="222"/>
      <x:c r="AP109" s="228"/>
      <x:c r="AQ109" s="228"/>
      <x:c r="AR109" s="228"/>
      <x:c r="AS109" s="228"/>
      <x:c r="AT109" s="230"/>
    </x:row>
    <x:row r="110" spans="1:47" ht="19.9" customHeight="1">
      <x:c r="A110" s="274" t="s">
        <x:v>501</x:v>
      </x:c>
      <x:c r="B110" s="216"/>
      <x:c r="C110" s="275" t="s">
        <x:v>502</x:v>
      </x:c>
      <x:c r="D110" s="274" t="s">
        <x:v>503</x:v>
      </x:c>
      <x:c r="E110" s="276" t="s">
        <x:v>424</x:v>
      </x:c>
      <x:c r="F110" s="277" t="s">
        <x:v>118</x:v>
      </x:c>
      <x:c r="G110" s="277" t="s">
        <x:v>118</x:v>
      </x:c>
      <x:c r="H110" s="277" t="s">
        <x:v>118</x:v>
      </x:c>
      <x:c r="I110" s="277" t="s">
        <x:v>118</x:v>
      </x:c>
      <x:c r="J110" s="277" t="s">
        <x:v>118</x:v>
      </x:c>
      <x:c r="K110" s="277" t="s">
        <x:v>118</x:v>
      </x:c>
      <x:c r="L110" s="277" t="s">
        <x:v>118</x:v>
      </x:c>
      <x:c r="M110" s="277" t="s">
        <x:v>118</x:v>
      </x:c>
      <x:c r="N110" s="277" t="s">
        <x:v>118</x:v>
      </x:c>
      <x:c r="O110" s="277" t="s">
        <x:v>118</x:v>
      </x:c>
      <x:c r="P110" s="277" t="s">
        <x:v>118</x:v>
      </x:c>
      <x:c r="Q110" s="277" t="s">
        <x:v>118</x:v>
      </x:c>
      <x:c r="R110" s="277" t="s">
        <x:v>118</x:v>
      </x:c>
      <x:c r="S110" s="277" t="s">
        <x:v>118</x:v>
      </x:c>
      <x:c r="T110" s="277" t="s">
        <x:v>118</x:v>
      </x:c>
      <x:c r="U110" s="277" t="s">
        <x:v>118</x:v>
      </x:c>
      <x:c r="V110" s="277" t="s">
        <x:v>118</x:v>
      </x:c>
      <x:c r="W110" s="277" t="s">
        <x:v>118</x:v>
      </x:c>
      <x:c r="X110" s="277" t="s">
        <x:v>118</x:v>
      </x:c>
      <x:c r="Y110" s="277" t="s">
        <x:v>118</x:v>
      </x:c>
      <x:c r="Z110" s="277" t="s">
        <x:v>118</x:v>
      </x:c>
      <x:c r="AA110" s="277" t="s">
        <x:v>118</x:v>
      </x:c>
      <x:c r="AB110" s="277" t="s">
        <x:v>118</x:v>
      </x:c>
      <x:c r="AC110" s="277" t="s">
        <x:v>118</x:v>
      </x:c>
      <x:c r="AD110" s="277" t="s">
        <x:v>118</x:v>
      </x:c>
      <x:c r="AE110" s="277" t="s">
        <x:v>118</x:v>
      </x:c>
      <x:c r="AF110" s="277" t="s">
        <x:v>118</x:v>
      </x:c>
      <x:c r="AG110" s="277" t="s">
        <x:v>118</x:v>
      </x:c>
      <x:c r="AH110" s="277" t="s">
        <x:v>118</x:v>
      </x:c>
      <x:c r="AI110" s="277" t="s">
        <x:v>118</x:v>
      </x:c>
      <x:c r="AJ110" s="277" t="s">
        <x:v>118</x:v>
      </x:c>
      <x:c r="AK110" s="220">
        <x:f>COUNTIF(F110:AJ110,"X")</x:f>
      </x:c>
      <x:c r="AL110" s="221"/>
      <x:c r="AM110" s="221"/>
      <x:c r="AN110" s="222"/>
      <x:c r="AO110" s="222"/>
      <x:c r="AP110" s="228"/>
      <x:c r="AQ110" s="228"/>
      <x:c r="AR110" s="228"/>
      <x:c r="AS110" s="228"/>
      <x:c r="AT110" s="230"/>
    </x:row>
    <x:row r="111" spans="1:47" ht="19.9" customHeight="1">
      <x:c r="A111" s="274" t="s">
        <x:v>504</x:v>
      </x:c>
      <x:c r="B111" s="216"/>
      <x:c r="C111" s="275" t="s">
        <x:v>505</x:v>
      </x:c>
      <x:c r="D111" s="274" t="s">
        <x:v>506</x:v>
      </x:c>
      <x:c r="E111" s="276" t="s">
        <x:v>507</x:v>
      </x:c>
      <x:c r="F111" s="277" t="s">
        <x:v>118</x:v>
      </x:c>
      <x:c r="G111" s="277" t="s">
        <x:v>118</x:v>
      </x:c>
      <x:c r="H111" s="277" t="s">
        <x:v>118</x:v>
      </x:c>
      <x:c r="I111" s="277" t="s">
        <x:v>118</x:v>
      </x:c>
      <x:c r="J111" s="277" t="s">
        <x:v>118</x:v>
      </x:c>
      <x:c r="K111" s="277" t="s">
        <x:v>118</x:v>
      </x:c>
      <x:c r="L111" s="277" t="s">
        <x:v>118</x:v>
      </x:c>
      <x:c r="M111" s="277" t="s">
        <x:v>118</x:v>
      </x:c>
      <x:c r="N111" s="277" t="s">
        <x:v>118</x:v>
      </x:c>
      <x:c r="O111" s="277" t="s">
        <x:v>118</x:v>
      </x:c>
      <x:c r="P111" s="277" t="s">
        <x:v>118</x:v>
      </x:c>
      <x:c r="Q111" s="277" t="s">
        <x:v>118</x:v>
      </x:c>
      <x:c r="R111" s="277" t="s">
        <x:v>118</x:v>
      </x:c>
      <x:c r="S111" s="277" t="s">
        <x:v>118</x:v>
      </x:c>
      <x:c r="T111" s="277" t="s">
        <x:v>118</x:v>
      </x:c>
      <x:c r="U111" s="277" t="s">
        <x:v>118</x:v>
      </x:c>
      <x:c r="V111" s="277" t="s">
        <x:v>118</x:v>
      </x:c>
      <x:c r="W111" s="277" t="s">
        <x:v>118</x:v>
      </x:c>
      <x:c r="X111" s="277" t="s">
        <x:v>118</x:v>
      </x:c>
      <x:c r="Y111" s="277" t="s">
        <x:v>118</x:v>
      </x:c>
      <x:c r="Z111" s="277" t="s">
        <x:v>118</x:v>
      </x:c>
      <x:c r="AA111" s="277" t="s">
        <x:v>118</x:v>
      </x:c>
      <x:c r="AB111" s="277" t="s">
        <x:v>118</x:v>
      </x:c>
      <x:c r="AC111" s="277" t="s">
        <x:v>118</x:v>
      </x:c>
      <x:c r="AD111" s="277" t="s">
        <x:v>118</x:v>
      </x:c>
      <x:c r="AE111" s="277" t="s">
        <x:v>118</x:v>
      </x:c>
      <x:c r="AF111" s="277" t="s">
        <x:v>118</x:v>
      </x:c>
      <x:c r="AG111" s="277" t="s">
        <x:v>118</x:v>
      </x:c>
      <x:c r="AH111" s="277" t="s">
        <x:v>118</x:v>
      </x:c>
      <x:c r="AI111" s="277" t="s">
        <x:v>118</x:v>
      </x:c>
      <x:c r="AJ111" s="277" t="s">
        <x:v>118</x:v>
      </x:c>
      <x:c r="AK111" s="220">
        <x:f>COUNTIF(F111:AJ111,"X")</x:f>
      </x:c>
      <x:c r="AL111" s="221"/>
      <x:c r="AM111" s="221"/>
      <x:c r="AN111" s="222"/>
      <x:c r="AO111" s="222"/>
      <x:c r="AP111" s="228"/>
      <x:c r="AQ111" s="228"/>
      <x:c r="AR111" s="228"/>
      <x:c r="AS111" s="228"/>
      <x:c r="AT111" s="230"/>
    </x:row>
    <x:row r="112" spans="1:47" ht="19.9" customHeight="1">
      <x:c r="A112" s="274" t="s">
        <x:v>508</x:v>
      </x:c>
      <x:c r="B112" s="216"/>
      <x:c r="C112" s="275" t="s">
        <x:v>509</x:v>
      </x:c>
      <x:c r="D112" s="274" t="s">
        <x:v>510</x:v>
      </x:c>
      <x:c r="E112" s="276" t="s">
        <x:v>511</x:v>
      </x:c>
      <x:c r="F112" s="277" t="s">
        <x:v>118</x:v>
      </x:c>
      <x:c r="G112" s="277" t="s">
        <x:v>118</x:v>
      </x:c>
      <x:c r="H112" s="277" t="s">
        <x:v>118</x:v>
      </x:c>
      <x:c r="I112" s="277" t="s">
        <x:v>118</x:v>
      </x:c>
      <x:c r="J112" s="277" t="s">
        <x:v>118</x:v>
      </x:c>
      <x:c r="K112" s="277" t="s">
        <x:v>118</x:v>
      </x:c>
      <x:c r="L112" s="277" t="s">
        <x:v>118</x:v>
      </x:c>
      <x:c r="M112" s="277" t="s">
        <x:v>118</x:v>
      </x:c>
      <x:c r="N112" s="277" t="s">
        <x:v>118</x:v>
      </x:c>
      <x:c r="O112" s="277" t="s">
        <x:v>118</x:v>
      </x:c>
      <x:c r="P112" s="277" t="s">
        <x:v>118</x:v>
      </x:c>
      <x:c r="Q112" s="277" t="s">
        <x:v>118</x:v>
      </x:c>
      <x:c r="R112" s="277" t="s">
        <x:v>118</x:v>
      </x:c>
      <x:c r="S112" s="277" t="s">
        <x:v>118</x:v>
      </x:c>
      <x:c r="T112" s="277" t="s">
        <x:v>118</x:v>
      </x:c>
      <x:c r="U112" s="277" t="s">
        <x:v>118</x:v>
      </x:c>
      <x:c r="V112" s="277" t="s">
        <x:v>118</x:v>
      </x:c>
      <x:c r="W112" s="277" t="s">
        <x:v>118</x:v>
      </x:c>
      <x:c r="X112" s="277" t="s">
        <x:v>118</x:v>
      </x:c>
      <x:c r="Y112" s="277" t="s">
        <x:v>118</x:v>
      </x:c>
      <x:c r="Z112" s="277" t="s">
        <x:v>118</x:v>
      </x:c>
      <x:c r="AA112" s="277" t="s">
        <x:v>118</x:v>
      </x:c>
      <x:c r="AB112" s="277" t="s">
        <x:v>118</x:v>
      </x:c>
      <x:c r="AC112" s="277" t="s">
        <x:v>118</x:v>
      </x:c>
      <x:c r="AD112" s="277" t="s">
        <x:v>118</x:v>
      </x:c>
      <x:c r="AE112" s="277" t="s">
        <x:v>118</x:v>
      </x:c>
      <x:c r="AF112" s="277" t="s">
        <x:v>118</x:v>
      </x:c>
      <x:c r="AG112" s="277" t="s">
        <x:v>118</x:v>
      </x:c>
      <x:c r="AH112" s="277" t="s">
        <x:v>118</x:v>
      </x:c>
      <x:c r="AI112" s="277" t="s">
        <x:v>118</x:v>
      </x:c>
      <x:c r="AJ112" s="277" t="s">
        <x:v>118</x:v>
      </x:c>
      <x:c r="AK112" s="220">
        <x:f>COUNTIF(F112:AJ112,"X")</x:f>
      </x:c>
      <x:c r="AL112" s="221"/>
      <x:c r="AM112" s="221"/>
      <x:c r="AN112" s="222"/>
      <x:c r="AO112" s="222"/>
      <x:c r="AP112" s="228"/>
      <x:c r="AQ112" s="228"/>
      <x:c r="AR112" s="228"/>
      <x:c r="AS112" s="228"/>
      <x:c r="AT112" s="230"/>
    </x:row>
    <x:row r="113" spans="1:47" ht="19.9" customHeight="1">
      <x:c r="A113" s="274" t="s">
        <x:v>512</x:v>
      </x:c>
      <x:c r="B113" s="216"/>
      <x:c r="C113" s="275" t="s">
        <x:v>513</x:v>
      </x:c>
      <x:c r="D113" s="274" t="s">
        <x:v>514</x:v>
      </x:c>
      <x:c r="E113" s="276" t="s">
        <x:v>515</x:v>
      </x:c>
      <x:c r="F113" s="277" t="s">
        <x:v>118</x:v>
      </x:c>
      <x:c r="G113" s="277" t="s">
        <x:v>118</x:v>
      </x:c>
      <x:c r="H113" s="277" t="s">
        <x:v>118</x:v>
      </x:c>
      <x:c r="I113" s="277" t="s">
        <x:v>118</x:v>
      </x:c>
      <x:c r="J113" s="277" t="s">
        <x:v>118</x:v>
      </x:c>
      <x:c r="K113" s="277" t="s">
        <x:v>118</x:v>
      </x:c>
      <x:c r="L113" s="277" t="s">
        <x:v>118</x:v>
      </x:c>
      <x:c r="M113" s="277" t="s">
        <x:v>118</x:v>
      </x:c>
      <x:c r="N113" s="277" t="s">
        <x:v>118</x:v>
      </x:c>
      <x:c r="O113" s="277" t="s">
        <x:v>118</x:v>
      </x:c>
      <x:c r="P113" s="277" t="s">
        <x:v>118</x:v>
      </x:c>
      <x:c r="Q113" s="277" t="s">
        <x:v>118</x:v>
      </x:c>
      <x:c r="R113" s="277" t="s">
        <x:v>118</x:v>
      </x:c>
      <x:c r="S113" s="277" t="s">
        <x:v>118</x:v>
      </x:c>
      <x:c r="T113" s="277" t="s">
        <x:v>118</x:v>
      </x:c>
      <x:c r="U113" s="277" t="s">
        <x:v>118</x:v>
      </x:c>
      <x:c r="V113" s="277" t="s">
        <x:v>118</x:v>
      </x:c>
      <x:c r="W113" s="277" t="s">
        <x:v>118</x:v>
      </x:c>
      <x:c r="X113" s="277" t="s">
        <x:v>118</x:v>
      </x:c>
      <x:c r="Y113" s="277" t="s">
        <x:v>118</x:v>
      </x:c>
      <x:c r="Z113" s="277" t="s">
        <x:v>118</x:v>
      </x:c>
      <x:c r="AA113" s="277" t="s">
        <x:v>118</x:v>
      </x:c>
      <x:c r="AB113" s="277" t="s">
        <x:v>118</x:v>
      </x:c>
      <x:c r="AC113" s="277" t="s">
        <x:v>118</x:v>
      </x:c>
      <x:c r="AD113" s="277" t="s">
        <x:v>118</x:v>
      </x:c>
      <x:c r="AE113" s="277" t="s">
        <x:v>118</x:v>
      </x:c>
      <x:c r="AF113" s="277" t="s">
        <x:v>118</x:v>
      </x:c>
      <x:c r="AG113" s="277" t="s">
        <x:v>118</x:v>
      </x:c>
      <x:c r="AH113" s="277" t="s">
        <x:v>118</x:v>
      </x:c>
      <x:c r="AI113" s="277" t="s">
        <x:v>118</x:v>
      </x:c>
      <x:c r="AJ113" s="277" t="s">
        <x:v>118</x:v>
      </x:c>
      <x:c r="AK113" s="220">
        <x:f>COUNTIF(F113:AJ113,"X")</x:f>
      </x:c>
      <x:c r="AL113" s="221"/>
      <x:c r="AM113" s="221"/>
      <x:c r="AN113" s="222"/>
      <x:c r="AO113" s="222"/>
      <x:c r="AP113" s="228"/>
      <x:c r="AQ113" s="228"/>
      <x:c r="AR113" s="228"/>
      <x:c r="AS113" s="228"/>
      <x:c r="AT113" s="230"/>
    </x:row>
    <x:row r="114" spans="1:47" ht="19.9" customHeight="1">
      <x:c r="A114" s="274" t="s">
        <x:v>516</x:v>
      </x:c>
      <x:c r="B114" s="216"/>
      <x:c r="C114" s="275" t="s">
        <x:v>517</x:v>
      </x:c>
      <x:c r="D114" s="274" t="s">
        <x:v>514</x:v>
      </x:c>
      <x:c r="E114" s="276" t="s">
        <x:v>518</x:v>
      </x:c>
      <x:c r="F114" s="277" t="s">
        <x:v>118</x:v>
      </x:c>
      <x:c r="G114" s="277" t="s">
        <x:v>118</x:v>
      </x:c>
      <x:c r="H114" s="277" t="s">
        <x:v>118</x:v>
      </x:c>
      <x:c r="I114" s="277" t="s">
        <x:v>118</x:v>
      </x:c>
      <x:c r="J114" s="277" t="s">
        <x:v>118</x:v>
      </x:c>
      <x:c r="K114" s="277" t="s">
        <x:v>118</x:v>
      </x:c>
      <x:c r="L114" s="277" t="s">
        <x:v>118</x:v>
      </x:c>
      <x:c r="M114" s="277" t="s">
        <x:v>118</x:v>
      </x:c>
      <x:c r="N114" s="277" t="s">
        <x:v>118</x:v>
      </x:c>
      <x:c r="O114" s="277" t="s">
        <x:v>118</x:v>
      </x:c>
      <x:c r="P114" s="277" t="s">
        <x:v>118</x:v>
      </x:c>
      <x:c r="Q114" s="277" t="s">
        <x:v>118</x:v>
      </x:c>
      <x:c r="R114" s="277" t="s">
        <x:v>118</x:v>
      </x:c>
      <x:c r="S114" s="277" t="s">
        <x:v>118</x:v>
      </x:c>
      <x:c r="T114" s="277" t="s">
        <x:v>118</x:v>
      </x:c>
      <x:c r="U114" s="277" t="s">
        <x:v>118</x:v>
      </x:c>
      <x:c r="V114" s="277" t="s">
        <x:v>118</x:v>
      </x:c>
      <x:c r="W114" s="277" t="s">
        <x:v>118</x:v>
      </x:c>
      <x:c r="X114" s="277" t="s">
        <x:v>118</x:v>
      </x:c>
      <x:c r="Y114" s="277" t="s">
        <x:v>118</x:v>
      </x:c>
      <x:c r="Z114" s="277" t="s">
        <x:v>118</x:v>
      </x:c>
      <x:c r="AA114" s="277" t="s">
        <x:v>118</x:v>
      </x:c>
      <x:c r="AB114" s="277" t="s">
        <x:v>118</x:v>
      </x:c>
      <x:c r="AC114" s="277" t="s">
        <x:v>118</x:v>
      </x:c>
      <x:c r="AD114" s="277" t="s">
        <x:v>118</x:v>
      </x:c>
      <x:c r="AE114" s="277" t="s">
        <x:v>118</x:v>
      </x:c>
      <x:c r="AF114" s="277" t="s">
        <x:v>118</x:v>
      </x:c>
      <x:c r="AG114" s="277" t="s">
        <x:v>118</x:v>
      </x:c>
      <x:c r="AH114" s="277" t="s">
        <x:v>118</x:v>
      </x:c>
      <x:c r="AI114" s="277" t="s">
        <x:v>118</x:v>
      </x:c>
      <x:c r="AJ114" s="277" t="s">
        <x:v>118</x:v>
      </x:c>
      <x:c r="AK114" s="220">
        <x:f>COUNTIF(F114:AJ114,"X")</x:f>
      </x:c>
      <x:c r="AL114" s="221"/>
      <x:c r="AM114" s="221"/>
      <x:c r="AN114" s="222"/>
      <x:c r="AO114" s="222"/>
      <x:c r="AP114" s="228"/>
      <x:c r="AQ114" s="228"/>
      <x:c r="AR114" s="228"/>
      <x:c r="AS114" s="228"/>
      <x:c r="AT114" s="230"/>
    </x:row>
    <x:row r="115" spans="1:47" ht="19.9" customHeight="1">
      <x:c r="A115" s="274" t="s">
        <x:v>519</x:v>
      </x:c>
      <x:c r="B115" s="216"/>
      <x:c r="C115" s="275" t="s">
        <x:v>520</x:v>
      </x:c>
      <x:c r="D115" s="274" t="s">
        <x:v>521</x:v>
      </x:c>
      <x:c r="E115" s="276" t="s">
        <x:v>522</x:v>
      </x:c>
      <x:c r="F115" s="277" t="s">
        <x:v>118</x:v>
      </x:c>
      <x:c r="G115" s="277" t="s">
        <x:v>118</x:v>
      </x:c>
      <x:c r="H115" s="277" t="s">
        <x:v>118</x:v>
      </x:c>
      <x:c r="I115" s="277" t="s">
        <x:v>118</x:v>
      </x:c>
      <x:c r="J115" s="277" t="s">
        <x:v>118</x:v>
      </x:c>
      <x:c r="K115" s="277" t="s">
        <x:v>118</x:v>
      </x:c>
      <x:c r="L115" s="277" t="s">
        <x:v>118</x:v>
      </x:c>
      <x:c r="M115" s="277" t="s">
        <x:v>118</x:v>
      </x:c>
      <x:c r="N115" s="277" t="s">
        <x:v>118</x:v>
      </x:c>
      <x:c r="O115" s="277" t="s">
        <x:v>118</x:v>
      </x:c>
      <x:c r="P115" s="277" t="s">
        <x:v>118</x:v>
      </x:c>
      <x:c r="Q115" s="277" t="s">
        <x:v>118</x:v>
      </x:c>
      <x:c r="R115" s="277" t="s">
        <x:v>118</x:v>
      </x:c>
      <x:c r="S115" s="277" t="s">
        <x:v>118</x:v>
      </x:c>
      <x:c r="T115" s="277" t="s">
        <x:v>118</x:v>
      </x:c>
      <x:c r="U115" s="277" t="s">
        <x:v>118</x:v>
      </x:c>
      <x:c r="V115" s="277" t="s">
        <x:v>118</x:v>
      </x:c>
      <x:c r="W115" s="277" t="s">
        <x:v>118</x:v>
      </x:c>
      <x:c r="X115" s="277" t="s">
        <x:v>118</x:v>
      </x:c>
      <x:c r="Y115" s="277" t="s">
        <x:v>118</x:v>
      </x:c>
      <x:c r="Z115" s="277" t="s">
        <x:v>118</x:v>
      </x:c>
      <x:c r="AA115" s="277" t="s">
        <x:v>118</x:v>
      </x:c>
      <x:c r="AB115" s="277" t="s">
        <x:v>118</x:v>
      </x:c>
      <x:c r="AC115" s="277" t="s">
        <x:v>118</x:v>
      </x:c>
      <x:c r="AD115" s="277" t="s">
        <x:v>118</x:v>
      </x:c>
      <x:c r="AE115" s="277" t="s">
        <x:v>118</x:v>
      </x:c>
      <x:c r="AF115" s="277" t="s">
        <x:v>118</x:v>
      </x:c>
      <x:c r="AG115" s="277" t="s">
        <x:v>118</x:v>
      </x:c>
      <x:c r="AH115" s="277" t="s">
        <x:v>118</x:v>
      </x:c>
      <x:c r="AI115" s="277" t="s">
        <x:v>118</x:v>
      </x:c>
      <x:c r="AJ115" s="277" t="s">
        <x:v>118</x:v>
      </x:c>
      <x:c r="AK115" s="220">
        <x:f>COUNTIF(F115:AJ115,"X")</x:f>
      </x:c>
      <x:c r="AL115" s="221"/>
      <x:c r="AM115" s="221"/>
      <x:c r="AN115" s="222"/>
      <x:c r="AO115" s="222"/>
      <x:c r="AP115" s="228"/>
      <x:c r="AQ115" s="228"/>
      <x:c r="AR115" s="228"/>
      <x:c r="AS115" s="228"/>
      <x:c r="AT115" s="230"/>
    </x:row>
    <x:row r="116" spans="1:47" ht="19.9" customHeight="1">
      <x:c r="A116" s="274" t="s">
        <x:v>523</x:v>
      </x:c>
      <x:c r="B116" s="216"/>
      <x:c r="C116" s="275" t="s">
        <x:v>524</x:v>
      </x:c>
      <x:c r="D116" s="274" t="s">
        <x:v>521</x:v>
      </x:c>
      <x:c r="E116" s="276" t="s">
        <x:v>525</x:v>
      </x:c>
      <x:c r="F116" s="277" t="s">
        <x:v>118</x:v>
      </x:c>
      <x:c r="G116" s="277" t="s">
        <x:v>118</x:v>
      </x:c>
      <x:c r="H116" s="277" t="s">
        <x:v>118</x:v>
      </x:c>
      <x:c r="I116" s="277" t="s">
        <x:v>118</x:v>
      </x:c>
      <x:c r="J116" s="277" t="s">
        <x:v>118</x:v>
      </x:c>
      <x:c r="K116" s="277" t="s">
        <x:v>118</x:v>
      </x:c>
      <x:c r="L116" s="277" t="s">
        <x:v>118</x:v>
      </x:c>
      <x:c r="M116" s="277" t="s">
        <x:v>118</x:v>
      </x:c>
      <x:c r="N116" s="277" t="s">
        <x:v>118</x:v>
      </x:c>
      <x:c r="O116" s="277" t="s">
        <x:v>118</x:v>
      </x:c>
      <x:c r="P116" s="277" t="s">
        <x:v>118</x:v>
      </x:c>
      <x:c r="Q116" s="277" t="s">
        <x:v>118</x:v>
      </x:c>
      <x:c r="R116" s="277" t="s">
        <x:v>118</x:v>
      </x:c>
      <x:c r="S116" s="277" t="s">
        <x:v>118</x:v>
      </x:c>
      <x:c r="T116" s="277" t="s">
        <x:v>118</x:v>
      </x:c>
      <x:c r="U116" s="277" t="s">
        <x:v>118</x:v>
      </x:c>
      <x:c r="V116" s="277" t="s">
        <x:v>118</x:v>
      </x:c>
      <x:c r="W116" s="277" t="s">
        <x:v>118</x:v>
      </x:c>
      <x:c r="X116" s="277" t="s">
        <x:v>118</x:v>
      </x:c>
      <x:c r="Y116" s="277" t="s">
        <x:v>118</x:v>
      </x:c>
      <x:c r="Z116" s="277" t="s">
        <x:v>118</x:v>
      </x:c>
      <x:c r="AA116" s="277" t="s">
        <x:v>118</x:v>
      </x:c>
      <x:c r="AB116" s="277" t="s">
        <x:v>118</x:v>
      </x:c>
      <x:c r="AC116" s="277" t="s">
        <x:v>118</x:v>
      </x:c>
      <x:c r="AD116" s="277" t="s">
        <x:v>118</x:v>
      </x:c>
      <x:c r="AE116" s="277" t="s">
        <x:v>118</x:v>
      </x:c>
      <x:c r="AF116" s="277" t="s">
        <x:v>118</x:v>
      </x:c>
      <x:c r="AG116" s="277" t="s">
        <x:v>118</x:v>
      </x:c>
      <x:c r="AH116" s="277" t="s">
        <x:v>118</x:v>
      </x:c>
      <x:c r="AI116" s="277" t="s">
        <x:v>118</x:v>
      </x:c>
      <x:c r="AJ116" s="277" t="s">
        <x:v>118</x:v>
      </x:c>
      <x:c r="AK116" s="220">
        <x:f>COUNTIF(F116:AJ116,"X")</x:f>
      </x:c>
      <x:c r="AL116" s="221"/>
      <x:c r="AM116" s="221"/>
      <x:c r="AN116" s="222"/>
      <x:c r="AO116" s="222"/>
      <x:c r="AP116" s="228"/>
      <x:c r="AQ116" s="228"/>
      <x:c r="AR116" s="228"/>
      <x:c r="AS116" s="228"/>
      <x:c r="AT116" s="230"/>
    </x:row>
    <x:row r="117" spans="1:47" ht="19.9" customHeight="1">
      <x:c r="A117" s="274" t="s">
        <x:v>526</x:v>
      </x:c>
      <x:c r="B117" s="216"/>
      <x:c r="C117" s="275" t="s">
        <x:v>527</x:v>
      </x:c>
      <x:c r="D117" s="274" t="s">
        <x:v>528</x:v>
      </x:c>
      <x:c r="E117" s="276" t="s">
        <x:v>163</x:v>
      </x:c>
      <x:c r="F117" s="277" t="s">
        <x:v>118</x:v>
      </x:c>
      <x:c r="G117" s="277" t="s">
        <x:v>118</x:v>
      </x:c>
      <x:c r="H117" s="277" t="s">
        <x:v>118</x:v>
      </x:c>
      <x:c r="I117" s="277" t="s">
        <x:v>118</x:v>
      </x:c>
      <x:c r="J117" s="277" t="s">
        <x:v>118</x:v>
      </x:c>
      <x:c r="K117" s="277" t="s">
        <x:v>118</x:v>
      </x:c>
      <x:c r="L117" s="277" t="s">
        <x:v>118</x:v>
      </x:c>
      <x:c r="M117" s="277" t="s">
        <x:v>118</x:v>
      </x:c>
      <x:c r="N117" s="277" t="s">
        <x:v>118</x:v>
      </x:c>
      <x:c r="O117" s="277" t="s">
        <x:v>118</x:v>
      </x:c>
      <x:c r="P117" s="277" t="s">
        <x:v>118</x:v>
      </x:c>
      <x:c r="Q117" s="277" t="s">
        <x:v>118</x:v>
      </x:c>
      <x:c r="R117" s="277" t="s">
        <x:v>118</x:v>
      </x:c>
      <x:c r="S117" s="277" t="s">
        <x:v>118</x:v>
      </x:c>
      <x:c r="T117" s="277" t="s">
        <x:v>118</x:v>
      </x:c>
      <x:c r="U117" s="277" t="s">
        <x:v>118</x:v>
      </x:c>
      <x:c r="V117" s="277" t="s">
        <x:v>118</x:v>
      </x:c>
      <x:c r="W117" s="277" t="s">
        <x:v>118</x:v>
      </x:c>
      <x:c r="X117" s="277" t="s">
        <x:v>118</x:v>
      </x:c>
      <x:c r="Y117" s="277" t="s">
        <x:v>118</x:v>
      </x:c>
      <x:c r="Z117" s="277" t="s">
        <x:v>118</x:v>
      </x:c>
      <x:c r="AA117" s="277" t="s">
        <x:v>118</x:v>
      </x:c>
      <x:c r="AB117" s="277" t="s">
        <x:v>118</x:v>
      </x:c>
      <x:c r="AC117" s="277" t="s">
        <x:v>118</x:v>
      </x:c>
      <x:c r="AD117" s="277" t="s">
        <x:v>118</x:v>
      </x:c>
      <x:c r="AE117" s="277" t="s">
        <x:v>118</x:v>
      </x:c>
      <x:c r="AF117" s="277" t="s">
        <x:v>118</x:v>
      </x:c>
      <x:c r="AG117" s="277" t="s">
        <x:v>118</x:v>
      </x:c>
      <x:c r="AH117" s="277" t="s">
        <x:v>118</x:v>
      </x:c>
      <x:c r="AI117" s="277" t="s">
        <x:v>118</x:v>
      </x:c>
      <x:c r="AJ117" s="277" t="s">
        <x:v>118</x:v>
      </x:c>
      <x:c r="AK117" s="220">
        <x:f>COUNTIF(F117:AJ117,"X")</x:f>
      </x:c>
      <x:c r="AL117" s="221"/>
      <x:c r="AM117" s="221"/>
      <x:c r="AN117" s="222"/>
      <x:c r="AO117" s="222"/>
      <x:c r="AP117" s="228"/>
      <x:c r="AQ117" s="228"/>
      <x:c r="AR117" s="228"/>
      <x:c r="AS117" s="228"/>
      <x:c r="AT117" s="230"/>
    </x:row>
    <x:row r="118" spans="1:47" ht="19.9" customHeight="1">
      <x:c r="A118" s="274" t="s">
        <x:v>529</x:v>
      </x:c>
      <x:c r="B118" s="216"/>
      <x:c r="C118" s="275" t="s">
        <x:v>530</x:v>
      </x:c>
      <x:c r="D118" s="274" t="s">
        <x:v>528</x:v>
      </x:c>
      <x:c r="E118" s="276" t="s">
        <x:v>531</x:v>
      </x:c>
      <x:c r="F118" s="279" t="s">
        <x:v>118</x:v>
      </x:c>
      <x:c r="G118" s="279" t="s">
        <x:v>118</x:v>
      </x:c>
      <x:c r="H118" s="279" t="s">
        <x:v>118</x:v>
      </x:c>
      <x:c r="I118" s="279" t="s">
        <x:v>118</x:v>
      </x:c>
      <x:c r="J118" s="279" t="s">
        <x:v>118</x:v>
      </x:c>
      <x:c r="K118" s="279" t="s">
        <x:v>118</x:v>
      </x:c>
      <x:c r="L118" s="279" t="s">
        <x:v>118</x:v>
      </x:c>
      <x:c r="M118" s="279" t="s">
        <x:v>118</x:v>
      </x:c>
      <x:c r="N118" s="279" t="s">
        <x:v>118</x:v>
      </x:c>
      <x:c r="O118" s="279" t="s">
        <x:v>118</x:v>
      </x:c>
      <x:c r="P118" s="279" t="s">
        <x:v>118</x:v>
      </x:c>
      <x:c r="Q118" s="279" t="s">
        <x:v>118</x:v>
      </x:c>
      <x:c r="R118" s="279" t="s">
        <x:v>118</x:v>
      </x:c>
      <x:c r="S118" s="279" t="s">
        <x:v>118</x:v>
      </x:c>
      <x:c r="T118" s="279" t="s">
        <x:v>118</x:v>
      </x:c>
      <x:c r="U118" s="279" t="s">
        <x:v>118</x:v>
      </x:c>
      <x:c r="V118" s="279" t="s">
        <x:v>118</x:v>
      </x:c>
      <x:c r="W118" s="279" t="s">
        <x:v>118</x:v>
      </x:c>
      <x:c r="X118" s="279" t="s">
        <x:v>118</x:v>
      </x:c>
      <x:c r="Y118" s="279" t="s">
        <x:v>118</x:v>
      </x:c>
      <x:c r="Z118" s="279" t="s">
        <x:v>118</x:v>
      </x:c>
      <x:c r="AA118" s="279" t="s">
        <x:v>118</x:v>
      </x:c>
      <x:c r="AB118" s="279" t="s">
        <x:v>118</x:v>
      </x:c>
      <x:c r="AC118" s="279" t="s">
        <x:v>118</x:v>
      </x:c>
      <x:c r="AD118" s="279" t="s">
        <x:v>118</x:v>
      </x:c>
      <x:c r="AE118" s="279" t="s">
        <x:v>118</x:v>
      </x:c>
      <x:c r="AF118" s="279" t="s">
        <x:v>118</x:v>
      </x:c>
      <x:c r="AG118" s="279" t="s">
        <x:v>118</x:v>
      </x:c>
      <x:c r="AH118" s="279" t="s">
        <x:v>118</x:v>
      </x:c>
      <x:c r="AI118" s="279" t="s">
        <x:v>118</x:v>
      </x:c>
      <x:c r="AJ118" s="279" t="s">
        <x:v>118</x:v>
      </x:c>
      <x:c r="AK118" s="220">
        <x:f>COUNTIF(F118:AJ118,"X")</x:f>
      </x:c>
      <x:c r="AL118" s="221"/>
      <x:c r="AM118" s="221"/>
      <x:c r="AN118" s="222"/>
      <x:c r="AO118" s="222"/>
      <x:c r="AP118" s="228"/>
      <x:c r="AQ118" s="228"/>
      <x:c r="AR118" s="228"/>
      <x:c r="AS118" s="228"/>
      <x:c r="AT118" s="230"/>
    </x:row>
    <x:row r="119" spans="1:47" ht="19.9" customHeight="1">
      <x:c r="A119" s="274" t="s">
        <x:v>532</x:v>
      </x:c>
      <x:c r="B119" s="216"/>
      <x:c r="C119" s="275" t="s">
        <x:v>533</x:v>
      </x:c>
      <x:c r="D119" s="274" t="s">
        <x:v>528</x:v>
      </x:c>
      <x:c r="E119" s="276" t="s">
        <x:v>534</x:v>
      </x:c>
      <x:c r="F119" s="277" t="s">
        <x:v>118</x:v>
      </x:c>
      <x:c r="G119" s="277" t="s">
        <x:v>118</x:v>
      </x:c>
      <x:c r="H119" s="277" t="s">
        <x:v>118</x:v>
      </x:c>
      <x:c r="I119" s="277" t="s">
        <x:v>118</x:v>
      </x:c>
      <x:c r="J119" s="277" t="s">
        <x:v>118</x:v>
      </x:c>
      <x:c r="K119" s="277" t="s">
        <x:v>118</x:v>
      </x:c>
      <x:c r="L119" s="277" t="s">
        <x:v>118</x:v>
      </x:c>
      <x:c r="M119" s="277" t="s">
        <x:v>118</x:v>
      </x:c>
      <x:c r="N119" s="277" t="s">
        <x:v>118</x:v>
      </x:c>
      <x:c r="O119" s="277" t="s">
        <x:v>118</x:v>
      </x:c>
      <x:c r="P119" s="277" t="s">
        <x:v>118</x:v>
      </x:c>
      <x:c r="Q119" s="277" t="s">
        <x:v>118</x:v>
      </x:c>
      <x:c r="R119" s="277" t="s">
        <x:v>118</x:v>
      </x:c>
      <x:c r="S119" s="277" t="s">
        <x:v>118</x:v>
      </x:c>
      <x:c r="T119" s="277" t="s">
        <x:v>118</x:v>
      </x:c>
      <x:c r="U119" s="277" t="s">
        <x:v>118</x:v>
      </x:c>
      <x:c r="V119" s="277" t="s">
        <x:v>118</x:v>
      </x:c>
      <x:c r="W119" s="277" t="s">
        <x:v>118</x:v>
      </x:c>
      <x:c r="X119" s="277" t="s">
        <x:v>118</x:v>
      </x:c>
      <x:c r="Y119" s="277" t="s">
        <x:v>118</x:v>
      </x:c>
      <x:c r="Z119" s="277" t="s">
        <x:v>118</x:v>
      </x:c>
      <x:c r="AA119" s="277" t="s">
        <x:v>118</x:v>
      </x:c>
      <x:c r="AB119" s="277" t="s">
        <x:v>118</x:v>
      </x:c>
      <x:c r="AC119" s="277" t="s">
        <x:v>118</x:v>
      </x:c>
      <x:c r="AD119" s="277" t="s">
        <x:v>118</x:v>
      </x:c>
      <x:c r="AE119" s="277" t="s">
        <x:v>118</x:v>
      </x:c>
      <x:c r="AF119" s="277" t="s">
        <x:v>118</x:v>
      </x:c>
      <x:c r="AG119" s="277" t="s">
        <x:v>118</x:v>
      </x:c>
      <x:c r="AH119" s="277" t="s">
        <x:v>118</x:v>
      </x:c>
      <x:c r="AI119" s="277" t="s">
        <x:v>118</x:v>
      </x:c>
      <x:c r="AJ119" s="277" t="s">
        <x:v>118</x:v>
      </x:c>
      <x:c r="AK119" s="220">
        <x:f>COUNTIF(F119:AJ119,"X")</x:f>
      </x:c>
      <x:c r="AL119" s="221"/>
      <x:c r="AM119" s="221"/>
      <x:c r="AN119" s="222"/>
      <x:c r="AO119" s="222"/>
      <x:c r="AP119" s="228"/>
      <x:c r="AQ119" s="228"/>
      <x:c r="AR119" s="228"/>
      <x:c r="AS119" s="228"/>
      <x:c r="AT119" s="230"/>
    </x:row>
    <x:row r="120" spans="1:47" ht="19.9" customHeight="1">
      <x:c r="A120" s="274" t="s">
        <x:v>535</x:v>
      </x:c>
      <x:c r="B120" s="216"/>
      <x:c r="C120" s="275" t="s">
        <x:v>536</x:v>
      </x:c>
      <x:c r="D120" s="274" t="s">
        <x:v>537</x:v>
      </x:c>
      <x:c r="E120" s="276" t="s">
        <x:v>538</x:v>
      </x:c>
      <x:c r="F120" s="277" t="s">
        <x:v>118</x:v>
      </x:c>
      <x:c r="G120" s="277" t="s">
        <x:v>118</x:v>
      </x:c>
      <x:c r="H120" s="277" t="s">
        <x:v>118</x:v>
      </x:c>
      <x:c r="I120" s="277" t="s">
        <x:v>118</x:v>
      </x:c>
      <x:c r="J120" s="277" t="s">
        <x:v>118</x:v>
      </x:c>
      <x:c r="K120" s="277" t="s">
        <x:v>118</x:v>
      </x:c>
      <x:c r="L120" s="277" t="s">
        <x:v>118</x:v>
      </x:c>
      <x:c r="M120" s="277" t="s">
        <x:v>118</x:v>
      </x:c>
      <x:c r="N120" s="277" t="s">
        <x:v>118</x:v>
      </x:c>
      <x:c r="O120" s="277" t="s">
        <x:v>118</x:v>
      </x:c>
      <x:c r="P120" s="277" t="s">
        <x:v>118</x:v>
      </x:c>
      <x:c r="Q120" s="277" t="s">
        <x:v>118</x:v>
      </x:c>
      <x:c r="R120" s="277" t="s">
        <x:v>118</x:v>
      </x:c>
      <x:c r="S120" s="277" t="s">
        <x:v>118</x:v>
      </x:c>
      <x:c r="T120" s="277" t="s">
        <x:v>118</x:v>
      </x:c>
      <x:c r="U120" s="277" t="s">
        <x:v>118</x:v>
      </x:c>
      <x:c r="V120" s="277" t="s">
        <x:v>118</x:v>
      </x:c>
      <x:c r="W120" s="277" t="s">
        <x:v>118</x:v>
      </x:c>
      <x:c r="X120" s="277" t="s">
        <x:v>118</x:v>
      </x:c>
      <x:c r="Y120" s="277" t="s">
        <x:v>118</x:v>
      </x:c>
      <x:c r="Z120" s="277" t="s">
        <x:v>118</x:v>
      </x:c>
      <x:c r="AA120" s="277" t="s">
        <x:v>118</x:v>
      </x:c>
      <x:c r="AB120" s="277" t="s">
        <x:v>118</x:v>
      </x:c>
      <x:c r="AC120" s="277" t="s">
        <x:v>118</x:v>
      </x:c>
      <x:c r="AD120" s="277" t="s">
        <x:v>118</x:v>
      </x:c>
      <x:c r="AE120" s="277" t="s">
        <x:v>118</x:v>
      </x:c>
      <x:c r="AF120" s="277" t="s">
        <x:v>118</x:v>
      </x:c>
      <x:c r="AG120" s="277" t="s">
        <x:v>118</x:v>
      </x:c>
      <x:c r="AH120" s="277" t="s">
        <x:v>118</x:v>
      </x:c>
      <x:c r="AI120" s="277" t="s">
        <x:v>118</x:v>
      </x:c>
      <x:c r="AJ120" s="277" t="s">
        <x:v>118</x:v>
      </x:c>
      <x:c r="AK120" s="220">
        <x:f>COUNTIF(F120:AJ120,"X")</x:f>
      </x:c>
      <x:c r="AL120" s="221"/>
      <x:c r="AM120" s="221"/>
      <x:c r="AN120" s="222"/>
      <x:c r="AO120" s="222"/>
      <x:c r="AP120" s="228"/>
      <x:c r="AQ120" s="228"/>
      <x:c r="AR120" s="228"/>
      <x:c r="AS120" s="228"/>
      <x:c r="AT120" s="230"/>
    </x:row>
    <x:row r="121" spans="1:47" ht="19.9" customHeight="1">
      <x:c r="A121" s="274" t="s">
        <x:v>539</x:v>
      </x:c>
      <x:c r="B121" s="216"/>
      <x:c r="C121" s="275" t="s">
        <x:v>540</x:v>
      </x:c>
      <x:c r="D121" s="274" t="s">
        <x:v>541</x:v>
      </x:c>
      <x:c r="E121" s="276" t="s">
        <x:v>542</x:v>
      </x:c>
      <x:c r="F121" s="277" t="s">
        <x:v>118</x:v>
      </x:c>
      <x:c r="G121" s="277" t="s">
        <x:v>118</x:v>
      </x:c>
      <x:c r="H121" s="277" t="s">
        <x:v>118</x:v>
      </x:c>
      <x:c r="I121" s="277" t="s">
        <x:v>118</x:v>
      </x:c>
      <x:c r="J121" s="277" t="s">
        <x:v>118</x:v>
      </x:c>
      <x:c r="K121" s="277" t="s">
        <x:v>118</x:v>
      </x:c>
      <x:c r="L121" s="277" t="s">
        <x:v>118</x:v>
      </x:c>
      <x:c r="M121" s="277" t="s">
        <x:v>118</x:v>
      </x:c>
      <x:c r="N121" s="277" t="s">
        <x:v>118</x:v>
      </x:c>
      <x:c r="O121" s="277" t="s">
        <x:v>118</x:v>
      </x:c>
      <x:c r="P121" s="277" t="s">
        <x:v>118</x:v>
      </x:c>
      <x:c r="Q121" s="277" t="s">
        <x:v>118</x:v>
      </x:c>
      <x:c r="R121" s="277" t="s">
        <x:v>118</x:v>
      </x:c>
      <x:c r="S121" s="277" t="s">
        <x:v>118</x:v>
      </x:c>
      <x:c r="T121" s="277" t="s">
        <x:v>118</x:v>
      </x:c>
      <x:c r="U121" s="277" t="s">
        <x:v>118</x:v>
      </x:c>
      <x:c r="V121" s="277" t="s">
        <x:v>118</x:v>
      </x:c>
      <x:c r="W121" s="277" t="s">
        <x:v>118</x:v>
      </x:c>
      <x:c r="X121" s="277" t="s">
        <x:v>118</x:v>
      </x:c>
      <x:c r="Y121" s="277" t="s">
        <x:v>118</x:v>
      </x:c>
      <x:c r="Z121" s="277" t="s">
        <x:v>118</x:v>
      </x:c>
      <x:c r="AA121" s="277" t="s">
        <x:v>118</x:v>
      </x:c>
      <x:c r="AB121" s="277" t="s">
        <x:v>118</x:v>
      </x:c>
      <x:c r="AC121" s="277" t="s">
        <x:v>118</x:v>
      </x:c>
      <x:c r="AD121" s="277" t="s">
        <x:v>118</x:v>
      </x:c>
      <x:c r="AE121" s="277" t="s">
        <x:v>118</x:v>
      </x:c>
      <x:c r="AF121" s="277" t="s">
        <x:v>118</x:v>
      </x:c>
      <x:c r="AG121" s="277" t="s">
        <x:v>118</x:v>
      </x:c>
      <x:c r="AH121" s="277" t="s">
        <x:v>118</x:v>
      </x:c>
      <x:c r="AI121" s="277" t="s">
        <x:v>118</x:v>
      </x:c>
      <x:c r="AJ121" s="277" t="s">
        <x:v>118</x:v>
      </x:c>
      <x:c r="AK121" s="220">
        <x:f>COUNTIF(F121:AJ121,"X")</x:f>
      </x:c>
      <x:c r="AL121" s="221"/>
      <x:c r="AM121" s="221"/>
      <x:c r="AN121" s="222"/>
      <x:c r="AO121" s="222"/>
      <x:c r="AP121" s="228"/>
      <x:c r="AQ121" s="228"/>
      <x:c r="AR121" s="228"/>
      <x:c r="AS121" s="228"/>
      <x:c r="AT121" s="230"/>
    </x:row>
    <x:row r="122" spans="1:47" ht="19.9" customHeight="1">
      <x:c r="A122" s="274" t="s">
        <x:v>543</x:v>
      </x:c>
      <x:c r="B122" s="216"/>
      <x:c r="C122" s="275" t="s">
        <x:v>544</x:v>
      </x:c>
      <x:c r="D122" s="274" t="s">
        <x:v>545</x:v>
      </x:c>
      <x:c r="E122" s="276" t="s">
        <x:v>209</x:v>
      </x:c>
      <x:c r="F122" s="277" t="s">
        <x:v>118</x:v>
      </x:c>
      <x:c r="G122" s="277" t="s">
        <x:v>118</x:v>
      </x:c>
      <x:c r="H122" s="277" t="s">
        <x:v>118</x:v>
      </x:c>
      <x:c r="I122" s="277" t="s">
        <x:v>118</x:v>
      </x:c>
      <x:c r="J122" s="277" t="s">
        <x:v>118</x:v>
      </x:c>
      <x:c r="K122" s="277" t="s">
        <x:v>118</x:v>
      </x:c>
      <x:c r="L122" s="277" t="s">
        <x:v>118</x:v>
      </x:c>
      <x:c r="M122" s="277" t="s">
        <x:v>118</x:v>
      </x:c>
      <x:c r="N122" s="277" t="s">
        <x:v>118</x:v>
      </x:c>
      <x:c r="O122" s="277" t="s">
        <x:v>118</x:v>
      </x:c>
      <x:c r="P122" s="277" t="s">
        <x:v>118</x:v>
      </x:c>
      <x:c r="Q122" s="277" t="s">
        <x:v>118</x:v>
      </x:c>
      <x:c r="R122" s="277" t="s">
        <x:v>118</x:v>
      </x:c>
      <x:c r="S122" s="277" t="s">
        <x:v>118</x:v>
      </x:c>
      <x:c r="T122" s="277" t="s">
        <x:v>118</x:v>
      </x:c>
      <x:c r="U122" s="277" t="s">
        <x:v>118</x:v>
      </x:c>
      <x:c r="V122" s="277" t="s">
        <x:v>118</x:v>
      </x:c>
      <x:c r="W122" s="277" t="s">
        <x:v>118</x:v>
      </x:c>
      <x:c r="X122" s="277" t="s">
        <x:v>118</x:v>
      </x:c>
      <x:c r="Y122" s="277" t="s">
        <x:v>118</x:v>
      </x:c>
      <x:c r="Z122" s="277" t="s">
        <x:v>118</x:v>
      </x:c>
      <x:c r="AA122" s="277" t="s">
        <x:v>118</x:v>
      </x:c>
      <x:c r="AB122" s="277" t="s">
        <x:v>118</x:v>
      </x:c>
      <x:c r="AC122" s="277" t="s">
        <x:v>118</x:v>
      </x:c>
      <x:c r="AD122" s="277" t="s">
        <x:v>118</x:v>
      </x:c>
      <x:c r="AE122" s="277" t="s">
        <x:v>118</x:v>
      </x:c>
      <x:c r="AF122" s="277" t="s">
        <x:v>118</x:v>
      </x:c>
      <x:c r="AG122" s="277" t="s">
        <x:v>118</x:v>
      </x:c>
      <x:c r="AH122" s="277" t="s">
        <x:v>118</x:v>
      </x:c>
      <x:c r="AI122" s="277" t="s">
        <x:v>118</x:v>
      </x:c>
      <x:c r="AJ122" s="277" t="s">
        <x:v>118</x:v>
      </x:c>
      <x:c r="AK122" s="220">
        <x:f>COUNTIF(F122:AJ122,"X")</x:f>
      </x:c>
      <x:c r="AL122" s="221"/>
      <x:c r="AM122" s="221"/>
      <x:c r="AN122" s="222"/>
      <x:c r="AO122" s="222"/>
      <x:c r="AP122" s="228"/>
      <x:c r="AQ122" s="228"/>
      <x:c r="AR122" s="228"/>
      <x:c r="AS122" s="228"/>
      <x:c r="AT122" s="230"/>
    </x:row>
    <x:row r="123" spans="1:47" ht="19.9" customHeight="1">
      <x:c r="A123" s="274" t="s">
        <x:v>546</x:v>
      </x:c>
      <x:c r="B123" s="216"/>
      <x:c r="C123" s="275" t="s">
        <x:v>547</x:v>
      </x:c>
      <x:c r="D123" s="274" t="s">
        <x:v>548</x:v>
      </x:c>
      <x:c r="E123" s="276" t="s">
        <x:v>549</x:v>
      </x:c>
      <x:c r="F123" s="277" t="s">
        <x:v>118</x:v>
      </x:c>
      <x:c r="G123" s="277" t="s">
        <x:v>118</x:v>
      </x:c>
      <x:c r="H123" s="277" t="s">
        <x:v>118</x:v>
      </x:c>
      <x:c r="I123" s="277" t="s">
        <x:v>118</x:v>
      </x:c>
      <x:c r="J123" s="277" t="s">
        <x:v>118</x:v>
      </x:c>
      <x:c r="K123" s="277" t="s">
        <x:v>118</x:v>
      </x:c>
      <x:c r="L123" s="277" t="s">
        <x:v>118</x:v>
      </x:c>
      <x:c r="M123" s="277" t="s">
        <x:v>118</x:v>
      </x:c>
      <x:c r="N123" s="277" t="s">
        <x:v>118</x:v>
      </x:c>
      <x:c r="O123" s="277" t="s">
        <x:v>118</x:v>
      </x:c>
      <x:c r="P123" s="277" t="s">
        <x:v>118</x:v>
      </x:c>
      <x:c r="Q123" s="277" t="s">
        <x:v>118</x:v>
      </x:c>
      <x:c r="R123" s="277" t="s">
        <x:v>118</x:v>
      </x:c>
      <x:c r="S123" s="277" t="s">
        <x:v>118</x:v>
      </x:c>
      <x:c r="T123" s="277" t="s">
        <x:v>118</x:v>
      </x:c>
      <x:c r="U123" s="277" t="s">
        <x:v>118</x:v>
      </x:c>
      <x:c r="V123" s="277" t="s">
        <x:v>118</x:v>
      </x:c>
      <x:c r="W123" s="277" t="s">
        <x:v>118</x:v>
      </x:c>
      <x:c r="X123" s="277" t="s">
        <x:v>118</x:v>
      </x:c>
      <x:c r="Y123" s="277" t="s">
        <x:v>118</x:v>
      </x:c>
      <x:c r="Z123" s="277" t="s">
        <x:v>118</x:v>
      </x:c>
      <x:c r="AA123" s="277" t="s">
        <x:v>118</x:v>
      </x:c>
      <x:c r="AB123" s="277" t="s">
        <x:v>118</x:v>
      </x:c>
      <x:c r="AC123" s="277" t="s">
        <x:v>118</x:v>
      </x:c>
      <x:c r="AD123" s="277" t="s">
        <x:v>118</x:v>
      </x:c>
      <x:c r="AE123" s="277" t="s">
        <x:v>118</x:v>
      </x:c>
      <x:c r="AF123" s="277" t="s">
        <x:v>118</x:v>
      </x:c>
      <x:c r="AG123" s="277" t="s">
        <x:v>118</x:v>
      </x:c>
      <x:c r="AH123" s="277" t="s">
        <x:v>118</x:v>
      </x:c>
      <x:c r="AI123" s="277" t="s">
        <x:v>118</x:v>
      </x:c>
      <x:c r="AJ123" s="277" t="s">
        <x:v>118</x:v>
      </x:c>
      <x:c r="AK123" s="220">
        <x:f>COUNTIF(F123:AJ123,"X")</x:f>
      </x:c>
      <x:c r="AL123" s="221"/>
      <x:c r="AM123" s="221"/>
      <x:c r="AN123" s="222"/>
      <x:c r="AO123" s="222"/>
      <x:c r="AP123" s="228"/>
      <x:c r="AQ123" s="228"/>
      <x:c r="AR123" s="228"/>
      <x:c r="AS123" s="228"/>
      <x:c r="AT123" s="230"/>
    </x:row>
    <x:row r="124" spans="1:47" ht="19.9" customHeight="1">
      <x:c r="A124" s="274" t="s">
        <x:v>550</x:v>
      </x:c>
      <x:c r="B124" s="216"/>
      <x:c r="C124" s="275" t="s">
        <x:v>551</x:v>
      </x:c>
      <x:c r="D124" s="274" t="s">
        <x:v>552</x:v>
      </x:c>
      <x:c r="E124" s="276" t="s">
        <x:v>553</x:v>
      </x:c>
      <x:c r="F124" s="277" t="s">
        <x:v>118</x:v>
      </x:c>
      <x:c r="G124" s="277" t="s">
        <x:v>118</x:v>
      </x:c>
      <x:c r="H124" s="277" t="s">
        <x:v>118</x:v>
      </x:c>
      <x:c r="I124" s="277" t="s">
        <x:v>118</x:v>
      </x:c>
      <x:c r="J124" s="277" t="s">
        <x:v>118</x:v>
      </x:c>
      <x:c r="K124" s="277" t="s">
        <x:v>118</x:v>
      </x:c>
      <x:c r="L124" s="277" t="s">
        <x:v>118</x:v>
      </x:c>
      <x:c r="M124" s="277" t="s">
        <x:v>118</x:v>
      </x:c>
      <x:c r="N124" s="277" t="s">
        <x:v>118</x:v>
      </x:c>
      <x:c r="O124" s="277" t="s">
        <x:v>118</x:v>
      </x:c>
      <x:c r="P124" s="277" t="s">
        <x:v>118</x:v>
      </x:c>
      <x:c r="Q124" s="277" t="s">
        <x:v>118</x:v>
      </x:c>
      <x:c r="R124" s="277" t="s">
        <x:v>118</x:v>
      </x:c>
      <x:c r="S124" s="277" t="s">
        <x:v>118</x:v>
      </x:c>
      <x:c r="T124" s="277" t="s">
        <x:v>118</x:v>
      </x:c>
      <x:c r="U124" s="277" t="s">
        <x:v>118</x:v>
      </x:c>
      <x:c r="V124" s="277" t="s">
        <x:v>118</x:v>
      </x:c>
      <x:c r="W124" s="277" t="s">
        <x:v>118</x:v>
      </x:c>
      <x:c r="X124" s="277" t="s">
        <x:v>118</x:v>
      </x:c>
      <x:c r="Y124" s="277" t="s">
        <x:v>118</x:v>
      </x:c>
      <x:c r="Z124" s="277" t="s">
        <x:v>118</x:v>
      </x:c>
      <x:c r="AA124" s="277" t="s">
        <x:v>118</x:v>
      </x:c>
      <x:c r="AB124" s="277" t="s">
        <x:v>118</x:v>
      </x:c>
      <x:c r="AC124" s="277" t="s">
        <x:v>118</x:v>
      </x:c>
      <x:c r="AD124" s="277" t="s">
        <x:v>118</x:v>
      </x:c>
      <x:c r="AE124" s="277" t="s">
        <x:v>118</x:v>
      </x:c>
      <x:c r="AF124" s="277" t="s">
        <x:v>118</x:v>
      </x:c>
      <x:c r="AG124" s="277" t="s">
        <x:v>118</x:v>
      </x:c>
      <x:c r="AH124" s="277" t="s">
        <x:v>118</x:v>
      </x:c>
      <x:c r="AI124" s="277" t="s">
        <x:v>118</x:v>
      </x:c>
      <x:c r="AJ124" s="277" t="s">
        <x:v>118</x:v>
      </x:c>
      <x:c r="AK124" s="220">
        <x:f>COUNTIF(F124:AJ124,"X")</x:f>
      </x:c>
      <x:c r="AL124" s="221"/>
      <x:c r="AM124" s="221"/>
      <x:c r="AN124" s="222"/>
      <x:c r="AO124" s="222"/>
      <x:c r="AP124" s="228"/>
      <x:c r="AQ124" s="228"/>
      <x:c r="AR124" s="228"/>
      <x:c r="AS124" s="228"/>
      <x:c r="AT124" s="230"/>
    </x:row>
    <x:row r="125" spans="1:47" ht="19.9" customHeight="1">
      <x:c r="A125" s="274" t="s">
        <x:v>554</x:v>
      </x:c>
      <x:c r="B125" s="216"/>
      <x:c r="C125" s="275" t="s">
        <x:v>555</x:v>
      </x:c>
      <x:c r="D125" s="274" t="s">
        <x:v>556</x:v>
      </x:c>
      <x:c r="E125" s="276" t="s">
        <x:v>370</x:v>
      </x:c>
      <x:c r="F125" s="277" t="s">
        <x:v>118</x:v>
      </x:c>
      <x:c r="G125" s="277" t="s">
        <x:v>118</x:v>
      </x:c>
      <x:c r="H125" s="277" t="s">
        <x:v>118</x:v>
      </x:c>
      <x:c r="I125" s="277" t="s">
        <x:v>118</x:v>
      </x:c>
      <x:c r="J125" s="277" t="s">
        <x:v>118</x:v>
      </x:c>
      <x:c r="K125" s="277" t="s">
        <x:v>118</x:v>
      </x:c>
      <x:c r="L125" s="277" t="s">
        <x:v>118</x:v>
      </x:c>
      <x:c r="M125" s="277" t="s">
        <x:v>118</x:v>
      </x:c>
      <x:c r="N125" s="277" t="s">
        <x:v>118</x:v>
      </x:c>
      <x:c r="O125" s="277" t="s">
        <x:v>118</x:v>
      </x:c>
      <x:c r="P125" s="277" t="s">
        <x:v>118</x:v>
      </x:c>
      <x:c r="Q125" s="277" t="s">
        <x:v>118</x:v>
      </x:c>
      <x:c r="R125" s="277" t="s">
        <x:v>118</x:v>
      </x:c>
      <x:c r="S125" s="277" t="s">
        <x:v>118</x:v>
      </x:c>
      <x:c r="T125" s="277" t="s">
        <x:v>118</x:v>
      </x:c>
      <x:c r="U125" s="277" t="s">
        <x:v>118</x:v>
      </x:c>
      <x:c r="V125" s="277" t="s">
        <x:v>118</x:v>
      </x:c>
      <x:c r="W125" s="277" t="s">
        <x:v>118</x:v>
      </x:c>
      <x:c r="X125" s="277" t="s">
        <x:v>118</x:v>
      </x:c>
      <x:c r="Y125" s="277" t="s">
        <x:v>118</x:v>
      </x:c>
      <x:c r="Z125" s="277" t="s">
        <x:v>118</x:v>
      </x:c>
      <x:c r="AA125" s="277" t="s">
        <x:v>118</x:v>
      </x:c>
      <x:c r="AB125" s="277" t="s">
        <x:v>118</x:v>
      </x:c>
      <x:c r="AC125" s="277" t="s">
        <x:v>118</x:v>
      </x:c>
      <x:c r="AD125" s="277" t="s">
        <x:v>118</x:v>
      </x:c>
      <x:c r="AE125" s="277" t="s">
        <x:v>118</x:v>
      </x:c>
      <x:c r="AF125" s="277" t="s">
        <x:v>118</x:v>
      </x:c>
      <x:c r="AG125" s="277" t="s">
        <x:v>118</x:v>
      </x:c>
      <x:c r="AH125" s="277" t="s">
        <x:v>118</x:v>
      </x:c>
      <x:c r="AI125" s="277" t="s">
        <x:v>118</x:v>
      </x:c>
      <x:c r="AJ125" s="277" t="s">
        <x:v>118</x:v>
      </x:c>
      <x:c r="AK125" s="220">
        <x:f>COUNTIF(F125:AJ125,"X")</x:f>
      </x:c>
      <x:c r="AL125" s="221"/>
      <x:c r="AM125" s="221"/>
      <x:c r="AN125" s="222"/>
      <x:c r="AO125" s="222"/>
      <x:c r="AP125" s="228"/>
      <x:c r="AQ125" s="228"/>
      <x:c r="AR125" s="228"/>
      <x:c r="AS125" s="228"/>
      <x:c r="AT125" s="230"/>
    </x:row>
    <x:row r="126" spans="1:47" ht="19.9" customHeight="1">
      <x:c r="A126" s="274" t="s">
        <x:v>557</x:v>
      </x:c>
      <x:c r="B126" s="216"/>
      <x:c r="C126" s="275" t="s">
        <x:v>558</x:v>
      </x:c>
      <x:c r="D126" s="274" t="s">
        <x:v>559</x:v>
      </x:c>
      <x:c r="E126" s="276" t="s">
        <x:v>323</x:v>
      </x:c>
      <x:c r="F126" s="277" t="s">
        <x:v>118</x:v>
      </x:c>
      <x:c r="G126" s="277" t="s">
        <x:v>118</x:v>
      </x:c>
      <x:c r="H126" s="277" t="s">
        <x:v>118</x:v>
      </x:c>
      <x:c r="I126" s="277" t="s">
        <x:v>118</x:v>
      </x:c>
      <x:c r="J126" s="277" t="s">
        <x:v>118</x:v>
      </x:c>
      <x:c r="K126" s="277" t="s">
        <x:v>118</x:v>
      </x:c>
      <x:c r="L126" s="277" t="s">
        <x:v>118</x:v>
      </x:c>
      <x:c r="M126" s="277" t="s">
        <x:v>118</x:v>
      </x:c>
      <x:c r="N126" s="277" t="s">
        <x:v>118</x:v>
      </x:c>
      <x:c r="O126" s="277" t="s">
        <x:v>118</x:v>
      </x:c>
      <x:c r="P126" s="277" t="s">
        <x:v>118</x:v>
      </x:c>
      <x:c r="Q126" s="277" t="s">
        <x:v>118</x:v>
      </x:c>
      <x:c r="R126" s="277" t="s">
        <x:v>118</x:v>
      </x:c>
      <x:c r="S126" s="277" t="s">
        <x:v>118</x:v>
      </x:c>
      <x:c r="T126" s="277" t="s">
        <x:v>118</x:v>
      </x:c>
      <x:c r="U126" s="277" t="s">
        <x:v>118</x:v>
      </x:c>
      <x:c r="V126" s="277" t="s">
        <x:v>118</x:v>
      </x:c>
      <x:c r="W126" s="277" t="s">
        <x:v>118</x:v>
      </x:c>
      <x:c r="X126" s="277" t="s">
        <x:v>118</x:v>
      </x:c>
      <x:c r="Y126" s="277" t="s">
        <x:v>118</x:v>
      </x:c>
      <x:c r="Z126" s="277" t="s">
        <x:v>118</x:v>
      </x:c>
      <x:c r="AA126" s="277" t="s">
        <x:v>118</x:v>
      </x:c>
      <x:c r="AB126" s="277" t="s">
        <x:v>118</x:v>
      </x:c>
      <x:c r="AC126" s="277" t="s">
        <x:v>118</x:v>
      </x:c>
      <x:c r="AD126" s="277" t="s">
        <x:v>118</x:v>
      </x:c>
      <x:c r="AE126" s="277" t="s">
        <x:v>118</x:v>
      </x:c>
      <x:c r="AF126" s="277" t="s">
        <x:v>118</x:v>
      </x:c>
      <x:c r="AG126" s="277" t="s">
        <x:v>118</x:v>
      </x:c>
      <x:c r="AH126" s="277" t="s">
        <x:v>118</x:v>
      </x:c>
      <x:c r="AI126" s="277" t="s">
        <x:v>118</x:v>
      </x:c>
      <x:c r="AJ126" s="277" t="s">
        <x:v>118</x:v>
      </x:c>
      <x:c r="AK126" s="220">
        <x:f>COUNTIF(F126:AJ126,"X")</x:f>
      </x:c>
      <x:c r="AL126" s="221"/>
      <x:c r="AM126" s="221"/>
      <x:c r="AN126" s="222"/>
      <x:c r="AO126" s="222"/>
      <x:c r="AP126" s="228"/>
      <x:c r="AQ126" s="228"/>
      <x:c r="AR126" s="228"/>
      <x:c r="AS126" s="228"/>
      <x:c r="AT126" s="230"/>
    </x:row>
    <x:row r="127" spans="1:47" ht="19.9" customHeight="1">
      <x:c r="A127" s="274" t="s">
        <x:v>560</x:v>
      </x:c>
      <x:c r="B127" s="216"/>
      <x:c r="C127" s="275" t="s">
        <x:v>561</x:v>
      </x:c>
      <x:c r="D127" s="274" t="s">
        <x:v>562</x:v>
      </x:c>
      <x:c r="E127" s="276" t="s">
        <x:v>563</x:v>
      </x:c>
      <x:c r="F127" s="277" t="s">
        <x:v>118</x:v>
      </x:c>
      <x:c r="G127" s="277" t="s">
        <x:v>118</x:v>
      </x:c>
      <x:c r="H127" s="277" t="s">
        <x:v>118</x:v>
      </x:c>
      <x:c r="I127" s="277" t="s">
        <x:v>118</x:v>
      </x:c>
      <x:c r="J127" s="277" t="s">
        <x:v>118</x:v>
      </x:c>
      <x:c r="K127" s="277" t="s">
        <x:v>118</x:v>
      </x:c>
      <x:c r="L127" s="277" t="s">
        <x:v>118</x:v>
      </x:c>
      <x:c r="M127" s="277" t="s">
        <x:v>118</x:v>
      </x:c>
      <x:c r="N127" s="277" t="s">
        <x:v>118</x:v>
      </x:c>
      <x:c r="O127" s="277" t="s">
        <x:v>118</x:v>
      </x:c>
      <x:c r="P127" s="277" t="s">
        <x:v>118</x:v>
      </x:c>
      <x:c r="Q127" s="277" t="s">
        <x:v>118</x:v>
      </x:c>
      <x:c r="R127" s="277" t="s">
        <x:v>118</x:v>
      </x:c>
      <x:c r="S127" s="277" t="s">
        <x:v>118</x:v>
      </x:c>
      <x:c r="T127" s="277" t="s">
        <x:v>118</x:v>
      </x:c>
      <x:c r="U127" s="277" t="s">
        <x:v>118</x:v>
      </x:c>
      <x:c r="V127" s="277" t="s">
        <x:v>118</x:v>
      </x:c>
      <x:c r="W127" s="277" t="s">
        <x:v>118</x:v>
      </x:c>
      <x:c r="X127" s="277" t="s">
        <x:v>118</x:v>
      </x:c>
      <x:c r="Y127" s="277" t="s">
        <x:v>118</x:v>
      </x:c>
      <x:c r="Z127" s="277" t="s">
        <x:v>118</x:v>
      </x:c>
      <x:c r="AA127" s="277" t="s">
        <x:v>118</x:v>
      </x:c>
      <x:c r="AB127" s="277" t="s">
        <x:v>118</x:v>
      </x:c>
      <x:c r="AC127" s="277" t="s">
        <x:v>118</x:v>
      </x:c>
      <x:c r="AD127" s="277" t="s">
        <x:v>118</x:v>
      </x:c>
      <x:c r="AE127" s="277" t="s">
        <x:v>118</x:v>
      </x:c>
      <x:c r="AF127" s="277" t="s">
        <x:v>118</x:v>
      </x:c>
      <x:c r="AG127" s="277" t="s">
        <x:v>118</x:v>
      </x:c>
      <x:c r="AH127" s="277" t="s">
        <x:v>118</x:v>
      </x:c>
      <x:c r="AI127" s="277" t="s">
        <x:v>118</x:v>
      </x:c>
      <x:c r="AJ127" s="277" t="s">
        <x:v>118</x:v>
      </x:c>
      <x:c r="AK127" s="220">
        <x:f>COUNTIF(F127:AJ127,"X")</x:f>
      </x:c>
      <x:c r="AL127" s="221"/>
      <x:c r="AM127" s="221"/>
      <x:c r="AN127" s="222"/>
      <x:c r="AO127" s="222"/>
      <x:c r="AP127" s="228"/>
      <x:c r="AQ127" s="228"/>
      <x:c r="AR127" s="228"/>
      <x:c r="AS127" s="228"/>
      <x:c r="AT127" s="230"/>
    </x:row>
    <x:row r="128" spans="1:47" ht="19.9" customHeight="1">
      <x:c r="A128" s="274" t="s">
        <x:v>564</x:v>
      </x:c>
      <x:c r="B128" s="216"/>
      <x:c r="C128" s="275" t="s">
        <x:v>565</x:v>
      </x:c>
      <x:c r="D128" s="274" t="s">
        <x:v>566</x:v>
      </x:c>
      <x:c r="E128" s="276" t="s">
        <x:v>567</x:v>
      </x:c>
      <x:c r="F128" s="277" t="s">
        <x:v>118</x:v>
      </x:c>
      <x:c r="G128" s="277" t="s">
        <x:v>118</x:v>
      </x:c>
      <x:c r="H128" s="277" t="s">
        <x:v>118</x:v>
      </x:c>
      <x:c r="I128" s="277" t="s">
        <x:v>118</x:v>
      </x:c>
      <x:c r="J128" s="277" t="s">
        <x:v>118</x:v>
      </x:c>
      <x:c r="K128" s="277" t="s">
        <x:v>118</x:v>
      </x:c>
      <x:c r="L128" s="277" t="s">
        <x:v>118</x:v>
      </x:c>
      <x:c r="M128" s="277" t="s">
        <x:v>118</x:v>
      </x:c>
      <x:c r="N128" s="277" t="s">
        <x:v>118</x:v>
      </x:c>
      <x:c r="O128" s="277" t="s">
        <x:v>118</x:v>
      </x:c>
      <x:c r="P128" s="277" t="s">
        <x:v>118</x:v>
      </x:c>
      <x:c r="Q128" s="277" t="s">
        <x:v>118</x:v>
      </x:c>
      <x:c r="R128" s="277" t="s">
        <x:v>118</x:v>
      </x:c>
      <x:c r="S128" s="277" t="s">
        <x:v>118</x:v>
      </x:c>
      <x:c r="T128" s="277" t="s">
        <x:v>118</x:v>
      </x:c>
      <x:c r="U128" s="277" t="s">
        <x:v>118</x:v>
      </x:c>
      <x:c r="V128" s="277" t="s">
        <x:v>118</x:v>
      </x:c>
      <x:c r="W128" s="277" t="s">
        <x:v>118</x:v>
      </x:c>
      <x:c r="X128" s="277" t="s">
        <x:v>118</x:v>
      </x:c>
      <x:c r="Y128" s="277" t="s">
        <x:v>118</x:v>
      </x:c>
      <x:c r="Z128" s="277" t="s">
        <x:v>118</x:v>
      </x:c>
      <x:c r="AA128" s="277" t="s">
        <x:v>118</x:v>
      </x:c>
      <x:c r="AB128" s="277" t="s">
        <x:v>118</x:v>
      </x:c>
      <x:c r="AC128" s="277" t="s">
        <x:v>118</x:v>
      </x:c>
      <x:c r="AD128" s="277" t="s">
        <x:v>118</x:v>
      </x:c>
      <x:c r="AE128" s="277" t="s">
        <x:v>118</x:v>
      </x:c>
      <x:c r="AF128" s="277" t="s">
        <x:v>118</x:v>
      </x:c>
      <x:c r="AG128" s="277" t="s">
        <x:v>118</x:v>
      </x:c>
      <x:c r="AH128" s="277" t="s">
        <x:v>118</x:v>
      </x:c>
      <x:c r="AI128" s="277" t="s">
        <x:v>118</x:v>
      </x:c>
      <x:c r="AJ128" s="277" t="s">
        <x:v>118</x:v>
      </x:c>
      <x:c r="AK128" s="220">
        <x:f>COUNTIF(F128:AJ128,"X")</x:f>
      </x:c>
      <x:c r="AL128" s="221"/>
      <x:c r="AM128" s="221"/>
      <x:c r="AN128" s="222"/>
      <x:c r="AO128" s="222"/>
      <x:c r="AP128" s="228"/>
      <x:c r="AQ128" s="228"/>
      <x:c r="AR128" s="228"/>
      <x:c r="AS128" s="228"/>
      <x:c r="AT128" s="230"/>
    </x:row>
    <x:row r="129" spans="1:47" ht="19.9" customHeight="1">
      <x:c r="A129" s="274" t="s">
        <x:v>568</x:v>
      </x:c>
      <x:c r="B129" s="216"/>
      <x:c r="C129" s="275" t="s">
        <x:v>569</x:v>
      </x:c>
      <x:c r="D129" s="274" t="s">
        <x:v>570</x:v>
      </x:c>
      <x:c r="E129" s="276" t="s">
        <x:v>323</x:v>
      </x:c>
      <x:c r="F129" s="277" t="s">
        <x:v>118</x:v>
      </x:c>
      <x:c r="G129" s="277" t="s">
        <x:v>118</x:v>
      </x:c>
      <x:c r="H129" s="277" t="s">
        <x:v>118</x:v>
      </x:c>
      <x:c r="I129" s="277" t="s">
        <x:v>118</x:v>
      </x:c>
      <x:c r="J129" s="277" t="s">
        <x:v>118</x:v>
      </x:c>
      <x:c r="K129" s="277" t="s">
        <x:v>118</x:v>
      </x:c>
      <x:c r="L129" s="277" t="s">
        <x:v>118</x:v>
      </x:c>
      <x:c r="M129" s="277" t="s">
        <x:v>118</x:v>
      </x:c>
      <x:c r="N129" s="277" t="s">
        <x:v>118</x:v>
      </x:c>
      <x:c r="O129" s="277" t="s">
        <x:v>118</x:v>
      </x:c>
      <x:c r="P129" s="277" t="s">
        <x:v>118</x:v>
      </x:c>
      <x:c r="Q129" s="277" t="s">
        <x:v>118</x:v>
      </x:c>
      <x:c r="R129" s="277" t="s">
        <x:v>118</x:v>
      </x:c>
      <x:c r="S129" s="277" t="s">
        <x:v>118</x:v>
      </x:c>
      <x:c r="T129" s="277" t="s">
        <x:v>118</x:v>
      </x:c>
      <x:c r="U129" s="277" t="s">
        <x:v>118</x:v>
      </x:c>
      <x:c r="V129" s="277" t="s">
        <x:v>118</x:v>
      </x:c>
      <x:c r="W129" s="277" t="s">
        <x:v>118</x:v>
      </x:c>
      <x:c r="X129" s="277" t="s">
        <x:v>118</x:v>
      </x:c>
      <x:c r="Y129" s="277" t="s">
        <x:v>118</x:v>
      </x:c>
      <x:c r="Z129" s="277" t="s">
        <x:v>118</x:v>
      </x:c>
      <x:c r="AA129" s="277" t="s">
        <x:v>118</x:v>
      </x:c>
      <x:c r="AB129" s="277" t="s">
        <x:v>118</x:v>
      </x:c>
      <x:c r="AC129" s="277" t="s">
        <x:v>118</x:v>
      </x:c>
      <x:c r="AD129" s="277" t="s">
        <x:v>118</x:v>
      </x:c>
      <x:c r="AE129" s="277" t="s">
        <x:v>118</x:v>
      </x:c>
      <x:c r="AF129" s="277" t="s">
        <x:v>118</x:v>
      </x:c>
      <x:c r="AG129" s="277" t="s">
        <x:v>118</x:v>
      </x:c>
      <x:c r="AH129" s="277" t="s">
        <x:v>118</x:v>
      </x:c>
      <x:c r="AI129" s="277" t="s">
        <x:v>118</x:v>
      </x:c>
      <x:c r="AJ129" s="277" t="s">
        <x:v>118</x:v>
      </x:c>
      <x:c r="AK129" s="220">
        <x:f>COUNTIF(F129:AJ129,"X")</x:f>
      </x:c>
      <x:c r="AL129" s="221"/>
      <x:c r="AM129" s="221"/>
      <x:c r="AN129" s="222"/>
      <x:c r="AO129" s="222"/>
      <x:c r="AP129" s="228"/>
      <x:c r="AQ129" s="228"/>
      <x:c r="AR129" s="228"/>
      <x:c r="AS129" s="228"/>
      <x:c r="AT129" s="230"/>
    </x:row>
    <x:row r="130" spans="1:47" ht="19.9" customHeight="1">
      <x:c r="A130" s="274" t="s">
        <x:v>571</x:v>
      </x:c>
      <x:c r="B130" s="216"/>
      <x:c r="C130" s="275" t="s">
        <x:v>572</x:v>
      </x:c>
      <x:c r="D130" s="274" t="s">
        <x:v>573</x:v>
      </x:c>
      <x:c r="E130" s="276" t="s">
        <x:v>574</x:v>
      </x:c>
      <x:c r="F130" s="277" t="s">
        <x:v>118</x:v>
      </x:c>
      <x:c r="G130" s="277" t="s">
        <x:v>118</x:v>
      </x:c>
      <x:c r="H130" s="277" t="s">
        <x:v>118</x:v>
      </x:c>
      <x:c r="I130" s="277" t="s">
        <x:v>118</x:v>
      </x:c>
      <x:c r="J130" s="277" t="s">
        <x:v>118</x:v>
      </x:c>
      <x:c r="K130" s="277" t="s">
        <x:v>118</x:v>
      </x:c>
      <x:c r="L130" s="277" t="s">
        <x:v>118</x:v>
      </x:c>
      <x:c r="M130" s="277" t="s">
        <x:v>118</x:v>
      </x:c>
      <x:c r="N130" s="277" t="s">
        <x:v>118</x:v>
      </x:c>
      <x:c r="O130" s="277" t="s">
        <x:v>118</x:v>
      </x:c>
      <x:c r="P130" s="277" t="s">
        <x:v>118</x:v>
      </x:c>
      <x:c r="Q130" s="277" t="s">
        <x:v>118</x:v>
      </x:c>
      <x:c r="R130" s="277" t="s">
        <x:v>118</x:v>
      </x:c>
      <x:c r="S130" s="277" t="s">
        <x:v>118</x:v>
      </x:c>
      <x:c r="T130" s="277" t="s">
        <x:v>118</x:v>
      </x:c>
      <x:c r="U130" s="277" t="s">
        <x:v>118</x:v>
      </x:c>
      <x:c r="V130" s="277" t="s">
        <x:v>118</x:v>
      </x:c>
      <x:c r="W130" s="277" t="s">
        <x:v>118</x:v>
      </x:c>
      <x:c r="X130" s="277" t="s">
        <x:v>118</x:v>
      </x:c>
      <x:c r="Y130" s="277" t="s">
        <x:v>118</x:v>
      </x:c>
      <x:c r="Z130" s="277" t="s">
        <x:v>118</x:v>
      </x:c>
      <x:c r="AA130" s="277" t="s">
        <x:v>118</x:v>
      </x:c>
      <x:c r="AB130" s="277" t="s">
        <x:v>118</x:v>
      </x:c>
      <x:c r="AC130" s="277" t="s">
        <x:v>118</x:v>
      </x:c>
      <x:c r="AD130" s="277" t="s">
        <x:v>118</x:v>
      </x:c>
      <x:c r="AE130" s="277" t="s">
        <x:v>118</x:v>
      </x:c>
      <x:c r="AF130" s="277" t="s">
        <x:v>118</x:v>
      </x:c>
      <x:c r="AG130" s="277" t="s">
        <x:v>118</x:v>
      </x:c>
      <x:c r="AH130" s="277" t="s">
        <x:v>118</x:v>
      </x:c>
      <x:c r="AI130" s="277" t="s">
        <x:v>118</x:v>
      </x:c>
      <x:c r="AJ130" s="277" t="s">
        <x:v>118</x:v>
      </x:c>
      <x:c r="AK130" s="220">
        <x:f>COUNTIF(F130:AJ130,"X")</x:f>
      </x:c>
      <x:c r="AL130" s="221"/>
      <x:c r="AM130" s="221"/>
      <x:c r="AN130" s="222"/>
      <x:c r="AO130" s="222"/>
      <x:c r="AP130" s="228"/>
      <x:c r="AQ130" s="228"/>
      <x:c r="AR130" s="228"/>
      <x:c r="AS130" s="228"/>
      <x:c r="AT130" s="230"/>
    </x:row>
    <x:row r="131" spans="1:47" ht="19.9" customHeight="1">
      <x:c r="A131" s="274" t="s">
        <x:v>575</x:v>
      </x:c>
      <x:c r="B131" s="216"/>
      <x:c r="C131" s="275" t="s">
        <x:v>576</x:v>
      </x:c>
      <x:c r="D131" s="274" t="s">
        <x:v>577</x:v>
      </x:c>
      <x:c r="E131" s="276" t="s">
        <x:v>578</x:v>
      </x:c>
      <x:c r="F131" s="277" t="s">
        <x:v>118</x:v>
      </x:c>
      <x:c r="G131" s="277" t="s">
        <x:v>118</x:v>
      </x:c>
      <x:c r="H131" s="277" t="s">
        <x:v>118</x:v>
      </x:c>
      <x:c r="I131" s="277" t="s">
        <x:v>118</x:v>
      </x:c>
      <x:c r="J131" s="277" t="s">
        <x:v>118</x:v>
      </x:c>
      <x:c r="K131" s="277" t="s">
        <x:v>118</x:v>
      </x:c>
      <x:c r="L131" s="277" t="s">
        <x:v>118</x:v>
      </x:c>
      <x:c r="M131" s="277" t="s">
        <x:v>118</x:v>
      </x:c>
      <x:c r="N131" s="277" t="s">
        <x:v>118</x:v>
      </x:c>
      <x:c r="O131" s="277" t="s">
        <x:v>118</x:v>
      </x:c>
      <x:c r="P131" s="277" t="s">
        <x:v>118</x:v>
      </x:c>
      <x:c r="Q131" s="277" t="s">
        <x:v>118</x:v>
      </x:c>
      <x:c r="R131" s="277" t="s">
        <x:v>118</x:v>
      </x:c>
      <x:c r="S131" s="277" t="s">
        <x:v>118</x:v>
      </x:c>
      <x:c r="T131" s="277" t="s">
        <x:v>118</x:v>
      </x:c>
      <x:c r="U131" s="277" t="s">
        <x:v>118</x:v>
      </x:c>
      <x:c r="V131" s="277" t="s">
        <x:v>118</x:v>
      </x:c>
      <x:c r="W131" s="277" t="s">
        <x:v>118</x:v>
      </x:c>
      <x:c r="X131" s="277" t="s">
        <x:v>118</x:v>
      </x:c>
      <x:c r="Y131" s="277" t="s">
        <x:v>118</x:v>
      </x:c>
      <x:c r="Z131" s="277" t="s">
        <x:v>118</x:v>
      </x:c>
      <x:c r="AA131" s="277" t="s">
        <x:v>118</x:v>
      </x:c>
      <x:c r="AB131" s="277" t="s">
        <x:v>118</x:v>
      </x:c>
      <x:c r="AC131" s="277" t="s">
        <x:v>118</x:v>
      </x:c>
      <x:c r="AD131" s="277" t="s">
        <x:v>118</x:v>
      </x:c>
      <x:c r="AE131" s="277" t="s">
        <x:v>118</x:v>
      </x:c>
      <x:c r="AF131" s="277" t="s">
        <x:v>118</x:v>
      </x:c>
      <x:c r="AG131" s="277" t="s">
        <x:v>118</x:v>
      </x:c>
      <x:c r="AH131" s="277" t="s">
        <x:v>118</x:v>
      </x:c>
      <x:c r="AI131" s="277" t="s">
        <x:v>118</x:v>
      </x:c>
      <x:c r="AJ131" s="277" t="s">
        <x:v>118</x:v>
      </x:c>
      <x:c r="AK131" s="220">
        <x:f>COUNTIF(F131:AJ131,"X")</x:f>
      </x:c>
      <x:c r="AL131" s="221"/>
      <x:c r="AM131" s="221"/>
      <x:c r="AN131" s="222"/>
      <x:c r="AO131" s="222"/>
      <x:c r="AP131" s="228"/>
      <x:c r="AQ131" s="228"/>
      <x:c r="AR131" s="228"/>
      <x:c r="AS131" s="228"/>
      <x:c r="AT131" s="230"/>
    </x:row>
    <x:row r="132" spans="1:47" ht="19.9" customHeight="1">
      <x:c r="A132" s="274" t="s">
        <x:v>579</x:v>
      </x:c>
      <x:c r="B132" s="216"/>
      <x:c r="C132" s="275" t="s">
        <x:v>580</x:v>
      </x:c>
      <x:c r="D132" s="274" t="s">
        <x:v>577</x:v>
      </x:c>
      <x:c r="E132" s="276" t="s">
        <x:v>581</x:v>
      </x:c>
      <x:c r="F132" s="277" t="s">
        <x:v>118</x:v>
      </x:c>
      <x:c r="G132" s="277" t="s">
        <x:v>118</x:v>
      </x:c>
      <x:c r="H132" s="277" t="s">
        <x:v>118</x:v>
      </x:c>
      <x:c r="I132" s="277" t="s">
        <x:v>118</x:v>
      </x:c>
      <x:c r="J132" s="277" t="s">
        <x:v>118</x:v>
      </x:c>
      <x:c r="K132" s="277" t="s">
        <x:v>118</x:v>
      </x:c>
      <x:c r="L132" s="277" t="s">
        <x:v>118</x:v>
      </x:c>
      <x:c r="M132" s="277" t="s">
        <x:v>118</x:v>
      </x:c>
      <x:c r="N132" s="277" t="s">
        <x:v>118</x:v>
      </x:c>
      <x:c r="O132" s="277" t="s">
        <x:v>118</x:v>
      </x:c>
      <x:c r="P132" s="277" t="s">
        <x:v>118</x:v>
      </x:c>
      <x:c r="Q132" s="277" t="s">
        <x:v>118</x:v>
      </x:c>
      <x:c r="R132" s="277" t="s">
        <x:v>118</x:v>
      </x:c>
      <x:c r="S132" s="277" t="s">
        <x:v>118</x:v>
      </x:c>
      <x:c r="T132" s="277" t="s">
        <x:v>118</x:v>
      </x:c>
      <x:c r="U132" s="277" t="s">
        <x:v>118</x:v>
      </x:c>
      <x:c r="V132" s="277" t="s">
        <x:v>118</x:v>
      </x:c>
      <x:c r="W132" s="277" t="s">
        <x:v>118</x:v>
      </x:c>
      <x:c r="X132" s="277" t="s">
        <x:v>118</x:v>
      </x:c>
      <x:c r="Y132" s="277" t="s">
        <x:v>118</x:v>
      </x:c>
      <x:c r="Z132" s="277" t="s">
        <x:v>118</x:v>
      </x:c>
      <x:c r="AA132" s="277" t="s">
        <x:v>118</x:v>
      </x:c>
      <x:c r="AB132" s="277" t="s">
        <x:v>118</x:v>
      </x:c>
      <x:c r="AC132" s="277" t="s">
        <x:v>118</x:v>
      </x:c>
      <x:c r="AD132" s="277" t="s">
        <x:v>118</x:v>
      </x:c>
      <x:c r="AE132" s="277" t="s">
        <x:v>118</x:v>
      </x:c>
      <x:c r="AF132" s="277" t="s">
        <x:v>118</x:v>
      </x:c>
      <x:c r="AG132" s="277" t="s">
        <x:v>118</x:v>
      </x:c>
      <x:c r="AH132" s="277" t="s">
        <x:v>118</x:v>
      </x:c>
      <x:c r="AI132" s="277" t="s">
        <x:v>118</x:v>
      </x:c>
      <x:c r="AJ132" s="277" t="s">
        <x:v>118</x:v>
      </x:c>
      <x:c r="AK132" s="220">
        <x:f>COUNTIF(F132:AJ132,"X")</x:f>
      </x:c>
      <x:c r="AL132" s="221"/>
      <x:c r="AM132" s="221"/>
      <x:c r="AN132" s="222"/>
      <x:c r="AO132" s="222"/>
      <x:c r="AP132" s="228"/>
      <x:c r="AQ132" s="228"/>
      <x:c r="AR132" s="228"/>
      <x:c r="AS132" s="228"/>
      <x:c r="AT132" s="230"/>
    </x:row>
    <x:row r="133" spans="1:47" ht="19.9" customHeight="1">
      <x:c r="A133" s="274" t="s">
        <x:v>582</x:v>
      </x:c>
      <x:c r="B133" s="216"/>
      <x:c r="C133" s="275" t="s">
        <x:v>583</x:v>
      </x:c>
      <x:c r="D133" s="274" t="s">
        <x:v>584</x:v>
      </x:c>
      <x:c r="E133" s="276" t="s">
        <x:v>585</x:v>
      </x:c>
      <x:c r="F133" s="277" t="s">
        <x:v>118</x:v>
      </x:c>
      <x:c r="G133" s="277" t="s">
        <x:v>118</x:v>
      </x:c>
      <x:c r="H133" s="277" t="s">
        <x:v>118</x:v>
      </x:c>
      <x:c r="I133" s="277" t="s">
        <x:v>118</x:v>
      </x:c>
      <x:c r="J133" s="277" t="s">
        <x:v>118</x:v>
      </x:c>
      <x:c r="K133" s="277" t="s">
        <x:v>118</x:v>
      </x:c>
      <x:c r="L133" s="277" t="s">
        <x:v>118</x:v>
      </x:c>
      <x:c r="M133" s="277" t="s">
        <x:v>118</x:v>
      </x:c>
      <x:c r="N133" s="277" t="s">
        <x:v>118</x:v>
      </x:c>
      <x:c r="O133" s="277" t="s">
        <x:v>118</x:v>
      </x:c>
      <x:c r="P133" s="277" t="s">
        <x:v>118</x:v>
      </x:c>
      <x:c r="Q133" s="277" t="s">
        <x:v>118</x:v>
      </x:c>
      <x:c r="R133" s="277" t="s">
        <x:v>118</x:v>
      </x:c>
      <x:c r="S133" s="277" t="s">
        <x:v>118</x:v>
      </x:c>
      <x:c r="T133" s="277" t="s">
        <x:v>118</x:v>
      </x:c>
      <x:c r="U133" s="277" t="s">
        <x:v>118</x:v>
      </x:c>
      <x:c r="V133" s="277" t="s">
        <x:v>118</x:v>
      </x:c>
      <x:c r="W133" s="277" t="s">
        <x:v>118</x:v>
      </x:c>
      <x:c r="X133" s="277" t="s">
        <x:v>118</x:v>
      </x:c>
      <x:c r="Y133" s="277" t="s">
        <x:v>118</x:v>
      </x:c>
      <x:c r="Z133" s="277" t="s">
        <x:v>118</x:v>
      </x:c>
      <x:c r="AA133" s="277" t="s">
        <x:v>118</x:v>
      </x:c>
      <x:c r="AB133" s="277" t="s">
        <x:v>118</x:v>
      </x:c>
      <x:c r="AC133" s="277" t="s">
        <x:v>118</x:v>
      </x:c>
      <x:c r="AD133" s="277" t="s">
        <x:v>118</x:v>
      </x:c>
      <x:c r="AE133" s="277" t="s">
        <x:v>118</x:v>
      </x:c>
      <x:c r="AF133" s="277" t="s">
        <x:v>118</x:v>
      </x:c>
      <x:c r="AG133" s="277" t="s">
        <x:v>118</x:v>
      </x:c>
      <x:c r="AH133" s="277" t="s">
        <x:v>118</x:v>
      </x:c>
      <x:c r="AI133" s="277" t="s">
        <x:v>118</x:v>
      </x:c>
      <x:c r="AJ133" s="277" t="s">
        <x:v>118</x:v>
      </x:c>
      <x:c r="AK133" s="220">
        <x:f>COUNTIF(F133:AJ133,"X")</x:f>
      </x:c>
      <x:c r="AL133" s="221"/>
      <x:c r="AM133" s="221"/>
      <x:c r="AN133" s="222"/>
      <x:c r="AO133" s="222"/>
      <x:c r="AP133" s="228"/>
      <x:c r="AQ133" s="228"/>
      <x:c r="AR133" s="228"/>
      <x:c r="AS133" s="228"/>
      <x:c r="AT133" s="230"/>
    </x:row>
    <x:row r="134" spans="1:47" ht="19.9" customHeight="1">
      <x:c r="A134" s="274" t="s">
        <x:v>586</x:v>
      </x:c>
      <x:c r="B134" s="216"/>
      <x:c r="C134" s="275" t="s">
        <x:v>587</x:v>
      </x:c>
      <x:c r="D134" s="274" t="s">
        <x:v>588</x:v>
      </x:c>
      <x:c r="E134" s="276" t="s">
        <x:v>589</x:v>
      </x:c>
      <x:c r="F134" s="277" t="s">
        <x:v>118</x:v>
      </x:c>
      <x:c r="G134" s="277" t="s">
        <x:v>118</x:v>
      </x:c>
      <x:c r="H134" s="277" t="s">
        <x:v>118</x:v>
      </x:c>
      <x:c r="I134" s="277" t="s">
        <x:v>118</x:v>
      </x:c>
      <x:c r="J134" s="277" t="s">
        <x:v>118</x:v>
      </x:c>
      <x:c r="K134" s="277" t="s">
        <x:v>118</x:v>
      </x:c>
      <x:c r="L134" s="277" t="s">
        <x:v>118</x:v>
      </x:c>
      <x:c r="M134" s="277" t="s">
        <x:v>118</x:v>
      </x:c>
      <x:c r="N134" s="277" t="s">
        <x:v>118</x:v>
      </x:c>
      <x:c r="O134" s="277" t="s">
        <x:v>118</x:v>
      </x:c>
      <x:c r="P134" s="277" t="s">
        <x:v>118</x:v>
      </x:c>
      <x:c r="Q134" s="277" t="s">
        <x:v>118</x:v>
      </x:c>
      <x:c r="R134" s="277" t="s">
        <x:v>118</x:v>
      </x:c>
      <x:c r="S134" s="277" t="s">
        <x:v>118</x:v>
      </x:c>
      <x:c r="T134" s="277" t="s">
        <x:v>118</x:v>
      </x:c>
      <x:c r="U134" s="277" t="s">
        <x:v>118</x:v>
      </x:c>
      <x:c r="V134" s="277" t="s">
        <x:v>118</x:v>
      </x:c>
      <x:c r="W134" s="277" t="s">
        <x:v>118</x:v>
      </x:c>
      <x:c r="X134" s="277" t="s">
        <x:v>118</x:v>
      </x:c>
      <x:c r="Y134" s="277" t="s">
        <x:v>118</x:v>
      </x:c>
      <x:c r="Z134" s="277" t="s">
        <x:v>118</x:v>
      </x:c>
      <x:c r="AA134" s="277" t="s">
        <x:v>118</x:v>
      </x:c>
      <x:c r="AB134" s="277" t="s">
        <x:v>118</x:v>
      </x:c>
      <x:c r="AC134" s="277" t="s">
        <x:v>118</x:v>
      </x:c>
      <x:c r="AD134" s="277" t="s">
        <x:v>118</x:v>
      </x:c>
      <x:c r="AE134" s="277" t="s">
        <x:v>118</x:v>
      </x:c>
      <x:c r="AF134" s="277" t="s">
        <x:v>118</x:v>
      </x:c>
      <x:c r="AG134" s="277" t="s">
        <x:v>118</x:v>
      </x:c>
      <x:c r="AH134" s="277" t="s">
        <x:v>118</x:v>
      </x:c>
      <x:c r="AI134" s="277" t="s">
        <x:v>118</x:v>
      </x:c>
      <x:c r="AJ134" s="277" t="s">
        <x:v>118</x:v>
      </x:c>
      <x:c r="AK134" s="220">
        <x:f>COUNTIF(F134:AJ134,"X")</x:f>
      </x:c>
      <x:c r="AL134" s="221"/>
      <x:c r="AM134" s="221"/>
      <x:c r="AN134" s="222"/>
      <x:c r="AO134" s="222"/>
      <x:c r="AP134" s="228"/>
      <x:c r="AQ134" s="228"/>
      <x:c r="AR134" s="228"/>
      <x:c r="AS134" s="228"/>
      <x:c r="AT134" s="230"/>
    </x:row>
    <x:row r="135" spans="1:47" ht="19.9" customHeight="1">
      <x:c r="A135" s="274" t="s">
        <x:v>590</x:v>
      </x:c>
      <x:c r="B135" s="216"/>
      <x:c r="C135" s="275" t="s">
        <x:v>591</x:v>
      </x:c>
      <x:c r="D135" s="274" t="s">
        <x:v>588</x:v>
      </x:c>
      <x:c r="E135" s="276" t="s">
        <x:v>592</x:v>
      </x:c>
      <x:c r="F135" s="277" t="s">
        <x:v>118</x:v>
      </x:c>
      <x:c r="G135" s="277" t="s">
        <x:v>118</x:v>
      </x:c>
      <x:c r="H135" s="277" t="s">
        <x:v>118</x:v>
      </x:c>
      <x:c r="I135" s="277" t="s">
        <x:v>118</x:v>
      </x:c>
      <x:c r="J135" s="277" t="s">
        <x:v>118</x:v>
      </x:c>
      <x:c r="K135" s="277" t="s">
        <x:v>118</x:v>
      </x:c>
      <x:c r="L135" s="277" t="s">
        <x:v>118</x:v>
      </x:c>
      <x:c r="M135" s="277" t="s">
        <x:v>118</x:v>
      </x:c>
      <x:c r="N135" s="277" t="s">
        <x:v>118</x:v>
      </x:c>
      <x:c r="O135" s="277" t="s">
        <x:v>118</x:v>
      </x:c>
      <x:c r="P135" s="277" t="s">
        <x:v>118</x:v>
      </x:c>
      <x:c r="Q135" s="277" t="s">
        <x:v>118</x:v>
      </x:c>
      <x:c r="R135" s="277" t="s">
        <x:v>118</x:v>
      </x:c>
      <x:c r="S135" s="277" t="s">
        <x:v>118</x:v>
      </x:c>
      <x:c r="T135" s="277" t="s">
        <x:v>118</x:v>
      </x:c>
      <x:c r="U135" s="277" t="s">
        <x:v>118</x:v>
      </x:c>
      <x:c r="V135" s="277" t="s">
        <x:v>118</x:v>
      </x:c>
      <x:c r="W135" s="277" t="s">
        <x:v>118</x:v>
      </x:c>
      <x:c r="X135" s="277" t="s">
        <x:v>118</x:v>
      </x:c>
      <x:c r="Y135" s="277" t="s">
        <x:v>118</x:v>
      </x:c>
      <x:c r="Z135" s="277" t="s">
        <x:v>118</x:v>
      </x:c>
      <x:c r="AA135" s="277" t="s">
        <x:v>118</x:v>
      </x:c>
      <x:c r="AB135" s="277" t="s">
        <x:v>118</x:v>
      </x:c>
      <x:c r="AC135" s="277" t="s">
        <x:v>118</x:v>
      </x:c>
      <x:c r="AD135" s="277" t="s">
        <x:v>118</x:v>
      </x:c>
      <x:c r="AE135" s="277" t="s">
        <x:v>118</x:v>
      </x:c>
      <x:c r="AF135" s="277" t="s">
        <x:v>118</x:v>
      </x:c>
      <x:c r="AG135" s="277" t="s">
        <x:v>118</x:v>
      </x:c>
      <x:c r="AH135" s="277" t="s">
        <x:v>118</x:v>
      </x:c>
      <x:c r="AI135" s="277" t="s">
        <x:v>118</x:v>
      </x:c>
      <x:c r="AJ135" s="277" t="s">
        <x:v>118</x:v>
      </x:c>
      <x:c r="AK135" s="220">
        <x:f>COUNTIF(F135:AJ135,"X")</x:f>
      </x:c>
      <x:c r="AL135" s="221"/>
      <x:c r="AM135" s="221"/>
      <x:c r="AN135" s="222"/>
      <x:c r="AO135" s="222"/>
      <x:c r="AP135" s="228"/>
      <x:c r="AQ135" s="228"/>
      <x:c r="AR135" s="228"/>
      <x:c r="AS135" s="228"/>
      <x:c r="AT135" s="230"/>
    </x:row>
    <x:row r="136" spans="1:47" ht="19.9" customHeight="1">
      <x:c r="A136" s="274" t="s">
        <x:v>593</x:v>
      </x:c>
      <x:c r="B136" s="216"/>
      <x:c r="C136" s="275" t="s">
        <x:v>594</x:v>
      </x:c>
      <x:c r="D136" s="274" t="s">
        <x:v>588</x:v>
      </x:c>
      <x:c r="E136" s="276" t="s">
        <x:v>595</x:v>
      </x:c>
      <x:c r="F136" s="277" t="s">
        <x:v>118</x:v>
      </x:c>
      <x:c r="G136" s="277" t="s">
        <x:v>118</x:v>
      </x:c>
      <x:c r="H136" s="277" t="s">
        <x:v>118</x:v>
      </x:c>
      <x:c r="I136" s="277" t="s">
        <x:v>118</x:v>
      </x:c>
      <x:c r="J136" s="277" t="s">
        <x:v>118</x:v>
      </x:c>
      <x:c r="K136" s="277" t="s">
        <x:v>118</x:v>
      </x:c>
      <x:c r="L136" s="277" t="s">
        <x:v>118</x:v>
      </x:c>
      <x:c r="M136" s="277" t="s">
        <x:v>118</x:v>
      </x:c>
      <x:c r="N136" s="277" t="s">
        <x:v>118</x:v>
      </x:c>
      <x:c r="O136" s="277" t="s">
        <x:v>118</x:v>
      </x:c>
      <x:c r="P136" s="277" t="s">
        <x:v>118</x:v>
      </x:c>
      <x:c r="Q136" s="277" t="s">
        <x:v>118</x:v>
      </x:c>
      <x:c r="R136" s="277" t="s">
        <x:v>118</x:v>
      </x:c>
      <x:c r="S136" s="277" t="s">
        <x:v>118</x:v>
      </x:c>
      <x:c r="T136" s="277" t="s">
        <x:v>118</x:v>
      </x:c>
      <x:c r="U136" s="277" t="s">
        <x:v>118</x:v>
      </x:c>
      <x:c r="V136" s="277" t="s">
        <x:v>118</x:v>
      </x:c>
      <x:c r="W136" s="277" t="s">
        <x:v>118</x:v>
      </x:c>
      <x:c r="X136" s="277" t="s">
        <x:v>118</x:v>
      </x:c>
      <x:c r="Y136" s="277" t="s">
        <x:v>118</x:v>
      </x:c>
      <x:c r="Z136" s="277" t="s">
        <x:v>118</x:v>
      </x:c>
      <x:c r="AA136" s="277" t="s">
        <x:v>118</x:v>
      </x:c>
      <x:c r="AB136" s="277" t="s">
        <x:v>118</x:v>
      </x:c>
      <x:c r="AC136" s="277" t="s">
        <x:v>118</x:v>
      </x:c>
      <x:c r="AD136" s="277" t="s">
        <x:v>118</x:v>
      </x:c>
      <x:c r="AE136" s="277" t="s">
        <x:v>118</x:v>
      </x:c>
      <x:c r="AF136" s="277" t="s">
        <x:v>118</x:v>
      </x:c>
      <x:c r="AG136" s="277" t="s">
        <x:v>118</x:v>
      </x:c>
      <x:c r="AH136" s="277" t="s">
        <x:v>118</x:v>
      </x:c>
      <x:c r="AI136" s="277" t="s">
        <x:v>118</x:v>
      </x:c>
      <x:c r="AJ136" s="277" t="s">
        <x:v>118</x:v>
      </x:c>
      <x:c r="AK136" s="220">
        <x:f>COUNTIF(F136:AJ136,"X")</x:f>
      </x:c>
      <x:c r="AL136" s="221"/>
      <x:c r="AM136" s="221"/>
      <x:c r="AN136" s="222"/>
      <x:c r="AO136" s="222"/>
      <x:c r="AP136" s="228"/>
      <x:c r="AQ136" s="228"/>
      <x:c r="AR136" s="228"/>
      <x:c r="AS136" s="228"/>
      <x:c r="AT136" s="230"/>
    </x:row>
    <x:row r="137" spans="1:47" ht="19.9" customHeight="1">
      <x:c r="A137" s="274" t="s">
        <x:v>596</x:v>
      </x:c>
      <x:c r="B137" s="216"/>
      <x:c r="C137" s="275" t="s">
        <x:v>597</x:v>
      </x:c>
      <x:c r="D137" s="274" t="s">
        <x:v>598</x:v>
      </x:c>
      <x:c r="E137" s="276" t="s">
        <x:v>439</x:v>
      </x:c>
      <x:c r="F137" s="277" t="s">
        <x:v>118</x:v>
      </x:c>
      <x:c r="G137" s="277" t="s">
        <x:v>118</x:v>
      </x:c>
      <x:c r="H137" s="277" t="s">
        <x:v>118</x:v>
      </x:c>
      <x:c r="I137" s="277" t="s">
        <x:v>118</x:v>
      </x:c>
      <x:c r="J137" s="277" t="s">
        <x:v>118</x:v>
      </x:c>
      <x:c r="K137" s="277" t="s">
        <x:v>118</x:v>
      </x:c>
      <x:c r="L137" s="277" t="s">
        <x:v>118</x:v>
      </x:c>
      <x:c r="M137" s="277" t="s">
        <x:v>118</x:v>
      </x:c>
      <x:c r="N137" s="277" t="s">
        <x:v>118</x:v>
      </x:c>
      <x:c r="O137" s="277" t="s">
        <x:v>118</x:v>
      </x:c>
      <x:c r="P137" s="277" t="s">
        <x:v>118</x:v>
      </x:c>
      <x:c r="Q137" s="277" t="s">
        <x:v>118</x:v>
      </x:c>
      <x:c r="R137" s="277" t="s">
        <x:v>118</x:v>
      </x:c>
      <x:c r="S137" s="277" t="s">
        <x:v>118</x:v>
      </x:c>
      <x:c r="T137" s="277" t="s">
        <x:v>118</x:v>
      </x:c>
      <x:c r="U137" s="277" t="s">
        <x:v>118</x:v>
      </x:c>
      <x:c r="V137" s="277" t="s">
        <x:v>118</x:v>
      </x:c>
      <x:c r="W137" s="277" t="s">
        <x:v>118</x:v>
      </x:c>
      <x:c r="X137" s="277" t="s">
        <x:v>118</x:v>
      </x:c>
      <x:c r="Y137" s="277" t="s">
        <x:v>118</x:v>
      </x:c>
      <x:c r="Z137" s="277" t="s">
        <x:v>118</x:v>
      </x:c>
      <x:c r="AA137" s="277" t="s">
        <x:v>118</x:v>
      </x:c>
      <x:c r="AB137" s="277" t="s">
        <x:v>118</x:v>
      </x:c>
      <x:c r="AC137" s="277" t="s">
        <x:v>118</x:v>
      </x:c>
      <x:c r="AD137" s="277" t="s">
        <x:v>118</x:v>
      </x:c>
      <x:c r="AE137" s="277" t="s">
        <x:v>118</x:v>
      </x:c>
      <x:c r="AF137" s="277" t="s">
        <x:v>118</x:v>
      </x:c>
      <x:c r="AG137" s="277" t="s">
        <x:v>118</x:v>
      </x:c>
      <x:c r="AH137" s="277" t="s">
        <x:v>118</x:v>
      </x:c>
      <x:c r="AI137" s="277" t="s">
        <x:v>118</x:v>
      </x:c>
      <x:c r="AJ137" s="277" t="s">
        <x:v>118</x:v>
      </x:c>
      <x:c r="AK137" s="220">
        <x:f>COUNTIF(F137:AJ137,"X")</x:f>
      </x:c>
      <x:c r="AL137" s="221"/>
      <x:c r="AM137" s="221"/>
      <x:c r="AN137" s="222"/>
      <x:c r="AO137" s="222"/>
      <x:c r="AP137" s="228"/>
      <x:c r="AQ137" s="228"/>
      <x:c r="AR137" s="228"/>
      <x:c r="AS137" s="228"/>
      <x:c r="AT137" s="230"/>
    </x:row>
    <x:row r="138" spans="1:47" ht="19.9" customHeight="1">
      <x:c r="A138" s="274" t="s">
        <x:v>599</x:v>
      </x:c>
      <x:c r="B138" s="216"/>
      <x:c r="C138" s="275" t="s">
        <x:v>600</x:v>
      </x:c>
      <x:c r="D138" s="274" t="s">
        <x:v>601</x:v>
      </x:c>
      <x:c r="E138" s="276" t="s">
        <x:v>602</x:v>
      </x:c>
      <x:c r="F138" s="277" t="s">
        <x:v>118</x:v>
      </x:c>
      <x:c r="G138" s="277" t="s">
        <x:v>118</x:v>
      </x:c>
      <x:c r="H138" s="277" t="s">
        <x:v>118</x:v>
      </x:c>
      <x:c r="I138" s="277" t="s">
        <x:v>118</x:v>
      </x:c>
      <x:c r="J138" s="277" t="s">
        <x:v>118</x:v>
      </x:c>
      <x:c r="K138" s="277" t="s">
        <x:v>118</x:v>
      </x:c>
      <x:c r="L138" s="277" t="s">
        <x:v>118</x:v>
      </x:c>
      <x:c r="M138" s="277" t="s">
        <x:v>118</x:v>
      </x:c>
      <x:c r="N138" s="277" t="s">
        <x:v>118</x:v>
      </x:c>
      <x:c r="O138" s="277" t="s">
        <x:v>118</x:v>
      </x:c>
      <x:c r="P138" s="277" t="s">
        <x:v>118</x:v>
      </x:c>
      <x:c r="Q138" s="277" t="s">
        <x:v>118</x:v>
      </x:c>
      <x:c r="R138" s="277" t="s">
        <x:v>118</x:v>
      </x:c>
      <x:c r="S138" s="277" t="s">
        <x:v>118</x:v>
      </x:c>
      <x:c r="T138" s="277" t="s">
        <x:v>118</x:v>
      </x:c>
      <x:c r="U138" s="277" t="s">
        <x:v>118</x:v>
      </x:c>
      <x:c r="V138" s="277" t="s">
        <x:v>118</x:v>
      </x:c>
      <x:c r="W138" s="277" t="s">
        <x:v>118</x:v>
      </x:c>
      <x:c r="X138" s="277" t="s">
        <x:v>118</x:v>
      </x:c>
      <x:c r="Y138" s="277" t="s">
        <x:v>118</x:v>
      </x:c>
      <x:c r="Z138" s="277" t="s">
        <x:v>118</x:v>
      </x:c>
      <x:c r="AA138" s="277" t="s">
        <x:v>118</x:v>
      </x:c>
      <x:c r="AB138" s="277" t="s">
        <x:v>118</x:v>
      </x:c>
      <x:c r="AC138" s="277" t="s">
        <x:v>118</x:v>
      </x:c>
      <x:c r="AD138" s="277" t="s">
        <x:v>118</x:v>
      </x:c>
      <x:c r="AE138" s="277" t="s">
        <x:v>118</x:v>
      </x:c>
      <x:c r="AF138" s="277" t="s">
        <x:v>118</x:v>
      </x:c>
      <x:c r="AG138" s="277" t="s">
        <x:v>118</x:v>
      </x:c>
      <x:c r="AH138" s="277" t="s">
        <x:v>118</x:v>
      </x:c>
      <x:c r="AI138" s="277" t="s">
        <x:v>118</x:v>
      </x:c>
      <x:c r="AJ138" s="277" t="s">
        <x:v>118</x:v>
      </x:c>
      <x:c r="AK138" s="220">
        <x:f>COUNTIF(F138:AJ138,"X")</x:f>
      </x:c>
      <x:c r="AL138" s="221"/>
      <x:c r="AM138" s="221"/>
      <x:c r="AN138" s="222"/>
      <x:c r="AO138" s="222"/>
      <x:c r="AP138" s="228"/>
      <x:c r="AQ138" s="228"/>
      <x:c r="AR138" s="228"/>
      <x:c r="AS138" s="228"/>
      <x:c r="AT138" s="230"/>
    </x:row>
    <x:row r="139" spans="1:47" ht="19.9" customHeight="1">
      <x:c r="A139" s="274" t="s">
        <x:v>603</x:v>
      </x:c>
      <x:c r="B139" s="216"/>
      <x:c r="C139" s="275" t="s">
        <x:v>604</x:v>
      </x:c>
      <x:c r="D139" s="274" t="s">
        <x:v>605</x:v>
      </x:c>
      <x:c r="E139" s="276" t="s">
        <x:v>606</x:v>
      </x:c>
      <x:c r="F139" s="277" t="s">
        <x:v>118</x:v>
      </x:c>
      <x:c r="G139" s="277" t="s">
        <x:v>118</x:v>
      </x:c>
      <x:c r="H139" s="277" t="s">
        <x:v>118</x:v>
      </x:c>
      <x:c r="I139" s="277" t="s">
        <x:v>118</x:v>
      </x:c>
      <x:c r="J139" s="277" t="s">
        <x:v>118</x:v>
      </x:c>
      <x:c r="K139" s="277" t="s">
        <x:v>118</x:v>
      </x:c>
      <x:c r="L139" s="277" t="s">
        <x:v>118</x:v>
      </x:c>
      <x:c r="M139" s="277" t="s">
        <x:v>118</x:v>
      </x:c>
      <x:c r="N139" s="277" t="s">
        <x:v>118</x:v>
      </x:c>
      <x:c r="O139" s="277" t="s">
        <x:v>118</x:v>
      </x:c>
      <x:c r="P139" s="277" t="s">
        <x:v>118</x:v>
      </x:c>
      <x:c r="Q139" s="277" t="s">
        <x:v>118</x:v>
      </x:c>
      <x:c r="R139" s="277" t="s">
        <x:v>118</x:v>
      </x:c>
      <x:c r="S139" s="277" t="s">
        <x:v>118</x:v>
      </x:c>
      <x:c r="T139" s="277" t="s">
        <x:v>118</x:v>
      </x:c>
      <x:c r="U139" s="277" t="s">
        <x:v>118</x:v>
      </x:c>
      <x:c r="V139" s="277" t="s">
        <x:v>118</x:v>
      </x:c>
      <x:c r="W139" s="277" t="s">
        <x:v>118</x:v>
      </x:c>
      <x:c r="X139" s="277" t="s">
        <x:v>118</x:v>
      </x:c>
      <x:c r="Y139" s="277" t="s">
        <x:v>118</x:v>
      </x:c>
      <x:c r="Z139" s="277" t="s">
        <x:v>118</x:v>
      </x:c>
      <x:c r="AA139" s="277" t="s">
        <x:v>118</x:v>
      </x:c>
      <x:c r="AB139" s="277" t="s">
        <x:v>118</x:v>
      </x:c>
      <x:c r="AC139" s="277" t="s">
        <x:v>118</x:v>
      </x:c>
      <x:c r="AD139" s="277" t="s">
        <x:v>118</x:v>
      </x:c>
      <x:c r="AE139" s="277" t="s">
        <x:v>118</x:v>
      </x:c>
      <x:c r="AF139" s="277" t="s">
        <x:v>118</x:v>
      </x:c>
      <x:c r="AG139" s="277" t="s">
        <x:v>118</x:v>
      </x:c>
      <x:c r="AH139" s="277" t="s">
        <x:v>118</x:v>
      </x:c>
      <x:c r="AI139" s="277" t="s">
        <x:v>118</x:v>
      </x:c>
      <x:c r="AJ139" s="277" t="s">
        <x:v>118</x:v>
      </x:c>
      <x:c r="AK139" s="220">
        <x:f>COUNTIF(F139:AJ139,"X")</x:f>
      </x:c>
      <x:c r="AL139" s="221"/>
      <x:c r="AM139" s="221"/>
      <x:c r="AN139" s="222"/>
      <x:c r="AO139" s="222"/>
      <x:c r="AP139" s="228"/>
      <x:c r="AQ139" s="228"/>
      <x:c r="AR139" s="228"/>
      <x:c r="AS139" s="228"/>
      <x:c r="AT139" s="233"/>
    </x:row>
    <x:row r="140" spans="1:47" ht="19.9" customHeight="1">
      <x:c r="A140" s="274" t="s">
        <x:v>607</x:v>
      </x:c>
      <x:c r="B140" s="216"/>
      <x:c r="C140" s="275" t="s">
        <x:v>608</x:v>
      </x:c>
      <x:c r="D140" s="274" t="s">
        <x:v>609</x:v>
      </x:c>
      <x:c r="E140" s="276" t="s">
        <x:v>610</x:v>
      </x:c>
      <x:c r="F140" s="277" t="s">
        <x:v>118</x:v>
      </x:c>
      <x:c r="G140" s="277" t="s">
        <x:v>118</x:v>
      </x:c>
      <x:c r="H140" s="277" t="s">
        <x:v>118</x:v>
      </x:c>
      <x:c r="I140" s="277" t="s">
        <x:v>118</x:v>
      </x:c>
      <x:c r="J140" s="277" t="s">
        <x:v>118</x:v>
      </x:c>
      <x:c r="K140" s="277" t="s">
        <x:v>118</x:v>
      </x:c>
      <x:c r="L140" s="277" t="s">
        <x:v>118</x:v>
      </x:c>
      <x:c r="M140" s="277" t="s">
        <x:v>118</x:v>
      </x:c>
      <x:c r="N140" s="277" t="s">
        <x:v>118</x:v>
      </x:c>
      <x:c r="O140" s="277" t="s">
        <x:v>118</x:v>
      </x:c>
      <x:c r="P140" s="277" t="s">
        <x:v>118</x:v>
      </x:c>
      <x:c r="Q140" s="277" t="s">
        <x:v>118</x:v>
      </x:c>
      <x:c r="R140" s="277" t="s">
        <x:v>118</x:v>
      </x:c>
      <x:c r="S140" s="277" t="s">
        <x:v>118</x:v>
      </x:c>
      <x:c r="T140" s="277" t="s">
        <x:v>118</x:v>
      </x:c>
      <x:c r="U140" s="277" t="s">
        <x:v>118</x:v>
      </x:c>
      <x:c r="V140" s="277" t="s">
        <x:v>118</x:v>
      </x:c>
      <x:c r="W140" s="277" t="s">
        <x:v>118</x:v>
      </x:c>
      <x:c r="X140" s="277" t="s">
        <x:v>118</x:v>
      </x:c>
      <x:c r="Y140" s="277" t="s">
        <x:v>118</x:v>
      </x:c>
      <x:c r="Z140" s="277" t="s">
        <x:v>118</x:v>
      </x:c>
      <x:c r="AA140" s="277" t="s">
        <x:v>118</x:v>
      </x:c>
      <x:c r="AB140" s="277" t="s">
        <x:v>118</x:v>
      </x:c>
      <x:c r="AC140" s="277" t="s">
        <x:v>118</x:v>
      </x:c>
      <x:c r="AD140" s="277" t="s">
        <x:v>118</x:v>
      </x:c>
      <x:c r="AE140" s="277" t="s">
        <x:v>118</x:v>
      </x:c>
      <x:c r="AF140" s="277" t="s">
        <x:v>118</x:v>
      </x:c>
      <x:c r="AG140" s="277" t="s">
        <x:v>118</x:v>
      </x:c>
      <x:c r="AH140" s="277" t="s">
        <x:v>118</x:v>
      </x:c>
      <x:c r="AI140" s="277" t="s">
        <x:v>118</x:v>
      </x:c>
      <x:c r="AJ140" s="277" t="s">
        <x:v>118</x:v>
      </x:c>
      <x:c r="AK140" s="220">
        <x:f>COUNTIF(F140:AJ140,"X")</x:f>
      </x:c>
      <x:c r="AL140" s="221"/>
      <x:c r="AM140" s="221"/>
      <x:c r="AN140" s="222"/>
      <x:c r="AO140" s="222"/>
      <x:c r="AP140" s="228"/>
      <x:c r="AQ140" s="228"/>
      <x:c r="AR140" s="228"/>
      <x:c r="AS140" s="228"/>
      <x:c r="AT140" s="230"/>
    </x:row>
    <x:row r="141" spans="1:47" ht="19.9" customHeight="1">
      <x:c r="A141" s="274" t="s">
        <x:v>611</x:v>
      </x:c>
      <x:c r="B141" s="216"/>
      <x:c r="C141" s="275" t="s">
        <x:v>612</x:v>
      </x:c>
      <x:c r="D141" s="274" t="s">
        <x:v>613</x:v>
      </x:c>
      <x:c r="E141" s="276" t="s">
        <x:v>209</x:v>
      </x:c>
      <x:c r="F141" s="277" t="s">
        <x:v>118</x:v>
      </x:c>
      <x:c r="G141" s="277" t="s">
        <x:v>118</x:v>
      </x:c>
      <x:c r="H141" s="277" t="s">
        <x:v>118</x:v>
      </x:c>
      <x:c r="I141" s="277" t="s">
        <x:v>118</x:v>
      </x:c>
      <x:c r="J141" s="277" t="s">
        <x:v>118</x:v>
      </x:c>
      <x:c r="K141" s="277" t="s">
        <x:v>118</x:v>
      </x:c>
      <x:c r="L141" s="277" t="s">
        <x:v>118</x:v>
      </x:c>
      <x:c r="M141" s="277" t="s">
        <x:v>118</x:v>
      </x:c>
      <x:c r="N141" s="277" t="s">
        <x:v>118</x:v>
      </x:c>
      <x:c r="O141" s="277" t="s">
        <x:v>118</x:v>
      </x:c>
      <x:c r="P141" s="277" t="s">
        <x:v>118</x:v>
      </x:c>
      <x:c r="Q141" s="277" t="s">
        <x:v>118</x:v>
      </x:c>
      <x:c r="R141" s="277" t="s">
        <x:v>118</x:v>
      </x:c>
      <x:c r="S141" s="277" t="s">
        <x:v>118</x:v>
      </x:c>
      <x:c r="T141" s="277" t="s">
        <x:v>118</x:v>
      </x:c>
      <x:c r="U141" s="277" t="s">
        <x:v>118</x:v>
      </x:c>
      <x:c r="V141" s="277" t="s">
        <x:v>118</x:v>
      </x:c>
      <x:c r="W141" s="277" t="s">
        <x:v>118</x:v>
      </x:c>
      <x:c r="X141" s="277" t="s">
        <x:v>118</x:v>
      </x:c>
      <x:c r="Y141" s="277" t="s">
        <x:v>118</x:v>
      </x:c>
      <x:c r="Z141" s="277" t="s">
        <x:v>118</x:v>
      </x:c>
      <x:c r="AA141" s="277" t="s">
        <x:v>118</x:v>
      </x:c>
      <x:c r="AB141" s="277" t="s">
        <x:v>118</x:v>
      </x:c>
      <x:c r="AC141" s="277" t="s">
        <x:v>118</x:v>
      </x:c>
      <x:c r="AD141" s="277" t="s">
        <x:v>118</x:v>
      </x:c>
      <x:c r="AE141" s="277" t="s">
        <x:v>118</x:v>
      </x:c>
      <x:c r="AF141" s="277" t="s">
        <x:v>118</x:v>
      </x:c>
      <x:c r="AG141" s="277" t="s">
        <x:v>118</x:v>
      </x:c>
      <x:c r="AH141" s="277" t="s">
        <x:v>118</x:v>
      </x:c>
      <x:c r="AI141" s="277" t="s">
        <x:v>118</x:v>
      </x:c>
      <x:c r="AJ141" s="277" t="s">
        <x:v>118</x:v>
      </x:c>
      <x:c r="AK141" s="220">
        <x:f>COUNTIF(F141:AJ141,"X")</x:f>
      </x:c>
      <x:c r="AL141" s="221"/>
      <x:c r="AM141" s="221"/>
      <x:c r="AN141" s="222"/>
      <x:c r="AO141" s="222"/>
      <x:c r="AP141" s="228"/>
      <x:c r="AQ141" s="228"/>
      <x:c r="AR141" s="228"/>
      <x:c r="AS141" s="228"/>
      <x:c r="AT141" s="230"/>
    </x:row>
    <x:row r="142" spans="1:47" ht="19.9" customHeight="1">
      <x:c r="A142" s="274" t="s">
        <x:v>614</x:v>
      </x:c>
      <x:c r="B142" s="216"/>
      <x:c r="C142" s="275" t="s">
        <x:v>615</x:v>
      </x:c>
      <x:c r="D142" s="274" t="s">
        <x:v>616</x:v>
      </x:c>
      <x:c r="E142" s="276" t="s">
        <x:v>617</x:v>
      </x:c>
      <x:c r="F142" s="277" t="s">
        <x:v>118</x:v>
      </x:c>
      <x:c r="G142" s="277" t="s">
        <x:v>118</x:v>
      </x:c>
      <x:c r="H142" s="277" t="s">
        <x:v>118</x:v>
      </x:c>
      <x:c r="I142" s="277" t="s">
        <x:v>118</x:v>
      </x:c>
      <x:c r="J142" s="277" t="s">
        <x:v>118</x:v>
      </x:c>
      <x:c r="K142" s="277" t="s">
        <x:v>118</x:v>
      </x:c>
      <x:c r="L142" s="277" t="s">
        <x:v>118</x:v>
      </x:c>
      <x:c r="M142" s="277" t="s">
        <x:v>118</x:v>
      </x:c>
      <x:c r="N142" s="277" t="s">
        <x:v>118</x:v>
      </x:c>
      <x:c r="O142" s="277" t="s">
        <x:v>118</x:v>
      </x:c>
      <x:c r="P142" s="277" t="s">
        <x:v>118</x:v>
      </x:c>
      <x:c r="Q142" s="277" t="s">
        <x:v>118</x:v>
      </x:c>
      <x:c r="R142" s="277" t="s">
        <x:v>118</x:v>
      </x:c>
      <x:c r="S142" s="277" t="s">
        <x:v>118</x:v>
      </x:c>
      <x:c r="T142" s="277" t="s">
        <x:v>118</x:v>
      </x:c>
      <x:c r="U142" s="277" t="s">
        <x:v>118</x:v>
      </x:c>
      <x:c r="V142" s="277" t="s">
        <x:v>118</x:v>
      </x:c>
      <x:c r="W142" s="277" t="s">
        <x:v>118</x:v>
      </x:c>
      <x:c r="X142" s="277" t="s">
        <x:v>118</x:v>
      </x:c>
      <x:c r="Y142" s="277" t="s">
        <x:v>118</x:v>
      </x:c>
      <x:c r="Z142" s="277" t="s">
        <x:v>118</x:v>
      </x:c>
      <x:c r="AA142" s="277" t="s">
        <x:v>118</x:v>
      </x:c>
      <x:c r="AB142" s="277" t="s">
        <x:v>118</x:v>
      </x:c>
      <x:c r="AC142" s="277" t="s">
        <x:v>118</x:v>
      </x:c>
      <x:c r="AD142" s="277" t="s">
        <x:v>118</x:v>
      </x:c>
      <x:c r="AE142" s="277" t="s">
        <x:v>118</x:v>
      </x:c>
      <x:c r="AF142" s="277" t="s">
        <x:v>118</x:v>
      </x:c>
      <x:c r="AG142" s="277" t="s">
        <x:v>118</x:v>
      </x:c>
      <x:c r="AH142" s="277" t="s">
        <x:v>118</x:v>
      </x:c>
      <x:c r="AI142" s="277" t="s">
        <x:v>118</x:v>
      </x:c>
      <x:c r="AJ142" s="277" t="s">
        <x:v>118</x:v>
      </x:c>
      <x:c r="AK142" s="220">
        <x:f>COUNTIF(F142:AJ142,"X")</x:f>
      </x:c>
      <x:c r="AL142" s="221"/>
      <x:c r="AM142" s="221"/>
      <x:c r="AN142" s="222"/>
      <x:c r="AO142" s="222"/>
      <x:c r="AP142" s="228"/>
      <x:c r="AQ142" s="228"/>
      <x:c r="AR142" s="228"/>
      <x:c r="AS142" s="228"/>
      <x:c r="AT142" s="230"/>
    </x:row>
    <x:row r="143" spans="1:47" ht="19.9" customHeight="1">
      <x:c r="A143" s="274" t="s">
        <x:v>618</x:v>
      </x:c>
      <x:c r="B143" s="216"/>
      <x:c r="C143" s="275" t="s">
        <x:v>619</x:v>
      </x:c>
      <x:c r="D143" s="274" t="s">
        <x:v>616</x:v>
      </x:c>
      <x:c r="E143" s="276" t="s">
        <x:v>620</x:v>
      </x:c>
      <x:c r="F143" s="277" t="s">
        <x:v>118</x:v>
      </x:c>
      <x:c r="G143" s="277" t="s">
        <x:v>118</x:v>
      </x:c>
      <x:c r="H143" s="277" t="s">
        <x:v>118</x:v>
      </x:c>
      <x:c r="I143" s="277" t="s">
        <x:v>118</x:v>
      </x:c>
      <x:c r="J143" s="277" t="s">
        <x:v>118</x:v>
      </x:c>
      <x:c r="K143" s="277" t="s">
        <x:v>118</x:v>
      </x:c>
      <x:c r="L143" s="277" t="s">
        <x:v>118</x:v>
      </x:c>
      <x:c r="M143" s="277" t="s">
        <x:v>118</x:v>
      </x:c>
      <x:c r="N143" s="277" t="s">
        <x:v>118</x:v>
      </x:c>
      <x:c r="O143" s="277" t="s">
        <x:v>118</x:v>
      </x:c>
      <x:c r="P143" s="277" t="s">
        <x:v>118</x:v>
      </x:c>
      <x:c r="Q143" s="277" t="s">
        <x:v>118</x:v>
      </x:c>
      <x:c r="R143" s="277" t="s">
        <x:v>118</x:v>
      </x:c>
      <x:c r="S143" s="277" t="s">
        <x:v>118</x:v>
      </x:c>
      <x:c r="T143" s="277" t="s">
        <x:v>118</x:v>
      </x:c>
      <x:c r="U143" s="277" t="s">
        <x:v>118</x:v>
      </x:c>
      <x:c r="V143" s="277" t="s">
        <x:v>118</x:v>
      </x:c>
      <x:c r="W143" s="277" t="s">
        <x:v>118</x:v>
      </x:c>
      <x:c r="X143" s="277" t="s">
        <x:v>118</x:v>
      </x:c>
      <x:c r="Y143" s="277" t="s">
        <x:v>118</x:v>
      </x:c>
      <x:c r="Z143" s="277" t="s">
        <x:v>118</x:v>
      </x:c>
      <x:c r="AA143" s="277" t="s">
        <x:v>118</x:v>
      </x:c>
      <x:c r="AB143" s="277" t="s">
        <x:v>118</x:v>
      </x:c>
      <x:c r="AC143" s="277" t="s">
        <x:v>118</x:v>
      </x:c>
      <x:c r="AD143" s="277" t="s">
        <x:v>118</x:v>
      </x:c>
      <x:c r="AE143" s="277" t="s">
        <x:v>118</x:v>
      </x:c>
      <x:c r="AF143" s="277" t="s">
        <x:v>118</x:v>
      </x:c>
      <x:c r="AG143" s="277" t="s">
        <x:v>118</x:v>
      </x:c>
      <x:c r="AH143" s="277" t="s">
        <x:v>118</x:v>
      </x:c>
      <x:c r="AI143" s="277" t="s">
        <x:v>118</x:v>
      </x:c>
      <x:c r="AJ143" s="277" t="s">
        <x:v>118</x:v>
      </x:c>
      <x:c r="AK143" s="220">
        <x:f>COUNTIF(F143:AJ143,"X")</x:f>
      </x:c>
      <x:c r="AL143" s="221"/>
      <x:c r="AM143" s="221"/>
      <x:c r="AN143" s="222"/>
      <x:c r="AO143" s="222"/>
      <x:c r="AP143" s="228"/>
      <x:c r="AQ143" s="228"/>
      <x:c r="AR143" s="228"/>
      <x:c r="AS143" s="228"/>
      <x:c r="AT143" s="230"/>
    </x:row>
    <x:row r="144" spans="1:47" ht="19.9" customHeight="1">
      <x:c r="A144" s="274" t="s">
        <x:v>621</x:v>
      </x:c>
      <x:c r="B144" s="216"/>
      <x:c r="C144" s="275" t="s">
        <x:v>622</x:v>
      </x:c>
      <x:c r="D144" s="274" t="s">
        <x:v>623</x:v>
      </x:c>
      <x:c r="E144" s="276" t="s">
        <x:v>264</x:v>
      </x:c>
      <x:c r="F144" s="277" t="s">
        <x:v>118</x:v>
      </x:c>
      <x:c r="G144" s="277" t="s">
        <x:v>118</x:v>
      </x:c>
      <x:c r="H144" s="277" t="s">
        <x:v>118</x:v>
      </x:c>
      <x:c r="I144" s="277" t="s">
        <x:v>118</x:v>
      </x:c>
      <x:c r="J144" s="277" t="s">
        <x:v>118</x:v>
      </x:c>
      <x:c r="K144" s="277" t="s">
        <x:v>118</x:v>
      </x:c>
      <x:c r="L144" s="277" t="s">
        <x:v>118</x:v>
      </x:c>
      <x:c r="M144" s="277" t="s">
        <x:v>118</x:v>
      </x:c>
      <x:c r="N144" s="277" t="s">
        <x:v>118</x:v>
      </x:c>
      <x:c r="O144" s="277" t="s">
        <x:v>118</x:v>
      </x:c>
      <x:c r="P144" s="277" t="s">
        <x:v>118</x:v>
      </x:c>
      <x:c r="Q144" s="277" t="s">
        <x:v>118</x:v>
      </x:c>
      <x:c r="R144" s="277" t="s">
        <x:v>118</x:v>
      </x:c>
      <x:c r="S144" s="277" t="s">
        <x:v>118</x:v>
      </x:c>
      <x:c r="T144" s="277" t="s">
        <x:v>118</x:v>
      </x:c>
      <x:c r="U144" s="277" t="s">
        <x:v>118</x:v>
      </x:c>
      <x:c r="V144" s="277" t="s">
        <x:v>118</x:v>
      </x:c>
      <x:c r="W144" s="277" t="s">
        <x:v>118</x:v>
      </x:c>
      <x:c r="X144" s="277" t="s">
        <x:v>118</x:v>
      </x:c>
      <x:c r="Y144" s="277" t="s">
        <x:v>118</x:v>
      </x:c>
      <x:c r="Z144" s="277" t="s">
        <x:v>118</x:v>
      </x:c>
      <x:c r="AA144" s="277" t="s">
        <x:v>118</x:v>
      </x:c>
      <x:c r="AB144" s="277" t="s">
        <x:v>118</x:v>
      </x:c>
      <x:c r="AC144" s="277" t="s">
        <x:v>118</x:v>
      </x:c>
      <x:c r="AD144" s="277" t="s">
        <x:v>118</x:v>
      </x:c>
      <x:c r="AE144" s="277" t="s">
        <x:v>118</x:v>
      </x:c>
      <x:c r="AF144" s="277" t="s">
        <x:v>118</x:v>
      </x:c>
      <x:c r="AG144" s="277" t="s">
        <x:v>118</x:v>
      </x:c>
      <x:c r="AH144" s="277" t="s">
        <x:v>118</x:v>
      </x:c>
      <x:c r="AI144" s="277" t="s">
        <x:v>118</x:v>
      </x:c>
      <x:c r="AJ144" s="277" t="s">
        <x:v>118</x:v>
      </x:c>
      <x:c r="AK144" s="220">
        <x:f>COUNTIF(F144:AJ144,"X")</x:f>
      </x:c>
      <x:c r="AL144" s="221"/>
      <x:c r="AM144" s="221"/>
      <x:c r="AN144" s="222"/>
      <x:c r="AO144" s="222"/>
      <x:c r="AP144" s="228"/>
      <x:c r="AQ144" s="228"/>
      <x:c r="AR144" s="228"/>
      <x:c r="AS144" s="228"/>
      <x:c r="AT144" s="230"/>
    </x:row>
    <x:row r="145" spans="1:47" ht="19.9" customHeight="1">
      <x:c r="A145" s="274" t="s">
        <x:v>624</x:v>
      </x:c>
      <x:c r="B145" s="216"/>
      <x:c r="C145" s="275" t="s">
        <x:v>625</x:v>
      </x:c>
      <x:c r="D145" s="274" t="s">
        <x:v>626</x:v>
      </x:c>
      <x:c r="E145" s="276" t="s">
        <x:v>627</x:v>
      </x:c>
      <x:c r="F145" s="277" t="s">
        <x:v>118</x:v>
      </x:c>
      <x:c r="G145" s="277" t="s">
        <x:v>118</x:v>
      </x:c>
      <x:c r="H145" s="277" t="s">
        <x:v>118</x:v>
      </x:c>
      <x:c r="I145" s="277" t="s">
        <x:v>118</x:v>
      </x:c>
      <x:c r="J145" s="277" t="s">
        <x:v>118</x:v>
      </x:c>
      <x:c r="K145" s="277" t="s">
        <x:v>118</x:v>
      </x:c>
      <x:c r="L145" s="277" t="s">
        <x:v>118</x:v>
      </x:c>
      <x:c r="M145" s="277" t="s">
        <x:v>118</x:v>
      </x:c>
      <x:c r="N145" s="277" t="s">
        <x:v>118</x:v>
      </x:c>
      <x:c r="O145" s="277" t="s">
        <x:v>118</x:v>
      </x:c>
      <x:c r="P145" s="277" t="s">
        <x:v>118</x:v>
      </x:c>
      <x:c r="Q145" s="277" t="s">
        <x:v>118</x:v>
      </x:c>
      <x:c r="R145" s="277" t="s">
        <x:v>118</x:v>
      </x:c>
      <x:c r="S145" s="277" t="s">
        <x:v>118</x:v>
      </x:c>
      <x:c r="T145" s="277" t="s">
        <x:v>118</x:v>
      </x:c>
      <x:c r="U145" s="277" t="s">
        <x:v>118</x:v>
      </x:c>
      <x:c r="V145" s="277" t="s">
        <x:v>118</x:v>
      </x:c>
      <x:c r="W145" s="277" t="s">
        <x:v>118</x:v>
      </x:c>
      <x:c r="X145" s="277" t="s">
        <x:v>118</x:v>
      </x:c>
      <x:c r="Y145" s="277" t="s">
        <x:v>118</x:v>
      </x:c>
      <x:c r="Z145" s="277" t="s">
        <x:v>118</x:v>
      </x:c>
      <x:c r="AA145" s="277" t="s">
        <x:v>118</x:v>
      </x:c>
      <x:c r="AB145" s="277" t="s">
        <x:v>118</x:v>
      </x:c>
      <x:c r="AC145" s="277" t="s">
        <x:v>118</x:v>
      </x:c>
      <x:c r="AD145" s="277" t="s">
        <x:v>118</x:v>
      </x:c>
      <x:c r="AE145" s="277" t="s">
        <x:v>118</x:v>
      </x:c>
      <x:c r="AF145" s="277" t="s">
        <x:v>118</x:v>
      </x:c>
      <x:c r="AG145" s="277" t="s">
        <x:v>118</x:v>
      </x:c>
      <x:c r="AH145" s="277" t="s">
        <x:v>118</x:v>
      </x:c>
      <x:c r="AI145" s="277" t="s">
        <x:v>118</x:v>
      </x:c>
      <x:c r="AJ145" s="277" t="s">
        <x:v>118</x:v>
      </x:c>
      <x:c r="AK145" s="220">
        <x:f>COUNTIF(F145:AJ145,"X")</x:f>
      </x:c>
      <x:c r="AL145" s="221"/>
      <x:c r="AM145" s="221"/>
      <x:c r="AN145" s="222"/>
      <x:c r="AO145" s="222"/>
      <x:c r="AP145" s="228"/>
      <x:c r="AQ145" s="228"/>
      <x:c r="AR145" s="228"/>
      <x:c r="AS145" s="228"/>
      <x:c r="AT145" s="230"/>
    </x:row>
    <x:row r="146" spans="1:47" ht="19.9" customHeight="1">
      <x:c r="A146" s="274" t="s">
        <x:v>628</x:v>
      </x:c>
      <x:c r="B146" s="216"/>
      <x:c r="C146" s="275" t="s">
        <x:v>629</x:v>
      </x:c>
      <x:c r="D146" s="274" t="s">
        <x:v>626</x:v>
      </x:c>
      <x:c r="E146" s="276" t="s">
        <x:v>630</x:v>
      </x:c>
      <x:c r="F146" s="277" t="s">
        <x:v>118</x:v>
      </x:c>
      <x:c r="G146" s="277" t="s">
        <x:v>118</x:v>
      </x:c>
      <x:c r="H146" s="277" t="s">
        <x:v>118</x:v>
      </x:c>
      <x:c r="I146" s="277" t="s">
        <x:v>118</x:v>
      </x:c>
      <x:c r="J146" s="277" t="s">
        <x:v>118</x:v>
      </x:c>
      <x:c r="K146" s="277" t="s">
        <x:v>118</x:v>
      </x:c>
      <x:c r="L146" s="277" t="s">
        <x:v>118</x:v>
      </x:c>
      <x:c r="M146" s="277" t="s">
        <x:v>118</x:v>
      </x:c>
      <x:c r="N146" s="277" t="s">
        <x:v>118</x:v>
      </x:c>
      <x:c r="O146" s="277" t="s">
        <x:v>118</x:v>
      </x:c>
      <x:c r="P146" s="277" t="s">
        <x:v>118</x:v>
      </x:c>
      <x:c r="Q146" s="277" t="s">
        <x:v>118</x:v>
      </x:c>
      <x:c r="R146" s="277" t="s">
        <x:v>118</x:v>
      </x:c>
      <x:c r="S146" s="277" t="s">
        <x:v>118</x:v>
      </x:c>
      <x:c r="T146" s="277" t="s">
        <x:v>118</x:v>
      </x:c>
      <x:c r="U146" s="277" t="s">
        <x:v>118</x:v>
      </x:c>
      <x:c r="V146" s="277" t="s">
        <x:v>118</x:v>
      </x:c>
      <x:c r="W146" s="277" t="s">
        <x:v>118</x:v>
      </x:c>
      <x:c r="X146" s="277" t="s">
        <x:v>118</x:v>
      </x:c>
      <x:c r="Y146" s="277" t="s">
        <x:v>118</x:v>
      </x:c>
      <x:c r="Z146" s="277" t="s">
        <x:v>118</x:v>
      </x:c>
      <x:c r="AA146" s="277" t="s">
        <x:v>118</x:v>
      </x:c>
      <x:c r="AB146" s="277" t="s">
        <x:v>118</x:v>
      </x:c>
      <x:c r="AC146" s="277" t="s">
        <x:v>118</x:v>
      </x:c>
      <x:c r="AD146" s="277" t="s">
        <x:v>118</x:v>
      </x:c>
      <x:c r="AE146" s="277" t="s">
        <x:v>118</x:v>
      </x:c>
      <x:c r="AF146" s="277" t="s">
        <x:v>118</x:v>
      </x:c>
      <x:c r="AG146" s="277" t="s">
        <x:v>118</x:v>
      </x:c>
      <x:c r="AH146" s="277" t="s">
        <x:v>118</x:v>
      </x:c>
      <x:c r="AI146" s="277" t="s">
        <x:v>118</x:v>
      </x:c>
      <x:c r="AJ146" s="277" t="s">
        <x:v>118</x:v>
      </x:c>
      <x:c r="AK146" s="220">
        <x:f>COUNTIF(F146:AJ146,"X")</x:f>
      </x:c>
      <x:c r="AL146" s="221"/>
      <x:c r="AM146" s="221"/>
      <x:c r="AN146" s="222"/>
      <x:c r="AO146" s="222"/>
      <x:c r="AP146" s="228"/>
      <x:c r="AQ146" s="228"/>
      <x:c r="AR146" s="228"/>
      <x:c r="AS146" s="228"/>
      <x:c r="AT146" s="230"/>
    </x:row>
    <x:row r="147" spans="1:47" ht="19.9" customHeight="1">
      <x:c r="A147" s="274" t="s">
        <x:v>631</x:v>
      </x:c>
      <x:c r="B147" s="216"/>
      <x:c r="C147" s="275" t="s">
        <x:v>632</x:v>
      </x:c>
      <x:c r="D147" s="274" t="s">
        <x:v>633</x:v>
      </x:c>
      <x:c r="E147" s="276" t="s">
        <x:v>634</x:v>
      </x:c>
      <x:c r="F147" s="277" t="s">
        <x:v>118</x:v>
      </x:c>
      <x:c r="G147" s="277" t="s">
        <x:v>118</x:v>
      </x:c>
      <x:c r="H147" s="277" t="s">
        <x:v>118</x:v>
      </x:c>
      <x:c r="I147" s="277" t="s">
        <x:v>118</x:v>
      </x:c>
      <x:c r="J147" s="277" t="s">
        <x:v>118</x:v>
      </x:c>
      <x:c r="K147" s="277" t="s">
        <x:v>118</x:v>
      </x:c>
      <x:c r="L147" s="277" t="s">
        <x:v>118</x:v>
      </x:c>
      <x:c r="M147" s="277" t="s">
        <x:v>118</x:v>
      </x:c>
      <x:c r="N147" s="277" t="s">
        <x:v>118</x:v>
      </x:c>
      <x:c r="O147" s="277" t="s">
        <x:v>118</x:v>
      </x:c>
      <x:c r="P147" s="277" t="s">
        <x:v>118</x:v>
      </x:c>
      <x:c r="Q147" s="277" t="s">
        <x:v>118</x:v>
      </x:c>
      <x:c r="R147" s="277" t="s">
        <x:v>118</x:v>
      </x:c>
      <x:c r="S147" s="277" t="s">
        <x:v>118</x:v>
      </x:c>
      <x:c r="T147" s="277" t="s">
        <x:v>118</x:v>
      </x:c>
      <x:c r="U147" s="277" t="s">
        <x:v>118</x:v>
      </x:c>
      <x:c r="V147" s="277" t="s">
        <x:v>118</x:v>
      </x:c>
      <x:c r="W147" s="277" t="s">
        <x:v>118</x:v>
      </x:c>
      <x:c r="X147" s="277" t="s">
        <x:v>118</x:v>
      </x:c>
      <x:c r="Y147" s="277" t="s">
        <x:v>118</x:v>
      </x:c>
      <x:c r="Z147" s="277" t="s">
        <x:v>118</x:v>
      </x:c>
      <x:c r="AA147" s="277" t="s">
        <x:v>118</x:v>
      </x:c>
      <x:c r="AB147" s="277" t="s">
        <x:v>118</x:v>
      </x:c>
      <x:c r="AC147" s="277" t="s">
        <x:v>118</x:v>
      </x:c>
      <x:c r="AD147" s="277" t="s">
        <x:v>118</x:v>
      </x:c>
      <x:c r="AE147" s="277" t="s">
        <x:v>118</x:v>
      </x:c>
      <x:c r="AF147" s="277" t="s">
        <x:v>118</x:v>
      </x:c>
      <x:c r="AG147" s="277" t="s">
        <x:v>118</x:v>
      </x:c>
      <x:c r="AH147" s="277" t="s">
        <x:v>118</x:v>
      </x:c>
      <x:c r="AI147" s="277" t="s">
        <x:v>118</x:v>
      </x:c>
      <x:c r="AJ147" s="277" t="s">
        <x:v>118</x:v>
      </x:c>
      <x:c r="AK147" s="220">
        <x:f>COUNTIF(F147:AJ147,"X")</x:f>
      </x:c>
      <x:c r="AL147" s="221"/>
      <x:c r="AM147" s="221"/>
      <x:c r="AN147" s="222"/>
      <x:c r="AO147" s="222"/>
      <x:c r="AP147" s="228"/>
      <x:c r="AQ147" s="228"/>
      <x:c r="AR147" s="228"/>
      <x:c r="AS147" s="228"/>
      <x:c r="AT147" s="230"/>
    </x:row>
    <x:row r="148" spans="1:47" ht="19.9" customHeight="1">
      <x:c r="A148" s="274" t="s">
        <x:v>635</x:v>
      </x:c>
      <x:c r="B148" s="216"/>
      <x:c r="C148" s="275" t="s">
        <x:v>636</x:v>
      </x:c>
      <x:c r="D148" s="274" t="s">
        <x:v>637</x:v>
      </x:c>
      <x:c r="E148" s="276" t="s">
        <x:v>638</x:v>
      </x:c>
      <x:c r="F148" s="277" t="s">
        <x:v>118</x:v>
      </x:c>
      <x:c r="G148" s="277" t="s">
        <x:v>118</x:v>
      </x:c>
      <x:c r="H148" s="277" t="s">
        <x:v>118</x:v>
      </x:c>
      <x:c r="I148" s="277" t="s">
        <x:v>118</x:v>
      </x:c>
      <x:c r="J148" s="277" t="s">
        <x:v>118</x:v>
      </x:c>
      <x:c r="K148" s="277" t="s">
        <x:v>118</x:v>
      </x:c>
      <x:c r="L148" s="277" t="s">
        <x:v>118</x:v>
      </x:c>
      <x:c r="M148" s="277" t="s">
        <x:v>118</x:v>
      </x:c>
      <x:c r="N148" s="277" t="s">
        <x:v>118</x:v>
      </x:c>
      <x:c r="O148" s="277" t="s">
        <x:v>118</x:v>
      </x:c>
      <x:c r="P148" s="277" t="s">
        <x:v>118</x:v>
      </x:c>
      <x:c r="Q148" s="277" t="s">
        <x:v>118</x:v>
      </x:c>
      <x:c r="R148" s="277" t="s">
        <x:v>118</x:v>
      </x:c>
      <x:c r="S148" s="277" t="s">
        <x:v>118</x:v>
      </x:c>
      <x:c r="T148" s="277" t="s">
        <x:v>118</x:v>
      </x:c>
      <x:c r="U148" s="277" t="s">
        <x:v>118</x:v>
      </x:c>
      <x:c r="V148" s="277" t="s">
        <x:v>118</x:v>
      </x:c>
      <x:c r="W148" s="277" t="s">
        <x:v>118</x:v>
      </x:c>
      <x:c r="X148" s="277" t="s">
        <x:v>118</x:v>
      </x:c>
      <x:c r="Y148" s="277" t="s">
        <x:v>118</x:v>
      </x:c>
      <x:c r="Z148" s="277" t="s">
        <x:v>118</x:v>
      </x:c>
      <x:c r="AA148" s="277" t="s">
        <x:v>118</x:v>
      </x:c>
      <x:c r="AB148" s="277" t="s">
        <x:v>118</x:v>
      </x:c>
      <x:c r="AC148" s="277" t="s">
        <x:v>118</x:v>
      </x:c>
      <x:c r="AD148" s="277" t="s">
        <x:v>118</x:v>
      </x:c>
      <x:c r="AE148" s="277" t="s">
        <x:v>118</x:v>
      </x:c>
      <x:c r="AF148" s="277" t="s">
        <x:v>118</x:v>
      </x:c>
      <x:c r="AG148" s="277" t="s">
        <x:v>118</x:v>
      </x:c>
      <x:c r="AH148" s="277" t="s">
        <x:v>118</x:v>
      </x:c>
      <x:c r="AI148" s="277" t="s">
        <x:v>118</x:v>
      </x:c>
      <x:c r="AJ148" s="277" t="s">
        <x:v>118</x:v>
      </x:c>
      <x:c r="AK148" s="220">
        <x:f>COUNTIF(F148:AJ148,"X")</x:f>
      </x:c>
      <x:c r="AL148" s="221"/>
      <x:c r="AM148" s="221"/>
      <x:c r="AN148" s="222"/>
      <x:c r="AO148" s="222"/>
      <x:c r="AP148" s="228"/>
      <x:c r="AQ148" s="228"/>
      <x:c r="AR148" s="228"/>
      <x:c r="AS148" s="228"/>
      <x:c r="AT148" s="230"/>
    </x:row>
    <x:row r="149" spans="1:47" ht="19.9" customHeight="1">
      <x:c r="A149" s="274" t="s">
        <x:v>639</x:v>
      </x:c>
      <x:c r="B149" s="216"/>
      <x:c r="C149" s="275" t="s">
        <x:v>640</x:v>
      </x:c>
      <x:c r="D149" s="274" t="s">
        <x:v>641</x:v>
      </x:c>
      <x:c r="E149" s="276" t="s">
        <x:v>627</x:v>
      </x:c>
      <x:c r="F149" s="277" t="s">
        <x:v>118</x:v>
      </x:c>
      <x:c r="G149" s="277" t="s">
        <x:v>118</x:v>
      </x:c>
      <x:c r="H149" s="277" t="s">
        <x:v>118</x:v>
      </x:c>
      <x:c r="I149" s="277" t="s">
        <x:v>118</x:v>
      </x:c>
      <x:c r="J149" s="277" t="s">
        <x:v>118</x:v>
      </x:c>
      <x:c r="K149" s="277" t="s">
        <x:v>118</x:v>
      </x:c>
      <x:c r="L149" s="277" t="s">
        <x:v>118</x:v>
      </x:c>
      <x:c r="M149" s="277" t="s">
        <x:v>118</x:v>
      </x:c>
      <x:c r="N149" s="277" t="s">
        <x:v>118</x:v>
      </x:c>
      <x:c r="O149" s="277" t="s">
        <x:v>118</x:v>
      </x:c>
      <x:c r="P149" s="277" t="s">
        <x:v>118</x:v>
      </x:c>
      <x:c r="Q149" s="277" t="s">
        <x:v>118</x:v>
      </x:c>
      <x:c r="R149" s="277" t="s">
        <x:v>118</x:v>
      </x:c>
      <x:c r="S149" s="277" t="s">
        <x:v>118</x:v>
      </x:c>
      <x:c r="T149" s="277" t="s">
        <x:v>118</x:v>
      </x:c>
      <x:c r="U149" s="277" t="s">
        <x:v>118</x:v>
      </x:c>
      <x:c r="V149" s="277" t="s">
        <x:v>118</x:v>
      </x:c>
      <x:c r="W149" s="277" t="s">
        <x:v>118</x:v>
      </x:c>
      <x:c r="X149" s="277" t="s">
        <x:v>118</x:v>
      </x:c>
      <x:c r="Y149" s="277" t="s">
        <x:v>118</x:v>
      </x:c>
      <x:c r="Z149" s="277" t="s">
        <x:v>118</x:v>
      </x:c>
      <x:c r="AA149" s="277" t="s">
        <x:v>118</x:v>
      </x:c>
      <x:c r="AB149" s="277" t="s">
        <x:v>118</x:v>
      </x:c>
      <x:c r="AC149" s="277" t="s">
        <x:v>118</x:v>
      </x:c>
      <x:c r="AD149" s="277" t="s">
        <x:v>118</x:v>
      </x:c>
      <x:c r="AE149" s="277" t="s">
        <x:v>118</x:v>
      </x:c>
      <x:c r="AF149" s="277" t="s">
        <x:v>118</x:v>
      </x:c>
      <x:c r="AG149" s="277" t="s">
        <x:v>118</x:v>
      </x:c>
      <x:c r="AH149" s="277" t="s">
        <x:v>118</x:v>
      </x:c>
      <x:c r="AI149" s="277" t="s">
        <x:v>118</x:v>
      </x:c>
      <x:c r="AJ149" s="277" t="s">
        <x:v>118</x:v>
      </x:c>
      <x:c r="AK149" s="220">
        <x:f>COUNTIF(F149:AJ149,"X")</x:f>
      </x:c>
      <x:c r="AL149" s="221"/>
      <x:c r="AM149" s="221"/>
      <x:c r="AN149" s="222"/>
      <x:c r="AO149" s="222"/>
      <x:c r="AP149" s="228"/>
      <x:c r="AQ149" s="228"/>
      <x:c r="AR149" s="228"/>
      <x:c r="AS149" s="228"/>
      <x:c r="AT149" s="230"/>
    </x:row>
    <x:row r="150" spans="1:47" ht="19.9" customHeight="1">
      <x:c r="A150" s="274" t="s">
        <x:v>642</x:v>
      </x:c>
      <x:c r="B150" s="216"/>
      <x:c r="C150" s="275" t="s">
        <x:v>643</x:v>
      </x:c>
      <x:c r="D150" s="274" t="s">
        <x:v>644</x:v>
      </x:c>
      <x:c r="E150" s="276" t="s">
        <x:v>309</x:v>
      </x:c>
      <x:c r="F150" s="277" t="s">
        <x:v>118</x:v>
      </x:c>
      <x:c r="G150" s="277" t="s">
        <x:v>118</x:v>
      </x:c>
      <x:c r="H150" s="277" t="s">
        <x:v>118</x:v>
      </x:c>
      <x:c r="I150" s="277" t="s">
        <x:v>118</x:v>
      </x:c>
      <x:c r="J150" s="277" t="s">
        <x:v>118</x:v>
      </x:c>
      <x:c r="K150" s="277" t="s">
        <x:v>118</x:v>
      </x:c>
      <x:c r="L150" s="277" t="s">
        <x:v>118</x:v>
      </x:c>
      <x:c r="M150" s="277" t="s">
        <x:v>118</x:v>
      </x:c>
      <x:c r="N150" s="277" t="s">
        <x:v>118</x:v>
      </x:c>
      <x:c r="O150" s="277" t="s">
        <x:v>118</x:v>
      </x:c>
      <x:c r="P150" s="277" t="s">
        <x:v>118</x:v>
      </x:c>
      <x:c r="Q150" s="277" t="s">
        <x:v>118</x:v>
      </x:c>
      <x:c r="R150" s="277" t="s">
        <x:v>118</x:v>
      </x:c>
      <x:c r="S150" s="277" t="s">
        <x:v>118</x:v>
      </x:c>
      <x:c r="T150" s="277" t="s">
        <x:v>118</x:v>
      </x:c>
      <x:c r="U150" s="277" t="s">
        <x:v>118</x:v>
      </x:c>
      <x:c r="V150" s="277" t="s">
        <x:v>118</x:v>
      </x:c>
      <x:c r="W150" s="277" t="s">
        <x:v>118</x:v>
      </x:c>
      <x:c r="X150" s="277" t="s">
        <x:v>118</x:v>
      </x:c>
      <x:c r="Y150" s="277" t="s">
        <x:v>118</x:v>
      </x:c>
      <x:c r="Z150" s="277" t="s">
        <x:v>118</x:v>
      </x:c>
      <x:c r="AA150" s="277" t="s">
        <x:v>118</x:v>
      </x:c>
      <x:c r="AB150" s="277" t="s">
        <x:v>118</x:v>
      </x:c>
      <x:c r="AC150" s="277" t="s">
        <x:v>118</x:v>
      </x:c>
      <x:c r="AD150" s="277" t="s">
        <x:v>118</x:v>
      </x:c>
      <x:c r="AE150" s="277" t="s">
        <x:v>118</x:v>
      </x:c>
      <x:c r="AF150" s="277" t="s">
        <x:v>118</x:v>
      </x:c>
      <x:c r="AG150" s="277" t="s">
        <x:v>118</x:v>
      </x:c>
      <x:c r="AH150" s="277" t="s">
        <x:v>118</x:v>
      </x:c>
      <x:c r="AI150" s="277" t="s">
        <x:v>118</x:v>
      </x:c>
      <x:c r="AJ150" s="277" t="s">
        <x:v>118</x:v>
      </x:c>
      <x:c r="AK150" s="220">
        <x:f>COUNTIF(F150:AJ150,"X")</x:f>
      </x:c>
      <x:c r="AL150" s="221"/>
      <x:c r="AM150" s="221"/>
      <x:c r="AN150" s="222"/>
      <x:c r="AO150" s="222"/>
      <x:c r="AP150" s="228"/>
      <x:c r="AQ150" s="228"/>
      <x:c r="AR150" s="228"/>
      <x:c r="AS150" s="228"/>
      <x:c r="AT150" s="230"/>
    </x:row>
    <x:row r="151" spans="1:47" ht="19.9" customHeight="1">
      <x:c r="A151" s="274" t="s">
        <x:v>645</x:v>
      </x:c>
      <x:c r="B151" s="216"/>
      <x:c r="C151" s="275" t="s">
        <x:v>646</x:v>
      </x:c>
      <x:c r="D151" s="274" t="s">
        <x:v>647</x:v>
      </x:c>
      <x:c r="E151" s="276" t="s">
        <x:v>374</x:v>
      </x:c>
      <x:c r="F151" s="277" t="s">
        <x:v>118</x:v>
      </x:c>
      <x:c r="G151" s="277" t="s">
        <x:v>118</x:v>
      </x:c>
      <x:c r="H151" s="277" t="s">
        <x:v>118</x:v>
      </x:c>
      <x:c r="I151" s="277" t="s">
        <x:v>118</x:v>
      </x:c>
      <x:c r="J151" s="277" t="s">
        <x:v>118</x:v>
      </x:c>
      <x:c r="K151" s="277" t="s">
        <x:v>118</x:v>
      </x:c>
      <x:c r="L151" s="277" t="s">
        <x:v>118</x:v>
      </x:c>
      <x:c r="M151" s="277" t="s">
        <x:v>118</x:v>
      </x:c>
      <x:c r="N151" s="277" t="s">
        <x:v>118</x:v>
      </x:c>
      <x:c r="O151" s="277" t="s">
        <x:v>118</x:v>
      </x:c>
      <x:c r="P151" s="277" t="s">
        <x:v>118</x:v>
      </x:c>
      <x:c r="Q151" s="277" t="s">
        <x:v>118</x:v>
      </x:c>
      <x:c r="R151" s="277" t="s">
        <x:v>118</x:v>
      </x:c>
      <x:c r="S151" s="277" t="s">
        <x:v>118</x:v>
      </x:c>
      <x:c r="T151" s="277" t="s">
        <x:v>118</x:v>
      </x:c>
      <x:c r="U151" s="277" t="s">
        <x:v>118</x:v>
      </x:c>
      <x:c r="V151" s="277" t="s">
        <x:v>118</x:v>
      </x:c>
      <x:c r="W151" s="277" t="s">
        <x:v>118</x:v>
      </x:c>
      <x:c r="X151" s="277" t="s">
        <x:v>118</x:v>
      </x:c>
      <x:c r="Y151" s="277" t="s">
        <x:v>118</x:v>
      </x:c>
      <x:c r="Z151" s="277" t="s">
        <x:v>118</x:v>
      </x:c>
      <x:c r="AA151" s="277" t="s">
        <x:v>118</x:v>
      </x:c>
      <x:c r="AB151" s="277" t="s">
        <x:v>118</x:v>
      </x:c>
      <x:c r="AC151" s="277" t="s">
        <x:v>118</x:v>
      </x:c>
      <x:c r="AD151" s="277" t="s">
        <x:v>118</x:v>
      </x:c>
      <x:c r="AE151" s="277" t="s">
        <x:v>118</x:v>
      </x:c>
      <x:c r="AF151" s="277" t="s">
        <x:v>118</x:v>
      </x:c>
      <x:c r="AG151" s="277" t="s">
        <x:v>118</x:v>
      </x:c>
      <x:c r="AH151" s="277" t="s">
        <x:v>118</x:v>
      </x:c>
      <x:c r="AI151" s="277" t="s">
        <x:v>118</x:v>
      </x:c>
      <x:c r="AJ151" s="277" t="s">
        <x:v>118</x:v>
      </x:c>
      <x:c r="AK151" s="220">
        <x:f>COUNTIF(F151:AJ151,"X")</x:f>
      </x:c>
      <x:c r="AL151" s="221"/>
      <x:c r="AM151" s="221"/>
      <x:c r="AN151" s="222"/>
      <x:c r="AO151" s="222"/>
      <x:c r="AP151" s="228"/>
      <x:c r="AQ151" s="228"/>
      <x:c r="AR151" s="228"/>
      <x:c r="AS151" s="228"/>
      <x:c r="AT151" s="230"/>
    </x:row>
    <x:row r="152" spans="1:47" ht="19.9" customHeight="1">
      <x:c r="A152" s="274" t="s">
        <x:v>648</x:v>
      </x:c>
      <x:c r="B152" s="216"/>
      <x:c r="C152" s="275" t="s">
        <x:v>649</x:v>
      </x:c>
      <x:c r="D152" s="274" t="s">
        <x:v>650</x:v>
      </x:c>
      <x:c r="E152" s="276" t="s">
        <x:v>651</x:v>
      </x:c>
      <x:c r="F152" s="277" t="s">
        <x:v>118</x:v>
      </x:c>
      <x:c r="G152" s="277" t="s">
        <x:v>118</x:v>
      </x:c>
      <x:c r="H152" s="277" t="s">
        <x:v>118</x:v>
      </x:c>
      <x:c r="I152" s="277" t="s">
        <x:v>118</x:v>
      </x:c>
      <x:c r="J152" s="277" t="s">
        <x:v>118</x:v>
      </x:c>
      <x:c r="K152" s="277" t="s">
        <x:v>118</x:v>
      </x:c>
      <x:c r="L152" s="277" t="s">
        <x:v>118</x:v>
      </x:c>
      <x:c r="M152" s="277" t="s">
        <x:v>118</x:v>
      </x:c>
      <x:c r="N152" s="277" t="s">
        <x:v>118</x:v>
      </x:c>
      <x:c r="O152" s="277" t="s">
        <x:v>118</x:v>
      </x:c>
      <x:c r="P152" s="277" t="s">
        <x:v>118</x:v>
      </x:c>
      <x:c r="Q152" s="277" t="s">
        <x:v>118</x:v>
      </x:c>
      <x:c r="R152" s="277" t="s">
        <x:v>118</x:v>
      </x:c>
      <x:c r="S152" s="277" t="s">
        <x:v>118</x:v>
      </x:c>
      <x:c r="T152" s="277" t="s">
        <x:v>118</x:v>
      </x:c>
      <x:c r="U152" s="277" t="s">
        <x:v>118</x:v>
      </x:c>
      <x:c r="V152" s="277" t="s">
        <x:v>118</x:v>
      </x:c>
      <x:c r="W152" s="277" t="s">
        <x:v>118</x:v>
      </x:c>
      <x:c r="X152" s="277" t="s">
        <x:v>118</x:v>
      </x:c>
      <x:c r="Y152" s="277" t="s">
        <x:v>118</x:v>
      </x:c>
      <x:c r="Z152" s="277" t="s">
        <x:v>118</x:v>
      </x:c>
      <x:c r="AA152" s="277" t="s">
        <x:v>118</x:v>
      </x:c>
      <x:c r="AB152" s="277" t="s">
        <x:v>118</x:v>
      </x:c>
      <x:c r="AC152" s="277" t="s">
        <x:v>118</x:v>
      </x:c>
      <x:c r="AD152" s="277" t="s">
        <x:v>118</x:v>
      </x:c>
      <x:c r="AE152" s="277" t="s">
        <x:v>118</x:v>
      </x:c>
      <x:c r="AF152" s="277" t="s">
        <x:v>118</x:v>
      </x:c>
      <x:c r="AG152" s="277" t="s">
        <x:v>118</x:v>
      </x:c>
      <x:c r="AH152" s="277" t="s">
        <x:v>118</x:v>
      </x:c>
      <x:c r="AI152" s="277" t="s">
        <x:v>118</x:v>
      </x:c>
      <x:c r="AJ152" s="277" t="s">
        <x:v>118</x:v>
      </x:c>
      <x:c r="AK152" s="220">
        <x:f>COUNTIF(F152:AJ152,"X")</x:f>
      </x:c>
      <x:c r="AL152" s="221"/>
      <x:c r="AM152" s="221"/>
      <x:c r="AN152" s="222"/>
      <x:c r="AO152" s="222"/>
      <x:c r="AP152" s="228"/>
      <x:c r="AQ152" s="228"/>
      <x:c r="AR152" s="228"/>
      <x:c r="AS152" s="228"/>
      <x:c r="AT152" s="230"/>
    </x:row>
    <x:row r="153" spans="1:47" ht="19.9" customHeight="1">
      <x:c r="A153" s="274" t="s">
        <x:v>652</x:v>
      </x:c>
      <x:c r="B153" s="216"/>
      <x:c r="C153" s="275" t="s">
        <x:v>653</x:v>
      </x:c>
      <x:c r="D153" s="274" t="s">
        <x:v>654</x:v>
      </x:c>
      <x:c r="E153" s="276" t="s">
        <x:v>323</x:v>
      </x:c>
      <x:c r="F153" s="277" t="s">
        <x:v>118</x:v>
      </x:c>
      <x:c r="G153" s="277" t="s">
        <x:v>118</x:v>
      </x:c>
      <x:c r="H153" s="277" t="s">
        <x:v>118</x:v>
      </x:c>
      <x:c r="I153" s="277" t="s">
        <x:v>118</x:v>
      </x:c>
      <x:c r="J153" s="277" t="s">
        <x:v>118</x:v>
      </x:c>
      <x:c r="K153" s="277" t="s">
        <x:v>118</x:v>
      </x:c>
      <x:c r="L153" s="277" t="s">
        <x:v>118</x:v>
      </x:c>
      <x:c r="M153" s="277" t="s">
        <x:v>118</x:v>
      </x:c>
      <x:c r="N153" s="277" t="s">
        <x:v>118</x:v>
      </x:c>
      <x:c r="O153" s="277" t="s">
        <x:v>118</x:v>
      </x:c>
      <x:c r="P153" s="277" t="s">
        <x:v>118</x:v>
      </x:c>
      <x:c r="Q153" s="277" t="s">
        <x:v>118</x:v>
      </x:c>
      <x:c r="R153" s="277" t="s">
        <x:v>118</x:v>
      </x:c>
      <x:c r="S153" s="277" t="s">
        <x:v>118</x:v>
      </x:c>
      <x:c r="T153" s="277" t="s">
        <x:v>118</x:v>
      </x:c>
      <x:c r="U153" s="277" t="s">
        <x:v>118</x:v>
      </x:c>
      <x:c r="V153" s="277" t="s">
        <x:v>118</x:v>
      </x:c>
      <x:c r="W153" s="277" t="s">
        <x:v>118</x:v>
      </x:c>
      <x:c r="X153" s="277" t="s">
        <x:v>118</x:v>
      </x:c>
      <x:c r="Y153" s="277" t="s">
        <x:v>118</x:v>
      </x:c>
      <x:c r="Z153" s="277" t="s">
        <x:v>118</x:v>
      </x:c>
      <x:c r="AA153" s="277" t="s">
        <x:v>118</x:v>
      </x:c>
      <x:c r="AB153" s="277" t="s">
        <x:v>118</x:v>
      </x:c>
      <x:c r="AC153" s="277" t="s">
        <x:v>118</x:v>
      </x:c>
      <x:c r="AD153" s="277" t="s">
        <x:v>118</x:v>
      </x:c>
      <x:c r="AE153" s="277" t="s">
        <x:v>118</x:v>
      </x:c>
      <x:c r="AF153" s="277" t="s">
        <x:v>118</x:v>
      </x:c>
      <x:c r="AG153" s="277" t="s">
        <x:v>118</x:v>
      </x:c>
      <x:c r="AH153" s="277" t="s">
        <x:v>118</x:v>
      </x:c>
      <x:c r="AI153" s="277" t="s">
        <x:v>118</x:v>
      </x:c>
      <x:c r="AJ153" s="277" t="s">
        <x:v>118</x:v>
      </x:c>
      <x:c r="AK153" s="220">
        <x:f>COUNTIF(F153:AJ153,"X")</x:f>
      </x:c>
      <x:c r="AL153" s="221"/>
      <x:c r="AM153" s="221"/>
      <x:c r="AN153" s="222"/>
      <x:c r="AO153" s="222"/>
      <x:c r="AP153" s="228"/>
      <x:c r="AQ153" s="228"/>
      <x:c r="AR153" s="228"/>
      <x:c r="AS153" s="228"/>
      <x:c r="AT153" s="230"/>
    </x:row>
    <x:row r="154" spans="1:47" ht="19.9" customHeight="1">
      <x:c r="A154" s="274" t="s">
        <x:v>655</x:v>
      </x:c>
      <x:c r="B154" s="216"/>
      <x:c r="C154" s="275" t="s">
        <x:v>656</x:v>
      </x:c>
      <x:c r="D154" s="274" t="s">
        <x:v>657</x:v>
      </x:c>
      <x:c r="E154" s="276" t="s">
        <x:v>658</x:v>
      </x:c>
      <x:c r="F154" s="277" t="s">
        <x:v>118</x:v>
      </x:c>
      <x:c r="G154" s="277" t="s">
        <x:v>118</x:v>
      </x:c>
      <x:c r="H154" s="277" t="s">
        <x:v>118</x:v>
      </x:c>
      <x:c r="I154" s="277" t="s">
        <x:v>118</x:v>
      </x:c>
      <x:c r="J154" s="277" t="s">
        <x:v>118</x:v>
      </x:c>
      <x:c r="K154" s="277" t="s">
        <x:v>118</x:v>
      </x:c>
      <x:c r="L154" s="277" t="s">
        <x:v>118</x:v>
      </x:c>
      <x:c r="M154" s="277" t="s">
        <x:v>118</x:v>
      </x:c>
      <x:c r="N154" s="277" t="s">
        <x:v>118</x:v>
      </x:c>
      <x:c r="O154" s="277" t="s">
        <x:v>118</x:v>
      </x:c>
      <x:c r="P154" s="277" t="s">
        <x:v>118</x:v>
      </x:c>
      <x:c r="Q154" s="277" t="s">
        <x:v>118</x:v>
      </x:c>
      <x:c r="R154" s="277" t="s">
        <x:v>118</x:v>
      </x:c>
      <x:c r="S154" s="277" t="s">
        <x:v>118</x:v>
      </x:c>
      <x:c r="T154" s="277" t="s">
        <x:v>118</x:v>
      </x:c>
      <x:c r="U154" s="277" t="s">
        <x:v>118</x:v>
      </x:c>
      <x:c r="V154" s="277" t="s">
        <x:v>118</x:v>
      </x:c>
      <x:c r="W154" s="277" t="s">
        <x:v>118</x:v>
      </x:c>
      <x:c r="X154" s="277" t="s">
        <x:v>118</x:v>
      </x:c>
      <x:c r="Y154" s="277" t="s">
        <x:v>118</x:v>
      </x:c>
      <x:c r="Z154" s="277" t="s">
        <x:v>118</x:v>
      </x:c>
      <x:c r="AA154" s="277" t="s">
        <x:v>118</x:v>
      </x:c>
      <x:c r="AB154" s="277" t="s">
        <x:v>118</x:v>
      </x:c>
      <x:c r="AC154" s="277" t="s">
        <x:v>118</x:v>
      </x:c>
      <x:c r="AD154" s="277" t="s">
        <x:v>118</x:v>
      </x:c>
      <x:c r="AE154" s="277" t="s">
        <x:v>118</x:v>
      </x:c>
      <x:c r="AF154" s="277" t="s">
        <x:v>118</x:v>
      </x:c>
      <x:c r="AG154" s="277" t="s">
        <x:v>118</x:v>
      </x:c>
      <x:c r="AH154" s="277" t="s">
        <x:v>118</x:v>
      </x:c>
      <x:c r="AI154" s="277" t="s">
        <x:v>118</x:v>
      </x:c>
      <x:c r="AJ154" s="277" t="s">
        <x:v>118</x:v>
      </x:c>
      <x:c r="AK154" s="220">
        <x:f>COUNTIF(F154:AJ154,"X")</x:f>
      </x:c>
      <x:c r="AL154" s="221"/>
      <x:c r="AM154" s="221"/>
      <x:c r="AN154" s="222"/>
      <x:c r="AO154" s="222"/>
      <x:c r="AP154" s="228"/>
      <x:c r="AQ154" s="228"/>
      <x:c r="AR154" s="228"/>
      <x:c r="AS154" s="228"/>
      <x:c r="AT154" s="230"/>
    </x:row>
    <x:row r="155" spans="1:47" ht="19.9" customHeight="1">
      <x:c r="A155" s="274" t="s">
        <x:v>659</x:v>
      </x:c>
      <x:c r="B155" s="216"/>
      <x:c r="C155" s="275" t="s">
        <x:v>660</x:v>
      </x:c>
      <x:c r="D155" s="274" t="s">
        <x:v>661</x:v>
      </x:c>
      <x:c r="E155" s="276" t="s">
        <x:v>662</x:v>
      </x:c>
      <x:c r="F155" s="277" t="s">
        <x:v>118</x:v>
      </x:c>
      <x:c r="G155" s="277" t="s">
        <x:v>118</x:v>
      </x:c>
      <x:c r="H155" s="277" t="s">
        <x:v>118</x:v>
      </x:c>
      <x:c r="I155" s="277" t="s">
        <x:v>118</x:v>
      </x:c>
      <x:c r="J155" s="277" t="s">
        <x:v>118</x:v>
      </x:c>
      <x:c r="K155" s="277" t="s">
        <x:v>118</x:v>
      </x:c>
      <x:c r="L155" s="277" t="s">
        <x:v>118</x:v>
      </x:c>
      <x:c r="M155" s="277" t="s">
        <x:v>118</x:v>
      </x:c>
      <x:c r="N155" s="277" t="s">
        <x:v>118</x:v>
      </x:c>
      <x:c r="O155" s="277" t="s">
        <x:v>118</x:v>
      </x:c>
      <x:c r="P155" s="277" t="s">
        <x:v>118</x:v>
      </x:c>
      <x:c r="Q155" s="277" t="s">
        <x:v>118</x:v>
      </x:c>
      <x:c r="R155" s="277" t="s">
        <x:v>118</x:v>
      </x:c>
      <x:c r="S155" s="277" t="s">
        <x:v>118</x:v>
      </x:c>
      <x:c r="T155" s="277" t="s">
        <x:v>118</x:v>
      </x:c>
      <x:c r="U155" s="277" t="s">
        <x:v>118</x:v>
      </x:c>
      <x:c r="V155" s="277" t="s">
        <x:v>118</x:v>
      </x:c>
      <x:c r="W155" s="277" t="s">
        <x:v>118</x:v>
      </x:c>
      <x:c r="X155" s="277" t="s">
        <x:v>118</x:v>
      </x:c>
      <x:c r="Y155" s="277" t="s">
        <x:v>118</x:v>
      </x:c>
      <x:c r="Z155" s="277" t="s">
        <x:v>118</x:v>
      </x:c>
      <x:c r="AA155" s="277" t="s">
        <x:v>118</x:v>
      </x:c>
      <x:c r="AB155" s="277" t="s">
        <x:v>118</x:v>
      </x:c>
      <x:c r="AC155" s="277" t="s">
        <x:v>118</x:v>
      </x:c>
      <x:c r="AD155" s="277" t="s">
        <x:v>118</x:v>
      </x:c>
      <x:c r="AE155" s="277" t="s">
        <x:v>118</x:v>
      </x:c>
      <x:c r="AF155" s="277" t="s">
        <x:v>118</x:v>
      </x:c>
      <x:c r="AG155" s="277" t="s">
        <x:v>118</x:v>
      </x:c>
      <x:c r="AH155" s="277" t="s">
        <x:v>118</x:v>
      </x:c>
      <x:c r="AI155" s="277" t="s">
        <x:v>118</x:v>
      </x:c>
      <x:c r="AJ155" s="277" t="s">
        <x:v>118</x:v>
      </x:c>
      <x:c r="AK155" s="220">
        <x:f>COUNTIF(F155:AJ155,"X")</x:f>
      </x:c>
      <x:c r="AL155" s="221"/>
      <x:c r="AM155" s="221"/>
      <x:c r="AN155" s="222"/>
      <x:c r="AO155" s="222"/>
      <x:c r="AP155" s="228"/>
      <x:c r="AQ155" s="228"/>
      <x:c r="AR155" s="228"/>
      <x:c r="AS155" s="228"/>
      <x:c r="AT155" s="230"/>
    </x:row>
    <x:row r="156" spans="1:47" ht="19.9" customHeight="1">
      <x:c r="A156" s="274" t="s">
        <x:v>663</x:v>
      </x:c>
      <x:c r="B156" s="216"/>
      <x:c r="C156" s="275" t="s">
        <x:v>664</x:v>
      </x:c>
      <x:c r="D156" s="274" t="s">
        <x:v>665</x:v>
      </x:c>
      <x:c r="E156" s="276" t="s">
        <x:v>666</x:v>
      </x:c>
      <x:c r="F156" s="277" t="s">
        <x:v>118</x:v>
      </x:c>
      <x:c r="G156" s="277" t="s">
        <x:v>118</x:v>
      </x:c>
      <x:c r="H156" s="277" t="s">
        <x:v>118</x:v>
      </x:c>
      <x:c r="I156" s="277" t="s">
        <x:v>118</x:v>
      </x:c>
      <x:c r="J156" s="277" t="s">
        <x:v>118</x:v>
      </x:c>
      <x:c r="K156" s="277" t="s">
        <x:v>118</x:v>
      </x:c>
      <x:c r="L156" s="277" t="s">
        <x:v>118</x:v>
      </x:c>
      <x:c r="M156" s="277" t="s">
        <x:v>118</x:v>
      </x:c>
      <x:c r="N156" s="277" t="s">
        <x:v>118</x:v>
      </x:c>
      <x:c r="O156" s="277" t="s">
        <x:v>118</x:v>
      </x:c>
      <x:c r="P156" s="277" t="s">
        <x:v>118</x:v>
      </x:c>
      <x:c r="Q156" s="277" t="s">
        <x:v>118</x:v>
      </x:c>
      <x:c r="R156" s="277" t="s">
        <x:v>118</x:v>
      </x:c>
      <x:c r="S156" s="277" t="s">
        <x:v>118</x:v>
      </x:c>
      <x:c r="T156" s="277" t="s">
        <x:v>118</x:v>
      </x:c>
      <x:c r="U156" s="277" t="s">
        <x:v>118</x:v>
      </x:c>
      <x:c r="V156" s="277" t="s">
        <x:v>118</x:v>
      </x:c>
      <x:c r="W156" s="277" t="s">
        <x:v>118</x:v>
      </x:c>
      <x:c r="X156" s="277" t="s">
        <x:v>118</x:v>
      </x:c>
      <x:c r="Y156" s="277" t="s">
        <x:v>118</x:v>
      </x:c>
      <x:c r="Z156" s="277" t="s">
        <x:v>118</x:v>
      </x:c>
      <x:c r="AA156" s="277" t="s">
        <x:v>118</x:v>
      </x:c>
      <x:c r="AB156" s="277" t="s">
        <x:v>118</x:v>
      </x:c>
      <x:c r="AC156" s="277" t="s">
        <x:v>118</x:v>
      </x:c>
      <x:c r="AD156" s="277" t="s">
        <x:v>118</x:v>
      </x:c>
      <x:c r="AE156" s="277" t="s">
        <x:v>118</x:v>
      </x:c>
      <x:c r="AF156" s="277" t="s">
        <x:v>118</x:v>
      </x:c>
      <x:c r="AG156" s="277" t="s">
        <x:v>118</x:v>
      </x:c>
      <x:c r="AH156" s="277" t="s">
        <x:v>118</x:v>
      </x:c>
      <x:c r="AI156" s="277" t="s">
        <x:v>118</x:v>
      </x:c>
      <x:c r="AJ156" s="277" t="s">
        <x:v>118</x:v>
      </x:c>
      <x:c r="AK156" s="220">
        <x:f>COUNTIF(F156:AJ156,"X")</x:f>
      </x:c>
      <x:c r="AL156" s="221"/>
      <x:c r="AM156" s="221"/>
      <x:c r="AN156" s="222"/>
      <x:c r="AO156" s="222"/>
      <x:c r="AP156" s="228"/>
      <x:c r="AQ156" s="228"/>
      <x:c r="AR156" s="228"/>
      <x:c r="AS156" s="228"/>
      <x:c r="AT156" s="230"/>
    </x:row>
    <x:row r="157" spans="1:47" ht="19.9" customHeight="1">
      <x:c r="A157" s="274" t="s">
        <x:v>603</x:v>
      </x:c>
      <x:c r="B157" s="216"/>
      <x:c r="C157" s="275" t="s">
        <x:v>667</x:v>
      </x:c>
      <x:c r="D157" s="274" t="s">
        <x:v>668</x:v>
      </x:c>
      <x:c r="E157" s="276" t="s">
        <x:v>669</x:v>
      </x:c>
      <x:c r="F157" s="277" t="s">
        <x:v>118</x:v>
      </x:c>
      <x:c r="G157" s="277" t="s">
        <x:v>118</x:v>
      </x:c>
      <x:c r="H157" s="277" t="s">
        <x:v>118</x:v>
      </x:c>
      <x:c r="I157" s="277" t="s">
        <x:v>118</x:v>
      </x:c>
      <x:c r="J157" s="277" t="s">
        <x:v>118</x:v>
      </x:c>
      <x:c r="K157" s="277" t="s">
        <x:v>118</x:v>
      </x:c>
      <x:c r="L157" s="277" t="s">
        <x:v>118</x:v>
      </x:c>
      <x:c r="M157" s="277" t="s">
        <x:v>118</x:v>
      </x:c>
      <x:c r="N157" s="277" t="s">
        <x:v>118</x:v>
      </x:c>
      <x:c r="O157" s="277" t="s">
        <x:v>118</x:v>
      </x:c>
      <x:c r="P157" s="277" t="s">
        <x:v>118</x:v>
      </x:c>
      <x:c r="Q157" s="277" t="s">
        <x:v>118</x:v>
      </x:c>
      <x:c r="R157" s="277" t="s">
        <x:v>118</x:v>
      </x:c>
      <x:c r="S157" s="277" t="s">
        <x:v>118</x:v>
      </x:c>
      <x:c r="T157" s="277" t="s">
        <x:v>118</x:v>
      </x:c>
      <x:c r="U157" s="277" t="s">
        <x:v>118</x:v>
      </x:c>
      <x:c r="V157" s="277" t="s">
        <x:v>118</x:v>
      </x:c>
      <x:c r="W157" s="277" t="s">
        <x:v>118</x:v>
      </x:c>
      <x:c r="X157" s="277" t="s">
        <x:v>118</x:v>
      </x:c>
      <x:c r="Y157" s="277" t="s">
        <x:v>118</x:v>
      </x:c>
      <x:c r="Z157" s="277" t="s">
        <x:v>118</x:v>
      </x:c>
      <x:c r="AA157" s="277" t="s">
        <x:v>118</x:v>
      </x:c>
      <x:c r="AB157" s="277" t="s">
        <x:v>118</x:v>
      </x:c>
      <x:c r="AC157" s="277" t="s">
        <x:v>118</x:v>
      </x:c>
      <x:c r="AD157" s="277" t="s">
        <x:v>118</x:v>
      </x:c>
      <x:c r="AE157" s="277" t="s">
        <x:v>118</x:v>
      </x:c>
      <x:c r="AF157" s="277" t="s">
        <x:v>118</x:v>
      </x:c>
      <x:c r="AG157" s="277" t="s">
        <x:v>118</x:v>
      </x:c>
      <x:c r="AH157" s="277" t="s">
        <x:v>118</x:v>
      </x:c>
      <x:c r="AI157" s="277" t="s">
        <x:v>118</x:v>
      </x:c>
      <x:c r="AJ157" s="277" t="s">
        <x:v>118</x:v>
      </x:c>
      <x:c r="AK157" s="220">
        <x:f>COUNTIF(F157:AJ157,"X")</x:f>
      </x:c>
      <x:c r="AL157" s="221"/>
      <x:c r="AM157" s="221"/>
      <x:c r="AN157" s="222"/>
      <x:c r="AO157" s="222"/>
      <x:c r="AP157" s="228"/>
      <x:c r="AQ157" s="228"/>
      <x:c r="AR157" s="228"/>
      <x:c r="AS157" s="228"/>
      <x:c r="AT157" s="230"/>
    </x:row>
    <x:row r="158" spans="1:47" ht="19.9" customHeight="1">
      <x:c r="A158" s="274" t="s">
        <x:v>670</x:v>
      </x:c>
      <x:c r="B158" s="216"/>
      <x:c r="C158" s="275" t="s">
        <x:v>671</x:v>
      </x:c>
      <x:c r="D158" s="274" t="s">
        <x:v>672</x:v>
      </x:c>
      <x:c r="E158" s="276" t="s">
        <x:v>673</x:v>
      </x:c>
      <x:c r="F158" s="277" t="s">
        <x:v>118</x:v>
      </x:c>
      <x:c r="G158" s="277" t="s">
        <x:v>118</x:v>
      </x:c>
      <x:c r="H158" s="277" t="s">
        <x:v>118</x:v>
      </x:c>
      <x:c r="I158" s="277" t="s">
        <x:v>118</x:v>
      </x:c>
      <x:c r="J158" s="277" t="s">
        <x:v>118</x:v>
      </x:c>
      <x:c r="K158" s="277" t="s">
        <x:v>118</x:v>
      </x:c>
      <x:c r="L158" s="277" t="s">
        <x:v>118</x:v>
      </x:c>
      <x:c r="M158" s="277" t="s">
        <x:v>118</x:v>
      </x:c>
      <x:c r="N158" s="277" t="s">
        <x:v>118</x:v>
      </x:c>
      <x:c r="O158" s="277" t="s">
        <x:v>118</x:v>
      </x:c>
      <x:c r="P158" s="277" t="s">
        <x:v>118</x:v>
      </x:c>
      <x:c r="Q158" s="277" t="s">
        <x:v>118</x:v>
      </x:c>
      <x:c r="R158" s="277" t="s">
        <x:v>118</x:v>
      </x:c>
      <x:c r="S158" s="277" t="s">
        <x:v>118</x:v>
      </x:c>
      <x:c r="T158" s="277" t="s">
        <x:v>118</x:v>
      </x:c>
      <x:c r="U158" s="277" t="s">
        <x:v>118</x:v>
      </x:c>
      <x:c r="V158" s="277" t="s">
        <x:v>118</x:v>
      </x:c>
      <x:c r="W158" s="277" t="s">
        <x:v>118</x:v>
      </x:c>
      <x:c r="X158" s="277" t="s">
        <x:v>118</x:v>
      </x:c>
      <x:c r="Y158" s="277" t="s">
        <x:v>118</x:v>
      </x:c>
      <x:c r="Z158" s="277" t="s">
        <x:v>118</x:v>
      </x:c>
      <x:c r="AA158" s="277" t="s">
        <x:v>118</x:v>
      </x:c>
      <x:c r="AB158" s="277" t="s">
        <x:v>118</x:v>
      </x:c>
      <x:c r="AC158" s="277" t="s">
        <x:v>118</x:v>
      </x:c>
      <x:c r="AD158" s="277" t="s">
        <x:v>118</x:v>
      </x:c>
      <x:c r="AE158" s="277" t="s">
        <x:v>118</x:v>
      </x:c>
      <x:c r="AF158" s="277" t="s">
        <x:v>118</x:v>
      </x:c>
      <x:c r="AG158" s="277" t="s">
        <x:v>118</x:v>
      </x:c>
      <x:c r="AH158" s="277" t="s">
        <x:v>118</x:v>
      </x:c>
      <x:c r="AI158" s="277" t="s">
        <x:v>118</x:v>
      </x:c>
      <x:c r="AJ158" s="277" t="s">
        <x:v>118</x:v>
      </x:c>
      <x:c r="AK158" s="220">
        <x:f>COUNTIF(F158:AJ158,"X")</x:f>
      </x:c>
      <x:c r="AL158" s="221"/>
      <x:c r="AM158" s="221"/>
      <x:c r="AN158" s="222"/>
      <x:c r="AO158" s="222"/>
      <x:c r="AP158" s="228"/>
      <x:c r="AQ158" s="228"/>
      <x:c r="AR158" s="228"/>
      <x:c r="AS158" s="228"/>
      <x:c r="AT158" s="230"/>
    </x:row>
    <x:row r="159" spans="1:47" ht="19.9" customHeight="1">
      <x:c r="A159" s="274" t="s">
        <x:v>674</x:v>
      </x:c>
      <x:c r="B159" s="216"/>
      <x:c r="C159" s="275" t="s">
        <x:v>675</x:v>
      </x:c>
      <x:c r="D159" s="274" t="s">
        <x:v>676</x:v>
      </x:c>
      <x:c r="E159" s="276" t="s">
        <x:v>677</x:v>
      </x:c>
      <x:c r="F159" s="277" t="s">
        <x:v>118</x:v>
      </x:c>
      <x:c r="G159" s="277" t="s">
        <x:v>118</x:v>
      </x:c>
      <x:c r="H159" s="277" t="s">
        <x:v>118</x:v>
      </x:c>
      <x:c r="I159" s="277" t="s">
        <x:v>118</x:v>
      </x:c>
      <x:c r="J159" s="277" t="s">
        <x:v>118</x:v>
      </x:c>
      <x:c r="K159" s="277" t="s">
        <x:v>118</x:v>
      </x:c>
      <x:c r="L159" s="277" t="s">
        <x:v>118</x:v>
      </x:c>
      <x:c r="M159" s="277" t="s">
        <x:v>118</x:v>
      </x:c>
      <x:c r="N159" s="277" t="s">
        <x:v>118</x:v>
      </x:c>
      <x:c r="O159" s="277" t="s">
        <x:v>118</x:v>
      </x:c>
      <x:c r="P159" s="277" t="s">
        <x:v>118</x:v>
      </x:c>
      <x:c r="Q159" s="277" t="s">
        <x:v>118</x:v>
      </x:c>
      <x:c r="R159" s="277" t="s">
        <x:v>118</x:v>
      </x:c>
      <x:c r="S159" s="277" t="s">
        <x:v>118</x:v>
      </x:c>
      <x:c r="T159" s="277" t="s">
        <x:v>118</x:v>
      </x:c>
      <x:c r="U159" s="277" t="s">
        <x:v>118</x:v>
      </x:c>
      <x:c r="V159" s="277" t="s">
        <x:v>118</x:v>
      </x:c>
      <x:c r="W159" s="277" t="s">
        <x:v>118</x:v>
      </x:c>
      <x:c r="X159" s="277" t="s">
        <x:v>118</x:v>
      </x:c>
      <x:c r="Y159" s="277" t="s">
        <x:v>118</x:v>
      </x:c>
      <x:c r="Z159" s="277" t="s">
        <x:v>118</x:v>
      </x:c>
      <x:c r="AA159" s="277" t="s">
        <x:v>118</x:v>
      </x:c>
      <x:c r="AB159" s="277" t="s">
        <x:v>118</x:v>
      </x:c>
      <x:c r="AC159" s="277" t="s">
        <x:v>118</x:v>
      </x:c>
      <x:c r="AD159" s="277" t="s">
        <x:v>118</x:v>
      </x:c>
      <x:c r="AE159" s="277" t="s">
        <x:v>118</x:v>
      </x:c>
      <x:c r="AF159" s="277" t="s">
        <x:v>118</x:v>
      </x:c>
      <x:c r="AG159" s="277" t="s">
        <x:v>118</x:v>
      </x:c>
      <x:c r="AH159" s="277" t="s">
        <x:v>118</x:v>
      </x:c>
      <x:c r="AI159" s="277" t="s">
        <x:v>118</x:v>
      </x:c>
      <x:c r="AJ159" s="277" t="s">
        <x:v>118</x:v>
      </x:c>
      <x:c r="AK159" s="220">
        <x:f>COUNTIF(F159:AJ159,"X")</x:f>
      </x:c>
      <x:c r="AL159" s="221"/>
      <x:c r="AM159" s="221"/>
      <x:c r="AN159" s="222"/>
      <x:c r="AO159" s="222"/>
      <x:c r="AP159" s="228"/>
      <x:c r="AQ159" s="228"/>
      <x:c r="AR159" s="228"/>
      <x:c r="AS159" s="228"/>
      <x:c r="AT159" s="230"/>
    </x:row>
    <x:row r="160" spans="1:47" ht="19.9" customHeight="1">
      <x:c r="A160" s="274" t="s">
        <x:v>678</x:v>
      </x:c>
      <x:c r="B160" s="216"/>
      <x:c r="C160" s="275" t="s">
        <x:v>679</x:v>
      </x:c>
      <x:c r="D160" s="274" t="s">
        <x:v>680</x:v>
      </x:c>
      <x:c r="E160" s="276" t="s">
        <x:v>681</x:v>
      </x:c>
      <x:c r="F160" s="277" t="s">
        <x:v>118</x:v>
      </x:c>
      <x:c r="G160" s="277" t="s">
        <x:v>118</x:v>
      </x:c>
      <x:c r="H160" s="277" t="s">
        <x:v>118</x:v>
      </x:c>
      <x:c r="I160" s="277" t="s">
        <x:v>118</x:v>
      </x:c>
      <x:c r="J160" s="277" t="s">
        <x:v>118</x:v>
      </x:c>
      <x:c r="K160" s="277" t="s">
        <x:v>118</x:v>
      </x:c>
      <x:c r="L160" s="277" t="s">
        <x:v>118</x:v>
      </x:c>
      <x:c r="M160" s="277" t="s">
        <x:v>118</x:v>
      </x:c>
      <x:c r="N160" s="277" t="s">
        <x:v>118</x:v>
      </x:c>
      <x:c r="O160" s="277" t="s">
        <x:v>118</x:v>
      </x:c>
      <x:c r="P160" s="277" t="s">
        <x:v>118</x:v>
      </x:c>
      <x:c r="Q160" s="277" t="s">
        <x:v>118</x:v>
      </x:c>
      <x:c r="R160" s="277" t="s">
        <x:v>118</x:v>
      </x:c>
      <x:c r="S160" s="277" t="s">
        <x:v>118</x:v>
      </x:c>
      <x:c r="T160" s="277" t="s">
        <x:v>118</x:v>
      </x:c>
      <x:c r="U160" s="277" t="s">
        <x:v>118</x:v>
      </x:c>
      <x:c r="V160" s="277" t="s">
        <x:v>118</x:v>
      </x:c>
      <x:c r="W160" s="277" t="s">
        <x:v>118</x:v>
      </x:c>
      <x:c r="X160" s="277" t="s">
        <x:v>118</x:v>
      </x:c>
      <x:c r="Y160" s="277" t="s">
        <x:v>118</x:v>
      </x:c>
      <x:c r="Z160" s="277" t="s">
        <x:v>118</x:v>
      </x:c>
      <x:c r="AA160" s="277" t="s">
        <x:v>118</x:v>
      </x:c>
      <x:c r="AB160" s="277" t="s">
        <x:v>118</x:v>
      </x:c>
      <x:c r="AC160" s="277" t="s">
        <x:v>118</x:v>
      </x:c>
      <x:c r="AD160" s="277" t="s">
        <x:v>118</x:v>
      </x:c>
      <x:c r="AE160" s="277" t="s">
        <x:v>118</x:v>
      </x:c>
      <x:c r="AF160" s="277" t="s">
        <x:v>118</x:v>
      </x:c>
      <x:c r="AG160" s="277" t="s">
        <x:v>118</x:v>
      </x:c>
      <x:c r="AH160" s="277" t="s">
        <x:v>118</x:v>
      </x:c>
      <x:c r="AI160" s="277" t="s">
        <x:v>118</x:v>
      </x:c>
      <x:c r="AJ160" s="277" t="s">
        <x:v>118</x:v>
      </x:c>
      <x:c r="AK160" s="220">
        <x:f>COUNTIF(F160:AJ160,"X")</x:f>
      </x:c>
      <x:c r="AL160" s="221"/>
      <x:c r="AM160" s="221"/>
      <x:c r="AN160" s="222"/>
      <x:c r="AO160" s="222"/>
      <x:c r="AP160" s="228"/>
      <x:c r="AQ160" s="228"/>
      <x:c r="AR160" s="228"/>
      <x:c r="AS160" s="228"/>
      <x:c r="AT160" s="230"/>
    </x:row>
    <x:row r="161" spans="1:47" ht="19.9" customHeight="1">
      <x:c r="A161" s="274" t="s">
        <x:v>682</x:v>
      </x:c>
      <x:c r="B161" s="216"/>
      <x:c r="C161" s="275" t="s">
        <x:v>683</x:v>
      </x:c>
      <x:c r="D161" s="274" t="s">
        <x:v>684</x:v>
      </x:c>
      <x:c r="E161" s="276" t="s">
        <x:v>685</x:v>
      </x:c>
      <x:c r="F161" s="277" t="s">
        <x:v>118</x:v>
      </x:c>
      <x:c r="G161" s="277" t="s">
        <x:v>118</x:v>
      </x:c>
      <x:c r="H161" s="277" t="s">
        <x:v>118</x:v>
      </x:c>
      <x:c r="I161" s="277" t="s">
        <x:v>118</x:v>
      </x:c>
      <x:c r="J161" s="277" t="s">
        <x:v>118</x:v>
      </x:c>
      <x:c r="K161" s="277" t="s">
        <x:v>118</x:v>
      </x:c>
      <x:c r="L161" s="277" t="s">
        <x:v>118</x:v>
      </x:c>
      <x:c r="M161" s="277" t="s">
        <x:v>118</x:v>
      </x:c>
      <x:c r="N161" s="277" t="s">
        <x:v>118</x:v>
      </x:c>
      <x:c r="O161" s="277" t="s">
        <x:v>118</x:v>
      </x:c>
      <x:c r="P161" s="277" t="s">
        <x:v>118</x:v>
      </x:c>
      <x:c r="Q161" s="277" t="s">
        <x:v>118</x:v>
      </x:c>
      <x:c r="R161" s="277" t="s">
        <x:v>118</x:v>
      </x:c>
      <x:c r="S161" s="277" t="s">
        <x:v>118</x:v>
      </x:c>
      <x:c r="T161" s="277" t="s">
        <x:v>118</x:v>
      </x:c>
      <x:c r="U161" s="277" t="s">
        <x:v>118</x:v>
      </x:c>
      <x:c r="V161" s="277" t="s">
        <x:v>118</x:v>
      </x:c>
      <x:c r="W161" s="277" t="s">
        <x:v>118</x:v>
      </x:c>
      <x:c r="X161" s="277" t="s">
        <x:v>118</x:v>
      </x:c>
      <x:c r="Y161" s="277" t="s">
        <x:v>118</x:v>
      </x:c>
      <x:c r="Z161" s="277" t="s">
        <x:v>118</x:v>
      </x:c>
      <x:c r="AA161" s="277" t="s">
        <x:v>118</x:v>
      </x:c>
      <x:c r="AB161" s="277" t="s">
        <x:v>118</x:v>
      </x:c>
      <x:c r="AC161" s="277" t="s">
        <x:v>118</x:v>
      </x:c>
      <x:c r="AD161" s="277" t="s">
        <x:v>118</x:v>
      </x:c>
      <x:c r="AE161" s="277" t="s">
        <x:v>118</x:v>
      </x:c>
      <x:c r="AF161" s="277" t="s">
        <x:v>118</x:v>
      </x:c>
      <x:c r="AG161" s="277" t="s">
        <x:v>118</x:v>
      </x:c>
      <x:c r="AH161" s="277" t="s">
        <x:v>118</x:v>
      </x:c>
      <x:c r="AI161" s="277" t="s">
        <x:v>118</x:v>
      </x:c>
      <x:c r="AJ161" s="277" t="s">
        <x:v>118</x:v>
      </x:c>
      <x:c r="AK161" s="220">
        <x:f>COUNTIF(F161:AJ161,"X")</x:f>
      </x:c>
      <x:c r="AL161" s="221"/>
      <x:c r="AM161" s="221"/>
      <x:c r="AN161" s="222"/>
      <x:c r="AO161" s="222"/>
      <x:c r="AP161" s="228"/>
      <x:c r="AQ161" s="228"/>
      <x:c r="AR161" s="228"/>
      <x:c r="AS161" s="228"/>
      <x:c r="AT161" s="230"/>
    </x:row>
    <x:row r="162" spans="1:47" ht="19.9" customHeight="1">
      <x:c r="A162" s="274" t="s">
        <x:v>686</x:v>
      </x:c>
      <x:c r="B162" s="216"/>
      <x:c r="C162" s="275" t="s">
        <x:v>687</x:v>
      </x:c>
      <x:c r="D162" s="274" t="s">
        <x:v>688</x:v>
      </x:c>
      <x:c r="E162" s="276" t="s">
        <x:v>689</x:v>
      </x:c>
      <x:c r="F162" s="277" t="s">
        <x:v>118</x:v>
      </x:c>
      <x:c r="G162" s="277" t="s">
        <x:v>118</x:v>
      </x:c>
      <x:c r="H162" s="277" t="s">
        <x:v>118</x:v>
      </x:c>
      <x:c r="I162" s="277" t="s">
        <x:v>118</x:v>
      </x:c>
      <x:c r="J162" s="277" t="s">
        <x:v>118</x:v>
      </x:c>
      <x:c r="K162" s="277" t="s">
        <x:v>118</x:v>
      </x:c>
      <x:c r="L162" s="277" t="s">
        <x:v>118</x:v>
      </x:c>
      <x:c r="M162" s="277" t="s">
        <x:v>118</x:v>
      </x:c>
      <x:c r="N162" s="277" t="s">
        <x:v>118</x:v>
      </x:c>
      <x:c r="O162" s="277" t="s">
        <x:v>118</x:v>
      </x:c>
      <x:c r="P162" s="277" t="s">
        <x:v>118</x:v>
      </x:c>
      <x:c r="Q162" s="277" t="s">
        <x:v>118</x:v>
      </x:c>
      <x:c r="R162" s="277" t="s">
        <x:v>118</x:v>
      </x:c>
      <x:c r="S162" s="277" t="s">
        <x:v>118</x:v>
      </x:c>
      <x:c r="T162" s="277" t="s">
        <x:v>118</x:v>
      </x:c>
      <x:c r="U162" s="277" t="s">
        <x:v>118</x:v>
      </x:c>
      <x:c r="V162" s="277" t="s">
        <x:v>118</x:v>
      </x:c>
      <x:c r="W162" s="277" t="s">
        <x:v>118</x:v>
      </x:c>
      <x:c r="X162" s="277" t="s">
        <x:v>118</x:v>
      </x:c>
      <x:c r="Y162" s="277" t="s">
        <x:v>118</x:v>
      </x:c>
      <x:c r="Z162" s="277" t="s">
        <x:v>118</x:v>
      </x:c>
      <x:c r="AA162" s="277" t="s">
        <x:v>118</x:v>
      </x:c>
      <x:c r="AB162" s="277" t="s">
        <x:v>118</x:v>
      </x:c>
      <x:c r="AC162" s="277" t="s">
        <x:v>118</x:v>
      </x:c>
      <x:c r="AD162" s="277" t="s">
        <x:v>118</x:v>
      </x:c>
      <x:c r="AE162" s="277" t="s">
        <x:v>118</x:v>
      </x:c>
      <x:c r="AF162" s="277" t="s">
        <x:v>118</x:v>
      </x:c>
      <x:c r="AG162" s="277" t="s">
        <x:v>118</x:v>
      </x:c>
      <x:c r="AH162" s="277" t="s">
        <x:v>118</x:v>
      </x:c>
      <x:c r="AI162" s="277" t="s">
        <x:v>118</x:v>
      </x:c>
      <x:c r="AJ162" s="277" t="s">
        <x:v>118</x:v>
      </x:c>
      <x:c r="AK162" s="220">
        <x:f>COUNTIF(F162:AJ162,"X")</x:f>
      </x:c>
      <x:c r="AL162" s="221"/>
      <x:c r="AM162" s="221"/>
      <x:c r="AN162" s="222"/>
      <x:c r="AO162" s="222"/>
      <x:c r="AP162" s="228"/>
      <x:c r="AQ162" s="228"/>
      <x:c r="AR162" s="228"/>
      <x:c r="AS162" s="228"/>
      <x:c r="AT162" s="230"/>
    </x:row>
    <x:row r="163" spans="1:47" ht="19.9" customHeight="1">
      <x:c r="A163" s="274" t="s">
        <x:v>690</x:v>
      </x:c>
      <x:c r="B163" s="216"/>
      <x:c r="C163" s="275" t="s">
        <x:v>691</x:v>
      </x:c>
      <x:c r="D163" s="274" t="s">
        <x:v>692</x:v>
      </x:c>
      <x:c r="E163" s="276" t="s">
        <x:v>693</x:v>
      </x:c>
      <x:c r="F163" s="277" t="s">
        <x:v>118</x:v>
      </x:c>
      <x:c r="G163" s="277" t="s">
        <x:v>118</x:v>
      </x:c>
      <x:c r="H163" s="277" t="s">
        <x:v>118</x:v>
      </x:c>
      <x:c r="I163" s="277" t="s">
        <x:v>118</x:v>
      </x:c>
      <x:c r="J163" s="277" t="s">
        <x:v>118</x:v>
      </x:c>
      <x:c r="K163" s="277" t="s">
        <x:v>118</x:v>
      </x:c>
      <x:c r="L163" s="277" t="s">
        <x:v>118</x:v>
      </x:c>
      <x:c r="M163" s="277" t="s">
        <x:v>118</x:v>
      </x:c>
      <x:c r="N163" s="277" t="s">
        <x:v>118</x:v>
      </x:c>
      <x:c r="O163" s="277" t="s">
        <x:v>118</x:v>
      </x:c>
      <x:c r="P163" s="277" t="s">
        <x:v>118</x:v>
      </x:c>
      <x:c r="Q163" s="277" t="s">
        <x:v>118</x:v>
      </x:c>
      <x:c r="R163" s="277" t="s">
        <x:v>118</x:v>
      </x:c>
      <x:c r="S163" s="277" t="s">
        <x:v>118</x:v>
      </x:c>
      <x:c r="T163" s="277" t="s">
        <x:v>118</x:v>
      </x:c>
      <x:c r="U163" s="277" t="s">
        <x:v>118</x:v>
      </x:c>
      <x:c r="V163" s="277" t="s">
        <x:v>118</x:v>
      </x:c>
      <x:c r="W163" s="277" t="s">
        <x:v>118</x:v>
      </x:c>
      <x:c r="X163" s="277" t="s">
        <x:v>118</x:v>
      </x:c>
      <x:c r="Y163" s="277" t="s">
        <x:v>118</x:v>
      </x:c>
      <x:c r="Z163" s="277" t="s">
        <x:v>118</x:v>
      </x:c>
      <x:c r="AA163" s="277" t="s">
        <x:v>118</x:v>
      </x:c>
      <x:c r="AB163" s="277" t="s">
        <x:v>118</x:v>
      </x:c>
      <x:c r="AC163" s="277" t="s">
        <x:v>118</x:v>
      </x:c>
      <x:c r="AD163" s="277" t="s">
        <x:v>118</x:v>
      </x:c>
      <x:c r="AE163" s="277" t="s">
        <x:v>118</x:v>
      </x:c>
      <x:c r="AF163" s="277" t="s">
        <x:v>118</x:v>
      </x:c>
      <x:c r="AG163" s="277" t="s">
        <x:v>118</x:v>
      </x:c>
      <x:c r="AH163" s="277" t="s">
        <x:v>118</x:v>
      </x:c>
      <x:c r="AI163" s="277" t="s">
        <x:v>118</x:v>
      </x:c>
      <x:c r="AJ163" s="277" t="s">
        <x:v>118</x:v>
      </x:c>
      <x:c r="AK163" s="220">
        <x:f>COUNTIF(F163:AJ163,"X")</x:f>
      </x:c>
      <x:c r="AL163" s="221"/>
      <x:c r="AM163" s="221"/>
      <x:c r="AN163" s="222"/>
      <x:c r="AO163" s="222"/>
      <x:c r="AP163" s="228"/>
      <x:c r="AQ163" s="228"/>
      <x:c r="AR163" s="228"/>
      <x:c r="AS163" s="228"/>
      <x:c r="AT163" s="230"/>
    </x:row>
    <x:row r="164" spans="1:47" ht="19.9" customHeight="1">
      <x:c r="A164" s="274" t="s">
        <x:v>694</x:v>
      </x:c>
      <x:c r="B164" s="216"/>
      <x:c r="C164" s="275" t="s">
        <x:v>695</x:v>
      </x:c>
      <x:c r="D164" s="274" t="s">
        <x:v>696</x:v>
      </x:c>
      <x:c r="E164" s="276" t="s">
        <x:v>697</x:v>
      </x:c>
      <x:c r="F164" s="277" t="s">
        <x:v>118</x:v>
      </x:c>
      <x:c r="G164" s="277" t="s">
        <x:v>118</x:v>
      </x:c>
      <x:c r="H164" s="277" t="s">
        <x:v>118</x:v>
      </x:c>
      <x:c r="I164" s="277" t="s">
        <x:v>118</x:v>
      </x:c>
      <x:c r="J164" s="277" t="s">
        <x:v>118</x:v>
      </x:c>
      <x:c r="K164" s="277" t="s">
        <x:v>118</x:v>
      </x:c>
      <x:c r="L164" s="277" t="s">
        <x:v>118</x:v>
      </x:c>
      <x:c r="M164" s="277" t="s">
        <x:v>118</x:v>
      </x:c>
      <x:c r="N164" s="277" t="s">
        <x:v>118</x:v>
      </x:c>
      <x:c r="O164" s="277" t="s">
        <x:v>118</x:v>
      </x:c>
      <x:c r="P164" s="277" t="s">
        <x:v>118</x:v>
      </x:c>
      <x:c r="Q164" s="277" t="s">
        <x:v>118</x:v>
      </x:c>
      <x:c r="R164" s="277" t="s">
        <x:v>118</x:v>
      </x:c>
      <x:c r="S164" s="277" t="s">
        <x:v>118</x:v>
      </x:c>
      <x:c r="T164" s="277" t="s">
        <x:v>118</x:v>
      </x:c>
      <x:c r="U164" s="277" t="s">
        <x:v>118</x:v>
      </x:c>
      <x:c r="V164" s="277" t="s">
        <x:v>118</x:v>
      </x:c>
      <x:c r="W164" s="277" t="s">
        <x:v>118</x:v>
      </x:c>
      <x:c r="X164" s="277" t="s">
        <x:v>118</x:v>
      </x:c>
      <x:c r="Y164" s="277" t="s">
        <x:v>118</x:v>
      </x:c>
      <x:c r="Z164" s="277" t="s">
        <x:v>118</x:v>
      </x:c>
      <x:c r="AA164" s="277" t="s">
        <x:v>118</x:v>
      </x:c>
      <x:c r="AB164" s="277" t="s">
        <x:v>118</x:v>
      </x:c>
      <x:c r="AC164" s="277" t="s">
        <x:v>118</x:v>
      </x:c>
      <x:c r="AD164" s="277" t="s">
        <x:v>118</x:v>
      </x:c>
      <x:c r="AE164" s="277" t="s">
        <x:v>118</x:v>
      </x:c>
      <x:c r="AF164" s="277" t="s">
        <x:v>118</x:v>
      </x:c>
      <x:c r="AG164" s="277" t="s">
        <x:v>118</x:v>
      </x:c>
      <x:c r="AH164" s="277" t="s">
        <x:v>118</x:v>
      </x:c>
      <x:c r="AI164" s="277" t="s">
        <x:v>118</x:v>
      </x:c>
      <x:c r="AJ164" s="277" t="s">
        <x:v>118</x:v>
      </x:c>
      <x:c r="AK164" s="220">
        <x:f>COUNTIF(F164:AJ164,"X")</x:f>
      </x:c>
      <x:c r="AL164" s="221"/>
      <x:c r="AM164" s="221"/>
      <x:c r="AN164" s="222"/>
      <x:c r="AO164" s="222"/>
      <x:c r="AP164" s="228"/>
      <x:c r="AQ164" s="228"/>
      <x:c r="AR164" s="228"/>
      <x:c r="AS164" s="228"/>
      <x:c r="AT164" s="230"/>
    </x:row>
    <x:row r="165" spans="1:47" ht="19.9" customHeight="1">
      <x:c r="A165" s="274" t="s">
        <x:v>698</x:v>
      </x:c>
      <x:c r="B165" s="216"/>
      <x:c r="C165" s="275" t="s">
        <x:v>699</x:v>
      </x:c>
      <x:c r="D165" s="274" t="s">
        <x:v>700</x:v>
      </x:c>
      <x:c r="E165" s="276" t="s">
        <x:v>701</x:v>
      </x:c>
      <x:c r="F165" s="277" t="s">
        <x:v>118</x:v>
      </x:c>
      <x:c r="G165" s="277" t="s">
        <x:v>118</x:v>
      </x:c>
      <x:c r="H165" s="277" t="s">
        <x:v>118</x:v>
      </x:c>
      <x:c r="I165" s="277" t="s">
        <x:v>118</x:v>
      </x:c>
      <x:c r="J165" s="277" t="s">
        <x:v>118</x:v>
      </x:c>
      <x:c r="K165" s="277" t="s">
        <x:v>118</x:v>
      </x:c>
      <x:c r="L165" s="277" t="s">
        <x:v>118</x:v>
      </x:c>
      <x:c r="M165" s="277" t="s">
        <x:v>118</x:v>
      </x:c>
      <x:c r="N165" s="277" t="s">
        <x:v>118</x:v>
      </x:c>
      <x:c r="O165" s="277" t="s">
        <x:v>118</x:v>
      </x:c>
      <x:c r="P165" s="277" t="s">
        <x:v>118</x:v>
      </x:c>
      <x:c r="Q165" s="277" t="s">
        <x:v>118</x:v>
      </x:c>
      <x:c r="R165" s="277" t="s">
        <x:v>118</x:v>
      </x:c>
      <x:c r="S165" s="277" t="s">
        <x:v>118</x:v>
      </x:c>
      <x:c r="T165" s="277" t="s">
        <x:v>118</x:v>
      </x:c>
      <x:c r="U165" s="277" t="s">
        <x:v>118</x:v>
      </x:c>
      <x:c r="V165" s="277" t="s">
        <x:v>118</x:v>
      </x:c>
      <x:c r="W165" s="277" t="s">
        <x:v>118</x:v>
      </x:c>
      <x:c r="X165" s="277" t="s">
        <x:v>118</x:v>
      </x:c>
      <x:c r="Y165" s="277" t="s">
        <x:v>118</x:v>
      </x:c>
      <x:c r="Z165" s="277" t="s">
        <x:v>118</x:v>
      </x:c>
      <x:c r="AA165" s="277" t="s">
        <x:v>118</x:v>
      </x:c>
      <x:c r="AB165" s="277" t="s">
        <x:v>118</x:v>
      </x:c>
      <x:c r="AC165" s="277" t="s">
        <x:v>118</x:v>
      </x:c>
      <x:c r="AD165" s="277" t="s">
        <x:v>118</x:v>
      </x:c>
      <x:c r="AE165" s="277" t="s">
        <x:v>118</x:v>
      </x:c>
      <x:c r="AF165" s="277" t="s">
        <x:v>118</x:v>
      </x:c>
      <x:c r="AG165" s="277" t="s">
        <x:v>118</x:v>
      </x:c>
      <x:c r="AH165" s="277" t="s">
        <x:v>118</x:v>
      </x:c>
      <x:c r="AI165" s="277" t="s">
        <x:v>118</x:v>
      </x:c>
      <x:c r="AJ165" s="277" t="s">
        <x:v>118</x:v>
      </x:c>
      <x:c r="AK165" s="220">
        <x:f>COUNTIF(F165:AJ165,"X")</x:f>
      </x:c>
      <x:c r="AL165" s="221"/>
      <x:c r="AM165" s="221"/>
      <x:c r="AN165" s="222"/>
      <x:c r="AO165" s="222"/>
      <x:c r="AP165" s="228"/>
      <x:c r="AQ165" s="228"/>
      <x:c r="AR165" s="228"/>
      <x:c r="AS165" s="228"/>
      <x:c r="AT165" s="230"/>
    </x:row>
    <x:row r="166" spans="1:47" ht="19.9" customHeight="1">
      <x:c r="A166" s="274" t="s">
        <x:v>702</x:v>
      </x:c>
      <x:c r="B166" s="216"/>
      <x:c r="C166" s="275" t="s">
        <x:v>703</x:v>
      </x:c>
      <x:c r="D166" s="274" t="s">
        <x:v>704</x:v>
      </x:c>
      <x:c r="E166" s="276" t="s">
        <x:v>705</x:v>
      </x:c>
      <x:c r="F166" s="277" t="s">
        <x:v>118</x:v>
      </x:c>
      <x:c r="G166" s="277" t="s">
        <x:v>118</x:v>
      </x:c>
      <x:c r="H166" s="277" t="s">
        <x:v>118</x:v>
      </x:c>
      <x:c r="I166" s="277" t="s">
        <x:v>118</x:v>
      </x:c>
      <x:c r="J166" s="277" t="s">
        <x:v>118</x:v>
      </x:c>
      <x:c r="K166" s="277" t="s">
        <x:v>118</x:v>
      </x:c>
      <x:c r="L166" s="277" t="s">
        <x:v>118</x:v>
      </x:c>
      <x:c r="M166" s="277" t="s">
        <x:v>118</x:v>
      </x:c>
      <x:c r="N166" s="277" t="s">
        <x:v>118</x:v>
      </x:c>
      <x:c r="O166" s="277" t="s">
        <x:v>118</x:v>
      </x:c>
      <x:c r="P166" s="277" t="s">
        <x:v>118</x:v>
      </x:c>
      <x:c r="Q166" s="277" t="s">
        <x:v>118</x:v>
      </x:c>
      <x:c r="R166" s="277" t="s">
        <x:v>118</x:v>
      </x:c>
      <x:c r="S166" s="277" t="s">
        <x:v>118</x:v>
      </x:c>
      <x:c r="T166" s="277" t="s">
        <x:v>118</x:v>
      </x:c>
      <x:c r="U166" s="277" t="s">
        <x:v>118</x:v>
      </x:c>
      <x:c r="V166" s="277" t="s">
        <x:v>118</x:v>
      </x:c>
      <x:c r="W166" s="277" t="s">
        <x:v>118</x:v>
      </x:c>
      <x:c r="X166" s="277" t="s">
        <x:v>118</x:v>
      </x:c>
      <x:c r="Y166" s="277" t="s">
        <x:v>118</x:v>
      </x:c>
      <x:c r="Z166" s="277" t="s">
        <x:v>118</x:v>
      </x:c>
      <x:c r="AA166" s="277" t="s">
        <x:v>118</x:v>
      </x:c>
      <x:c r="AB166" s="277" t="s">
        <x:v>118</x:v>
      </x:c>
      <x:c r="AC166" s="277" t="s">
        <x:v>118</x:v>
      </x:c>
      <x:c r="AD166" s="277" t="s">
        <x:v>118</x:v>
      </x:c>
      <x:c r="AE166" s="277" t="s">
        <x:v>118</x:v>
      </x:c>
      <x:c r="AF166" s="277" t="s">
        <x:v>118</x:v>
      </x:c>
      <x:c r="AG166" s="277" t="s">
        <x:v>118</x:v>
      </x:c>
      <x:c r="AH166" s="277" t="s">
        <x:v>118</x:v>
      </x:c>
      <x:c r="AI166" s="277" t="s">
        <x:v>118</x:v>
      </x:c>
      <x:c r="AJ166" s="277" t="s">
        <x:v>118</x:v>
      </x:c>
      <x:c r="AK166" s="220">
        <x:f>COUNTIF(F166:AJ166,"X")</x:f>
      </x:c>
      <x:c r="AL166" s="221"/>
      <x:c r="AM166" s="221"/>
      <x:c r="AN166" s="222"/>
      <x:c r="AO166" s="222"/>
      <x:c r="AP166" s="228"/>
      <x:c r="AQ166" s="228"/>
      <x:c r="AR166" s="228"/>
      <x:c r="AS166" s="228"/>
      <x:c r="AT166" s="230"/>
    </x:row>
    <x:row r="167" spans="1:47" ht="19.9" customHeight="1">
      <x:c r="A167" s="274" t="s">
        <x:v>706</x:v>
      </x:c>
      <x:c r="B167" s="216"/>
      <x:c r="C167" s="275" t="s">
        <x:v>707</x:v>
      </x:c>
      <x:c r="D167" s="274" t="s">
        <x:v>708</x:v>
      </x:c>
      <x:c r="E167" s="276" t="s">
        <x:v>185</x:v>
      </x:c>
      <x:c r="F167" s="277" t="s">
        <x:v>118</x:v>
      </x:c>
      <x:c r="G167" s="277" t="s">
        <x:v>118</x:v>
      </x:c>
      <x:c r="H167" s="277" t="s">
        <x:v>118</x:v>
      </x:c>
      <x:c r="I167" s="277" t="s">
        <x:v>118</x:v>
      </x:c>
      <x:c r="J167" s="277" t="s">
        <x:v>118</x:v>
      </x:c>
      <x:c r="K167" s="277" t="s">
        <x:v>118</x:v>
      </x:c>
      <x:c r="L167" s="277" t="s">
        <x:v>118</x:v>
      </x:c>
      <x:c r="M167" s="277" t="s">
        <x:v>118</x:v>
      </x:c>
      <x:c r="N167" s="277" t="s">
        <x:v>118</x:v>
      </x:c>
      <x:c r="O167" s="277" t="s">
        <x:v>118</x:v>
      </x:c>
      <x:c r="P167" s="277" t="s">
        <x:v>118</x:v>
      </x:c>
      <x:c r="Q167" s="277" t="s">
        <x:v>118</x:v>
      </x:c>
      <x:c r="R167" s="277" t="s">
        <x:v>118</x:v>
      </x:c>
      <x:c r="S167" s="277" t="s">
        <x:v>118</x:v>
      </x:c>
      <x:c r="T167" s="277" t="s">
        <x:v>118</x:v>
      </x:c>
      <x:c r="U167" s="277" t="s">
        <x:v>118</x:v>
      </x:c>
      <x:c r="V167" s="277" t="s">
        <x:v>118</x:v>
      </x:c>
      <x:c r="W167" s="277" t="s">
        <x:v>118</x:v>
      </x:c>
      <x:c r="X167" s="277" t="s">
        <x:v>118</x:v>
      </x:c>
      <x:c r="Y167" s="277" t="s">
        <x:v>118</x:v>
      </x:c>
      <x:c r="Z167" s="277" t="s">
        <x:v>118</x:v>
      </x:c>
      <x:c r="AA167" s="277" t="s">
        <x:v>118</x:v>
      </x:c>
      <x:c r="AB167" s="277" t="s">
        <x:v>118</x:v>
      </x:c>
      <x:c r="AC167" s="277" t="s">
        <x:v>118</x:v>
      </x:c>
      <x:c r="AD167" s="277" t="s">
        <x:v>118</x:v>
      </x:c>
      <x:c r="AE167" s="277" t="s">
        <x:v>118</x:v>
      </x:c>
      <x:c r="AF167" s="277" t="s">
        <x:v>118</x:v>
      </x:c>
      <x:c r="AG167" s="277" t="s">
        <x:v>118</x:v>
      </x:c>
      <x:c r="AH167" s="277" t="s">
        <x:v>118</x:v>
      </x:c>
      <x:c r="AI167" s="277" t="s">
        <x:v>118</x:v>
      </x:c>
      <x:c r="AJ167" s="277" t="s">
        <x:v>118</x:v>
      </x:c>
      <x:c r="AK167" s="220">
        <x:f>COUNTIF(F167:AJ167,"X")</x:f>
      </x:c>
      <x:c r="AL167" s="221"/>
      <x:c r="AM167" s="221"/>
      <x:c r="AN167" s="222"/>
      <x:c r="AO167" s="222"/>
      <x:c r="AP167" s="228"/>
      <x:c r="AQ167" s="228"/>
      <x:c r="AR167" s="228"/>
      <x:c r="AS167" s="228"/>
      <x:c r="AT167" s="230"/>
    </x:row>
    <x:row r="168" spans="1:47" ht="19.9" customHeight="1">
      <x:c r="A168" s="274" t="s">
        <x:v>709</x:v>
      </x:c>
      <x:c r="B168" s="216"/>
      <x:c r="C168" s="275" t="s">
        <x:v>710</x:v>
      </x:c>
      <x:c r="D168" s="274" t="s">
        <x:v>711</x:v>
      </x:c>
      <x:c r="E168" s="276" t="s">
        <x:v>712</x:v>
      </x:c>
      <x:c r="F168" s="277" t="s">
        <x:v>118</x:v>
      </x:c>
      <x:c r="G168" s="277" t="s">
        <x:v>118</x:v>
      </x:c>
      <x:c r="H168" s="277" t="s">
        <x:v>118</x:v>
      </x:c>
      <x:c r="I168" s="277" t="s">
        <x:v>118</x:v>
      </x:c>
      <x:c r="J168" s="277" t="s">
        <x:v>118</x:v>
      </x:c>
      <x:c r="K168" s="277" t="s">
        <x:v>118</x:v>
      </x:c>
      <x:c r="L168" s="277" t="s">
        <x:v>118</x:v>
      </x:c>
      <x:c r="M168" s="277" t="s">
        <x:v>118</x:v>
      </x:c>
      <x:c r="N168" s="277" t="s">
        <x:v>118</x:v>
      </x:c>
      <x:c r="O168" s="277" t="s">
        <x:v>118</x:v>
      </x:c>
      <x:c r="P168" s="277" t="s">
        <x:v>118</x:v>
      </x:c>
      <x:c r="Q168" s="277" t="s">
        <x:v>118</x:v>
      </x:c>
      <x:c r="R168" s="277" t="s">
        <x:v>118</x:v>
      </x:c>
      <x:c r="S168" s="277" t="s">
        <x:v>118</x:v>
      </x:c>
      <x:c r="T168" s="277" t="s">
        <x:v>118</x:v>
      </x:c>
      <x:c r="U168" s="277" t="s">
        <x:v>118</x:v>
      </x:c>
      <x:c r="V168" s="277" t="s">
        <x:v>118</x:v>
      </x:c>
      <x:c r="W168" s="277" t="s">
        <x:v>118</x:v>
      </x:c>
      <x:c r="X168" s="277" t="s">
        <x:v>118</x:v>
      </x:c>
      <x:c r="Y168" s="277" t="s">
        <x:v>118</x:v>
      </x:c>
      <x:c r="Z168" s="277" t="s">
        <x:v>118</x:v>
      </x:c>
      <x:c r="AA168" s="277" t="s">
        <x:v>118</x:v>
      </x:c>
      <x:c r="AB168" s="277" t="s">
        <x:v>118</x:v>
      </x:c>
      <x:c r="AC168" s="277" t="s">
        <x:v>118</x:v>
      </x:c>
      <x:c r="AD168" s="277" t="s">
        <x:v>118</x:v>
      </x:c>
      <x:c r="AE168" s="277" t="s">
        <x:v>118</x:v>
      </x:c>
      <x:c r="AF168" s="277" t="s">
        <x:v>118</x:v>
      </x:c>
      <x:c r="AG168" s="277" t="s">
        <x:v>118</x:v>
      </x:c>
      <x:c r="AH168" s="277" t="s">
        <x:v>118</x:v>
      </x:c>
      <x:c r="AI168" s="277" t="s">
        <x:v>118</x:v>
      </x:c>
      <x:c r="AJ168" s="277" t="s">
        <x:v>118</x:v>
      </x:c>
      <x:c r="AK168" s="220">
        <x:f>COUNTIF(F168:AJ168,"X")</x:f>
      </x:c>
      <x:c r="AL168" s="221"/>
      <x:c r="AM168" s="221"/>
      <x:c r="AN168" s="222"/>
      <x:c r="AO168" s="222"/>
      <x:c r="AP168" s="228"/>
      <x:c r="AQ168" s="228"/>
      <x:c r="AR168" s="228"/>
      <x:c r="AS168" s="228"/>
      <x:c r="AT168" s="230"/>
    </x:row>
    <x:row r="169" spans="1:47" ht="19.9" customHeight="1">
      <x:c r="A169" s="274" t="s">
        <x:v>713</x:v>
      </x:c>
      <x:c r="B169" s="216"/>
      <x:c r="C169" s="275" t="s">
        <x:v>714</x:v>
      </x:c>
      <x:c r="D169" s="274" t="s">
        <x:v>711</x:v>
      </x:c>
      <x:c r="E169" s="276" t="s">
        <x:v>413</x:v>
      </x:c>
      <x:c r="F169" s="277" t="s">
        <x:v>118</x:v>
      </x:c>
      <x:c r="G169" s="277" t="s">
        <x:v>118</x:v>
      </x:c>
      <x:c r="H169" s="277" t="s">
        <x:v>118</x:v>
      </x:c>
      <x:c r="I169" s="277" t="s">
        <x:v>118</x:v>
      </x:c>
      <x:c r="J169" s="277" t="s">
        <x:v>118</x:v>
      </x:c>
      <x:c r="K169" s="277" t="s">
        <x:v>118</x:v>
      </x:c>
      <x:c r="L169" s="277" t="s">
        <x:v>118</x:v>
      </x:c>
      <x:c r="M169" s="277" t="s">
        <x:v>118</x:v>
      </x:c>
      <x:c r="N169" s="277" t="s">
        <x:v>118</x:v>
      </x:c>
      <x:c r="O169" s="277" t="s">
        <x:v>118</x:v>
      </x:c>
      <x:c r="P169" s="277" t="s">
        <x:v>118</x:v>
      </x:c>
      <x:c r="Q169" s="277" t="s">
        <x:v>118</x:v>
      </x:c>
      <x:c r="R169" s="277" t="s">
        <x:v>118</x:v>
      </x:c>
      <x:c r="S169" s="277" t="s">
        <x:v>118</x:v>
      </x:c>
      <x:c r="T169" s="277" t="s">
        <x:v>118</x:v>
      </x:c>
      <x:c r="U169" s="277" t="s">
        <x:v>118</x:v>
      </x:c>
      <x:c r="V169" s="277" t="s">
        <x:v>118</x:v>
      </x:c>
      <x:c r="W169" s="277" t="s">
        <x:v>118</x:v>
      </x:c>
      <x:c r="X169" s="277" t="s">
        <x:v>118</x:v>
      </x:c>
      <x:c r="Y169" s="277" t="s">
        <x:v>118</x:v>
      </x:c>
      <x:c r="Z169" s="277" t="s">
        <x:v>118</x:v>
      </x:c>
      <x:c r="AA169" s="277" t="s">
        <x:v>118</x:v>
      </x:c>
      <x:c r="AB169" s="277" t="s">
        <x:v>118</x:v>
      </x:c>
      <x:c r="AC169" s="277" t="s">
        <x:v>118</x:v>
      </x:c>
      <x:c r="AD169" s="277" t="s">
        <x:v>118</x:v>
      </x:c>
      <x:c r="AE169" s="277" t="s">
        <x:v>118</x:v>
      </x:c>
      <x:c r="AF169" s="277" t="s">
        <x:v>118</x:v>
      </x:c>
      <x:c r="AG169" s="277" t="s">
        <x:v>118</x:v>
      </x:c>
      <x:c r="AH169" s="277" t="s">
        <x:v>118</x:v>
      </x:c>
      <x:c r="AI169" s="277" t="s">
        <x:v>118</x:v>
      </x:c>
      <x:c r="AJ169" s="277" t="s">
        <x:v>118</x:v>
      </x:c>
      <x:c r="AK169" s="220">
        <x:f>COUNTIF(F169:AJ169,"X")</x:f>
      </x:c>
      <x:c r="AL169" s="221"/>
      <x:c r="AM169" s="221"/>
      <x:c r="AN169" s="222"/>
      <x:c r="AO169" s="222"/>
      <x:c r="AP169" s="228"/>
      <x:c r="AQ169" s="228"/>
      <x:c r="AR169" s="228"/>
      <x:c r="AS169" s="228"/>
      <x:c r="AT169" s="230"/>
    </x:row>
    <x:row r="170" spans="1:47" ht="19.9" customHeight="1">
      <x:c r="A170" s="274" t="s">
        <x:v>715</x:v>
      </x:c>
      <x:c r="B170" s="216"/>
      <x:c r="C170" s="275" t="s">
        <x:v>716</x:v>
      </x:c>
      <x:c r="D170" s="274" t="s">
        <x:v>717</x:v>
      </x:c>
      <x:c r="E170" s="276" t="s">
        <x:v>718</x:v>
      </x:c>
      <x:c r="F170" s="277" t="s">
        <x:v>118</x:v>
      </x:c>
      <x:c r="G170" s="277" t="s">
        <x:v>118</x:v>
      </x:c>
      <x:c r="H170" s="277" t="s">
        <x:v>118</x:v>
      </x:c>
      <x:c r="I170" s="277" t="s">
        <x:v>118</x:v>
      </x:c>
      <x:c r="J170" s="277" t="s">
        <x:v>118</x:v>
      </x:c>
      <x:c r="K170" s="277" t="s">
        <x:v>118</x:v>
      </x:c>
      <x:c r="L170" s="277" t="s">
        <x:v>118</x:v>
      </x:c>
      <x:c r="M170" s="277" t="s">
        <x:v>118</x:v>
      </x:c>
      <x:c r="N170" s="277" t="s">
        <x:v>118</x:v>
      </x:c>
      <x:c r="O170" s="277" t="s">
        <x:v>118</x:v>
      </x:c>
      <x:c r="P170" s="277" t="s">
        <x:v>118</x:v>
      </x:c>
      <x:c r="Q170" s="277" t="s">
        <x:v>118</x:v>
      </x:c>
      <x:c r="R170" s="277" t="s">
        <x:v>118</x:v>
      </x:c>
      <x:c r="S170" s="277" t="s">
        <x:v>118</x:v>
      </x:c>
      <x:c r="T170" s="277" t="s">
        <x:v>118</x:v>
      </x:c>
      <x:c r="U170" s="277" t="s">
        <x:v>118</x:v>
      </x:c>
      <x:c r="V170" s="277" t="s">
        <x:v>118</x:v>
      </x:c>
      <x:c r="W170" s="277" t="s">
        <x:v>118</x:v>
      </x:c>
      <x:c r="X170" s="277" t="s">
        <x:v>118</x:v>
      </x:c>
      <x:c r="Y170" s="277" t="s">
        <x:v>118</x:v>
      </x:c>
      <x:c r="Z170" s="277" t="s">
        <x:v>118</x:v>
      </x:c>
      <x:c r="AA170" s="277" t="s">
        <x:v>118</x:v>
      </x:c>
      <x:c r="AB170" s="277" t="s">
        <x:v>118</x:v>
      </x:c>
      <x:c r="AC170" s="277" t="s">
        <x:v>118</x:v>
      </x:c>
      <x:c r="AD170" s="277" t="s">
        <x:v>118</x:v>
      </x:c>
      <x:c r="AE170" s="277" t="s">
        <x:v>118</x:v>
      </x:c>
      <x:c r="AF170" s="277" t="s">
        <x:v>118</x:v>
      </x:c>
      <x:c r="AG170" s="277" t="s">
        <x:v>118</x:v>
      </x:c>
      <x:c r="AH170" s="277" t="s">
        <x:v>118</x:v>
      </x:c>
      <x:c r="AI170" s="277" t="s">
        <x:v>118</x:v>
      </x:c>
      <x:c r="AJ170" s="277" t="s">
        <x:v>118</x:v>
      </x:c>
      <x:c r="AK170" s="220">
        <x:f>COUNTIF(F170:AJ170,"X")</x:f>
      </x:c>
      <x:c r="AL170" s="221"/>
      <x:c r="AM170" s="221"/>
      <x:c r="AN170" s="222"/>
      <x:c r="AO170" s="222"/>
      <x:c r="AP170" s="228"/>
      <x:c r="AQ170" s="228"/>
      <x:c r="AR170" s="228"/>
      <x:c r="AS170" s="228"/>
      <x:c r="AT170" s="233"/>
    </x:row>
    <x:row r="171" spans="1:47" ht="19.9" customHeight="1">
      <x:c r="A171" s="274" t="s">
        <x:v>719</x:v>
      </x:c>
      <x:c r="B171" s="216"/>
      <x:c r="C171" s="275" t="s">
        <x:v>720</x:v>
      </x:c>
      <x:c r="D171" s="274" t="s">
        <x:v>721</x:v>
      </x:c>
      <x:c r="E171" s="276" t="s">
        <x:v>722</x:v>
      </x:c>
      <x:c r="F171" s="277" t="s">
        <x:v>118</x:v>
      </x:c>
      <x:c r="G171" s="277" t="s">
        <x:v>118</x:v>
      </x:c>
      <x:c r="H171" s="277" t="s">
        <x:v>118</x:v>
      </x:c>
      <x:c r="I171" s="277" t="s">
        <x:v>118</x:v>
      </x:c>
      <x:c r="J171" s="277" t="s">
        <x:v>118</x:v>
      </x:c>
      <x:c r="K171" s="277" t="s">
        <x:v>118</x:v>
      </x:c>
      <x:c r="L171" s="277" t="s">
        <x:v>118</x:v>
      </x:c>
      <x:c r="M171" s="277" t="s">
        <x:v>118</x:v>
      </x:c>
      <x:c r="N171" s="277" t="s">
        <x:v>118</x:v>
      </x:c>
      <x:c r="O171" s="277" t="s">
        <x:v>118</x:v>
      </x:c>
      <x:c r="P171" s="277" t="s">
        <x:v>118</x:v>
      </x:c>
      <x:c r="Q171" s="277" t="s">
        <x:v>118</x:v>
      </x:c>
      <x:c r="R171" s="277" t="s">
        <x:v>118</x:v>
      </x:c>
      <x:c r="S171" s="277" t="s">
        <x:v>118</x:v>
      </x:c>
      <x:c r="T171" s="277" t="s">
        <x:v>118</x:v>
      </x:c>
      <x:c r="U171" s="277" t="s">
        <x:v>118</x:v>
      </x:c>
      <x:c r="V171" s="277" t="s">
        <x:v>118</x:v>
      </x:c>
      <x:c r="W171" s="277" t="s">
        <x:v>118</x:v>
      </x:c>
      <x:c r="X171" s="277" t="s">
        <x:v>118</x:v>
      </x:c>
      <x:c r="Y171" s="277" t="s">
        <x:v>118</x:v>
      </x:c>
      <x:c r="Z171" s="277" t="s">
        <x:v>118</x:v>
      </x:c>
      <x:c r="AA171" s="277" t="s">
        <x:v>118</x:v>
      </x:c>
      <x:c r="AB171" s="277" t="s">
        <x:v>118</x:v>
      </x:c>
      <x:c r="AC171" s="277" t="s">
        <x:v>118</x:v>
      </x:c>
      <x:c r="AD171" s="277" t="s">
        <x:v>118</x:v>
      </x:c>
      <x:c r="AE171" s="277" t="s">
        <x:v>118</x:v>
      </x:c>
      <x:c r="AF171" s="277" t="s">
        <x:v>118</x:v>
      </x:c>
      <x:c r="AG171" s="277" t="s">
        <x:v>118</x:v>
      </x:c>
      <x:c r="AH171" s="277" t="s">
        <x:v>118</x:v>
      </x:c>
      <x:c r="AI171" s="277" t="s">
        <x:v>118</x:v>
      </x:c>
      <x:c r="AJ171" s="277" t="s">
        <x:v>118</x:v>
      </x:c>
      <x:c r="AK171" s="220">
        <x:f>COUNTIF(F171:AJ171,"X")</x:f>
      </x:c>
      <x:c r="AL171" s="221"/>
      <x:c r="AM171" s="221"/>
      <x:c r="AN171" s="222"/>
      <x:c r="AO171" s="222"/>
      <x:c r="AP171" s="228"/>
      <x:c r="AQ171" s="228"/>
      <x:c r="AR171" s="228"/>
      <x:c r="AS171" s="228"/>
      <x:c r="AT171" s="230"/>
    </x:row>
    <x:row r="172" spans="1:47" ht="19.9" customHeight="1">
      <x:c r="A172" s="274" t="s">
        <x:v>723</x:v>
      </x:c>
      <x:c r="B172" s="216"/>
      <x:c r="C172" s="275" t="s">
        <x:v>724</x:v>
      </x:c>
      <x:c r="D172" s="274" t="s">
        <x:v>725</x:v>
      </x:c>
      <x:c r="E172" s="276" t="s">
        <x:v>209</x:v>
      </x:c>
      <x:c r="F172" s="277" t="s">
        <x:v>118</x:v>
      </x:c>
      <x:c r="G172" s="277" t="s">
        <x:v>118</x:v>
      </x:c>
      <x:c r="H172" s="277" t="s">
        <x:v>118</x:v>
      </x:c>
      <x:c r="I172" s="277" t="s">
        <x:v>118</x:v>
      </x:c>
      <x:c r="J172" s="277" t="s">
        <x:v>118</x:v>
      </x:c>
      <x:c r="K172" s="277" t="s">
        <x:v>118</x:v>
      </x:c>
      <x:c r="L172" s="277" t="s">
        <x:v>118</x:v>
      </x:c>
      <x:c r="M172" s="277" t="s">
        <x:v>118</x:v>
      </x:c>
      <x:c r="N172" s="277" t="s">
        <x:v>118</x:v>
      </x:c>
      <x:c r="O172" s="277" t="s">
        <x:v>118</x:v>
      </x:c>
      <x:c r="P172" s="277" t="s">
        <x:v>118</x:v>
      </x:c>
      <x:c r="Q172" s="277" t="s">
        <x:v>118</x:v>
      </x:c>
      <x:c r="R172" s="277" t="s">
        <x:v>118</x:v>
      </x:c>
      <x:c r="S172" s="277" t="s">
        <x:v>118</x:v>
      </x:c>
      <x:c r="T172" s="277" t="s">
        <x:v>118</x:v>
      </x:c>
      <x:c r="U172" s="277" t="s">
        <x:v>118</x:v>
      </x:c>
      <x:c r="V172" s="277" t="s">
        <x:v>118</x:v>
      </x:c>
      <x:c r="W172" s="277" t="s">
        <x:v>118</x:v>
      </x:c>
      <x:c r="X172" s="277" t="s">
        <x:v>118</x:v>
      </x:c>
      <x:c r="Y172" s="277" t="s">
        <x:v>118</x:v>
      </x:c>
      <x:c r="Z172" s="277" t="s">
        <x:v>118</x:v>
      </x:c>
      <x:c r="AA172" s="277" t="s">
        <x:v>118</x:v>
      </x:c>
      <x:c r="AB172" s="277" t="s">
        <x:v>118</x:v>
      </x:c>
      <x:c r="AC172" s="277" t="s">
        <x:v>118</x:v>
      </x:c>
      <x:c r="AD172" s="277" t="s">
        <x:v>118</x:v>
      </x:c>
      <x:c r="AE172" s="277" t="s">
        <x:v>118</x:v>
      </x:c>
      <x:c r="AF172" s="277" t="s">
        <x:v>118</x:v>
      </x:c>
      <x:c r="AG172" s="277" t="s">
        <x:v>118</x:v>
      </x:c>
      <x:c r="AH172" s="277" t="s">
        <x:v>118</x:v>
      </x:c>
      <x:c r="AI172" s="277" t="s">
        <x:v>118</x:v>
      </x:c>
      <x:c r="AJ172" s="277" t="s">
        <x:v>118</x:v>
      </x:c>
      <x:c r="AK172" s="220">
        <x:f>COUNTIF(F172:AJ172,"X")</x:f>
      </x:c>
      <x:c r="AL172" s="221"/>
      <x:c r="AM172" s="221"/>
      <x:c r="AN172" s="222"/>
      <x:c r="AO172" s="222"/>
      <x:c r="AP172" s="228"/>
      <x:c r="AQ172" s="228"/>
      <x:c r="AR172" s="228"/>
      <x:c r="AS172" s="228"/>
      <x:c r="AT172" s="230"/>
    </x:row>
    <x:row r="173" spans="1:47" ht="19.9" customHeight="1">
      <x:c r="A173" s="274" t="s">
        <x:v>726</x:v>
      </x:c>
      <x:c r="B173" s="216"/>
      <x:c r="C173" s="275" t="s">
        <x:v>727</x:v>
      </x:c>
      <x:c r="D173" s="274" t="s">
        <x:v>728</x:v>
      </x:c>
      <x:c r="E173" s="276" t="s">
        <x:v>729</x:v>
      </x:c>
      <x:c r="F173" s="277" t="s">
        <x:v>118</x:v>
      </x:c>
      <x:c r="G173" s="277" t="s">
        <x:v>118</x:v>
      </x:c>
      <x:c r="H173" s="277" t="s">
        <x:v>118</x:v>
      </x:c>
      <x:c r="I173" s="277" t="s">
        <x:v>118</x:v>
      </x:c>
      <x:c r="J173" s="277" t="s">
        <x:v>118</x:v>
      </x:c>
      <x:c r="K173" s="277" t="s">
        <x:v>118</x:v>
      </x:c>
      <x:c r="L173" s="277" t="s">
        <x:v>118</x:v>
      </x:c>
      <x:c r="M173" s="277" t="s">
        <x:v>118</x:v>
      </x:c>
      <x:c r="N173" s="277" t="s">
        <x:v>118</x:v>
      </x:c>
      <x:c r="O173" s="277" t="s">
        <x:v>118</x:v>
      </x:c>
      <x:c r="P173" s="277" t="s">
        <x:v>118</x:v>
      </x:c>
      <x:c r="Q173" s="277" t="s">
        <x:v>118</x:v>
      </x:c>
      <x:c r="R173" s="277" t="s">
        <x:v>118</x:v>
      </x:c>
      <x:c r="S173" s="277" t="s">
        <x:v>118</x:v>
      </x:c>
      <x:c r="T173" s="277" t="s">
        <x:v>118</x:v>
      </x:c>
      <x:c r="U173" s="277" t="s">
        <x:v>118</x:v>
      </x:c>
      <x:c r="V173" s="277" t="s">
        <x:v>118</x:v>
      </x:c>
      <x:c r="W173" s="277" t="s">
        <x:v>118</x:v>
      </x:c>
      <x:c r="X173" s="277" t="s">
        <x:v>118</x:v>
      </x:c>
      <x:c r="Y173" s="277" t="s">
        <x:v>118</x:v>
      </x:c>
      <x:c r="Z173" s="277" t="s">
        <x:v>118</x:v>
      </x:c>
      <x:c r="AA173" s="277" t="s">
        <x:v>118</x:v>
      </x:c>
      <x:c r="AB173" s="277" t="s">
        <x:v>118</x:v>
      </x:c>
      <x:c r="AC173" s="277" t="s">
        <x:v>118</x:v>
      </x:c>
      <x:c r="AD173" s="277" t="s">
        <x:v>118</x:v>
      </x:c>
      <x:c r="AE173" s="277" t="s">
        <x:v>118</x:v>
      </x:c>
      <x:c r="AF173" s="277" t="s">
        <x:v>118</x:v>
      </x:c>
      <x:c r="AG173" s="277" t="s">
        <x:v>118</x:v>
      </x:c>
      <x:c r="AH173" s="277" t="s">
        <x:v>118</x:v>
      </x:c>
      <x:c r="AI173" s="277" t="s">
        <x:v>118</x:v>
      </x:c>
      <x:c r="AJ173" s="277" t="s">
        <x:v>118</x:v>
      </x:c>
      <x:c r="AK173" s="220">
        <x:f>COUNTIF(F173:AJ173,"X")</x:f>
      </x:c>
      <x:c r="AL173" s="221"/>
      <x:c r="AM173" s="221"/>
      <x:c r="AN173" s="222"/>
      <x:c r="AO173" s="222"/>
      <x:c r="AP173" s="228"/>
      <x:c r="AQ173" s="228"/>
      <x:c r="AR173" s="228"/>
      <x:c r="AS173" s="228"/>
      <x:c r="AT173" s="230"/>
    </x:row>
    <x:row r="174" spans="1:47" ht="19.9" customHeight="1">
      <x:c r="A174" s="274" t="s">
        <x:v>730</x:v>
      </x:c>
      <x:c r="B174" s="216"/>
      <x:c r="C174" s="275" t="s">
        <x:v>731</x:v>
      </x:c>
      <x:c r="D174" s="274" t="s">
        <x:v>732</x:v>
      </x:c>
      <x:c r="E174" s="276" t="s">
        <x:v>185</x:v>
      </x:c>
      <x:c r="F174" s="277" t="s">
        <x:v>118</x:v>
      </x:c>
      <x:c r="G174" s="277" t="s">
        <x:v>118</x:v>
      </x:c>
      <x:c r="H174" s="277" t="s">
        <x:v>118</x:v>
      </x:c>
      <x:c r="I174" s="277" t="s">
        <x:v>118</x:v>
      </x:c>
      <x:c r="J174" s="277" t="s">
        <x:v>118</x:v>
      </x:c>
      <x:c r="K174" s="277" t="s">
        <x:v>118</x:v>
      </x:c>
      <x:c r="L174" s="277" t="s">
        <x:v>118</x:v>
      </x:c>
      <x:c r="M174" s="277" t="s">
        <x:v>118</x:v>
      </x:c>
      <x:c r="N174" s="277" t="s">
        <x:v>118</x:v>
      </x:c>
      <x:c r="O174" s="277" t="s">
        <x:v>118</x:v>
      </x:c>
      <x:c r="P174" s="277" t="s">
        <x:v>118</x:v>
      </x:c>
      <x:c r="Q174" s="277" t="s">
        <x:v>118</x:v>
      </x:c>
      <x:c r="R174" s="277" t="s">
        <x:v>118</x:v>
      </x:c>
      <x:c r="S174" s="277" t="s">
        <x:v>118</x:v>
      </x:c>
      <x:c r="T174" s="277" t="s">
        <x:v>118</x:v>
      </x:c>
      <x:c r="U174" s="277" t="s">
        <x:v>118</x:v>
      </x:c>
      <x:c r="V174" s="277" t="s">
        <x:v>118</x:v>
      </x:c>
      <x:c r="W174" s="277" t="s">
        <x:v>118</x:v>
      </x:c>
      <x:c r="X174" s="277" t="s">
        <x:v>118</x:v>
      </x:c>
      <x:c r="Y174" s="277" t="s">
        <x:v>118</x:v>
      </x:c>
      <x:c r="Z174" s="277" t="s">
        <x:v>118</x:v>
      </x:c>
      <x:c r="AA174" s="277" t="s">
        <x:v>118</x:v>
      </x:c>
      <x:c r="AB174" s="277" t="s">
        <x:v>118</x:v>
      </x:c>
      <x:c r="AC174" s="277" t="s">
        <x:v>118</x:v>
      </x:c>
      <x:c r="AD174" s="277" t="s">
        <x:v>118</x:v>
      </x:c>
      <x:c r="AE174" s="277" t="s">
        <x:v>118</x:v>
      </x:c>
      <x:c r="AF174" s="277" t="s">
        <x:v>118</x:v>
      </x:c>
      <x:c r="AG174" s="277" t="s">
        <x:v>118</x:v>
      </x:c>
      <x:c r="AH174" s="277" t="s">
        <x:v>118</x:v>
      </x:c>
      <x:c r="AI174" s="277" t="s">
        <x:v>118</x:v>
      </x:c>
      <x:c r="AJ174" s="277" t="s">
        <x:v>118</x:v>
      </x:c>
      <x:c r="AK174" s="220">
        <x:f>COUNTIF(F174:AJ174,"X")</x:f>
      </x:c>
      <x:c r="AL174" s="221"/>
      <x:c r="AM174" s="221"/>
      <x:c r="AN174" s="222"/>
      <x:c r="AO174" s="222"/>
      <x:c r="AP174" s="228"/>
      <x:c r="AQ174" s="228"/>
      <x:c r="AR174" s="228"/>
      <x:c r="AS174" s="228"/>
      <x:c r="AT174" s="233"/>
    </x:row>
    <x:row r="175" spans="1:47" ht="19.9" customHeight="1">
      <x:c r="A175" s="274" t="s">
        <x:v>733</x:v>
      </x:c>
      <x:c r="B175" s="216"/>
      <x:c r="C175" s="275" t="s">
        <x:v>734</x:v>
      </x:c>
      <x:c r="D175" s="274" t="s">
        <x:v>735</x:v>
      </x:c>
      <x:c r="E175" s="276" t="s">
        <x:v>736</x:v>
      </x:c>
      <x:c r="F175" s="277" t="s">
        <x:v>118</x:v>
      </x:c>
      <x:c r="G175" s="277" t="s">
        <x:v>118</x:v>
      </x:c>
      <x:c r="H175" s="277" t="s">
        <x:v>118</x:v>
      </x:c>
      <x:c r="I175" s="277" t="s">
        <x:v>118</x:v>
      </x:c>
      <x:c r="J175" s="277" t="s">
        <x:v>118</x:v>
      </x:c>
      <x:c r="K175" s="277" t="s">
        <x:v>118</x:v>
      </x:c>
      <x:c r="L175" s="277" t="s">
        <x:v>118</x:v>
      </x:c>
      <x:c r="M175" s="277" t="s">
        <x:v>118</x:v>
      </x:c>
      <x:c r="N175" s="277" t="s">
        <x:v>118</x:v>
      </x:c>
      <x:c r="O175" s="277" t="s">
        <x:v>118</x:v>
      </x:c>
      <x:c r="P175" s="277" t="s">
        <x:v>118</x:v>
      </x:c>
      <x:c r="Q175" s="277" t="s">
        <x:v>118</x:v>
      </x:c>
      <x:c r="R175" s="277" t="s">
        <x:v>118</x:v>
      </x:c>
      <x:c r="S175" s="277" t="s">
        <x:v>118</x:v>
      </x:c>
      <x:c r="T175" s="277" t="s">
        <x:v>118</x:v>
      </x:c>
      <x:c r="U175" s="277" t="s">
        <x:v>118</x:v>
      </x:c>
      <x:c r="V175" s="277" t="s">
        <x:v>118</x:v>
      </x:c>
      <x:c r="W175" s="277" t="s">
        <x:v>118</x:v>
      </x:c>
      <x:c r="X175" s="277" t="s">
        <x:v>118</x:v>
      </x:c>
      <x:c r="Y175" s="277" t="s">
        <x:v>118</x:v>
      </x:c>
      <x:c r="Z175" s="277" t="s">
        <x:v>118</x:v>
      </x:c>
      <x:c r="AA175" s="277" t="s">
        <x:v>118</x:v>
      </x:c>
      <x:c r="AB175" s="277" t="s">
        <x:v>118</x:v>
      </x:c>
      <x:c r="AC175" s="277" t="s">
        <x:v>118</x:v>
      </x:c>
      <x:c r="AD175" s="277" t="s">
        <x:v>118</x:v>
      </x:c>
      <x:c r="AE175" s="277" t="s">
        <x:v>118</x:v>
      </x:c>
      <x:c r="AF175" s="277" t="s">
        <x:v>118</x:v>
      </x:c>
      <x:c r="AG175" s="277" t="s">
        <x:v>118</x:v>
      </x:c>
      <x:c r="AH175" s="277" t="s">
        <x:v>118</x:v>
      </x:c>
      <x:c r="AI175" s="277" t="s">
        <x:v>118</x:v>
      </x:c>
      <x:c r="AJ175" s="277" t="s">
        <x:v>118</x:v>
      </x:c>
      <x:c r="AK175" s="220">
        <x:f>COUNTIF(F175:AJ175,"X")</x:f>
      </x:c>
      <x:c r="AL175" s="221"/>
      <x:c r="AM175" s="221"/>
      <x:c r="AN175" s="222"/>
      <x:c r="AO175" s="222"/>
      <x:c r="AP175" s="228"/>
      <x:c r="AQ175" s="228"/>
      <x:c r="AR175" s="228"/>
      <x:c r="AS175" s="228"/>
      <x:c r="AT175" s="230"/>
    </x:row>
    <x:row r="176" spans="1:47" ht="19.9" customHeight="1">
      <x:c r="A176" s="274" t="s">
        <x:v>737</x:v>
      </x:c>
      <x:c r="B176" s="216"/>
      <x:c r="C176" s="275" t="s">
        <x:v>738</x:v>
      </x:c>
      <x:c r="D176" s="274" t="s">
        <x:v>739</x:v>
      </x:c>
      <x:c r="E176" s="276" t="s">
        <x:v>424</x:v>
      </x:c>
      <x:c r="F176" s="277" t="s">
        <x:v>118</x:v>
      </x:c>
      <x:c r="G176" s="277" t="s">
        <x:v>118</x:v>
      </x:c>
      <x:c r="H176" s="277" t="s">
        <x:v>118</x:v>
      </x:c>
      <x:c r="I176" s="277" t="s">
        <x:v>118</x:v>
      </x:c>
      <x:c r="J176" s="277" t="s">
        <x:v>118</x:v>
      </x:c>
      <x:c r="K176" s="277" t="s">
        <x:v>118</x:v>
      </x:c>
      <x:c r="L176" s="277" t="s">
        <x:v>118</x:v>
      </x:c>
      <x:c r="M176" s="277" t="s">
        <x:v>118</x:v>
      </x:c>
      <x:c r="N176" s="277" t="s">
        <x:v>118</x:v>
      </x:c>
      <x:c r="O176" s="277" t="s">
        <x:v>118</x:v>
      </x:c>
      <x:c r="P176" s="277" t="s">
        <x:v>118</x:v>
      </x:c>
      <x:c r="Q176" s="277" t="s">
        <x:v>118</x:v>
      </x:c>
      <x:c r="R176" s="277" t="s">
        <x:v>118</x:v>
      </x:c>
      <x:c r="S176" s="277" t="s">
        <x:v>118</x:v>
      </x:c>
      <x:c r="T176" s="277" t="s">
        <x:v>118</x:v>
      </x:c>
      <x:c r="U176" s="277" t="s">
        <x:v>118</x:v>
      </x:c>
      <x:c r="V176" s="277" t="s">
        <x:v>118</x:v>
      </x:c>
      <x:c r="W176" s="277" t="s">
        <x:v>118</x:v>
      </x:c>
      <x:c r="X176" s="277" t="s">
        <x:v>118</x:v>
      </x:c>
      <x:c r="Y176" s="277" t="s">
        <x:v>118</x:v>
      </x:c>
      <x:c r="Z176" s="277" t="s">
        <x:v>118</x:v>
      </x:c>
      <x:c r="AA176" s="277" t="s">
        <x:v>118</x:v>
      </x:c>
      <x:c r="AB176" s="277" t="s">
        <x:v>118</x:v>
      </x:c>
      <x:c r="AC176" s="277" t="s">
        <x:v>118</x:v>
      </x:c>
      <x:c r="AD176" s="277" t="s">
        <x:v>118</x:v>
      </x:c>
      <x:c r="AE176" s="277" t="s">
        <x:v>118</x:v>
      </x:c>
      <x:c r="AF176" s="277" t="s">
        <x:v>118</x:v>
      </x:c>
      <x:c r="AG176" s="277" t="s">
        <x:v>118</x:v>
      </x:c>
      <x:c r="AH176" s="277" t="s">
        <x:v>118</x:v>
      </x:c>
      <x:c r="AI176" s="277" t="s">
        <x:v>118</x:v>
      </x:c>
      <x:c r="AJ176" s="277" t="s">
        <x:v>118</x:v>
      </x:c>
      <x:c r="AK176" s="220">
        <x:f>COUNTIF(F176:AJ176,"X")</x:f>
      </x:c>
      <x:c r="AL176" s="221"/>
      <x:c r="AM176" s="221"/>
      <x:c r="AN176" s="222"/>
      <x:c r="AO176" s="222"/>
      <x:c r="AP176" s="228"/>
      <x:c r="AQ176" s="228"/>
      <x:c r="AR176" s="228"/>
      <x:c r="AS176" s="228"/>
      <x:c r="AT176" s="230"/>
    </x:row>
    <x:row r="177" spans="1:47" ht="19.9" customHeight="1">
      <x:c r="A177" s="274" t="s">
        <x:v>740</x:v>
      </x:c>
      <x:c r="B177" s="216"/>
      <x:c r="C177" s="275" t="s">
        <x:v>741</x:v>
      </x:c>
      <x:c r="D177" s="274" t="s">
        <x:v>742</x:v>
      </x:c>
      <x:c r="E177" s="276" t="s">
        <x:v>743</x:v>
      </x:c>
      <x:c r="F177" s="277" t="s">
        <x:v>118</x:v>
      </x:c>
      <x:c r="G177" s="277" t="s">
        <x:v>118</x:v>
      </x:c>
      <x:c r="H177" s="277" t="s">
        <x:v>118</x:v>
      </x:c>
      <x:c r="I177" s="277" t="s">
        <x:v>118</x:v>
      </x:c>
      <x:c r="J177" s="277" t="s">
        <x:v>118</x:v>
      </x:c>
      <x:c r="K177" s="277" t="s">
        <x:v>118</x:v>
      </x:c>
      <x:c r="L177" s="277" t="s">
        <x:v>118</x:v>
      </x:c>
      <x:c r="M177" s="277" t="s">
        <x:v>118</x:v>
      </x:c>
      <x:c r="N177" s="277" t="s">
        <x:v>118</x:v>
      </x:c>
      <x:c r="O177" s="277" t="s">
        <x:v>118</x:v>
      </x:c>
      <x:c r="P177" s="277" t="s">
        <x:v>118</x:v>
      </x:c>
      <x:c r="Q177" s="277" t="s">
        <x:v>118</x:v>
      </x:c>
      <x:c r="R177" s="277" t="s">
        <x:v>118</x:v>
      </x:c>
      <x:c r="S177" s="277" t="s">
        <x:v>118</x:v>
      </x:c>
      <x:c r="T177" s="277" t="s">
        <x:v>118</x:v>
      </x:c>
      <x:c r="U177" s="277" t="s">
        <x:v>118</x:v>
      </x:c>
      <x:c r="V177" s="277" t="s">
        <x:v>118</x:v>
      </x:c>
      <x:c r="W177" s="277" t="s">
        <x:v>118</x:v>
      </x:c>
      <x:c r="X177" s="277" t="s">
        <x:v>118</x:v>
      </x:c>
      <x:c r="Y177" s="277" t="s">
        <x:v>118</x:v>
      </x:c>
      <x:c r="Z177" s="277" t="s">
        <x:v>118</x:v>
      </x:c>
      <x:c r="AA177" s="277" t="s">
        <x:v>118</x:v>
      </x:c>
      <x:c r="AB177" s="277" t="s">
        <x:v>118</x:v>
      </x:c>
      <x:c r="AC177" s="277" t="s">
        <x:v>118</x:v>
      </x:c>
      <x:c r="AD177" s="277" t="s">
        <x:v>118</x:v>
      </x:c>
      <x:c r="AE177" s="277" t="s">
        <x:v>118</x:v>
      </x:c>
      <x:c r="AF177" s="277" t="s">
        <x:v>118</x:v>
      </x:c>
      <x:c r="AG177" s="277" t="s">
        <x:v>118</x:v>
      </x:c>
      <x:c r="AH177" s="277" t="s">
        <x:v>118</x:v>
      </x:c>
      <x:c r="AI177" s="277" t="s">
        <x:v>118</x:v>
      </x:c>
      <x:c r="AJ177" s="277" t="s">
        <x:v>118</x:v>
      </x:c>
      <x:c r="AK177" s="220">
        <x:f>COUNTIF(F177:AJ177,"X")</x:f>
      </x:c>
      <x:c r="AL177" s="221"/>
      <x:c r="AM177" s="221"/>
      <x:c r="AN177" s="222"/>
      <x:c r="AO177" s="222"/>
      <x:c r="AP177" s="228"/>
      <x:c r="AQ177" s="228"/>
      <x:c r="AR177" s="228"/>
      <x:c r="AS177" s="228"/>
      <x:c r="AT177" s="230"/>
    </x:row>
    <x:row r="178" spans="1:47" ht="19.9" customHeight="1">
      <x:c r="A178" s="274" t="s">
        <x:v>744</x:v>
      </x:c>
      <x:c r="B178" s="216"/>
      <x:c r="C178" s="275" t="s">
        <x:v>745</x:v>
      </x:c>
      <x:c r="D178" s="274" t="s">
        <x:v>746</x:v>
      </x:c>
      <x:c r="E178" s="276" t="s">
        <x:v>747</x:v>
      </x:c>
      <x:c r="F178" s="277" t="s">
        <x:v>118</x:v>
      </x:c>
      <x:c r="G178" s="277" t="s">
        <x:v>118</x:v>
      </x:c>
      <x:c r="H178" s="277" t="s">
        <x:v>118</x:v>
      </x:c>
      <x:c r="I178" s="277" t="s">
        <x:v>118</x:v>
      </x:c>
      <x:c r="J178" s="277" t="s">
        <x:v>118</x:v>
      </x:c>
      <x:c r="K178" s="277" t="s">
        <x:v>118</x:v>
      </x:c>
      <x:c r="L178" s="277" t="s">
        <x:v>118</x:v>
      </x:c>
      <x:c r="M178" s="277" t="s">
        <x:v>118</x:v>
      </x:c>
      <x:c r="N178" s="277" t="s">
        <x:v>118</x:v>
      </x:c>
      <x:c r="O178" s="277" t="s">
        <x:v>118</x:v>
      </x:c>
      <x:c r="P178" s="277" t="s">
        <x:v>118</x:v>
      </x:c>
      <x:c r="Q178" s="277" t="s">
        <x:v>118</x:v>
      </x:c>
      <x:c r="R178" s="277" t="s">
        <x:v>118</x:v>
      </x:c>
      <x:c r="S178" s="277" t="s">
        <x:v>118</x:v>
      </x:c>
      <x:c r="T178" s="277" t="s">
        <x:v>118</x:v>
      </x:c>
      <x:c r="U178" s="277" t="s">
        <x:v>118</x:v>
      </x:c>
      <x:c r="V178" s="277" t="s">
        <x:v>118</x:v>
      </x:c>
      <x:c r="W178" s="277" t="s">
        <x:v>118</x:v>
      </x:c>
      <x:c r="X178" s="277" t="s">
        <x:v>118</x:v>
      </x:c>
      <x:c r="Y178" s="277" t="s">
        <x:v>118</x:v>
      </x:c>
      <x:c r="Z178" s="277" t="s">
        <x:v>118</x:v>
      </x:c>
      <x:c r="AA178" s="277" t="s">
        <x:v>118</x:v>
      </x:c>
      <x:c r="AB178" s="277" t="s">
        <x:v>118</x:v>
      </x:c>
      <x:c r="AC178" s="277" t="s">
        <x:v>118</x:v>
      </x:c>
      <x:c r="AD178" s="277" t="s">
        <x:v>118</x:v>
      </x:c>
      <x:c r="AE178" s="277" t="s">
        <x:v>118</x:v>
      </x:c>
      <x:c r="AF178" s="277" t="s">
        <x:v>118</x:v>
      </x:c>
      <x:c r="AG178" s="277" t="s">
        <x:v>118</x:v>
      </x:c>
      <x:c r="AH178" s="277" t="s">
        <x:v>118</x:v>
      </x:c>
      <x:c r="AI178" s="277" t="s">
        <x:v>118</x:v>
      </x:c>
      <x:c r="AJ178" s="277" t="s">
        <x:v>118</x:v>
      </x:c>
      <x:c r="AK178" s="220">
        <x:f>COUNTIF(F178:AJ178,"X")</x:f>
      </x:c>
      <x:c r="AL178" s="221"/>
      <x:c r="AM178" s="221"/>
      <x:c r="AN178" s="222"/>
      <x:c r="AO178" s="222"/>
      <x:c r="AP178" s="228"/>
      <x:c r="AQ178" s="228"/>
      <x:c r="AR178" s="228"/>
      <x:c r="AS178" s="228"/>
      <x:c r="AT178" s="230"/>
    </x:row>
    <x:row r="179" spans="1:47" ht="19.9" customHeight="1">
      <x:c r="A179" s="274" t="s">
        <x:v>748</x:v>
      </x:c>
      <x:c r="B179" s="216"/>
      <x:c r="C179" s="275" t="s">
        <x:v>749</x:v>
      </x:c>
      <x:c r="D179" s="274" t="s">
        <x:v>750</x:v>
      </x:c>
      <x:c r="E179" s="276" t="s">
        <x:v>751</x:v>
      </x:c>
      <x:c r="F179" s="277" t="s">
        <x:v>118</x:v>
      </x:c>
      <x:c r="G179" s="277" t="s">
        <x:v>118</x:v>
      </x:c>
      <x:c r="H179" s="277" t="s">
        <x:v>118</x:v>
      </x:c>
      <x:c r="I179" s="277" t="s">
        <x:v>118</x:v>
      </x:c>
      <x:c r="J179" s="277" t="s">
        <x:v>118</x:v>
      </x:c>
      <x:c r="K179" s="277" t="s">
        <x:v>118</x:v>
      </x:c>
      <x:c r="L179" s="277" t="s">
        <x:v>118</x:v>
      </x:c>
      <x:c r="M179" s="277" t="s">
        <x:v>118</x:v>
      </x:c>
      <x:c r="N179" s="277" t="s">
        <x:v>118</x:v>
      </x:c>
      <x:c r="O179" s="277" t="s">
        <x:v>118</x:v>
      </x:c>
      <x:c r="P179" s="277" t="s">
        <x:v>118</x:v>
      </x:c>
      <x:c r="Q179" s="277" t="s">
        <x:v>118</x:v>
      </x:c>
      <x:c r="R179" s="277" t="s">
        <x:v>118</x:v>
      </x:c>
      <x:c r="S179" s="277" t="s">
        <x:v>118</x:v>
      </x:c>
      <x:c r="T179" s="277" t="s">
        <x:v>118</x:v>
      </x:c>
      <x:c r="U179" s="277" t="s">
        <x:v>118</x:v>
      </x:c>
      <x:c r="V179" s="277" t="s">
        <x:v>118</x:v>
      </x:c>
      <x:c r="W179" s="277" t="s">
        <x:v>118</x:v>
      </x:c>
      <x:c r="X179" s="277" t="s">
        <x:v>118</x:v>
      </x:c>
      <x:c r="Y179" s="277" t="s">
        <x:v>118</x:v>
      </x:c>
      <x:c r="Z179" s="277" t="s">
        <x:v>118</x:v>
      </x:c>
      <x:c r="AA179" s="277" t="s">
        <x:v>118</x:v>
      </x:c>
      <x:c r="AB179" s="277" t="s">
        <x:v>118</x:v>
      </x:c>
      <x:c r="AC179" s="277" t="s">
        <x:v>118</x:v>
      </x:c>
      <x:c r="AD179" s="277" t="s">
        <x:v>118</x:v>
      </x:c>
      <x:c r="AE179" s="277" t="s">
        <x:v>118</x:v>
      </x:c>
      <x:c r="AF179" s="277" t="s">
        <x:v>118</x:v>
      </x:c>
      <x:c r="AG179" s="277" t="s">
        <x:v>118</x:v>
      </x:c>
      <x:c r="AH179" s="277" t="s">
        <x:v>118</x:v>
      </x:c>
      <x:c r="AI179" s="277" t="s">
        <x:v>118</x:v>
      </x:c>
      <x:c r="AJ179" s="277" t="s">
        <x:v>118</x:v>
      </x:c>
      <x:c r="AK179" s="220">
        <x:f>COUNTIF(F179:AJ179,"X")</x:f>
      </x:c>
      <x:c r="AL179" s="221"/>
      <x:c r="AM179" s="221"/>
      <x:c r="AN179" s="222"/>
      <x:c r="AO179" s="222"/>
      <x:c r="AP179" s="228"/>
      <x:c r="AQ179" s="228"/>
      <x:c r="AR179" s="228"/>
      <x:c r="AS179" s="228"/>
      <x:c r="AT179" s="230"/>
    </x:row>
    <x:row r="180" spans="1:47" ht="19.9" customHeight="1">
      <x:c r="A180" s="274" t="s">
        <x:v>752</x:v>
      </x:c>
      <x:c r="B180" s="216"/>
      <x:c r="C180" s="275" t="s">
        <x:v>753</x:v>
      </x:c>
      <x:c r="D180" s="274" t="s">
        <x:v>754</x:v>
      </x:c>
      <x:c r="E180" s="276" t="s">
        <x:v>755</x:v>
      </x:c>
      <x:c r="F180" s="277" t="s">
        <x:v>118</x:v>
      </x:c>
      <x:c r="G180" s="277" t="s">
        <x:v>118</x:v>
      </x:c>
      <x:c r="H180" s="277" t="s">
        <x:v>118</x:v>
      </x:c>
      <x:c r="I180" s="277" t="s">
        <x:v>118</x:v>
      </x:c>
      <x:c r="J180" s="277" t="s">
        <x:v>118</x:v>
      </x:c>
      <x:c r="K180" s="277" t="s">
        <x:v>118</x:v>
      </x:c>
      <x:c r="L180" s="277" t="s">
        <x:v>118</x:v>
      </x:c>
      <x:c r="M180" s="277" t="s">
        <x:v>118</x:v>
      </x:c>
      <x:c r="N180" s="277" t="s">
        <x:v>118</x:v>
      </x:c>
      <x:c r="O180" s="277" t="s">
        <x:v>118</x:v>
      </x:c>
      <x:c r="P180" s="277" t="s">
        <x:v>118</x:v>
      </x:c>
      <x:c r="Q180" s="277" t="s">
        <x:v>118</x:v>
      </x:c>
      <x:c r="R180" s="277" t="s">
        <x:v>118</x:v>
      </x:c>
      <x:c r="S180" s="277" t="s">
        <x:v>118</x:v>
      </x:c>
      <x:c r="T180" s="277" t="s">
        <x:v>118</x:v>
      </x:c>
      <x:c r="U180" s="277" t="s">
        <x:v>118</x:v>
      </x:c>
      <x:c r="V180" s="277" t="s">
        <x:v>118</x:v>
      </x:c>
      <x:c r="W180" s="277" t="s">
        <x:v>118</x:v>
      </x:c>
      <x:c r="X180" s="277" t="s">
        <x:v>118</x:v>
      </x:c>
      <x:c r="Y180" s="277" t="s">
        <x:v>118</x:v>
      </x:c>
      <x:c r="Z180" s="277" t="s">
        <x:v>118</x:v>
      </x:c>
      <x:c r="AA180" s="277" t="s">
        <x:v>118</x:v>
      </x:c>
      <x:c r="AB180" s="277" t="s">
        <x:v>118</x:v>
      </x:c>
      <x:c r="AC180" s="277" t="s">
        <x:v>118</x:v>
      </x:c>
      <x:c r="AD180" s="277" t="s">
        <x:v>118</x:v>
      </x:c>
      <x:c r="AE180" s="277" t="s">
        <x:v>118</x:v>
      </x:c>
      <x:c r="AF180" s="277" t="s">
        <x:v>118</x:v>
      </x:c>
      <x:c r="AG180" s="277" t="s">
        <x:v>118</x:v>
      </x:c>
      <x:c r="AH180" s="277" t="s">
        <x:v>118</x:v>
      </x:c>
      <x:c r="AI180" s="277" t="s">
        <x:v>118</x:v>
      </x:c>
      <x:c r="AJ180" s="277" t="s">
        <x:v>118</x:v>
      </x:c>
      <x:c r="AK180" s="220">
        <x:f>COUNTIF(F180:AJ180,"X")</x:f>
      </x:c>
      <x:c r="AL180" s="221"/>
      <x:c r="AM180" s="221"/>
      <x:c r="AN180" s="222"/>
      <x:c r="AO180" s="222"/>
      <x:c r="AP180" s="228"/>
      <x:c r="AQ180" s="228"/>
      <x:c r="AR180" s="228"/>
      <x:c r="AS180" s="228"/>
      <x:c r="AT180" s="230"/>
    </x:row>
    <x:row r="181" spans="1:47" ht="19.9" customHeight="1">
      <x:c r="A181" s="274" t="s">
        <x:v>756</x:v>
      </x:c>
      <x:c r="B181" s="216"/>
      <x:c r="C181" s="275" t="s">
        <x:v>757</x:v>
      </x:c>
      <x:c r="D181" s="274" t="s">
        <x:v>758</x:v>
      </x:c>
      <x:c r="E181" s="276" t="s">
        <x:v>759</x:v>
      </x:c>
      <x:c r="F181" s="277" t="s">
        <x:v>118</x:v>
      </x:c>
      <x:c r="G181" s="277" t="s">
        <x:v>118</x:v>
      </x:c>
      <x:c r="H181" s="277" t="s">
        <x:v>118</x:v>
      </x:c>
      <x:c r="I181" s="277" t="s">
        <x:v>118</x:v>
      </x:c>
      <x:c r="J181" s="277" t="s">
        <x:v>118</x:v>
      </x:c>
      <x:c r="K181" s="277" t="s">
        <x:v>118</x:v>
      </x:c>
      <x:c r="L181" s="277" t="s">
        <x:v>118</x:v>
      </x:c>
      <x:c r="M181" s="277" t="s">
        <x:v>118</x:v>
      </x:c>
      <x:c r="N181" s="277" t="s">
        <x:v>118</x:v>
      </x:c>
      <x:c r="O181" s="277" t="s">
        <x:v>118</x:v>
      </x:c>
      <x:c r="P181" s="277" t="s">
        <x:v>118</x:v>
      </x:c>
      <x:c r="Q181" s="277" t="s">
        <x:v>118</x:v>
      </x:c>
      <x:c r="R181" s="277" t="s">
        <x:v>118</x:v>
      </x:c>
      <x:c r="S181" s="277" t="s">
        <x:v>118</x:v>
      </x:c>
      <x:c r="T181" s="277" t="s">
        <x:v>118</x:v>
      </x:c>
      <x:c r="U181" s="277" t="s">
        <x:v>118</x:v>
      </x:c>
      <x:c r="V181" s="277" t="s">
        <x:v>118</x:v>
      </x:c>
      <x:c r="W181" s="277" t="s">
        <x:v>118</x:v>
      </x:c>
      <x:c r="X181" s="277" t="s">
        <x:v>118</x:v>
      </x:c>
      <x:c r="Y181" s="277" t="s">
        <x:v>118</x:v>
      </x:c>
      <x:c r="Z181" s="277" t="s">
        <x:v>118</x:v>
      </x:c>
      <x:c r="AA181" s="277" t="s">
        <x:v>118</x:v>
      </x:c>
      <x:c r="AB181" s="277" t="s">
        <x:v>118</x:v>
      </x:c>
      <x:c r="AC181" s="277" t="s">
        <x:v>118</x:v>
      </x:c>
      <x:c r="AD181" s="277" t="s">
        <x:v>118</x:v>
      </x:c>
      <x:c r="AE181" s="277" t="s">
        <x:v>118</x:v>
      </x:c>
      <x:c r="AF181" s="277" t="s">
        <x:v>118</x:v>
      </x:c>
      <x:c r="AG181" s="277" t="s">
        <x:v>118</x:v>
      </x:c>
      <x:c r="AH181" s="277" t="s">
        <x:v>118</x:v>
      </x:c>
      <x:c r="AI181" s="277" t="s">
        <x:v>118</x:v>
      </x:c>
      <x:c r="AJ181" s="277" t="s">
        <x:v>118</x:v>
      </x:c>
      <x:c r="AK181" s="220">
        <x:f>COUNTIF(F181:AJ181,"X")</x:f>
      </x:c>
      <x:c r="AL181" s="221"/>
      <x:c r="AM181" s="221"/>
      <x:c r="AN181" s="222"/>
      <x:c r="AO181" s="222"/>
      <x:c r="AP181" s="228"/>
      <x:c r="AQ181" s="228"/>
      <x:c r="AR181" s="228"/>
      <x:c r="AS181" s="228"/>
      <x:c r="AT181" s="230"/>
    </x:row>
    <x:row r="182" spans="1:47" ht="19.9" customHeight="1">
      <x:c r="A182" s="274" t="s">
        <x:v>760</x:v>
      </x:c>
      <x:c r="B182" s="216"/>
      <x:c r="C182" s="275" t="s">
        <x:v>761</x:v>
      </x:c>
      <x:c r="D182" s="274" t="s">
        <x:v>762</x:v>
      </x:c>
      <x:c r="E182" s="276" t="s">
        <x:v>2</x:v>
      </x:c>
      <x:c r="F182" s="277" t="s">
        <x:v>118</x:v>
      </x:c>
      <x:c r="G182" s="277" t="s">
        <x:v>118</x:v>
      </x:c>
      <x:c r="H182" s="277" t="s">
        <x:v>118</x:v>
      </x:c>
      <x:c r="I182" s="277" t="s">
        <x:v>118</x:v>
      </x:c>
      <x:c r="J182" s="277" t="s">
        <x:v>118</x:v>
      </x:c>
      <x:c r="K182" s="277" t="s">
        <x:v>118</x:v>
      </x:c>
      <x:c r="L182" s="277" t="s">
        <x:v>118</x:v>
      </x:c>
      <x:c r="M182" s="277" t="s">
        <x:v>118</x:v>
      </x:c>
      <x:c r="N182" s="277" t="s">
        <x:v>118</x:v>
      </x:c>
      <x:c r="O182" s="277" t="s">
        <x:v>118</x:v>
      </x:c>
      <x:c r="P182" s="277" t="s">
        <x:v>118</x:v>
      </x:c>
      <x:c r="Q182" s="277" t="s">
        <x:v>118</x:v>
      </x:c>
      <x:c r="R182" s="277" t="s">
        <x:v>118</x:v>
      </x:c>
      <x:c r="S182" s="277" t="s">
        <x:v>118</x:v>
      </x:c>
      <x:c r="T182" s="277" t="s">
        <x:v>118</x:v>
      </x:c>
      <x:c r="U182" s="277" t="s">
        <x:v>118</x:v>
      </x:c>
      <x:c r="V182" s="277" t="s">
        <x:v>118</x:v>
      </x:c>
      <x:c r="W182" s="277" t="s">
        <x:v>118</x:v>
      </x:c>
      <x:c r="X182" s="277" t="s">
        <x:v>118</x:v>
      </x:c>
      <x:c r="Y182" s="277" t="s">
        <x:v>118</x:v>
      </x:c>
      <x:c r="Z182" s="277" t="s">
        <x:v>118</x:v>
      </x:c>
      <x:c r="AA182" s="277" t="s">
        <x:v>118</x:v>
      </x:c>
      <x:c r="AB182" s="277" t="s">
        <x:v>118</x:v>
      </x:c>
      <x:c r="AC182" s="277" t="s">
        <x:v>118</x:v>
      </x:c>
      <x:c r="AD182" s="277" t="s">
        <x:v>118</x:v>
      </x:c>
      <x:c r="AE182" s="277" t="s">
        <x:v>118</x:v>
      </x:c>
      <x:c r="AF182" s="277" t="s">
        <x:v>118</x:v>
      </x:c>
      <x:c r="AG182" s="277" t="s">
        <x:v>118</x:v>
      </x:c>
      <x:c r="AH182" s="277" t="s">
        <x:v>118</x:v>
      </x:c>
      <x:c r="AI182" s="277" t="s">
        <x:v>118</x:v>
      </x:c>
      <x:c r="AJ182" s="277" t="s">
        <x:v>118</x:v>
      </x:c>
      <x:c r="AK182" s="220">
        <x:f>COUNTIF(F182:AJ182,"X")</x:f>
      </x:c>
      <x:c r="AL182" s="221"/>
      <x:c r="AM182" s="221"/>
      <x:c r="AN182" s="222"/>
      <x:c r="AO182" s="222"/>
      <x:c r="AP182" s="228"/>
      <x:c r="AQ182" s="228"/>
      <x:c r="AR182" s="228"/>
      <x:c r="AS182" s="228"/>
      <x:c r="AT182" s="230"/>
    </x:row>
    <x:row r="183" spans="1:47" ht="19.9" customHeight="1">
      <x:c r="A183" s="274" t="s">
        <x:v>763</x:v>
      </x:c>
      <x:c r="B183" s="216"/>
      <x:c r="C183" s="275" t="s">
        <x:v>764</x:v>
      </x:c>
      <x:c r="D183" s="274" t="s">
        <x:v>765</x:v>
      </x:c>
      <x:c r="E183" s="276" t="s">
        <x:v>766</x:v>
      </x:c>
      <x:c r="F183" s="277" t="s">
        <x:v>118</x:v>
      </x:c>
      <x:c r="G183" s="277" t="s">
        <x:v>118</x:v>
      </x:c>
      <x:c r="H183" s="277" t="s">
        <x:v>118</x:v>
      </x:c>
      <x:c r="I183" s="277" t="s">
        <x:v>118</x:v>
      </x:c>
      <x:c r="J183" s="277" t="s">
        <x:v>118</x:v>
      </x:c>
      <x:c r="K183" s="277" t="s">
        <x:v>118</x:v>
      </x:c>
      <x:c r="L183" s="277" t="s">
        <x:v>118</x:v>
      </x:c>
      <x:c r="M183" s="277" t="s">
        <x:v>118</x:v>
      </x:c>
      <x:c r="N183" s="277" t="s">
        <x:v>118</x:v>
      </x:c>
      <x:c r="O183" s="277" t="s">
        <x:v>118</x:v>
      </x:c>
      <x:c r="P183" s="277" t="s">
        <x:v>118</x:v>
      </x:c>
      <x:c r="Q183" s="277" t="s">
        <x:v>118</x:v>
      </x:c>
      <x:c r="R183" s="277" t="s">
        <x:v>118</x:v>
      </x:c>
      <x:c r="S183" s="277" t="s">
        <x:v>118</x:v>
      </x:c>
      <x:c r="T183" s="277" t="s">
        <x:v>118</x:v>
      </x:c>
      <x:c r="U183" s="277" t="s">
        <x:v>118</x:v>
      </x:c>
      <x:c r="V183" s="277" t="s">
        <x:v>118</x:v>
      </x:c>
      <x:c r="W183" s="277" t="s">
        <x:v>118</x:v>
      </x:c>
      <x:c r="X183" s="277" t="s">
        <x:v>118</x:v>
      </x:c>
      <x:c r="Y183" s="277" t="s">
        <x:v>118</x:v>
      </x:c>
      <x:c r="Z183" s="277" t="s">
        <x:v>118</x:v>
      </x:c>
      <x:c r="AA183" s="277" t="s">
        <x:v>118</x:v>
      </x:c>
      <x:c r="AB183" s="277" t="s">
        <x:v>118</x:v>
      </x:c>
      <x:c r="AC183" s="277" t="s">
        <x:v>118</x:v>
      </x:c>
      <x:c r="AD183" s="277" t="s">
        <x:v>118</x:v>
      </x:c>
      <x:c r="AE183" s="277" t="s">
        <x:v>118</x:v>
      </x:c>
      <x:c r="AF183" s="277" t="s">
        <x:v>118</x:v>
      </x:c>
      <x:c r="AG183" s="277" t="s">
        <x:v>118</x:v>
      </x:c>
      <x:c r="AH183" s="277" t="s">
        <x:v>118</x:v>
      </x:c>
      <x:c r="AI183" s="277" t="s">
        <x:v>118</x:v>
      </x:c>
      <x:c r="AJ183" s="277" t="s">
        <x:v>118</x:v>
      </x:c>
      <x:c r="AK183" s="220">
        <x:f>COUNTIF(F183:AJ183,"X")</x:f>
      </x:c>
      <x:c r="AL183" s="221"/>
      <x:c r="AM183" s="221"/>
      <x:c r="AN183" s="222"/>
      <x:c r="AO183" s="222"/>
      <x:c r="AP183" s="228"/>
      <x:c r="AQ183" s="228"/>
      <x:c r="AR183" s="228"/>
      <x:c r="AS183" s="228"/>
      <x:c r="AT183" s="230"/>
    </x:row>
    <x:row r="184" spans="1:47" ht="19.9" customHeight="1">
      <x:c r="A184" s="274" t="s">
        <x:v>767</x:v>
      </x:c>
      <x:c r="B184" s="216"/>
      <x:c r="C184" s="275" t="s">
        <x:v>768</x:v>
      </x:c>
      <x:c r="D184" s="274" t="s">
        <x:v>769</x:v>
      </x:c>
      <x:c r="E184" s="276" t="s">
        <x:v>770</x:v>
      </x:c>
      <x:c r="F184" s="277" t="s">
        <x:v>118</x:v>
      </x:c>
      <x:c r="G184" s="277" t="s">
        <x:v>118</x:v>
      </x:c>
      <x:c r="H184" s="277" t="s">
        <x:v>118</x:v>
      </x:c>
      <x:c r="I184" s="277" t="s">
        <x:v>118</x:v>
      </x:c>
      <x:c r="J184" s="277" t="s">
        <x:v>118</x:v>
      </x:c>
      <x:c r="K184" s="277" t="s">
        <x:v>118</x:v>
      </x:c>
      <x:c r="L184" s="277" t="s">
        <x:v>118</x:v>
      </x:c>
      <x:c r="M184" s="277" t="s">
        <x:v>118</x:v>
      </x:c>
      <x:c r="N184" s="277" t="s">
        <x:v>118</x:v>
      </x:c>
      <x:c r="O184" s="277" t="s">
        <x:v>118</x:v>
      </x:c>
      <x:c r="P184" s="277" t="s">
        <x:v>118</x:v>
      </x:c>
      <x:c r="Q184" s="277" t="s">
        <x:v>118</x:v>
      </x:c>
      <x:c r="R184" s="277" t="s">
        <x:v>118</x:v>
      </x:c>
      <x:c r="S184" s="277" t="s">
        <x:v>118</x:v>
      </x:c>
      <x:c r="T184" s="277" t="s">
        <x:v>118</x:v>
      </x:c>
      <x:c r="U184" s="277" t="s">
        <x:v>118</x:v>
      </x:c>
      <x:c r="V184" s="277" t="s">
        <x:v>118</x:v>
      </x:c>
      <x:c r="W184" s="277" t="s">
        <x:v>118</x:v>
      </x:c>
      <x:c r="X184" s="277" t="s">
        <x:v>118</x:v>
      </x:c>
      <x:c r="Y184" s="277" t="s">
        <x:v>118</x:v>
      </x:c>
      <x:c r="Z184" s="277" t="s">
        <x:v>118</x:v>
      </x:c>
      <x:c r="AA184" s="277" t="s">
        <x:v>118</x:v>
      </x:c>
      <x:c r="AB184" s="277" t="s">
        <x:v>118</x:v>
      </x:c>
      <x:c r="AC184" s="277" t="s">
        <x:v>118</x:v>
      </x:c>
      <x:c r="AD184" s="277" t="s">
        <x:v>118</x:v>
      </x:c>
      <x:c r="AE184" s="277" t="s">
        <x:v>118</x:v>
      </x:c>
      <x:c r="AF184" s="277" t="s">
        <x:v>118</x:v>
      </x:c>
      <x:c r="AG184" s="277" t="s">
        <x:v>118</x:v>
      </x:c>
      <x:c r="AH184" s="277" t="s">
        <x:v>118</x:v>
      </x:c>
      <x:c r="AI184" s="277" t="s">
        <x:v>118</x:v>
      </x:c>
      <x:c r="AJ184" s="277" t="s">
        <x:v>118</x:v>
      </x:c>
      <x:c r="AK184" s="220">
        <x:f>COUNTIF(F184:AJ184,"X")</x:f>
      </x:c>
      <x:c r="AL184" s="221"/>
      <x:c r="AM184" s="221"/>
      <x:c r="AN184" s="222"/>
      <x:c r="AO184" s="222"/>
      <x:c r="AP184" s="228"/>
      <x:c r="AQ184" s="228"/>
      <x:c r="AR184" s="228"/>
      <x:c r="AS184" s="228"/>
      <x:c r="AT184" s="230"/>
    </x:row>
    <x:row r="185" spans="1:47" ht="19.9" customHeight="1">
      <x:c r="A185" s="274" t="s">
        <x:v>771</x:v>
      </x:c>
      <x:c r="B185" s="216"/>
      <x:c r="C185" s="275" t="s">
        <x:v>772</x:v>
      </x:c>
      <x:c r="D185" s="274" t="s">
        <x:v>773</x:v>
      </x:c>
      <x:c r="E185" s="276" t="s">
        <x:v>774</x:v>
      </x:c>
      <x:c r="F185" s="277" t="s">
        <x:v>118</x:v>
      </x:c>
      <x:c r="G185" s="277" t="s">
        <x:v>118</x:v>
      </x:c>
      <x:c r="H185" s="277" t="s">
        <x:v>118</x:v>
      </x:c>
      <x:c r="I185" s="277" t="s">
        <x:v>118</x:v>
      </x:c>
      <x:c r="J185" s="277" t="s">
        <x:v>118</x:v>
      </x:c>
      <x:c r="K185" s="277" t="s">
        <x:v>118</x:v>
      </x:c>
      <x:c r="L185" s="277" t="s">
        <x:v>118</x:v>
      </x:c>
      <x:c r="M185" s="277" t="s">
        <x:v>118</x:v>
      </x:c>
      <x:c r="N185" s="277" t="s">
        <x:v>118</x:v>
      </x:c>
      <x:c r="O185" s="277" t="s">
        <x:v>118</x:v>
      </x:c>
      <x:c r="P185" s="277" t="s">
        <x:v>118</x:v>
      </x:c>
      <x:c r="Q185" s="277" t="s">
        <x:v>118</x:v>
      </x:c>
      <x:c r="R185" s="277" t="s">
        <x:v>118</x:v>
      </x:c>
      <x:c r="S185" s="277" t="s">
        <x:v>118</x:v>
      </x:c>
      <x:c r="T185" s="277" t="s">
        <x:v>118</x:v>
      </x:c>
      <x:c r="U185" s="277" t="s">
        <x:v>118</x:v>
      </x:c>
      <x:c r="V185" s="277" t="s">
        <x:v>118</x:v>
      </x:c>
      <x:c r="W185" s="277" t="s">
        <x:v>118</x:v>
      </x:c>
      <x:c r="X185" s="277" t="s">
        <x:v>118</x:v>
      </x:c>
      <x:c r="Y185" s="277" t="s">
        <x:v>118</x:v>
      </x:c>
      <x:c r="Z185" s="277" t="s">
        <x:v>118</x:v>
      </x:c>
      <x:c r="AA185" s="277" t="s">
        <x:v>118</x:v>
      </x:c>
      <x:c r="AB185" s="277" t="s">
        <x:v>118</x:v>
      </x:c>
      <x:c r="AC185" s="277" t="s">
        <x:v>118</x:v>
      </x:c>
      <x:c r="AD185" s="277" t="s">
        <x:v>118</x:v>
      </x:c>
      <x:c r="AE185" s="277" t="s">
        <x:v>118</x:v>
      </x:c>
      <x:c r="AF185" s="277" t="s">
        <x:v>118</x:v>
      </x:c>
      <x:c r="AG185" s="277" t="s">
        <x:v>118</x:v>
      </x:c>
      <x:c r="AH185" s="277" t="s">
        <x:v>118</x:v>
      </x:c>
      <x:c r="AI185" s="277" t="s">
        <x:v>118</x:v>
      </x:c>
      <x:c r="AJ185" s="277" t="s">
        <x:v>118</x:v>
      </x:c>
      <x:c r="AK185" s="220">
        <x:f>COUNTIF(F185:AJ185,"X")</x:f>
      </x:c>
      <x:c r="AL185" s="221"/>
      <x:c r="AM185" s="221"/>
      <x:c r="AN185" s="222"/>
      <x:c r="AO185" s="222"/>
      <x:c r="AP185" s="228"/>
      <x:c r="AQ185" s="228"/>
      <x:c r="AR185" s="228"/>
      <x:c r="AS185" s="228"/>
      <x:c r="AT185" s="235"/>
    </x:row>
    <x:row r="186" spans="1:47" ht="19.9" customHeight="1">
      <x:c r="A186" s="274" t="s">
        <x:v>775</x:v>
      </x:c>
      <x:c r="B186" s="216"/>
      <x:c r="C186" s="275" t="s">
        <x:v>776</x:v>
      </x:c>
      <x:c r="D186" s="274" t="s">
        <x:v>773</x:v>
      </x:c>
      <x:c r="E186" s="276" t="s">
        <x:v>777</x:v>
      </x:c>
      <x:c r="F186" s="277" t="s">
        <x:v>118</x:v>
      </x:c>
      <x:c r="G186" s="277" t="s">
        <x:v>118</x:v>
      </x:c>
      <x:c r="H186" s="277" t="s">
        <x:v>118</x:v>
      </x:c>
      <x:c r="I186" s="277" t="s">
        <x:v>118</x:v>
      </x:c>
      <x:c r="J186" s="277" t="s">
        <x:v>118</x:v>
      </x:c>
      <x:c r="K186" s="277" t="s">
        <x:v>118</x:v>
      </x:c>
      <x:c r="L186" s="277" t="s">
        <x:v>118</x:v>
      </x:c>
      <x:c r="M186" s="277" t="s">
        <x:v>118</x:v>
      </x:c>
      <x:c r="N186" s="277" t="s">
        <x:v>118</x:v>
      </x:c>
      <x:c r="O186" s="277" t="s">
        <x:v>118</x:v>
      </x:c>
      <x:c r="P186" s="277" t="s">
        <x:v>118</x:v>
      </x:c>
      <x:c r="Q186" s="277" t="s">
        <x:v>118</x:v>
      </x:c>
      <x:c r="R186" s="277" t="s">
        <x:v>118</x:v>
      </x:c>
      <x:c r="S186" s="277" t="s">
        <x:v>118</x:v>
      </x:c>
      <x:c r="T186" s="277" t="s">
        <x:v>118</x:v>
      </x:c>
      <x:c r="U186" s="277" t="s">
        <x:v>118</x:v>
      </x:c>
      <x:c r="V186" s="277" t="s">
        <x:v>118</x:v>
      </x:c>
      <x:c r="W186" s="277" t="s">
        <x:v>118</x:v>
      </x:c>
      <x:c r="X186" s="277" t="s">
        <x:v>118</x:v>
      </x:c>
      <x:c r="Y186" s="277" t="s">
        <x:v>118</x:v>
      </x:c>
      <x:c r="Z186" s="277" t="s">
        <x:v>118</x:v>
      </x:c>
      <x:c r="AA186" s="277" t="s">
        <x:v>118</x:v>
      </x:c>
      <x:c r="AB186" s="277" t="s">
        <x:v>118</x:v>
      </x:c>
      <x:c r="AC186" s="277" t="s">
        <x:v>118</x:v>
      </x:c>
      <x:c r="AD186" s="277" t="s">
        <x:v>118</x:v>
      </x:c>
      <x:c r="AE186" s="277" t="s">
        <x:v>118</x:v>
      </x:c>
      <x:c r="AF186" s="277" t="s">
        <x:v>118</x:v>
      </x:c>
      <x:c r="AG186" s="277" t="s">
        <x:v>118</x:v>
      </x:c>
      <x:c r="AH186" s="277" t="s">
        <x:v>118</x:v>
      </x:c>
      <x:c r="AI186" s="277" t="s">
        <x:v>118</x:v>
      </x:c>
      <x:c r="AJ186" s="277" t="s">
        <x:v>118</x:v>
      </x:c>
      <x:c r="AK186" s="220">
        <x:f>COUNTIF(F186:AJ186,"X")</x:f>
      </x:c>
      <x:c r="AL186" s="221"/>
      <x:c r="AM186" s="221"/>
      <x:c r="AN186" s="222"/>
      <x:c r="AO186" s="222"/>
      <x:c r="AP186" s="228"/>
      <x:c r="AQ186" s="228"/>
      <x:c r="AR186" s="228"/>
      <x:c r="AS186" s="228"/>
      <x:c r="AT186" s="230"/>
    </x:row>
    <x:row r="187" spans="1:47" ht="19.9" customHeight="1">
      <x:c r="A187" s="274" t="s">
        <x:v>778</x:v>
      </x:c>
      <x:c r="B187" s="216"/>
      <x:c r="C187" s="275" t="s">
        <x:v>779</x:v>
      </x:c>
      <x:c r="D187" s="274" t="s">
        <x:v>773</x:v>
      </x:c>
      <x:c r="E187" s="276" t="s">
        <x:v>780</x:v>
      </x:c>
      <x:c r="F187" s="277" t="s">
        <x:v>118</x:v>
      </x:c>
      <x:c r="G187" s="277" t="s">
        <x:v>118</x:v>
      </x:c>
      <x:c r="H187" s="277" t="s">
        <x:v>118</x:v>
      </x:c>
      <x:c r="I187" s="277" t="s">
        <x:v>118</x:v>
      </x:c>
      <x:c r="J187" s="277" t="s">
        <x:v>118</x:v>
      </x:c>
      <x:c r="K187" s="277" t="s">
        <x:v>118</x:v>
      </x:c>
      <x:c r="L187" s="277" t="s">
        <x:v>118</x:v>
      </x:c>
      <x:c r="M187" s="277" t="s">
        <x:v>118</x:v>
      </x:c>
      <x:c r="N187" s="277" t="s">
        <x:v>118</x:v>
      </x:c>
      <x:c r="O187" s="277" t="s">
        <x:v>118</x:v>
      </x:c>
      <x:c r="P187" s="277" t="s">
        <x:v>118</x:v>
      </x:c>
      <x:c r="Q187" s="277" t="s">
        <x:v>118</x:v>
      </x:c>
      <x:c r="R187" s="277" t="s">
        <x:v>118</x:v>
      </x:c>
      <x:c r="S187" s="277" t="s">
        <x:v>118</x:v>
      </x:c>
      <x:c r="T187" s="277" t="s">
        <x:v>118</x:v>
      </x:c>
      <x:c r="U187" s="277" t="s">
        <x:v>118</x:v>
      </x:c>
      <x:c r="V187" s="277" t="s">
        <x:v>118</x:v>
      </x:c>
      <x:c r="W187" s="277" t="s">
        <x:v>118</x:v>
      </x:c>
      <x:c r="X187" s="277" t="s">
        <x:v>118</x:v>
      </x:c>
      <x:c r="Y187" s="277" t="s">
        <x:v>118</x:v>
      </x:c>
      <x:c r="Z187" s="277" t="s">
        <x:v>118</x:v>
      </x:c>
      <x:c r="AA187" s="277" t="s">
        <x:v>118</x:v>
      </x:c>
      <x:c r="AB187" s="277" t="s">
        <x:v>118</x:v>
      </x:c>
      <x:c r="AC187" s="277" t="s">
        <x:v>118</x:v>
      </x:c>
      <x:c r="AD187" s="277" t="s">
        <x:v>118</x:v>
      </x:c>
      <x:c r="AE187" s="277" t="s">
        <x:v>118</x:v>
      </x:c>
      <x:c r="AF187" s="277" t="s">
        <x:v>118</x:v>
      </x:c>
      <x:c r="AG187" s="277" t="s">
        <x:v>118</x:v>
      </x:c>
      <x:c r="AH187" s="277" t="s">
        <x:v>118</x:v>
      </x:c>
      <x:c r="AI187" s="277" t="s">
        <x:v>118</x:v>
      </x:c>
      <x:c r="AJ187" s="277" t="s">
        <x:v>118</x:v>
      </x:c>
      <x:c r="AK187" s="220">
        <x:f>COUNTIF(F187:AJ187,"X")</x:f>
      </x:c>
      <x:c r="AL187" s="221"/>
      <x:c r="AM187" s="221"/>
      <x:c r="AN187" s="222"/>
      <x:c r="AO187" s="222"/>
      <x:c r="AP187" s="228"/>
      <x:c r="AQ187" s="228"/>
      <x:c r="AR187" s="228"/>
      <x:c r="AS187" s="228"/>
      <x:c r="AT187" s="230"/>
    </x:row>
    <x:row r="188" spans="1:47" ht="19.9" customHeight="1">
      <x:c r="A188" s="274" t="s">
        <x:v>781</x:v>
      </x:c>
      <x:c r="B188" s="216"/>
      <x:c r="C188" s="275" t="s">
        <x:v>782</x:v>
      </x:c>
      <x:c r="D188" s="274" t="s">
        <x:v>783</x:v>
      </x:c>
      <x:c r="E188" s="276" t="s">
        <x:v>784</x:v>
      </x:c>
      <x:c r="F188" s="277" t="s">
        <x:v>118</x:v>
      </x:c>
      <x:c r="G188" s="277" t="s">
        <x:v>118</x:v>
      </x:c>
      <x:c r="H188" s="277" t="s">
        <x:v>118</x:v>
      </x:c>
      <x:c r="I188" s="277" t="s">
        <x:v>118</x:v>
      </x:c>
      <x:c r="J188" s="277" t="s">
        <x:v>118</x:v>
      </x:c>
      <x:c r="K188" s="277" t="s">
        <x:v>118</x:v>
      </x:c>
      <x:c r="L188" s="277" t="s">
        <x:v>118</x:v>
      </x:c>
      <x:c r="M188" s="277" t="s">
        <x:v>118</x:v>
      </x:c>
      <x:c r="N188" s="277" t="s">
        <x:v>118</x:v>
      </x:c>
      <x:c r="O188" s="277" t="s">
        <x:v>118</x:v>
      </x:c>
      <x:c r="P188" s="277" t="s">
        <x:v>118</x:v>
      </x:c>
      <x:c r="Q188" s="277" t="s">
        <x:v>118</x:v>
      </x:c>
      <x:c r="R188" s="277" t="s">
        <x:v>118</x:v>
      </x:c>
      <x:c r="S188" s="277" t="s">
        <x:v>118</x:v>
      </x:c>
      <x:c r="T188" s="277" t="s">
        <x:v>118</x:v>
      </x:c>
      <x:c r="U188" s="277" t="s">
        <x:v>118</x:v>
      </x:c>
      <x:c r="V188" s="277" t="s">
        <x:v>118</x:v>
      </x:c>
      <x:c r="W188" s="277" t="s">
        <x:v>118</x:v>
      </x:c>
      <x:c r="X188" s="277" t="s">
        <x:v>118</x:v>
      </x:c>
      <x:c r="Y188" s="277" t="s">
        <x:v>118</x:v>
      </x:c>
      <x:c r="Z188" s="277" t="s">
        <x:v>118</x:v>
      </x:c>
      <x:c r="AA188" s="277" t="s">
        <x:v>118</x:v>
      </x:c>
      <x:c r="AB188" s="277" t="s">
        <x:v>118</x:v>
      </x:c>
      <x:c r="AC188" s="277" t="s">
        <x:v>118</x:v>
      </x:c>
      <x:c r="AD188" s="277" t="s">
        <x:v>118</x:v>
      </x:c>
      <x:c r="AE188" s="277" t="s">
        <x:v>118</x:v>
      </x:c>
      <x:c r="AF188" s="277" t="s">
        <x:v>118</x:v>
      </x:c>
      <x:c r="AG188" s="277" t="s">
        <x:v>118</x:v>
      </x:c>
      <x:c r="AH188" s="277" t="s">
        <x:v>118</x:v>
      </x:c>
      <x:c r="AI188" s="277" t="s">
        <x:v>118</x:v>
      </x:c>
      <x:c r="AJ188" s="277" t="s">
        <x:v>118</x:v>
      </x:c>
      <x:c r="AK188" s="220">
        <x:f>COUNTIF(F188:AJ188,"X")</x:f>
      </x:c>
      <x:c r="AL188" s="221"/>
      <x:c r="AM188" s="221"/>
      <x:c r="AN188" s="222"/>
      <x:c r="AO188" s="222"/>
      <x:c r="AP188" s="228"/>
      <x:c r="AQ188" s="228"/>
      <x:c r="AR188" s="228"/>
      <x:c r="AS188" s="228"/>
      <x:c r="AT188" s="230"/>
    </x:row>
    <x:row r="189" spans="1:47" ht="19.9" customHeight="1">
      <x:c r="A189" s="274" t="s">
        <x:v>785</x:v>
      </x:c>
      <x:c r="B189" s="216"/>
      <x:c r="C189" s="275" t="s">
        <x:v>786</x:v>
      </x:c>
      <x:c r="D189" s="274" t="s">
        <x:v>787</x:v>
      </x:c>
      <x:c r="E189" s="276" t="s">
        <x:v>788</x:v>
      </x:c>
      <x:c r="F189" s="281" t="s">
        <x:v>118</x:v>
      </x:c>
      <x:c r="G189" s="281" t="s">
        <x:v>118</x:v>
      </x:c>
      <x:c r="H189" s="281" t="s">
        <x:v>118</x:v>
      </x:c>
      <x:c r="I189" s="281" t="s">
        <x:v>118</x:v>
      </x:c>
      <x:c r="J189" s="281" t="s">
        <x:v>118</x:v>
      </x:c>
      <x:c r="K189" s="281" t="s">
        <x:v>118</x:v>
      </x:c>
      <x:c r="L189" s="281" t="s">
        <x:v>118</x:v>
      </x:c>
      <x:c r="M189" s="281" t="s">
        <x:v>118</x:v>
      </x:c>
      <x:c r="N189" s="281" t="s">
        <x:v>118</x:v>
      </x:c>
      <x:c r="O189" s="281" t="s">
        <x:v>118</x:v>
      </x:c>
      <x:c r="P189" s="281" t="s">
        <x:v>118</x:v>
      </x:c>
      <x:c r="Q189" s="281" t="s">
        <x:v>118</x:v>
      </x:c>
      <x:c r="R189" s="281" t="s">
        <x:v>118</x:v>
      </x:c>
      <x:c r="S189" s="281" t="s">
        <x:v>118</x:v>
      </x:c>
      <x:c r="T189" s="281" t="s">
        <x:v>118</x:v>
      </x:c>
      <x:c r="U189" s="281" t="s">
        <x:v>118</x:v>
      </x:c>
      <x:c r="V189" s="281" t="s">
        <x:v>118</x:v>
      </x:c>
      <x:c r="W189" s="281" t="s">
        <x:v>118</x:v>
      </x:c>
      <x:c r="X189" s="281" t="s">
        <x:v>118</x:v>
      </x:c>
      <x:c r="Y189" s="281" t="s">
        <x:v>118</x:v>
      </x:c>
      <x:c r="Z189" s="281" t="s">
        <x:v>118</x:v>
      </x:c>
      <x:c r="AA189" s="281" t="s">
        <x:v>118</x:v>
      </x:c>
      <x:c r="AB189" s="281" t="s">
        <x:v>118</x:v>
      </x:c>
      <x:c r="AC189" s="281" t="s">
        <x:v>118</x:v>
      </x:c>
      <x:c r="AD189" s="281" t="s">
        <x:v>118</x:v>
      </x:c>
      <x:c r="AE189" s="281" t="s">
        <x:v>118</x:v>
      </x:c>
      <x:c r="AF189" s="281" t="s">
        <x:v>118</x:v>
      </x:c>
      <x:c r="AG189" s="281" t="s">
        <x:v>118</x:v>
      </x:c>
      <x:c r="AH189" s="281" t="s">
        <x:v>118</x:v>
      </x:c>
      <x:c r="AI189" s="281" t="s">
        <x:v>118</x:v>
      </x:c>
      <x:c r="AJ189" s="281" t="s">
        <x:v>118</x:v>
      </x:c>
      <x:c r="AK189" s="220">
        <x:f>COUNTIF(F189:AJ189,"X")</x:f>
      </x:c>
      <x:c r="AL189" s="221"/>
      <x:c r="AM189" s="221"/>
      <x:c r="AN189" s="222"/>
      <x:c r="AO189" s="222"/>
      <x:c r="AP189" s="228"/>
      <x:c r="AQ189" s="228"/>
      <x:c r="AR189" s="228"/>
      <x:c r="AS189" s="228"/>
      <x:c r="AT189" s="230"/>
    </x:row>
    <x:row r="190" spans="1:47" ht="19.9" customHeight="1">
      <x:c r="A190" s="274" t="s">
        <x:v>789</x:v>
      </x:c>
      <x:c r="B190" s="216"/>
      <x:c r="C190" s="275" t="s">
        <x:v>790</x:v>
      </x:c>
      <x:c r="D190" s="274" t="s">
        <x:v>791</x:v>
      </x:c>
      <x:c r="E190" s="276" t="s">
        <x:v>792</x:v>
      </x:c>
      <x:c r="F190" s="277" t="s">
        <x:v>118</x:v>
      </x:c>
      <x:c r="G190" s="277" t="s">
        <x:v>118</x:v>
      </x:c>
      <x:c r="H190" s="277" t="s">
        <x:v>118</x:v>
      </x:c>
      <x:c r="I190" s="277" t="s">
        <x:v>118</x:v>
      </x:c>
      <x:c r="J190" s="277" t="s">
        <x:v>118</x:v>
      </x:c>
      <x:c r="K190" s="277" t="s">
        <x:v>118</x:v>
      </x:c>
      <x:c r="L190" s="277" t="s">
        <x:v>118</x:v>
      </x:c>
      <x:c r="M190" s="277" t="s">
        <x:v>118</x:v>
      </x:c>
      <x:c r="N190" s="277" t="s">
        <x:v>118</x:v>
      </x:c>
      <x:c r="O190" s="277" t="s">
        <x:v>118</x:v>
      </x:c>
      <x:c r="P190" s="277" t="s">
        <x:v>118</x:v>
      </x:c>
      <x:c r="Q190" s="277" t="s">
        <x:v>118</x:v>
      </x:c>
      <x:c r="R190" s="277" t="s">
        <x:v>118</x:v>
      </x:c>
      <x:c r="S190" s="277" t="s">
        <x:v>118</x:v>
      </x:c>
      <x:c r="T190" s="277" t="s">
        <x:v>118</x:v>
      </x:c>
      <x:c r="U190" s="277" t="s">
        <x:v>118</x:v>
      </x:c>
      <x:c r="V190" s="277" t="s">
        <x:v>118</x:v>
      </x:c>
      <x:c r="W190" s="277" t="s">
        <x:v>118</x:v>
      </x:c>
      <x:c r="X190" s="277" t="s">
        <x:v>118</x:v>
      </x:c>
      <x:c r="Y190" s="277" t="s">
        <x:v>118</x:v>
      </x:c>
      <x:c r="Z190" s="277" t="s">
        <x:v>118</x:v>
      </x:c>
      <x:c r="AA190" s="277" t="s">
        <x:v>118</x:v>
      </x:c>
      <x:c r="AB190" s="277" t="s">
        <x:v>118</x:v>
      </x:c>
      <x:c r="AC190" s="277" t="s">
        <x:v>118</x:v>
      </x:c>
      <x:c r="AD190" s="277" t="s">
        <x:v>118</x:v>
      </x:c>
      <x:c r="AE190" s="277" t="s">
        <x:v>118</x:v>
      </x:c>
      <x:c r="AF190" s="277" t="s">
        <x:v>118</x:v>
      </x:c>
      <x:c r="AG190" s="277" t="s">
        <x:v>118</x:v>
      </x:c>
      <x:c r="AH190" s="277" t="s">
        <x:v>118</x:v>
      </x:c>
      <x:c r="AI190" s="277" t="s">
        <x:v>118</x:v>
      </x:c>
      <x:c r="AJ190" s="277" t="s">
        <x:v>118</x:v>
      </x:c>
      <x:c r="AK190" s="220">
        <x:f>COUNTIF(F190:AJ190,"X")</x:f>
      </x:c>
      <x:c r="AL190" s="221"/>
      <x:c r="AM190" s="221"/>
      <x:c r="AN190" s="222"/>
      <x:c r="AO190" s="222"/>
      <x:c r="AP190" s="228"/>
      <x:c r="AQ190" s="228"/>
      <x:c r="AR190" s="228"/>
      <x:c r="AS190" s="228"/>
      <x:c r="AT190" s="230"/>
    </x:row>
    <x:row r="191" spans="1:47" ht="19.9" customHeight="1">
      <x:c r="A191" s="274" t="s">
        <x:v>793</x:v>
      </x:c>
      <x:c r="B191" s="216"/>
      <x:c r="C191" s="275" t="s">
        <x:v>794</x:v>
      </x:c>
      <x:c r="D191" s="274" t="s">
        <x:v>795</x:v>
      </x:c>
      <x:c r="E191" s="276" t="s">
        <x:v>309</x:v>
      </x:c>
      <x:c r="F191" s="277" t="s">
        <x:v>118</x:v>
      </x:c>
      <x:c r="G191" s="277" t="s">
        <x:v>118</x:v>
      </x:c>
      <x:c r="H191" s="277" t="s">
        <x:v>118</x:v>
      </x:c>
      <x:c r="I191" s="277" t="s">
        <x:v>118</x:v>
      </x:c>
      <x:c r="J191" s="277" t="s">
        <x:v>118</x:v>
      </x:c>
      <x:c r="K191" s="277" t="s">
        <x:v>118</x:v>
      </x:c>
      <x:c r="L191" s="277" t="s">
        <x:v>118</x:v>
      </x:c>
      <x:c r="M191" s="277" t="s">
        <x:v>118</x:v>
      </x:c>
      <x:c r="N191" s="277" t="s">
        <x:v>118</x:v>
      </x:c>
      <x:c r="O191" s="277" t="s">
        <x:v>118</x:v>
      </x:c>
      <x:c r="P191" s="277" t="s">
        <x:v>118</x:v>
      </x:c>
      <x:c r="Q191" s="277" t="s">
        <x:v>118</x:v>
      </x:c>
      <x:c r="R191" s="277" t="s">
        <x:v>118</x:v>
      </x:c>
      <x:c r="S191" s="277" t="s">
        <x:v>118</x:v>
      </x:c>
      <x:c r="T191" s="277" t="s">
        <x:v>118</x:v>
      </x:c>
      <x:c r="U191" s="277" t="s">
        <x:v>118</x:v>
      </x:c>
      <x:c r="V191" s="277" t="s">
        <x:v>118</x:v>
      </x:c>
      <x:c r="W191" s="277" t="s">
        <x:v>118</x:v>
      </x:c>
      <x:c r="X191" s="277" t="s">
        <x:v>118</x:v>
      </x:c>
      <x:c r="Y191" s="277" t="s">
        <x:v>118</x:v>
      </x:c>
      <x:c r="Z191" s="277" t="s">
        <x:v>118</x:v>
      </x:c>
      <x:c r="AA191" s="277" t="s">
        <x:v>118</x:v>
      </x:c>
      <x:c r="AB191" s="277" t="s">
        <x:v>118</x:v>
      </x:c>
      <x:c r="AC191" s="277" t="s">
        <x:v>118</x:v>
      </x:c>
      <x:c r="AD191" s="277" t="s">
        <x:v>118</x:v>
      </x:c>
      <x:c r="AE191" s="277" t="s">
        <x:v>118</x:v>
      </x:c>
      <x:c r="AF191" s="277" t="s">
        <x:v>118</x:v>
      </x:c>
      <x:c r="AG191" s="277" t="s">
        <x:v>118</x:v>
      </x:c>
      <x:c r="AH191" s="277" t="s">
        <x:v>118</x:v>
      </x:c>
      <x:c r="AI191" s="277" t="s">
        <x:v>118</x:v>
      </x:c>
      <x:c r="AJ191" s="277" t="s">
        <x:v>118</x:v>
      </x:c>
      <x:c r="AK191" s="220">
        <x:f>COUNTIF(F191:AJ191,"X")</x:f>
      </x:c>
      <x:c r="AL191" s="221"/>
      <x:c r="AM191" s="221"/>
      <x:c r="AN191" s="222"/>
      <x:c r="AO191" s="222"/>
      <x:c r="AP191" s="228"/>
      <x:c r="AQ191" s="228"/>
      <x:c r="AR191" s="228"/>
      <x:c r="AS191" s="228"/>
      <x:c r="AT191" s="230"/>
    </x:row>
    <x:row r="192" spans="1:47" ht="19.9" customHeight="1">
      <x:c r="A192" s="274" t="s">
        <x:v>796</x:v>
      </x:c>
      <x:c r="B192" s="216"/>
      <x:c r="C192" s="275" t="s">
        <x:v>797</x:v>
      </x:c>
      <x:c r="D192" s="274" t="s">
        <x:v>798</x:v>
      </x:c>
      <x:c r="E192" s="276" t="s">
        <x:v>799</x:v>
      </x:c>
      <x:c r="F192" s="277" t="s">
        <x:v>118</x:v>
      </x:c>
      <x:c r="G192" s="277" t="s">
        <x:v>118</x:v>
      </x:c>
      <x:c r="H192" s="277" t="s">
        <x:v>118</x:v>
      </x:c>
      <x:c r="I192" s="277" t="s">
        <x:v>118</x:v>
      </x:c>
      <x:c r="J192" s="277" t="s">
        <x:v>118</x:v>
      </x:c>
      <x:c r="K192" s="277" t="s">
        <x:v>118</x:v>
      </x:c>
      <x:c r="L192" s="277" t="s">
        <x:v>118</x:v>
      </x:c>
      <x:c r="M192" s="277" t="s">
        <x:v>118</x:v>
      </x:c>
      <x:c r="N192" s="277" t="s">
        <x:v>118</x:v>
      </x:c>
      <x:c r="O192" s="277" t="s">
        <x:v>118</x:v>
      </x:c>
      <x:c r="P192" s="277" t="s">
        <x:v>118</x:v>
      </x:c>
      <x:c r="Q192" s="277" t="s">
        <x:v>118</x:v>
      </x:c>
      <x:c r="R192" s="277" t="s">
        <x:v>118</x:v>
      </x:c>
      <x:c r="S192" s="277" t="s">
        <x:v>118</x:v>
      </x:c>
      <x:c r="T192" s="277" t="s">
        <x:v>118</x:v>
      </x:c>
      <x:c r="U192" s="277" t="s">
        <x:v>118</x:v>
      </x:c>
      <x:c r="V192" s="277" t="s">
        <x:v>118</x:v>
      </x:c>
      <x:c r="W192" s="277" t="s">
        <x:v>118</x:v>
      </x:c>
      <x:c r="X192" s="277" t="s">
        <x:v>118</x:v>
      </x:c>
      <x:c r="Y192" s="277" t="s">
        <x:v>118</x:v>
      </x:c>
      <x:c r="Z192" s="277" t="s">
        <x:v>118</x:v>
      </x:c>
      <x:c r="AA192" s="277" t="s">
        <x:v>118</x:v>
      </x:c>
      <x:c r="AB192" s="277" t="s">
        <x:v>118</x:v>
      </x:c>
      <x:c r="AC192" s="277" t="s">
        <x:v>118</x:v>
      </x:c>
      <x:c r="AD192" s="277" t="s">
        <x:v>118</x:v>
      </x:c>
      <x:c r="AE192" s="277" t="s">
        <x:v>118</x:v>
      </x:c>
      <x:c r="AF192" s="277" t="s">
        <x:v>118</x:v>
      </x:c>
      <x:c r="AG192" s="277" t="s">
        <x:v>118</x:v>
      </x:c>
      <x:c r="AH192" s="277" t="s">
        <x:v>118</x:v>
      </x:c>
      <x:c r="AI192" s="277" t="s">
        <x:v>118</x:v>
      </x:c>
      <x:c r="AJ192" s="277" t="s">
        <x:v>118</x:v>
      </x:c>
      <x:c r="AK192" s="220">
        <x:f>COUNTIF(F192:AJ192,"X")</x:f>
      </x:c>
      <x:c r="AL192" s="221"/>
      <x:c r="AM192" s="221"/>
      <x:c r="AN192" s="222"/>
      <x:c r="AO192" s="222"/>
      <x:c r="AP192" s="228"/>
      <x:c r="AQ192" s="228"/>
      <x:c r="AR192" s="228"/>
      <x:c r="AS192" s="228"/>
      <x:c r="AT192" s="233"/>
    </x:row>
    <x:row r="193" spans="1:47" ht="15" customHeight="1">
      <x:c r="A193" s="274" t="s">
        <x:v>800</x:v>
      </x:c>
      <x:c r="B193" s="216"/>
      <x:c r="C193" s="275" t="s">
        <x:v>801</x:v>
      </x:c>
      <x:c r="D193" s="274" t="s">
        <x:v>802</x:v>
      </x:c>
      <x:c r="E193" s="276" t="s">
        <x:v>803</x:v>
      </x:c>
      <x:c r="F193" s="277" t="s">
        <x:v>118</x:v>
      </x:c>
      <x:c r="G193" s="277" t="s">
        <x:v>118</x:v>
      </x:c>
      <x:c r="H193" s="277" t="s">
        <x:v>118</x:v>
      </x:c>
      <x:c r="I193" s="277" t="s">
        <x:v>118</x:v>
      </x:c>
      <x:c r="J193" s="277" t="s">
        <x:v>118</x:v>
      </x:c>
      <x:c r="K193" s="277" t="s">
        <x:v>118</x:v>
      </x:c>
      <x:c r="L193" s="277" t="s">
        <x:v>118</x:v>
      </x:c>
      <x:c r="M193" s="277" t="s">
        <x:v>118</x:v>
      </x:c>
      <x:c r="N193" s="277" t="s">
        <x:v>118</x:v>
      </x:c>
      <x:c r="O193" s="277" t="s">
        <x:v>118</x:v>
      </x:c>
      <x:c r="P193" s="277" t="s">
        <x:v>118</x:v>
      </x:c>
      <x:c r="Q193" s="277" t="s">
        <x:v>118</x:v>
      </x:c>
      <x:c r="R193" s="277" t="s">
        <x:v>118</x:v>
      </x:c>
      <x:c r="S193" s="277" t="s">
        <x:v>118</x:v>
      </x:c>
      <x:c r="T193" s="277" t="s">
        <x:v>118</x:v>
      </x:c>
      <x:c r="U193" s="277" t="s">
        <x:v>118</x:v>
      </x:c>
      <x:c r="V193" s="277" t="s">
        <x:v>118</x:v>
      </x:c>
      <x:c r="W193" s="277" t="s">
        <x:v>118</x:v>
      </x:c>
      <x:c r="X193" s="277" t="s">
        <x:v>118</x:v>
      </x:c>
      <x:c r="Y193" s="277" t="s">
        <x:v>118</x:v>
      </x:c>
      <x:c r="Z193" s="277" t="s">
        <x:v>118</x:v>
      </x:c>
      <x:c r="AA193" s="277" t="s">
        <x:v>118</x:v>
      </x:c>
      <x:c r="AB193" s="277" t="s">
        <x:v>118</x:v>
      </x:c>
      <x:c r="AC193" s="277" t="s">
        <x:v>118</x:v>
      </x:c>
      <x:c r="AD193" s="277" t="s">
        <x:v>118</x:v>
      </x:c>
      <x:c r="AE193" s="277" t="s">
        <x:v>118</x:v>
      </x:c>
      <x:c r="AF193" s="277" t="s">
        <x:v>118</x:v>
      </x:c>
      <x:c r="AG193" s="277" t="s">
        <x:v>118</x:v>
      </x:c>
      <x:c r="AH193" s="277" t="s">
        <x:v>118</x:v>
      </x:c>
      <x:c r="AI193" s="277" t="s">
        <x:v>118</x:v>
      </x:c>
      <x:c r="AJ193" s="277" t="s">
        <x:v>118</x:v>
      </x:c>
      <x:c r="AK193" s="220">
        <x:f>COUNTIF(F193:AJ193,"X")</x:f>
      </x:c>
      <x:c r="AL193" s="221"/>
      <x:c r="AM193" s="221"/>
      <x:c r="AN193" s="222"/>
      <x:c r="AO193" s="222"/>
      <x:c r="AP193" s="228"/>
      <x:c r="AQ193" s="228"/>
      <x:c r="AR193" s="228"/>
      <x:c r="AS193" s="228"/>
      <x:c r="AT193" s="230"/>
    </x:row>
    <x:row r="194" spans="1:47" ht="15" customHeight="1">
      <x:c r="A194" s="282" t="s">
        <x:v>804</x:v>
      </x:c>
      <x:c r="B194" s="216"/>
      <x:c r="C194" s="283" t="s">
        <x:v>805</x:v>
      </x:c>
      <x:c r="D194" s="282" t="s">
        <x:v>802</x:v>
      </x:c>
      <x:c r="E194" s="282" t="s">
        <x:v>806</x:v>
      </x:c>
      <x:c r="F194" s="277" t="s">
        <x:v>118</x:v>
      </x:c>
      <x:c r="G194" s="277" t="s">
        <x:v>118</x:v>
      </x:c>
      <x:c r="H194" s="277" t="s">
        <x:v>118</x:v>
      </x:c>
      <x:c r="I194" s="277" t="s">
        <x:v>118</x:v>
      </x:c>
      <x:c r="J194" s="277" t="s">
        <x:v>118</x:v>
      </x:c>
      <x:c r="K194" s="277" t="s">
        <x:v>118</x:v>
      </x:c>
      <x:c r="L194" s="277" t="s">
        <x:v>118</x:v>
      </x:c>
      <x:c r="M194" s="277" t="s">
        <x:v>118</x:v>
      </x:c>
      <x:c r="N194" s="277" t="s">
        <x:v>118</x:v>
      </x:c>
      <x:c r="O194" s="277" t="s">
        <x:v>118</x:v>
      </x:c>
      <x:c r="P194" s="277" t="s">
        <x:v>118</x:v>
      </x:c>
      <x:c r="Q194" s="277" t="s">
        <x:v>118</x:v>
      </x:c>
      <x:c r="R194" s="277" t="s">
        <x:v>118</x:v>
      </x:c>
      <x:c r="S194" s="277" t="s">
        <x:v>118</x:v>
      </x:c>
      <x:c r="T194" s="277" t="s">
        <x:v>118</x:v>
      </x:c>
      <x:c r="U194" s="277" t="s">
        <x:v>118</x:v>
      </x:c>
      <x:c r="V194" s="277" t="s">
        <x:v>118</x:v>
      </x:c>
      <x:c r="W194" s="277" t="s">
        <x:v>118</x:v>
      </x:c>
      <x:c r="X194" s="277" t="s">
        <x:v>118</x:v>
      </x:c>
      <x:c r="Y194" s="277" t="s">
        <x:v>118</x:v>
      </x:c>
      <x:c r="Z194" s="277" t="s">
        <x:v>118</x:v>
      </x:c>
      <x:c r="AA194" s="277" t="s">
        <x:v>118</x:v>
      </x:c>
      <x:c r="AB194" s="277" t="s">
        <x:v>118</x:v>
      </x:c>
      <x:c r="AC194" s="277" t="s">
        <x:v>118</x:v>
      </x:c>
      <x:c r="AD194" s="277" t="s">
        <x:v>118</x:v>
      </x:c>
      <x:c r="AE194" s="277" t="s">
        <x:v>118</x:v>
      </x:c>
      <x:c r="AF194" s="277" t="s">
        <x:v>118</x:v>
      </x:c>
      <x:c r="AG194" s="277" t="s">
        <x:v>118</x:v>
      </x:c>
      <x:c r="AH194" s="277" t="s">
        <x:v>118</x:v>
      </x:c>
      <x:c r="AI194" s="277" t="s">
        <x:v>118</x:v>
      </x:c>
      <x:c r="AJ194" s="277" t="s">
        <x:v>118</x:v>
      </x:c>
      <x:c r="AK194" s="220">
        <x:f>COUNTIF(F194:AJ194,"X")</x:f>
      </x:c>
      <x:c r="AL194" s="221"/>
      <x:c r="AM194" s="221"/>
      <x:c r="AN194" s="222"/>
      <x:c r="AO194" s="222"/>
      <x:c r="AP194" s="228"/>
      <x:c r="AQ194" s="228"/>
      <x:c r="AR194" s="228"/>
      <x:c r="AS194" s="228"/>
      <x:c r="AT194" s="230"/>
    </x:row>
    <x:row r="195" spans="1:47" ht="15" customHeight="1">
      <x:c r="A195" s="282" t="s">
        <x:v>807</x:v>
      </x:c>
      <x:c r="B195" s="216"/>
      <x:c r="C195" s="283" t="s">
        <x:v>808</x:v>
      </x:c>
      <x:c r="D195" s="282" t="s">
        <x:v>809</x:v>
      </x:c>
      <x:c r="E195" s="282" t="s">
        <x:v>159</x:v>
      </x:c>
      <x:c r="F195" s="277" t="s">
        <x:v>118</x:v>
      </x:c>
      <x:c r="G195" s="277" t="s">
        <x:v>118</x:v>
      </x:c>
      <x:c r="H195" s="277" t="s">
        <x:v>118</x:v>
      </x:c>
      <x:c r="I195" s="277" t="s">
        <x:v>118</x:v>
      </x:c>
      <x:c r="J195" s="277" t="s">
        <x:v>118</x:v>
      </x:c>
      <x:c r="K195" s="277" t="s">
        <x:v>118</x:v>
      </x:c>
      <x:c r="L195" s="277" t="s">
        <x:v>118</x:v>
      </x:c>
      <x:c r="M195" s="277" t="s">
        <x:v>118</x:v>
      </x:c>
      <x:c r="N195" s="277" t="s">
        <x:v>118</x:v>
      </x:c>
      <x:c r="O195" s="277" t="s">
        <x:v>118</x:v>
      </x:c>
      <x:c r="P195" s="277" t="s">
        <x:v>118</x:v>
      </x:c>
      <x:c r="Q195" s="277" t="s">
        <x:v>118</x:v>
      </x:c>
      <x:c r="R195" s="277" t="s">
        <x:v>118</x:v>
      </x:c>
      <x:c r="S195" s="277" t="s">
        <x:v>118</x:v>
      </x:c>
      <x:c r="T195" s="277" t="s">
        <x:v>118</x:v>
      </x:c>
      <x:c r="U195" s="277" t="s">
        <x:v>118</x:v>
      </x:c>
      <x:c r="V195" s="277" t="s">
        <x:v>118</x:v>
      </x:c>
      <x:c r="W195" s="277" t="s">
        <x:v>118</x:v>
      </x:c>
      <x:c r="X195" s="277" t="s">
        <x:v>118</x:v>
      </x:c>
      <x:c r="Y195" s="277" t="s">
        <x:v>118</x:v>
      </x:c>
      <x:c r="Z195" s="277" t="s">
        <x:v>118</x:v>
      </x:c>
      <x:c r="AA195" s="277" t="s">
        <x:v>118</x:v>
      </x:c>
      <x:c r="AB195" s="277" t="s">
        <x:v>118</x:v>
      </x:c>
      <x:c r="AC195" s="277" t="s">
        <x:v>118</x:v>
      </x:c>
      <x:c r="AD195" s="277" t="s">
        <x:v>118</x:v>
      </x:c>
      <x:c r="AE195" s="277" t="s">
        <x:v>118</x:v>
      </x:c>
      <x:c r="AF195" s="277" t="s">
        <x:v>118</x:v>
      </x:c>
      <x:c r="AG195" s="277" t="s">
        <x:v>118</x:v>
      </x:c>
      <x:c r="AH195" s="277" t="s">
        <x:v>118</x:v>
      </x:c>
      <x:c r="AI195" s="277" t="s">
        <x:v>118</x:v>
      </x:c>
      <x:c r="AJ195" s="277" t="s">
        <x:v>118</x:v>
      </x:c>
      <x:c r="AK195" s="220">
        <x:f>COUNTIF(F195:AJ195,"X")</x:f>
      </x:c>
      <x:c r="AL195" s="221"/>
      <x:c r="AM195" s="221"/>
      <x:c r="AN195" s="222"/>
      <x:c r="AO195" s="222"/>
      <x:c r="AP195" s="228"/>
      <x:c r="AQ195" s="228"/>
      <x:c r="AR195" s="228"/>
      <x:c r="AS195" s="228"/>
      <x:c r="AT195" s="230"/>
    </x:row>
    <x:row r="196" spans="1:47" ht="15" customHeight="1">
      <x:c r="A196" s="282" t="s">
        <x:v>810</x:v>
      </x:c>
      <x:c r="B196" s="216"/>
      <x:c r="C196" s="283" t="s">
        <x:v>811</x:v>
      </x:c>
      <x:c r="D196" s="282" t="s">
        <x:v>812</x:v>
      </x:c>
      <x:c r="E196" s="282" t="s">
        <x:v>813</x:v>
      </x:c>
      <x:c r="F196" s="281" t="s">
        <x:v>118</x:v>
      </x:c>
      <x:c r="G196" s="281" t="s">
        <x:v>118</x:v>
      </x:c>
      <x:c r="H196" s="281" t="s">
        <x:v>118</x:v>
      </x:c>
      <x:c r="I196" s="281" t="s">
        <x:v>118</x:v>
      </x:c>
      <x:c r="J196" s="281" t="s">
        <x:v>118</x:v>
      </x:c>
      <x:c r="K196" s="281" t="s">
        <x:v>118</x:v>
      </x:c>
      <x:c r="L196" s="281" t="s">
        <x:v>118</x:v>
      </x:c>
      <x:c r="M196" s="281" t="s">
        <x:v>118</x:v>
      </x:c>
      <x:c r="N196" s="281" t="s">
        <x:v>118</x:v>
      </x:c>
      <x:c r="O196" s="281" t="s">
        <x:v>118</x:v>
      </x:c>
      <x:c r="P196" s="281" t="s">
        <x:v>118</x:v>
      </x:c>
      <x:c r="Q196" s="281" t="s">
        <x:v>118</x:v>
      </x:c>
      <x:c r="R196" s="281" t="s">
        <x:v>118</x:v>
      </x:c>
      <x:c r="S196" s="281" t="s">
        <x:v>118</x:v>
      </x:c>
      <x:c r="T196" s="281" t="s">
        <x:v>118</x:v>
      </x:c>
      <x:c r="U196" s="281" t="s">
        <x:v>118</x:v>
      </x:c>
      <x:c r="V196" s="281" t="s">
        <x:v>118</x:v>
      </x:c>
      <x:c r="W196" s="281" t="s">
        <x:v>118</x:v>
      </x:c>
      <x:c r="X196" s="281" t="s">
        <x:v>118</x:v>
      </x:c>
      <x:c r="Y196" s="281" t="s">
        <x:v>118</x:v>
      </x:c>
      <x:c r="Z196" s="281" t="s">
        <x:v>118</x:v>
      </x:c>
      <x:c r="AA196" s="281" t="s">
        <x:v>118</x:v>
      </x:c>
      <x:c r="AB196" s="281" t="s">
        <x:v>118</x:v>
      </x:c>
      <x:c r="AC196" s="281" t="s">
        <x:v>118</x:v>
      </x:c>
      <x:c r="AD196" s="281" t="s">
        <x:v>118</x:v>
      </x:c>
      <x:c r="AE196" s="281" t="s">
        <x:v>118</x:v>
      </x:c>
      <x:c r="AF196" s="281" t="s">
        <x:v>118</x:v>
      </x:c>
      <x:c r="AG196" s="281" t="s">
        <x:v>118</x:v>
      </x:c>
      <x:c r="AH196" s="281" t="s">
        <x:v>118</x:v>
      </x:c>
      <x:c r="AI196" s="281" t="s">
        <x:v>118</x:v>
      </x:c>
      <x:c r="AJ196" s="281" t="s">
        <x:v>118</x:v>
      </x:c>
      <x:c r="AK196" s="220">
        <x:f>COUNTIF(F196:AJ196,"X")</x:f>
      </x:c>
      <x:c r="AL196" s="221"/>
      <x:c r="AM196" s="221"/>
      <x:c r="AN196" s="222"/>
      <x:c r="AO196" s="222"/>
      <x:c r="AP196" s="228"/>
      <x:c r="AQ196" s="228"/>
      <x:c r="AR196" s="228"/>
      <x:c r="AS196" s="228"/>
      <x:c r="AT196" s="230"/>
    </x:row>
    <x:row r="197" spans="1:47" ht="15" customHeight="1">
      <x:c r="A197" s="282" t="s">
        <x:v>814</x:v>
      </x:c>
      <x:c r="B197" s="216"/>
      <x:c r="C197" s="283" t="s">
        <x:v>815</x:v>
      </x:c>
      <x:c r="D197" s="282" t="s">
        <x:v>812</x:v>
      </x:c>
      <x:c r="E197" s="282" t="s">
        <x:v>816</x:v>
      </x:c>
      <x:c r="F197" s="277" t="s">
        <x:v>118</x:v>
      </x:c>
      <x:c r="G197" s="277" t="s">
        <x:v>118</x:v>
      </x:c>
      <x:c r="H197" s="277" t="s">
        <x:v>118</x:v>
      </x:c>
      <x:c r="I197" s="277" t="s">
        <x:v>118</x:v>
      </x:c>
      <x:c r="J197" s="277" t="s">
        <x:v>118</x:v>
      </x:c>
      <x:c r="K197" s="277" t="s">
        <x:v>118</x:v>
      </x:c>
      <x:c r="L197" s="277" t="s">
        <x:v>118</x:v>
      </x:c>
      <x:c r="M197" s="277" t="s">
        <x:v>118</x:v>
      </x:c>
      <x:c r="N197" s="277" t="s">
        <x:v>118</x:v>
      </x:c>
      <x:c r="O197" s="277" t="s">
        <x:v>118</x:v>
      </x:c>
      <x:c r="P197" s="277" t="s">
        <x:v>118</x:v>
      </x:c>
      <x:c r="Q197" s="277" t="s">
        <x:v>118</x:v>
      </x:c>
      <x:c r="R197" s="277" t="s">
        <x:v>118</x:v>
      </x:c>
      <x:c r="S197" s="277" t="s">
        <x:v>118</x:v>
      </x:c>
      <x:c r="T197" s="277" t="s">
        <x:v>118</x:v>
      </x:c>
      <x:c r="U197" s="277" t="s">
        <x:v>118</x:v>
      </x:c>
      <x:c r="V197" s="277" t="s">
        <x:v>118</x:v>
      </x:c>
      <x:c r="W197" s="277" t="s">
        <x:v>118</x:v>
      </x:c>
      <x:c r="X197" s="277" t="s">
        <x:v>118</x:v>
      </x:c>
      <x:c r="Y197" s="277" t="s">
        <x:v>118</x:v>
      </x:c>
      <x:c r="Z197" s="277" t="s">
        <x:v>118</x:v>
      </x:c>
      <x:c r="AA197" s="277" t="s">
        <x:v>118</x:v>
      </x:c>
      <x:c r="AB197" s="277" t="s">
        <x:v>118</x:v>
      </x:c>
      <x:c r="AC197" s="277" t="s">
        <x:v>118</x:v>
      </x:c>
      <x:c r="AD197" s="277" t="s">
        <x:v>118</x:v>
      </x:c>
      <x:c r="AE197" s="277" t="s">
        <x:v>118</x:v>
      </x:c>
      <x:c r="AF197" s="277" t="s">
        <x:v>118</x:v>
      </x:c>
      <x:c r="AG197" s="277" t="s">
        <x:v>118</x:v>
      </x:c>
      <x:c r="AH197" s="277" t="s">
        <x:v>118</x:v>
      </x:c>
      <x:c r="AI197" s="277" t="s">
        <x:v>118</x:v>
      </x:c>
      <x:c r="AJ197" s="277" t="s">
        <x:v>118</x:v>
      </x:c>
      <x:c r="AK197" s="220">
        <x:f>COUNTIF(F197:AJ197,"X")</x:f>
      </x:c>
      <x:c r="AL197" s="221"/>
      <x:c r="AM197" s="221"/>
      <x:c r="AN197" s="222"/>
      <x:c r="AO197" s="222"/>
      <x:c r="AP197" s="228"/>
      <x:c r="AQ197" s="228"/>
      <x:c r="AR197" s="228"/>
      <x:c r="AS197" s="228"/>
      <x:c r="AT197" s="230"/>
    </x:row>
    <x:row r="198" spans="1:47" ht="15" customHeight="1">
      <x:c r="A198" s="237"/>
      <x:c r="B198" s="216"/>
      <x:c r="C198" s="238"/>
      <x:c r="D198" s="239"/>
      <x:c r="E198" s="239"/>
      <x:c r="F198" s="236"/>
      <x:c r="G198" s="236"/>
      <x:c r="H198" s="236"/>
      <x:c r="I198" s="236"/>
      <x:c r="J198" s="236"/>
      <x:c r="K198" s="236"/>
      <x:c r="L198" s="236"/>
      <x:c r="M198" s="236"/>
      <x:c r="N198" s="236"/>
      <x:c r="O198" s="236"/>
      <x:c r="P198" s="236"/>
      <x:c r="Q198" s="236"/>
      <x:c r="R198" s="236"/>
      <x:c r="S198" s="236"/>
      <x:c r="T198" s="236"/>
      <x:c r="U198" s="236"/>
      <x:c r="V198" s="236"/>
      <x:c r="W198" s="236"/>
      <x:c r="X198" s="236"/>
      <x:c r="Y198" s="236"/>
      <x:c r="Z198" s="236"/>
      <x:c r="AA198" s="236"/>
      <x:c r="AB198" s="236"/>
      <x:c r="AC198" s="236"/>
      <x:c r="AD198" s="236"/>
      <x:c r="AE198" s="236"/>
      <x:c r="AF198" s="236"/>
      <x:c r="AG198" s="236"/>
      <x:c r="AH198" s="236"/>
      <x:c r="AI198" s="236"/>
      <x:c r="AJ198" s="236"/>
      <x:c r="AK198" s="220"/>
      <x:c r="AL198" s="221"/>
      <x:c r="AM198" s="221"/>
      <x:c r="AN198" s="222"/>
      <x:c r="AO198" s="222"/>
      <x:c r="AP198" s="228"/>
      <x:c r="AQ198" s="228"/>
      <x:c r="AR198" s="228"/>
      <x:c r="AS198" s="228"/>
      <x:c r="AT198" s="230"/>
    </x:row>
    <x:row r="199" spans="1:47" ht="15" customHeight="1">
      <x:c r="A199" s="237"/>
      <x:c r="B199" s="216"/>
      <x:c r="C199" s="238"/>
      <x:c r="D199" s="239"/>
      <x:c r="E199" s="239"/>
      <x:c r="F199" s="236"/>
      <x:c r="G199" s="236"/>
      <x:c r="H199" s="236"/>
      <x:c r="I199" s="236"/>
      <x:c r="J199" s="236"/>
      <x:c r="K199" s="236"/>
      <x:c r="L199" s="236"/>
      <x:c r="M199" s="236"/>
      <x:c r="N199" s="236"/>
      <x:c r="O199" s="236"/>
      <x:c r="P199" s="236"/>
      <x:c r="Q199" s="236"/>
      <x:c r="R199" s="236"/>
      <x:c r="S199" s="236"/>
      <x:c r="T199" s="236"/>
      <x:c r="U199" s="236"/>
      <x:c r="V199" s="236"/>
      <x:c r="W199" s="236"/>
      <x:c r="X199" s="236"/>
      <x:c r="Y199" s="236"/>
      <x:c r="Z199" s="236"/>
      <x:c r="AA199" s="236"/>
      <x:c r="AB199" s="236"/>
      <x:c r="AC199" s="236"/>
      <x:c r="AD199" s="236"/>
      <x:c r="AE199" s="236"/>
      <x:c r="AF199" s="236"/>
      <x:c r="AG199" s="236"/>
      <x:c r="AH199" s="236"/>
      <x:c r="AI199" s="236"/>
      <x:c r="AJ199" s="236"/>
      <x:c r="AK199" s="220"/>
      <x:c r="AL199" s="221"/>
      <x:c r="AM199" s="221"/>
      <x:c r="AN199" s="222"/>
      <x:c r="AO199" s="222"/>
      <x:c r="AP199" s="228"/>
      <x:c r="AQ199" s="228"/>
      <x:c r="AR199" s="228"/>
      <x:c r="AS199" s="228"/>
      <x:c r="AT199" s="230"/>
    </x:row>
    <x:row r="200" spans="1:47" ht="15" customHeight="1">
      <x:c r="A200" s="237"/>
      <x:c r="B200" s="216"/>
      <x:c r="C200" s="238"/>
      <x:c r="D200" s="239"/>
      <x:c r="E200" s="239"/>
      <x:c r="F200" s="219"/>
      <x:c r="G200" s="219"/>
      <x:c r="H200" s="219"/>
      <x:c r="I200" s="219"/>
      <x:c r="J200" s="219"/>
      <x:c r="K200" s="219"/>
      <x:c r="L200" s="219"/>
      <x:c r="M200" s="219"/>
      <x:c r="N200" s="219"/>
      <x:c r="O200" s="219"/>
      <x:c r="P200" s="219"/>
      <x:c r="Q200" s="219"/>
      <x:c r="R200" s="219"/>
      <x:c r="S200" s="219"/>
      <x:c r="T200" s="219"/>
      <x:c r="U200" s="219"/>
      <x:c r="V200" s="219"/>
      <x:c r="W200" s="219"/>
      <x:c r="X200" s="219"/>
      <x:c r="Y200" s="219"/>
      <x:c r="Z200" s="219"/>
      <x:c r="AA200" s="219"/>
      <x:c r="AB200" s="219"/>
      <x:c r="AC200" s="219"/>
      <x:c r="AD200" s="219"/>
      <x:c r="AE200" s="219"/>
      <x:c r="AF200" s="219"/>
      <x:c r="AG200" s="219"/>
      <x:c r="AH200" s="219"/>
      <x:c r="AI200" s="219"/>
      <x:c r="AJ200" s="219"/>
      <x:c r="AK200" s="220"/>
      <x:c r="AL200" s="221"/>
      <x:c r="AM200" s="221"/>
      <x:c r="AN200" s="222"/>
      <x:c r="AO200" s="222"/>
      <x:c r="AP200" s="228"/>
      <x:c r="AQ200" s="228"/>
      <x:c r="AR200" s="228"/>
      <x:c r="AS200" s="228"/>
      <x:c r="AT200" s="230"/>
    </x:row>
    <x:row r="201" spans="1:47" ht="15" customHeight="1">
      <x:c r="A201" s="237"/>
      <x:c r="B201" s="216"/>
      <x:c r="C201" s="238"/>
      <x:c r="D201" s="239"/>
      <x:c r="E201" s="239"/>
      <x:c r="F201" s="219"/>
      <x:c r="G201" s="219"/>
      <x:c r="H201" s="219"/>
      <x:c r="I201" s="219"/>
      <x:c r="J201" s="219"/>
      <x:c r="K201" s="219"/>
      <x:c r="L201" s="219"/>
      <x:c r="M201" s="219"/>
      <x:c r="N201" s="219"/>
      <x:c r="O201" s="219"/>
      <x:c r="P201" s="219"/>
      <x:c r="Q201" s="219"/>
      <x:c r="R201" s="219"/>
      <x:c r="S201" s="219"/>
      <x:c r="T201" s="219"/>
      <x:c r="U201" s="219"/>
      <x:c r="V201" s="219"/>
      <x:c r="W201" s="219"/>
      <x:c r="X201" s="219"/>
      <x:c r="Y201" s="219"/>
      <x:c r="Z201" s="219"/>
      <x:c r="AA201" s="219"/>
      <x:c r="AB201" s="219"/>
      <x:c r="AC201" s="219"/>
      <x:c r="AD201" s="219"/>
      <x:c r="AE201" s="219"/>
      <x:c r="AF201" s="219"/>
      <x:c r="AG201" s="219"/>
      <x:c r="AH201" s="219"/>
      <x:c r="AI201" s="219"/>
      <x:c r="AJ201" s="219"/>
      <x:c r="AK201" s="220"/>
      <x:c r="AL201" s="221"/>
      <x:c r="AM201" s="221"/>
      <x:c r="AN201" s="222"/>
      <x:c r="AO201" s="222"/>
      <x:c r="AP201" s="228"/>
      <x:c r="AQ201" s="228"/>
      <x:c r="AR201" s="228"/>
      <x:c r="AS201" s="228"/>
      <x:c r="AT201" s="230"/>
    </x:row>
    <x:row r="202" spans="1:47" ht="15" customHeight="1">
      <x:c r="A202" s="237"/>
      <x:c r="B202" s="216"/>
      <x:c r="C202" s="238"/>
      <x:c r="D202" s="239"/>
      <x:c r="E202" s="239"/>
      <x:c r="F202" s="219"/>
      <x:c r="G202" s="219"/>
      <x:c r="H202" s="219"/>
      <x:c r="I202" s="219"/>
      <x:c r="J202" s="219"/>
      <x:c r="K202" s="219"/>
      <x:c r="L202" s="219"/>
      <x:c r="M202" s="219"/>
      <x:c r="N202" s="219"/>
      <x:c r="O202" s="219"/>
      <x:c r="P202" s="219"/>
      <x:c r="Q202" s="219"/>
      <x:c r="R202" s="219"/>
      <x:c r="S202" s="219"/>
      <x:c r="T202" s="219"/>
      <x:c r="U202" s="219"/>
      <x:c r="V202" s="219"/>
      <x:c r="W202" s="219"/>
      <x:c r="X202" s="219"/>
      <x:c r="Y202" s="219"/>
      <x:c r="Z202" s="219"/>
      <x:c r="AA202" s="219"/>
      <x:c r="AB202" s="219"/>
      <x:c r="AC202" s="219"/>
      <x:c r="AD202" s="219"/>
      <x:c r="AE202" s="219"/>
      <x:c r="AF202" s="219"/>
      <x:c r="AG202" s="219"/>
      <x:c r="AH202" s="219"/>
      <x:c r="AI202" s="219"/>
      <x:c r="AJ202" s="219"/>
      <x:c r="AK202" s="220"/>
      <x:c r="AL202" s="221"/>
      <x:c r="AM202" s="221"/>
      <x:c r="AN202" s="222"/>
      <x:c r="AO202" s="222"/>
      <x:c r="AP202" s="228"/>
      <x:c r="AQ202" s="228"/>
      <x:c r="AR202" s="228"/>
      <x:c r="AS202" s="228"/>
      <x:c r="AT202" s="230"/>
    </x:row>
    <x:row r="203" spans="1:47" ht="15" customHeight="1">
      <x:c r="A203" s="237"/>
      <x:c r="B203" s="216"/>
      <x:c r="C203" s="238"/>
      <x:c r="D203" s="239"/>
      <x:c r="E203" s="239"/>
      <x:c r="F203" s="236"/>
      <x:c r="G203" s="236"/>
      <x:c r="H203" s="236"/>
      <x:c r="I203" s="236"/>
      <x:c r="J203" s="236"/>
      <x:c r="K203" s="236"/>
      <x:c r="L203" s="236"/>
      <x:c r="M203" s="236"/>
      <x:c r="N203" s="236"/>
      <x:c r="O203" s="236"/>
      <x:c r="P203" s="236"/>
      <x:c r="Q203" s="236"/>
      <x:c r="R203" s="236"/>
      <x:c r="S203" s="236"/>
      <x:c r="T203" s="236"/>
      <x:c r="U203" s="236"/>
      <x:c r="V203" s="236"/>
      <x:c r="W203" s="236"/>
      <x:c r="X203" s="236"/>
      <x:c r="Y203" s="236"/>
      <x:c r="Z203" s="236"/>
      <x:c r="AA203" s="236"/>
      <x:c r="AB203" s="236"/>
      <x:c r="AC203" s="236"/>
      <x:c r="AD203" s="236"/>
      <x:c r="AE203" s="236"/>
      <x:c r="AF203" s="236"/>
      <x:c r="AG203" s="236"/>
      <x:c r="AH203" s="236"/>
      <x:c r="AI203" s="236"/>
      <x:c r="AJ203" s="236"/>
      <x:c r="AK203" s="220"/>
      <x:c r="AL203" s="221"/>
      <x:c r="AM203" s="221"/>
      <x:c r="AN203" s="222"/>
      <x:c r="AO203" s="222"/>
      <x:c r="AP203" s="228"/>
      <x:c r="AQ203" s="228"/>
      <x:c r="AR203" s="228"/>
      <x:c r="AS203" s="228"/>
      <x:c r="AT203" s="230"/>
    </x:row>
    <x:row r="204" spans="1:47" ht="15" customHeight="1">
      <x:c r="A204" s="237"/>
      <x:c r="B204" s="216"/>
      <x:c r="C204" s="238"/>
      <x:c r="D204" s="239"/>
      <x:c r="E204" s="239"/>
      <x:c r="F204" s="236"/>
      <x:c r="G204" s="236"/>
      <x:c r="H204" s="236"/>
      <x:c r="I204" s="236"/>
      <x:c r="J204" s="236"/>
      <x:c r="K204" s="236"/>
      <x:c r="L204" s="236"/>
      <x:c r="M204" s="236"/>
      <x:c r="N204" s="236"/>
      <x:c r="O204" s="236"/>
      <x:c r="P204" s="236"/>
      <x:c r="Q204" s="236"/>
      <x:c r="R204" s="236"/>
      <x:c r="S204" s="236"/>
      <x:c r="T204" s="236"/>
      <x:c r="U204" s="236"/>
      <x:c r="V204" s="236"/>
      <x:c r="W204" s="236"/>
      <x:c r="X204" s="236"/>
      <x:c r="Y204" s="236"/>
      <x:c r="Z204" s="236"/>
      <x:c r="AA204" s="236"/>
      <x:c r="AB204" s="236"/>
      <x:c r="AC204" s="236"/>
      <x:c r="AD204" s="236"/>
      <x:c r="AE204" s="236"/>
      <x:c r="AF204" s="236"/>
      <x:c r="AG204" s="236"/>
      <x:c r="AH204" s="236"/>
      <x:c r="AI204" s="236"/>
      <x:c r="AJ204" s="236"/>
      <x:c r="AK204" s="220"/>
      <x:c r="AL204" s="221"/>
      <x:c r="AM204" s="221"/>
      <x:c r="AN204" s="222"/>
      <x:c r="AO204" s="222"/>
      <x:c r="AP204" s="228"/>
      <x:c r="AQ204" s="228"/>
      <x:c r="AR204" s="228"/>
      <x:c r="AS204" s="228"/>
      <x:c r="AT204" s="230"/>
    </x:row>
    <x:row r="205" spans="1:47" ht="15" customHeight="1">
      <x:c r="A205" s="237"/>
      <x:c r="B205" s="216"/>
      <x:c r="C205" s="238"/>
      <x:c r="D205" s="239"/>
      <x:c r="E205" s="239"/>
      <x:c r="F205" s="236"/>
      <x:c r="G205" s="236"/>
      <x:c r="H205" s="236"/>
      <x:c r="I205" s="236"/>
      <x:c r="J205" s="236"/>
      <x:c r="K205" s="236"/>
      <x:c r="L205" s="236"/>
      <x:c r="M205" s="236"/>
      <x:c r="N205" s="236"/>
      <x:c r="O205" s="236"/>
      <x:c r="P205" s="236"/>
      <x:c r="Q205" s="236"/>
      <x:c r="R205" s="236"/>
      <x:c r="S205" s="236"/>
      <x:c r="T205" s="236"/>
      <x:c r="U205" s="236"/>
      <x:c r="V205" s="236"/>
      <x:c r="W205" s="236"/>
      <x:c r="X205" s="236"/>
      <x:c r="Y205" s="236"/>
      <x:c r="Z205" s="236"/>
      <x:c r="AA205" s="236"/>
      <x:c r="AB205" s="236"/>
      <x:c r="AC205" s="236"/>
      <x:c r="AD205" s="236"/>
      <x:c r="AE205" s="236"/>
      <x:c r="AF205" s="236"/>
      <x:c r="AG205" s="236"/>
      <x:c r="AH205" s="236"/>
      <x:c r="AI205" s="236"/>
      <x:c r="AJ205" s="236"/>
      <x:c r="AK205" s="220"/>
      <x:c r="AL205" s="221"/>
      <x:c r="AM205" s="221"/>
      <x:c r="AN205" s="222"/>
      <x:c r="AO205" s="222"/>
      <x:c r="AP205" s="228"/>
      <x:c r="AQ205" s="228"/>
      <x:c r="AR205" s="228"/>
      <x:c r="AS205" s="228"/>
      <x:c r="AT205" s="230"/>
    </x:row>
    <x:row r="206" spans="1:47" ht="15" customHeight="1">
      <x:c r="A206" s="237"/>
      <x:c r="B206" s="216"/>
      <x:c r="C206" s="238"/>
      <x:c r="D206" s="239"/>
      <x:c r="E206" s="239"/>
      <x:c r="F206" s="219"/>
      <x:c r="G206" s="219"/>
      <x:c r="H206" s="219"/>
      <x:c r="I206" s="219"/>
      <x:c r="J206" s="219"/>
      <x:c r="K206" s="219"/>
      <x:c r="L206" s="219"/>
      <x:c r="M206" s="219"/>
      <x:c r="N206" s="219"/>
      <x:c r="O206" s="219"/>
      <x:c r="P206" s="219"/>
      <x:c r="Q206" s="219"/>
      <x:c r="R206" s="219"/>
      <x:c r="S206" s="219"/>
      <x:c r="T206" s="219"/>
      <x:c r="U206" s="219"/>
      <x:c r="V206" s="219"/>
      <x:c r="W206" s="219"/>
      <x:c r="X206" s="219"/>
      <x:c r="Y206" s="219"/>
      <x:c r="Z206" s="219"/>
      <x:c r="AA206" s="219"/>
      <x:c r="AB206" s="219"/>
      <x:c r="AC206" s="219"/>
      <x:c r="AD206" s="219"/>
      <x:c r="AE206" s="219"/>
      <x:c r="AF206" s="219"/>
      <x:c r="AG206" s="219"/>
      <x:c r="AH206" s="219"/>
      <x:c r="AI206" s="219"/>
      <x:c r="AJ206" s="219"/>
      <x:c r="AK206" s="220"/>
      <x:c r="AL206" s="221"/>
      <x:c r="AM206" s="221"/>
      <x:c r="AN206" s="222"/>
      <x:c r="AO206" s="222"/>
      <x:c r="AP206" s="228"/>
      <x:c r="AQ206" s="228"/>
      <x:c r="AR206" s="228"/>
      <x:c r="AS206" s="228"/>
      <x:c r="AT206" s="230"/>
    </x:row>
    <x:row r="207" spans="1:47" ht="15" customHeight="1">
      <x:c r="A207" s="237"/>
      <x:c r="B207" s="216"/>
      <x:c r="C207" s="238"/>
      <x:c r="D207" s="239"/>
      <x:c r="E207" s="239"/>
      <x:c r="F207" s="219"/>
      <x:c r="G207" s="219"/>
      <x:c r="H207" s="219"/>
      <x:c r="I207" s="219"/>
      <x:c r="J207" s="219"/>
      <x:c r="K207" s="219"/>
      <x:c r="L207" s="219"/>
      <x:c r="M207" s="219"/>
      <x:c r="N207" s="219"/>
      <x:c r="O207" s="219"/>
      <x:c r="P207" s="219"/>
      <x:c r="Q207" s="219"/>
      <x:c r="R207" s="219"/>
      <x:c r="S207" s="219"/>
      <x:c r="T207" s="219"/>
      <x:c r="U207" s="219"/>
      <x:c r="V207" s="219"/>
      <x:c r="W207" s="219"/>
      <x:c r="X207" s="219"/>
      <x:c r="Y207" s="219"/>
      <x:c r="Z207" s="219"/>
      <x:c r="AA207" s="219"/>
      <x:c r="AB207" s="219"/>
      <x:c r="AC207" s="219"/>
      <x:c r="AD207" s="219"/>
      <x:c r="AE207" s="219"/>
      <x:c r="AF207" s="219"/>
      <x:c r="AG207" s="219"/>
      <x:c r="AH207" s="219"/>
      <x:c r="AI207" s="219"/>
      <x:c r="AJ207" s="219"/>
      <x:c r="AK207" s="220"/>
      <x:c r="AL207" s="221"/>
      <x:c r="AM207" s="221"/>
      <x:c r="AN207" s="222"/>
      <x:c r="AO207" s="222"/>
      <x:c r="AP207" s="228"/>
      <x:c r="AQ207" s="228"/>
      <x:c r="AR207" s="228"/>
      <x:c r="AS207" s="228"/>
      <x:c r="AT207" s="230"/>
    </x:row>
    <x:row r="208" spans="1:47" ht="15" customHeight="1">
      <x:c r="A208" s="237"/>
      <x:c r="B208" s="216"/>
      <x:c r="C208" s="238"/>
      <x:c r="D208" s="239"/>
      <x:c r="E208" s="239"/>
      <x:c r="F208" s="236"/>
      <x:c r="G208" s="236"/>
      <x:c r="H208" s="236"/>
      <x:c r="I208" s="236"/>
      <x:c r="J208" s="236"/>
      <x:c r="K208" s="236"/>
      <x:c r="L208" s="236"/>
      <x:c r="M208" s="236"/>
      <x:c r="N208" s="236"/>
      <x:c r="O208" s="236"/>
      <x:c r="P208" s="236"/>
      <x:c r="Q208" s="236"/>
      <x:c r="R208" s="236"/>
      <x:c r="S208" s="236"/>
      <x:c r="T208" s="236"/>
      <x:c r="U208" s="236"/>
      <x:c r="V208" s="236"/>
      <x:c r="W208" s="236"/>
      <x:c r="X208" s="236"/>
      <x:c r="Y208" s="236"/>
      <x:c r="Z208" s="236"/>
      <x:c r="AA208" s="236"/>
      <x:c r="AB208" s="236"/>
      <x:c r="AC208" s="236"/>
      <x:c r="AD208" s="236"/>
      <x:c r="AE208" s="236"/>
      <x:c r="AF208" s="236"/>
      <x:c r="AG208" s="236"/>
      <x:c r="AH208" s="236"/>
      <x:c r="AI208" s="236"/>
      <x:c r="AJ208" s="236"/>
      <x:c r="AK208" s="220"/>
      <x:c r="AL208" s="221"/>
      <x:c r="AM208" s="221"/>
      <x:c r="AN208" s="222"/>
      <x:c r="AO208" s="222"/>
      <x:c r="AP208" s="228"/>
      <x:c r="AQ208" s="228"/>
      <x:c r="AR208" s="228"/>
      <x:c r="AS208" s="228"/>
      <x:c r="AT208" s="230"/>
    </x:row>
    <x:row r="209" spans="1:47" ht="15" customHeight="1">
      <x:c r="A209" s="237"/>
      <x:c r="B209" s="216"/>
      <x:c r="C209" s="238"/>
      <x:c r="D209" s="239"/>
      <x:c r="E209" s="239"/>
      <x:c r="F209" s="219"/>
      <x:c r="G209" s="219"/>
      <x:c r="H209" s="219"/>
      <x:c r="I209" s="219"/>
      <x:c r="J209" s="219"/>
      <x:c r="K209" s="219"/>
      <x:c r="L209" s="219"/>
      <x:c r="M209" s="219"/>
      <x:c r="N209" s="219"/>
      <x:c r="O209" s="219"/>
      <x:c r="P209" s="219"/>
      <x:c r="Q209" s="219"/>
      <x:c r="R209" s="219"/>
      <x:c r="S209" s="219"/>
      <x:c r="T209" s="219"/>
      <x:c r="U209" s="219"/>
      <x:c r="V209" s="219"/>
      <x:c r="W209" s="219"/>
      <x:c r="X209" s="219"/>
      <x:c r="Y209" s="219"/>
      <x:c r="Z209" s="219"/>
      <x:c r="AA209" s="219"/>
      <x:c r="AB209" s="219"/>
      <x:c r="AC209" s="219"/>
      <x:c r="AD209" s="219"/>
      <x:c r="AE209" s="219"/>
      <x:c r="AF209" s="219"/>
      <x:c r="AG209" s="219"/>
      <x:c r="AH209" s="219"/>
      <x:c r="AI209" s="219"/>
      <x:c r="AJ209" s="219"/>
      <x:c r="AK209" s="220"/>
      <x:c r="AL209" s="221"/>
      <x:c r="AM209" s="221"/>
      <x:c r="AN209" s="222"/>
      <x:c r="AO209" s="222"/>
      <x:c r="AP209" s="228"/>
      <x:c r="AQ209" s="228"/>
      <x:c r="AR209" s="228"/>
      <x:c r="AS209" s="228"/>
      <x:c r="AT209" s="230"/>
    </x:row>
    <x:row r="210" spans="1:47" ht="15" customHeight="1">
      <x:c r="A210" s="237"/>
      <x:c r="B210" s="216"/>
      <x:c r="C210" s="238"/>
      <x:c r="D210" s="239"/>
      <x:c r="E210" s="239"/>
      <x:c r="F210" s="219"/>
      <x:c r="G210" s="219"/>
      <x:c r="H210" s="219"/>
      <x:c r="I210" s="219"/>
      <x:c r="J210" s="219"/>
      <x:c r="K210" s="219"/>
      <x:c r="L210" s="219"/>
      <x:c r="M210" s="219"/>
      <x:c r="N210" s="219"/>
      <x:c r="O210" s="219"/>
      <x:c r="P210" s="219"/>
      <x:c r="Q210" s="219"/>
      <x:c r="R210" s="219"/>
      <x:c r="S210" s="219"/>
      <x:c r="T210" s="219"/>
      <x:c r="U210" s="219"/>
      <x:c r="V210" s="219"/>
      <x:c r="W210" s="219"/>
      <x:c r="X210" s="219"/>
      <x:c r="Y210" s="219"/>
      <x:c r="Z210" s="219"/>
      <x:c r="AA210" s="219"/>
      <x:c r="AB210" s="219"/>
      <x:c r="AC210" s="219"/>
      <x:c r="AD210" s="219"/>
      <x:c r="AE210" s="219"/>
      <x:c r="AF210" s="219"/>
      <x:c r="AG210" s="219"/>
      <x:c r="AH210" s="219"/>
      <x:c r="AI210" s="219"/>
      <x:c r="AJ210" s="219"/>
      <x:c r="AK210" s="220"/>
      <x:c r="AL210" s="221"/>
      <x:c r="AM210" s="221"/>
      <x:c r="AN210" s="222"/>
      <x:c r="AO210" s="222"/>
      <x:c r="AP210" s="228"/>
      <x:c r="AQ210" s="228"/>
      <x:c r="AR210" s="228"/>
      <x:c r="AS210" s="228"/>
      <x:c r="AT210" s="230"/>
    </x:row>
    <x:row r="211" spans="1:47" ht="15" customHeight="1">
      <x:c r="A211" s="237"/>
      <x:c r="B211" s="216"/>
      <x:c r="C211" s="238"/>
      <x:c r="D211" s="239"/>
      <x:c r="E211" s="239"/>
      <x:c r="F211" s="219"/>
      <x:c r="G211" s="219"/>
      <x:c r="H211" s="219"/>
      <x:c r="I211" s="219"/>
      <x:c r="J211" s="219"/>
      <x:c r="K211" s="219"/>
      <x:c r="L211" s="219"/>
      <x:c r="M211" s="219"/>
      <x:c r="N211" s="219"/>
      <x:c r="O211" s="219"/>
      <x:c r="P211" s="219"/>
      <x:c r="Q211" s="219"/>
      <x:c r="R211" s="219"/>
      <x:c r="S211" s="219"/>
      <x:c r="T211" s="219"/>
      <x:c r="U211" s="219"/>
      <x:c r="V211" s="219"/>
      <x:c r="W211" s="219"/>
      <x:c r="X211" s="219"/>
      <x:c r="Y211" s="219"/>
      <x:c r="Z211" s="219"/>
      <x:c r="AA211" s="219"/>
      <x:c r="AB211" s="219"/>
      <x:c r="AC211" s="219"/>
      <x:c r="AD211" s="219"/>
      <x:c r="AE211" s="219"/>
      <x:c r="AF211" s="219"/>
      <x:c r="AG211" s="219"/>
      <x:c r="AH211" s="219"/>
      <x:c r="AI211" s="219"/>
      <x:c r="AJ211" s="219"/>
      <x:c r="AK211" s="220"/>
      <x:c r="AL211" s="221"/>
      <x:c r="AM211" s="221"/>
      <x:c r="AN211" s="222"/>
      <x:c r="AO211" s="222"/>
      <x:c r="AP211" s="228"/>
      <x:c r="AQ211" s="228"/>
      <x:c r="AR211" s="228"/>
      <x:c r="AS211" s="228"/>
      <x:c r="AT211" s="230"/>
    </x:row>
    <x:row r="212" spans="1:47" ht="15" customHeight="1">
      <x:c r="A212" s="237"/>
      <x:c r="B212" s="216"/>
      <x:c r="C212" s="238"/>
      <x:c r="D212" s="239"/>
      <x:c r="E212" s="239"/>
      <x:c r="F212" s="236"/>
      <x:c r="G212" s="236"/>
      <x:c r="H212" s="236"/>
      <x:c r="I212" s="236"/>
      <x:c r="J212" s="236"/>
      <x:c r="K212" s="236"/>
      <x:c r="L212" s="236"/>
      <x:c r="M212" s="236"/>
      <x:c r="N212" s="236"/>
      <x:c r="O212" s="236"/>
      <x:c r="P212" s="236"/>
      <x:c r="Q212" s="236"/>
      <x:c r="R212" s="236"/>
      <x:c r="S212" s="236"/>
      <x:c r="T212" s="236"/>
      <x:c r="U212" s="236"/>
      <x:c r="V212" s="236"/>
      <x:c r="W212" s="236"/>
      <x:c r="X212" s="236"/>
      <x:c r="Y212" s="236"/>
      <x:c r="Z212" s="236"/>
      <x:c r="AA212" s="236"/>
      <x:c r="AB212" s="236"/>
      <x:c r="AC212" s="236"/>
      <x:c r="AD212" s="236"/>
      <x:c r="AE212" s="236"/>
      <x:c r="AF212" s="236"/>
      <x:c r="AG212" s="236"/>
      <x:c r="AH212" s="236"/>
      <x:c r="AI212" s="236"/>
      <x:c r="AJ212" s="236"/>
      <x:c r="AK212" s="220"/>
      <x:c r="AL212" s="221"/>
      <x:c r="AM212" s="221"/>
      <x:c r="AN212" s="222"/>
      <x:c r="AO212" s="222"/>
      <x:c r="AP212" s="228"/>
      <x:c r="AQ212" s="228"/>
      <x:c r="AR212" s="228"/>
      <x:c r="AS212" s="228"/>
      <x:c r="AT212" s="230"/>
    </x:row>
    <x:row r="213" spans="1:47" ht="15" customHeight="1">
      <x:c r="A213" s="237"/>
      <x:c r="B213" s="216"/>
      <x:c r="C213" s="238"/>
      <x:c r="D213" s="239"/>
      <x:c r="E213" s="239"/>
      <x:c r="F213" s="236"/>
      <x:c r="G213" s="236"/>
      <x:c r="H213" s="236"/>
      <x:c r="I213" s="236"/>
      <x:c r="J213" s="236"/>
      <x:c r="K213" s="236"/>
      <x:c r="L213" s="236"/>
      <x:c r="M213" s="236"/>
      <x:c r="N213" s="236"/>
      <x:c r="O213" s="236"/>
      <x:c r="P213" s="236"/>
      <x:c r="Q213" s="236"/>
      <x:c r="R213" s="236"/>
      <x:c r="S213" s="236"/>
      <x:c r="T213" s="236"/>
      <x:c r="U213" s="236"/>
      <x:c r="V213" s="236"/>
      <x:c r="W213" s="236"/>
      <x:c r="X213" s="236"/>
      <x:c r="Y213" s="236"/>
      <x:c r="Z213" s="236"/>
      <x:c r="AA213" s="236"/>
      <x:c r="AB213" s="236"/>
      <x:c r="AC213" s="236"/>
      <x:c r="AD213" s="236"/>
      <x:c r="AE213" s="236"/>
      <x:c r="AF213" s="236"/>
      <x:c r="AG213" s="236"/>
      <x:c r="AH213" s="236"/>
      <x:c r="AI213" s="236"/>
      <x:c r="AJ213" s="236"/>
      <x:c r="AK213" s="220"/>
      <x:c r="AL213" s="221"/>
      <x:c r="AM213" s="221"/>
      <x:c r="AN213" s="222"/>
      <x:c r="AO213" s="222"/>
      <x:c r="AP213" s="228"/>
      <x:c r="AQ213" s="228"/>
      <x:c r="AR213" s="228"/>
      <x:c r="AS213" s="228"/>
      <x:c r="AT213" s="230"/>
    </x:row>
    <x:row r="214" spans="1:47" ht="15" customHeight="1">
      <x:c r="A214" s="237"/>
      <x:c r="B214" s="216"/>
      <x:c r="C214" s="238"/>
      <x:c r="D214" s="239"/>
      <x:c r="E214" s="239"/>
      <x:c r="F214" s="219"/>
      <x:c r="G214" s="219"/>
      <x:c r="H214" s="219"/>
      <x:c r="I214" s="219"/>
      <x:c r="J214" s="219"/>
      <x:c r="K214" s="219"/>
      <x:c r="L214" s="219"/>
      <x:c r="M214" s="219"/>
      <x:c r="N214" s="219"/>
      <x:c r="O214" s="219"/>
      <x:c r="P214" s="219"/>
      <x:c r="Q214" s="219"/>
      <x:c r="R214" s="219"/>
      <x:c r="S214" s="219"/>
      <x:c r="T214" s="219"/>
      <x:c r="U214" s="219"/>
      <x:c r="V214" s="219"/>
      <x:c r="W214" s="219"/>
      <x:c r="X214" s="219"/>
      <x:c r="Y214" s="219"/>
      <x:c r="Z214" s="219"/>
      <x:c r="AA214" s="219"/>
      <x:c r="AB214" s="219"/>
      <x:c r="AC214" s="219"/>
      <x:c r="AD214" s="219"/>
      <x:c r="AE214" s="219"/>
      <x:c r="AF214" s="219"/>
      <x:c r="AG214" s="219"/>
      <x:c r="AH214" s="219"/>
      <x:c r="AI214" s="219"/>
      <x:c r="AJ214" s="219"/>
      <x:c r="AK214" s="220"/>
      <x:c r="AL214" s="221"/>
      <x:c r="AM214" s="221"/>
      <x:c r="AN214" s="222"/>
      <x:c r="AO214" s="222"/>
      <x:c r="AP214" s="228"/>
      <x:c r="AQ214" s="228"/>
      <x:c r="AR214" s="228"/>
      <x:c r="AS214" s="228"/>
      <x:c r="AT214" s="230"/>
    </x:row>
    <x:row r="215" spans="1:47" ht="15" customHeight="1">
      <x:c r="A215" s="237"/>
      <x:c r="B215" s="216"/>
      <x:c r="C215" s="238"/>
      <x:c r="D215" s="239"/>
      <x:c r="E215" s="239"/>
      <x:c r="F215" s="236"/>
      <x:c r="G215" s="236"/>
      <x:c r="H215" s="236"/>
      <x:c r="I215" s="236"/>
      <x:c r="J215" s="236"/>
      <x:c r="K215" s="236"/>
      <x:c r="L215" s="236"/>
      <x:c r="M215" s="236"/>
      <x:c r="N215" s="236"/>
      <x:c r="O215" s="236"/>
      <x:c r="P215" s="236"/>
      <x:c r="Q215" s="236"/>
      <x:c r="R215" s="236"/>
      <x:c r="S215" s="236"/>
      <x:c r="T215" s="236"/>
      <x:c r="U215" s="236"/>
      <x:c r="V215" s="236"/>
      <x:c r="W215" s="236"/>
      <x:c r="X215" s="236"/>
      <x:c r="Y215" s="236"/>
      <x:c r="Z215" s="236"/>
      <x:c r="AA215" s="236"/>
      <x:c r="AB215" s="236"/>
      <x:c r="AC215" s="236"/>
      <x:c r="AD215" s="236"/>
      <x:c r="AE215" s="236"/>
      <x:c r="AF215" s="236"/>
      <x:c r="AG215" s="236"/>
      <x:c r="AH215" s="236"/>
      <x:c r="AI215" s="236"/>
      <x:c r="AJ215" s="236"/>
      <x:c r="AK215" s="220"/>
      <x:c r="AL215" s="221"/>
      <x:c r="AM215" s="221"/>
      <x:c r="AN215" s="222"/>
      <x:c r="AO215" s="222"/>
      <x:c r="AP215" s="228"/>
      <x:c r="AQ215" s="228"/>
      <x:c r="AR215" s="228"/>
      <x:c r="AS215" s="228"/>
      <x:c r="AT215" s="230"/>
    </x:row>
    <x:row r="216" spans="1:47" ht="15" customHeight="1">
      <x:c r="A216" s="237"/>
      <x:c r="B216" s="216"/>
      <x:c r="C216" s="238"/>
      <x:c r="D216" s="239"/>
      <x:c r="E216" s="239"/>
      <x:c r="F216" s="219"/>
      <x:c r="G216" s="219"/>
      <x:c r="H216" s="219"/>
      <x:c r="I216" s="219"/>
      <x:c r="J216" s="219"/>
      <x:c r="K216" s="219"/>
      <x:c r="L216" s="219"/>
      <x:c r="M216" s="219"/>
      <x:c r="N216" s="219"/>
      <x:c r="O216" s="219"/>
      <x:c r="P216" s="219"/>
      <x:c r="Q216" s="219"/>
      <x:c r="R216" s="219"/>
      <x:c r="S216" s="219"/>
      <x:c r="T216" s="219"/>
      <x:c r="U216" s="219"/>
      <x:c r="V216" s="219"/>
      <x:c r="W216" s="219"/>
      <x:c r="X216" s="219"/>
      <x:c r="Y216" s="219"/>
      <x:c r="Z216" s="219"/>
      <x:c r="AA216" s="219"/>
      <x:c r="AB216" s="219"/>
      <x:c r="AC216" s="219"/>
      <x:c r="AD216" s="219"/>
      <x:c r="AE216" s="219"/>
      <x:c r="AF216" s="219"/>
      <x:c r="AG216" s="219"/>
      <x:c r="AH216" s="219"/>
      <x:c r="AI216" s="219"/>
      <x:c r="AJ216" s="219"/>
      <x:c r="AK216" s="220"/>
      <x:c r="AL216" s="221"/>
      <x:c r="AM216" s="221"/>
      <x:c r="AN216" s="222"/>
      <x:c r="AO216" s="222"/>
      <x:c r="AP216" s="228"/>
      <x:c r="AQ216" s="228"/>
      <x:c r="AR216" s="228"/>
      <x:c r="AS216" s="228"/>
      <x:c r="AT216" s="230"/>
    </x:row>
    <x:row r="217" spans="1:47" ht="15" customHeight="1">
      <x:c r="A217" s="237"/>
      <x:c r="B217" s="216"/>
      <x:c r="C217" s="238"/>
      <x:c r="D217" s="239"/>
      <x:c r="E217" s="239"/>
      <x:c r="F217" s="219"/>
      <x:c r="G217" s="219"/>
      <x:c r="H217" s="219"/>
      <x:c r="I217" s="219"/>
      <x:c r="J217" s="219"/>
      <x:c r="K217" s="219"/>
      <x:c r="L217" s="219"/>
      <x:c r="M217" s="219"/>
      <x:c r="N217" s="219"/>
      <x:c r="O217" s="219"/>
      <x:c r="P217" s="219"/>
      <x:c r="Q217" s="219"/>
      <x:c r="R217" s="219"/>
      <x:c r="S217" s="219"/>
      <x:c r="T217" s="219"/>
      <x:c r="U217" s="219"/>
      <x:c r="V217" s="219"/>
      <x:c r="W217" s="219"/>
      <x:c r="X217" s="219"/>
      <x:c r="Y217" s="219"/>
      <x:c r="Z217" s="219"/>
      <x:c r="AA217" s="219"/>
      <x:c r="AB217" s="219"/>
      <x:c r="AC217" s="219"/>
      <x:c r="AD217" s="219"/>
      <x:c r="AE217" s="219"/>
      <x:c r="AF217" s="219"/>
      <x:c r="AG217" s="219"/>
      <x:c r="AH217" s="219"/>
      <x:c r="AI217" s="219"/>
      <x:c r="AJ217" s="219"/>
      <x:c r="AK217" s="220"/>
      <x:c r="AL217" s="221"/>
      <x:c r="AM217" s="221"/>
      <x:c r="AN217" s="222"/>
      <x:c r="AO217" s="222"/>
      <x:c r="AP217" s="228"/>
      <x:c r="AQ217" s="228"/>
      <x:c r="AR217" s="228"/>
      <x:c r="AS217" s="228"/>
      <x:c r="AT217" s="233"/>
    </x:row>
    <x:row r="218" spans="1:47" ht="15" customHeight="1">
      <x:c r="A218" s="237"/>
      <x:c r="B218" s="216"/>
      <x:c r="C218" s="238"/>
      <x:c r="D218" s="239"/>
      <x:c r="E218" s="239"/>
      <x:c r="F218" s="219"/>
      <x:c r="G218" s="219"/>
      <x:c r="H218" s="219"/>
      <x:c r="I218" s="219"/>
      <x:c r="J218" s="219"/>
      <x:c r="K218" s="219"/>
      <x:c r="L218" s="219"/>
      <x:c r="M218" s="219"/>
      <x:c r="N218" s="219"/>
      <x:c r="O218" s="219"/>
      <x:c r="P218" s="219"/>
      <x:c r="Q218" s="219"/>
      <x:c r="R218" s="219"/>
      <x:c r="S218" s="219"/>
      <x:c r="T218" s="219"/>
      <x:c r="U218" s="219"/>
      <x:c r="V218" s="219"/>
      <x:c r="W218" s="219"/>
      <x:c r="X218" s="219"/>
      <x:c r="Y218" s="219"/>
      <x:c r="Z218" s="219"/>
      <x:c r="AA218" s="219"/>
      <x:c r="AB218" s="219"/>
      <x:c r="AC218" s="219"/>
      <x:c r="AD218" s="219"/>
      <x:c r="AE218" s="219"/>
      <x:c r="AF218" s="219"/>
      <x:c r="AG218" s="219"/>
      <x:c r="AH218" s="219"/>
      <x:c r="AI218" s="219"/>
      <x:c r="AJ218" s="219"/>
      <x:c r="AK218" s="220"/>
      <x:c r="AL218" s="221"/>
      <x:c r="AM218" s="221"/>
      <x:c r="AN218" s="222"/>
      <x:c r="AO218" s="222"/>
      <x:c r="AP218" s="228"/>
      <x:c r="AQ218" s="228"/>
      <x:c r="AR218" s="228"/>
      <x:c r="AS218" s="228"/>
      <x:c r="AT218" s="230"/>
    </x:row>
    <x:row r="219" spans="1:47" ht="15" customHeight="1">
      <x:c r="A219" s="237"/>
      <x:c r="B219" s="216"/>
      <x:c r="C219" s="238"/>
      <x:c r="D219" s="239"/>
      <x:c r="E219" s="239"/>
      <x:c r="F219" s="236"/>
      <x:c r="G219" s="236"/>
      <x:c r="H219" s="236"/>
      <x:c r="I219" s="236"/>
      <x:c r="J219" s="236"/>
      <x:c r="K219" s="236"/>
      <x:c r="L219" s="236"/>
      <x:c r="M219" s="236"/>
      <x:c r="N219" s="236"/>
      <x:c r="O219" s="236"/>
      <x:c r="P219" s="236"/>
      <x:c r="Q219" s="236"/>
      <x:c r="R219" s="236"/>
      <x:c r="S219" s="236"/>
      <x:c r="T219" s="236"/>
      <x:c r="U219" s="236"/>
      <x:c r="V219" s="236"/>
      <x:c r="W219" s="236"/>
      <x:c r="X219" s="236"/>
      <x:c r="Y219" s="236"/>
      <x:c r="Z219" s="236"/>
      <x:c r="AA219" s="236"/>
      <x:c r="AB219" s="236"/>
      <x:c r="AC219" s="236"/>
      <x:c r="AD219" s="236"/>
      <x:c r="AE219" s="236"/>
      <x:c r="AF219" s="236"/>
      <x:c r="AG219" s="236"/>
      <x:c r="AH219" s="236"/>
      <x:c r="AI219" s="236"/>
      <x:c r="AJ219" s="236"/>
      <x:c r="AK219" s="220"/>
      <x:c r="AL219" s="221"/>
      <x:c r="AM219" s="221"/>
      <x:c r="AN219" s="222"/>
      <x:c r="AO219" s="222"/>
      <x:c r="AP219" s="228"/>
      <x:c r="AQ219" s="228"/>
      <x:c r="AR219" s="228"/>
      <x:c r="AS219" s="228"/>
      <x:c r="AT219" s="230"/>
    </x:row>
    <x:row r="220" spans="1:47" ht="15" customHeight="1">
      <x:c r="A220" s="237"/>
      <x:c r="B220" s="216"/>
      <x:c r="C220" s="238"/>
      <x:c r="D220" s="239"/>
      <x:c r="E220" s="239"/>
      <x:c r="F220" s="219"/>
      <x:c r="G220" s="219"/>
      <x:c r="H220" s="219"/>
      <x:c r="I220" s="219"/>
      <x:c r="J220" s="219"/>
      <x:c r="K220" s="219"/>
      <x:c r="L220" s="219"/>
      <x:c r="M220" s="219"/>
      <x:c r="N220" s="219"/>
      <x:c r="O220" s="219"/>
      <x:c r="P220" s="219"/>
      <x:c r="Q220" s="219"/>
      <x:c r="R220" s="219"/>
      <x:c r="S220" s="219"/>
      <x:c r="T220" s="219"/>
      <x:c r="U220" s="219"/>
      <x:c r="V220" s="219"/>
      <x:c r="W220" s="219"/>
      <x:c r="X220" s="219"/>
      <x:c r="Y220" s="219"/>
      <x:c r="Z220" s="219"/>
      <x:c r="AA220" s="219"/>
      <x:c r="AB220" s="219"/>
      <x:c r="AC220" s="219"/>
      <x:c r="AD220" s="219"/>
      <x:c r="AE220" s="219"/>
      <x:c r="AF220" s="219"/>
      <x:c r="AG220" s="219"/>
      <x:c r="AH220" s="219"/>
      <x:c r="AI220" s="219"/>
      <x:c r="AJ220" s="219"/>
      <x:c r="AK220" s="220"/>
      <x:c r="AL220" s="221"/>
      <x:c r="AM220" s="221"/>
      <x:c r="AN220" s="222"/>
      <x:c r="AO220" s="222"/>
      <x:c r="AP220" s="228"/>
      <x:c r="AQ220" s="228"/>
      <x:c r="AR220" s="228"/>
      <x:c r="AS220" s="228"/>
      <x:c r="AT220" s="230"/>
    </x:row>
    <x:row r="221" spans="1:47" ht="15" customHeight="1">
      <x:c r="A221" s="237"/>
      <x:c r="B221" s="216"/>
      <x:c r="C221" s="238"/>
      <x:c r="D221" s="239"/>
      <x:c r="E221" s="239"/>
      <x:c r="F221" s="219"/>
      <x:c r="G221" s="219"/>
      <x:c r="H221" s="219"/>
      <x:c r="I221" s="219"/>
      <x:c r="J221" s="219"/>
      <x:c r="K221" s="219"/>
      <x:c r="L221" s="219"/>
      <x:c r="M221" s="219"/>
      <x:c r="N221" s="219"/>
      <x:c r="O221" s="219"/>
      <x:c r="P221" s="219"/>
      <x:c r="Q221" s="219"/>
      <x:c r="R221" s="219"/>
      <x:c r="S221" s="219"/>
      <x:c r="T221" s="219"/>
      <x:c r="U221" s="219"/>
      <x:c r="V221" s="219"/>
      <x:c r="W221" s="219"/>
      <x:c r="X221" s="219"/>
      <x:c r="Y221" s="219"/>
      <x:c r="Z221" s="219"/>
      <x:c r="AA221" s="219"/>
      <x:c r="AB221" s="219"/>
      <x:c r="AC221" s="219"/>
      <x:c r="AD221" s="219"/>
      <x:c r="AE221" s="219"/>
      <x:c r="AF221" s="219"/>
      <x:c r="AG221" s="219"/>
      <x:c r="AH221" s="219"/>
      <x:c r="AI221" s="219"/>
      <x:c r="AJ221" s="219"/>
      <x:c r="AK221" s="220"/>
      <x:c r="AL221" s="221"/>
      <x:c r="AM221" s="221"/>
      <x:c r="AN221" s="222"/>
      <x:c r="AO221" s="222"/>
      <x:c r="AP221" s="228"/>
      <x:c r="AQ221" s="228"/>
      <x:c r="AR221" s="228"/>
      <x:c r="AS221" s="228"/>
      <x:c r="AT221" s="230"/>
    </x:row>
    <x:row r="222" spans="1:47" ht="15" customHeight="1">
      <x:c r="A222" s="237"/>
      <x:c r="B222" s="216"/>
      <x:c r="C222" s="238"/>
      <x:c r="D222" s="239"/>
      <x:c r="E222" s="239"/>
      <x:c r="F222" s="219"/>
      <x:c r="G222" s="219"/>
      <x:c r="H222" s="219"/>
      <x:c r="I222" s="219"/>
      <x:c r="J222" s="219"/>
      <x:c r="K222" s="219"/>
      <x:c r="L222" s="219"/>
      <x:c r="M222" s="219"/>
      <x:c r="N222" s="219"/>
      <x:c r="O222" s="219"/>
      <x:c r="P222" s="219"/>
      <x:c r="Q222" s="219"/>
      <x:c r="R222" s="219"/>
      <x:c r="S222" s="219"/>
      <x:c r="T222" s="219"/>
      <x:c r="U222" s="219"/>
      <x:c r="V222" s="219"/>
      <x:c r="W222" s="219"/>
      <x:c r="X222" s="219"/>
      <x:c r="Y222" s="219"/>
      <x:c r="Z222" s="219"/>
      <x:c r="AA222" s="219"/>
      <x:c r="AB222" s="219"/>
      <x:c r="AC222" s="219"/>
      <x:c r="AD222" s="219"/>
      <x:c r="AE222" s="219"/>
      <x:c r="AF222" s="219"/>
      <x:c r="AG222" s="219"/>
      <x:c r="AH222" s="219"/>
      <x:c r="AI222" s="219"/>
      <x:c r="AJ222" s="219"/>
      <x:c r="AK222" s="220"/>
      <x:c r="AL222" s="221"/>
      <x:c r="AM222" s="221"/>
      <x:c r="AN222" s="222"/>
      <x:c r="AO222" s="222"/>
      <x:c r="AP222" s="228"/>
      <x:c r="AQ222" s="228"/>
      <x:c r="AR222" s="228"/>
      <x:c r="AS222" s="228"/>
      <x:c r="AT222" s="230"/>
    </x:row>
    <x:row r="223" spans="1:47" ht="15" customHeight="1">
      <x:c r="A223" s="237"/>
      <x:c r="B223" s="216"/>
      <x:c r="C223" s="238"/>
      <x:c r="D223" s="239"/>
      <x:c r="E223" s="239"/>
      <x:c r="F223" s="219"/>
      <x:c r="G223" s="219"/>
      <x:c r="H223" s="219"/>
      <x:c r="I223" s="219"/>
      <x:c r="J223" s="219"/>
      <x:c r="K223" s="219"/>
      <x:c r="L223" s="219"/>
      <x:c r="M223" s="219"/>
      <x:c r="N223" s="219"/>
      <x:c r="O223" s="219"/>
      <x:c r="P223" s="219"/>
      <x:c r="Q223" s="219"/>
      <x:c r="R223" s="219"/>
      <x:c r="S223" s="219"/>
      <x:c r="T223" s="219"/>
      <x:c r="U223" s="219"/>
      <x:c r="V223" s="219"/>
      <x:c r="W223" s="219"/>
      <x:c r="X223" s="219"/>
      <x:c r="Y223" s="219"/>
      <x:c r="Z223" s="219"/>
      <x:c r="AA223" s="219"/>
      <x:c r="AB223" s="219"/>
      <x:c r="AC223" s="219"/>
      <x:c r="AD223" s="219"/>
      <x:c r="AE223" s="219"/>
      <x:c r="AF223" s="219"/>
      <x:c r="AG223" s="219"/>
      <x:c r="AH223" s="219"/>
      <x:c r="AI223" s="219"/>
      <x:c r="AJ223" s="219"/>
      <x:c r="AK223" s="220"/>
      <x:c r="AL223" s="221"/>
      <x:c r="AM223" s="221"/>
      <x:c r="AN223" s="222"/>
      <x:c r="AO223" s="222"/>
      <x:c r="AP223" s="228"/>
      <x:c r="AQ223" s="228"/>
      <x:c r="AR223" s="228"/>
      <x:c r="AS223" s="228"/>
      <x:c r="AT223" s="230"/>
    </x:row>
    <x:row r="224" spans="1:47" ht="15" customHeight="1">
      <x:c r="A224" s="237"/>
      <x:c r="B224" s="216"/>
      <x:c r="C224" s="238"/>
      <x:c r="D224" s="239"/>
      <x:c r="E224" s="239"/>
      <x:c r="F224" s="236"/>
      <x:c r="G224" s="236"/>
      <x:c r="H224" s="236"/>
      <x:c r="I224" s="236"/>
      <x:c r="J224" s="236"/>
      <x:c r="K224" s="236"/>
      <x:c r="L224" s="236"/>
      <x:c r="M224" s="236"/>
      <x:c r="N224" s="236"/>
      <x:c r="O224" s="236"/>
      <x:c r="P224" s="236"/>
      <x:c r="Q224" s="236"/>
      <x:c r="R224" s="236"/>
      <x:c r="S224" s="236"/>
      <x:c r="T224" s="236"/>
      <x:c r="U224" s="236"/>
      <x:c r="V224" s="236"/>
      <x:c r="W224" s="236"/>
      <x:c r="X224" s="236"/>
      <x:c r="Y224" s="236"/>
      <x:c r="Z224" s="236"/>
      <x:c r="AA224" s="236"/>
      <x:c r="AB224" s="236"/>
      <x:c r="AC224" s="236"/>
      <x:c r="AD224" s="236"/>
      <x:c r="AE224" s="236"/>
      <x:c r="AF224" s="236"/>
      <x:c r="AG224" s="236"/>
      <x:c r="AH224" s="236"/>
      <x:c r="AI224" s="236"/>
      <x:c r="AJ224" s="236"/>
      <x:c r="AK224" s="220"/>
      <x:c r="AL224" s="221"/>
      <x:c r="AM224" s="221"/>
      <x:c r="AN224" s="222"/>
      <x:c r="AO224" s="222"/>
      <x:c r="AP224" s="228"/>
      <x:c r="AQ224" s="228"/>
      <x:c r="AR224" s="228"/>
      <x:c r="AS224" s="228"/>
      <x:c r="AT224" s="230"/>
    </x:row>
    <x:row r="225" spans="1:47" ht="15" customHeight="1">
      <x:c r="A225" s="237"/>
      <x:c r="B225" s="216"/>
      <x:c r="C225" s="238"/>
      <x:c r="D225" s="239"/>
      <x:c r="E225" s="239"/>
      <x:c r="F225" s="219"/>
      <x:c r="G225" s="219"/>
      <x:c r="H225" s="219"/>
      <x:c r="I225" s="219"/>
      <x:c r="J225" s="219"/>
      <x:c r="K225" s="219"/>
      <x:c r="L225" s="219"/>
      <x:c r="M225" s="219"/>
      <x:c r="N225" s="219"/>
      <x:c r="O225" s="219"/>
      <x:c r="P225" s="219"/>
      <x:c r="Q225" s="219"/>
      <x:c r="R225" s="219"/>
      <x:c r="S225" s="219"/>
      <x:c r="T225" s="219"/>
      <x:c r="U225" s="219"/>
      <x:c r="V225" s="219"/>
      <x:c r="W225" s="219"/>
      <x:c r="X225" s="219"/>
      <x:c r="Y225" s="219"/>
      <x:c r="Z225" s="219"/>
      <x:c r="AA225" s="219"/>
      <x:c r="AB225" s="219"/>
      <x:c r="AC225" s="219"/>
      <x:c r="AD225" s="219"/>
      <x:c r="AE225" s="219"/>
      <x:c r="AF225" s="219"/>
      <x:c r="AG225" s="219"/>
      <x:c r="AH225" s="219"/>
      <x:c r="AI225" s="219"/>
      <x:c r="AJ225" s="219"/>
      <x:c r="AK225" s="220"/>
      <x:c r="AL225" s="221"/>
      <x:c r="AM225" s="221"/>
      <x:c r="AN225" s="222"/>
      <x:c r="AO225" s="222"/>
      <x:c r="AP225" s="228"/>
      <x:c r="AQ225" s="228"/>
      <x:c r="AR225" s="228"/>
      <x:c r="AS225" s="228"/>
      <x:c r="AT225" s="230"/>
    </x:row>
    <x:row r="226" spans="1:47" ht="15" customHeight="1">
      <x:c r="A226" s="237"/>
      <x:c r="B226" s="216"/>
      <x:c r="C226" s="238"/>
      <x:c r="D226" s="239"/>
      <x:c r="E226" s="239"/>
      <x:c r="F226" s="236"/>
      <x:c r="G226" s="236"/>
      <x:c r="H226" s="236"/>
      <x:c r="I226" s="236"/>
      <x:c r="J226" s="236"/>
      <x:c r="K226" s="236"/>
      <x:c r="L226" s="236"/>
      <x:c r="M226" s="236"/>
      <x:c r="N226" s="236"/>
      <x:c r="O226" s="236"/>
      <x:c r="P226" s="236"/>
      <x:c r="Q226" s="236"/>
      <x:c r="R226" s="236"/>
      <x:c r="S226" s="236"/>
      <x:c r="T226" s="236"/>
      <x:c r="U226" s="236"/>
      <x:c r="V226" s="236"/>
      <x:c r="W226" s="236"/>
      <x:c r="X226" s="236"/>
      <x:c r="Y226" s="236"/>
      <x:c r="Z226" s="236"/>
      <x:c r="AA226" s="236"/>
      <x:c r="AB226" s="236"/>
      <x:c r="AC226" s="236"/>
      <x:c r="AD226" s="236"/>
      <x:c r="AE226" s="236"/>
      <x:c r="AF226" s="236"/>
      <x:c r="AG226" s="236"/>
      <x:c r="AH226" s="236"/>
      <x:c r="AI226" s="236"/>
      <x:c r="AJ226" s="236"/>
      <x:c r="AK226" s="220"/>
      <x:c r="AL226" s="221"/>
      <x:c r="AM226" s="221"/>
      <x:c r="AN226" s="222"/>
      <x:c r="AO226" s="222"/>
      <x:c r="AP226" s="228"/>
      <x:c r="AQ226" s="228"/>
      <x:c r="AR226" s="228"/>
      <x:c r="AS226" s="228"/>
      <x:c r="AT226" s="230"/>
    </x:row>
    <x:row r="227" spans="1:47" ht="15" customHeight="1">
      <x:c r="A227" s="237"/>
      <x:c r="B227" s="216"/>
      <x:c r="C227" s="238"/>
      <x:c r="D227" s="239"/>
      <x:c r="E227" s="239"/>
      <x:c r="F227" s="219"/>
      <x:c r="G227" s="219"/>
      <x:c r="H227" s="219"/>
      <x:c r="I227" s="219"/>
      <x:c r="J227" s="219"/>
      <x:c r="K227" s="219"/>
      <x:c r="L227" s="219"/>
      <x:c r="M227" s="219"/>
      <x:c r="N227" s="219"/>
      <x:c r="O227" s="219"/>
      <x:c r="P227" s="219"/>
      <x:c r="Q227" s="219"/>
      <x:c r="R227" s="219"/>
      <x:c r="S227" s="219"/>
      <x:c r="T227" s="219"/>
      <x:c r="U227" s="219"/>
      <x:c r="V227" s="219"/>
      <x:c r="W227" s="219"/>
      <x:c r="X227" s="219"/>
      <x:c r="Y227" s="219"/>
      <x:c r="Z227" s="219"/>
      <x:c r="AA227" s="219"/>
      <x:c r="AB227" s="219"/>
      <x:c r="AC227" s="219"/>
      <x:c r="AD227" s="219"/>
      <x:c r="AE227" s="219"/>
      <x:c r="AF227" s="219"/>
      <x:c r="AG227" s="219"/>
      <x:c r="AH227" s="219"/>
      <x:c r="AI227" s="219"/>
      <x:c r="AJ227" s="219"/>
      <x:c r="AK227" s="220"/>
      <x:c r="AL227" s="221"/>
      <x:c r="AM227" s="221"/>
      <x:c r="AN227" s="222"/>
      <x:c r="AO227" s="222"/>
      <x:c r="AP227" s="228"/>
      <x:c r="AQ227" s="228"/>
      <x:c r="AR227" s="228"/>
      <x:c r="AS227" s="228"/>
      <x:c r="AT227" s="230"/>
    </x:row>
    <x:row r="228" spans="1:47" ht="15" customHeight="1">
      <x:c r="A228" s="237"/>
      <x:c r="B228" s="216"/>
      <x:c r="C228" s="238"/>
      <x:c r="D228" s="239"/>
      <x:c r="E228" s="239"/>
      <x:c r="F228" s="219"/>
      <x:c r="G228" s="219"/>
      <x:c r="H228" s="219"/>
      <x:c r="I228" s="219"/>
      <x:c r="J228" s="219"/>
      <x:c r="K228" s="219"/>
      <x:c r="L228" s="219"/>
      <x:c r="M228" s="219"/>
      <x:c r="N228" s="219"/>
      <x:c r="O228" s="219"/>
      <x:c r="P228" s="219"/>
      <x:c r="Q228" s="219"/>
      <x:c r="R228" s="219"/>
      <x:c r="S228" s="219"/>
      <x:c r="T228" s="219"/>
      <x:c r="U228" s="219"/>
      <x:c r="V228" s="219"/>
      <x:c r="W228" s="219"/>
      <x:c r="X228" s="219"/>
      <x:c r="Y228" s="219"/>
      <x:c r="Z228" s="219"/>
      <x:c r="AA228" s="219"/>
      <x:c r="AB228" s="219"/>
      <x:c r="AC228" s="219"/>
      <x:c r="AD228" s="219"/>
      <x:c r="AE228" s="219"/>
      <x:c r="AF228" s="219"/>
      <x:c r="AG228" s="219"/>
      <x:c r="AH228" s="219"/>
      <x:c r="AI228" s="219"/>
      <x:c r="AJ228" s="219"/>
      <x:c r="AK228" s="220"/>
      <x:c r="AL228" s="221"/>
      <x:c r="AM228" s="221"/>
      <x:c r="AN228" s="222"/>
      <x:c r="AO228" s="222"/>
      <x:c r="AP228" s="228"/>
      <x:c r="AQ228" s="228"/>
      <x:c r="AR228" s="228"/>
      <x:c r="AS228" s="228"/>
      <x:c r="AT228" s="230"/>
    </x:row>
    <x:row r="229" spans="1:47" ht="15" customHeight="1">
      <x:c r="A229" s="237"/>
      <x:c r="B229" s="216"/>
      <x:c r="C229" s="238"/>
      <x:c r="D229" s="239"/>
      <x:c r="E229" s="239"/>
      <x:c r="F229" s="219"/>
      <x:c r="G229" s="219"/>
      <x:c r="H229" s="219"/>
      <x:c r="I229" s="219"/>
      <x:c r="J229" s="219"/>
      <x:c r="K229" s="219"/>
      <x:c r="L229" s="219"/>
      <x:c r="M229" s="219"/>
      <x:c r="N229" s="219"/>
      <x:c r="O229" s="219"/>
      <x:c r="P229" s="219"/>
      <x:c r="Q229" s="219"/>
      <x:c r="R229" s="219"/>
      <x:c r="S229" s="219"/>
      <x:c r="T229" s="219"/>
      <x:c r="U229" s="219"/>
      <x:c r="V229" s="219"/>
      <x:c r="W229" s="219"/>
      <x:c r="X229" s="219"/>
      <x:c r="Y229" s="219"/>
      <x:c r="Z229" s="219"/>
      <x:c r="AA229" s="219"/>
      <x:c r="AB229" s="219"/>
      <x:c r="AC229" s="219"/>
      <x:c r="AD229" s="219"/>
      <x:c r="AE229" s="219"/>
      <x:c r="AF229" s="219"/>
      <x:c r="AG229" s="219"/>
      <x:c r="AH229" s="219"/>
      <x:c r="AI229" s="219"/>
      <x:c r="AJ229" s="219"/>
      <x:c r="AK229" s="220"/>
      <x:c r="AL229" s="221"/>
      <x:c r="AM229" s="221"/>
      <x:c r="AN229" s="222"/>
      <x:c r="AO229" s="222"/>
      <x:c r="AP229" s="228"/>
      <x:c r="AQ229" s="228"/>
      <x:c r="AR229" s="228"/>
      <x:c r="AS229" s="228"/>
      <x:c r="AT229" s="230"/>
    </x:row>
    <x:row r="230" spans="1:47" ht="15" customHeight="1">
      <x:c r="A230" s="237"/>
      <x:c r="B230" s="216"/>
      <x:c r="C230" s="238"/>
      <x:c r="D230" s="239"/>
      <x:c r="E230" s="239"/>
      <x:c r="F230" s="219"/>
      <x:c r="G230" s="219"/>
      <x:c r="H230" s="219"/>
      <x:c r="I230" s="219"/>
      <x:c r="J230" s="219"/>
      <x:c r="K230" s="219"/>
      <x:c r="L230" s="219"/>
      <x:c r="M230" s="219"/>
      <x:c r="N230" s="219"/>
      <x:c r="O230" s="219"/>
      <x:c r="P230" s="219"/>
      <x:c r="Q230" s="219"/>
      <x:c r="R230" s="219"/>
      <x:c r="S230" s="219"/>
      <x:c r="T230" s="219"/>
      <x:c r="U230" s="219"/>
      <x:c r="V230" s="219"/>
      <x:c r="W230" s="219"/>
      <x:c r="X230" s="219"/>
      <x:c r="Y230" s="219"/>
      <x:c r="Z230" s="219"/>
      <x:c r="AA230" s="219"/>
      <x:c r="AB230" s="219"/>
      <x:c r="AC230" s="219"/>
      <x:c r="AD230" s="219"/>
      <x:c r="AE230" s="219"/>
      <x:c r="AF230" s="219"/>
      <x:c r="AG230" s="219"/>
      <x:c r="AH230" s="219"/>
      <x:c r="AI230" s="219"/>
      <x:c r="AJ230" s="219"/>
      <x:c r="AK230" s="220"/>
      <x:c r="AL230" s="221"/>
      <x:c r="AM230" s="221"/>
      <x:c r="AN230" s="222"/>
      <x:c r="AO230" s="222"/>
      <x:c r="AP230" s="228"/>
      <x:c r="AQ230" s="228"/>
      <x:c r="AR230" s="228"/>
      <x:c r="AS230" s="228"/>
      <x:c r="AT230" s="233"/>
    </x:row>
    <x:row r="231" spans="1:47" ht="15" customHeight="1">
      <x:c r="A231" s="237"/>
      <x:c r="B231" s="216"/>
      <x:c r="C231" s="238"/>
      <x:c r="D231" s="239"/>
      <x:c r="E231" s="239"/>
      <x:c r="F231" s="219"/>
      <x:c r="G231" s="219"/>
      <x:c r="H231" s="219"/>
      <x:c r="I231" s="219"/>
      <x:c r="J231" s="219"/>
      <x:c r="K231" s="219"/>
      <x:c r="L231" s="219"/>
      <x:c r="M231" s="219"/>
      <x:c r="N231" s="219"/>
      <x:c r="O231" s="219"/>
      <x:c r="P231" s="219"/>
      <x:c r="Q231" s="219"/>
      <x:c r="R231" s="219"/>
      <x:c r="S231" s="219"/>
      <x:c r="T231" s="219"/>
      <x:c r="U231" s="219"/>
      <x:c r="V231" s="219"/>
      <x:c r="W231" s="219"/>
      <x:c r="X231" s="219"/>
      <x:c r="Y231" s="219"/>
      <x:c r="Z231" s="219"/>
      <x:c r="AA231" s="219"/>
      <x:c r="AB231" s="219"/>
      <x:c r="AC231" s="219"/>
      <x:c r="AD231" s="219"/>
      <x:c r="AE231" s="219"/>
      <x:c r="AF231" s="219"/>
      <x:c r="AG231" s="219"/>
      <x:c r="AH231" s="219"/>
      <x:c r="AI231" s="219"/>
      <x:c r="AJ231" s="219"/>
      <x:c r="AK231" s="220"/>
      <x:c r="AL231" s="221"/>
      <x:c r="AM231" s="221"/>
      <x:c r="AN231" s="222"/>
      <x:c r="AO231" s="222"/>
      <x:c r="AP231" s="228"/>
      <x:c r="AQ231" s="228"/>
      <x:c r="AR231" s="228"/>
      <x:c r="AS231" s="228"/>
      <x:c r="AT231" s="230"/>
    </x:row>
    <x:row r="232" spans="1:47" ht="15" customHeight="1">
      <x:c r="A232" s="237"/>
      <x:c r="B232" s="216"/>
      <x:c r="C232" s="238"/>
      <x:c r="D232" s="239"/>
      <x:c r="E232" s="239"/>
      <x:c r="F232" s="219"/>
      <x:c r="G232" s="219"/>
      <x:c r="H232" s="219"/>
      <x:c r="I232" s="219"/>
      <x:c r="J232" s="219"/>
      <x:c r="K232" s="219"/>
      <x:c r="L232" s="219"/>
      <x:c r="M232" s="219"/>
      <x:c r="N232" s="219"/>
      <x:c r="O232" s="219"/>
      <x:c r="P232" s="219"/>
      <x:c r="Q232" s="219"/>
      <x:c r="R232" s="219"/>
      <x:c r="S232" s="219"/>
      <x:c r="T232" s="219"/>
      <x:c r="U232" s="219"/>
      <x:c r="V232" s="219"/>
      <x:c r="W232" s="219"/>
      <x:c r="X232" s="219"/>
      <x:c r="Y232" s="219"/>
      <x:c r="Z232" s="219"/>
      <x:c r="AA232" s="219"/>
      <x:c r="AB232" s="219"/>
      <x:c r="AC232" s="219"/>
      <x:c r="AD232" s="219"/>
      <x:c r="AE232" s="219"/>
      <x:c r="AF232" s="219"/>
      <x:c r="AG232" s="219"/>
      <x:c r="AH232" s="219"/>
      <x:c r="AI232" s="219"/>
      <x:c r="AJ232" s="219"/>
      <x:c r="AK232" s="220"/>
      <x:c r="AL232" s="221"/>
      <x:c r="AM232" s="221"/>
      <x:c r="AN232" s="222"/>
      <x:c r="AO232" s="222"/>
      <x:c r="AP232" s="228"/>
      <x:c r="AQ232" s="228"/>
      <x:c r="AR232" s="228"/>
      <x:c r="AS232" s="228"/>
      <x:c r="AT232" s="230"/>
    </x:row>
    <x:row r="233" spans="1:47" ht="15" customHeight="1">
      <x:c r="A233" s="237"/>
      <x:c r="B233" s="216"/>
      <x:c r="C233" s="238"/>
      <x:c r="D233" s="239"/>
      <x:c r="E233" s="239"/>
      <x:c r="F233" s="236"/>
      <x:c r="G233" s="236"/>
      <x:c r="H233" s="236"/>
      <x:c r="I233" s="236"/>
      <x:c r="J233" s="236"/>
      <x:c r="K233" s="236"/>
      <x:c r="L233" s="236"/>
      <x:c r="M233" s="236"/>
      <x:c r="N233" s="236"/>
      <x:c r="O233" s="236"/>
      <x:c r="P233" s="236"/>
      <x:c r="Q233" s="236"/>
      <x:c r="R233" s="236"/>
      <x:c r="S233" s="236"/>
      <x:c r="T233" s="236"/>
      <x:c r="U233" s="236"/>
      <x:c r="V233" s="236"/>
      <x:c r="W233" s="236"/>
      <x:c r="X233" s="236"/>
      <x:c r="Y233" s="236"/>
      <x:c r="Z233" s="236"/>
      <x:c r="AA233" s="236"/>
      <x:c r="AB233" s="236"/>
      <x:c r="AC233" s="236"/>
      <x:c r="AD233" s="236"/>
      <x:c r="AE233" s="236"/>
      <x:c r="AF233" s="236"/>
      <x:c r="AG233" s="236"/>
      <x:c r="AH233" s="236"/>
      <x:c r="AI233" s="236"/>
      <x:c r="AJ233" s="236"/>
      <x:c r="AK233" s="220"/>
      <x:c r="AL233" s="221"/>
      <x:c r="AM233" s="221"/>
      <x:c r="AN233" s="222"/>
      <x:c r="AO233" s="222"/>
      <x:c r="AP233" s="228"/>
      <x:c r="AQ233" s="228"/>
      <x:c r="AR233" s="228"/>
      <x:c r="AS233" s="228"/>
      <x:c r="AT233" s="230"/>
    </x:row>
    <x:row r="234" spans="1:47" ht="15" customHeight="1">
      <x:c r="A234" s="237"/>
      <x:c r="B234" s="216"/>
      <x:c r="C234" s="238"/>
      <x:c r="D234" s="239"/>
      <x:c r="E234" s="239"/>
      <x:c r="F234" s="236"/>
      <x:c r="G234" s="236"/>
      <x:c r="H234" s="236"/>
      <x:c r="I234" s="236"/>
      <x:c r="J234" s="236"/>
      <x:c r="K234" s="236"/>
      <x:c r="L234" s="236"/>
      <x:c r="M234" s="236"/>
      <x:c r="N234" s="236"/>
      <x:c r="O234" s="236"/>
      <x:c r="P234" s="236"/>
      <x:c r="Q234" s="236"/>
      <x:c r="R234" s="236"/>
      <x:c r="S234" s="236"/>
      <x:c r="T234" s="236"/>
      <x:c r="U234" s="236"/>
      <x:c r="V234" s="236"/>
      <x:c r="W234" s="236"/>
      <x:c r="X234" s="236"/>
      <x:c r="Y234" s="236"/>
      <x:c r="Z234" s="236"/>
      <x:c r="AA234" s="236"/>
      <x:c r="AB234" s="236"/>
      <x:c r="AC234" s="236"/>
      <x:c r="AD234" s="236"/>
      <x:c r="AE234" s="236"/>
      <x:c r="AF234" s="236"/>
      <x:c r="AG234" s="236"/>
      <x:c r="AH234" s="236"/>
      <x:c r="AI234" s="236"/>
      <x:c r="AJ234" s="236"/>
      <x:c r="AK234" s="220"/>
      <x:c r="AL234" s="221"/>
      <x:c r="AM234" s="221"/>
      <x:c r="AN234" s="222"/>
      <x:c r="AO234" s="222"/>
      <x:c r="AP234" s="228"/>
      <x:c r="AQ234" s="228"/>
      <x:c r="AR234" s="228"/>
      <x:c r="AS234" s="228"/>
      <x:c r="AT234" s="230"/>
    </x:row>
    <x:row r="235" spans="1:47" ht="15" customHeight="1">
      <x:c r="A235" s="237"/>
      <x:c r="B235" s="216"/>
      <x:c r="C235" s="238"/>
      <x:c r="D235" s="239"/>
      <x:c r="E235" s="239"/>
      <x:c r="F235" s="219"/>
      <x:c r="G235" s="219"/>
      <x:c r="H235" s="219"/>
      <x:c r="I235" s="219"/>
      <x:c r="J235" s="219"/>
      <x:c r="K235" s="219"/>
      <x:c r="L235" s="219"/>
      <x:c r="M235" s="219"/>
      <x:c r="N235" s="219"/>
      <x:c r="O235" s="219"/>
      <x:c r="P235" s="219"/>
      <x:c r="Q235" s="219"/>
      <x:c r="R235" s="219"/>
      <x:c r="S235" s="219"/>
      <x:c r="T235" s="219"/>
      <x:c r="U235" s="219"/>
      <x:c r="V235" s="219"/>
      <x:c r="W235" s="219"/>
      <x:c r="X235" s="219"/>
      <x:c r="Y235" s="219"/>
      <x:c r="Z235" s="219"/>
      <x:c r="AA235" s="219"/>
      <x:c r="AB235" s="219"/>
      <x:c r="AC235" s="219"/>
      <x:c r="AD235" s="219"/>
      <x:c r="AE235" s="219"/>
      <x:c r="AF235" s="219"/>
      <x:c r="AG235" s="219"/>
      <x:c r="AH235" s="219"/>
      <x:c r="AI235" s="219"/>
      <x:c r="AJ235" s="219"/>
      <x:c r="AK235" s="220"/>
      <x:c r="AL235" s="221"/>
      <x:c r="AM235" s="221"/>
      <x:c r="AN235" s="222"/>
      <x:c r="AO235" s="222"/>
      <x:c r="AP235" s="228"/>
      <x:c r="AQ235" s="228"/>
      <x:c r="AR235" s="228"/>
      <x:c r="AS235" s="228"/>
      <x:c r="AT235" s="230"/>
    </x:row>
    <x:row r="236" spans="1:47" ht="15" customHeight="1">
      <x:c r="A236" s="237"/>
      <x:c r="B236" s="216"/>
      <x:c r="C236" s="238"/>
      <x:c r="D236" s="239"/>
      <x:c r="E236" s="239"/>
      <x:c r="F236" s="236"/>
      <x:c r="G236" s="236"/>
      <x:c r="H236" s="236"/>
      <x:c r="I236" s="236"/>
      <x:c r="J236" s="236"/>
      <x:c r="K236" s="236"/>
      <x:c r="L236" s="236"/>
      <x:c r="M236" s="236"/>
      <x:c r="N236" s="236"/>
      <x:c r="O236" s="236"/>
      <x:c r="P236" s="236"/>
      <x:c r="Q236" s="236"/>
      <x:c r="R236" s="236"/>
      <x:c r="S236" s="236"/>
      <x:c r="T236" s="236"/>
      <x:c r="U236" s="236"/>
      <x:c r="V236" s="236"/>
      <x:c r="W236" s="236"/>
      <x:c r="X236" s="236"/>
      <x:c r="Y236" s="236"/>
      <x:c r="Z236" s="236"/>
      <x:c r="AA236" s="236"/>
      <x:c r="AB236" s="236"/>
      <x:c r="AC236" s="236"/>
      <x:c r="AD236" s="236"/>
      <x:c r="AE236" s="236"/>
      <x:c r="AF236" s="236"/>
      <x:c r="AG236" s="236"/>
      <x:c r="AH236" s="236"/>
      <x:c r="AI236" s="236"/>
      <x:c r="AJ236" s="236"/>
      <x:c r="AK236" s="220"/>
      <x:c r="AL236" s="221"/>
      <x:c r="AM236" s="221"/>
      <x:c r="AN236" s="222"/>
      <x:c r="AO236" s="222"/>
      <x:c r="AP236" s="228"/>
      <x:c r="AQ236" s="228"/>
      <x:c r="AR236" s="228"/>
      <x:c r="AS236" s="228"/>
      <x:c r="AT236" s="230"/>
    </x:row>
    <x:row r="237" spans="1:47" ht="15" customHeight="1">
      <x:c r="A237" s="237"/>
      <x:c r="B237" s="216"/>
      <x:c r="C237" s="238"/>
      <x:c r="D237" s="239"/>
      <x:c r="E237" s="239"/>
      <x:c r="F237" s="236"/>
      <x:c r="G237" s="236"/>
      <x:c r="H237" s="236"/>
      <x:c r="I237" s="236"/>
      <x:c r="J237" s="236"/>
      <x:c r="K237" s="236"/>
      <x:c r="L237" s="236"/>
      <x:c r="M237" s="236"/>
      <x:c r="N237" s="236"/>
      <x:c r="O237" s="236"/>
      <x:c r="P237" s="236"/>
      <x:c r="Q237" s="236"/>
      <x:c r="R237" s="236"/>
      <x:c r="S237" s="236"/>
      <x:c r="T237" s="236"/>
      <x:c r="U237" s="236"/>
      <x:c r="V237" s="236"/>
      <x:c r="W237" s="236"/>
      <x:c r="X237" s="236"/>
      <x:c r="Y237" s="236"/>
      <x:c r="Z237" s="236"/>
      <x:c r="AA237" s="236"/>
      <x:c r="AB237" s="236"/>
      <x:c r="AC237" s="236"/>
      <x:c r="AD237" s="236"/>
      <x:c r="AE237" s="236"/>
      <x:c r="AF237" s="236"/>
      <x:c r="AG237" s="236"/>
      <x:c r="AH237" s="236"/>
      <x:c r="AI237" s="236"/>
      <x:c r="AJ237" s="236"/>
      <x:c r="AK237" s="220"/>
      <x:c r="AL237" s="221"/>
      <x:c r="AM237" s="221"/>
      <x:c r="AN237" s="222"/>
      <x:c r="AO237" s="222"/>
      <x:c r="AP237" s="228"/>
      <x:c r="AQ237" s="228"/>
      <x:c r="AR237" s="228"/>
      <x:c r="AS237" s="228"/>
      <x:c r="AT237" s="230"/>
    </x:row>
    <x:row r="238" spans="1:47" ht="15" customHeight="1">
      <x:c r="A238" s="237"/>
      <x:c r="B238" s="216"/>
      <x:c r="C238" s="238"/>
      <x:c r="D238" s="239"/>
      <x:c r="E238" s="239"/>
      <x:c r="F238" s="219"/>
      <x:c r="G238" s="219"/>
      <x:c r="H238" s="219"/>
      <x:c r="I238" s="219"/>
      <x:c r="J238" s="219"/>
      <x:c r="K238" s="219"/>
      <x:c r="L238" s="219"/>
      <x:c r="M238" s="219"/>
      <x:c r="N238" s="219"/>
      <x:c r="O238" s="219"/>
      <x:c r="P238" s="219"/>
      <x:c r="Q238" s="219"/>
      <x:c r="R238" s="219"/>
      <x:c r="S238" s="219"/>
      <x:c r="T238" s="219"/>
      <x:c r="U238" s="219"/>
      <x:c r="V238" s="219"/>
      <x:c r="W238" s="219"/>
      <x:c r="X238" s="219"/>
      <x:c r="Y238" s="219"/>
      <x:c r="Z238" s="219"/>
      <x:c r="AA238" s="219"/>
      <x:c r="AB238" s="219"/>
      <x:c r="AC238" s="219"/>
      <x:c r="AD238" s="219"/>
      <x:c r="AE238" s="219"/>
      <x:c r="AF238" s="219"/>
      <x:c r="AG238" s="219"/>
      <x:c r="AH238" s="219"/>
      <x:c r="AI238" s="219"/>
      <x:c r="AJ238" s="219"/>
      <x:c r="AK238" s="220"/>
      <x:c r="AL238" s="221"/>
      <x:c r="AM238" s="221"/>
      <x:c r="AN238" s="222"/>
      <x:c r="AO238" s="222"/>
      <x:c r="AP238" s="228"/>
      <x:c r="AQ238" s="228"/>
      <x:c r="AR238" s="228"/>
      <x:c r="AS238" s="228"/>
      <x:c r="AT238" s="230"/>
    </x:row>
    <x:row r="239" spans="1:47" ht="15" customHeight="1">
      <x:c r="A239" s="237"/>
      <x:c r="B239" s="216"/>
      <x:c r="C239" s="238"/>
      <x:c r="D239" s="239"/>
      <x:c r="E239" s="239"/>
      <x:c r="F239" s="219"/>
      <x:c r="G239" s="219"/>
      <x:c r="H239" s="219"/>
      <x:c r="I239" s="219"/>
      <x:c r="J239" s="219"/>
      <x:c r="K239" s="219"/>
      <x:c r="L239" s="219"/>
      <x:c r="M239" s="219"/>
      <x:c r="N239" s="219"/>
      <x:c r="O239" s="219"/>
      <x:c r="P239" s="219"/>
      <x:c r="Q239" s="219"/>
      <x:c r="R239" s="219"/>
      <x:c r="S239" s="219"/>
      <x:c r="T239" s="219"/>
      <x:c r="U239" s="219"/>
      <x:c r="V239" s="219"/>
      <x:c r="W239" s="219"/>
      <x:c r="X239" s="219"/>
      <x:c r="Y239" s="219"/>
      <x:c r="Z239" s="219"/>
      <x:c r="AA239" s="219"/>
      <x:c r="AB239" s="219"/>
      <x:c r="AC239" s="219"/>
      <x:c r="AD239" s="219"/>
      <x:c r="AE239" s="219"/>
      <x:c r="AF239" s="219"/>
      <x:c r="AG239" s="219"/>
      <x:c r="AH239" s="219"/>
      <x:c r="AI239" s="219"/>
      <x:c r="AJ239" s="219"/>
      <x:c r="AK239" s="220"/>
      <x:c r="AL239" s="221"/>
      <x:c r="AM239" s="221"/>
      <x:c r="AN239" s="222"/>
      <x:c r="AO239" s="222"/>
      <x:c r="AP239" s="228"/>
      <x:c r="AQ239" s="228"/>
      <x:c r="AR239" s="228"/>
      <x:c r="AS239" s="228"/>
      <x:c r="AT239" s="230"/>
    </x:row>
    <x:row r="240" spans="1:47" ht="15" customHeight="1">
      <x:c r="A240" s="237"/>
      <x:c r="B240" s="216"/>
      <x:c r="C240" s="238"/>
      <x:c r="D240" s="239"/>
      <x:c r="E240" s="239"/>
      <x:c r="F240" s="236"/>
      <x:c r="G240" s="236"/>
      <x:c r="H240" s="236"/>
      <x:c r="I240" s="236"/>
      <x:c r="J240" s="236"/>
      <x:c r="K240" s="236"/>
      <x:c r="L240" s="236"/>
      <x:c r="M240" s="236"/>
      <x:c r="N240" s="236"/>
      <x:c r="O240" s="236"/>
      <x:c r="P240" s="236"/>
      <x:c r="Q240" s="236"/>
      <x:c r="R240" s="236"/>
      <x:c r="S240" s="236"/>
      <x:c r="T240" s="236"/>
      <x:c r="U240" s="236"/>
      <x:c r="V240" s="236"/>
      <x:c r="W240" s="236"/>
      <x:c r="X240" s="236"/>
      <x:c r="Y240" s="236"/>
      <x:c r="Z240" s="236"/>
      <x:c r="AA240" s="236"/>
      <x:c r="AB240" s="236"/>
      <x:c r="AC240" s="236"/>
      <x:c r="AD240" s="236"/>
      <x:c r="AE240" s="236"/>
      <x:c r="AF240" s="236"/>
      <x:c r="AG240" s="236"/>
      <x:c r="AH240" s="236"/>
      <x:c r="AI240" s="236"/>
      <x:c r="AJ240" s="236"/>
      <x:c r="AK240" s="220"/>
      <x:c r="AL240" s="221"/>
      <x:c r="AM240" s="221"/>
      <x:c r="AN240" s="222"/>
      <x:c r="AO240" s="222"/>
      <x:c r="AP240" s="228"/>
      <x:c r="AQ240" s="228"/>
      <x:c r="AR240" s="228"/>
      <x:c r="AS240" s="228"/>
      <x:c r="AT240" s="233"/>
    </x:row>
    <x:row r="241" spans="1:47" ht="15" customHeight="1">
      <x:c r="A241" s="237"/>
      <x:c r="B241" s="216"/>
      <x:c r="C241" s="238"/>
      <x:c r="D241" s="239"/>
      <x:c r="E241" s="239"/>
      <x:c r="F241" s="219"/>
      <x:c r="G241" s="219"/>
      <x:c r="H241" s="219"/>
      <x:c r="I241" s="219"/>
      <x:c r="J241" s="219"/>
      <x:c r="K241" s="219"/>
      <x:c r="L241" s="219"/>
      <x:c r="M241" s="219"/>
      <x:c r="N241" s="219"/>
      <x:c r="O241" s="219"/>
      <x:c r="P241" s="219"/>
      <x:c r="Q241" s="219"/>
      <x:c r="R241" s="219"/>
      <x:c r="S241" s="219"/>
      <x:c r="T241" s="219"/>
      <x:c r="U241" s="219"/>
      <x:c r="V241" s="219"/>
      <x:c r="W241" s="219"/>
      <x:c r="X241" s="219"/>
      <x:c r="Y241" s="219"/>
      <x:c r="Z241" s="219"/>
      <x:c r="AA241" s="219"/>
      <x:c r="AB241" s="219"/>
      <x:c r="AC241" s="219"/>
      <x:c r="AD241" s="219"/>
      <x:c r="AE241" s="219"/>
      <x:c r="AF241" s="219"/>
      <x:c r="AG241" s="219"/>
      <x:c r="AH241" s="219"/>
      <x:c r="AI241" s="219"/>
      <x:c r="AJ241" s="219"/>
      <x:c r="AK241" s="220"/>
      <x:c r="AL241" s="221"/>
      <x:c r="AM241" s="221"/>
      <x:c r="AN241" s="222"/>
      <x:c r="AO241" s="222"/>
      <x:c r="AP241" s="228"/>
      <x:c r="AQ241" s="228"/>
      <x:c r="AR241" s="228"/>
      <x:c r="AS241" s="228"/>
      <x:c r="AT241" s="230"/>
    </x:row>
    <x:row r="242" spans="1:47" ht="15" customHeight="1">
      <x:c r="A242" s="237"/>
      <x:c r="B242" s="216"/>
      <x:c r="C242" s="238"/>
      <x:c r="D242" s="239"/>
      <x:c r="E242" s="239"/>
      <x:c r="F242" s="236"/>
      <x:c r="G242" s="236"/>
      <x:c r="H242" s="236"/>
      <x:c r="I242" s="236"/>
      <x:c r="J242" s="236"/>
      <x:c r="K242" s="236"/>
      <x:c r="L242" s="236"/>
      <x:c r="M242" s="236"/>
      <x:c r="N242" s="236"/>
      <x:c r="O242" s="236"/>
      <x:c r="P242" s="236"/>
      <x:c r="Q242" s="236"/>
      <x:c r="R242" s="236"/>
      <x:c r="S242" s="236"/>
      <x:c r="T242" s="236"/>
      <x:c r="U242" s="236"/>
      <x:c r="V242" s="236"/>
      <x:c r="W242" s="236"/>
      <x:c r="X242" s="236"/>
      <x:c r="Y242" s="236"/>
      <x:c r="Z242" s="236"/>
      <x:c r="AA242" s="236"/>
      <x:c r="AB242" s="236"/>
      <x:c r="AC242" s="236"/>
      <x:c r="AD242" s="236"/>
      <x:c r="AE242" s="236"/>
      <x:c r="AF242" s="236"/>
      <x:c r="AG242" s="236"/>
      <x:c r="AH242" s="236"/>
      <x:c r="AI242" s="236"/>
      <x:c r="AJ242" s="236"/>
      <x:c r="AK242" s="220"/>
      <x:c r="AL242" s="221"/>
      <x:c r="AM242" s="221"/>
      <x:c r="AN242" s="222"/>
      <x:c r="AO242" s="222"/>
      <x:c r="AP242" s="228"/>
      <x:c r="AQ242" s="228"/>
      <x:c r="AR242" s="228"/>
      <x:c r="AS242" s="228"/>
      <x:c r="AT242" s="230"/>
    </x:row>
    <x:row r="243" spans="1:47" ht="15" customHeight="1">
      <x:c r="A243" s="237"/>
      <x:c r="B243" s="216"/>
      <x:c r="C243" s="238"/>
      <x:c r="D243" s="239"/>
      <x:c r="E243" s="239"/>
      <x:c r="F243" s="219"/>
      <x:c r="G243" s="219"/>
      <x:c r="H243" s="219"/>
      <x:c r="I243" s="219"/>
      <x:c r="J243" s="219"/>
      <x:c r="K243" s="219"/>
      <x:c r="L243" s="219"/>
      <x:c r="M243" s="219"/>
      <x:c r="N243" s="219"/>
      <x:c r="O243" s="219"/>
      <x:c r="P243" s="219"/>
      <x:c r="Q243" s="219"/>
      <x:c r="R243" s="219"/>
      <x:c r="S243" s="219"/>
      <x:c r="T243" s="219"/>
      <x:c r="U243" s="219"/>
      <x:c r="V243" s="219"/>
      <x:c r="W243" s="219"/>
      <x:c r="X243" s="219"/>
      <x:c r="Y243" s="219"/>
      <x:c r="Z243" s="219"/>
      <x:c r="AA243" s="219"/>
      <x:c r="AB243" s="219"/>
      <x:c r="AC243" s="219"/>
      <x:c r="AD243" s="219"/>
      <x:c r="AE243" s="219"/>
      <x:c r="AF243" s="219"/>
      <x:c r="AG243" s="219"/>
      <x:c r="AH243" s="219"/>
      <x:c r="AI243" s="219"/>
      <x:c r="AJ243" s="219"/>
      <x:c r="AK243" s="220"/>
      <x:c r="AL243" s="221"/>
      <x:c r="AM243" s="221"/>
      <x:c r="AN243" s="222"/>
      <x:c r="AO243" s="222"/>
      <x:c r="AP243" s="228"/>
      <x:c r="AQ243" s="228"/>
      <x:c r="AR243" s="228"/>
      <x:c r="AS243" s="228"/>
      <x:c r="AT243" s="230"/>
    </x:row>
    <x:row r="244" spans="1:47" ht="15" customHeight="1">
      <x:c r="A244" s="237"/>
      <x:c r="B244" s="216"/>
      <x:c r="C244" s="238"/>
      <x:c r="D244" s="239"/>
      <x:c r="E244" s="239"/>
      <x:c r="F244" s="236"/>
      <x:c r="G244" s="236"/>
      <x:c r="H244" s="236"/>
      <x:c r="I244" s="236"/>
      <x:c r="J244" s="236"/>
      <x:c r="K244" s="236"/>
      <x:c r="L244" s="236"/>
      <x:c r="M244" s="236"/>
      <x:c r="N244" s="236"/>
      <x:c r="O244" s="236"/>
      <x:c r="P244" s="236"/>
      <x:c r="Q244" s="236"/>
      <x:c r="R244" s="236"/>
      <x:c r="S244" s="236"/>
      <x:c r="T244" s="236"/>
      <x:c r="U244" s="236"/>
      <x:c r="V244" s="236"/>
      <x:c r="W244" s="236"/>
      <x:c r="X244" s="236"/>
      <x:c r="Y244" s="236"/>
      <x:c r="Z244" s="236"/>
      <x:c r="AA244" s="236"/>
      <x:c r="AB244" s="236"/>
      <x:c r="AC244" s="236"/>
      <x:c r="AD244" s="236"/>
      <x:c r="AE244" s="236"/>
      <x:c r="AF244" s="236"/>
      <x:c r="AG244" s="236"/>
      <x:c r="AH244" s="236"/>
      <x:c r="AI244" s="236"/>
      <x:c r="AJ244" s="236"/>
      <x:c r="AK244" s="220"/>
      <x:c r="AL244" s="221"/>
      <x:c r="AM244" s="221"/>
      <x:c r="AN244" s="222"/>
      <x:c r="AO244" s="222"/>
      <x:c r="AP244" s="228"/>
      <x:c r="AQ244" s="228"/>
      <x:c r="AR244" s="228"/>
      <x:c r="AS244" s="228"/>
      <x:c r="AT244" s="230"/>
    </x:row>
    <x:row r="245" spans="1:47" ht="15" customHeight="1">
      <x:c r="A245" s="237"/>
      <x:c r="B245" s="216"/>
      <x:c r="C245" s="238"/>
      <x:c r="D245" s="239"/>
      <x:c r="E245" s="239"/>
      <x:c r="F245" s="219"/>
      <x:c r="G245" s="219"/>
      <x:c r="H245" s="219"/>
      <x:c r="I245" s="219"/>
      <x:c r="J245" s="219"/>
      <x:c r="K245" s="219"/>
      <x:c r="L245" s="219"/>
      <x:c r="M245" s="219"/>
      <x:c r="N245" s="219"/>
      <x:c r="O245" s="219"/>
      <x:c r="P245" s="219"/>
      <x:c r="Q245" s="219"/>
      <x:c r="R245" s="219"/>
      <x:c r="S245" s="219"/>
      <x:c r="T245" s="219"/>
      <x:c r="U245" s="219"/>
      <x:c r="V245" s="219"/>
      <x:c r="W245" s="219"/>
      <x:c r="X245" s="219"/>
      <x:c r="Y245" s="219"/>
      <x:c r="Z245" s="219"/>
      <x:c r="AA245" s="219"/>
      <x:c r="AB245" s="219"/>
      <x:c r="AC245" s="219"/>
      <x:c r="AD245" s="219"/>
      <x:c r="AE245" s="219"/>
      <x:c r="AF245" s="219"/>
      <x:c r="AG245" s="219"/>
      <x:c r="AH245" s="219"/>
      <x:c r="AI245" s="219"/>
      <x:c r="AJ245" s="219"/>
      <x:c r="AK245" s="220"/>
      <x:c r="AL245" s="221"/>
      <x:c r="AM245" s="221"/>
      <x:c r="AN245" s="222"/>
      <x:c r="AO245" s="222"/>
      <x:c r="AP245" s="228"/>
      <x:c r="AQ245" s="228"/>
      <x:c r="AR245" s="228"/>
      <x:c r="AS245" s="228"/>
      <x:c r="AT245" s="230"/>
    </x:row>
    <x:row r="246" spans="1:47" ht="15" customHeight="1">
      <x:c r="A246" s="237"/>
      <x:c r="B246" s="216"/>
      <x:c r="C246" s="238"/>
      <x:c r="D246" s="239"/>
      <x:c r="E246" s="239"/>
      <x:c r="F246" s="236"/>
      <x:c r="G246" s="236"/>
      <x:c r="H246" s="236"/>
      <x:c r="I246" s="236"/>
      <x:c r="J246" s="236"/>
      <x:c r="K246" s="236"/>
      <x:c r="L246" s="236"/>
      <x:c r="M246" s="236"/>
      <x:c r="N246" s="236"/>
      <x:c r="O246" s="236"/>
      <x:c r="P246" s="236"/>
      <x:c r="Q246" s="236"/>
      <x:c r="R246" s="236"/>
      <x:c r="S246" s="236"/>
      <x:c r="T246" s="236"/>
      <x:c r="U246" s="236"/>
      <x:c r="V246" s="236"/>
      <x:c r="W246" s="236"/>
      <x:c r="X246" s="236"/>
      <x:c r="Y246" s="236"/>
      <x:c r="Z246" s="236"/>
      <x:c r="AA246" s="236"/>
      <x:c r="AB246" s="236"/>
      <x:c r="AC246" s="236"/>
      <x:c r="AD246" s="236"/>
      <x:c r="AE246" s="236"/>
      <x:c r="AF246" s="236"/>
      <x:c r="AG246" s="236"/>
      <x:c r="AH246" s="236"/>
      <x:c r="AI246" s="236"/>
      <x:c r="AJ246" s="236"/>
      <x:c r="AK246" s="220"/>
      <x:c r="AL246" s="221"/>
      <x:c r="AM246" s="221"/>
      <x:c r="AN246" s="222"/>
      <x:c r="AO246" s="222"/>
      <x:c r="AP246" s="228"/>
      <x:c r="AQ246" s="228"/>
      <x:c r="AR246" s="228"/>
      <x:c r="AS246" s="228"/>
      <x:c r="AT246" s="230"/>
    </x:row>
    <x:row r="247" spans="1:47" ht="15" customHeight="1">
      <x:c r="A247" s="237"/>
      <x:c r="B247" s="216"/>
      <x:c r="C247" s="238"/>
      <x:c r="D247" s="239"/>
      <x:c r="E247" s="239"/>
      <x:c r="F247" s="236"/>
      <x:c r="G247" s="236"/>
      <x:c r="H247" s="236"/>
      <x:c r="I247" s="236"/>
      <x:c r="J247" s="236"/>
      <x:c r="K247" s="236"/>
      <x:c r="L247" s="236"/>
      <x:c r="M247" s="236"/>
      <x:c r="N247" s="236"/>
      <x:c r="O247" s="236"/>
      <x:c r="P247" s="236"/>
      <x:c r="Q247" s="236"/>
      <x:c r="R247" s="236"/>
      <x:c r="S247" s="236"/>
      <x:c r="T247" s="236"/>
      <x:c r="U247" s="236"/>
      <x:c r="V247" s="236"/>
      <x:c r="W247" s="236"/>
      <x:c r="X247" s="236"/>
      <x:c r="Y247" s="236"/>
      <x:c r="Z247" s="236"/>
      <x:c r="AA247" s="236"/>
      <x:c r="AB247" s="236"/>
      <x:c r="AC247" s="236"/>
      <x:c r="AD247" s="236"/>
      <x:c r="AE247" s="236"/>
      <x:c r="AF247" s="236"/>
      <x:c r="AG247" s="236"/>
      <x:c r="AH247" s="236"/>
      <x:c r="AI247" s="236"/>
      <x:c r="AJ247" s="236"/>
      <x:c r="AK247" s="220"/>
      <x:c r="AL247" s="221"/>
      <x:c r="AM247" s="221"/>
      <x:c r="AN247" s="222"/>
      <x:c r="AO247" s="222"/>
      <x:c r="AP247" s="228"/>
      <x:c r="AQ247" s="228"/>
      <x:c r="AR247" s="228"/>
      <x:c r="AS247" s="228"/>
      <x:c r="AT247" s="230"/>
    </x:row>
    <x:row r="248" spans="1:47" ht="15" customHeight="1">
      <x:c r="A248" s="237"/>
      <x:c r="B248" s="216"/>
      <x:c r="C248" s="238"/>
      <x:c r="D248" s="239"/>
      <x:c r="E248" s="239"/>
      <x:c r="F248" s="236"/>
      <x:c r="G248" s="236"/>
      <x:c r="H248" s="236"/>
      <x:c r="I248" s="236"/>
      <x:c r="J248" s="236"/>
      <x:c r="K248" s="236"/>
      <x:c r="L248" s="236"/>
      <x:c r="M248" s="236"/>
      <x:c r="N248" s="236"/>
      <x:c r="O248" s="236"/>
      <x:c r="P248" s="236"/>
      <x:c r="Q248" s="236"/>
      <x:c r="R248" s="236"/>
      <x:c r="S248" s="236"/>
      <x:c r="T248" s="236"/>
      <x:c r="U248" s="236"/>
      <x:c r="V248" s="236"/>
      <x:c r="W248" s="236"/>
      <x:c r="X248" s="236"/>
      <x:c r="Y248" s="236"/>
      <x:c r="Z248" s="236"/>
      <x:c r="AA248" s="236"/>
      <x:c r="AB248" s="236"/>
      <x:c r="AC248" s="236"/>
      <x:c r="AD248" s="236"/>
      <x:c r="AE248" s="236"/>
      <x:c r="AF248" s="236"/>
      <x:c r="AG248" s="236"/>
      <x:c r="AH248" s="236"/>
      <x:c r="AI248" s="236"/>
      <x:c r="AJ248" s="236"/>
      <x:c r="AK248" s="220"/>
      <x:c r="AL248" s="221"/>
      <x:c r="AM248" s="221"/>
      <x:c r="AN248" s="222"/>
      <x:c r="AO248" s="222"/>
      <x:c r="AP248" s="228"/>
      <x:c r="AQ248" s="228"/>
      <x:c r="AR248" s="228"/>
      <x:c r="AS248" s="228"/>
      <x:c r="AT248" s="230"/>
    </x:row>
    <x:row r="249" spans="1:47" ht="15" customHeight="1">
      <x:c r="A249" s="237"/>
      <x:c r="B249" s="216"/>
      <x:c r="C249" s="238"/>
      <x:c r="D249" s="239"/>
      <x:c r="E249" s="239"/>
      <x:c r="F249" s="219"/>
      <x:c r="G249" s="219"/>
      <x:c r="H249" s="219"/>
      <x:c r="I249" s="219"/>
      <x:c r="J249" s="219"/>
      <x:c r="K249" s="219"/>
      <x:c r="L249" s="219"/>
      <x:c r="M249" s="219"/>
      <x:c r="N249" s="219"/>
      <x:c r="O249" s="219"/>
      <x:c r="P249" s="219"/>
      <x:c r="Q249" s="219"/>
      <x:c r="R249" s="219"/>
      <x:c r="S249" s="219"/>
      <x:c r="T249" s="219"/>
      <x:c r="U249" s="219"/>
      <x:c r="V249" s="219"/>
      <x:c r="W249" s="219"/>
      <x:c r="X249" s="219"/>
      <x:c r="Y249" s="219"/>
      <x:c r="Z249" s="219"/>
      <x:c r="AA249" s="219"/>
      <x:c r="AB249" s="219"/>
      <x:c r="AC249" s="219"/>
      <x:c r="AD249" s="219"/>
      <x:c r="AE249" s="219"/>
      <x:c r="AF249" s="219"/>
      <x:c r="AG249" s="219"/>
      <x:c r="AH249" s="219"/>
      <x:c r="AI249" s="219"/>
      <x:c r="AJ249" s="219"/>
      <x:c r="AK249" s="220"/>
      <x:c r="AL249" s="221"/>
      <x:c r="AM249" s="221"/>
      <x:c r="AN249" s="222"/>
      <x:c r="AO249" s="222"/>
      <x:c r="AP249" s="228"/>
      <x:c r="AQ249" s="228"/>
      <x:c r="AR249" s="228"/>
      <x:c r="AS249" s="228"/>
      <x:c r="AT249" s="230"/>
    </x:row>
    <x:row r="250" spans="1:47" ht="15" customHeight="1">
      <x:c r="A250" s="237"/>
      <x:c r="B250" s="216"/>
      <x:c r="C250" s="238"/>
      <x:c r="D250" s="239"/>
      <x:c r="E250" s="239"/>
      <x:c r="F250" s="219"/>
      <x:c r="G250" s="219"/>
      <x:c r="H250" s="219"/>
      <x:c r="I250" s="219"/>
      <x:c r="J250" s="219"/>
      <x:c r="K250" s="219"/>
      <x:c r="L250" s="219"/>
      <x:c r="M250" s="219"/>
      <x:c r="N250" s="219"/>
      <x:c r="O250" s="219"/>
      <x:c r="P250" s="219"/>
      <x:c r="Q250" s="219"/>
      <x:c r="R250" s="219"/>
      <x:c r="S250" s="219"/>
      <x:c r="T250" s="219"/>
      <x:c r="U250" s="219"/>
      <x:c r="V250" s="219"/>
      <x:c r="W250" s="219"/>
      <x:c r="X250" s="219"/>
      <x:c r="Y250" s="219"/>
      <x:c r="Z250" s="219"/>
      <x:c r="AA250" s="219"/>
      <x:c r="AB250" s="219"/>
      <x:c r="AC250" s="219"/>
      <x:c r="AD250" s="219"/>
      <x:c r="AE250" s="219"/>
      <x:c r="AF250" s="219"/>
      <x:c r="AG250" s="219"/>
      <x:c r="AH250" s="219"/>
      <x:c r="AI250" s="219"/>
      <x:c r="AJ250" s="219"/>
      <x:c r="AK250" s="220"/>
      <x:c r="AL250" s="221"/>
      <x:c r="AM250" s="221"/>
      <x:c r="AN250" s="222"/>
      <x:c r="AO250" s="222"/>
      <x:c r="AP250" s="228"/>
      <x:c r="AQ250" s="228"/>
      <x:c r="AR250" s="228"/>
      <x:c r="AS250" s="228"/>
      <x:c r="AT250" s="230"/>
    </x:row>
    <x:row r="251" spans="1:47" ht="15" customHeight="1">
      <x:c r="A251" s="237"/>
      <x:c r="B251" s="216"/>
      <x:c r="C251" s="238"/>
      <x:c r="D251" s="239"/>
      <x:c r="E251" s="239"/>
      <x:c r="F251" s="236"/>
      <x:c r="G251" s="236"/>
      <x:c r="H251" s="236"/>
      <x:c r="I251" s="236"/>
      <x:c r="J251" s="236"/>
      <x:c r="K251" s="236"/>
      <x:c r="L251" s="236"/>
      <x:c r="M251" s="236"/>
      <x:c r="N251" s="236"/>
      <x:c r="O251" s="236"/>
      <x:c r="P251" s="236"/>
      <x:c r="Q251" s="236"/>
      <x:c r="R251" s="236"/>
      <x:c r="S251" s="236"/>
      <x:c r="T251" s="236"/>
      <x:c r="U251" s="236"/>
      <x:c r="V251" s="236"/>
      <x:c r="W251" s="236"/>
      <x:c r="X251" s="236"/>
      <x:c r="Y251" s="236"/>
      <x:c r="Z251" s="236"/>
      <x:c r="AA251" s="236"/>
      <x:c r="AB251" s="236"/>
      <x:c r="AC251" s="236"/>
      <x:c r="AD251" s="236"/>
      <x:c r="AE251" s="236"/>
      <x:c r="AF251" s="236"/>
      <x:c r="AG251" s="236"/>
      <x:c r="AH251" s="236"/>
      <x:c r="AI251" s="236"/>
      <x:c r="AJ251" s="236"/>
      <x:c r="AK251" s="220"/>
      <x:c r="AL251" s="221"/>
      <x:c r="AM251" s="221"/>
      <x:c r="AN251" s="222"/>
      <x:c r="AO251" s="222"/>
      <x:c r="AP251" s="228"/>
      <x:c r="AQ251" s="228"/>
      <x:c r="AR251" s="228"/>
      <x:c r="AS251" s="228"/>
      <x:c r="AT251" s="230"/>
    </x:row>
    <x:row r="252" spans="1:47" ht="15" customHeight="1">
      <x:c r="A252" s="237"/>
      <x:c r="B252" s="216"/>
      <x:c r="C252" s="238"/>
      <x:c r="D252" s="239"/>
      <x:c r="E252" s="239"/>
      <x:c r="F252" s="219"/>
      <x:c r="G252" s="219"/>
      <x:c r="H252" s="219"/>
      <x:c r="I252" s="219"/>
      <x:c r="J252" s="219"/>
      <x:c r="K252" s="219"/>
      <x:c r="L252" s="219"/>
      <x:c r="M252" s="219"/>
      <x:c r="N252" s="219"/>
      <x:c r="O252" s="219"/>
      <x:c r="P252" s="219"/>
      <x:c r="Q252" s="219"/>
      <x:c r="R252" s="219"/>
      <x:c r="S252" s="219"/>
      <x:c r="T252" s="219"/>
      <x:c r="U252" s="219"/>
      <x:c r="V252" s="219"/>
      <x:c r="W252" s="219"/>
      <x:c r="X252" s="219"/>
      <x:c r="Y252" s="219"/>
      <x:c r="Z252" s="219"/>
      <x:c r="AA252" s="219"/>
      <x:c r="AB252" s="219"/>
      <x:c r="AC252" s="219"/>
      <x:c r="AD252" s="219"/>
      <x:c r="AE252" s="219"/>
      <x:c r="AF252" s="219"/>
      <x:c r="AG252" s="219"/>
      <x:c r="AH252" s="219"/>
      <x:c r="AI252" s="219"/>
      <x:c r="AJ252" s="219"/>
      <x:c r="AK252" s="220"/>
      <x:c r="AL252" s="221"/>
      <x:c r="AM252" s="221"/>
      <x:c r="AN252" s="222"/>
      <x:c r="AO252" s="222"/>
      <x:c r="AP252" s="228"/>
      <x:c r="AQ252" s="228"/>
      <x:c r="AR252" s="228"/>
      <x:c r="AS252" s="228"/>
      <x:c r="AT252" s="230"/>
    </x:row>
    <x:row r="253" spans="1:47" ht="15" customHeight="1">
      <x:c r="A253" s="237"/>
      <x:c r="B253" s="216"/>
      <x:c r="C253" s="238"/>
      <x:c r="D253" s="239"/>
      <x:c r="E253" s="239"/>
      <x:c r="F253" s="219"/>
      <x:c r="G253" s="219"/>
      <x:c r="H253" s="219"/>
      <x:c r="I253" s="219"/>
      <x:c r="J253" s="219"/>
      <x:c r="K253" s="219"/>
      <x:c r="L253" s="219"/>
      <x:c r="M253" s="219"/>
      <x:c r="N253" s="219"/>
      <x:c r="O253" s="219"/>
      <x:c r="P253" s="219"/>
      <x:c r="Q253" s="219"/>
      <x:c r="R253" s="219"/>
      <x:c r="S253" s="219"/>
      <x:c r="T253" s="219"/>
      <x:c r="U253" s="219"/>
      <x:c r="V253" s="219"/>
      <x:c r="W253" s="219"/>
      <x:c r="X253" s="219"/>
      <x:c r="Y253" s="219"/>
      <x:c r="Z253" s="219"/>
      <x:c r="AA253" s="219"/>
      <x:c r="AB253" s="219"/>
      <x:c r="AC253" s="219"/>
      <x:c r="AD253" s="219"/>
      <x:c r="AE253" s="219"/>
      <x:c r="AF253" s="219"/>
      <x:c r="AG253" s="219"/>
      <x:c r="AH253" s="219"/>
      <x:c r="AI253" s="219"/>
      <x:c r="AJ253" s="219"/>
      <x:c r="AK253" s="220"/>
      <x:c r="AL253" s="221"/>
      <x:c r="AM253" s="221"/>
      <x:c r="AN253" s="222"/>
      <x:c r="AO253" s="222"/>
      <x:c r="AP253" s="228"/>
      <x:c r="AQ253" s="228"/>
      <x:c r="AR253" s="228"/>
      <x:c r="AS253" s="228"/>
      <x:c r="AT253" s="230"/>
    </x:row>
    <x:row r="254" spans="1:47" ht="15" customHeight="1">
      <x:c r="A254" s="237"/>
      <x:c r="B254" s="216"/>
      <x:c r="C254" s="238"/>
      <x:c r="D254" s="239"/>
      <x:c r="E254" s="239"/>
      <x:c r="F254" s="219"/>
      <x:c r="G254" s="219"/>
      <x:c r="H254" s="219"/>
      <x:c r="I254" s="219"/>
      <x:c r="J254" s="219"/>
      <x:c r="K254" s="219"/>
      <x:c r="L254" s="219"/>
      <x:c r="M254" s="219"/>
      <x:c r="N254" s="219"/>
      <x:c r="O254" s="219"/>
      <x:c r="P254" s="219"/>
      <x:c r="Q254" s="219"/>
      <x:c r="R254" s="219"/>
      <x:c r="S254" s="219"/>
      <x:c r="T254" s="219"/>
      <x:c r="U254" s="219"/>
      <x:c r="V254" s="219"/>
      <x:c r="W254" s="219"/>
      <x:c r="X254" s="219"/>
      <x:c r="Y254" s="219"/>
      <x:c r="Z254" s="219"/>
      <x:c r="AA254" s="219"/>
      <x:c r="AB254" s="219"/>
      <x:c r="AC254" s="219"/>
      <x:c r="AD254" s="219"/>
      <x:c r="AE254" s="219"/>
      <x:c r="AF254" s="219"/>
      <x:c r="AG254" s="219"/>
      <x:c r="AH254" s="219"/>
      <x:c r="AI254" s="219"/>
      <x:c r="AJ254" s="219"/>
      <x:c r="AK254" s="220"/>
      <x:c r="AL254" s="221"/>
      <x:c r="AM254" s="221"/>
      <x:c r="AN254" s="222"/>
      <x:c r="AO254" s="222"/>
      <x:c r="AP254" s="228"/>
      <x:c r="AQ254" s="228"/>
      <x:c r="AR254" s="228"/>
      <x:c r="AS254" s="228"/>
      <x:c r="AT254" s="230"/>
    </x:row>
    <x:row r="255" spans="1:47" ht="15" customHeight="1">
      <x:c r="A255" s="237"/>
      <x:c r="B255" s="216"/>
      <x:c r="C255" s="238"/>
      <x:c r="D255" s="239"/>
      <x:c r="E255" s="239"/>
      <x:c r="F255" s="236"/>
      <x:c r="G255" s="236"/>
      <x:c r="H255" s="236"/>
      <x:c r="I255" s="236"/>
      <x:c r="J255" s="236"/>
      <x:c r="K255" s="236"/>
      <x:c r="L255" s="236"/>
      <x:c r="M255" s="236"/>
      <x:c r="N255" s="236"/>
      <x:c r="O255" s="236"/>
      <x:c r="P255" s="236"/>
      <x:c r="Q255" s="236"/>
      <x:c r="R255" s="236"/>
      <x:c r="S255" s="236"/>
      <x:c r="T255" s="236"/>
      <x:c r="U255" s="236"/>
      <x:c r="V255" s="236"/>
      <x:c r="W255" s="236"/>
      <x:c r="X255" s="236"/>
      <x:c r="Y255" s="236"/>
      <x:c r="Z255" s="236"/>
      <x:c r="AA255" s="236"/>
      <x:c r="AB255" s="236"/>
      <x:c r="AC255" s="236"/>
      <x:c r="AD255" s="236"/>
      <x:c r="AE255" s="236"/>
      <x:c r="AF255" s="236"/>
      <x:c r="AG255" s="236"/>
      <x:c r="AH255" s="236"/>
      <x:c r="AI255" s="236"/>
      <x:c r="AJ255" s="236"/>
      <x:c r="AK255" s="220"/>
      <x:c r="AL255" s="221"/>
      <x:c r="AM255" s="221"/>
      <x:c r="AN255" s="222"/>
      <x:c r="AO255" s="222"/>
      <x:c r="AP255" s="228"/>
      <x:c r="AQ255" s="228"/>
      <x:c r="AR255" s="228"/>
      <x:c r="AS255" s="228"/>
      <x:c r="AT255" s="230"/>
    </x:row>
    <x:row r="256" spans="1:47" ht="15" customHeight="1">
      <x:c r="A256" s="237"/>
      <x:c r="B256" s="216"/>
      <x:c r="C256" s="238"/>
      <x:c r="D256" s="239"/>
      <x:c r="E256" s="239"/>
      <x:c r="F256" s="219"/>
      <x:c r="G256" s="219"/>
      <x:c r="H256" s="219"/>
      <x:c r="I256" s="219"/>
      <x:c r="J256" s="219"/>
      <x:c r="K256" s="219"/>
      <x:c r="L256" s="219"/>
      <x:c r="M256" s="219"/>
      <x:c r="N256" s="219"/>
      <x:c r="O256" s="219"/>
      <x:c r="P256" s="219"/>
      <x:c r="Q256" s="219"/>
      <x:c r="R256" s="219"/>
      <x:c r="S256" s="219"/>
      <x:c r="T256" s="219"/>
      <x:c r="U256" s="219"/>
      <x:c r="V256" s="219"/>
      <x:c r="W256" s="219"/>
      <x:c r="X256" s="219"/>
      <x:c r="Y256" s="219"/>
      <x:c r="Z256" s="219"/>
      <x:c r="AA256" s="219"/>
      <x:c r="AB256" s="219"/>
      <x:c r="AC256" s="219"/>
      <x:c r="AD256" s="219"/>
      <x:c r="AE256" s="219"/>
      <x:c r="AF256" s="219"/>
      <x:c r="AG256" s="219"/>
      <x:c r="AH256" s="219"/>
      <x:c r="AI256" s="219"/>
      <x:c r="AJ256" s="219"/>
      <x:c r="AK256" s="220"/>
      <x:c r="AL256" s="221"/>
      <x:c r="AM256" s="221"/>
      <x:c r="AN256" s="222"/>
      <x:c r="AO256" s="222"/>
      <x:c r="AP256" s="228"/>
      <x:c r="AQ256" s="228"/>
      <x:c r="AR256" s="228"/>
      <x:c r="AS256" s="228"/>
      <x:c r="AT256" s="230"/>
    </x:row>
    <x:row r="257" spans="1:47" ht="15" customHeight="1">
      <x:c r="A257" s="237"/>
      <x:c r="B257" s="216"/>
      <x:c r="C257" s="238"/>
      <x:c r="D257" s="239"/>
      <x:c r="E257" s="239"/>
      <x:c r="F257" s="219"/>
      <x:c r="G257" s="219"/>
      <x:c r="H257" s="219"/>
      <x:c r="I257" s="219"/>
      <x:c r="J257" s="219"/>
      <x:c r="K257" s="219"/>
      <x:c r="L257" s="219"/>
      <x:c r="M257" s="219"/>
      <x:c r="N257" s="219"/>
      <x:c r="O257" s="219"/>
      <x:c r="P257" s="219"/>
      <x:c r="Q257" s="219"/>
      <x:c r="R257" s="219"/>
      <x:c r="S257" s="219"/>
      <x:c r="T257" s="219"/>
      <x:c r="U257" s="219"/>
      <x:c r="V257" s="219"/>
      <x:c r="W257" s="219"/>
      <x:c r="X257" s="219"/>
      <x:c r="Y257" s="219"/>
      <x:c r="Z257" s="219"/>
      <x:c r="AA257" s="219"/>
      <x:c r="AB257" s="219"/>
      <x:c r="AC257" s="219"/>
      <x:c r="AD257" s="219"/>
      <x:c r="AE257" s="219"/>
      <x:c r="AF257" s="219"/>
      <x:c r="AG257" s="219"/>
      <x:c r="AH257" s="219"/>
      <x:c r="AI257" s="219"/>
      <x:c r="AJ257" s="219"/>
      <x:c r="AK257" s="220"/>
      <x:c r="AL257" s="221"/>
      <x:c r="AM257" s="221"/>
      <x:c r="AN257" s="222"/>
      <x:c r="AO257" s="222"/>
      <x:c r="AP257" s="228"/>
      <x:c r="AQ257" s="228"/>
      <x:c r="AR257" s="228"/>
      <x:c r="AS257" s="228"/>
      <x:c r="AT257" s="230"/>
    </x:row>
    <x:row r="258" spans="1:47" ht="15" customHeight="1">
      <x:c r="A258" s="237"/>
      <x:c r="B258" s="216"/>
      <x:c r="C258" s="238"/>
      <x:c r="D258" s="239"/>
      <x:c r="E258" s="239"/>
      <x:c r="F258" s="219"/>
      <x:c r="G258" s="219"/>
      <x:c r="H258" s="219"/>
      <x:c r="I258" s="219"/>
      <x:c r="J258" s="219"/>
      <x:c r="K258" s="219"/>
      <x:c r="L258" s="219"/>
      <x:c r="M258" s="219"/>
      <x:c r="N258" s="219"/>
      <x:c r="O258" s="219"/>
      <x:c r="P258" s="219"/>
      <x:c r="Q258" s="219"/>
      <x:c r="R258" s="219"/>
      <x:c r="S258" s="219"/>
      <x:c r="T258" s="219"/>
      <x:c r="U258" s="219"/>
      <x:c r="V258" s="219"/>
      <x:c r="W258" s="219"/>
      <x:c r="X258" s="219"/>
      <x:c r="Y258" s="219"/>
      <x:c r="Z258" s="219"/>
      <x:c r="AA258" s="219"/>
      <x:c r="AB258" s="219"/>
      <x:c r="AC258" s="219"/>
      <x:c r="AD258" s="219"/>
      <x:c r="AE258" s="219"/>
      <x:c r="AF258" s="219"/>
      <x:c r="AG258" s="219"/>
      <x:c r="AH258" s="219"/>
      <x:c r="AI258" s="219"/>
      <x:c r="AJ258" s="219"/>
      <x:c r="AK258" s="220"/>
      <x:c r="AL258" s="221"/>
      <x:c r="AM258" s="221"/>
      <x:c r="AN258" s="222"/>
      <x:c r="AO258" s="222"/>
      <x:c r="AP258" s="228"/>
      <x:c r="AQ258" s="228"/>
      <x:c r="AR258" s="228"/>
      <x:c r="AS258" s="228"/>
      <x:c r="AT258" s="230"/>
    </x:row>
    <x:row r="259" spans="1:47" ht="15" customHeight="1">
      <x:c r="A259" s="237"/>
      <x:c r="B259" s="216"/>
      <x:c r="C259" s="238"/>
      <x:c r="D259" s="239"/>
      <x:c r="E259" s="239"/>
      <x:c r="F259" s="219"/>
      <x:c r="G259" s="219"/>
      <x:c r="H259" s="219"/>
      <x:c r="I259" s="219"/>
      <x:c r="J259" s="219"/>
      <x:c r="K259" s="219"/>
      <x:c r="L259" s="219"/>
      <x:c r="M259" s="219"/>
      <x:c r="N259" s="219"/>
      <x:c r="O259" s="219"/>
      <x:c r="P259" s="219"/>
      <x:c r="Q259" s="219"/>
      <x:c r="R259" s="219"/>
      <x:c r="S259" s="219"/>
      <x:c r="T259" s="219"/>
      <x:c r="U259" s="219"/>
      <x:c r="V259" s="219"/>
      <x:c r="W259" s="219"/>
      <x:c r="X259" s="219"/>
      <x:c r="Y259" s="219"/>
      <x:c r="Z259" s="219"/>
      <x:c r="AA259" s="219"/>
      <x:c r="AB259" s="219"/>
      <x:c r="AC259" s="219"/>
      <x:c r="AD259" s="219"/>
      <x:c r="AE259" s="219"/>
      <x:c r="AF259" s="219"/>
      <x:c r="AG259" s="219"/>
      <x:c r="AH259" s="219"/>
      <x:c r="AI259" s="219"/>
      <x:c r="AJ259" s="219"/>
      <x:c r="AK259" s="220"/>
      <x:c r="AL259" s="221"/>
      <x:c r="AM259" s="221"/>
      <x:c r="AN259" s="222"/>
      <x:c r="AO259" s="222"/>
      <x:c r="AP259" s="228"/>
      <x:c r="AQ259" s="228"/>
      <x:c r="AR259" s="228"/>
      <x:c r="AS259" s="228"/>
      <x:c r="AT259" s="230"/>
    </x:row>
    <x:row r="260" spans="1:47" ht="15" customHeight="1">
      <x:c r="A260" s="237"/>
      <x:c r="B260" s="216"/>
      <x:c r="C260" s="238"/>
      <x:c r="D260" s="239"/>
      <x:c r="E260" s="239"/>
      <x:c r="F260" s="219"/>
      <x:c r="G260" s="219"/>
      <x:c r="H260" s="219"/>
      <x:c r="I260" s="219"/>
      <x:c r="J260" s="219"/>
      <x:c r="K260" s="219"/>
      <x:c r="L260" s="219"/>
      <x:c r="M260" s="219"/>
      <x:c r="N260" s="219"/>
      <x:c r="O260" s="219"/>
      <x:c r="P260" s="219"/>
      <x:c r="Q260" s="219"/>
      <x:c r="R260" s="219"/>
      <x:c r="S260" s="219"/>
      <x:c r="T260" s="219"/>
      <x:c r="U260" s="219"/>
      <x:c r="V260" s="219"/>
      <x:c r="W260" s="219"/>
      <x:c r="X260" s="219"/>
      <x:c r="Y260" s="219"/>
      <x:c r="Z260" s="219"/>
      <x:c r="AA260" s="219"/>
      <x:c r="AB260" s="219"/>
      <x:c r="AC260" s="219"/>
      <x:c r="AD260" s="219"/>
      <x:c r="AE260" s="219"/>
      <x:c r="AF260" s="219"/>
      <x:c r="AG260" s="219"/>
      <x:c r="AH260" s="219"/>
      <x:c r="AI260" s="219"/>
      <x:c r="AJ260" s="219"/>
      <x:c r="AK260" s="220"/>
      <x:c r="AL260" s="221"/>
      <x:c r="AM260" s="221"/>
      <x:c r="AN260" s="222"/>
      <x:c r="AO260" s="222"/>
      <x:c r="AP260" s="228"/>
      <x:c r="AQ260" s="228"/>
      <x:c r="AR260" s="228"/>
      <x:c r="AS260" s="228"/>
      <x:c r="AT260" s="230"/>
    </x:row>
    <x:row r="261" spans="1:47" ht="15" customHeight="1">
      <x:c r="A261" s="237"/>
      <x:c r="B261" s="216"/>
      <x:c r="C261" s="238"/>
      <x:c r="D261" s="239"/>
      <x:c r="E261" s="239"/>
      <x:c r="F261" s="236"/>
      <x:c r="G261" s="236"/>
      <x:c r="H261" s="236"/>
      <x:c r="I261" s="236"/>
      <x:c r="J261" s="236"/>
      <x:c r="K261" s="236"/>
      <x:c r="L261" s="236"/>
      <x:c r="M261" s="236"/>
      <x:c r="N261" s="236"/>
      <x:c r="O261" s="236"/>
      <x:c r="P261" s="236"/>
      <x:c r="Q261" s="236"/>
      <x:c r="R261" s="236"/>
      <x:c r="S261" s="236"/>
      <x:c r="T261" s="236"/>
      <x:c r="U261" s="236"/>
      <x:c r="V261" s="236"/>
      <x:c r="W261" s="236"/>
      <x:c r="X261" s="236"/>
      <x:c r="Y261" s="236"/>
      <x:c r="Z261" s="236"/>
      <x:c r="AA261" s="236"/>
      <x:c r="AB261" s="236"/>
      <x:c r="AC261" s="236"/>
      <x:c r="AD261" s="236"/>
      <x:c r="AE261" s="236"/>
      <x:c r="AF261" s="236"/>
      <x:c r="AG261" s="236"/>
      <x:c r="AH261" s="236"/>
      <x:c r="AI261" s="236"/>
      <x:c r="AJ261" s="236"/>
      <x:c r="AK261" s="220"/>
      <x:c r="AL261" s="221"/>
      <x:c r="AM261" s="221"/>
      <x:c r="AN261" s="222"/>
      <x:c r="AO261" s="222"/>
      <x:c r="AP261" s="228"/>
      <x:c r="AQ261" s="228"/>
      <x:c r="AR261" s="228"/>
      <x:c r="AS261" s="228"/>
      <x:c r="AT261" s="230"/>
    </x:row>
    <x:row r="262" spans="1:47" ht="15" customHeight="1">
      <x:c r="A262" s="237"/>
      <x:c r="B262" s="216"/>
      <x:c r="C262" s="238"/>
      <x:c r="D262" s="239"/>
      <x:c r="E262" s="239"/>
      <x:c r="F262" s="236"/>
      <x:c r="G262" s="236"/>
      <x:c r="H262" s="236"/>
      <x:c r="I262" s="236"/>
      <x:c r="J262" s="236"/>
      <x:c r="K262" s="236"/>
      <x:c r="L262" s="236"/>
      <x:c r="M262" s="236"/>
      <x:c r="N262" s="236"/>
      <x:c r="O262" s="236"/>
      <x:c r="P262" s="236"/>
      <x:c r="Q262" s="236"/>
      <x:c r="R262" s="236"/>
      <x:c r="S262" s="236"/>
      <x:c r="T262" s="236"/>
      <x:c r="U262" s="236"/>
      <x:c r="V262" s="236"/>
      <x:c r="W262" s="236"/>
      <x:c r="X262" s="236"/>
      <x:c r="Y262" s="236"/>
      <x:c r="Z262" s="236"/>
      <x:c r="AA262" s="236"/>
      <x:c r="AB262" s="236"/>
      <x:c r="AC262" s="236"/>
      <x:c r="AD262" s="236"/>
      <x:c r="AE262" s="236"/>
      <x:c r="AF262" s="236"/>
      <x:c r="AG262" s="236"/>
      <x:c r="AH262" s="236"/>
      <x:c r="AI262" s="236"/>
      <x:c r="AJ262" s="236"/>
      <x:c r="AK262" s="220"/>
      <x:c r="AL262" s="221"/>
      <x:c r="AM262" s="221"/>
      <x:c r="AN262" s="222"/>
      <x:c r="AO262" s="222"/>
      <x:c r="AP262" s="228"/>
      <x:c r="AQ262" s="228"/>
      <x:c r="AR262" s="228"/>
      <x:c r="AS262" s="228"/>
      <x:c r="AT262" s="230"/>
    </x:row>
    <x:row r="263" spans="1:47" ht="15" customHeight="1">
      <x:c r="A263" s="237"/>
      <x:c r="B263" s="216"/>
      <x:c r="C263" s="238"/>
      <x:c r="D263" s="239"/>
      <x:c r="E263" s="239"/>
      <x:c r="F263" s="236"/>
      <x:c r="G263" s="236"/>
      <x:c r="H263" s="236"/>
      <x:c r="I263" s="236"/>
      <x:c r="J263" s="236"/>
      <x:c r="K263" s="236"/>
      <x:c r="L263" s="236"/>
      <x:c r="M263" s="236"/>
      <x:c r="N263" s="236"/>
      <x:c r="O263" s="236"/>
      <x:c r="P263" s="236"/>
      <x:c r="Q263" s="236"/>
      <x:c r="R263" s="236"/>
      <x:c r="S263" s="236"/>
      <x:c r="T263" s="236"/>
      <x:c r="U263" s="236"/>
      <x:c r="V263" s="236"/>
      <x:c r="W263" s="236"/>
      <x:c r="X263" s="236"/>
      <x:c r="Y263" s="236"/>
      <x:c r="Z263" s="236"/>
      <x:c r="AA263" s="236"/>
      <x:c r="AB263" s="236"/>
      <x:c r="AC263" s="236"/>
      <x:c r="AD263" s="236"/>
      <x:c r="AE263" s="236"/>
      <x:c r="AF263" s="236"/>
      <x:c r="AG263" s="236"/>
      <x:c r="AH263" s="236"/>
      <x:c r="AI263" s="236"/>
      <x:c r="AJ263" s="236"/>
      <x:c r="AK263" s="220"/>
      <x:c r="AL263" s="221"/>
      <x:c r="AM263" s="221"/>
      <x:c r="AN263" s="222"/>
      <x:c r="AO263" s="222"/>
      <x:c r="AP263" s="228"/>
      <x:c r="AQ263" s="228"/>
      <x:c r="AR263" s="228"/>
      <x:c r="AS263" s="228"/>
      <x:c r="AT263" s="230"/>
    </x:row>
    <x:row r="264" spans="1:47" ht="15" customHeight="1">
      <x:c r="A264" s="237"/>
      <x:c r="B264" s="216"/>
      <x:c r="C264" s="238"/>
      <x:c r="D264" s="239"/>
      <x:c r="E264" s="239"/>
      <x:c r="F264" s="219"/>
      <x:c r="G264" s="219"/>
      <x:c r="H264" s="219"/>
      <x:c r="I264" s="219"/>
      <x:c r="J264" s="219"/>
      <x:c r="K264" s="219"/>
      <x:c r="L264" s="219"/>
      <x:c r="M264" s="219"/>
      <x:c r="N264" s="219"/>
      <x:c r="O264" s="219"/>
      <x:c r="P264" s="219"/>
      <x:c r="Q264" s="219"/>
      <x:c r="R264" s="219"/>
      <x:c r="S264" s="219"/>
      <x:c r="T264" s="219"/>
      <x:c r="U264" s="219"/>
      <x:c r="V264" s="219"/>
      <x:c r="W264" s="219"/>
      <x:c r="X264" s="219"/>
      <x:c r="Y264" s="219"/>
      <x:c r="Z264" s="219"/>
      <x:c r="AA264" s="219"/>
      <x:c r="AB264" s="219"/>
      <x:c r="AC264" s="219"/>
      <x:c r="AD264" s="219"/>
      <x:c r="AE264" s="219"/>
      <x:c r="AF264" s="219"/>
      <x:c r="AG264" s="219"/>
      <x:c r="AH264" s="219"/>
      <x:c r="AI264" s="219"/>
      <x:c r="AJ264" s="219"/>
      <x:c r="AK264" s="220"/>
      <x:c r="AL264" s="221"/>
      <x:c r="AM264" s="221"/>
      <x:c r="AN264" s="222"/>
      <x:c r="AO264" s="222"/>
      <x:c r="AP264" s="228"/>
      <x:c r="AQ264" s="228"/>
      <x:c r="AR264" s="228"/>
      <x:c r="AS264" s="228"/>
      <x:c r="AT264" s="230"/>
    </x:row>
    <x:row r="265" spans="1:47" ht="15" customHeight="1">
      <x:c r="A265" s="237"/>
      <x:c r="B265" s="216"/>
      <x:c r="C265" s="238"/>
      <x:c r="D265" s="239"/>
      <x:c r="E265" s="239"/>
      <x:c r="F265" s="219"/>
      <x:c r="G265" s="219"/>
      <x:c r="H265" s="219"/>
      <x:c r="I265" s="219"/>
      <x:c r="J265" s="219"/>
      <x:c r="K265" s="219"/>
      <x:c r="L265" s="219"/>
      <x:c r="M265" s="219"/>
      <x:c r="N265" s="219"/>
      <x:c r="O265" s="219"/>
      <x:c r="P265" s="219"/>
      <x:c r="Q265" s="219"/>
      <x:c r="R265" s="219"/>
      <x:c r="S265" s="219"/>
      <x:c r="T265" s="219"/>
      <x:c r="U265" s="219"/>
      <x:c r="V265" s="219"/>
      <x:c r="W265" s="219"/>
      <x:c r="X265" s="219"/>
      <x:c r="Y265" s="219"/>
      <x:c r="Z265" s="219"/>
      <x:c r="AA265" s="219"/>
      <x:c r="AB265" s="219"/>
      <x:c r="AC265" s="219"/>
      <x:c r="AD265" s="219"/>
      <x:c r="AE265" s="219"/>
      <x:c r="AF265" s="219"/>
      <x:c r="AG265" s="219"/>
      <x:c r="AH265" s="219"/>
      <x:c r="AI265" s="219"/>
      <x:c r="AJ265" s="219"/>
      <x:c r="AK265" s="220"/>
      <x:c r="AL265" s="221"/>
      <x:c r="AM265" s="221"/>
      <x:c r="AN265" s="222"/>
      <x:c r="AO265" s="222"/>
      <x:c r="AP265" s="228"/>
      <x:c r="AQ265" s="228"/>
      <x:c r="AR265" s="228"/>
      <x:c r="AS265" s="228"/>
      <x:c r="AT265" s="230"/>
    </x:row>
    <x:row r="266" spans="1:47" ht="15" customHeight="1">
      <x:c r="A266" s="237"/>
      <x:c r="B266" s="216"/>
      <x:c r="C266" s="238"/>
      <x:c r="D266" s="239"/>
      <x:c r="E266" s="239"/>
      <x:c r="F266" s="219"/>
      <x:c r="G266" s="219"/>
      <x:c r="H266" s="219"/>
      <x:c r="I266" s="219"/>
      <x:c r="J266" s="219"/>
      <x:c r="K266" s="219"/>
      <x:c r="L266" s="219"/>
      <x:c r="M266" s="219"/>
      <x:c r="N266" s="219"/>
      <x:c r="O266" s="219"/>
      <x:c r="P266" s="219"/>
      <x:c r="Q266" s="219"/>
      <x:c r="R266" s="219"/>
      <x:c r="S266" s="219"/>
      <x:c r="T266" s="219"/>
      <x:c r="U266" s="219"/>
      <x:c r="V266" s="219"/>
      <x:c r="W266" s="219"/>
      <x:c r="X266" s="219"/>
      <x:c r="Y266" s="219"/>
      <x:c r="Z266" s="219"/>
      <x:c r="AA266" s="219"/>
      <x:c r="AB266" s="219"/>
      <x:c r="AC266" s="219"/>
      <x:c r="AD266" s="219"/>
      <x:c r="AE266" s="219"/>
      <x:c r="AF266" s="219"/>
      <x:c r="AG266" s="219"/>
      <x:c r="AH266" s="219"/>
      <x:c r="AI266" s="219"/>
      <x:c r="AJ266" s="219"/>
      <x:c r="AK266" s="220"/>
      <x:c r="AL266" s="221"/>
      <x:c r="AM266" s="221"/>
      <x:c r="AN266" s="222"/>
      <x:c r="AO266" s="222"/>
      <x:c r="AP266" s="228"/>
      <x:c r="AQ266" s="228"/>
      <x:c r="AR266" s="228"/>
      <x:c r="AS266" s="228"/>
      <x:c r="AT266" s="230"/>
    </x:row>
    <x:row r="267" spans="1:47" ht="15" customHeight="1">
      <x:c r="A267" s="237"/>
      <x:c r="B267" s="216"/>
      <x:c r="C267" s="238"/>
      <x:c r="D267" s="239"/>
      <x:c r="E267" s="239"/>
      <x:c r="F267" s="219"/>
      <x:c r="G267" s="219"/>
      <x:c r="H267" s="219"/>
      <x:c r="I267" s="219"/>
      <x:c r="J267" s="219"/>
      <x:c r="K267" s="219"/>
      <x:c r="L267" s="219"/>
      <x:c r="M267" s="219"/>
      <x:c r="N267" s="219"/>
      <x:c r="O267" s="219"/>
      <x:c r="P267" s="219"/>
      <x:c r="Q267" s="219"/>
      <x:c r="R267" s="219"/>
      <x:c r="S267" s="219"/>
      <x:c r="T267" s="219"/>
      <x:c r="U267" s="219"/>
      <x:c r="V267" s="219"/>
      <x:c r="W267" s="219"/>
      <x:c r="X267" s="219"/>
      <x:c r="Y267" s="219"/>
      <x:c r="Z267" s="219"/>
      <x:c r="AA267" s="219"/>
      <x:c r="AB267" s="219"/>
      <x:c r="AC267" s="219"/>
      <x:c r="AD267" s="219"/>
      <x:c r="AE267" s="219"/>
      <x:c r="AF267" s="219"/>
      <x:c r="AG267" s="219"/>
      <x:c r="AH267" s="219"/>
      <x:c r="AI267" s="219"/>
      <x:c r="AJ267" s="219"/>
      <x:c r="AK267" s="220"/>
      <x:c r="AL267" s="221"/>
      <x:c r="AM267" s="221"/>
      <x:c r="AN267" s="222"/>
      <x:c r="AO267" s="222"/>
      <x:c r="AP267" s="228"/>
      <x:c r="AQ267" s="228"/>
      <x:c r="AR267" s="228"/>
      <x:c r="AS267" s="228"/>
      <x:c r="AT267" s="230"/>
    </x:row>
    <x:row r="268" spans="1:47" ht="15" customHeight="1">
      <x:c r="A268" s="237"/>
      <x:c r="B268" s="216"/>
      <x:c r="C268" s="238"/>
      <x:c r="D268" s="239"/>
      <x:c r="E268" s="239"/>
      <x:c r="F268" s="236"/>
      <x:c r="G268" s="236"/>
      <x:c r="H268" s="236"/>
      <x:c r="I268" s="236"/>
      <x:c r="J268" s="236"/>
      <x:c r="K268" s="236"/>
      <x:c r="L268" s="236"/>
      <x:c r="M268" s="236"/>
      <x:c r="N268" s="236"/>
      <x:c r="O268" s="236"/>
      <x:c r="P268" s="236"/>
      <x:c r="Q268" s="236"/>
      <x:c r="R268" s="236"/>
      <x:c r="S268" s="236"/>
      <x:c r="T268" s="236"/>
      <x:c r="U268" s="236"/>
      <x:c r="V268" s="236"/>
      <x:c r="W268" s="236"/>
      <x:c r="X268" s="236"/>
      <x:c r="Y268" s="236"/>
      <x:c r="Z268" s="236"/>
      <x:c r="AA268" s="236"/>
      <x:c r="AB268" s="236"/>
      <x:c r="AC268" s="236"/>
      <x:c r="AD268" s="236"/>
      <x:c r="AE268" s="236"/>
      <x:c r="AF268" s="236"/>
      <x:c r="AG268" s="236"/>
      <x:c r="AH268" s="236"/>
      <x:c r="AI268" s="236"/>
      <x:c r="AJ268" s="236"/>
      <x:c r="AK268" s="220"/>
      <x:c r="AL268" s="221"/>
      <x:c r="AM268" s="221"/>
      <x:c r="AN268" s="222"/>
      <x:c r="AO268" s="222"/>
      <x:c r="AP268" s="228"/>
      <x:c r="AQ268" s="228"/>
      <x:c r="AR268" s="228"/>
      <x:c r="AS268" s="228"/>
      <x:c r="AT268" s="230"/>
    </x:row>
    <x:row r="269" spans="1:47" ht="15" customHeight="1">
      <x:c r="A269" s="237"/>
      <x:c r="B269" s="216"/>
      <x:c r="C269" s="238"/>
      <x:c r="D269" s="239"/>
      <x:c r="E269" s="239"/>
      <x:c r="F269" s="219"/>
      <x:c r="G269" s="219"/>
      <x:c r="H269" s="219"/>
      <x:c r="I269" s="219"/>
      <x:c r="J269" s="219"/>
      <x:c r="K269" s="219"/>
      <x:c r="L269" s="219"/>
      <x:c r="M269" s="219"/>
      <x:c r="N269" s="219"/>
      <x:c r="O269" s="219"/>
      <x:c r="P269" s="219"/>
      <x:c r="Q269" s="219"/>
      <x:c r="R269" s="219"/>
      <x:c r="S269" s="219"/>
      <x:c r="T269" s="219"/>
      <x:c r="U269" s="219"/>
      <x:c r="V269" s="219"/>
      <x:c r="W269" s="219"/>
      <x:c r="X269" s="219"/>
      <x:c r="Y269" s="219"/>
      <x:c r="Z269" s="219"/>
      <x:c r="AA269" s="219"/>
      <x:c r="AB269" s="219"/>
      <x:c r="AC269" s="219"/>
      <x:c r="AD269" s="219"/>
      <x:c r="AE269" s="219"/>
      <x:c r="AF269" s="219"/>
      <x:c r="AG269" s="219"/>
      <x:c r="AH269" s="219"/>
      <x:c r="AI269" s="219"/>
      <x:c r="AJ269" s="219"/>
      <x:c r="AK269" s="220"/>
      <x:c r="AL269" s="221"/>
      <x:c r="AM269" s="221"/>
      <x:c r="AN269" s="222"/>
      <x:c r="AO269" s="222"/>
      <x:c r="AP269" s="228"/>
      <x:c r="AQ269" s="228"/>
      <x:c r="AR269" s="228"/>
      <x:c r="AS269" s="228"/>
      <x:c r="AT269" s="230"/>
    </x:row>
    <x:row r="270" spans="1:47" ht="15" customHeight="1">
      <x:c r="A270" s="237"/>
      <x:c r="B270" s="216"/>
      <x:c r="C270" s="238"/>
      <x:c r="D270" s="239"/>
      <x:c r="E270" s="239"/>
      <x:c r="F270" s="236"/>
      <x:c r="G270" s="236"/>
      <x:c r="H270" s="236"/>
      <x:c r="I270" s="236"/>
      <x:c r="J270" s="236"/>
      <x:c r="K270" s="236"/>
      <x:c r="L270" s="236"/>
      <x:c r="M270" s="236"/>
      <x:c r="N270" s="236"/>
      <x:c r="O270" s="236"/>
      <x:c r="P270" s="236"/>
      <x:c r="Q270" s="236"/>
      <x:c r="R270" s="236"/>
      <x:c r="S270" s="236"/>
      <x:c r="T270" s="236"/>
      <x:c r="U270" s="236"/>
      <x:c r="V270" s="236"/>
      <x:c r="W270" s="236"/>
      <x:c r="X270" s="236"/>
      <x:c r="Y270" s="236"/>
      <x:c r="Z270" s="236"/>
      <x:c r="AA270" s="236"/>
      <x:c r="AB270" s="236"/>
      <x:c r="AC270" s="236"/>
      <x:c r="AD270" s="236"/>
      <x:c r="AE270" s="236"/>
      <x:c r="AF270" s="236"/>
      <x:c r="AG270" s="236"/>
      <x:c r="AH270" s="236"/>
      <x:c r="AI270" s="236"/>
      <x:c r="AJ270" s="236"/>
      <x:c r="AK270" s="220"/>
      <x:c r="AL270" s="221"/>
      <x:c r="AM270" s="221"/>
      <x:c r="AN270" s="222"/>
      <x:c r="AO270" s="222"/>
      <x:c r="AP270" s="228"/>
      <x:c r="AQ270" s="228"/>
      <x:c r="AR270" s="228"/>
      <x:c r="AS270" s="228"/>
      <x:c r="AT270" s="230"/>
    </x:row>
    <x:row r="271" spans="1:47" ht="15" customHeight="1">
      <x:c r="A271" s="237"/>
      <x:c r="B271" s="216"/>
      <x:c r="C271" s="238"/>
      <x:c r="D271" s="239"/>
      <x:c r="E271" s="239"/>
      <x:c r="F271" s="219"/>
      <x:c r="G271" s="219"/>
      <x:c r="H271" s="219"/>
      <x:c r="I271" s="219"/>
      <x:c r="J271" s="219"/>
      <x:c r="K271" s="219"/>
      <x:c r="L271" s="219"/>
      <x:c r="M271" s="219"/>
      <x:c r="N271" s="219"/>
      <x:c r="O271" s="219"/>
      <x:c r="P271" s="219"/>
      <x:c r="Q271" s="219"/>
      <x:c r="R271" s="219"/>
      <x:c r="S271" s="219"/>
      <x:c r="T271" s="219"/>
      <x:c r="U271" s="219"/>
      <x:c r="V271" s="219"/>
      <x:c r="W271" s="219"/>
      <x:c r="X271" s="219"/>
      <x:c r="Y271" s="219"/>
      <x:c r="Z271" s="219"/>
      <x:c r="AA271" s="219"/>
      <x:c r="AB271" s="219"/>
      <x:c r="AC271" s="219"/>
      <x:c r="AD271" s="219"/>
      <x:c r="AE271" s="219"/>
      <x:c r="AF271" s="219"/>
      <x:c r="AG271" s="219"/>
      <x:c r="AH271" s="219"/>
      <x:c r="AI271" s="219"/>
      <x:c r="AJ271" s="219"/>
      <x:c r="AK271" s="220"/>
      <x:c r="AL271" s="221"/>
      <x:c r="AM271" s="221"/>
      <x:c r="AN271" s="222"/>
      <x:c r="AO271" s="222"/>
      <x:c r="AP271" s="228"/>
      <x:c r="AQ271" s="228"/>
      <x:c r="AR271" s="228"/>
      <x:c r="AS271" s="228"/>
      <x:c r="AT271" s="230"/>
    </x:row>
    <x:row r="272" spans="1:47" ht="15" customHeight="1">
      <x:c r="A272" s="237"/>
      <x:c r="B272" s="216"/>
      <x:c r="C272" s="238"/>
      <x:c r="D272" s="239"/>
      <x:c r="E272" s="239"/>
      <x:c r="F272" s="219"/>
      <x:c r="G272" s="219"/>
      <x:c r="H272" s="219"/>
      <x:c r="I272" s="219"/>
      <x:c r="J272" s="219"/>
      <x:c r="K272" s="219"/>
      <x:c r="L272" s="219"/>
      <x:c r="M272" s="219"/>
      <x:c r="N272" s="219"/>
      <x:c r="O272" s="219"/>
      <x:c r="P272" s="219"/>
      <x:c r="Q272" s="219"/>
      <x:c r="R272" s="219"/>
      <x:c r="S272" s="219"/>
      <x:c r="T272" s="219"/>
      <x:c r="U272" s="219"/>
      <x:c r="V272" s="219"/>
      <x:c r="W272" s="219"/>
      <x:c r="X272" s="219"/>
      <x:c r="Y272" s="219"/>
      <x:c r="Z272" s="219"/>
      <x:c r="AA272" s="219"/>
      <x:c r="AB272" s="219"/>
      <x:c r="AC272" s="219"/>
      <x:c r="AD272" s="219"/>
      <x:c r="AE272" s="219"/>
      <x:c r="AF272" s="219"/>
      <x:c r="AG272" s="219"/>
      <x:c r="AH272" s="219"/>
      <x:c r="AI272" s="219"/>
      <x:c r="AJ272" s="219"/>
      <x:c r="AK272" s="220"/>
      <x:c r="AL272" s="221"/>
      <x:c r="AM272" s="221"/>
      <x:c r="AN272" s="222"/>
      <x:c r="AO272" s="222"/>
      <x:c r="AP272" s="228"/>
      <x:c r="AQ272" s="228"/>
      <x:c r="AR272" s="228"/>
      <x:c r="AS272" s="228"/>
      <x:c r="AT272" s="230"/>
    </x:row>
    <x:row r="273" spans="1:47" ht="15" customHeight="1">
      <x:c r="A273" s="237"/>
      <x:c r="B273" s="216"/>
      <x:c r="C273" s="238"/>
      <x:c r="D273" s="239"/>
      <x:c r="E273" s="239"/>
      <x:c r="F273" s="219"/>
      <x:c r="G273" s="219"/>
      <x:c r="H273" s="219"/>
      <x:c r="I273" s="219"/>
      <x:c r="J273" s="219"/>
      <x:c r="K273" s="219"/>
      <x:c r="L273" s="219"/>
      <x:c r="M273" s="219"/>
      <x:c r="N273" s="219"/>
      <x:c r="O273" s="219"/>
      <x:c r="P273" s="219"/>
      <x:c r="Q273" s="219"/>
      <x:c r="R273" s="219"/>
      <x:c r="S273" s="219"/>
      <x:c r="T273" s="219"/>
      <x:c r="U273" s="219"/>
      <x:c r="V273" s="219"/>
      <x:c r="W273" s="219"/>
      <x:c r="X273" s="219"/>
      <x:c r="Y273" s="219"/>
      <x:c r="Z273" s="219"/>
      <x:c r="AA273" s="219"/>
      <x:c r="AB273" s="219"/>
      <x:c r="AC273" s="219"/>
      <x:c r="AD273" s="219"/>
      <x:c r="AE273" s="219"/>
      <x:c r="AF273" s="219"/>
      <x:c r="AG273" s="219"/>
      <x:c r="AH273" s="219"/>
      <x:c r="AI273" s="219"/>
      <x:c r="AJ273" s="219"/>
      <x:c r="AK273" s="220"/>
      <x:c r="AL273" s="221"/>
      <x:c r="AM273" s="221"/>
      <x:c r="AN273" s="222"/>
      <x:c r="AO273" s="222"/>
      <x:c r="AP273" s="228"/>
      <x:c r="AQ273" s="228"/>
      <x:c r="AR273" s="228"/>
      <x:c r="AS273" s="228"/>
      <x:c r="AT273" s="230"/>
    </x:row>
    <x:row r="274" spans="1:47" ht="15" customHeight="1">
      <x:c r="A274" s="237"/>
      <x:c r="B274" s="216"/>
      <x:c r="C274" s="238"/>
      <x:c r="D274" s="239"/>
      <x:c r="E274" s="239"/>
      <x:c r="F274" s="219"/>
      <x:c r="G274" s="219"/>
      <x:c r="H274" s="219"/>
      <x:c r="I274" s="219"/>
      <x:c r="J274" s="219"/>
      <x:c r="K274" s="219"/>
      <x:c r="L274" s="219"/>
      <x:c r="M274" s="219"/>
      <x:c r="N274" s="219"/>
      <x:c r="O274" s="219"/>
      <x:c r="P274" s="219"/>
      <x:c r="Q274" s="219"/>
      <x:c r="R274" s="219"/>
      <x:c r="S274" s="219"/>
      <x:c r="T274" s="219"/>
      <x:c r="U274" s="219"/>
      <x:c r="V274" s="219"/>
      <x:c r="W274" s="219"/>
      <x:c r="X274" s="219"/>
      <x:c r="Y274" s="219"/>
      <x:c r="Z274" s="219"/>
      <x:c r="AA274" s="219"/>
      <x:c r="AB274" s="219"/>
      <x:c r="AC274" s="219"/>
      <x:c r="AD274" s="219"/>
      <x:c r="AE274" s="219"/>
      <x:c r="AF274" s="219"/>
      <x:c r="AG274" s="219"/>
      <x:c r="AH274" s="219"/>
      <x:c r="AI274" s="219"/>
      <x:c r="AJ274" s="219"/>
      <x:c r="AK274" s="220"/>
      <x:c r="AL274" s="221"/>
      <x:c r="AM274" s="221"/>
      <x:c r="AN274" s="222"/>
      <x:c r="AO274" s="222"/>
      <x:c r="AP274" s="228"/>
      <x:c r="AQ274" s="228"/>
      <x:c r="AR274" s="228"/>
      <x:c r="AS274" s="228"/>
      <x:c r="AT274" s="230"/>
    </x:row>
    <x:row r="275" spans="1:47" ht="15" customHeight="1">
      <x:c r="A275" s="237"/>
      <x:c r="B275" s="216"/>
      <x:c r="C275" s="238"/>
      <x:c r="D275" s="239"/>
      <x:c r="E275" s="239"/>
      <x:c r="F275" s="236"/>
      <x:c r="G275" s="236"/>
      <x:c r="H275" s="236"/>
      <x:c r="I275" s="236"/>
      <x:c r="J275" s="236"/>
      <x:c r="K275" s="236"/>
      <x:c r="L275" s="236"/>
      <x:c r="M275" s="236"/>
      <x:c r="N275" s="236"/>
      <x:c r="O275" s="236"/>
      <x:c r="P275" s="236"/>
      <x:c r="Q275" s="236"/>
      <x:c r="R275" s="236"/>
      <x:c r="S275" s="236"/>
      <x:c r="T275" s="236"/>
      <x:c r="U275" s="236"/>
      <x:c r="V275" s="236"/>
      <x:c r="W275" s="236"/>
      <x:c r="X275" s="236"/>
      <x:c r="Y275" s="236"/>
      <x:c r="Z275" s="236"/>
      <x:c r="AA275" s="236"/>
      <x:c r="AB275" s="236"/>
      <x:c r="AC275" s="236"/>
      <x:c r="AD275" s="236"/>
      <x:c r="AE275" s="236"/>
      <x:c r="AF275" s="236"/>
      <x:c r="AG275" s="236"/>
      <x:c r="AH275" s="236"/>
      <x:c r="AI275" s="236"/>
      <x:c r="AJ275" s="236"/>
      <x:c r="AK275" s="220"/>
      <x:c r="AL275" s="221"/>
      <x:c r="AM275" s="221"/>
      <x:c r="AN275" s="222"/>
      <x:c r="AO275" s="222"/>
      <x:c r="AP275" s="228"/>
      <x:c r="AQ275" s="228"/>
      <x:c r="AR275" s="228"/>
      <x:c r="AS275" s="228"/>
      <x:c r="AT275" s="230"/>
    </x:row>
    <x:row r="276" spans="1:47" ht="15" customHeight="1">
      <x:c r="A276" s="237"/>
      <x:c r="B276" s="216"/>
      <x:c r="C276" s="238"/>
      <x:c r="D276" s="239"/>
      <x:c r="E276" s="239"/>
      <x:c r="F276" s="236"/>
      <x:c r="G276" s="236"/>
      <x:c r="H276" s="236"/>
      <x:c r="I276" s="236"/>
      <x:c r="J276" s="236"/>
      <x:c r="K276" s="236"/>
      <x:c r="L276" s="236"/>
      <x:c r="M276" s="236"/>
      <x:c r="N276" s="236"/>
      <x:c r="O276" s="236"/>
      <x:c r="P276" s="236"/>
      <x:c r="Q276" s="236"/>
      <x:c r="R276" s="236"/>
      <x:c r="S276" s="236"/>
      <x:c r="T276" s="236"/>
      <x:c r="U276" s="236"/>
      <x:c r="V276" s="236"/>
      <x:c r="W276" s="236"/>
      <x:c r="X276" s="236"/>
      <x:c r="Y276" s="236"/>
      <x:c r="Z276" s="236"/>
      <x:c r="AA276" s="236"/>
      <x:c r="AB276" s="236"/>
      <x:c r="AC276" s="236"/>
      <x:c r="AD276" s="236"/>
      <x:c r="AE276" s="236"/>
      <x:c r="AF276" s="236"/>
      <x:c r="AG276" s="236"/>
      <x:c r="AH276" s="236"/>
      <x:c r="AI276" s="236"/>
      <x:c r="AJ276" s="236"/>
      <x:c r="AK276" s="220"/>
      <x:c r="AL276" s="221"/>
      <x:c r="AM276" s="221"/>
      <x:c r="AN276" s="222"/>
      <x:c r="AO276" s="222"/>
      <x:c r="AP276" s="228"/>
      <x:c r="AQ276" s="228"/>
      <x:c r="AR276" s="228"/>
      <x:c r="AS276" s="228"/>
      <x:c r="AT276" s="230"/>
    </x:row>
    <x:row r="277" spans="1:47" ht="15" customHeight="1">
      <x:c r="A277" s="237"/>
      <x:c r="B277" s="216"/>
      <x:c r="C277" s="238"/>
      <x:c r="D277" s="239"/>
      <x:c r="E277" s="239"/>
      <x:c r="F277" s="236"/>
      <x:c r="G277" s="236"/>
      <x:c r="H277" s="236"/>
      <x:c r="I277" s="236"/>
      <x:c r="J277" s="236"/>
      <x:c r="K277" s="236"/>
      <x:c r="L277" s="236"/>
      <x:c r="M277" s="236"/>
      <x:c r="N277" s="236"/>
      <x:c r="O277" s="236"/>
      <x:c r="P277" s="236"/>
      <x:c r="Q277" s="236"/>
      <x:c r="R277" s="236"/>
      <x:c r="S277" s="236"/>
      <x:c r="T277" s="236"/>
      <x:c r="U277" s="236"/>
      <x:c r="V277" s="236"/>
      <x:c r="W277" s="236"/>
      <x:c r="X277" s="236"/>
      <x:c r="Y277" s="236"/>
      <x:c r="Z277" s="236"/>
      <x:c r="AA277" s="236"/>
      <x:c r="AB277" s="236"/>
      <x:c r="AC277" s="236"/>
      <x:c r="AD277" s="236"/>
      <x:c r="AE277" s="236"/>
      <x:c r="AF277" s="236"/>
      <x:c r="AG277" s="236"/>
      <x:c r="AH277" s="236"/>
      <x:c r="AI277" s="236"/>
      <x:c r="AJ277" s="236"/>
      <x:c r="AK277" s="220"/>
      <x:c r="AL277" s="221"/>
      <x:c r="AM277" s="221"/>
      <x:c r="AN277" s="222"/>
      <x:c r="AO277" s="222"/>
      <x:c r="AP277" s="228"/>
      <x:c r="AQ277" s="228"/>
      <x:c r="AR277" s="228"/>
      <x:c r="AS277" s="228"/>
      <x:c r="AT277" s="230"/>
    </x:row>
    <x:row r="278" spans="1:47" ht="15" customHeight="1">
      <x:c r="A278" s="237"/>
      <x:c r="B278" s="216"/>
      <x:c r="C278" s="238"/>
      <x:c r="D278" s="239"/>
      <x:c r="E278" s="239"/>
      <x:c r="F278" s="219"/>
      <x:c r="G278" s="219"/>
      <x:c r="H278" s="219"/>
      <x:c r="I278" s="219"/>
      <x:c r="J278" s="219"/>
      <x:c r="K278" s="219"/>
      <x:c r="L278" s="219"/>
      <x:c r="M278" s="219"/>
      <x:c r="N278" s="219"/>
      <x:c r="O278" s="219"/>
      <x:c r="P278" s="219"/>
      <x:c r="Q278" s="219"/>
      <x:c r="R278" s="219"/>
      <x:c r="S278" s="219"/>
      <x:c r="T278" s="219"/>
      <x:c r="U278" s="219"/>
      <x:c r="V278" s="219"/>
      <x:c r="W278" s="219"/>
      <x:c r="X278" s="219"/>
      <x:c r="Y278" s="219"/>
      <x:c r="Z278" s="219"/>
      <x:c r="AA278" s="219"/>
      <x:c r="AB278" s="219"/>
      <x:c r="AC278" s="219"/>
      <x:c r="AD278" s="219"/>
      <x:c r="AE278" s="219"/>
      <x:c r="AF278" s="219"/>
      <x:c r="AG278" s="219"/>
      <x:c r="AH278" s="219"/>
      <x:c r="AI278" s="219"/>
      <x:c r="AJ278" s="219"/>
      <x:c r="AK278" s="220"/>
      <x:c r="AL278" s="221"/>
      <x:c r="AM278" s="221"/>
      <x:c r="AN278" s="222"/>
      <x:c r="AO278" s="222"/>
      <x:c r="AP278" s="228"/>
      <x:c r="AQ278" s="228"/>
      <x:c r="AR278" s="228"/>
      <x:c r="AS278" s="228"/>
      <x:c r="AT278" s="230"/>
    </x:row>
    <x:row r="279" spans="1:47" ht="15" customHeight="1">
      <x:c r="A279" s="237"/>
      <x:c r="B279" s="216"/>
      <x:c r="C279" s="238"/>
      <x:c r="D279" s="239"/>
      <x:c r="E279" s="239"/>
      <x:c r="F279" s="219"/>
      <x:c r="G279" s="219"/>
      <x:c r="H279" s="219"/>
      <x:c r="I279" s="219"/>
      <x:c r="J279" s="219"/>
      <x:c r="K279" s="219"/>
      <x:c r="L279" s="219"/>
      <x:c r="M279" s="219"/>
      <x:c r="N279" s="219"/>
      <x:c r="O279" s="219"/>
      <x:c r="P279" s="219"/>
      <x:c r="Q279" s="219"/>
      <x:c r="R279" s="219"/>
      <x:c r="S279" s="219"/>
      <x:c r="T279" s="219"/>
      <x:c r="U279" s="219"/>
      <x:c r="V279" s="219"/>
      <x:c r="W279" s="219"/>
      <x:c r="X279" s="219"/>
      <x:c r="Y279" s="219"/>
      <x:c r="Z279" s="219"/>
      <x:c r="AA279" s="219"/>
      <x:c r="AB279" s="219"/>
      <x:c r="AC279" s="219"/>
      <x:c r="AD279" s="219"/>
      <x:c r="AE279" s="219"/>
      <x:c r="AF279" s="219"/>
      <x:c r="AG279" s="219"/>
      <x:c r="AH279" s="219"/>
      <x:c r="AI279" s="219"/>
      <x:c r="AJ279" s="219"/>
      <x:c r="AK279" s="220"/>
      <x:c r="AL279" s="221"/>
      <x:c r="AM279" s="221"/>
      <x:c r="AN279" s="222"/>
      <x:c r="AO279" s="222"/>
      <x:c r="AP279" s="228"/>
      <x:c r="AQ279" s="228"/>
      <x:c r="AR279" s="228"/>
      <x:c r="AS279" s="228"/>
      <x:c r="AT279" s="230"/>
    </x:row>
    <x:row r="280" spans="1:47" ht="15" customHeight="1">
      <x:c r="A280" s="237"/>
      <x:c r="B280" s="216"/>
      <x:c r="C280" s="238"/>
      <x:c r="D280" s="239"/>
      <x:c r="E280" s="239"/>
      <x:c r="F280" s="236"/>
      <x:c r="G280" s="236"/>
      <x:c r="H280" s="236"/>
      <x:c r="I280" s="236"/>
      <x:c r="J280" s="236"/>
      <x:c r="K280" s="236"/>
      <x:c r="L280" s="236"/>
      <x:c r="M280" s="236"/>
      <x:c r="N280" s="236"/>
      <x:c r="O280" s="236"/>
      <x:c r="P280" s="236"/>
      <x:c r="Q280" s="236"/>
      <x:c r="R280" s="236"/>
      <x:c r="S280" s="236"/>
      <x:c r="T280" s="236"/>
      <x:c r="U280" s="236"/>
      <x:c r="V280" s="236"/>
      <x:c r="W280" s="236"/>
      <x:c r="X280" s="236"/>
      <x:c r="Y280" s="236"/>
      <x:c r="Z280" s="236"/>
      <x:c r="AA280" s="236"/>
      <x:c r="AB280" s="236"/>
      <x:c r="AC280" s="236"/>
      <x:c r="AD280" s="236"/>
      <x:c r="AE280" s="236"/>
      <x:c r="AF280" s="236"/>
      <x:c r="AG280" s="236"/>
      <x:c r="AH280" s="236"/>
      <x:c r="AI280" s="236"/>
      <x:c r="AJ280" s="236"/>
      <x:c r="AK280" s="220"/>
      <x:c r="AL280" s="221"/>
      <x:c r="AM280" s="221"/>
      <x:c r="AN280" s="222"/>
      <x:c r="AO280" s="222"/>
      <x:c r="AP280" s="228"/>
      <x:c r="AQ280" s="228"/>
      <x:c r="AR280" s="228"/>
      <x:c r="AS280" s="228"/>
      <x:c r="AT280" s="230"/>
    </x:row>
    <x:row r="281" spans="1:47" ht="15" customHeight="1">
      <x:c r="A281" s="237"/>
      <x:c r="B281" s="216"/>
      <x:c r="C281" s="238"/>
      <x:c r="D281" s="239"/>
      <x:c r="E281" s="239"/>
      <x:c r="F281" s="219"/>
      <x:c r="G281" s="219"/>
      <x:c r="H281" s="219"/>
      <x:c r="I281" s="219"/>
      <x:c r="J281" s="219"/>
      <x:c r="K281" s="219"/>
      <x:c r="L281" s="219"/>
      <x:c r="M281" s="219"/>
      <x:c r="N281" s="219"/>
      <x:c r="O281" s="219"/>
      <x:c r="P281" s="219"/>
      <x:c r="Q281" s="219"/>
      <x:c r="R281" s="219"/>
      <x:c r="S281" s="219"/>
      <x:c r="T281" s="219"/>
      <x:c r="U281" s="219"/>
      <x:c r="V281" s="219"/>
      <x:c r="W281" s="219"/>
      <x:c r="X281" s="219"/>
      <x:c r="Y281" s="219"/>
      <x:c r="Z281" s="219"/>
      <x:c r="AA281" s="219"/>
      <x:c r="AB281" s="219"/>
      <x:c r="AC281" s="219"/>
      <x:c r="AD281" s="219"/>
      <x:c r="AE281" s="219"/>
      <x:c r="AF281" s="219"/>
      <x:c r="AG281" s="219"/>
      <x:c r="AH281" s="219"/>
      <x:c r="AI281" s="219"/>
      <x:c r="AJ281" s="219"/>
      <x:c r="AK281" s="220"/>
      <x:c r="AL281" s="221"/>
      <x:c r="AM281" s="221"/>
      <x:c r="AN281" s="222"/>
      <x:c r="AO281" s="222"/>
      <x:c r="AP281" s="228"/>
      <x:c r="AQ281" s="228"/>
      <x:c r="AR281" s="228"/>
      <x:c r="AS281" s="228"/>
      <x:c r="AT281" s="230"/>
    </x:row>
    <x:row r="282" spans="1:47" ht="15" customHeight="1">
      <x:c r="A282" s="237"/>
      <x:c r="B282" s="216"/>
      <x:c r="C282" s="238"/>
      <x:c r="D282" s="239"/>
      <x:c r="E282" s="239"/>
      <x:c r="F282" s="219"/>
      <x:c r="G282" s="219"/>
      <x:c r="H282" s="219"/>
      <x:c r="I282" s="219"/>
      <x:c r="J282" s="219"/>
      <x:c r="K282" s="219"/>
      <x:c r="L282" s="219"/>
      <x:c r="M282" s="219"/>
      <x:c r="N282" s="219"/>
      <x:c r="O282" s="219"/>
      <x:c r="P282" s="219"/>
      <x:c r="Q282" s="219"/>
      <x:c r="R282" s="219"/>
      <x:c r="S282" s="219"/>
      <x:c r="T282" s="219"/>
      <x:c r="U282" s="219"/>
      <x:c r="V282" s="219"/>
      <x:c r="W282" s="219"/>
      <x:c r="X282" s="219"/>
      <x:c r="Y282" s="219"/>
      <x:c r="Z282" s="219"/>
      <x:c r="AA282" s="219"/>
      <x:c r="AB282" s="219"/>
      <x:c r="AC282" s="219"/>
      <x:c r="AD282" s="219"/>
      <x:c r="AE282" s="219"/>
      <x:c r="AF282" s="219"/>
      <x:c r="AG282" s="219"/>
      <x:c r="AH282" s="219"/>
      <x:c r="AI282" s="219"/>
      <x:c r="AJ282" s="219"/>
      <x:c r="AK282" s="220"/>
      <x:c r="AL282" s="221"/>
      <x:c r="AM282" s="221"/>
      <x:c r="AN282" s="222"/>
      <x:c r="AO282" s="222"/>
      <x:c r="AP282" s="228"/>
      <x:c r="AQ282" s="228"/>
      <x:c r="AR282" s="228"/>
      <x:c r="AS282" s="228"/>
      <x:c r="AT282" s="230"/>
    </x:row>
    <x:row r="283" spans="1:47" ht="15" customHeight="1">
      <x:c r="A283" s="237"/>
      <x:c r="B283" s="216"/>
      <x:c r="C283" s="238"/>
      <x:c r="D283" s="239"/>
      <x:c r="E283" s="239"/>
      <x:c r="F283" s="219"/>
      <x:c r="G283" s="219"/>
      <x:c r="H283" s="219"/>
      <x:c r="I283" s="219"/>
      <x:c r="J283" s="219"/>
      <x:c r="K283" s="219"/>
      <x:c r="L283" s="219"/>
      <x:c r="M283" s="219"/>
      <x:c r="N283" s="219"/>
      <x:c r="O283" s="219"/>
      <x:c r="P283" s="219"/>
      <x:c r="Q283" s="219"/>
      <x:c r="R283" s="219"/>
      <x:c r="S283" s="219"/>
      <x:c r="T283" s="219"/>
      <x:c r="U283" s="219"/>
      <x:c r="V283" s="219"/>
      <x:c r="W283" s="219"/>
      <x:c r="X283" s="219"/>
      <x:c r="Y283" s="219"/>
      <x:c r="Z283" s="219"/>
      <x:c r="AA283" s="219"/>
      <x:c r="AB283" s="219"/>
      <x:c r="AC283" s="219"/>
      <x:c r="AD283" s="219"/>
      <x:c r="AE283" s="219"/>
      <x:c r="AF283" s="219"/>
      <x:c r="AG283" s="219"/>
      <x:c r="AH283" s="219"/>
      <x:c r="AI283" s="219"/>
      <x:c r="AJ283" s="219"/>
      <x:c r="AK283" s="220"/>
      <x:c r="AL283" s="221"/>
      <x:c r="AM283" s="221"/>
      <x:c r="AN283" s="222"/>
      <x:c r="AO283" s="222"/>
      <x:c r="AP283" s="228"/>
      <x:c r="AQ283" s="228"/>
      <x:c r="AR283" s="228"/>
      <x:c r="AS283" s="228"/>
      <x:c r="AT283" s="230"/>
    </x:row>
    <x:row r="284" spans="1:47" ht="15" customHeight="1">
      <x:c r="A284" s="237"/>
      <x:c r="B284" s="216"/>
      <x:c r="C284" s="238"/>
      <x:c r="D284" s="239"/>
      <x:c r="E284" s="239"/>
      <x:c r="F284" s="236"/>
      <x:c r="G284" s="236"/>
      <x:c r="H284" s="236"/>
      <x:c r="I284" s="236"/>
      <x:c r="J284" s="236"/>
      <x:c r="K284" s="236"/>
      <x:c r="L284" s="236"/>
      <x:c r="M284" s="236"/>
      <x:c r="N284" s="236"/>
      <x:c r="O284" s="236"/>
      <x:c r="P284" s="236"/>
      <x:c r="Q284" s="236"/>
      <x:c r="R284" s="236"/>
      <x:c r="S284" s="236"/>
      <x:c r="T284" s="236"/>
      <x:c r="U284" s="236"/>
      <x:c r="V284" s="236"/>
      <x:c r="W284" s="236"/>
      <x:c r="X284" s="236"/>
      <x:c r="Y284" s="236"/>
      <x:c r="Z284" s="236"/>
      <x:c r="AA284" s="236"/>
      <x:c r="AB284" s="236"/>
      <x:c r="AC284" s="236"/>
      <x:c r="AD284" s="236"/>
      <x:c r="AE284" s="236"/>
      <x:c r="AF284" s="236"/>
      <x:c r="AG284" s="236"/>
      <x:c r="AH284" s="236"/>
      <x:c r="AI284" s="236"/>
      <x:c r="AJ284" s="236"/>
      <x:c r="AK284" s="220"/>
      <x:c r="AL284" s="221"/>
      <x:c r="AM284" s="221"/>
      <x:c r="AN284" s="222"/>
      <x:c r="AO284" s="222"/>
      <x:c r="AP284" s="228"/>
      <x:c r="AQ284" s="228"/>
      <x:c r="AR284" s="228"/>
      <x:c r="AS284" s="228"/>
      <x:c r="AT284" s="230"/>
    </x:row>
    <x:row r="285" spans="1:47" ht="15" customHeight="1">
      <x:c r="A285" s="237"/>
      <x:c r="B285" s="216"/>
      <x:c r="C285" s="238"/>
      <x:c r="D285" s="239"/>
      <x:c r="E285" s="239"/>
      <x:c r="F285" s="236"/>
      <x:c r="G285" s="236"/>
      <x:c r="H285" s="236"/>
      <x:c r="I285" s="236"/>
      <x:c r="J285" s="236"/>
      <x:c r="K285" s="236"/>
      <x:c r="L285" s="236"/>
      <x:c r="M285" s="236"/>
      <x:c r="N285" s="236"/>
      <x:c r="O285" s="236"/>
      <x:c r="P285" s="236"/>
      <x:c r="Q285" s="236"/>
      <x:c r="R285" s="236"/>
      <x:c r="S285" s="236"/>
      <x:c r="T285" s="236"/>
      <x:c r="U285" s="236"/>
      <x:c r="V285" s="236"/>
      <x:c r="W285" s="236"/>
      <x:c r="X285" s="236"/>
      <x:c r="Y285" s="236"/>
      <x:c r="Z285" s="236"/>
      <x:c r="AA285" s="236"/>
      <x:c r="AB285" s="236"/>
      <x:c r="AC285" s="236"/>
      <x:c r="AD285" s="236"/>
      <x:c r="AE285" s="236"/>
      <x:c r="AF285" s="236"/>
      <x:c r="AG285" s="236"/>
      <x:c r="AH285" s="236"/>
      <x:c r="AI285" s="236"/>
      <x:c r="AJ285" s="236"/>
      <x:c r="AK285" s="220"/>
      <x:c r="AL285" s="221"/>
      <x:c r="AM285" s="221"/>
      <x:c r="AN285" s="222"/>
      <x:c r="AO285" s="222"/>
      <x:c r="AP285" s="228"/>
      <x:c r="AQ285" s="228"/>
      <x:c r="AR285" s="228"/>
      <x:c r="AS285" s="228"/>
      <x:c r="AT285" s="230"/>
    </x:row>
    <x:row r="286" spans="1:47" ht="15" customHeight="1">
      <x:c r="A286" s="237"/>
      <x:c r="B286" s="216"/>
      <x:c r="C286" s="238"/>
      <x:c r="D286" s="239"/>
      <x:c r="E286" s="239"/>
      <x:c r="F286" s="219"/>
      <x:c r="G286" s="219"/>
      <x:c r="H286" s="219"/>
      <x:c r="I286" s="219"/>
      <x:c r="J286" s="219"/>
      <x:c r="K286" s="219"/>
      <x:c r="L286" s="219"/>
      <x:c r="M286" s="219"/>
      <x:c r="N286" s="219"/>
      <x:c r="O286" s="219"/>
      <x:c r="P286" s="219"/>
      <x:c r="Q286" s="219"/>
      <x:c r="R286" s="219"/>
      <x:c r="S286" s="219"/>
      <x:c r="T286" s="219"/>
      <x:c r="U286" s="219"/>
      <x:c r="V286" s="219"/>
      <x:c r="W286" s="219"/>
      <x:c r="X286" s="219"/>
      <x:c r="Y286" s="219"/>
      <x:c r="Z286" s="219"/>
      <x:c r="AA286" s="219"/>
      <x:c r="AB286" s="219"/>
      <x:c r="AC286" s="219"/>
      <x:c r="AD286" s="219"/>
      <x:c r="AE286" s="219"/>
      <x:c r="AF286" s="219"/>
      <x:c r="AG286" s="219"/>
      <x:c r="AH286" s="219"/>
      <x:c r="AI286" s="219"/>
      <x:c r="AJ286" s="219"/>
      <x:c r="AK286" s="220"/>
      <x:c r="AL286" s="221"/>
      <x:c r="AM286" s="221"/>
      <x:c r="AN286" s="222"/>
      <x:c r="AO286" s="222"/>
      <x:c r="AP286" s="228"/>
      <x:c r="AQ286" s="228"/>
      <x:c r="AR286" s="228"/>
      <x:c r="AS286" s="228"/>
      <x:c r="AT286" s="230"/>
    </x:row>
    <x:row r="287" spans="1:47" ht="15" customHeight="1">
      <x:c r="A287" s="237"/>
      <x:c r="B287" s="216"/>
      <x:c r="C287" s="238"/>
      <x:c r="D287" s="239"/>
      <x:c r="E287" s="239"/>
      <x:c r="F287" s="236"/>
      <x:c r="G287" s="236"/>
      <x:c r="H287" s="236"/>
      <x:c r="I287" s="236"/>
      <x:c r="J287" s="236"/>
      <x:c r="K287" s="236"/>
      <x:c r="L287" s="236"/>
      <x:c r="M287" s="236"/>
      <x:c r="N287" s="236"/>
      <x:c r="O287" s="236"/>
      <x:c r="P287" s="236"/>
      <x:c r="Q287" s="236"/>
      <x:c r="R287" s="236"/>
      <x:c r="S287" s="236"/>
      <x:c r="T287" s="236"/>
      <x:c r="U287" s="236"/>
      <x:c r="V287" s="236"/>
      <x:c r="W287" s="236"/>
      <x:c r="X287" s="236"/>
      <x:c r="Y287" s="236"/>
      <x:c r="Z287" s="236"/>
      <x:c r="AA287" s="236"/>
      <x:c r="AB287" s="236"/>
      <x:c r="AC287" s="236"/>
      <x:c r="AD287" s="236"/>
      <x:c r="AE287" s="236"/>
      <x:c r="AF287" s="236"/>
      <x:c r="AG287" s="236"/>
      <x:c r="AH287" s="236"/>
      <x:c r="AI287" s="236"/>
      <x:c r="AJ287" s="236"/>
      <x:c r="AK287" s="220"/>
      <x:c r="AL287" s="221"/>
      <x:c r="AM287" s="221"/>
      <x:c r="AN287" s="222"/>
      <x:c r="AO287" s="222"/>
      <x:c r="AP287" s="228"/>
      <x:c r="AQ287" s="228"/>
      <x:c r="AR287" s="228"/>
      <x:c r="AS287" s="228"/>
      <x:c r="AT287" s="230"/>
    </x:row>
    <x:row r="288" spans="1:47" ht="15" customHeight="1">
      <x:c r="A288" s="237"/>
      <x:c r="B288" s="216"/>
      <x:c r="C288" s="238"/>
      <x:c r="D288" s="239"/>
      <x:c r="E288" s="239"/>
      <x:c r="F288" s="219"/>
      <x:c r="G288" s="219"/>
      <x:c r="H288" s="219"/>
      <x:c r="I288" s="219"/>
      <x:c r="J288" s="219"/>
      <x:c r="K288" s="219"/>
      <x:c r="L288" s="219"/>
      <x:c r="M288" s="219"/>
      <x:c r="N288" s="219"/>
      <x:c r="O288" s="219"/>
      <x:c r="P288" s="219"/>
      <x:c r="Q288" s="219"/>
      <x:c r="R288" s="219"/>
      <x:c r="S288" s="219"/>
      <x:c r="T288" s="219"/>
      <x:c r="U288" s="219"/>
      <x:c r="V288" s="219"/>
      <x:c r="W288" s="219"/>
      <x:c r="X288" s="219"/>
      <x:c r="Y288" s="219"/>
      <x:c r="Z288" s="219"/>
      <x:c r="AA288" s="219"/>
      <x:c r="AB288" s="219"/>
      <x:c r="AC288" s="219"/>
      <x:c r="AD288" s="219"/>
      <x:c r="AE288" s="219"/>
      <x:c r="AF288" s="219"/>
      <x:c r="AG288" s="219"/>
      <x:c r="AH288" s="219"/>
      <x:c r="AI288" s="219"/>
      <x:c r="AJ288" s="219"/>
      <x:c r="AK288" s="220"/>
      <x:c r="AL288" s="221"/>
      <x:c r="AM288" s="221"/>
      <x:c r="AN288" s="222"/>
      <x:c r="AO288" s="222"/>
      <x:c r="AP288" s="228"/>
      <x:c r="AQ288" s="228"/>
      <x:c r="AR288" s="228"/>
      <x:c r="AS288" s="228"/>
      <x:c r="AT288" s="230"/>
    </x:row>
    <x:row r="289" spans="1:47" ht="15" customHeight="1">
      <x:c r="A289" s="237"/>
      <x:c r="B289" s="216"/>
      <x:c r="C289" s="238"/>
      <x:c r="D289" s="239"/>
      <x:c r="E289" s="239"/>
      <x:c r="F289" s="219"/>
      <x:c r="G289" s="219"/>
      <x:c r="H289" s="219"/>
      <x:c r="I289" s="219"/>
      <x:c r="J289" s="219"/>
      <x:c r="K289" s="219"/>
      <x:c r="L289" s="219"/>
      <x:c r="M289" s="219"/>
      <x:c r="N289" s="219"/>
      <x:c r="O289" s="219"/>
      <x:c r="P289" s="219"/>
      <x:c r="Q289" s="219"/>
      <x:c r="R289" s="219"/>
      <x:c r="S289" s="219"/>
      <x:c r="T289" s="219"/>
      <x:c r="U289" s="219"/>
      <x:c r="V289" s="219"/>
      <x:c r="W289" s="219"/>
      <x:c r="X289" s="219"/>
      <x:c r="Y289" s="219"/>
      <x:c r="Z289" s="219"/>
      <x:c r="AA289" s="219"/>
      <x:c r="AB289" s="219"/>
      <x:c r="AC289" s="219"/>
      <x:c r="AD289" s="219"/>
      <x:c r="AE289" s="219"/>
      <x:c r="AF289" s="219"/>
      <x:c r="AG289" s="219"/>
      <x:c r="AH289" s="219"/>
      <x:c r="AI289" s="219"/>
      <x:c r="AJ289" s="219"/>
      <x:c r="AK289" s="220"/>
      <x:c r="AL289" s="221"/>
      <x:c r="AM289" s="221"/>
      <x:c r="AN289" s="222"/>
      <x:c r="AO289" s="222"/>
      <x:c r="AP289" s="228"/>
      <x:c r="AQ289" s="228"/>
      <x:c r="AR289" s="228"/>
      <x:c r="AS289" s="228"/>
      <x:c r="AT289" s="230"/>
    </x:row>
    <x:row r="290" spans="1:47" ht="15" customHeight="1">
      <x:c r="A290" s="237"/>
      <x:c r="B290" s="216"/>
      <x:c r="C290" s="238"/>
      <x:c r="D290" s="239"/>
      <x:c r="E290" s="239"/>
      <x:c r="F290" s="236"/>
      <x:c r="G290" s="236"/>
      <x:c r="H290" s="236"/>
      <x:c r="I290" s="236"/>
      <x:c r="J290" s="236"/>
      <x:c r="K290" s="236"/>
      <x:c r="L290" s="236"/>
      <x:c r="M290" s="236"/>
      <x:c r="N290" s="236"/>
      <x:c r="O290" s="236"/>
      <x:c r="P290" s="236"/>
      <x:c r="Q290" s="236"/>
      <x:c r="R290" s="236"/>
      <x:c r="S290" s="236"/>
      <x:c r="T290" s="236"/>
      <x:c r="U290" s="236"/>
      <x:c r="V290" s="236"/>
      <x:c r="W290" s="236"/>
      <x:c r="X290" s="236"/>
      <x:c r="Y290" s="236"/>
      <x:c r="Z290" s="236"/>
      <x:c r="AA290" s="236"/>
      <x:c r="AB290" s="236"/>
      <x:c r="AC290" s="236"/>
      <x:c r="AD290" s="236"/>
      <x:c r="AE290" s="236"/>
      <x:c r="AF290" s="236"/>
      <x:c r="AG290" s="236"/>
      <x:c r="AH290" s="236"/>
      <x:c r="AI290" s="236"/>
      <x:c r="AJ290" s="236"/>
      <x:c r="AK290" s="220"/>
      <x:c r="AL290" s="221"/>
      <x:c r="AM290" s="221"/>
      <x:c r="AN290" s="222"/>
      <x:c r="AO290" s="222"/>
      <x:c r="AP290" s="228"/>
      <x:c r="AQ290" s="228"/>
      <x:c r="AR290" s="228"/>
      <x:c r="AS290" s="228"/>
      <x:c r="AT290" s="233"/>
    </x:row>
    <x:row r="291" spans="1:47" ht="15" customHeight="1">
      <x:c r="A291" s="237"/>
      <x:c r="B291" s="216"/>
      <x:c r="C291" s="238"/>
      <x:c r="D291" s="239"/>
      <x:c r="E291" s="239"/>
      <x:c r="F291" s="219"/>
      <x:c r="G291" s="219"/>
      <x:c r="H291" s="219"/>
      <x:c r="I291" s="219"/>
      <x:c r="J291" s="219"/>
      <x:c r="K291" s="219"/>
      <x:c r="L291" s="219"/>
      <x:c r="M291" s="219"/>
      <x:c r="N291" s="219"/>
      <x:c r="O291" s="219"/>
      <x:c r="P291" s="219"/>
      <x:c r="Q291" s="219"/>
      <x:c r="R291" s="219"/>
      <x:c r="S291" s="219"/>
      <x:c r="T291" s="219"/>
      <x:c r="U291" s="219"/>
      <x:c r="V291" s="219"/>
      <x:c r="W291" s="219"/>
      <x:c r="X291" s="219"/>
      <x:c r="Y291" s="219"/>
      <x:c r="Z291" s="219"/>
      <x:c r="AA291" s="219"/>
      <x:c r="AB291" s="219"/>
      <x:c r="AC291" s="219"/>
      <x:c r="AD291" s="219"/>
      <x:c r="AE291" s="219"/>
      <x:c r="AF291" s="219"/>
      <x:c r="AG291" s="219"/>
      <x:c r="AH291" s="219"/>
      <x:c r="AI291" s="219"/>
      <x:c r="AJ291" s="219"/>
      <x:c r="AK291" s="220"/>
      <x:c r="AL291" s="221"/>
      <x:c r="AM291" s="221"/>
      <x:c r="AN291" s="222"/>
      <x:c r="AO291" s="222"/>
      <x:c r="AP291" s="228"/>
      <x:c r="AQ291" s="228"/>
      <x:c r="AR291" s="228"/>
      <x:c r="AS291" s="228"/>
      <x:c r="AT291" s="230"/>
    </x:row>
    <x:row r="292" spans="1:47" ht="15" customHeight="1">
      <x:c r="A292" s="237"/>
      <x:c r="B292" s="216"/>
      <x:c r="C292" s="238"/>
      <x:c r="D292" s="239"/>
      <x:c r="E292" s="239"/>
      <x:c r="F292" s="219"/>
      <x:c r="G292" s="219"/>
      <x:c r="H292" s="219"/>
      <x:c r="I292" s="219"/>
      <x:c r="J292" s="219"/>
      <x:c r="K292" s="219"/>
      <x:c r="L292" s="219"/>
      <x:c r="M292" s="219"/>
      <x:c r="N292" s="219"/>
      <x:c r="O292" s="219"/>
      <x:c r="P292" s="219"/>
      <x:c r="Q292" s="219"/>
      <x:c r="R292" s="219"/>
      <x:c r="S292" s="219"/>
      <x:c r="T292" s="219"/>
      <x:c r="U292" s="219"/>
      <x:c r="V292" s="219"/>
      <x:c r="W292" s="219"/>
      <x:c r="X292" s="219"/>
      <x:c r="Y292" s="219"/>
      <x:c r="Z292" s="219"/>
      <x:c r="AA292" s="219"/>
      <x:c r="AB292" s="219"/>
      <x:c r="AC292" s="219"/>
      <x:c r="AD292" s="219"/>
      <x:c r="AE292" s="219"/>
      <x:c r="AF292" s="219"/>
      <x:c r="AG292" s="219"/>
      <x:c r="AH292" s="219"/>
      <x:c r="AI292" s="219"/>
      <x:c r="AJ292" s="219"/>
      <x:c r="AK292" s="220"/>
      <x:c r="AL292" s="221"/>
      <x:c r="AM292" s="221"/>
      <x:c r="AN292" s="222"/>
      <x:c r="AO292" s="222"/>
      <x:c r="AP292" s="228"/>
      <x:c r="AQ292" s="228"/>
      <x:c r="AR292" s="228"/>
      <x:c r="AS292" s="228"/>
      <x:c r="AT292" s="230"/>
    </x:row>
    <x:row r="293" spans="1:47" ht="15" customHeight="1">
      <x:c r="A293" s="237"/>
      <x:c r="B293" s="216"/>
      <x:c r="C293" s="238"/>
      <x:c r="D293" s="239"/>
      <x:c r="E293" s="239"/>
      <x:c r="F293" s="236"/>
      <x:c r="G293" s="236"/>
      <x:c r="H293" s="236"/>
      <x:c r="I293" s="236"/>
      <x:c r="J293" s="236"/>
      <x:c r="K293" s="236"/>
      <x:c r="L293" s="236"/>
      <x:c r="M293" s="236"/>
      <x:c r="N293" s="236"/>
      <x:c r="O293" s="236"/>
      <x:c r="P293" s="236"/>
      <x:c r="Q293" s="236"/>
      <x:c r="R293" s="236"/>
      <x:c r="S293" s="236"/>
      <x:c r="T293" s="236"/>
      <x:c r="U293" s="236"/>
      <x:c r="V293" s="236"/>
      <x:c r="W293" s="236"/>
      <x:c r="X293" s="236"/>
      <x:c r="Y293" s="236"/>
      <x:c r="Z293" s="236"/>
      <x:c r="AA293" s="236"/>
      <x:c r="AB293" s="236"/>
      <x:c r="AC293" s="236"/>
      <x:c r="AD293" s="236"/>
      <x:c r="AE293" s="236"/>
      <x:c r="AF293" s="236"/>
      <x:c r="AG293" s="236"/>
      <x:c r="AH293" s="236"/>
      <x:c r="AI293" s="236"/>
      <x:c r="AJ293" s="236"/>
      <x:c r="AK293" s="220"/>
      <x:c r="AL293" s="221"/>
      <x:c r="AM293" s="221"/>
      <x:c r="AN293" s="222"/>
      <x:c r="AO293" s="222"/>
      <x:c r="AP293" s="228"/>
      <x:c r="AQ293" s="228"/>
      <x:c r="AR293" s="228"/>
      <x:c r="AS293" s="228"/>
      <x:c r="AT293" s="230"/>
    </x:row>
    <x:row r="294" spans="1:47" ht="15" customHeight="1">
      <x:c r="A294" s="237"/>
      <x:c r="B294" s="216"/>
      <x:c r="C294" s="238"/>
      <x:c r="D294" s="239"/>
      <x:c r="E294" s="239"/>
      <x:c r="F294" s="236"/>
      <x:c r="G294" s="236"/>
      <x:c r="H294" s="236"/>
      <x:c r="I294" s="236"/>
      <x:c r="J294" s="236"/>
      <x:c r="K294" s="236"/>
      <x:c r="L294" s="236"/>
      <x:c r="M294" s="236"/>
      <x:c r="N294" s="236"/>
      <x:c r="O294" s="236"/>
      <x:c r="P294" s="236"/>
      <x:c r="Q294" s="236"/>
      <x:c r="R294" s="236"/>
      <x:c r="S294" s="236"/>
      <x:c r="T294" s="236"/>
      <x:c r="U294" s="236"/>
      <x:c r="V294" s="236"/>
      <x:c r="W294" s="236"/>
      <x:c r="X294" s="236"/>
      <x:c r="Y294" s="236"/>
      <x:c r="Z294" s="236"/>
      <x:c r="AA294" s="236"/>
      <x:c r="AB294" s="236"/>
      <x:c r="AC294" s="236"/>
      <x:c r="AD294" s="236"/>
      <x:c r="AE294" s="236"/>
      <x:c r="AF294" s="236"/>
      <x:c r="AG294" s="236"/>
      <x:c r="AH294" s="236"/>
      <x:c r="AI294" s="236"/>
      <x:c r="AJ294" s="236"/>
      <x:c r="AK294" s="220"/>
      <x:c r="AL294" s="221"/>
      <x:c r="AM294" s="221"/>
      <x:c r="AN294" s="222"/>
      <x:c r="AO294" s="222"/>
      <x:c r="AP294" s="228"/>
      <x:c r="AQ294" s="228"/>
      <x:c r="AR294" s="228"/>
      <x:c r="AS294" s="228"/>
      <x:c r="AT294" s="230"/>
    </x:row>
    <x:row r="295" spans="1:47" ht="15" customHeight="1">
      <x:c r="A295" s="237"/>
      <x:c r="B295" s="216"/>
      <x:c r="C295" s="238"/>
      <x:c r="D295" s="239"/>
      <x:c r="E295" s="239"/>
      <x:c r="F295" s="236"/>
      <x:c r="G295" s="236"/>
      <x:c r="H295" s="236"/>
      <x:c r="I295" s="236"/>
      <x:c r="J295" s="236"/>
      <x:c r="K295" s="236"/>
      <x:c r="L295" s="236"/>
      <x:c r="M295" s="236"/>
      <x:c r="N295" s="236"/>
      <x:c r="O295" s="236"/>
      <x:c r="P295" s="236"/>
      <x:c r="Q295" s="236"/>
      <x:c r="R295" s="236"/>
      <x:c r="S295" s="236"/>
      <x:c r="T295" s="236"/>
      <x:c r="U295" s="236"/>
      <x:c r="V295" s="236"/>
      <x:c r="W295" s="236"/>
      <x:c r="X295" s="236"/>
      <x:c r="Y295" s="236"/>
      <x:c r="Z295" s="236"/>
      <x:c r="AA295" s="236"/>
      <x:c r="AB295" s="236"/>
      <x:c r="AC295" s="236"/>
      <x:c r="AD295" s="236"/>
      <x:c r="AE295" s="236"/>
      <x:c r="AF295" s="236"/>
      <x:c r="AG295" s="236"/>
      <x:c r="AH295" s="236"/>
      <x:c r="AI295" s="236"/>
      <x:c r="AJ295" s="236"/>
      <x:c r="AK295" s="220"/>
      <x:c r="AL295" s="221"/>
      <x:c r="AM295" s="221"/>
      <x:c r="AN295" s="222"/>
      <x:c r="AO295" s="222"/>
      <x:c r="AP295" s="228"/>
      <x:c r="AQ295" s="228"/>
      <x:c r="AR295" s="228"/>
      <x:c r="AS295" s="228"/>
      <x:c r="AT295" s="230"/>
    </x:row>
    <x:row r="296" spans="1:47" ht="15" customHeight="1">
      <x:c r="A296" s="237"/>
      <x:c r="B296" s="216"/>
      <x:c r="C296" s="238"/>
      <x:c r="D296" s="239"/>
      <x:c r="E296" s="239"/>
      <x:c r="F296" s="236"/>
      <x:c r="G296" s="236"/>
      <x:c r="H296" s="236"/>
      <x:c r="I296" s="236"/>
      <x:c r="J296" s="236"/>
      <x:c r="K296" s="236"/>
      <x:c r="L296" s="236"/>
      <x:c r="M296" s="236"/>
      <x:c r="N296" s="236"/>
      <x:c r="O296" s="236"/>
      <x:c r="P296" s="236"/>
      <x:c r="Q296" s="236"/>
      <x:c r="R296" s="236"/>
      <x:c r="S296" s="236"/>
      <x:c r="T296" s="236"/>
      <x:c r="U296" s="236"/>
      <x:c r="V296" s="236"/>
      <x:c r="W296" s="236"/>
      <x:c r="X296" s="236"/>
      <x:c r="Y296" s="236"/>
      <x:c r="Z296" s="236"/>
      <x:c r="AA296" s="236"/>
      <x:c r="AB296" s="236"/>
      <x:c r="AC296" s="236"/>
      <x:c r="AD296" s="236"/>
      <x:c r="AE296" s="236"/>
      <x:c r="AF296" s="236"/>
      <x:c r="AG296" s="236"/>
      <x:c r="AH296" s="236"/>
      <x:c r="AI296" s="236"/>
      <x:c r="AJ296" s="236"/>
      <x:c r="AK296" s="220"/>
      <x:c r="AL296" s="221"/>
      <x:c r="AM296" s="221"/>
      <x:c r="AN296" s="222"/>
      <x:c r="AO296" s="222"/>
      <x:c r="AP296" s="228"/>
      <x:c r="AQ296" s="228"/>
      <x:c r="AR296" s="228"/>
      <x:c r="AS296" s="228"/>
      <x:c r="AT296" s="230"/>
    </x:row>
    <x:row r="297" spans="1:47" ht="15" customHeight="1">
      <x:c r="A297" s="237"/>
      <x:c r="B297" s="216"/>
      <x:c r="C297" s="238"/>
      <x:c r="D297" s="239"/>
      <x:c r="E297" s="239"/>
      <x:c r="F297" s="236"/>
      <x:c r="G297" s="236"/>
      <x:c r="H297" s="236"/>
      <x:c r="I297" s="236"/>
      <x:c r="J297" s="236"/>
      <x:c r="K297" s="236"/>
      <x:c r="L297" s="236"/>
      <x:c r="M297" s="236"/>
      <x:c r="N297" s="236"/>
      <x:c r="O297" s="236"/>
      <x:c r="P297" s="236"/>
      <x:c r="Q297" s="236"/>
      <x:c r="R297" s="236"/>
      <x:c r="S297" s="236"/>
      <x:c r="T297" s="236"/>
      <x:c r="U297" s="236"/>
      <x:c r="V297" s="236"/>
      <x:c r="W297" s="236"/>
      <x:c r="X297" s="236"/>
      <x:c r="Y297" s="236"/>
      <x:c r="Z297" s="236"/>
      <x:c r="AA297" s="236"/>
      <x:c r="AB297" s="236"/>
      <x:c r="AC297" s="236"/>
      <x:c r="AD297" s="236"/>
      <x:c r="AE297" s="236"/>
      <x:c r="AF297" s="236"/>
      <x:c r="AG297" s="236"/>
      <x:c r="AH297" s="236"/>
      <x:c r="AI297" s="236"/>
      <x:c r="AJ297" s="236"/>
      <x:c r="AK297" s="220"/>
      <x:c r="AL297" s="221"/>
      <x:c r="AM297" s="221"/>
      <x:c r="AN297" s="222"/>
      <x:c r="AO297" s="222"/>
      <x:c r="AP297" s="228"/>
      <x:c r="AQ297" s="228"/>
      <x:c r="AR297" s="228"/>
      <x:c r="AS297" s="228"/>
      <x:c r="AT297" s="230"/>
    </x:row>
    <x:row r="298" spans="1:47" ht="15" customHeight="1">
      <x:c r="A298" s="237"/>
      <x:c r="B298" s="216"/>
      <x:c r="C298" s="238"/>
      <x:c r="D298" s="239"/>
      <x:c r="E298" s="239"/>
      <x:c r="F298" s="236"/>
      <x:c r="G298" s="236"/>
      <x:c r="H298" s="236"/>
      <x:c r="I298" s="236"/>
      <x:c r="J298" s="236"/>
      <x:c r="K298" s="236"/>
      <x:c r="L298" s="236"/>
      <x:c r="M298" s="236"/>
      <x:c r="N298" s="236"/>
      <x:c r="O298" s="236"/>
      <x:c r="P298" s="236"/>
      <x:c r="Q298" s="236"/>
      <x:c r="R298" s="236"/>
      <x:c r="S298" s="236"/>
      <x:c r="T298" s="236"/>
      <x:c r="U298" s="236"/>
      <x:c r="V298" s="236"/>
      <x:c r="W298" s="236"/>
      <x:c r="X298" s="236"/>
      <x:c r="Y298" s="236"/>
      <x:c r="Z298" s="236"/>
      <x:c r="AA298" s="236"/>
      <x:c r="AB298" s="236"/>
      <x:c r="AC298" s="236"/>
      <x:c r="AD298" s="236"/>
      <x:c r="AE298" s="236"/>
      <x:c r="AF298" s="236"/>
      <x:c r="AG298" s="236"/>
      <x:c r="AH298" s="236"/>
      <x:c r="AI298" s="236"/>
      <x:c r="AJ298" s="236"/>
      <x:c r="AK298" s="220"/>
      <x:c r="AL298" s="221"/>
      <x:c r="AM298" s="221"/>
      <x:c r="AN298" s="222"/>
      <x:c r="AO298" s="222"/>
      <x:c r="AP298" s="228"/>
      <x:c r="AQ298" s="228"/>
      <x:c r="AR298" s="228"/>
      <x:c r="AS298" s="228"/>
      <x:c r="AT298" s="230"/>
    </x:row>
    <x:row r="299" spans="1:47" ht="15" customHeight="1">
      <x:c r="A299" s="237"/>
      <x:c r="B299" s="216"/>
      <x:c r="C299" s="238"/>
      <x:c r="D299" s="239"/>
      <x:c r="E299" s="239"/>
      <x:c r="F299" s="236"/>
      <x:c r="G299" s="236"/>
      <x:c r="H299" s="236"/>
      <x:c r="I299" s="236"/>
      <x:c r="J299" s="236"/>
      <x:c r="K299" s="236"/>
      <x:c r="L299" s="236"/>
      <x:c r="M299" s="236"/>
      <x:c r="N299" s="236"/>
      <x:c r="O299" s="236"/>
      <x:c r="P299" s="236"/>
      <x:c r="Q299" s="236"/>
      <x:c r="R299" s="236"/>
      <x:c r="S299" s="236"/>
      <x:c r="T299" s="236"/>
      <x:c r="U299" s="236"/>
      <x:c r="V299" s="236"/>
      <x:c r="W299" s="236"/>
      <x:c r="X299" s="236"/>
      <x:c r="Y299" s="236"/>
      <x:c r="Z299" s="236"/>
      <x:c r="AA299" s="236"/>
      <x:c r="AB299" s="236"/>
      <x:c r="AC299" s="236"/>
      <x:c r="AD299" s="236"/>
      <x:c r="AE299" s="236"/>
      <x:c r="AF299" s="236"/>
      <x:c r="AG299" s="236"/>
      <x:c r="AH299" s="236"/>
      <x:c r="AI299" s="236"/>
      <x:c r="AJ299" s="236"/>
      <x:c r="AK299" s="220"/>
      <x:c r="AL299" s="221"/>
      <x:c r="AM299" s="221"/>
      <x:c r="AN299" s="222"/>
      <x:c r="AO299" s="222"/>
      <x:c r="AP299" s="228"/>
      <x:c r="AQ299" s="228"/>
      <x:c r="AR299" s="228"/>
      <x:c r="AS299" s="228"/>
      <x:c r="AT299" s="230"/>
    </x:row>
    <x:row r="300" spans="1:47" ht="15" customHeight="1">
      <x:c r="A300" s="237"/>
      <x:c r="B300" s="216"/>
      <x:c r="C300" s="238"/>
      <x:c r="D300" s="239"/>
      <x:c r="E300" s="239"/>
      <x:c r="F300" s="236"/>
      <x:c r="G300" s="236"/>
      <x:c r="H300" s="236"/>
      <x:c r="I300" s="236"/>
      <x:c r="J300" s="236"/>
      <x:c r="K300" s="236"/>
      <x:c r="L300" s="236"/>
      <x:c r="M300" s="236"/>
      <x:c r="N300" s="236"/>
      <x:c r="O300" s="236"/>
      <x:c r="P300" s="236"/>
      <x:c r="Q300" s="236"/>
      <x:c r="R300" s="236"/>
      <x:c r="S300" s="236"/>
      <x:c r="T300" s="236"/>
      <x:c r="U300" s="236"/>
      <x:c r="V300" s="236"/>
      <x:c r="W300" s="236"/>
      <x:c r="X300" s="236"/>
      <x:c r="Y300" s="236"/>
      <x:c r="Z300" s="236"/>
      <x:c r="AA300" s="236"/>
      <x:c r="AB300" s="236"/>
      <x:c r="AC300" s="236"/>
      <x:c r="AD300" s="236"/>
      <x:c r="AE300" s="236"/>
      <x:c r="AF300" s="236"/>
      <x:c r="AG300" s="236"/>
      <x:c r="AH300" s="236"/>
      <x:c r="AI300" s="236"/>
      <x:c r="AJ300" s="236"/>
      <x:c r="AK300" s="220"/>
      <x:c r="AL300" s="221"/>
      <x:c r="AM300" s="221"/>
      <x:c r="AN300" s="222"/>
      <x:c r="AO300" s="222"/>
      <x:c r="AP300" s="228"/>
      <x:c r="AQ300" s="228"/>
      <x:c r="AR300" s="228"/>
      <x:c r="AS300" s="228"/>
      <x:c r="AT300" s="230"/>
    </x:row>
    <x:row r="301" spans="1:47" ht="15" customHeight="1">
      <x:c r="A301" s="237"/>
      <x:c r="B301" s="216"/>
      <x:c r="C301" s="238"/>
      <x:c r="D301" s="239"/>
      <x:c r="E301" s="239"/>
      <x:c r="F301" s="236"/>
      <x:c r="G301" s="236"/>
      <x:c r="H301" s="236"/>
      <x:c r="I301" s="236"/>
      <x:c r="J301" s="236"/>
      <x:c r="K301" s="236"/>
      <x:c r="L301" s="236"/>
      <x:c r="M301" s="236"/>
      <x:c r="N301" s="236"/>
      <x:c r="O301" s="236"/>
      <x:c r="P301" s="236"/>
      <x:c r="Q301" s="236"/>
      <x:c r="R301" s="236"/>
      <x:c r="S301" s="236"/>
      <x:c r="T301" s="236"/>
      <x:c r="U301" s="236"/>
      <x:c r="V301" s="236"/>
      <x:c r="W301" s="236"/>
      <x:c r="X301" s="236"/>
      <x:c r="Y301" s="236"/>
      <x:c r="Z301" s="236"/>
      <x:c r="AA301" s="236"/>
      <x:c r="AB301" s="236"/>
      <x:c r="AC301" s="236"/>
      <x:c r="AD301" s="236"/>
      <x:c r="AE301" s="236"/>
      <x:c r="AF301" s="236"/>
      <x:c r="AG301" s="236"/>
      <x:c r="AH301" s="236"/>
      <x:c r="AI301" s="236"/>
      <x:c r="AJ301" s="236"/>
      <x:c r="AK301" s="220"/>
      <x:c r="AL301" s="221"/>
      <x:c r="AM301" s="221"/>
      <x:c r="AN301" s="222"/>
      <x:c r="AO301" s="222"/>
      <x:c r="AP301" s="228"/>
      <x:c r="AQ301" s="228"/>
      <x:c r="AR301" s="228"/>
      <x:c r="AS301" s="228"/>
      <x:c r="AT301" s="230"/>
    </x:row>
    <x:row r="302" spans="1:47" ht="15" customHeight="1">
      <x:c r="A302" s="237"/>
      <x:c r="B302" s="216"/>
      <x:c r="C302" s="238"/>
      <x:c r="D302" s="239"/>
      <x:c r="E302" s="239"/>
      <x:c r="F302" s="236"/>
      <x:c r="G302" s="236"/>
      <x:c r="H302" s="236"/>
      <x:c r="I302" s="236"/>
      <x:c r="J302" s="236"/>
      <x:c r="K302" s="236"/>
      <x:c r="L302" s="236"/>
      <x:c r="M302" s="236"/>
      <x:c r="N302" s="236"/>
      <x:c r="O302" s="236"/>
      <x:c r="P302" s="236"/>
      <x:c r="Q302" s="236"/>
      <x:c r="R302" s="236"/>
      <x:c r="S302" s="236"/>
      <x:c r="T302" s="236"/>
      <x:c r="U302" s="236"/>
      <x:c r="V302" s="236"/>
      <x:c r="W302" s="236"/>
      <x:c r="X302" s="236"/>
      <x:c r="Y302" s="236"/>
      <x:c r="Z302" s="236"/>
      <x:c r="AA302" s="236"/>
      <x:c r="AB302" s="236"/>
      <x:c r="AC302" s="236"/>
      <x:c r="AD302" s="236"/>
      <x:c r="AE302" s="236"/>
      <x:c r="AF302" s="236"/>
      <x:c r="AG302" s="236"/>
      <x:c r="AH302" s="236"/>
      <x:c r="AI302" s="236"/>
      <x:c r="AJ302" s="236"/>
      <x:c r="AK302" s="220"/>
      <x:c r="AL302" s="221"/>
      <x:c r="AM302" s="221"/>
      <x:c r="AN302" s="222"/>
      <x:c r="AO302" s="222"/>
      <x:c r="AP302" s="228"/>
      <x:c r="AQ302" s="228"/>
      <x:c r="AR302" s="228"/>
      <x:c r="AS302" s="228"/>
      <x:c r="AT302" s="230"/>
    </x:row>
    <x:row r="303" spans="1:47" ht="15" customHeight="1">
      <x:c r="A303" s="237"/>
      <x:c r="B303" s="216"/>
      <x:c r="C303" s="238"/>
      <x:c r="D303" s="239"/>
      <x:c r="E303" s="239"/>
      <x:c r="F303" s="236"/>
      <x:c r="G303" s="236"/>
      <x:c r="H303" s="236"/>
      <x:c r="I303" s="236"/>
      <x:c r="J303" s="236"/>
      <x:c r="K303" s="236"/>
      <x:c r="L303" s="236"/>
      <x:c r="M303" s="236"/>
      <x:c r="N303" s="236"/>
      <x:c r="O303" s="236"/>
      <x:c r="P303" s="236"/>
      <x:c r="Q303" s="236"/>
      <x:c r="R303" s="236"/>
      <x:c r="S303" s="236"/>
      <x:c r="T303" s="236"/>
      <x:c r="U303" s="236"/>
      <x:c r="V303" s="236"/>
      <x:c r="W303" s="236"/>
      <x:c r="X303" s="236"/>
      <x:c r="Y303" s="236"/>
      <x:c r="Z303" s="236"/>
      <x:c r="AA303" s="236"/>
      <x:c r="AB303" s="236"/>
      <x:c r="AC303" s="236"/>
      <x:c r="AD303" s="236"/>
      <x:c r="AE303" s="236"/>
      <x:c r="AF303" s="236"/>
      <x:c r="AG303" s="236"/>
      <x:c r="AH303" s="236"/>
      <x:c r="AI303" s="236"/>
      <x:c r="AJ303" s="236"/>
      <x:c r="AK303" s="220"/>
      <x:c r="AL303" s="221"/>
      <x:c r="AM303" s="221"/>
      <x:c r="AN303" s="222"/>
      <x:c r="AO303" s="222"/>
      <x:c r="AP303" s="228"/>
      <x:c r="AQ303" s="228"/>
      <x:c r="AR303" s="228"/>
      <x:c r="AS303" s="228"/>
      <x:c r="AT303" s="230"/>
    </x:row>
    <x:row r="304" spans="1:47" ht="15" customHeight="1">
      <x:c r="A304" s="237"/>
      <x:c r="B304" s="216"/>
      <x:c r="C304" s="238"/>
      <x:c r="D304" s="239"/>
      <x:c r="E304" s="239"/>
      <x:c r="F304" s="236"/>
      <x:c r="G304" s="236"/>
      <x:c r="H304" s="236"/>
      <x:c r="I304" s="236"/>
      <x:c r="J304" s="236"/>
      <x:c r="K304" s="236"/>
      <x:c r="L304" s="236"/>
      <x:c r="M304" s="236"/>
      <x:c r="N304" s="236"/>
      <x:c r="O304" s="236"/>
      <x:c r="P304" s="236"/>
      <x:c r="Q304" s="236"/>
      <x:c r="R304" s="236"/>
      <x:c r="S304" s="236"/>
      <x:c r="T304" s="236"/>
      <x:c r="U304" s="236"/>
      <x:c r="V304" s="236"/>
      <x:c r="W304" s="236"/>
      <x:c r="X304" s="236"/>
      <x:c r="Y304" s="236"/>
      <x:c r="Z304" s="236"/>
      <x:c r="AA304" s="236"/>
      <x:c r="AB304" s="236"/>
      <x:c r="AC304" s="236"/>
      <x:c r="AD304" s="236"/>
      <x:c r="AE304" s="236"/>
      <x:c r="AF304" s="236"/>
      <x:c r="AG304" s="236"/>
      <x:c r="AH304" s="236"/>
      <x:c r="AI304" s="236"/>
      <x:c r="AJ304" s="236"/>
      <x:c r="AK304" s="220"/>
      <x:c r="AL304" s="221"/>
      <x:c r="AM304" s="221"/>
      <x:c r="AN304" s="222"/>
      <x:c r="AO304" s="222"/>
      <x:c r="AP304" s="228"/>
      <x:c r="AQ304" s="228"/>
      <x:c r="AR304" s="228"/>
      <x:c r="AS304" s="228"/>
      <x:c r="AT304" s="230"/>
    </x:row>
    <x:row r="305" spans="1:47" ht="15" customHeight="1">
      <x:c r="A305" s="237"/>
      <x:c r="B305" s="216"/>
      <x:c r="C305" s="238"/>
      <x:c r="D305" s="239"/>
      <x:c r="E305" s="239"/>
      <x:c r="F305" s="236"/>
      <x:c r="G305" s="236"/>
      <x:c r="H305" s="236"/>
      <x:c r="I305" s="236"/>
      <x:c r="J305" s="236"/>
      <x:c r="K305" s="236"/>
      <x:c r="L305" s="236"/>
      <x:c r="M305" s="236"/>
      <x:c r="N305" s="236"/>
      <x:c r="O305" s="236"/>
      <x:c r="P305" s="236"/>
      <x:c r="Q305" s="236"/>
      <x:c r="R305" s="236"/>
      <x:c r="S305" s="236"/>
      <x:c r="T305" s="236"/>
      <x:c r="U305" s="236"/>
      <x:c r="V305" s="236"/>
      <x:c r="W305" s="236"/>
      <x:c r="X305" s="236"/>
      <x:c r="Y305" s="236"/>
      <x:c r="Z305" s="236"/>
      <x:c r="AA305" s="236"/>
      <x:c r="AB305" s="236"/>
      <x:c r="AC305" s="236"/>
      <x:c r="AD305" s="236"/>
      <x:c r="AE305" s="236"/>
      <x:c r="AF305" s="236"/>
      <x:c r="AG305" s="236"/>
      <x:c r="AH305" s="236"/>
      <x:c r="AI305" s="236"/>
      <x:c r="AJ305" s="236"/>
      <x:c r="AK305" s="220"/>
      <x:c r="AL305" s="221"/>
      <x:c r="AM305" s="221"/>
      <x:c r="AN305" s="222"/>
      <x:c r="AO305" s="222"/>
      <x:c r="AP305" s="228"/>
      <x:c r="AQ305" s="228"/>
      <x:c r="AR305" s="228"/>
      <x:c r="AS305" s="228"/>
      <x:c r="AT305" s="230"/>
    </x:row>
    <x:row r="306" spans="1:47" ht="15" customHeight="1">
      <x:c r="A306" s="237"/>
      <x:c r="B306" s="216"/>
      <x:c r="C306" s="238"/>
      <x:c r="D306" s="239"/>
      <x:c r="E306" s="239"/>
      <x:c r="F306" s="236"/>
      <x:c r="G306" s="236"/>
      <x:c r="H306" s="236"/>
      <x:c r="I306" s="236"/>
      <x:c r="J306" s="236"/>
      <x:c r="K306" s="236"/>
      <x:c r="L306" s="236"/>
      <x:c r="M306" s="236"/>
      <x:c r="N306" s="236"/>
      <x:c r="O306" s="236"/>
      <x:c r="P306" s="236"/>
      <x:c r="Q306" s="236"/>
      <x:c r="R306" s="236"/>
      <x:c r="S306" s="236"/>
      <x:c r="T306" s="236"/>
      <x:c r="U306" s="236"/>
      <x:c r="V306" s="236"/>
      <x:c r="W306" s="236"/>
      <x:c r="X306" s="236"/>
      <x:c r="Y306" s="236"/>
      <x:c r="Z306" s="236"/>
      <x:c r="AA306" s="236"/>
      <x:c r="AB306" s="236"/>
      <x:c r="AC306" s="236"/>
      <x:c r="AD306" s="236"/>
      <x:c r="AE306" s="236"/>
      <x:c r="AF306" s="236"/>
      <x:c r="AG306" s="236"/>
      <x:c r="AH306" s="236"/>
      <x:c r="AI306" s="236"/>
      <x:c r="AJ306" s="236"/>
      <x:c r="AK306" s="220"/>
      <x:c r="AL306" s="221"/>
      <x:c r="AM306" s="221"/>
      <x:c r="AN306" s="222"/>
      <x:c r="AO306" s="222"/>
      <x:c r="AP306" s="228"/>
      <x:c r="AQ306" s="228"/>
      <x:c r="AR306" s="228"/>
      <x:c r="AS306" s="228"/>
      <x:c r="AT306" s="230"/>
    </x:row>
    <x:row r="307" spans="1:47" ht="15" customHeight="1">
      <x:c r="A307" s="237"/>
      <x:c r="B307" s="216"/>
      <x:c r="C307" s="238"/>
      <x:c r="D307" s="239"/>
      <x:c r="E307" s="239"/>
      <x:c r="F307" s="236"/>
      <x:c r="G307" s="236"/>
      <x:c r="H307" s="236"/>
      <x:c r="I307" s="236"/>
      <x:c r="J307" s="236"/>
      <x:c r="K307" s="236"/>
      <x:c r="L307" s="236"/>
      <x:c r="M307" s="236"/>
      <x:c r="N307" s="236"/>
      <x:c r="O307" s="236"/>
      <x:c r="P307" s="236"/>
      <x:c r="Q307" s="236"/>
      <x:c r="R307" s="236"/>
      <x:c r="S307" s="236"/>
      <x:c r="T307" s="236"/>
      <x:c r="U307" s="236"/>
      <x:c r="V307" s="236"/>
      <x:c r="W307" s="236"/>
      <x:c r="X307" s="236"/>
      <x:c r="Y307" s="236"/>
      <x:c r="Z307" s="236"/>
      <x:c r="AA307" s="236"/>
      <x:c r="AB307" s="236"/>
      <x:c r="AC307" s="236"/>
      <x:c r="AD307" s="236"/>
      <x:c r="AE307" s="236"/>
      <x:c r="AF307" s="236"/>
      <x:c r="AG307" s="236"/>
      <x:c r="AH307" s="236"/>
      <x:c r="AI307" s="236"/>
      <x:c r="AJ307" s="236"/>
      <x:c r="AK307" s="220"/>
      <x:c r="AL307" s="221"/>
      <x:c r="AM307" s="221"/>
      <x:c r="AN307" s="222"/>
      <x:c r="AO307" s="222"/>
      <x:c r="AP307" s="228"/>
      <x:c r="AQ307" s="228"/>
      <x:c r="AR307" s="228"/>
      <x:c r="AS307" s="228"/>
      <x:c r="AT307" s="230"/>
    </x:row>
    <x:row r="308" spans="1:47" ht="15" customHeight="1">
      <x:c r="A308" s="237"/>
      <x:c r="B308" s="216"/>
      <x:c r="C308" s="238"/>
      <x:c r="D308" s="239"/>
      <x:c r="E308" s="239"/>
      <x:c r="F308" s="236"/>
      <x:c r="G308" s="236"/>
      <x:c r="H308" s="236"/>
      <x:c r="I308" s="236"/>
      <x:c r="J308" s="236"/>
      <x:c r="K308" s="236"/>
      <x:c r="L308" s="236"/>
      <x:c r="M308" s="236"/>
      <x:c r="N308" s="236"/>
      <x:c r="O308" s="236"/>
      <x:c r="P308" s="236"/>
      <x:c r="Q308" s="236"/>
      <x:c r="R308" s="236"/>
      <x:c r="S308" s="236"/>
      <x:c r="T308" s="236"/>
      <x:c r="U308" s="236"/>
      <x:c r="V308" s="236"/>
      <x:c r="W308" s="236"/>
      <x:c r="X308" s="236"/>
      <x:c r="Y308" s="236"/>
      <x:c r="Z308" s="236"/>
      <x:c r="AA308" s="236"/>
      <x:c r="AB308" s="236"/>
      <x:c r="AC308" s="236"/>
      <x:c r="AD308" s="236"/>
      <x:c r="AE308" s="236"/>
      <x:c r="AF308" s="236"/>
      <x:c r="AG308" s="236"/>
      <x:c r="AH308" s="236"/>
      <x:c r="AI308" s="236"/>
      <x:c r="AJ308" s="236"/>
      <x:c r="AK308" s="220"/>
      <x:c r="AL308" s="221"/>
      <x:c r="AM308" s="221"/>
      <x:c r="AN308" s="222"/>
      <x:c r="AO308" s="222"/>
      <x:c r="AP308" s="228"/>
      <x:c r="AQ308" s="228"/>
      <x:c r="AR308" s="228"/>
      <x:c r="AS308" s="228"/>
      <x:c r="AT308" s="230"/>
    </x:row>
    <x:row r="309" spans="1:47" ht="15" customHeight="1">
      <x:c r="A309" s="237"/>
      <x:c r="B309" s="216"/>
      <x:c r="C309" s="238"/>
      <x:c r="D309" s="239"/>
      <x:c r="E309" s="239"/>
      <x:c r="F309" s="236"/>
      <x:c r="G309" s="236"/>
      <x:c r="H309" s="236"/>
      <x:c r="I309" s="236"/>
      <x:c r="J309" s="236"/>
      <x:c r="K309" s="236"/>
      <x:c r="L309" s="236"/>
      <x:c r="M309" s="236"/>
      <x:c r="N309" s="236"/>
      <x:c r="O309" s="236"/>
      <x:c r="P309" s="236"/>
      <x:c r="Q309" s="236"/>
      <x:c r="R309" s="236"/>
      <x:c r="S309" s="236"/>
      <x:c r="T309" s="236"/>
      <x:c r="U309" s="236"/>
      <x:c r="V309" s="236"/>
      <x:c r="W309" s="236"/>
      <x:c r="X309" s="236"/>
      <x:c r="Y309" s="236"/>
      <x:c r="Z309" s="236"/>
      <x:c r="AA309" s="236"/>
      <x:c r="AB309" s="236"/>
      <x:c r="AC309" s="236"/>
      <x:c r="AD309" s="236"/>
      <x:c r="AE309" s="236"/>
      <x:c r="AF309" s="236"/>
      <x:c r="AG309" s="236"/>
      <x:c r="AH309" s="236"/>
      <x:c r="AI309" s="236"/>
      <x:c r="AJ309" s="236"/>
      <x:c r="AK309" s="220"/>
      <x:c r="AL309" s="221"/>
      <x:c r="AM309" s="221"/>
      <x:c r="AN309" s="222"/>
      <x:c r="AO309" s="222"/>
      <x:c r="AP309" s="228"/>
      <x:c r="AQ309" s="228"/>
      <x:c r="AR309" s="228"/>
      <x:c r="AS309" s="228"/>
      <x:c r="AT309" s="230"/>
    </x:row>
    <x:row r="310" spans="1:47" ht="15" customHeight="1">
      <x:c r="A310" s="237"/>
      <x:c r="B310" s="216"/>
      <x:c r="C310" s="238"/>
      <x:c r="D310" s="239"/>
      <x:c r="E310" s="239"/>
      <x:c r="F310" s="236"/>
      <x:c r="G310" s="236"/>
      <x:c r="H310" s="236"/>
      <x:c r="I310" s="236"/>
      <x:c r="J310" s="236"/>
      <x:c r="K310" s="236"/>
      <x:c r="L310" s="236"/>
      <x:c r="M310" s="236"/>
      <x:c r="N310" s="236"/>
      <x:c r="O310" s="236"/>
      <x:c r="P310" s="236"/>
      <x:c r="Q310" s="236"/>
      <x:c r="R310" s="236"/>
      <x:c r="S310" s="236"/>
      <x:c r="T310" s="236"/>
      <x:c r="U310" s="236"/>
      <x:c r="V310" s="236"/>
      <x:c r="W310" s="236"/>
      <x:c r="X310" s="236"/>
      <x:c r="Y310" s="236"/>
      <x:c r="Z310" s="236"/>
      <x:c r="AA310" s="236"/>
      <x:c r="AB310" s="236"/>
      <x:c r="AC310" s="236"/>
      <x:c r="AD310" s="236"/>
      <x:c r="AE310" s="236"/>
      <x:c r="AF310" s="236"/>
      <x:c r="AG310" s="236"/>
      <x:c r="AH310" s="236"/>
      <x:c r="AI310" s="236"/>
      <x:c r="AJ310" s="236"/>
      <x:c r="AK310" s="220"/>
      <x:c r="AL310" s="221"/>
      <x:c r="AM310" s="221"/>
      <x:c r="AN310" s="222"/>
      <x:c r="AO310" s="222"/>
      <x:c r="AP310" s="228"/>
      <x:c r="AQ310" s="228"/>
      <x:c r="AR310" s="228"/>
      <x:c r="AS310" s="228"/>
      <x:c r="AT310" s="230"/>
    </x:row>
    <x:row r="311" spans="1:47" ht="15" customHeight="1">
      <x:c r="A311" s="237"/>
      <x:c r="B311" s="216"/>
      <x:c r="C311" s="238"/>
      <x:c r="D311" s="239"/>
      <x:c r="E311" s="239"/>
      <x:c r="F311" s="236"/>
      <x:c r="G311" s="236"/>
      <x:c r="H311" s="236"/>
      <x:c r="I311" s="236"/>
      <x:c r="J311" s="236"/>
      <x:c r="K311" s="236"/>
      <x:c r="L311" s="236"/>
      <x:c r="M311" s="236"/>
      <x:c r="N311" s="236"/>
      <x:c r="O311" s="236"/>
      <x:c r="P311" s="236"/>
      <x:c r="Q311" s="236"/>
      <x:c r="R311" s="236"/>
      <x:c r="S311" s="236"/>
      <x:c r="T311" s="236"/>
      <x:c r="U311" s="236"/>
      <x:c r="V311" s="236"/>
      <x:c r="W311" s="236"/>
      <x:c r="X311" s="236"/>
      <x:c r="Y311" s="236"/>
      <x:c r="Z311" s="236"/>
      <x:c r="AA311" s="236"/>
      <x:c r="AB311" s="236"/>
      <x:c r="AC311" s="236"/>
      <x:c r="AD311" s="236"/>
      <x:c r="AE311" s="236"/>
      <x:c r="AF311" s="236"/>
      <x:c r="AG311" s="236"/>
      <x:c r="AH311" s="236"/>
      <x:c r="AI311" s="236"/>
      <x:c r="AJ311" s="236"/>
      <x:c r="AK311" s="220"/>
      <x:c r="AL311" s="221"/>
      <x:c r="AM311" s="221"/>
      <x:c r="AN311" s="222"/>
      <x:c r="AO311" s="222"/>
      <x:c r="AP311" s="228"/>
      <x:c r="AQ311" s="228"/>
      <x:c r="AR311" s="228"/>
      <x:c r="AS311" s="228"/>
      <x:c r="AT311" s="230"/>
    </x:row>
    <x:row r="312" spans="1:47" ht="15" customHeight="1">
      <x:c r="A312" s="237"/>
      <x:c r="B312" s="216"/>
      <x:c r="C312" s="238"/>
      <x:c r="D312" s="239"/>
      <x:c r="E312" s="239"/>
      <x:c r="F312" s="236"/>
      <x:c r="G312" s="236"/>
      <x:c r="H312" s="236"/>
      <x:c r="I312" s="236"/>
      <x:c r="J312" s="236"/>
      <x:c r="K312" s="236"/>
      <x:c r="L312" s="236"/>
      <x:c r="M312" s="236"/>
      <x:c r="N312" s="236"/>
      <x:c r="O312" s="236"/>
      <x:c r="P312" s="236"/>
      <x:c r="Q312" s="236"/>
      <x:c r="R312" s="236"/>
      <x:c r="S312" s="236"/>
      <x:c r="T312" s="236"/>
      <x:c r="U312" s="236"/>
      <x:c r="V312" s="236"/>
      <x:c r="W312" s="236"/>
      <x:c r="X312" s="236"/>
      <x:c r="Y312" s="236"/>
      <x:c r="Z312" s="236"/>
      <x:c r="AA312" s="236"/>
      <x:c r="AB312" s="236"/>
      <x:c r="AC312" s="236"/>
      <x:c r="AD312" s="236"/>
      <x:c r="AE312" s="236"/>
      <x:c r="AF312" s="236"/>
      <x:c r="AG312" s="236"/>
      <x:c r="AH312" s="236"/>
      <x:c r="AI312" s="236"/>
      <x:c r="AJ312" s="236"/>
      <x:c r="AK312" s="220"/>
      <x:c r="AL312" s="221"/>
      <x:c r="AM312" s="221"/>
      <x:c r="AN312" s="222"/>
      <x:c r="AO312" s="222"/>
      <x:c r="AP312" s="228"/>
      <x:c r="AQ312" s="228"/>
      <x:c r="AR312" s="228"/>
      <x:c r="AS312" s="228"/>
      <x:c r="AT312" s="230"/>
    </x:row>
    <x:row r="313" spans="1:47" ht="15" customHeight="1">
      <x:c r="A313" s="237"/>
      <x:c r="B313" s="216"/>
      <x:c r="C313" s="238"/>
      <x:c r="D313" s="239"/>
      <x:c r="E313" s="239"/>
      <x:c r="F313" s="236"/>
      <x:c r="G313" s="236"/>
      <x:c r="H313" s="236"/>
      <x:c r="I313" s="236"/>
      <x:c r="J313" s="236"/>
      <x:c r="K313" s="236"/>
      <x:c r="L313" s="236"/>
      <x:c r="M313" s="236"/>
      <x:c r="N313" s="236"/>
      <x:c r="O313" s="236"/>
      <x:c r="P313" s="236"/>
      <x:c r="Q313" s="236"/>
      <x:c r="R313" s="236"/>
      <x:c r="S313" s="236"/>
      <x:c r="T313" s="236"/>
      <x:c r="U313" s="236"/>
      <x:c r="V313" s="236"/>
      <x:c r="W313" s="236"/>
      <x:c r="X313" s="236"/>
      <x:c r="Y313" s="236"/>
      <x:c r="Z313" s="236"/>
      <x:c r="AA313" s="236"/>
      <x:c r="AB313" s="236"/>
      <x:c r="AC313" s="236"/>
      <x:c r="AD313" s="236"/>
      <x:c r="AE313" s="236"/>
      <x:c r="AF313" s="236"/>
      <x:c r="AG313" s="236"/>
      <x:c r="AH313" s="236"/>
      <x:c r="AI313" s="236"/>
      <x:c r="AJ313" s="236"/>
      <x:c r="AK313" s="220"/>
      <x:c r="AL313" s="221"/>
      <x:c r="AM313" s="221"/>
      <x:c r="AN313" s="222"/>
      <x:c r="AO313" s="222"/>
      <x:c r="AP313" s="228"/>
      <x:c r="AQ313" s="228"/>
      <x:c r="AR313" s="228"/>
      <x:c r="AS313" s="228"/>
      <x:c r="AT313" s="230"/>
    </x:row>
    <x:row r="314" spans="1:47" ht="15" customHeight="1">
      <x:c r="A314" s="237"/>
      <x:c r="B314" s="216"/>
      <x:c r="C314" s="238"/>
      <x:c r="D314" s="239"/>
      <x:c r="E314" s="239"/>
      <x:c r="F314" s="236"/>
      <x:c r="G314" s="236"/>
      <x:c r="H314" s="236"/>
      <x:c r="I314" s="236"/>
      <x:c r="J314" s="236"/>
      <x:c r="K314" s="236"/>
      <x:c r="L314" s="236"/>
      <x:c r="M314" s="236"/>
      <x:c r="N314" s="236"/>
      <x:c r="O314" s="236"/>
      <x:c r="P314" s="236"/>
      <x:c r="Q314" s="236"/>
      <x:c r="R314" s="236"/>
      <x:c r="S314" s="236"/>
      <x:c r="T314" s="236"/>
      <x:c r="U314" s="236"/>
      <x:c r="V314" s="236"/>
      <x:c r="W314" s="236"/>
      <x:c r="X314" s="236"/>
      <x:c r="Y314" s="236"/>
      <x:c r="Z314" s="236"/>
      <x:c r="AA314" s="236"/>
      <x:c r="AB314" s="236"/>
      <x:c r="AC314" s="236"/>
      <x:c r="AD314" s="236"/>
      <x:c r="AE314" s="236"/>
      <x:c r="AF314" s="236"/>
      <x:c r="AG314" s="236"/>
      <x:c r="AH314" s="236"/>
      <x:c r="AI314" s="236"/>
      <x:c r="AJ314" s="236"/>
      <x:c r="AK314" s="220"/>
      <x:c r="AL314" s="221"/>
      <x:c r="AM314" s="221"/>
      <x:c r="AN314" s="222"/>
      <x:c r="AO314" s="222"/>
      <x:c r="AP314" s="228"/>
      <x:c r="AQ314" s="228"/>
      <x:c r="AR314" s="228"/>
      <x:c r="AS314" s="228"/>
      <x:c r="AT314" s="230"/>
    </x:row>
    <x:row r="315" spans="1:47" ht="15" customHeight="1">
      <x:c r="A315" s="237"/>
      <x:c r="B315" s="216"/>
      <x:c r="C315" s="238"/>
      <x:c r="D315" s="239"/>
      <x:c r="E315" s="239"/>
      <x:c r="F315" s="236"/>
      <x:c r="G315" s="236"/>
      <x:c r="H315" s="236"/>
      <x:c r="I315" s="236"/>
      <x:c r="J315" s="236"/>
      <x:c r="K315" s="236"/>
      <x:c r="L315" s="236"/>
      <x:c r="M315" s="236"/>
      <x:c r="N315" s="236"/>
      <x:c r="O315" s="236"/>
      <x:c r="P315" s="236"/>
      <x:c r="Q315" s="236"/>
      <x:c r="R315" s="236"/>
      <x:c r="S315" s="236"/>
      <x:c r="T315" s="236"/>
      <x:c r="U315" s="236"/>
      <x:c r="V315" s="236"/>
      <x:c r="W315" s="236"/>
      <x:c r="X315" s="236"/>
      <x:c r="Y315" s="236"/>
      <x:c r="Z315" s="236"/>
      <x:c r="AA315" s="236"/>
      <x:c r="AB315" s="236"/>
      <x:c r="AC315" s="236"/>
      <x:c r="AD315" s="236"/>
      <x:c r="AE315" s="236"/>
      <x:c r="AF315" s="236"/>
      <x:c r="AG315" s="236"/>
      <x:c r="AH315" s="236"/>
      <x:c r="AI315" s="236"/>
      <x:c r="AJ315" s="236"/>
      <x:c r="AK315" s="220"/>
      <x:c r="AL315" s="221"/>
      <x:c r="AM315" s="221"/>
      <x:c r="AN315" s="222"/>
      <x:c r="AO315" s="222"/>
      <x:c r="AP315" s="228"/>
      <x:c r="AQ315" s="228"/>
      <x:c r="AR315" s="228"/>
      <x:c r="AS315" s="228"/>
      <x:c r="AT315" s="230"/>
    </x:row>
    <x:row r="316" spans="1:47" ht="15" customHeight="1">
      <x:c r="A316" s="237"/>
      <x:c r="B316" s="216"/>
      <x:c r="C316" s="238"/>
      <x:c r="D316" s="239"/>
      <x:c r="E316" s="239"/>
      <x:c r="F316" s="236"/>
      <x:c r="G316" s="236"/>
      <x:c r="H316" s="236"/>
      <x:c r="I316" s="236"/>
      <x:c r="J316" s="236"/>
      <x:c r="K316" s="236"/>
      <x:c r="L316" s="236"/>
      <x:c r="M316" s="236"/>
      <x:c r="N316" s="236"/>
      <x:c r="O316" s="236"/>
      <x:c r="P316" s="236"/>
      <x:c r="Q316" s="236"/>
      <x:c r="R316" s="236"/>
      <x:c r="S316" s="236"/>
      <x:c r="T316" s="236"/>
      <x:c r="U316" s="236"/>
      <x:c r="V316" s="236"/>
      <x:c r="W316" s="236"/>
      <x:c r="X316" s="236"/>
      <x:c r="Y316" s="236"/>
      <x:c r="Z316" s="236"/>
      <x:c r="AA316" s="236"/>
      <x:c r="AB316" s="236"/>
      <x:c r="AC316" s="236"/>
      <x:c r="AD316" s="236"/>
      <x:c r="AE316" s="236"/>
      <x:c r="AF316" s="236"/>
      <x:c r="AG316" s="236"/>
      <x:c r="AH316" s="236"/>
      <x:c r="AI316" s="236"/>
      <x:c r="AJ316" s="236"/>
      <x:c r="AK316" s="220"/>
      <x:c r="AL316" s="221"/>
      <x:c r="AM316" s="221"/>
      <x:c r="AN316" s="222"/>
      <x:c r="AO316" s="222"/>
      <x:c r="AP316" s="228"/>
      <x:c r="AQ316" s="228"/>
      <x:c r="AR316" s="228"/>
      <x:c r="AS316" s="228"/>
      <x:c r="AT316" s="230"/>
    </x:row>
    <x:row r="317" spans="1:47" ht="15" customHeight="1">
      <x:c r="A317" s="237"/>
      <x:c r="B317" s="216"/>
      <x:c r="C317" s="238"/>
      <x:c r="D317" s="239"/>
      <x:c r="E317" s="239"/>
      <x:c r="F317" s="236"/>
      <x:c r="G317" s="236"/>
      <x:c r="H317" s="236"/>
      <x:c r="I317" s="236"/>
      <x:c r="J317" s="236"/>
      <x:c r="K317" s="236"/>
      <x:c r="L317" s="236"/>
      <x:c r="M317" s="236"/>
      <x:c r="N317" s="236"/>
      <x:c r="O317" s="236"/>
      <x:c r="P317" s="236"/>
      <x:c r="Q317" s="236"/>
      <x:c r="R317" s="236"/>
      <x:c r="S317" s="236"/>
      <x:c r="T317" s="236"/>
      <x:c r="U317" s="236"/>
      <x:c r="V317" s="236"/>
      <x:c r="W317" s="236"/>
      <x:c r="X317" s="236"/>
      <x:c r="Y317" s="236"/>
      <x:c r="Z317" s="236"/>
      <x:c r="AA317" s="236"/>
      <x:c r="AB317" s="236"/>
      <x:c r="AC317" s="236"/>
      <x:c r="AD317" s="236"/>
      <x:c r="AE317" s="236"/>
      <x:c r="AF317" s="236"/>
      <x:c r="AG317" s="236"/>
      <x:c r="AH317" s="236"/>
      <x:c r="AI317" s="236"/>
      <x:c r="AJ317" s="236"/>
      <x:c r="AK317" s="220"/>
      <x:c r="AL317" s="221"/>
      <x:c r="AM317" s="221"/>
      <x:c r="AN317" s="222"/>
      <x:c r="AO317" s="222"/>
      <x:c r="AP317" s="228"/>
      <x:c r="AQ317" s="228"/>
      <x:c r="AR317" s="228"/>
      <x:c r="AS317" s="228"/>
      <x:c r="AT317" s="230"/>
    </x:row>
    <x:row r="318" spans="1:47" ht="15" customHeight="1">
      <x:c r="A318" s="237"/>
      <x:c r="B318" s="216"/>
      <x:c r="C318" s="238"/>
      <x:c r="D318" s="239"/>
      <x:c r="E318" s="239"/>
      <x:c r="F318" s="236"/>
      <x:c r="G318" s="236"/>
      <x:c r="H318" s="236"/>
      <x:c r="I318" s="236"/>
      <x:c r="J318" s="236"/>
      <x:c r="K318" s="236"/>
      <x:c r="L318" s="236"/>
      <x:c r="M318" s="236"/>
      <x:c r="N318" s="236"/>
      <x:c r="O318" s="236"/>
      <x:c r="P318" s="236"/>
      <x:c r="Q318" s="236"/>
      <x:c r="R318" s="236"/>
      <x:c r="S318" s="236"/>
      <x:c r="T318" s="236"/>
      <x:c r="U318" s="236"/>
      <x:c r="V318" s="236"/>
      <x:c r="W318" s="236"/>
      <x:c r="X318" s="236"/>
      <x:c r="Y318" s="236"/>
      <x:c r="Z318" s="236"/>
      <x:c r="AA318" s="236"/>
      <x:c r="AB318" s="236"/>
      <x:c r="AC318" s="236"/>
      <x:c r="AD318" s="236"/>
      <x:c r="AE318" s="236"/>
      <x:c r="AF318" s="236"/>
      <x:c r="AG318" s="236"/>
      <x:c r="AH318" s="236"/>
      <x:c r="AI318" s="236"/>
      <x:c r="AJ318" s="236"/>
      <x:c r="AK318" s="220"/>
      <x:c r="AL318" s="221"/>
      <x:c r="AM318" s="221"/>
      <x:c r="AN318" s="222"/>
      <x:c r="AO318" s="222"/>
      <x:c r="AP318" s="228"/>
      <x:c r="AQ318" s="228"/>
      <x:c r="AR318" s="228"/>
      <x:c r="AS318" s="228"/>
      <x:c r="AT318" s="230"/>
    </x:row>
    <x:row r="319" spans="1:47" ht="15" customHeight="1">
      <x:c r="A319" s="237"/>
      <x:c r="B319" s="216"/>
      <x:c r="C319" s="238"/>
      <x:c r="D319" s="239"/>
      <x:c r="E319" s="239"/>
      <x:c r="F319" s="236"/>
      <x:c r="G319" s="236"/>
      <x:c r="H319" s="236"/>
      <x:c r="I319" s="236"/>
      <x:c r="J319" s="236"/>
      <x:c r="K319" s="236"/>
      <x:c r="L319" s="236"/>
      <x:c r="M319" s="236"/>
      <x:c r="N319" s="236"/>
      <x:c r="O319" s="236"/>
      <x:c r="P319" s="236"/>
      <x:c r="Q319" s="236"/>
      <x:c r="R319" s="236"/>
      <x:c r="S319" s="236"/>
      <x:c r="T319" s="236"/>
      <x:c r="U319" s="236"/>
      <x:c r="V319" s="236"/>
      <x:c r="W319" s="236"/>
      <x:c r="X319" s="236"/>
      <x:c r="Y319" s="236"/>
      <x:c r="Z319" s="236"/>
      <x:c r="AA319" s="236"/>
      <x:c r="AB319" s="236"/>
      <x:c r="AC319" s="236"/>
      <x:c r="AD319" s="236"/>
      <x:c r="AE319" s="236"/>
      <x:c r="AF319" s="236"/>
      <x:c r="AG319" s="236"/>
      <x:c r="AH319" s="236"/>
      <x:c r="AI319" s="236"/>
      <x:c r="AJ319" s="236"/>
      <x:c r="AK319" s="220"/>
      <x:c r="AL319" s="221"/>
      <x:c r="AM319" s="221"/>
      <x:c r="AN319" s="222"/>
      <x:c r="AO319" s="222"/>
      <x:c r="AP319" s="228"/>
      <x:c r="AQ319" s="228"/>
      <x:c r="AR319" s="228"/>
      <x:c r="AS319" s="228"/>
      <x:c r="AT319" s="230"/>
    </x:row>
    <x:row r="320" spans="1:47" ht="15" customHeight="1">
      <x:c r="A320" s="237"/>
      <x:c r="B320" s="216"/>
      <x:c r="C320" s="238"/>
      <x:c r="D320" s="239"/>
      <x:c r="E320" s="239"/>
      <x:c r="F320" s="236"/>
      <x:c r="G320" s="236"/>
      <x:c r="H320" s="236"/>
      <x:c r="I320" s="236"/>
      <x:c r="J320" s="236"/>
      <x:c r="K320" s="236"/>
      <x:c r="L320" s="236"/>
      <x:c r="M320" s="236"/>
      <x:c r="N320" s="236"/>
      <x:c r="O320" s="236"/>
      <x:c r="P320" s="236"/>
      <x:c r="Q320" s="236"/>
      <x:c r="R320" s="236"/>
      <x:c r="S320" s="236"/>
      <x:c r="T320" s="236"/>
      <x:c r="U320" s="236"/>
      <x:c r="V320" s="236"/>
      <x:c r="W320" s="236"/>
      <x:c r="X320" s="236"/>
      <x:c r="Y320" s="236"/>
      <x:c r="Z320" s="236"/>
      <x:c r="AA320" s="236"/>
      <x:c r="AB320" s="236"/>
      <x:c r="AC320" s="236"/>
      <x:c r="AD320" s="236"/>
      <x:c r="AE320" s="236"/>
      <x:c r="AF320" s="236"/>
      <x:c r="AG320" s="236"/>
      <x:c r="AH320" s="236"/>
      <x:c r="AI320" s="236"/>
      <x:c r="AJ320" s="236"/>
      <x:c r="AK320" s="220"/>
      <x:c r="AL320" s="221"/>
      <x:c r="AM320" s="221"/>
      <x:c r="AN320" s="222"/>
      <x:c r="AO320" s="222"/>
      <x:c r="AP320" s="228"/>
      <x:c r="AQ320" s="228"/>
      <x:c r="AR320" s="228"/>
      <x:c r="AS320" s="228"/>
      <x:c r="AT320" s="230"/>
    </x:row>
    <x:row r="321" spans="1:47" ht="15" customHeight="1">
      <x:c r="A321" s="237"/>
      <x:c r="B321" s="216"/>
      <x:c r="C321" s="238"/>
      <x:c r="D321" s="239"/>
      <x:c r="E321" s="239"/>
      <x:c r="F321" s="236"/>
      <x:c r="G321" s="236"/>
      <x:c r="H321" s="236"/>
      <x:c r="I321" s="236"/>
      <x:c r="J321" s="236"/>
      <x:c r="K321" s="236"/>
      <x:c r="L321" s="236"/>
      <x:c r="M321" s="236"/>
      <x:c r="N321" s="236"/>
      <x:c r="O321" s="236"/>
      <x:c r="P321" s="236"/>
      <x:c r="Q321" s="236"/>
      <x:c r="R321" s="236"/>
      <x:c r="S321" s="236"/>
      <x:c r="T321" s="236"/>
      <x:c r="U321" s="236"/>
      <x:c r="V321" s="236"/>
      <x:c r="W321" s="236"/>
      <x:c r="X321" s="236"/>
      <x:c r="Y321" s="236"/>
      <x:c r="Z321" s="236"/>
      <x:c r="AA321" s="236"/>
      <x:c r="AB321" s="236"/>
      <x:c r="AC321" s="236"/>
      <x:c r="AD321" s="236"/>
      <x:c r="AE321" s="236"/>
      <x:c r="AF321" s="236"/>
      <x:c r="AG321" s="236"/>
      <x:c r="AH321" s="236"/>
      <x:c r="AI321" s="236"/>
      <x:c r="AJ321" s="236"/>
      <x:c r="AK321" s="220"/>
      <x:c r="AL321" s="221"/>
      <x:c r="AM321" s="221"/>
      <x:c r="AN321" s="222"/>
      <x:c r="AO321" s="222"/>
      <x:c r="AP321" s="228"/>
      <x:c r="AQ321" s="228"/>
      <x:c r="AR321" s="228"/>
      <x:c r="AS321" s="228"/>
      <x:c r="AT321" s="230"/>
    </x:row>
    <x:row r="322" spans="1:47" ht="15" customHeight="1">
      <x:c r="A322" s="237"/>
      <x:c r="B322" s="216"/>
      <x:c r="C322" s="238"/>
      <x:c r="D322" s="239"/>
      <x:c r="E322" s="239"/>
      <x:c r="F322" s="236"/>
      <x:c r="G322" s="236"/>
      <x:c r="H322" s="236"/>
      <x:c r="I322" s="236"/>
      <x:c r="J322" s="236"/>
      <x:c r="K322" s="236"/>
      <x:c r="L322" s="236"/>
      <x:c r="M322" s="236"/>
      <x:c r="N322" s="236"/>
      <x:c r="O322" s="236"/>
      <x:c r="P322" s="236"/>
      <x:c r="Q322" s="236"/>
      <x:c r="R322" s="236"/>
      <x:c r="S322" s="236"/>
      <x:c r="T322" s="236"/>
      <x:c r="U322" s="236"/>
      <x:c r="V322" s="236"/>
      <x:c r="W322" s="236"/>
      <x:c r="X322" s="236"/>
      <x:c r="Y322" s="236"/>
      <x:c r="Z322" s="236"/>
      <x:c r="AA322" s="236"/>
      <x:c r="AB322" s="236"/>
      <x:c r="AC322" s="236"/>
      <x:c r="AD322" s="236"/>
      <x:c r="AE322" s="236"/>
      <x:c r="AF322" s="236"/>
      <x:c r="AG322" s="236"/>
      <x:c r="AH322" s="236"/>
      <x:c r="AI322" s="236"/>
      <x:c r="AJ322" s="236"/>
      <x:c r="AK322" s="220"/>
      <x:c r="AL322" s="221"/>
      <x:c r="AM322" s="221"/>
      <x:c r="AN322" s="222"/>
      <x:c r="AO322" s="222"/>
      <x:c r="AP322" s="228"/>
      <x:c r="AQ322" s="228"/>
      <x:c r="AR322" s="228"/>
      <x:c r="AS322" s="228"/>
      <x:c r="AT322" s="230"/>
    </x:row>
    <x:row r="323" spans="1:47" ht="15" customHeight="1">
      <x:c r="A323" s="237"/>
      <x:c r="B323" s="216"/>
      <x:c r="C323" s="238"/>
      <x:c r="D323" s="239"/>
      <x:c r="E323" s="239"/>
      <x:c r="F323" s="236"/>
      <x:c r="G323" s="236"/>
      <x:c r="H323" s="236"/>
      <x:c r="I323" s="236"/>
      <x:c r="J323" s="236"/>
      <x:c r="K323" s="236"/>
      <x:c r="L323" s="236"/>
      <x:c r="M323" s="236"/>
      <x:c r="N323" s="236"/>
      <x:c r="O323" s="236"/>
      <x:c r="P323" s="236"/>
      <x:c r="Q323" s="236"/>
      <x:c r="R323" s="236"/>
      <x:c r="S323" s="236"/>
      <x:c r="T323" s="236"/>
      <x:c r="U323" s="236"/>
      <x:c r="V323" s="236"/>
      <x:c r="W323" s="236"/>
      <x:c r="X323" s="236"/>
      <x:c r="Y323" s="236"/>
      <x:c r="Z323" s="236"/>
      <x:c r="AA323" s="236"/>
      <x:c r="AB323" s="236"/>
      <x:c r="AC323" s="236"/>
      <x:c r="AD323" s="236"/>
      <x:c r="AE323" s="236"/>
      <x:c r="AF323" s="236"/>
      <x:c r="AG323" s="236"/>
      <x:c r="AH323" s="236"/>
      <x:c r="AI323" s="236"/>
      <x:c r="AJ323" s="236"/>
      <x:c r="AK323" s="220"/>
      <x:c r="AL323" s="221"/>
      <x:c r="AM323" s="221"/>
      <x:c r="AN323" s="222"/>
      <x:c r="AO323" s="222"/>
      <x:c r="AP323" s="228"/>
      <x:c r="AQ323" s="228"/>
      <x:c r="AR323" s="228"/>
      <x:c r="AS323" s="228"/>
      <x:c r="AT323" s="230"/>
    </x:row>
    <x:row r="324" spans="1:47" ht="15" customHeight="1">
      <x:c r="A324" s="237"/>
      <x:c r="B324" s="216"/>
      <x:c r="C324" s="238"/>
      <x:c r="D324" s="239"/>
      <x:c r="E324" s="239"/>
      <x:c r="F324" s="236"/>
      <x:c r="G324" s="236"/>
      <x:c r="H324" s="236"/>
      <x:c r="I324" s="236"/>
      <x:c r="J324" s="236"/>
      <x:c r="K324" s="236"/>
      <x:c r="L324" s="236"/>
      <x:c r="M324" s="236"/>
      <x:c r="N324" s="236"/>
      <x:c r="O324" s="236"/>
      <x:c r="P324" s="236"/>
      <x:c r="Q324" s="236"/>
      <x:c r="R324" s="236"/>
      <x:c r="S324" s="236"/>
      <x:c r="T324" s="236"/>
      <x:c r="U324" s="236"/>
      <x:c r="V324" s="236"/>
      <x:c r="W324" s="236"/>
      <x:c r="X324" s="236"/>
      <x:c r="Y324" s="236"/>
      <x:c r="Z324" s="236"/>
      <x:c r="AA324" s="236"/>
      <x:c r="AB324" s="236"/>
      <x:c r="AC324" s="236"/>
      <x:c r="AD324" s="236"/>
      <x:c r="AE324" s="236"/>
      <x:c r="AF324" s="236"/>
      <x:c r="AG324" s="236"/>
      <x:c r="AH324" s="236"/>
      <x:c r="AI324" s="236"/>
      <x:c r="AJ324" s="236"/>
      <x:c r="AK324" s="220"/>
      <x:c r="AL324" s="221"/>
      <x:c r="AM324" s="221"/>
      <x:c r="AN324" s="222"/>
      <x:c r="AO324" s="222"/>
      <x:c r="AP324" s="228"/>
      <x:c r="AQ324" s="228"/>
      <x:c r="AR324" s="228"/>
      <x:c r="AS324" s="228"/>
      <x:c r="AT324" s="230"/>
    </x:row>
    <x:row r="325" spans="1:47" ht="15" customHeight="1">
      <x:c r="A325" s="237"/>
      <x:c r="B325" s="216"/>
      <x:c r="C325" s="238"/>
      <x:c r="D325" s="239"/>
      <x:c r="E325" s="239"/>
      <x:c r="F325" s="236"/>
      <x:c r="G325" s="236"/>
      <x:c r="H325" s="236"/>
      <x:c r="I325" s="236"/>
      <x:c r="J325" s="236"/>
      <x:c r="K325" s="236"/>
      <x:c r="L325" s="236"/>
      <x:c r="M325" s="236"/>
      <x:c r="N325" s="236"/>
      <x:c r="O325" s="236"/>
      <x:c r="P325" s="236"/>
      <x:c r="Q325" s="236"/>
      <x:c r="R325" s="236"/>
      <x:c r="S325" s="236"/>
      <x:c r="T325" s="236"/>
      <x:c r="U325" s="236"/>
      <x:c r="V325" s="236"/>
      <x:c r="W325" s="236"/>
      <x:c r="X325" s="236"/>
      <x:c r="Y325" s="236"/>
      <x:c r="Z325" s="236"/>
      <x:c r="AA325" s="236"/>
      <x:c r="AB325" s="236"/>
      <x:c r="AC325" s="236"/>
      <x:c r="AD325" s="236"/>
      <x:c r="AE325" s="236"/>
      <x:c r="AF325" s="236"/>
      <x:c r="AG325" s="236"/>
      <x:c r="AH325" s="236"/>
      <x:c r="AI325" s="236"/>
      <x:c r="AJ325" s="236"/>
      <x:c r="AK325" s="220"/>
      <x:c r="AL325" s="221"/>
      <x:c r="AM325" s="221"/>
      <x:c r="AN325" s="222"/>
      <x:c r="AO325" s="222"/>
      <x:c r="AP325" s="228"/>
      <x:c r="AQ325" s="228"/>
      <x:c r="AR325" s="228"/>
      <x:c r="AS325" s="228"/>
      <x:c r="AT325" s="230"/>
    </x:row>
    <x:row r="326" spans="1:47" ht="15" customHeight="1">
      <x:c r="A326" s="237"/>
      <x:c r="B326" s="216"/>
      <x:c r="C326" s="238"/>
      <x:c r="D326" s="239"/>
      <x:c r="E326" s="239"/>
      <x:c r="F326" s="236"/>
      <x:c r="G326" s="236"/>
      <x:c r="H326" s="236"/>
      <x:c r="I326" s="236"/>
      <x:c r="J326" s="236"/>
      <x:c r="K326" s="236"/>
      <x:c r="L326" s="236"/>
      <x:c r="M326" s="236"/>
      <x:c r="N326" s="236"/>
      <x:c r="O326" s="236"/>
      <x:c r="P326" s="236"/>
      <x:c r="Q326" s="236"/>
      <x:c r="R326" s="236"/>
      <x:c r="S326" s="236"/>
      <x:c r="T326" s="236"/>
      <x:c r="U326" s="236"/>
      <x:c r="V326" s="236"/>
      <x:c r="W326" s="236"/>
      <x:c r="X326" s="236"/>
      <x:c r="Y326" s="236"/>
      <x:c r="Z326" s="236"/>
      <x:c r="AA326" s="236"/>
      <x:c r="AB326" s="236"/>
      <x:c r="AC326" s="236"/>
      <x:c r="AD326" s="236"/>
      <x:c r="AE326" s="236"/>
      <x:c r="AF326" s="236"/>
      <x:c r="AG326" s="236"/>
      <x:c r="AH326" s="236"/>
      <x:c r="AI326" s="236"/>
      <x:c r="AJ326" s="236"/>
      <x:c r="AK326" s="220"/>
      <x:c r="AL326" s="221"/>
      <x:c r="AM326" s="221"/>
      <x:c r="AN326" s="222"/>
      <x:c r="AO326" s="222"/>
      <x:c r="AP326" s="228"/>
      <x:c r="AQ326" s="228"/>
      <x:c r="AR326" s="228"/>
      <x:c r="AS326" s="228"/>
      <x:c r="AT326" s="230"/>
    </x:row>
    <x:row r="327" spans="1:47" ht="15" customHeight="1">
      <x:c r="A327" s="237"/>
      <x:c r="B327" s="216"/>
      <x:c r="C327" s="238"/>
      <x:c r="D327" s="239"/>
      <x:c r="E327" s="239"/>
      <x:c r="F327" s="236"/>
      <x:c r="G327" s="236"/>
      <x:c r="H327" s="236"/>
      <x:c r="I327" s="236"/>
      <x:c r="J327" s="236"/>
      <x:c r="K327" s="236"/>
      <x:c r="L327" s="236"/>
      <x:c r="M327" s="236"/>
      <x:c r="N327" s="236"/>
      <x:c r="O327" s="236"/>
      <x:c r="P327" s="236"/>
      <x:c r="Q327" s="236"/>
      <x:c r="R327" s="236"/>
      <x:c r="S327" s="236"/>
      <x:c r="T327" s="236"/>
      <x:c r="U327" s="236"/>
      <x:c r="V327" s="236"/>
      <x:c r="W327" s="236"/>
      <x:c r="X327" s="236"/>
      <x:c r="Y327" s="236"/>
      <x:c r="Z327" s="236"/>
      <x:c r="AA327" s="236"/>
      <x:c r="AB327" s="236"/>
      <x:c r="AC327" s="236"/>
      <x:c r="AD327" s="236"/>
      <x:c r="AE327" s="236"/>
      <x:c r="AF327" s="236"/>
      <x:c r="AG327" s="236"/>
      <x:c r="AH327" s="236"/>
      <x:c r="AI327" s="236"/>
      <x:c r="AJ327" s="236"/>
      <x:c r="AK327" s="220"/>
      <x:c r="AL327" s="221"/>
      <x:c r="AM327" s="221"/>
      <x:c r="AN327" s="222"/>
      <x:c r="AO327" s="222"/>
      <x:c r="AP327" s="228"/>
      <x:c r="AQ327" s="228"/>
      <x:c r="AR327" s="228"/>
      <x:c r="AS327" s="228"/>
      <x:c r="AT327" s="230"/>
    </x:row>
    <x:row r="328" spans="1:47" ht="15" customHeight="1">
      <x:c r="A328" s="237"/>
      <x:c r="B328" s="216"/>
      <x:c r="C328" s="238"/>
      <x:c r="D328" s="239"/>
      <x:c r="E328" s="239"/>
      <x:c r="F328" s="236"/>
      <x:c r="G328" s="236"/>
      <x:c r="H328" s="236"/>
      <x:c r="I328" s="236"/>
      <x:c r="J328" s="236"/>
      <x:c r="K328" s="236"/>
      <x:c r="L328" s="236"/>
      <x:c r="M328" s="236"/>
      <x:c r="N328" s="236"/>
      <x:c r="O328" s="236"/>
      <x:c r="P328" s="236"/>
      <x:c r="Q328" s="236"/>
      <x:c r="R328" s="236"/>
      <x:c r="S328" s="236"/>
      <x:c r="T328" s="236"/>
      <x:c r="U328" s="236"/>
      <x:c r="V328" s="236"/>
      <x:c r="W328" s="236"/>
      <x:c r="X328" s="236"/>
      <x:c r="Y328" s="236"/>
      <x:c r="Z328" s="236"/>
      <x:c r="AA328" s="236"/>
      <x:c r="AB328" s="236"/>
      <x:c r="AC328" s="236"/>
      <x:c r="AD328" s="236"/>
      <x:c r="AE328" s="236"/>
      <x:c r="AF328" s="236"/>
      <x:c r="AG328" s="236"/>
      <x:c r="AH328" s="236"/>
      <x:c r="AI328" s="236"/>
      <x:c r="AJ328" s="236"/>
      <x:c r="AK328" s="220"/>
      <x:c r="AL328" s="221"/>
      <x:c r="AM328" s="221"/>
      <x:c r="AN328" s="222"/>
      <x:c r="AO328" s="222"/>
      <x:c r="AP328" s="228"/>
      <x:c r="AQ328" s="228"/>
      <x:c r="AR328" s="228"/>
      <x:c r="AS328" s="228"/>
      <x:c r="AT328" s="230"/>
    </x:row>
    <x:row r="329" spans="1:47" ht="15" customHeight="1">
      <x:c r="A329" s="237"/>
      <x:c r="B329" s="216"/>
      <x:c r="C329" s="238"/>
      <x:c r="D329" s="239"/>
      <x:c r="E329" s="239"/>
      <x:c r="F329" s="236"/>
      <x:c r="G329" s="236"/>
      <x:c r="H329" s="236"/>
      <x:c r="I329" s="236"/>
      <x:c r="J329" s="236"/>
      <x:c r="K329" s="236"/>
      <x:c r="L329" s="236"/>
      <x:c r="M329" s="236"/>
      <x:c r="N329" s="236"/>
      <x:c r="O329" s="236"/>
      <x:c r="P329" s="236"/>
      <x:c r="Q329" s="236"/>
      <x:c r="R329" s="236"/>
      <x:c r="S329" s="236"/>
      <x:c r="T329" s="236"/>
      <x:c r="U329" s="236"/>
      <x:c r="V329" s="236"/>
      <x:c r="W329" s="236"/>
      <x:c r="X329" s="236"/>
      <x:c r="Y329" s="236"/>
      <x:c r="Z329" s="236"/>
      <x:c r="AA329" s="236"/>
      <x:c r="AB329" s="236"/>
      <x:c r="AC329" s="236"/>
      <x:c r="AD329" s="236"/>
      <x:c r="AE329" s="236"/>
      <x:c r="AF329" s="236"/>
      <x:c r="AG329" s="236"/>
      <x:c r="AH329" s="236"/>
      <x:c r="AI329" s="236"/>
      <x:c r="AJ329" s="236"/>
      <x:c r="AK329" s="220"/>
      <x:c r="AL329" s="221"/>
      <x:c r="AM329" s="221"/>
      <x:c r="AN329" s="222"/>
      <x:c r="AO329" s="222"/>
      <x:c r="AP329" s="228"/>
      <x:c r="AQ329" s="228"/>
      <x:c r="AR329" s="228"/>
      <x:c r="AS329" s="228"/>
      <x:c r="AT329" s="230"/>
    </x:row>
    <x:row r="330" spans="1:47" ht="15" customHeight="1">
      <x:c r="A330" s="237"/>
      <x:c r="B330" s="216"/>
      <x:c r="C330" s="238"/>
      <x:c r="D330" s="239"/>
      <x:c r="E330" s="239"/>
      <x:c r="F330" s="236"/>
      <x:c r="G330" s="236"/>
      <x:c r="H330" s="236"/>
      <x:c r="I330" s="236"/>
      <x:c r="J330" s="236"/>
      <x:c r="K330" s="236"/>
      <x:c r="L330" s="236"/>
      <x:c r="M330" s="236"/>
      <x:c r="N330" s="236"/>
      <x:c r="O330" s="236"/>
      <x:c r="P330" s="236"/>
      <x:c r="Q330" s="236"/>
      <x:c r="R330" s="236"/>
      <x:c r="S330" s="236"/>
      <x:c r="T330" s="236"/>
      <x:c r="U330" s="236"/>
      <x:c r="V330" s="236"/>
      <x:c r="W330" s="236"/>
      <x:c r="X330" s="236"/>
      <x:c r="Y330" s="236"/>
      <x:c r="Z330" s="236"/>
      <x:c r="AA330" s="236"/>
      <x:c r="AB330" s="236"/>
      <x:c r="AC330" s="236"/>
      <x:c r="AD330" s="236"/>
      <x:c r="AE330" s="236"/>
      <x:c r="AF330" s="236"/>
      <x:c r="AG330" s="236"/>
      <x:c r="AH330" s="236"/>
      <x:c r="AI330" s="236"/>
      <x:c r="AJ330" s="236"/>
      <x:c r="AK330" s="220"/>
      <x:c r="AL330" s="221"/>
      <x:c r="AM330" s="221"/>
      <x:c r="AN330" s="222"/>
      <x:c r="AO330" s="222"/>
      <x:c r="AP330" s="228"/>
      <x:c r="AQ330" s="228"/>
      <x:c r="AR330" s="228"/>
      <x:c r="AS330" s="228"/>
      <x:c r="AT330" s="230"/>
    </x:row>
    <x:row r="331" spans="1:47" ht="15" customHeight="1">
      <x:c r="A331" s="237"/>
      <x:c r="B331" s="216"/>
      <x:c r="C331" s="238"/>
      <x:c r="D331" s="239"/>
      <x:c r="E331" s="239"/>
      <x:c r="F331" s="236"/>
      <x:c r="G331" s="236"/>
      <x:c r="H331" s="236"/>
      <x:c r="I331" s="236"/>
      <x:c r="J331" s="236"/>
      <x:c r="K331" s="236"/>
      <x:c r="L331" s="236"/>
      <x:c r="M331" s="236"/>
      <x:c r="N331" s="236"/>
      <x:c r="O331" s="236"/>
      <x:c r="P331" s="236"/>
      <x:c r="Q331" s="236"/>
      <x:c r="R331" s="236"/>
      <x:c r="S331" s="236"/>
      <x:c r="T331" s="236"/>
      <x:c r="U331" s="236"/>
      <x:c r="V331" s="236"/>
      <x:c r="W331" s="236"/>
      <x:c r="X331" s="236"/>
      <x:c r="Y331" s="236"/>
      <x:c r="Z331" s="236"/>
      <x:c r="AA331" s="236"/>
      <x:c r="AB331" s="236"/>
      <x:c r="AC331" s="236"/>
      <x:c r="AD331" s="236"/>
      <x:c r="AE331" s="236"/>
      <x:c r="AF331" s="236"/>
      <x:c r="AG331" s="236"/>
      <x:c r="AH331" s="236"/>
      <x:c r="AI331" s="236"/>
      <x:c r="AJ331" s="236"/>
      <x:c r="AK331" s="220"/>
      <x:c r="AL331" s="221"/>
      <x:c r="AM331" s="221"/>
      <x:c r="AN331" s="222"/>
      <x:c r="AO331" s="222"/>
      <x:c r="AP331" s="228"/>
      <x:c r="AQ331" s="228"/>
      <x:c r="AR331" s="228"/>
      <x:c r="AS331" s="228"/>
      <x:c r="AT331" s="230"/>
    </x:row>
    <x:row r="332" spans="1:47" ht="15" customHeight="1">
      <x:c r="A332" s="237"/>
      <x:c r="B332" s="216"/>
      <x:c r="C332" s="238"/>
      <x:c r="D332" s="239"/>
      <x:c r="E332" s="239"/>
      <x:c r="F332" s="236"/>
      <x:c r="G332" s="236"/>
      <x:c r="H332" s="236"/>
      <x:c r="I332" s="236"/>
      <x:c r="J332" s="236"/>
      <x:c r="K332" s="236"/>
      <x:c r="L332" s="236"/>
      <x:c r="M332" s="236"/>
      <x:c r="N332" s="236"/>
      <x:c r="O332" s="236"/>
      <x:c r="P332" s="236"/>
      <x:c r="Q332" s="236"/>
      <x:c r="R332" s="236"/>
      <x:c r="S332" s="236"/>
      <x:c r="T332" s="236"/>
      <x:c r="U332" s="236"/>
      <x:c r="V332" s="236"/>
      <x:c r="W332" s="236"/>
      <x:c r="X332" s="236"/>
      <x:c r="Y332" s="236"/>
      <x:c r="Z332" s="236"/>
      <x:c r="AA332" s="236"/>
      <x:c r="AB332" s="236"/>
      <x:c r="AC332" s="236"/>
      <x:c r="AD332" s="236"/>
      <x:c r="AE332" s="236"/>
      <x:c r="AF332" s="236"/>
      <x:c r="AG332" s="236"/>
      <x:c r="AH332" s="236"/>
      <x:c r="AI332" s="236"/>
      <x:c r="AJ332" s="236"/>
      <x:c r="AK332" s="220"/>
      <x:c r="AL332" s="221"/>
      <x:c r="AM332" s="221"/>
      <x:c r="AN332" s="222"/>
      <x:c r="AO332" s="222"/>
      <x:c r="AP332" s="228"/>
      <x:c r="AQ332" s="228"/>
      <x:c r="AR332" s="228"/>
      <x:c r="AS332" s="228"/>
      <x:c r="AT332" s="230"/>
    </x:row>
    <x:row r="333" spans="1:47" ht="15" customHeight="1">
      <x:c r="A333" s="237"/>
      <x:c r="B333" s="216"/>
      <x:c r="C333" s="238"/>
      <x:c r="D333" s="239"/>
      <x:c r="E333" s="239"/>
      <x:c r="F333" s="236"/>
      <x:c r="G333" s="236"/>
      <x:c r="H333" s="236"/>
      <x:c r="I333" s="236"/>
      <x:c r="J333" s="236"/>
      <x:c r="K333" s="236"/>
      <x:c r="L333" s="236"/>
      <x:c r="M333" s="236"/>
      <x:c r="N333" s="236"/>
      <x:c r="O333" s="236"/>
      <x:c r="P333" s="236"/>
      <x:c r="Q333" s="236"/>
      <x:c r="R333" s="236"/>
      <x:c r="S333" s="236"/>
      <x:c r="T333" s="236"/>
      <x:c r="U333" s="236"/>
      <x:c r="V333" s="236"/>
      <x:c r="W333" s="236"/>
      <x:c r="X333" s="236"/>
      <x:c r="Y333" s="236"/>
      <x:c r="Z333" s="236"/>
      <x:c r="AA333" s="236"/>
      <x:c r="AB333" s="236"/>
      <x:c r="AC333" s="236"/>
      <x:c r="AD333" s="236"/>
      <x:c r="AE333" s="236"/>
      <x:c r="AF333" s="236"/>
      <x:c r="AG333" s="236"/>
      <x:c r="AH333" s="236"/>
      <x:c r="AI333" s="236"/>
      <x:c r="AJ333" s="236"/>
      <x:c r="AK333" s="220"/>
      <x:c r="AL333" s="221"/>
      <x:c r="AM333" s="221"/>
      <x:c r="AN333" s="222"/>
      <x:c r="AO333" s="222"/>
      <x:c r="AP333" s="228"/>
      <x:c r="AQ333" s="228"/>
      <x:c r="AR333" s="228"/>
      <x:c r="AS333" s="228"/>
      <x:c r="AT333" s="230"/>
    </x:row>
    <x:row r="334" spans="1:47" ht="15" customHeight="1">
      <x:c r="A334" s="237"/>
      <x:c r="B334" s="216"/>
      <x:c r="C334" s="238"/>
      <x:c r="D334" s="239"/>
      <x:c r="E334" s="239"/>
      <x:c r="F334" s="236"/>
      <x:c r="G334" s="236"/>
      <x:c r="H334" s="236"/>
      <x:c r="I334" s="236"/>
      <x:c r="J334" s="236"/>
      <x:c r="K334" s="236"/>
      <x:c r="L334" s="236"/>
      <x:c r="M334" s="236"/>
      <x:c r="N334" s="236"/>
      <x:c r="O334" s="236"/>
      <x:c r="P334" s="236"/>
      <x:c r="Q334" s="236"/>
      <x:c r="R334" s="236"/>
      <x:c r="S334" s="236"/>
      <x:c r="T334" s="236"/>
      <x:c r="U334" s="236"/>
      <x:c r="V334" s="236"/>
      <x:c r="W334" s="236"/>
      <x:c r="X334" s="236"/>
      <x:c r="Y334" s="236"/>
      <x:c r="Z334" s="236"/>
      <x:c r="AA334" s="236"/>
      <x:c r="AB334" s="236"/>
      <x:c r="AC334" s="236"/>
      <x:c r="AD334" s="236"/>
      <x:c r="AE334" s="236"/>
      <x:c r="AF334" s="236"/>
      <x:c r="AG334" s="236"/>
      <x:c r="AH334" s="236"/>
      <x:c r="AI334" s="236"/>
      <x:c r="AJ334" s="236"/>
      <x:c r="AK334" s="220"/>
      <x:c r="AL334" s="221"/>
      <x:c r="AM334" s="221"/>
      <x:c r="AN334" s="222"/>
      <x:c r="AO334" s="222"/>
      <x:c r="AP334" s="228"/>
      <x:c r="AQ334" s="228"/>
      <x:c r="AR334" s="228"/>
      <x:c r="AS334" s="228"/>
      <x:c r="AT334" s="230"/>
    </x:row>
    <x:row r="335" spans="1:47" ht="15" customHeight="1">
      <x:c r="A335" s="237"/>
      <x:c r="B335" s="216"/>
      <x:c r="C335" s="238"/>
      <x:c r="D335" s="239"/>
      <x:c r="E335" s="239"/>
      <x:c r="F335" s="236"/>
      <x:c r="G335" s="236"/>
      <x:c r="H335" s="236"/>
      <x:c r="I335" s="236"/>
      <x:c r="J335" s="236"/>
      <x:c r="K335" s="236"/>
      <x:c r="L335" s="236"/>
      <x:c r="M335" s="236"/>
      <x:c r="N335" s="236"/>
      <x:c r="O335" s="236"/>
      <x:c r="P335" s="236"/>
      <x:c r="Q335" s="236"/>
      <x:c r="R335" s="236"/>
      <x:c r="S335" s="236"/>
      <x:c r="T335" s="236"/>
      <x:c r="U335" s="236"/>
      <x:c r="V335" s="236"/>
      <x:c r="W335" s="236"/>
      <x:c r="X335" s="236"/>
      <x:c r="Y335" s="236"/>
      <x:c r="Z335" s="236"/>
      <x:c r="AA335" s="236"/>
      <x:c r="AB335" s="236"/>
      <x:c r="AC335" s="236"/>
      <x:c r="AD335" s="236"/>
      <x:c r="AE335" s="236"/>
      <x:c r="AF335" s="236"/>
      <x:c r="AG335" s="236"/>
      <x:c r="AH335" s="236"/>
      <x:c r="AI335" s="236"/>
      <x:c r="AJ335" s="236"/>
      <x:c r="AK335" s="220"/>
      <x:c r="AL335" s="221"/>
      <x:c r="AM335" s="221"/>
      <x:c r="AN335" s="222"/>
      <x:c r="AO335" s="222"/>
      <x:c r="AP335" s="228"/>
      <x:c r="AQ335" s="228"/>
      <x:c r="AR335" s="228"/>
      <x:c r="AS335" s="228"/>
      <x:c r="AT335" s="230"/>
    </x:row>
    <x:row r="336" spans="1:47" ht="15" customHeight="1">
      <x:c r="A336" s="237"/>
      <x:c r="B336" s="216"/>
      <x:c r="C336" s="238"/>
      <x:c r="D336" s="239"/>
      <x:c r="E336" s="239"/>
      <x:c r="F336" s="236"/>
      <x:c r="G336" s="236"/>
      <x:c r="H336" s="236"/>
      <x:c r="I336" s="236"/>
      <x:c r="J336" s="236"/>
      <x:c r="K336" s="236"/>
      <x:c r="L336" s="236"/>
      <x:c r="M336" s="236"/>
      <x:c r="N336" s="236"/>
      <x:c r="O336" s="236"/>
      <x:c r="P336" s="236"/>
      <x:c r="Q336" s="236"/>
      <x:c r="R336" s="236"/>
      <x:c r="S336" s="236"/>
      <x:c r="T336" s="236"/>
      <x:c r="U336" s="236"/>
      <x:c r="V336" s="236"/>
      <x:c r="W336" s="236"/>
      <x:c r="X336" s="236"/>
      <x:c r="Y336" s="236"/>
      <x:c r="Z336" s="236"/>
      <x:c r="AA336" s="236"/>
      <x:c r="AB336" s="236"/>
      <x:c r="AC336" s="236"/>
      <x:c r="AD336" s="236"/>
      <x:c r="AE336" s="236"/>
      <x:c r="AF336" s="236"/>
      <x:c r="AG336" s="236"/>
      <x:c r="AH336" s="236"/>
      <x:c r="AI336" s="236"/>
      <x:c r="AJ336" s="236"/>
      <x:c r="AK336" s="220"/>
      <x:c r="AL336" s="221"/>
      <x:c r="AM336" s="221"/>
      <x:c r="AN336" s="222"/>
      <x:c r="AO336" s="222"/>
      <x:c r="AP336" s="228"/>
      <x:c r="AQ336" s="228"/>
      <x:c r="AR336" s="228"/>
      <x:c r="AS336" s="228"/>
      <x:c r="AT336" s="230"/>
    </x:row>
    <x:row r="337" spans="1:47" ht="15" customHeight="1">
      <x:c r="A337" s="237"/>
      <x:c r="B337" s="216"/>
      <x:c r="C337" s="238"/>
      <x:c r="D337" s="239"/>
      <x:c r="E337" s="239"/>
      <x:c r="F337" s="236"/>
      <x:c r="G337" s="236"/>
      <x:c r="H337" s="236"/>
      <x:c r="I337" s="236"/>
      <x:c r="J337" s="236"/>
      <x:c r="K337" s="236"/>
      <x:c r="L337" s="236"/>
      <x:c r="M337" s="236"/>
      <x:c r="N337" s="236"/>
      <x:c r="O337" s="236"/>
      <x:c r="P337" s="236"/>
      <x:c r="Q337" s="236"/>
      <x:c r="R337" s="236"/>
      <x:c r="S337" s="236"/>
      <x:c r="T337" s="236"/>
      <x:c r="U337" s="236"/>
      <x:c r="V337" s="236"/>
      <x:c r="W337" s="236"/>
      <x:c r="X337" s="236"/>
      <x:c r="Y337" s="236"/>
      <x:c r="Z337" s="236"/>
      <x:c r="AA337" s="236"/>
      <x:c r="AB337" s="236"/>
      <x:c r="AC337" s="236"/>
      <x:c r="AD337" s="236"/>
      <x:c r="AE337" s="236"/>
      <x:c r="AF337" s="236"/>
      <x:c r="AG337" s="236"/>
      <x:c r="AH337" s="236"/>
      <x:c r="AI337" s="236"/>
      <x:c r="AJ337" s="236"/>
      <x:c r="AK337" s="220"/>
      <x:c r="AL337" s="221"/>
      <x:c r="AM337" s="221"/>
      <x:c r="AN337" s="222"/>
      <x:c r="AO337" s="222"/>
      <x:c r="AP337" s="228"/>
      <x:c r="AQ337" s="228"/>
      <x:c r="AR337" s="228"/>
      <x:c r="AS337" s="228"/>
      <x:c r="AT337" s="230"/>
    </x:row>
    <x:row r="338" spans="1:47" ht="15" customHeight="1">
      <x:c r="A338" s="237"/>
      <x:c r="B338" s="216"/>
      <x:c r="C338" s="238"/>
      <x:c r="D338" s="239"/>
      <x:c r="E338" s="239"/>
      <x:c r="F338" s="236"/>
      <x:c r="G338" s="236"/>
      <x:c r="H338" s="236"/>
      <x:c r="I338" s="236"/>
      <x:c r="J338" s="236"/>
      <x:c r="K338" s="236"/>
      <x:c r="L338" s="236"/>
      <x:c r="M338" s="236"/>
      <x:c r="N338" s="236"/>
      <x:c r="O338" s="236"/>
      <x:c r="P338" s="236"/>
      <x:c r="Q338" s="236"/>
      <x:c r="R338" s="236"/>
      <x:c r="S338" s="236"/>
      <x:c r="T338" s="236"/>
      <x:c r="U338" s="236"/>
      <x:c r="V338" s="236"/>
      <x:c r="W338" s="236"/>
      <x:c r="X338" s="236"/>
      <x:c r="Y338" s="236"/>
      <x:c r="Z338" s="236"/>
      <x:c r="AA338" s="236"/>
      <x:c r="AB338" s="236"/>
      <x:c r="AC338" s="236"/>
      <x:c r="AD338" s="236"/>
      <x:c r="AE338" s="236"/>
      <x:c r="AF338" s="236"/>
      <x:c r="AG338" s="236"/>
      <x:c r="AH338" s="236"/>
      <x:c r="AI338" s="236"/>
      <x:c r="AJ338" s="236"/>
      <x:c r="AK338" s="220"/>
      <x:c r="AL338" s="221"/>
      <x:c r="AM338" s="221"/>
      <x:c r="AN338" s="222"/>
      <x:c r="AO338" s="222"/>
      <x:c r="AP338" s="228"/>
      <x:c r="AQ338" s="228"/>
      <x:c r="AR338" s="228"/>
      <x:c r="AS338" s="228"/>
      <x:c r="AT338" s="230"/>
    </x:row>
    <x:row r="339" spans="1:47" ht="15" customHeight="1">
      <x:c r="A339" s="237"/>
      <x:c r="B339" s="216"/>
      <x:c r="C339" s="238"/>
      <x:c r="D339" s="239"/>
      <x:c r="E339" s="239"/>
      <x:c r="F339" s="236"/>
      <x:c r="G339" s="236"/>
      <x:c r="H339" s="236"/>
      <x:c r="I339" s="236"/>
      <x:c r="J339" s="236"/>
      <x:c r="K339" s="236"/>
      <x:c r="L339" s="236"/>
      <x:c r="M339" s="236"/>
      <x:c r="N339" s="236"/>
      <x:c r="O339" s="236"/>
      <x:c r="P339" s="236"/>
      <x:c r="Q339" s="236"/>
      <x:c r="R339" s="236"/>
      <x:c r="S339" s="236"/>
      <x:c r="T339" s="236"/>
      <x:c r="U339" s="236"/>
      <x:c r="V339" s="236"/>
      <x:c r="W339" s="236"/>
      <x:c r="X339" s="236"/>
      <x:c r="Y339" s="236"/>
      <x:c r="Z339" s="236"/>
      <x:c r="AA339" s="236"/>
      <x:c r="AB339" s="236"/>
      <x:c r="AC339" s="236"/>
      <x:c r="AD339" s="236"/>
      <x:c r="AE339" s="236"/>
      <x:c r="AF339" s="236"/>
      <x:c r="AG339" s="236"/>
      <x:c r="AH339" s="236"/>
      <x:c r="AI339" s="236"/>
      <x:c r="AJ339" s="236"/>
      <x:c r="AK339" s="220"/>
      <x:c r="AL339" s="221"/>
      <x:c r="AM339" s="221"/>
      <x:c r="AN339" s="222"/>
      <x:c r="AO339" s="222"/>
      <x:c r="AP339" s="228"/>
      <x:c r="AQ339" s="228"/>
      <x:c r="AR339" s="228"/>
      <x:c r="AS339" s="228"/>
      <x:c r="AT339" s="230"/>
    </x:row>
    <x:row r="340" spans="1:47" ht="15" customHeight="1">
      <x:c r="A340" s="237"/>
      <x:c r="B340" s="216"/>
      <x:c r="C340" s="238"/>
      <x:c r="D340" s="239"/>
      <x:c r="E340" s="239"/>
      <x:c r="F340" s="236"/>
      <x:c r="G340" s="236"/>
      <x:c r="H340" s="236"/>
      <x:c r="I340" s="236"/>
      <x:c r="J340" s="236"/>
      <x:c r="K340" s="236"/>
      <x:c r="L340" s="236"/>
      <x:c r="M340" s="236"/>
      <x:c r="N340" s="236"/>
      <x:c r="O340" s="236"/>
      <x:c r="P340" s="236"/>
      <x:c r="Q340" s="236"/>
      <x:c r="R340" s="236"/>
      <x:c r="S340" s="236"/>
      <x:c r="T340" s="236"/>
      <x:c r="U340" s="236"/>
      <x:c r="V340" s="236"/>
      <x:c r="W340" s="236"/>
      <x:c r="X340" s="236"/>
      <x:c r="Y340" s="236"/>
      <x:c r="Z340" s="236"/>
      <x:c r="AA340" s="236"/>
      <x:c r="AB340" s="236"/>
      <x:c r="AC340" s="236"/>
      <x:c r="AD340" s="236"/>
      <x:c r="AE340" s="236"/>
      <x:c r="AF340" s="236"/>
      <x:c r="AG340" s="236"/>
      <x:c r="AH340" s="236"/>
      <x:c r="AI340" s="236"/>
      <x:c r="AJ340" s="236"/>
      <x:c r="AK340" s="220"/>
      <x:c r="AL340" s="221"/>
      <x:c r="AM340" s="221"/>
      <x:c r="AN340" s="222"/>
      <x:c r="AO340" s="222"/>
      <x:c r="AP340" s="228"/>
      <x:c r="AQ340" s="228"/>
      <x:c r="AR340" s="228"/>
      <x:c r="AS340" s="228"/>
      <x:c r="AT340" s="230"/>
    </x:row>
    <x:row r="341" spans="1:47" ht="15" customHeight="1">
      <x:c r="A341" s="237"/>
      <x:c r="B341" s="216"/>
      <x:c r="C341" s="238"/>
      <x:c r="D341" s="239"/>
      <x:c r="E341" s="239"/>
      <x:c r="F341" s="236"/>
      <x:c r="G341" s="236"/>
      <x:c r="H341" s="236"/>
      <x:c r="I341" s="236"/>
      <x:c r="J341" s="236"/>
      <x:c r="K341" s="236"/>
      <x:c r="L341" s="236"/>
      <x:c r="M341" s="236"/>
      <x:c r="N341" s="236"/>
      <x:c r="O341" s="236"/>
      <x:c r="P341" s="236"/>
      <x:c r="Q341" s="236"/>
      <x:c r="R341" s="236"/>
      <x:c r="S341" s="236"/>
      <x:c r="T341" s="236"/>
      <x:c r="U341" s="236"/>
      <x:c r="V341" s="236"/>
      <x:c r="W341" s="236"/>
      <x:c r="X341" s="236"/>
      <x:c r="Y341" s="236"/>
      <x:c r="Z341" s="236"/>
      <x:c r="AA341" s="236"/>
      <x:c r="AB341" s="236"/>
      <x:c r="AC341" s="236"/>
      <x:c r="AD341" s="236"/>
      <x:c r="AE341" s="236"/>
      <x:c r="AF341" s="236"/>
      <x:c r="AG341" s="236"/>
      <x:c r="AH341" s="236"/>
      <x:c r="AI341" s="236"/>
      <x:c r="AJ341" s="236"/>
      <x:c r="AK341" s="220"/>
      <x:c r="AL341" s="221"/>
      <x:c r="AM341" s="221"/>
      <x:c r="AN341" s="222"/>
      <x:c r="AO341" s="222"/>
      <x:c r="AP341" s="228"/>
      <x:c r="AQ341" s="228"/>
      <x:c r="AR341" s="228"/>
      <x:c r="AS341" s="228"/>
      <x:c r="AT341" s="230"/>
    </x:row>
    <x:row r="342" spans="1:47" ht="15" customHeight="1">
      <x:c r="A342" s="237"/>
      <x:c r="B342" s="216"/>
      <x:c r="C342" s="238"/>
      <x:c r="D342" s="239"/>
      <x:c r="E342" s="239"/>
      <x:c r="F342" s="236"/>
      <x:c r="G342" s="236"/>
      <x:c r="H342" s="236"/>
      <x:c r="I342" s="236"/>
      <x:c r="J342" s="236"/>
      <x:c r="K342" s="236"/>
      <x:c r="L342" s="236"/>
      <x:c r="M342" s="236"/>
      <x:c r="N342" s="236"/>
      <x:c r="O342" s="236"/>
      <x:c r="P342" s="236"/>
      <x:c r="Q342" s="236"/>
      <x:c r="R342" s="236"/>
      <x:c r="S342" s="236"/>
      <x:c r="T342" s="236"/>
      <x:c r="U342" s="236"/>
      <x:c r="V342" s="236"/>
      <x:c r="W342" s="236"/>
      <x:c r="X342" s="236"/>
      <x:c r="Y342" s="236"/>
      <x:c r="Z342" s="236"/>
      <x:c r="AA342" s="236"/>
      <x:c r="AB342" s="236"/>
      <x:c r="AC342" s="236"/>
      <x:c r="AD342" s="236"/>
      <x:c r="AE342" s="236"/>
      <x:c r="AF342" s="236"/>
      <x:c r="AG342" s="236"/>
      <x:c r="AH342" s="236"/>
      <x:c r="AI342" s="236"/>
      <x:c r="AJ342" s="236"/>
      <x:c r="AK342" s="220"/>
      <x:c r="AL342" s="221"/>
      <x:c r="AM342" s="221"/>
      <x:c r="AN342" s="222"/>
      <x:c r="AO342" s="222"/>
      <x:c r="AP342" s="228"/>
      <x:c r="AQ342" s="228"/>
      <x:c r="AR342" s="228"/>
      <x:c r="AS342" s="228"/>
      <x:c r="AT342" s="230"/>
    </x:row>
    <x:row r="343" spans="1:47" ht="15" customHeight="1">
      <x:c r="A343" s="237"/>
      <x:c r="B343" s="216"/>
      <x:c r="C343" s="238"/>
      <x:c r="D343" s="239"/>
      <x:c r="E343" s="239"/>
      <x:c r="F343" s="236"/>
      <x:c r="G343" s="236"/>
      <x:c r="H343" s="236"/>
      <x:c r="I343" s="236"/>
      <x:c r="J343" s="236"/>
      <x:c r="K343" s="236"/>
      <x:c r="L343" s="236"/>
      <x:c r="M343" s="236"/>
      <x:c r="N343" s="236"/>
      <x:c r="O343" s="236"/>
      <x:c r="P343" s="236"/>
      <x:c r="Q343" s="236"/>
      <x:c r="R343" s="236"/>
      <x:c r="S343" s="236"/>
      <x:c r="T343" s="236"/>
      <x:c r="U343" s="236"/>
      <x:c r="V343" s="236"/>
      <x:c r="W343" s="236"/>
      <x:c r="X343" s="236"/>
      <x:c r="Y343" s="236"/>
      <x:c r="Z343" s="236"/>
      <x:c r="AA343" s="236"/>
      <x:c r="AB343" s="236"/>
      <x:c r="AC343" s="236"/>
      <x:c r="AD343" s="236"/>
      <x:c r="AE343" s="236"/>
      <x:c r="AF343" s="236"/>
      <x:c r="AG343" s="236"/>
      <x:c r="AH343" s="236"/>
      <x:c r="AI343" s="236"/>
      <x:c r="AJ343" s="236"/>
      <x:c r="AK343" s="220"/>
      <x:c r="AL343" s="221"/>
      <x:c r="AM343" s="221"/>
      <x:c r="AN343" s="222"/>
      <x:c r="AO343" s="222"/>
      <x:c r="AP343" s="228"/>
      <x:c r="AQ343" s="228"/>
      <x:c r="AR343" s="228"/>
      <x:c r="AS343" s="228"/>
      <x:c r="AT343" s="230"/>
    </x:row>
    <x:row r="344" spans="1:47" ht="15" customHeight="1">
      <x:c r="A344" s="237"/>
      <x:c r="B344" s="216"/>
      <x:c r="C344" s="238"/>
      <x:c r="D344" s="239"/>
      <x:c r="E344" s="239"/>
      <x:c r="F344" s="236"/>
      <x:c r="G344" s="236"/>
      <x:c r="H344" s="236"/>
      <x:c r="I344" s="236"/>
      <x:c r="J344" s="236"/>
      <x:c r="K344" s="236"/>
      <x:c r="L344" s="236"/>
      <x:c r="M344" s="236"/>
      <x:c r="N344" s="236"/>
      <x:c r="O344" s="236"/>
      <x:c r="P344" s="236"/>
      <x:c r="Q344" s="236"/>
      <x:c r="R344" s="236"/>
      <x:c r="S344" s="236"/>
      <x:c r="T344" s="236"/>
      <x:c r="U344" s="236"/>
      <x:c r="V344" s="236"/>
      <x:c r="W344" s="236"/>
      <x:c r="X344" s="236"/>
      <x:c r="Y344" s="236"/>
      <x:c r="Z344" s="236"/>
      <x:c r="AA344" s="236"/>
      <x:c r="AB344" s="236"/>
      <x:c r="AC344" s="236"/>
      <x:c r="AD344" s="236"/>
      <x:c r="AE344" s="236"/>
      <x:c r="AF344" s="236"/>
      <x:c r="AG344" s="236"/>
      <x:c r="AH344" s="236"/>
      <x:c r="AI344" s="236"/>
      <x:c r="AJ344" s="236"/>
      <x:c r="AK344" s="220"/>
      <x:c r="AL344" s="221"/>
      <x:c r="AM344" s="221"/>
      <x:c r="AN344" s="222"/>
      <x:c r="AO344" s="222"/>
      <x:c r="AP344" s="228"/>
      <x:c r="AQ344" s="228"/>
      <x:c r="AR344" s="228"/>
      <x:c r="AS344" s="228"/>
      <x:c r="AT344" s="230"/>
    </x:row>
    <x:row r="345" spans="1:47" ht="15" customHeight="1">
      <x:c r="A345" s="237"/>
      <x:c r="B345" s="216"/>
      <x:c r="C345" s="238"/>
      <x:c r="D345" s="239"/>
      <x:c r="E345" s="239"/>
      <x:c r="F345" s="236"/>
      <x:c r="G345" s="236"/>
      <x:c r="H345" s="236"/>
      <x:c r="I345" s="236"/>
      <x:c r="J345" s="236"/>
      <x:c r="K345" s="236"/>
      <x:c r="L345" s="236"/>
      <x:c r="M345" s="236"/>
      <x:c r="N345" s="236"/>
      <x:c r="O345" s="236"/>
      <x:c r="P345" s="236"/>
      <x:c r="Q345" s="236"/>
      <x:c r="R345" s="236"/>
      <x:c r="S345" s="236"/>
      <x:c r="T345" s="236"/>
      <x:c r="U345" s="236"/>
      <x:c r="V345" s="236"/>
      <x:c r="W345" s="236"/>
      <x:c r="X345" s="236"/>
      <x:c r="Y345" s="236"/>
      <x:c r="Z345" s="236"/>
      <x:c r="AA345" s="236"/>
      <x:c r="AB345" s="236"/>
      <x:c r="AC345" s="236"/>
      <x:c r="AD345" s="236"/>
      <x:c r="AE345" s="236"/>
      <x:c r="AF345" s="236"/>
      <x:c r="AG345" s="236"/>
      <x:c r="AH345" s="236"/>
      <x:c r="AI345" s="236"/>
      <x:c r="AJ345" s="236"/>
      <x:c r="AK345" s="220"/>
      <x:c r="AL345" s="221"/>
      <x:c r="AM345" s="221"/>
      <x:c r="AN345" s="222"/>
      <x:c r="AO345" s="222"/>
      <x:c r="AP345" s="228"/>
      <x:c r="AQ345" s="228"/>
      <x:c r="AR345" s="228"/>
      <x:c r="AS345" s="228"/>
      <x:c r="AT345" s="230"/>
    </x:row>
    <x:row r="346" spans="1:47" ht="15" customHeight="1">
      <x:c r="A346" s="237"/>
      <x:c r="B346" s="216"/>
      <x:c r="C346" s="238"/>
      <x:c r="D346" s="239"/>
      <x:c r="E346" s="239"/>
      <x:c r="F346" s="236"/>
      <x:c r="G346" s="236"/>
      <x:c r="H346" s="236"/>
      <x:c r="I346" s="236"/>
      <x:c r="J346" s="236"/>
      <x:c r="K346" s="236"/>
      <x:c r="L346" s="236"/>
      <x:c r="M346" s="236"/>
      <x:c r="N346" s="236"/>
      <x:c r="O346" s="236"/>
      <x:c r="P346" s="236"/>
      <x:c r="Q346" s="236"/>
      <x:c r="R346" s="236"/>
      <x:c r="S346" s="236"/>
      <x:c r="T346" s="236"/>
      <x:c r="U346" s="236"/>
      <x:c r="V346" s="236"/>
      <x:c r="W346" s="236"/>
      <x:c r="X346" s="236"/>
      <x:c r="Y346" s="236"/>
      <x:c r="Z346" s="236"/>
      <x:c r="AA346" s="236"/>
      <x:c r="AB346" s="236"/>
      <x:c r="AC346" s="236"/>
      <x:c r="AD346" s="236"/>
      <x:c r="AE346" s="236"/>
      <x:c r="AF346" s="236"/>
      <x:c r="AG346" s="236"/>
      <x:c r="AH346" s="236"/>
      <x:c r="AI346" s="236"/>
      <x:c r="AJ346" s="236"/>
      <x:c r="AK346" s="220"/>
      <x:c r="AL346" s="221"/>
      <x:c r="AM346" s="221"/>
      <x:c r="AN346" s="222"/>
      <x:c r="AO346" s="222"/>
      <x:c r="AP346" s="228"/>
      <x:c r="AQ346" s="228"/>
      <x:c r="AR346" s="228"/>
      <x:c r="AS346" s="228"/>
      <x:c r="AT346" s="230"/>
    </x:row>
    <x:row r="347" spans="1:47" ht="15" customHeight="1">
      <x:c r="A347" s="237"/>
      <x:c r="B347" s="216"/>
      <x:c r="C347" s="238"/>
      <x:c r="D347" s="239"/>
      <x:c r="E347" s="239"/>
      <x:c r="F347" s="236"/>
      <x:c r="G347" s="236"/>
      <x:c r="H347" s="236"/>
      <x:c r="I347" s="236"/>
      <x:c r="J347" s="236"/>
      <x:c r="K347" s="236"/>
      <x:c r="L347" s="236"/>
      <x:c r="M347" s="236"/>
      <x:c r="N347" s="236"/>
      <x:c r="O347" s="236"/>
      <x:c r="P347" s="236"/>
      <x:c r="Q347" s="236"/>
      <x:c r="R347" s="236"/>
      <x:c r="S347" s="236"/>
      <x:c r="T347" s="236"/>
      <x:c r="U347" s="236"/>
      <x:c r="V347" s="236"/>
      <x:c r="W347" s="236"/>
      <x:c r="X347" s="236"/>
      <x:c r="Y347" s="236"/>
      <x:c r="Z347" s="236"/>
      <x:c r="AA347" s="236"/>
      <x:c r="AB347" s="236"/>
      <x:c r="AC347" s="236"/>
      <x:c r="AD347" s="236"/>
      <x:c r="AE347" s="236"/>
      <x:c r="AF347" s="236"/>
      <x:c r="AG347" s="236"/>
      <x:c r="AH347" s="236"/>
      <x:c r="AI347" s="236"/>
      <x:c r="AJ347" s="236"/>
      <x:c r="AK347" s="220"/>
      <x:c r="AL347" s="221"/>
      <x:c r="AM347" s="221"/>
      <x:c r="AN347" s="222"/>
      <x:c r="AO347" s="222"/>
      <x:c r="AP347" s="228"/>
      <x:c r="AQ347" s="228"/>
      <x:c r="AR347" s="228"/>
      <x:c r="AS347" s="228"/>
      <x:c r="AT347" s="230"/>
    </x:row>
    <x:row r="348" spans="1:47" ht="15" customHeight="1">
      <x:c r="A348" s="237"/>
      <x:c r="B348" s="216"/>
      <x:c r="C348" s="238"/>
      <x:c r="D348" s="239"/>
      <x:c r="E348" s="239"/>
      <x:c r="F348" s="236"/>
      <x:c r="G348" s="236"/>
      <x:c r="H348" s="236"/>
      <x:c r="I348" s="236"/>
      <x:c r="J348" s="236"/>
      <x:c r="K348" s="236"/>
      <x:c r="L348" s="236"/>
      <x:c r="M348" s="236"/>
      <x:c r="N348" s="236"/>
      <x:c r="O348" s="236"/>
      <x:c r="P348" s="236"/>
      <x:c r="Q348" s="236"/>
      <x:c r="R348" s="236"/>
      <x:c r="S348" s="236"/>
      <x:c r="T348" s="236"/>
      <x:c r="U348" s="236"/>
      <x:c r="V348" s="236"/>
      <x:c r="W348" s="236"/>
      <x:c r="X348" s="236"/>
      <x:c r="Y348" s="236"/>
      <x:c r="Z348" s="236"/>
      <x:c r="AA348" s="236"/>
      <x:c r="AB348" s="236"/>
      <x:c r="AC348" s="236"/>
      <x:c r="AD348" s="236"/>
      <x:c r="AE348" s="236"/>
      <x:c r="AF348" s="236"/>
      <x:c r="AG348" s="236"/>
      <x:c r="AH348" s="236"/>
      <x:c r="AI348" s="236"/>
      <x:c r="AJ348" s="236"/>
      <x:c r="AK348" s="220"/>
      <x:c r="AL348" s="221"/>
      <x:c r="AM348" s="221"/>
      <x:c r="AN348" s="222"/>
      <x:c r="AO348" s="222"/>
      <x:c r="AP348" s="228"/>
      <x:c r="AQ348" s="228"/>
      <x:c r="AR348" s="228"/>
      <x:c r="AS348" s="228"/>
      <x:c r="AT348" s="230"/>
    </x:row>
    <x:row r="349" spans="1:47" ht="15" customHeight="1">
      <x:c r="A349" s="237"/>
      <x:c r="B349" s="216"/>
      <x:c r="C349" s="238"/>
      <x:c r="D349" s="239"/>
      <x:c r="E349" s="239"/>
      <x:c r="F349" s="236"/>
      <x:c r="G349" s="236"/>
      <x:c r="H349" s="236"/>
      <x:c r="I349" s="236"/>
      <x:c r="J349" s="236"/>
      <x:c r="K349" s="236"/>
      <x:c r="L349" s="236"/>
      <x:c r="M349" s="236"/>
      <x:c r="N349" s="236"/>
      <x:c r="O349" s="236"/>
      <x:c r="P349" s="236"/>
      <x:c r="Q349" s="236"/>
      <x:c r="R349" s="236"/>
      <x:c r="S349" s="236"/>
      <x:c r="T349" s="236"/>
      <x:c r="U349" s="236"/>
      <x:c r="V349" s="236"/>
      <x:c r="W349" s="236"/>
      <x:c r="X349" s="236"/>
      <x:c r="Y349" s="236"/>
      <x:c r="Z349" s="236"/>
      <x:c r="AA349" s="236"/>
      <x:c r="AB349" s="236"/>
      <x:c r="AC349" s="236"/>
      <x:c r="AD349" s="236"/>
      <x:c r="AE349" s="236"/>
      <x:c r="AF349" s="236"/>
      <x:c r="AG349" s="236"/>
      <x:c r="AH349" s="236"/>
      <x:c r="AI349" s="236"/>
      <x:c r="AJ349" s="236"/>
      <x:c r="AK349" s="220"/>
      <x:c r="AL349" s="221"/>
      <x:c r="AM349" s="221"/>
      <x:c r="AN349" s="222"/>
      <x:c r="AO349" s="222"/>
      <x:c r="AP349" s="228"/>
      <x:c r="AQ349" s="228"/>
      <x:c r="AR349" s="228"/>
      <x:c r="AS349" s="228"/>
      <x:c r="AT349" s="230"/>
    </x:row>
    <x:row r="350" spans="1:47" ht="15" customHeight="1">
      <x:c r="A350" s="237"/>
      <x:c r="B350" s="216"/>
      <x:c r="C350" s="238"/>
      <x:c r="D350" s="239"/>
      <x:c r="E350" s="239"/>
      <x:c r="F350" s="236"/>
      <x:c r="G350" s="236"/>
      <x:c r="H350" s="236"/>
      <x:c r="I350" s="236"/>
      <x:c r="J350" s="236"/>
      <x:c r="K350" s="236"/>
      <x:c r="L350" s="236"/>
      <x:c r="M350" s="236"/>
      <x:c r="N350" s="236"/>
      <x:c r="O350" s="236"/>
      <x:c r="P350" s="236"/>
      <x:c r="Q350" s="236"/>
      <x:c r="R350" s="236"/>
      <x:c r="S350" s="236"/>
      <x:c r="T350" s="236"/>
      <x:c r="U350" s="236"/>
      <x:c r="V350" s="236"/>
      <x:c r="W350" s="236"/>
      <x:c r="X350" s="236"/>
      <x:c r="Y350" s="236"/>
      <x:c r="Z350" s="236"/>
      <x:c r="AA350" s="236"/>
      <x:c r="AB350" s="236"/>
      <x:c r="AC350" s="236"/>
      <x:c r="AD350" s="236"/>
      <x:c r="AE350" s="236"/>
      <x:c r="AF350" s="236"/>
      <x:c r="AG350" s="236"/>
      <x:c r="AH350" s="236"/>
      <x:c r="AI350" s="236"/>
      <x:c r="AJ350" s="236"/>
      <x:c r="AK350" s="220"/>
      <x:c r="AL350" s="221"/>
      <x:c r="AM350" s="221"/>
      <x:c r="AN350" s="222"/>
      <x:c r="AO350" s="222"/>
      <x:c r="AP350" s="228"/>
      <x:c r="AQ350" s="228"/>
      <x:c r="AR350" s="228"/>
      <x:c r="AS350" s="228"/>
      <x:c r="AT350" s="230"/>
    </x:row>
    <x:row r="351" spans="1:47" ht="15" customHeight="1">
      <x:c r="A351" s="240"/>
      <x:c r="B351" s="216"/>
      <x:c r="C351" s="236"/>
      <x:c r="D351" s="236"/>
      <x:c r="E351" s="236"/>
      <x:c r="F351" s="236"/>
      <x:c r="G351" s="236"/>
      <x:c r="H351" s="236"/>
      <x:c r="I351" s="236"/>
      <x:c r="J351" s="236"/>
      <x:c r="K351" s="236"/>
      <x:c r="L351" s="236"/>
      <x:c r="M351" s="236"/>
      <x:c r="N351" s="236"/>
      <x:c r="O351" s="236"/>
      <x:c r="P351" s="236"/>
      <x:c r="Q351" s="236"/>
      <x:c r="R351" s="236"/>
      <x:c r="S351" s="236"/>
      <x:c r="T351" s="236"/>
      <x:c r="U351" s="236"/>
      <x:c r="V351" s="236"/>
      <x:c r="W351" s="236"/>
      <x:c r="X351" s="236"/>
      <x:c r="Y351" s="236"/>
      <x:c r="Z351" s="236"/>
      <x:c r="AA351" s="236"/>
      <x:c r="AB351" s="236"/>
      <x:c r="AC351" s="236"/>
      <x:c r="AD351" s="236"/>
      <x:c r="AE351" s="236"/>
      <x:c r="AF351" s="236"/>
      <x:c r="AG351" s="236"/>
      <x:c r="AH351" s="236"/>
      <x:c r="AI351" s="236"/>
      <x:c r="AJ351" s="236"/>
      <x:c r="AK351" s="220"/>
      <x:c r="AL351" s="221"/>
      <x:c r="AM351" s="221"/>
      <x:c r="AN351" s="222"/>
      <x:c r="AO351" s="222"/>
      <x:c r="AP351" s="228"/>
      <x:c r="AQ351" s="228"/>
      <x:c r="AR351" s="228"/>
      <x:c r="AS351" s="228"/>
      <x:c r="AT351" s="228"/>
    </x:row>
    <x:row r="352" spans="1:47" ht="15" customHeight="1">
      <x:c r="A352" s="240"/>
      <x:c r="B352" s="216"/>
      <x:c r="C352" s="236"/>
      <x:c r="D352" s="236"/>
      <x:c r="E352" s="236"/>
      <x:c r="F352" s="236"/>
      <x:c r="G352" s="236"/>
      <x:c r="H352" s="236"/>
      <x:c r="I352" s="236"/>
      <x:c r="J352" s="236"/>
      <x:c r="K352" s="236"/>
      <x:c r="L352" s="236"/>
      <x:c r="M352" s="236"/>
      <x:c r="N352" s="236"/>
      <x:c r="O352" s="236"/>
      <x:c r="P352" s="236"/>
      <x:c r="Q352" s="236"/>
      <x:c r="R352" s="236"/>
      <x:c r="S352" s="236"/>
      <x:c r="T352" s="236"/>
      <x:c r="U352" s="236"/>
      <x:c r="V352" s="236"/>
      <x:c r="W352" s="236"/>
      <x:c r="X352" s="236"/>
      <x:c r="Y352" s="236"/>
      <x:c r="Z352" s="236"/>
      <x:c r="AA352" s="236"/>
      <x:c r="AB352" s="236"/>
      <x:c r="AC352" s="236"/>
      <x:c r="AD352" s="236"/>
      <x:c r="AE352" s="236"/>
      <x:c r="AF352" s="236"/>
      <x:c r="AG352" s="236"/>
      <x:c r="AH352" s="236"/>
      <x:c r="AI352" s="236"/>
      <x:c r="AJ352" s="236"/>
      <x:c r="AK352" s="220"/>
      <x:c r="AL352" s="221"/>
      <x:c r="AM352" s="221"/>
      <x:c r="AN352" s="222"/>
      <x:c r="AO352" s="222"/>
      <x:c r="AP352" s="228"/>
      <x:c r="AQ352" s="228"/>
      <x:c r="AR352" s="228"/>
      <x:c r="AS352" s="228"/>
      <x:c r="AT352" s="228"/>
    </x:row>
    <x:row r="353" spans="1:47" ht="15" customHeight="1">
      <x:c r="A353" s="240"/>
      <x:c r="B353" s="216"/>
      <x:c r="C353" s="236"/>
      <x:c r="D353" s="236"/>
      <x:c r="E353" s="236"/>
      <x:c r="F353" s="236"/>
      <x:c r="G353" s="236"/>
      <x:c r="H353" s="236"/>
      <x:c r="I353" s="236"/>
      <x:c r="J353" s="236"/>
      <x:c r="K353" s="236"/>
      <x:c r="L353" s="236"/>
      <x:c r="M353" s="236"/>
      <x:c r="N353" s="236"/>
      <x:c r="O353" s="236"/>
      <x:c r="P353" s="236"/>
      <x:c r="Q353" s="236"/>
      <x:c r="R353" s="236"/>
      <x:c r="S353" s="236"/>
      <x:c r="T353" s="236"/>
      <x:c r="U353" s="236"/>
      <x:c r="V353" s="236"/>
      <x:c r="W353" s="236"/>
      <x:c r="X353" s="236"/>
      <x:c r="Y353" s="236"/>
      <x:c r="Z353" s="236"/>
      <x:c r="AA353" s="236"/>
      <x:c r="AB353" s="236"/>
      <x:c r="AC353" s="236"/>
      <x:c r="AD353" s="236"/>
      <x:c r="AE353" s="236"/>
      <x:c r="AF353" s="236"/>
      <x:c r="AG353" s="236"/>
      <x:c r="AH353" s="236"/>
      <x:c r="AI353" s="236"/>
      <x:c r="AJ353" s="236"/>
      <x:c r="AK353" s="220"/>
      <x:c r="AL353" s="221"/>
      <x:c r="AM353" s="221"/>
      <x:c r="AN353" s="222"/>
      <x:c r="AO353" s="222"/>
      <x:c r="AP353" s="228"/>
      <x:c r="AQ353" s="228"/>
      <x:c r="AR353" s="228"/>
      <x:c r="AS353" s="228"/>
      <x:c r="AT353" s="228"/>
    </x:row>
    <x:row r="354" spans="1:47" ht="15" customHeight="1">
      <x:c r="A354" s="69"/>
      <x:c r="B354" s="216"/>
      <x:c r="C354" s="121"/>
      <x:c r="D354" s="121"/>
      <x:c r="E354" s="121"/>
      <x:c r="F354" s="241"/>
      <x:c r="G354" s="241"/>
      <x:c r="H354" s="241"/>
      <x:c r="I354" s="241"/>
      <x:c r="J354" s="241"/>
      <x:c r="K354" s="241"/>
      <x:c r="L354" s="241"/>
      <x:c r="M354" s="241"/>
      <x:c r="N354" s="241"/>
      <x:c r="O354" s="241"/>
      <x:c r="P354" s="241"/>
      <x:c r="Q354" s="241"/>
      <x:c r="R354" s="241"/>
      <x:c r="S354" s="241"/>
      <x:c r="T354" s="241"/>
      <x:c r="U354" s="241"/>
      <x:c r="V354" s="241"/>
      <x:c r="W354" s="241"/>
      <x:c r="X354" s="241"/>
      <x:c r="Y354" s="241"/>
      <x:c r="Z354" s="241"/>
      <x:c r="AA354" s="241"/>
      <x:c r="AB354" s="241"/>
      <x:c r="AC354" s="241"/>
      <x:c r="AD354" s="241"/>
      <x:c r="AE354" s="241"/>
      <x:c r="AF354" s="241"/>
      <x:c r="AG354" s="241"/>
      <x:c r="AH354" s="241"/>
      <x:c r="AI354" s="241"/>
      <x:c r="AJ354" s="241"/>
      <x:c r="AK354" s="220"/>
      <x:c r="AL354" s="221"/>
      <x:c r="AM354" s="221"/>
      <x:c r="AN354" s="123"/>
      <x:c r="AO354" s="123"/>
    </x:row>
    <x:row r="355" spans="1:47" ht="15" customHeight="1">
      <x:c r="A355" s="69"/>
      <x:c r="B355" s="216"/>
      <x:c r="C355" s="121"/>
      <x:c r="D355" s="121"/>
      <x:c r="E355" s="121"/>
      <x:c r="F355" s="241"/>
      <x:c r="G355" s="241"/>
      <x:c r="H355" s="241"/>
      <x:c r="I355" s="241"/>
      <x:c r="J355" s="241"/>
      <x:c r="K355" s="241"/>
      <x:c r="L355" s="241"/>
      <x:c r="M355" s="241"/>
      <x:c r="N355" s="241"/>
      <x:c r="O355" s="241"/>
      <x:c r="P355" s="241"/>
      <x:c r="Q355" s="241"/>
      <x:c r="R355" s="241"/>
      <x:c r="S355" s="241"/>
      <x:c r="T355" s="241"/>
      <x:c r="U355" s="241"/>
      <x:c r="V355" s="241"/>
      <x:c r="W355" s="241"/>
      <x:c r="X355" s="241"/>
      <x:c r="Y355" s="241"/>
      <x:c r="Z355" s="241"/>
      <x:c r="AA355" s="241"/>
      <x:c r="AB355" s="241"/>
      <x:c r="AC355" s="241"/>
      <x:c r="AD355" s="241"/>
      <x:c r="AE355" s="241"/>
      <x:c r="AF355" s="241"/>
      <x:c r="AG355" s="241"/>
      <x:c r="AH355" s="241"/>
      <x:c r="AI355" s="241"/>
      <x:c r="AJ355" s="241"/>
      <x:c r="AK355" s="220"/>
      <x:c r="AL355" s="221"/>
      <x:c r="AM355" s="221"/>
      <x:c r="AN355" s="123"/>
      <x:c r="AO355" s="123"/>
    </x:row>
    <x:row r="356" spans="1:47" ht="15" customHeight="1">
      <x:c r="A356" s="69"/>
      <x:c r="B356" s="216"/>
      <x:c r="C356" s="121"/>
      <x:c r="D356" s="121"/>
      <x:c r="E356" s="121"/>
      <x:c r="F356" s="241"/>
      <x:c r="G356" s="241"/>
      <x:c r="H356" s="241"/>
      <x:c r="I356" s="241"/>
      <x:c r="J356" s="241"/>
      <x:c r="K356" s="241"/>
      <x:c r="L356" s="241"/>
      <x:c r="M356" s="241"/>
      <x:c r="N356" s="241"/>
      <x:c r="O356" s="241"/>
      <x:c r="P356" s="241"/>
      <x:c r="Q356" s="241"/>
      <x:c r="R356" s="241"/>
      <x:c r="S356" s="241"/>
      <x:c r="T356" s="241"/>
      <x:c r="U356" s="241"/>
      <x:c r="V356" s="241"/>
      <x:c r="W356" s="241"/>
      <x:c r="X356" s="241"/>
      <x:c r="Y356" s="241"/>
      <x:c r="Z356" s="241"/>
      <x:c r="AA356" s="241"/>
      <x:c r="AB356" s="241"/>
      <x:c r="AC356" s="241"/>
      <x:c r="AD356" s="241"/>
      <x:c r="AE356" s="241"/>
      <x:c r="AF356" s="241"/>
      <x:c r="AG356" s="241"/>
      <x:c r="AH356" s="241"/>
      <x:c r="AI356" s="241"/>
      <x:c r="AJ356" s="241"/>
      <x:c r="AK356" s="220"/>
      <x:c r="AL356" s="221"/>
      <x:c r="AM356" s="221"/>
      <x:c r="AN356" s="123"/>
      <x:c r="AO356" s="123"/>
    </x:row>
    <x:row r="357" spans="1:47" ht="15" customHeight="1">
      <x:c r="A357" s="69"/>
      <x:c r="B357" s="216"/>
      <x:c r="C357" s="121"/>
      <x:c r="D357" s="121"/>
      <x:c r="E357" s="121"/>
      <x:c r="F357" s="241"/>
      <x:c r="G357" s="241"/>
      <x:c r="H357" s="241"/>
      <x:c r="I357" s="241"/>
      <x:c r="J357" s="241"/>
      <x:c r="K357" s="241"/>
      <x:c r="L357" s="241"/>
      <x:c r="M357" s="241"/>
      <x:c r="N357" s="241"/>
      <x:c r="O357" s="241"/>
      <x:c r="P357" s="241"/>
      <x:c r="Q357" s="241"/>
      <x:c r="R357" s="241"/>
      <x:c r="S357" s="241"/>
      <x:c r="T357" s="241"/>
      <x:c r="U357" s="241"/>
      <x:c r="V357" s="241"/>
      <x:c r="W357" s="241"/>
      <x:c r="X357" s="241"/>
      <x:c r="Y357" s="241"/>
      <x:c r="Z357" s="241"/>
      <x:c r="AA357" s="241"/>
      <x:c r="AB357" s="241"/>
      <x:c r="AC357" s="241"/>
      <x:c r="AD357" s="241"/>
      <x:c r="AE357" s="241"/>
      <x:c r="AF357" s="241"/>
      <x:c r="AG357" s="241"/>
      <x:c r="AH357" s="241"/>
      <x:c r="AI357" s="241"/>
      <x:c r="AJ357" s="241"/>
      <x:c r="AK357" s="220"/>
      <x:c r="AL357" s="221"/>
      <x:c r="AM357" s="221"/>
      <x:c r="AN357" s="123"/>
      <x:c r="AO357" s="123"/>
    </x:row>
    <x:row r="358" spans="1:47" ht="15" customHeight="1">
      <x:c r="A358" s="69"/>
      <x:c r="B358" s="216"/>
      <x:c r="C358" s="121"/>
      <x:c r="D358" s="121"/>
      <x:c r="E358" s="121"/>
      <x:c r="F358" s="241"/>
      <x:c r="G358" s="241"/>
      <x:c r="H358" s="241"/>
      <x:c r="I358" s="241"/>
      <x:c r="J358" s="241"/>
      <x:c r="K358" s="241"/>
      <x:c r="L358" s="241"/>
      <x:c r="M358" s="241"/>
      <x:c r="N358" s="241"/>
      <x:c r="O358" s="241"/>
      <x:c r="P358" s="241"/>
      <x:c r="Q358" s="241"/>
      <x:c r="R358" s="241"/>
      <x:c r="S358" s="241"/>
      <x:c r="T358" s="241"/>
      <x:c r="U358" s="241"/>
      <x:c r="V358" s="241"/>
      <x:c r="W358" s="241"/>
      <x:c r="X358" s="241"/>
      <x:c r="Y358" s="241"/>
      <x:c r="Z358" s="241"/>
      <x:c r="AA358" s="241"/>
      <x:c r="AB358" s="241"/>
      <x:c r="AC358" s="241"/>
      <x:c r="AD358" s="241"/>
      <x:c r="AE358" s="241"/>
      <x:c r="AF358" s="241"/>
      <x:c r="AG358" s="241"/>
      <x:c r="AH358" s="241"/>
      <x:c r="AI358" s="241"/>
      <x:c r="AJ358" s="241"/>
      <x:c r="AK358" s="220"/>
      <x:c r="AL358" s="221"/>
      <x:c r="AM358" s="221"/>
      <x:c r="AN358" s="123"/>
      <x:c r="AO358" s="123"/>
    </x:row>
    <x:row r="359" spans="1:47" ht="15" customHeight="1">
      <x:c r="A359" s="69"/>
      <x:c r="B359" s="216"/>
      <x:c r="C359" s="121"/>
      <x:c r="D359" s="121"/>
      <x:c r="E359" s="121"/>
      <x:c r="F359" s="241"/>
      <x:c r="G359" s="241"/>
      <x:c r="H359" s="241"/>
      <x:c r="I359" s="241"/>
      <x:c r="J359" s="241"/>
      <x:c r="K359" s="241"/>
      <x:c r="L359" s="241"/>
      <x:c r="M359" s="241"/>
      <x:c r="N359" s="241"/>
      <x:c r="O359" s="241"/>
      <x:c r="P359" s="241"/>
      <x:c r="Q359" s="241"/>
      <x:c r="R359" s="241"/>
      <x:c r="S359" s="241"/>
      <x:c r="T359" s="241"/>
      <x:c r="U359" s="241"/>
      <x:c r="V359" s="241"/>
      <x:c r="W359" s="241"/>
      <x:c r="X359" s="241"/>
      <x:c r="Y359" s="241"/>
      <x:c r="Z359" s="241"/>
      <x:c r="AA359" s="241"/>
      <x:c r="AB359" s="241"/>
      <x:c r="AC359" s="241"/>
      <x:c r="AD359" s="241"/>
      <x:c r="AE359" s="241"/>
      <x:c r="AF359" s="241"/>
      <x:c r="AG359" s="241"/>
      <x:c r="AH359" s="241"/>
      <x:c r="AI359" s="241"/>
      <x:c r="AJ359" s="241"/>
      <x:c r="AK359" s="220"/>
      <x:c r="AL359" s="221"/>
      <x:c r="AM359" s="221"/>
      <x:c r="AN359" s="123"/>
      <x:c r="AO359" s="123"/>
    </x:row>
    <x:row r="360" spans="1:47" ht="15" customHeight="1">
      <x:c r="A360" s="69"/>
      <x:c r="B360" s="216"/>
      <x:c r="C360" s="121"/>
      <x:c r="D360" s="121"/>
      <x:c r="E360" s="121"/>
      <x:c r="F360" s="241"/>
      <x:c r="G360" s="241"/>
      <x:c r="H360" s="241"/>
      <x:c r="I360" s="241"/>
      <x:c r="J360" s="241"/>
      <x:c r="K360" s="241"/>
      <x:c r="L360" s="241"/>
      <x:c r="M360" s="241"/>
      <x:c r="N360" s="241"/>
      <x:c r="O360" s="241"/>
      <x:c r="P360" s="241"/>
      <x:c r="Q360" s="241"/>
      <x:c r="R360" s="241"/>
      <x:c r="S360" s="241"/>
      <x:c r="T360" s="241"/>
      <x:c r="U360" s="241"/>
      <x:c r="V360" s="241"/>
      <x:c r="W360" s="241"/>
      <x:c r="X360" s="241"/>
      <x:c r="Y360" s="241"/>
      <x:c r="Z360" s="241"/>
      <x:c r="AA360" s="241"/>
      <x:c r="AB360" s="241"/>
      <x:c r="AC360" s="241"/>
      <x:c r="AD360" s="241"/>
      <x:c r="AE360" s="241"/>
      <x:c r="AF360" s="241"/>
      <x:c r="AG360" s="241"/>
      <x:c r="AH360" s="241"/>
      <x:c r="AI360" s="241"/>
      <x:c r="AJ360" s="241"/>
      <x:c r="AK360" s="220"/>
      <x:c r="AL360" s="221"/>
      <x:c r="AM360" s="221"/>
      <x:c r="AN360" s="123"/>
      <x:c r="AO360" s="123"/>
    </x:row>
    <x:row r="361" spans="1:47" ht="15" customHeight="1">
      <x:c r="A361" s="69"/>
      <x:c r="B361" s="216"/>
      <x:c r="C361" s="121"/>
      <x:c r="D361" s="121"/>
      <x:c r="E361" s="121"/>
      <x:c r="F361" s="241"/>
      <x:c r="G361" s="241"/>
      <x:c r="H361" s="241"/>
      <x:c r="I361" s="241"/>
      <x:c r="J361" s="241"/>
      <x:c r="K361" s="241"/>
      <x:c r="L361" s="241"/>
      <x:c r="M361" s="241"/>
      <x:c r="N361" s="241"/>
      <x:c r="O361" s="241"/>
      <x:c r="P361" s="241"/>
      <x:c r="Q361" s="241"/>
      <x:c r="R361" s="241"/>
      <x:c r="S361" s="241"/>
      <x:c r="T361" s="241"/>
      <x:c r="U361" s="241"/>
      <x:c r="V361" s="241"/>
      <x:c r="W361" s="241"/>
      <x:c r="X361" s="241"/>
      <x:c r="Y361" s="241"/>
      <x:c r="Z361" s="241"/>
      <x:c r="AA361" s="241"/>
      <x:c r="AB361" s="241"/>
      <x:c r="AC361" s="241"/>
      <x:c r="AD361" s="241"/>
      <x:c r="AE361" s="241"/>
      <x:c r="AF361" s="241"/>
      <x:c r="AG361" s="241"/>
      <x:c r="AH361" s="241"/>
      <x:c r="AI361" s="241"/>
      <x:c r="AJ361" s="241"/>
      <x:c r="AK361" s="220"/>
      <x:c r="AL361" s="221"/>
      <x:c r="AM361" s="221"/>
      <x:c r="AN361" s="123"/>
      <x:c r="AO361" s="123"/>
    </x:row>
    <x:row r="362" spans="1:47" ht="15" customHeight="1">
      <x:c r="A362" s="69"/>
      <x:c r="B362" s="216"/>
      <x:c r="C362" s="121"/>
      <x:c r="D362" s="121"/>
      <x:c r="E362" s="121"/>
      <x:c r="F362" s="241"/>
      <x:c r="G362" s="241"/>
      <x:c r="H362" s="241"/>
      <x:c r="I362" s="241"/>
      <x:c r="J362" s="241"/>
      <x:c r="K362" s="241"/>
      <x:c r="L362" s="241"/>
      <x:c r="M362" s="241"/>
      <x:c r="N362" s="241"/>
      <x:c r="O362" s="241"/>
      <x:c r="P362" s="241"/>
      <x:c r="Q362" s="241"/>
      <x:c r="R362" s="241"/>
      <x:c r="S362" s="241"/>
      <x:c r="T362" s="241"/>
      <x:c r="U362" s="241"/>
      <x:c r="V362" s="241"/>
      <x:c r="W362" s="241"/>
      <x:c r="X362" s="241"/>
      <x:c r="Y362" s="241"/>
      <x:c r="Z362" s="241"/>
      <x:c r="AA362" s="241"/>
      <x:c r="AB362" s="241"/>
      <x:c r="AC362" s="241"/>
      <x:c r="AD362" s="241"/>
      <x:c r="AE362" s="241"/>
      <x:c r="AF362" s="241"/>
      <x:c r="AG362" s="241"/>
      <x:c r="AH362" s="241"/>
      <x:c r="AI362" s="241"/>
      <x:c r="AJ362" s="241"/>
      <x:c r="AK362" s="220"/>
      <x:c r="AL362" s="221"/>
      <x:c r="AM362" s="221"/>
      <x:c r="AN362" s="123"/>
      <x:c r="AO362" s="123"/>
    </x:row>
    <x:row r="363" spans="1:47" ht="15" customHeight="1">
      <x:c r="A363" s="69"/>
      <x:c r="B363" s="216"/>
      <x:c r="C363" s="121"/>
      <x:c r="D363" s="121"/>
      <x:c r="E363" s="121"/>
      <x:c r="F363" s="241"/>
      <x:c r="G363" s="241"/>
      <x:c r="H363" s="241"/>
      <x:c r="I363" s="241"/>
      <x:c r="J363" s="241"/>
      <x:c r="K363" s="241"/>
      <x:c r="L363" s="241"/>
      <x:c r="M363" s="241"/>
      <x:c r="N363" s="241"/>
      <x:c r="O363" s="241"/>
      <x:c r="P363" s="241"/>
      <x:c r="Q363" s="241"/>
      <x:c r="R363" s="241"/>
      <x:c r="S363" s="241"/>
      <x:c r="T363" s="241"/>
      <x:c r="U363" s="241"/>
      <x:c r="V363" s="241"/>
      <x:c r="W363" s="241"/>
      <x:c r="X363" s="241"/>
      <x:c r="Y363" s="241"/>
      <x:c r="Z363" s="241"/>
      <x:c r="AA363" s="241"/>
      <x:c r="AB363" s="241"/>
      <x:c r="AC363" s="241"/>
      <x:c r="AD363" s="241"/>
      <x:c r="AE363" s="241"/>
      <x:c r="AF363" s="241"/>
      <x:c r="AG363" s="241"/>
      <x:c r="AH363" s="241"/>
      <x:c r="AI363" s="241"/>
      <x:c r="AJ363" s="241"/>
      <x:c r="AK363" s="220"/>
      <x:c r="AL363" s="221"/>
      <x:c r="AM363" s="221"/>
      <x:c r="AN363" s="123"/>
      <x:c r="AO363" s="123"/>
    </x:row>
    <x:row r="364" spans="1:47" ht="15" customHeight="1">
      <x:c r="A364" s="69"/>
      <x:c r="B364" s="216"/>
      <x:c r="C364" s="121"/>
      <x:c r="D364" s="121"/>
      <x:c r="E364" s="121"/>
      <x:c r="F364" s="241"/>
      <x:c r="G364" s="241"/>
      <x:c r="H364" s="241"/>
      <x:c r="I364" s="241"/>
      <x:c r="J364" s="241"/>
      <x:c r="K364" s="241"/>
      <x:c r="L364" s="241"/>
      <x:c r="M364" s="241"/>
      <x:c r="N364" s="241"/>
      <x:c r="O364" s="241"/>
      <x:c r="P364" s="241"/>
      <x:c r="Q364" s="241"/>
      <x:c r="R364" s="241"/>
      <x:c r="S364" s="241"/>
      <x:c r="T364" s="241"/>
      <x:c r="U364" s="241"/>
      <x:c r="V364" s="241"/>
      <x:c r="W364" s="241"/>
      <x:c r="X364" s="241"/>
      <x:c r="Y364" s="241"/>
      <x:c r="Z364" s="241"/>
      <x:c r="AA364" s="241"/>
      <x:c r="AB364" s="241"/>
      <x:c r="AC364" s="241"/>
      <x:c r="AD364" s="241"/>
      <x:c r="AE364" s="241"/>
      <x:c r="AF364" s="241"/>
      <x:c r="AG364" s="241"/>
      <x:c r="AH364" s="241"/>
      <x:c r="AI364" s="241"/>
      <x:c r="AJ364" s="241"/>
      <x:c r="AK364" s="220"/>
      <x:c r="AL364" s="221"/>
      <x:c r="AM364" s="221"/>
      <x:c r="AN364" s="123"/>
      <x:c r="AO364" s="123"/>
    </x:row>
    <x:row r="365" spans="1:47" ht="15" customHeight="1">
      <x:c r="A365" s="69"/>
      <x:c r="B365" s="216"/>
      <x:c r="C365" s="121"/>
      <x:c r="D365" s="121"/>
      <x:c r="E365" s="121"/>
      <x:c r="F365" s="241"/>
      <x:c r="G365" s="241"/>
      <x:c r="H365" s="241"/>
      <x:c r="I365" s="241"/>
      <x:c r="J365" s="241"/>
      <x:c r="K365" s="241"/>
      <x:c r="L365" s="241"/>
      <x:c r="M365" s="241"/>
      <x:c r="N365" s="241"/>
      <x:c r="O365" s="241"/>
      <x:c r="P365" s="241"/>
      <x:c r="Q365" s="241"/>
      <x:c r="R365" s="241"/>
      <x:c r="S365" s="241"/>
      <x:c r="T365" s="241"/>
      <x:c r="U365" s="241"/>
      <x:c r="V365" s="241"/>
      <x:c r="W365" s="241"/>
      <x:c r="X365" s="241"/>
      <x:c r="Y365" s="241"/>
      <x:c r="Z365" s="241"/>
      <x:c r="AA365" s="241"/>
      <x:c r="AB365" s="241"/>
      <x:c r="AC365" s="241"/>
      <x:c r="AD365" s="241"/>
      <x:c r="AE365" s="241"/>
      <x:c r="AF365" s="241"/>
      <x:c r="AG365" s="241"/>
      <x:c r="AH365" s="241"/>
      <x:c r="AI365" s="241"/>
      <x:c r="AJ365" s="241"/>
      <x:c r="AK365" s="220"/>
      <x:c r="AL365" s="221"/>
      <x:c r="AM365" s="221"/>
      <x:c r="AN365" s="123"/>
      <x:c r="AO365" s="123"/>
    </x:row>
    <x:row r="366" spans="1:47" ht="15" customHeight="1">
      <x:c r="A366" s="69"/>
      <x:c r="B366" s="216"/>
      <x:c r="C366" s="121"/>
      <x:c r="D366" s="121"/>
      <x:c r="E366" s="121"/>
      <x:c r="F366" s="241"/>
      <x:c r="G366" s="241"/>
      <x:c r="H366" s="241"/>
      <x:c r="I366" s="241"/>
      <x:c r="J366" s="241"/>
      <x:c r="K366" s="241"/>
      <x:c r="L366" s="241"/>
      <x:c r="M366" s="241"/>
      <x:c r="N366" s="241"/>
      <x:c r="O366" s="241"/>
      <x:c r="P366" s="241"/>
      <x:c r="Q366" s="241"/>
      <x:c r="R366" s="241"/>
      <x:c r="S366" s="241"/>
      <x:c r="T366" s="241"/>
      <x:c r="U366" s="241"/>
      <x:c r="V366" s="241"/>
      <x:c r="W366" s="241"/>
      <x:c r="X366" s="241"/>
      <x:c r="Y366" s="241"/>
      <x:c r="Z366" s="241"/>
      <x:c r="AA366" s="241"/>
      <x:c r="AB366" s="241"/>
      <x:c r="AC366" s="241"/>
      <x:c r="AD366" s="241"/>
      <x:c r="AE366" s="241"/>
      <x:c r="AF366" s="241"/>
      <x:c r="AG366" s="241"/>
      <x:c r="AH366" s="241"/>
      <x:c r="AI366" s="241"/>
      <x:c r="AJ366" s="241"/>
      <x:c r="AK366" s="220"/>
      <x:c r="AL366" s="221"/>
      <x:c r="AM366" s="221"/>
      <x:c r="AN366" s="123"/>
      <x:c r="AO366" s="123"/>
    </x:row>
    <x:row r="367" spans="1:47" ht="15" customHeight="1">
      <x:c r="A367" s="69"/>
      <x:c r="B367" s="216"/>
      <x:c r="C367" s="121"/>
      <x:c r="D367" s="121"/>
      <x:c r="E367" s="121"/>
      <x:c r="F367" s="241"/>
      <x:c r="G367" s="241"/>
      <x:c r="H367" s="241"/>
      <x:c r="I367" s="241"/>
      <x:c r="J367" s="241"/>
      <x:c r="K367" s="241"/>
      <x:c r="L367" s="241"/>
      <x:c r="M367" s="241"/>
      <x:c r="N367" s="241"/>
      <x:c r="O367" s="241"/>
      <x:c r="P367" s="241"/>
      <x:c r="Q367" s="241"/>
      <x:c r="R367" s="241"/>
      <x:c r="S367" s="241"/>
      <x:c r="T367" s="241"/>
      <x:c r="U367" s="241"/>
      <x:c r="V367" s="241"/>
      <x:c r="W367" s="241"/>
      <x:c r="X367" s="241"/>
      <x:c r="Y367" s="241"/>
      <x:c r="Z367" s="241"/>
      <x:c r="AA367" s="241"/>
      <x:c r="AB367" s="241"/>
      <x:c r="AC367" s="241"/>
      <x:c r="AD367" s="241"/>
      <x:c r="AE367" s="241"/>
      <x:c r="AF367" s="241"/>
      <x:c r="AG367" s="241"/>
      <x:c r="AH367" s="241"/>
      <x:c r="AI367" s="241"/>
      <x:c r="AJ367" s="241"/>
      <x:c r="AK367" s="220"/>
      <x:c r="AL367" s="221"/>
      <x:c r="AM367" s="221"/>
      <x:c r="AN367" s="123"/>
      <x:c r="AO367" s="123"/>
    </x:row>
    <x:row r="368" spans="1:47" ht="15" customHeight="1">
      <x:c r="A368" s="69"/>
      <x:c r="B368" s="216"/>
      <x:c r="C368" s="121"/>
      <x:c r="D368" s="121"/>
      <x:c r="E368" s="121"/>
      <x:c r="F368" s="241"/>
      <x:c r="G368" s="241"/>
      <x:c r="H368" s="241"/>
      <x:c r="I368" s="241"/>
      <x:c r="J368" s="241"/>
      <x:c r="K368" s="241"/>
      <x:c r="L368" s="241"/>
      <x:c r="M368" s="241"/>
      <x:c r="N368" s="241"/>
      <x:c r="O368" s="241"/>
      <x:c r="P368" s="241"/>
      <x:c r="Q368" s="241"/>
      <x:c r="R368" s="241"/>
      <x:c r="S368" s="241"/>
      <x:c r="T368" s="241"/>
      <x:c r="U368" s="241"/>
      <x:c r="V368" s="241"/>
      <x:c r="W368" s="241"/>
      <x:c r="X368" s="241"/>
      <x:c r="Y368" s="241"/>
      <x:c r="Z368" s="241"/>
      <x:c r="AA368" s="241"/>
      <x:c r="AB368" s="241"/>
      <x:c r="AC368" s="241"/>
      <x:c r="AD368" s="241"/>
      <x:c r="AE368" s="241"/>
      <x:c r="AF368" s="241"/>
      <x:c r="AG368" s="241"/>
      <x:c r="AH368" s="241"/>
      <x:c r="AI368" s="241"/>
      <x:c r="AJ368" s="241"/>
      <x:c r="AK368" s="220"/>
      <x:c r="AL368" s="221"/>
      <x:c r="AM368" s="221"/>
      <x:c r="AN368" s="123"/>
      <x:c r="AO368" s="123"/>
    </x:row>
    <x:row r="369" spans="1:47" ht="15" customHeight="1">
      <x:c r="A369" s="69"/>
      <x:c r="B369" s="216"/>
      <x:c r="C369" s="121"/>
      <x:c r="D369" s="121"/>
      <x:c r="E369" s="121"/>
      <x:c r="F369" s="241"/>
      <x:c r="G369" s="241"/>
      <x:c r="H369" s="241"/>
      <x:c r="I369" s="241"/>
      <x:c r="J369" s="241"/>
      <x:c r="K369" s="241"/>
      <x:c r="L369" s="241"/>
      <x:c r="M369" s="241"/>
      <x:c r="N369" s="241"/>
      <x:c r="O369" s="241"/>
      <x:c r="P369" s="241"/>
      <x:c r="Q369" s="241"/>
      <x:c r="R369" s="241"/>
      <x:c r="S369" s="241"/>
      <x:c r="T369" s="241"/>
      <x:c r="U369" s="241"/>
      <x:c r="V369" s="241"/>
      <x:c r="W369" s="241"/>
      <x:c r="X369" s="241"/>
      <x:c r="Y369" s="241"/>
      <x:c r="Z369" s="241"/>
      <x:c r="AA369" s="241"/>
      <x:c r="AB369" s="241"/>
      <x:c r="AC369" s="241"/>
      <x:c r="AD369" s="241"/>
      <x:c r="AE369" s="241"/>
      <x:c r="AF369" s="241"/>
      <x:c r="AG369" s="241"/>
      <x:c r="AH369" s="241"/>
      <x:c r="AI369" s="241"/>
      <x:c r="AJ369" s="241"/>
      <x:c r="AK369" s="220"/>
      <x:c r="AL369" s="221"/>
      <x:c r="AM369" s="221"/>
      <x:c r="AN369" s="123"/>
      <x:c r="AO369" s="123"/>
    </x:row>
    <x:row r="370" spans="1:47" ht="15" customHeight="1">
      <x:c r="A370" s="69"/>
      <x:c r="B370" s="216"/>
      <x:c r="C370" s="121"/>
      <x:c r="D370" s="121"/>
      <x:c r="E370" s="121"/>
      <x:c r="F370" s="241"/>
      <x:c r="G370" s="241"/>
      <x:c r="H370" s="241"/>
      <x:c r="I370" s="241"/>
      <x:c r="J370" s="241"/>
      <x:c r="K370" s="241"/>
      <x:c r="L370" s="241"/>
      <x:c r="M370" s="241"/>
      <x:c r="N370" s="241"/>
      <x:c r="O370" s="241"/>
      <x:c r="P370" s="241"/>
      <x:c r="Q370" s="241"/>
      <x:c r="R370" s="241"/>
      <x:c r="S370" s="241"/>
      <x:c r="T370" s="241"/>
      <x:c r="U370" s="241"/>
      <x:c r="V370" s="241"/>
      <x:c r="W370" s="241"/>
      <x:c r="X370" s="241"/>
      <x:c r="Y370" s="241"/>
      <x:c r="Z370" s="241"/>
      <x:c r="AA370" s="241"/>
      <x:c r="AB370" s="241"/>
      <x:c r="AC370" s="241"/>
      <x:c r="AD370" s="241"/>
      <x:c r="AE370" s="241"/>
      <x:c r="AF370" s="241"/>
      <x:c r="AG370" s="241"/>
      <x:c r="AH370" s="241"/>
      <x:c r="AI370" s="241"/>
      <x:c r="AJ370" s="241"/>
      <x:c r="AK370" s="220"/>
      <x:c r="AL370" s="221"/>
      <x:c r="AM370" s="221"/>
      <x:c r="AN370" s="123"/>
      <x:c r="AO370" s="123"/>
    </x:row>
    <x:row r="371" spans="1:47" ht="15" customHeight="1">
      <x:c r="A371" s="69"/>
      <x:c r="B371" s="216"/>
      <x:c r="C371" s="121"/>
      <x:c r="D371" s="121"/>
      <x:c r="E371" s="121"/>
      <x:c r="F371" s="241"/>
      <x:c r="G371" s="241"/>
      <x:c r="H371" s="241"/>
      <x:c r="I371" s="241"/>
      <x:c r="J371" s="241"/>
      <x:c r="K371" s="241"/>
      <x:c r="L371" s="241"/>
      <x:c r="M371" s="241"/>
      <x:c r="N371" s="241"/>
      <x:c r="O371" s="241"/>
      <x:c r="P371" s="241"/>
      <x:c r="Q371" s="241"/>
      <x:c r="R371" s="241"/>
      <x:c r="S371" s="241"/>
      <x:c r="T371" s="241"/>
      <x:c r="U371" s="241"/>
      <x:c r="V371" s="241"/>
      <x:c r="W371" s="241"/>
      <x:c r="X371" s="241"/>
      <x:c r="Y371" s="241"/>
      <x:c r="Z371" s="241"/>
      <x:c r="AA371" s="241"/>
      <x:c r="AB371" s="241"/>
      <x:c r="AC371" s="241"/>
      <x:c r="AD371" s="241"/>
      <x:c r="AE371" s="241"/>
      <x:c r="AF371" s="241"/>
      <x:c r="AG371" s="241"/>
      <x:c r="AH371" s="241"/>
      <x:c r="AI371" s="241"/>
      <x:c r="AJ371" s="241"/>
      <x:c r="AK371" s="220"/>
      <x:c r="AL371" s="221"/>
      <x:c r="AM371" s="221"/>
      <x:c r="AN371" s="123"/>
      <x:c r="AO371" s="123"/>
    </x:row>
    <x:row r="372" spans="1:47" ht="15" customHeight="1">
      <x:c r="A372" s="69"/>
      <x:c r="B372" s="216"/>
      <x:c r="C372" s="121"/>
      <x:c r="D372" s="121"/>
      <x:c r="E372" s="121"/>
      <x:c r="F372" s="241"/>
      <x:c r="G372" s="241"/>
      <x:c r="H372" s="241"/>
      <x:c r="I372" s="241"/>
      <x:c r="J372" s="241"/>
      <x:c r="K372" s="241"/>
      <x:c r="L372" s="241"/>
      <x:c r="M372" s="241"/>
      <x:c r="N372" s="241"/>
      <x:c r="O372" s="241"/>
      <x:c r="P372" s="241"/>
      <x:c r="Q372" s="241"/>
      <x:c r="R372" s="241"/>
      <x:c r="S372" s="241"/>
      <x:c r="T372" s="241"/>
      <x:c r="U372" s="241"/>
      <x:c r="V372" s="241"/>
      <x:c r="W372" s="241"/>
      <x:c r="X372" s="241"/>
      <x:c r="Y372" s="241"/>
      <x:c r="Z372" s="241"/>
      <x:c r="AA372" s="241"/>
      <x:c r="AB372" s="241"/>
      <x:c r="AC372" s="241"/>
      <x:c r="AD372" s="241"/>
      <x:c r="AE372" s="241"/>
      <x:c r="AF372" s="241"/>
      <x:c r="AG372" s="241"/>
      <x:c r="AH372" s="241"/>
      <x:c r="AI372" s="241"/>
      <x:c r="AJ372" s="241"/>
      <x:c r="AK372" s="220"/>
      <x:c r="AL372" s="221"/>
      <x:c r="AM372" s="221"/>
      <x:c r="AN372" s="123"/>
      <x:c r="AO372" s="123"/>
    </x:row>
    <x:row r="373" spans="1:47" ht="15" customHeight="1">
      <x:c r="A373" s="69"/>
      <x:c r="B373" s="216"/>
      <x:c r="C373" s="121"/>
      <x:c r="D373" s="121"/>
      <x:c r="E373" s="121"/>
      <x:c r="F373" s="241"/>
      <x:c r="G373" s="241"/>
      <x:c r="H373" s="241"/>
      <x:c r="I373" s="241"/>
      <x:c r="J373" s="241"/>
      <x:c r="K373" s="241"/>
      <x:c r="L373" s="241"/>
      <x:c r="M373" s="241"/>
      <x:c r="N373" s="241"/>
      <x:c r="O373" s="241"/>
      <x:c r="P373" s="241"/>
      <x:c r="Q373" s="241"/>
      <x:c r="R373" s="241"/>
      <x:c r="S373" s="241"/>
      <x:c r="T373" s="241"/>
      <x:c r="U373" s="241"/>
      <x:c r="V373" s="241"/>
      <x:c r="W373" s="241"/>
      <x:c r="X373" s="241"/>
      <x:c r="Y373" s="241"/>
      <x:c r="Z373" s="241"/>
      <x:c r="AA373" s="241"/>
      <x:c r="AB373" s="241"/>
      <x:c r="AC373" s="241"/>
      <x:c r="AD373" s="241"/>
      <x:c r="AE373" s="241"/>
      <x:c r="AF373" s="241"/>
      <x:c r="AG373" s="241"/>
      <x:c r="AH373" s="241"/>
      <x:c r="AI373" s="241"/>
      <x:c r="AJ373" s="241"/>
      <x:c r="AK373" s="220"/>
      <x:c r="AL373" s="221"/>
      <x:c r="AM373" s="221"/>
      <x:c r="AN373" s="123"/>
      <x:c r="AO373" s="123"/>
    </x:row>
    <x:row r="374" spans="1:47" ht="15" customHeight="1">
      <x:c r="A374" s="69"/>
      <x:c r="B374" s="216"/>
      <x:c r="C374" s="121"/>
      <x:c r="D374" s="121"/>
      <x:c r="E374" s="121"/>
      <x:c r="F374" s="241"/>
      <x:c r="G374" s="241"/>
      <x:c r="H374" s="241"/>
      <x:c r="I374" s="241"/>
      <x:c r="J374" s="241"/>
      <x:c r="K374" s="241"/>
      <x:c r="L374" s="241"/>
      <x:c r="M374" s="241"/>
      <x:c r="N374" s="241"/>
      <x:c r="O374" s="241"/>
      <x:c r="P374" s="241"/>
      <x:c r="Q374" s="241"/>
      <x:c r="R374" s="241"/>
      <x:c r="S374" s="241"/>
      <x:c r="T374" s="241"/>
      <x:c r="U374" s="241"/>
      <x:c r="V374" s="241"/>
      <x:c r="W374" s="241"/>
      <x:c r="X374" s="241"/>
      <x:c r="Y374" s="241"/>
      <x:c r="Z374" s="241"/>
      <x:c r="AA374" s="241"/>
      <x:c r="AB374" s="241"/>
      <x:c r="AC374" s="241"/>
      <x:c r="AD374" s="241"/>
      <x:c r="AE374" s="241"/>
      <x:c r="AF374" s="241"/>
      <x:c r="AG374" s="241"/>
      <x:c r="AH374" s="241"/>
      <x:c r="AI374" s="241"/>
      <x:c r="AJ374" s="241"/>
      <x:c r="AK374" s="220"/>
      <x:c r="AL374" s="221"/>
      <x:c r="AM374" s="221"/>
      <x:c r="AN374" s="123"/>
      <x:c r="AO374" s="123"/>
    </x:row>
    <x:row r="375" spans="1:47" ht="15" customHeight="1">
      <x:c r="A375" s="69"/>
      <x:c r="B375" s="216"/>
      <x:c r="C375" s="121"/>
      <x:c r="D375" s="121"/>
      <x:c r="E375" s="121"/>
      <x:c r="F375" s="241"/>
      <x:c r="G375" s="241"/>
      <x:c r="H375" s="241"/>
      <x:c r="I375" s="241"/>
      <x:c r="J375" s="241"/>
      <x:c r="K375" s="241"/>
      <x:c r="L375" s="241"/>
      <x:c r="M375" s="241"/>
      <x:c r="N375" s="241"/>
      <x:c r="O375" s="241"/>
      <x:c r="P375" s="241"/>
      <x:c r="Q375" s="241"/>
      <x:c r="R375" s="241"/>
      <x:c r="S375" s="241"/>
      <x:c r="T375" s="241"/>
      <x:c r="U375" s="241"/>
      <x:c r="V375" s="241"/>
      <x:c r="W375" s="241"/>
      <x:c r="X375" s="241"/>
      <x:c r="Y375" s="241"/>
      <x:c r="Z375" s="241"/>
      <x:c r="AA375" s="241"/>
      <x:c r="AB375" s="241"/>
      <x:c r="AC375" s="241"/>
      <x:c r="AD375" s="241"/>
      <x:c r="AE375" s="241"/>
      <x:c r="AF375" s="241"/>
      <x:c r="AG375" s="241"/>
      <x:c r="AH375" s="241"/>
      <x:c r="AI375" s="241"/>
      <x:c r="AJ375" s="241"/>
      <x:c r="AK375" s="220"/>
      <x:c r="AL375" s="221"/>
      <x:c r="AM375" s="221"/>
      <x:c r="AN375" s="123"/>
      <x:c r="AO375" s="123"/>
    </x:row>
    <x:row r="376" spans="1:47" ht="15" customHeight="1">
      <x:c r="A376" s="69"/>
      <x:c r="B376" s="216"/>
      <x:c r="C376" s="121"/>
      <x:c r="D376" s="121"/>
      <x:c r="E376" s="121"/>
      <x:c r="F376" s="241"/>
      <x:c r="G376" s="241"/>
      <x:c r="H376" s="241"/>
      <x:c r="I376" s="241"/>
      <x:c r="J376" s="241"/>
      <x:c r="K376" s="241"/>
      <x:c r="L376" s="241"/>
      <x:c r="M376" s="241"/>
      <x:c r="N376" s="241"/>
      <x:c r="O376" s="241"/>
      <x:c r="P376" s="241"/>
      <x:c r="Q376" s="241"/>
      <x:c r="R376" s="241"/>
      <x:c r="S376" s="241"/>
      <x:c r="T376" s="241"/>
      <x:c r="U376" s="241"/>
      <x:c r="V376" s="241"/>
      <x:c r="W376" s="241"/>
      <x:c r="X376" s="241"/>
      <x:c r="Y376" s="241"/>
      <x:c r="Z376" s="241"/>
      <x:c r="AA376" s="241"/>
      <x:c r="AB376" s="241"/>
      <x:c r="AC376" s="241"/>
      <x:c r="AD376" s="241"/>
      <x:c r="AE376" s="241"/>
      <x:c r="AF376" s="241"/>
      <x:c r="AG376" s="241"/>
      <x:c r="AH376" s="241"/>
      <x:c r="AI376" s="241"/>
      <x:c r="AJ376" s="241"/>
      <x:c r="AK376" s="220"/>
      <x:c r="AL376" s="221"/>
      <x:c r="AM376" s="221"/>
      <x:c r="AN376" s="123"/>
      <x:c r="AO376" s="123"/>
    </x:row>
    <x:row r="377" spans="1:47" ht="15" customHeight="1">
      <x:c r="A377" s="69"/>
      <x:c r="B377" s="216"/>
      <x:c r="C377" s="121"/>
      <x:c r="D377" s="121"/>
      <x:c r="E377" s="121"/>
      <x:c r="F377" s="241"/>
      <x:c r="G377" s="241"/>
      <x:c r="H377" s="241"/>
      <x:c r="I377" s="241"/>
      <x:c r="J377" s="241"/>
      <x:c r="K377" s="241"/>
      <x:c r="L377" s="241"/>
      <x:c r="M377" s="241"/>
      <x:c r="N377" s="241"/>
      <x:c r="O377" s="241"/>
      <x:c r="P377" s="241"/>
      <x:c r="Q377" s="241"/>
      <x:c r="R377" s="241"/>
      <x:c r="S377" s="241"/>
      <x:c r="T377" s="241"/>
      <x:c r="U377" s="241"/>
      <x:c r="V377" s="241"/>
      <x:c r="W377" s="241"/>
      <x:c r="X377" s="241"/>
      <x:c r="Y377" s="241"/>
      <x:c r="Z377" s="241"/>
      <x:c r="AA377" s="241"/>
      <x:c r="AB377" s="241"/>
      <x:c r="AC377" s="241"/>
      <x:c r="AD377" s="241"/>
      <x:c r="AE377" s="241"/>
      <x:c r="AF377" s="241"/>
      <x:c r="AG377" s="241"/>
      <x:c r="AH377" s="241"/>
      <x:c r="AI377" s="241"/>
      <x:c r="AJ377" s="241"/>
      <x:c r="AK377" s="220"/>
      <x:c r="AL377" s="221"/>
      <x:c r="AM377" s="221"/>
      <x:c r="AN377" s="123"/>
      <x:c r="AO377" s="123"/>
    </x:row>
    <x:row r="378" spans="1:47" ht="15" customHeight="1">
      <x:c r="A378" s="69"/>
      <x:c r="B378" s="216"/>
      <x:c r="C378" s="121"/>
      <x:c r="D378" s="121"/>
      <x:c r="E378" s="121"/>
      <x:c r="F378" s="241"/>
      <x:c r="G378" s="241"/>
      <x:c r="H378" s="241"/>
      <x:c r="I378" s="241"/>
      <x:c r="J378" s="241"/>
      <x:c r="K378" s="241"/>
      <x:c r="L378" s="241"/>
      <x:c r="M378" s="241"/>
      <x:c r="N378" s="241"/>
      <x:c r="O378" s="241"/>
      <x:c r="P378" s="241"/>
      <x:c r="Q378" s="241"/>
      <x:c r="R378" s="241"/>
      <x:c r="S378" s="241"/>
      <x:c r="T378" s="241"/>
      <x:c r="U378" s="241"/>
      <x:c r="V378" s="241"/>
      <x:c r="W378" s="241"/>
      <x:c r="X378" s="241"/>
      <x:c r="Y378" s="241"/>
      <x:c r="Z378" s="241"/>
      <x:c r="AA378" s="241"/>
      <x:c r="AB378" s="241"/>
      <x:c r="AC378" s="241"/>
      <x:c r="AD378" s="241"/>
      <x:c r="AE378" s="241"/>
      <x:c r="AF378" s="241"/>
      <x:c r="AG378" s="241"/>
      <x:c r="AH378" s="241"/>
      <x:c r="AI378" s="241"/>
      <x:c r="AJ378" s="241"/>
      <x:c r="AK378" s="220"/>
      <x:c r="AL378" s="221"/>
      <x:c r="AM378" s="221"/>
      <x:c r="AN378" s="123"/>
      <x:c r="AO378" s="123"/>
    </x:row>
    <x:row r="379" spans="1:47" ht="15" customHeight="1">
      <x:c r="A379" s="69"/>
      <x:c r="B379" s="216"/>
      <x:c r="C379" s="121"/>
      <x:c r="D379" s="121"/>
      <x:c r="E379" s="121"/>
      <x:c r="F379" s="241"/>
      <x:c r="G379" s="241"/>
      <x:c r="H379" s="241"/>
      <x:c r="I379" s="241"/>
      <x:c r="J379" s="241"/>
      <x:c r="K379" s="241"/>
      <x:c r="L379" s="241"/>
      <x:c r="M379" s="241"/>
      <x:c r="N379" s="241"/>
      <x:c r="O379" s="241"/>
      <x:c r="P379" s="241"/>
      <x:c r="Q379" s="241"/>
      <x:c r="R379" s="241"/>
      <x:c r="S379" s="241"/>
      <x:c r="T379" s="241"/>
      <x:c r="U379" s="241"/>
      <x:c r="V379" s="241"/>
      <x:c r="W379" s="241"/>
      <x:c r="X379" s="241"/>
      <x:c r="Y379" s="241"/>
      <x:c r="Z379" s="241"/>
      <x:c r="AA379" s="241"/>
      <x:c r="AB379" s="241"/>
      <x:c r="AC379" s="241"/>
      <x:c r="AD379" s="241"/>
      <x:c r="AE379" s="241"/>
      <x:c r="AF379" s="241"/>
      <x:c r="AG379" s="241"/>
      <x:c r="AH379" s="241"/>
      <x:c r="AI379" s="241"/>
      <x:c r="AJ379" s="241"/>
      <x:c r="AK379" s="220"/>
      <x:c r="AL379" s="221"/>
      <x:c r="AM379" s="221"/>
      <x:c r="AN379" s="123"/>
      <x:c r="AO379" s="123"/>
    </x:row>
    <x:row r="380" spans="1:47" ht="15" customHeight="1">
      <x:c r="A380" s="69"/>
      <x:c r="B380" s="216"/>
      <x:c r="C380" s="121"/>
      <x:c r="D380" s="121"/>
      <x:c r="E380" s="121"/>
      <x:c r="F380" s="241"/>
      <x:c r="G380" s="241"/>
      <x:c r="H380" s="241"/>
      <x:c r="I380" s="241"/>
      <x:c r="J380" s="241"/>
      <x:c r="K380" s="241"/>
      <x:c r="L380" s="241"/>
      <x:c r="M380" s="241"/>
      <x:c r="N380" s="241"/>
      <x:c r="O380" s="241"/>
      <x:c r="P380" s="241"/>
      <x:c r="Q380" s="241"/>
      <x:c r="R380" s="241"/>
      <x:c r="S380" s="241"/>
      <x:c r="T380" s="241"/>
      <x:c r="U380" s="241"/>
      <x:c r="V380" s="241"/>
      <x:c r="W380" s="241"/>
      <x:c r="X380" s="241"/>
      <x:c r="Y380" s="241"/>
      <x:c r="Z380" s="241"/>
      <x:c r="AA380" s="241"/>
      <x:c r="AB380" s="241"/>
      <x:c r="AC380" s="241"/>
      <x:c r="AD380" s="241"/>
      <x:c r="AE380" s="241"/>
      <x:c r="AF380" s="241"/>
      <x:c r="AG380" s="241"/>
      <x:c r="AH380" s="241"/>
      <x:c r="AI380" s="241"/>
      <x:c r="AJ380" s="241"/>
      <x:c r="AK380" s="220"/>
      <x:c r="AL380" s="221"/>
      <x:c r="AM380" s="221"/>
      <x:c r="AN380" s="123"/>
      <x:c r="AO380" s="123"/>
    </x:row>
    <x:row r="381" spans="1:47" ht="15" customHeight="1">
      <x:c r="A381" s="69"/>
      <x:c r="B381" s="216"/>
      <x:c r="C381" s="121"/>
      <x:c r="D381" s="121"/>
      <x:c r="E381" s="121"/>
      <x:c r="F381" s="241"/>
      <x:c r="G381" s="241"/>
      <x:c r="H381" s="241"/>
      <x:c r="I381" s="241"/>
      <x:c r="J381" s="241"/>
      <x:c r="K381" s="241"/>
      <x:c r="L381" s="241"/>
      <x:c r="M381" s="241"/>
      <x:c r="N381" s="241"/>
      <x:c r="O381" s="241"/>
      <x:c r="P381" s="241"/>
      <x:c r="Q381" s="241"/>
      <x:c r="R381" s="241"/>
      <x:c r="S381" s="241"/>
      <x:c r="T381" s="241"/>
      <x:c r="U381" s="241"/>
      <x:c r="V381" s="241"/>
      <x:c r="W381" s="241"/>
      <x:c r="X381" s="241"/>
      <x:c r="Y381" s="241"/>
      <x:c r="Z381" s="241"/>
      <x:c r="AA381" s="241"/>
      <x:c r="AB381" s="241"/>
      <x:c r="AC381" s="241"/>
      <x:c r="AD381" s="241"/>
      <x:c r="AE381" s="241"/>
      <x:c r="AF381" s="241"/>
      <x:c r="AG381" s="241"/>
      <x:c r="AH381" s="241"/>
      <x:c r="AI381" s="241"/>
      <x:c r="AJ381" s="241"/>
      <x:c r="AK381" s="220"/>
      <x:c r="AL381" s="221"/>
      <x:c r="AM381" s="221"/>
      <x:c r="AN381" s="123"/>
      <x:c r="AO381" s="123"/>
    </x:row>
    <x:row r="382" spans="1:47" ht="15" customHeight="1">
      <x:c r="A382" s="69"/>
      <x:c r="B382" s="216"/>
      <x:c r="C382" s="121"/>
      <x:c r="D382" s="121"/>
      <x:c r="E382" s="121"/>
      <x:c r="F382" s="241"/>
      <x:c r="G382" s="241"/>
      <x:c r="H382" s="241"/>
      <x:c r="I382" s="241"/>
      <x:c r="J382" s="241"/>
      <x:c r="K382" s="241"/>
      <x:c r="L382" s="241"/>
      <x:c r="M382" s="241"/>
      <x:c r="N382" s="241"/>
      <x:c r="O382" s="241"/>
      <x:c r="P382" s="241"/>
      <x:c r="Q382" s="241"/>
      <x:c r="R382" s="241"/>
      <x:c r="S382" s="241"/>
      <x:c r="T382" s="241"/>
      <x:c r="U382" s="241"/>
      <x:c r="V382" s="241"/>
      <x:c r="W382" s="241"/>
      <x:c r="X382" s="241"/>
      <x:c r="Y382" s="241"/>
      <x:c r="Z382" s="241"/>
      <x:c r="AA382" s="241"/>
      <x:c r="AB382" s="241"/>
      <x:c r="AC382" s="241"/>
      <x:c r="AD382" s="241"/>
      <x:c r="AE382" s="241"/>
      <x:c r="AF382" s="241"/>
      <x:c r="AG382" s="241"/>
      <x:c r="AH382" s="241"/>
      <x:c r="AI382" s="241"/>
      <x:c r="AJ382" s="241"/>
      <x:c r="AK382" s="220"/>
      <x:c r="AL382" s="221"/>
      <x:c r="AM382" s="221"/>
      <x:c r="AN382" s="123"/>
      <x:c r="AO382" s="123"/>
    </x:row>
    <x:row r="383" spans="1:47" ht="15" customHeight="1">
      <x:c r="A383" s="69"/>
      <x:c r="B383" s="216"/>
      <x:c r="C383" s="121"/>
      <x:c r="D383" s="121"/>
      <x:c r="E383" s="121"/>
      <x:c r="F383" s="241"/>
      <x:c r="G383" s="241"/>
      <x:c r="H383" s="241"/>
      <x:c r="I383" s="241"/>
      <x:c r="J383" s="241"/>
      <x:c r="K383" s="241"/>
      <x:c r="L383" s="241"/>
      <x:c r="M383" s="241"/>
      <x:c r="N383" s="241"/>
      <x:c r="O383" s="241"/>
      <x:c r="P383" s="241"/>
      <x:c r="Q383" s="241"/>
      <x:c r="R383" s="241"/>
      <x:c r="S383" s="241"/>
      <x:c r="T383" s="241"/>
      <x:c r="U383" s="241"/>
      <x:c r="V383" s="241"/>
      <x:c r="W383" s="241"/>
      <x:c r="X383" s="241"/>
      <x:c r="Y383" s="241"/>
      <x:c r="Z383" s="241"/>
      <x:c r="AA383" s="241"/>
      <x:c r="AB383" s="241"/>
      <x:c r="AC383" s="241"/>
      <x:c r="AD383" s="241"/>
      <x:c r="AE383" s="241"/>
      <x:c r="AF383" s="241"/>
      <x:c r="AG383" s="241"/>
      <x:c r="AH383" s="241"/>
      <x:c r="AI383" s="241"/>
      <x:c r="AJ383" s="241"/>
      <x:c r="AK383" s="220"/>
      <x:c r="AL383" s="221"/>
      <x:c r="AM383" s="221"/>
      <x:c r="AN383" s="123"/>
      <x:c r="AO383" s="123"/>
    </x:row>
    <x:row r="384" spans="1:47" ht="15" customHeight="1">
      <x:c r="A384" s="69"/>
      <x:c r="B384" s="216"/>
      <x:c r="C384" s="121"/>
      <x:c r="D384" s="121"/>
      <x:c r="E384" s="121"/>
      <x:c r="F384" s="241"/>
      <x:c r="G384" s="241"/>
      <x:c r="H384" s="241"/>
      <x:c r="I384" s="241"/>
      <x:c r="J384" s="241"/>
      <x:c r="K384" s="241"/>
      <x:c r="L384" s="241"/>
      <x:c r="M384" s="241"/>
      <x:c r="N384" s="241"/>
      <x:c r="O384" s="241"/>
      <x:c r="P384" s="241"/>
      <x:c r="Q384" s="241"/>
      <x:c r="R384" s="241"/>
      <x:c r="S384" s="241"/>
      <x:c r="T384" s="241"/>
      <x:c r="U384" s="241"/>
      <x:c r="V384" s="241"/>
      <x:c r="W384" s="241"/>
      <x:c r="X384" s="241"/>
      <x:c r="Y384" s="241"/>
      <x:c r="Z384" s="241"/>
      <x:c r="AA384" s="241"/>
      <x:c r="AB384" s="241"/>
      <x:c r="AC384" s="241"/>
      <x:c r="AD384" s="241"/>
      <x:c r="AE384" s="241"/>
      <x:c r="AF384" s="241"/>
      <x:c r="AG384" s="241"/>
      <x:c r="AH384" s="241"/>
      <x:c r="AI384" s="241"/>
      <x:c r="AJ384" s="241"/>
      <x:c r="AK384" s="220"/>
      <x:c r="AL384" s="221"/>
      <x:c r="AM384" s="221"/>
      <x:c r="AN384" s="123"/>
      <x:c r="AO384" s="123"/>
    </x:row>
    <x:row r="385" spans="1:47" ht="15" customHeight="1">
      <x:c r="A385" s="69"/>
      <x:c r="B385" s="216"/>
      <x:c r="C385" s="121"/>
      <x:c r="D385" s="121"/>
      <x:c r="E385" s="121"/>
      <x:c r="F385" s="241"/>
      <x:c r="G385" s="241"/>
      <x:c r="H385" s="241"/>
      <x:c r="I385" s="241"/>
      <x:c r="J385" s="241"/>
      <x:c r="K385" s="241"/>
      <x:c r="L385" s="241"/>
      <x:c r="M385" s="241"/>
      <x:c r="N385" s="241"/>
      <x:c r="O385" s="241"/>
      <x:c r="P385" s="241"/>
      <x:c r="Q385" s="241"/>
      <x:c r="R385" s="241"/>
      <x:c r="S385" s="241"/>
      <x:c r="T385" s="241"/>
      <x:c r="U385" s="241"/>
      <x:c r="V385" s="241"/>
      <x:c r="W385" s="241"/>
      <x:c r="X385" s="241"/>
      <x:c r="Y385" s="241"/>
      <x:c r="Z385" s="241"/>
      <x:c r="AA385" s="241"/>
      <x:c r="AB385" s="241"/>
      <x:c r="AC385" s="241"/>
      <x:c r="AD385" s="241"/>
      <x:c r="AE385" s="241"/>
      <x:c r="AF385" s="241"/>
      <x:c r="AG385" s="241"/>
      <x:c r="AH385" s="241"/>
      <x:c r="AI385" s="241"/>
      <x:c r="AJ385" s="241"/>
      <x:c r="AK385" s="220"/>
      <x:c r="AL385" s="221"/>
      <x:c r="AM385" s="221"/>
      <x:c r="AN385" s="123"/>
      <x:c r="AO385" s="123"/>
    </x:row>
    <x:row r="386" spans="1:47" ht="15" customHeight="1">
      <x:c r="A386" s="69"/>
      <x:c r="B386" s="216"/>
      <x:c r="C386" s="121"/>
      <x:c r="D386" s="121"/>
      <x:c r="E386" s="121"/>
      <x:c r="F386" s="241"/>
      <x:c r="G386" s="241"/>
      <x:c r="H386" s="241"/>
      <x:c r="I386" s="241"/>
      <x:c r="J386" s="241"/>
      <x:c r="K386" s="241"/>
      <x:c r="L386" s="241"/>
      <x:c r="M386" s="241"/>
      <x:c r="N386" s="241"/>
      <x:c r="O386" s="241"/>
      <x:c r="P386" s="241"/>
      <x:c r="Q386" s="241"/>
      <x:c r="R386" s="241"/>
      <x:c r="S386" s="241"/>
      <x:c r="T386" s="241"/>
      <x:c r="U386" s="241"/>
      <x:c r="V386" s="241"/>
      <x:c r="W386" s="241"/>
      <x:c r="X386" s="241"/>
      <x:c r="Y386" s="241"/>
      <x:c r="Z386" s="241"/>
      <x:c r="AA386" s="241"/>
      <x:c r="AB386" s="241"/>
      <x:c r="AC386" s="241"/>
      <x:c r="AD386" s="241"/>
      <x:c r="AE386" s="241"/>
      <x:c r="AF386" s="241"/>
      <x:c r="AG386" s="241"/>
      <x:c r="AH386" s="241"/>
      <x:c r="AI386" s="241"/>
      <x:c r="AJ386" s="241"/>
      <x:c r="AK386" s="220"/>
      <x:c r="AL386" s="221"/>
      <x:c r="AM386" s="221"/>
      <x:c r="AN386" s="123"/>
      <x:c r="AO386" s="123"/>
    </x:row>
    <x:row r="387" spans="1:47" ht="15" customHeight="1">
      <x:c r="A387" s="69"/>
      <x:c r="B387" s="216"/>
      <x:c r="C387" s="121"/>
      <x:c r="D387" s="121"/>
      <x:c r="E387" s="121"/>
      <x:c r="F387" s="241"/>
      <x:c r="G387" s="241"/>
      <x:c r="H387" s="241"/>
      <x:c r="I387" s="241"/>
      <x:c r="J387" s="241"/>
      <x:c r="K387" s="241"/>
      <x:c r="L387" s="241"/>
      <x:c r="M387" s="241"/>
      <x:c r="N387" s="241"/>
      <x:c r="O387" s="241"/>
      <x:c r="P387" s="241"/>
      <x:c r="Q387" s="241"/>
      <x:c r="R387" s="241"/>
      <x:c r="S387" s="241"/>
      <x:c r="T387" s="241"/>
      <x:c r="U387" s="241"/>
      <x:c r="V387" s="241"/>
      <x:c r="W387" s="241"/>
      <x:c r="X387" s="241"/>
      <x:c r="Y387" s="241"/>
      <x:c r="Z387" s="241"/>
      <x:c r="AA387" s="241"/>
      <x:c r="AB387" s="241"/>
      <x:c r="AC387" s="241"/>
      <x:c r="AD387" s="241"/>
      <x:c r="AE387" s="241"/>
      <x:c r="AF387" s="241"/>
      <x:c r="AG387" s="241"/>
      <x:c r="AH387" s="241"/>
      <x:c r="AI387" s="241"/>
      <x:c r="AJ387" s="241"/>
      <x:c r="AK387" s="220"/>
      <x:c r="AL387" s="221"/>
      <x:c r="AM387" s="221"/>
      <x:c r="AN387" s="123"/>
      <x:c r="AO387" s="123"/>
    </x:row>
    <x:row r="388" spans="1:47" ht="15" customHeight="1">
      <x:c r="A388" s="69"/>
      <x:c r="B388" s="216"/>
      <x:c r="C388" s="121"/>
      <x:c r="D388" s="121"/>
      <x:c r="E388" s="121"/>
      <x:c r="F388" s="241"/>
      <x:c r="G388" s="241"/>
      <x:c r="H388" s="241"/>
      <x:c r="I388" s="241"/>
      <x:c r="J388" s="241"/>
      <x:c r="K388" s="241"/>
      <x:c r="L388" s="241"/>
      <x:c r="M388" s="241"/>
      <x:c r="N388" s="241"/>
      <x:c r="O388" s="241"/>
      <x:c r="P388" s="241"/>
      <x:c r="Q388" s="241"/>
      <x:c r="R388" s="241"/>
      <x:c r="S388" s="241"/>
      <x:c r="T388" s="241"/>
      <x:c r="U388" s="241"/>
      <x:c r="V388" s="241"/>
      <x:c r="W388" s="241"/>
      <x:c r="X388" s="241"/>
      <x:c r="Y388" s="241"/>
      <x:c r="Z388" s="241"/>
      <x:c r="AA388" s="241"/>
      <x:c r="AB388" s="241"/>
      <x:c r="AC388" s="241"/>
      <x:c r="AD388" s="241"/>
      <x:c r="AE388" s="241"/>
      <x:c r="AF388" s="241"/>
      <x:c r="AG388" s="241"/>
      <x:c r="AH388" s="241"/>
      <x:c r="AI388" s="241"/>
      <x:c r="AJ388" s="241"/>
      <x:c r="AK388" s="220"/>
      <x:c r="AL388" s="221"/>
      <x:c r="AM388" s="221"/>
      <x:c r="AN388" s="123"/>
      <x:c r="AO388" s="123"/>
    </x:row>
    <x:row r="389" spans="1:47" ht="15" customHeight="1">
      <x:c r="A389" s="69"/>
      <x:c r="B389" s="216"/>
      <x:c r="C389" s="121"/>
      <x:c r="D389" s="121"/>
      <x:c r="E389" s="121"/>
      <x:c r="F389" s="241"/>
      <x:c r="G389" s="241"/>
      <x:c r="H389" s="241"/>
      <x:c r="I389" s="241"/>
      <x:c r="J389" s="241"/>
      <x:c r="K389" s="241"/>
      <x:c r="L389" s="241"/>
      <x:c r="M389" s="241"/>
      <x:c r="N389" s="241"/>
      <x:c r="O389" s="241"/>
      <x:c r="P389" s="241"/>
      <x:c r="Q389" s="241"/>
      <x:c r="R389" s="241"/>
      <x:c r="S389" s="241"/>
      <x:c r="T389" s="241"/>
      <x:c r="U389" s="241"/>
      <x:c r="V389" s="241"/>
      <x:c r="W389" s="241"/>
      <x:c r="X389" s="241"/>
      <x:c r="Y389" s="241"/>
      <x:c r="Z389" s="241"/>
      <x:c r="AA389" s="241"/>
      <x:c r="AB389" s="241"/>
      <x:c r="AC389" s="241"/>
      <x:c r="AD389" s="241"/>
      <x:c r="AE389" s="241"/>
      <x:c r="AF389" s="241"/>
      <x:c r="AG389" s="241"/>
      <x:c r="AH389" s="241"/>
      <x:c r="AI389" s="241"/>
      <x:c r="AJ389" s="241"/>
      <x:c r="AK389" s="220"/>
      <x:c r="AL389" s="221"/>
      <x:c r="AM389" s="221"/>
      <x:c r="AN389" s="123"/>
      <x:c r="AO389" s="123"/>
    </x:row>
    <x:row r="390" spans="1:47" ht="15" customHeight="1">
      <x:c r="A390" s="69"/>
      <x:c r="B390" s="216"/>
      <x:c r="C390" s="121"/>
      <x:c r="D390" s="121"/>
      <x:c r="E390" s="121"/>
      <x:c r="F390" s="241"/>
      <x:c r="G390" s="241"/>
      <x:c r="H390" s="241"/>
      <x:c r="I390" s="241"/>
      <x:c r="J390" s="241"/>
      <x:c r="K390" s="241"/>
      <x:c r="L390" s="241"/>
      <x:c r="M390" s="241"/>
      <x:c r="N390" s="241"/>
      <x:c r="O390" s="241"/>
      <x:c r="P390" s="241"/>
      <x:c r="Q390" s="241"/>
      <x:c r="R390" s="241"/>
      <x:c r="S390" s="241"/>
      <x:c r="T390" s="241"/>
      <x:c r="U390" s="241"/>
      <x:c r="V390" s="241"/>
      <x:c r="W390" s="241"/>
      <x:c r="X390" s="241"/>
      <x:c r="Y390" s="241"/>
      <x:c r="Z390" s="241"/>
      <x:c r="AA390" s="241"/>
      <x:c r="AB390" s="241"/>
      <x:c r="AC390" s="241"/>
      <x:c r="AD390" s="241"/>
      <x:c r="AE390" s="241"/>
      <x:c r="AF390" s="241"/>
      <x:c r="AG390" s="241"/>
      <x:c r="AH390" s="241"/>
      <x:c r="AI390" s="241"/>
      <x:c r="AJ390" s="241"/>
      <x:c r="AK390" s="220"/>
      <x:c r="AL390" s="221"/>
      <x:c r="AM390" s="221"/>
      <x:c r="AN390" s="123"/>
      <x:c r="AO390" s="123"/>
    </x:row>
    <x:row r="391" spans="1:47" ht="15" customHeight="1">
      <x:c r="A391" s="69"/>
      <x:c r="B391" s="216"/>
      <x:c r="C391" s="121"/>
      <x:c r="D391" s="121"/>
      <x:c r="E391" s="121"/>
      <x:c r="F391" s="241"/>
      <x:c r="G391" s="241"/>
      <x:c r="H391" s="241"/>
      <x:c r="I391" s="241"/>
      <x:c r="J391" s="241"/>
      <x:c r="K391" s="241"/>
      <x:c r="L391" s="241"/>
      <x:c r="M391" s="241"/>
      <x:c r="N391" s="241"/>
      <x:c r="O391" s="241"/>
      <x:c r="P391" s="241"/>
      <x:c r="Q391" s="241"/>
      <x:c r="R391" s="241"/>
      <x:c r="S391" s="241"/>
      <x:c r="T391" s="241"/>
      <x:c r="U391" s="241"/>
      <x:c r="V391" s="241"/>
      <x:c r="W391" s="241"/>
      <x:c r="X391" s="241"/>
      <x:c r="Y391" s="241"/>
      <x:c r="Z391" s="241"/>
      <x:c r="AA391" s="241"/>
      <x:c r="AB391" s="241"/>
      <x:c r="AC391" s="241"/>
      <x:c r="AD391" s="241"/>
      <x:c r="AE391" s="241"/>
      <x:c r="AF391" s="241"/>
      <x:c r="AG391" s="241"/>
      <x:c r="AH391" s="241"/>
      <x:c r="AI391" s="241"/>
      <x:c r="AJ391" s="241"/>
      <x:c r="AK391" s="220"/>
      <x:c r="AL391" s="221"/>
      <x:c r="AM391" s="221"/>
      <x:c r="AN391" s="123"/>
      <x:c r="AO391" s="123"/>
    </x:row>
    <x:row r="392" spans="1:47" ht="15" customHeight="1">
      <x:c r="A392" s="69"/>
      <x:c r="B392" s="216"/>
      <x:c r="C392" s="121"/>
      <x:c r="D392" s="121"/>
      <x:c r="E392" s="121"/>
      <x:c r="F392" s="241"/>
      <x:c r="G392" s="241"/>
      <x:c r="H392" s="241"/>
      <x:c r="I392" s="241"/>
      <x:c r="J392" s="241"/>
      <x:c r="K392" s="241"/>
      <x:c r="L392" s="241"/>
      <x:c r="M392" s="241"/>
      <x:c r="N392" s="241"/>
      <x:c r="O392" s="241"/>
      <x:c r="P392" s="241"/>
      <x:c r="Q392" s="241"/>
      <x:c r="R392" s="241"/>
      <x:c r="S392" s="241"/>
      <x:c r="T392" s="241"/>
      <x:c r="U392" s="241"/>
      <x:c r="V392" s="241"/>
      <x:c r="W392" s="241"/>
      <x:c r="X392" s="241"/>
      <x:c r="Y392" s="241"/>
      <x:c r="Z392" s="241"/>
      <x:c r="AA392" s="241"/>
      <x:c r="AB392" s="241"/>
      <x:c r="AC392" s="241"/>
      <x:c r="AD392" s="241"/>
      <x:c r="AE392" s="241"/>
      <x:c r="AF392" s="241"/>
      <x:c r="AG392" s="241"/>
      <x:c r="AH392" s="241"/>
      <x:c r="AI392" s="241"/>
      <x:c r="AJ392" s="241"/>
      <x:c r="AK392" s="220"/>
      <x:c r="AL392" s="221"/>
      <x:c r="AM392" s="221"/>
      <x:c r="AN392" s="123"/>
      <x:c r="AO392" s="123"/>
    </x:row>
    <x:row r="393" spans="1:47" ht="15" customHeight="1">
      <x:c r="A393" s="69"/>
      <x:c r="B393" s="216"/>
      <x:c r="C393" s="121"/>
      <x:c r="D393" s="121"/>
      <x:c r="E393" s="121"/>
      <x:c r="F393" s="241"/>
      <x:c r="G393" s="241"/>
      <x:c r="H393" s="241"/>
      <x:c r="I393" s="241"/>
      <x:c r="J393" s="241"/>
      <x:c r="K393" s="241"/>
      <x:c r="L393" s="241"/>
      <x:c r="M393" s="241"/>
      <x:c r="N393" s="241"/>
      <x:c r="O393" s="241"/>
      <x:c r="P393" s="241"/>
      <x:c r="Q393" s="241"/>
      <x:c r="R393" s="241"/>
      <x:c r="S393" s="241"/>
      <x:c r="T393" s="241"/>
      <x:c r="U393" s="241"/>
      <x:c r="V393" s="241"/>
      <x:c r="W393" s="241"/>
      <x:c r="X393" s="241"/>
      <x:c r="Y393" s="241"/>
      <x:c r="Z393" s="241"/>
      <x:c r="AA393" s="241"/>
      <x:c r="AB393" s="241"/>
      <x:c r="AC393" s="241"/>
      <x:c r="AD393" s="241"/>
      <x:c r="AE393" s="241"/>
      <x:c r="AF393" s="241"/>
      <x:c r="AG393" s="241"/>
      <x:c r="AH393" s="241"/>
      <x:c r="AI393" s="241"/>
      <x:c r="AJ393" s="241"/>
      <x:c r="AK393" s="220"/>
      <x:c r="AL393" s="221"/>
      <x:c r="AM393" s="221"/>
      <x:c r="AN393" s="123"/>
      <x:c r="AO393" s="123"/>
    </x:row>
    <x:row r="394" spans="1:47" ht="15" customHeight="1">
      <x:c r="A394" s="69"/>
      <x:c r="B394" s="216"/>
      <x:c r="C394" s="121"/>
      <x:c r="D394" s="121"/>
      <x:c r="E394" s="121"/>
      <x:c r="F394" s="241"/>
      <x:c r="G394" s="241"/>
      <x:c r="H394" s="241"/>
      <x:c r="I394" s="241"/>
      <x:c r="J394" s="241"/>
      <x:c r="K394" s="241"/>
      <x:c r="L394" s="241"/>
      <x:c r="M394" s="241"/>
      <x:c r="N394" s="241"/>
      <x:c r="O394" s="241"/>
      <x:c r="P394" s="241"/>
      <x:c r="Q394" s="241"/>
      <x:c r="R394" s="241"/>
      <x:c r="S394" s="241"/>
      <x:c r="T394" s="241"/>
      <x:c r="U394" s="241"/>
      <x:c r="V394" s="241"/>
      <x:c r="W394" s="241"/>
      <x:c r="X394" s="241"/>
      <x:c r="Y394" s="241"/>
      <x:c r="Z394" s="241"/>
      <x:c r="AA394" s="241"/>
      <x:c r="AB394" s="241"/>
      <x:c r="AC394" s="241"/>
      <x:c r="AD394" s="241"/>
      <x:c r="AE394" s="241"/>
      <x:c r="AF394" s="241"/>
      <x:c r="AG394" s="241"/>
      <x:c r="AH394" s="241"/>
      <x:c r="AI394" s="241"/>
      <x:c r="AJ394" s="241"/>
      <x:c r="AK394" s="220"/>
      <x:c r="AL394" s="221"/>
      <x:c r="AM394" s="221"/>
      <x:c r="AN394" s="123"/>
      <x:c r="AO394" s="123"/>
    </x:row>
    <x:row r="395" spans="1:47" ht="15" customHeight="1">
      <x:c r="A395" s="69"/>
      <x:c r="B395" s="216"/>
      <x:c r="C395" s="121"/>
      <x:c r="D395" s="121"/>
      <x:c r="E395" s="121"/>
      <x:c r="F395" s="241"/>
      <x:c r="G395" s="241"/>
      <x:c r="H395" s="241"/>
      <x:c r="I395" s="241"/>
      <x:c r="J395" s="241"/>
      <x:c r="K395" s="241"/>
      <x:c r="L395" s="241"/>
      <x:c r="M395" s="241"/>
      <x:c r="N395" s="241"/>
      <x:c r="O395" s="241"/>
      <x:c r="P395" s="241"/>
      <x:c r="Q395" s="241"/>
      <x:c r="R395" s="241"/>
      <x:c r="S395" s="241"/>
      <x:c r="T395" s="241"/>
      <x:c r="U395" s="241"/>
      <x:c r="V395" s="241"/>
      <x:c r="W395" s="241"/>
      <x:c r="X395" s="241"/>
      <x:c r="Y395" s="241"/>
      <x:c r="Z395" s="241"/>
      <x:c r="AA395" s="241"/>
      <x:c r="AB395" s="241"/>
      <x:c r="AC395" s="241"/>
      <x:c r="AD395" s="241"/>
      <x:c r="AE395" s="241"/>
      <x:c r="AF395" s="241"/>
      <x:c r="AG395" s="241"/>
      <x:c r="AH395" s="241"/>
      <x:c r="AI395" s="241"/>
      <x:c r="AJ395" s="241"/>
      <x:c r="AK395" s="220"/>
      <x:c r="AL395" s="221"/>
      <x:c r="AM395" s="221"/>
      <x:c r="AN395" s="123"/>
      <x:c r="AO395" s="123"/>
    </x:row>
    <x:row r="396" spans="1:47" ht="15" customHeight="1">
      <x:c r="A396" s="69"/>
      <x:c r="B396" s="216"/>
      <x:c r="C396" s="121"/>
      <x:c r="D396" s="121"/>
      <x:c r="E396" s="121"/>
      <x:c r="F396" s="241"/>
      <x:c r="G396" s="241"/>
      <x:c r="H396" s="241"/>
      <x:c r="I396" s="241"/>
      <x:c r="J396" s="241"/>
      <x:c r="K396" s="241"/>
      <x:c r="L396" s="241"/>
      <x:c r="M396" s="241"/>
      <x:c r="N396" s="241"/>
      <x:c r="O396" s="241"/>
      <x:c r="P396" s="241"/>
      <x:c r="Q396" s="241"/>
      <x:c r="R396" s="241"/>
      <x:c r="S396" s="241"/>
      <x:c r="T396" s="241"/>
      <x:c r="U396" s="241"/>
      <x:c r="V396" s="241"/>
      <x:c r="W396" s="241"/>
      <x:c r="X396" s="241"/>
      <x:c r="Y396" s="241"/>
      <x:c r="Z396" s="241"/>
      <x:c r="AA396" s="241"/>
      <x:c r="AB396" s="241"/>
      <x:c r="AC396" s="241"/>
      <x:c r="AD396" s="241"/>
      <x:c r="AE396" s="241"/>
      <x:c r="AF396" s="241"/>
      <x:c r="AG396" s="241"/>
      <x:c r="AH396" s="241"/>
      <x:c r="AI396" s="241"/>
      <x:c r="AJ396" s="241"/>
      <x:c r="AK396" s="220"/>
      <x:c r="AL396" s="221"/>
      <x:c r="AM396" s="221"/>
      <x:c r="AN396" s="123"/>
      <x:c r="AO396" s="123"/>
    </x:row>
    <x:row r="397" spans="1:47" ht="15" customHeight="1">
      <x:c r="A397" s="69"/>
      <x:c r="B397" s="216"/>
      <x:c r="C397" s="121"/>
      <x:c r="D397" s="121"/>
      <x:c r="E397" s="121"/>
      <x:c r="F397" s="241"/>
      <x:c r="G397" s="241"/>
      <x:c r="H397" s="241"/>
      <x:c r="I397" s="241"/>
      <x:c r="J397" s="241"/>
      <x:c r="K397" s="241"/>
      <x:c r="L397" s="241"/>
      <x:c r="M397" s="241"/>
      <x:c r="N397" s="241"/>
      <x:c r="O397" s="241"/>
      <x:c r="P397" s="241"/>
      <x:c r="Q397" s="241"/>
      <x:c r="R397" s="241"/>
      <x:c r="S397" s="241"/>
      <x:c r="T397" s="241"/>
      <x:c r="U397" s="241"/>
      <x:c r="V397" s="241"/>
      <x:c r="W397" s="241"/>
      <x:c r="X397" s="241"/>
      <x:c r="Y397" s="241"/>
      <x:c r="Z397" s="241"/>
      <x:c r="AA397" s="241"/>
      <x:c r="AB397" s="241"/>
      <x:c r="AC397" s="241"/>
      <x:c r="AD397" s="241"/>
      <x:c r="AE397" s="241"/>
      <x:c r="AF397" s="241"/>
      <x:c r="AG397" s="241"/>
      <x:c r="AH397" s="241"/>
      <x:c r="AI397" s="241"/>
      <x:c r="AJ397" s="241"/>
      <x:c r="AK397" s="220"/>
      <x:c r="AL397" s="221"/>
      <x:c r="AM397" s="221"/>
      <x:c r="AN397" s="123"/>
      <x:c r="AO397" s="123"/>
    </x:row>
    <x:row r="398" spans="1:47" ht="15" customHeight="1">
      <x:c r="A398" s="69"/>
      <x:c r="B398" s="216"/>
      <x:c r="C398" s="121"/>
      <x:c r="D398" s="121"/>
      <x:c r="E398" s="121"/>
      <x:c r="F398" s="241"/>
      <x:c r="G398" s="241"/>
      <x:c r="H398" s="241"/>
      <x:c r="I398" s="241"/>
      <x:c r="J398" s="241"/>
      <x:c r="K398" s="241"/>
      <x:c r="L398" s="241"/>
      <x:c r="M398" s="241"/>
      <x:c r="N398" s="241"/>
      <x:c r="O398" s="241"/>
      <x:c r="P398" s="241"/>
      <x:c r="Q398" s="241"/>
      <x:c r="R398" s="241"/>
      <x:c r="S398" s="241"/>
      <x:c r="T398" s="241"/>
      <x:c r="U398" s="241"/>
      <x:c r="V398" s="241"/>
      <x:c r="W398" s="241"/>
      <x:c r="X398" s="241"/>
      <x:c r="Y398" s="241"/>
      <x:c r="Z398" s="241"/>
      <x:c r="AA398" s="241"/>
      <x:c r="AB398" s="241"/>
      <x:c r="AC398" s="241"/>
      <x:c r="AD398" s="241"/>
      <x:c r="AE398" s="241"/>
      <x:c r="AF398" s="241"/>
      <x:c r="AG398" s="241"/>
      <x:c r="AH398" s="241"/>
      <x:c r="AI398" s="241"/>
      <x:c r="AJ398" s="241"/>
      <x:c r="AK398" s="220"/>
      <x:c r="AL398" s="221"/>
      <x:c r="AM398" s="221"/>
      <x:c r="AN398" s="123"/>
      <x:c r="AO398" s="123"/>
    </x:row>
    <x:row r="399" spans="1:47" ht="15" customHeight="1">
      <x:c r="A399" s="69"/>
      <x:c r="B399" s="216"/>
      <x:c r="C399" s="121"/>
      <x:c r="D399" s="121"/>
      <x:c r="E399" s="121"/>
      <x:c r="F399" s="241"/>
      <x:c r="G399" s="241"/>
      <x:c r="H399" s="241"/>
      <x:c r="I399" s="241"/>
      <x:c r="J399" s="241"/>
      <x:c r="K399" s="241"/>
      <x:c r="L399" s="241"/>
      <x:c r="M399" s="241"/>
      <x:c r="N399" s="241"/>
      <x:c r="O399" s="241"/>
      <x:c r="P399" s="241"/>
      <x:c r="Q399" s="241"/>
      <x:c r="R399" s="241"/>
      <x:c r="S399" s="241"/>
      <x:c r="T399" s="241"/>
      <x:c r="U399" s="241"/>
      <x:c r="V399" s="241"/>
      <x:c r="W399" s="241"/>
      <x:c r="X399" s="241"/>
      <x:c r="Y399" s="241"/>
      <x:c r="Z399" s="241"/>
      <x:c r="AA399" s="241"/>
      <x:c r="AB399" s="241"/>
      <x:c r="AC399" s="241"/>
      <x:c r="AD399" s="241"/>
      <x:c r="AE399" s="241"/>
      <x:c r="AF399" s="241"/>
      <x:c r="AG399" s="241"/>
      <x:c r="AH399" s="241"/>
      <x:c r="AI399" s="241"/>
      <x:c r="AJ399" s="241"/>
      <x:c r="AK399" s="220"/>
      <x:c r="AL399" s="221"/>
      <x:c r="AM399" s="221"/>
      <x:c r="AN399" s="123"/>
      <x:c r="AO399" s="123"/>
    </x:row>
    <x:row r="400" spans="1:47" ht="15" customHeight="1">
      <x:c r="A400" s="69"/>
      <x:c r="B400" s="216"/>
      <x:c r="C400" s="121"/>
      <x:c r="D400" s="121"/>
      <x:c r="E400" s="121"/>
      <x:c r="F400" s="241"/>
      <x:c r="G400" s="241"/>
      <x:c r="H400" s="241"/>
      <x:c r="I400" s="241"/>
      <x:c r="J400" s="241"/>
      <x:c r="K400" s="241"/>
      <x:c r="L400" s="241"/>
      <x:c r="M400" s="241"/>
      <x:c r="N400" s="241"/>
      <x:c r="O400" s="241"/>
      <x:c r="P400" s="241"/>
      <x:c r="Q400" s="241"/>
      <x:c r="R400" s="241"/>
      <x:c r="S400" s="241"/>
      <x:c r="T400" s="241"/>
      <x:c r="U400" s="241"/>
      <x:c r="V400" s="241"/>
      <x:c r="W400" s="241"/>
      <x:c r="X400" s="241"/>
      <x:c r="Y400" s="241"/>
      <x:c r="Z400" s="241"/>
      <x:c r="AA400" s="241"/>
      <x:c r="AB400" s="241"/>
      <x:c r="AC400" s="241"/>
      <x:c r="AD400" s="241"/>
      <x:c r="AE400" s="241"/>
      <x:c r="AF400" s="241"/>
      <x:c r="AG400" s="241"/>
      <x:c r="AH400" s="241"/>
      <x:c r="AI400" s="241"/>
      <x:c r="AJ400" s="241"/>
      <x:c r="AK400" s="220"/>
      <x:c r="AL400" s="221"/>
      <x:c r="AM400" s="221"/>
      <x:c r="AN400" s="123"/>
      <x:c r="AO400" s="123"/>
    </x:row>
    <x:row r="401" spans="1:47" ht="15" customHeight="1">
      <x:c r="A401" s="69"/>
      <x:c r="B401" s="216"/>
      <x:c r="C401" s="121"/>
      <x:c r="D401" s="121"/>
      <x:c r="E401" s="121"/>
      <x:c r="F401" s="241"/>
      <x:c r="G401" s="241"/>
      <x:c r="H401" s="241"/>
      <x:c r="I401" s="241"/>
      <x:c r="J401" s="241"/>
      <x:c r="K401" s="241"/>
      <x:c r="L401" s="241"/>
      <x:c r="M401" s="241"/>
      <x:c r="N401" s="241"/>
      <x:c r="O401" s="241"/>
      <x:c r="P401" s="241"/>
      <x:c r="Q401" s="241"/>
      <x:c r="R401" s="241"/>
      <x:c r="S401" s="241"/>
      <x:c r="T401" s="241"/>
      <x:c r="U401" s="241"/>
      <x:c r="V401" s="241"/>
      <x:c r="W401" s="241"/>
      <x:c r="X401" s="241"/>
      <x:c r="Y401" s="241"/>
      <x:c r="Z401" s="241"/>
      <x:c r="AA401" s="241"/>
      <x:c r="AB401" s="241"/>
      <x:c r="AC401" s="241"/>
      <x:c r="AD401" s="241"/>
      <x:c r="AE401" s="241"/>
      <x:c r="AF401" s="241"/>
      <x:c r="AG401" s="241"/>
      <x:c r="AH401" s="241"/>
      <x:c r="AI401" s="241"/>
      <x:c r="AJ401" s="241"/>
      <x:c r="AK401" s="220"/>
      <x:c r="AL401" s="221"/>
      <x:c r="AM401" s="221"/>
      <x:c r="AN401" s="123"/>
      <x:c r="AO401" s="123"/>
    </x:row>
    <x:row r="402" spans="1:47" ht="15" customHeight="1">
      <x:c r="A402" s="69"/>
      <x:c r="B402" s="216"/>
      <x:c r="C402" s="121"/>
      <x:c r="D402" s="121"/>
      <x:c r="E402" s="121"/>
      <x:c r="F402" s="241"/>
      <x:c r="G402" s="241"/>
      <x:c r="H402" s="241"/>
      <x:c r="I402" s="241"/>
      <x:c r="J402" s="241"/>
      <x:c r="K402" s="241"/>
      <x:c r="L402" s="241"/>
      <x:c r="M402" s="241"/>
      <x:c r="N402" s="241"/>
      <x:c r="O402" s="241"/>
      <x:c r="P402" s="241"/>
      <x:c r="Q402" s="241"/>
      <x:c r="R402" s="241"/>
      <x:c r="S402" s="241"/>
      <x:c r="T402" s="241"/>
      <x:c r="U402" s="241"/>
      <x:c r="V402" s="241"/>
      <x:c r="W402" s="241"/>
      <x:c r="X402" s="241"/>
      <x:c r="Y402" s="241"/>
      <x:c r="Z402" s="241"/>
      <x:c r="AA402" s="241"/>
      <x:c r="AB402" s="241"/>
      <x:c r="AC402" s="241"/>
      <x:c r="AD402" s="241"/>
      <x:c r="AE402" s="241"/>
      <x:c r="AF402" s="241"/>
      <x:c r="AG402" s="241"/>
      <x:c r="AH402" s="241"/>
      <x:c r="AI402" s="241"/>
      <x:c r="AJ402" s="241"/>
      <x:c r="AK402" s="220"/>
      <x:c r="AL402" s="221"/>
      <x:c r="AM402" s="221"/>
      <x:c r="AN402" s="123"/>
      <x:c r="AO402" s="123"/>
    </x:row>
    <x:row r="403" spans="1:47" ht="15" customHeight="1">
      <x:c r="A403" s="69"/>
      <x:c r="B403" s="216"/>
      <x:c r="C403" s="121"/>
      <x:c r="D403" s="121"/>
      <x:c r="E403" s="121"/>
      <x:c r="F403" s="241"/>
      <x:c r="G403" s="241"/>
      <x:c r="H403" s="241"/>
      <x:c r="I403" s="241"/>
      <x:c r="J403" s="241"/>
      <x:c r="K403" s="241"/>
      <x:c r="L403" s="241"/>
      <x:c r="M403" s="241"/>
      <x:c r="N403" s="241"/>
      <x:c r="O403" s="241"/>
      <x:c r="P403" s="241"/>
      <x:c r="Q403" s="241"/>
      <x:c r="R403" s="241"/>
      <x:c r="S403" s="241"/>
      <x:c r="T403" s="241"/>
      <x:c r="U403" s="241"/>
      <x:c r="V403" s="241"/>
      <x:c r="W403" s="241"/>
      <x:c r="X403" s="241"/>
      <x:c r="Y403" s="241"/>
      <x:c r="Z403" s="241"/>
      <x:c r="AA403" s="241"/>
      <x:c r="AB403" s="241"/>
      <x:c r="AC403" s="241"/>
      <x:c r="AD403" s="241"/>
      <x:c r="AE403" s="241"/>
      <x:c r="AF403" s="241"/>
      <x:c r="AG403" s="241"/>
      <x:c r="AH403" s="241"/>
      <x:c r="AI403" s="241"/>
      <x:c r="AJ403" s="241"/>
      <x:c r="AK403" s="220"/>
      <x:c r="AL403" s="221"/>
      <x:c r="AM403" s="221"/>
      <x:c r="AN403" s="123"/>
      <x:c r="AO403" s="123"/>
    </x:row>
    <x:row r="404" spans="1:47" ht="15" customHeight="1">
      <x:c r="A404" s="69"/>
      <x:c r="B404" s="216"/>
      <x:c r="C404" s="121"/>
      <x:c r="D404" s="121"/>
      <x:c r="E404" s="121"/>
      <x:c r="F404" s="241"/>
      <x:c r="G404" s="241"/>
      <x:c r="H404" s="241"/>
      <x:c r="I404" s="241"/>
      <x:c r="J404" s="241"/>
      <x:c r="K404" s="241"/>
      <x:c r="L404" s="241"/>
      <x:c r="M404" s="241"/>
      <x:c r="N404" s="241"/>
      <x:c r="O404" s="241"/>
      <x:c r="P404" s="241"/>
      <x:c r="Q404" s="241"/>
      <x:c r="R404" s="241"/>
      <x:c r="S404" s="241"/>
      <x:c r="T404" s="241"/>
      <x:c r="U404" s="241"/>
      <x:c r="V404" s="241"/>
      <x:c r="W404" s="241"/>
      <x:c r="X404" s="241"/>
      <x:c r="Y404" s="241"/>
      <x:c r="Z404" s="241"/>
      <x:c r="AA404" s="241"/>
      <x:c r="AB404" s="241"/>
      <x:c r="AC404" s="241"/>
      <x:c r="AD404" s="241"/>
      <x:c r="AE404" s="241"/>
      <x:c r="AF404" s="241"/>
      <x:c r="AG404" s="241"/>
      <x:c r="AH404" s="241"/>
      <x:c r="AI404" s="241"/>
      <x:c r="AJ404" s="241"/>
      <x:c r="AK404" s="220"/>
      <x:c r="AL404" s="221"/>
      <x:c r="AM404" s="221"/>
      <x:c r="AN404" s="123"/>
      <x:c r="AO404" s="123"/>
    </x:row>
    <x:row r="405" spans="1:47" ht="15" customHeight="1">
      <x:c r="A405" s="69"/>
      <x:c r="B405" s="216"/>
      <x:c r="C405" s="121"/>
      <x:c r="D405" s="121"/>
      <x:c r="E405" s="121"/>
      <x:c r="F405" s="241"/>
      <x:c r="G405" s="241"/>
      <x:c r="H405" s="241"/>
      <x:c r="I405" s="241"/>
      <x:c r="J405" s="241"/>
      <x:c r="K405" s="241"/>
      <x:c r="L405" s="241"/>
      <x:c r="M405" s="241"/>
      <x:c r="N405" s="241"/>
      <x:c r="O405" s="241"/>
      <x:c r="P405" s="241"/>
      <x:c r="Q405" s="241"/>
      <x:c r="R405" s="241"/>
      <x:c r="S405" s="241"/>
      <x:c r="T405" s="241"/>
      <x:c r="U405" s="241"/>
      <x:c r="V405" s="241"/>
      <x:c r="W405" s="241"/>
      <x:c r="X405" s="241"/>
      <x:c r="Y405" s="241"/>
      <x:c r="Z405" s="241"/>
      <x:c r="AA405" s="241"/>
      <x:c r="AB405" s="241"/>
      <x:c r="AC405" s="241"/>
      <x:c r="AD405" s="241"/>
      <x:c r="AE405" s="241"/>
      <x:c r="AF405" s="241"/>
      <x:c r="AG405" s="241"/>
      <x:c r="AH405" s="241"/>
      <x:c r="AI405" s="241"/>
      <x:c r="AJ405" s="241"/>
      <x:c r="AK405" s="220"/>
      <x:c r="AL405" s="221"/>
      <x:c r="AM405" s="221"/>
      <x:c r="AN405" s="123"/>
      <x:c r="AO405" s="123"/>
    </x:row>
    <x:row r="406" spans="1:47" ht="15" customHeight="1">
      <x:c r="A406" s="69"/>
      <x:c r="B406" s="216"/>
      <x:c r="C406" s="121"/>
      <x:c r="D406" s="121"/>
      <x:c r="E406" s="121"/>
      <x:c r="F406" s="121"/>
      <x:c r="G406" s="121"/>
      <x:c r="H406" s="121"/>
      <x:c r="I406" s="121"/>
      <x:c r="J406" s="121"/>
      <x:c r="K406" s="121"/>
      <x:c r="L406" s="121"/>
      <x:c r="M406" s="121"/>
      <x:c r="N406" s="121"/>
      <x:c r="O406" s="121"/>
      <x:c r="P406" s="121"/>
      <x:c r="Q406" s="121"/>
      <x:c r="R406" s="121"/>
      <x:c r="S406" s="121"/>
      <x:c r="T406" s="121"/>
      <x:c r="U406" s="121"/>
      <x:c r="V406" s="121"/>
      <x:c r="W406" s="121"/>
      <x:c r="X406" s="121"/>
      <x:c r="Y406" s="121"/>
      <x:c r="Z406" s="121"/>
      <x:c r="AA406" s="121"/>
      <x:c r="AB406" s="121"/>
      <x:c r="AC406" s="121"/>
      <x:c r="AD406" s="121"/>
      <x:c r="AE406" s="121"/>
      <x:c r="AF406" s="121"/>
      <x:c r="AG406" s="121"/>
      <x:c r="AH406" s="121"/>
      <x:c r="AI406" s="121"/>
      <x:c r="AJ406" s="121"/>
      <x:c r="AK406" s="220"/>
      <x:c r="AL406" s="221"/>
      <x:c r="AM406" s="221"/>
      <x:c r="AN406" s="121"/>
      <x:c r="AO406" s="121"/>
    </x:row>
    <x:row r="407" spans="1:47" ht="15" customHeight="1">
      <x:c r="A407" s="69"/>
      <x:c r="B407" s="216"/>
      <x:c r="C407" s="121"/>
      <x:c r="D407" s="121"/>
      <x:c r="E407" s="121"/>
      <x:c r="F407" s="121"/>
      <x:c r="G407" s="121"/>
      <x:c r="H407" s="121"/>
      <x:c r="I407" s="121"/>
      <x:c r="J407" s="121"/>
      <x:c r="K407" s="121"/>
      <x:c r="L407" s="121"/>
      <x:c r="M407" s="121"/>
      <x:c r="N407" s="121"/>
      <x:c r="O407" s="121"/>
      <x:c r="P407" s="121"/>
      <x:c r="Q407" s="121"/>
      <x:c r="R407" s="121"/>
      <x:c r="S407" s="121"/>
      <x:c r="T407" s="121"/>
      <x:c r="U407" s="121"/>
      <x:c r="V407" s="121"/>
      <x:c r="W407" s="121"/>
      <x:c r="X407" s="121"/>
      <x:c r="Y407" s="121"/>
      <x:c r="Z407" s="121"/>
      <x:c r="AA407" s="121"/>
      <x:c r="AB407" s="121"/>
      <x:c r="AC407" s="121"/>
      <x:c r="AD407" s="121"/>
      <x:c r="AE407" s="121"/>
      <x:c r="AF407" s="121"/>
      <x:c r="AG407" s="121"/>
      <x:c r="AH407" s="121"/>
      <x:c r="AI407" s="121"/>
      <x:c r="AJ407" s="121"/>
      <x:c r="AK407" s="220"/>
      <x:c r="AL407" s="221"/>
      <x:c r="AM407" s="221"/>
      <x:c r="AN407" s="121"/>
      <x:c r="AO407" s="121"/>
    </x:row>
    <x:row r="408" spans="1:47" ht="15" customHeight="1">
      <x:c r="A408" s="69"/>
      <x:c r="B408" s="216"/>
      <x:c r="C408" s="121"/>
      <x:c r="D408" s="121"/>
      <x:c r="E408" s="121"/>
      <x:c r="F408" s="121"/>
      <x:c r="G408" s="121"/>
      <x:c r="H408" s="121"/>
      <x:c r="I408" s="121"/>
      <x:c r="J408" s="121"/>
      <x:c r="K408" s="121"/>
      <x:c r="L408" s="121"/>
      <x:c r="M408" s="121"/>
      <x:c r="N408" s="121"/>
      <x:c r="O408" s="121"/>
      <x:c r="P408" s="121"/>
      <x:c r="Q408" s="121"/>
      <x:c r="R408" s="121"/>
      <x:c r="S408" s="121"/>
      <x:c r="T408" s="121"/>
      <x:c r="U408" s="121"/>
      <x:c r="V408" s="121"/>
      <x:c r="W408" s="121"/>
      <x:c r="X408" s="121"/>
      <x:c r="Y408" s="121"/>
      <x:c r="Z408" s="121"/>
      <x:c r="AA408" s="121"/>
      <x:c r="AB408" s="121"/>
      <x:c r="AC408" s="121"/>
      <x:c r="AD408" s="121"/>
      <x:c r="AE408" s="121"/>
      <x:c r="AF408" s="121"/>
      <x:c r="AG408" s="121"/>
      <x:c r="AH408" s="121"/>
      <x:c r="AI408" s="121"/>
      <x:c r="AJ408" s="121"/>
      <x:c r="AK408" s="220"/>
      <x:c r="AL408" s="221"/>
      <x:c r="AM408" s="221"/>
      <x:c r="AN408" s="121"/>
      <x:c r="AO408" s="121"/>
    </x:row>
    <x:row r="409" spans="1:47" ht="15" customHeight="1">
      <x:c r="A409" s="69"/>
      <x:c r="B409" s="216"/>
      <x:c r="C409" s="121"/>
      <x:c r="D409" s="121"/>
      <x:c r="E409" s="121"/>
      <x:c r="F409" s="121"/>
      <x:c r="G409" s="121"/>
      <x:c r="H409" s="121"/>
      <x:c r="I409" s="121"/>
      <x:c r="J409" s="121"/>
      <x:c r="K409" s="121"/>
      <x:c r="L409" s="121"/>
      <x:c r="M409" s="121"/>
      <x:c r="N409" s="121"/>
      <x:c r="O409" s="121"/>
      <x:c r="P409" s="121"/>
      <x:c r="Q409" s="121"/>
      <x:c r="R409" s="121"/>
      <x:c r="S409" s="121"/>
      <x:c r="T409" s="121"/>
      <x:c r="U409" s="121"/>
      <x:c r="V409" s="121"/>
      <x:c r="W409" s="121"/>
      <x:c r="X409" s="121"/>
      <x:c r="Y409" s="121"/>
      <x:c r="Z409" s="121"/>
      <x:c r="AA409" s="121"/>
      <x:c r="AB409" s="121"/>
      <x:c r="AC409" s="121"/>
      <x:c r="AD409" s="121"/>
      <x:c r="AE409" s="121"/>
      <x:c r="AF409" s="121"/>
      <x:c r="AG409" s="121"/>
      <x:c r="AH409" s="121"/>
      <x:c r="AI409" s="121"/>
      <x:c r="AJ409" s="121"/>
      <x:c r="AK409" s="220"/>
      <x:c r="AL409" s="221"/>
      <x:c r="AM409" s="221"/>
      <x:c r="AN409" s="121"/>
      <x:c r="AO409" s="121"/>
    </x:row>
    <x:row r="410" spans="1:47" ht="15" customHeight="1">
      <x:c r="A410" s="69"/>
      <x:c r="B410" s="216"/>
      <x:c r="C410" s="121"/>
      <x:c r="D410" s="121"/>
      <x:c r="E410" s="121"/>
      <x:c r="F410" s="121"/>
      <x:c r="G410" s="121"/>
      <x:c r="H410" s="121"/>
      <x:c r="I410" s="121"/>
      <x:c r="J410" s="121"/>
      <x:c r="K410" s="121"/>
      <x:c r="L410" s="121"/>
      <x:c r="M410" s="121"/>
      <x:c r="N410" s="121"/>
      <x:c r="O410" s="121"/>
      <x:c r="P410" s="121"/>
      <x:c r="Q410" s="121"/>
      <x:c r="R410" s="121"/>
      <x:c r="S410" s="121"/>
      <x:c r="T410" s="121"/>
      <x:c r="U410" s="121"/>
      <x:c r="V410" s="121"/>
      <x:c r="W410" s="121"/>
      <x:c r="X410" s="121"/>
      <x:c r="Y410" s="121"/>
      <x:c r="Z410" s="121"/>
      <x:c r="AA410" s="121"/>
      <x:c r="AB410" s="121"/>
      <x:c r="AC410" s="121"/>
      <x:c r="AD410" s="121"/>
      <x:c r="AE410" s="121"/>
      <x:c r="AF410" s="121"/>
      <x:c r="AG410" s="121"/>
      <x:c r="AH410" s="121"/>
      <x:c r="AI410" s="121"/>
      <x:c r="AJ410" s="121"/>
      <x:c r="AK410" s="220"/>
      <x:c r="AL410" s="221"/>
      <x:c r="AM410" s="221"/>
      <x:c r="AN410" s="121"/>
      <x:c r="AO410" s="121"/>
    </x:row>
    <x:row r="411" spans="1:47" ht="15" customHeight="1">
      <x:c r="A411" s="69"/>
      <x:c r="B411" s="216"/>
      <x:c r="C411" s="121"/>
      <x:c r="D411" s="121"/>
      <x:c r="E411" s="121"/>
      <x:c r="F411" s="121"/>
      <x:c r="G411" s="121"/>
      <x:c r="H411" s="121"/>
      <x:c r="I411" s="121"/>
      <x:c r="J411" s="121"/>
      <x:c r="K411" s="121"/>
      <x:c r="L411" s="121"/>
      <x:c r="M411" s="121"/>
      <x:c r="N411" s="121"/>
      <x:c r="O411" s="121"/>
      <x:c r="P411" s="121"/>
      <x:c r="Q411" s="121"/>
      <x:c r="R411" s="121"/>
      <x:c r="S411" s="121"/>
      <x:c r="T411" s="121"/>
      <x:c r="U411" s="121"/>
      <x:c r="V411" s="121"/>
      <x:c r="W411" s="121"/>
      <x:c r="X411" s="121"/>
      <x:c r="Y411" s="121"/>
      <x:c r="Z411" s="121"/>
      <x:c r="AA411" s="121"/>
      <x:c r="AB411" s="121"/>
      <x:c r="AC411" s="121"/>
      <x:c r="AD411" s="121"/>
      <x:c r="AE411" s="121"/>
      <x:c r="AF411" s="121"/>
      <x:c r="AG411" s="121"/>
      <x:c r="AH411" s="121"/>
      <x:c r="AI411" s="121"/>
      <x:c r="AJ411" s="121"/>
      <x:c r="AK411" s="220"/>
      <x:c r="AL411" s="221"/>
      <x:c r="AM411" s="221"/>
      <x:c r="AN411" s="121"/>
      <x:c r="AO411" s="121"/>
    </x:row>
    <x:row r="412" spans="1:47" ht="15" customHeight="1">
      <x:c r="A412" s="69"/>
      <x:c r="B412" s="216"/>
      <x:c r="C412" s="121"/>
      <x:c r="D412" s="121"/>
      <x:c r="E412" s="121"/>
      <x:c r="F412" s="121"/>
      <x:c r="G412" s="121"/>
      <x:c r="H412" s="121"/>
      <x:c r="I412" s="121"/>
      <x:c r="J412" s="121"/>
      <x:c r="K412" s="121"/>
      <x:c r="L412" s="121"/>
      <x:c r="M412" s="121"/>
      <x:c r="N412" s="121"/>
      <x:c r="O412" s="121"/>
      <x:c r="P412" s="121"/>
      <x:c r="Q412" s="121"/>
      <x:c r="R412" s="121"/>
      <x:c r="S412" s="121"/>
      <x:c r="T412" s="121"/>
      <x:c r="U412" s="121"/>
      <x:c r="V412" s="121"/>
      <x:c r="W412" s="121"/>
      <x:c r="X412" s="121"/>
      <x:c r="Y412" s="121"/>
      <x:c r="Z412" s="121"/>
      <x:c r="AA412" s="121"/>
      <x:c r="AB412" s="121"/>
      <x:c r="AC412" s="121"/>
      <x:c r="AD412" s="121"/>
      <x:c r="AE412" s="121"/>
      <x:c r="AF412" s="121"/>
      <x:c r="AG412" s="121"/>
      <x:c r="AH412" s="121"/>
      <x:c r="AI412" s="121"/>
      <x:c r="AJ412" s="121"/>
      <x:c r="AK412" s="220"/>
      <x:c r="AL412" s="221"/>
      <x:c r="AM412" s="221"/>
      <x:c r="AN412" s="121"/>
      <x:c r="AO412" s="121"/>
    </x:row>
    <x:row r="413" spans="1:47" ht="15" customHeight="1">
      <x:c r="A413" s="69"/>
      <x:c r="B413" s="216"/>
      <x:c r="C413" s="121"/>
      <x:c r="D413" s="121"/>
      <x:c r="E413" s="121"/>
      <x:c r="F413" s="121"/>
      <x:c r="G413" s="121"/>
      <x:c r="H413" s="121"/>
      <x:c r="I413" s="121"/>
      <x:c r="J413" s="121"/>
      <x:c r="K413" s="121"/>
      <x:c r="L413" s="121"/>
      <x:c r="M413" s="121"/>
      <x:c r="N413" s="121"/>
      <x:c r="O413" s="121"/>
      <x:c r="P413" s="121"/>
      <x:c r="Q413" s="121"/>
      <x:c r="R413" s="121"/>
      <x:c r="S413" s="121"/>
      <x:c r="T413" s="121"/>
      <x:c r="U413" s="121"/>
      <x:c r="V413" s="121"/>
      <x:c r="W413" s="121"/>
      <x:c r="X413" s="121"/>
      <x:c r="Y413" s="121"/>
      <x:c r="Z413" s="121"/>
      <x:c r="AA413" s="121"/>
      <x:c r="AB413" s="121"/>
      <x:c r="AC413" s="121"/>
      <x:c r="AD413" s="121"/>
      <x:c r="AE413" s="121"/>
      <x:c r="AF413" s="121"/>
      <x:c r="AG413" s="121"/>
      <x:c r="AH413" s="121"/>
      <x:c r="AI413" s="121"/>
      <x:c r="AJ413" s="121"/>
      <x:c r="AK413" s="220"/>
      <x:c r="AL413" s="221"/>
      <x:c r="AM413" s="221"/>
      <x:c r="AN413" s="121"/>
      <x:c r="AO413" s="121"/>
    </x:row>
    <x:row r="414" spans="1:47" ht="15" customHeight="1">
      <x:c r="A414" s="69"/>
      <x:c r="B414" s="216"/>
      <x:c r="C414" s="121"/>
      <x:c r="D414" s="121"/>
      <x:c r="E414" s="121"/>
      <x:c r="F414" s="121"/>
      <x:c r="G414" s="121"/>
      <x:c r="H414" s="121"/>
      <x:c r="I414" s="121"/>
      <x:c r="J414" s="121"/>
      <x:c r="K414" s="121"/>
      <x:c r="L414" s="121"/>
      <x:c r="M414" s="121"/>
      <x:c r="N414" s="121"/>
      <x:c r="O414" s="121"/>
      <x:c r="P414" s="121"/>
      <x:c r="Q414" s="121"/>
      <x:c r="R414" s="121"/>
      <x:c r="S414" s="121"/>
      <x:c r="T414" s="121"/>
      <x:c r="U414" s="121"/>
      <x:c r="V414" s="121"/>
      <x:c r="W414" s="121"/>
      <x:c r="X414" s="121"/>
      <x:c r="Y414" s="121"/>
      <x:c r="Z414" s="121"/>
      <x:c r="AA414" s="121"/>
      <x:c r="AB414" s="121"/>
      <x:c r="AC414" s="121"/>
      <x:c r="AD414" s="121"/>
      <x:c r="AE414" s="121"/>
      <x:c r="AF414" s="121"/>
      <x:c r="AG414" s="121"/>
      <x:c r="AH414" s="121"/>
      <x:c r="AI414" s="121"/>
      <x:c r="AJ414" s="121"/>
      <x:c r="AK414" s="220"/>
      <x:c r="AL414" s="221"/>
      <x:c r="AM414" s="221"/>
      <x:c r="AN414" s="121"/>
      <x:c r="AO414" s="121"/>
    </x:row>
    <x:row r="415" spans="1:47" ht="15" customHeight="1">
      <x:c r="A415" s="69"/>
      <x:c r="B415" s="216"/>
      <x:c r="C415" s="121"/>
      <x:c r="D415" s="121"/>
      <x:c r="E415" s="121"/>
      <x:c r="F415" s="121"/>
      <x:c r="G415" s="121"/>
      <x:c r="H415" s="121"/>
      <x:c r="I415" s="121"/>
      <x:c r="J415" s="121"/>
      <x:c r="K415" s="121"/>
      <x:c r="L415" s="121"/>
      <x:c r="M415" s="121"/>
      <x:c r="N415" s="121"/>
      <x:c r="O415" s="121"/>
      <x:c r="P415" s="121"/>
      <x:c r="Q415" s="121"/>
      <x:c r="R415" s="121"/>
      <x:c r="S415" s="121"/>
      <x:c r="T415" s="121"/>
      <x:c r="U415" s="121"/>
      <x:c r="V415" s="121"/>
      <x:c r="W415" s="121"/>
      <x:c r="X415" s="121"/>
      <x:c r="Y415" s="121"/>
      <x:c r="Z415" s="121"/>
      <x:c r="AA415" s="121"/>
      <x:c r="AB415" s="121"/>
      <x:c r="AC415" s="121"/>
      <x:c r="AD415" s="121"/>
      <x:c r="AE415" s="121"/>
      <x:c r="AF415" s="121"/>
      <x:c r="AG415" s="121"/>
      <x:c r="AH415" s="121"/>
      <x:c r="AI415" s="121"/>
      <x:c r="AJ415" s="121"/>
      <x:c r="AK415" s="220"/>
      <x:c r="AL415" s="221"/>
      <x:c r="AM415" s="221"/>
      <x:c r="AN415" s="121"/>
      <x:c r="AO415" s="121"/>
    </x:row>
    <x:row r="416" spans="1:47" ht="15" customHeight="1">
      <x:c r="A416" s="69"/>
      <x:c r="B416" s="216"/>
      <x:c r="C416" s="121"/>
      <x:c r="D416" s="121"/>
      <x:c r="E416" s="121"/>
      <x:c r="F416" s="121"/>
      <x:c r="G416" s="121"/>
      <x:c r="H416" s="121"/>
      <x:c r="I416" s="121"/>
      <x:c r="J416" s="121"/>
      <x:c r="K416" s="121"/>
      <x:c r="L416" s="121"/>
      <x:c r="M416" s="121"/>
      <x:c r="N416" s="121"/>
      <x:c r="O416" s="121"/>
      <x:c r="P416" s="121"/>
      <x:c r="Q416" s="121"/>
      <x:c r="R416" s="121"/>
      <x:c r="S416" s="121"/>
      <x:c r="T416" s="121"/>
      <x:c r="U416" s="121"/>
      <x:c r="V416" s="121"/>
      <x:c r="W416" s="121"/>
      <x:c r="X416" s="121"/>
      <x:c r="Y416" s="121"/>
      <x:c r="Z416" s="121"/>
      <x:c r="AA416" s="121"/>
      <x:c r="AB416" s="121"/>
      <x:c r="AC416" s="121"/>
      <x:c r="AD416" s="121"/>
      <x:c r="AE416" s="121"/>
      <x:c r="AF416" s="121"/>
      <x:c r="AG416" s="121"/>
      <x:c r="AH416" s="121"/>
      <x:c r="AI416" s="121"/>
      <x:c r="AJ416" s="121"/>
      <x:c r="AK416" s="220"/>
      <x:c r="AL416" s="221"/>
      <x:c r="AM416" s="221"/>
      <x:c r="AN416" s="121"/>
      <x:c r="AO416" s="121"/>
    </x:row>
    <x:row r="417" spans="1:47" ht="15" customHeight="1">
      <x:c r="A417" s="69"/>
      <x:c r="B417" s="216"/>
      <x:c r="C417" s="121"/>
      <x:c r="D417" s="121"/>
      <x:c r="E417" s="121"/>
      <x:c r="F417" s="121"/>
      <x:c r="G417" s="121"/>
      <x:c r="H417" s="121"/>
      <x:c r="I417" s="121"/>
      <x:c r="J417" s="121"/>
      <x:c r="K417" s="121"/>
      <x:c r="L417" s="121"/>
      <x:c r="M417" s="121"/>
      <x:c r="N417" s="121"/>
      <x:c r="O417" s="121"/>
      <x:c r="P417" s="121"/>
      <x:c r="Q417" s="121"/>
      <x:c r="R417" s="121"/>
      <x:c r="S417" s="121"/>
      <x:c r="T417" s="121"/>
      <x:c r="U417" s="121"/>
      <x:c r="V417" s="121"/>
      <x:c r="W417" s="121"/>
      <x:c r="X417" s="121"/>
      <x:c r="Y417" s="121"/>
      <x:c r="Z417" s="121"/>
      <x:c r="AA417" s="121"/>
      <x:c r="AB417" s="121"/>
      <x:c r="AC417" s="121"/>
      <x:c r="AD417" s="121"/>
      <x:c r="AE417" s="121"/>
      <x:c r="AF417" s="121"/>
      <x:c r="AG417" s="121"/>
      <x:c r="AH417" s="121"/>
      <x:c r="AI417" s="121"/>
      <x:c r="AJ417" s="121"/>
      <x:c r="AK417" s="220"/>
      <x:c r="AL417" s="221"/>
      <x:c r="AM417" s="221"/>
      <x:c r="AN417" s="121"/>
      <x:c r="AO417" s="121"/>
    </x:row>
    <x:row r="418" spans="1:47" ht="15" customHeight="1">
      <x:c r="A418" s="69"/>
      <x:c r="B418" s="216"/>
      <x:c r="C418" s="121"/>
      <x:c r="D418" s="121"/>
      <x:c r="E418" s="121"/>
      <x:c r="F418" s="121"/>
      <x:c r="G418" s="121"/>
      <x:c r="H418" s="121"/>
      <x:c r="I418" s="121"/>
      <x:c r="J418" s="121"/>
      <x:c r="K418" s="121"/>
      <x:c r="L418" s="121"/>
      <x:c r="M418" s="121"/>
      <x:c r="N418" s="121"/>
      <x:c r="O418" s="121"/>
      <x:c r="P418" s="121"/>
      <x:c r="Q418" s="121"/>
      <x:c r="R418" s="121"/>
      <x:c r="S418" s="121"/>
      <x:c r="T418" s="121"/>
      <x:c r="U418" s="121"/>
      <x:c r="V418" s="121"/>
      <x:c r="W418" s="121"/>
      <x:c r="X418" s="121"/>
      <x:c r="Y418" s="121"/>
      <x:c r="Z418" s="121"/>
      <x:c r="AA418" s="121"/>
      <x:c r="AB418" s="121"/>
      <x:c r="AC418" s="121"/>
      <x:c r="AD418" s="121"/>
      <x:c r="AE418" s="121"/>
      <x:c r="AF418" s="121"/>
      <x:c r="AG418" s="121"/>
      <x:c r="AH418" s="121"/>
      <x:c r="AI418" s="121"/>
      <x:c r="AJ418" s="121"/>
      <x:c r="AK418" s="220"/>
      <x:c r="AL418" s="221"/>
      <x:c r="AM418" s="221"/>
      <x:c r="AN418" s="121"/>
      <x:c r="AO418" s="121"/>
    </x:row>
    <x:row r="419" spans="1:47" ht="15" customHeight="1">
      <x:c r="A419" s="69"/>
      <x:c r="B419" s="216"/>
      <x:c r="C419" s="121"/>
      <x:c r="D419" s="121"/>
      <x:c r="E419" s="121"/>
      <x:c r="F419" s="121"/>
      <x:c r="G419" s="121"/>
      <x:c r="H419" s="121"/>
      <x:c r="I419" s="121"/>
      <x:c r="J419" s="121"/>
      <x:c r="K419" s="121"/>
      <x:c r="L419" s="121"/>
      <x:c r="M419" s="121"/>
      <x:c r="N419" s="121"/>
      <x:c r="O419" s="121"/>
      <x:c r="P419" s="121"/>
      <x:c r="Q419" s="121"/>
      <x:c r="R419" s="121"/>
      <x:c r="S419" s="121"/>
      <x:c r="T419" s="121"/>
      <x:c r="U419" s="121"/>
      <x:c r="V419" s="121"/>
      <x:c r="W419" s="121"/>
      <x:c r="X419" s="121"/>
      <x:c r="Y419" s="121"/>
      <x:c r="Z419" s="121"/>
      <x:c r="AA419" s="121"/>
      <x:c r="AB419" s="121"/>
      <x:c r="AC419" s="121"/>
      <x:c r="AD419" s="121"/>
      <x:c r="AE419" s="121"/>
      <x:c r="AF419" s="121"/>
      <x:c r="AG419" s="121"/>
      <x:c r="AH419" s="121"/>
      <x:c r="AI419" s="121"/>
      <x:c r="AJ419" s="121"/>
      <x:c r="AK419" s="220"/>
      <x:c r="AL419" s="221"/>
      <x:c r="AM419" s="221"/>
      <x:c r="AN419" s="121"/>
      <x:c r="AO419" s="121"/>
    </x:row>
    <x:row r="420" spans="1:47" ht="15" customHeight="1">
      <x:c r="A420" s="69"/>
      <x:c r="B420" s="216"/>
      <x:c r="C420" s="121"/>
      <x:c r="D420" s="121"/>
      <x:c r="E420" s="121"/>
      <x:c r="F420" s="121"/>
      <x:c r="G420" s="121"/>
      <x:c r="H420" s="121"/>
      <x:c r="I420" s="121"/>
      <x:c r="J420" s="121"/>
      <x:c r="K420" s="121"/>
      <x:c r="L420" s="121"/>
      <x:c r="M420" s="121"/>
      <x:c r="N420" s="121"/>
      <x:c r="O420" s="121"/>
      <x:c r="P420" s="121"/>
      <x:c r="Q420" s="121"/>
      <x:c r="R420" s="121"/>
      <x:c r="S420" s="121"/>
      <x:c r="T420" s="121"/>
      <x:c r="U420" s="121"/>
      <x:c r="V420" s="121"/>
      <x:c r="W420" s="121"/>
      <x:c r="X420" s="121"/>
      <x:c r="Y420" s="121"/>
      <x:c r="Z420" s="121"/>
      <x:c r="AA420" s="121"/>
      <x:c r="AB420" s="121"/>
      <x:c r="AC420" s="121"/>
      <x:c r="AD420" s="121"/>
      <x:c r="AE420" s="121"/>
      <x:c r="AF420" s="121"/>
      <x:c r="AG420" s="121"/>
      <x:c r="AH420" s="121"/>
      <x:c r="AI420" s="121"/>
      <x:c r="AJ420" s="121"/>
      <x:c r="AK420" s="220"/>
      <x:c r="AL420" s="221"/>
      <x:c r="AM420" s="221"/>
      <x:c r="AN420" s="121"/>
      <x:c r="AO420" s="121"/>
    </x:row>
    <x:row r="421" spans="1:47" ht="15" customHeight="1">
      <x:c r="A421" s="69"/>
      <x:c r="B421" s="216"/>
      <x:c r="C421" s="121"/>
      <x:c r="D421" s="121"/>
      <x:c r="E421" s="121"/>
      <x:c r="F421" s="121"/>
      <x:c r="G421" s="121"/>
      <x:c r="H421" s="121"/>
      <x:c r="I421" s="121"/>
      <x:c r="J421" s="121"/>
      <x:c r="K421" s="121"/>
      <x:c r="L421" s="121"/>
      <x:c r="M421" s="121"/>
      <x:c r="N421" s="121"/>
      <x:c r="O421" s="121"/>
      <x:c r="P421" s="121"/>
      <x:c r="Q421" s="121"/>
      <x:c r="R421" s="121"/>
      <x:c r="S421" s="121"/>
      <x:c r="T421" s="121"/>
      <x:c r="U421" s="121"/>
      <x:c r="V421" s="121"/>
      <x:c r="W421" s="121"/>
      <x:c r="X421" s="121"/>
      <x:c r="Y421" s="121"/>
      <x:c r="Z421" s="121"/>
      <x:c r="AA421" s="121"/>
      <x:c r="AB421" s="121"/>
      <x:c r="AC421" s="121"/>
      <x:c r="AD421" s="121"/>
      <x:c r="AE421" s="121"/>
      <x:c r="AF421" s="121"/>
      <x:c r="AG421" s="121"/>
      <x:c r="AH421" s="121"/>
      <x:c r="AI421" s="121"/>
      <x:c r="AJ421" s="121"/>
      <x:c r="AK421" s="220"/>
      <x:c r="AL421" s="221"/>
      <x:c r="AM421" s="221"/>
      <x:c r="AN421" s="121"/>
      <x:c r="AO421" s="121"/>
    </x:row>
    <x:row r="422" spans="1:47" ht="15" customHeight="1">
      <x:c r="A422" s="69"/>
      <x:c r="B422" s="216"/>
      <x:c r="C422" s="121"/>
      <x:c r="D422" s="121"/>
      <x:c r="E422" s="121"/>
      <x:c r="F422" s="121"/>
      <x:c r="G422" s="121"/>
      <x:c r="H422" s="121"/>
      <x:c r="I422" s="121"/>
      <x:c r="J422" s="121"/>
      <x:c r="K422" s="121"/>
      <x:c r="L422" s="121"/>
      <x:c r="M422" s="121"/>
      <x:c r="N422" s="121"/>
      <x:c r="O422" s="121"/>
      <x:c r="P422" s="121"/>
      <x:c r="Q422" s="121"/>
      <x:c r="R422" s="121"/>
      <x:c r="S422" s="121"/>
      <x:c r="T422" s="121"/>
      <x:c r="U422" s="121"/>
      <x:c r="V422" s="121"/>
      <x:c r="W422" s="121"/>
      <x:c r="X422" s="121"/>
      <x:c r="Y422" s="121"/>
      <x:c r="Z422" s="121"/>
      <x:c r="AA422" s="121"/>
      <x:c r="AB422" s="121"/>
      <x:c r="AC422" s="121"/>
      <x:c r="AD422" s="121"/>
      <x:c r="AE422" s="121"/>
      <x:c r="AF422" s="121"/>
      <x:c r="AG422" s="121"/>
      <x:c r="AH422" s="121"/>
      <x:c r="AI422" s="121"/>
      <x:c r="AJ422" s="121"/>
      <x:c r="AK422" s="220"/>
      <x:c r="AL422" s="221"/>
      <x:c r="AM422" s="221"/>
      <x:c r="AN422" s="121"/>
      <x:c r="AO422" s="121"/>
    </x:row>
    <x:row r="423" spans="1:47" ht="15" customHeight="1">
      <x:c r="A423" s="69"/>
      <x:c r="B423" s="216"/>
      <x:c r="C423" s="121"/>
      <x:c r="D423" s="121"/>
      <x:c r="E423" s="121"/>
      <x:c r="F423" s="121"/>
      <x:c r="G423" s="121"/>
      <x:c r="H423" s="121"/>
      <x:c r="I423" s="121"/>
      <x:c r="J423" s="121"/>
      <x:c r="K423" s="121"/>
      <x:c r="L423" s="121"/>
      <x:c r="M423" s="121"/>
      <x:c r="N423" s="121"/>
      <x:c r="O423" s="121"/>
      <x:c r="P423" s="121"/>
      <x:c r="Q423" s="121"/>
      <x:c r="R423" s="121"/>
      <x:c r="S423" s="121"/>
      <x:c r="T423" s="121"/>
      <x:c r="U423" s="121"/>
      <x:c r="V423" s="121"/>
      <x:c r="W423" s="121"/>
      <x:c r="X423" s="121"/>
      <x:c r="Y423" s="121"/>
      <x:c r="Z423" s="121"/>
      <x:c r="AA423" s="121"/>
      <x:c r="AB423" s="121"/>
      <x:c r="AC423" s="121"/>
      <x:c r="AD423" s="121"/>
      <x:c r="AE423" s="121"/>
      <x:c r="AF423" s="121"/>
      <x:c r="AG423" s="121"/>
      <x:c r="AH423" s="121"/>
      <x:c r="AI423" s="121"/>
      <x:c r="AJ423" s="121"/>
      <x:c r="AK423" s="220"/>
      <x:c r="AL423" s="221"/>
      <x:c r="AM423" s="221"/>
      <x:c r="AN423" s="121"/>
      <x:c r="AO423" s="121"/>
    </x:row>
    <x:row r="424" spans="1:47" ht="15" customHeight="1">
      <x:c r="A424" s="69"/>
      <x:c r="B424" s="216"/>
      <x:c r="C424" s="121"/>
      <x:c r="D424" s="121"/>
      <x:c r="E424" s="121"/>
      <x:c r="F424" s="121"/>
      <x:c r="G424" s="121"/>
      <x:c r="H424" s="121"/>
      <x:c r="I424" s="121"/>
      <x:c r="J424" s="121"/>
      <x:c r="K424" s="121"/>
      <x:c r="L424" s="121"/>
      <x:c r="M424" s="121"/>
      <x:c r="N424" s="121"/>
      <x:c r="O424" s="121"/>
      <x:c r="P424" s="121"/>
      <x:c r="Q424" s="121"/>
      <x:c r="R424" s="121"/>
      <x:c r="S424" s="121"/>
      <x:c r="T424" s="121"/>
      <x:c r="U424" s="121"/>
      <x:c r="V424" s="121"/>
      <x:c r="W424" s="121"/>
      <x:c r="X424" s="121"/>
      <x:c r="Y424" s="121"/>
      <x:c r="Z424" s="121"/>
      <x:c r="AA424" s="121"/>
      <x:c r="AB424" s="121"/>
      <x:c r="AC424" s="121"/>
      <x:c r="AD424" s="121"/>
      <x:c r="AE424" s="121"/>
      <x:c r="AF424" s="121"/>
      <x:c r="AG424" s="121"/>
      <x:c r="AH424" s="121"/>
      <x:c r="AI424" s="121"/>
      <x:c r="AJ424" s="121"/>
      <x:c r="AK424" s="220"/>
      <x:c r="AL424" s="221"/>
      <x:c r="AM424" s="221"/>
      <x:c r="AN424" s="121"/>
      <x:c r="AO424" s="121"/>
    </x:row>
  </x:sheetData>
  <x:autoFilter ref="A5:AO424"/>
  <x:mergeCells count="38">
    <x:mergeCell ref="B1:AK2"/>
    <x:mergeCell ref="B3:E3"/>
    <x:mergeCell ref="F3:F4"/>
    <x:mergeCell ref="G3:G4"/>
    <x:mergeCell ref="H3:H4"/>
    <x:mergeCell ref="I3:I4"/>
    <x:mergeCell ref="J3:J4"/>
    <x:mergeCell ref="K3:K4"/>
    <x:mergeCell ref="L3:L4"/>
    <x:mergeCell ref="M3:M4"/>
    <x:mergeCell ref="N3:N4"/>
    <x:mergeCell ref="O3:O4"/>
    <x:mergeCell ref="P3:P4"/>
    <x:mergeCell ref="Q3:Q4"/>
    <x:mergeCell ref="R3:R4"/>
    <x:mergeCell ref="S3:S4"/>
    <x:mergeCell ref="T3:T4"/>
    <x:mergeCell ref="U3:U4"/>
    <x:mergeCell ref="V3:V4"/>
    <x:mergeCell ref="W3:W4"/>
    <x:mergeCell ref="X3:X4"/>
    <x:mergeCell ref="Y3:Y4"/>
    <x:mergeCell ref="Z3:Z4"/>
    <x:mergeCell ref="AA3:AA4"/>
    <x:mergeCell ref="AB3:AB4"/>
    <x:mergeCell ref="AC3:AC4"/>
    <x:mergeCell ref="AD3:AD4"/>
    <x:mergeCell ref="AE3:AE4"/>
    <x:mergeCell ref="AF3:AF4"/>
    <x:mergeCell ref="AG3:AG4"/>
    <x:mergeCell ref="AH3:AH4"/>
    <x:mergeCell ref="AI3:AI4"/>
    <x:mergeCell ref="AJ3:AJ4"/>
    <x:mergeCell ref="AK3:AK4"/>
    <x:mergeCell ref="AL3:AL4"/>
    <x:mergeCell ref="AM3:AM4"/>
    <x:mergeCell ref="AN3:AO3"/>
    <x:mergeCell ref="D4:E4"/>
  </x:mergeCells>
  <x:conditionalFormatting sqref="F3:AJ3">
    <x:cfRule type="expression" dxfId="0" priority="1" stopIfTrue="1" operator="equal">
      <x:formula>F$5&gt;=6</x:formula>
    </x:cfRule>
  </x:conditionalFormatting>
  <x:conditionalFormatting sqref="F3:AJ4">
    <x:cfRule type="expression" dxfId="0" priority="2" stopIfTrue="1" operator="equal">
      <x:formula>F$5&gt;=6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AO2:AO2">
      <x:formula1>$AQ$6:$AQ$17</x:formula1>
      <x:formula2/>
    </x:dataValidation>
  </x:dataValidations>
  <x:printOptions horizontalCentered="0" verticalCentered="0" headings="0" gridLines="0"/>
  <x:pageMargins left="0.70866141732283472" right="0.11811023622047245" top="0.35433070866141736" bottom="0.35433070866141736" header="0.31496062992125984" footer="0.31496062992125984"/>
  <x:pageSetup paperSize="9" scale="95" pageOrder="downThenOver" orientation="landscape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U424"/>
  <x:sheetViews>
    <x:sheetView workbookViewId="0">
      <x:pane xSplit="0" ySplit="4" topLeftCell="A5" activePane="bottomLeft" state="frozenSplit"/>
      <x:selection activeCell="A22" sqref="A22"/>
      <x:selection pane="bottomLeft" activeCell="A22" sqref="A22"/>
    </x:sheetView>
  </x:sheetViews>
  <x:sheetFormatPr defaultColWidth="9.140625" defaultRowHeight="11.25"/>
  <x:cols>
    <x:col min="48" max="16384" width="9.140625" style="39" customWidth="1"/>
    <x:col min="1" max="1" width="27.710938" style="39" customWidth="1"/>
    <x:col min="2" max="2" width="5" style="39" customWidth="1"/>
    <x:col min="3" max="3" width="12" style="39" customWidth="1"/>
    <x:col min="4" max="4" width="26.570312" style="39" customWidth="1"/>
    <x:col min="5" max="5" width="14.285156" style="39" customWidth="1"/>
    <x:col min="6" max="36" width="2.855469" style="39" customWidth="1"/>
    <x:col min="37" max="37" width="7.285156" style="39" customWidth="1"/>
    <x:col min="38" max="39" width="10.425781" style="39" customWidth="1"/>
    <x:col min="40" max="40" width="13.140625" style="39" customWidth="1"/>
    <x:col min="41" max="41" width="11.425781" style="39" customWidth="1"/>
    <x:col min="42" max="42" width="4.285156" style="39" customWidth="1"/>
    <x:col min="43" max="43" width="13.140625" style="39" hidden="1" customWidth="1"/>
    <x:col min="44" max="45" width="0" style="39" hidden="1" customWidth="1"/>
    <x:col min="46" max="46" width="9.140625" style="39" customWidth="1"/>
    <x:col min="47" max="47" width="19.285156" style="39" customWidth="1"/>
  </x:cols>
  <x:sheetData>
    <x:row r="1" spans="1:47" ht="14.25" customHeight="1">
      <x:c r="B1" s="203" t="s">
        <x:v>0</x:v>
      </x:c>
      <x:c r="C1" s="203"/>
      <x:c r="D1" s="203"/>
      <x:c r="E1" s="203"/>
      <x:c r="F1" s="203"/>
      <x:c r="G1" s="203"/>
      <x:c r="H1" s="203"/>
      <x:c r="I1" s="203"/>
      <x:c r="J1" s="203"/>
      <x:c r="K1" s="203"/>
      <x:c r="L1" s="203"/>
      <x:c r="M1" s="203"/>
      <x:c r="N1" s="203"/>
      <x:c r="O1" s="203"/>
      <x:c r="P1" s="203"/>
      <x:c r="Q1" s="203"/>
      <x:c r="R1" s="203"/>
      <x:c r="S1" s="203"/>
      <x:c r="T1" s="203"/>
      <x:c r="U1" s="203"/>
      <x:c r="V1" s="203"/>
      <x:c r="W1" s="203"/>
      <x:c r="X1" s="203"/>
      <x:c r="Y1" s="203"/>
      <x:c r="Z1" s="203"/>
      <x:c r="AA1" s="203"/>
      <x:c r="AB1" s="203"/>
      <x:c r="AC1" s="203"/>
      <x:c r="AD1" s="203"/>
      <x:c r="AE1" s="203"/>
      <x:c r="AF1" s="203"/>
      <x:c r="AG1" s="203"/>
      <x:c r="AH1" s="203"/>
      <x:c r="AI1" s="203"/>
      <x:c r="AJ1" s="203"/>
      <x:c r="AK1" s="203"/>
      <x:c r="AL1" s="124"/>
      <x:c r="AM1" s="124"/>
      <x:c r="AN1" s="204" t="s">
        <x:v>1</x:v>
      </x:c>
      <x:c r="AO1" s="205">
        <x:v>2026</x:v>
      </x:c>
      <x:c r="AP1" s="124"/>
      <x:c r="AQ1" s="124"/>
      <x:c r="AR1" s="124"/>
      <x:c r="AS1" s="124"/>
      <x:c r="AT1" s="124"/>
    </x:row>
    <x:row r="2" spans="1:47" ht="15.75" customHeight="1">
      <x:c r="B2" s="203"/>
      <x:c r="C2" s="203"/>
      <x:c r="D2" s="203"/>
      <x:c r="E2" s="203"/>
      <x:c r="F2" s="203"/>
      <x:c r="G2" s="203"/>
      <x:c r="H2" s="203"/>
      <x:c r="I2" s="203"/>
      <x:c r="J2" s="203"/>
      <x:c r="K2" s="203"/>
      <x:c r="L2" s="203"/>
      <x:c r="M2" s="203"/>
      <x:c r="N2" s="203"/>
      <x:c r="O2" s="203"/>
      <x:c r="P2" s="203"/>
      <x:c r="Q2" s="203"/>
      <x:c r="R2" s="203"/>
      <x:c r="S2" s="203"/>
      <x:c r="T2" s="203"/>
      <x:c r="U2" s="203"/>
      <x:c r="V2" s="203"/>
      <x:c r="W2" s="203"/>
      <x:c r="X2" s="203"/>
      <x:c r="Y2" s="203"/>
      <x:c r="Z2" s="203"/>
      <x:c r="AA2" s="203"/>
      <x:c r="AB2" s="203"/>
      <x:c r="AC2" s="203"/>
      <x:c r="AD2" s="203"/>
      <x:c r="AE2" s="203"/>
      <x:c r="AF2" s="203"/>
      <x:c r="AG2" s="203"/>
      <x:c r="AH2" s="203"/>
      <x:c r="AI2" s="203"/>
      <x:c r="AJ2" s="203"/>
      <x:c r="AK2" s="203"/>
      <x:c r="AL2" s="128"/>
      <x:c r="AM2" s="128"/>
      <x:c r="AN2" s="204" t="s">
        <x:v>2</x:v>
      </x:c>
      <x:c r="AO2" s="205" t="s">
        <x:v>20</x:v>
      </x:c>
      <x:c r="AP2" s="124"/>
      <x:c r="AQ2" s="124"/>
      <x:c r="AR2" s="124"/>
      <x:c r="AS2" s="124"/>
      <x:c r="AT2" s="124"/>
    </x:row>
    <x:row r="3" spans="1:47" ht="92.25" customHeight="1">
      <x:c r="B3" s="151" t="s">
        <x:v>4</x:v>
      </x:c>
      <x:c r="C3" s="152"/>
      <x:c r="D3" s="152"/>
      <x:c r="E3" s="153"/>
      <x:c r="F3" s="206">
        <x:v>46082</x:v>
      </x:c>
      <x:c r="G3" s="206">
        <x:v>46083</x:v>
      </x:c>
      <x:c r="H3" s="206">
        <x:v>46084</x:v>
      </x:c>
      <x:c r="I3" s="206">
        <x:v>46085</x:v>
      </x:c>
      <x:c r="J3" s="206">
        <x:v>46086</x:v>
      </x:c>
      <x:c r="K3" s="206">
        <x:v>46087</x:v>
      </x:c>
      <x:c r="L3" s="206">
        <x:v>46088</x:v>
      </x:c>
      <x:c r="M3" s="206">
        <x:v>46089</x:v>
      </x:c>
      <x:c r="N3" s="206">
        <x:v>46090</x:v>
      </x:c>
      <x:c r="O3" s="206">
        <x:v>46091</x:v>
      </x:c>
      <x:c r="P3" s="206">
        <x:v>46092</x:v>
      </x:c>
      <x:c r="Q3" s="206">
        <x:v>46093</x:v>
      </x:c>
      <x:c r="R3" s="206">
        <x:v>46094</x:v>
      </x:c>
      <x:c r="S3" s="206">
        <x:v>46095</x:v>
      </x:c>
      <x:c r="T3" s="206">
        <x:v>46096</x:v>
      </x:c>
      <x:c r="U3" s="206">
        <x:v>46097</x:v>
      </x:c>
      <x:c r="V3" s="206">
        <x:v>46098</x:v>
      </x:c>
      <x:c r="W3" s="206">
        <x:v>46099</x:v>
      </x:c>
      <x:c r="X3" s="206">
        <x:v>46100</x:v>
      </x:c>
      <x:c r="Y3" s="206">
        <x:v>46101</x:v>
      </x:c>
      <x:c r="Z3" s="206">
        <x:v>46102</x:v>
      </x:c>
      <x:c r="AA3" s="206">
        <x:v>46103</x:v>
      </x:c>
      <x:c r="AB3" s="206">
        <x:v>46104</x:v>
      </x:c>
      <x:c r="AC3" s="206">
        <x:v>46105</x:v>
      </x:c>
      <x:c r="AD3" s="206">
        <x:v>46106</x:v>
      </x:c>
      <x:c r="AE3" s="206">
        <x:v>46107</x:v>
      </x:c>
      <x:c r="AF3" s="206">
        <x:v>46108</x:v>
      </x:c>
      <x:c r="AG3" s="206">
        <x:v>46109</x:v>
      </x:c>
      <x:c r="AH3" s="206">
        <x:v>46110</x:v>
      </x:c>
      <x:c r="AI3" s="206">
        <x:v>46111</x:v>
      </x:c>
      <x:c r="AJ3" s="207">
        <x:v>46112</x:v>
      </x:c>
      <x:c r="AK3" s="154" t="s">
        <x:v>5</x:v>
      </x:c>
      <x:c r="AL3" s="154" t="s">
        <x:v>6</x:v>
      </x:c>
      <x:c r="AM3" s="156" t="s">
        <x:v>7</x:v>
      </x:c>
      <x:c r="AN3" s="272" t="s">
        <x:v>8</x:v>
      </x:c>
      <x:c r="AO3" s="273"/>
      <x:c r="AP3" s="208"/>
      <x:c r="AQ3" s="124"/>
      <x:c r="AR3" s="124"/>
      <x:c r="AS3" s="124"/>
      <x:c r="AT3" s="124"/>
    </x:row>
    <x:row r="4" spans="1:47" ht="14.25" customHeight="1">
      <x:c r="A4" s="70" t="s">
        <x:v>9</x:v>
      </x:c>
      <x:c r="B4" s="131" t="s">
        <x:v>10</x:v>
      </x:c>
      <x:c r="C4" s="132" t="s">
        <x:v>11</x:v>
      </x:c>
      <x:c r="D4" s="145" t="s">
        <x:v>12</x:v>
      </x:c>
      <x:c r="E4" s="146"/>
      <x:c r="F4" s="209"/>
      <x:c r="G4" s="209"/>
      <x:c r="H4" s="209"/>
      <x:c r="I4" s="209"/>
      <x:c r="J4" s="209"/>
      <x:c r="K4" s="209"/>
      <x:c r="L4" s="209"/>
      <x:c r="M4" s="209"/>
      <x:c r="N4" s="209"/>
      <x:c r="O4" s="209"/>
      <x:c r="P4" s="209"/>
      <x:c r="Q4" s="209"/>
      <x:c r="R4" s="209"/>
      <x:c r="S4" s="209"/>
      <x:c r="T4" s="209"/>
      <x:c r="U4" s="209"/>
      <x:c r="V4" s="209"/>
      <x:c r="W4" s="209"/>
      <x:c r="X4" s="209"/>
      <x:c r="Y4" s="209"/>
      <x:c r="Z4" s="209"/>
      <x:c r="AA4" s="209"/>
      <x:c r="AB4" s="209"/>
      <x:c r="AC4" s="209"/>
      <x:c r="AD4" s="209"/>
      <x:c r="AE4" s="209"/>
      <x:c r="AF4" s="209"/>
      <x:c r="AG4" s="209"/>
      <x:c r="AH4" s="209"/>
      <x:c r="AI4" s="209"/>
      <x:c r="AJ4" s="210"/>
      <x:c r="AK4" s="155"/>
      <x:c r="AL4" s="155"/>
      <x:c r="AM4" s="157"/>
      <x:c r="AN4" s="211" t="s">
        <x:v>13</x:v>
      </x:c>
      <x:c r="AO4" s="211" t="s">
        <x:v>14</x:v>
      </x:c>
      <x:c r="AP4" s="133"/>
      <x:c r="AQ4" s="212" t="s">
        <x:v>15</x:v>
      </x:c>
      <x:c r="AR4" s="212" t="s">
        <x:v>16</x:v>
      </x:c>
      <x:c r="AS4" s="212" t="s">
        <x:v>17</x:v>
      </x:c>
      <x:c r="AT4" s="124">
        <x:f>SUM(AK6:AK424)</x:f>
      </x:c>
      <x:c r="AU4" s="213"/>
    </x:row>
    <x:row r="5" spans="1:47" ht="15" customHeight="1">
      <x:c r="A5" s="69"/>
      <x:c r="B5" s="108"/>
      <x:c r="C5" s="109"/>
      <x:c r="D5" s="110"/>
      <x:c r="E5" s="111"/>
      <x:c r="F5" s="214">
        <x:v>7</x:v>
      </x:c>
      <x:c r="G5" s="214">
        <x:v>1</x:v>
      </x:c>
      <x:c r="H5" s="214">
        <x:v>2</x:v>
      </x:c>
      <x:c r="I5" s="214">
        <x:v>3</x:v>
      </x:c>
      <x:c r="J5" s="214">
        <x:v>4</x:v>
      </x:c>
      <x:c r="K5" s="214">
        <x:v>5</x:v>
      </x:c>
      <x:c r="L5" s="214">
        <x:v>6</x:v>
      </x:c>
      <x:c r="M5" s="214">
        <x:v>7</x:v>
      </x:c>
      <x:c r="N5" s="214">
        <x:v>1</x:v>
      </x:c>
      <x:c r="O5" s="214">
        <x:v>2</x:v>
      </x:c>
      <x:c r="P5" s="214">
        <x:v>3</x:v>
      </x:c>
      <x:c r="Q5" s="214">
        <x:v>4</x:v>
      </x:c>
      <x:c r="R5" s="214">
        <x:v>5</x:v>
      </x:c>
      <x:c r="S5" s="214">
        <x:v>6</x:v>
      </x:c>
      <x:c r="T5" s="214">
        <x:v>7</x:v>
      </x:c>
      <x:c r="U5" s="214">
        <x:v>1</x:v>
      </x:c>
      <x:c r="V5" s="214">
        <x:v>2</x:v>
      </x:c>
      <x:c r="W5" s="214">
        <x:v>3</x:v>
      </x:c>
      <x:c r="X5" s="214">
        <x:v>4</x:v>
      </x:c>
      <x:c r="Y5" s="214">
        <x:v>5</x:v>
      </x:c>
      <x:c r="Z5" s="214">
        <x:v>6</x:v>
      </x:c>
      <x:c r="AA5" s="214">
        <x:v>7</x:v>
      </x:c>
      <x:c r="AB5" s="214">
        <x:v>1</x:v>
      </x:c>
      <x:c r="AC5" s="214">
        <x:v>2</x:v>
      </x:c>
      <x:c r="AD5" s="214">
        <x:v>3</x:v>
      </x:c>
      <x:c r="AE5" s="214">
        <x:v>4</x:v>
      </x:c>
      <x:c r="AF5" s="214">
        <x:v>5</x:v>
      </x:c>
      <x:c r="AG5" s="214">
        <x:v>6</x:v>
      </x:c>
      <x:c r="AH5" s="214">
        <x:v>7</x:v>
      </x:c>
      <x:c r="AI5" s="214">
        <x:v>1</x:v>
      </x:c>
      <x:c r="AJ5" s="214">
        <x:v>2</x:v>
      </x:c>
      <x:c r="AK5" s="113"/>
      <x:c r="AL5" s="114"/>
      <x:c r="AM5" s="114"/>
      <x:c r="AN5" s="211"/>
      <x:c r="AO5" s="211"/>
      <x:c r="AP5" s="208"/>
      <x:c r="AQ5" s="212"/>
      <x:c r="AR5" s="212"/>
      <x:c r="AS5" s="212"/>
      <x:c r="AT5" s="124"/>
    </x:row>
    <x:row r="6" spans="1:47" ht="19.9" customHeight="1">
      <x:c r="A6" s="274" t="s">
        <x:v>817</x:v>
      </x:c>
      <x:c r="B6" s="216"/>
      <x:c r="C6" s="275" t="s">
        <x:v>818</x:v>
      </x:c>
      <x:c r="D6" s="274" t="s">
        <x:v>819</x:v>
      </x:c>
      <x:c r="E6" s="276" t="s">
        <x:v>820</x:v>
      </x:c>
      <x:c r="F6" s="277" t="s">
        <x:v>118</x:v>
      </x:c>
      <x:c r="G6" s="277" t="s">
        <x:v>118</x:v>
      </x:c>
      <x:c r="H6" s="277" t="s">
        <x:v>118</x:v>
      </x:c>
      <x:c r="I6" s="277" t="s">
        <x:v>118</x:v>
      </x:c>
      <x:c r="J6" s="277" t="s">
        <x:v>118</x:v>
      </x:c>
      <x:c r="K6" s="277" t="s">
        <x:v>118</x:v>
      </x:c>
      <x:c r="L6" s="277" t="s">
        <x:v>118</x:v>
      </x:c>
      <x:c r="M6" s="277" t="s">
        <x:v>118</x:v>
      </x:c>
      <x:c r="N6" s="277" t="s">
        <x:v>118</x:v>
      </x:c>
      <x:c r="O6" s="277" t="s">
        <x:v>118</x:v>
      </x:c>
      <x:c r="P6" s="277" t="s">
        <x:v>118</x:v>
      </x:c>
      <x:c r="Q6" s="277" t="s">
        <x:v>118</x:v>
      </x:c>
      <x:c r="R6" s="277" t="s">
        <x:v>118</x:v>
      </x:c>
      <x:c r="S6" s="277" t="s">
        <x:v>118</x:v>
      </x:c>
      <x:c r="T6" s="277" t="s">
        <x:v>118</x:v>
      </x:c>
      <x:c r="U6" s="277" t="s">
        <x:v>118</x:v>
      </x:c>
      <x:c r="V6" s="277" t="s">
        <x:v>118</x:v>
      </x:c>
      <x:c r="W6" s="277" t="s">
        <x:v>118</x:v>
      </x:c>
      <x:c r="X6" s="277" t="s">
        <x:v>118</x:v>
      </x:c>
      <x:c r="Y6" s="277" t="s">
        <x:v>118</x:v>
      </x:c>
      <x:c r="Z6" s="277" t="s">
        <x:v>118</x:v>
      </x:c>
      <x:c r="AA6" s="277" t="s">
        <x:v>118</x:v>
      </x:c>
      <x:c r="AB6" s="277" t="s">
        <x:v>118</x:v>
      </x:c>
      <x:c r="AC6" s="277" t="s">
        <x:v>118</x:v>
      </x:c>
      <x:c r="AD6" s="277" t="s">
        <x:v>118</x:v>
      </x:c>
      <x:c r="AE6" s="277" t="s">
        <x:v>118</x:v>
      </x:c>
      <x:c r="AF6" s="277" t="s">
        <x:v>118</x:v>
      </x:c>
      <x:c r="AG6" s="277" t="s">
        <x:v>118</x:v>
      </x:c>
      <x:c r="AH6" s="277" t="s">
        <x:v>118</x:v>
      </x:c>
      <x:c r="AI6" s="277" t="s">
        <x:v>118</x:v>
      </x:c>
      <x:c r="AJ6" s="277" t="s">
        <x:v>118</x:v>
      </x:c>
      <x:c r="AK6" s="220">
        <x:f>COUNTIF(F6:AJ6,"X")</x:f>
      </x:c>
      <x:c r="AL6" s="221"/>
      <x:c r="AM6" s="221"/>
      <x:c r="AN6" s="222"/>
      <x:c r="AO6" s="222"/>
      <x:c r="AP6" s="223"/>
      <x:c r="AQ6" s="224"/>
      <x:c r="AR6" s="225"/>
      <x:c r="AS6" s="225"/>
      <x:c r="AT6" s="220"/>
    </x:row>
    <x:row r="7" spans="1:47" ht="19.9" customHeight="1">
      <x:c r="A7" s="274" t="s">
        <x:v>821</x:v>
      </x:c>
      <x:c r="B7" s="216"/>
      <x:c r="C7" s="275" t="s">
        <x:v>822</x:v>
      </x:c>
      <x:c r="D7" s="274" t="s">
        <x:v>823</x:v>
      </x:c>
      <x:c r="E7" s="276" t="s">
        <x:v>323</x:v>
      </x:c>
      <x:c r="F7" s="277" t="s">
        <x:v>118</x:v>
      </x:c>
      <x:c r="G7" s="277" t="s">
        <x:v>118</x:v>
      </x:c>
      <x:c r="H7" s="277" t="s">
        <x:v>118</x:v>
      </x:c>
      <x:c r="I7" s="277" t="s">
        <x:v>118</x:v>
      </x:c>
      <x:c r="J7" s="278" t="s">
        <x:v>118</x:v>
      </x:c>
      <x:c r="K7" s="277" t="s">
        <x:v>118</x:v>
      </x:c>
      <x:c r="L7" s="277" t="s">
        <x:v>118</x:v>
      </x:c>
      <x:c r="M7" s="277" t="s">
        <x:v>118</x:v>
      </x:c>
      <x:c r="N7" s="277" t="s">
        <x:v>118</x:v>
      </x:c>
      <x:c r="O7" s="277" t="s">
        <x:v>118</x:v>
      </x:c>
      <x:c r="P7" s="278" t="s">
        <x:v>118</x:v>
      </x:c>
      <x:c r="Q7" s="277" t="s">
        <x:v>118</x:v>
      </x:c>
      <x:c r="R7" s="277" t="s">
        <x:v>118</x:v>
      </x:c>
      <x:c r="S7" s="277" t="s">
        <x:v>118</x:v>
      </x:c>
      <x:c r="T7" s="277" t="s">
        <x:v>118</x:v>
      </x:c>
      <x:c r="U7" s="277" t="s">
        <x:v>118</x:v>
      </x:c>
      <x:c r="V7" s="277" t="s">
        <x:v>118</x:v>
      </x:c>
      <x:c r="W7" s="277" t="s">
        <x:v>118</x:v>
      </x:c>
      <x:c r="X7" s="277" t="s">
        <x:v>118</x:v>
      </x:c>
      <x:c r="Y7" s="277" t="s">
        <x:v>118</x:v>
      </x:c>
      <x:c r="Z7" s="277" t="s">
        <x:v>118</x:v>
      </x:c>
      <x:c r="AA7" s="277" t="s">
        <x:v>118</x:v>
      </x:c>
      <x:c r="AB7" s="277" t="s">
        <x:v>118</x:v>
      </x:c>
      <x:c r="AC7" s="277" t="s">
        <x:v>118</x:v>
      </x:c>
      <x:c r="AD7" s="277" t="s">
        <x:v>118</x:v>
      </x:c>
      <x:c r="AE7" s="279" t="s">
        <x:v>118</x:v>
      </x:c>
      <x:c r="AF7" s="277" t="s">
        <x:v>118</x:v>
      </x:c>
      <x:c r="AG7" s="277" t="s">
        <x:v>118</x:v>
      </x:c>
      <x:c r="AH7" s="277" t="s">
        <x:v>118</x:v>
      </x:c>
      <x:c r="AI7" s="277" t="s">
        <x:v>118</x:v>
      </x:c>
      <x:c r="AJ7" s="277" t="s">
        <x:v>118</x:v>
      </x:c>
      <x:c r="AK7" s="220">
        <x:f>COUNTIF(F7:AJ7,"X")</x:f>
      </x:c>
      <x:c r="AL7" s="221"/>
      <x:c r="AM7" s="221"/>
      <x:c r="AN7" s="222"/>
      <x:c r="AO7" s="222"/>
      <x:c r="AP7" s="228"/>
      <x:c r="AQ7" s="224"/>
      <x:c r="AR7" s="229"/>
      <x:c r="AS7" s="229"/>
      <x:c r="AT7" s="230"/>
    </x:row>
    <x:row r="8" spans="1:47" ht="19.9" customHeight="1">
      <x:c r="A8" s="274" t="s">
        <x:v>824</x:v>
      </x:c>
      <x:c r="B8" s="216"/>
      <x:c r="C8" s="275" t="s">
        <x:v>825</x:v>
      </x:c>
      <x:c r="D8" s="274" t="s">
        <x:v>826</x:v>
      </x:c>
      <x:c r="E8" s="276" t="s">
        <x:v>827</x:v>
      </x:c>
      <x:c r="F8" s="277" t="s">
        <x:v>118</x:v>
      </x:c>
      <x:c r="G8" s="277" t="s">
        <x:v>118</x:v>
      </x:c>
      <x:c r="H8" s="277" t="s">
        <x:v>118</x:v>
      </x:c>
      <x:c r="I8" s="277" t="s">
        <x:v>118</x:v>
      </x:c>
      <x:c r="J8" s="277" t="s">
        <x:v>118</x:v>
      </x:c>
      <x:c r="K8" s="277" t="s">
        <x:v>118</x:v>
      </x:c>
      <x:c r="L8" s="277" t="s">
        <x:v>118</x:v>
      </x:c>
      <x:c r="M8" s="277" t="s">
        <x:v>118</x:v>
      </x:c>
      <x:c r="N8" s="277" t="s">
        <x:v>118</x:v>
      </x:c>
      <x:c r="O8" s="277" t="s">
        <x:v>118</x:v>
      </x:c>
      <x:c r="P8" s="277" t="s">
        <x:v>118</x:v>
      </x:c>
      <x:c r="Q8" s="277" t="s">
        <x:v>118</x:v>
      </x:c>
      <x:c r="R8" s="277" t="s">
        <x:v>118</x:v>
      </x:c>
      <x:c r="S8" s="277" t="s">
        <x:v>118</x:v>
      </x:c>
      <x:c r="T8" s="277" t="s">
        <x:v>118</x:v>
      </x:c>
      <x:c r="U8" s="277" t="s">
        <x:v>118</x:v>
      </x:c>
      <x:c r="V8" s="277" t="s">
        <x:v>118</x:v>
      </x:c>
      <x:c r="W8" s="277" t="s">
        <x:v>118</x:v>
      </x:c>
      <x:c r="X8" s="277" t="s">
        <x:v>118</x:v>
      </x:c>
      <x:c r="Y8" s="277" t="s">
        <x:v>118</x:v>
      </x:c>
      <x:c r="Z8" s="277" t="s">
        <x:v>118</x:v>
      </x:c>
      <x:c r="AA8" s="277" t="s">
        <x:v>118</x:v>
      </x:c>
      <x:c r="AB8" s="277" t="s">
        <x:v>118</x:v>
      </x:c>
      <x:c r="AC8" s="277" t="s">
        <x:v>118</x:v>
      </x:c>
      <x:c r="AD8" s="277" t="s">
        <x:v>118</x:v>
      </x:c>
      <x:c r="AE8" s="277" t="s">
        <x:v>118</x:v>
      </x:c>
      <x:c r="AF8" s="277" t="s">
        <x:v>118</x:v>
      </x:c>
      <x:c r="AG8" s="277" t="s">
        <x:v>118</x:v>
      </x:c>
      <x:c r="AH8" s="277" t="s">
        <x:v>118</x:v>
      </x:c>
      <x:c r="AI8" s="277" t="s">
        <x:v>118</x:v>
      </x:c>
      <x:c r="AJ8" s="277" t="s">
        <x:v>118</x:v>
      </x:c>
      <x:c r="AK8" s="220">
        <x:f>COUNTIF(F8:AJ8,"X")</x:f>
      </x:c>
      <x:c r="AL8" s="221"/>
      <x:c r="AM8" s="221"/>
      <x:c r="AN8" s="222"/>
      <x:c r="AO8" s="222"/>
      <x:c r="AP8" s="228"/>
      <x:c r="AQ8" s="224"/>
      <x:c r="AR8" s="229"/>
      <x:c r="AS8" s="229"/>
      <x:c r="AT8" s="230"/>
    </x:row>
    <x:row r="9" spans="1:47" ht="19.9" customHeight="1">
      <x:c r="A9" s="274" t="s">
        <x:v>828</x:v>
      </x:c>
      <x:c r="B9" s="216"/>
      <x:c r="C9" s="275" t="s">
        <x:v>829</x:v>
      </x:c>
      <x:c r="D9" s="274" t="s">
        <x:v>122</x:v>
      </x:c>
      <x:c r="E9" s="276" t="s">
        <x:v>147</x:v>
      </x:c>
      <x:c r="F9" s="277" t="s">
        <x:v>118</x:v>
      </x:c>
      <x:c r="G9" s="277" t="s">
        <x:v>118</x:v>
      </x:c>
      <x:c r="H9" s="277" t="s">
        <x:v>118</x:v>
      </x:c>
      <x:c r="I9" s="277" t="s">
        <x:v>118</x:v>
      </x:c>
      <x:c r="J9" s="277" t="s">
        <x:v>118</x:v>
      </x:c>
      <x:c r="K9" s="277" t="s">
        <x:v>118</x:v>
      </x:c>
      <x:c r="L9" s="277" t="s">
        <x:v>118</x:v>
      </x:c>
      <x:c r="M9" s="277" t="s">
        <x:v>118</x:v>
      </x:c>
      <x:c r="N9" s="277" t="s">
        <x:v>118</x:v>
      </x:c>
      <x:c r="O9" s="277" t="s">
        <x:v>118</x:v>
      </x:c>
      <x:c r="P9" s="277" t="s">
        <x:v>118</x:v>
      </x:c>
      <x:c r="Q9" s="277" t="s">
        <x:v>118</x:v>
      </x:c>
      <x:c r="R9" s="277" t="s">
        <x:v>118</x:v>
      </x:c>
      <x:c r="S9" s="277" t="s">
        <x:v>118</x:v>
      </x:c>
      <x:c r="T9" s="277" t="s">
        <x:v>118</x:v>
      </x:c>
      <x:c r="U9" s="277" t="s">
        <x:v>118</x:v>
      </x:c>
      <x:c r="V9" s="277" t="s">
        <x:v>118</x:v>
      </x:c>
      <x:c r="W9" s="277" t="s">
        <x:v>118</x:v>
      </x:c>
      <x:c r="X9" s="277" t="s">
        <x:v>118</x:v>
      </x:c>
      <x:c r="Y9" s="277" t="s">
        <x:v>118</x:v>
      </x:c>
      <x:c r="Z9" s="277" t="s">
        <x:v>118</x:v>
      </x:c>
      <x:c r="AA9" s="277" t="s">
        <x:v>118</x:v>
      </x:c>
      <x:c r="AB9" s="277" t="s">
        <x:v>118</x:v>
      </x:c>
      <x:c r="AC9" s="277" t="s">
        <x:v>118</x:v>
      </x:c>
      <x:c r="AD9" s="277" t="s">
        <x:v>118</x:v>
      </x:c>
      <x:c r="AE9" s="277" t="s">
        <x:v>118</x:v>
      </x:c>
      <x:c r="AF9" s="277" t="s">
        <x:v>118</x:v>
      </x:c>
      <x:c r="AG9" s="277" t="s">
        <x:v>118</x:v>
      </x:c>
      <x:c r="AH9" s="277" t="s">
        <x:v>118</x:v>
      </x:c>
      <x:c r="AI9" s="277" t="s">
        <x:v>118</x:v>
      </x:c>
      <x:c r="AJ9" s="277" t="s">
        <x:v>118</x:v>
      </x:c>
      <x:c r="AK9" s="220">
        <x:f>COUNTIF(F9:AJ9,"X")</x:f>
      </x:c>
      <x:c r="AL9" s="221"/>
      <x:c r="AM9" s="221"/>
      <x:c r="AN9" s="222"/>
      <x:c r="AO9" s="222"/>
      <x:c r="AP9" s="228"/>
      <x:c r="AQ9" s="224"/>
      <x:c r="AR9" s="229"/>
      <x:c r="AS9" s="229"/>
      <x:c r="AT9" s="230"/>
    </x:row>
    <x:row r="10" spans="1:47" ht="19.9" customHeight="1">
      <x:c r="A10" s="274" t="s">
        <x:v>830</x:v>
      </x:c>
      <x:c r="B10" s="216"/>
      <x:c r="C10" s="275" t="s">
        <x:v>831</x:v>
      </x:c>
      <x:c r="D10" s="274" t="s">
        <x:v>122</x:v>
      </x:c>
      <x:c r="E10" s="276" t="s">
        <x:v>832</x:v>
      </x:c>
      <x:c r="F10" s="277" t="s">
        <x:v>118</x:v>
      </x:c>
      <x:c r="G10" s="277" t="s">
        <x:v>118</x:v>
      </x:c>
      <x:c r="H10" s="277" t="s">
        <x:v>118</x:v>
      </x:c>
      <x:c r="I10" s="277" t="s">
        <x:v>118</x:v>
      </x:c>
      <x:c r="J10" s="277" t="s">
        <x:v>118</x:v>
      </x:c>
      <x:c r="K10" s="277" t="s">
        <x:v>118</x:v>
      </x:c>
      <x:c r="L10" s="277" t="s">
        <x:v>118</x:v>
      </x:c>
      <x:c r="M10" s="277" t="s">
        <x:v>118</x:v>
      </x:c>
      <x:c r="N10" s="277" t="s">
        <x:v>118</x:v>
      </x:c>
      <x:c r="O10" s="277" t="s">
        <x:v>118</x:v>
      </x:c>
      <x:c r="P10" s="277" t="s">
        <x:v>118</x:v>
      </x:c>
      <x:c r="Q10" s="277" t="s">
        <x:v>118</x:v>
      </x:c>
      <x:c r="R10" s="277" t="s">
        <x:v>118</x:v>
      </x:c>
      <x:c r="S10" s="277" t="s">
        <x:v>118</x:v>
      </x:c>
      <x:c r="T10" s="277" t="s">
        <x:v>118</x:v>
      </x:c>
      <x:c r="U10" s="277" t="s">
        <x:v>118</x:v>
      </x:c>
      <x:c r="V10" s="277" t="s">
        <x:v>118</x:v>
      </x:c>
      <x:c r="W10" s="277" t="s">
        <x:v>118</x:v>
      </x:c>
      <x:c r="X10" s="277" t="s">
        <x:v>118</x:v>
      </x:c>
      <x:c r="Y10" s="277" t="s">
        <x:v>118</x:v>
      </x:c>
      <x:c r="Z10" s="277" t="s">
        <x:v>118</x:v>
      </x:c>
      <x:c r="AA10" s="277" t="s">
        <x:v>118</x:v>
      </x:c>
      <x:c r="AB10" s="277" t="s">
        <x:v>118</x:v>
      </x:c>
      <x:c r="AC10" s="277" t="s">
        <x:v>118</x:v>
      </x:c>
      <x:c r="AD10" s="277" t="s">
        <x:v>118</x:v>
      </x:c>
      <x:c r="AE10" s="277" t="s">
        <x:v>118</x:v>
      </x:c>
      <x:c r="AF10" s="277" t="s">
        <x:v>118</x:v>
      </x:c>
      <x:c r="AG10" s="277" t="s">
        <x:v>118</x:v>
      </x:c>
      <x:c r="AH10" s="277" t="s">
        <x:v>118</x:v>
      </x:c>
      <x:c r="AI10" s="277" t="s">
        <x:v>118</x:v>
      </x:c>
      <x:c r="AJ10" s="277" t="s">
        <x:v>118</x:v>
      </x:c>
      <x:c r="AK10" s="220">
        <x:f>COUNTIF(F10:AJ10,"X")</x:f>
      </x:c>
      <x:c r="AL10" s="221"/>
      <x:c r="AM10" s="221"/>
      <x:c r="AN10" s="222"/>
      <x:c r="AO10" s="222"/>
      <x:c r="AP10" s="228"/>
      <x:c r="AQ10" s="224"/>
      <x:c r="AR10" s="229"/>
      <x:c r="AS10" s="229"/>
      <x:c r="AT10" s="230"/>
    </x:row>
    <x:row r="11" spans="1:47" ht="19.9" customHeight="1">
      <x:c r="A11" s="274" t="s">
        <x:v>833</x:v>
      </x:c>
      <x:c r="B11" s="216"/>
      <x:c r="C11" s="275" t="s">
        <x:v>834</x:v>
      </x:c>
      <x:c r="D11" s="274" t="s">
        <x:v>835</x:v>
      </x:c>
      <x:c r="E11" s="276" t="s">
        <x:v>370</x:v>
      </x:c>
      <x:c r="F11" s="277" t="s">
        <x:v>118</x:v>
      </x:c>
      <x:c r="G11" s="277" t="s">
        <x:v>118</x:v>
      </x:c>
      <x:c r="H11" s="277" t="s">
        <x:v>118</x:v>
      </x:c>
      <x:c r="I11" s="277" t="s">
        <x:v>118</x:v>
      </x:c>
      <x:c r="J11" s="277" t="s">
        <x:v>118</x:v>
      </x:c>
      <x:c r="K11" s="277" t="s">
        <x:v>118</x:v>
      </x:c>
      <x:c r="L11" s="277" t="s">
        <x:v>118</x:v>
      </x:c>
      <x:c r="M11" s="277" t="s">
        <x:v>118</x:v>
      </x:c>
      <x:c r="N11" s="277" t="s">
        <x:v>118</x:v>
      </x:c>
      <x:c r="O11" s="277" t="s">
        <x:v>118</x:v>
      </x:c>
      <x:c r="P11" s="277" t="s">
        <x:v>118</x:v>
      </x:c>
      <x:c r="Q11" s="277" t="s">
        <x:v>118</x:v>
      </x:c>
      <x:c r="R11" s="277" t="s">
        <x:v>118</x:v>
      </x:c>
      <x:c r="S11" s="277" t="s">
        <x:v>118</x:v>
      </x:c>
      <x:c r="T11" s="277" t="s">
        <x:v>118</x:v>
      </x:c>
      <x:c r="U11" s="277" t="s">
        <x:v>118</x:v>
      </x:c>
      <x:c r="V11" s="277" t="s">
        <x:v>118</x:v>
      </x:c>
      <x:c r="W11" s="277" t="s">
        <x:v>118</x:v>
      </x:c>
      <x:c r="X11" s="277" t="s">
        <x:v>118</x:v>
      </x:c>
      <x:c r="Y11" s="277" t="s">
        <x:v>118</x:v>
      </x:c>
      <x:c r="Z11" s="277" t="s">
        <x:v>118</x:v>
      </x:c>
      <x:c r="AA11" s="277" t="s">
        <x:v>118</x:v>
      </x:c>
      <x:c r="AB11" s="277" t="s">
        <x:v>118</x:v>
      </x:c>
      <x:c r="AC11" s="277" t="s">
        <x:v>118</x:v>
      </x:c>
      <x:c r="AD11" s="277" t="s">
        <x:v>118</x:v>
      </x:c>
      <x:c r="AE11" s="277" t="s">
        <x:v>118</x:v>
      </x:c>
      <x:c r="AF11" s="277" t="s">
        <x:v>118</x:v>
      </x:c>
      <x:c r="AG11" s="277" t="s">
        <x:v>118</x:v>
      </x:c>
      <x:c r="AH11" s="277" t="s">
        <x:v>118</x:v>
      </x:c>
      <x:c r="AI11" s="277" t="s">
        <x:v>118</x:v>
      </x:c>
      <x:c r="AJ11" s="277" t="s">
        <x:v>118</x:v>
      </x:c>
      <x:c r="AK11" s="220">
        <x:f>COUNTIF(F11:AJ11,"X")</x:f>
      </x:c>
      <x:c r="AL11" s="221"/>
      <x:c r="AM11" s="221"/>
      <x:c r="AN11" s="222"/>
      <x:c r="AO11" s="222"/>
      <x:c r="AP11" s="228"/>
      <x:c r="AQ11" s="224"/>
      <x:c r="AR11" s="229"/>
      <x:c r="AS11" s="229"/>
      <x:c r="AT11" s="230"/>
    </x:row>
    <x:row r="12" spans="1:47" ht="19.9" customHeight="1">
      <x:c r="A12" s="274" t="s">
        <x:v>836</x:v>
      </x:c>
      <x:c r="B12" s="216"/>
      <x:c r="C12" s="275" t="s">
        <x:v>837</x:v>
      </x:c>
      <x:c r="D12" s="274" t="s">
        <x:v>838</x:v>
      </x:c>
      <x:c r="E12" s="276" t="s">
        <x:v>839</x:v>
      </x:c>
      <x:c r="F12" s="277" t="s">
        <x:v>118</x:v>
      </x:c>
      <x:c r="G12" s="277" t="s">
        <x:v>118</x:v>
      </x:c>
      <x:c r="H12" s="277" t="s">
        <x:v>118</x:v>
      </x:c>
      <x:c r="I12" s="277" t="s">
        <x:v>118</x:v>
      </x:c>
      <x:c r="J12" s="277" t="s">
        <x:v>118</x:v>
      </x:c>
      <x:c r="K12" s="277" t="s">
        <x:v>118</x:v>
      </x:c>
      <x:c r="L12" s="277" t="s">
        <x:v>118</x:v>
      </x:c>
      <x:c r="M12" s="277" t="s">
        <x:v>118</x:v>
      </x:c>
      <x:c r="N12" s="277" t="s">
        <x:v>118</x:v>
      </x:c>
      <x:c r="O12" s="277" t="s">
        <x:v>118</x:v>
      </x:c>
      <x:c r="P12" s="277" t="s">
        <x:v>118</x:v>
      </x:c>
      <x:c r="Q12" s="277" t="s">
        <x:v>118</x:v>
      </x:c>
      <x:c r="R12" s="277" t="s">
        <x:v>118</x:v>
      </x:c>
      <x:c r="S12" s="277" t="s">
        <x:v>118</x:v>
      </x:c>
      <x:c r="T12" s="277" t="s">
        <x:v>118</x:v>
      </x:c>
      <x:c r="U12" s="277" t="s">
        <x:v>118</x:v>
      </x:c>
      <x:c r="V12" s="277" t="s">
        <x:v>118</x:v>
      </x:c>
      <x:c r="W12" s="277" t="s">
        <x:v>118</x:v>
      </x:c>
      <x:c r="X12" s="277" t="s">
        <x:v>118</x:v>
      </x:c>
      <x:c r="Y12" s="277" t="s">
        <x:v>118</x:v>
      </x:c>
      <x:c r="Z12" s="277" t="s">
        <x:v>118</x:v>
      </x:c>
      <x:c r="AA12" s="277" t="s">
        <x:v>118</x:v>
      </x:c>
      <x:c r="AB12" s="277" t="s">
        <x:v>118</x:v>
      </x:c>
      <x:c r="AC12" s="277" t="s">
        <x:v>118</x:v>
      </x:c>
      <x:c r="AD12" s="277" t="s">
        <x:v>118</x:v>
      </x:c>
      <x:c r="AE12" s="277" t="s">
        <x:v>118</x:v>
      </x:c>
      <x:c r="AF12" s="277" t="s">
        <x:v>118</x:v>
      </x:c>
      <x:c r="AG12" s="277" t="s">
        <x:v>118</x:v>
      </x:c>
      <x:c r="AH12" s="277" t="s">
        <x:v>118</x:v>
      </x:c>
      <x:c r="AI12" s="277" t="s">
        <x:v>118</x:v>
      </x:c>
      <x:c r="AJ12" s="277" t="s">
        <x:v>118</x:v>
      </x:c>
      <x:c r="AK12" s="220">
        <x:f>COUNTIF(F12:AJ12,"X")</x:f>
      </x:c>
      <x:c r="AL12" s="221"/>
      <x:c r="AM12" s="221"/>
      <x:c r="AN12" s="222"/>
      <x:c r="AO12" s="222"/>
      <x:c r="AP12" s="228"/>
      <x:c r="AQ12" s="224"/>
      <x:c r="AR12" s="229"/>
      <x:c r="AS12" s="229"/>
      <x:c r="AT12" s="230"/>
    </x:row>
    <x:row r="13" spans="1:47" ht="19.9" customHeight="1">
      <x:c r="A13" s="274" t="s">
        <x:v>840</x:v>
      </x:c>
      <x:c r="B13" s="216"/>
      <x:c r="C13" s="275" t="s">
        <x:v>841</x:v>
      </x:c>
      <x:c r="D13" s="274" t="s">
        <x:v>842</x:v>
      </x:c>
      <x:c r="E13" s="276" t="s">
        <x:v>755</x:v>
      </x:c>
      <x:c r="F13" s="277" t="s">
        <x:v>118</x:v>
      </x:c>
      <x:c r="G13" s="277" t="s">
        <x:v>118</x:v>
      </x:c>
      <x:c r="H13" s="277" t="s">
        <x:v>118</x:v>
      </x:c>
      <x:c r="I13" s="277" t="s">
        <x:v>118</x:v>
      </x:c>
      <x:c r="J13" s="277" t="s">
        <x:v>118</x:v>
      </x:c>
      <x:c r="K13" s="277" t="s">
        <x:v>118</x:v>
      </x:c>
      <x:c r="L13" s="277" t="s">
        <x:v>118</x:v>
      </x:c>
      <x:c r="M13" s="277" t="s">
        <x:v>118</x:v>
      </x:c>
      <x:c r="N13" s="277" t="s">
        <x:v>118</x:v>
      </x:c>
      <x:c r="O13" s="277" t="s">
        <x:v>118</x:v>
      </x:c>
      <x:c r="P13" s="277" t="s">
        <x:v>118</x:v>
      </x:c>
      <x:c r="Q13" s="277" t="s">
        <x:v>118</x:v>
      </x:c>
      <x:c r="R13" s="277" t="s">
        <x:v>118</x:v>
      </x:c>
      <x:c r="S13" s="277" t="s">
        <x:v>118</x:v>
      </x:c>
      <x:c r="T13" s="277" t="s">
        <x:v>118</x:v>
      </x:c>
      <x:c r="U13" s="277" t="s">
        <x:v>118</x:v>
      </x:c>
      <x:c r="V13" s="277" t="s">
        <x:v>118</x:v>
      </x:c>
      <x:c r="W13" s="277" t="s">
        <x:v>118</x:v>
      </x:c>
      <x:c r="X13" s="277" t="s">
        <x:v>118</x:v>
      </x:c>
      <x:c r="Y13" s="277" t="s">
        <x:v>118</x:v>
      </x:c>
      <x:c r="Z13" s="277" t="s">
        <x:v>118</x:v>
      </x:c>
      <x:c r="AA13" s="277" t="s">
        <x:v>118</x:v>
      </x:c>
      <x:c r="AB13" s="277" t="s">
        <x:v>118</x:v>
      </x:c>
      <x:c r="AC13" s="277" t="s">
        <x:v>118</x:v>
      </x:c>
      <x:c r="AD13" s="277" t="s">
        <x:v>118</x:v>
      </x:c>
      <x:c r="AE13" s="277" t="s">
        <x:v>118</x:v>
      </x:c>
      <x:c r="AF13" s="277" t="s">
        <x:v>118</x:v>
      </x:c>
      <x:c r="AG13" s="277" t="s">
        <x:v>118</x:v>
      </x:c>
      <x:c r="AH13" s="277" t="s">
        <x:v>118</x:v>
      </x:c>
      <x:c r="AI13" s="277" t="s">
        <x:v>118</x:v>
      </x:c>
      <x:c r="AJ13" s="277" t="s">
        <x:v>118</x:v>
      </x:c>
      <x:c r="AK13" s="220">
        <x:f>COUNTIF(F13:AJ13,"X")</x:f>
      </x:c>
      <x:c r="AL13" s="221"/>
      <x:c r="AM13" s="221"/>
      <x:c r="AN13" s="222"/>
      <x:c r="AO13" s="222"/>
      <x:c r="AP13" s="228"/>
      <x:c r="AQ13" s="224"/>
      <x:c r="AR13" s="229"/>
      <x:c r="AS13" s="229"/>
      <x:c r="AT13" s="230"/>
    </x:row>
    <x:row r="14" spans="1:47" ht="19.9" customHeight="1">
      <x:c r="A14" s="274" t="s">
        <x:v>843</x:v>
      </x:c>
      <x:c r="B14" s="216"/>
      <x:c r="C14" s="275" t="s">
        <x:v>844</x:v>
      </x:c>
      <x:c r="D14" s="274" t="s">
        <x:v>842</x:v>
      </x:c>
      <x:c r="E14" s="276" t="s">
        <x:v>845</x:v>
      </x:c>
      <x:c r="F14" s="277" t="s">
        <x:v>118</x:v>
      </x:c>
      <x:c r="G14" s="277" t="s">
        <x:v>118</x:v>
      </x:c>
      <x:c r="H14" s="277" t="s">
        <x:v>118</x:v>
      </x:c>
      <x:c r="I14" s="277" t="s">
        <x:v>118</x:v>
      </x:c>
      <x:c r="J14" s="277" t="s">
        <x:v>118</x:v>
      </x:c>
      <x:c r="K14" s="277" t="s">
        <x:v>118</x:v>
      </x:c>
      <x:c r="L14" s="277" t="s">
        <x:v>118</x:v>
      </x:c>
      <x:c r="M14" s="277" t="s">
        <x:v>118</x:v>
      </x:c>
      <x:c r="N14" s="277" t="s">
        <x:v>118</x:v>
      </x:c>
      <x:c r="O14" s="277" t="s">
        <x:v>118</x:v>
      </x:c>
      <x:c r="P14" s="277" t="s">
        <x:v>118</x:v>
      </x:c>
      <x:c r="Q14" s="277" t="s">
        <x:v>118</x:v>
      </x:c>
      <x:c r="R14" s="277" t="s">
        <x:v>118</x:v>
      </x:c>
      <x:c r="S14" s="277" t="s">
        <x:v>118</x:v>
      </x:c>
      <x:c r="T14" s="277" t="s">
        <x:v>118</x:v>
      </x:c>
      <x:c r="U14" s="277" t="s">
        <x:v>118</x:v>
      </x:c>
      <x:c r="V14" s="277" t="s">
        <x:v>118</x:v>
      </x:c>
      <x:c r="W14" s="277" t="s">
        <x:v>118</x:v>
      </x:c>
      <x:c r="X14" s="277" t="s">
        <x:v>118</x:v>
      </x:c>
      <x:c r="Y14" s="277" t="s">
        <x:v>118</x:v>
      </x:c>
      <x:c r="Z14" s="277" t="s">
        <x:v>118</x:v>
      </x:c>
      <x:c r="AA14" s="277" t="s">
        <x:v>118</x:v>
      </x:c>
      <x:c r="AB14" s="277" t="s">
        <x:v>118</x:v>
      </x:c>
      <x:c r="AC14" s="277" t="s">
        <x:v>118</x:v>
      </x:c>
      <x:c r="AD14" s="277" t="s">
        <x:v>118</x:v>
      </x:c>
      <x:c r="AE14" s="277" t="s">
        <x:v>118</x:v>
      </x:c>
      <x:c r="AF14" s="277" t="s">
        <x:v>118</x:v>
      </x:c>
      <x:c r="AG14" s="277" t="s">
        <x:v>118</x:v>
      </x:c>
      <x:c r="AH14" s="277" t="s">
        <x:v>118</x:v>
      </x:c>
      <x:c r="AI14" s="277" t="s">
        <x:v>118</x:v>
      </x:c>
      <x:c r="AJ14" s="277" t="s">
        <x:v>118</x:v>
      </x:c>
      <x:c r="AK14" s="220">
        <x:f>COUNTIF(F14:AJ14,"X")</x:f>
      </x:c>
      <x:c r="AL14" s="221"/>
      <x:c r="AM14" s="221"/>
      <x:c r="AN14" s="222"/>
      <x:c r="AO14" s="222"/>
      <x:c r="AP14" s="228"/>
      <x:c r="AQ14" s="224"/>
      <x:c r="AR14" s="229"/>
      <x:c r="AS14" s="229"/>
      <x:c r="AT14" s="230"/>
    </x:row>
    <x:row r="15" spans="1:47" ht="19.9" customHeight="1">
      <x:c r="A15" s="274" t="s">
        <x:v>846</x:v>
      </x:c>
      <x:c r="B15" s="216"/>
      <x:c r="C15" s="275" t="s">
        <x:v>847</x:v>
      </x:c>
      <x:c r="D15" s="274" t="s">
        <x:v>848</x:v>
      </x:c>
      <x:c r="E15" s="276" t="s">
        <x:v>849</x:v>
      </x:c>
      <x:c r="F15" s="277" t="s">
        <x:v>118</x:v>
      </x:c>
      <x:c r="G15" s="277" t="s">
        <x:v>118</x:v>
      </x:c>
      <x:c r="H15" s="277" t="s">
        <x:v>118</x:v>
      </x:c>
      <x:c r="I15" s="277" t="s">
        <x:v>118</x:v>
      </x:c>
      <x:c r="J15" s="277" t="s">
        <x:v>118</x:v>
      </x:c>
      <x:c r="K15" s="277" t="s">
        <x:v>118</x:v>
      </x:c>
      <x:c r="L15" s="277" t="s">
        <x:v>118</x:v>
      </x:c>
      <x:c r="M15" s="277" t="s">
        <x:v>118</x:v>
      </x:c>
      <x:c r="N15" s="277" t="s">
        <x:v>118</x:v>
      </x:c>
      <x:c r="O15" s="277" t="s">
        <x:v>118</x:v>
      </x:c>
      <x:c r="P15" s="277" t="s">
        <x:v>118</x:v>
      </x:c>
      <x:c r="Q15" s="277" t="s">
        <x:v>118</x:v>
      </x:c>
      <x:c r="R15" s="277" t="s">
        <x:v>118</x:v>
      </x:c>
      <x:c r="S15" s="277" t="s">
        <x:v>118</x:v>
      </x:c>
      <x:c r="T15" s="277" t="s">
        <x:v>118</x:v>
      </x:c>
      <x:c r="U15" s="277" t="s">
        <x:v>118</x:v>
      </x:c>
      <x:c r="V15" s="277" t="s">
        <x:v>118</x:v>
      </x:c>
      <x:c r="W15" s="277" t="s">
        <x:v>118</x:v>
      </x:c>
      <x:c r="X15" s="277" t="s">
        <x:v>118</x:v>
      </x:c>
      <x:c r="Y15" s="277" t="s">
        <x:v>118</x:v>
      </x:c>
      <x:c r="Z15" s="277" t="s">
        <x:v>118</x:v>
      </x:c>
      <x:c r="AA15" s="277" t="s">
        <x:v>118</x:v>
      </x:c>
      <x:c r="AB15" s="277" t="s">
        <x:v>118</x:v>
      </x:c>
      <x:c r="AC15" s="277" t="s">
        <x:v>118</x:v>
      </x:c>
      <x:c r="AD15" s="277" t="s">
        <x:v>118</x:v>
      </x:c>
      <x:c r="AE15" s="277" t="s">
        <x:v>118</x:v>
      </x:c>
      <x:c r="AF15" s="277" t="s">
        <x:v>118</x:v>
      </x:c>
      <x:c r="AG15" s="277" t="s">
        <x:v>118</x:v>
      </x:c>
      <x:c r="AH15" s="277" t="s">
        <x:v>118</x:v>
      </x:c>
      <x:c r="AI15" s="277" t="s">
        <x:v>118</x:v>
      </x:c>
      <x:c r="AJ15" s="277" t="s">
        <x:v>118</x:v>
      </x:c>
      <x:c r="AK15" s="220">
        <x:f>COUNTIF(F15:AJ15,"X")</x:f>
      </x:c>
      <x:c r="AL15" s="221"/>
      <x:c r="AM15" s="221"/>
      <x:c r="AN15" s="222"/>
      <x:c r="AO15" s="222"/>
      <x:c r="AP15" s="228"/>
      <x:c r="AQ15" s="224"/>
      <x:c r="AR15" s="229"/>
      <x:c r="AS15" s="229"/>
      <x:c r="AT15" s="230"/>
    </x:row>
    <x:row r="16" spans="1:47" ht="19.9" customHeight="1">
      <x:c r="A16" s="274" t="s">
        <x:v>850</x:v>
      </x:c>
      <x:c r="B16" s="216"/>
      <x:c r="C16" s="275" t="s">
        <x:v>851</x:v>
      </x:c>
      <x:c r="D16" s="274" t="s">
        <x:v>852</x:v>
      </x:c>
      <x:c r="E16" s="276" t="s">
        <x:v>853</x:v>
      </x:c>
      <x:c r="F16" s="277" t="s">
        <x:v>118</x:v>
      </x:c>
      <x:c r="G16" s="277" t="s">
        <x:v>118</x:v>
      </x:c>
      <x:c r="H16" s="277" t="s">
        <x:v>118</x:v>
      </x:c>
      <x:c r="I16" s="277" t="s">
        <x:v>118</x:v>
      </x:c>
      <x:c r="J16" s="277" t="s">
        <x:v>118</x:v>
      </x:c>
      <x:c r="K16" s="277" t="s">
        <x:v>118</x:v>
      </x:c>
      <x:c r="L16" s="277" t="s">
        <x:v>118</x:v>
      </x:c>
      <x:c r="M16" s="277" t="s">
        <x:v>118</x:v>
      </x:c>
      <x:c r="N16" s="277" t="s">
        <x:v>118</x:v>
      </x:c>
      <x:c r="O16" s="277" t="s">
        <x:v>118</x:v>
      </x:c>
      <x:c r="P16" s="277" t="s">
        <x:v>118</x:v>
      </x:c>
      <x:c r="Q16" s="277" t="s">
        <x:v>118</x:v>
      </x:c>
      <x:c r="R16" s="277" t="s">
        <x:v>118</x:v>
      </x:c>
      <x:c r="S16" s="277" t="s">
        <x:v>118</x:v>
      </x:c>
      <x:c r="T16" s="277" t="s">
        <x:v>118</x:v>
      </x:c>
      <x:c r="U16" s="277" t="s">
        <x:v>118</x:v>
      </x:c>
      <x:c r="V16" s="277" t="s">
        <x:v>118</x:v>
      </x:c>
      <x:c r="W16" s="277" t="s">
        <x:v>118</x:v>
      </x:c>
      <x:c r="X16" s="277" t="s">
        <x:v>118</x:v>
      </x:c>
      <x:c r="Y16" s="277" t="s">
        <x:v>118</x:v>
      </x:c>
      <x:c r="Z16" s="277" t="s">
        <x:v>118</x:v>
      </x:c>
      <x:c r="AA16" s="277" t="s">
        <x:v>118</x:v>
      </x:c>
      <x:c r="AB16" s="277" t="s">
        <x:v>118</x:v>
      </x:c>
      <x:c r="AC16" s="277" t="s">
        <x:v>118</x:v>
      </x:c>
      <x:c r="AD16" s="277" t="s">
        <x:v>118</x:v>
      </x:c>
      <x:c r="AE16" s="277" t="s">
        <x:v>118</x:v>
      </x:c>
      <x:c r="AF16" s="277" t="s">
        <x:v>118</x:v>
      </x:c>
      <x:c r="AG16" s="277" t="s">
        <x:v>118</x:v>
      </x:c>
      <x:c r="AH16" s="277" t="s">
        <x:v>118</x:v>
      </x:c>
      <x:c r="AI16" s="277" t="s">
        <x:v>118</x:v>
      </x:c>
      <x:c r="AJ16" s="277" t="s">
        <x:v>118</x:v>
      </x:c>
      <x:c r="AK16" s="220">
        <x:f>COUNTIF(F16:AJ16,"X")</x:f>
      </x:c>
      <x:c r="AL16" s="221"/>
      <x:c r="AM16" s="221"/>
      <x:c r="AN16" s="222"/>
      <x:c r="AO16" s="222"/>
      <x:c r="AP16" s="228"/>
      <x:c r="AQ16" s="224"/>
      <x:c r="AR16" s="229"/>
      <x:c r="AS16" s="229"/>
      <x:c r="AT16" s="230"/>
    </x:row>
    <x:row r="17" spans="1:47" ht="19.9" customHeight="1">
      <x:c r="A17" s="274" t="s">
        <x:v>854</x:v>
      </x:c>
      <x:c r="B17" s="216"/>
      <x:c r="C17" s="275" t="s">
        <x:v>855</x:v>
      </x:c>
      <x:c r="D17" s="274" t="s">
        <x:v>856</x:v>
      </x:c>
      <x:c r="E17" s="276" t="s">
        <x:v>857</x:v>
      </x:c>
      <x:c r="F17" s="277" t="s">
        <x:v>118</x:v>
      </x:c>
      <x:c r="G17" s="277" t="s">
        <x:v>118</x:v>
      </x:c>
      <x:c r="H17" s="277" t="s">
        <x:v>118</x:v>
      </x:c>
      <x:c r="I17" s="277" t="s">
        <x:v>118</x:v>
      </x:c>
      <x:c r="J17" s="277" t="s">
        <x:v>118</x:v>
      </x:c>
      <x:c r="K17" s="277" t="s">
        <x:v>118</x:v>
      </x:c>
      <x:c r="L17" s="277" t="s">
        <x:v>118</x:v>
      </x:c>
      <x:c r="M17" s="277" t="s">
        <x:v>118</x:v>
      </x:c>
      <x:c r="N17" s="277" t="s">
        <x:v>118</x:v>
      </x:c>
      <x:c r="O17" s="277" t="s">
        <x:v>118</x:v>
      </x:c>
      <x:c r="P17" s="277" t="s">
        <x:v>118</x:v>
      </x:c>
      <x:c r="Q17" s="277" t="s">
        <x:v>118</x:v>
      </x:c>
      <x:c r="R17" s="277" t="s">
        <x:v>118</x:v>
      </x:c>
      <x:c r="S17" s="277" t="s">
        <x:v>118</x:v>
      </x:c>
      <x:c r="T17" s="277" t="s">
        <x:v>118</x:v>
      </x:c>
      <x:c r="U17" s="277" t="s">
        <x:v>118</x:v>
      </x:c>
      <x:c r="V17" s="277" t="s">
        <x:v>118</x:v>
      </x:c>
      <x:c r="W17" s="277" t="s">
        <x:v>118</x:v>
      </x:c>
      <x:c r="X17" s="277" t="s">
        <x:v>118</x:v>
      </x:c>
      <x:c r="Y17" s="277" t="s">
        <x:v>118</x:v>
      </x:c>
      <x:c r="Z17" s="277" t="s">
        <x:v>118</x:v>
      </x:c>
      <x:c r="AA17" s="277" t="s">
        <x:v>118</x:v>
      </x:c>
      <x:c r="AB17" s="277" t="s">
        <x:v>118</x:v>
      </x:c>
      <x:c r="AC17" s="277" t="s">
        <x:v>118</x:v>
      </x:c>
      <x:c r="AD17" s="277" t="s">
        <x:v>118</x:v>
      </x:c>
      <x:c r="AE17" s="277" t="s">
        <x:v>118</x:v>
      </x:c>
      <x:c r="AF17" s="277" t="s">
        <x:v>118</x:v>
      </x:c>
      <x:c r="AG17" s="277" t="s">
        <x:v>118</x:v>
      </x:c>
      <x:c r="AH17" s="277" t="s">
        <x:v>118</x:v>
      </x:c>
      <x:c r="AI17" s="277" t="s">
        <x:v>118</x:v>
      </x:c>
      <x:c r="AJ17" s="277" t="s">
        <x:v>118</x:v>
      </x:c>
      <x:c r="AK17" s="220">
        <x:f>COUNTIF(F17:AJ17,"X")</x:f>
      </x:c>
      <x:c r="AL17" s="221"/>
      <x:c r="AM17" s="221"/>
      <x:c r="AN17" s="222"/>
      <x:c r="AO17" s="222"/>
      <x:c r="AP17" s="228"/>
      <x:c r="AQ17" s="224"/>
      <x:c r="AR17" s="229"/>
      <x:c r="AS17" s="229"/>
      <x:c r="AT17" s="230"/>
    </x:row>
    <x:row r="18" spans="1:47" ht="19.9" customHeight="1">
      <x:c r="A18" s="274" t="s">
        <x:v>858</x:v>
      </x:c>
      <x:c r="B18" s="216"/>
      <x:c r="C18" s="275" t="s">
        <x:v>859</x:v>
      </x:c>
      <x:c r="D18" s="274" t="s">
        <x:v>860</x:v>
      </x:c>
      <x:c r="E18" s="276" t="s">
        <x:v>861</x:v>
      </x:c>
      <x:c r="F18" s="277" t="s">
        <x:v>118</x:v>
      </x:c>
      <x:c r="G18" s="277" t="s">
        <x:v>118</x:v>
      </x:c>
      <x:c r="H18" s="277" t="s">
        <x:v>118</x:v>
      </x:c>
      <x:c r="I18" s="277" t="s">
        <x:v>118</x:v>
      </x:c>
      <x:c r="J18" s="277" t="s">
        <x:v>118</x:v>
      </x:c>
      <x:c r="K18" s="277" t="s">
        <x:v>118</x:v>
      </x:c>
      <x:c r="L18" s="277" t="s">
        <x:v>118</x:v>
      </x:c>
      <x:c r="M18" s="277" t="s">
        <x:v>118</x:v>
      </x:c>
      <x:c r="N18" s="277" t="s">
        <x:v>118</x:v>
      </x:c>
      <x:c r="O18" s="277" t="s">
        <x:v>118</x:v>
      </x:c>
      <x:c r="P18" s="277" t="s">
        <x:v>118</x:v>
      </x:c>
      <x:c r="Q18" s="277" t="s">
        <x:v>118</x:v>
      </x:c>
      <x:c r="R18" s="277" t="s">
        <x:v>118</x:v>
      </x:c>
      <x:c r="S18" s="277" t="s">
        <x:v>118</x:v>
      </x:c>
      <x:c r="T18" s="277" t="s">
        <x:v>118</x:v>
      </x:c>
      <x:c r="U18" s="277" t="s">
        <x:v>118</x:v>
      </x:c>
      <x:c r="V18" s="277" t="s">
        <x:v>118</x:v>
      </x:c>
      <x:c r="W18" s="277" t="s">
        <x:v>118</x:v>
      </x:c>
      <x:c r="X18" s="277" t="s">
        <x:v>118</x:v>
      </x:c>
      <x:c r="Y18" s="277" t="s">
        <x:v>118</x:v>
      </x:c>
      <x:c r="Z18" s="277" t="s">
        <x:v>118</x:v>
      </x:c>
      <x:c r="AA18" s="277" t="s">
        <x:v>118</x:v>
      </x:c>
      <x:c r="AB18" s="277" t="s">
        <x:v>118</x:v>
      </x:c>
      <x:c r="AC18" s="277" t="s">
        <x:v>118</x:v>
      </x:c>
      <x:c r="AD18" s="277" t="s">
        <x:v>118</x:v>
      </x:c>
      <x:c r="AE18" s="277" t="s">
        <x:v>118</x:v>
      </x:c>
      <x:c r="AF18" s="277" t="s">
        <x:v>118</x:v>
      </x:c>
      <x:c r="AG18" s="277" t="s">
        <x:v>118</x:v>
      </x:c>
      <x:c r="AH18" s="277" t="s">
        <x:v>118</x:v>
      </x:c>
      <x:c r="AI18" s="277" t="s">
        <x:v>118</x:v>
      </x:c>
      <x:c r="AJ18" s="277" t="s">
        <x:v>118</x:v>
      </x:c>
      <x:c r="AK18" s="220">
        <x:f>COUNTIF(F18:AJ18,"X")</x:f>
      </x:c>
      <x:c r="AL18" s="221"/>
      <x:c r="AM18" s="221"/>
      <x:c r="AN18" s="222"/>
      <x:c r="AO18" s="222"/>
      <x:c r="AP18" s="228"/>
      <x:c r="AQ18" s="231"/>
      <x:c r="AR18" s="228"/>
      <x:c r="AS18" s="228"/>
      <x:c r="AT18" s="230"/>
    </x:row>
    <x:row r="19" spans="1:47" ht="19.9" customHeight="1">
      <x:c r="A19" s="274" t="s">
        <x:v>862</x:v>
      </x:c>
      <x:c r="B19" s="216"/>
      <x:c r="C19" s="275" t="s">
        <x:v>863</x:v>
      </x:c>
      <x:c r="D19" s="274" t="s">
        <x:v>864</x:v>
      </x:c>
      <x:c r="E19" s="276" t="s">
        <x:v>865</x:v>
      </x:c>
      <x:c r="F19" s="277" t="s">
        <x:v>118</x:v>
      </x:c>
      <x:c r="G19" s="277" t="s">
        <x:v>118</x:v>
      </x:c>
      <x:c r="H19" s="277" t="s">
        <x:v>118</x:v>
      </x:c>
      <x:c r="I19" s="277" t="s">
        <x:v>118</x:v>
      </x:c>
      <x:c r="J19" s="277" t="s">
        <x:v>118</x:v>
      </x:c>
      <x:c r="K19" s="277" t="s">
        <x:v>118</x:v>
      </x:c>
      <x:c r="L19" s="277" t="s">
        <x:v>118</x:v>
      </x:c>
      <x:c r="M19" s="277" t="s">
        <x:v>118</x:v>
      </x:c>
      <x:c r="N19" s="277" t="s">
        <x:v>118</x:v>
      </x:c>
      <x:c r="O19" s="277" t="s">
        <x:v>118</x:v>
      </x:c>
      <x:c r="P19" s="277" t="s">
        <x:v>118</x:v>
      </x:c>
      <x:c r="Q19" s="277" t="s">
        <x:v>118</x:v>
      </x:c>
      <x:c r="R19" s="277" t="s">
        <x:v>118</x:v>
      </x:c>
      <x:c r="S19" s="277" t="s">
        <x:v>118</x:v>
      </x:c>
      <x:c r="T19" s="277" t="s">
        <x:v>118</x:v>
      </x:c>
      <x:c r="U19" s="277" t="s">
        <x:v>118</x:v>
      </x:c>
      <x:c r="V19" s="277" t="s">
        <x:v>118</x:v>
      </x:c>
      <x:c r="W19" s="277" t="s">
        <x:v>118</x:v>
      </x:c>
      <x:c r="X19" s="277" t="s">
        <x:v>118</x:v>
      </x:c>
      <x:c r="Y19" s="277" t="s">
        <x:v>118</x:v>
      </x:c>
      <x:c r="Z19" s="277" t="s">
        <x:v>118</x:v>
      </x:c>
      <x:c r="AA19" s="277" t="s">
        <x:v>118</x:v>
      </x:c>
      <x:c r="AB19" s="277" t="s">
        <x:v>118</x:v>
      </x:c>
      <x:c r="AC19" s="277" t="s">
        <x:v>118</x:v>
      </x:c>
      <x:c r="AD19" s="277" t="s">
        <x:v>118</x:v>
      </x:c>
      <x:c r="AE19" s="277" t="s">
        <x:v>118</x:v>
      </x:c>
      <x:c r="AF19" s="277" t="s">
        <x:v>118</x:v>
      </x:c>
      <x:c r="AG19" s="277" t="s">
        <x:v>118</x:v>
      </x:c>
      <x:c r="AH19" s="277" t="s">
        <x:v>118</x:v>
      </x:c>
      <x:c r="AI19" s="277" t="s">
        <x:v>118</x:v>
      </x:c>
      <x:c r="AJ19" s="277" t="s">
        <x:v>118</x:v>
      </x:c>
      <x:c r="AK19" s="220">
        <x:f>COUNTIF(F19:AJ19,"X")</x:f>
      </x:c>
      <x:c r="AL19" s="221"/>
      <x:c r="AM19" s="221"/>
      <x:c r="AN19" s="222"/>
      <x:c r="AO19" s="222"/>
      <x:c r="AP19" s="228"/>
      <x:c r="AQ19" s="228"/>
      <x:c r="AR19" s="228"/>
      <x:c r="AS19" s="228"/>
      <x:c r="AT19" s="230"/>
    </x:row>
    <x:row r="20" spans="1:47" ht="19.9" customHeight="1">
      <x:c r="A20" s="274" t="s">
        <x:v>866</x:v>
      </x:c>
      <x:c r="B20" s="216"/>
      <x:c r="C20" s="275" t="s">
        <x:v>867</x:v>
      </x:c>
      <x:c r="D20" s="274" t="s">
        <x:v>868</x:v>
      </x:c>
      <x:c r="E20" s="276" t="s">
        <x:v>869</x:v>
      </x:c>
      <x:c r="F20" s="277" t="s">
        <x:v>118</x:v>
      </x:c>
      <x:c r="G20" s="277" t="s">
        <x:v>118</x:v>
      </x:c>
      <x:c r="H20" s="277" t="s">
        <x:v>118</x:v>
      </x:c>
      <x:c r="I20" s="277" t="s">
        <x:v>118</x:v>
      </x:c>
      <x:c r="J20" s="277" t="s">
        <x:v>118</x:v>
      </x:c>
      <x:c r="K20" s="277" t="s">
        <x:v>118</x:v>
      </x:c>
      <x:c r="L20" s="277" t="s">
        <x:v>118</x:v>
      </x:c>
      <x:c r="M20" s="277" t="s">
        <x:v>118</x:v>
      </x:c>
      <x:c r="N20" s="277" t="s">
        <x:v>118</x:v>
      </x:c>
      <x:c r="O20" s="277" t="s">
        <x:v>118</x:v>
      </x:c>
      <x:c r="P20" s="277" t="s">
        <x:v>118</x:v>
      </x:c>
      <x:c r="Q20" s="277" t="s">
        <x:v>118</x:v>
      </x:c>
      <x:c r="R20" s="277" t="s">
        <x:v>118</x:v>
      </x:c>
      <x:c r="S20" s="277" t="s">
        <x:v>118</x:v>
      </x:c>
      <x:c r="T20" s="277" t="s">
        <x:v>118</x:v>
      </x:c>
      <x:c r="U20" s="277" t="s">
        <x:v>118</x:v>
      </x:c>
      <x:c r="V20" s="277" t="s">
        <x:v>118</x:v>
      </x:c>
      <x:c r="W20" s="277" t="s">
        <x:v>118</x:v>
      </x:c>
      <x:c r="X20" s="277" t="s">
        <x:v>118</x:v>
      </x:c>
      <x:c r="Y20" s="277" t="s">
        <x:v>118</x:v>
      </x:c>
      <x:c r="Z20" s="277" t="s">
        <x:v>118</x:v>
      </x:c>
      <x:c r="AA20" s="277" t="s">
        <x:v>118</x:v>
      </x:c>
      <x:c r="AB20" s="277" t="s">
        <x:v>118</x:v>
      </x:c>
      <x:c r="AC20" s="277" t="s">
        <x:v>118</x:v>
      </x:c>
      <x:c r="AD20" s="277" t="s">
        <x:v>118</x:v>
      </x:c>
      <x:c r="AE20" s="277" t="s">
        <x:v>118</x:v>
      </x:c>
      <x:c r="AF20" s="277" t="s">
        <x:v>118</x:v>
      </x:c>
      <x:c r="AG20" s="277" t="s">
        <x:v>118</x:v>
      </x:c>
      <x:c r="AH20" s="277" t="s">
        <x:v>118</x:v>
      </x:c>
      <x:c r="AI20" s="277" t="s">
        <x:v>118</x:v>
      </x:c>
      <x:c r="AJ20" s="277" t="s">
        <x:v>118</x:v>
      </x:c>
      <x:c r="AK20" s="220">
        <x:f>COUNTIF(F20:AJ20,"X")</x:f>
      </x:c>
      <x:c r="AL20" s="221"/>
      <x:c r="AM20" s="221"/>
      <x:c r="AN20" s="222"/>
      <x:c r="AO20" s="222"/>
      <x:c r="AP20" s="228"/>
      <x:c r="AQ20" s="228"/>
      <x:c r="AR20" s="228"/>
      <x:c r="AS20" s="228"/>
      <x:c r="AT20" s="230"/>
    </x:row>
    <x:row r="21" spans="1:47" ht="19.9" customHeight="1">
      <x:c r="A21" s="274" t="s">
        <x:v>870</x:v>
      </x:c>
      <x:c r="B21" s="216"/>
      <x:c r="C21" s="275" t="s">
        <x:v>871</x:v>
      </x:c>
      <x:c r="D21" s="274" t="s">
        <x:v>872</x:v>
      </x:c>
      <x:c r="E21" s="276" t="s">
        <x:v>873</x:v>
      </x:c>
      <x:c r="F21" s="277" t="s">
        <x:v>118</x:v>
      </x:c>
      <x:c r="G21" s="277" t="s">
        <x:v>118</x:v>
      </x:c>
      <x:c r="H21" s="277" t="s">
        <x:v>118</x:v>
      </x:c>
      <x:c r="I21" s="277" t="s">
        <x:v>118</x:v>
      </x:c>
      <x:c r="J21" s="277" t="s">
        <x:v>118</x:v>
      </x:c>
      <x:c r="K21" s="277" t="s">
        <x:v>118</x:v>
      </x:c>
      <x:c r="L21" s="277" t="s">
        <x:v>118</x:v>
      </x:c>
      <x:c r="M21" s="277" t="s">
        <x:v>118</x:v>
      </x:c>
      <x:c r="N21" s="277" t="s">
        <x:v>118</x:v>
      </x:c>
      <x:c r="O21" s="277" t="s">
        <x:v>118</x:v>
      </x:c>
      <x:c r="P21" s="277" t="s">
        <x:v>118</x:v>
      </x:c>
      <x:c r="Q21" s="277" t="s">
        <x:v>118</x:v>
      </x:c>
      <x:c r="R21" s="277" t="s">
        <x:v>118</x:v>
      </x:c>
      <x:c r="S21" s="277" t="s">
        <x:v>118</x:v>
      </x:c>
      <x:c r="T21" s="277" t="s">
        <x:v>118</x:v>
      </x:c>
      <x:c r="U21" s="277" t="s">
        <x:v>118</x:v>
      </x:c>
      <x:c r="V21" s="277" t="s">
        <x:v>118</x:v>
      </x:c>
      <x:c r="W21" s="277" t="s">
        <x:v>118</x:v>
      </x:c>
      <x:c r="X21" s="277" t="s">
        <x:v>118</x:v>
      </x:c>
      <x:c r="Y21" s="277" t="s">
        <x:v>118</x:v>
      </x:c>
      <x:c r="Z21" s="277" t="s">
        <x:v>118</x:v>
      </x:c>
      <x:c r="AA21" s="277" t="s">
        <x:v>118</x:v>
      </x:c>
      <x:c r="AB21" s="277" t="s">
        <x:v>118</x:v>
      </x:c>
      <x:c r="AC21" s="277" t="s">
        <x:v>118</x:v>
      </x:c>
      <x:c r="AD21" s="277" t="s">
        <x:v>118</x:v>
      </x:c>
      <x:c r="AE21" s="277" t="s">
        <x:v>118</x:v>
      </x:c>
      <x:c r="AF21" s="277" t="s">
        <x:v>118</x:v>
      </x:c>
      <x:c r="AG21" s="277" t="s">
        <x:v>118</x:v>
      </x:c>
      <x:c r="AH21" s="277" t="s">
        <x:v>118</x:v>
      </x:c>
      <x:c r="AI21" s="277" t="s">
        <x:v>118</x:v>
      </x:c>
      <x:c r="AJ21" s="277" t="s">
        <x:v>118</x:v>
      </x:c>
      <x:c r="AK21" s="220">
        <x:f>COUNTIF(F21:AJ21,"X")</x:f>
      </x:c>
      <x:c r="AL21" s="221"/>
      <x:c r="AM21" s="221"/>
      <x:c r="AN21" s="222"/>
      <x:c r="AO21" s="222"/>
      <x:c r="AP21" s="228"/>
      <x:c r="AQ21" s="228"/>
      <x:c r="AR21" s="228"/>
      <x:c r="AS21" s="228"/>
      <x:c r="AT21" s="230"/>
    </x:row>
    <x:row r="22" spans="1:47" ht="19.9" customHeight="1">
      <x:c r="A22" s="274" t="s">
        <x:v>874</x:v>
      </x:c>
      <x:c r="B22" s="216"/>
      <x:c r="C22" s="275" t="s">
        <x:v>875</x:v>
      </x:c>
      <x:c r="D22" s="274" t="s">
        <x:v>876</x:v>
      </x:c>
      <x:c r="E22" s="276" t="s">
        <x:v>877</x:v>
      </x:c>
      <x:c r="F22" s="277" t="s">
        <x:v>118</x:v>
      </x:c>
      <x:c r="G22" s="277" t="s">
        <x:v>118</x:v>
      </x:c>
      <x:c r="H22" s="277" t="s">
        <x:v>118</x:v>
      </x:c>
      <x:c r="I22" s="277" t="s">
        <x:v>118</x:v>
      </x:c>
      <x:c r="J22" s="277" t="s">
        <x:v>118</x:v>
      </x:c>
      <x:c r="K22" s="277" t="s">
        <x:v>118</x:v>
      </x:c>
      <x:c r="L22" s="277" t="s">
        <x:v>118</x:v>
      </x:c>
      <x:c r="M22" s="277" t="s">
        <x:v>118</x:v>
      </x:c>
      <x:c r="N22" s="277" t="s">
        <x:v>118</x:v>
      </x:c>
      <x:c r="O22" s="277" t="s">
        <x:v>118</x:v>
      </x:c>
      <x:c r="P22" s="277" t="s">
        <x:v>118</x:v>
      </x:c>
      <x:c r="Q22" s="277" t="s">
        <x:v>118</x:v>
      </x:c>
      <x:c r="R22" s="277" t="s">
        <x:v>118</x:v>
      </x:c>
      <x:c r="S22" s="277" t="s">
        <x:v>118</x:v>
      </x:c>
      <x:c r="T22" s="277" t="s">
        <x:v>118</x:v>
      </x:c>
      <x:c r="U22" s="277" t="s">
        <x:v>118</x:v>
      </x:c>
      <x:c r="V22" s="277" t="s">
        <x:v>118</x:v>
      </x:c>
      <x:c r="W22" s="277" t="s">
        <x:v>118</x:v>
      </x:c>
      <x:c r="X22" s="277" t="s">
        <x:v>118</x:v>
      </x:c>
      <x:c r="Y22" s="277" t="s">
        <x:v>118</x:v>
      </x:c>
      <x:c r="Z22" s="277" t="s">
        <x:v>118</x:v>
      </x:c>
      <x:c r="AA22" s="277" t="s">
        <x:v>118</x:v>
      </x:c>
      <x:c r="AB22" s="277" t="s">
        <x:v>118</x:v>
      </x:c>
      <x:c r="AC22" s="277" t="s">
        <x:v>118</x:v>
      </x:c>
      <x:c r="AD22" s="277" t="s">
        <x:v>118</x:v>
      </x:c>
      <x:c r="AE22" s="277" t="s">
        <x:v>118</x:v>
      </x:c>
      <x:c r="AF22" s="277" t="s">
        <x:v>118</x:v>
      </x:c>
      <x:c r="AG22" s="277" t="s">
        <x:v>118</x:v>
      </x:c>
      <x:c r="AH22" s="277" t="s">
        <x:v>118</x:v>
      </x:c>
      <x:c r="AI22" s="277" t="s">
        <x:v>118</x:v>
      </x:c>
      <x:c r="AJ22" s="277" t="s">
        <x:v>118</x:v>
      </x:c>
      <x:c r="AK22" s="220">
        <x:f>COUNTIF(F22:AJ22,"X")</x:f>
      </x:c>
      <x:c r="AL22" s="221"/>
      <x:c r="AM22" s="221"/>
      <x:c r="AN22" s="222"/>
      <x:c r="AO22" s="222"/>
      <x:c r="AP22" s="228"/>
      <x:c r="AQ22" s="228"/>
      <x:c r="AR22" s="228"/>
      <x:c r="AS22" s="228"/>
      <x:c r="AT22" s="230"/>
    </x:row>
    <x:row r="23" spans="1:47" ht="19.9" customHeight="1">
      <x:c r="A23" s="274" t="s">
        <x:v>878</x:v>
      </x:c>
      <x:c r="B23" s="216"/>
      <x:c r="C23" s="275" t="s">
        <x:v>879</x:v>
      </x:c>
      <x:c r="D23" s="274" t="s">
        <x:v>158</x:v>
      </x:c>
      <x:c r="E23" s="276" t="s">
        <x:v>880</x:v>
      </x:c>
      <x:c r="F23" s="277" t="s">
        <x:v>118</x:v>
      </x:c>
      <x:c r="G23" s="277" t="s">
        <x:v>118</x:v>
      </x:c>
      <x:c r="H23" s="277" t="s">
        <x:v>118</x:v>
      </x:c>
      <x:c r="I23" s="277" t="s">
        <x:v>118</x:v>
      </x:c>
      <x:c r="J23" s="277" t="s">
        <x:v>118</x:v>
      </x:c>
      <x:c r="K23" s="277" t="s">
        <x:v>118</x:v>
      </x:c>
      <x:c r="L23" s="277" t="s">
        <x:v>118</x:v>
      </x:c>
      <x:c r="M23" s="277" t="s">
        <x:v>118</x:v>
      </x:c>
      <x:c r="N23" s="277" t="s">
        <x:v>118</x:v>
      </x:c>
      <x:c r="O23" s="277" t="s">
        <x:v>118</x:v>
      </x:c>
      <x:c r="P23" s="277" t="s">
        <x:v>118</x:v>
      </x:c>
      <x:c r="Q23" s="277" t="s">
        <x:v>118</x:v>
      </x:c>
      <x:c r="R23" s="277" t="s">
        <x:v>118</x:v>
      </x:c>
      <x:c r="S23" s="277" t="s">
        <x:v>118</x:v>
      </x:c>
      <x:c r="T23" s="277" t="s">
        <x:v>118</x:v>
      </x:c>
      <x:c r="U23" s="277" t="s">
        <x:v>118</x:v>
      </x:c>
      <x:c r="V23" s="277" t="s">
        <x:v>118</x:v>
      </x:c>
      <x:c r="W23" s="277" t="s">
        <x:v>118</x:v>
      </x:c>
      <x:c r="X23" s="277" t="s">
        <x:v>118</x:v>
      </x:c>
      <x:c r="Y23" s="277" t="s">
        <x:v>118</x:v>
      </x:c>
      <x:c r="Z23" s="277" t="s">
        <x:v>118</x:v>
      </x:c>
      <x:c r="AA23" s="277" t="s">
        <x:v>118</x:v>
      </x:c>
      <x:c r="AB23" s="277" t="s">
        <x:v>118</x:v>
      </x:c>
      <x:c r="AC23" s="277" t="s">
        <x:v>118</x:v>
      </x:c>
      <x:c r="AD23" s="277" t="s">
        <x:v>118</x:v>
      </x:c>
      <x:c r="AE23" s="277" t="s">
        <x:v>118</x:v>
      </x:c>
      <x:c r="AF23" s="277" t="s">
        <x:v>118</x:v>
      </x:c>
      <x:c r="AG23" s="277" t="s">
        <x:v>118</x:v>
      </x:c>
      <x:c r="AH23" s="277" t="s">
        <x:v>118</x:v>
      </x:c>
      <x:c r="AI23" s="277" t="s">
        <x:v>118</x:v>
      </x:c>
      <x:c r="AJ23" s="277" t="s">
        <x:v>118</x:v>
      </x:c>
      <x:c r="AK23" s="220">
        <x:f>COUNTIF(F23:AJ23,"X")</x:f>
      </x:c>
      <x:c r="AL23" s="221"/>
      <x:c r="AM23" s="221"/>
      <x:c r="AN23" s="222"/>
      <x:c r="AO23" s="222"/>
      <x:c r="AP23" s="228"/>
      <x:c r="AQ23" s="228"/>
      <x:c r="AR23" s="228"/>
      <x:c r="AS23" s="228"/>
      <x:c r="AT23" s="230"/>
    </x:row>
    <x:row r="24" spans="1:47" ht="19.9" customHeight="1">
      <x:c r="A24" s="274" t="s">
        <x:v>881</x:v>
      </x:c>
      <x:c r="B24" s="216"/>
      <x:c r="C24" s="275" t="s">
        <x:v>882</x:v>
      </x:c>
      <x:c r="D24" s="274" t="s">
        <x:v>883</x:v>
      </x:c>
      <x:c r="E24" s="276" t="s">
        <x:v>884</x:v>
      </x:c>
      <x:c r="F24" s="277" t="s">
        <x:v>118</x:v>
      </x:c>
      <x:c r="G24" s="277" t="s">
        <x:v>118</x:v>
      </x:c>
      <x:c r="H24" s="277" t="s">
        <x:v>118</x:v>
      </x:c>
      <x:c r="I24" s="277" t="s">
        <x:v>118</x:v>
      </x:c>
      <x:c r="J24" s="277" t="s">
        <x:v>118</x:v>
      </x:c>
      <x:c r="K24" s="277" t="s">
        <x:v>118</x:v>
      </x:c>
      <x:c r="L24" s="277" t="s">
        <x:v>118</x:v>
      </x:c>
      <x:c r="M24" s="277" t="s">
        <x:v>118</x:v>
      </x:c>
      <x:c r="N24" s="277" t="s">
        <x:v>118</x:v>
      </x:c>
      <x:c r="O24" s="277" t="s">
        <x:v>118</x:v>
      </x:c>
      <x:c r="P24" s="277" t="s">
        <x:v>118</x:v>
      </x:c>
      <x:c r="Q24" s="277" t="s">
        <x:v>118</x:v>
      </x:c>
      <x:c r="R24" s="277" t="s">
        <x:v>118</x:v>
      </x:c>
      <x:c r="S24" s="277" t="s">
        <x:v>118</x:v>
      </x:c>
      <x:c r="T24" s="277" t="s">
        <x:v>118</x:v>
      </x:c>
      <x:c r="U24" s="277" t="s">
        <x:v>118</x:v>
      </x:c>
      <x:c r="V24" s="277" t="s">
        <x:v>118</x:v>
      </x:c>
      <x:c r="W24" s="277" t="s">
        <x:v>118</x:v>
      </x:c>
      <x:c r="X24" s="277" t="s">
        <x:v>118</x:v>
      </x:c>
      <x:c r="Y24" s="277" t="s">
        <x:v>118</x:v>
      </x:c>
      <x:c r="Z24" s="277" t="s">
        <x:v>118</x:v>
      </x:c>
      <x:c r="AA24" s="277" t="s">
        <x:v>118</x:v>
      </x:c>
      <x:c r="AB24" s="277" t="s">
        <x:v>118</x:v>
      </x:c>
      <x:c r="AC24" s="277" t="s">
        <x:v>118</x:v>
      </x:c>
      <x:c r="AD24" s="277" t="s">
        <x:v>118</x:v>
      </x:c>
      <x:c r="AE24" s="277" t="s">
        <x:v>118</x:v>
      </x:c>
      <x:c r="AF24" s="277" t="s">
        <x:v>118</x:v>
      </x:c>
      <x:c r="AG24" s="277" t="s">
        <x:v>118</x:v>
      </x:c>
      <x:c r="AH24" s="277" t="s">
        <x:v>118</x:v>
      </x:c>
      <x:c r="AI24" s="277" t="s">
        <x:v>118</x:v>
      </x:c>
      <x:c r="AJ24" s="277" t="s">
        <x:v>118</x:v>
      </x:c>
      <x:c r="AK24" s="220">
        <x:f>COUNTIF(F24:AJ24,"X")</x:f>
      </x:c>
      <x:c r="AL24" s="221"/>
      <x:c r="AM24" s="221"/>
      <x:c r="AN24" s="222"/>
      <x:c r="AO24" s="222"/>
      <x:c r="AP24" s="228"/>
      <x:c r="AQ24" s="228"/>
      <x:c r="AR24" s="228"/>
      <x:c r="AS24" s="228"/>
      <x:c r="AT24" s="230"/>
    </x:row>
    <x:row r="25" spans="1:47" ht="19.9" customHeight="1">
      <x:c r="A25" s="274" t="s">
        <x:v>885</x:v>
      </x:c>
      <x:c r="B25" s="216"/>
      <x:c r="C25" s="275" t="s">
        <x:v>886</x:v>
      </x:c>
      <x:c r="D25" s="274" t="s">
        <x:v>887</x:v>
      </x:c>
      <x:c r="E25" s="276" t="s">
        <x:v>888</x:v>
      </x:c>
      <x:c r="F25" s="277" t="s">
        <x:v>118</x:v>
      </x:c>
      <x:c r="G25" s="277" t="s">
        <x:v>118</x:v>
      </x:c>
      <x:c r="H25" s="277" t="s">
        <x:v>118</x:v>
      </x:c>
      <x:c r="I25" s="277" t="s">
        <x:v>118</x:v>
      </x:c>
      <x:c r="J25" s="277" t="s">
        <x:v>118</x:v>
      </x:c>
      <x:c r="K25" s="277" t="s">
        <x:v>118</x:v>
      </x:c>
      <x:c r="L25" s="277" t="s">
        <x:v>118</x:v>
      </x:c>
      <x:c r="M25" s="277" t="s">
        <x:v>118</x:v>
      </x:c>
      <x:c r="N25" s="277" t="s">
        <x:v>118</x:v>
      </x:c>
      <x:c r="O25" s="277" t="s">
        <x:v>118</x:v>
      </x:c>
      <x:c r="P25" s="277" t="s">
        <x:v>118</x:v>
      </x:c>
      <x:c r="Q25" s="277" t="s">
        <x:v>118</x:v>
      </x:c>
      <x:c r="R25" s="277" t="s">
        <x:v>118</x:v>
      </x:c>
      <x:c r="S25" s="277" t="s">
        <x:v>118</x:v>
      </x:c>
      <x:c r="T25" s="277" t="s">
        <x:v>118</x:v>
      </x:c>
      <x:c r="U25" s="277" t="s">
        <x:v>118</x:v>
      </x:c>
      <x:c r="V25" s="277" t="s">
        <x:v>118</x:v>
      </x:c>
      <x:c r="W25" s="277" t="s">
        <x:v>118</x:v>
      </x:c>
      <x:c r="X25" s="277" t="s">
        <x:v>118</x:v>
      </x:c>
      <x:c r="Y25" s="277" t="s">
        <x:v>118</x:v>
      </x:c>
      <x:c r="Z25" s="277" t="s">
        <x:v>118</x:v>
      </x:c>
      <x:c r="AA25" s="277" t="s">
        <x:v>118</x:v>
      </x:c>
      <x:c r="AB25" s="277" t="s">
        <x:v>118</x:v>
      </x:c>
      <x:c r="AC25" s="277" t="s">
        <x:v>118</x:v>
      </x:c>
      <x:c r="AD25" s="277" t="s">
        <x:v>118</x:v>
      </x:c>
      <x:c r="AE25" s="277" t="s">
        <x:v>118</x:v>
      </x:c>
      <x:c r="AF25" s="277" t="s">
        <x:v>118</x:v>
      </x:c>
      <x:c r="AG25" s="277" t="s">
        <x:v>118</x:v>
      </x:c>
      <x:c r="AH25" s="277" t="s">
        <x:v>118</x:v>
      </x:c>
      <x:c r="AI25" s="277" t="s">
        <x:v>118</x:v>
      </x:c>
      <x:c r="AJ25" s="277" t="s">
        <x:v>118</x:v>
      </x:c>
      <x:c r="AK25" s="220">
        <x:f>COUNTIF(F25:AJ25,"X")</x:f>
      </x:c>
      <x:c r="AL25" s="221"/>
      <x:c r="AM25" s="221"/>
      <x:c r="AN25" s="222"/>
      <x:c r="AO25" s="222"/>
      <x:c r="AP25" s="228"/>
      <x:c r="AQ25" s="228"/>
      <x:c r="AR25" s="228"/>
      <x:c r="AS25" s="228"/>
      <x:c r="AT25" s="230"/>
    </x:row>
    <x:row r="26" spans="1:47" ht="19.9" customHeight="1">
      <x:c r="A26" s="274" t="s">
        <x:v>889</x:v>
      </x:c>
      <x:c r="B26" s="216"/>
      <x:c r="C26" s="275" t="s">
        <x:v>890</x:v>
      </x:c>
      <x:c r="D26" s="274" t="s">
        <x:v>891</x:v>
      </x:c>
      <x:c r="E26" s="276" t="s">
        <x:v>323</x:v>
      </x:c>
      <x:c r="F26" s="277" t="s">
        <x:v>118</x:v>
      </x:c>
      <x:c r="G26" s="277" t="s">
        <x:v>118</x:v>
      </x:c>
      <x:c r="H26" s="277" t="s">
        <x:v>118</x:v>
      </x:c>
      <x:c r="I26" s="277" t="s">
        <x:v>118</x:v>
      </x:c>
      <x:c r="J26" s="277" t="s">
        <x:v>118</x:v>
      </x:c>
      <x:c r="K26" s="277" t="s">
        <x:v>118</x:v>
      </x:c>
      <x:c r="L26" s="277" t="s">
        <x:v>118</x:v>
      </x:c>
      <x:c r="M26" s="277" t="s">
        <x:v>118</x:v>
      </x:c>
      <x:c r="N26" s="277" t="s">
        <x:v>118</x:v>
      </x:c>
      <x:c r="O26" s="277" t="s">
        <x:v>118</x:v>
      </x:c>
      <x:c r="P26" s="277" t="s">
        <x:v>118</x:v>
      </x:c>
      <x:c r="Q26" s="277" t="s">
        <x:v>118</x:v>
      </x:c>
      <x:c r="R26" s="277" t="s">
        <x:v>118</x:v>
      </x:c>
      <x:c r="S26" s="277" t="s">
        <x:v>118</x:v>
      </x:c>
      <x:c r="T26" s="277" t="s">
        <x:v>118</x:v>
      </x:c>
      <x:c r="U26" s="277" t="s">
        <x:v>118</x:v>
      </x:c>
      <x:c r="V26" s="277" t="s">
        <x:v>118</x:v>
      </x:c>
      <x:c r="W26" s="277" t="s">
        <x:v>118</x:v>
      </x:c>
      <x:c r="X26" s="277" t="s">
        <x:v>118</x:v>
      </x:c>
      <x:c r="Y26" s="277" t="s">
        <x:v>118</x:v>
      </x:c>
      <x:c r="Z26" s="277" t="s">
        <x:v>118</x:v>
      </x:c>
      <x:c r="AA26" s="277" t="s">
        <x:v>118</x:v>
      </x:c>
      <x:c r="AB26" s="277" t="s">
        <x:v>118</x:v>
      </x:c>
      <x:c r="AC26" s="277" t="s">
        <x:v>118</x:v>
      </x:c>
      <x:c r="AD26" s="277" t="s">
        <x:v>118</x:v>
      </x:c>
      <x:c r="AE26" s="277" t="s">
        <x:v>118</x:v>
      </x:c>
      <x:c r="AF26" s="277" t="s">
        <x:v>118</x:v>
      </x:c>
      <x:c r="AG26" s="277" t="s">
        <x:v>118</x:v>
      </x:c>
      <x:c r="AH26" s="277" t="s">
        <x:v>118</x:v>
      </x:c>
      <x:c r="AI26" s="277" t="s">
        <x:v>118</x:v>
      </x:c>
      <x:c r="AJ26" s="277" t="s">
        <x:v>118</x:v>
      </x:c>
      <x:c r="AK26" s="220">
        <x:f>COUNTIF(F26:AJ26,"X")</x:f>
      </x:c>
      <x:c r="AL26" s="221"/>
      <x:c r="AM26" s="221"/>
      <x:c r="AN26" s="222"/>
      <x:c r="AO26" s="222"/>
      <x:c r="AP26" s="228"/>
      <x:c r="AQ26" s="228"/>
      <x:c r="AR26" s="228"/>
      <x:c r="AS26" s="228"/>
      <x:c r="AT26" s="230"/>
    </x:row>
    <x:row r="27" spans="1:47" ht="19.9" customHeight="1">
      <x:c r="A27" s="274" t="s">
        <x:v>892</x:v>
      </x:c>
      <x:c r="B27" s="216"/>
      <x:c r="C27" s="275" t="s">
        <x:v>893</x:v>
      </x:c>
      <x:c r="D27" s="274" t="s">
        <x:v>173</x:v>
      </x:c>
      <x:c r="E27" s="276" t="s">
        <x:v>894</x:v>
      </x:c>
      <x:c r="F27" s="277" t="s">
        <x:v>118</x:v>
      </x:c>
      <x:c r="G27" s="277" t="s">
        <x:v>118</x:v>
      </x:c>
      <x:c r="H27" s="277" t="s">
        <x:v>118</x:v>
      </x:c>
      <x:c r="I27" s="277" t="s">
        <x:v>118</x:v>
      </x:c>
      <x:c r="J27" s="277" t="s">
        <x:v>118</x:v>
      </x:c>
      <x:c r="K27" s="277" t="s">
        <x:v>118</x:v>
      </x:c>
      <x:c r="L27" s="277" t="s">
        <x:v>118</x:v>
      </x:c>
      <x:c r="M27" s="277" t="s">
        <x:v>118</x:v>
      </x:c>
      <x:c r="N27" s="277" t="s">
        <x:v>118</x:v>
      </x:c>
      <x:c r="O27" s="277" t="s">
        <x:v>118</x:v>
      </x:c>
      <x:c r="P27" s="277" t="s">
        <x:v>118</x:v>
      </x:c>
      <x:c r="Q27" s="277" t="s">
        <x:v>118</x:v>
      </x:c>
      <x:c r="R27" s="277" t="s">
        <x:v>118</x:v>
      </x:c>
      <x:c r="S27" s="277" t="s">
        <x:v>118</x:v>
      </x:c>
      <x:c r="T27" s="277" t="s">
        <x:v>118</x:v>
      </x:c>
      <x:c r="U27" s="277" t="s">
        <x:v>118</x:v>
      </x:c>
      <x:c r="V27" s="277" t="s">
        <x:v>118</x:v>
      </x:c>
      <x:c r="W27" s="277" t="s">
        <x:v>118</x:v>
      </x:c>
      <x:c r="X27" s="277" t="s">
        <x:v>118</x:v>
      </x:c>
      <x:c r="Y27" s="277" t="s">
        <x:v>118</x:v>
      </x:c>
      <x:c r="Z27" s="277" t="s">
        <x:v>118</x:v>
      </x:c>
      <x:c r="AA27" s="277" t="s">
        <x:v>118</x:v>
      </x:c>
      <x:c r="AB27" s="277" t="s">
        <x:v>118</x:v>
      </x:c>
      <x:c r="AC27" s="277" t="s">
        <x:v>118</x:v>
      </x:c>
      <x:c r="AD27" s="277" t="s">
        <x:v>118</x:v>
      </x:c>
      <x:c r="AE27" s="277" t="s">
        <x:v>118</x:v>
      </x:c>
      <x:c r="AF27" s="277" t="s">
        <x:v>118</x:v>
      </x:c>
      <x:c r="AG27" s="277" t="s">
        <x:v>118</x:v>
      </x:c>
      <x:c r="AH27" s="277" t="s">
        <x:v>118</x:v>
      </x:c>
      <x:c r="AI27" s="277" t="s">
        <x:v>118</x:v>
      </x:c>
      <x:c r="AJ27" s="277" t="s">
        <x:v>118</x:v>
      </x:c>
      <x:c r="AK27" s="220">
        <x:f>COUNTIF(F27:AJ27,"X")</x:f>
      </x:c>
      <x:c r="AL27" s="221"/>
      <x:c r="AM27" s="221"/>
      <x:c r="AN27" s="222"/>
      <x:c r="AO27" s="222"/>
      <x:c r="AP27" s="228"/>
      <x:c r="AQ27" s="228"/>
      <x:c r="AR27" s="228"/>
      <x:c r="AS27" s="228"/>
      <x:c r="AT27" s="230"/>
    </x:row>
    <x:row r="28" spans="1:47" ht="19.9" customHeight="1">
      <x:c r="A28" s="274" t="s">
        <x:v>895</x:v>
      </x:c>
      <x:c r="B28" s="216"/>
      <x:c r="C28" s="275" t="s">
        <x:v>896</x:v>
      </x:c>
      <x:c r="D28" s="274" t="s">
        <x:v>173</x:v>
      </x:c>
      <x:c r="E28" s="276" t="s">
        <x:v>820</x:v>
      </x:c>
      <x:c r="F28" s="277" t="s">
        <x:v>118</x:v>
      </x:c>
      <x:c r="G28" s="277" t="s">
        <x:v>118</x:v>
      </x:c>
      <x:c r="H28" s="277" t="s">
        <x:v>118</x:v>
      </x:c>
      <x:c r="I28" s="277" t="s">
        <x:v>118</x:v>
      </x:c>
      <x:c r="J28" s="277" t="s">
        <x:v>118</x:v>
      </x:c>
      <x:c r="K28" s="277" t="s">
        <x:v>118</x:v>
      </x:c>
      <x:c r="L28" s="277" t="s">
        <x:v>118</x:v>
      </x:c>
      <x:c r="M28" s="277" t="s">
        <x:v>118</x:v>
      </x:c>
      <x:c r="N28" s="277" t="s">
        <x:v>118</x:v>
      </x:c>
      <x:c r="O28" s="277" t="s">
        <x:v>118</x:v>
      </x:c>
      <x:c r="P28" s="277" t="s">
        <x:v>118</x:v>
      </x:c>
      <x:c r="Q28" s="277" t="s">
        <x:v>118</x:v>
      </x:c>
      <x:c r="R28" s="277" t="s">
        <x:v>118</x:v>
      </x:c>
      <x:c r="S28" s="277" t="s">
        <x:v>118</x:v>
      </x:c>
      <x:c r="T28" s="277" t="s">
        <x:v>118</x:v>
      </x:c>
      <x:c r="U28" s="277" t="s">
        <x:v>118</x:v>
      </x:c>
      <x:c r="V28" s="277" t="s">
        <x:v>118</x:v>
      </x:c>
      <x:c r="W28" s="277" t="s">
        <x:v>118</x:v>
      </x:c>
      <x:c r="X28" s="277" t="s">
        <x:v>118</x:v>
      </x:c>
      <x:c r="Y28" s="277" t="s">
        <x:v>118</x:v>
      </x:c>
      <x:c r="Z28" s="277" t="s">
        <x:v>118</x:v>
      </x:c>
      <x:c r="AA28" s="277" t="s">
        <x:v>118</x:v>
      </x:c>
      <x:c r="AB28" s="277" t="s">
        <x:v>118</x:v>
      </x:c>
      <x:c r="AC28" s="277" t="s">
        <x:v>118</x:v>
      </x:c>
      <x:c r="AD28" s="277" t="s">
        <x:v>118</x:v>
      </x:c>
      <x:c r="AE28" s="277" t="s">
        <x:v>118</x:v>
      </x:c>
      <x:c r="AF28" s="277" t="s">
        <x:v>118</x:v>
      </x:c>
      <x:c r="AG28" s="277" t="s">
        <x:v>118</x:v>
      </x:c>
      <x:c r="AH28" s="277" t="s">
        <x:v>118</x:v>
      </x:c>
      <x:c r="AI28" s="277" t="s">
        <x:v>118</x:v>
      </x:c>
      <x:c r="AJ28" s="277" t="s">
        <x:v>118</x:v>
      </x:c>
      <x:c r="AK28" s="220">
        <x:f>COUNTIF(F28:AJ28,"X")</x:f>
      </x:c>
      <x:c r="AL28" s="221"/>
      <x:c r="AM28" s="221"/>
      <x:c r="AN28" s="222"/>
      <x:c r="AO28" s="222"/>
      <x:c r="AP28" s="228"/>
      <x:c r="AQ28" s="228"/>
      <x:c r="AR28" s="228"/>
      <x:c r="AS28" s="228"/>
      <x:c r="AT28" s="230"/>
    </x:row>
    <x:row r="29" spans="1:47" ht="19.9" customHeight="1">
      <x:c r="A29" s="274" t="s">
        <x:v>897</x:v>
      </x:c>
      <x:c r="B29" s="216"/>
      <x:c r="C29" s="275" t="s">
        <x:v>898</x:v>
      </x:c>
      <x:c r="D29" s="274" t="s">
        <x:v>899</x:v>
      </x:c>
      <x:c r="E29" s="276" t="s">
        <x:v>900</x:v>
      </x:c>
      <x:c r="F29" s="277" t="s">
        <x:v>118</x:v>
      </x:c>
      <x:c r="G29" s="277" t="s">
        <x:v>118</x:v>
      </x:c>
      <x:c r="H29" s="277" t="s">
        <x:v>118</x:v>
      </x:c>
      <x:c r="I29" s="277" t="s">
        <x:v>118</x:v>
      </x:c>
      <x:c r="J29" s="277" t="s">
        <x:v>118</x:v>
      </x:c>
      <x:c r="K29" s="277" t="s">
        <x:v>118</x:v>
      </x:c>
      <x:c r="L29" s="277" t="s">
        <x:v>118</x:v>
      </x:c>
      <x:c r="M29" s="277" t="s">
        <x:v>118</x:v>
      </x:c>
      <x:c r="N29" s="277" t="s">
        <x:v>118</x:v>
      </x:c>
      <x:c r="O29" s="277" t="s">
        <x:v>118</x:v>
      </x:c>
      <x:c r="P29" s="277" t="s">
        <x:v>118</x:v>
      </x:c>
      <x:c r="Q29" s="277" t="s">
        <x:v>118</x:v>
      </x:c>
      <x:c r="R29" s="277" t="s">
        <x:v>118</x:v>
      </x:c>
      <x:c r="S29" s="277" t="s">
        <x:v>118</x:v>
      </x:c>
      <x:c r="T29" s="277" t="s">
        <x:v>118</x:v>
      </x:c>
      <x:c r="U29" s="277" t="s">
        <x:v>118</x:v>
      </x:c>
      <x:c r="V29" s="277" t="s">
        <x:v>118</x:v>
      </x:c>
      <x:c r="W29" s="277" t="s">
        <x:v>118</x:v>
      </x:c>
      <x:c r="X29" s="277" t="s">
        <x:v>118</x:v>
      </x:c>
      <x:c r="Y29" s="277" t="s">
        <x:v>118</x:v>
      </x:c>
      <x:c r="Z29" s="277" t="s">
        <x:v>118</x:v>
      </x:c>
      <x:c r="AA29" s="277" t="s">
        <x:v>118</x:v>
      </x:c>
      <x:c r="AB29" s="277" t="s">
        <x:v>118</x:v>
      </x:c>
      <x:c r="AC29" s="277" t="s">
        <x:v>118</x:v>
      </x:c>
      <x:c r="AD29" s="277" t="s">
        <x:v>118</x:v>
      </x:c>
      <x:c r="AE29" s="277" t="s">
        <x:v>118</x:v>
      </x:c>
      <x:c r="AF29" s="277" t="s">
        <x:v>118</x:v>
      </x:c>
      <x:c r="AG29" s="277" t="s">
        <x:v>118</x:v>
      </x:c>
      <x:c r="AH29" s="277" t="s">
        <x:v>118</x:v>
      </x:c>
      <x:c r="AI29" s="277" t="s">
        <x:v>118</x:v>
      </x:c>
      <x:c r="AJ29" s="277" t="s">
        <x:v>118</x:v>
      </x:c>
      <x:c r="AK29" s="220">
        <x:f>COUNTIF(F29:AJ29,"X")</x:f>
      </x:c>
      <x:c r="AL29" s="221"/>
      <x:c r="AM29" s="221"/>
      <x:c r="AN29" s="222"/>
      <x:c r="AO29" s="222"/>
      <x:c r="AP29" s="228"/>
      <x:c r="AQ29" s="228"/>
      <x:c r="AR29" s="228"/>
      <x:c r="AS29" s="228"/>
      <x:c r="AT29" s="230"/>
    </x:row>
    <x:row r="30" spans="1:47" ht="19.9" customHeight="1">
      <x:c r="A30" s="274" t="s">
        <x:v>901</x:v>
      </x:c>
      <x:c r="B30" s="216"/>
      <x:c r="C30" s="275" t="s">
        <x:v>902</x:v>
      </x:c>
      <x:c r="D30" s="274" t="s">
        <x:v>903</x:v>
      </x:c>
      <x:c r="E30" s="276" t="s">
        <x:v>264</x:v>
      </x:c>
      <x:c r="F30" s="277" t="s">
        <x:v>118</x:v>
      </x:c>
      <x:c r="G30" s="277" t="s">
        <x:v>118</x:v>
      </x:c>
      <x:c r="H30" s="277" t="s">
        <x:v>118</x:v>
      </x:c>
      <x:c r="I30" s="277" t="s">
        <x:v>118</x:v>
      </x:c>
      <x:c r="J30" s="277" t="s">
        <x:v>118</x:v>
      </x:c>
      <x:c r="K30" s="277" t="s">
        <x:v>118</x:v>
      </x:c>
      <x:c r="L30" s="277" t="s">
        <x:v>118</x:v>
      </x:c>
      <x:c r="M30" s="277" t="s">
        <x:v>118</x:v>
      </x:c>
      <x:c r="N30" s="277" t="s">
        <x:v>118</x:v>
      </x:c>
      <x:c r="O30" s="277" t="s">
        <x:v>118</x:v>
      </x:c>
      <x:c r="P30" s="277" t="s">
        <x:v>118</x:v>
      </x:c>
      <x:c r="Q30" s="277" t="s">
        <x:v>118</x:v>
      </x:c>
      <x:c r="R30" s="277" t="s">
        <x:v>118</x:v>
      </x:c>
      <x:c r="S30" s="277" t="s">
        <x:v>118</x:v>
      </x:c>
      <x:c r="T30" s="277" t="s">
        <x:v>118</x:v>
      </x:c>
      <x:c r="U30" s="277" t="s">
        <x:v>118</x:v>
      </x:c>
      <x:c r="V30" s="277" t="s">
        <x:v>118</x:v>
      </x:c>
      <x:c r="W30" s="277" t="s">
        <x:v>118</x:v>
      </x:c>
      <x:c r="X30" s="277" t="s">
        <x:v>118</x:v>
      </x:c>
      <x:c r="Y30" s="277" t="s">
        <x:v>118</x:v>
      </x:c>
      <x:c r="Z30" s="277" t="s">
        <x:v>118</x:v>
      </x:c>
      <x:c r="AA30" s="277" t="s">
        <x:v>118</x:v>
      </x:c>
      <x:c r="AB30" s="277" t="s">
        <x:v>118</x:v>
      </x:c>
      <x:c r="AC30" s="277" t="s">
        <x:v>118</x:v>
      </x:c>
      <x:c r="AD30" s="277" t="s">
        <x:v>118</x:v>
      </x:c>
      <x:c r="AE30" s="277" t="s">
        <x:v>118</x:v>
      </x:c>
      <x:c r="AF30" s="277" t="s">
        <x:v>118</x:v>
      </x:c>
      <x:c r="AG30" s="277" t="s">
        <x:v>118</x:v>
      </x:c>
      <x:c r="AH30" s="277" t="s">
        <x:v>118</x:v>
      </x:c>
      <x:c r="AI30" s="277" t="s">
        <x:v>118</x:v>
      </x:c>
      <x:c r="AJ30" s="277" t="s">
        <x:v>118</x:v>
      </x:c>
      <x:c r="AK30" s="220">
        <x:f>COUNTIF(F30:AJ30,"X")</x:f>
      </x:c>
      <x:c r="AL30" s="221"/>
      <x:c r="AM30" s="221"/>
      <x:c r="AN30" s="222"/>
      <x:c r="AO30" s="222"/>
      <x:c r="AP30" s="228"/>
      <x:c r="AQ30" s="228"/>
      <x:c r="AR30" s="228"/>
      <x:c r="AS30" s="228"/>
      <x:c r="AT30" s="230"/>
    </x:row>
    <x:row r="31" spans="1:47" ht="19.9" customHeight="1">
      <x:c r="A31" s="274" t="s">
        <x:v>904</x:v>
      </x:c>
      <x:c r="B31" s="216"/>
      <x:c r="C31" s="275" t="s">
        <x:v>905</x:v>
      </x:c>
      <x:c r="D31" s="274" t="s">
        <x:v>180</x:v>
      </x:c>
      <x:c r="E31" s="276" t="s">
        <x:v>432</x:v>
      </x:c>
      <x:c r="F31" s="277" t="s">
        <x:v>118</x:v>
      </x:c>
      <x:c r="G31" s="277" t="s">
        <x:v>118</x:v>
      </x:c>
      <x:c r="H31" s="277" t="s">
        <x:v>118</x:v>
      </x:c>
      <x:c r="I31" s="277" t="s">
        <x:v>118</x:v>
      </x:c>
      <x:c r="J31" s="277" t="s">
        <x:v>118</x:v>
      </x:c>
      <x:c r="K31" s="277" t="s">
        <x:v>118</x:v>
      </x:c>
      <x:c r="L31" s="277" t="s">
        <x:v>118</x:v>
      </x:c>
      <x:c r="M31" s="277" t="s">
        <x:v>118</x:v>
      </x:c>
      <x:c r="N31" s="277" t="s">
        <x:v>118</x:v>
      </x:c>
      <x:c r="O31" s="277" t="s">
        <x:v>118</x:v>
      </x:c>
      <x:c r="P31" s="277" t="s">
        <x:v>118</x:v>
      </x:c>
      <x:c r="Q31" s="277" t="s">
        <x:v>118</x:v>
      </x:c>
      <x:c r="R31" s="277" t="s">
        <x:v>118</x:v>
      </x:c>
      <x:c r="S31" s="277" t="s">
        <x:v>118</x:v>
      </x:c>
      <x:c r="T31" s="277" t="s">
        <x:v>118</x:v>
      </x:c>
      <x:c r="U31" s="277" t="s">
        <x:v>118</x:v>
      </x:c>
      <x:c r="V31" s="277" t="s">
        <x:v>118</x:v>
      </x:c>
      <x:c r="W31" s="277" t="s">
        <x:v>118</x:v>
      </x:c>
      <x:c r="X31" s="277" t="s">
        <x:v>118</x:v>
      </x:c>
      <x:c r="Y31" s="277" t="s">
        <x:v>118</x:v>
      </x:c>
      <x:c r="Z31" s="277" t="s">
        <x:v>118</x:v>
      </x:c>
      <x:c r="AA31" s="277" t="s">
        <x:v>118</x:v>
      </x:c>
      <x:c r="AB31" s="277" t="s">
        <x:v>118</x:v>
      </x:c>
      <x:c r="AC31" s="277" t="s">
        <x:v>118</x:v>
      </x:c>
      <x:c r="AD31" s="277" t="s">
        <x:v>118</x:v>
      </x:c>
      <x:c r="AE31" s="277" t="s">
        <x:v>118</x:v>
      </x:c>
      <x:c r="AF31" s="277" t="s">
        <x:v>118</x:v>
      </x:c>
      <x:c r="AG31" s="277" t="s">
        <x:v>118</x:v>
      </x:c>
      <x:c r="AH31" s="277" t="s">
        <x:v>118</x:v>
      </x:c>
      <x:c r="AI31" s="277" t="s">
        <x:v>118</x:v>
      </x:c>
      <x:c r="AJ31" s="277" t="s">
        <x:v>118</x:v>
      </x:c>
      <x:c r="AK31" s="220">
        <x:f>COUNTIF(F31:AJ31,"X")</x:f>
      </x:c>
      <x:c r="AL31" s="221"/>
      <x:c r="AM31" s="221"/>
      <x:c r="AN31" s="222"/>
      <x:c r="AO31" s="222"/>
      <x:c r="AP31" s="228"/>
      <x:c r="AQ31" s="228"/>
      <x:c r="AR31" s="228"/>
      <x:c r="AS31" s="228"/>
      <x:c r="AT31" s="230"/>
    </x:row>
    <x:row r="32" spans="1:47" ht="19.9" customHeight="1">
      <x:c r="A32" s="274" t="s">
        <x:v>906</x:v>
      </x:c>
      <x:c r="B32" s="216"/>
      <x:c r="C32" s="275" t="s">
        <x:v>907</x:v>
      </x:c>
      <x:c r="D32" s="274" t="s">
        <x:v>908</x:v>
      </x:c>
      <x:c r="E32" s="276" t="s">
        <x:v>166</x:v>
      </x:c>
      <x:c r="F32" s="277" t="s">
        <x:v>118</x:v>
      </x:c>
      <x:c r="G32" s="277" t="s">
        <x:v>118</x:v>
      </x:c>
      <x:c r="H32" s="277" t="s">
        <x:v>118</x:v>
      </x:c>
      <x:c r="I32" s="277" t="s">
        <x:v>118</x:v>
      </x:c>
      <x:c r="J32" s="277" t="s">
        <x:v>118</x:v>
      </x:c>
      <x:c r="K32" s="277" t="s">
        <x:v>118</x:v>
      </x:c>
      <x:c r="L32" s="277" t="s">
        <x:v>118</x:v>
      </x:c>
      <x:c r="M32" s="277" t="s">
        <x:v>118</x:v>
      </x:c>
      <x:c r="N32" s="277" t="s">
        <x:v>118</x:v>
      </x:c>
      <x:c r="O32" s="277" t="s">
        <x:v>118</x:v>
      </x:c>
      <x:c r="P32" s="277" t="s">
        <x:v>118</x:v>
      </x:c>
      <x:c r="Q32" s="277" t="s">
        <x:v>118</x:v>
      </x:c>
      <x:c r="R32" s="277" t="s">
        <x:v>118</x:v>
      </x:c>
      <x:c r="S32" s="277" t="s">
        <x:v>118</x:v>
      </x:c>
      <x:c r="T32" s="277" t="s">
        <x:v>118</x:v>
      </x:c>
      <x:c r="U32" s="277" t="s">
        <x:v>118</x:v>
      </x:c>
      <x:c r="V32" s="277" t="s">
        <x:v>118</x:v>
      </x:c>
      <x:c r="W32" s="277" t="s">
        <x:v>118</x:v>
      </x:c>
      <x:c r="X32" s="277" t="s">
        <x:v>118</x:v>
      </x:c>
      <x:c r="Y32" s="277" t="s">
        <x:v>118</x:v>
      </x:c>
      <x:c r="Z32" s="277" t="s">
        <x:v>118</x:v>
      </x:c>
      <x:c r="AA32" s="277" t="s">
        <x:v>118</x:v>
      </x:c>
      <x:c r="AB32" s="277" t="s">
        <x:v>118</x:v>
      </x:c>
      <x:c r="AC32" s="277" t="s">
        <x:v>118</x:v>
      </x:c>
      <x:c r="AD32" s="277" t="s">
        <x:v>118</x:v>
      </x:c>
      <x:c r="AE32" s="277" t="s">
        <x:v>118</x:v>
      </x:c>
      <x:c r="AF32" s="277" t="s">
        <x:v>118</x:v>
      </x:c>
      <x:c r="AG32" s="277" t="s">
        <x:v>118</x:v>
      </x:c>
      <x:c r="AH32" s="277" t="s">
        <x:v>118</x:v>
      </x:c>
      <x:c r="AI32" s="277" t="s">
        <x:v>118</x:v>
      </x:c>
      <x:c r="AJ32" s="277" t="s">
        <x:v>118</x:v>
      </x:c>
      <x:c r="AK32" s="220">
        <x:f>COUNTIF(F32:AJ32,"X")</x:f>
      </x:c>
      <x:c r="AL32" s="221"/>
      <x:c r="AM32" s="221"/>
      <x:c r="AN32" s="222"/>
      <x:c r="AO32" s="222"/>
      <x:c r="AP32" s="228"/>
      <x:c r="AQ32" s="228"/>
      <x:c r="AR32" s="228"/>
      <x:c r="AS32" s="228"/>
      <x:c r="AT32" s="230"/>
    </x:row>
    <x:row r="33" spans="1:47" ht="19.9" customHeight="1">
      <x:c r="A33" s="274" t="s">
        <x:v>909</x:v>
      </x:c>
      <x:c r="B33" s="216"/>
      <x:c r="C33" s="275" t="s">
        <x:v>910</x:v>
      </x:c>
      <x:c r="D33" s="274" t="s">
        <x:v>911</x:v>
      </x:c>
      <x:c r="E33" s="276" t="s">
        <x:v>413</x:v>
      </x:c>
      <x:c r="F33" s="277" t="s">
        <x:v>118</x:v>
      </x:c>
      <x:c r="G33" s="277" t="s">
        <x:v>118</x:v>
      </x:c>
      <x:c r="H33" s="277" t="s">
        <x:v>118</x:v>
      </x:c>
      <x:c r="I33" s="277" t="s">
        <x:v>118</x:v>
      </x:c>
      <x:c r="J33" s="277" t="s">
        <x:v>118</x:v>
      </x:c>
      <x:c r="K33" s="277" t="s">
        <x:v>118</x:v>
      </x:c>
      <x:c r="L33" s="277" t="s">
        <x:v>118</x:v>
      </x:c>
      <x:c r="M33" s="277" t="s">
        <x:v>118</x:v>
      </x:c>
      <x:c r="N33" s="277" t="s">
        <x:v>118</x:v>
      </x:c>
      <x:c r="O33" s="277" t="s">
        <x:v>118</x:v>
      </x:c>
      <x:c r="P33" s="277" t="s">
        <x:v>118</x:v>
      </x:c>
      <x:c r="Q33" s="277" t="s">
        <x:v>118</x:v>
      </x:c>
      <x:c r="R33" s="277" t="s">
        <x:v>118</x:v>
      </x:c>
      <x:c r="S33" s="277" t="s">
        <x:v>118</x:v>
      </x:c>
      <x:c r="T33" s="277" t="s">
        <x:v>118</x:v>
      </x:c>
      <x:c r="U33" s="277" t="s">
        <x:v>118</x:v>
      </x:c>
      <x:c r="V33" s="277" t="s">
        <x:v>118</x:v>
      </x:c>
      <x:c r="W33" s="277" t="s">
        <x:v>118</x:v>
      </x:c>
      <x:c r="X33" s="277" t="s">
        <x:v>118</x:v>
      </x:c>
      <x:c r="Y33" s="277" t="s">
        <x:v>118</x:v>
      </x:c>
      <x:c r="Z33" s="277" t="s">
        <x:v>118</x:v>
      </x:c>
      <x:c r="AA33" s="277" t="s">
        <x:v>118</x:v>
      </x:c>
      <x:c r="AB33" s="277" t="s">
        <x:v>118</x:v>
      </x:c>
      <x:c r="AC33" s="277" t="s">
        <x:v>118</x:v>
      </x:c>
      <x:c r="AD33" s="277" t="s">
        <x:v>118</x:v>
      </x:c>
      <x:c r="AE33" s="277" t="s">
        <x:v>118</x:v>
      </x:c>
      <x:c r="AF33" s="277" t="s">
        <x:v>118</x:v>
      </x:c>
      <x:c r="AG33" s="277" t="s">
        <x:v>118</x:v>
      </x:c>
      <x:c r="AH33" s="277" t="s">
        <x:v>118</x:v>
      </x:c>
      <x:c r="AI33" s="277" t="s">
        <x:v>118</x:v>
      </x:c>
      <x:c r="AJ33" s="277" t="s">
        <x:v>118</x:v>
      </x:c>
      <x:c r="AK33" s="220">
        <x:f>COUNTIF(F33:AJ33,"X")</x:f>
      </x:c>
      <x:c r="AL33" s="221"/>
      <x:c r="AM33" s="221"/>
      <x:c r="AN33" s="222"/>
      <x:c r="AO33" s="222"/>
      <x:c r="AP33" s="228"/>
      <x:c r="AQ33" s="228"/>
      <x:c r="AR33" s="228"/>
      <x:c r="AS33" s="228"/>
      <x:c r="AT33" s="230"/>
    </x:row>
    <x:row r="34" spans="1:47" ht="19.9" customHeight="1">
      <x:c r="A34" s="274" t="s">
        <x:v>912</x:v>
      </x:c>
      <x:c r="B34" s="216"/>
      <x:c r="C34" s="275" t="s">
        <x:v>913</x:v>
      </x:c>
      <x:c r="D34" s="274" t="s">
        <x:v>911</x:v>
      </x:c>
      <x:c r="E34" s="276" t="s">
        <x:v>209</x:v>
      </x:c>
      <x:c r="F34" s="277" t="s">
        <x:v>118</x:v>
      </x:c>
      <x:c r="G34" s="277" t="s">
        <x:v>118</x:v>
      </x:c>
      <x:c r="H34" s="277" t="s">
        <x:v>118</x:v>
      </x:c>
      <x:c r="I34" s="277" t="s">
        <x:v>118</x:v>
      </x:c>
      <x:c r="J34" s="277" t="s">
        <x:v>118</x:v>
      </x:c>
      <x:c r="K34" s="277" t="s">
        <x:v>118</x:v>
      </x:c>
      <x:c r="L34" s="277" t="s">
        <x:v>118</x:v>
      </x:c>
      <x:c r="M34" s="277" t="s">
        <x:v>118</x:v>
      </x:c>
      <x:c r="N34" s="277" t="s">
        <x:v>118</x:v>
      </x:c>
      <x:c r="O34" s="277" t="s">
        <x:v>118</x:v>
      </x:c>
      <x:c r="P34" s="277" t="s">
        <x:v>118</x:v>
      </x:c>
      <x:c r="Q34" s="277" t="s">
        <x:v>118</x:v>
      </x:c>
      <x:c r="R34" s="277" t="s">
        <x:v>118</x:v>
      </x:c>
      <x:c r="S34" s="277" t="s">
        <x:v>118</x:v>
      </x:c>
      <x:c r="T34" s="277" t="s">
        <x:v>118</x:v>
      </x:c>
      <x:c r="U34" s="277" t="s">
        <x:v>118</x:v>
      </x:c>
      <x:c r="V34" s="277" t="s">
        <x:v>118</x:v>
      </x:c>
      <x:c r="W34" s="277" t="s">
        <x:v>118</x:v>
      </x:c>
      <x:c r="X34" s="277" t="s">
        <x:v>118</x:v>
      </x:c>
      <x:c r="Y34" s="277" t="s">
        <x:v>118</x:v>
      </x:c>
      <x:c r="Z34" s="277" t="s">
        <x:v>118</x:v>
      </x:c>
      <x:c r="AA34" s="277" t="s">
        <x:v>118</x:v>
      </x:c>
      <x:c r="AB34" s="277" t="s">
        <x:v>118</x:v>
      </x:c>
      <x:c r="AC34" s="277" t="s">
        <x:v>118</x:v>
      </x:c>
      <x:c r="AD34" s="277" t="s">
        <x:v>118</x:v>
      </x:c>
      <x:c r="AE34" s="277" t="s">
        <x:v>118</x:v>
      </x:c>
      <x:c r="AF34" s="277" t="s">
        <x:v>118</x:v>
      </x:c>
      <x:c r="AG34" s="277" t="s">
        <x:v>118</x:v>
      </x:c>
      <x:c r="AH34" s="277" t="s">
        <x:v>118</x:v>
      </x:c>
      <x:c r="AI34" s="277" t="s">
        <x:v>118</x:v>
      </x:c>
      <x:c r="AJ34" s="277" t="s">
        <x:v>118</x:v>
      </x:c>
      <x:c r="AK34" s="220">
        <x:f>COUNTIF(F34:AJ34,"X")</x:f>
      </x:c>
      <x:c r="AL34" s="221"/>
      <x:c r="AM34" s="221"/>
      <x:c r="AN34" s="222"/>
      <x:c r="AO34" s="222"/>
      <x:c r="AP34" s="228"/>
      <x:c r="AQ34" s="228"/>
      <x:c r="AR34" s="228"/>
      <x:c r="AS34" s="228"/>
      <x:c r="AT34" s="230"/>
    </x:row>
    <x:row r="35" spans="1:47" ht="19.9" customHeight="1">
      <x:c r="A35" s="274" t="s">
        <x:v>914</x:v>
      </x:c>
      <x:c r="B35" s="216"/>
      <x:c r="C35" s="275" t="s">
        <x:v>915</x:v>
      </x:c>
      <x:c r="D35" s="274" t="s">
        <x:v>911</x:v>
      </x:c>
      <x:c r="E35" s="276" t="s">
        <x:v>916</x:v>
      </x:c>
      <x:c r="F35" s="277" t="s">
        <x:v>118</x:v>
      </x:c>
      <x:c r="G35" s="277" t="s">
        <x:v>118</x:v>
      </x:c>
      <x:c r="H35" s="277" t="s">
        <x:v>118</x:v>
      </x:c>
      <x:c r="I35" s="277" t="s">
        <x:v>118</x:v>
      </x:c>
      <x:c r="J35" s="277" t="s">
        <x:v>118</x:v>
      </x:c>
      <x:c r="K35" s="277" t="s">
        <x:v>118</x:v>
      </x:c>
      <x:c r="L35" s="277" t="s">
        <x:v>118</x:v>
      </x:c>
      <x:c r="M35" s="277" t="s">
        <x:v>118</x:v>
      </x:c>
      <x:c r="N35" s="277" t="s">
        <x:v>118</x:v>
      </x:c>
      <x:c r="O35" s="277" t="s">
        <x:v>118</x:v>
      </x:c>
      <x:c r="P35" s="277" t="s">
        <x:v>118</x:v>
      </x:c>
      <x:c r="Q35" s="277" t="s">
        <x:v>118</x:v>
      </x:c>
      <x:c r="R35" s="277" t="s">
        <x:v>118</x:v>
      </x:c>
      <x:c r="S35" s="277" t="s">
        <x:v>118</x:v>
      </x:c>
      <x:c r="T35" s="277" t="s">
        <x:v>118</x:v>
      </x:c>
      <x:c r="U35" s="277" t="s">
        <x:v>118</x:v>
      </x:c>
      <x:c r="V35" s="277" t="s">
        <x:v>118</x:v>
      </x:c>
      <x:c r="W35" s="277" t="s">
        <x:v>118</x:v>
      </x:c>
      <x:c r="X35" s="277" t="s">
        <x:v>118</x:v>
      </x:c>
      <x:c r="Y35" s="277" t="s">
        <x:v>118</x:v>
      </x:c>
      <x:c r="Z35" s="277" t="s">
        <x:v>118</x:v>
      </x:c>
      <x:c r="AA35" s="277" t="s">
        <x:v>118</x:v>
      </x:c>
      <x:c r="AB35" s="277" t="s">
        <x:v>118</x:v>
      </x:c>
      <x:c r="AC35" s="277" t="s">
        <x:v>118</x:v>
      </x:c>
      <x:c r="AD35" s="277" t="s">
        <x:v>118</x:v>
      </x:c>
      <x:c r="AE35" s="277" t="s">
        <x:v>118</x:v>
      </x:c>
      <x:c r="AF35" s="277" t="s">
        <x:v>118</x:v>
      </x:c>
      <x:c r="AG35" s="277" t="s">
        <x:v>118</x:v>
      </x:c>
      <x:c r="AH35" s="277" t="s">
        <x:v>118</x:v>
      </x:c>
      <x:c r="AI35" s="277" t="s">
        <x:v>118</x:v>
      </x:c>
      <x:c r="AJ35" s="277" t="s">
        <x:v>118</x:v>
      </x:c>
      <x:c r="AK35" s="220">
        <x:f>COUNTIF(F35:AJ35,"X")</x:f>
      </x:c>
      <x:c r="AL35" s="221"/>
      <x:c r="AM35" s="221"/>
      <x:c r="AN35" s="222"/>
      <x:c r="AO35" s="222"/>
      <x:c r="AP35" s="228"/>
      <x:c r="AQ35" s="228"/>
      <x:c r="AR35" s="228"/>
      <x:c r="AS35" s="228"/>
      <x:c r="AT35" s="230"/>
    </x:row>
    <x:row r="36" spans="1:47" ht="19.9" customHeight="1">
      <x:c r="A36" s="274" t="s">
        <x:v>917</x:v>
      </x:c>
      <x:c r="B36" s="216"/>
      <x:c r="C36" s="275" t="s">
        <x:v>918</x:v>
      </x:c>
      <x:c r="D36" s="274" t="s">
        <x:v>919</x:v>
      </x:c>
      <x:c r="E36" s="276" t="s">
        <x:v>920</x:v>
      </x:c>
      <x:c r="F36" s="277" t="s">
        <x:v>118</x:v>
      </x:c>
      <x:c r="G36" s="277" t="s">
        <x:v>118</x:v>
      </x:c>
      <x:c r="H36" s="277" t="s">
        <x:v>118</x:v>
      </x:c>
      <x:c r="I36" s="277" t="s">
        <x:v>118</x:v>
      </x:c>
      <x:c r="J36" s="277" t="s">
        <x:v>118</x:v>
      </x:c>
      <x:c r="K36" s="277" t="s">
        <x:v>118</x:v>
      </x:c>
      <x:c r="L36" s="277" t="s">
        <x:v>118</x:v>
      </x:c>
      <x:c r="M36" s="277" t="s">
        <x:v>118</x:v>
      </x:c>
      <x:c r="N36" s="277" t="s">
        <x:v>118</x:v>
      </x:c>
      <x:c r="O36" s="277" t="s">
        <x:v>118</x:v>
      </x:c>
      <x:c r="P36" s="277" t="s">
        <x:v>118</x:v>
      </x:c>
      <x:c r="Q36" s="277" t="s">
        <x:v>118</x:v>
      </x:c>
      <x:c r="R36" s="277" t="s">
        <x:v>118</x:v>
      </x:c>
      <x:c r="S36" s="277" t="s">
        <x:v>118</x:v>
      </x:c>
      <x:c r="T36" s="277" t="s">
        <x:v>118</x:v>
      </x:c>
      <x:c r="U36" s="277" t="s">
        <x:v>118</x:v>
      </x:c>
      <x:c r="V36" s="277" t="s">
        <x:v>118</x:v>
      </x:c>
      <x:c r="W36" s="277" t="s">
        <x:v>118</x:v>
      </x:c>
      <x:c r="X36" s="277" t="s">
        <x:v>118</x:v>
      </x:c>
      <x:c r="Y36" s="277" t="s">
        <x:v>118</x:v>
      </x:c>
      <x:c r="Z36" s="277" t="s">
        <x:v>118</x:v>
      </x:c>
      <x:c r="AA36" s="277" t="s">
        <x:v>118</x:v>
      </x:c>
      <x:c r="AB36" s="277" t="s">
        <x:v>118</x:v>
      </x:c>
      <x:c r="AC36" s="277" t="s">
        <x:v>118</x:v>
      </x:c>
      <x:c r="AD36" s="277" t="s">
        <x:v>118</x:v>
      </x:c>
      <x:c r="AE36" s="277" t="s">
        <x:v>118</x:v>
      </x:c>
      <x:c r="AF36" s="277" t="s">
        <x:v>118</x:v>
      </x:c>
      <x:c r="AG36" s="277" t="s">
        <x:v>118</x:v>
      </x:c>
      <x:c r="AH36" s="277" t="s">
        <x:v>118</x:v>
      </x:c>
      <x:c r="AI36" s="277" t="s">
        <x:v>118</x:v>
      </x:c>
      <x:c r="AJ36" s="277" t="s">
        <x:v>118</x:v>
      </x:c>
      <x:c r="AK36" s="220">
        <x:f>COUNTIF(F36:AJ36,"X")</x:f>
      </x:c>
      <x:c r="AL36" s="221"/>
      <x:c r="AM36" s="221"/>
      <x:c r="AN36" s="222"/>
      <x:c r="AO36" s="222"/>
      <x:c r="AP36" s="228"/>
      <x:c r="AQ36" s="228"/>
      <x:c r="AR36" s="228"/>
      <x:c r="AS36" s="228"/>
      <x:c r="AT36" s="230"/>
    </x:row>
    <x:row r="37" spans="1:47" ht="19.9" customHeight="1">
      <x:c r="A37" s="274" t="s">
        <x:v>921</x:v>
      </x:c>
      <x:c r="B37" s="216"/>
      <x:c r="C37" s="275" t="s">
        <x:v>922</x:v>
      </x:c>
      <x:c r="D37" s="274" t="s">
        <x:v>923</x:v>
      </x:c>
      <x:c r="E37" s="276" t="s">
        <x:v>924</x:v>
      </x:c>
      <x:c r="F37" s="277" t="s">
        <x:v>118</x:v>
      </x:c>
      <x:c r="G37" s="277" t="s">
        <x:v>118</x:v>
      </x:c>
      <x:c r="H37" s="277" t="s">
        <x:v>118</x:v>
      </x:c>
      <x:c r="I37" s="277" t="s">
        <x:v>118</x:v>
      </x:c>
      <x:c r="J37" s="277" t="s">
        <x:v>118</x:v>
      </x:c>
      <x:c r="K37" s="277" t="s">
        <x:v>118</x:v>
      </x:c>
      <x:c r="L37" s="277" t="s">
        <x:v>118</x:v>
      </x:c>
      <x:c r="M37" s="277" t="s">
        <x:v>118</x:v>
      </x:c>
      <x:c r="N37" s="277" t="s">
        <x:v>118</x:v>
      </x:c>
      <x:c r="O37" s="277" t="s">
        <x:v>118</x:v>
      </x:c>
      <x:c r="P37" s="277" t="s">
        <x:v>118</x:v>
      </x:c>
      <x:c r="Q37" s="277" t="s">
        <x:v>118</x:v>
      </x:c>
      <x:c r="R37" s="277" t="s">
        <x:v>118</x:v>
      </x:c>
      <x:c r="S37" s="277" t="s">
        <x:v>118</x:v>
      </x:c>
      <x:c r="T37" s="277" t="s">
        <x:v>118</x:v>
      </x:c>
      <x:c r="U37" s="277" t="s">
        <x:v>118</x:v>
      </x:c>
      <x:c r="V37" s="277" t="s">
        <x:v>118</x:v>
      </x:c>
      <x:c r="W37" s="277" t="s">
        <x:v>118</x:v>
      </x:c>
      <x:c r="X37" s="277" t="s">
        <x:v>118</x:v>
      </x:c>
      <x:c r="Y37" s="277" t="s">
        <x:v>118</x:v>
      </x:c>
      <x:c r="Z37" s="277" t="s">
        <x:v>118</x:v>
      </x:c>
      <x:c r="AA37" s="277" t="s">
        <x:v>118</x:v>
      </x:c>
      <x:c r="AB37" s="277" t="s">
        <x:v>118</x:v>
      </x:c>
      <x:c r="AC37" s="277" t="s">
        <x:v>118</x:v>
      </x:c>
      <x:c r="AD37" s="277" t="s">
        <x:v>118</x:v>
      </x:c>
      <x:c r="AE37" s="277" t="s">
        <x:v>118</x:v>
      </x:c>
      <x:c r="AF37" s="277" t="s">
        <x:v>118</x:v>
      </x:c>
      <x:c r="AG37" s="277" t="s">
        <x:v>118</x:v>
      </x:c>
      <x:c r="AH37" s="277" t="s">
        <x:v>118</x:v>
      </x:c>
      <x:c r="AI37" s="277" t="s">
        <x:v>118</x:v>
      </x:c>
      <x:c r="AJ37" s="277" t="s">
        <x:v>118</x:v>
      </x:c>
      <x:c r="AK37" s="220">
        <x:f>COUNTIF(F37:AJ37,"X")</x:f>
      </x:c>
      <x:c r="AL37" s="221"/>
      <x:c r="AM37" s="221"/>
      <x:c r="AN37" s="222"/>
      <x:c r="AO37" s="222"/>
      <x:c r="AP37" s="228"/>
      <x:c r="AQ37" s="228"/>
      <x:c r="AR37" s="228"/>
      <x:c r="AS37" s="228"/>
      <x:c r="AT37" s="230"/>
    </x:row>
    <x:row r="38" spans="1:47" ht="19.9" customHeight="1">
      <x:c r="A38" s="274" t="s">
        <x:v>925</x:v>
      </x:c>
      <x:c r="B38" s="216"/>
      <x:c r="C38" s="275" t="s">
        <x:v>926</x:v>
      </x:c>
      <x:c r="D38" s="274" t="s">
        <x:v>927</x:v>
      </x:c>
      <x:c r="E38" s="276" t="s">
        <x:v>928</x:v>
      </x:c>
      <x:c r="F38" s="277" t="s">
        <x:v>118</x:v>
      </x:c>
      <x:c r="G38" s="277" t="s">
        <x:v>118</x:v>
      </x:c>
      <x:c r="H38" s="277" t="s">
        <x:v>118</x:v>
      </x:c>
      <x:c r="I38" s="277" t="s">
        <x:v>118</x:v>
      </x:c>
      <x:c r="J38" s="277" t="s">
        <x:v>118</x:v>
      </x:c>
      <x:c r="K38" s="277" t="s">
        <x:v>118</x:v>
      </x:c>
      <x:c r="L38" s="277" t="s">
        <x:v>118</x:v>
      </x:c>
      <x:c r="M38" s="277" t="s">
        <x:v>118</x:v>
      </x:c>
      <x:c r="N38" s="277" t="s">
        <x:v>118</x:v>
      </x:c>
      <x:c r="O38" s="277" t="s">
        <x:v>118</x:v>
      </x:c>
      <x:c r="P38" s="277" t="s">
        <x:v>118</x:v>
      </x:c>
      <x:c r="Q38" s="277" t="s">
        <x:v>118</x:v>
      </x:c>
      <x:c r="R38" s="277" t="s">
        <x:v>118</x:v>
      </x:c>
      <x:c r="S38" s="277" t="s">
        <x:v>118</x:v>
      </x:c>
      <x:c r="T38" s="277" t="s">
        <x:v>118</x:v>
      </x:c>
      <x:c r="U38" s="277" t="s">
        <x:v>118</x:v>
      </x:c>
      <x:c r="V38" s="277" t="s">
        <x:v>118</x:v>
      </x:c>
      <x:c r="W38" s="277" t="s">
        <x:v>118</x:v>
      </x:c>
      <x:c r="X38" s="277" t="s">
        <x:v>118</x:v>
      </x:c>
      <x:c r="Y38" s="277" t="s">
        <x:v>118</x:v>
      </x:c>
      <x:c r="Z38" s="277" t="s">
        <x:v>118</x:v>
      </x:c>
      <x:c r="AA38" s="277" t="s">
        <x:v>118</x:v>
      </x:c>
      <x:c r="AB38" s="277" t="s">
        <x:v>118</x:v>
      </x:c>
      <x:c r="AC38" s="277" t="s">
        <x:v>118</x:v>
      </x:c>
      <x:c r="AD38" s="277" t="s">
        <x:v>118</x:v>
      </x:c>
      <x:c r="AE38" s="277" t="s">
        <x:v>118</x:v>
      </x:c>
      <x:c r="AF38" s="277" t="s">
        <x:v>118</x:v>
      </x:c>
      <x:c r="AG38" s="277" t="s">
        <x:v>118</x:v>
      </x:c>
      <x:c r="AH38" s="277" t="s">
        <x:v>118</x:v>
      </x:c>
      <x:c r="AI38" s="277" t="s">
        <x:v>118</x:v>
      </x:c>
      <x:c r="AJ38" s="277" t="s">
        <x:v>118</x:v>
      </x:c>
      <x:c r="AK38" s="220">
        <x:f>COUNTIF(F38:AJ38,"X")</x:f>
      </x:c>
      <x:c r="AL38" s="221"/>
      <x:c r="AM38" s="221"/>
      <x:c r="AN38" s="222"/>
      <x:c r="AO38" s="222"/>
      <x:c r="AP38" s="228"/>
      <x:c r="AQ38" s="228"/>
      <x:c r="AR38" s="228"/>
      <x:c r="AS38" s="228"/>
      <x:c r="AT38" s="230"/>
    </x:row>
    <x:row r="39" spans="1:47" ht="19.9" customHeight="1">
      <x:c r="A39" s="274" t="s">
        <x:v>929</x:v>
      </x:c>
      <x:c r="B39" s="216"/>
      <x:c r="C39" s="275" t="s">
        <x:v>930</x:v>
      </x:c>
      <x:c r="D39" s="274" t="s">
        <x:v>931</x:v>
      </x:c>
      <x:c r="E39" s="276" t="s">
        <x:v>932</x:v>
      </x:c>
      <x:c r="F39" s="277" t="s">
        <x:v>118</x:v>
      </x:c>
      <x:c r="G39" s="277" t="s">
        <x:v>118</x:v>
      </x:c>
      <x:c r="H39" s="277" t="s">
        <x:v>118</x:v>
      </x:c>
      <x:c r="I39" s="277" t="s">
        <x:v>118</x:v>
      </x:c>
      <x:c r="J39" s="277" t="s">
        <x:v>118</x:v>
      </x:c>
      <x:c r="K39" s="277" t="s">
        <x:v>118</x:v>
      </x:c>
      <x:c r="L39" s="277" t="s">
        <x:v>118</x:v>
      </x:c>
      <x:c r="M39" s="277" t="s">
        <x:v>118</x:v>
      </x:c>
      <x:c r="N39" s="277" t="s">
        <x:v>118</x:v>
      </x:c>
      <x:c r="O39" s="277" t="s">
        <x:v>118</x:v>
      </x:c>
      <x:c r="P39" s="277" t="s">
        <x:v>118</x:v>
      </x:c>
      <x:c r="Q39" s="277" t="s">
        <x:v>118</x:v>
      </x:c>
      <x:c r="R39" s="277" t="s">
        <x:v>118</x:v>
      </x:c>
      <x:c r="S39" s="277" t="s">
        <x:v>118</x:v>
      </x:c>
      <x:c r="T39" s="277" t="s">
        <x:v>118</x:v>
      </x:c>
      <x:c r="U39" s="277" t="s">
        <x:v>118</x:v>
      </x:c>
      <x:c r="V39" s="277" t="s">
        <x:v>118</x:v>
      </x:c>
      <x:c r="W39" s="277" t="s">
        <x:v>118</x:v>
      </x:c>
      <x:c r="X39" s="277" t="s">
        <x:v>118</x:v>
      </x:c>
      <x:c r="Y39" s="277" t="s">
        <x:v>118</x:v>
      </x:c>
      <x:c r="Z39" s="277" t="s">
        <x:v>118</x:v>
      </x:c>
      <x:c r="AA39" s="277" t="s">
        <x:v>118</x:v>
      </x:c>
      <x:c r="AB39" s="277" t="s">
        <x:v>118</x:v>
      </x:c>
      <x:c r="AC39" s="277" t="s">
        <x:v>118</x:v>
      </x:c>
      <x:c r="AD39" s="277" t="s">
        <x:v>118</x:v>
      </x:c>
      <x:c r="AE39" s="277" t="s">
        <x:v>118</x:v>
      </x:c>
      <x:c r="AF39" s="277" t="s">
        <x:v>118</x:v>
      </x:c>
      <x:c r="AG39" s="277" t="s">
        <x:v>118</x:v>
      </x:c>
      <x:c r="AH39" s="277" t="s">
        <x:v>118</x:v>
      </x:c>
      <x:c r="AI39" s="277" t="s">
        <x:v>118</x:v>
      </x:c>
      <x:c r="AJ39" s="277" t="s">
        <x:v>118</x:v>
      </x:c>
      <x:c r="AK39" s="220">
        <x:f>COUNTIF(F39:AJ39,"X")</x:f>
      </x:c>
      <x:c r="AL39" s="221"/>
      <x:c r="AM39" s="221"/>
      <x:c r="AN39" s="222"/>
      <x:c r="AO39" s="222"/>
      <x:c r="AP39" s="228"/>
      <x:c r="AQ39" s="228"/>
      <x:c r="AR39" s="228"/>
      <x:c r="AS39" s="228"/>
      <x:c r="AT39" s="230"/>
    </x:row>
    <x:row r="40" spans="1:47" ht="19.9" customHeight="1">
      <x:c r="A40" s="274" t="s">
        <x:v>933</x:v>
      </x:c>
      <x:c r="B40" s="216"/>
      <x:c r="C40" s="275" t="s">
        <x:v>934</x:v>
      </x:c>
      <x:c r="D40" s="274" t="s">
        <x:v>935</x:v>
      </x:c>
      <x:c r="E40" s="276" t="s">
        <x:v>936</x:v>
      </x:c>
      <x:c r="F40" s="277" t="s">
        <x:v>118</x:v>
      </x:c>
      <x:c r="G40" s="277" t="s">
        <x:v>118</x:v>
      </x:c>
      <x:c r="H40" s="277" t="s">
        <x:v>118</x:v>
      </x:c>
      <x:c r="I40" s="277" t="s">
        <x:v>118</x:v>
      </x:c>
      <x:c r="J40" s="277" t="s">
        <x:v>118</x:v>
      </x:c>
      <x:c r="K40" s="277" t="s">
        <x:v>118</x:v>
      </x:c>
      <x:c r="L40" s="277" t="s">
        <x:v>118</x:v>
      </x:c>
      <x:c r="M40" s="277" t="s">
        <x:v>118</x:v>
      </x:c>
      <x:c r="N40" s="277" t="s">
        <x:v>118</x:v>
      </x:c>
      <x:c r="O40" s="277" t="s">
        <x:v>118</x:v>
      </x:c>
      <x:c r="P40" s="277" t="s">
        <x:v>118</x:v>
      </x:c>
      <x:c r="Q40" s="277" t="s">
        <x:v>118</x:v>
      </x:c>
      <x:c r="R40" s="277" t="s">
        <x:v>118</x:v>
      </x:c>
      <x:c r="S40" s="277" t="s">
        <x:v>118</x:v>
      </x:c>
      <x:c r="T40" s="277" t="s">
        <x:v>118</x:v>
      </x:c>
      <x:c r="U40" s="277" t="s">
        <x:v>118</x:v>
      </x:c>
      <x:c r="V40" s="277" t="s">
        <x:v>118</x:v>
      </x:c>
      <x:c r="W40" s="277" t="s">
        <x:v>118</x:v>
      </x:c>
      <x:c r="X40" s="277" t="s">
        <x:v>118</x:v>
      </x:c>
      <x:c r="Y40" s="277" t="s">
        <x:v>118</x:v>
      </x:c>
      <x:c r="Z40" s="277" t="s">
        <x:v>118</x:v>
      </x:c>
      <x:c r="AA40" s="277" t="s">
        <x:v>118</x:v>
      </x:c>
      <x:c r="AB40" s="277" t="s">
        <x:v>118</x:v>
      </x:c>
      <x:c r="AC40" s="277" t="s">
        <x:v>118</x:v>
      </x:c>
      <x:c r="AD40" s="277" t="s">
        <x:v>118</x:v>
      </x:c>
      <x:c r="AE40" s="277" t="s">
        <x:v>118</x:v>
      </x:c>
      <x:c r="AF40" s="277" t="s">
        <x:v>118</x:v>
      </x:c>
      <x:c r="AG40" s="277" t="s">
        <x:v>118</x:v>
      </x:c>
      <x:c r="AH40" s="277" t="s">
        <x:v>118</x:v>
      </x:c>
      <x:c r="AI40" s="277" t="s">
        <x:v>118</x:v>
      </x:c>
      <x:c r="AJ40" s="277" t="s">
        <x:v>118</x:v>
      </x:c>
      <x:c r="AK40" s="220">
        <x:f>COUNTIF(F40:AJ40,"X")</x:f>
      </x:c>
      <x:c r="AL40" s="221"/>
      <x:c r="AM40" s="221"/>
      <x:c r="AN40" s="222"/>
      <x:c r="AO40" s="222"/>
      <x:c r="AP40" s="228"/>
      <x:c r="AQ40" s="228"/>
      <x:c r="AR40" s="228"/>
      <x:c r="AS40" s="228"/>
      <x:c r="AT40" s="230"/>
    </x:row>
    <x:row r="41" spans="1:47" ht="19.9" customHeight="1">
      <x:c r="A41" s="274" t="s">
        <x:v>937</x:v>
      </x:c>
      <x:c r="B41" s="216"/>
      <x:c r="C41" s="275" t="s">
        <x:v>938</x:v>
      </x:c>
      <x:c r="D41" s="274" t="s">
        <x:v>939</x:v>
      </x:c>
      <x:c r="E41" s="276" t="s">
        <x:v>940</x:v>
      </x:c>
      <x:c r="F41" s="277" t="s">
        <x:v>118</x:v>
      </x:c>
      <x:c r="G41" s="277" t="s">
        <x:v>118</x:v>
      </x:c>
      <x:c r="H41" s="277" t="s">
        <x:v>118</x:v>
      </x:c>
      <x:c r="I41" s="277" t="s">
        <x:v>118</x:v>
      </x:c>
      <x:c r="J41" s="277" t="s">
        <x:v>118</x:v>
      </x:c>
      <x:c r="K41" s="277" t="s">
        <x:v>118</x:v>
      </x:c>
      <x:c r="L41" s="277" t="s">
        <x:v>118</x:v>
      </x:c>
      <x:c r="M41" s="277" t="s">
        <x:v>118</x:v>
      </x:c>
      <x:c r="N41" s="277" t="s">
        <x:v>118</x:v>
      </x:c>
      <x:c r="O41" s="277" t="s">
        <x:v>118</x:v>
      </x:c>
      <x:c r="P41" s="277" t="s">
        <x:v>118</x:v>
      </x:c>
      <x:c r="Q41" s="277" t="s">
        <x:v>118</x:v>
      </x:c>
      <x:c r="R41" s="277" t="s">
        <x:v>118</x:v>
      </x:c>
      <x:c r="S41" s="277" t="s">
        <x:v>118</x:v>
      </x:c>
      <x:c r="T41" s="277" t="s">
        <x:v>118</x:v>
      </x:c>
      <x:c r="U41" s="277" t="s">
        <x:v>118</x:v>
      </x:c>
      <x:c r="V41" s="277" t="s">
        <x:v>118</x:v>
      </x:c>
      <x:c r="W41" s="277" t="s">
        <x:v>118</x:v>
      </x:c>
      <x:c r="X41" s="277" t="s">
        <x:v>118</x:v>
      </x:c>
      <x:c r="Y41" s="277" t="s">
        <x:v>118</x:v>
      </x:c>
      <x:c r="Z41" s="277" t="s">
        <x:v>118</x:v>
      </x:c>
      <x:c r="AA41" s="277" t="s">
        <x:v>118</x:v>
      </x:c>
      <x:c r="AB41" s="277" t="s">
        <x:v>118</x:v>
      </x:c>
      <x:c r="AC41" s="277" t="s">
        <x:v>118</x:v>
      </x:c>
      <x:c r="AD41" s="277" t="s">
        <x:v>118</x:v>
      </x:c>
      <x:c r="AE41" s="277" t="s">
        <x:v>118</x:v>
      </x:c>
      <x:c r="AF41" s="277" t="s">
        <x:v>118</x:v>
      </x:c>
      <x:c r="AG41" s="277" t="s">
        <x:v>118</x:v>
      </x:c>
      <x:c r="AH41" s="277" t="s">
        <x:v>118</x:v>
      </x:c>
      <x:c r="AI41" s="277" t="s">
        <x:v>118</x:v>
      </x:c>
      <x:c r="AJ41" s="277" t="s">
        <x:v>118</x:v>
      </x:c>
      <x:c r="AK41" s="220">
        <x:f>COUNTIF(F41:AJ41,"X")</x:f>
      </x:c>
      <x:c r="AL41" s="221"/>
      <x:c r="AM41" s="221"/>
      <x:c r="AN41" s="222"/>
      <x:c r="AO41" s="222"/>
      <x:c r="AP41" s="228"/>
      <x:c r="AQ41" s="228"/>
      <x:c r="AR41" s="228"/>
      <x:c r="AS41" s="228"/>
      <x:c r="AT41" s="230"/>
    </x:row>
    <x:row r="42" spans="1:47" ht="19.9" customHeight="1">
      <x:c r="A42" s="274" t="s">
        <x:v>941</x:v>
      </x:c>
      <x:c r="B42" s="216"/>
      <x:c r="C42" s="275" t="s">
        <x:v>942</x:v>
      </x:c>
      <x:c r="D42" s="274" t="s">
        <x:v>943</x:v>
      </x:c>
      <x:c r="E42" s="276" t="s">
        <x:v>944</x:v>
      </x:c>
      <x:c r="F42" s="277" t="s">
        <x:v>118</x:v>
      </x:c>
      <x:c r="G42" s="277" t="s">
        <x:v>118</x:v>
      </x:c>
      <x:c r="H42" s="277" t="s">
        <x:v>118</x:v>
      </x:c>
      <x:c r="I42" s="277" t="s">
        <x:v>118</x:v>
      </x:c>
      <x:c r="J42" s="277" t="s">
        <x:v>118</x:v>
      </x:c>
      <x:c r="K42" s="277" t="s">
        <x:v>118</x:v>
      </x:c>
      <x:c r="L42" s="277" t="s">
        <x:v>118</x:v>
      </x:c>
      <x:c r="M42" s="277" t="s">
        <x:v>118</x:v>
      </x:c>
      <x:c r="N42" s="277" t="s">
        <x:v>118</x:v>
      </x:c>
      <x:c r="O42" s="277" t="s">
        <x:v>118</x:v>
      </x:c>
      <x:c r="P42" s="277" t="s">
        <x:v>118</x:v>
      </x:c>
      <x:c r="Q42" s="277" t="s">
        <x:v>118</x:v>
      </x:c>
      <x:c r="R42" s="277" t="s">
        <x:v>118</x:v>
      </x:c>
      <x:c r="S42" s="277" t="s">
        <x:v>118</x:v>
      </x:c>
      <x:c r="T42" s="277" t="s">
        <x:v>118</x:v>
      </x:c>
      <x:c r="U42" s="277" t="s">
        <x:v>118</x:v>
      </x:c>
      <x:c r="V42" s="277" t="s">
        <x:v>118</x:v>
      </x:c>
      <x:c r="W42" s="277" t="s">
        <x:v>118</x:v>
      </x:c>
      <x:c r="X42" s="277" t="s">
        <x:v>118</x:v>
      </x:c>
      <x:c r="Y42" s="277" t="s">
        <x:v>118</x:v>
      </x:c>
      <x:c r="Z42" s="277" t="s">
        <x:v>118</x:v>
      </x:c>
      <x:c r="AA42" s="277" t="s">
        <x:v>118</x:v>
      </x:c>
      <x:c r="AB42" s="277" t="s">
        <x:v>118</x:v>
      </x:c>
      <x:c r="AC42" s="277" t="s">
        <x:v>118</x:v>
      </x:c>
      <x:c r="AD42" s="277" t="s">
        <x:v>118</x:v>
      </x:c>
      <x:c r="AE42" s="277" t="s">
        <x:v>118</x:v>
      </x:c>
      <x:c r="AF42" s="277" t="s">
        <x:v>118</x:v>
      </x:c>
      <x:c r="AG42" s="277" t="s">
        <x:v>118</x:v>
      </x:c>
      <x:c r="AH42" s="277" t="s">
        <x:v>118</x:v>
      </x:c>
      <x:c r="AI42" s="277" t="s">
        <x:v>118</x:v>
      </x:c>
      <x:c r="AJ42" s="277" t="s">
        <x:v>118</x:v>
      </x:c>
      <x:c r="AK42" s="220">
        <x:f>COUNTIF(F42:AJ42,"X")</x:f>
      </x:c>
      <x:c r="AL42" s="221"/>
      <x:c r="AM42" s="221"/>
      <x:c r="AN42" s="222"/>
      <x:c r="AO42" s="222"/>
      <x:c r="AP42" s="228"/>
      <x:c r="AQ42" s="228"/>
      <x:c r="AR42" s="228"/>
      <x:c r="AS42" s="228"/>
      <x:c r="AT42" s="230"/>
    </x:row>
    <x:row r="43" spans="1:47" ht="19.9" customHeight="1">
      <x:c r="A43" s="274" t="s">
        <x:v>945</x:v>
      </x:c>
      <x:c r="B43" s="216"/>
      <x:c r="C43" s="275" t="s">
        <x:v>946</x:v>
      </x:c>
      <x:c r="D43" s="274" t="s">
        <x:v>947</x:v>
      </x:c>
      <x:c r="E43" s="276" t="s">
        <x:v>948</x:v>
      </x:c>
      <x:c r="F43" s="277" t="s">
        <x:v>118</x:v>
      </x:c>
      <x:c r="G43" s="277" t="s">
        <x:v>118</x:v>
      </x:c>
      <x:c r="H43" s="277" t="s">
        <x:v>118</x:v>
      </x:c>
      <x:c r="I43" s="277" t="s">
        <x:v>118</x:v>
      </x:c>
      <x:c r="J43" s="277" t="s">
        <x:v>118</x:v>
      </x:c>
      <x:c r="K43" s="277" t="s">
        <x:v>118</x:v>
      </x:c>
      <x:c r="L43" s="277" t="s">
        <x:v>118</x:v>
      </x:c>
      <x:c r="M43" s="277" t="s">
        <x:v>118</x:v>
      </x:c>
      <x:c r="N43" s="277" t="s">
        <x:v>118</x:v>
      </x:c>
      <x:c r="O43" s="277" t="s">
        <x:v>118</x:v>
      </x:c>
      <x:c r="P43" s="277" t="s">
        <x:v>118</x:v>
      </x:c>
      <x:c r="Q43" s="277" t="s">
        <x:v>118</x:v>
      </x:c>
      <x:c r="R43" s="277" t="s">
        <x:v>118</x:v>
      </x:c>
      <x:c r="S43" s="277" t="s">
        <x:v>118</x:v>
      </x:c>
      <x:c r="T43" s="277" t="s">
        <x:v>118</x:v>
      </x:c>
      <x:c r="U43" s="277" t="s">
        <x:v>118</x:v>
      </x:c>
      <x:c r="V43" s="277" t="s">
        <x:v>118</x:v>
      </x:c>
      <x:c r="W43" s="277" t="s">
        <x:v>118</x:v>
      </x:c>
      <x:c r="X43" s="277" t="s">
        <x:v>118</x:v>
      </x:c>
      <x:c r="Y43" s="277" t="s">
        <x:v>118</x:v>
      </x:c>
      <x:c r="Z43" s="277" t="s">
        <x:v>118</x:v>
      </x:c>
      <x:c r="AA43" s="277" t="s">
        <x:v>118</x:v>
      </x:c>
      <x:c r="AB43" s="277" t="s">
        <x:v>118</x:v>
      </x:c>
      <x:c r="AC43" s="277" t="s">
        <x:v>118</x:v>
      </x:c>
      <x:c r="AD43" s="277" t="s">
        <x:v>118</x:v>
      </x:c>
      <x:c r="AE43" s="277" t="s">
        <x:v>118</x:v>
      </x:c>
      <x:c r="AF43" s="277" t="s">
        <x:v>118</x:v>
      </x:c>
      <x:c r="AG43" s="277" t="s">
        <x:v>118</x:v>
      </x:c>
      <x:c r="AH43" s="277" t="s">
        <x:v>118</x:v>
      </x:c>
      <x:c r="AI43" s="277" t="s">
        <x:v>118</x:v>
      </x:c>
      <x:c r="AJ43" s="277" t="s">
        <x:v>118</x:v>
      </x:c>
      <x:c r="AK43" s="220">
        <x:f>COUNTIF(F43:AJ43,"X")</x:f>
      </x:c>
      <x:c r="AL43" s="221"/>
      <x:c r="AM43" s="221"/>
      <x:c r="AN43" s="222"/>
      <x:c r="AO43" s="222"/>
      <x:c r="AP43" s="228"/>
      <x:c r="AQ43" s="228"/>
      <x:c r="AR43" s="228"/>
      <x:c r="AS43" s="228"/>
      <x:c r="AT43" s="230"/>
    </x:row>
    <x:row r="44" spans="1:47" ht="19.9" customHeight="1">
      <x:c r="A44" s="274" t="s">
        <x:v>949</x:v>
      </x:c>
      <x:c r="B44" s="216"/>
      <x:c r="C44" s="275" t="s">
        <x:v>950</x:v>
      </x:c>
      <x:c r="D44" s="274" t="s">
        <x:v>947</x:v>
      </x:c>
      <x:c r="E44" s="276" t="s">
        <x:v>951</x:v>
      </x:c>
      <x:c r="F44" s="277" t="s">
        <x:v>118</x:v>
      </x:c>
      <x:c r="G44" s="277" t="s">
        <x:v>118</x:v>
      </x:c>
      <x:c r="H44" s="277" t="s">
        <x:v>118</x:v>
      </x:c>
      <x:c r="I44" s="277" t="s">
        <x:v>118</x:v>
      </x:c>
      <x:c r="J44" s="277" t="s">
        <x:v>118</x:v>
      </x:c>
      <x:c r="K44" s="277" t="s">
        <x:v>118</x:v>
      </x:c>
      <x:c r="L44" s="277" t="s">
        <x:v>118</x:v>
      </x:c>
      <x:c r="M44" s="277" t="s">
        <x:v>118</x:v>
      </x:c>
      <x:c r="N44" s="277" t="s">
        <x:v>118</x:v>
      </x:c>
      <x:c r="O44" s="277" t="s">
        <x:v>118</x:v>
      </x:c>
      <x:c r="P44" s="277" t="s">
        <x:v>118</x:v>
      </x:c>
      <x:c r="Q44" s="277" t="s">
        <x:v>118</x:v>
      </x:c>
      <x:c r="R44" s="277" t="s">
        <x:v>118</x:v>
      </x:c>
      <x:c r="S44" s="277" t="s">
        <x:v>118</x:v>
      </x:c>
      <x:c r="T44" s="277" t="s">
        <x:v>118</x:v>
      </x:c>
      <x:c r="U44" s="277" t="s">
        <x:v>118</x:v>
      </x:c>
      <x:c r="V44" s="277" t="s">
        <x:v>118</x:v>
      </x:c>
      <x:c r="W44" s="277" t="s">
        <x:v>118</x:v>
      </x:c>
      <x:c r="X44" s="277" t="s">
        <x:v>118</x:v>
      </x:c>
      <x:c r="Y44" s="277" t="s">
        <x:v>118</x:v>
      </x:c>
      <x:c r="Z44" s="277" t="s">
        <x:v>118</x:v>
      </x:c>
      <x:c r="AA44" s="277" t="s">
        <x:v>118</x:v>
      </x:c>
      <x:c r="AB44" s="277" t="s">
        <x:v>118</x:v>
      </x:c>
      <x:c r="AC44" s="277" t="s">
        <x:v>118</x:v>
      </x:c>
      <x:c r="AD44" s="277" t="s">
        <x:v>118</x:v>
      </x:c>
      <x:c r="AE44" s="277" t="s">
        <x:v>118</x:v>
      </x:c>
      <x:c r="AF44" s="277" t="s">
        <x:v>118</x:v>
      </x:c>
      <x:c r="AG44" s="277" t="s">
        <x:v>118</x:v>
      </x:c>
      <x:c r="AH44" s="277" t="s">
        <x:v>118</x:v>
      </x:c>
      <x:c r="AI44" s="277" t="s">
        <x:v>118</x:v>
      </x:c>
      <x:c r="AJ44" s="277" t="s">
        <x:v>118</x:v>
      </x:c>
      <x:c r="AK44" s="220">
        <x:f>COUNTIF(F44:AJ44,"X")</x:f>
      </x:c>
      <x:c r="AL44" s="221"/>
      <x:c r="AM44" s="221"/>
      <x:c r="AN44" s="222"/>
      <x:c r="AO44" s="222"/>
      <x:c r="AP44" s="228"/>
      <x:c r="AQ44" s="228"/>
      <x:c r="AR44" s="228"/>
      <x:c r="AS44" s="228"/>
      <x:c r="AT44" s="230"/>
    </x:row>
    <x:row r="45" spans="1:47" ht="19.9" customHeight="1">
      <x:c r="A45" s="274" t="s">
        <x:v>952</x:v>
      </x:c>
      <x:c r="B45" s="216"/>
      <x:c r="C45" s="275" t="s">
        <x:v>953</x:v>
      </x:c>
      <x:c r="D45" s="274" t="s">
        <x:v>954</x:v>
      </x:c>
      <x:c r="E45" s="276" t="s">
        <x:v>955</x:v>
      </x:c>
      <x:c r="F45" s="277" t="s">
        <x:v>118</x:v>
      </x:c>
      <x:c r="G45" s="277" t="s">
        <x:v>118</x:v>
      </x:c>
      <x:c r="H45" s="277" t="s">
        <x:v>118</x:v>
      </x:c>
      <x:c r="I45" s="277" t="s">
        <x:v>118</x:v>
      </x:c>
      <x:c r="J45" s="277" t="s">
        <x:v>118</x:v>
      </x:c>
      <x:c r="K45" s="277" t="s">
        <x:v>118</x:v>
      </x:c>
      <x:c r="L45" s="277" t="s">
        <x:v>118</x:v>
      </x:c>
      <x:c r="M45" s="277" t="s">
        <x:v>118</x:v>
      </x:c>
      <x:c r="N45" s="277" t="s">
        <x:v>118</x:v>
      </x:c>
      <x:c r="O45" s="277" t="s">
        <x:v>118</x:v>
      </x:c>
      <x:c r="P45" s="277" t="s">
        <x:v>118</x:v>
      </x:c>
      <x:c r="Q45" s="277" t="s">
        <x:v>118</x:v>
      </x:c>
      <x:c r="R45" s="277" t="s">
        <x:v>118</x:v>
      </x:c>
      <x:c r="S45" s="277" t="s">
        <x:v>118</x:v>
      </x:c>
      <x:c r="T45" s="277" t="s">
        <x:v>118</x:v>
      </x:c>
      <x:c r="U45" s="277" t="s">
        <x:v>118</x:v>
      </x:c>
      <x:c r="V45" s="277" t="s">
        <x:v>118</x:v>
      </x:c>
      <x:c r="W45" s="277" t="s">
        <x:v>118</x:v>
      </x:c>
      <x:c r="X45" s="277" t="s">
        <x:v>118</x:v>
      </x:c>
      <x:c r="Y45" s="277" t="s">
        <x:v>118</x:v>
      </x:c>
      <x:c r="Z45" s="277" t="s">
        <x:v>118</x:v>
      </x:c>
      <x:c r="AA45" s="277" t="s">
        <x:v>118</x:v>
      </x:c>
      <x:c r="AB45" s="277" t="s">
        <x:v>118</x:v>
      </x:c>
      <x:c r="AC45" s="277" t="s">
        <x:v>118</x:v>
      </x:c>
      <x:c r="AD45" s="277" t="s">
        <x:v>118</x:v>
      </x:c>
      <x:c r="AE45" s="277" t="s">
        <x:v>118</x:v>
      </x:c>
      <x:c r="AF45" s="277" t="s">
        <x:v>118</x:v>
      </x:c>
      <x:c r="AG45" s="277" t="s">
        <x:v>118</x:v>
      </x:c>
      <x:c r="AH45" s="277" t="s">
        <x:v>118</x:v>
      </x:c>
      <x:c r="AI45" s="277" t="s">
        <x:v>118</x:v>
      </x:c>
      <x:c r="AJ45" s="277" t="s">
        <x:v>118</x:v>
      </x:c>
      <x:c r="AK45" s="220">
        <x:f>COUNTIF(F45:AJ45,"X")</x:f>
      </x:c>
      <x:c r="AL45" s="221"/>
      <x:c r="AM45" s="221"/>
      <x:c r="AN45" s="222"/>
      <x:c r="AO45" s="222"/>
      <x:c r="AP45" s="228"/>
      <x:c r="AQ45" s="228"/>
      <x:c r="AR45" s="228"/>
      <x:c r="AS45" s="228"/>
      <x:c r="AT45" s="230"/>
    </x:row>
    <x:row r="46" spans="1:47" ht="19.9" customHeight="1">
      <x:c r="A46" s="274" t="s">
        <x:v>956</x:v>
      </x:c>
      <x:c r="B46" s="216"/>
      <x:c r="C46" s="275" t="s">
        <x:v>957</x:v>
      </x:c>
      <x:c r="D46" s="274" t="s">
        <x:v>215</x:v>
      </x:c>
      <x:c r="E46" s="276" t="s">
        <x:v>958</x:v>
      </x:c>
      <x:c r="F46" s="277" t="s">
        <x:v>118</x:v>
      </x:c>
      <x:c r="G46" s="277" t="s">
        <x:v>118</x:v>
      </x:c>
      <x:c r="H46" s="277" t="s">
        <x:v>118</x:v>
      </x:c>
      <x:c r="I46" s="277" t="s">
        <x:v>118</x:v>
      </x:c>
      <x:c r="J46" s="277" t="s">
        <x:v>118</x:v>
      </x:c>
      <x:c r="K46" s="277" t="s">
        <x:v>118</x:v>
      </x:c>
      <x:c r="L46" s="277" t="s">
        <x:v>118</x:v>
      </x:c>
      <x:c r="M46" s="277" t="s">
        <x:v>118</x:v>
      </x:c>
      <x:c r="N46" s="277" t="s">
        <x:v>118</x:v>
      </x:c>
      <x:c r="O46" s="277" t="s">
        <x:v>118</x:v>
      </x:c>
      <x:c r="P46" s="277" t="s">
        <x:v>118</x:v>
      </x:c>
      <x:c r="Q46" s="277" t="s">
        <x:v>118</x:v>
      </x:c>
      <x:c r="R46" s="277" t="s">
        <x:v>118</x:v>
      </x:c>
      <x:c r="S46" s="277" t="s">
        <x:v>118</x:v>
      </x:c>
      <x:c r="T46" s="277" t="s">
        <x:v>118</x:v>
      </x:c>
      <x:c r="U46" s="277" t="s">
        <x:v>118</x:v>
      </x:c>
      <x:c r="V46" s="277" t="s">
        <x:v>118</x:v>
      </x:c>
      <x:c r="W46" s="277" t="s">
        <x:v>118</x:v>
      </x:c>
      <x:c r="X46" s="277" t="s">
        <x:v>118</x:v>
      </x:c>
      <x:c r="Y46" s="277" t="s">
        <x:v>118</x:v>
      </x:c>
      <x:c r="Z46" s="277" t="s">
        <x:v>118</x:v>
      </x:c>
      <x:c r="AA46" s="277" t="s">
        <x:v>118</x:v>
      </x:c>
      <x:c r="AB46" s="277" t="s">
        <x:v>118</x:v>
      </x:c>
      <x:c r="AC46" s="277" t="s">
        <x:v>118</x:v>
      </x:c>
      <x:c r="AD46" s="277" t="s">
        <x:v>118</x:v>
      </x:c>
      <x:c r="AE46" s="277" t="s">
        <x:v>118</x:v>
      </x:c>
      <x:c r="AF46" s="277" t="s">
        <x:v>118</x:v>
      </x:c>
      <x:c r="AG46" s="277" t="s">
        <x:v>118</x:v>
      </x:c>
      <x:c r="AH46" s="277" t="s">
        <x:v>118</x:v>
      </x:c>
      <x:c r="AI46" s="277" t="s">
        <x:v>118</x:v>
      </x:c>
      <x:c r="AJ46" s="277" t="s">
        <x:v>118</x:v>
      </x:c>
      <x:c r="AK46" s="220">
        <x:f>COUNTIF(F46:AJ46,"X")</x:f>
      </x:c>
      <x:c r="AL46" s="221"/>
      <x:c r="AM46" s="221"/>
      <x:c r="AN46" s="222"/>
      <x:c r="AO46" s="222"/>
      <x:c r="AP46" s="228"/>
      <x:c r="AQ46" s="228"/>
      <x:c r="AR46" s="228"/>
      <x:c r="AS46" s="228"/>
      <x:c r="AT46" s="230"/>
    </x:row>
    <x:row r="47" spans="1:47" ht="19.9" customHeight="1">
      <x:c r="A47" s="274" t="s">
        <x:v>959</x:v>
      </x:c>
      <x:c r="B47" s="216"/>
      <x:c r="C47" s="275" t="s">
        <x:v>960</x:v>
      </x:c>
      <x:c r="D47" s="274" t="s">
        <x:v>961</x:v>
      </x:c>
      <x:c r="E47" s="276" t="s">
        <x:v>962</x:v>
      </x:c>
      <x:c r="F47" s="277" t="s">
        <x:v>118</x:v>
      </x:c>
      <x:c r="G47" s="277" t="s">
        <x:v>118</x:v>
      </x:c>
      <x:c r="H47" s="277" t="s">
        <x:v>118</x:v>
      </x:c>
      <x:c r="I47" s="277" t="s">
        <x:v>118</x:v>
      </x:c>
      <x:c r="J47" s="277" t="s">
        <x:v>118</x:v>
      </x:c>
      <x:c r="K47" s="277" t="s">
        <x:v>118</x:v>
      </x:c>
      <x:c r="L47" s="277" t="s">
        <x:v>118</x:v>
      </x:c>
      <x:c r="M47" s="277" t="s">
        <x:v>118</x:v>
      </x:c>
      <x:c r="N47" s="277" t="s">
        <x:v>118</x:v>
      </x:c>
      <x:c r="O47" s="277" t="s">
        <x:v>118</x:v>
      </x:c>
      <x:c r="P47" s="277" t="s">
        <x:v>118</x:v>
      </x:c>
      <x:c r="Q47" s="277" t="s">
        <x:v>118</x:v>
      </x:c>
      <x:c r="R47" s="277" t="s">
        <x:v>118</x:v>
      </x:c>
      <x:c r="S47" s="277" t="s">
        <x:v>118</x:v>
      </x:c>
      <x:c r="T47" s="277" t="s">
        <x:v>118</x:v>
      </x:c>
      <x:c r="U47" s="277" t="s">
        <x:v>118</x:v>
      </x:c>
      <x:c r="V47" s="277" t="s">
        <x:v>118</x:v>
      </x:c>
      <x:c r="W47" s="277" t="s">
        <x:v>118</x:v>
      </x:c>
      <x:c r="X47" s="277" t="s">
        <x:v>118</x:v>
      </x:c>
      <x:c r="Y47" s="277" t="s">
        <x:v>118</x:v>
      </x:c>
      <x:c r="Z47" s="277" t="s">
        <x:v>118</x:v>
      </x:c>
      <x:c r="AA47" s="277" t="s">
        <x:v>118</x:v>
      </x:c>
      <x:c r="AB47" s="277" t="s">
        <x:v>118</x:v>
      </x:c>
      <x:c r="AC47" s="277" t="s">
        <x:v>118</x:v>
      </x:c>
      <x:c r="AD47" s="277" t="s">
        <x:v>118</x:v>
      </x:c>
      <x:c r="AE47" s="277" t="s">
        <x:v>118</x:v>
      </x:c>
      <x:c r="AF47" s="277" t="s">
        <x:v>118</x:v>
      </x:c>
      <x:c r="AG47" s="277" t="s">
        <x:v>118</x:v>
      </x:c>
      <x:c r="AH47" s="277" t="s">
        <x:v>118</x:v>
      </x:c>
      <x:c r="AI47" s="277" t="s">
        <x:v>118</x:v>
      </x:c>
      <x:c r="AJ47" s="277" t="s">
        <x:v>118</x:v>
      </x:c>
      <x:c r="AK47" s="220">
        <x:f>COUNTIF(F47:AJ47,"X")</x:f>
      </x:c>
      <x:c r="AL47" s="221"/>
      <x:c r="AM47" s="221"/>
      <x:c r="AN47" s="222"/>
      <x:c r="AO47" s="222"/>
      <x:c r="AP47" s="228"/>
      <x:c r="AQ47" s="228"/>
      <x:c r="AR47" s="228"/>
      <x:c r="AS47" s="228"/>
      <x:c r="AT47" s="230"/>
    </x:row>
    <x:row r="48" spans="1:47" ht="19.9" customHeight="1">
      <x:c r="A48" s="274" t="s">
        <x:v>963</x:v>
      </x:c>
      <x:c r="B48" s="216"/>
      <x:c r="C48" s="275" t="s">
        <x:v>964</x:v>
      </x:c>
      <x:c r="D48" s="274" t="s">
        <x:v>965</x:v>
      </x:c>
      <x:c r="E48" s="276" t="s">
        <x:v>966</x:v>
      </x:c>
      <x:c r="F48" s="277" t="s">
        <x:v>118</x:v>
      </x:c>
      <x:c r="G48" s="277" t="s">
        <x:v>118</x:v>
      </x:c>
      <x:c r="H48" s="277" t="s">
        <x:v>118</x:v>
      </x:c>
      <x:c r="I48" s="277" t="s">
        <x:v>118</x:v>
      </x:c>
      <x:c r="J48" s="277" t="s">
        <x:v>118</x:v>
      </x:c>
      <x:c r="K48" s="277" t="s">
        <x:v>118</x:v>
      </x:c>
      <x:c r="L48" s="277" t="s">
        <x:v>118</x:v>
      </x:c>
      <x:c r="M48" s="277" t="s">
        <x:v>118</x:v>
      </x:c>
      <x:c r="N48" s="277" t="s">
        <x:v>118</x:v>
      </x:c>
      <x:c r="O48" s="277" t="s">
        <x:v>118</x:v>
      </x:c>
      <x:c r="P48" s="277" t="s">
        <x:v>118</x:v>
      </x:c>
      <x:c r="Q48" s="277" t="s">
        <x:v>118</x:v>
      </x:c>
      <x:c r="R48" s="277" t="s">
        <x:v>118</x:v>
      </x:c>
      <x:c r="S48" s="277" t="s">
        <x:v>118</x:v>
      </x:c>
      <x:c r="T48" s="277" t="s">
        <x:v>118</x:v>
      </x:c>
      <x:c r="U48" s="277" t="s">
        <x:v>118</x:v>
      </x:c>
      <x:c r="V48" s="277" t="s">
        <x:v>118</x:v>
      </x:c>
      <x:c r="W48" s="277" t="s">
        <x:v>118</x:v>
      </x:c>
      <x:c r="X48" s="277" t="s">
        <x:v>118</x:v>
      </x:c>
      <x:c r="Y48" s="277" t="s">
        <x:v>118</x:v>
      </x:c>
      <x:c r="Z48" s="277" t="s">
        <x:v>118</x:v>
      </x:c>
      <x:c r="AA48" s="277" t="s">
        <x:v>118</x:v>
      </x:c>
      <x:c r="AB48" s="277" t="s">
        <x:v>118</x:v>
      </x:c>
      <x:c r="AC48" s="277" t="s">
        <x:v>118</x:v>
      </x:c>
      <x:c r="AD48" s="277" t="s">
        <x:v>118</x:v>
      </x:c>
      <x:c r="AE48" s="277" t="s">
        <x:v>118</x:v>
      </x:c>
      <x:c r="AF48" s="277" t="s">
        <x:v>118</x:v>
      </x:c>
      <x:c r="AG48" s="277" t="s">
        <x:v>118</x:v>
      </x:c>
      <x:c r="AH48" s="277" t="s">
        <x:v>118</x:v>
      </x:c>
      <x:c r="AI48" s="277" t="s">
        <x:v>118</x:v>
      </x:c>
      <x:c r="AJ48" s="277" t="s">
        <x:v>118</x:v>
      </x:c>
      <x:c r="AK48" s="220">
        <x:f>COUNTIF(F48:AJ48,"X")</x:f>
      </x:c>
      <x:c r="AL48" s="221"/>
      <x:c r="AM48" s="221"/>
      <x:c r="AN48" s="222"/>
      <x:c r="AO48" s="222"/>
      <x:c r="AP48" s="228"/>
      <x:c r="AQ48" s="228"/>
      <x:c r="AR48" s="228"/>
      <x:c r="AS48" s="228"/>
      <x:c r="AT48" s="230"/>
    </x:row>
    <x:row r="49" spans="1:47" ht="19.9" customHeight="1">
      <x:c r="A49" s="274" t="s">
        <x:v>967</x:v>
      </x:c>
      <x:c r="B49" s="216"/>
      <x:c r="C49" s="275" t="s">
        <x:v>968</x:v>
      </x:c>
      <x:c r="D49" s="274" t="s">
        <x:v>969</x:v>
      </x:c>
      <x:c r="E49" s="276" t="s">
        <x:v>970</x:v>
      </x:c>
      <x:c r="F49" s="277" t="s">
        <x:v>118</x:v>
      </x:c>
      <x:c r="G49" s="277" t="s">
        <x:v>118</x:v>
      </x:c>
      <x:c r="H49" s="277" t="s">
        <x:v>118</x:v>
      </x:c>
      <x:c r="I49" s="277" t="s">
        <x:v>118</x:v>
      </x:c>
      <x:c r="J49" s="277" t="s">
        <x:v>118</x:v>
      </x:c>
      <x:c r="K49" s="277" t="s">
        <x:v>118</x:v>
      </x:c>
      <x:c r="L49" s="277" t="s">
        <x:v>118</x:v>
      </x:c>
      <x:c r="M49" s="277" t="s">
        <x:v>118</x:v>
      </x:c>
      <x:c r="N49" s="277" t="s">
        <x:v>118</x:v>
      </x:c>
      <x:c r="O49" s="277" t="s">
        <x:v>118</x:v>
      </x:c>
      <x:c r="P49" s="277" t="s">
        <x:v>118</x:v>
      </x:c>
      <x:c r="Q49" s="277" t="s">
        <x:v>118</x:v>
      </x:c>
      <x:c r="R49" s="277" t="s">
        <x:v>118</x:v>
      </x:c>
      <x:c r="S49" s="277" t="s">
        <x:v>118</x:v>
      </x:c>
      <x:c r="T49" s="277" t="s">
        <x:v>118</x:v>
      </x:c>
      <x:c r="U49" s="277" t="s">
        <x:v>118</x:v>
      </x:c>
      <x:c r="V49" s="277" t="s">
        <x:v>118</x:v>
      </x:c>
      <x:c r="W49" s="277" t="s">
        <x:v>118</x:v>
      </x:c>
      <x:c r="X49" s="277" t="s">
        <x:v>118</x:v>
      </x:c>
      <x:c r="Y49" s="277" t="s">
        <x:v>118</x:v>
      </x:c>
      <x:c r="Z49" s="277" t="s">
        <x:v>118</x:v>
      </x:c>
      <x:c r="AA49" s="277" t="s">
        <x:v>118</x:v>
      </x:c>
      <x:c r="AB49" s="277" t="s">
        <x:v>118</x:v>
      </x:c>
      <x:c r="AC49" s="277" t="s">
        <x:v>118</x:v>
      </x:c>
      <x:c r="AD49" s="277" t="s">
        <x:v>118</x:v>
      </x:c>
      <x:c r="AE49" s="277" t="s">
        <x:v>118</x:v>
      </x:c>
      <x:c r="AF49" s="277" t="s">
        <x:v>118</x:v>
      </x:c>
      <x:c r="AG49" s="277" t="s">
        <x:v>118</x:v>
      </x:c>
      <x:c r="AH49" s="277" t="s">
        <x:v>118</x:v>
      </x:c>
      <x:c r="AI49" s="277" t="s">
        <x:v>118</x:v>
      </x:c>
      <x:c r="AJ49" s="277" t="s">
        <x:v>118</x:v>
      </x:c>
      <x:c r="AK49" s="220">
        <x:f>COUNTIF(F49:AJ49,"X")</x:f>
      </x:c>
      <x:c r="AL49" s="221"/>
      <x:c r="AM49" s="221"/>
      <x:c r="AN49" s="222"/>
      <x:c r="AO49" s="222"/>
      <x:c r="AP49" s="228"/>
      <x:c r="AQ49" s="228"/>
      <x:c r="AR49" s="228"/>
      <x:c r="AS49" s="228"/>
      <x:c r="AT49" s="230"/>
    </x:row>
    <x:row r="50" spans="1:47" ht="19.9" customHeight="1">
      <x:c r="A50" s="274" t="s">
        <x:v>971</x:v>
      </x:c>
      <x:c r="B50" s="216"/>
      <x:c r="C50" s="275" t="s">
        <x:v>972</x:v>
      </x:c>
      <x:c r="D50" s="274" t="s">
        <x:v>223</x:v>
      </x:c>
      <x:c r="E50" s="276" t="s">
        <x:v>973</x:v>
      </x:c>
      <x:c r="F50" s="277" t="s">
        <x:v>118</x:v>
      </x:c>
      <x:c r="G50" s="277" t="s">
        <x:v>118</x:v>
      </x:c>
      <x:c r="H50" s="277" t="s">
        <x:v>118</x:v>
      </x:c>
      <x:c r="I50" s="277" t="s">
        <x:v>118</x:v>
      </x:c>
      <x:c r="J50" s="277" t="s">
        <x:v>118</x:v>
      </x:c>
      <x:c r="K50" s="277" t="s">
        <x:v>118</x:v>
      </x:c>
      <x:c r="L50" s="277" t="s">
        <x:v>118</x:v>
      </x:c>
      <x:c r="M50" s="277" t="s">
        <x:v>118</x:v>
      </x:c>
      <x:c r="N50" s="277" t="s">
        <x:v>118</x:v>
      </x:c>
      <x:c r="O50" s="277" t="s">
        <x:v>118</x:v>
      </x:c>
      <x:c r="P50" s="277" t="s">
        <x:v>118</x:v>
      </x:c>
      <x:c r="Q50" s="277" t="s">
        <x:v>118</x:v>
      </x:c>
      <x:c r="R50" s="277" t="s">
        <x:v>118</x:v>
      </x:c>
      <x:c r="S50" s="277" t="s">
        <x:v>118</x:v>
      </x:c>
      <x:c r="T50" s="277" t="s">
        <x:v>118</x:v>
      </x:c>
      <x:c r="U50" s="277" t="s">
        <x:v>118</x:v>
      </x:c>
      <x:c r="V50" s="277" t="s">
        <x:v>118</x:v>
      </x:c>
      <x:c r="W50" s="277" t="s">
        <x:v>118</x:v>
      </x:c>
      <x:c r="X50" s="277" t="s">
        <x:v>118</x:v>
      </x:c>
      <x:c r="Y50" s="277" t="s">
        <x:v>118</x:v>
      </x:c>
      <x:c r="Z50" s="277" t="s">
        <x:v>118</x:v>
      </x:c>
      <x:c r="AA50" s="277" t="s">
        <x:v>118</x:v>
      </x:c>
      <x:c r="AB50" s="277" t="s">
        <x:v>118</x:v>
      </x:c>
      <x:c r="AC50" s="277" t="s">
        <x:v>118</x:v>
      </x:c>
      <x:c r="AD50" s="277" t="s">
        <x:v>118</x:v>
      </x:c>
      <x:c r="AE50" s="277" t="s">
        <x:v>118</x:v>
      </x:c>
      <x:c r="AF50" s="277" t="s">
        <x:v>118</x:v>
      </x:c>
      <x:c r="AG50" s="277" t="s">
        <x:v>118</x:v>
      </x:c>
      <x:c r="AH50" s="277" t="s">
        <x:v>118</x:v>
      </x:c>
      <x:c r="AI50" s="277" t="s">
        <x:v>118</x:v>
      </x:c>
      <x:c r="AJ50" s="277" t="s">
        <x:v>118</x:v>
      </x:c>
      <x:c r="AK50" s="220">
        <x:f>COUNTIF(F50:AJ50,"X")</x:f>
      </x:c>
      <x:c r="AL50" s="221"/>
      <x:c r="AM50" s="221"/>
      <x:c r="AN50" s="222"/>
      <x:c r="AO50" s="222"/>
      <x:c r="AP50" s="228"/>
      <x:c r="AQ50" s="228"/>
      <x:c r="AR50" s="228"/>
      <x:c r="AS50" s="228"/>
      <x:c r="AT50" s="230"/>
    </x:row>
    <x:row r="51" spans="1:47" ht="19.9" customHeight="1">
      <x:c r="A51" s="274" t="s">
        <x:v>974</x:v>
      </x:c>
      <x:c r="B51" s="216"/>
      <x:c r="C51" s="275" t="s">
        <x:v>975</x:v>
      </x:c>
      <x:c r="D51" s="274" t="s">
        <x:v>976</x:v>
      </x:c>
      <x:c r="E51" s="276" t="s">
        <x:v>977</x:v>
      </x:c>
      <x:c r="F51" s="277" t="s">
        <x:v>118</x:v>
      </x:c>
      <x:c r="G51" s="277" t="s">
        <x:v>118</x:v>
      </x:c>
      <x:c r="H51" s="277" t="s">
        <x:v>118</x:v>
      </x:c>
      <x:c r="I51" s="277" t="s">
        <x:v>118</x:v>
      </x:c>
      <x:c r="J51" s="277" t="s">
        <x:v>118</x:v>
      </x:c>
      <x:c r="K51" s="277" t="s">
        <x:v>118</x:v>
      </x:c>
      <x:c r="L51" s="277" t="s">
        <x:v>118</x:v>
      </x:c>
      <x:c r="M51" s="277" t="s">
        <x:v>118</x:v>
      </x:c>
      <x:c r="N51" s="277" t="s">
        <x:v>118</x:v>
      </x:c>
      <x:c r="O51" s="277" t="s">
        <x:v>118</x:v>
      </x:c>
      <x:c r="P51" s="277" t="s">
        <x:v>118</x:v>
      </x:c>
      <x:c r="Q51" s="277" t="s">
        <x:v>118</x:v>
      </x:c>
      <x:c r="R51" s="277" t="s">
        <x:v>118</x:v>
      </x:c>
      <x:c r="S51" s="277" t="s">
        <x:v>118</x:v>
      </x:c>
      <x:c r="T51" s="277" t="s">
        <x:v>118</x:v>
      </x:c>
      <x:c r="U51" s="277" t="s">
        <x:v>118</x:v>
      </x:c>
      <x:c r="V51" s="277" t="s">
        <x:v>118</x:v>
      </x:c>
      <x:c r="W51" s="277" t="s">
        <x:v>118</x:v>
      </x:c>
      <x:c r="X51" s="277" t="s">
        <x:v>118</x:v>
      </x:c>
      <x:c r="Y51" s="277" t="s">
        <x:v>118</x:v>
      </x:c>
      <x:c r="Z51" s="277" t="s">
        <x:v>118</x:v>
      </x:c>
      <x:c r="AA51" s="277" t="s">
        <x:v>118</x:v>
      </x:c>
      <x:c r="AB51" s="277" t="s">
        <x:v>118</x:v>
      </x:c>
      <x:c r="AC51" s="277" t="s">
        <x:v>118</x:v>
      </x:c>
      <x:c r="AD51" s="277" t="s">
        <x:v>118</x:v>
      </x:c>
      <x:c r="AE51" s="277" t="s">
        <x:v>118</x:v>
      </x:c>
      <x:c r="AF51" s="277" t="s">
        <x:v>118</x:v>
      </x:c>
      <x:c r="AG51" s="277" t="s">
        <x:v>118</x:v>
      </x:c>
      <x:c r="AH51" s="277" t="s">
        <x:v>118</x:v>
      </x:c>
      <x:c r="AI51" s="277" t="s">
        <x:v>118</x:v>
      </x:c>
      <x:c r="AJ51" s="277" t="s">
        <x:v>118</x:v>
      </x:c>
      <x:c r="AK51" s="220">
        <x:f>COUNTIF(F51:AJ51,"X")</x:f>
      </x:c>
      <x:c r="AL51" s="221"/>
      <x:c r="AM51" s="221"/>
      <x:c r="AN51" s="222"/>
      <x:c r="AO51" s="222"/>
      <x:c r="AP51" s="228"/>
      <x:c r="AQ51" s="228"/>
      <x:c r="AR51" s="228"/>
      <x:c r="AS51" s="228"/>
      <x:c r="AT51" s="230"/>
    </x:row>
    <x:row r="52" spans="1:47" ht="19.9" customHeight="1">
      <x:c r="A52" s="274" t="s">
        <x:v>978</x:v>
      </x:c>
      <x:c r="B52" s="216"/>
      <x:c r="C52" s="275" t="s">
        <x:v>979</x:v>
      </x:c>
      <x:c r="D52" s="274" t="s">
        <x:v>980</x:v>
      </x:c>
      <x:c r="E52" s="276" t="s">
        <x:v>981</x:v>
      </x:c>
      <x:c r="F52" s="277" t="s">
        <x:v>118</x:v>
      </x:c>
      <x:c r="G52" s="277" t="s">
        <x:v>118</x:v>
      </x:c>
      <x:c r="H52" s="277" t="s">
        <x:v>118</x:v>
      </x:c>
      <x:c r="I52" s="277" t="s">
        <x:v>118</x:v>
      </x:c>
      <x:c r="J52" s="277" t="s">
        <x:v>118</x:v>
      </x:c>
      <x:c r="K52" s="277" t="s">
        <x:v>118</x:v>
      </x:c>
      <x:c r="L52" s="277" t="s">
        <x:v>118</x:v>
      </x:c>
      <x:c r="M52" s="277" t="s">
        <x:v>118</x:v>
      </x:c>
      <x:c r="N52" s="277" t="s">
        <x:v>118</x:v>
      </x:c>
      <x:c r="O52" s="277" t="s">
        <x:v>118</x:v>
      </x:c>
      <x:c r="P52" s="277" t="s">
        <x:v>118</x:v>
      </x:c>
      <x:c r="Q52" s="277" t="s">
        <x:v>118</x:v>
      </x:c>
      <x:c r="R52" s="277" t="s">
        <x:v>118</x:v>
      </x:c>
      <x:c r="S52" s="277" t="s">
        <x:v>118</x:v>
      </x:c>
      <x:c r="T52" s="277" t="s">
        <x:v>118</x:v>
      </x:c>
      <x:c r="U52" s="277" t="s">
        <x:v>118</x:v>
      </x:c>
      <x:c r="V52" s="277" t="s">
        <x:v>118</x:v>
      </x:c>
      <x:c r="W52" s="277" t="s">
        <x:v>118</x:v>
      </x:c>
      <x:c r="X52" s="277" t="s">
        <x:v>118</x:v>
      </x:c>
      <x:c r="Y52" s="277" t="s">
        <x:v>118</x:v>
      </x:c>
      <x:c r="Z52" s="277" t="s">
        <x:v>118</x:v>
      </x:c>
      <x:c r="AA52" s="277" t="s">
        <x:v>118</x:v>
      </x:c>
      <x:c r="AB52" s="277" t="s">
        <x:v>118</x:v>
      </x:c>
      <x:c r="AC52" s="277" t="s">
        <x:v>118</x:v>
      </x:c>
      <x:c r="AD52" s="277" t="s">
        <x:v>118</x:v>
      </x:c>
      <x:c r="AE52" s="277" t="s">
        <x:v>118</x:v>
      </x:c>
      <x:c r="AF52" s="277" t="s">
        <x:v>118</x:v>
      </x:c>
      <x:c r="AG52" s="277" t="s">
        <x:v>118</x:v>
      </x:c>
      <x:c r="AH52" s="277" t="s">
        <x:v>118</x:v>
      </x:c>
      <x:c r="AI52" s="277" t="s">
        <x:v>118</x:v>
      </x:c>
      <x:c r="AJ52" s="277" t="s">
        <x:v>118</x:v>
      </x:c>
      <x:c r="AK52" s="220">
        <x:f>COUNTIF(F52:AJ52,"X")</x:f>
      </x:c>
      <x:c r="AL52" s="221"/>
      <x:c r="AM52" s="221"/>
      <x:c r="AN52" s="222"/>
      <x:c r="AO52" s="222"/>
      <x:c r="AP52" s="228"/>
      <x:c r="AQ52" s="228"/>
      <x:c r="AR52" s="228"/>
      <x:c r="AS52" s="228"/>
      <x:c r="AT52" s="230"/>
    </x:row>
    <x:row r="53" spans="1:47" ht="19.9" customHeight="1">
      <x:c r="A53" s="274" t="s">
        <x:v>982</x:v>
      </x:c>
      <x:c r="B53" s="216"/>
      <x:c r="C53" s="275" t="s">
        <x:v>983</x:v>
      </x:c>
      <x:c r="D53" s="274" t="s">
        <x:v>980</x:v>
      </x:c>
      <x:c r="E53" s="276" t="s">
        <x:v>323</x:v>
      </x:c>
      <x:c r="F53" s="277" t="s">
        <x:v>118</x:v>
      </x:c>
      <x:c r="G53" s="277" t="s">
        <x:v>118</x:v>
      </x:c>
      <x:c r="H53" s="277" t="s">
        <x:v>118</x:v>
      </x:c>
      <x:c r="I53" s="277" t="s">
        <x:v>118</x:v>
      </x:c>
      <x:c r="J53" s="277" t="s">
        <x:v>118</x:v>
      </x:c>
      <x:c r="K53" s="277" t="s">
        <x:v>118</x:v>
      </x:c>
      <x:c r="L53" s="277" t="s">
        <x:v>118</x:v>
      </x:c>
      <x:c r="M53" s="277" t="s">
        <x:v>118</x:v>
      </x:c>
      <x:c r="N53" s="277" t="s">
        <x:v>118</x:v>
      </x:c>
      <x:c r="O53" s="277" t="s">
        <x:v>118</x:v>
      </x:c>
      <x:c r="P53" s="277" t="s">
        <x:v>118</x:v>
      </x:c>
      <x:c r="Q53" s="277" t="s">
        <x:v>118</x:v>
      </x:c>
      <x:c r="R53" s="277" t="s">
        <x:v>118</x:v>
      </x:c>
      <x:c r="S53" s="277" t="s">
        <x:v>118</x:v>
      </x:c>
      <x:c r="T53" s="277" t="s">
        <x:v>118</x:v>
      </x:c>
      <x:c r="U53" s="277" t="s">
        <x:v>118</x:v>
      </x:c>
      <x:c r="V53" s="277" t="s">
        <x:v>118</x:v>
      </x:c>
      <x:c r="W53" s="277" t="s">
        <x:v>118</x:v>
      </x:c>
      <x:c r="X53" s="277" t="s">
        <x:v>118</x:v>
      </x:c>
      <x:c r="Y53" s="277" t="s">
        <x:v>118</x:v>
      </x:c>
      <x:c r="Z53" s="277" t="s">
        <x:v>118</x:v>
      </x:c>
      <x:c r="AA53" s="277" t="s">
        <x:v>118</x:v>
      </x:c>
      <x:c r="AB53" s="277" t="s">
        <x:v>118</x:v>
      </x:c>
      <x:c r="AC53" s="277" t="s">
        <x:v>118</x:v>
      </x:c>
      <x:c r="AD53" s="277" t="s">
        <x:v>118</x:v>
      </x:c>
      <x:c r="AE53" s="277" t="s">
        <x:v>118</x:v>
      </x:c>
      <x:c r="AF53" s="277" t="s">
        <x:v>118</x:v>
      </x:c>
      <x:c r="AG53" s="277" t="s">
        <x:v>118</x:v>
      </x:c>
      <x:c r="AH53" s="277" t="s">
        <x:v>118</x:v>
      </x:c>
      <x:c r="AI53" s="277" t="s">
        <x:v>118</x:v>
      </x:c>
      <x:c r="AJ53" s="277" t="s">
        <x:v>118</x:v>
      </x:c>
      <x:c r="AK53" s="220">
        <x:f>COUNTIF(F53:AJ53,"X")</x:f>
      </x:c>
      <x:c r="AL53" s="221"/>
      <x:c r="AM53" s="221"/>
      <x:c r="AN53" s="222"/>
      <x:c r="AO53" s="222"/>
      <x:c r="AP53" s="228"/>
      <x:c r="AQ53" s="228"/>
      <x:c r="AR53" s="228"/>
      <x:c r="AS53" s="228"/>
      <x:c r="AT53" s="230"/>
    </x:row>
    <x:row r="54" spans="1:47" ht="19.9" customHeight="1">
      <x:c r="A54" s="274" t="s">
        <x:v>984</x:v>
      </x:c>
      <x:c r="B54" s="216"/>
      <x:c r="C54" s="275" t="s">
        <x:v>985</x:v>
      </x:c>
      <x:c r="D54" s="274" t="s">
        <x:v>986</x:v>
      </x:c>
      <x:c r="E54" s="276" t="s">
        <x:v>987</x:v>
      </x:c>
      <x:c r="F54" s="277" t="s">
        <x:v>118</x:v>
      </x:c>
      <x:c r="G54" s="277" t="s">
        <x:v>118</x:v>
      </x:c>
      <x:c r="H54" s="277" t="s">
        <x:v>118</x:v>
      </x:c>
      <x:c r="I54" s="277" t="s">
        <x:v>118</x:v>
      </x:c>
      <x:c r="J54" s="277" t="s">
        <x:v>118</x:v>
      </x:c>
      <x:c r="K54" s="277" t="s">
        <x:v>118</x:v>
      </x:c>
      <x:c r="L54" s="277" t="s">
        <x:v>118</x:v>
      </x:c>
      <x:c r="M54" s="277" t="s">
        <x:v>118</x:v>
      </x:c>
      <x:c r="N54" s="277" t="s">
        <x:v>118</x:v>
      </x:c>
      <x:c r="O54" s="277" t="s">
        <x:v>118</x:v>
      </x:c>
      <x:c r="P54" s="277" t="s">
        <x:v>118</x:v>
      </x:c>
      <x:c r="Q54" s="277" t="s">
        <x:v>118</x:v>
      </x:c>
      <x:c r="R54" s="277" t="s">
        <x:v>118</x:v>
      </x:c>
      <x:c r="S54" s="277" t="s">
        <x:v>118</x:v>
      </x:c>
      <x:c r="T54" s="277" t="s">
        <x:v>118</x:v>
      </x:c>
      <x:c r="U54" s="277" t="s">
        <x:v>118</x:v>
      </x:c>
      <x:c r="V54" s="277" t="s">
        <x:v>118</x:v>
      </x:c>
      <x:c r="W54" s="277" t="s">
        <x:v>118</x:v>
      </x:c>
      <x:c r="X54" s="277" t="s">
        <x:v>118</x:v>
      </x:c>
      <x:c r="Y54" s="277" t="s">
        <x:v>118</x:v>
      </x:c>
      <x:c r="Z54" s="277" t="s">
        <x:v>118</x:v>
      </x:c>
      <x:c r="AA54" s="277" t="s">
        <x:v>118</x:v>
      </x:c>
      <x:c r="AB54" s="277" t="s">
        <x:v>118</x:v>
      </x:c>
      <x:c r="AC54" s="277" t="s">
        <x:v>118</x:v>
      </x:c>
      <x:c r="AD54" s="277" t="s">
        <x:v>118</x:v>
      </x:c>
      <x:c r="AE54" s="277" t="s">
        <x:v>118</x:v>
      </x:c>
      <x:c r="AF54" s="277" t="s">
        <x:v>118</x:v>
      </x:c>
      <x:c r="AG54" s="277" t="s">
        <x:v>118</x:v>
      </x:c>
      <x:c r="AH54" s="277" t="s">
        <x:v>118</x:v>
      </x:c>
      <x:c r="AI54" s="277" t="s">
        <x:v>118</x:v>
      </x:c>
      <x:c r="AJ54" s="277" t="s">
        <x:v>118</x:v>
      </x:c>
      <x:c r="AK54" s="220">
        <x:f>COUNTIF(F54:AJ54,"X")</x:f>
      </x:c>
      <x:c r="AL54" s="221"/>
      <x:c r="AM54" s="221"/>
      <x:c r="AN54" s="222"/>
      <x:c r="AO54" s="222"/>
      <x:c r="AP54" s="228"/>
      <x:c r="AQ54" s="228"/>
      <x:c r="AR54" s="228"/>
      <x:c r="AS54" s="228"/>
      <x:c r="AT54" s="230"/>
    </x:row>
    <x:row r="55" spans="1:47" ht="19.9" customHeight="1">
      <x:c r="A55" s="274" t="s">
        <x:v>988</x:v>
      </x:c>
      <x:c r="B55" s="216"/>
      <x:c r="C55" s="275" t="s">
        <x:v>989</x:v>
      </x:c>
      <x:c r="D55" s="274" t="s">
        <x:v>990</x:v>
      </x:c>
      <x:c r="E55" s="276" t="s">
        <x:v>693</x:v>
      </x:c>
      <x:c r="F55" s="277" t="s">
        <x:v>118</x:v>
      </x:c>
      <x:c r="G55" s="277" t="s">
        <x:v>118</x:v>
      </x:c>
      <x:c r="H55" s="277" t="s">
        <x:v>118</x:v>
      </x:c>
      <x:c r="I55" s="277" t="s">
        <x:v>118</x:v>
      </x:c>
      <x:c r="J55" s="277" t="s">
        <x:v>118</x:v>
      </x:c>
      <x:c r="K55" s="277" t="s">
        <x:v>118</x:v>
      </x:c>
      <x:c r="L55" s="277" t="s">
        <x:v>118</x:v>
      </x:c>
      <x:c r="M55" s="277" t="s">
        <x:v>118</x:v>
      </x:c>
      <x:c r="N55" s="277" t="s">
        <x:v>118</x:v>
      </x:c>
      <x:c r="O55" s="277" t="s">
        <x:v>118</x:v>
      </x:c>
      <x:c r="P55" s="277" t="s">
        <x:v>118</x:v>
      </x:c>
      <x:c r="Q55" s="277" t="s">
        <x:v>118</x:v>
      </x:c>
      <x:c r="R55" s="277" t="s">
        <x:v>118</x:v>
      </x:c>
      <x:c r="S55" s="277" t="s">
        <x:v>118</x:v>
      </x:c>
      <x:c r="T55" s="277" t="s">
        <x:v>118</x:v>
      </x:c>
      <x:c r="U55" s="277" t="s">
        <x:v>118</x:v>
      </x:c>
      <x:c r="V55" s="277" t="s">
        <x:v>118</x:v>
      </x:c>
      <x:c r="W55" s="277" t="s">
        <x:v>118</x:v>
      </x:c>
      <x:c r="X55" s="277" t="s">
        <x:v>118</x:v>
      </x:c>
      <x:c r="Y55" s="277" t="s">
        <x:v>118</x:v>
      </x:c>
      <x:c r="Z55" s="277" t="s">
        <x:v>118</x:v>
      </x:c>
      <x:c r="AA55" s="277" t="s">
        <x:v>118</x:v>
      </x:c>
      <x:c r="AB55" s="277" t="s">
        <x:v>118</x:v>
      </x:c>
      <x:c r="AC55" s="277" t="s">
        <x:v>118</x:v>
      </x:c>
      <x:c r="AD55" s="277" t="s">
        <x:v>118</x:v>
      </x:c>
      <x:c r="AE55" s="277" t="s">
        <x:v>118</x:v>
      </x:c>
      <x:c r="AF55" s="277" t="s">
        <x:v>118</x:v>
      </x:c>
      <x:c r="AG55" s="277" t="s">
        <x:v>118</x:v>
      </x:c>
      <x:c r="AH55" s="277" t="s">
        <x:v>118</x:v>
      </x:c>
      <x:c r="AI55" s="277" t="s">
        <x:v>118</x:v>
      </x:c>
      <x:c r="AJ55" s="277" t="s">
        <x:v>118</x:v>
      </x:c>
      <x:c r="AK55" s="220">
        <x:f>COUNTIF(F55:AJ55,"X")</x:f>
      </x:c>
      <x:c r="AL55" s="221"/>
      <x:c r="AM55" s="221"/>
      <x:c r="AN55" s="222"/>
      <x:c r="AO55" s="222"/>
      <x:c r="AP55" s="228"/>
      <x:c r="AQ55" s="228"/>
      <x:c r="AR55" s="228"/>
      <x:c r="AS55" s="228"/>
      <x:c r="AT55" s="230"/>
    </x:row>
    <x:row r="56" spans="1:47" ht="19.9" customHeight="1">
      <x:c r="A56" s="274" t="s">
        <x:v>991</x:v>
      </x:c>
      <x:c r="B56" s="216"/>
      <x:c r="C56" s="275" t="s">
        <x:v>992</x:v>
      </x:c>
      <x:c r="D56" s="274" t="s">
        <x:v>993</x:v>
      </x:c>
      <x:c r="E56" s="276" t="s">
        <x:v>994</x:v>
      </x:c>
      <x:c r="F56" s="277" t="s">
        <x:v>118</x:v>
      </x:c>
      <x:c r="G56" s="277" t="s">
        <x:v>118</x:v>
      </x:c>
      <x:c r="H56" s="277" t="s">
        <x:v>118</x:v>
      </x:c>
      <x:c r="I56" s="277" t="s">
        <x:v>118</x:v>
      </x:c>
      <x:c r="J56" s="277" t="s">
        <x:v>118</x:v>
      </x:c>
      <x:c r="K56" s="277" t="s">
        <x:v>118</x:v>
      </x:c>
      <x:c r="L56" s="277" t="s">
        <x:v>118</x:v>
      </x:c>
      <x:c r="M56" s="277" t="s">
        <x:v>118</x:v>
      </x:c>
      <x:c r="N56" s="277" t="s">
        <x:v>118</x:v>
      </x:c>
      <x:c r="O56" s="277" t="s">
        <x:v>118</x:v>
      </x:c>
      <x:c r="P56" s="277" t="s">
        <x:v>118</x:v>
      </x:c>
      <x:c r="Q56" s="277" t="s">
        <x:v>118</x:v>
      </x:c>
      <x:c r="R56" s="277" t="s">
        <x:v>118</x:v>
      </x:c>
      <x:c r="S56" s="277" t="s">
        <x:v>118</x:v>
      </x:c>
      <x:c r="T56" s="277" t="s">
        <x:v>118</x:v>
      </x:c>
      <x:c r="U56" s="277" t="s">
        <x:v>118</x:v>
      </x:c>
      <x:c r="V56" s="277" t="s">
        <x:v>118</x:v>
      </x:c>
      <x:c r="W56" s="277" t="s">
        <x:v>118</x:v>
      </x:c>
      <x:c r="X56" s="277" t="s">
        <x:v>118</x:v>
      </x:c>
      <x:c r="Y56" s="277" t="s">
        <x:v>118</x:v>
      </x:c>
      <x:c r="Z56" s="277" t="s">
        <x:v>118</x:v>
      </x:c>
      <x:c r="AA56" s="277" t="s">
        <x:v>118</x:v>
      </x:c>
      <x:c r="AB56" s="277" t="s">
        <x:v>118</x:v>
      </x:c>
      <x:c r="AC56" s="277" t="s">
        <x:v>118</x:v>
      </x:c>
      <x:c r="AD56" s="277" t="s">
        <x:v>118</x:v>
      </x:c>
      <x:c r="AE56" s="277" t="s">
        <x:v>118</x:v>
      </x:c>
      <x:c r="AF56" s="277" t="s">
        <x:v>118</x:v>
      </x:c>
      <x:c r="AG56" s="277" t="s">
        <x:v>118</x:v>
      </x:c>
      <x:c r="AH56" s="277" t="s">
        <x:v>118</x:v>
      </x:c>
      <x:c r="AI56" s="277" t="s">
        <x:v>118</x:v>
      </x:c>
      <x:c r="AJ56" s="277" t="s">
        <x:v>118</x:v>
      </x:c>
      <x:c r="AK56" s="220">
        <x:f>COUNTIF(F56:AJ56,"X")</x:f>
      </x:c>
      <x:c r="AL56" s="221"/>
      <x:c r="AM56" s="221"/>
      <x:c r="AN56" s="222"/>
      <x:c r="AO56" s="222"/>
      <x:c r="AP56" s="228"/>
      <x:c r="AQ56" s="228"/>
      <x:c r="AR56" s="228"/>
      <x:c r="AS56" s="228"/>
      <x:c r="AT56" s="230"/>
    </x:row>
    <x:row r="57" spans="1:47" ht="19.9" customHeight="1">
      <x:c r="A57" s="274" t="s">
        <x:v>995</x:v>
      </x:c>
      <x:c r="B57" s="216"/>
      <x:c r="C57" s="275" t="s">
        <x:v>996</x:v>
      </x:c>
      <x:c r="D57" s="274" t="s">
        <x:v>997</x:v>
      </x:c>
      <x:c r="E57" s="276" t="s">
        <x:v>998</x:v>
      </x:c>
      <x:c r="F57" s="277" t="s">
        <x:v>118</x:v>
      </x:c>
      <x:c r="G57" s="277" t="s">
        <x:v>118</x:v>
      </x:c>
      <x:c r="H57" s="277" t="s">
        <x:v>118</x:v>
      </x:c>
      <x:c r="I57" s="277" t="s">
        <x:v>118</x:v>
      </x:c>
      <x:c r="J57" s="277" t="s">
        <x:v>118</x:v>
      </x:c>
      <x:c r="K57" s="277" t="s">
        <x:v>118</x:v>
      </x:c>
      <x:c r="L57" s="277" t="s">
        <x:v>118</x:v>
      </x:c>
      <x:c r="M57" s="277" t="s">
        <x:v>118</x:v>
      </x:c>
      <x:c r="N57" s="277" t="s">
        <x:v>118</x:v>
      </x:c>
      <x:c r="O57" s="277" t="s">
        <x:v>118</x:v>
      </x:c>
      <x:c r="P57" s="277" t="s">
        <x:v>118</x:v>
      </x:c>
      <x:c r="Q57" s="277" t="s">
        <x:v>118</x:v>
      </x:c>
      <x:c r="R57" s="277" t="s">
        <x:v>118</x:v>
      </x:c>
      <x:c r="S57" s="277" t="s">
        <x:v>118</x:v>
      </x:c>
      <x:c r="T57" s="277" t="s">
        <x:v>118</x:v>
      </x:c>
      <x:c r="U57" s="277" t="s">
        <x:v>118</x:v>
      </x:c>
      <x:c r="V57" s="277" t="s">
        <x:v>118</x:v>
      </x:c>
      <x:c r="W57" s="277" t="s">
        <x:v>118</x:v>
      </x:c>
      <x:c r="X57" s="277" t="s">
        <x:v>118</x:v>
      </x:c>
      <x:c r="Y57" s="277" t="s">
        <x:v>118</x:v>
      </x:c>
      <x:c r="Z57" s="277" t="s">
        <x:v>118</x:v>
      </x:c>
      <x:c r="AA57" s="277" t="s">
        <x:v>118</x:v>
      </x:c>
      <x:c r="AB57" s="277" t="s">
        <x:v>118</x:v>
      </x:c>
      <x:c r="AC57" s="277" t="s">
        <x:v>118</x:v>
      </x:c>
      <x:c r="AD57" s="277" t="s">
        <x:v>118</x:v>
      </x:c>
      <x:c r="AE57" s="277" t="s">
        <x:v>118</x:v>
      </x:c>
      <x:c r="AF57" s="277" t="s">
        <x:v>118</x:v>
      </x:c>
      <x:c r="AG57" s="277" t="s">
        <x:v>118</x:v>
      </x:c>
      <x:c r="AH57" s="277" t="s">
        <x:v>118</x:v>
      </x:c>
      <x:c r="AI57" s="277" t="s">
        <x:v>118</x:v>
      </x:c>
      <x:c r="AJ57" s="277" t="s">
        <x:v>118</x:v>
      </x:c>
      <x:c r="AK57" s="220">
        <x:f>COUNTIF(F57:AJ57,"X")</x:f>
      </x:c>
      <x:c r="AL57" s="221"/>
      <x:c r="AM57" s="221"/>
      <x:c r="AN57" s="222"/>
      <x:c r="AO57" s="222"/>
      <x:c r="AP57" s="228"/>
      <x:c r="AQ57" s="228"/>
      <x:c r="AR57" s="228"/>
      <x:c r="AS57" s="228"/>
      <x:c r="AT57" s="230"/>
    </x:row>
    <x:row r="58" spans="1:47" ht="19.9" customHeight="1">
      <x:c r="A58" s="274" t="s">
        <x:v>999</x:v>
      </x:c>
      <x:c r="B58" s="216"/>
      <x:c r="C58" s="275" t="s">
        <x:v>1000</x:v>
      </x:c>
      <x:c r="D58" s="274" t="s">
        <x:v>861</x:v>
      </x:c>
      <x:c r="E58" s="276" t="s">
        <x:v>1001</x:v>
      </x:c>
      <x:c r="F58" s="277" t="s">
        <x:v>118</x:v>
      </x:c>
      <x:c r="G58" s="277" t="s">
        <x:v>118</x:v>
      </x:c>
      <x:c r="H58" s="277" t="s">
        <x:v>118</x:v>
      </x:c>
      <x:c r="I58" s="277" t="s">
        <x:v>118</x:v>
      </x:c>
      <x:c r="J58" s="277" t="s">
        <x:v>118</x:v>
      </x:c>
      <x:c r="K58" s="277" t="s">
        <x:v>118</x:v>
      </x:c>
      <x:c r="L58" s="277" t="s">
        <x:v>118</x:v>
      </x:c>
      <x:c r="M58" s="277" t="s">
        <x:v>118</x:v>
      </x:c>
      <x:c r="N58" s="277" t="s">
        <x:v>118</x:v>
      </x:c>
      <x:c r="O58" s="277" t="s">
        <x:v>118</x:v>
      </x:c>
      <x:c r="P58" s="277" t="s">
        <x:v>118</x:v>
      </x:c>
      <x:c r="Q58" s="277" t="s">
        <x:v>118</x:v>
      </x:c>
      <x:c r="R58" s="277" t="s">
        <x:v>118</x:v>
      </x:c>
      <x:c r="S58" s="277" t="s">
        <x:v>118</x:v>
      </x:c>
      <x:c r="T58" s="277" t="s">
        <x:v>118</x:v>
      </x:c>
      <x:c r="U58" s="277" t="s">
        <x:v>118</x:v>
      </x:c>
      <x:c r="V58" s="277" t="s">
        <x:v>118</x:v>
      </x:c>
      <x:c r="W58" s="277" t="s">
        <x:v>118</x:v>
      </x:c>
      <x:c r="X58" s="277" t="s">
        <x:v>118</x:v>
      </x:c>
      <x:c r="Y58" s="277" t="s">
        <x:v>118</x:v>
      </x:c>
      <x:c r="Z58" s="277" t="s">
        <x:v>118</x:v>
      </x:c>
      <x:c r="AA58" s="277" t="s">
        <x:v>118</x:v>
      </x:c>
      <x:c r="AB58" s="277" t="s">
        <x:v>118</x:v>
      </x:c>
      <x:c r="AC58" s="277" t="s">
        <x:v>118</x:v>
      </x:c>
      <x:c r="AD58" s="277" t="s">
        <x:v>118</x:v>
      </x:c>
      <x:c r="AE58" s="277" t="s">
        <x:v>118</x:v>
      </x:c>
      <x:c r="AF58" s="277" t="s">
        <x:v>118</x:v>
      </x:c>
      <x:c r="AG58" s="277" t="s">
        <x:v>118</x:v>
      </x:c>
      <x:c r="AH58" s="277" t="s">
        <x:v>118</x:v>
      </x:c>
      <x:c r="AI58" s="277" t="s">
        <x:v>118</x:v>
      </x:c>
      <x:c r="AJ58" s="277" t="s">
        <x:v>118</x:v>
      </x:c>
      <x:c r="AK58" s="220">
        <x:f>COUNTIF(F58:AJ58,"X")</x:f>
      </x:c>
      <x:c r="AL58" s="221"/>
      <x:c r="AM58" s="221"/>
      <x:c r="AN58" s="222"/>
      <x:c r="AO58" s="222"/>
      <x:c r="AP58" s="228"/>
      <x:c r="AQ58" s="228"/>
      <x:c r="AR58" s="228"/>
      <x:c r="AS58" s="228"/>
      <x:c r="AT58" s="230"/>
    </x:row>
    <x:row r="59" spans="1:47" ht="19.9" customHeight="1">
      <x:c r="A59" s="274" t="s">
        <x:v>1002</x:v>
      </x:c>
      <x:c r="B59" s="216"/>
      <x:c r="C59" s="275" t="s">
        <x:v>1003</x:v>
      </x:c>
      <x:c r="D59" s="274" t="s">
        <x:v>249</x:v>
      </x:c>
      <x:c r="E59" s="276" t="s">
        <x:v>1004</x:v>
      </x:c>
      <x:c r="F59" s="277" t="s">
        <x:v>118</x:v>
      </x:c>
      <x:c r="G59" s="277" t="s">
        <x:v>118</x:v>
      </x:c>
      <x:c r="H59" s="277" t="s">
        <x:v>118</x:v>
      </x:c>
      <x:c r="I59" s="277" t="s">
        <x:v>118</x:v>
      </x:c>
      <x:c r="J59" s="277" t="s">
        <x:v>118</x:v>
      </x:c>
      <x:c r="K59" s="277" t="s">
        <x:v>118</x:v>
      </x:c>
      <x:c r="L59" s="277" t="s">
        <x:v>118</x:v>
      </x:c>
      <x:c r="M59" s="277" t="s">
        <x:v>118</x:v>
      </x:c>
      <x:c r="N59" s="277" t="s">
        <x:v>118</x:v>
      </x:c>
      <x:c r="O59" s="277" t="s">
        <x:v>118</x:v>
      </x:c>
      <x:c r="P59" s="277" t="s">
        <x:v>118</x:v>
      </x:c>
      <x:c r="Q59" s="277" t="s">
        <x:v>118</x:v>
      </x:c>
      <x:c r="R59" s="277" t="s">
        <x:v>118</x:v>
      </x:c>
      <x:c r="S59" s="277" t="s">
        <x:v>118</x:v>
      </x:c>
      <x:c r="T59" s="277" t="s">
        <x:v>118</x:v>
      </x:c>
      <x:c r="U59" s="277" t="s">
        <x:v>118</x:v>
      </x:c>
      <x:c r="V59" s="277" t="s">
        <x:v>118</x:v>
      </x:c>
      <x:c r="W59" s="277" t="s">
        <x:v>118</x:v>
      </x:c>
      <x:c r="X59" s="277" t="s">
        <x:v>118</x:v>
      </x:c>
      <x:c r="Y59" s="277" t="s">
        <x:v>118</x:v>
      </x:c>
      <x:c r="Z59" s="277" t="s">
        <x:v>118</x:v>
      </x:c>
      <x:c r="AA59" s="277" t="s">
        <x:v>118</x:v>
      </x:c>
      <x:c r="AB59" s="277" t="s">
        <x:v>118</x:v>
      </x:c>
      <x:c r="AC59" s="277" t="s">
        <x:v>118</x:v>
      </x:c>
      <x:c r="AD59" s="277" t="s">
        <x:v>118</x:v>
      </x:c>
      <x:c r="AE59" s="277" t="s">
        <x:v>118</x:v>
      </x:c>
      <x:c r="AF59" s="277" t="s">
        <x:v>118</x:v>
      </x:c>
      <x:c r="AG59" s="277" t="s">
        <x:v>118</x:v>
      </x:c>
      <x:c r="AH59" s="277" t="s">
        <x:v>118</x:v>
      </x:c>
      <x:c r="AI59" s="277" t="s">
        <x:v>118</x:v>
      </x:c>
      <x:c r="AJ59" s="277" t="s">
        <x:v>118</x:v>
      </x:c>
      <x:c r="AK59" s="220">
        <x:f>COUNTIF(F59:AJ59,"X")</x:f>
      </x:c>
      <x:c r="AL59" s="221"/>
      <x:c r="AM59" s="221"/>
      <x:c r="AN59" s="222"/>
      <x:c r="AO59" s="222"/>
      <x:c r="AP59" s="228"/>
      <x:c r="AQ59" s="228"/>
      <x:c r="AR59" s="228"/>
      <x:c r="AS59" s="228"/>
      <x:c r="AT59" s="230"/>
    </x:row>
    <x:row r="60" spans="1:47" ht="19.9" customHeight="1">
      <x:c r="A60" s="274" t="s">
        <x:v>1005</x:v>
      </x:c>
      <x:c r="B60" s="216"/>
      <x:c r="C60" s="275" t="s">
        <x:v>1006</x:v>
      </x:c>
      <x:c r="D60" s="274" t="s">
        <x:v>1007</x:v>
      </x:c>
      <x:c r="E60" s="276" t="s">
        <x:v>759</x:v>
      </x:c>
      <x:c r="F60" s="277" t="s">
        <x:v>118</x:v>
      </x:c>
      <x:c r="G60" s="277" t="s">
        <x:v>118</x:v>
      </x:c>
      <x:c r="H60" s="277" t="s">
        <x:v>118</x:v>
      </x:c>
      <x:c r="I60" s="277" t="s">
        <x:v>118</x:v>
      </x:c>
      <x:c r="J60" s="277" t="s">
        <x:v>118</x:v>
      </x:c>
      <x:c r="K60" s="277" t="s">
        <x:v>118</x:v>
      </x:c>
      <x:c r="L60" s="277" t="s">
        <x:v>118</x:v>
      </x:c>
      <x:c r="M60" s="277" t="s">
        <x:v>118</x:v>
      </x:c>
      <x:c r="N60" s="277" t="s">
        <x:v>118</x:v>
      </x:c>
      <x:c r="O60" s="277" t="s">
        <x:v>118</x:v>
      </x:c>
      <x:c r="P60" s="277" t="s">
        <x:v>118</x:v>
      </x:c>
      <x:c r="Q60" s="277" t="s">
        <x:v>118</x:v>
      </x:c>
      <x:c r="R60" s="277" t="s">
        <x:v>118</x:v>
      </x:c>
      <x:c r="S60" s="277" t="s">
        <x:v>118</x:v>
      </x:c>
      <x:c r="T60" s="277" t="s">
        <x:v>118</x:v>
      </x:c>
      <x:c r="U60" s="277" t="s">
        <x:v>118</x:v>
      </x:c>
      <x:c r="V60" s="277" t="s">
        <x:v>118</x:v>
      </x:c>
      <x:c r="W60" s="277" t="s">
        <x:v>118</x:v>
      </x:c>
      <x:c r="X60" s="277" t="s">
        <x:v>118</x:v>
      </x:c>
      <x:c r="Y60" s="277" t="s">
        <x:v>118</x:v>
      </x:c>
      <x:c r="Z60" s="277" t="s">
        <x:v>118</x:v>
      </x:c>
      <x:c r="AA60" s="277" t="s">
        <x:v>118</x:v>
      </x:c>
      <x:c r="AB60" s="277" t="s">
        <x:v>118</x:v>
      </x:c>
      <x:c r="AC60" s="277" t="s">
        <x:v>118</x:v>
      </x:c>
      <x:c r="AD60" s="277" t="s">
        <x:v>118</x:v>
      </x:c>
      <x:c r="AE60" s="277" t="s">
        <x:v>118</x:v>
      </x:c>
      <x:c r="AF60" s="277" t="s">
        <x:v>118</x:v>
      </x:c>
      <x:c r="AG60" s="277" t="s">
        <x:v>118</x:v>
      </x:c>
      <x:c r="AH60" s="277" t="s">
        <x:v>118</x:v>
      </x:c>
      <x:c r="AI60" s="277" t="s">
        <x:v>118</x:v>
      </x:c>
      <x:c r="AJ60" s="277" t="s">
        <x:v>118</x:v>
      </x:c>
      <x:c r="AK60" s="220">
        <x:f>COUNTIF(F60:AJ60,"X")</x:f>
      </x:c>
      <x:c r="AL60" s="221"/>
      <x:c r="AM60" s="221"/>
      <x:c r="AN60" s="222"/>
      <x:c r="AO60" s="222"/>
      <x:c r="AP60" s="228"/>
      <x:c r="AQ60" s="228"/>
      <x:c r="AR60" s="228"/>
      <x:c r="AS60" s="228"/>
      <x:c r="AT60" s="230"/>
    </x:row>
    <x:row r="61" spans="1:47" ht="19.9" customHeight="1">
      <x:c r="A61" s="274" t="s">
        <x:v>1008</x:v>
      </x:c>
      <x:c r="B61" s="216"/>
      <x:c r="C61" s="275" t="s">
        <x:v>1009</x:v>
      </x:c>
      <x:c r="D61" s="274" t="s">
        <x:v>1010</x:v>
      </x:c>
      <x:c r="E61" s="276" t="s">
        <x:v>1011</x:v>
      </x:c>
      <x:c r="F61" s="277" t="s">
        <x:v>118</x:v>
      </x:c>
      <x:c r="G61" s="277" t="s">
        <x:v>118</x:v>
      </x:c>
      <x:c r="H61" s="277" t="s">
        <x:v>118</x:v>
      </x:c>
      <x:c r="I61" s="277" t="s">
        <x:v>118</x:v>
      </x:c>
      <x:c r="J61" s="277" t="s">
        <x:v>118</x:v>
      </x:c>
      <x:c r="K61" s="277" t="s">
        <x:v>118</x:v>
      </x:c>
      <x:c r="L61" s="277" t="s">
        <x:v>118</x:v>
      </x:c>
      <x:c r="M61" s="277" t="s">
        <x:v>118</x:v>
      </x:c>
      <x:c r="N61" s="277" t="s">
        <x:v>118</x:v>
      </x:c>
      <x:c r="O61" s="277" t="s">
        <x:v>118</x:v>
      </x:c>
      <x:c r="P61" s="277" t="s">
        <x:v>118</x:v>
      </x:c>
      <x:c r="Q61" s="277" t="s">
        <x:v>118</x:v>
      </x:c>
      <x:c r="R61" s="277" t="s">
        <x:v>118</x:v>
      </x:c>
      <x:c r="S61" s="277" t="s">
        <x:v>118</x:v>
      </x:c>
      <x:c r="T61" s="277" t="s">
        <x:v>118</x:v>
      </x:c>
      <x:c r="U61" s="277" t="s">
        <x:v>118</x:v>
      </x:c>
      <x:c r="V61" s="277" t="s">
        <x:v>118</x:v>
      </x:c>
      <x:c r="W61" s="277" t="s">
        <x:v>118</x:v>
      </x:c>
      <x:c r="X61" s="277" t="s">
        <x:v>118</x:v>
      </x:c>
      <x:c r="Y61" s="277" t="s">
        <x:v>118</x:v>
      </x:c>
      <x:c r="Z61" s="277" t="s">
        <x:v>118</x:v>
      </x:c>
      <x:c r="AA61" s="277" t="s">
        <x:v>118</x:v>
      </x:c>
      <x:c r="AB61" s="277" t="s">
        <x:v>118</x:v>
      </x:c>
      <x:c r="AC61" s="277" t="s">
        <x:v>118</x:v>
      </x:c>
      <x:c r="AD61" s="277" t="s">
        <x:v>118</x:v>
      </x:c>
      <x:c r="AE61" s="277" t="s">
        <x:v>118</x:v>
      </x:c>
      <x:c r="AF61" s="277" t="s">
        <x:v>118</x:v>
      </x:c>
      <x:c r="AG61" s="277" t="s">
        <x:v>118</x:v>
      </x:c>
      <x:c r="AH61" s="277" t="s">
        <x:v>118</x:v>
      </x:c>
      <x:c r="AI61" s="277" t="s">
        <x:v>118</x:v>
      </x:c>
      <x:c r="AJ61" s="277" t="s">
        <x:v>118</x:v>
      </x:c>
      <x:c r="AK61" s="220">
        <x:f>COUNTIF(F61:AJ61,"X")</x:f>
      </x:c>
      <x:c r="AL61" s="221"/>
      <x:c r="AM61" s="221"/>
      <x:c r="AN61" s="222"/>
      <x:c r="AO61" s="222"/>
      <x:c r="AP61" s="228"/>
      <x:c r="AQ61" s="228"/>
      <x:c r="AR61" s="228"/>
      <x:c r="AS61" s="228"/>
      <x:c r="AT61" s="230"/>
    </x:row>
    <x:row r="62" spans="1:47" ht="19.9" customHeight="1">
      <x:c r="A62" s="274" t="s">
        <x:v>1012</x:v>
      </x:c>
      <x:c r="B62" s="216"/>
      <x:c r="C62" s="275" t="s">
        <x:v>1013</x:v>
      </x:c>
      <x:c r="D62" s="274" t="s">
        <x:v>1014</x:v>
      </x:c>
      <x:c r="E62" s="276" t="s">
        <x:v>185</x:v>
      </x:c>
      <x:c r="F62" s="277" t="s">
        <x:v>118</x:v>
      </x:c>
      <x:c r="G62" s="277" t="s">
        <x:v>118</x:v>
      </x:c>
      <x:c r="H62" s="277" t="s">
        <x:v>118</x:v>
      </x:c>
      <x:c r="I62" s="277" t="s">
        <x:v>118</x:v>
      </x:c>
      <x:c r="J62" s="277" t="s">
        <x:v>118</x:v>
      </x:c>
      <x:c r="K62" s="277" t="s">
        <x:v>118</x:v>
      </x:c>
      <x:c r="L62" s="277" t="s">
        <x:v>118</x:v>
      </x:c>
      <x:c r="M62" s="277" t="s">
        <x:v>118</x:v>
      </x:c>
      <x:c r="N62" s="277" t="s">
        <x:v>118</x:v>
      </x:c>
      <x:c r="O62" s="277" t="s">
        <x:v>118</x:v>
      </x:c>
      <x:c r="P62" s="277" t="s">
        <x:v>118</x:v>
      </x:c>
      <x:c r="Q62" s="277" t="s">
        <x:v>118</x:v>
      </x:c>
      <x:c r="R62" s="277" t="s">
        <x:v>118</x:v>
      </x:c>
      <x:c r="S62" s="277" t="s">
        <x:v>118</x:v>
      </x:c>
      <x:c r="T62" s="277" t="s">
        <x:v>118</x:v>
      </x:c>
      <x:c r="U62" s="277" t="s">
        <x:v>118</x:v>
      </x:c>
      <x:c r="V62" s="277" t="s">
        <x:v>118</x:v>
      </x:c>
      <x:c r="W62" s="277" t="s">
        <x:v>118</x:v>
      </x:c>
      <x:c r="X62" s="277" t="s">
        <x:v>118</x:v>
      </x:c>
      <x:c r="Y62" s="277" t="s">
        <x:v>118</x:v>
      </x:c>
      <x:c r="Z62" s="277" t="s">
        <x:v>118</x:v>
      </x:c>
      <x:c r="AA62" s="277" t="s">
        <x:v>118</x:v>
      </x:c>
      <x:c r="AB62" s="277" t="s">
        <x:v>118</x:v>
      </x:c>
      <x:c r="AC62" s="277" t="s">
        <x:v>118</x:v>
      </x:c>
      <x:c r="AD62" s="277" t="s">
        <x:v>118</x:v>
      </x:c>
      <x:c r="AE62" s="277" t="s">
        <x:v>118</x:v>
      </x:c>
      <x:c r="AF62" s="277" t="s">
        <x:v>118</x:v>
      </x:c>
      <x:c r="AG62" s="277" t="s">
        <x:v>118</x:v>
      </x:c>
      <x:c r="AH62" s="277" t="s">
        <x:v>118</x:v>
      </x:c>
      <x:c r="AI62" s="277" t="s">
        <x:v>118</x:v>
      </x:c>
      <x:c r="AJ62" s="277" t="s">
        <x:v>118</x:v>
      </x:c>
      <x:c r="AK62" s="220">
        <x:f>COUNTIF(F62:AJ62,"X")</x:f>
      </x:c>
      <x:c r="AL62" s="221"/>
      <x:c r="AM62" s="221"/>
      <x:c r="AN62" s="222"/>
      <x:c r="AO62" s="222"/>
      <x:c r="AP62" s="228"/>
      <x:c r="AQ62" s="228"/>
      <x:c r="AR62" s="228"/>
      <x:c r="AS62" s="228"/>
      <x:c r="AT62" s="230"/>
    </x:row>
    <x:row r="63" spans="1:47" ht="19.9" customHeight="1">
      <x:c r="A63" s="274" t="s">
        <x:v>1015</x:v>
      </x:c>
      <x:c r="B63" s="216"/>
      <x:c r="C63" s="275" t="s">
        <x:v>1016</x:v>
      </x:c>
      <x:c r="D63" s="274" t="s">
        <x:v>1017</x:v>
      </x:c>
      <x:c r="E63" s="276" t="s">
        <x:v>1018</x:v>
      </x:c>
      <x:c r="F63" s="277" t="s">
        <x:v>118</x:v>
      </x:c>
      <x:c r="G63" s="277" t="s">
        <x:v>118</x:v>
      </x:c>
      <x:c r="H63" s="277" t="s">
        <x:v>118</x:v>
      </x:c>
      <x:c r="I63" s="277" t="s">
        <x:v>118</x:v>
      </x:c>
      <x:c r="J63" s="277" t="s">
        <x:v>118</x:v>
      </x:c>
      <x:c r="K63" s="277" t="s">
        <x:v>118</x:v>
      </x:c>
      <x:c r="L63" s="277" t="s">
        <x:v>118</x:v>
      </x:c>
      <x:c r="M63" s="277" t="s">
        <x:v>118</x:v>
      </x:c>
      <x:c r="N63" s="277" t="s">
        <x:v>118</x:v>
      </x:c>
      <x:c r="O63" s="277" t="s">
        <x:v>118</x:v>
      </x:c>
      <x:c r="P63" s="277" t="s">
        <x:v>118</x:v>
      </x:c>
      <x:c r="Q63" s="277" t="s">
        <x:v>118</x:v>
      </x:c>
      <x:c r="R63" s="277" t="s">
        <x:v>118</x:v>
      </x:c>
      <x:c r="S63" s="277" t="s">
        <x:v>118</x:v>
      </x:c>
      <x:c r="T63" s="277" t="s">
        <x:v>118</x:v>
      </x:c>
      <x:c r="U63" s="277" t="s">
        <x:v>118</x:v>
      </x:c>
      <x:c r="V63" s="277" t="s">
        <x:v>118</x:v>
      </x:c>
      <x:c r="W63" s="277" t="s">
        <x:v>118</x:v>
      </x:c>
      <x:c r="X63" s="277" t="s">
        <x:v>118</x:v>
      </x:c>
      <x:c r="Y63" s="277" t="s">
        <x:v>118</x:v>
      </x:c>
      <x:c r="Z63" s="277" t="s">
        <x:v>118</x:v>
      </x:c>
      <x:c r="AA63" s="277" t="s">
        <x:v>118</x:v>
      </x:c>
      <x:c r="AB63" s="277" t="s">
        <x:v>118</x:v>
      </x:c>
      <x:c r="AC63" s="277" t="s">
        <x:v>118</x:v>
      </x:c>
      <x:c r="AD63" s="277" t="s">
        <x:v>118</x:v>
      </x:c>
      <x:c r="AE63" s="277" t="s">
        <x:v>118</x:v>
      </x:c>
      <x:c r="AF63" s="277" t="s">
        <x:v>118</x:v>
      </x:c>
      <x:c r="AG63" s="277" t="s">
        <x:v>118</x:v>
      </x:c>
      <x:c r="AH63" s="277" t="s">
        <x:v>118</x:v>
      </x:c>
      <x:c r="AI63" s="277" t="s">
        <x:v>118</x:v>
      </x:c>
      <x:c r="AJ63" s="277" t="s">
        <x:v>118</x:v>
      </x:c>
      <x:c r="AK63" s="220">
        <x:f>COUNTIF(F63:AJ63,"X")</x:f>
      </x:c>
      <x:c r="AL63" s="221"/>
      <x:c r="AM63" s="221"/>
      <x:c r="AN63" s="222"/>
      <x:c r="AO63" s="222"/>
      <x:c r="AP63" s="228"/>
      <x:c r="AQ63" s="228"/>
      <x:c r="AR63" s="228"/>
      <x:c r="AS63" s="228"/>
      <x:c r="AT63" s="230"/>
    </x:row>
    <x:row r="64" spans="1:47" ht="19.9" customHeight="1">
      <x:c r="A64" s="274" t="s">
        <x:v>1019</x:v>
      </x:c>
      <x:c r="B64" s="216"/>
      <x:c r="C64" s="275" t="s">
        <x:v>1020</x:v>
      </x:c>
      <x:c r="D64" s="274" t="s">
        <x:v>1021</x:v>
      </x:c>
      <x:c r="E64" s="276" t="s">
        <x:v>1022</x:v>
      </x:c>
      <x:c r="F64" s="277" t="s">
        <x:v>118</x:v>
      </x:c>
      <x:c r="G64" s="277" t="s">
        <x:v>118</x:v>
      </x:c>
      <x:c r="H64" s="277" t="s">
        <x:v>118</x:v>
      </x:c>
      <x:c r="I64" s="277" t="s">
        <x:v>118</x:v>
      </x:c>
      <x:c r="J64" s="277" t="s">
        <x:v>118</x:v>
      </x:c>
      <x:c r="K64" s="277" t="s">
        <x:v>118</x:v>
      </x:c>
      <x:c r="L64" s="277" t="s">
        <x:v>118</x:v>
      </x:c>
      <x:c r="M64" s="277" t="s">
        <x:v>118</x:v>
      </x:c>
      <x:c r="N64" s="277" t="s">
        <x:v>118</x:v>
      </x:c>
      <x:c r="O64" s="277" t="s">
        <x:v>118</x:v>
      </x:c>
      <x:c r="P64" s="277" t="s">
        <x:v>118</x:v>
      </x:c>
      <x:c r="Q64" s="277" t="s">
        <x:v>118</x:v>
      </x:c>
      <x:c r="R64" s="277" t="s">
        <x:v>118</x:v>
      </x:c>
      <x:c r="S64" s="277" t="s">
        <x:v>118</x:v>
      </x:c>
      <x:c r="T64" s="277" t="s">
        <x:v>118</x:v>
      </x:c>
      <x:c r="U64" s="277" t="s">
        <x:v>118</x:v>
      </x:c>
      <x:c r="V64" s="277" t="s">
        <x:v>118</x:v>
      </x:c>
      <x:c r="W64" s="277" t="s">
        <x:v>118</x:v>
      </x:c>
      <x:c r="X64" s="277" t="s">
        <x:v>118</x:v>
      </x:c>
      <x:c r="Y64" s="277" t="s">
        <x:v>118</x:v>
      </x:c>
      <x:c r="Z64" s="277" t="s">
        <x:v>118</x:v>
      </x:c>
      <x:c r="AA64" s="277" t="s">
        <x:v>118</x:v>
      </x:c>
      <x:c r="AB64" s="277" t="s">
        <x:v>118</x:v>
      </x:c>
      <x:c r="AC64" s="277" t="s">
        <x:v>118</x:v>
      </x:c>
      <x:c r="AD64" s="277" t="s">
        <x:v>118</x:v>
      </x:c>
      <x:c r="AE64" s="277" t="s">
        <x:v>118</x:v>
      </x:c>
      <x:c r="AF64" s="277" t="s">
        <x:v>118</x:v>
      </x:c>
      <x:c r="AG64" s="277" t="s">
        <x:v>118</x:v>
      </x:c>
      <x:c r="AH64" s="277" t="s">
        <x:v>118</x:v>
      </x:c>
      <x:c r="AI64" s="277" t="s">
        <x:v>118</x:v>
      </x:c>
      <x:c r="AJ64" s="277" t="s">
        <x:v>118</x:v>
      </x:c>
      <x:c r="AK64" s="220">
        <x:f>COUNTIF(F64:AJ64,"X")</x:f>
      </x:c>
      <x:c r="AL64" s="221"/>
      <x:c r="AM64" s="221"/>
      <x:c r="AN64" s="222"/>
      <x:c r="AO64" s="222"/>
      <x:c r="AP64" s="228"/>
      <x:c r="AQ64" s="228"/>
      <x:c r="AR64" s="228"/>
      <x:c r="AS64" s="228"/>
      <x:c r="AT64" s="230"/>
    </x:row>
    <x:row r="65" spans="1:47" ht="19.9" customHeight="1">
      <x:c r="A65" s="274" t="s">
        <x:v>1023</x:v>
      </x:c>
      <x:c r="B65" s="216"/>
      <x:c r="C65" s="275" t="s">
        <x:v>1024</x:v>
      </x:c>
      <x:c r="D65" s="274" t="s">
        <x:v>1025</x:v>
      </x:c>
      <x:c r="E65" s="276" t="s">
        <x:v>1026</x:v>
      </x:c>
      <x:c r="F65" s="277" t="s">
        <x:v>118</x:v>
      </x:c>
      <x:c r="G65" s="277" t="s">
        <x:v>118</x:v>
      </x:c>
      <x:c r="H65" s="277" t="s">
        <x:v>118</x:v>
      </x:c>
      <x:c r="I65" s="277" t="s">
        <x:v>118</x:v>
      </x:c>
      <x:c r="J65" s="277" t="s">
        <x:v>118</x:v>
      </x:c>
      <x:c r="K65" s="277" t="s">
        <x:v>118</x:v>
      </x:c>
      <x:c r="L65" s="277" t="s">
        <x:v>118</x:v>
      </x:c>
      <x:c r="M65" s="277" t="s">
        <x:v>118</x:v>
      </x:c>
      <x:c r="N65" s="277" t="s">
        <x:v>118</x:v>
      </x:c>
      <x:c r="O65" s="277" t="s">
        <x:v>118</x:v>
      </x:c>
      <x:c r="P65" s="277" t="s">
        <x:v>118</x:v>
      </x:c>
      <x:c r="Q65" s="277" t="s">
        <x:v>118</x:v>
      </x:c>
      <x:c r="R65" s="277" t="s">
        <x:v>118</x:v>
      </x:c>
      <x:c r="S65" s="277" t="s">
        <x:v>118</x:v>
      </x:c>
      <x:c r="T65" s="277" t="s">
        <x:v>118</x:v>
      </x:c>
      <x:c r="U65" s="277" t="s">
        <x:v>118</x:v>
      </x:c>
      <x:c r="V65" s="277" t="s">
        <x:v>118</x:v>
      </x:c>
      <x:c r="W65" s="277" t="s">
        <x:v>118</x:v>
      </x:c>
      <x:c r="X65" s="277" t="s">
        <x:v>118</x:v>
      </x:c>
      <x:c r="Y65" s="277" t="s">
        <x:v>118</x:v>
      </x:c>
      <x:c r="Z65" s="277" t="s">
        <x:v>118</x:v>
      </x:c>
      <x:c r="AA65" s="277" t="s">
        <x:v>118</x:v>
      </x:c>
      <x:c r="AB65" s="277" t="s">
        <x:v>118</x:v>
      </x:c>
      <x:c r="AC65" s="277" t="s">
        <x:v>118</x:v>
      </x:c>
      <x:c r="AD65" s="277" t="s">
        <x:v>118</x:v>
      </x:c>
      <x:c r="AE65" s="277" t="s">
        <x:v>118</x:v>
      </x:c>
      <x:c r="AF65" s="277" t="s">
        <x:v>118</x:v>
      </x:c>
      <x:c r="AG65" s="277" t="s">
        <x:v>118</x:v>
      </x:c>
      <x:c r="AH65" s="277" t="s">
        <x:v>118</x:v>
      </x:c>
      <x:c r="AI65" s="277" t="s">
        <x:v>118</x:v>
      </x:c>
      <x:c r="AJ65" s="277" t="s">
        <x:v>118</x:v>
      </x:c>
      <x:c r="AK65" s="220">
        <x:f>COUNTIF(F65:AJ65,"X")</x:f>
      </x:c>
      <x:c r="AL65" s="221"/>
      <x:c r="AM65" s="221"/>
      <x:c r="AN65" s="222"/>
      <x:c r="AO65" s="222"/>
      <x:c r="AP65" s="228"/>
      <x:c r="AQ65" s="228"/>
      <x:c r="AR65" s="228"/>
      <x:c r="AS65" s="228"/>
      <x:c r="AT65" s="230"/>
    </x:row>
    <x:row r="66" spans="1:47" ht="19.9" customHeight="1">
      <x:c r="A66" s="274" t="s">
        <x:v>1027</x:v>
      </x:c>
      <x:c r="B66" s="216"/>
      <x:c r="C66" s="275" t="s">
        <x:v>1028</x:v>
      </x:c>
      <x:c r="D66" s="274" t="s">
        <x:v>1029</x:v>
      </x:c>
      <x:c r="E66" s="276" t="s">
        <x:v>1030</x:v>
      </x:c>
      <x:c r="F66" s="277" t="s">
        <x:v>118</x:v>
      </x:c>
      <x:c r="G66" s="277" t="s">
        <x:v>118</x:v>
      </x:c>
      <x:c r="H66" s="277" t="s">
        <x:v>118</x:v>
      </x:c>
      <x:c r="I66" s="277" t="s">
        <x:v>118</x:v>
      </x:c>
      <x:c r="J66" s="277" t="s">
        <x:v>118</x:v>
      </x:c>
      <x:c r="K66" s="277" t="s">
        <x:v>118</x:v>
      </x:c>
      <x:c r="L66" s="277" t="s">
        <x:v>118</x:v>
      </x:c>
      <x:c r="M66" s="277" t="s">
        <x:v>118</x:v>
      </x:c>
      <x:c r="N66" s="277" t="s">
        <x:v>118</x:v>
      </x:c>
      <x:c r="O66" s="277" t="s">
        <x:v>118</x:v>
      </x:c>
      <x:c r="P66" s="277" t="s">
        <x:v>118</x:v>
      </x:c>
      <x:c r="Q66" s="277" t="s">
        <x:v>118</x:v>
      </x:c>
      <x:c r="R66" s="277" t="s">
        <x:v>118</x:v>
      </x:c>
      <x:c r="S66" s="277" t="s">
        <x:v>118</x:v>
      </x:c>
      <x:c r="T66" s="277" t="s">
        <x:v>118</x:v>
      </x:c>
      <x:c r="U66" s="277" t="s">
        <x:v>118</x:v>
      </x:c>
      <x:c r="V66" s="277" t="s">
        <x:v>118</x:v>
      </x:c>
      <x:c r="W66" s="277" t="s">
        <x:v>118</x:v>
      </x:c>
      <x:c r="X66" s="277" t="s">
        <x:v>118</x:v>
      </x:c>
      <x:c r="Y66" s="277" t="s">
        <x:v>118</x:v>
      </x:c>
      <x:c r="Z66" s="277" t="s">
        <x:v>118</x:v>
      </x:c>
      <x:c r="AA66" s="277" t="s">
        <x:v>118</x:v>
      </x:c>
      <x:c r="AB66" s="277" t="s">
        <x:v>118</x:v>
      </x:c>
      <x:c r="AC66" s="277" t="s">
        <x:v>118</x:v>
      </x:c>
      <x:c r="AD66" s="277" t="s">
        <x:v>118</x:v>
      </x:c>
      <x:c r="AE66" s="277" t="s">
        <x:v>118</x:v>
      </x:c>
      <x:c r="AF66" s="277" t="s">
        <x:v>118</x:v>
      </x:c>
      <x:c r="AG66" s="277" t="s">
        <x:v>118</x:v>
      </x:c>
      <x:c r="AH66" s="277" t="s">
        <x:v>118</x:v>
      </x:c>
      <x:c r="AI66" s="277" t="s">
        <x:v>118</x:v>
      </x:c>
      <x:c r="AJ66" s="277" t="s">
        <x:v>118</x:v>
      </x:c>
      <x:c r="AK66" s="220">
        <x:f>COUNTIF(F66:AJ66,"X")</x:f>
      </x:c>
      <x:c r="AL66" s="221"/>
      <x:c r="AM66" s="221"/>
      <x:c r="AN66" s="222"/>
      <x:c r="AO66" s="222"/>
      <x:c r="AP66" s="228"/>
      <x:c r="AQ66" s="228"/>
      <x:c r="AR66" s="228"/>
      <x:c r="AS66" s="228"/>
      <x:c r="AT66" s="230"/>
    </x:row>
    <x:row r="67" spans="1:47" ht="19.9" customHeight="1">
      <x:c r="A67" s="274" t="s">
        <x:v>1031</x:v>
      </x:c>
      <x:c r="B67" s="216"/>
      <x:c r="C67" s="275" t="s">
        <x:v>1032</x:v>
      </x:c>
      <x:c r="D67" s="274" t="s">
        <x:v>1033</x:v>
      </x:c>
      <x:c r="E67" s="276" t="s">
        <x:v>1034</x:v>
      </x:c>
      <x:c r="F67" s="277" t="s">
        <x:v>118</x:v>
      </x:c>
      <x:c r="G67" s="277" t="s">
        <x:v>118</x:v>
      </x:c>
      <x:c r="H67" s="277" t="s">
        <x:v>118</x:v>
      </x:c>
      <x:c r="I67" s="277" t="s">
        <x:v>118</x:v>
      </x:c>
      <x:c r="J67" s="277" t="s">
        <x:v>118</x:v>
      </x:c>
      <x:c r="K67" s="277" t="s">
        <x:v>118</x:v>
      </x:c>
      <x:c r="L67" s="277" t="s">
        <x:v>118</x:v>
      </x:c>
      <x:c r="M67" s="277" t="s">
        <x:v>118</x:v>
      </x:c>
      <x:c r="N67" s="277" t="s">
        <x:v>118</x:v>
      </x:c>
      <x:c r="O67" s="277" t="s">
        <x:v>118</x:v>
      </x:c>
      <x:c r="P67" s="277" t="s">
        <x:v>118</x:v>
      </x:c>
      <x:c r="Q67" s="277" t="s">
        <x:v>118</x:v>
      </x:c>
      <x:c r="R67" s="277" t="s">
        <x:v>118</x:v>
      </x:c>
      <x:c r="S67" s="277" t="s">
        <x:v>118</x:v>
      </x:c>
      <x:c r="T67" s="277" t="s">
        <x:v>118</x:v>
      </x:c>
      <x:c r="U67" s="277" t="s">
        <x:v>118</x:v>
      </x:c>
      <x:c r="V67" s="277" t="s">
        <x:v>118</x:v>
      </x:c>
      <x:c r="W67" s="277" t="s">
        <x:v>118</x:v>
      </x:c>
      <x:c r="X67" s="277" t="s">
        <x:v>118</x:v>
      </x:c>
      <x:c r="Y67" s="277" t="s">
        <x:v>118</x:v>
      </x:c>
      <x:c r="Z67" s="277" t="s">
        <x:v>118</x:v>
      </x:c>
      <x:c r="AA67" s="277" t="s">
        <x:v>118</x:v>
      </x:c>
      <x:c r="AB67" s="277" t="s">
        <x:v>118</x:v>
      </x:c>
      <x:c r="AC67" s="277" t="s">
        <x:v>118</x:v>
      </x:c>
      <x:c r="AD67" s="277" t="s">
        <x:v>118</x:v>
      </x:c>
      <x:c r="AE67" s="277" t="s">
        <x:v>118</x:v>
      </x:c>
      <x:c r="AF67" s="277" t="s">
        <x:v>118</x:v>
      </x:c>
      <x:c r="AG67" s="277" t="s">
        <x:v>118</x:v>
      </x:c>
      <x:c r="AH67" s="277" t="s">
        <x:v>118</x:v>
      </x:c>
      <x:c r="AI67" s="277" t="s">
        <x:v>118</x:v>
      </x:c>
      <x:c r="AJ67" s="277" t="s">
        <x:v>118</x:v>
      </x:c>
      <x:c r="AK67" s="220">
        <x:f>COUNTIF(F67:AJ67,"X")</x:f>
      </x:c>
      <x:c r="AL67" s="221"/>
      <x:c r="AM67" s="221"/>
      <x:c r="AN67" s="222"/>
      <x:c r="AO67" s="222"/>
      <x:c r="AP67" s="228"/>
      <x:c r="AQ67" s="228"/>
      <x:c r="AR67" s="228"/>
      <x:c r="AS67" s="228"/>
      <x:c r="AT67" s="230"/>
    </x:row>
    <x:row r="68" spans="1:47" ht="19.9" customHeight="1">
      <x:c r="A68" s="274" t="s">
        <x:v>1035</x:v>
      </x:c>
      <x:c r="B68" s="216"/>
      <x:c r="C68" s="275" t="s">
        <x:v>1036</x:v>
      </x:c>
      <x:c r="D68" s="274" t="s">
        <x:v>260</x:v>
      </x:c>
      <x:c r="E68" s="276" t="s">
        <x:v>2</x:v>
      </x:c>
      <x:c r="F68" s="277" t="s">
        <x:v>118</x:v>
      </x:c>
      <x:c r="G68" s="277" t="s">
        <x:v>118</x:v>
      </x:c>
      <x:c r="H68" s="277" t="s">
        <x:v>118</x:v>
      </x:c>
      <x:c r="I68" s="277" t="s">
        <x:v>118</x:v>
      </x:c>
      <x:c r="J68" s="277" t="s">
        <x:v>118</x:v>
      </x:c>
      <x:c r="K68" s="277" t="s">
        <x:v>118</x:v>
      </x:c>
      <x:c r="L68" s="277" t="s">
        <x:v>118</x:v>
      </x:c>
      <x:c r="M68" s="277" t="s">
        <x:v>118</x:v>
      </x:c>
      <x:c r="N68" s="277" t="s">
        <x:v>118</x:v>
      </x:c>
      <x:c r="O68" s="277" t="s">
        <x:v>118</x:v>
      </x:c>
      <x:c r="P68" s="277" t="s">
        <x:v>118</x:v>
      </x:c>
      <x:c r="Q68" s="277" t="s">
        <x:v>118</x:v>
      </x:c>
      <x:c r="R68" s="277" t="s">
        <x:v>118</x:v>
      </x:c>
      <x:c r="S68" s="277" t="s">
        <x:v>118</x:v>
      </x:c>
      <x:c r="T68" s="277" t="s">
        <x:v>118</x:v>
      </x:c>
      <x:c r="U68" s="277" t="s">
        <x:v>118</x:v>
      </x:c>
      <x:c r="V68" s="277" t="s">
        <x:v>118</x:v>
      </x:c>
      <x:c r="W68" s="277" t="s">
        <x:v>118</x:v>
      </x:c>
      <x:c r="X68" s="277" t="s">
        <x:v>118</x:v>
      </x:c>
      <x:c r="Y68" s="277" t="s">
        <x:v>118</x:v>
      </x:c>
      <x:c r="Z68" s="277" t="s">
        <x:v>118</x:v>
      </x:c>
      <x:c r="AA68" s="277" t="s">
        <x:v>118</x:v>
      </x:c>
      <x:c r="AB68" s="277" t="s">
        <x:v>118</x:v>
      </x:c>
      <x:c r="AC68" s="277" t="s">
        <x:v>118</x:v>
      </x:c>
      <x:c r="AD68" s="277" t="s">
        <x:v>118</x:v>
      </x:c>
      <x:c r="AE68" s="277" t="s">
        <x:v>118</x:v>
      </x:c>
      <x:c r="AF68" s="277" t="s">
        <x:v>118</x:v>
      </x:c>
      <x:c r="AG68" s="277" t="s">
        <x:v>118</x:v>
      </x:c>
      <x:c r="AH68" s="277" t="s">
        <x:v>118</x:v>
      </x:c>
      <x:c r="AI68" s="277" t="s">
        <x:v>118</x:v>
      </x:c>
      <x:c r="AJ68" s="277" t="s">
        <x:v>118</x:v>
      </x:c>
      <x:c r="AK68" s="220">
        <x:f>COUNTIF(F68:AJ68,"X")</x:f>
      </x:c>
      <x:c r="AL68" s="221"/>
      <x:c r="AM68" s="221"/>
      <x:c r="AN68" s="222"/>
      <x:c r="AO68" s="222"/>
      <x:c r="AP68" s="228"/>
      <x:c r="AQ68" s="228"/>
      <x:c r="AR68" s="228"/>
      <x:c r="AS68" s="228"/>
      <x:c r="AT68" s="230"/>
    </x:row>
    <x:row r="69" spans="1:47" ht="19.9" customHeight="1">
      <x:c r="A69" s="274" t="s">
        <x:v>1037</x:v>
      </x:c>
      <x:c r="B69" s="216"/>
      <x:c r="C69" s="275" t="s">
        <x:v>1038</x:v>
      </x:c>
      <x:c r="D69" s="274" t="s">
        <x:v>260</x:v>
      </x:c>
      <x:c r="E69" s="276" t="s">
        <x:v>1039</x:v>
      </x:c>
      <x:c r="F69" s="277" t="s">
        <x:v>118</x:v>
      </x:c>
      <x:c r="G69" s="277" t="s">
        <x:v>118</x:v>
      </x:c>
      <x:c r="H69" s="277" t="s">
        <x:v>118</x:v>
      </x:c>
      <x:c r="I69" s="277" t="s">
        <x:v>118</x:v>
      </x:c>
      <x:c r="J69" s="277" t="s">
        <x:v>118</x:v>
      </x:c>
      <x:c r="K69" s="277" t="s">
        <x:v>118</x:v>
      </x:c>
      <x:c r="L69" s="277" t="s">
        <x:v>118</x:v>
      </x:c>
      <x:c r="M69" s="277" t="s">
        <x:v>118</x:v>
      </x:c>
      <x:c r="N69" s="277" t="s">
        <x:v>118</x:v>
      </x:c>
      <x:c r="O69" s="277" t="s">
        <x:v>118</x:v>
      </x:c>
      <x:c r="P69" s="277" t="s">
        <x:v>118</x:v>
      </x:c>
      <x:c r="Q69" s="277" t="s">
        <x:v>118</x:v>
      </x:c>
      <x:c r="R69" s="277" t="s">
        <x:v>118</x:v>
      </x:c>
      <x:c r="S69" s="277" t="s">
        <x:v>118</x:v>
      </x:c>
      <x:c r="T69" s="277" t="s">
        <x:v>118</x:v>
      </x:c>
      <x:c r="U69" s="277" t="s">
        <x:v>118</x:v>
      </x:c>
      <x:c r="V69" s="277" t="s">
        <x:v>118</x:v>
      </x:c>
      <x:c r="W69" s="277" t="s">
        <x:v>118</x:v>
      </x:c>
      <x:c r="X69" s="277" t="s">
        <x:v>118</x:v>
      </x:c>
      <x:c r="Y69" s="277" t="s">
        <x:v>118</x:v>
      </x:c>
      <x:c r="Z69" s="277" t="s">
        <x:v>118</x:v>
      </x:c>
      <x:c r="AA69" s="277" t="s">
        <x:v>118</x:v>
      </x:c>
      <x:c r="AB69" s="277" t="s">
        <x:v>118</x:v>
      </x:c>
      <x:c r="AC69" s="277" t="s">
        <x:v>118</x:v>
      </x:c>
      <x:c r="AD69" s="277" t="s">
        <x:v>118</x:v>
      </x:c>
      <x:c r="AE69" s="277" t="s">
        <x:v>118</x:v>
      </x:c>
      <x:c r="AF69" s="277" t="s">
        <x:v>118</x:v>
      </x:c>
      <x:c r="AG69" s="277" t="s">
        <x:v>118</x:v>
      </x:c>
      <x:c r="AH69" s="277" t="s">
        <x:v>118</x:v>
      </x:c>
      <x:c r="AI69" s="277" t="s">
        <x:v>118</x:v>
      </x:c>
      <x:c r="AJ69" s="277" t="s">
        <x:v>118</x:v>
      </x:c>
      <x:c r="AK69" s="220">
        <x:f>COUNTIF(F69:AJ69,"X")</x:f>
      </x:c>
      <x:c r="AL69" s="221"/>
      <x:c r="AM69" s="221"/>
      <x:c r="AN69" s="222"/>
      <x:c r="AO69" s="222"/>
      <x:c r="AP69" s="228"/>
      <x:c r="AQ69" s="228"/>
      <x:c r="AR69" s="228"/>
      <x:c r="AS69" s="228"/>
      <x:c r="AT69" s="230"/>
    </x:row>
    <x:row r="70" spans="1:47" ht="19.9" customHeight="1">
      <x:c r="A70" s="274" t="s">
        <x:v>1040</x:v>
      </x:c>
      <x:c r="B70" s="216"/>
      <x:c r="C70" s="275" t="s">
        <x:v>1041</x:v>
      </x:c>
      <x:c r="D70" s="274" t="s">
        <x:v>1042</x:v>
      </x:c>
      <x:c r="E70" s="276" t="s">
        <x:v>1043</x:v>
      </x:c>
      <x:c r="F70" s="277" t="s">
        <x:v>118</x:v>
      </x:c>
      <x:c r="G70" s="277" t="s">
        <x:v>118</x:v>
      </x:c>
      <x:c r="H70" s="277" t="s">
        <x:v>118</x:v>
      </x:c>
      <x:c r="I70" s="277" t="s">
        <x:v>118</x:v>
      </x:c>
      <x:c r="J70" s="277" t="s">
        <x:v>118</x:v>
      </x:c>
      <x:c r="K70" s="277" t="s">
        <x:v>118</x:v>
      </x:c>
      <x:c r="L70" s="277" t="s">
        <x:v>118</x:v>
      </x:c>
      <x:c r="M70" s="277" t="s">
        <x:v>118</x:v>
      </x:c>
      <x:c r="N70" s="277" t="s">
        <x:v>118</x:v>
      </x:c>
      <x:c r="O70" s="277" t="s">
        <x:v>118</x:v>
      </x:c>
      <x:c r="P70" s="277" t="s">
        <x:v>118</x:v>
      </x:c>
      <x:c r="Q70" s="277" t="s">
        <x:v>118</x:v>
      </x:c>
      <x:c r="R70" s="277" t="s">
        <x:v>118</x:v>
      </x:c>
      <x:c r="S70" s="277" t="s">
        <x:v>118</x:v>
      </x:c>
      <x:c r="T70" s="277" t="s">
        <x:v>118</x:v>
      </x:c>
      <x:c r="U70" s="277" t="s">
        <x:v>118</x:v>
      </x:c>
      <x:c r="V70" s="277" t="s">
        <x:v>118</x:v>
      </x:c>
      <x:c r="W70" s="277" t="s">
        <x:v>118</x:v>
      </x:c>
      <x:c r="X70" s="277" t="s">
        <x:v>118</x:v>
      </x:c>
      <x:c r="Y70" s="277" t="s">
        <x:v>118</x:v>
      </x:c>
      <x:c r="Z70" s="277" t="s">
        <x:v>118</x:v>
      </x:c>
      <x:c r="AA70" s="277" t="s">
        <x:v>118</x:v>
      </x:c>
      <x:c r="AB70" s="277" t="s">
        <x:v>118</x:v>
      </x:c>
      <x:c r="AC70" s="277" t="s">
        <x:v>118</x:v>
      </x:c>
      <x:c r="AD70" s="277" t="s">
        <x:v>118</x:v>
      </x:c>
      <x:c r="AE70" s="277" t="s">
        <x:v>118</x:v>
      </x:c>
      <x:c r="AF70" s="277" t="s">
        <x:v>118</x:v>
      </x:c>
      <x:c r="AG70" s="277" t="s">
        <x:v>118</x:v>
      </x:c>
      <x:c r="AH70" s="277" t="s">
        <x:v>118</x:v>
      </x:c>
      <x:c r="AI70" s="277" t="s">
        <x:v>118</x:v>
      </x:c>
      <x:c r="AJ70" s="277" t="s">
        <x:v>118</x:v>
      </x:c>
      <x:c r="AK70" s="220">
        <x:f>COUNTIF(F70:AJ70,"X")</x:f>
      </x:c>
      <x:c r="AL70" s="221"/>
      <x:c r="AM70" s="221"/>
      <x:c r="AN70" s="222"/>
      <x:c r="AO70" s="222"/>
      <x:c r="AP70" s="228"/>
      <x:c r="AQ70" s="228"/>
      <x:c r="AR70" s="228"/>
      <x:c r="AS70" s="228"/>
      <x:c r="AT70" s="230"/>
    </x:row>
    <x:row r="71" spans="1:47" ht="19.9" customHeight="1">
      <x:c r="A71" s="274" t="s">
        <x:v>1044</x:v>
      </x:c>
      <x:c r="B71" s="216"/>
      <x:c r="C71" s="275" t="s">
        <x:v>1045</x:v>
      </x:c>
      <x:c r="D71" s="274" t="s">
        <x:v>1046</x:v>
      </x:c>
      <x:c r="E71" s="276" t="s">
        <x:v>1047</x:v>
      </x:c>
      <x:c r="F71" s="277" t="s">
        <x:v>118</x:v>
      </x:c>
      <x:c r="G71" s="277" t="s">
        <x:v>118</x:v>
      </x:c>
      <x:c r="H71" s="277" t="s">
        <x:v>118</x:v>
      </x:c>
      <x:c r="I71" s="277" t="s">
        <x:v>118</x:v>
      </x:c>
      <x:c r="J71" s="277" t="s">
        <x:v>118</x:v>
      </x:c>
      <x:c r="K71" s="277" t="s">
        <x:v>118</x:v>
      </x:c>
      <x:c r="L71" s="277" t="s">
        <x:v>118</x:v>
      </x:c>
      <x:c r="M71" s="277" t="s">
        <x:v>118</x:v>
      </x:c>
      <x:c r="N71" s="277" t="s">
        <x:v>118</x:v>
      </x:c>
      <x:c r="O71" s="277" t="s">
        <x:v>118</x:v>
      </x:c>
      <x:c r="P71" s="277" t="s">
        <x:v>118</x:v>
      </x:c>
      <x:c r="Q71" s="277" t="s">
        <x:v>118</x:v>
      </x:c>
      <x:c r="R71" s="277" t="s">
        <x:v>118</x:v>
      </x:c>
      <x:c r="S71" s="277" t="s">
        <x:v>118</x:v>
      </x:c>
      <x:c r="T71" s="277" t="s">
        <x:v>118</x:v>
      </x:c>
      <x:c r="U71" s="277" t="s">
        <x:v>118</x:v>
      </x:c>
      <x:c r="V71" s="277" t="s">
        <x:v>118</x:v>
      </x:c>
      <x:c r="W71" s="277" t="s">
        <x:v>118</x:v>
      </x:c>
      <x:c r="X71" s="277" t="s">
        <x:v>118</x:v>
      </x:c>
      <x:c r="Y71" s="277" t="s">
        <x:v>118</x:v>
      </x:c>
      <x:c r="Z71" s="277" t="s">
        <x:v>118</x:v>
      </x:c>
      <x:c r="AA71" s="277" t="s">
        <x:v>118</x:v>
      </x:c>
      <x:c r="AB71" s="277" t="s">
        <x:v>118</x:v>
      </x:c>
      <x:c r="AC71" s="277" t="s">
        <x:v>118</x:v>
      </x:c>
      <x:c r="AD71" s="277" t="s">
        <x:v>118</x:v>
      </x:c>
      <x:c r="AE71" s="277" t="s">
        <x:v>118</x:v>
      </x:c>
      <x:c r="AF71" s="277" t="s">
        <x:v>118</x:v>
      </x:c>
      <x:c r="AG71" s="277" t="s">
        <x:v>118</x:v>
      </x:c>
      <x:c r="AH71" s="277" t="s">
        <x:v>118</x:v>
      </x:c>
      <x:c r="AI71" s="277" t="s">
        <x:v>118</x:v>
      </x:c>
      <x:c r="AJ71" s="277" t="s">
        <x:v>118</x:v>
      </x:c>
      <x:c r="AK71" s="220">
        <x:f>COUNTIF(F71:AJ71,"X")</x:f>
      </x:c>
      <x:c r="AL71" s="221"/>
      <x:c r="AM71" s="221"/>
      <x:c r="AN71" s="222"/>
      <x:c r="AO71" s="222"/>
      <x:c r="AP71" s="228"/>
      <x:c r="AQ71" s="228"/>
      <x:c r="AR71" s="228"/>
      <x:c r="AS71" s="228"/>
      <x:c r="AT71" s="230"/>
    </x:row>
    <x:row r="72" spans="1:47" ht="19.9" customHeight="1">
      <x:c r="A72" s="274" t="s">
        <x:v>1048</x:v>
      </x:c>
      <x:c r="B72" s="216"/>
      <x:c r="C72" s="275" t="s">
        <x:v>1049</x:v>
      </x:c>
      <x:c r="D72" s="274" t="s">
        <x:v>1050</x:v>
      </x:c>
      <x:c r="E72" s="276" t="s">
        <x:v>1051</x:v>
      </x:c>
      <x:c r="F72" s="277" t="s">
        <x:v>118</x:v>
      </x:c>
      <x:c r="G72" s="277" t="s">
        <x:v>118</x:v>
      </x:c>
      <x:c r="H72" s="277" t="s">
        <x:v>118</x:v>
      </x:c>
      <x:c r="I72" s="277" t="s">
        <x:v>118</x:v>
      </x:c>
      <x:c r="J72" s="277" t="s">
        <x:v>118</x:v>
      </x:c>
      <x:c r="K72" s="277" t="s">
        <x:v>118</x:v>
      </x:c>
      <x:c r="L72" s="277" t="s">
        <x:v>118</x:v>
      </x:c>
      <x:c r="M72" s="277" t="s">
        <x:v>118</x:v>
      </x:c>
      <x:c r="N72" s="277" t="s">
        <x:v>118</x:v>
      </x:c>
      <x:c r="O72" s="277" t="s">
        <x:v>118</x:v>
      </x:c>
      <x:c r="P72" s="277" t="s">
        <x:v>118</x:v>
      </x:c>
      <x:c r="Q72" s="277" t="s">
        <x:v>118</x:v>
      </x:c>
      <x:c r="R72" s="277" t="s">
        <x:v>118</x:v>
      </x:c>
      <x:c r="S72" s="277" t="s">
        <x:v>118</x:v>
      </x:c>
      <x:c r="T72" s="277" t="s">
        <x:v>118</x:v>
      </x:c>
      <x:c r="U72" s="277" t="s">
        <x:v>118</x:v>
      </x:c>
      <x:c r="V72" s="277" t="s">
        <x:v>118</x:v>
      </x:c>
      <x:c r="W72" s="277" t="s">
        <x:v>118</x:v>
      </x:c>
      <x:c r="X72" s="277" t="s">
        <x:v>118</x:v>
      </x:c>
      <x:c r="Y72" s="277" t="s">
        <x:v>118</x:v>
      </x:c>
      <x:c r="Z72" s="277" t="s">
        <x:v>118</x:v>
      </x:c>
      <x:c r="AA72" s="277" t="s">
        <x:v>118</x:v>
      </x:c>
      <x:c r="AB72" s="277" t="s">
        <x:v>118</x:v>
      </x:c>
      <x:c r="AC72" s="277" t="s">
        <x:v>118</x:v>
      </x:c>
      <x:c r="AD72" s="277" t="s">
        <x:v>118</x:v>
      </x:c>
      <x:c r="AE72" s="277" t="s">
        <x:v>118</x:v>
      </x:c>
      <x:c r="AF72" s="277" t="s">
        <x:v>118</x:v>
      </x:c>
      <x:c r="AG72" s="277" t="s">
        <x:v>118</x:v>
      </x:c>
      <x:c r="AH72" s="277" t="s">
        <x:v>118</x:v>
      </x:c>
      <x:c r="AI72" s="277" t="s">
        <x:v>118</x:v>
      </x:c>
      <x:c r="AJ72" s="277" t="s">
        <x:v>118</x:v>
      </x:c>
      <x:c r="AK72" s="220">
        <x:f>COUNTIF(F72:AJ72,"X")</x:f>
      </x:c>
      <x:c r="AL72" s="221"/>
      <x:c r="AM72" s="221"/>
      <x:c r="AN72" s="222"/>
      <x:c r="AO72" s="222"/>
      <x:c r="AP72" s="228"/>
      <x:c r="AQ72" s="228"/>
      <x:c r="AR72" s="228"/>
      <x:c r="AS72" s="228"/>
      <x:c r="AT72" s="230"/>
    </x:row>
    <x:row r="73" spans="1:47" ht="19.9" customHeight="1">
      <x:c r="A73" s="274" t="s">
        <x:v>1052</x:v>
      </x:c>
      <x:c r="B73" s="216"/>
      <x:c r="C73" s="275" t="s">
        <x:v>1053</x:v>
      </x:c>
      <x:c r="D73" s="274" t="s">
        <x:v>1050</x:v>
      </x:c>
      <x:c r="E73" s="276" t="s">
        <x:v>1054</x:v>
      </x:c>
      <x:c r="F73" s="277" t="s">
        <x:v>118</x:v>
      </x:c>
      <x:c r="G73" s="277" t="s">
        <x:v>118</x:v>
      </x:c>
      <x:c r="H73" s="277" t="s">
        <x:v>118</x:v>
      </x:c>
      <x:c r="I73" s="277" t="s">
        <x:v>118</x:v>
      </x:c>
      <x:c r="J73" s="277" t="s">
        <x:v>118</x:v>
      </x:c>
      <x:c r="K73" s="277" t="s">
        <x:v>118</x:v>
      </x:c>
      <x:c r="L73" s="277" t="s">
        <x:v>118</x:v>
      </x:c>
      <x:c r="M73" s="277" t="s">
        <x:v>118</x:v>
      </x:c>
      <x:c r="N73" s="277" t="s">
        <x:v>118</x:v>
      </x:c>
      <x:c r="O73" s="277" t="s">
        <x:v>118</x:v>
      </x:c>
      <x:c r="P73" s="277" t="s">
        <x:v>118</x:v>
      </x:c>
      <x:c r="Q73" s="277" t="s">
        <x:v>118</x:v>
      </x:c>
      <x:c r="R73" s="277" t="s">
        <x:v>118</x:v>
      </x:c>
      <x:c r="S73" s="277" t="s">
        <x:v>118</x:v>
      </x:c>
      <x:c r="T73" s="277" t="s">
        <x:v>118</x:v>
      </x:c>
      <x:c r="U73" s="277" t="s">
        <x:v>118</x:v>
      </x:c>
      <x:c r="V73" s="277" t="s">
        <x:v>118</x:v>
      </x:c>
      <x:c r="W73" s="277" t="s">
        <x:v>118</x:v>
      </x:c>
      <x:c r="X73" s="277" t="s">
        <x:v>118</x:v>
      </x:c>
      <x:c r="Y73" s="277" t="s">
        <x:v>118</x:v>
      </x:c>
      <x:c r="Z73" s="277" t="s">
        <x:v>118</x:v>
      </x:c>
      <x:c r="AA73" s="277" t="s">
        <x:v>118</x:v>
      </x:c>
      <x:c r="AB73" s="277" t="s">
        <x:v>118</x:v>
      </x:c>
      <x:c r="AC73" s="277" t="s">
        <x:v>118</x:v>
      </x:c>
      <x:c r="AD73" s="277" t="s">
        <x:v>118</x:v>
      </x:c>
      <x:c r="AE73" s="277" t="s">
        <x:v>118</x:v>
      </x:c>
      <x:c r="AF73" s="277" t="s">
        <x:v>118</x:v>
      </x:c>
      <x:c r="AG73" s="277" t="s">
        <x:v>118</x:v>
      </x:c>
      <x:c r="AH73" s="277" t="s">
        <x:v>118</x:v>
      </x:c>
      <x:c r="AI73" s="277" t="s">
        <x:v>118</x:v>
      </x:c>
      <x:c r="AJ73" s="277" t="s">
        <x:v>118</x:v>
      </x:c>
      <x:c r="AK73" s="220">
        <x:f>COUNTIF(F73:AJ73,"X")</x:f>
      </x:c>
      <x:c r="AL73" s="221"/>
      <x:c r="AM73" s="221"/>
      <x:c r="AN73" s="222"/>
      <x:c r="AO73" s="222"/>
      <x:c r="AP73" s="228"/>
      <x:c r="AQ73" s="228"/>
      <x:c r="AR73" s="228"/>
      <x:c r="AS73" s="228"/>
      <x:c r="AT73" s="230"/>
    </x:row>
    <x:row r="74" spans="1:47" ht="19.9" customHeight="1">
      <x:c r="A74" s="274" t="s">
        <x:v>1055</x:v>
      </x:c>
      <x:c r="B74" s="216"/>
      <x:c r="C74" s="275" t="s">
        <x:v>1056</x:v>
      </x:c>
      <x:c r="D74" s="274" t="s">
        <x:v>286</x:v>
      </x:c>
      <x:c r="E74" s="276" t="s">
        <x:v>1057</x:v>
      </x:c>
      <x:c r="F74" s="277" t="s">
        <x:v>118</x:v>
      </x:c>
      <x:c r="G74" s="277" t="s">
        <x:v>118</x:v>
      </x:c>
      <x:c r="H74" s="277" t="s">
        <x:v>118</x:v>
      </x:c>
      <x:c r="I74" s="277" t="s">
        <x:v>118</x:v>
      </x:c>
      <x:c r="J74" s="277" t="s">
        <x:v>118</x:v>
      </x:c>
      <x:c r="K74" s="277" t="s">
        <x:v>118</x:v>
      </x:c>
      <x:c r="L74" s="277" t="s">
        <x:v>118</x:v>
      </x:c>
      <x:c r="M74" s="277" t="s">
        <x:v>118</x:v>
      </x:c>
      <x:c r="N74" s="277" t="s">
        <x:v>118</x:v>
      </x:c>
      <x:c r="O74" s="277" t="s">
        <x:v>118</x:v>
      </x:c>
      <x:c r="P74" s="277" t="s">
        <x:v>118</x:v>
      </x:c>
      <x:c r="Q74" s="277" t="s">
        <x:v>118</x:v>
      </x:c>
      <x:c r="R74" s="277" t="s">
        <x:v>118</x:v>
      </x:c>
      <x:c r="S74" s="277" t="s">
        <x:v>118</x:v>
      </x:c>
      <x:c r="T74" s="277" t="s">
        <x:v>118</x:v>
      </x:c>
      <x:c r="U74" s="277" t="s">
        <x:v>118</x:v>
      </x:c>
      <x:c r="V74" s="277" t="s">
        <x:v>118</x:v>
      </x:c>
      <x:c r="W74" s="277" t="s">
        <x:v>118</x:v>
      </x:c>
      <x:c r="X74" s="277" t="s">
        <x:v>118</x:v>
      </x:c>
      <x:c r="Y74" s="277" t="s">
        <x:v>118</x:v>
      </x:c>
      <x:c r="Z74" s="277" t="s">
        <x:v>118</x:v>
      </x:c>
      <x:c r="AA74" s="277" t="s">
        <x:v>118</x:v>
      </x:c>
      <x:c r="AB74" s="277" t="s">
        <x:v>118</x:v>
      </x:c>
      <x:c r="AC74" s="277" t="s">
        <x:v>118</x:v>
      </x:c>
      <x:c r="AD74" s="277" t="s">
        <x:v>118</x:v>
      </x:c>
      <x:c r="AE74" s="277" t="s">
        <x:v>118</x:v>
      </x:c>
      <x:c r="AF74" s="277" t="s">
        <x:v>118</x:v>
      </x:c>
      <x:c r="AG74" s="277" t="s">
        <x:v>118</x:v>
      </x:c>
      <x:c r="AH74" s="277" t="s">
        <x:v>118</x:v>
      </x:c>
      <x:c r="AI74" s="277" t="s">
        <x:v>118</x:v>
      </x:c>
      <x:c r="AJ74" s="277" t="s">
        <x:v>118</x:v>
      </x:c>
      <x:c r="AK74" s="220">
        <x:f>COUNTIF(F74:AJ74,"X")</x:f>
      </x:c>
      <x:c r="AL74" s="221"/>
      <x:c r="AM74" s="221"/>
      <x:c r="AN74" s="222"/>
      <x:c r="AO74" s="222"/>
      <x:c r="AP74" s="228"/>
      <x:c r="AQ74" s="228"/>
      <x:c r="AR74" s="228"/>
      <x:c r="AS74" s="228"/>
      <x:c r="AT74" s="230"/>
    </x:row>
    <x:row r="75" spans="1:47" ht="19.9" customHeight="1">
      <x:c r="A75" s="274" t="s">
        <x:v>1058</x:v>
      </x:c>
      <x:c r="B75" s="216"/>
      <x:c r="C75" s="275" t="s">
        <x:v>1059</x:v>
      </x:c>
      <x:c r="D75" s="274" t="s">
        <x:v>1060</x:v>
      </x:c>
      <x:c r="E75" s="276" t="s">
        <x:v>170</x:v>
      </x:c>
      <x:c r="F75" s="277" t="s">
        <x:v>118</x:v>
      </x:c>
      <x:c r="G75" s="277" t="s">
        <x:v>118</x:v>
      </x:c>
      <x:c r="H75" s="277" t="s">
        <x:v>118</x:v>
      </x:c>
      <x:c r="I75" s="277" t="s">
        <x:v>118</x:v>
      </x:c>
      <x:c r="J75" s="277" t="s">
        <x:v>118</x:v>
      </x:c>
      <x:c r="K75" s="277" t="s">
        <x:v>118</x:v>
      </x:c>
      <x:c r="L75" s="277" t="s">
        <x:v>118</x:v>
      </x:c>
      <x:c r="M75" s="277" t="s">
        <x:v>118</x:v>
      </x:c>
      <x:c r="N75" s="277" t="s">
        <x:v>118</x:v>
      </x:c>
      <x:c r="O75" s="277" t="s">
        <x:v>118</x:v>
      </x:c>
      <x:c r="P75" s="277" t="s">
        <x:v>118</x:v>
      </x:c>
      <x:c r="Q75" s="277" t="s">
        <x:v>118</x:v>
      </x:c>
      <x:c r="R75" s="277" t="s">
        <x:v>118</x:v>
      </x:c>
      <x:c r="S75" s="277" t="s">
        <x:v>118</x:v>
      </x:c>
      <x:c r="T75" s="277" t="s">
        <x:v>118</x:v>
      </x:c>
      <x:c r="U75" s="277" t="s">
        <x:v>118</x:v>
      </x:c>
      <x:c r="V75" s="277" t="s">
        <x:v>118</x:v>
      </x:c>
      <x:c r="W75" s="277" t="s">
        <x:v>118</x:v>
      </x:c>
      <x:c r="X75" s="277" t="s">
        <x:v>118</x:v>
      </x:c>
      <x:c r="Y75" s="277" t="s">
        <x:v>118</x:v>
      </x:c>
      <x:c r="Z75" s="277" t="s">
        <x:v>118</x:v>
      </x:c>
      <x:c r="AA75" s="277" t="s">
        <x:v>118</x:v>
      </x:c>
      <x:c r="AB75" s="277" t="s">
        <x:v>118</x:v>
      </x:c>
      <x:c r="AC75" s="277" t="s">
        <x:v>118</x:v>
      </x:c>
      <x:c r="AD75" s="277" t="s">
        <x:v>118</x:v>
      </x:c>
      <x:c r="AE75" s="277" t="s">
        <x:v>118</x:v>
      </x:c>
      <x:c r="AF75" s="277" t="s">
        <x:v>118</x:v>
      </x:c>
      <x:c r="AG75" s="277" t="s">
        <x:v>118</x:v>
      </x:c>
      <x:c r="AH75" s="277" t="s">
        <x:v>118</x:v>
      </x:c>
      <x:c r="AI75" s="277" t="s">
        <x:v>118</x:v>
      </x:c>
      <x:c r="AJ75" s="277" t="s">
        <x:v>118</x:v>
      </x:c>
      <x:c r="AK75" s="220">
        <x:f>COUNTIF(F75:AJ75,"X")</x:f>
      </x:c>
      <x:c r="AL75" s="221"/>
      <x:c r="AM75" s="221"/>
      <x:c r="AN75" s="222"/>
      <x:c r="AO75" s="222"/>
      <x:c r="AP75" s="228"/>
      <x:c r="AQ75" s="228"/>
      <x:c r="AR75" s="228"/>
      <x:c r="AS75" s="228"/>
      <x:c r="AT75" s="233"/>
    </x:row>
    <x:row r="76" spans="1:47" ht="19.9" customHeight="1">
      <x:c r="A76" s="274" t="s">
        <x:v>1061</x:v>
      </x:c>
      <x:c r="B76" s="216"/>
      <x:c r="C76" s="275" t="s">
        <x:v>1062</x:v>
      </x:c>
      <x:c r="D76" s="274" t="s">
        <x:v>1063</x:v>
      </x:c>
      <x:c r="E76" s="276" t="s">
        <x:v>1064</x:v>
      </x:c>
      <x:c r="F76" s="277" t="s">
        <x:v>118</x:v>
      </x:c>
      <x:c r="G76" s="277" t="s">
        <x:v>118</x:v>
      </x:c>
      <x:c r="H76" s="277" t="s">
        <x:v>118</x:v>
      </x:c>
      <x:c r="I76" s="277" t="s">
        <x:v>118</x:v>
      </x:c>
      <x:c r="J76" s="277" t="s">
        <x:v>118</x:v>
      </x:c>
      <x:c r="K76" s="277" t="s">
        <x:v>118</x:v>
      </x:c>
      <x:c r="L76" s="277" t="s">
        <x:v>118</x:v>
      </x:c>
      <x:c r="M76" s="277" t="s">
        <x:v>118</x:v>
      </x:c>
      <x:c r="N76" s="277" t="s">
        <x:v>118</x:v>
      </x:c>
      <x:c r="O76" s="277" t="s">
        <x:v>118</x:v>
      </x:c>
      <x:c r="P76" s="277" t="s">
        <x:v>118</x:v>
      </x:c>
      <x:c r="Q76" s="277" t="s">
        <x:v>118</x:v>
      </x:c>
      <x:c r="R76" s="277" t="s">
        <x:v>118</x:v>
      </x:c>
      <x:c r="S76" s="277" t="s">
        <x:v>118</x:v>
      </x:c>
      <x:c r="T76" s="277" t="s">
        <x:v>118</x:v>
      </x:c>
      <x:c r="U76" s="277" t="s">
        <x:v>118</x:v>
      </x:c>
      <x:c r="V76" s="277" t="s">
        <x:v>118</x:v>
      </x:c>
      <x:c r="W76" s="277" t="s">
        <x:v>118</x:v>
      </x:c>
      <x:c r="X76" s="277" t="s">
        <x:v>118</x:v>
      </x:c>
      <x:c r="Y76" s="277" t="s">
        <x:v>118</x:v>
      </x:c>
      <x:c r="Z76" s="277" t="s">
        <x:v>118</x:v>
      </x:c>
      <x:c r="AA76" s="277" t="s">
        <x:v>118</x:v>
      </x:c>
      <x:c r="AB76" s="277" t="s">
        <x:v>118</x:v>
      </x:c>
      <x:c r="AC76" s="277" t="s">
        <x:v>118</x:v>
      </x:c>
      <x:c r="AD76" s="277" t="s">
        <x:v>118</x:v>
      </x:c>
      <x:c r="AE76" s="277" t="s">
        <x:v>118</x:v>
      </x:c>
      <x:c r="AF76" s="277" t="s">
        <x:v>118</x:v>
      </x:c>
      <x:c r="AG76" s="277" t="s">
        <x:v>118</x:v>
      </x:c>
      <x:c r="AH76" s="277" t="s">
        <x:v>118</x:v>
      </x:c>
      <x:c r="AI76" s="277" t="s">
        <x:v>118</x:v>
      </x:c>
      <x:c r="AJ76" s="277" t="s">
        <x:v>118</x:v>
      </x:c>
      <x:c r="AK76" s="220">
        <x:f>COUNTIF(F76:AJ76,"X")</x:f>
      </x:c>
      <x:c r="AL76" s="221"/>
      <x:c r="AM76" s="221"/>
      <x:c r="AN76" s="222"/>
      <x:c r="AO76" s="222"/>
      <x:c r="AP76" s="228"/>
      <x:c r="AQ76" s="228"/>
      <x:c r="AR76" s="228"/>
      <x:c r="AS76" s="228"/>
      <x:c r="AT76" s="230"/>
    </x:row>
    <x:row r="77" spans="1:47" ht="19.9" customHeight="1">
      <x:c r="A77" s="274" t="s">
        <x:v>1065</x:v>
      </x:c>
      <x:c r="B77" s="216"/>
      <x:c r="C77" s="275" t="s">
        <x:v>1066</x:v>
      </x:c>
      <x:c r="D77" s="274" t="s">
        <x:v>305</x:v>
      </x:c>
      <x:c r="E77" s="276" t="s">
        <x:v>928</x:v>
      </x:c>
      <x:c r="F77" s="277" t="s">
        <x:v>118</x:v>
      </x:c>
      <x:c r="G77" s="277" t="s">
        <x:v>118</x:v>
      </x:c>
      <x:c r="H77" s="277" t="s">
        <x:v>118</x:v>
      </x:c>
      <x:c r="I77" s="277" t="s">
        <x:v>118</x:v>
      </x:c>
      <x:c r="J77" s="277" t="s">
        <x:v>118</x:v>
      </x:c>
      <x:c r="K77" s="277" t="s">
        <x:v>118</x:v>
      </x:c>
      <x:c r="L77" s="277" t="s">
        <x:v>118</x:v>
      </x:c>
      <x:c r="M77" s="277" t="s">
        <x:v>118</x:v>
      </x:c>
      <x:c r="N77" s="277" t="s">
        <x:v>118</x:v>
      </x:c>
      <x:c r="O77" s="277" t="s">
        <x:v>118</x:v>
      </x:c>
      <x:c r="P77" s="277" t="s">
        <x:v>118</x:v>
      </x:c>
      <x:c r="Q77" s="277" t="s">
        <x:v>118</x:v>
      </x:c>
      <x:c r="R77" s="277" t="s">
        <x:v>118</x:v>
      </x:c>
      <x:c r="S77" s="277" t="s">
        <x:v>118</x:v>
      </x:c>
      <x:c r="T77" s="277" t="s">
        <x:v>118</x:v>
      </x:c>
      <x:c r="U77" s="277" t="s">
        <x:v>118</x:v>
      </x:c>
      <x:c r="V77" s="277" t="s">
        <x:v>118</x:v>
      </x:c>
      <x:c r="W77" s="277" t="s">
        <x:v>118</x:v>
      </x:c>
      <x:c r="X77" s="277" t="s">
        <x:v>118</x:v>
      </x:c>
      <x:c r="Y77" s="277" t="s">
        <x:v>118</x:v>
      </x:c>
      <x:c r="Z77" s="277" t="s">
        <x:v>118</x:v>
      </x:c>
      <x:c r="AA77" s="277" t="s">
        <x:v>118</x:v>
      </x:c>
      <x:c r="AB77" s="277" t="s">
        <x:v>118</x:v>
      </x:c>
      <x:c r="AC77" s="277" t="s">
        <x:v>118</x:v>
      </x:c>
      <x:c r="AD77" s="277" t="s">
        <x:v>118</x:v>
      </x:c>
      <x:c r="AE77" s="277" t="s">
        <x:v>118</x:v>
      </x:c>
      <x:c r="AF77" s="277" t="s">
        <x:v>118</x:v>
      </x:c>
      <x:c r="AG77" s="277" t="s">
        <x:v>118</x:v>
      </x:c>
      <x:c r="AH77" s="277" t="s">
        <x:v>118</x:v>
      </x:c>
      <x:c r="AI77" s="277" t="s">
        <x:v>118</x:v>
      </x:c>
      <x:c r="AJ77" s="277" t="s">
        <x:v>118</x:v>
      </x:c>
      <x:c r="AK77" s="220">
        <x:f>COUNTIF(F77:AJ77,"X")</x:f>
      </x:c>
      <x:c r="AL77" s="221"/>
      <x:c r="AM77" s="221"/>
      <x:c r="AN77" s="222"/>
      <x:c r="AO77" s="222"/>
      <x:c r="AP77" s="228"/>
      <x:c r="AQ77" s="228"/>
      <x:c r="AR77" s="228"/>
      <x:c r="AS77" s="228"/>
      <x:c r="AT77" s="230"/>
    </x:row>
    <x:row r="78" spans="1:47" ht="19.9" customHeight="1">
      <x:c r="A78" s="274" t="s">
        <x:v>1067</x:v>
      </x:c>
      <x:c r="B78" s="216"/>
      <x:c r="C78" s="275" t="s">
        <x:v>1068</x:v>
      </x:c>
      <x:c r="D78" s="274" t="s">
        <x:v>305</x:v>
      </x:c>
      <x:c r="E78" s="276" t="s">
        <x:v>1069</x:v>
      </x:c>
      <x:c r="F78" s="277" t="s">
        <x:v>118</x:v>
      </x:c>
      <x:c r="G78" s="277" t="s">
        <x:v>118</x:v>
      </x:c>
      <x:c r="H78" s="277" t="s">
        <x:v>118</x:v>
      </x:c>
      <x:c r="I78" s="277" t="s">
        <x:v>118</x:v>
      </x:c>
      <x:c r="J78" s="277" t="s">
        <x:v>118</x:v>
      </x:c>
      <x:c r="K78" s="277" t="s">
        <x:v>118</x:v>
      </x:c>
      <x:c r="L78" s="277" t="s">
        <x:v>118</x:v>
      </x:c>
      <x:c r="M78" s="277" t="s">
        <x:v>118</x:v>
      </x:c>
      <x:c r="N78" s="277" t="s">
        <x:v>118</x:v>
      </x:c>
      <x:c r="O78" s="277" t="s">
        <x:v>118</x:v>
      </x:c>
      <x:c r="P78" s="277" t="s">
        <x:v>118</x:v>
      </x:c>
      <x:c r="Q78" s="277" t="s">
        <x:v>118</x:v>
      </x:c>
      <x:c r="R78" s="277" t="s">
        <x:v>118</x:v>
      </x:c>
      <x:c r="S78" s="277" t="s">
        <x:v>118</x:v>
      </x:c>
      <x:c r="T78" s="277" t="s">
        <x:v>118</x:v>
      </x:c>
      <x:c r="U78" s="277" t="s">
        <x:v>118</x:v>
      </x:c>
      <x:c r="V78" s="277" t="s">
        <x:v>118</x:v>
      </x:c>
      <x:c r="W78" s="277" t="s">
        <x:v>118</x:v>
      </x:c>
      <x:c r="X78" s="277" t="s">
        <x:v>118</x:v>
      </x:c>
      <x:c r="Y78" s="277" t="s">
        <x:v>118</x:v>
      </x:c>
      <x:c r="Z78" s="277" t="s">
        <x:v>118</x:v>
      </x:c>
      <x:c r="AA78" s="277" t="s">
        <x:v>118</x:v>
      </x:c>
      <x:c r="AB78" s="277" t="s">
        <x:v>118</x:v>
      </x:c>
      <x:c r="AC78" s="277" t="s">
        <x:v>118</x:v>
      </x:c>
      <x:c r="AD78" s="277" t="s">
        <x:v>118</x:v>
      </x:c>
      <x:c r="AE78" s="277" t="s">
        <x:v>118</x:v>
      </x:c>
      <x:c r="AF78" s="277" t="s">
        <x:v>118</x:v>
      </x:c>
      <x:c r="AG78" s="277" t="s">
        <x:v>118</x:v>
      </x:c>
      <x:c r="AH78" s="277" t="s">
        <x:v>118</x:v>
      </x:c>
      <x:c r="AI78" s="277" t="s">
        <x:v>118</x:v>
      </x:c>
      <x:c r="AJ78" s="277" t="s">
        <x:v>118</x:v>
      </x:c>
      <x:c r="AK78" s="220">
        <x:f>COUNTIF(F78:AJ78,"X")</x:f>
      </x:c>
      <x:c r="AL78" s="221"/>
      <x:c r="AM78" s="221"/>
      <x:c r="AN78" s="222"/>
      <x:c r="AO78" s="222"/>
      <x:c r="AP78" s="228"/>
      <x:c r="AQ78" s="228"/>
      <x:c r="AR78" s="228"/>
      <x:c r="AS78" s="228"/>
      <x:c r="AT78" s="230"/>
    </x:row>
    <x:row r="79" spans="1:47" ht="19.9" customHeight="1">
      <x:c r="A79" s="274" t="s">
        <x:v>1070</x:v>
      </x:c>
      <x:c r="B79" s="216"/>
      <x:c r="C79" s="275" t="s">
        <x:v>1071</x:v>
      </x:c>
      <x:c r="D79" s="274" t="s">
        <x:v>305</x:v>
      </x:c>
      <x:c r="E79" s="276" t="s">
        <x:v>1072</x:v>
      </x:c>
      <x:c r="F79" s="277" t="s">
        <x:v>118</x:v>
      </x:c>
      <x:c r="G79" s="277" t="s">
        <x:v>118</x:v>
      </x:c>
      <x:c r="H79" s="277" t="s">
        <x:v>118</x:v>
      </x:c>
      <x:c r="I79" s="277" t="s">
        <x:v>118</x:v>
      </x:c>
      <x:c r="J79" s="277" t="s">
        <x:v>118</x:v>
      </x:c>
      <x:c r="K79" s="277" t="s">
        <x:v>118</x:v>
      </x:c>
      <x:c r="L79" s="277" t="s">
        <x:v>118</x:v>
      </x:c>
      <x:c r="M79" s="277" t="s">
        <x:v>118</x:v>
      </x:c>
      <x:c r="N79" s="277" t="s">
        <x:v>118</x:v>
      </x:c>
      <x:c r="O79" s="277" t="s">
        <x:v>118</x:v>
      </x:c>
      <x:c r="P79" s="277" t="s">
        <x:v>118</x:v>
      </x:c>
      <x:c r="Q79" s="277" t="s">
        <x:v>118</x:v>
      </x:c>
      <x:c r="R79" s="277" t="s">
        <x:v>118</x:v>
      </x:c>
      <x:c r="S79" s="277" t="s">
        <x:v>118</x:v>
      </x:c>
      <x:c r="T79" s="277" t="s">
        <x:v>118</x:v>
      </x:c>
      <x:c r="U79" s="277" t="s">
        <x:v>118</x:v>
      </x:c>
      <x:c r="V79" s="277" t="s">
        <x:v>118</x:v>
      </x:c>
      <x:c r="W79" s="277" t="s">
        <x:v>118</x:v>
      </x:c>
      <x:c r="X79" s="277" t="s">
        <x:v>118</x:v>
      </x:c>
      <x:c r="Y79" s="277" t="s">
        <x:v>118</x:v>
      </x:c>
      <x:c r="Z79" s="277" t="s">
        <x:v>118</x:v>
      </x:c>
      <x:c r="AA79" s="277" t="s">
        <x:v>118</x:v>
      </x:c>
      <x:c r="AB79" s="277" t="s">
        <x:v>118</x:v>
      </x:c>
      <x:c r="AC79" s="277" t="s">
        <x:v>118</x:v>
      </x:c>
      <x:c r="AD79" s="277" t="s">
        <x:v>118</x:v>
      </x:c>
      <x:c r="AE79" s="277" t="s">
        <x:v>118</x:v>
      </x:c>
      <x:c r="AF79" s="277" t="s">
        <x:v>118</x:v>
      </x:c>
      <x:c r="AG79" s="277" t="s">
        <x:v>118</x:v>
      </x:c>
      <x:c r="AH79" s="277" t="s">
        <x:v>118</x:v>
      </x:c>
      <x:c r="AI79" s="277" t="s">
        <x:v>118</x:v>
      </x:c>
      <x:c r="AJ79" s="277" t="s">
        <x:v>118</x:v>
      </x:c>
      <x:c r="AK79" s="220">
        <x:f>COUNTIF(F79:AJ79,"X")</x:f>
      </x:c>
      <x:c r="AL79" s="221"/>
      <x:c r="AM79" s="221"/>
      <x:c r="AN79" s="222"/>
      <x:c r="AO79" s="222"/>
      <x:c r="AP79" s="228"/>
      <x:c r="AQ79" s="228"/>
      <x:c r="AR79" s="228"/>
      <x:c r="AS79" s="228"/>
      <x:c r="AT79" s="230"/>
    </x:row>
    <x:row r="80" spans="1:47" ht="19.9" customHeight="1">
      <x:c r="A80" s="274" t="s">
        <x:v>1073</x:v>
      </x:c>
      <x:c r="B80" s="216"/>
      <x:c r="C80" s="275" t="s">
        <x:v>1074</x:v>
      </x:c>
      <x:c r="D80" s="274" t="s">
        <x:v>316</x:v>
      </x:c>
      <x:c r="E80" s="276" t="s">
        <x:v>1075</x:v>
      </x:c>
      <x:c r="F80" s="277" t="s">
        <x:v>118</x:v>
      </x:c>
      <x:c r="G80" s="277" t="s">
        <x:v>118</x:v>
      </x:c>
      <x:c r="H80" s="277" t="s">
        <x:v>118</x:v>
      </x:c>
      <x:c r="I80" s="277" t="s">
        <x:v>118</x:v>
      </x:c>
      <x:c r="J80" s="277" t="s">
        <x:v>118</x:v>
      </x:c>
      <x:c r="K80" s="277" t="s">
        <x:v>118</x:v>
      </x:c>
      <x:c r="L80" s="277" t="s">
        <x:v>118</x:v>
      </x:c>
      <x:c r="M80" s="277" t="s">
        <x:v>118</x:v>
      </x:c>
      <x:c r="N80" s="277" t="s">
        <x:v>118</x:v>
      </x:c>
      <x:c r="O80" s="277" t="s">
        <x:v>118</x:v>
      </x:c>
      <x:c r="P80" s="277" t="s">
        <x:v>118</x:v>
      </x:c>
      <x:c r="Q80" s="277" t="s">
        <x:v>118</x:v>
      </x:c>
      <x:c r="R80" s="277" t="s">
        <x:v>118</x:v>
      </x:c>
      <x:c r="S80" s="277" t="s">
        <x:v>118</x:v>
      </x:c>
      <x:c r="T80" s="277" t="s">
        <x:v>118</x:v>
      </x:c>
      <x:c r="U80" s="277" t="s">
        <x:v>118</x:v>
      </x:c>
      <x:c r="V80" s="277" t="s">
        <x:v>118</x:v>
      </x:c>
      <x:c r="W80" s="277" t="s">
        <x:v>118</x:v>
      </x:c>
      <x:c r="X80" s="277" t="s">
        <x:v>118</x:v>
      </x:c>
      <x:c r="Y80" s="277" t="s">
        <x:v>118</x:v>
      </x:c>
      <x:c r="Z80" s="277" t="s">
        <x:v>118</x:v>
      </x:c>
      <x:c r="AA80" s="277" t="s">
        <x:v>118</x:v>
      </x:c>
      <x:c r="AB80" s="277" t="s">
        <x:v>118</x:v>
      </x:c>
      <x:c r="AC80" s="277" t="s">
        <x:v>118</x:v>
      </x:c>
      <x:c r="AD80" s="277" t="s">
        <x:v>118</x:v>
      </x:c>
      <x:c r="AE80" s="277" t="s">
        <x:v>118</x:v>
      </x:c>
      <x:c r="AF80" s="277" t="s">
        <x:v>118</x:v>
      </x:c>
      <x:c r="AG80" s="277" t="s">
        <x:v>118</x:v>
      </x:c>
      <x:c r="AH80" s="277" t="s">
        <x:v>118</x:v>
      </x:c>
      <x:c r="AI80" s="277" t="s">
        <x:v>118</x:v>
      </x:c>
      <x:c r="AJ80" s="277" t="s">
        <x:v>118</x:v>
      </x:c>
      <x:c r="AK80" s="220">
        <x:f>COUNTIF(F80:AJ80,"X")</x:f>
      </x:c>
      <x:c r="AL80" s="221"/>
      <x:c r="AM80" s="221"/>
      <x:c r="AN80" s="222"/>
      <x:c r="AO80" s="222"/>
      <x:c r="AP80" s="228"/>
      <x:c r="AQ80" s="228"/>
      <x:c r="AR80" s="228"/>
      <x:c r="AS80" s="228"/>
      <x:c r="AT80" s="230"/>
    </x:row>
    <x:row r="81" spans="1:47" ht="19.9" customHeight="1">
      <x:c r="A81" s="274" t="s">
        <x:v>1076</x:v>
      </x:c>
      <x:c r="B81" s="216"/>
      <x:c r="C81" s="275" t="s">
        <x:v>1077</x:v>
      </x:c>
      <x:c r="D81" s="274" t="s">
        <x:v>1078</x:v>
      </x:c>
      <x:c r="E81" s="276" t="s">
        <x:v>1079</x:v>
      </x:c>
      <x:c r="F81" s="277" t="s">
        <x:v>118</x:v>
      </x:c>
      <x:c r="G81" s="277" t="s">
        <x:v>118</x:v>
      </x:c>
      <x:c r="H81" s="277" t="s">
        <x:v>118</x:v>
      </x:c>
      <x:c r="I81" s="277" t="s">
        <x:v>118</x:v>
      </x:c>
      <x:c r="J81" s="277" t="s">
        <x:v>118</x:v>
      </x:c>
      <x:c r="K81" s="277" t="s">
        <x:v>118</x:v>
      </x:c>
      <x:c r="L81" s="277" t="s">
        <x:v>118</x:v>
      </x:c>
      <x:c r="M81" s="277" t="s">
        <x:v>118</x:v>
      </x:c>
      <x:c r="N81" s="277" t="s">
        <x:v>118</x:v>
      </x:c>
      <x:c r="O81" s="277" t="s">
        <x:v>118</x:v>
      </x:c>
      <x:c r="P81" s="277" t="s">
        <x:v>118</x:v>
      </x:c>
      <x:c r="Q81" s="277" t="s">
        <x:v>118</x:v>
      </x:c>
      <x:c r="R81" s="277" t="s">
        <x:v>118</x:v>
      </x:c>
      <x:c r="S81" s="277" t="s">
        <x:v>118</x:v>
      </x:c>
      <x:c r="T81" s="277" t="s">
        <x:v>118</x:v>
      </x:c>
      <x:c r="U81" s="277" t="s">
        <x:v>118</x:v>
      </x:c>
      <x:c r="V81" s="277" t="s">
        <x:v>118</x:v>
      </x:c>
      <x:c r="W81" s="277" t="s">
        <x:v>118</x:v>
      </x:c>
      <x:c r="X81" s="277" t="s">
        <x:v>118</x:v>
      </x:c>
      <x:c r="Y81" s="277" t="s">
        <x:v>118</x:v>
      </x:c>
      <x:c r="Z81" s="277" t="s">
        <x:v>118</x:v>
      </x:c>
      <x:c r="AA81" s="277" t="s">
        <x:v>118</x:v>
      </x:c>
      <x:c r="AB81" s="277" t="s">
        <x:v>118</x:v>
      </x:c>
      <x:c r="AC81" s="277" t="s">
        <x:v>118</x:v>
      </x:c>
      <x:c r="AD81" s="277" t="s">
        <x:v>118</x:v>
      </x:c>
      <x:c r="AE81" s="277" t="s">
        <x:v>118</x:v>
      </x:c>
      <x:c r="AF81" s="277" t="s">
        <x:v>118</x:v>
      </x:c>
      <x:c r="AG81" s="277" t="s">
        <x:v>118</x:v>
      </x:c>
      <x:c r="AH81" s="277" t="s">
        <x:v>118</x:v>
      </x:c>
      <x:c r="AI81" s="277" t="s">
        <x:v>118</x:v>
      </x:c>
      <x:c r="AJ81" s="277" t="s">
        <x:v>118</x:v>
      </x:c>
      <x:c r="AK81" s="220">
        <x:f>COUNTIF(F81:AJ81,"X")</x:f>
      </x:c>
      <x:c r="AL81" s="221"/>
      <x:c r="AM81" s="221"/>
      <x:c r="AN81" s="222"/>
      <x:c r="AO81" s="222"/>
      <x:c r="AP81" s="228"/>
      <x:c r="AQ81" s="228"/>
      <x:c r="AR81" s="228"/>
      <x:c r="AS81" s="228"/>
      <x:c r="AT81" s="230"/>
    </x:row>
    <x:row r="82" spans="1:47" ht="19.9" customHeight="1">
      <x:c r="A82" s="274" t="s">
        <x:v>1080</x:v>
      </x:c>
      <x:c r="B82" s="216"/>
      <x:c r="C82" s="275" t="s">
        <x:v>1081</x:v>
      </x:c>
      <x:c r="D82" s="274" t="s">
        <x:v>326</x:v>
      </x:c>
      <x:c r="E82" s="276" t="s">
        <x:v>1082</x:v>
      </x:c>
      <x:c r="F82" s="277" t="s">
        <x:v>118</x:v>
      </x:c>
      <x:c r="G82" s="277" t="s">
        <x:v>118</x:v>
      </x:c>
      <x:c r="H82" s="277" t="s">
        <x:v>118</x:v>
      </x:c>
      <x:c r="I82" s="277" t="s">
        <x:v>118</x:v>
      </x:c>
      <x:c r="J82" s="277" t="s">
        <x:v>118</x:v>
      </x:c>
      <x:c r="K82" s="277" t="s">
        <x:v>118</x:v>
      </x:c>
      <x:c r="L82" s="277" t="s">
        <x:v>118</x:v>
      </x:c>
      <x:c r="M82" s="277" t="s">
        <x:v>118</x:v>
      </x:c>
      <x:c r="N82" s="277" t="s">
        <x:v>118</x:v>
      </x:c>
      <x:c r="O82" s="277" t="s">
        <x:v>118</x:v>
      </x:c>
      <x:c r="P82" s="277" t="s">
        <x:v>118</x:v>
      </x:c>
      <x:c r="Q82" s="277" t="s">
        <x:v>118</x:v>
      </x:c>
      <x:c r="R82" s="277" t="s">
        <x:v>118</x:v>
      </x:c>
      <x:c r="S82" s="277" t="s">
        <x:v>118</x:v>
      </x:c>
      <x:c r="T82" s="277" t="s">
        <x:v>118</x:v>
      </x:c>
      <x:c r="U82" s="277" t="s">
        <x:v>118</x:v>
      </x:c>
      <x:c r="V82" s="277" t="s">
        <x:v>118</x:v>
      </x:c>
      <x:c r="W82" s="277" t="s">
        <x:v>118</x:v>
      </x:c>
      <x:c r="X82" s="277" t="s">
        <x:v>118</x:v>
      </x:c>
      <x:c r="Y82" s="277" t="s">
        <x:v>118</x:v>
      </x:c>
      <x:c r="Z82" s="277" t="s">
        <x:v>118</x:v>
      </x:c>
      <x:c r="AA82" s="277" t="s">
        <x:v>118</x:v>
      </x:c>
      <x:c r="AB82" s="277" t="s">
        <x:v>118</x:v>
      </x:c>
      <x:c r="AC82" s="277" t="s">
        <x:v>118</x:v>
      </x:c>
      <x:c r="AD82" s="277" t="s">
        <x:v>118</x:v>
      </x:c>
      <x:c r="AE82" s="277" t="s">
        <x:v>118</x:v>
      </x:c>
      <x:c r="AF82" s="277" t="s">
        <x:v>118</x:v>
      </x:c>
      <x:c r="AG82" s="277" t="s">
        <x:v>118</x:v>
      </x:c>
      <x:c r="AH82" s="277" t="s">
        <x:v>118</x:v>
      </x:c>
      <x:c r="AI82" s="277" t="s">
        <x:v>118</x:v>
      </x:c>
      <x:c r="AJ82" s="277" t="s">
        <x:v>118</x:v>
      </x:c>
      <x:c r="AK82" s="220">
        <x:f>COUNTIF(F82:AJ82,"X")</x:f>
      </x:c>
      <x:c r="AL82" s="221"/>
      <x:c r="AM82" s="221"/>
      <x:c r="AN82" s="222"/>
      <x:c r="AO82" s="222"/>
      <x:c r="AP82" s="228"/>
      <x:c r="AQ82" s="228"/>
      <x:c r="AR82" s="228"/>
      <x:c r="AS82" s="228"/>
      <x:c r="AT82" s="230"/>
    </x:row>
    <x:row r="83" spans="1:47" ht="19.9" customHeight="1">
      <x:c r="A83" s="274" t="s">
        <x:v>1083</x:v>
      </x:c>
      <x:c r="B83" s="216"/>
      <x:c r="C83" s="275" t="s">
        <x:v>1084</x:v>
      </x:c>
      <x:c r="D83" s="274" t="s">
        <x:v>1085</x:v>
      </x:c>
      <x:c r="E83" s="276" t="s">
        <x:v>1086</x:v>
      </x:c>
      <x:c r="F83" s="277" t="s">
        <x:v>118</x:v>
      </x:c>
      <x:c r="G83" s="277" t="s">
        <x:v>118</x:v>
      </x:c>
      <x:c r="H83" s="277" t="s">
        <x:v>118</x:v>
      </x:c>
      <x:c r="I83" s="277" t="s">
        <x:v>118</x:v>
      </x:c>
      <x:c r="J83" s="277" t="s">
        <x:v>118</x:v>
      </x:c>
      <x:c r="K83" s="277" t="s">
        <x:v>118</x:v>
      </x:c>
      <x:c r="L83" s="277" t="s">
        <x:v>118</x:v>
      </x:c>
      <x:c r="M83" s="277" t="s">
        <x:v>118</x:v>
      </x:c>
      <x:c r="N83" s="277" t="s">
        <x:v>118</x:v>
      </x:c>
      <x:c r="O83" s="277" t="s">
        <x:v>118</x:v>
      </x:c>
      <x:c r="P83" s="277" t="s">
        <x:v>118</x:v>
      </x:c>
      <x:c r="Q83" s="277" t="s">
        <x:v>118</x:v>
      </x:c>
      <x:c r="R83" s="277" t="s">
        <x:v>118</x:v>
      </x:c>
      <x:c r="S83" s="277" t="s">
        <x:v>118</x:v>
      </x:c>
      <x:c r="T83" s="277" t="s">
        <x:v>118</x:v>
      </x:c>
      <x:c r="U83" s="277" t="s">
        <x:v>118</x:v>
      </x:c>
      <x:c r="V83" s="277" t="s">
        <x:v>118</x:v>
      </x:c>
      <x:c r="W83" s="277" t="s">
        <x:v>118</x:v>
      </x:c>
      <x:c r="X83" s="277" t="s">
        <x:v>118</x:v>
      </x:c>
      <x:c r="Y83" s="277" t="s">
        <x:v>118</x:v>
      </x:c>
      <x:c r="Z83" s="277" t="s">
        <x:v>118</x:v>
      </x:c>
      <x:c r="AA83" s="277" t="s">
        <x:v>118</x:v>
      </x:c>
      <x:c r="AB83" s="277" t="s">
        <x:v>118</x:v>
      </x:c>
      <x:c r="AC83" s="277" t="s">
        <x:v>118</x:v>
      </x:c>
      <x:c r="AD83" s="277" t="s">
        <x:v>118</x:v>
      </x:c>
      <x:c r="AE83" s="277" t="s">
        <x:v>118</x:v>
      </x:c>
      <x:c r="AF83" s="277" t="s">
        <x:v>118</x:v>
      </x:c>
      <x:c r="AG83" s="277" t="s">
        <x:v>118</x:v>
      </x:c>
      <x:c r="AH83" s="277" t="s">
        <x:v>118</x:v>
      </x:c>
      <x:c r="AI83" s="277" t="s">
        <x:v>118</x:v>
      </x:c>
      <x:c r="AJ83" s="277" t="s">
        <x:v>118</x:v>
      </x:c>
      <x:c r="AK83" s="220">
        <x:f>COUNTIF(F83:AJ83,"X")</x:f>
      </x:c>
      <x:c r="AL83" s="221"/>
      <x:c r="AM83" s="221"/>
      <x:c r="AN83" s="222"/>
      <x:c r="AO83" s="222"/>
      <x:c r="AP83" s="228"/>
      <x:c r="AQ83" s="228"/>
      <x:c r="AR83" s="228"/>
      <x:c r="AS83" s="228"/>
      <x:c r="AT83" s="230"/>
    </x:row>
    <x:row r="84" spans="1:47" ht="19.9" customHeight="1">
      <x:c r="A84" s="274" t="s">
        <x:v>1087</x:v>
      </x:c>
      <x:c r="B84" s="216"/>
      <x:c r="C84" s="275" t="s">
        <x:v>1088</x:v>
      </x:c>
      <x:c r="D84" s="274" t="s">
        <x:v>1089</x:v>
      </x:c>
      <x:c r="E84" s="276" t="s">
        <x:v>1090</x:v>
      </x:c>
      <x:c r="F84" s="277" t="s">
        <x:v>118</x:v>
      </x:c>
      <x:c r="G84" s="277" t="s">
        <x:v>118</x:v>
      </x:c>
      <x:c r="H84" s="277" t="s">
        <x:v>118</x:v>
      </x:c>
      <x:c r="I84" s="277" t="s">
        <x:v>118</x:v>
      </x:c>
      <x:c r="J84" s="277" t="s">
        <x:v>118</x:v>
      </x:c>
      <x:c r="K84" s="277" t="s">
        <x:v>118</x:v>
      </x:c>
      <x:c r="L84" s="277" t="s">
        <x:v>118</x:v>
      </x:c>
      <x:c r="M84" s="277" t="s">
        <x:v>118</x:v>
      </x:c>
      <x:c r="N84" s="277" t="s">
        <x:v>118</x:v>
      </x:c>
      <x:c r="O84" s="277" t="s">
        <x:v>118</x:v>
      </x:c>
      <x:c r="P84" s="277" t="s">
        <x:v>118</x:v>
      </x:c>
      <x:c r="Q84" s="277" t="s">
        <x:v>118</x:v>
      </x:c>
      <x:c r="R84" s="277" t="s">
        <x:v>118</x:v>
      </x:c>
      <x:c r="S84" s="277" t="s">
        <x:v>118</x:v>
      </x:c>
      <x:c r="T84" s="277" t="s">
        <x:v>118</x:v>
      </x:c>
      <x:c r="U84" s="277" t="s">
        <x:v>118</x:v>
      </x:c>
      <x:c r="V84" s="277" t="s">
        <x:v>118</x:v>
      </x:c>
      <x:c r="W84" s="277" t="s">
        <x:v>118</x:v>
      </x:c>
      <x:c r="X84" s="277" t="s">
        <x:v>118</x:v>
      </x:c>
      <x:c r="Y84" s="277" t="s">
        <x:v>118</x:v>
      </x:c>
      <x:c r="Z84" s="277" t="s">
        <x:v>118</x:v>
      </x:c>
      <x:c r="AA84" s="277" t="s">
        <x:v>118</x:v>
      </x:c>
      <x:c r="AB84" s="277" t="s">
        <x:v>118</x:v>
      </x:c>
      <x:c r="AC84" s="277" t="s">
        <x:v>118</x:v>
      </x:c>
      <x:c r="AD84" s="277" t="s">
        <x:v>118</x:v>
      </x:c>
      <x:c r="AE84" s="277" t="s">
        <x:v>118</x:v>
      </x:c>
      <x:c r="AF84" s="277" t="s">
        <x:v>118</x:v>
      </x:c>
      <x:c r="AG84" s="277" t="s">
        <x:v>118</x:v>
      </x:c>
      <x:c r="AH84" s="277" t="s">
        <x:v>118</x:v>
      </x:c>
      <x:c r="AI84" s="277" t="s">
        <x:v>118</x:v>
      </x:c>
      <x:c r="AJ84" s="277" t="s">
        <x:v>118</x:v>
      </x:c>
      <x:c r="AK84" s="220">
        <x:f>COUNTIF(F84:AJ84,"X")</x:f>
      </x:c>
      <x:c r="AL84" s="221"/>
      <x:c r="AM84" s="221"/>
      <x:c r="AN84" s="222"/>
      <x:c r="AO84" s="222"/>
      <x:c r="AP84" s="228"/>
      <x:c r="AQ84" s="228"/>
      <x:c r="AR84" s="228"/>
      <x:c r="AS84" s="228"/>
      <x:c r="AT84" s="230"/>
    </x:row>
    <x:row r="85" spans="1:47" ht="19.9" customHeight="1">
      <x:c r="A85" s="274" t="s">
        <x:v>1091</x:v>
      </x:c>
      <x:c r="B85" s="216"/>
      <x:c r="C85" s="275" t="s">
        <x:v>1092</x:v>
      </x:c>
      <x:c r="D85" s="274" t="s">
        <x:v>1093</x:v>
      </x:c>
      <x:c r="E85" s="276" t="s">
        <x:v>1094</x:v>
      </x:c>
      <x:c r="F85" s="277" t="s">
        <x:v>118</x:v>
      </x:c>
      <x:c r="G85" s="277" t="s">
        <x:v>118</x:v>
      </x:c>
      <x:c r="H85" s="277" t="s">
        <x:v>118</x:v>
      </x:c>
      <x:c r="I85" s="277" t="s">
        <x:v>118</x:v>
      </x:c>
      <x:c r="J85" s="277" t="s">
        <x:v>118</x:v>
      </x:c>
      <x:c r="K85" s="277" t="s">
        <x:v>118</x:v>
      </x:c>
      <x:c r="L85" s="277" t="s">
        <x:v>118</x:v>
      </x:c>
      <x:c r="M85" s="277" t="s">
        <x:v>118</x:v>
      </x:c>
      <x:c r="N85" s="277" t="s">
        <x:v>118</x:v>
      </x:c>
      <x:c r="O85" s="277" t="s">
        <x:v>118</x:v>
      </x:c>
      <x:c r="P85" s="277" t="s">
        <x:v>118</x:v>
      </x:c>
      <x:c r="Q85" s="277" t="s">
        <x:v>118</x:v>
      </x:c>
      <x:c r="R85" s="277" t="s">
        <x:v>118</x:v>
      </x:c>
      <x:c r="S85" s="277" t="s">
        <x:v>118</x:v>
      </x:c>
      <x:c r="T85" s="277" t="s">
        <x:v>118</x:v>
      </x:c>
      <x:c r="U85" s="277" t="s">
        <x:v>118</x:v>
      </x:c>
      <x:c r="V85" s="277" t="s">
        <x:v>118</x:v>
      </x:c>
      <x:c r="W85" s="277" t="s">
        <x:v>118</x:v>
      </x:c>
      <x:c r="X85" s="277" t="s">
        <x:v>118</x:v>
      </x:c>
      <x:c r="Y85" s="277" t="s">
        <x:v>118</x:v>
      </x:c>
      <x:c r="Z85" s="277" t="s">
        <x:v>118</x:v>
      </x:c>
      <x:c r="AA85" s="277" t="s">
        <x:v>118</x:v>
      </x:c>
      <x:c r="AB85" s="277" t="s">
        <x:v>118</x:v>
      </x:c>
      <x:c r="AC85" s="277" t="s">
        <x:v>118</x:v>
      </x:c>
      <x:c r="AD85" s="277" t="s">
        <x:v>118</x:v>
      </x:c>
      <x:c r="AE85" s="277" t="s">
        <x:v>118</x:v>
      </x:c>
      <x:c r="AF85" s="277" t="s">
        <x:v>118</x:v>
      </x:c>
      <x:c r="AG85" s="277" t="s">
        <x:v>118</x:v>
      </x:c>
      <x:c r="AH85" s="277" t="s">
        <x:v>118</x:v>
      </x:c>
      <x:c r="AI85" s="277" t="s">
        <x:v>118</x:v>
      </x:c>
      <x:c r="AJ85" s="277" t="s">
        <x:v>118</x:v>
      </x:c>
      <x:c r="AK85" s="220">
        <x:f>COUNTIF(F85:AJ85,"X")</x:f>
      </x:c>
      <x:c r="AL85" s="221"/>
      <x:c r="AM85" s="221"/>
      <x:c r="AN85" s="222"/>
      <x:c r="AO85" s="222"/>
      <x:c r="AP85" s="228"/>
      <x:c r="AQ85" s="228"/>
      <x:c r="AR85" s="228"/>
      <x:c r="AS85" s="228"/>
      <x:c r="AT85" s="230"/>
    </x:row>
    <x:row r="86" spans="1:47" ht="19.9" customHeight="1">
      <x:c r="A86" s="274" t="s">
        <x:v>1095</x:v>
      </x:c>
      <x:c r="B86" s="216"/>
      <x:c r="C86" s="275" t="s">
        <x:v>1096</x:v>
      </x:c>
      <x:c r="D86" s="274" t="s">
        <x:v>370</x:v>
      </x:c>
      <x:c r="E86" s="276" t="s">
        <x:v>1097</x:v>
      </x:c>
      <x:c r="F86" s="277" t="s">
        <x:v>118</x:v>
      </x:c>
      <x:c r="G86" s="277" t="s">
        <x:v>118</x:v>
      </x:c>
      <x:c r="H86" s="277" t="s">
        <x:v>118</x:v>
      </x:c>
      <x:c r="I86" s="277" t="s">
        <x:v>118</x:v>
      </x:c>
      <x:c r="J86" s="277" t="s">
        <x:v>118</x:v>
      </x:c>
      <x:c r="K86" s="277" t="s">
        <x:v>118</x:v>
      </x:c>
      <x:c r="L86" s="277" t="s">
        <x:v>118</x:v>
      </x:c>
      <x:c r="M86" s="277" t="s">
        <x:v>118</x:v>
      </x:c>
      <x:c r="N86" s="277" t="s">
        <x:v>118</x:v>
      </x:c>
      <x:c r="O86" s="277" t="s">
        <x:v>118</x:v>
      </x:c>
      <x:c r="P86" s="277" t="s">
        <x:v>118</x:v>
      </x:c>
      <x:c r="Q86" s="277" t="s">
        <x:v>118</x:v>
      </x:c>
      <x:c r="R86" s="277" t="s">
        <x:v>118</x:v>
      </x:c>
      <x:c r="S86" s="277" t="s">
        <x:v>118</x:v>
      </x:c>
      <x:c r="T86" s="277" t="s">
        <x:v>118</x:v>
      </x:c>
      <x:c r="U86" s="277" t="s">
        <x:v>118</x:v>
      </x:c>
      <x:c r="V86" s="277" t="s">
        <x:v>118</x:v>
      </x:c>
      <x:c r="W86" s="277" t="s">
        <x:v>118</x:v>
      </x:c>
      <x:c r="X86" s="277" t="s">
        <x:v>118</x:v>
      </x:c>
      <x:c r="Y86" s="277" t="s">
        <x:v>118</x:v>
      </x:c>
      <x:c r="Z86" s="277" t="s">
        <x:v>118</x:v>
      </x:c>
      <x:c r="AA86" s="277" t="s">
        <x:v>118</x:v>
      </x:c>
      <x:c r="AB86" s="277" t="s">
        <x:v>118</x:v>
      </x:c>
      <x:c r="AC86" s="277" t="s">
        <x:v>118</x:v>
      </x:c>
      <x:c r="AD86" s="277" t="s">
        <x:v>118</x:v>
      </x:c>
      <x:c r="AE86" s="277" t="s">
        <x:v>118</x:v>
      </x:c>
      <x:c r="AF86" s="277" t="s">
        <x:v>118</x:v>
      </x:c>
      <x:c r="AG86" s="277" t="s">
        <x:v>118</x:v>
      </x:c>
      <x:c r="AH86" s="277" t="s">
        <x:v>118</x:v>
      </x:c>
      <x:c r="AI86" s="277" t="s">
        <x:v>118</x:v>
      </x:c>
      <x:c r="AJ86" s="277" t="s">
        <x:v>118</x:v>
      </x:c>
      <x:c r="AK86" s="220">
        <x:f>COUNTIF(F86:AJ86,"X")</x:f>
      </x:c>
      <x:c r="AL86" s="221"/>
      <x:c r="AM86" s="221"/>
      <x:c r="AN86" s="222"/>
      <x:c r="AO86" s="222"/>
      <x:c r="AP86" s="228"/>
      <x:c r="AQ86" s="228"/>
      <x:c r="AR86" s="228"/>
      <x:c r="AS86" s="228"/>
      <x:c r="AT86" s="230"/>
    </x:row>
    <x:row r="87" spans="1:47" ht="19.9" customHeight="1">
      <x:c r="A87" s="274" t="s">
        <x:v>1098</x:v>
      </x:c>
      <x:c r="B87" s="216"/>
      <x:c r="C87" s="275" t="s">
        <x:v>1099</x:v>
      </x:c>
      <x:c r="D87" s="274" t="s">
        <x:v>163</x:v>
      </x:c>
      <x:c r="E87" s="276" t="s">
        <x:v>1100</x:v>
      </x:c>
      <x:c r="F87" s="277" t="s">
        <x:v>118</x:v>
      </x:c>
      <x:c r="G87" s="277" t="s">
        <x:v>118</x:v>
      </x:c>
      <x:c r="H87" s="277" t="s">
        <x:v>118</x:v>
      </x:c>
      <x:c r="I87" s="277" t="s">
        <x:v>118</x:v>
      </x:c>
      <x:c r="J87" s="277" t="s">
        <x:v>118</x:v>
      </x:c>
      <x:c r="K87" s="277" t="s">
        <x:v>118</x:v>
      </x:c>
      <x:c r="L87" s="277" t="s">
        <x:v>118</x:v>
      </x:c>
      <x:c r="M87" s="277" t="s">
        <x:v>118</x:v>
      </x:c>
      <x:c r="N87" s="277" t="s">
        <x:v>118</x:v>
      </x:c>
      <x:c r="O87" s="277" t="s">
        <x:v>118</x:v>
      </x:c>
      <x:c r="P87" s="277" t="s">
        <x:v>118</x:v>
      </x:c>
      <x:c r="Q87" s="277" t="s">
        <x:v>118</x:v>
      </x:c>
      <x:c r="R87" s="277" t="s">
        <x:v>118</x:v>
      </x:c>
      <x:c r="S87" s="277" t="s">
        <x:v>118</x:v>
      </x:c>
      <x:c r="T87" s="277" t="s">
        <x:v>118</x:v>
      </x:c>
      <x:c r="U87" s="277" t="s">
        <x:v>118</x:v>
      </x:c>
      <x:c r="V87" s="277" t="s">
        <x:v>118</x:v>
      </x:c>
      <x:c r="W87" s="277" t="s">
        <x:v>118</x:v>
      </x:c>
      <x:c r="X87" s="277" t="s">
        <x:v>118</x:v>
      </x:c>
      <x:c r="Y87" s="277" t="s">
        <x:v>118</x:v>
      </x:c>
      <x:c r="Z87" s="277" t="s">
        <x:v>118</x:v>
      </x:c>
      <x:c r="AA87" s="277" t="s">
        <x:v>118</x:v>
      </x:c>
      <x:c r="AB87" s="277" t="s">
        <x:v>118</x:v>
      </x:c>
      <x:c r="AC87" s="277" t="s">
        <x:v>118</x:v>
      </x:c>
      <x:c r="AD87" s="277" t="s">
        <x:v>118</x:v>
      </x:c>
      <x:c r="AE87" s="277" t="s">
        <x:v>118</x:v>
      </x:c>
      <x:c r="AF87" s="277" t="s">
        <x:v>118</x:v>
      </x:c>
      <x:c r="AG87" s="277" t="s">
        <x:v>118</x:v>
      </x:c>
      <x:c r="AH87" s="277" t="s">
        <x:v>118</x:v>
      </x:c>
      <x:c r="AI87" s="277" t="s">
        <x:v>118</x:v>
      </x:c>
      <x:c r="AJ87" s="277" t="s">
        <x:v>118</x:v>
      </x:c>
      <x:c r="AK87" s="220">
        <x:f>COUNTIF(F87:AJ87,"X")</x:f>
      </x:c>
      <x:c r="AL87" s="221"/>
      <x:c r="AM87" s="221"/>
      <x:c r="AN87" s="222"/>
      <x:c r="AO87" s="222"/>
      <x:c r="AP87" s="228"/>
      <x:c r="AQ87" s="228"/>
      <x:c r="AR87" s="228"/>
      <x:c r="AS87" s="228"/>
      <x:c r="AT87" s="230"/>
    </x:row>
    <x:row r="88" spans="1:47" ht="19.9" customHeight="1">
      <x:c r="A88" s="274" t="s">
        <x:v>1101</x:v>
      </x:c>
      <x:c r="B88" s="216"/>
      <x:c r="C88" s="275" t="s">
        <x:v>1102</x:v>
      </x:c>
      <x:c r="D88" s="274" t="s">
        <x:v>163</x:v>
      </x:c>
      <x:c r="E88" s="276" t="s">
        <x:v>405</x:v>
      </x:c>
      <x:c r="F88" s="277" t="s">
        <x:v>118</x:v>
      </x:c>
      <x:c r="G88" s="277" t="s">
        <x:v>118</x:v>
      </x:c>
      <x:c r="H88" s="277" t="s">
        <x:v>118</x:v>
      </x:c>
      <x:c r="I88" s="277" t="s">
        <x:v>118</x:v>
      </x:c>
      <x:c r="J88" s="277" t="s">
        <x:v>118</x:v>
      </x:c>
      <x:c r="K88" s="277" t="s">
        <x:v>118</x:v>
      </x:c>
      <x:c r="L88" s="277" t="s">
        <x:v>118</x:v>
      </x:c>
      <x:c r="M88" s="277" t="s">
        <x:v>118</x:v>
      </x:c>
      <x:c r="N88" s="277" t="s">
        <x:v>118</x:v>
      </x:c>
      <x:c r="O88" s="277" t="s">
        <x:v>118</x:v>
      </x:c>
      <x:c r="P88" s="277" t="s">
        <x:v>118</x:v>
      </x:c>
      <x:c r="Q88" s="277" t="s">
        <x:v>118</x:v>
      </x:c>
      <x:c r="R88" s="277" t="s">
        <x:v>118</x:v>
      </x:c>
      <x:c r="S88" s="277" t="s">
        <x:v>118</x:v>
      </x:c>
      <x:c r="T88" s="277" t="s">
        <x:v>118</x:v>
      </x:c>
      <x:c r="U88" s="277" t="s">
        <x:v>118</x:v>
      </x:c>
      <x:c r="V88" s="277" t="s">
        <x:v>118</x:v>
      </x:c>
      <x:c r="W88" s="277" t="s">
        <x:v>118</x:v>
      </x:c>
      <x:c r="X88" s="277" t="s">
        <x:v>118</x:v>
      </x:c>
      <x:c r="Y88" s="277" t="s">
        <x:v>118</x:v>
      </x:c>
      <x:c r="Z88" s="277" t="s">
        <x:v>118</x:v>
      </x:c>
      <x:c r="AA88" s="277" t="s">
        <x:v>118</x:v>
      </x:c>
      <x:c r="AB88" s="277" t="s">
        <x:v>118</x:v>
      </x:c>
      <x:c r="AC88" s="277" t="s">
        <x:v>118</x:v>
      </x:c>
      <x:c r="AD88" s="277" t="s">
        <x:v>118</x:v>
      </x:c>
      <x:c r="AE88" s="277" t="s">
        <x:v>118</x:v>
      </x:c>
      <x:c r="AF88" s="277" t="s">
        <x:v>118</x:v>
      </x:c>
      <x:c r="AG88" s="277" t="s">
        <x:v>118</x:v>
      </x:c>
      <x:c r="AH88" s="277" t="s">
        <x:v>118</x:v>
      </x:c>
      <x:c r="AI88" s="277" t="s">
        <x:v>118</x:v>
      </x:c>
      <x:c r="AJ88" s="277" t="s">
        <x:v>118</x:v>
      </x:c>
      <x:c r="AK88" s="220">
        <x:f>COUNTIF(F88:AJ88,"X")</x:f>
      </x:c>
      <x:c r="AL88" s="221"/>
      <x:c r="AM88" s="221"/>
      <x:c r="AN88" s="222"/>
      <x:c r="AO88" s="222"/>
      <x:c r="AP88" s="228"/>
      <x:c r="AQ88" s="228"/>
      <x:c r="AR88" s="228"/>
      <x:c r="AS88" s="228"/>
      <x:c r="AT88" s="230"/>
    </x:row>
    <x:row r="89" spans="1:47" ht="19.9" customHeight="1">
      <x:c r="A89" s="274" t="s">
        <x:v>1103</x:v>
      </x:c>
      <x:c r="B89" s="216"/>
      <x:c r="C89" s="275" t="s">
        <x:v>1104</x:v>
      </x:c>
      <x:c r="D89" s="274" t="s">
        <x:v>1105</x:v>
      </x:c>
      <x:c r="E89" s="276" t="s">
        <x:v>1106</x:v>
      </x:c>
      <x:c r="F89" s="277" t="s">
        <x:v>118</x:v>
      </x:c>
      <x:c r="G89" s="277" t="s">
        <x:v>118</x:v>
      </x:c>
      <x:c r="H89" s="277" t="s">
        <x:v>118</x:v>
      </x:c>
      <x:c r="I89" s="277" t="s">
        <x:v>118</x:v>
      </x:c>
      <x:c r="J89" s="277" t="s">
        <x:v>118</x:v>
      </x:c>
      <x:c r="K89" s="277" t="s">
        <x:v>118</x:v>
      </x:c>
      <x:c r="L89" s="277" t="s">
        <x:v>118</x:v>
      </x:c>
      <x:c r="M89" s="277" t="s">
        <x:v>118</x:v>
      </x:c>
      <x:c r="N89" s="277" t="s">
        <x:v>118</x:v>
      </x:c>
      <x:c r="O89" s="277" t="s">
        <x:v>118</x:v>
      </x:c>
      <x:c r="P89" s="277" t="s">
        <x:v>118</x:v>
      </x:c>
      <x:c r="Q89" s="277" t="s">
        <x:v>118</x:v>
      </x:c>
      <x:c r="R89" s="277" t="s">
        <x:v>118</x:v>
      </x:c>
      <x:c r="S89" s="277" t="s">
        <x:v>118</x:v>
      </x:c>
      <x:c r="T89" s="277" t="s">
        <x:v>118</x:v>
      </x:c>
      <x:c r="U89" s="277" t="s">
        <x:v>118</x:v>
      </x:c>
      <x:c r="V89" s="277" t="s">
        <x:v>118</x:v>
      </x:c>
      <x:c r="W89" s="277" t="s">
        <x:v>118</x:v>
      </x:c>
      <x:c r="X89" s="277" t="s">
        <x:v>118</x:v>
      </x:c>
      <x:c r="Y89" s="277" t="s">
        <x:v>118</x:v>
      </x:c>
      <x:c r="Z89" s="277" t="s">
        <x:v>118</x:v>
      </x:c>
      <x:c r="AA89" s="277" t="s">
        <x:v>118</x:v>
      </x:c>
      <x:c r="AB89" s="277" t="s">
        <x:v>118</x:v>
      </x:c>
      <x:c r="AC89" s="277" t="s">
        <x:v>118</x:v>
      </x:c>
      <x:c r="AD89" s="277" t="s">
        <x:v>118</x:v>
      </x:c>
      <x:c r="AE89" s="277" t="s">
        <x:v>118</x:v>
      </x:c>
      <x:c r="AF89" s="277" t="s">
        <x:v>118</x:v>
      </x:c>
      <x:c r="AG89" s="277" t="s">
        <x:v>118</x:v>
      </x:c>
      <x:c r="AH89" s="277" t="s">
        <x:v>118</x:v>
      </x:c>
      <x:c r="AI89" s="277" t="s">
        <x:v>118</x:v>
      </x:c>
      <x:c r="AJ89" s="277" t="s">
        <x:v>118</x:v>
      </x:c>
      <x:c r="AK89" s="220">
        <x:f>COUNTIF(F89:AJ89,"X")</x:f>
      </x:c>
      <x:c r="AL89" s="221"/>
      <x:c r="AM89" s="221"/>
      <x:c r="AN89" s="222"/>
      <x:c r="AO89" s="222"/>
      <x:c r="AP89" s="228"/>
      <x:c r="AQ89" s="228"/>
      <x:c r="AR89" s="228"/>
      <x:c r="AS89" s="228"/>
      <x:c r="AT89" s="230"/>
    </x:row>
    <x:row r="90" spans="1:47" ht="19.9" customHeight="1">
      <x:c r="A90" s="274" t="s">
        <x:v>1107</x:v>
      </x:c>
      <x:c r="B90" s="216"/>
      <x:c r="C90" s="275" t="s">
        <x:v>1108</x:v>
      </x:c>
      <x:c r="D90" s="274" t="s">
        <x:v>1109</x:v>
      </x:c>
      <x:c r="E90" s="276" t="s">
        <x:v>1110</x:v>
      </x:c>
      <x:c r="F90" s="277" t="s">
        <x:v>118</x:v>
      </x:c>
      <x:c r="G90" s="277" t="s">
        <x:v>118</x:v>
      </x:c>
      <x:c r="H90" s="277" t="s">
        <x:v>118</x:v>
      </x:c>
      <x:c r="I90" s="277" t="s">
        <x:v>118</x:v>
      </x:c>
      <x:c r="J90" s="277" t="s">
        <x:v>118</x:v>
      </x:c>
      <x:c r="K90" s="277" t="s">
        <x:v>118</x:v>
      </x:c>
      <x:c r="L90" s="277" t="s">
        <x:v>118</x:v>
      </x:c>
      <x:c r="M90" s="277" t="s">
        <x:v>118</x:v>
      </x:c>
      <x:c r="N90" s="277" t="s">
        <x:v>118</x:v>
      </x:c>
      <x:c r="O90" s="277" t="s">
        <x:v>118</x:v>
      </x:c>
      <x:c r="P90" s="277" t="s">
        <x:v>118</x:v>
      </x:c>
      <x:c r="Q90" s="277" t="s">
        <x:v>118</x:v>
      </x:c>
      <x:c r="R90" s="277" t="s">
        <x:v>118</x:v>
      </x:c>
      <x:c r="S90" s="277" t="s">
        <x:v>118</x:v>
      </x:c>
      <x:c r="T90" s="277" t="s">
        <x:v>118</x:v>
      </x:c>
      <x:c r="U90" s="277" t="s">
        <x:v>118</x:v>
      </x:c>
      <x:c r="V90" s="277" t="s">
        <x:v>118</x:v>
      </x:c>
      <x:c r="W90" s="277" t="s">
        <x:v>118</x:v>
      </x:c>
      <x:c r="X90" s="277" t="s">
        <x:v>118</x:v>
      </x:c>
      <x:c r="Y90" s="277" t="s">
        <x:v>118</x:v>
      </x:c>
      <x:c r="Z90" s="277" t="s">
        <x:v>118</x:v>
      </x:c>
      <x:c r="AA90" s="277" t="s">
        <x:v>118</x:v>
      </x:c>
      <x:c r="AB90" s="277" t="s">
        <x:v>118</x:v>
      </x:c>
      <x:c r="AC90" s="277" t="s">
        <x:v>118</x:v>
      </x:c>
      <x:c r="AD90" s="277" t="s">
        <x:v>118</x:v>
      </x:c>
      <x:c r="AE90" s="277" t="s">
        <x:v>118</x:v>
      </x:c>
      <x:c r="AF90" s="277" t="s">
        <x:v>118</x:v>
      </x:c>
      <x:c r="AG90" s="277" t="s">
        <x:v>118</x:v>
      </x:c>
      <x:c r="AH90" s="277" t="s">
        <x:v>118</x:v>
      </x:c>
      <x:c r="AI90" s="277" t="s">
        <x:v>118</x:v>
      </x:c>
      <x:c r="AJ90" s="277" t="s">
        <x:v>118</x:v>
      </x:c>
      <x:c r="AK90" s="220">
        <x:f>COUNTIF(F90:AJ90,"X")</x:f>
      </x:c>
      <x:c r="AL90" s="221"/>
      <x:c r="AM90" s="221"/>
      <x:c r="AN90" s="222"/>
      <x:c r="AO90" s="222"/>
      <x:c r="AP90" s="228"/>
      <x:c r="AQ90" s="228"/>
      <x:c r="AR90" s="228"/>
      <x:c r="AS90" s="228"/>
      <x:c r="AT90" s="230"/>
    </x:row>
    <x:row r="91" spans="1:47" ht="19.9" customHeight="1">
      <x:c r="A91" s="274" t="s">
        <x:v>1111</x:v>
      </x:c>
      <x:c r="B91" s="216"/>
      <x:c r="C91" s="275" t="s">
        <x:v>1112</x:v>
      </x:c>
      <x:c r="D91" s="274" t="s">
        <x:v>1113</x:v>
      </x:c>
      <x:c r="E91" s="276" t="s">
        <x:v>1114</x:v>
      </x:c>
      <x:c r="F91" s="277" t="s">
        <x:v>118</x:v>
      </x:c>
      <x:c r="G91" s="277" t="s">
        <x:v>118</x:v>
      </x:c>
      <x:c r="H91" s="277" t="s">
        <x:v>118</x:v>
      </x:c>
      <x:c r="I91" s="277" t="s">
        <x:v>118</x:v>
      </x:c>
      <x:c r="J91" s="277" t="s">
        <x:v>118</x:v>
      </x:c>
      <x:c r="K91" s="277" t="s">
        <x:v>118</x:v>
      </x:c>
      <x:c r="L91" s="277" t="s">
        <x:v>118</x:v>
      </x:c>
      <x:c r="M91" s="277" t="s">
        <x:v>118</x:v>
      </x:c>
      <x:c r="N91" s="277" t="s">
        <x:v>118</x:v>
      </x:c>
      <x:c r="O91" s="277" t="s">
        <x:v>118</x:v>
      </x:c>
      <x:c r="P91" s="277" t="s">
        <x:v>118</x:v>
      </x:c>
      <x:c r="Q91" s="277" t="s">
        <x:v>118</x:v>
      </x:c>
      <x:c r="R91" s="277" t="s">
        <x:v>118</x:v>
      </x:c>
      <x:c r="S91" s="277" t="s">
        <x:v>118</x:v>
      </x:c>
      <x:c r="T91" s="277" t="s">
        <x:v>118</x:v>
      </x:c>
      <x:c r="U91" s="277" t="s">
        <x:v>118</x:v>
      </x:c>
      <x:c r="V91" s="277" t="s">
        <x:v>118</x:v>
      </x:c>
      <x:c r="W91" s="277" t="s">
        <x:v>118</x:v>
      </x:c>
      <x:c r="X91" s="277" t="s">
        <x:v>118</x:v>
      </x:c>
      <x:c r="Y91" s="277" t="s">
        <x:v>118</x:v>
      </x:c>
      <x:c r="Z91" s="277" t="s">
        <x:v>118</x:v>
      </x:c>
      <x:c r="AA91" s="277" t="s">
        <x:v>118</x:v>
      </x:c>
      <x:c r="AB91" s="277" t="s">
        <x:v>118</x:v>
      </x:c>
      <x:c r="AC91" s="277" t="s">
        <x:v>118</x:v>
      </x:c>
      <x:c r="AD91" s="277" t="s">
        <x:v>118</x:v>
      </x:c>
      <x:c r="AE91" s="277" t="s">
        <x:v>118</x:v>
      </x:c>
      <x:c r="AF91" s="277" t="s">
        <x:v>118</x:v>
      </x:c>
      <x:c r="AG91" s="277" t="s">
        <x:v>118</x:v>
      </x:c>
      <x:c r="AH91" s="277" t="s">
        <x:v>118</x:v>
      </x:c>
      <x:c r="AI91" s="277" t="s">
        <x:v>118</x:v>
      </x:c>
      <x:c r="AJ91" s="277" t="s">
        <x:v>118</x:v>
      </x:c>
      <x:c r="AK91" s="220">
        <x:f>COUNTIF(F91:AJ91,"X")</x:f>
      </x:c>
      <x:c r="AL91" s="221"/>
      <x:c r="AM91" s="221"/>
      <x:c r="AN91" s="222"/>
      <x:c r="AO91" s="222"/>
      <x:c r="AP91" s="228"/>
      <x:c r="AQ91" s="228"/>
      <x:c r="AR91" s="228"/>
      <x:c r="AS91" s="228"/>
      <x:c r="AT91" s="230"/>
    </x:row>
    <x:row r="92" spans="1:47" ht="19.9" customHeight="1">
      <x:c r="A92" s="274" t="s">
        <x:v>1115</x:v>
      </x:c>
      <x:c r="B92" s="216"/>
      <x:c r="C92" s="275" t="s">
        <x:v>1116</x:v>
      </x:c>
      <x:c r="D92" s="274" t="s">
        <x:v>1117</x:v>
      </x:c>
      <x:c r="E92" s="276" t="s">
        <x:v>1118</x:v>
      </x:c>
      <x:c r="F92" s="277" t="s">
        <x:v>118</x:v>
      </x:c>
      <x:c r="G92" s="277" t="s">
        <x:v>118</x:v>
      </x:c>
      <x:c r="H92" s="277" t="s">
        <x:v>118</x:v>
      </x:c>
      <x:c r="I92" s="277" t="s">
        <x:v>118</x:v>
      </x:c>
      <x:c r="J92" s="277" t="s">
        <x:v>118</x:v>
      </x:c>
      <x:c r="K92" s="277" t="s">
        <x:v>118</x:v>
      </x:c>
      <x:c r="L92" s="277" t="s">
        <x:v>118</x:v>
      </x:c>
      <x:c r="M92" s="277" t="s">
        <x:v>118</x:v>
      </x:c>
      <x:c r="N92" s="277" t="s">
        <x:v>118</x:v>
      </x:c>
      <x:c r="O92" s="277" t="s">
        <x:v>118</x:v>
      </x:c>
      <x:c r="P92" s="277" t="s">
        <x:v>118</x:v>
      </x:c>
      <x:c r="Q92" s="277" t="s">
        <x:v>118</x:v>
      </x:c>
      <x:c r="R92" s="277" t="s">
        <x:v>118</x:v>
      </x:c>
      <x:c r="S92" s="277" t="s">
        <x:v>118</x:v>
      </x:c>
      <x:c r="T92" s="277" t="s">
        <x:v>118</x:v>
      </x:c>
      <x:c r="U92" s="277" t="s">
        <x:v>118</x:v>
      </x:c>
      <x:c r="V92" s="277" t="s">
        <x:v>118</x:v>
      </x:c>
      <x:c r="W92" s="277" t="s">
        <x:v>118</x:v>
      </x:c>
      <x:c r="X92" s="277" t="s">
        <x:v>118</x:v>
      </x:c>
      <x:c r="Y92" s="277" t="s">
        <x:v>118</x:v>
      </x:c>
      <x:c r="Z92" s="277" t="s">
        <x:v>118</x:v>
      </x:c>
      <x:c r="AA92" s="277" t="s">
        <x:v>118</x:v>
      </x:c>
      <x:c r="AB92" s="277" t="s">
        <x:v>118</x:v>
      </x:c>
      <x:c r="AC92" s="277" t="s">
        <x:v>118</x:v>
      </x:c>
      <x:c r="AD92" s="277" t="s">
        <x:v>118</x:v>
      </x:c>
      <x:c r="AE92" s="277" t="s">
        <x:v>118</x:v>
      </x:c>
      <x:c r="AF92" s="277" t="s">
        <x:v>118</x:v>
      </x:c>
      <x:c r="AG92" s="277" t="s">
        <x:v>118</x:v>
      </x:c>
      <x:c r="AH92" s="277" t="s">
        <x:v>118</x:v>
      </x:c>
      <x:c r="AI92" s="277" t="s">
        <x:v>118</x:v>
      </x:c>
      <x:c r="AJ92" s="277" t="s">
        <x:v>118</x:v>
      </x:c>
      <x:c r="AK92" s="220">
        <x:f>COUNTIF(F92:AJ92,"X")</x:f>
      </x:c>
      <x:c r="AL92" s="221"/>
      <x:c r="AM92" s="221"/>
      <x:c r="AN92" s="222"/>
      <x:c r="AO92" s="222"/>
      <x:c r="AP92" s="228"/>
      <x:c r="AQ92" s="228"/>
      <x:c r="AR92" s="228"/>
      <x:c r="AS92" s="228"/>
      <x:c r="AT92" s="230"/>
    </x:row>
    <x:row r="93" spans="1:47" ht="19.9" customHeight="1">
      <x:c r="A93" s="274" t="s">
        <x:v>1119</x:v>
      </x:c>
      <x:c r="B93" s="216"/>
      <x:c r="C93" s="275" t="s">
        <x:v>1120</x:v>
      </x:c>
      <x:c r="D93" s="274" t="s">
        <x:v>1121</x:v>
      </x:c>
      <x:c r="E93" s="276" t="s">
        <x:v>323</x:v>
      </x:c>
      <x:c r="F93" s="277" t="s">
        <x:v>118</x:v>
      </x:c>
      <x:c r="G93" s="277" t="s">
        <x:v>118</x:v>
      </x:c>
      <x:c r="H93" s="277" t="s">
        <x:v>118</x:v>
      </x:c>
      <x:c r="I93" s="277" t="s">
        <x:v>118</x:v>
      </x:c>
      <x:c r="J93" s="277" t="s">
        <x:v>118</x:v>
      </x:c>
      <x:c r="K93" s="277" t="s">
        <x:v>118</x:v>
      </x:c>
      <x:c r="L93" s="277" t="s">
        <x:v>118</x:v>
      </x:c>
      <x:c r="M93" s="277" t="s">
        <x:v>118</x:v>
      </x:c>
      <x:c r="N93" s="277" t="s">
        <x:v>118</x:v>
      </x:c>
      <x:c r="O93" s="277" t="s">
        <x:v>118</x:v>
      </x:c>
      <x:c r="P93" s="277" t="s">
        <x:v>118</x:v>
      </x:c>
      <x:c r="Q93" s="277" t="s">
        <x:v>118</x:v>
      </x:c>
      <x:c r="R93" s="277" t="s">
        <x:v>118</x:v>
      </x:c>
      <x:c r="S93" s="277" t="s">
        <x:v>118</x:v>
      </x:c>
      <x:c r="T93" s="277" t="s">
        <x:v>118</x:v>
      </x:c>
      <x:c r="U93" s="277" t="s">
        <x:v>118</x:v>
      </x:c>
      <x:c r="V93" s="277" t="s">
        <x:v>118</x:v>
      </x:c>
      <x:c r="W93" s="277" t="s">
        <x:v>118</x:v>
      </x:c>
      <x:c r="X93" s="277" t="s">
        <x:v>118</x:v>
      </x:c>
      <x:c r="Y93" s="277" t="s">
        <x:v>118</x:v>
      </x:c>
      <x:c r="Z93" s="277" t="s">
        <x:v>118</x:v>
      </x:c>
      <x:c r="AA93" s="277" t="s">
        <x:v>118</x:v>
      </x:c>
      <x:c r="AB93" s="277" t="s">
        <x:v>118</x:v>
      </x:c>
      <x:c r="AC93" s="277" t="s">
        <x:v>118</x:v>
      </x:c>
      <x:c r="AD93" s="277" t="s">
        <x:v>118</x:v>
      </x:c>
      <x:c r="AE93" s="277" t="s">
        <x:v>118</x:v>
      </x:c>
      <x:c r="AF93" s="277" t="s">
        <x:v>118</x:v>
      </x:c>
      <x:c r="AG93" s="277" t="s">
        <x:v>118</x:v>
      </x:c>
      <x:c r="AH93" s="277" t="s">
        <x:v>118</x:v>
      </x:c>
      <x:c r="AI93" s="277" t="s">
        <x:v>118</x:v>
      </x:c>
      <x:c r="AJ93" s="277" t="s">
        <x:v>118</x:v>
      </x:c>
      <x:c r="AK93" s="220">
        <x:f>COUNTIF(F93:AJ93,"X")</x:f>
      </x:c>
      <x:c r="AL93" s="221"/>
      <x:c r="AM93" s="221"/>
      <x:c r="AN93" s="222"/>
      <x:c r="AO93" s="222"/>
      <x:c r="AP93" s="228"/>
      <x:c r="AQ93" s="228"/>
      <x:c r="AR93" s="228"/>
      <x:c r="AS93" s="228"/>
      <x:c r="AT93" s="230"/>
    </x:row>
    <x:row r="94" spans="1:47" ht="19.9" customHeight="1">
      <x:c r="A94" s="280" t="s">
        <x:v>1122</x:v>
      </x:c>
      <x:c r="B94" s="216"/>
      <x:c r="C94" s="275" t="s">
        <x:v>1123</x:v>
      </x:c>
      <x:c r="D94" s="274" t="s">
        <x:v>1124</x:v>
      </x:c>
      <x:c r="E94" s="276" t="s">
        <x:v>1125</x:v>
      </x:c>
      <x:c r="F94" s="277" t="s">
        <x:v>118</x:v>
      </x:c>
      <x:c r="G94" s="277" t="s">
        <x:v>118</x:v>
      </x:c>
      <x:c r="H94" s="277" t="s">
        <x:v>118</x:v>
      </x:c>
      <x:c r="I94" s="277" t="s">
        <x:v>118</x:v>
      </x:c>
      <x:c r="J94" s="277" t="s">
        <x:v>118</x:v>
      </x:c>
      <x:c r="K94" s="277" t="s">
        <x:v>118</x:v>
      </x:c>
      <x:c r="L94" s="277" t="s">
        <x:v>118</x:v>
      </x:c>
      <x:c r="M94" s="277" t="s">
        <x:v>118</x:v>
      </x:c>
      <x:c r="N94" s="277" t="s">
        <x:v>118</x:v>
      </x:c>
      <x:c r="O94" s="277" t="s">
        <x:v>118</x:v>
      </x:c>
      <x:c r="P94" s="277" t="s">
        <x:v>118</x:v>
      </x:c>
      <x:c r="Q94" s="277" t="s">
        <x:v>118</x:v>
      </x:c>
      <x:c r="R94" s="277" t="s">
        <x:v>118</x:v>
      </x:c>
      <x:c r="S94" s="277" t="s">
        <x:v>118</x:v>
      </x:c>
      <x:c r="T94" s="277" t="s">
        <x:v>118</x:v>
      </x:c>
      <x:c r="U94" s="277" t="s">
        <x:v>118</x:v>
      </x:c>
      <x:c r="V94" s="277" t="s">
        <x:v>118</x:v>
      </x:c>
      <x:c r="W94" s="277" t="s">
        <x:v>118</x:v>
      </x:c>
      <x:c r="X94" s="277" t="s">
        <x:v>118</x:v>
      </x:c>
      <x:c r="Y94" s="277" t="s">
        <x:v>118</x:v>
      </x:c>
      <x:c r="Z94" s="277" t="s">
        <x:v>118</x:v>
      </x:c>
      <x:c r="AA94" s="277" t="s">
        <x:v>118</x:v>
      </x:c>
      <x:c r="AB94" s="277" t="s">
        <x:v>118</x:v>
      </x:c>
      <x:c r="AC94" s="277" t="s">
        <x:v>118</x:v>
      </x:c>
      <x:c r="AD94" s="277" t="s">
        <x:v>118</x:v>
      </x:c>
      <x:c r="AE94" s="277" t="s">
        <x:v>118</x:v>
      </x:c>
      <x:c r="AF94" s="277" t="s">
        <x:v>118</x:v>
      </x:c>
      <x:c r="AG94" s="277" t="s">
        <x:v>118</x:v>
      </x:c>
      <x:c r="AH94" s="277" t="s">
        <x:v>118</x:v>
      </x:c>
      <x:c r="AI94" s="277" t="s">
        <x:v>118</x:v>
      </x:c>
      <x:c r="AJ94" s="277" t="s">
        <x:v>118</x:v>
      </x:c>
      <x:c r="AK94" s="220">
        <x:f>COUNTIF(F94:AJ94,"X")</x:f>
      </x:c>
      <x:c r="AL94" s="221"/>
      <x:c r="AM94" s="221"/>
      <x:c r="AN94" s="222"/>
      <x:c r="AO94" s="222"/>
      <x:c r="AP94" s="228"/>
      <x:c r="AQ94" s="228"/>
      <x:c r="AR94" s="228"/>
      <x:c r="AS94" s="228"/>
      <x:c r="AT94" s="230"/>
    </x:row>
    <x:row r="95" spans="1:47" ht="19.9" customHeight="1">
      <x:c r="A95" s="274" t="s">
        <x:v>1126</x:v>
      </x:c>
      <x:c r="B95" s="216"/>
      <x:c r="C95" s="275" t="s">
        <x:v>1127</x:v>
      </x:c>
      <x:c r="D95" s="274" t="s">
        <x:v>1128</x:v>
      </x:c>
      <x:c r="E95" s="276" t="s">
        <x:v>1129</x:v>
      </x:c>
      <x:c r="F95" s="277" t="s">
        <x:v>118</x:v>
      </x:c>
      <x:c r="G95" s="277" t="s">
        <x:v>118</x:v>
      </x:c>
      <x:c r="H95" s="277" t="s">
        <x:v>118</x:v>
      </x:c>
      <x:c r="I95" s="277" t="s">
        <x:v>118</x:v>
      </x:c>
      <x:c r="J95" s="277" t="s">
        <x:v>118</x:v>
      </x:c>
      <x:c r="K95" s="277" t="s">
        <x:v>118</x:v>
      </x:c>
      <x:c r="L95" s="277" t="s">
        <x:v>118</x:v>
      </x:c>
      <x:c r="M95" s="277" t="s">
        <x:v>118</x:v>
      </x:c>
      <x:c r="N95" s="277" t="s">
        <x:v>118</x:v>
      </x:c>
      <x:c r="O95" s="277" t="s">
        <x:v>118</x:v>
      </x:c>
      <x:c r="P95" s="277" t="s">
        <x:v>118</x:v>
      </x:c>
      <x:c r="Q95" s="277" t="s">
        <x:v>118</x:v>
      </x:c>
      <x:c r="R95" s="277" t="s">
        <x:v>118</x:v>
      </x:c>
      <x:c r="S95" s="277" t="s">
        <x:v>118</x:v>
      </x:c>
      <x:c r="T95" s="277" t="s">
        <x:v>118</x:v>
      </x:c>
      <x:c r="U95" s="277" t="s">
        <x:v>118</x:v>
      </x:c>
      <x:c r="V95" s="277" t="s">
        <x:v>118</x:v>
      </x:c>
      <x:c r="W95" s="277" t="s">
        <x:v>118</x:v>
      </x:c>
      <x:c r="X95" s="277" t="s">
        <x:v>118</x:v>
      </x:c>
      <x:c r="Y95" s="277" t="s">
        <x:v>118</x:v>
      </x:c>
      <x:c r="Z95" s="277" t="s">
        <x:v>118</x:v>
      </x:c>
      <x:c r="AA95" s="277" t="s">
        <x:v>118</x:v>
      </x:c>
      <x:c r="AB95" s="277" t="s">
        <x:v>118</x:v>
      </x:c>
      <x:c r="AC95" s="277" t="s">
        <x:v>118</x:v>
      </x:c>
      <x:c r="AD95" s="277" t="s">
        <x:v>118</x:v>
      </x:c>
      <x:c r="AE95" s="277" t="s">
        <x:v>118</x:v>
      </x:c>
      <x:c r="AF95" s="277" t="s">
        <x:v>118</x:v>
      </x:c>
      <x:c r="AG95" s="277" t="s">
        <x:v>118</x:v>
      </x:c>
      <x:c r="AH95" s="277" t="s">
        <x:v>118</x:v>
      </x:c>
      <x:c r="AI95" s="277" t="s">
        <x:v>118</x:v>
      </x:c>
      <x:c r="AJ95" s="277" t="s">
        <x:v>118</x:v>
      </x:c>
      <x:c r="AK95" s="220">
        <x:f>COUNTIF(F95:AJ95,"X")</x:f>
      </x:c>
      <x:c r="AL95" s="221"/>
      <x:c r="AM95" s="221"/>
      <x:c r="AN95" s="222"/>
      <x:c r="AO95" s="222"/>
      <x:c r="AP95" s="228"/>
      <x:c r="AQ95" s="228"/>
      <x:c r="AR95" s="228"/>
      <x:c r="AS95" s="228"/>
      <x:c r="AT95" s="230"/>
    </x:row>
    <x:row r="96" spans="1:47" ht="19.9" customHeight="1">
      <x:c r="A96" s="274" t="s">
        <x:v>1130</x:v>
      </x:c>
      <x:c r="B96" s="216"/>
      <x:c r="C96" s="275" t="s">
        <x:v>1131</x:v>
      </x:c>
      <x:c r="D96" s="274" t="s">
        <x:v>1132</x:v>
      </x:c>
      <x:c r="E96" s="276" t="s">
        <x:v>1133</x:v>
      </x:c>
      <x:c r="F96" s="277" t="s">
        <x:v>118</x:v>
      </x:c>
      <x:c r="G96" s="277" t="s">
        <x:v>118</x:v>
      </x:c>
      <x:c r="H96" s="277" t="s">
        <x:v>118</x:v>
      </x:c>
      <x:c r="I96" s="277" t="s">
        <x:v>118</x:v>
      </x:c>
      <x:c r="J96" s="277" t="s">
        <x:v>118</x:v>
      </x:c>
      <x:c r="K96" s="277" t="s">
        <x:v>118</x:v>
      </x:c>
      <x:c r="L96" s="277" t="s">
        <x:v>118</x:v>
      </x:c>
      <x:c r="M96" s="277" t="s">
        <x:v>118</x:v>
      </x:c>
      <x:c r="N96" s="277" t="s">
        <x:v>118</x:v>
      </x:c>
      <x:c r="O96" s="277" t="s">
        <x:v>118</x:v>
      </x:c>
      <x:c r="P96" s="277" t="s">
        <x:v>118</x:v>
      </x:c>
      <x:c r="Q96" s="277" t="s">
        <x:v>118</x:v>
      </x:c>
      <x:c r="R96" s="277" t="s">
        <x:v>118</x:v>
      </x:c>
      <x:c r="S96" s="277" t="s">
        <x:v>118</x:v>
      </x:c>
      <x:c r="T96" s="277" t="s">
        <x:v>118</x:v>
      </x:c>
      <x:c r="U96" s="277" t="s">
        <x:v>118</x:v>
      </x:c>
      <x:c r="V96" s="277" t="s">
        <x:v>118</x:v>
      </x:c>
      <x:c r="W96" s="277" t="s">
        <x:v>118</x:v>
      </x:c>
      <x:c r="X96" s="277" t="s">
        <x:v>118</x:v>
      </x:c>
      <x:c r="Y96" s="277" t="s">
        <x:v>118</x:v>
      </x:c>
      <x:c r="Z96" s="277" t="s">
        <x:v>118</x:v>
      </x:c>
      <x:c r="AA96" s="277" t="s">
        <x:v>118</x:v>
      </x:c>
      <x:c r="AB96" s="277" t="s">
        <x:v>118</x:v>
      </x:c>
      <x:c r="AC96" s="277" t="s">
        <x:v>118</x:v>
      </x:c>
      <x:c r="AD96" s="277" t="s">
        <x:v>118</x:v>
      </x:c>
      <x:c r="AE96" s="277" t="s">
        <x:v>118</x:v>
      </x:c>
      <x:c r="AF96" s="277" t="s">
        <x:v>118</x:v>
      </x:c>
      <x:c r="AG96" s="277" t="s">
        <x:v>118</x:v>
      </x:c>
      <x:c r="AH96" s="277" t="s">
        <x:v>118</x:v>
      </x:c>
      <x:c r="AI96" s="277" t="s">
        <x:v>118</x:v>
      </x:c>
      <x:c r="AJ96" s="277" t="s">
        <x:v>118</x:v>
      </x:c>
      <x:c r="AK96" s="220">
        <x:f>COUNTIF(F96:AJ96,"X")</x:f>
      </x:c>
      <x:c r="AL96" s="221"/>
      <x:c r="AM96" s="221"/>
      <x:c r="AN96" s="222"/>
      <x:c r="AO96" s="222"/>
      <x:c r="AP96" s="228"/>
      <x:c r="AQ96" s="228"/>
      <x:c r="AR96" s="228"/>
      <x:c r="AS96" s="228"/>
      <x:c r="AT96" s="230"/>
    </x:row>
    <x:row r="97" spans="1:47" ht="19.9" customHeight="1">
      <x:c r="A97" s="274" t="s">
        <x:v>1134</x:v>
      </x:c>
      <x:c r="B97" s="216"/>
      <x:c r="C97" s="275" t="s">
        <x:v>1135</x:v>
      </x:c>
      <x:c r="D97" s="274" t="s">
        <x:v>377</x:v>
      </x:c>
      <x:c r="E97" s="276" t="s">
        <x:v>1136</x:v>
      </x:c>
      <x:c r="F97" s="277" t="s">
        <x:v>118</x:v>
      </x:c>
      <x:c r="G97" s="277" t="s">
        <x:v>118</x:v>
      </x:c>
      <x:c r="H97" s="277" t="s">
        <x:v>118</x:v>
      </x:c>
      <x:c r="I97" s="277" t="s">
        <x:v>118</x:v>
      </x:c>
      <x:c r="J97" s="277" t="s">
        <x:v>118</x:v>
      </x:c>
      <x:c r="K97" s="277" t="s">
        <x:v>118</x:v>
      </x:c>
      <x:c r="L97" s="277" t="s">
        <x:v>118</x:v>
      </x:c>
      <x:c r="M97" s="277" t="s">
        <x:v>118</x:v>
      </x:c>
      <x:c r="N97" s="277" t="s">
        <x:v>118</x:v>
      </x:c>
      <x:c r="O97" s="277" t="s">
        <x:v>118</x:v>
      </x:c>
      <x:c r="P97" s="277" t="s">
        <x:v>118</x:v>
      </x:c>
      <x:c r="Q97" s="277" t="s">
        <x:v>118</x:v>
      </x:c>
      <x:c r="R97" s="277" t="s">
        <x:v>118</x:v>
      </x:c>
      <x:c r="S97" s="277" t="s">
        <x:v>118</x:v>
      </x:c>
      <x:c r="T97" s="277" t="s">
        <x:v>118</x:v>
      </x:c>
      <x:c r="U97" s="277" t="s">
        <x:v>118</x:v>
      </x:c>
      <x:c r="V97" s="277" t="s">
        <x:v>118</x:v>
      </x:c>
      <x:c r="W97" s="277" t="s">
        <x:v>118</x:v>
      </x:c>
      <x:c r="X97" s="277" t="s">
        <x:v>118</x:v>
      </x:c>
      <x:c r="Y97" s="277" t="s">
        <x:v>118</x:v>
      </x:c>
      <x:c r="Z97" s="277" t="s">
        <x:v>118</x:v>
      </x:c>
      <x:c r="AA97" s="277" t="s">
        <x:v>118</x:v>
      </x:c>
      <x:c r="AB97" s="277" t="s">
        <x:v>118</x:v>
      </x:c>
      <x:c r="AC97" s="277" t="s">
        <x:v>118</x:v>
      </x:c>
      <x:c r="AD97" s="277" t="s">
        <x:v>118</x:v>
      </x:c>
      <x:c r="AE97" s="277" t="s">
        <x:v>118</x:v>
      </x:c>
      <x:c r="AF97" s="277" t="s">
        <x:v>118</x:v>
      </x:c>
      <x:c r="AG97" s="277" t="s">
        <x:v>118</x:v>
      </x:c>
      <x:c r="AH97" s="277" t="s">
        <x:v>118</x:v>
      </x:c>
      <x:c r="AI97" s="277" t="s">
        <x:v>118</x:v>
      </x:c>
      <x:c r="AJ97" s="277" t="s">
        <x:v>118</x:v>
      </x:c>
      <x:c r="AK97" s="220">
        <x:f>COUNTIF(F97:AJ97,"X")</x:f>
      </x:c>
      <x:c r="AL97" s="221"/>
      <x:c r="AM97" s="221"/>
      <x:c r="AN97" s="222"/>
      <x:c r="AO97" s="222"/>
      <x:c r="AP97" s="228"/>
      <x:c r="AQ97" s="228"/>
      <x:c r="AR97" s="228"/>
      <x:c r="AS97" s="228"/>
      <x:c r="AT97" s="230"/>
    </x:row>
    <x:row r="98" spans="1:47" ht="19.9" customHeight="1">
      <x:c r="A98" s="274" t="s">
        <x:v>1137</x:v>
      </x:c>
      <x:c r="B98" s="216"/>
      <x:c r="C98" s="275" t="s">
        <x:v>1138</x:v>
      </x:c>
      <x:c r="D98" s="274" t="s">
        <x:v>381</x:v>
      </x:c>
      <x:c r="E98" s="276" t="s">
        <x:v>1139</x:v>
      </x:c>
      <x:c r="F98" s="277" t="s">
        <x:v>118</x:v>
      </x:c>
      <x:c r="G98" s="277" t="s">
        <x:v>118</x:v>
      </x:c>
      <x:c r="H98" s="277" t="s">
        <x:v>118</x:v>
      </x:c>
      <x:c r="I98" s="277" t="s">
        <x:v>118</x:v>
      </x:c>
      <x:c r="J98" s="277" t="s">
        <x:v>118</x:v>
      </x:c>
      <x:c r="K98" s="277" t="s">
        <x:v>118</x:v>
      </x:c>
      <x:c r="L98" s="277" t="s">
        <x:v>118</x:v>
      </x:c>
      <x:c r="M98" s="277" t="s">
        <x:v>118</x:v>
      </x:c>
      <x:c r="N98" s="277" t="s">
        <x:v>118</x:v>
      </x:c>
      <x:c r="O98" s="277" t="s">
        <x:v>118</x:v>
      </x:c>
      <x:c r="P98" s="277" t="s">
        <x:v>118</x:v>
      </x:c>
      <x:c r="Q98" s="277" t="s">
        <x:v>118</x:v>
      </x:c>
      <x:c r="R98" s="277" t="s">
        <x:v>118</x:v>
      </x:c>
      <x:c r="S98" s="277" t="s">
        <x:v>118</x:v>
      </x:c>
      <x:c r="T98" s="277" t="s">
        <x:v>118</x:v>
      </x:c>
      <x:c r="U98" s="277" t="s">
        <x:v>118</x:v>
      </x:c>
      <x:c r="V98" s="277" t="s">
        <x:v>118</x:v>
      </x:c>
      <x:c r="W98" s="277" t="s">
        <x:v>118</x:v>
      </x:c>
      <x:c r="X98" s="277" t="s">
        <x:v>118</x:v>
      </x:c>
      <x:c r="Y98" s="277" t="s">
        <x:v>118</x:v>
      </x:c>
      <x:c r="Z98" s="277" t="s">
        <x:v>118</x:v>
      </x:c>
      <x:c r="AA98" s="277" t="s">
        <x:v>118</x:v>
      </x:c>
      <x:c r="AB98" s="277" t="s">
        <x:v>118</x:v>
      </x:c>
      <x:c r="AC98" s="277" t="s">
        <x:v>118</x:v>
      </x:c>
      <x:c r="AD98" s="277" t="s">
        <x:v>118</x:v>
      </x:c>
      <x:c r="AE98" s="277" t="s">
        <x:v>118</x:v>
      </x:c>
      <x:c r="AF98" s="277" t="s">
        <x:v>118</x:v>
      </x:c>
      <x:c r="AG98" s="277" t="s">
        <x:v>118</x:v>
      </x:c>
      <x:c r="AH98" s="277" t="s">
        <x:v>118</x:v>
      </x:c>
      <x:c r="AI98" s="277" t="s">
        <x:v>118</x:v>
      </x:c>
      <x:c r="AJ98" s="277" t="s">
        <x:v>118</x:v>
      </x:c>
      <x:c r="AK98" s="220">
        <x:f>COUNTIF(F98:AJ98,"X")</x:f>
      </x:c>
      <x:c r="AL98" s="221"/>
      <x:c r="AM98" s="221"/>
      <x:c r="AN98" s="222"/>
      <x:c r="AO98" s="222"/>
      <x:c r="AP98" s="228"/>
      <x:c r="AQ98" s="228"/>
      <x:c r="AR98" s="228"/>
      <x:c r="AS98" s="228"/>
      <x:c r="AT98" s="230"/>
    </x:row>
    <x:row r="99" spans="1:47" ht="19.9" customHeight="1">
      <x:c r="A99" s="274" t="s">
        <x:v>1140</x:v>
      </x:c>
      <x:c r="B99" s="216"/>
      <x:c r="C99" s="275" t="s">
        <x:v>1141</x:v>
      </x:c>
      <x:c r="D99" s="274" t="s">
        <x:v>1142</x:v>
      </x:c>
      <x:c r="E99" s="276" t="s">
        <x:v>1143</x:v>
      </x:c>
      <x:c r="F99" s="277" t="s">
        <x:v>118</x:v>
      </x:c>
      <x:c r="G99" s="277" t="s">
        <x:v>118</x:v>
      </x:c>
      <x:c r="H99" s="277" t="s">
        <x:v>118</x:v>
      </x:c>
      <x:c r="I99" s="277" t="s">
        <x:v>118</x:v>
      </x:c>
      <x:c r="J99" s="277" t="s">
        <x:v>118</x:v>
      </x:c>
      <x:c r="K99" s="277" t="s">
        <x:v>118</x:v>
      </x:c>
      <x:c r="L99" s="277" t="s">
        <x:v>118</x:v>
      </x:c>
      <x:c r="M99" s="277" t="s">
        <x:v>118</x:v>
      </x:c>
      <x:c r="N99" s="277" t="s">
        <x:v>118</x:v>
      </x:c>
      <x:c r="O99" s="277" t="s">
        <x:v>118</x:v>
      </x:c>
      <x:c r="P99" s="277" t="s">
        <x:v>118</x:v>
      </x:c>
      <x:c r="Q99" s="277" t="s">
        <x:v>118</x:v>
      </x:c>
      <x:c r="R99" s="277" t="s">
        <x:v>118</x:v>
      </x:c>
      <x:c r="S99" s="277" t="s">
        <x:v>118</x:v>
      </x:c>
      <x:c r="T99" s="277" t="s">
        <x:v>118</x:v>
      </x:c>
      <x:c r="U99" s="277" t="s">
        <x:v>118</x:v>
      </x:c>
      <x:c r="V99" s="277" t="s">
        <x:v>118</x:v>
      </x:c>
      <x:c r="W99" s="277" t="s">
        <x:v>118</x:v>
      </x:c>
      <x:c r="X99" s="277" t="s">
        <x:v>118</x:v>
      </x:c>
      <x:c r="Y99" s="277" t="s">
        <x:v>118</x:v>
      </x:c>
      <x:c r="Z99" s="277" t="s">
        <x:v>118</x:v>
      </x:c>
      <x:c r="AA99" s="277" t="s">
        <x:v>118</x:v>
      </x:c>
      <x:c r="AB99" s="277" t="s">
        <x:v>118</x:v>
      </x:c>
      <x:c r="AC99" s="277" t="s">
        <x:v>118</x:v>
      </x:c>
      <x:c r="AD99" s="277" t="s">
        <x:v>118</x:v>
      </x:c>
      <x:c r="AE99" s="277" t="s">
        <x:v>118</x:v>
      </x:c>
      <x:c r="AF99" s="277" t="s">
        <x:v>118</x:v>
      </x:c>
      <x:c r="AG99" s="277" t="s">
        <x:v>118</x:v>
      </x:c>
      <x:c r="AH99" s="277" t="s">
        <x:v>118</x:v>
      </x:c>
      <x:c r="AI99" s="277" t="s">
        <x:v>118</x:v>
      </x:c>
      <x:c r="AJ99" s="277" t="s">
        <x:v>118</x:v>
      </x:c>
      <x:c r="AK99" s="220">
        <x:f>COUNTIF(F99:AJ99,"X")</x:f>
      </x:c>
      <x:c r="AL99" s="221"/>
      <x:c r="AM99" s="221"/>
      <x:c r="AN99" s="222"/>
      <x:c r="AO99" s="222"/>
      <x:c r="AP99" s="228"/>
      <x:c r="AQ99" s="228"/>
      <x:c r="AR99" s="228"/>
      <x:c r="AS99" s="228"/>
      <x:c r="AT99" s="230"/>
    </x:row>
    <x:row r="100" spans="1:47" ht="19.9" customHeight="1">
      <x:c r="A100" s="274" t="s">
        <x:v>1144</x:v>
      </x:c>
      <x:c r="B100" s="216"/>
      <x:c r="C100" s="275" t="s">
        <x:v>1145</x:v>
      </x:c>
      <x:c r="D100" s="274" t="s">
        <x:v>1146</x:v>
      </x:c>
      <x:c r="E100" s="276" t="s">
        <x:v>1147</x:v>
      </x:c>
      <x:c r="F100" s="277" t="s">
        <x:v>118</x:v>
      </x:c>
      <x:c r="G100" s="277" t="s">
        <x:v>118</x:v>
      </x:c>
      <x:c r="H100" s="277" t="s">
        <x:v>118</x:v>
      </x:c>
      <x:c r="I100" s="277" t="s">
        <x:v>118</x:v>
      </x:c>
      <x:c r="J100" s="277" t="s">
        <x:v>118</x:v>
      </x:c>
      <x:c r="K100" s="277" t="s">
        <x:v>118</x:v>
      </x:c>
      <x:c r="L100" s="277" t="s">
        <x:v>118</x:v>
      </x:c>
      <x:c r="M100" s="277" t="s">
        <x:v>118</x:v>
      </x:c>
      <x:c r="N100" s="277" t="s">
        <x:v>118</x:v>
      </x:c>
      <x:c r="O100" s="277" t="s">
        <x:v>118</x:v>
      </x:c>
      <x:c r="P100" s="277" t="s">
        <x:v>118</x:v>
      </x:c>
      <x:c r="Q100" s="277" t="s">
        <x:v>118</x:v>
      </x:c>
      <x:c r="R100" s="277" t="s">
        <x:v>118</x:v>
      </x:c>
      <x:c r="S100" s="277" t="s">
        <x:v>118</x:v>
      </x:c>
      <x:c r="T100" s="277" t="s">
        <x:v>118</x:v>
      </x:c>
      <x:c r="U100" s="277" t="s">
        <x:v>118</x:v>
      </x:c>
      <x:c r="V100" s="277" t="s">
        <x:v>118</x:v>
      </x:c>
      <x:c r="W100" s="277" t="s">
        <x:v>118</x:v>
      </x:c>
      <x:c r="X100" s="277" t="s">
        <x:v>118</x:v>
      </x:c>
      <x:c r="Y100" s="277" t="s">
        <x:v>118</x:v>
      </x:c>
      <x:c r="Z100" s="277" t="s">
        <x:v>118</x:v>
      </x:c>
      <x:c r="AA100" s="277" t="s">
        <x:v>118</x:v>
      </x:c>
      <x:c r="AB100" s="277" t="s">
        <x:v>118</x:v>
      </x:c>
      <x:c r="AC100" s="277" t="s">
        <x:v>118</x:v>
      </x:c>
      <x:c r="AD100" s="277" t="s">
        <x:v>118</x:v>
      </x:c>
      <x:c r="AE100" s="277" t="s">
        <x:v>118</x:v>
      </x:c>
      <x:c r="AF100" s="277" t="s">
        <x:v>118</x:v>
      </x:c>
      <x:c r="AG100" s="277" t="s">
        <x:v>118</x:v>
      </x:c>
      <x:c r="AH100" s="277" t="s">
        <x:v>118</x:v>
      </x:c>
      <x:c r="AI100" s="277" t="s">
        <x:v>118</x:v>
      </x:c>
      <x:c r="AJ100" s="277" t="s">
        <x:v>118</x:v>
      </x:c>
      <x:c r="AK100" s="220">
        <x:f>COUNTIF(F100:AJ100,"X")</x:f>
      </x:c>
      <x:c r="AL100" s="221"/>
      <x:c r="AM100" s="221"/>
      <x:c r="AN100" s="222"/>
      <x:c r="AO100" s="222"/>
      <x:c r="AP100" s="228"/>
      <x:c r="AQ100" s="228"/>
      <x:c r="AR100" s="228"/>
      <x:c r="AS100" s="228"/>
      <x:c r="AT100" s="230"/>
    </x:row>
    <x:row r="101" spans="1:47" ht="19.9" customHeight="1">
      <x:c r="A101" s="274" t="s">
        <x:v>1148</x:v>
      </x:c>
      <x:c r="B101" s="216"/>
      <x:c r="C101" s="275" t="s">
        <x:v>1149</x:v>
      </x:c>
      <x:c r="D101" s="274" t="s">
        <x:v>388</x:v>
      </x:c>
      <x:c r="E101" s="276" t="s">
        <x:v>1150</x:v>
      </x:c>
      <x:c r="F101" s="277" t="s">
        <x:v>118</x:v>
      </x:c>
      <x:c r="G101" s="277" t="s">
        <x:v>118</x:v>
      </x:c>
      <x:c r="H101" s="277" t="s">
        <x:v>118</x:v>
      </x:c>
      <x:c r="I101" s="277" t="s">
        <x:v>118</x:v>
      </x:c>
      <x:c r="J101" s="277" t="s">
        <x:v>118</x:v>
      </x:c>
      <x:c r="K101" s="277" t="s">
        <x:v>118</x:v>
      </x:c>
      <x:c r="L101" s="277" t="s">
        <x:v>118</x:v>
      </x:c>
      <x:c r="M101" s="277" t="s">
        <x:v>118</x:v>
      </x:c>
      <x:c r="N101" s="277" t="s">
        <x:v>118</x:v>
      </x:c>
      <x:c r="O101" s="277" t="s">
        <x:v>118</x:v>
      </x:c>
      <x:c r="P101" s="277" t="s">
        <x:v>118</x:v>
      </x:c>
      <x:c r="Q101" s="277" t="s">
        <x:v>118</x:v>
      </x:c>
      <x:c r="R101" s="277" t="s">
        <x:v>118</x:v>
      </x:c>
      <x:c r="S101" s="277" t="s">
        <x:v>118</x:v>
      </x:c>
      <x:c r="T101" s="277" t="s">
        <x:v>118</x:v>
      </x:c>
      <x:c r="U101" s="277" t="s">
        <x:v>118</x:v>
      </x:c>
      <x:c r="V101" s="277" t="s">
        <x:v>118</x:v>
      </x:c>
      <x:c r="W101" s="277" t="s">
        <x:v>118</x:v>
      </x:c>
      <x:c r="X101" s="277" t="s">
        <x:v>118</x:v>
      </x:c>
      <x:c r="Y101" s="277" t="s">
        <x:v>118</x:v>
      </x:c>
      <x:c r="Z101" s="277" t="s">
        <x:v>118</x:v>
      </x:c>
      <x:c r="AA101" s="277" t="s">
        <x:v>118</x:v>
      </x:c>
      <x:c r="AB101" s="277" t="s">
        <x:v>118</x:v>
      </x:c>
      <x:c r="AC101" s="277" t="s">
        <x:v>118</x:v>
      </x:c>
      <x:c r="AD101" s="277" t="s">
        <x:v>118</x:v>
      </x:c>
      <x:c r="AE101" s="277" t="s">
        <x:v>118</x:v>
      </x:c>
      <x:c r="AF101" s="277" t="s">
        <x:v>118</x:v>
      </x:c>
      <x:c r="AG101" s="277" t="s">
        <x:v>118</x:v>
      </x:c>
      <x:c r="AH101" s="277" t="s">
        <x:v>118</x:v>
      </x:c>
      <x:c r="AI101" s="277" t="s">
        <x:v>118</x:v>
      </x:c>
      <x:c r="AJ101" s="277" t="s">
        <x:v>118</x:v>
      </x:c>
      <x:c r="AK101" s="220">
        <x:f>COUNTIF(F101:AJ101,"X")</x:f>
      </x:c>
      <x:c r="AL101" s="221"/>
      <x:c r="AM101" s="221"/>
      <x:c r="AN101" s="222"/>
      <x:c r="AO101" s="222"/>
      <x:c r="AP101" s="228"/>
      <x:c r="AQ101" s="228"/>
      <x:c r="AR101" s="228"/>
      <x:c r="AS101" s="228"/>
      <x:c r="AT101" s="230"/>
    </x:row>
    <x:row r="102" spans="1:47" ht="19.9" customHeight="1">
      <x:c r="A102" s="274" t="s">
        <x:v>1151</x:v>
      </x:c>
      <x:c r="B102" s="216"/>
      <x:c r="C102" s="275" t="s">
        <x:v>1152</x:v>
      </x:c>
      <x:c r="D102" s="274" t="s">
        <x:v>1153</x:v>
      </x:c>
      <x:c r="E102" s="276" t="s">
        <x:v>1154</x:v>
      </x:c>
      <x:c r="F102" s="277" t="s">
        <x:v>118</x:v>
      </x:c>
      <x:c r="G102" s="277" t="s">
        <x:v>118</x:v>
      </x:c>
      <x:c r="H102" s="277" t="s">
        <x:v>118</x:v>
      </x:c>
      <x:c r="I102" s="277" t="s">
        <x:v>118</x:v>
      </x:c>
      <x:c r="J102" s="277" t="s">
        <x:v>118</x:v>
      </x:c>
      <x:c r="K102" s="277" t="s">
        <x:v>118</x:v>
      </x:c>
      <x:c r="L102" s="277" t="s">
        <x:v>118</x:v>
      </x:c>
      <x:c r="M102" s="277" t="s">
        <x:v>118</x:v>
      </x:c>
      <x:c r="N102" s="277" t="s">
        <x:v>118</x:v>
      </x:c>
      <x:c r="O102" s="277" t="s">
        <x:v>118</x:v>
      </x:c>
      <x:c r="P102" s="277" t="s">
        <x:v>118</x:v>
      </x:c>
      <x:c r="Q102" s="277" t="s">
        <x:v>118</x:v>
      </x:c>
      <x:c r="R102" s="277" t="s">
        <x:v>118</x:v>
      </x:c>
      <x:c r="S102" s="277" t="s">
        <x:v>118</x:v>
      </x:c>
      <x:c r="T102" s="277" t="s">
        <x:v>118</x:v>
      </x:c>
      <x:c r="U102" s="277" t="s">
        <x:v>118</x:v>
      </x:c>
      <x:c r="V102" s="277" t="s">
        <x:v>118</x:v>
      </x:c>
      <x:c r="W102" s="277" t="s">
        <x:v>118</x:v>
      </x:c>
      <x:c r="X102" s="277" t="s">
        <x:v>118</x:v>
      </x:c>
      <x:c r="Y102" s="277" t="s">
        <x:v>118</x:v>
      </x:c>
      <x:c r="Z102" s="277" t="s">
        <x:v>118</x:v>
      </x:c>
      <x:c r="AA102" s="277" t="s">
        <x:v>118</x:v>
      </x:c>
      <x:c r="AB102" s="277" t="s">
        <x:v>118</x:v>
      </x:c>
      <x:c r="AC102" s="277" t="s">
        <x:v>118</x:v>
      </x:c>
      <x:c r="AD102" s="277" t="s">
        <x:v>118</x:v>
      </x:c>
      <x:c r="AE102" s="277" t="s">
        <x:v>118</x:v>
      </x:c>
      <x:c r="AF102" s="277" t="s">
        <x:v>118</x:v>
      </x:c>
      <x:c r="AG102" s="277" t="s">
        <x:v>118</x:v>
      </x:c>
      <x:c r="AH102" s="277" t="s">
        <x:v>118</x:v>
      </x:c>
      <x:c r="AI102" s="277" t="s">
        <x:v>118</x:v>
      </x:c>
      <x:c r="AJ102" s="277" t="s">
        <x:v>118</x:v>
      </x:c>
      <x:c r="AK102" s="220">
        <x:f>COUNTIF(F102:AJ102,"X")</x:f>
      </x:c>
      <x:c r="AL102" s="221"/>
      <x:c r="AM102" s="221"/>
      <x:c r="AN102" s="222"/>
      <x:c r="AO102" s="222"/>
      <x:c r="AP102" s="228"/>
      <x:c r="AQ102" s="228"/>
      <x:c r="AR102" s="228"/>
      <x:c r="AS102" s="228"/>
      <x:c r="AT102" s="230"/>
    </x:row>
    <x:row r="103" spans="1:47" ht="19.9" customHeight="1">
      <x:c r="A103" s="274" t="s">
        <x:v>1155</x:v>
      </x:c>
      <x:c r="B103" s="216"/>
      <x:c r="C103" s="275" t="s">
        <x:v>1156</x:v>
      </x:c>
      <x:c r="D103" s="274" t="s">
        <x:v>1157</x:v>
      </x:c>
      <x:c r="E103" s="276" t="s">
        <x:v>1158</x:v>
      </x:c>
      <x:c r="F103" s="277" t="s">
        <x:v>118</x:v>
      </x:c>
      <x:c r="G103" s="277" t="s">
        <x:v>118</x:v>
      </x:c>
      <x:c r="H103" s="277" t="s">
        <x:v>118</x:v>
      </x:c>
      <x:c r="I103" s="277" t="s">
        <x:v>118</x:v>
      </x:c>
      <x:c r="J103" s="277" t="s">
        <x:v>118</x:v>
      </x:c>
      <x:c r="K103" s="277" t="s">
        <x:v>118</x:v>
      </x:c>
      <x:c r="L103" s="277" t="s">
        <x:v>118</x:v>
      </x:c>
      <x:c r="M103" s="277" t="s">
        <x:v>118</x:v>
      </x:c>
      <x:c r="N103" s="277" t="s">
        <x:v>118</x:v>
      </x:c>
      <x:c r="O103" s="277" t="s">
        <x:v>118</x:v>
      </x:c>
      <x:c r="P103" s="277" t="s">
        <x:v>118</x:v>
      </x:c>
      <x:c r="Q103" s="277" t="s">
        <x:v>118</x:v>
      </x:c>
      <x:c r="R103" s="277" t="s">
        <x:v>118</x:v>
      </x:c>
      <x:c r="S103" s="277" t="s">
        <x:v>118</x:v>
      </x:c>
      <x:c r="T103" s="277" t="s">
        <x:v>118</x:v>
      </x:c>
      <x:c r="U103" s="277" t="s">
        <x:v>118</x:v>
      </x:c>
      <x:c r="V103" s="277" t="s">
        <x:v>118</x:v>
      </x:c>
      <x:c r="W103" s="277" t="s">
        <x:v>118</x:v>
      </x:c>
      <x:c r="X103" s="277" t="s">
        <x:v>118</x:v>
      </x:c>
      <x:c r="Y103" s="277" t="s">
        <x:v>118</x:v>
      </x:c>
      <x:c r="Z103" s="277" t="s">
        <x:v>118</x:v>
      </x:c>
      <x:c r="AA103" s="277" t="s">
        <x:v>118</x:v>
      </x:c>
      <x:c r="AB103" s="277" t="s">
        <x:v>118</x:v>
      </x:c>
      <x:c r="AC103" s="277" t="s">
        <x:v>118</x:v>
      </x:c>
      <x:c r="AD103" s="277" t="s">
        <x:v>118</x:v>
      </x:c>
      <x:c r="AE103" s="277" t="s">
        <x:v>118</x:v>
      </x:c>
      <x:c r="AF103" s="277" t="s">
        <x:v>118</x:v>
      </x:c>
      <x:c r="AG103" s="277" t="s">
        <x:v>118</x:v>
      </x:c>
      <x:c r="AH103" s="277" t="s">
        <x:v>118</x:v>
      </x:c>
      <x:c r="AI103" s="277" t="s">
        <x:v>118</x:v>
      </x:c>
      <x:c r="AJ103" s="277" t="s">
        <x:v>118</x:v>
      </x:c>
      <x:c r="AK103" s="220">
        <x:f>COUNTIF(F103:AJ103,"X")</x:f>
      </x:c>
      <x:c r="AL103" s="221"/>
      <x:c r="AM103" s="221"/>
      <x:c r="AN103" s="222"/>
      <x:c r="AO103" s="222"/>
      <x:c r="AP103" s="228"/>
      <x:c r="AQ103" s="228"/>
      <x:c r="AR103" s="228"/>
      <x:c r="AS103" s="228"/>
      <x:c r="AT103" s="230"/>
    </x:row>
    <x:row r="104" spans="1:47" ht="19.9" customHeight="1">
      <x:c r="A104" s="274" t="s">
        <x:v>1159</x:v>
      </x:c>
      <x:c r="B104" s="216"/>
      <x:c r="C104" s="275" t="s">
        <x:v>1160</x:v>
      </x:c>
      <x:c r="D104" s="274" t="s">
        <x:v>1161</x:v>
      </x:c>
      <x:c r="E104" s="276" t="s">
        <x:v>185</x:v>
      </x:c>
      <x:c r="F104" s="277" t="s">
        <x:v>118</x:v>
      </x:c>
      <x:c r="G104" s="277" t="s">
        <x:v>118</x:v>
      </x:c>
      <x:c r="H104" s="277" t="s">
        <x:v>118</x:v>
      </x:c>
      <x:c r="I104" s="277" t="s">
        <x:v>118</x:v>
      </x:c>
      <x:c r="J104" s="277" t="s">
        <x:v>118</x:v>
      </x:c>
      <x:c r="K104" s="277" t="s">
        <x:v>118</x:v>
      </x:c>
      <x:c r="L104" s="277" t="s">
        <x:v>118</x:v>
      </x:c>
      <x:c r="M104" s="277" t="s">
        <x:v>118</x:v>
      </x:c>
      <x:c r="N104" s="277" t="s">
        <x:v>118</x:v>
      </x:c>
      <x:c r="O104" s="277" t="s">
        <x:v>118</x:v>
      </x:c>
      <x:c r="P104" s="277" t="s">
        <x:v>118</x:v>
      </x:c>
      <x:c r="Q104" s="277" t="s">
        <x:v>118</x:v>
      </x:c>
      <x:c r="R104" s="277" t="s">
        <x:v>118</x:v>
      </x:c>
      <x:c r="S104" s="277" t="s">
        <x:v>118</x:v>
      </x:c>
      <x:c r="T104" s="277" t="s">
        <x:v>118</x:v>
      </x:c>
      <x:c r="U104" s="277" t="s">
        <x:v>118</x:v>
      </x:c>
      <x:c r="V104" s="277" t="s">
        <x:v>118</x:v>
      </x:c>
      <x:c r="W104" s="277" t="s">
        <x:v>118</x:v>
      </x:c>
      <x:c r="X104" s="277" t="s">
        <x:v>118</x:v>
      </x:c>
      <x:c r="Y104" s="277" t="s">
        <x:v>118</x:v>
      </x:c>
      <x:c r="Z104" s="277" t="s">
        <x:v>118</x:v>
      </x:c>
      <x:c r="AA104" s="277" t="s">
        <x:v>118</x:v>
      </x:c>
      <x:c r="AB104" s="277" t="s">
        <x:v>118</x:v>
      </x:c>
      <x:c r="AC104" s="277" t="s">
        <x:v>118</x:v>
      </x:c>
      <x:c r="AD104" s="277" t="s">
        <x:v>118</x:v>
      </x:c>
      <x:c r="AE104" s="277" t="s">
        <x:v>118</x:v>
      </x:c>
      <x:c r="AF104" s="277" t="s">
        <x:v>118</x:v>
      </x:c>
      <x:c r="AG104" s="277" t="s">
        <x:v>118</x:v>
      </x:c>
      <x:c r="AH104" s="277" t="s">
        <x:v>118</x:v>
      </x:c>
      <x:c r="AI104" s="277" t="s">
        <x:v>118</x:v>
      </x:c>
      <x:c r="AJ104" s="277" t="s">
        <x:v>118</x:v>
      </x:c>
      <x:c r="AK104" s="220">
        <x:f>COUNTIF(F104:AJ104,"X")</x:f>
      </x:c>
      <x:c r="AL104" s="221"/>
      <x:c r="AM104" s="221"/>
      <x:c r="AN104" s="222"/>
      <x:c r="AO104" s="222"/>
      <x:c r="AP104" s="228"/>
      <x:c r="AQ104" s="228"/>
      <x:c r="AR104" s="228"/>
      <x:c r="AS104" s="228"/>
      <x:c r="AT104" s="230"/>
    </x:row>
    <x:row r="105" spans="1:47" ht="19.9" customHeight="1">
      <x:c r="A105" s="274" t="s">
        <x:v>1162</x:v>
      </x:c>
      <x:c r="B105" s="216"/>
      <x:c r="C105" s="275" t="s">
        <x:v>1163</x:v>
      </x:c>
      <x:c r="D105" s="274" t="s">
        <x:v>1164</x:v>
      </x:c>
      <x:c r="E105" s="276" t="s">
        <x:v>1165</x:v>
      </x:c>
      <x:c r="F105" s="277" t="s">
        <x:v>118</x:v>
      </x:c>
      <x:c r="G105" s="277" t="s">
        <x:v>118</x:v>
      </x:c>
      <x:c r="H105" s="277" t="s">
        <x:v>118</x:v>
      </x:c>
      <x:c r="I105" s="277" t="s">
        <x:v>118</x:v>
      </x:c>
      <x:c r="J105" s="277" t="s">
        <x:v>118</x:v>
      </x:c>
      <x:c r="K105" s="277" t="s">
        <x:v>118</x:v>
      </x:c>
      <x:c r="L105" s="277" t="s">
        <x:v>118</x:v>
      </x:c>
      <x:c r="M105" s="277" t="s">
        <x:v>118</x:v>
      </x:c>
      <x:c r="N105" s="277" t="s">
        <x:v>118</x:v>
      </x:c>
      <x:c r="O105" s="277" t="s">
        <x:v>118</x:v>
      </x:c>
      <x:c r="P105" s="277" t="s">
        <x:v>118</x:v>
      </x:c>
      <x:c r="Q105" s="277" t="s">
        <x:v>118</x:v>
      </x:c>
      <x:c r="R105" s="277" t="s">
        <x:v>118</x:v>
      </x:c>
      <x:c r="S105" s="277" t="s">
        <x:v>118</x:v>
      </x:c>
      <x:c r="T105" s="277" t="s">
        <x:v>118</x:v>
      </x:c>
      <x:c r="U105" s="277" t="s">
        <x:v>118</x:v>
      </x:c>
      <x:c r="V105" s="277" t="s">
        <x:v>118</x:v>
      </x:c>
      <x:c r="W105" s="277" t="s">
        <x:v>118</x:v>
      </x:c>
      <x:c r="X105" s="277" t="s">
        <x:v>118</x:v>
      </x:c>
      <x:c r="Y105" s="277" t="s">
        <x:v>118</x:v>
      </x:c>
      <x:c r="Z105" s="277" t="s">
        <x:v>118</x:v>
      </x:c>
      <x:c r="AA105" s="277" t="s">
        <x:v>118</x:v>
      </x:c>
      <x:c r="AB105" s="277" t="s">
        <x:v>118</x:v>
      </x:c>
      <x:c r="AC105" s="277" t="s">
        <x:v>118</x:v>
      </x:c>
      <x:c r="AD105" s="277" t="s">
        <x:v>118</x:v>
      </x:c>
      <x:c r="AE105" s="277" t="s">
        <x:v>118</x:v>
      </x:c>
      <x:c r="AF105" s="277" t="s">
        <x:v>118</x:v>
      </x:c>
      <x:c r="AG105" s="277" t="s">
        <x:v>118</x:v>
      </x:c>
      <x:c r="AH105" s="277" t="s">
        <x:v>118</x:v>
      </x:c>
      <x:c r="AI105" s="277" t="s">
        <x:v>118</x:v>
      </x:c>
      <x:c r="AJ105" s="277" t="s">
        <x:v>118</x:v>
      </x:c>
      <x:c r="AK105" s="220">
        <x:f>COUNTIF(F105:AJ105,"X")</x:f>
      </x:c>
      <x:c r="AL105" s="221"/>
      <x:c r="AM105" s="221"/>
      <x:c r="AN105" s="222"/>
      <x:c r="AO105" s="222"/>
      <x:c r="AP105" s="228"/>
      <x:c r="AQ105" s="228"/>
      <x:c r="AR105" s="228"/>
      <x:c r="AS105" s="228"/>
      <x:c r="AT105" s="233"/>
    </x:row>
    <x:row r="106" spans="1:47" ht="19.9" customHeight="1">
      <x:c r="A106" s="274" t="s">
        <x:v>1166</x:v>
      </x:c>
      <x:c r="B106" s="216"/>
      <x:c r="C106" s="275" t="s">
        <x:v>1167</x:v>
      </x:c>
      <x:c r="D106" s="274" t="s">
        <x:v>1168</x:v>
      </x:c>
      <x:c r="E106" s="276" t="s">
        <x:v>1169</x:v>
      </x:c>
      <x:c r="F106" s="277" t="s">
        <x:v>118</x:v>
      </x:c>
      <x:c r="G106" s="277" t="s">
        <x:v>118</x:v>
      </x:c>
      <x:c r="H106" s="277" t="s">
        <x:v>118</x:v>
      </x:c>
      <x:c r="I106" s="277" t="s">
        <x:v>118</x:v>
      </x:c>
      <x:c r="J106" s="277" t="s">
        <x:v>118</x:v>
      </x:c>
      <x:c r="K106" s="277" t="s">
        <x:v>118</x:v>
      </x:c>
      <x:c r="L106" s="277" t="s">
        <x:v>118</x:v>
      </x:c>
      <x:c r="M106" s="277" t="s">
        <x:v>118</x:v>
      </x:c>
      <x:c r="N106" s="277" t="s">
        <x:v>118</x:v>
      </x:c>
      <x:c r="O106" s="277" t="s">
        <x:v>118</x:v>
      </x:c>
      <x:c r="P106" s="277" t="s">
        <x:v>118</x:v>
      </x:c>
      <x:c r="Q106" s="277" t="s">
        <x:v>118</x:v>
      </x:c>
      <x:c r="R106" s="277" t="s">
        <x:v>118</x:v>
      </x:c>
      <x:c r="S106" s="277" t="s">
        <x:v>118</x:v>
      </x:c>
      <x:c r="T106" s="277" t="s">
        <x:v>118</x:v>
      </x:c>
      <x:c r="U106" s="277" t="s">
        <x:v>118</x:v>
      </x:c>
      <x:c r="V106" s="277" t="s">
        <x:v>118</x:v>
      </x:c>
      <x:c r="W106" s="277" t="s">
        <x:v>118</x:v>
      </x:c>
      <x:c r="X106" s="277" t="s">
        <x:v>118</x:v>
      </x:c>
      <x:c r="Y106" s="277" t="s">
        <x:v>118</x:v>
      </x:c>
      <x:c r="Z106" s="277" t="s">
        <x:v>118</x:v>
      </x:c>
      <x:c r="AA106" s="277" t="s">
        <x:v>118</x:v>
      </x:c>
      <x:c r="AB106" s="277" t="s">
        <x:v>118</x:v>
      </x:c>
      <x:c r="AC106" s="277" t="s">
        <x:v>118</x:v>
      </x:c>
      <x:c r="AD106" s="277" t="s">
        <x:v>118</x:v>
      </x:c>
      <x:c r="AE106" s="277" t="s">
        <x:v>118</x:v>
      </x:c>
      <x:c r="AF106" s="277" t="s">
        <x:v>118</x:v>
      </x:c>
      <x:c r="AG106" s="277" t="s">
        <x:v>118</x:v>
      </x:c>
      <x:c r="AH106" s="277" t="s">
        <x:v>118</x:v>
      </x:c>
      <x:c r="AI106" s="277" t="s">
        <x:v>118</x:v>
      </x:c>
      <x:c r="AJ106" s="277" t="s">
        <x:v>118</x:v>
      </x:c>
      <x:c r="AK106" s="220">
        <x:f>COUNTIF(F106:AJ106,"X")</x:f>
      </x:c>
      <x:c r="AL106" s="221"/>
      <x:c r="AM106" s="221"/>
      <x:c r="AN106" s="222"/>
      <x:c r="AO106" s="222"/>
      <x:c r="AP106" s="228"/>
      <x:c r="AQ106" s="228"/>
      <x:c r="AR106" s="228"/>
      <x:c r="AS106" s="228"/>
      <x:c r="AT106" s="230"/>
    </x:row>
    <x:row r="107" spans="1:47" ht="19.9" customHeight="1">
      <x:c r="A107" s="274" t="s">
        <x:v>1170</x:v>
      </x:c>
      <x:c r="B107" s="216"/>
      <x:c r="C107" s="275" t="s">
        <x:v>1171</x:v>
      </x:c>
      <x:c r="D107" s="274" t="s">
        <x:v>1172</x:v>
      </x:c>
      <x:c r="E107" s="276" t="s">
        <x:v>1173</x:v>
      </x:c>
      <x:c r="F107" s="277" t="s">
        <x:v>118</x:v>
      </x:c>
      <x:c r="G107" s="277" t="s">
        <x:v>118</x:v>
      </x:c>
      <x:c r="H107" s="277" t="s">
        <x:v>118</x:v>
      </x:c>
      <x:c r="I107" s="277" t="s">
        <x:v>118</x:v>
      </x:c>
      <x:c r="J107" s="277" t="s">
        <x:v>118</x:v>
      </x:c>
      <x:c r="K107" s="277" t="s">
        <x:v>118</x:v>
      </x:c>
      <x:c r="L107" s="277" t="s">
        <x:v>118</x:v>
      </x:c>
      <x:c r="M107" s="277" t="s">
        <x:v>118</x:v>
      </x:c>
      <x:c r="N107" s="277" t="s">
        <x:v>118</x:v>
      </x:c>
      <x:c r="O107" s="277" t="s">
        <x:v>118</x:v>
      </x:c>
      <x:c r="P107" s="277" t="s">
        <x:v>118</x:v>
      </x:c>
      <x:c r="Q107" s="277" t="s">
        <x:v>118</x:v>
      </x:c>
      <x:c r="R107" s="277" t="s">
        <x:v>118</x:v>
      </x:c>
      <x:c r="S107" s="277" t="s">
        <x:v>118</x:v>
      </x:c>
      <x:c r="T107" s="277" t="s">
        <x:v>118</x:v>
      </x:c>
      <x:c r="U107" s="277" t="s">
        <x:v>118</x:v>
      </x:c>
      <x:c r="V107" s="277" t="s">
        <x:v>118</x:v>
      </x:c>
      <x:c r="W107" s="277" t="s">
        <x:v>118</x:v>
      </x:c>
      <x:c r="X107" s="277" t="s">
        <x:v>118</x:v>
      </x:c>
      <x:c r="Y107" s="277" t="s">
        <x:v>118</x:v>
      </x:c>
      <x:c r="Z107" s="277" t="s">
        <x:v>118</x:v>
      </x:c>
      <x:c r="AA107" s="277" t="s">
        <x:v>118</x:v>
      </x:c>
      <x:c r="AB107" s="277" t="s">
        <x:v>118</x:v>
      </x:c>
      <x:c r="AC107" s="277" t="s">
        <x:v>118</x:v>
      </x:c>
      <x:c r="AD107" s="277" t="s">
        <x:v>118</x:v>
      </x:c>
      <x:c r="AE107" s="277" t="s">
        <x:v>118</x:v>
      </x:c>
      <x:c r="AF107" s="277" t="s">
        <x:v>118</x:v>
      </x:c>
      <x:c r="AG107" s="277" t="s">
        <x:v>118</x:v>
      </x:c>
      <x:c r="AH107" s="277" t="s">
        <x:v>118</x:v>
      </x:c>
      <x:c r="AI107" s="277" t="s">
        <x:v>118</x:v>
      </x:c>
      <x:c r="AJ107" s="277" t="s">
        <x:v>118</x:v>
      </x:c>
      <x:c r="AK107" s="220">
        <x:f>COUNTIF(F107:AJ107,"X")</x:f>
      </x:c>
      <x:c r="AL107" s="221"/>
      <x:c r="AM107" s="221"/>
      <x:c r="AN107" s="222"/>
      <x:c r="AO107" s="222"/>
      <x:c r="AP107" s="228"/>
      <x:c r="AQ107" s="228"/>
      <x:c r="AR107" s="228"/>
      <x:c r="AS107" s="228"/>
      <x:c r="AT107" s="230"/>
    </x:row>
    <x:row r="108" spans="1:47" ht="19.9" customHeight="1">
      <x:c r="A108" s="274" t="s">
        <x:v>1174</x:v>
      </x:c>
      <x:c r="B108" s="216"/>
      <x:c r="C108" s="275" t="s">
        <x:v>1175</x:v>
      </x:c>
      <x:c r="D108" s="274" t="s">
        <x:v>1176</x:v>
      </x:c>
      <x:c r="E108" s="276" t="s">
        <x:v>1177</x:v>
      </x:c>
      <x:c r="F108" s="277" t="s">
        <x:v>118</x:v>
      </x:c>
      <x:c r="G108" s="277" t="s">
        <x:v>118</x:v>
      </x:c>
      <x:c r="H108" s="277" t="s">
        <x:v>118</x:v>
      </x:c>
      <x:c r="I108" s="277" t="s">
        <x:v>118</x:v>
      </x:c>
      <x:c r="J108" s="277" t="s">
        <x:v>118</x:v>
      </x:c>
      <x:c r="K108" s="277" t="s">
        <x:v>118</x:v>
      </x:c>
      <x:c r="L108" s="277" t="s">
        <x:v>118</x:v>
      </x:c>
      <x:c r="M108" s="277" t="s">
        <x:v>118</x:v>
      </x:c>
      <x:c r="N108" s="277" t="s">
        <x:v>118</x:v>
      </x:c>
      <x:c r="O108" s="277" t="s">
        <x:v>118</x:v>
      </x:c>
      <x:c r="P108" s="277" t="s">
        <x:v>118</x:v>
      </x:c>
      <x:c r="Q108" s="277" t="s">
        <x:v>118</x:v>
      </x:c>
      <x:c r="R108" s="277" t="s">
        <x:v>118</x:v>
      </x:c>
      <x:c r="S108" s="277" t="s">
        <x:v>118</x:v>
      </x:c>
      <x:c r="T108" s="277" t="s">
        <x:v>118</x:v>
      </x:c>
      <x:c r="U108" s="277" t="s">
        <x:v>118</x:v>
      </x:c>
      <x:c r="V108" s="277" t="s">
        <x:v>118</x:v>
      </x:c>
      <x:c r="W108" s="277" t="s">
        <x:v>118</x:v>
      </x:c>
      <x:c r="X108" s="277" t="s">
        <x:v>118</x:v>
      </x:c>
      <x:c r="Y108" s="277" t="s">
        <x:v>118</x:v>
      </x:c>
      <x:c r="Z108" s="277" t="s">
        <x:v>118</x:v>
      </x:c>
      <x:c r="AA108" s="277" t="s">
        <x:v>118</x:v>
      </x:c>
      <x:c r="AB108" s="277" t="s">
        <x:v>118</x:v>
      </x:c>
      <x:c r="AC108" s="277" t="s">
        <x:v>118</x:v>
      </x:c>
      <x:c r="AD108" s="277" t="s">
        <x:v>118</x:v>
      </x:c>
      <x:c r="AE108" s="277" t="s">
        <x:v>118</x:v>
      </x:c>
      <x:c r="AF108" s="277" t="s">
        <x:v>118</x:v>
      </x:c>
      <x:c r="AG108" s="277" t="s">
        <x:v>118</x:v>
      </x:c>
      <x:c r="AH108" s="277" t="s">
        <x:v>118</x:v>
      </x:c>
      <x:c r="AI108" s="277" t="s">
        <x:v>118</x:v>
      </x:c>
      <x:c r="AJ108" s="277" t="s">
        <x:v>118</x:v>
      </x:c>
      <x:c r="AK108" s="220">
        <x:f>COUNTIF(F108:AJ108,"X")</x:f>
      </x:c>
      <x:c r="AL108" s="221"/>
      <x:c r="AM108" s="221"/>
      <x:c r="AN108" s="222"/>
      <x:c r="AO108" s="222"/>
      <x:c r="AP108" s="228"/>
      <x:c r="AQ108" s="228"/>
      <x:c r="AR108" s="228"/>
      <x:c r="AS108" s="228"/>
      <x:c r="AT108" s="230"/>
    </x:row>
    <x:row r="109" spans="1:47" ht="19.9" customHeight="1">
      <x:c r="A109" s="274" t="s">
        <x:v>1178</x:v>
      </x:c>
      <x:c r="B109" s="216"/>
      <x:c r="C109" s="275" t="s">
        <x:v>1179</x:v>
      </x:c>
      <x:c r="D109" s="274" t="s">
        <x:v>1180</x:v>
      </x:c>
      <x:c r="E109" s="276" t="s">
        <x:v>1181</x:v>
      </x:c>
      <x:c r="F109" s="277" t="s">
        <x:v>118</x:v>
      </x:c>
      <x:c r="G109" s="277" t="s">
        <x:v>118</x:v>
      </x:c>
      <x:c r="H109" s="277" t="s">
        <x:v>118</x:v>
      </x:c>
      <x:c r="I109" s="277" t="s">
        <x:v>118</x:v>
      </x:c>
      <x:c r="J109" s="277" t="s">
        <x:v>118</x:v>
      </x:c>
      <x:c r="K109" s="277" t="s">
        <x:v>118</x:v>
      </x:c>
      <x:c r="L109" s="277" t="s">
        <x:v>118</x:v>
      </x:c>
      <x:c r="M109" s="277" t="s">
        <x:v>118</x:v>
      </x:c>
      <x:c r="N109" s="277" t="s">
        <x:v>118</x:v>
      </x:c>
      <x:c r="O109" s="277" t="s">
        <x:v>118</x:v>
      </x:c>
      <x:c r="P109" s="277" t="s">
        <x:v>118</x:v>
      </x:c>
      <x:c r="Q109" s="277" t="s">
        <x:v>118</x:v>
      </x:c>
      <x:c r="R109" s="277" t="s">
        <x:v>118</x:v>
      </x:c>
      <x:c r="S109" s="277" t="s">
        <x:v>118</x:v>
      </x:c>
      <x:c r="T109" s="277" t="s">
        <x:v>118</x:v>
      </x:c>
      <x:c r="U109" s="277" t="s">
        <x:v>118</x:v>
      </x:c>
      <x:c r="V109" s="277" t="s">
        <x:v>118</x:v>
      </x:c>
      <x:c r="W109" s="277" t="s">
        <x:v>118</x:v>
      </x:c>
      <x:c r="X109" s="277" t="s">
        <x:v>118</x:v>
      </x:c>
      <x:c r="Y109" s="277" t="s">
        <x:v>118</x:v>
      </x:c>
      <x:c r="Z109" s="277" t="s">
        <x:v>118</x:v>
      </x:c>
      <x:c r="AA109" s="277" t="s">
        <x:v>118</x:v>
      </x:c>
      <x:c r="AB109" s="277" t="s">
        <x:v>118</x:v>
      </x:c>
      <x:c r="AC109" s="277" t="s">
        <x:v>118</x:v>
      </x:c>
      <x:c r="AD109" s="277" t="s">
        <x:v>118</x:v>
      </x:c>
      <x:c r="AE109" s="277" t="s">
        <x:v>118</x:v>
      </x:c>
      <x:c r="AF109" s="277" t="s">
        <x:v>118</x:v>
      </x:c>
      <x:c r="AG109" s="277" t="s">
        <x:v>118</x:v>
      </x:c>
      <x:c r="AH109" s="277" t="s">
        <x:v>118</x:v>
      </x:c>
      <x:c r="AI109" s="277" t="s">
        <x:v>118</x:v>
      </x:c>
      <x:c r="AJ109" s="277" t="s">
        <x:v>118</x:v>
      </x:c>
      <x:c r="AK109" s="220">
        <x:f>COUNTIF(F109:AJ109,"X")</x:f>
      </x:c>
      <x:c r="AL109" s="221"/>
      <x:c r="AM109" s="221"/>
      <x:c r="AN109" s="222"/>
      <x:c r="AO109" s="222"/>
      <x:c r="AP109" s="228"/>
      <x:c r="AQ109" s="228"/>
      <x:c r="AR109" s="228"/>
      <x:c r="AS109" s="228"/>
      <x:c r="AT109" s="230"/>
    </x:row>
    <x:row r="110" spans="1:47" ht="19.9" customHeight="1">
      <x:c r="A110" s="274" t="s">
        <x:v>1182</x:v>
      </x:c>
      <x:c r="B110" s="216"/>
      <x:c r="C110" s="275" t="s">
        <x:v>1183</x:v>
      </x:c>
      <x:c r="D110" s="274" t="s">
        <x:v>416</x:v>
      </x:c>
      <x:c r="E110" s="276" t="s">
        <x:v>1184</x:v>
      </x:c>
      <x:c r="F110" s="277" t="s">
        <x:v>118</x:v>
      </x:c>
      <x:c r="G110" s="277" t="s">
        <x:v>118</x:v>
      </x:c>
      <x:c r="H110" s="277" t="s">
        <x:v>118</x:v>
      </x:c>
      <x:c r="I110" s="277" t="s">
        <x:v>118</x:v>
      </x:c>
      <x:c r="J110" s="277" t="s">
        <x:v>118</x:v>
      </x:c>
      <x:c r="K110" s="277" t="s">
        <x:v>118</x:v>
      </x:c>
      <x:c r="L110" s="277" t="s">
        <x:v>118</x:v>
      </x:c>
      <x:c r="M110" s="277" t="s">
        <x:v>118</x:v>
      </x:c>
      <x:c r="N110" s="277" t="s">
        <x:v>118</x:v>
      </x:c>
      <x:c r="O110" s="277" t="s">
        <x:v>118</x:v>
      </x:c>
      <x:c r="P110" s="277" t="s">
        <x:v>118</x:v>
      </x:c>
      <x:c r="Q110" s="277" t="s">
        <x:v>118</x:v>
      </x:c>
      <x:c r="R110" s="277" t="s">
        <x:v>118</x:v>
      </x:c>
      <x:c r="S110" s="277" t="s">
        <x:v>118</x:v>
      </x:c>
      <x:c r="T110" s="277" t="s">
        <x:v>118</x:v>
      </x:c>
      <x:c r="U110" s="277" t="s">
        <x:v>118</x:v>
      </x:c>
      <x:c r="V110" s="277" t="s">
        <x:v>118</x:v>
      </x:c>
      <x:c r="W110" s="277" t="s">
        <x:v>118</x:v>
      </x:c>
      <x:c r="X110" s="277" t="s">
        <x:v>118</x:v>
      </x:c>
      <x:c r="Y110" s="277" t="s">
        <x:v>118</x:v>
      </x:c>
      <x:c r="Z110" s="277" t="s">
        <x:v>118</x:v>
      </x:c>
      <x:c r="AA110" s="277" t="s">
        <x:v>118</x:v>
      </x:c>
      <x:c r="AB110" s="277" t="s">
        <x:v>118</x:v>
      </x:c>
      <x:c r="AC110" s="277" t="s">
        <x:v>118</x:v>
      </x:c>
      <x:c r="AD110" s="277" t="s">
        <x:v>118</x:v>
      </x:c>
      <x:c r="AE110" s="277" t="s">
        <x:v>118</x:v>
      </x:c>
      <x:c r="AF110" s="277" t="s">
        <x:v>118</x:v>
      </x:c>
      <x:c r="AG110" s="277" t="s">
        <x:v>118</x:v>
      </x:c>
      <x:c r="AH110" s="277" t="s">
        <x:v>118</x:v>
      </x:c>
      <x:c r="AI110" s="277" t="s">
        <x:v>118</x:v>
      </x:c>
      <x:c r="AJ110" s="277" t="s">
        <x:v>118</x:v>
      </x:c>
      <x:c r="AK110" s="220">
        <x:f>COUNTIF(F110:AJ110,"X")</x:f>
      </x:c>
      <x:c r="AL110" s="221"/>
      <x:c r="AM110" s="221"/>
      <x:c r="AN110" s="222"/>
      <x:c r="AO110" s="222"/>
      <x:c r="AP110" s="228"/>
      <x:c r="AQ110" s="228"/>
      <x:c r="AR110" s="228"/>
      <x:c r="AS110" s="228"/>
      <x:c r="AT110" s="230"/>
    </x:row>
    <x:row r="111" spans="1:47" ht="19.9" customHeight="1">
      <x:c r="A111" s="274" t="s">
        <x:v>1185</x:v>
      </x:c>
      <x:c r="B111" s="216"/>
      <x:c r="C111" s="275" t="s">
        <x:v>1186</x:v>
      </x:c>
      <x:c r="D111" s="274" t="s">
        <x:v>1187</x:v>
      </x:c>
      <x:c r="E111" s="276" t="s">
        <x:v>1188</x:v>
      </x:c>
      <x:c r="F111" s="277" t="s">
        <x:v>118</x:v>
      </x:c>
      <x:c r="G111" s="277" t="s">
        <x:v>118</x:v>
      </x:c>
      <x:c r="H111" s="277" t="s">
        <x:v>118</x:v>
      </x:c>
      <x:c r="I111" s="277" t="s">
        <x:v>118</x:v>
      </x:c>
      <x:c r="J111" s="277" t="s">
        <x:v>118</x:v>
      </x:c>
      <x:c r="K111" s="277" t="s">
        <x:v>118</x:v>
      </x:c>
      <x:c r="L111" s="277" t="s">
        <x:v>118</x:v>
      </x:c>
      <x:c r="M111" s="277" t="s">
        <x:v>118</x:v>
      </x:c>
      <x:c r="N111" s="277" t="s">
        <x:v>118</x:v>
      </x:c>
      <x:c r="O111" s="277" t="s">
        <x:v>118</x:v>
      </x:c>
      <x:c r="P111" s="277" t="s">
        <x:v>118</x:v>
      </x:c>
      <x:c r="Q111" s="277" t="s">
        <x:v>118</x:v>
      </x:c>
      <x:c r="R111" s="277" t="s">
        <x:v>118</x:v>
      </x:c>
      <x:c r="S111" s="277" t="s">
        <x:v>118</x:v>
      </x:c>
      <x:c r="T111" s="277" t="s">
        <x:v>118</x:v>
      </x:c>
      <x:c r="U111" s="277" t="s">
        <x:v>118</x:v>
      </x:c>
      <x:c r="V111" s="277" t="s">
        <x:v>118</x:v>
      </x:c>
      <x:c r="W111" s="277" t="s">
        <x:v>118</x:v>
      </x:c>
      <x:c r="X111" s="277" t="s">
        <x:v>118</x:v>
      </x:c>
      <x:c r="Y111" s="277" t="s">
        <x:v>118</x:v>
      </x:c>
      <x:c r="Z111" s="277" t="s">
        <x:v>118</x:v>
      </x:c>
      <x:c r="AA111" s="277" t="s">
        <x:v>118</x:v>
      </x:c>
      <x:c r="AB111" s="277" t="s">
        <x:v>118</x:v>
      </x:c>
      <x:c r="AC111" s="277" t="s">
        <x:v>118</x:v>
      </x:c>
      <x:c r="AD111" s="277" t="s">
        <x:v>118</x:v>
      </x:c>
      <x:c r="AE111" s="277" t="s">
        <x:v>118</x:v>
      </x:c>
      <x:c r="AF111" s="277" t="s">
        <x:v>118</x:v>
      </x:c>
      <x:c r="AG111" s="277" t="s">
        <x:v>118</x:v>
      </x:c>
      <x:c r="AH111" s="277" t="s">
        <x:v>118</x:v>
      </x:c>
      <x:c r="AI111" s="277" t="s">
        <x:v>118</x:v>
      </x:c>
      <x:c r="AJ111" s="277" t="s">
        <x:v>118</x:v>
      </x:c>
      <x:c r="AK111" s="220">
        <x:f>COUNTIF(F111:AJ111,"X")</x:f>
      </x:c>
      <x:c r="AL111" s="221"/>
      <x:c r="AM111" s="221"/>
      <x:c r="AN111" s="222"/>
      <x:c r="AO111" s="222"/>
      <x:c r="AP111" s="228"/>
      <x:c r="AQ111" s="228"/>
      <x:c r="AR111" s="228"/>
      <x:c r="AS111" s="228"/>
      <x:c r="AT111" s="230"/>
    </x:row>
    <x:row r="112" spans="1:47" ht="19.9" customHeight="1">
      <x:c r="A112" s="274" t="s">
        <x:v>1189</x:v>
      </x:c>
      <x:c r="B112" s="216"/>
      <x:c r="C112" s="275" t="s">
        <x:v>1190</x:v>
      </x:c>
      <x:c r="D112" s="274" t="s">
        <x:v>1191</x:v>
      </x:c>
      <x:c r="E112" s="276" t="s">
        <x:v>147</x:v>
      </x:c>
      <x:c r="F112" s="277" t="s">
        <x:v>118</x:v>
      </x:c>
      <x:c r="G112" s="277" t="s">
        <x:v>118</x:v>
      </x:c>
      <x:c r="H112" s="277" t="s">
        <x:v>118</x:v>
      </x:c>
      <x:c r="I112" s="277" t="s">
        <x:v>118</x:v>
      </x:c>
      <x:c r="J112" s="277" t="s">
        <x:v>118</x:v>
      </x:c>
      <x:c r="K112" s="277" t="s">
        <x:v>118</x:v>
      </x:c>
      <x:c r="L112" s="277" t="s">
        <x:v>118</x:v>
      </x:c>
      <x:c r="M112" s="277" t="s">
        <x:v>118</x:v>
      </x:c>
      <x:c r="N112" s="277" t="s">
        <x:v>118</x:v>
      </x:c>
      <x:c r="O112" s="277" t="s">
        <x:v>118</x:v>
      </x:c>
      <x:c r="P112" s="277" t="s">
        <x:v>118</x:v>
      </x:c>
      <x:c r="Q112" s="277" t="s">
        <x:v>118</x:v>
      </x:c>
      <x:c r="R112" s="277" t="s">
        <x:v>118</x:v>
      </x:c>
      <x:c r="S112" s="277" t="s">
        <x:v>118</x:v>
      </x:c>
      <x:c r="T112" s="277" t="s">
        <x:v>118</x:v>
      </x:c>
      <x:c r="U112" s="277" t="s">
        <x:v>118</x:v>
      </x:c>
      <x:c r="V112" s="277" t="s">
        <x:v>118</x:v>
      </x:c>
      <x:c r="W112" s="277" t="s">
        <x:v>118</x:v>
      </x:c>
      <x:c r="X112" s="277" t="s">
        <x:v>118</x:v>
      </x:c>
      <x:c r="Y112" s="277" t="s">
        <x:v>118</x:v>
      </x:c>
      <x:c r="Z112" s="277" t="s">
        <x:v>118</x:v>
      </x:c>
      <x:c r="AA112" s="277" t="s">
        <x:v>118</x:v>
      </x:c>
      <x:c r="AB112" s="277" t="s">
        <x:v>118</x:v>
      </x:c>
      <x:c r="AC112" s="277" t="s">
        <x:v>118</x:v>
      </x:c>
      <x:c r="AD112" s="277" t="s">
        <x:v>118</x:v>
      </x:c>
      <x:c r="AE112" s="277" t="s">
        <x:v>118</x:v>
      </x:c>
      <x:c r="AF112" s="277" t="s">
        <x:v>118</x:v>
      </x:c>
      <x:c r="AG112" s="277" t="s">
        <x:v>118</x:v>
      </x:c>
      <x:c r="AH112" s="277" t="s">
        <x:v>118</x:v>
      </x:c>
      <x:c r="AI112" s="277" t="s">
        <x:v>118</x:v>
      </x:c>
      <x:c r="AJ112" s="277" t="s">
        <x:v>118</x:v>
      </x:c>
      <x:c r="AK112" s="220">
        <x:f>COUNTIF(F112:AJ112,"X")</x:f>
      </x:c>
      <x:c r="AL112" s="221"/>
      <x:c r="AM112" s="221"/>
      <x:c r="AN112" s="222"/>
      <x:c r="AO112" s="222"/>
      <x:c r="AP112" s="228"/>
      <x:c r="AQ112" s="228"/>
      <x:c r="AR112" s="228"/>
      <x:c r="AS112" s="228"/>
      <x:c r="AT112" s="230"/>
    </x:row>
    <x:row r="113" spans="1:47" ht="19.9" customHeight="1">
      <x:c r="A113" s="274" t="s">
        <x:v>1192</x:v>
      </x:c>
      <x:c r="B113" s="216"/>
      <x:c r="C113" s="275" t="s">
        <x:v>1193</x:v>
      </x:c>
      <x:c r="D113" s="274" t="s">
        <x:v>1194</x:v>
      </x:c>
      <x:c r="E113" s="276" t="s">
        <x:v>693</x:v>
      </x:c>
      <x:c r="F113" s="277" t="s">
        <x:v>118</x:v>
      </x:c>
      <x:c r="G113" s="277" t="s">
        <x:v>118</x:v>
      </x:c>
      <x:c r="H113" s="277" t="s">
        <x:v>118</x:v>
      </x:c>
      <x:c r="I113" s="277" t="s">
        <x:v>118</x:v>
      </x:c>
      <x:c r="J113" s="277" t="s">
        <x:v>118</x:v>
      </x:c>
      <x:c r="K113" s="277" t="s">
        <x:v>118</x:v>
      </x:c>
      <x:c r="L113" s="277" t="s">
        <x:v>118</x:v>
      </x:c>
      <x:c r="M113" s="277" t="s">
        <x:v>118</x:v>
      </x:c>
      <x:c r="N113" s="277" t="s">
        <x:v>118</x:v>
      </x:c>
      <x:c r="O113" s="277" t="s">
        <x:v>118</x:v>
      </x:c>
      <x:c r="P113" s="277" t="s">
        <x:v>118</x:v>
      </x:c>
      <x:c r="Q113" s="277" t="s">
        <x:v>118</x:v>
      </x:c>
      <x:c r="R113" s="277" t="s">
        <x:v>118</x:v>
      </x:c>
      <x:c r="S113" s="277" t="s">
        <x:v>118</x:v>
      </x:c>
      <x:c r="T113" s="277" t="s">
        <x:v>118</x:v>
      </x:c>
      <x:c r="U113" s="277" t="s">
        <x:v>118</x:v>
      </x:c>
      <x:c r="V113" s="277" t="s">
        <x:v>118</x:v>
      </x:c>
      <x:c r="W113" s="277" t="s">
        <x:v>118</x:v>
      </x:c>
      <x:c r="X113" s="277" t="s">
        <x:v>118</x:v>
      </x:c>
      <x:c r="Y113" s="277" t="s">
        <x:v>118</x:v>
      </x:c>
      <x:c r="Z113" s="277" t="s">
        <x:v>118</x:v>
      </x:c>
      <x:c r="AA113" s="277" t="s">
        <x:v>118</x:v>
      </x:c>
      <x:c r="AB113" s="277" t="s">
        <x:v>118</x:v>
      </x:c>
      <x:c r="AC113" s="277" t="s">
        <x:v>118</x:v>
      </x:c>
      <x:c r="AD113" s="277" t="s">
        <x:v>118</x:v>
      </x:c>
      <x:c r="AE113" s="277" t="s">
        <x:v>118</x:v>
      </x:c>
      <x:c r="AF113" s="277" t="s">
        <x:v>118</x:v>
      </x:c>
      <x:c r="AG113" s="277" t="s">
        <x:v>118</x:v>
      </x:c>
      <x:c r="AH113" s="277" t="s">
        <x:v>118</x:v>
      </x:c>
      <x:c r="AI113" s="277" t="s">
        <x:v>118</x:v>
      </x:c>
      <x:c r="AJ113" s="277" t="s">
        <x:v>118</x:v>
      </x:c>
      <x:c r="AK113" s="220">
        <x:f>COUNTIF(F113:AJ113,"X")</x:f>
      </x:c>
      <x:c r="AL113" s="221"/>
      <x:c r="AM113" s="221"/>
      <x:c r="AN113" s="222"/>
      <x:c r="AO113" s="222"/>
      <x:c r="AP113" s="228"/>
      <x:c r="AQ113" s="228"/>
      <x:c r="AR113" s="228"/>
      <x:c r="AS113" s="228"/>
      <x:c r="AT113" s="230"/>
    </x:row>
    <x:row r="114" spans="1:47" ht="19.9" customHeight="1">
      <x:c r="A114" s="274" t="s">
        <x:v>1195</x:v>
      </x:c>
      <x:c r="B114" s="216"/>
      <x:c r="C114" s="275" t="s">
        <x:v>1196</x:v>
      </x:c>
      <x:c r="D114" s="274" t="s">
        <x:v>1197</x:v>
      </x:c>
      <x:c r="E114" s="276" t="s">
        <x:v>1198</x:v>
      </x:c>
      <x:c r="F114" s="277" t="s">
        <x:v>118</x:v>
      </x:c>
      <x:c r="G114" s="277" t="s">
        <x:v>118</x:v>
      </x:c>
      <x:c r="H114" s="277" t="s">
        <x:v>118</x:v>
      </x:c>
      <x:c r="I114" s="277" t="s">
        <x:v>118</x:v>
      </x:c>
      <x:c r="J114" s="277" t="s">
        <x:v>118</x:v>
      </x:c>
      <x:c r="K114" s="277" t="s">
        <x:v>118</x:v>
      </x:c>
      <x:c r="L114" s="277" t="s">
        <x:v>118</x:v>
      </x:c>
      <x:c r="M114" s="277" t="s">
        <x:v>118</x:v>
      </x:c>
      <x:c r="N114" s="277" t="s">
        <x:v>118</x:v>
      </x:c>
      <x:c r="O114" s="277" t="s">
        <x:v>118</x:v>
      </x:c>
      <x:c r="P114" s="277" t="s">
        <x:v>118</x:v>
      </x:c>
      <x:c r="Q114" s="277" t="s">
        <x:v>118</x:v>
      </x:c>
      <x:c r="R114" s="277" t="s">
        <x:v>118</x:v>
      </x:c>
      <x:c r="S114" s="277" t="s">
        <x:v>118</x:v>
      </x:c>
      <x:c r="T114" s="277" t="s">
        <x:v>118</x:v>
      </x:c>
      <x:c r="U114" s="277" t="s">
        <x:v>118</x:v>
      </x:c>
      <x:c r="V114" s="277" t="s">
        <x:v>118</x:v>
      </x:c>
      <x:c r="W114" s="277" t="s">
        <x:v>118</x:v>
      </x:c>
      <x:c r="X114" s="277" t="s">
        <x:v>118</x:v>
      </x:c>
      <x:c r="Y114" s="277" t="s">
        <x:v>118</x:v>
      </x:c>
      <x:c r="Z114" s="277" t="s">
        <x:v>118</x:v>
      </x:c>
      <x:c r="AA114" s="277" t="s">
        <x:v>118</x:v>
      </x:c>
      <x:c r="AB114" s="277" t="s">
        <x:v>118</x:v>
      </x:c>
      <x:c r="AC114" s="277" t="s">
        <x:v>118</x:v>
      </x:c>
      <x:c r="AD114" s="277" t="s">
        <x:v>118</x:v>
      </x:c>
      <x:c r="AE114" s="277" t="s">
        <x:v>118</x:v>
      </x:c>
      <x:c r="AF114" s="277" t="s">
        <x:v>118</x:v>
      </x:c>
      <x:c r="AG114" s="277" t="s">
        <x:v>118</x:v>
      </x:c>
      <x:c r="AH114" s="277" t="s">
        <x:v>118</x:v>
      </x:c>
      <x:c r="AI114" s="277" t="s">
        <x:v>118</x:v>
      </x:c>
      <x:c r="AJ114" s="277" t="s">
        <x:v>118</x:v>
      </x:c>
      <x:c r="AK114" s="220">
        <x:f>COUNTIF(F114:AJ114,"X")</x:f>
      </x:c>
      <x:c r="AL114" s="221"/>
      <x:c r="AM114" s="221"/>
      <x:c r="AN114" s="222"/>
      <x:c r="AO114" s="222"/>
      <x:c r="AP114" s="228"/>
      <x:c r="AQ114" s="228"/>
      <x:c r="AR114" s="228"/>
      <x:c r="AS114" s="228"/>
      <x:c r="AT114" s="230"/>
    </x:row>
    <x:row r="115" spans="1:47" ht="19.9" customHeight="1">
      <x:c r="A115" s="274" t="s">
        <x:v>1199</x:v>
      </x:c>
      <x:c r="B115" s="216"/>
      <x:c r="C115" s="275" t="s">
        <x:v>1200</x:v>
      </x:c>
      <x:c r="D115" s="274" t="s">
        <x:v>1201</x:v>
      </x:c>
      <x:c r="E115" s="276" t="s">
        <x:v>1202</x:v>
      </x:c>
      <x:c r="F115" s="277" t="s">
        <x:v>118</x:v>
      </x:c>
      <x:c r="G115" s="277" t="s">
        <x:v>118</x:v>
      </x:c>
      <x:c r="H115" s="277" t="s">
        <x:v>118</x:v>
      </x:c>
      <x:c r="I115" s="277" t="s">
        <x:v>118</x:v>
      </x:c>
      <x:c r="J115" s="277" t="s">
        <x:v>118</x:v>
      </x:c>
      <x:c r="K115" s="277" t="s">
        <x:v>118</x:v>
      </x:c>
      <x:c r="L115" s="277" t="s">
        <x:v>118</x:v>
      </x:c>
      <x:c r="M115" s="277" t="s">
        <x:v>118</x:v>
      </x:c>
      <x:c r="N115" s="277" t="s">
        <x:v>118</x:v>
      </x:c>
      <x:c r="O115" s="277" t="s">
        <x:v>118</x:v>
      </x:c>
      <x:c r="P115" s="277" t="s">
        <x:v>118</x:v>
      </x:c>
      <x:c r="Q115" s="277" t="s">
        <x:v>118</x:v>
      </x:c>
      <x:c r="R115" s="277" t="s">
        <x:v>118</x:v>
      </x:c>
      <x:c r="S115" s="277" t="s">
        <x:v>118</x:v>
      </x:c>
      <x:c r="T115" s="277" t="s">
        <x:v>118</x:v>
      </x:c>
      <x:c r="U115" s="277" t="s">
        <x:v>118</x:v>
      </x:c>
      <x:c r="V115" s="277" t="s">
        <x:v>118</x:v>
      </x:c>
      <x:c r="W115" s="277" t="s">
        <x:v>118</x:v>
      </x:c>
      <x:c r="X115" s="277" t="s">
        <x:v>118</x:v>
      </x:c>
      <x:c r="Y115" s="277" t="s">
        <x:v>118</x:v>
      </x:c>
      <x:c r="Z115" s="277" t="s">
        <x:v>118</x:v>
      </x:c>
      <x:c r="AA115" s="277" t="s">
        <x:v>118</x:v>
      </x:c>
      <x:c r="AB115" s="277" t="s">
        <x:v>118</x:v>
      </x:c>
      <x:c r="AC115" s="277" t="s">
        <x:v>118</x:v>
      </x:c>
      <x:c r="AD115" s="277" t="s">
        <x:v>118</x:v>
      </x:c>
      <x:c r="AE115" s="277" t="s">
        <x:v>118</x:v>
      </x:c>
      <x:c r="AF115" s="277" t="s">
        <x:v>118</x:v>
      </x:c>
      <x:c r="AG115" s="277" t="s">
        <x:v>118</x:v>
      </x:c>
      <x:c r="AH115" s="277" t="s">
        <x:v>118</x:v>
      </x:c>
      <x:c r="AI115" s="277" t="s">
        <x:v>118</x:v>
      </x:c>
      <x:c r="AJ115" s="277" t="s">
        <x:v>118</x:v>
      </x:c>
      <x:c r="AK115" s="220">
        <x:f>COUNTIF(F115:AJ115,"X")</x:f>
      </x:c>
      <x:c r="AL115" s="221"/>
      <x:c r="AM115" s="221"/>
      <x:c r="AN115" s="222"/>
      <x:c r="AO115" s="222"/>
      <x:c r="AP115" s="228"/>
      <x:c r="AQ115" s="228"/>
      <x:c r="AR115" s="228"/>
      <x:c r="AS115" s="228"/>
      <x:c r="AT115" s="230"/>
    </x:row>
    <x:row r="116" spans="1:47" ht="19.9" customHeight="1">
      <x:c r="A116" s="274" t="s">
        <x:v>1203</x:v>
      </x:c>
      <x:c r="B116" s="216"/>
      <x:c r="C116" s="275" t="s">
        <x:v>1204</x:v>
      </x:c>
      <x:c r="D116" s="274" t="s">
        <x:v>438</x:v>
      </x:c>
      <x:c r="E116" s="276" t="s">
        <x:v>1205</x:v>
      </x:c>
      <x:c r="F116" s="277" t="s">
        <x:v>118</x:v>
      </x:c>
      <x:c r="G116" s="277" t="s">
        <x:v>118</x:v>
      </x:c>
      <x:c r="H116" s="277" t="s">
        <x:v>118</x:v>
      </x:c>
      <x:c r="I116" s="277" t="s">
        <x:v>118</x:v>
      </x:c>
      <x:c r="J116" s="277" t="s">
        <x:v>118</x:v>
      </x:c>
      <x:c r="K116" s="277" t="s">
        <x:v>118</x:v>
      </x:c>
      <x:c r="L116" s="277" t="s">
        <x:v>118</x:v>
      </x:c>
      <x:c r="M116" s="277" t="s">
        <x:v>118</x:v>
      </x:c>
      <x:c r="N116" s="277" t="s">
        <x:v>118</x:v>
      </x:c>
      <x:c r="O116" s="277" t="s">
        <x:v>118</x:v>
      </x:c>
      <x:c r="P116" s="277" t="s">
        <x:v>118</x:v>
      </x:c>
      <x:c r="Q116" s="277" t="s">
        <x:v>118</x:v>
      </x:c>
      <x:c r="R116" s="277" t="s">
        <x:v>118</x:v>
      </x:c>
      <x:c r="S116" s="277" t="s">
        <x:v>118</x:v>
      </x:c>
      <x:c r="T116" s="277" t="s">
        <x:v>118</x:v>
      </x:c>
      <x:c r="U116" s="277" t="s">
        <x:v>118</x:v>
      </x:c>
      <x:c r="V116" s="277" t="s">
        <x:v>118</x:v>
      </x:c>
      <x:c r="W116" s="277" t="s">
        <x:v>118</x:v>
      </x:c>
      <x:c r="X116" s="277" t="s">
        <x:v>118</x:v>
      </x:c>
      <x:c r="Y116" s="277" t="s">
        <x:v>118</x:v>
      </x:c>
      <x:c r="Z116" s="277" t="s">
        <x:v>118</x:v>
      </x:c>
      <x:c r="AA116" s="277" t="s">
        <x:v>118</x:v>
      </x:c>
      <x:c r="AB116" s="277" t="s">
        <x:v>118</x:v>
      </x:c>
      <x:c r="AC116" s="277" t="s">
        <x:v>118</x:v>
      </x:c>
      <x:c r="AD116" s="277" t="s">
        <x:v>118</x:v>
      </x:c>
      <x:c r="AE116" s="277" t="s">
        <x:v>118</x:v>
      </x:c>
      <x:c r="AF116" s="277" t="s">
        <x:v>118</x:v>
      </x:c>
      <x:c r="AG116" s="277" t="s">
        <x:v>118</x:v>
      </x:c>
      <x:c r="AH116" s="277" t="s">
        <x:v>118</x:v>
      </x:c>
      <x:c r="AI116" s="277" t="s">
        <x:v>118</x:v>
      </x:c>
      <x:c r="AJ116" s="277" t="s">
        <x:v>118</x:v>
      </x:c>
      <x:c r="AK116" s="220">
        <x:f>COUNTIF(F116:AJ116,"X")</x:f>
      </x:c>
      <x:c r="AL116" s="221"/>
      <x:c r="AM116" s="221"/>
      <x:c r="AN116" s="222"/>
      <x:c r="AO116" s="222"/>
      <x:c r="AP116" s="228"/>
      <x:c r="AQ116" s="228"/>
      <x:c r="AR116" s="228"/>
      <x:c r="AS116" s="228"/>
      <x:c r="AT116" s="230"/>
    </x:row>
    <x:row r="117" spans="1:47" ht="19.9" customHeight="1">
      <x:c r="A117" s="274" t="s">
        <x:v>1206</x:v>
      </x:c>
      <x:c r="B117" s="216"/>
      <x:c r="C117" s="275" t="s">
        <x:v>1207</x:v>
      </x:c>
      <x:c r="D117" s="274" t="s">
        <x:v>442</x:v>
      </x:c>
      <x:c r="E117" s="276" t="s">
        <x:v>1208</x:v>
      </x:c>
      <x:c r="F117" s="277" t="s">
        <x:v>118</x:v>
      </x:c>
      <x:c r="G117" s="277" t="s">
        <x:v>118</x:v>
      </x:c>
      <x:c r="H117" s="277" t="s">
        <x:v>118</x:v>
      </x:c>
      <x:c r="I117" s="277" t="s">
        <x:v>118</x:v>
      </x:c>
      <x:c r="J117" s="277" t="s">
        <x:v>118</x:v>
      </x:c>
      <x:c r="K117" s="277" t="s">
        <x:v>118</x:v>
      </x:c>
      <x:c r="L117" s="277" t="s">
        <x:v>118</x:v>
      </x:c>
      <x:c r="M117" s="277" t="s">
        <x:v>118</x:v>
      </x:c>
      <x:c r="N117" s="277" t="s">
        <x:v>118</x:v>
      </x:c>
      <x:c r="O117" s="277" t="s">
        <x:v>118</x:v>
      </x:c>
      <x:c r="P117" s="277" t="s">
        <x:v>118</x:v>
      </x:c>
      <x:c r="Q117" s="277" t="s">
        <x:v>118</x:v>
      </x:c>
      <x:c r="R117" s="277" t="s">
        <x:v>118</x:v>
      </x:c>
      <x:c r="S117" s="277" t="s">
        <x:v>118</x:v>
      </x:c>
      <x:c r="T117" s="277" t="s">
        <x:v>118</x:v>
      </x:c>
      <x:c r="U117" s="277" t="s">
        <x:v>118</x:v>
      </x:c>
      <x:c r="V117" s="277" t="s">
        <x:v>118</x:v>
      </x:c>
      <x:c r="W117" s="277" t="s">
        <x:v>118</x:v>
      </x:c>
      <x:c r="X117" s="277" t="s">
        <x:v>118</x:v>
      </x:c>
      <x:c r="Y117" s="277" t="s">
        <x:v>118</x:v>
      </x:c>
      <x:c r="Z117" s="277" t="s">
        <x:v>118</x:v>
      </x:c>
      <x:c r="AA117" s="277" t="s">
        <x:v>118</x:v>
      </x:c>
      <x:c r="AB117" s="277" t="s">
        <x:v>118</x:v>
      </x:c>
      <x:c r="AC117" s="277" t="s">
        <x:v>118</x:v>
      </x:c>
      <x:c r="AD117" s="277" t="s">
        <x:v>118</x:v>
      </x:c>
      <x:c r="AE117" s="277" t="s">
        <x:v>118</x:v>
      </x:c>
      <x:c r="AF117" s="277" t="s">
        <x:v>118</x:v>
      </x:c>
      <x:c r="AG117" s="277" t="s">
        <x:v>118</x:v>
      </x:c>
      <x:c r="AH117" s="277" t="s">
        <x:v>118</x:v>
      </x:c>
      <x:c r="AI117" s="277" t="s">
        <x:v>118</x:v>
      </x:c>
      <x:c r="AJ117" s="277" t="s">
        <x:v>118</x:v>
      </x:c>
      <x:c r="AK117" s="220">
        <x:f>COUNTIF(F117:AJ117,"X")</x:f>
      </x:c>
      <x:c r="AL117" s="221"/>
      <x:c r="AM117" s="221"/>
      <x:c r="AN117" s="222"/>
      <x:c r="AO117" s="222"/>
      <x:c r="AP117" s="228"/>
      <x:c r="AQ117" s="228"/>
      <x:c r="AR117" s="228"/>
      <x:c r="AS117" s="228"/>
      <x:c r="AT117" s="230"/>
    </x:row>
    <x:row r="118" spans="1:47" ht="19.9" customHeight="1">
      <x:c r="A118" s="274" t="s">
        <x:v>1209</x:v>
      </x:c>
      <x:c r="B118" s="216"/>
      <x:c r="C118" s="275" t="s">
        <x:v>1210</x:v>
      </x:c>
      <x:c r="D118" s="274" t="s">
        <x:v>1211</x:v>
      </x:c>
      <x:c r="E118" s="276" t="s">
        <x:v>1212</x:v>
      </x:c>
      <x:c r="F118" s="279" t="s">
        <x:v>118</x:v>
      </x:c>
      <x:c r="G118" s="279" t="s">
        <x:v>118</x:v>
      </x:c>
      <x:c r="H118" s="279" t="s">
        <x:v>118</x:v>
      </x:c>
      <x:c r="I118" s="279" t="s">
        <x:v>118</x:v>
      </x:c>
      <x:c r="J118" s="279" t="s">
        <x:v>118</x:v>
      </x:c>
      <x:c r="K118" s="279" t="s">
        <x:v>118</x:v>
      </x:c>
      <x:c r="L118" s="279" t="s">
        <x:v>118</x:v>
      </x:c>
      <x:c r="M118" s="279" t="s">
        <x:v>118</x:v>
      </x:c>
      <x:c r="N118" s="279" t="s">
        <x:v>118</x:v>
      </x:c>
      <x:c r="O118" s="279" t="s">
        <x:v>118</x:v>
      </x:c>
      <x:c r="P118" s="279" t="s">
        <x:v>118</x:v>
      </x:c>
      <x:c r="Q118" s="279" t="s">
        <x:v>118</x:v>
      </x:c>
      <x:c r="R118" s="279" t="s">
        <x:v>118</x:v>
      </x:c>
      <x:c r="S118" s="279" t="s">
        <x:v>118</x:v>
      </x:c>
      <x:c r="T118" s="279" t="s">
        <x:v>118</x:v>
      </x:c>
      <x:c r="U118" s="279" t="s">
        <x:v>118</x:v>
      </x:c>
      <x:c r="V118" s="279" t="s">
        <x:v>118</x:v>
      </x:c>
      <x:c r="W118" s="279" t="s">
        <x:v>118</x:v>
      </x:c>
      <x:c r="X118" s="279" t="s">
        <x:v>118</x:v>
      </x:c>
      <x:c r="Y118" s="279" t="s">
        <x:v>118</x:v>
      </x:c>
      <x:c r="Z118" s="279" t="s">
        <x:v>118</x:v>
      </x:c>
      <x:c r="AA118" s="279" t="s">
        <x:v>118</x:v>
      </x:c>
      <x:c r="AB118" s="279" t="s">
        <x:v>118</x:v>
      </x:c>
      <x:c r="AC118" s="279" t="s">
        <x:v>118</x:v>
      </x:c>
      <x:c r="AD118" s="279" t="s">
        <x:v>118</x:v>
      </x:c>
      <x:c r="AE118" s="279" t="s">
        <x:v>118</x:v>
      </x:c>
      <x:c r="AF118" s="279" t="s">
        <x:v>118</x:v>
      </x:c>
      <x:c r="AG118" s="279" t="s">
        <x:v>118</x:v>
      </x:c>
      <x:c r="AH118" s="279" t="s">
        <x:v>118</x:v>
      </x:c>
      <x:c r="AI118" s="279" t="s">
        <x:v>118</x:v>
      </x:c>
      <x:c r="AJ118" s="279" t="s">
        <x:v>118</x:v>
      </x:c>
      <x:c r="AK118" s="220">
        <x:f>COUNTIF(F118:AJ118,"X")</x:f>
      </x:c>
      <x:c r="AL118" s="221"/>
      <x:c r="AM118" s="221"/>
      <x:c r="AN118" s="222"/>
      <x:c r="AO118" s="222"/>
      <x:c r="AP118" s="228"/>
      <x:c r="AQ118" s="228"/>
      <x:c r="AR118" s="228"/>
      <x:c r="AS118" s="228"/>
      <x:c r="AT118" s="230"/>
    </x:row>
    <x:row r="119" spans="1:47" ht="19.9" customHeight="1">
      <x:c r="A119" s="274" t="s">
        <x:v>1213</x:v>
      </x:c>
      <x:c r="B119" s="216"/>
      <x:c r="C119" s="275" t="s">
        <x:v>1214</x:v>
      </x:c>
      <x:c r="D119" s="274" t="s">
        <x:v>1215</x:v>
      </x:c>
      <x:c r="E119" s="276" t="s">
        <x:v>309</x:v>
      </x:c>
      <x:c r="F119" s="277" t="s">
        <x:v>118</x:v>
      </x:c>
      <x:c r="G119" s="277" t="s">
        <x:v>118</x:v>
      </x:c>
      <x:c r="H119" s="277" t="s">
        <x:v>118</x:v>
      </x:c>
      <x:c r="I119" s="277" t="s">
        <x:v>118</x:v>
      </x:c>
      <x:c r="J119" s="277" t="s">
        <x:v>118</x:v>
      </x:c>
      <x:c r="K119" s="277" t="s">
        <x:v>118</x:v>
      </x:c>
      <x:c r="L119" s="277" t="s">
        <x:v>118</x:v>
      </x:c>
      <x:c r="M119" s="277" t="s">
        <x:v>118</x:v>
      </x:c>
      <x:c r="N119" s="277" t="s">
        <x:v>118</x:v>
      </x:c>
      <x:c r="O119" s="277" t="s">
        <x:v>118</x:v>
      </x:c>
      <x:c r="P119" s="277" t="s">
        <x:v>118</x:v>
      </x:c>
      <x:c r="Q119" s="277" t="s">
        <x:v>118</x:v>
      </x:c>
      <x:c r="R119" s="277" t="s">
        <x:v>118</x:v>
      </x:c>
      <x:c r="S119" s="277" t="s">
        <x:v>118</x:v>
      </x:c>
      <x:c r="T119" s="277" t="s">
        <x:v>118</x:v>
      </x:c>
      <x:c r="U119" s="277" t="s">
        <x:v>118</x:v>
      </x:c>
      <x:c r="V119" s="277" t="s">
        <x:v>118</x:v>
      </x:c>
      <x:c r="W119" s="277" t="s">
        <x:v>118</x:v>
      </x:c>
      <x:c r="X119" s="277" t="s">
        <x:v>118</x:v>
      </x:c>
      <x:c r="Y119" s="277" t="s">
        <x:v>118</x:v>
      </x:c>
      <x:c r="Z119" s="277" t="s">
        <x:v>118</x:v>
      </x:c>
      <x:c r="AA119" s="277" t="s">
        <x:v>118</x:v>
      </x:c>
      <x:c r="AB119" s="277" t="s">
        <x:v>118</x:v>
      </x:c>
      <x:c r="AC119" s="277" t="s">
        <x:v>118</x:v>
      </x:c>
      <x:c r="AD119" s="277" t="s">
        <x:v>118</x:v>
      </x:c>
      <x:c r="AE119" s="277" t="s">
        <x:v>118</x:v>
      </x:c>
      <x:c r="AF119" s="277" t="s">
        <x:v>118</x:v>
      </x:c>
      <x:c r="AG119" s="277" t="s">
        <x:v>118</x:v>
      </x:c>
      <x:c r="AH119" s="277" t="s">
        <x:v>118</x:v>
      </x:c>
      <x:c r="AI119" s="277" t="s">
        <x:v>118</x:v>
      </x:c>
      <x:c r="AJ119" s="277" t="s">
        <x:v>118</x:v>
      </x:c>
      <x:c r="AK119" s="220">
        <x:f>COUNTIF(F119:AJ119,"X")</x:f>
      </x:c>
      <x:c r="AL119" s="221"/>
      <x:c r="AM119" s="221"/>
      <x:c r="AN119" s="222"/>
      <x:c r="AO119" s="222"/>
      <x:c r="AP119" s="228"/>
      <x:c r="AQ119" s="228"/>
      <x:c r="AR119" s="228"/>
      <x:c r="AS119" s="228"/>
      <x:c r="AT119" s="230"/>
    </x:row>
    <x:row r="120" spans="1:47" ht="19.9" customHeight="1">
      <x:c r="A120" s="274" t="s">
        <x:v>1216</x:v>
      </x:c>
      <x:c r="B120" s="216"/>
      <x:c r="C120" s="275" t="s">
        <x:v>1217</x:v>
      </x:c>
      <x:c r="D120" s="274" t="s">
        <x:v>1218</x:v>
      </x:c>
      <x:c r="E120" s="276" t="s">
        <x:v>1219</x:v>
      </x:c>
      <x:c r="F120" s="277" t="s">
        <x:v>118</x:v>
      </x:c>
      <x:c r="G120" s="277" t="s">
        <x:v>118</x:v>
      </x:c>
      <x:c r="H120" s="277" t="s">
        <x:v>118</x:v>
      </x:c>
      <x:c r="I120" s="277" t="s">
        <x:v>118</x:v>
      </x:c>
      <x:c r="J120" s="277" t="s">
        <x:v>118</x:v>
      </x:c>
      <x:c r="K120" s="277" t="s">
        <x:v>118</x:v>
      </x:c>
      <x:c r="L120" s="277" t="s">
        <x:v>118</x:v>
      </x:c>
      <x:c r="M120" s="277" t="s">
        <x:v>118</x:v>
      </x:c>
      <x:c r="N120" s="277" t="s">
        <x:v>118</x:v>
      </x:c>
      <x:c r="O120" s="277" t="s">
        <x:v>118</x:v>
      </x:c>
      <x:c r="P120" s="277" t="s">
        <x:v>118</x:v>
      </x:c>
      <x:c r="Q120" s="277" t="s">
        <x:v>118</x:v>
      </x:c>
      <x:c r="R120" s="277" t="s">
        <x:v>118</x:v>
      </x:c>
      <x:c r="S120" s="277" t="s">
        <x:v>118</x:v>
      </x:c>
      <x:c r="T120" s="277" t="s">
        <x:v>118</x:v>
      </x:c>
      <x:c r="U120" s="277" t="s">
        <x:v>118</x:v>
      </x:c>
      <x:c r="V120" s="277" t="s">
        <x:v>118</x:v>
      </x:c>
      <x:c r="W120" s="277" t="s">
        <x:v>118</x:v>
      </x:c>
      <x:c r="X120" s="277" t="s">
        <x:v>118</x:v>
      </x:c>
      <x:c r="Y120" s="277" t="s">
        <x:v>118</x:v>
      </x:c>
      <x:c r="Z120" s="277" t="s">
        <x:v>118</x:v>
      </x:c>
      <x:c r="AA120" s="277" t="s">
        <x:v>118</x:v>
      </x:c>
      <x:c r="AB120" s="277" t="s">
        <x:v>118</x:v>
      </x:c>
      <x:c r="AC120" s="277" t="s">
        <x:v>118</x:v>
      </x:c>
      <x:c r="AD120" s="277" t="s">
        <x:v>118</x:v>
      </x:c>
      <x:c r="AE120" s="277" t="s">
        <x:v>118</x:v>
      </x:c>
      <x:c r="AF120" s="277" t="s">
        <x:v>118</x:v>
      </x:c>
      <x:c r="AG120" s="277" t="s">
        <x:v>118</x:v>
      </x:c>
      <x:c r="AH120" s="277" t="s">
        <x:v>118</x:v>
      </x:c>
      <x:c r="AI120" s="277" t="s">
        <x:v>118</x:v>
      </x:c>
      <x:c r="AJ120" s="277" t="s">
        <x:v>118</x:v>
      </x:c>
      <x:c r="AK120" s="220">
        <x:f>COUNTIF(F120:AJ120,"X")</x:f>
      </x:c>
      <x:c r="AL120" s="221"/>
      <x:c r="AM120" s="221"/>
      <x:c r="AN120" s="222"/>
      <x:c r="AO120" s="222"/>
      <x:c r="AP120" s="228"/>
      <x:c r="AQ120" s="228"/>
      <x:c r="AR120" s="228"/>
      <x:c r="AS120" s="228"/>
      <x:c r="AT120" s="230"/>
    </x:row>
    <x:row r="121" spans="1:47" ht="19.9" customHeight="1">
      <x:c r="A121" s="274" t="s">
        <x:v>1220</x:v>
      </x:c>
      <x:c r="B121" s="216"/>
      <x:c r="C121" s="275" t="s">
        <x:v>1221</x:v>
      </x:c>
      <x:c r="D121" s="274" t="s">
        <x:v>1222</x:v>
      </x:c>
      <x:c r="E121" s="276" t="s">
        <x:v>1223</x:v>
      </x:c>
      <x:c r="F121" s="277" t="s">
        <x:v>118</x:v>
      </x:c>
      <x:c r="G121" s="277" t="s">
        <x:v>118</x:v>
      </x:c>
      <x:c r="H121" s="277" t="s">
        <x:v>118</x:v>
      </x:c>
      <x:c r="I121" s="277" t="s">
        <x:v>118</x:v>
      </x:c>
      <x:c r="J121" s="277" t="s">
        <x:v>118</x:v>
      </x:c>
      <x:c r="K121" s="277" t="s">
        <x:v>118</x:v>
      </x:c>
      <x:c r="L121" s="277" t="s">
        <x:v>118</x:v>
      </x:c>
      <x:c r="M121" s="277" t="s">
        <x:v>118</x:v>
      </x:c>
      <x:c r="N121" s="277" t="s">
        <x:v>118</x:v>
      </x:c>
      <x:c r="O121" s="277" t="s">
        <x:v>118</x:v>
      </x:c>
      <x:c r="P121" s="277" t="s">
        <x:v>118</x:v>
      </x:c>
      <x:c r="Q121" s="277" t="s">
        <x:v>118</x:v>
      </x:c>
      <x:c r="R121" s="277" t="s">
        <x:v>118</x:v>
      </x:c>
      <x:c r="S121" s="277" t="s">
        <x:v>118</x:v>
      </x:c>
      <x:c r="T121" s="277" t="s">
        <x:v>118</x:v>
      </x:c>
      <x:c r="U121" s="277" t="s">
        <x:v>118</x:v>
      </x:c>
      <x:c r="V121" s="277" t="s">
        <x:v>118</x:v>
      </x:c>
      <x:c r="W121" s="277" t="s">
        <x:v>118</x:v>
      </x:c>
      <x:c r="X121" s="277" t="s">
        <x:v>118</x:v>
      </x:c>
      <x:c r="Y121" s="277" t="s">
        <x:v>118</x:v>
      </x:c>
      <x:c r="Z121" s="277" t="s">
        <x:v>118</x:v>
      </x:c>
      <x:c r="AA121" s="277" t="s">
        <x:v>118</x:v>
      </x:c>
      <x:c r="AB121" s="277" t="s">
        <x:v>118</x:v>
      </x:c>
      <x:c r="AC121" s="277" t="s">
        <x:v>118</x:v>
      </x:c>
      <x:c r="AD121" s="277" t="s">
        <x:v>118</x:v>
      </x:c>
      <x:c r="AE121" s="277" t="s">
        <x:v>118</x:v>
      </x:c>
      <x:c r="AF121" s="277" t="s">
        <x:v>118</x:v>
      </x:c>
      <x:c r="AG121" s="277" t="s">
        <x:v>118</x:v>
      </x:c>
      <x:c r="AH121" s="277" t="s">
        <x:v>118</x:v>
      </x:c>
      <x:c r="AI121" s="277" t="s">
        <x:v>118</x:v>
      </x:c>
      <x:c r="AJ121" s="277" t="s">
        <x:v>118</x:v>
      </x:c>
      <x:c r="AK121" s="220">
        <x:f>COUNTIF(F121:AJ121,"X")</x:f>
      </x:c>
      <x:c r="AL121" s="221"/>
      <x:c r="AM121" s="221"/>
      <x:c r="AN121" s="222"/>
      <x:c r="AO121" s="222"/>
      <x:c r="AP121" s="228"/>
      <x:c r="AQ121" s="228"/>
      <x:c r="AR121" s="228"/>
      <x:c r="AS121" s="228"/>
      <x:c r="AT121" s="230"/>
    </x:row>
    <x:row r="122" spans="1:47" ht="19.9" customHeight="1">
      <x:c r="A122" s="274" t="s">
        <x:v>1224</x:v>
      </x:c>
      <x:c r="B122" s="216"/>
      <x:c r="C122" s="275" t="s">
        <x:v>1225</x:v>
      </x:c>
      <x:c r="D122" s="274" t="s">
        <x:v>1226</x:v>
      </x:c>
      <x:c r="E122" s="276" t="s">
        <x:v>1047</x:v>
      </x:c>
      <x:c r="F122" s="277" t="s">
        <x:v>118</x:v>
      </x:c>
      <x:c r="G122" s="277" t="s">
        <x:v>118</x:v>
      </x:c>
      <x:c r="H122" s="277" t="s">
        <x:v>118</x:v>
      </x:c>
      <x:c r="I122" s="277" t="s">
        <x:v>118</x:v>
      </x:c>
      <x:c r="J122" s="277" t="s">
        <x:v>118</x:v>
      </x:c>
      <x:c r="K122" s="277" t="s">
        <x:v>118</x:v>
      </x:c>
      <x:c r="L122" s="277" t="s">
        <x:v>118</x:v>
      </x:c>
      <x:c r="M122" s="277" t="s">
        <x:v>118</x:v>
      </x:c>
      <x:c r="N122" s="277" t="s">
        <x:v>118</x:v>
      </x:c>
      <x:c r="O122" s="277" t="s">
        <x:v>118</x:v>
      </x:c>
      <x:c r="P122" s="277" t="s">
        <x:v>118</x:v>
      </x:c>
      <x:c r="Q122" s="277" t="s">
        <x:v>118</x:v>
      </x:c>
      <x:c r="R122" s="277" t="s">
        <x:v>118</x:v>
      </x:c>
      <x:c r="S122" s="277" t="s">
        <x:v>118</x:v>
      </x:c>
      <x:c r="T122" s="277" t="s">
        <x:v>118</x:v>
      </x:c>
      <x:c r="U122" s="277" t="s">
        <x:v>118</x:v>
      </x:c>
      <x:c r="V122" s="277" t="s">
        <x:v>118</x:v>
      </x:c>
      <x:c r="W122" s="277" t="s">
        <x:v>118</x:v>
      </x:c>
      <x:c r="X122" s="277" t="s">
        <x:v>118</x:v>
      </x:c>
      <x:c r="Y122" s="277" t="s">
        <x:v>118</x:v>
      </x:c>
      <x:c r="Z122" s="277" t="s">
        <x:v>118</x:v>
      </x:c>
      <x:c r="AA122" s="277" t="s">
        <x:v>118</x:v>
      </x:c>
      <x:c r="AB122" s="277" t="s">
        <x:v>118</x:v>
      </x:c>
      <x:c r="AC122" s="277" t="s">
        <x:v>118</x:v>
      </x:c>
      <x:c r="AD122" s="277" t="s">
        <x:v>118</x:v>
      </x:c>
      <x:c r="AE122" s="277" t="s">
        <x:v>118</x:v>
      </x:c>
      <x:c r="AF122" s="277" t="s">
        <x:v>118</x:v>
      </x:c>
      <x:c r="AG122" s="277" t="s">
        <x:v>118</x:v>
      </x:c>
      <x:c r="AH122" s="277" t="s">
        <x:v>118</x:v>
      </x:c>
      <x:c r="AI122" s="277" t="s">
        <x:v>118</x:v>
      </x:c>
      <x:c r="AJ122" s="277" t="s">
        <x:v>118</x:v>
      </x:c>
      <x:c r="AK122" s="220">
        <x:f>COUNTIF(F122:AJ122,"X")</x:f>
      </x:c>
      <x:c r="AL122" s="221"/>
      <x:c r="AM122" s="221"/>
      <x:c r="AN122" s="222"/>
      <x:c r="AO122" s="222"/>
      <x:c r="AP122" s="228"/>
      <x:c r="AQ122" s="228"/>
      <x:c r="AR122" s="228"/>
      <x:c r="AS122" s="228"/>
      <x:c r="AT122" s="230"/>
    </x:row>
    <x:row r="123" spans="1:47" ht="19.9" customHeight="1">
      <x:c r="A123" s="274" t="s">
        <x:v>1227</x:v>
      </x:c>
      <x:c r="B123" s="216"/>
      <x:c r="C123" s="275" t="s">
        <x:v>1228</x:v>
      </x:c>
      <x:c r="D123" s="274" t="s">
        <x:v>1229</x:v>
      </x:c>
      <x:c r="E123" s="276" t="s">
        <x:v>1230</x:v>
      </x:c>
      <x:c r="F123" s="277" t="s">
        <x:v>118</x:v>
      </x:c>
      <x:c r="G123" s="277" t="s">
        <x:v>118</x:v>
      </x:c>
      <x:c r="H123" s="277" t="s">
        <x:v>118</x:v>
      </x:c>
      <x:c r="I123" s="277" t="s">
        <x:v>118</x:v>
      </x:c>
      <x:c r="J123" s="277" t="s">
        <x:v>118</x:v>
      </x:c>
      <x:c r="K123" s="277" t="s">
        <x:v>118</x:v>
      </x:c>
      <x:c r="L123" s="277" t="s">
        <x:v>118</x:v>
      </x:c>
      <x:c r="M123" s="277" t="s">
        <x:v>118</x:v>
      </x:c>
      <x:c r="N123" s="277" t="s">
        <x:v>118</x:v>
      </x:c>
      <x:c r="O123" s="277" t="s">
        <x:v>118</x:v>
      </x:c>
      <x:c r="P123" s="277" t="s">
        <x:v>118</x:v>
      </x:c>
      <x:c r="Q123" s="277" t="s">
        <x:v>118</x:v>
      </x:c>
      <x:c r="R123" s="277" t="s">
        <x:v>118</x:v>
      </x:c>
      <x:c r="S123" s="277" t="s">
        <x:v>118</x:v>
      </x:c>
      <x:c r="T123" s="277" t="s">
        <x:v>118</x:v>
      </x:c>
      <x:c r="U123" s="277" t="s">
        <x:v>118</x:v>
      </x:c>
      <x:c r="V123" s="277" t="s">
        <x:v>118</x:v>
      </x:c>
      <x:c r="W123" s="277" t="s">
        <x:v>118</x:v>
      </x:c>
      <x:c r="X123" s="277" t="s">
        <x:v>118</x:v>
      </x:c>
      <x:c r="Y123" s="277" t="s">
        <x:v>118</x:v>
      </x:c>
      <x:c r="Z123" s="277" t="s">
        <x:v>118</x:v>
      </x:c>
      <x:c r="AA123" s="277" t="s">
        <x:v>118</x:v>
      </x:c>
      <x:c r="AB123" s="277" t="s">
        <x:v>118</x:v>
      </x:c>
      <x:c r="AC123" s="277" t="s">
        <x:v>118</x:v>
      </x:c>
      <x:c r="AD123" s="277" t="s">
        <x:v>118</x:v>
      </x:c>
      <x:c r="AE123" s="277" t="s">
        <x:v>118</x:v>
      </x:c>
      <x:c r="AF123" s="277" t="s">
        <x:v>118</x:v>
      </x:c>
      <x:c r="AG123" s="277" t="s">
        <x:v>118</x:v>
      </x:c>
      <x:c r="AH123" s="277" t="s">
        <x:v>118</x:v>
      </x:c>
      <x:c r="AI123" s="277" t="s">
        <x:v>118</x:v>
      </x:c>
      <x:c r="AJ123" s="277" t="s">
        <x:v>118</x:v>
      </x:c>
      <x:c r="AK123" s="220">
        <x:f>COUNTIF(F123:AJ123,"X")</x:f>
      </x:c>
      <x:c r="AL123" s="221"/>
      <x:c r="AM123" s="221"/>
      <x:c r="AN123" s="222"/>
      <x:c r="AO123" s="222"/>
      <x:c r="AP123" s="228"/>
      <x:c r="AQ123" s="228"/>
      <x:c r="AR123" s="228"/>
      <x:c r="AS123" s="228"/>
      <x:c r="AT123" s="230"/>
    </x:row>
    <x:row r="124" spans="1:47" ht="19.9" customHeight="1">
      <x:c r="A124" s="274" t="s">
        <x:v>1231</x:v>
      </x:c>
      <x:c r="B124" s="216"/>
      <x:c r="C124" s="275" t="s">
        <x:v>1232</x:v>
      </x:c>
      <x:c r="D124" s="274" t="s">
        <x:v>1233</x:v>
      </x:c>
      <x:c r="E124" s="276" t="s">
        <x:v>1234</x:v>
      </x:c>
      <x:c r="F124" s="277" t="s">
        <x:v>118</x:v>
      </x:c>
      <x:c r="G124" s="277" t="s">
        <x:v>118</x:v>
      </x:c>
      <x:c r="H124" s="277" t="s">
        <x:v>118</x:v>
      </x:c>
      <x:c r="I124" s="277" t="s">
        <x:v>118</x:v>
      </x:c>
      <x:c r="J124" s="277" t="s">
        <x:v>118</x:v>
      </x:c>
      <x:c r="K124" s="277" t="s">
        <x:v>118</x:v>
      </x:c>
      <x:c r="L124" s="277" t="s">
        <x:v>118</x:v>
      </x:c>
      <x:c r="M124" s="277" t="s">
        <x:v>118</x:v>
      </x:c>
      <x:c r="N124" s="277" t="s">
        <x:v>118</x:v>
      </x:c>
      <x:c r="O124" s="277" t="s">
        <x:v>118</x:v>
      </x:c>
      <x:c r="P124" s="277" t="s">
        <x:v>118</x:v>
      </x:c>
      <x:c r="Q124" s="277" t="s">
        <x:v>118</x:v>
      </x:c>
      <x:c r="R124" s="277" t="s">
        <x:v>118</x:v>
      </x:c>
      <x:c r="S124" s="277" t="s">
        <x:v>118</x:v>
      </x:c>
      <x:c r="T124" s="277" t="s">
        <x:v>118</x:v>
      </x:c>
      <x:c r="U124" s="277" t="s">
        <x:v>118</x:v>
      </x:c>
      <x:c r="V124" s="277" t="s">
        <x:v>118</x:v>
      </x:c>
      <x:c r="W124" s="277" t="s">
        <x:v>118</x:v>
      </x:c>
      <x:c r="X124" s="277" t="s">
        <x:v>118</x:v>
      </x:c>
      <x:c r="Y124" s="277" t="s">
        <x:v>118</x:v>
      </x:c>
      <x:c r="Z124" s="277" t="s">
        <x:v>118</x:v>
      </x:c>
      <x:c r="AA124" s="277" t="s">
        <x:v>118</x:v>
      </x:c>
      <x:c r="AB124" s="277" t="s">
        <x:v>118</x:v>
      </x:c>
      <x:c r="AC124" s="277" t="s">
        <x:v>118</x:v>
      </x:c>
      <x:c r="AD124" s="277" t="s">
        <x:v>118</x:v>
      </x:c>
      <x:c r="AE124" s="277" t="s">
        <x:v>118</x:v>
      </x:c>
      <x:c r="AF124" s="277" t="s">
        <x:v>118</x:v>
      </x:c>
      <x:c r="AG124" s="277" t="s">
        <x:v>118</x:v>
      </x:c>
      <x:c r="AH124" s="277" t="s">
        <x:v>118</x:v>
      </x:c>
      <x:c r="AI124" s="277" t="s">
        <x:v>118</x:v>
      </x:c>
      <x:c r="AJ124" s="277" t="s">
        <x:v>118</x:v>
      </x:c>
      <x:c r="AK124" s="220">
        <x:f>COUNTIF(F124:AJ124,"X")</x:f>
      </x:c>
      <x:c r="AL124" s="221"/>
      <x:c r="AM124" s="221"/>
      <x:c r="AN124" s="222"/>
      <x:c r="AO124" s="222"/>
      <x:c r="AP124" s="228"/>
      <x:c r="AQ124" s="228"/>
      <x:c r="AR124" s="228"/>
      <x:c r="AS124" s="228"/>
      <x:c r="AT124" s="230"/>
    </x:row>
    <x:row r="125" spans="1:47" ht="19.9" customHeight="1">
      <x:c r="A125" s="274" t="s">
        <x:v>1235</x:v>
      </x:c>
      <x:c r="B125" s="216"/>
      <x:c r="C125" s="275" t="s">
        <x:v>1236</x:v>
      </x:c>
      <x:c r="D125" s="274" t="s">
        <x:v>1237</x:v>
      </x:c>
      <x:c r="E125" s="276" t="s">
        <x:v>1238</x:v>
      </x:c>
      <x:c r="F125" s="277" t="s">
        <x:v>118</x:v>
      </x:c>
      <x:c r="G125" s="277" t="s">
        <x:v>118</x:v>
      </x:c>
      <x:c r="H125" s="277" t="s">
        <x:v>118</x:v>
      </x:c>
      <x:c r="I125" s="277" t="s">
        <x:v>118</x:v>
      </x:c>
      <x:c r="J125" s="277" t="s">
        <x:v>118</x:v>
      </x:c>
      <x:c r="K125" s="277" t="s">
        <x:v>118</x:v>
      </x:c>
      <x:c r="L125" s="277" t="s">
        <x:v>118</x:v>
      </x:c>
      <x:c r="M125" s="277" t="s">
        <x:v>118</x:v>
      </x:c>
      <x:c r="N125" s="277" t="s">
        <x:v>118</x:v>
      </x:c>
      <x:c r="O125" s="277" t="s">
        <x:v>118</x:v>
      </x:c>
      <x:c r="P125" s="277" t="s">
        <x:v>118</x:v>
      </x:c>
      <x:c r="Q125" s="277" t="s">
        <x:v>118</x:v>
      </x:c>
      <x:c r="R125" s="277" t="s">
        <x:v>118</x:v>
      </x:c>
      <x:c r="S125" s="277" t="s">
        <x:v>118</x:v>
      </x:c>
      <x:c r="T125" s="277" t="s">
        <x:v>118</x:v>
      </x:c>
      <x:c r="U125" s="277" t="s">
        <x:v>118</x:v>
      </x:c>
      <x:c r="V125" s="277" t="s">
        <x:v>118</x:v>
      </x:c>
      <x:c r="W125" s="277" t="s">
        <x:v>118</x:v>
      </x:c>
      <x:c r="X125" s="277" t="s">
        <x:v>118</x:v>
      </x:c>
      <x:c r="Y125" s="277" t="s">
        <x:v>118</x:v>
      </x:c>
      <x:c r="Z125" s="277" t="s">
        <x:v>118</x:v>
      </x:c>
      <x:c r="AA125" s="277" t="s">
        <x:v>118</x:v>
      </x:c>
      <x:c r="AB125" s="277" t="s">
        <x:v>118</x:v>
      </x:c>
      <x:c r="AC125" s="277" t="s">
        <x:v>118</x:v>
      </x:c>
      <x:c r="AD125" s="277" t="s">
        <x:v>118</x:v>
      </x:c>
      <x:c r="AE125" s="277" t="s">
        <x:v>118</x:v>
      </x:c>
      <x:c r="AF125" s="277" t="s">
        <x:v>118</x:v>
      </x:c>
      <x:c r="AG125" s="277" t="s">
        <x:v>118</x:v>
      </x:c>
      <x:c r="AH125" s="277" t="s">
        <x:v>118</x:v>
      </x:c>
      <x:c r="AI125" s="277" t="s">
        <x:v>118</x:v>
      </x:c>
      <x:c r="AJ125" s="277" t="s">
        <x:v>118</x:v>
      </x:c>
      <x:c r="AK125" s="220">
        <x:f>COUNTIF(F125:AJ125,"X")</x:f>
      </x:c>
      <x:c r="AL125" s="221"/>
      <x:c r="AM125" s="221"/>
      <x:c r="AN125" s="222"/>
      <x:c r="AO125" s="222"/>
      <x:c r="AP125" s="228"/>
      <x:c r="AQ125" s="228"/>
      <x:c r="AR125" s="228"/>
      <x:c r="AS125" s="228"/>
      <x:c r="AT125" s="230"/>
    </x:row>
    <x:row r="126" spans="1:47" ht="19.9" customHeight="1">
      <x:c r="A126" s="274" t="s">
        <x:v>1239</x:v>
      </x:c>
      <x:c r="B126" s="216"/>
      <x:c r="C126" s="275" t="s">
        <x:v>1240</x:v>
      </x:c>
      <x:c r="D126" s="274" t="s">
        <x:v>452</x:v>
      </x:c>
      <x:c r="E126" s="276" t="s">
        <x:v>1241</x:v>
      </x:c>
      <x:c r="F126" s="277" t="s">
        <x:v>118</x:v>
      </x:c>
      <x:c r="G126" s="277" t="s">
        <x:v>118</x:v>
      </x:c>
      <x:c r="H126" s="277" t="s">
        <x:v>118</x:v>
      </x:c>
      <x:c r="I126" s="277" t="s">
        <x:v>118</x:v>
      </x:c>
      <x:c r="J126" s="277" t="s">
        <x:v>118</x:v>
      </x:c>
      <x:c r="K126" s="277" t="s">
        <x:v>118</x:v>
      </x:c>
      <x:c r="L126" s="277" t="s">
        <x:v>118</x:v>
      </x:c>
      <x:c r="M126" s="277" t="s">
        <x:v>118</x:v>
      </x:c>
      <x:c r="N126" s="277" t="s">
        <x:v>118</x:v>
      </x:c>
      <x:c r="O126" s="277" t="s">
        <x:v>118</x:v>
      </x:c>
      <x:c r="P126" s="277" t="s">
        <x:v>118</x:v>
      </x:c>
      <x:c r="Q126" s="277" t="s">
        <x:v>118</x:v>
      </x:c>
      <x:c r="R126" s="277" t="s">
        <x:v>118</x:v>
      </x:c>
      <x:c r="S126" s="277" t="s">
        <x:v>118</x:v>
      </x:c>
      <x:c r="T126" s="277" t="s">
        <x:v>118</x:v>
      </x:c>
      <x:c r="U126" s="277" t="s">
        <x:v>118</x:v>
      </x:c>
      <x:c r="V126" s="277" t="s">
        <x:v>118</x:v>
      </x:c>
      <x:c r="W126" s="277" t="s">
        <x:v>118</x:v>
      </x:c>
      <x:c r="X126" s="277" t="s">
        <x:v>118</x:v>
      </x:c>
      <x:c r="Y126" s="277" t="s">
        <x:v>118</x:v>
      </x:c>
      <x:c r="Z126" s="277" t="s">
        <x:v>118</x:v>
      </x:c>
      <x:c r="AA126" s="277" t="s">
        <x:v>118</x:v>
      </x:c>
      <x:c r="AB126" s="277" t="s">
        <x:v>118</x:v>
      </x:c>
      <x:c r="AC126" s="277" t="s">
        <x:v>118</x:v>
      </x:c>
      <x:c r="AD126" s="277" t="s">
        <x:v>118</x:v>
      </x:c>
      <x:c r="AE126" s="277" t="s">
        <x:v>118</x:v>
      </x:c>
      <x:c r="AF126" s="277" t="s">
        <x:v>118</x:v>
      </x:c>
      <x:c r="AG126" s="277" t="s">
        <x:v>118</x:v>
      </x:c>
      <x:c r="AH126" s="277" t="s">
        <x:v>118</x:v>
      </x:c>
      <x:c r="AI126" s="277" t="s">
        <x:v>118</x:v>
      </x:c>
      <x:c r="AJ126" s="277" t="s">
        <x:v>118</x:v>
      </x:c>
      <x:c r="AK126" s="220">
        <x:f>COUNTIF(F126:AJ126,"X")</x:f>
      </x:c>
      <x:c r="AL126" s="221"/>
      <x:c r="AM126" s="221"/>
      <x:c r="AN126" s="222"/>
      <x:c r="AO126" s="222"/>
      <x:c r="AP126" s="228"/>
      <x:c r="AQ126" s="228"/>
      <x:c r="AR126" s="228"/>
      <x:c r="AS126" s="228"/>
      <x:c r="AT126" s="230"/>
    </x:row>
    <x:row r="127" spans="1:47" ht="19.9" customHeight="1">
      <x:c r="A127" s="274" t="s">
        <x:v>454</x:v>
      </x:c>
      <x:c r="B127" s="216"/>
      <x:c r="C127" s="275" t="s">
        <x:v>1242</x:v>
      </x:c>
      <x:c r="D127" s="274" t="s">
        <x:v>452</x:v>
      </x:c>
      <x:c r="E127" s="276" t="s">
        <x:v>920</x:v>
      </x:c>
      <x:c r="F127" s="277" t="s">
        <x:v>118</x:v>
      </x:c>
      <x:c r="G127" s="277" t="s">
        <x:v>118</x:v>
      </x:c>
      <x:c r="H127" s="277" t="s">
        <x:v>118</x:v>
      </x:c>
      <x:c r="I127" s="277" t="s">
        <x:v>118</x:v>
      </x:c>
      <x:c r="J127" s="277" t="s">
        <x:v>118</x:v>
      </x:c>
      <x:c r="K127" s="277" t="s">
        <x:v>118</x:v>
      </x:c>
      <x:c r="L127" s="277" t="s">
        <x:v>118</x:v>
      </x:c>
      <x:c r="M127" s="277" t="s">
        <x:v>118</x:v>
      </x:c>
      <x:c r="N127" s="277" t="s">
        <x:v>118</x:v>
      </x:c>
      <x:c r="O127" s="277" t="s">
        <x:v>118</x:v>
      </x:c>
      <x:c r="P127" s="277" t="s">
        <x:v>118</x:v>
      </x:c>
      <x:c r="Q127" s="277" t="s">
        <x:v>118</x:v>
      </x:c>
      <x:c r="R127" s="277" t="s">
        <x:v>118</x:v>
      </x:c>
      <x:c r="S127" s="277" t="s">
        <x:v>118</x:v>
      </x:c>
      <x:c r="T127" s="277" t="s">
        <x:v>118</x:v>
      </x:c>
      <x:c r="U127" s="277" t="s">
        <x:v>118</x:v>
      </x:c>
      <x:c r="V127" s="277" t="s">
        <x:v>118</x:v>
      </x:c>
      <x:c r="W127" s="277" t="s">
        <x:v>118</x:v>
      </x:c>
      <x:c r="X127" s="277" t="s">
        <x:v>118</x:v>
      </x:c>
      <x:c r="Y127" s="277" t="s">
        <x:v>118</x:v>
      </x:c>
      <x:c r="Z127" s="277" t="s">
        <x:v>118</x:v>
      </x:c>
      <x:c r="AA127" s="277" t="s">
        <x:v>118</x:v>
      </x:c>
      <x:c r="AB127" s="277" t="s">
        <x:v>118</x:v>
      </x:c>
      <x:c r="AC127" s="277" t="s">
        <x:v>118</x:v>
      </x:c>
      <x:c r="AD127" s="277" t="s">
        <x:v>118</x:v>
      </x:c>
      <x:c r="AE127" s="277" t="s">
        <x:v>118</x:v>
      </x:c>
      <x:c r="AF127" s="277" t="s">
        <x:v>118</x:v>
      </x:c>
      <x:c r="AG127" s="277" t="s">
        <x:v>118</x:v>
      </x:c>
      <x:c r="AH127" s="277" t="s">
        <x:v>118</x:v>
      </x:c>
      <x:c r="AI127" s="277" t="s">
        <x:v>118</x:v>
      </x:c>
      <x:c r="AJ127" s="277" t="s">
        <x:v>118</x:v>
      </x:c>
      <x:c r="AK127" s="220">
        <x:f>COUNTIF(F127:AJ127,"X")</x:f>
      </x:c>
      <x:c r="AL127" s="221"/>
      <x:c r="AM127" s="221"/>
      <x:c r="AN127" s="222"/>
      <x:c r="AO127" s="222"/>
      <x:c r="AP127" s="228"/>
      <x:c r="AQ127" s="228"/>
      <x:c r="AR127" s="228"/>
      <x:c r="AS127" s="228"/>
      <x:c r="AT127" s="230"/>
    </x:row>
    <x:row r="128" spans="1:47" ht="19.9" customHeight="1">
      <x:c r="A128" s="274" t="s">
        <x:v>1243</x:v>
      </x:c>
      <x:c r="B128" s="216"/>
      <x:c r="C128" s="275" t="s">
        <x:v>1244</x:v>
      </x:c>
      <x:c r="D128" s="274" t="s">
        <x:v>452</x:v>
      </x:c>
      <x:c r="E128" s="276" t="s">
        <x:v>1245</x:v>
      </x:c>
      <x:c r="F128" s="277" t="s">
        <x:v>118</x:v>
      </x:c>
      <x:c r="G128" s="277" t="s">
        <x:v>118</x:v>
      </x:c>
      <x:c r="H128" s="277" t="s">
        <x:v>118</x:v>
      </x:c>
      <x:c r="I128" s="277" t="s">
        <x:v>118</x:v>
      </x:c>
      <x:c r="J128" s="277" t="s">
        <x:v>118</x:v>
      </x:c>
      <x:c r="K128" s="277" t="s">
        <x:v>118</x:v>
      </x:c>
      <x:c r="L128" s="277" t="s">
        <x:v>118</x:v>
      </x:c>
      <x:c r="M128" s="277" t="s">
        <x:v>118</x:v>
      </x:c>
      <x:c r="N128" s="277" t="s">
        <x:v>118</x:v>
      </x:c>
      <x:c r="O128" s="277" t="s">
        <x:v>118</x:v>
      </x:c>
      <x:c r="P128" s="277" t="s">
        <x:v>118</x:v>
      </x:c>
      <x:c r="Q128" s="277" t="s">
        <x:v>118</x:v>
      </x:c>
      <x:c r="R128" s="277" t="s">
        <x:v>118</x:v>
      </x:c>
      <x:c r="S128" s="277" t="s">
        <x:v>118</x:v>
      </x:c>
      <x:c r="T128" s="277" t="s">
        <x:v>118</x:v>
      </x:c>
      <x:c r="U128" s="277" t="s">
        <x:v>118</x:v>
      </x:c>
      <x:c r="V128" s="277" t="s">
        <x:v>118</x:v>
      </x:c>
      <x:c r="W128" s="277" t="s">
        <x:v>118</x:v>
      </x:c>
      <x:c r="X128" s="277" t="s">
        <x:v>118</x:v>
      </x:c>
      <x:c r="Y128" s="277" t="s">
        <x:v>118</x:v>
      </x:c>
      <x:c r="Z128" s="277" t="s">
        <x:v>118</x:v>
      </x:c>
      <x:c r="AA128" s="277" t="s">
        <x:v>118</x:v>
      </x:c>
      <x:c r="AB128" s="277" t="s">
        <x:v>118</x:v>
      </x:c>
      <x:c r="AC128" s="277" t="s">
        <x:v>118</x:v>
      </x:c>
      <x:c r="AD128" s="277" t="s">
        <x:v>118</x:v>
      </x:c>
      <x:c r="AE128" s="277" t="s">
        <x:v>118</x:v>
      </x:c>
      <x:c r="AF128" s="277" t="s">
        <x:v>118</x:v>
      </x:c>
      <x:c r="AG128" s="277" t="s">
        <x:v>118</x:v>
      </x:c>
      <x:c r="AH128" s="277" t="s">
        <x:v>118</x:v>
      </x:c>
      <x:c r="AI128" s="277" t="s">
        <x:v>118</x:v>
      </x:c>
      <x:c r="AJ128" s="277" t="s">
        <x:v>118</x:v>
      </x:c>
      <x:c r="AK128" s="220">
        <x:f>COUNTIF(F128:AJ128,"X")</x:f>
      </x:c>
      <x:c r="AL128" s="221"/>
      <x:c r="AM128" s="221"/>
      <x:c r="AN128" s="222"/>
      <x:c r="AO128" s="222"/>
      <x:c r="AP128" s="228"/>
      <x:c r="AQ128" s="228"/>
      <x:c r="AR128" s="228"/>
      <x:c r="AS128" s="228"/>
      <x:c r="AT128" s="230"/>
    </x:row>
    <x:row r="129" spans="1:47" ht="19.9" customHeight="1">
      <x:c r="A129" s="274" t="s">
        <x:v>1246</x:v>
      </x:c>
      <x:c r="B129" s="216"/>
      <x:c r="C129" s="275" t="s">
        <x:v>1247</x:v>
      </x:c>
      <x:c r="D129" s="274" t="s">
        <x:v>1248</x:v>
      </x:c>
      <x:c r="E129" s="276" t="s">
        <x:v>1249</x:v>
      </x:c>
      <x:c r="F129" s="277" t="s">
        <x:v>118</x:v>
      </x:c>
      <x:c r="G129" s="277" t="s">
        <x:v>118</x:v>
      </x:c>
      <x:c r="H129" s="277" t="s">
        <x:v>118</x:v>
      </x:c>
      <x:c r="I129" s="277" t="s">
        <x:v>118</x:v>
      </x:c>
      <x:c r="J129" s="277" t="s">
        <x:v>118</x:v>
      </x:c>
      <x:c r="K129" s="277" t="s">
        <x:v>118</x:v>
      </x:c>
      <x:c r="L129" s="277" t="s">
        <x:v>118</x:v>
      </x:c>
      <x:c r="M129" s="277" t="s">
        <x:v>118</x:v>
      </x:c>
      <x:c r="N129" s="277" t="s">
        <x:v>118</x:v>
      </x:c>
      <x:c r="O129" s="277" t="s">
        <x:v>118</x:v>
      </x:c>
      <x:c r="P129" s="277" t="s">
        <x:v>118</x:v>
      </x:c>
      <x:c r="Q129" s="277" t="s">
        <x:v>118</x:v>
      </x:c>
      <x:c r="R129" s="277" t="s">
        <x:v>118</x:v>
      </x:c>
      <x:c r="S129" s="277" t="s">
        <x:v>118</x:v>
      </x:c>
      <x:c r="T129" s="277" t="s">
        <x:v>118</x:v>
      </x:c>
      <x:c r="U129" s="277" t="s">
        <x:v>118</x:v>
      </x:c>
      <x:c r="V129" s="277" t="s">
        <x:v>118</x:v>
      </x:c>
      <x:c r="W129" s="277" t="s">
        <x:v>118</x:v>
      </x:c>
      <x:c r="X129" s="277" t="s">
        <x:v>118</x:v>
      </x:c>
      <x:c r="Y129" s="277" t="s">
        <x:v>118</x:v>
      </x:c>
      <x:c r="Z129" s="277" t="s">
        <x:v>118</x:v>
      </x:c>
      <x:c r="AA129" s="277" t="s">
        <x:v>118</x:v>
      </x:c>
      <x:c r="AB129" s="277" t="s">
        <x:v>118</x:v>
      </x:c>
      <x:c r="AC129" s="277" t="s">
        <x:v>118</x:v>
      </x:c>
      <x:c r="AD129" s="277" t="s">
        <x:v>118</x:v>
      </x:c>
      <x:c r="AE129" s="277" t="s">
        <x:v>118</x:v>
      </x:c>
      <x:c r="AF129" s="277" t="s">
        <x:v>118</x:v>
      </x:c>
      <x:c r="AG129" s="277" t="s">
        <x:v>118</x:v>
      </x:c>
      <x:c r="AH129" s="277" t="s">
        <x:v>118</x:v>
      </x:c>
      <x:c r="AI129" s="277" t="s">
        <x:v>118</x:v>
      </x:c>
      <x:c r="AJ129" s="277" t="s">
        <x:v>118</x:v>
      </x:c>
      <x:c r="AK129" s="220">
        <x:f>COUNTIF(F129:AJ129,"X")</x:f>
      </x:c>
      <x:c r="AL129" s="221"/>
      <x:c r="AM129" s="221"/>
      <x:c r="AN129" s="222"/>
      <x:c r="AO129" s="222"/>
      <x:c r="AP129" s="228"/>
      <x:c r="AQ129" s="228"/>
      <x:c r="AR129" s="228"/>
      <x:c r="AS129" s="228"/>
      <x:c r="AT129" s="230"/>
    </x:row>
    <x:row r="130" spans="1:47" ht="19.9" customHeight="1">
      <x:c r="A130" s="274" t="s">
        <x:v>1250</x:v>
      </x:c>
      <x:c r="B130" s="216"/>
      <x:c r="C130" s="275" t="s">
        <x:v>1251</x:v>
      </x:c>
      <x:c r="D130" s="274" t="s">
        <x:v>1252</x:v>
      </x:c>
      <x:c r="E130" s="276" t="s">
        <x:v>1253</x:v>
      </x:c>
      <x:c r="F130" s="277" t="s">
        <x:v>118</x:v>
      </x:c>
      <x:c r="G130" s="277" t="s">
        <x:v>118</x:v>
      </x:c>
      <x:c r="H130" s="277" t="s">
        <x:v>118</x:v>
      </x:c>
      <x:c r="I130" s="277" t="s">
        <x:v>118</x:v>
      </x:c>
      <x:c r="J130" s="277" t="s">
        <x:v>118</x:v>
      </x:c>
      <x:c r="K130" s="277" t="s">
        <x:v>118</x:v>
      </x:c>
      <x:c r="L130" s="277" t="s">
        <x:v>118</x:v>
      </x:c>
      <x:c r="M130" s="277" t="s">
        <x:v>118</x:v>
      </x:c>
      <x:c r="N130" s="277" t="s">
        <x:v>118</x:v>
      </x:c>
      <x:c r="O130" s="277" t="s">
        <x:v>118</x:v>
      </x:c>
      <x:c r="P130" s="277" t="s">
        <x:v>118</x:v>
      </x:c>
      <x:c r="Q130" s="277" t="s">
        <x:v>118</x:v>
      </x:c>
      <x:c r="R130" s="277" t="s">
        <x:v>118</x:v>
      </x:c>
      <x:c r="S130" s="277" t="s">
        <x:v>118</x:v>
      </x:c>
      <x:c r="T130" s="277" t="s">
        <x:v>118</x:v>
      </x:c>
      <x:c r="U130" s="277" t="s">
        <x:v>118</x:v>
      </x:c>
      <x:c r="V130" s="277" t="s">
        <x:v>118</x:v>
      </x:c>
      <x:c r="W130" s="277" t="s">
        <x:v>118</x:v>
      </x:c>
      <x:c r="X130" s="277" t="s">
        <x:v>118</x:v>
      </x:c>
      <x:c r="Y130" s="277" t="s">
        <x:v>118</x:v>
      </x:c>
      <x:c r="Z130" s="277" t="s">
        <x:v>118</x:v>
      </x:c>
      <x:c r="AA130" s="277" t="s">
        <x:v>118</x:v>
      </x:c>
      <x:c r="AB130" s="277" t="s">
        <x:v>118</x:v>
      </x:c>
      <x:c r="AC130" s="277" t="s">
        <x:v>118</x:v>
      </x:c>
      <x:c r="AD130" s="277" t="s">
        <x:v>118</x:v>
      </x:c>
      <x:c r="AE130" s="277" t="s">
        <x:v>118</x:v>
      </x:c>
      <x:c r="AF130" s="277" t="s">
        <x:v>118</x:v>
      </x:c>
      <x:c r="AG130" s="277" t="s">
        <x:v>118</x:v>
      </x:c>
      <x:c r="AH130" s="277" t="s">
        <x:v>118</x:v>
      </x:c>
      <x:c r="AI130" s="277" t="s">
        <x:v>118</x:v>
      </x:c>
      <x:c r="AJ130" s="277" t="s">
        <x:v>118</x:v>
      </x:c>
      <x:c r="AK130" s="220">
        <x:f>COUNTIF(F130:AJ130,"X")</x:f>
      </x:c>
      <x:c r="AL130" s="221"/>
      <x:c r="AM130" s="221"/>
      <x:c r="AN130" s="222"/>
      <x:c r="AO130" s="222"/>
      <x:c r="AP130" s="228"/>
      <x:c r="AQ130" s="228"/>
      <x:c r="AR130" s="228"/>
      <x:c r="AS130" s="228"/>
      <x:c r="AT130" s="230"/>
    </x:row>
    <x:row r="131" spans="1:47" ht="19.9" customHeight="1">
      <x:c r="A131" s="274" t="s">
        <x:v>1254</x:v>
      </x:c>
      <x:c r="B131" s="216"/>
      <x:c r="C131" s="275" t="s">
        <x:v>1255</x:v>
      </x:c>
      <x:c r="D131" s="274" t="s">
        <x:v>777</x:v>
      </x:c>
      <x:c r="E131" s="276" t="s">
        <x:v>1256</x:v>
      </x:c>
      <x:c r="F131" s="277" t="s">
        <x:v>118</x:v>
      </x:c>
      <x:c r="G131" s="277" t="s">
        <x:v>118</x:v>
      </x:c>
      <x:c r="H131" s="277" t="s">
        <x:v>118</x:v>
      </x:c>
      <x:c r="I131" s="277" t="s">
        <x:v>118</x:v>
      </x:c>
      <x:c r="J131" s="277" t="s">
        <x:v>118</x:v>
      </x:c>
      <x:c r="K131" s="277" t="s">
        <x:v>118</x:v>
      </x:c>
      <x:c r="L131" s="277" t="s">
        <x:v>118</x:v>
      </x:c>
      <x:c r="M131" s="277" t="s">
        <x:v>118</x:v>
      </x:c>
      <x:c r="N131" s="277" t="s">
        <x:v>118</x:v>
      </x:c>
      <x:c r="O131" s="277" t="s">
        <x:v>118</x:v>
      </x:c>
      <x:c r="P131" s="277" t="s">
        <x:v>118</x:v>
      </x:c>
      <x:c r="Q131" s="277" t="s">
        <x:v>118</x:v>
      </x:c>
      <x:c r="R131" s="277" t="s">
        <x:v>118</x:v>
      </x:c>
      <x:c r="S131" s="277" t="s">
        <x:v>118</x:v>
      </x:c>
      <x:c r="T131" s="277" t="s">
        <x:v>118</x:v>
      </x:c>
      <x:c r="U131" s="277" t="s">
        <x:v>118</x:v>
      </x:c>
      <x:c r="V131" s="277" t="s">
        <x:v>118</x:v>
      </x:c>
      <x:c r="W131" s="277" t="s">
        <x:v>118</x:v>
      </x:c>
      <x:c r="X131" s="277" t="s">
        <x:v>118</x:v>
      </x:c>
      <x:c r="Y131" s="277" t="s">
        <x:v>118</x:v>
      </x:c>
      <x:c r="Z131" s="277" t="s">
        <x:v>118</x:v>
      </x:c>
      <x:c r="AA131" s="277" t="s">
        <x:v>118</x:v>
      </x:c>
      <x:c r="AB131" s="277" t="s">
        <x:v>118</x:v>
      </x:c>
      <x:c r="AC131" s="277" t="s">
        <x:v>118</x:v>
      </x:c>
      <x:c r="AD131" s="277" t="s">
        <x:v>118</x:v>
      </x:c>
      <x:c r="AE131" s="277" t="s">
        <x:v>118</x:v>
      </x:c>
      <x:c r="AF131" s="277" t="s">
        <x:v>118</x:v>
      </x:c>
      <x:c r="AG131" s="277" t="s">
        <x:v>118</x:v>
      </x:c>
      <x:c r="AH131" s="277" t="s">
        <x:v>118</x:v>
      </x:c>
      <x:c r="AI131" s="277" t="s">
        <x:v>118</x:v>
      </x:c>
      <x:c r="AJ131" s="277" t="s">
        <x:v>118</x:v>
      </x:c>
      <x:c r="AK131" s="220">
        <x:f>COUNTIF(F131:AJ131,"X")</x:f>
      </x:c>
      <x:c r="AL131" s="221"/>
      <x:c r="AM131" s="221"/>
      <x:c r="AN131" s="222"/>
      <x:c r="AO131" s="222"/>
      <x:c r="AP131" s="228"/>
      <x:c r="AQ131" s="228"/>
      <x:c r="AR131" s="228"/>
      <x:c r="AS131" s="228"/>
      <x:c r="AT131" s="230"/>
    </x:row>
    <x:row r="132" spans="1:47" ht="19.9" customHeight="1">
      <x:c r="A132" s="274" t="s">
        <x:v>1257</x:v>
      </x:c>
      <x:c r="B132" s="216"/>
      <x:c r="C132" s="275" t="s">
        <x:v>1258</x:v>
      </x:c>
      <x:c r="D132" s="274" t="s">
        <x:v>459</x:v>
      </x:c>
      <x:c r="E132" s="276" t="s">
        <x:v>1259</x:v>
      </x:c>
      <x:c r="F132" s="277" t="s">
        <x:v>118</x:v>
      </x:c>
      <x:c r="G132" s="277" t="s">
        <x:v>118</x:v>
      </x:c>
      <x:c r="H132" s="277" t="s">
        <x:v>118</x:v>
      </x:c>
      <x:c r="I132" s="277" t="s">
        <x:v>118</x:v>
      </x:c>
      <x:c r="J132" s="277" t="s">
        <x:v>118</x:v>
      </x:c>
      <x:c r="K132" s="277" t="s">
        <x:v>118</x:v>
      </x:c>
      <x:c r="L132" s="277" t="s">
        <x:v>118</x:v>
      </x:c>
      <x:c r="M132" s="277" t="s">
        <x:v>118</x:v>
      </x:c>
      <x:c r="N132" s="277" t="s">
        <x:v>118</x:v>
      </x:c>
      <x:c r="O132" s="277" t="s">
        <x:v>118</x:v>
      </x:c>
      <x:c r="P132" s="277" t="s">
        <x:v>118</x:v>
      </x:c>
      <x:c r="Q132" s="277" t="s">
        <x:v>118</x:v>
      </x:c>
      <x:c r="R132" s="277" t="s">
        <x:v>118</x:v>
      </x:c>
      <x:c r="S132" s="277" t="s">
        <x:v>118</x:v>
      </x:c>
      <x:c r="T132" s="277" t="s">
        <x:v>118</x:v>
      </x:c>
      <x:c r="U132" s="277" t="s">
        <x:v>118</x:v>
      </x:c>
      <x:c r="V132" s="277" t="s">
        <x:v>118</x:v>
      </x:c>
      <x:c r="W132" s="277" t="s">
        <x:v>118</x:v>
      </x:c>
      <x:c r="X132" s="277" t="s">
        <x:v>118</x:v>
      </x:c>
      <x:c r="Y132" s="277" t="s">
        <x:v>118</x:v>
      </x:c>
      <x:c r="Z132" s="277" t="s">
        <x:v>118</x:v>
      </x:c>
      <x:c r="AA132" s="277" t="s">
        <x:v>118</x:v>
      </x:c>
      <x:c r="AB132" s="277" t="s">
        <x:v>118</x:v>
      </x:c>
      <x:c r="AC132" s="277" t="s">
        <x:v>118</x:v>
      </x:c>
      <x:c r="AD132" s="277" t="s">
        <x:v>118</x:v>
      </x:c>
      <x:c r="AE132" s="277" t="s">
        <x:v>118</x:v>
      </x:c>
      <x:c r="AF132" s="277" t="s">
        <x:v>118</x:v>
      </x:c>
      <x:c r="AG132" s="277" t="s">
        <x:v>118</x:v>
      </x:c>
      <x:c r="AH132" s="277" t="s">
        <x:v>118</x:v>
      </x:c>
      <x:c r="AI132" s="277" t="s">
        <x:v>118</x:v>
      </x:c>
      <x:c r="AJ132" s="277" t="s">
        <x:v>118</x:v>
      </x:c>
      <x:c r="AK132" s="220">
        <x:f>COUNTIF(F132:AJ132,"X")</x:f>
      </x:c>
      <x:c r="AL132" s="221"/>
      <x:c r="AM132" s="221"/>
      <x:c r="AN132" s="222"/>
      <x:c r="AO132" s="222"/>
      <x:c r="AP132" s="228"/>
      <x:c r="AQ132" s="228"/>
      <x:c r="AR132" s="228"/>
      <x:c r="AS132" s="228"/>
      <x:c r="AT132" s="230"/>
    </x:row>
    <x:row r="133" spans="1:47" ht="19.9" customHeight="1">
      <x:c r="A133" s="274" t="s">
        <x:v>1260</x:v>
      </x:c>
      <x:c r="B133" s="216"/>
      <x:c r="C133" s="275" t="s">
        <x:v>1261</x:v>
      </x:c>
      <x:c r="D133" s="274" t="s">
        <x:v>1262</x:v>
      </x:c>
      <x:c r="E133" s="276" t="s">
        <x:v>1263</x:v>
      </x:c>
      <x:c r="F133" s="277" t="s">
        <x:v>118</x:v>
      </x:c>
      <x:c r="G133" s="277" t="s">
        <x:v>118</x:v>
      </x:c>
      <x:c r="H133" s="277" t="s">
        <x:v>118</x:v>
      </x:c>
      <x:c r="I133" s="277" t="s">
        <x:v>118</x:v>
      </x:c>
      <x:c r="J133" s="277" t="s">
        <x:v>118</x:v>
      </x:c>
      <x:c r="K133" s="277" t="s">
        <x:v>118</x:v>
      </x:c>
      <x:c r="L133" s="277" t="s">
        <x:v>118</x:v>
      </x:c>
      <x:c r="M133" s="277" t="s">
        <x:v>118</x:v>
      </x:c>
      <x:c r="N133" s="277" t="s">
        <x:v>118</x:v>
      </x:c>
      <x:c r="O133" s="277" t="s">
        <x:v>118</x:v>
      </x:c>
      <x:c r="P133" s="277" t="s">
        <x:v>118</x:v>
      </x:c>
      <x:c r="Q133" s="277" t="s">
        <x:v>118</x:v>
      </x:c>
      <x:c r="R133" s="277" t="s">
        <x:v>118</x:v>
      </x:c>
      <x:c r="S133" s="277" t="s">
        <x:v>118</x:v>
      </x:c>
      <x:c r="T133" s="277" t="s">
        <x:v>118</x:v>
      </x:c>
      <x:c r="U133" s="277" t="s">
        <x:v>118</x:v>
      </x:c>
      <x:c r="V133" s="277" t="s">
        <x:v>118</x:v>
      </x:c>
      <x:c r="W133" s="277" t="s">
        <x:v>118</x:v>
      </x:c>
      <x:c r="X133" s="277" t="s">
        <x:v>118</x:v>
      </x:c>
      <x:c r="Y133" s="277" t="s">
        <x:v>118</x:v>
      </x:c>
      <x:c r="Z133" s="277" t="s">
        <x:v>118</x:v>
      </x:c>
      <x:c r="AA133" s="277" t="s">
        <x:v>118</x:v>
      </x:c>
      <x:c r="AB133" s="277" t="s">
        <x:v>118</x:v>
      </x:c>
      <x:c r="AC133" s="277" t="s">
        <x:v>118</x:v>
      </x:c>
      <x:c r="AD133" s="277" t="s">
        <x:v>118</x:v>
      </x:c>
      <x:c r="AE133" s="277" t="s">
        <x:v>118</x:v>
      </x:c>
      <x:c r="AF133" s="277" t="s">
        <x:v>118</x:v>
      </x:c>
      <x:c r="AG133" s="277" t="s">
        <x:v>118</x:v>
      </x:c>
      <x:c r="AH133" s="277" t="s">
        <x:v>118</x:v>
      </x:c>
      <x:c r="AI133" s="277" t="s">
        <x:v>118</x:v>
      </x:c>
      <x:c r="AJ133" s="277" t="s">
        <x:v>118</x:v>
      </x:c>
      <x:c r="AK133" s="220">
        <x:f>COUNTIF(F133:AJ133,"X")</x:f>
      </x:c>
      <x:c r="AL133" s="221"/>
      <x:c r="AM133" s="221"/>
      <x:c r="AN133" s="222"/>
      <x:c r="AO133" s="222"/>
      <x:c r="AP133" s="228"/>
      <x:c r="AQ133" s="228"/>
      <x:c r="AR133" s="228"/>
      <x:c r="AS133" s="228"/>
      <x:c r="AT133" s="230"/>
    </x:row>
    <x:row r="134" spans="1:47" ht="19.9" customHeight="1">
      <x:c r="A134" s="274" t="s">
        <x:v>1264</x:v>
      </x:c>
      <x:c r="B134" s="216"/>
      <x:c r="C134" s="275" t="s">
        <x:v>1265</x:v>
      </x:c>
      <x:c r="D134" s="274" t="s">
        <x:v>1266</x:v>
      </x:c>
      <x:c r="E134" s="276" t="s">
        <x:v>1267</x:v>
      </x:c>
      <x:c r="F134" s="277" t="s">
        <x:v>118</x:v>
      </x:c>
      <x:c r="G134" s="277" t="s">
        <x:v>118</x:v>
      </x:c>
      <x:c r="H134" s="277" t="s">
        <x:v>118</x:v>
      </x:c>
      <x:c r="I134" s="277" t="s">
        <x:v>118</x:v>
      </x:c>
      <x:c r="J134" s="277" t="s">
        <x:v>118</x:v>
      </x:c>
      <x:c r="K134" s="277" t="s">
        <x:v>118</x:v>
      </x:c>
      <x:c r="L134" s="277" t="s">
        <x:v>118</x:v>
      </x:c>
      <x:c r="M134" s="277" t="s">
        <x:v>118</x:v>
      </x:c>
      <x:c r="N134" s="277" t="s">
        <x:v>118</x:v>
      </x:c>
      <x:c r="O134" s="277" t="s">
        <x:v>118</x:v>
      </x:c>
      <x:c r="P134" s="277" t="s">
        <x:v>118</x:v>
      </x:c>
      <x:c r="Q134" s="277" t="s">
        <x:v>118</x:v>
      </x:c>
      <x:c r="R134" s="277" t="s">
        <x:v>118</x:v>
      </x:c>
      <x:c r="S134" s="277" t="s">
        <x:v>118</x:v>
      </x:c>
      <x:c r="T134" s="277" t="s">
        <x:v>118</x:v>
      </x:c>
      <x:c r="U134" s="277" t="s">
        <x:v>118</x:v>
      </x:c>
      <x:c r="V134" s="277" t="s">
        <x:v>118</x:v>
      </x:c>
      <x:c r="W134" s="277" t="s">
        <x:v>118</x:v>
      </x:c>
      <x:c r="X134" s="277" t="s">
        <x:v>118</x:v>
      </x:c>
      <x:c r="Y134" s="277" t="s">
        <x:v>118</x:v>
      </x:c>
      <x:c r="Z134" s="277" t="s">
        <x:v>118</x:v>
      </x:c>
      <x:c r="AA134" s="277" t="s">
        <x:v>118</x:v>
      </x:c>
      <x:c r="AB134" s="277" t="s">
        <x:v>118</x:v>
      </x:c>
      <x:c r="AC134" s="277" t="s">
        <x:v>118</x:v>
      </x:c>
      <x:c r="AD134" s="277" t="s">
        <x:v>118</x:v>
      </x:c>
      <x:c r="AE134" s="277" t="s">
        <x:v>118</x:v>
      </x:c>
      <x:c r="AF134" s="277" t="s">
        <x:v>118</x:v>
      </x:c>
      <x:c r="AG134" s="277" t="s">
        <x:v>118</x:v>
      </x:c>
      <x:c r="AH134" s="277" t="s">
        <x:v>118</x:v>
      </x:c>
      <x:c r="AI134" s="277" t="s">
        <x:v>118</x:v>
      </x:c>
      <x:c r="AJ134" s="277" t="s">
        <x:v>118</x:v>
      </x:c>
      <x:c r="AK134" s="220">
        <x:f>COUNTIF(F134:AJ134,"X")</x:f>
      </x:c>
      <x:c r="AL134" s="221"/>
      <x:c r="AM134" s="221"/>
      <x:c r="AN134" s="222"/>
      <x:c r="AO134" s="222"/>
      <x:c r="AP134" s="228"/>
      <x:c r="AQ134" s="228"/>
      <x:c r="AR134" s="228"/>
      <x:c r="AS134" s="228"/>
      <x:c r="AT134" s="230"/>
    </x:row>
    <x:row r="135" spans="1:47" ht="19.9" customHeight="1">
      <x:c r="A135" s="274" t="s">
        <x:v>1268</x:v>
      </x:c>
      <x:c r="B135" s="216"/>
      <x:c r="C135" s="275" t="s">
        <x:v>1269</x:v>
      </x:c>
      <x:c r="D135" s="274" t="s">
        <x:v>1270</x:v>
      </x:c>
      <x:c r="E135" s="276" t="s">
        <x:v>1271</x:v>
      </x:c>
      <x:c r="F135" s="277" t="s">
        <x:v>118</x:v>
      </x:c>
      <x:c r="G135" s="277" t="s">
        <x:v>118</x:v>
      </x:c>
      <x:c r="H135" s="277" t="s">
        <x:v>118</x:v>
      </x:c>
      <x:c r="I135" s="277" t="s">
        <x:v>118</x:v>
      </x:c>
      <x:c r="J135" s="277" t="s">
        <x:v>118</x:v>
      </x:c>
      <x:c r="K135" s="277" t="s">
        <x:v>118</x:v>
      </x:c>
      <x:c r="L135" s="277" t="s">
        <x:v>118</x:v>
      </x:c>
      <x:c r="M135" s="277" t="s">
        <x:v>118</x:v>
      </x:c>
      <x:c r="N135" s="277" t="s">
        <x:v>118</x:v>
      </x:c>
      <x:c r="O135" s="277" t="s">
        <x:v>118</x:v>
      </x:c>
      <x:c r="P135" s="277" t="s">
        <x:v>118</x:v>
      </x:c>
      <x:c r="Q135" s="277" t="s">
        <x:v>118</x:v>
      </x:c>
      <x:c r="R135" s="277" t="s">
        <x:v>118</x:v>
      </x:c>
      <x:c r="S135" s="277" t="s">
        <x:v>118</x:v>
      </x:c>
      <x:c r="T135" s="277" t="s">
        <x:v>118</x:v>
      </x:c>
      <x:c r="U135" s="277" t="s">
        <x:v>118</x:v>
      </x:c>
      <x:c r="V135" s="277" t="s">
        <x:v>118</x:v>
      </x:c>
      <x:c r="W135" s="277" t="s">
        <x:v>118</x:v>
      </x:c>
      <x:c r="X135" s="277" t="s">
        <x:v>118</x:v>
      </x:c>
      <x:c r="Y135" s="277" t="s">
        <x:v>118</x:v>
      </x:c>
      <x:c r="Z135" s="277" t="s">
        <x:v>118</x:v>
      </x:c>
      <x:c r="AA135" s="277" t="s">
        <x:v>118</x:v>
      </x:c>
      <x:c r="AB135" s="277" t="s">
        <x:v>118</x:v>
      </x:c>
      <x:c r="AC135" s="277" t="s">
        <x:v>118</x:v>
      </x:c>
      <x:c r="AD135" s="277" t="s">
        <x:v>118</x:v>
      </x:c>
      <x:c r="AE135" s="277" t="s">
        <x:v>118</x:v>
      </x:c>
      <x:c r="AF135" s="277" t="s">
        <x:v>118</x:v>
      </x:c>
      <x:c r="AG135" s="277" t="s">
        <x:v>118</x:v>
      </x:c>
      <x:c r="AH135" s="277" t="s">
        <x:v>118</x:v>
      </x:c>
      <x:c r="AI135" s="277" t="s">
        <x:v>118</x:v>
      </x:c>
      <x:c r="AJ135" s="277" t="s">
        <x:v>118</x:v>
      </x:c>
      <x:c r="AK135" s="220">
        <x:f>COUNTIF(F135:AJ135,"X")</x:f>
      </x:c>
      <x:c r="AL135" s="221"/>
      <x:c r="AM135" s="221"/>
      <x:c r="AN135" s="222"/>
      <x:c r="AO135" s="222"/>
      <x:c r="AP135" s="228"/>
      <x:c r="AQ135" s="228"/>
      <x:c r="AR135" s="228"/>
      <x:c r="AS135" s="228"/>
      <x:c r="AT135" s="230"/>
    </x:row>
    <x:row r="136" spans="1:47" ht="19.9" customHeight="1">
      <x:c r="A136" s="274" t="s">
        <x:v>1272</x:v>
      </x:c>
      <x:c r="B136" s="216"/>
      <x:c r="C136" s="275" t="s">
        <x:v>1273</x:v>
      </x:c>
      <x:c r="D136" s="274" t="s">
        <x:v>1274</x:v>
      </x:c>
      <x:c r="E136" s="276" t="s">
        <x:v>1275</x:v>
      </x:c>
      <x:c r="F136" s="277" t="s">
        <x:v>118</x:v>
      </x:c>
      <x:c r="G136" s="277" t="s">
        <x:v>118</x:v>
      </x:c>
      <x:c r="H136" s="277" t="s">
        <x:v>118</x:v>
      </x:c>
      <x:c r="I136" s="277" t="s">
        <x:v>118</x:v>
      </x:c>
      <x:c r="J136" s="277" t="s">
        <x:v>118</x:v>
      </x:c>
      <x:c r="K136" s="277" t="s">
        <x:v>118</x:v>
      </x:c>
      <x:c r="L136" s="277" t="s">
        <x:v>118</x:v>
      </x:c>
      <x:c r="M136" s="277" t="s">
        <x:v>118</x:v>
      </x:c>
      <x:c r="N136" s="277" t="s">
        <x:v>118</x:v>
      </x:c>
      <x:c r="O136" s="277" t="s">
        <x:v>118</x:v>
      </x:c>
      <x:c r="P136" s="277" t="s">
        <x:v>118</x:v>
      </x:c>
      <x:c r="Q136" s="277" t="s">
        <x:v>118</x:v>
      </x:c>
      <x:c r="R136" s="277" t="s">
        <x:v>118</x:v>
      </x:c>
      <x:c r="S136" s="277" t="s">
        <x:v>118</x:v>
      </x:c>
      <x:c r="T136" s="277" t="s">
        <x:v>118</x:v>
      </x:c>
      <x:c r="U136" s="277" t="s">
        <x:v>118</x:v>
      </x:c>
      <x:c r="V136" s="277" t="s">
        <x:v>118</x:v>
      </x:c>
      <x:c r="W136" s="277" t="s">
        <x:v>118</x:v>
      </x:c>
      <x:c r="X136" s="277" t="s">
        <x:v>118</x:v>
      </x:c>
      <x:c r="Y136" s="277" t="s">
        <x:v>118</x:v>
      </x:c>
      <x:c r="Z136" s="277" t="s">
        <x:v>118</x:v>
      </x:c>
      <x:c r="AA136" s="277" t="s">
        <x:v>118</x:v>
      </x:c>
      <x:c r="AB136" s="277" t="s">
        <x:v>118</x:v>
      </x:c>
      <x:c r="AC136" s="277" t="s">
        <x:v>118</x:v>
      </x:c>
      <x:c r="AD136" s="277" t="s">
        <x:v>118</x:v>
      </x:c>
      <x:c r="AE136" s="277" t="s">
        <x:v>118</x:v>
      </x:c>
      <x:c r="AF136" s="277" t="s">
        <x:v>118</x:v>
      </x:c>
      <x:c r="AG136" s="277" t="s">
        <x:v>118</x:v>
      </x:c>
      <x:c r="AH136" s="277" t="s">
        <x:v>118</x:v>
      </x:c>
      <x:c r="AI136" s="277" t="s">
        <x:v>118</x:v>
      </x:c>
      <x:c r="AJ136" s="277" t="s">
        <x:v>118</x:v>
      </x:c>
      <x:c r="AK136" s="220">
        <x:f>COUNTIF(F136:AJ136,"X")</x:f>
      </x:c>
      <x:c r="AL136" s="221"/>
      <x:c r="AM136" s="221"/>
      <x:c r="AN136" s="222"/>
      <x:c r="AO136" s="222"/>
      <x:c r="AP136" s="228"/>
      <x:c r="AQ136" s="228"/>
      <x:c r="AR136" s="228"/>
      <x:c r="AS136" s="228"/>
      <x:c r="AT136" s="230"/>
    </x:row>
    <x:row r="137" spans="1:47" ht="19.9" customHeight="1">
      <x:c r="A137" s="274" t="s">
        <x:v>1276</x:v>
      </x:c>
      <x:c r="B137" s="216"/>
      <x:c r="C137" s="275" t="s">
        <x:v>1277</x:v>
      </x:c>
      <x:c r="D137" s="274" t="s">
        <x:v>477</x:v>
      </x:c>
      <x:c r="E137" s="276" t="s">
        <x:v>1278</x:v>
      </x:c>
      <x:c r="F137" s="277" t="s">
        <x:v>118</x:v>
      </x:c>
      <x:c r="G137" s="277" t="s">
        <x:v>118</x:v>
      </x:c>
      <x:c r="H137" s="277" t="s">
        <x:v>118</x:v>
      </x:c>
      <x:c r="I137" s="277" t="s">
        <x:v>118</x:v>
      </x:c>
      <x:c r="J137" s="277" t="s">
        <x:v>118</x:v>
      </x:c>
      <x:c r="K137" s="277" t="s">
        <x:v>118</x:v>
      </x:c>
      <x:c r="L137" s="277" t="s">
        <x:v>118</x:v>
      </x:c>
      <x:c r="M137" s="277" t="s">
        <x:v>118</x:v>
      </x:c>
      <x:c r="N137" s="277" t="s">
        <x:v>118</x:v>
      </x:c>
      <x:c r="O137" s="277" t="s">
        <x:v>118</x:v>
      </x:c>
      <x:c r="P137" s="277" t="s">
        <x:v>118</x:v>
      </x:c>
      <x:c r="Q137" s="277" t="s">
        <x:v>118</x:v>
      </x:c>
      <x:c r="R137" s="277" t="s">
        <x:v>118</x:v>
      </x:c>
      <x:c r="S137" s="277" t="s">
        <x:v>118</x:v>
      </x:c>
      <x:c r="T137" s="277" t="s">
        <x:v>118</x:v>
      </x:c>
      <x:c r="U137" s="277" t="s">
        <x:v>118</x:v>
      </x:c>
      <x:c r="V137" s="277" t="s">
        <x:v>118</x:v>
      </x:c>
      <x:c r="W137" s="277" t="s">
        <x:v>118</x:v>
      </x:c>
      <x:c r="X137" s="277" t="s">
        <x:v>118</x:v>
      </x:c>
      <x:c r="Y137" s="277" t="s">
        <x:v>118</x:v>
      </x:c>
      <x:c r="Z137" s="277" t="s">
        <x:v>118</x:v>
      </x:c>
      <x:c r="AA137" s="277" t="s">
        <x:v>118</x:v>
      </x:c>
      <x:c r="AB137" s="277" t="s">
        <x:v>118</x:v>
      </x:c>
      <x:c r="AC137" s="277" t="s">
        <x:v>118</x:v>
      </x:c>
      <x:c r="AD137" s="277" t="s">
        <x:v>118</x:v>
      </x:c>
      <x:c r="AE137" s="277" t="s">
        <x:v>118</x:v>
      </x:c>
      <x:c r="AF137" s="277" t="s">
        <x:v>118</x:v>
      </x:c>
      <x:c r="AG137" s="277" t="s">
        <x:v>118</x:v>
      </x:c>
      <x:c r="AH137" s="277" t="s">
        <x:v>118</x:v>
      </x:c>
      <x:c r="AI137" s="277" t="s">
        <x:v>118</x:v>
      </x:c>
      <x:c r="AJ137" s="277" t="s">
        <x:v>118</x:v>
      </x:c>
      <x:c r="AK137" s="220">
        <x:f>COUNTIF(F137:AJ137,"X")</x:f>
      </x:c>
      <x:c r="AL137" s="221"/>
      <x:c r="AM137" s="221"/>
      <x:c r="AN137" s="222"/>
      <x:c r="AO137" s="222"/>
      <x:c r="AP137" s="228"/>
      <x:c r="AQ137" s="228"/>
      <x:c r="AR137" s="228"/>
      <x:c r="AS137" s="228"/>
      <x:c r="AT137" s="230"/>
    </x:row>
    <x:row r="138" spans="1:47" ht="19.9" customHeight="1">
      <x:c r="A138" s="274" t="s">
        <x:v>1279</x:v>
      </x:c>
      <x:c r="B138" s="216"/>
      <x:c r="C138" s="275" t="s">
        <x:v>1280</x:v>
      </x:c>
      <x:c r="D138" s="274" t="s">
        <x:v>1281</x:v>
      </x:c>
      <x:c r="E138" s="276" t="s">
        <x:v>1282</x:v>
      </x:c>
      <x:c r="F138" s="277" t="s">
        <x:v>118</x:v>
      </x:c>
      <x:c r="G138" s="277" t="s">
        <x:v>118</x:v>
      </x:c>
      <x:c r="H138" s="277" t="s">
        <x:v>118</x:v>
      </x:c>
      <x:c r="I138" s="277" t="s">
        <x:v>118</x:v>
      </x:c>
      <x:c r="J138" s="277" t="s">
        <x:v>118</x:v>
      </x:c>
      <x:c r="K138" s="277" t="s">
        <x:v>118</x:v>
      </x:c>
      <x:c r="L138" s="277" t="s">
        <x:v>118</x:v>
      </x:c>
      <x:c r="M138" s="277" t="s">
        <x:v>118</x:v>
      </x:c>
      <x:c r="N138" s="277" t="s">
        <x:v>118</x:v>
      </x:c>
      <x:c r="O138" s="277" t="s">
        <x:v>118</x:v>
      </x:c>
      <x:c r="P138" s="277" t="s">
        <x:v>118</x:v>
      </x:c>
      <x:c r="Q138" s="277" t="s">
        <x:v>118</x:v>
      </x:c>
      <x:c r="R138" s="277" t="s">
        <x:v>118</x:v>
      </x:c>
      <x:c r="S138" s="277" t="s">
        <x:v>118</x:v>
      </x:c>
      <x:c r="T138" s="277" t="s">
        <x:v>118</x:v>
      </x:c>
      <x:c r="U138" s="277" t="s">
        <x:v>118</x:v>
      </x:c>
      <x:c r="V138" s="277" t="s">
        <x:v>118</x:v>
      </x:c>
      <x:c r="W138" s="277" t="s">
        <x:v>118</x:v>
      </x:c>
      <x:c r="X138" s="277" t="s">
        <x:v>118</x:v>
      </x:c>
      <x:c r="Y138" s="277" t="s">
        <x:v>118</x:v>
      </x:c>
      <x:c r="Z138" s="277" t="s">
        <x:v>118</x:v>
      </x:c>
      <x:c r="AA138" s="277" t="s">
        <x:v>118</x:v>
      </x:c>
      <x:c r="AB138" s="277" t="s">
        <x:v>118</x:v>
      </x:c>
      <x:c r="AC138" s="277" t="s">
        <x:v>118</x:v>
      </x:c>
      <x:c r="AD138" s="277" t="s">
        <x:v>118</x:v>
      </x:c>
      <x:c r="AE138" s="277" t="s">
        <x:v>118</x:v>
      </x:c>
      <x:c r="AF138" s="277" t="s">
        <x:v>118</x:v>
      </x:c>
      <x:c r="AG138" s="277" t="s">
        <x:v>118</x:v>
      </x:c>
      <x:c r="AH138" s="277" t="s">
        <x:v>118</x:v>
      </x:c>
      <x:c r="AI138" s="277" t="s">
        <x:v>118</x:v>
      </x:c>
      <x:c r="AJ138" s="277" t="s">
        <x:v>118</x:v>
      </x:c>
      <x:c r="AK138" s="220">
        <x:f>COUNTIF(F138:AJ138,"X")</x:f>
      </x:c>
      <x:c r="AL138" s="221"/>
      <x:c r="AM138" s="221"/>
      <x:c r="AN138" s="222"/>
      <x:c r="AO138" s="222"/>
      <x:c r="AP138" s="228"/>
      <x:c r="AQ138" s="228"/>
      <x:c r="AR138" s="228"/>
      <x:c r="AS138" s="228"/>
      <x:c r="AT138" s="230"/>
    </x:row>
    <x:row r="139" spans="1:47" ht="19.9" customHeight="1">
      <x:c r="A139" s="274" t="s">
        <x:v>1283</x:v>
      </x:c>
      <x:c r="B139" s="216"/>
      <x:c r="C139" s="275" t="s">
        <x:v>1284</x:v>
      </x:c>
      <x:c r="D139" s="274" t="s">
        <x:v>1285</x:v>
      </x:c>
      <x:c r="E139" s="276" t="s">
        <x:v>1286</x:v>
      </x:c>
      <x:c r="F139" s="277" t="s">
        <x:v>118</x:v>
      </x:c>
      <x:c r="G139" s="277" t="s">
        <x:v>118</x:v>
      </x:c>
      <x:c r="H139" s="277" t="s">
        <x:v>118</x:v>
      </x:c>
      <x:c r="I139" s="277" t="s">
        <x:v>118</x:v>
      </x:c>
      <x:c r="J139" s="277" t="s">
        <x:v>118</x:v>
      </x:c>
      <x:c r="K139" s="277" t="s">
        <x:v>118</x:v>
      </x:c>
      <x:c r="L139" s="277" t="s">
        <x:v>118</x:v>
      </x:c>
      <x:c r="M139" s="277" t="s">
        <x:v>118</x:v>
      </x:c>
      <x:c r="N139" s="277" t="s">
        <x:v>118</x:v>
      </x:c>
      <x:c r="O139" s="277" t="s">
        <x:v>118</x:v>
      </x:c>
      <x:c r="P139" s="277" t="s">
        <x:v>118</x:v>
      </x:c>
      <x:c r="Q139" s="277" t="s">
        <x:v>118</x:v>
      </x:c>
      <x:c r="R139" s="277" t="s">
        <x:v>118</x:v>
      </x:c>
      <x:c r="S139" s="277" t="s">
        <x:v>118</x:v>
      </x:c>
      <x:c r="T139" s="277" t="s">
        <x:v>118</x:v>
      </x:c>
      <x:c r="U139" s="277" t="s">
        <x:v>118</x:v>
      </x:c>
      <x:c r="V139" s="277" t="s">
        <x:v>118</x:v>
      </x:c>
      <x:c r="W139" s="277" t="s">
        <x:v>118</x:v>
      </x:c>
      <x:c r="X139" s="277" t="s">
        <x:v>118</x:v>
      </x:c>
      <x:c r="Y139" s="277" t="s">
        <x:v>118</x:v>
      </x:c>
      <x:c r="Z139" s="277" t="s">
        <x:v>118</x:v>
      </x:c>
      <x:c r="AA139" s="277" t="s">
        <x:v>118</x:v>
      </x:c>
      <x:c r="AB139" s="277" t="s">
        <x:v>118</x:v>
      </x:c>
      <x:c r="AC139" s="277" t="s">
        <x:v>118</x:v>
      </x:c>
      <x:c r="AD139" s="277" t="s">
        <x:v>118</x:v>
      </x:c>
      <x:c r="AE139" s="277" t="s">
        <x:v>118</x:v>
      </x:c>
      <x:c r="AF139" s="277" t="s">
        <x:v>118</x:v>
      </x:c>
      <x:c r="AG139" s="277" t="s">
        <x:v>118</x:v>
      </x:c>
      <x:c r="AH139" s="277" t="s">
        <x:v>118</x:v>
      </x:c>
      <x:c r="AI139" s="277" t="s">
        <x:v>118</x:v>
      </x:c>
      <x:c r="AJ139" s="277" t="s">
        <x:v>118</x:v>
      </x:c>
      <x:c r="AK139" s="220">
        <x:f>COUNTIF(F139:AJ139,"X")</x:f>
      </x:c>
      <x:c r="AL139" s="221"/>
      <x:c r="AM139" s="221"/>
      <x:c r="AN139" s="222"/>
      <x:c r="AO139" s="222"/>
      <x:c r="AP139" s="228"/>
      <x:c r="AQ139" s="228"/>
      <x:c r="AR139" s="228"/>
      <x:c r="AS139" s="228"/>
      <x:c r="AT139" s="233"/>
    </x:row>
    <x:row r="140" spans="1:47" ht="19.9" customHeight="1">
      <x:c r="A140" s="274" t="s">
        <x:v>1287</x:v>
      </x:c>
      <x:c r="B140" s="216"/>
      <x:c r="C140" s="275" t="s">
        <x:v>1288</x:v>
      </x:c>
      <x:c r="D140" s="274" t="s">
        <x:v>1289</x:v>
      </x:c>
      <x:c r="E140" s="276" t="s">
        <x:v>1290</x:v>
      </x:c>
      <x:c r="F140" s="277" t="s">
        <x:v>118</x:v>
      </x:c>
      <x:c r="G140" s="277" t="s">
        <x:v>118</x:v>
      </x:c>
      <x:c r="H140" s="277" t="s">
        <x:v>118</x:v>
      </x:c>
      <x:c r="I140" s="277" t="s">
        <x:v>118</x:v>
      </x:c>
      <x:c r="J140" s="277" t="s">
        <x:v>118</x:v>
      </x:c>
      <x:c r="K140" s="277" t="s">
        <x:v>118</x:v>
      </x:c>
      <x:c r="L140" s="277" t="s">
        <x:v>118</x:v>
      </x:c>
      <x:c r="M140" s="277" t="s">
        <x:v>118</x:v>
      </x:c>
      <x:c r="N140" s="277" t="s">
        <x:v>118</x:v>
      </x:c>
      <x:c r="O140" s="277" t="s">
        <x:v>118</x:v>
      </x:c>
      <x:c r="P140" s="277" t="s">
        <x:v>118</x:v>
      </x:c>
      <x:c r="Q140" s="277" t="s">
        <x:v>118</x:v>
      </x:c>
      <x:c r="R140" s="277" t="s">
        <x:v>118</x:v>
      </x:c>
      <x:c r="S140" s="277" t="s">
        <x:v>118</x:v>
      </x:c>
      <x:c r="T140" s="277" t="s">
        <x:v>118</x:v>
      </x:c>
      <x:c r="U140" s="277" t="s">
        <x:v>118</x:v>
      </x:c>
      <x:c r="V140" s="277" t="s">
        <x:v>118</x:v>
      </x:c>
      <x:c r="W140" s="277" t="s">
        <x:v>118</x:v>
      </x:c>
      <x:c r="X140" s="277" t="s">
        <x:v>118</x:v>
      </x:c>
      <x:c r="Y140" s="277" t="s">
        <x:v>118</x:v>
      </x:c>
      <x:c r="Z140" s="277" t="s">
        <x:v>118</x:v>
      </x:c>
      <x:c r="AA140" s="277" t="s">
        <x:v>118</x:v>
      </x:c>
      <x:c r="AB140" s="277" t="s">
        <x:v>118</x:v>
      </x:c>
      <x:c r="AC140" s="277" t="s">
        <x:v>118</x:v>
      </x:c>
      <x:c r="AD140" s="277" t="s">
        <x:v>118</x:v>
      </x:c>
      <x:c r="AE140" s="277" t="s">
        <x:v>118</x:v>
      </x:c>
      <x:c r="AF140" s="277" t="s">
        <x:v>118</x:v>
      </x:c>
      <x:c r="AG140" s="277" t="s">
        <x:v>118</x:v>
      </x:c>
      <x:c r="AH140" s="277" t="s">
        <x:v>118</x:v>
      </x:c>
      <x:c r="AI140" s="277" t="s">
        <x:v>118</x:v>
      </x:c>
      <x:c r="AJ140" s="277" t="s">
        <x:v>118</x:v>
      </x:c>
      <x:c r="AK140" s="220">
        <x:f>COUNTIF(F140:AJ140,"X")</x:f>
      </x:c>
      <x:c r="AL140" s="221"/>
      <x:c r="AM140" s="221"/>
      <x:c r="AN140" s="222"/>
      <x:c r="AO140" s="222"/>
      <x:c r="AP140" s="228"/>
      <x:c r="AQ140" s="228"/>
      <x:c r="AR140" s="228"/>
      <x:c r="AS140" s="228"/>
      <x:c r="AT140" s="230"/>
    </x:row>
    <x:row r="141" spans="1:47" ht="19.9" customHeight="1">
      <x:c r="A141" s="274" t="s">
        <x:v>1291</x:v>
      </x:c>
      <x:c r="B141" s="216"/>
      <x:c r="C141" s="275" t="s">
        <x:v>1292</x:v>
      </x:c>
      <x:c r="D141" s="274" t="s">
        <x:v>496</x:v>
      </x:c>
      <x:c r="E141" s="276" t="s">
        <x:v>1293</x:v>
      </x:c>
      <x:c r="F141" s="277" t="s">
        <x:v>118</x:v>
      </x:c>
      <x:c r="G141" s="277" t="s">
        <x:v>118</x:v>
      </x:c>
      <x:c r="H141" s="277" t="s">
        <x:v>118</x:v>
      </x:c>
      <x:c r="I141" s="277" t="s">
        <x:v>118</x:v>
      </x:c>
      <x:c r="J141" s="277" t="s">
        <x:v>118</x:v>
      </x:c>
      <x:c r="K141" s="277" t="s">
        <x:v>118</x:v>
      </x:c>
      <x:c r="L141" s="277" t="s">
        <x:v>118</x:v>
      </x:c>
      <x:c r="M141" s="277" t="s">
        <x:v>118</x:v>
      </x:c>
      <x:c r="N141" s="277" t="s">
        <x:v>118</x:v>
      </x:c>
      <x:c r="O141" s="277" t="s">
        <x:v>118</x:v>
      </x:c>
      <x:c r="P141" s="277" t="s">
        <x:v>118</x:v>
      </x:c>
      <x:c r="Q141" s="277" t="s">
        <x:v>118</x:v>
      </x:c>
      <x:c r="R141" s="277" t="s">
        <x:v>118</x:v>
      </x:c>
      <x:c r="S141" s="277" t="s">
        <x:v>118</x:v>
      </x:c>
      <x:c r="T141" s="277" t="s">
        <x:v>118</x:v>
      </x:c>
      <x:c r="U141" s="277" t="s">
        <x:v>118</x:v>
      </x:c>
      <x:c r="V141" s="277" t="s">
        <x:v>118</x:v>
      </x:c>
      <x:c r="W141" s="277" t="s">
        <x:v>118</x:v>
      </x:c>
      <x:c r="X141" s="277" t="s">
        <x:v>118</x:v>
      </x:c>
      <x:c r="Y141" s="277" t="s">
        <x:v>118</x:v>
      </x:c>
      <x:c r="Z141" s="277" t="s">
        <x:v>118</x:v>
      </x:c>
      <x:c r="AA141" s="277" t="s">
        <x:v>118</x:v>
      </x:c>
      <x:c r="AB141" s="277" t="s">
        <x:v>118</x:v>
      </x:c>
      <x:c r="AC141" s="277" t="s">
        <x:v>118</x:v>
      </x:c>
      <x:c r="AD141" s="277" t="s">
        <x:v>118</x:v>
      </x:c>
      <x:c r="AE141" s="277" t="s">
        <x:v>118</x:v>
      </x:c>
      <x:c r="AF141" s="277" t="s">
        <x:v>118</x:v>
      </x:c>
      <x:c r="AG141" s="277" t="s">
        <x:v>118</x:v>
      </x:c>
      <x:c r="AH141" s="277" t="s">
        <x:v>118</x:v>
      </x:c>
      <x:c r="AI141" s="277" t="s">
        <x:v>118</x:v>
      </x:c>
      <x:c r="AJ141" s="277" t="s">
        <x:v>118</x:v>
      </x:c>
      <x:c r="AK141" s="220">
        <x:f>COUNTIF(F141:AJ141,"X")</x:f>
      </x:c>
      <x:c r="AL141" s="221"/>
      <x:c r="AM141" s="221"/>
      <x:c r="AN141" s="222"/>
      <x:c r="AO141" s="222"/>
      <x:c r="AP141" s="228"/>
      <x:c r="AQ141" s="228"/>
      <x:c r="AR141" s="228"/>
      <x:c r="AS141" s="228"/>
      <x:c r="AT141" s="230"/>
    </x:row>
    <x:row r="142" spans="1:47" ht="19.9" customHeight="1">
      <x:c r="A142" s="274" t="s">
        <x:v>1294</x:v>
      </x:c>
      <x:c r="B142" s="216"/>
      <x:c r="C142" s="275" t="s">
        <x:v>1295</x:v>
      </x:c>
      <x:c r="D142" s="274" t="s">
        <x:v>496</x:v>
      </x:c>
      <x:c r="E142" s="276" t="s">
        <x:v>1296</x:v>
      </x:c>
      <x:c r="F142" s="277" t="s">
        <x:v>118</x:v>
      </x:c>
      <x:c r="G142" s="277" t="s">
        <x:v>118</x:v>
      </x:c>
      <x:c r="H142" s="277" t="s">
        <x:v>118</x:v>
      </x:c>
      <x:c r="I142" s="277" t="s">
        <x:v>118</x:v>
      </x:c>
      <x:c r="J142" s="277" t="s">
        <x:v>118</x:v>
      </x:c>
      <x:c r="K142" s="277" t="s">
        <x:v>118</x:v>
      </x:c>
      <x:c r="L142" s="277" t="s">
        <x:v>118</x:v>
      </x:c>
      <x:c r="M142" s="277" t="s">
        <x:v>118</x:v>
      </x:c>
      <x:c r="N142" s="277" t="s">
        <x:v>118</x:v>
      </x:c>
      <x:c r="O142" s="277" t="s">
        <x:v>118</x:v>
      </x:c>
      <x:c r="P142" s="277" t="s">
        <x:v>118</x:v>
      </x:c>
      <x:c r="Q142" s="277" t="s">
        <x:v>118</x:v>
      </x:c>
      <x:c r="R142" s="277" t="s">
        <x:v>118</x:v>
      </x:c>
      <x:c r="S142" s="277" t="s">
        <x:v>118</x:v>
      </x:c>
      <x:c r="T142" s="277" t="s">
        <x:v>118</x:v>
      </x:c>
      <x:c r="U142" s="277" t="s">
        <x:v>118</x:v>
      </x:c>
      <x:c r="V142" s="277" t="s">
        <x:v>118</x:v>
      </x:c>
      <x:c r="W142" s="277" t="s">
        <x:v>118</x:v>
      </x:c>
      <x:c r="X142" s="277" t="s">
        <x:v>118</x:v>
      </x:c>
      <x:c r="Y142" s="277" t="s">
        <x:v>118</x:v>
      </x:c>
      <x:c r="Z142" s="277" t="s">
        <x:v>118</x:v>
      </x:c>
      <x:c r="AA142" s="277" t="s">
        <x:v>118</x:v>
      </x:c>
      <x:c r="AB142" s="277" t="s">
        <x:v>118</x:v>
      </x:c>
      <x:c r="AC142" s="277" t="s">
        <x:v>118</x:v>
      </x:c>
      <x:c r="AD142" s="277" t="s">
        <x:v>118</x:v>
      </x:c>
      <x:c r="AE142" s="277" t="s">
        <x:v>118</x:v>
      </x:c>
      <x:c r="AF142" s="277" t="s">
        <x:v>118</x:v>
      </x:c>
      <x:c r="AG142" s="277" t="s">
        <x:v>118</x:v>
      </x:c>
      <x:c r="AH142" s="277" t="s">
        <x:v>118</x:v>
      </x:c>
      <x:c r="AI142" s="277" t="s">
        <x:v>118</x:v>
      </x:c>
      <x:c r="AJ142" s="277" t="s">
        <x:v>118</x:v>
      </x:c>
      <x:c r="AK142" s="220">
        <x:f>COUNTIF(F142:AJ142,"X")</x:f>
      </x:c>
      <x:c r="AL142" s="221"/>
      <x:c r="AM142" s="221"/>
      <x:c r="AN142" s="222"/>
      <x:c r="AO142" s="222"/>
      <x:c r="AP142" s="228"/>
      <x:c r="AQ142" s="228"/>
      <x:c r="AR142" s="228"/>
      <x:c r="AS142" s="228"/>
      <x:c r="AT142" s="230"/>
    </x:row>
    <x:row r="143" spans="1:47" ht="19.9" customHeight="1">
      <x:c r="A143" s="274" t="s">
        <x:v>1297</x:v>
      </x:c>
      <x:c r="B143" s="216"/>
      <x:c r="C143" s="275" t="s">
        <x:v>1298</x:v>
      </x:c>
      <x:c r="D143" s="274" t="s">
        <x:v>1299</x:v>
      </x:c>
      <x:c r="E143" s="276" t="s">
        <x:v>1300</x:v>
      </x:c>
      <x:c r="F143" s="277" t="s">
        <x:v>118</x:v>
      </x:c>
      <x:c r="G143" s="277" t="s">
        <x:v>118</x:v>
      </x:c>
      <x:c r="H143" s="277" t="s">
        <x:v>118</x:v>
      </x:c>
      <x:c r="I143" s="277" t="s">
        <x:v>118</x:v>
      </x:c>
      <x:c r="J143" s="277" t="s">
        <x:v>118</x:v>
      </x:c>
      <x:c r="K143" s="277" t="s">
        <x:v>118</x:v>
      </x:c>
      <x:c r="L143" s="277" t="s">
        <x:v>118</x:v>
      </x:c>
      <x:c r="M143" s="277" t="s">
        <x:v>118</x:v>
      </x:c>
      <x:c r="N143" s="277" t="s">
        <x:v>118</x:v>
      </x:c>
      <x:c r="O143" s="277" t="s">
        <x:v>118</x:v>
      </x:c>
      <x:c r="P143" s="277" t="s">
        <x:v>118</x:v>
      </x:c>
      <x:c r="Q143" s="277" t="s">
        <x:v>118</x:v>
      </x:c>
      <x:c r="R143" s="277" t="s">
        <x:v>118</x:v>
      </x:c>
      <x:c r="S143" s="277" t="s">
        <x:v>118</x:v>
      </x:c>
      <x:c r="T143" s="277" t="s">
        <x:v>118</x:v>
      </x:c>
      <x:c r="U143" s="277" t="s">
        <x:v>118</x:v>
      </x:c>
      <x:c r="V143" s="277" t="s">
        <x:v>118</x:v>
      </x:c>
      <x:c r="W143" s="277" t="s">
        <x:v>118</x:v>
      </x:c>
      <x:c r="X143" s="277" t="s">
        <x:v>118</x:v>
      </x:c>
      <x:c r="Y143" s="277" t="s">
        <x:v>118</x:v>
      </x:c>
      <x:c r="Z143" s="277" t="s">
        <x:v>118</x:v>
      </x:c>
      <x:c r="AA143" s="277" t="s">
        <x:v>118</x:v>
      </x:c>
      <x:c r="AB143" s="277" t="s">
        <x:v>118</x:v>
      </x:c>
      <x:c r="AC143" s="277" t="s">
        <x:v>118</x:v>
      </x:c>
      <x:c r="AD143" s="277" t="s">
        <x:v>118</x:v>
      </x:c>
      <x:c r="AE143" s="277" t="s">
        <x:v>118</x:v>
      </x:c>
      <x:c r="AF143" s="277" t="s">
        <x:v>118</x:v>
      </x:c>
      <x:c r="AG143" s="277" t="s">
        <x:v>118</x:v>
      </x:c>
      <x:c r="AH143" s="277" t="s">
        <x:v>118</x:v>
      </x:c>
      <x:c r="AI143" s="277" t="s">
        <x:v>118</x:v>
      </x:c>
      <x:c r="AJ143" s="277" t="s">
        <x:v>118</x:v>
      </x:c>
      <x:c r="AK143" s="220">
        <x:f>COUNTIF(F143:AJ143,"X")</x:f>
      </x:c>
      <x:c r="AL143" s="221"/>
      <x:c r="AM143" s="221"/>
      <x:c r="AN143" s="222"/>
      <x:c r="AO143" s="222"/>
      <x:c r="AP143" s="228"/>
      <x:c r="AQ143" s="228"/>
      <x:c r="AR143" s="228"/>
      <x:c r="AS143" s="228"/>
      <x:c r="AT143" s="230"/>
    </x:row>
    <x:row r="144" spans="1:47" ht="19.9" customHeight="1">
      <x:c r="A144" s="274" t="s">
        <x:v>1301</x:v>
      </x:c>
      <x:c r="B144" s="216"/>
      <x:c r="C144" s="275" t="s">
        <x:v>1302</x:v>
      </x:c>
      <x:c r="D144" s="274" t="s">
        <x:v>1303</x:v>
      </x:c>
      <x:c r="E144" s="276" t="s">
        <x:v>117</x:v>
      </x:c>
      <x:c r="F144" s="277" t="s">
        <x:v>118</x:v>
      </x:c>
      <x:c r="G144" s="277" t="s">
        <x:v>118</x:v>
      </x:c>
      <x:c r="H144" s="277" t="s">
        <x:v>118</x:v>
      </x:c>
      <x:c r="I144" s="277" t="s">
        <x:v>118</x:v>
      </x:c>
      <x:c r="J144" s="277" t="s">
        <x:v>118</x:v>
      </x:c>
      <x:c r="K144" s="277" t="s">
        <x:v>118</x:v>
      </x:c>
      <x:c r="L144" s="277" t="s">
        <x:v>118</x:v>
      </x:c>
      <x:c r="M144" s="277" t="s">
        <x:v>118</x:v>
      </x:c>
      <x:c r="N144" s="277" t="s">
        <x:v>118</x:v>
      </x:c>
      <x:c r="O144" s="277" t="s">
        <x:v>118</x:v>
      </x:c>
      <x:c r="P144" s="277" t="s">
        <x:v>118</x:v>
      </x:c>
      <x:c r="Q144" s="277" t="s">
        <x:v>118</x:v>
      </x:c>
      <x:c r="R144" s="277" t="s">
        <x:v>118</x:v>
      </x:c>
      <x:c r="S144" s="277" t="s">
        <x:v>118</x:v>
      </x:c>
      <x:c r="T144" s="277" t="s">
        <x:v>118</x:v>
      </x:c>
      <x:c r="U144" s="277" t="s">
        <x:v>118</x:v>
      </x:c>
      <x:c r="V144" s="277" t="s">
        <x:v>118</x:v>
      </x:c>
      <x:c r="W144" s="277" t="s">
        <x:v>118</x:v>
      </x:c>
      <x:c r="X144" s="277" t="s">
        <x:v>118</x:v>
      </x:c>
      <x:c r="Y144" s="277" t="s">
        <x:v>118</x:v>
      </x:c>
      <x:c r="Z144" s="277" t="s">
        <x:v>118</x:v>
      </x:c>
      <x:c r="AA144" s="277" t="s">
        <x:v>118</x:v>
      </x:c>
      <x:c r="AB144" s="277" t="s">
        <x:v>118</x:v>
      </x:c>
      <x:c r="AC144" s="277" t="s">
        <x:v>118</x:v>
      </x:c>
      <x:c r="AD144" s="277" t="s">
        <x:v>118</x:v>
      </x:c>
      <x:c r="AE144" s="277" t="s">
        <x:v>118</x:v>
      </x:c>
      <x:c r="AF144" s="277" t="s">
        <x:v>118</x:v>
      </x:c>
      <x:c r="AG144" s="277" t="s">
        <x:v>118</x:v>
      </x:c>
      <x:c r="AH144" s="277" t="s">
        <x:v>118</x:v>
      </x:c>
      <x:c r="AI144" s="277" t="s">
        <x:v>118</x:v>
      </x:c>
      <x:c r="AJ144" s="277" t="s">
        <x:v>118</x:v>
      </x:c>
      <x:c r="AK144" s="220">
        <x:f>COUNTIF(F144:AJ144,"X")</x:f>
      </x:c>
      <x:c r="AL144" s="221"/>
      <x:c r="AM144" s="221"/>
      <x:c r="AN144" s="222"/>
      <x:c r="AO144" s="222"/>
      <x:c r="AP144" s="228"/>
      <x:c r="AQ144" s="228"/>
      <x:c r="AR144" s="228"/>
      <x:c r="AS144" s="228"/>
      <x:c r="AT144" s="230"/>
    </x:row>
    <x:row r="145" spans="1:47" ht="19.9" customHeight="1">
      <x:c r="A145" s="274" t="s">
        <x:v>1304</x:v>
      </x:c>
      <x:c r="B145" s="216"/>
      <x:c r="C145" s="275" t="s">
        <x:v>1305</x:v>
      </x:c>
      <x:c r="D145" s="274" t="s">
        <x:v>1303</x:v>
      </x:c>
      <x:c r="E145" s="276" t="s">
        <x:v>1306</x:v>
      </x:c>
      <x:c r="F145" s="277" t="s">
        <x:v>118</x:v>
      </x:c>
      <x:c r="G145" s="277" t="s">
        <x:v>118</x:v>
      </x:c>
      <x:c r="H145" s="277" t="s">
        <x:v>118</x:v>
      </x:c>
      <x:c r="I145" s="277" t="s">
        <x:v>118</x:v>
      </x:c>
      <x:c r="J145" s="277" t="s">
        <x:v>118</x:v>
      </x:c>
      <x:c r="K145" s="277" t="s">
        <x:v>118</x:v>
      </x:c>
      <x:c r="L145" s="277" t="s">
        <x:v>118</x:v>
      </x:c>
      <x:c r="M145" s="277" t="s">
        <x:v>118</x:v>
      </x:c>
      <x:c r="N145" s="277" t="s">
        <x:v>118</x:v>
      </x:c>
      <x:c r="O145" s="277" t="s">
        <x:v>118</x:v>
      </x:c>
      <x:c r="P145" s="277" t="s">
        <x:v>118</x:v>
      </x:c>
      <x:c r="Q145" s="277" t="s">
        <x:v>118</x:v>
      </x:c>
      <x:c r="R145" s="277" t="s">
        <x:v>118</x:v>
      </x:c>
      <x:c r="S145" s="277" t="s">
        <x:v>118</x:v>
      </x:c>
      <x:c r="T145" s="277" t="s">
        <x:v>118</x:v>
      </x:c>
      <x:c r="U145" s="277" t="s">
        <x:v>118</x:v>
      </x:c>
      <x:c r="V145" s="277" t="s">
        <x:v>118</x:v>
      </x:c>
      <x:c r="W145" s="277" t="s">
        <x:v>118</x:v>
      </x:c>
      <x:c r="X145" s="277" t="s">
        <x:v>118</x:v>
      </x:c>
      <x:c r="Y145" s="277" t="s">
        <x:v>118</x:v>
      </x:c>
      <x:c r="Z145" s="277" t="s">
        <x:v>118</x:v>
      </x:c>
      <x:c r="AA145" s="277" t="s">
        <x:v>118</x:v>
      </x:c>
      <x:c r="AB145" s="277" t="s">
        <x:v>118</x:v>
      </x:c>
      <x:c r="AC145" s="277" t="s">
        <x:v>118</x:v>
      </x:c>
      <x:c r="AD145" s="277" t="s">
        <x:v>118</x:v>
      </x:c>
      <x:c r="AE145" s="277" t="s">
        <x:v>118</x:v>
      </x:c>
      <x:c r="AF145" s="277" t="s">
        <x:v>118</x:v>
      </x:c>
      <x:c r="AG145" s="277" t="s">
        <x:v>118</x:v>
      </x:c>
      <x:c r="AH145" s="277" t="s">
        <x:v>118</x:v>
      </x:c>
      <x:c r="AI145" s="277" t="s">
        <x:v>118</x:v>
      </x:c>
      <x:c r="AJ145" s="277" t="s">
        <x:v>118</x:v>
      </x:c>
      <x:c r="AK145" s="220">
        <x:f>COUNTIF(F145:AJ145,"X")</x:f>
      </x:c>
      <x:c r="AL145" s="221"/>
      <x:c r="AM145" s="221"/>
      <x:c r="AN145" s="222"/>
      <x:c r="AO145" s="222"/>
      <x:c r="AP145" s="228"/>
      <x:c r="AQ145" s="228"/>
      <x:c r="AR145" s="228"/>
      <x:c r="AS145" s="228"/>
      <x:c r="AT145" s="230"/>
    </x:row>
    <x:row r="146" spans="1:47" ht="19.9" customHeight="1">
      <x:c r="A146" s="274" t="s">
        <x:v>1307</x:v>
      </x:c>
      <x:c r="B146" s="216"/>
      <x:c r="C146" s="275" t="s">
        <x:v>1308</x:v>
      </x:c>
      <x:c r="D146" s="274" t="s">
        <x:v>1309</x:v>
      </x:c>
      <x:c r="E146" s="276" t="s">
        <x:v>1310</x:v>
      </x:c>
      <x:c r="F146" s="277" t="s">
        <x:v>118</x:v>
      </x:c>
      <x:c r="G146" s="277" t="s">
        <x:v>118</x:v>
      </x:c>
      <x:c r="H146" s="277" t="s">
        <x:v>118</x:v>
      </x:c>
      <x:c r="I146" s="277" t="s">
        <x:v>118</x:v>
      </x:c>
      <x:c r="J146" s="277" t="s">
        <x:v>118</x:v>
      </x:c>
      <x:c r="K146" s="277" t="s">
        <x:v>118</x:v>
      </x:c>
      <x:c r="L146" s="277" t="s">
        <x:v>118</x:v>
      </x:c>
      <x:c r="M146" s="277" t="s">
        <x:v>118</x:v>
      </x:c>
      <x:c r="N146" s="277" t="s">
        <x:v>118</x:v>
      </x:c>
      <x:c r="O146" s="277" t="s">
        <x:v>118</x:v>
      </x:c>
      <x:c r="P146" s="277" t="s">
        <x:v>118</x:v>
      </x:c>
      <x:c r="Q146" s="277" t="s">
        <x:v>118</x:v>
      </x:c>
      <x:c r="R146" s="277" t="s">
        <x:v>118</x:v>
      </x:c>
      <x:c r="S146" s="277" t="s">
        <x:v>118</x:v>
      </x:c>
      <x:c r="T146" s="277" t="s">
        <x:v>118</x:v>
      </x:c>
      <x:c r="U146" s="277" t="s">
        <x:v>118</x:v>
      </x:c>
      <x:c r="V146" s="277" t="s">
        <x:v>118</x:v>
      </x:c>
      <x:c r="W146" s="277" t="s">
        <x:v>118</x:v>
      </x:c>
      <x:c r="X146" s="277" t="s">
        <x:v>118</x:v>
      </x:c>
      <x:c r="Y146" s="277" t="s">
        <x:v>118</x:v>
      </x:c>
      <x:c r="Z146" s="277" t="s">
        <x:v>118</x:v>
      </x:c>
      <x:c r="AA146" s="277" t="s">
        <x:v>118</x:v>
      </x:c>
      <x:c r="AB146" s="277" t="s">
        <x:v>118</x:v>
      </x:c>
      <x:c r="AC146" s="277" t="s">
        <x:v>118</x:v>
      </x:c>
      <x:c r="AD146" s="277" t="s">
        <x:v>118</x:v>
      </x:c>
      <x:c r="AE146" s="277" t="s">
        <x:v>118</x:v>
      </x:c>
      <x:c r="AF146" s="277" t="s">
        <x:v>118</x:v>
      </x:c>
      <x:c r="AG146" s="277" t="s">
        <x:v>118</x:v>
      </x:c>
      <x:c r="AH146" s="277" t="s">
        <x:v>118</x:v>
      </x:c>
      <x:c r="AI146" s="277" t="s">
        <x:v>118</x:v>
      </x:c>
      <x:c r="AJ146" s="277" t="s">
        <x:v>118</x:v>
      </x:c>
      <x:c r="AK146" s="220">
        <x:f>COUNTIF(F146:AJ146,"X")</x:f>
      </x:c>
      <x:c r="AL146" s="221"/>
      <x:c r="AM146" s="221"/>
      <x:c r="AN146" s="222"/>
      <x:c r="AO146" s="222"/>
      <x:c r="AP146" s="228"/>
      <x:c r="AQ146" s="228"/>
      <x:c r="AR146" s="228"/>
      <x:c r="AS146" s="228"/>
      <x:c r="AT146" s="230"/>
    </x:row>
    <x:row r="147" spans="1:47" ht="19.9" customHeight="1">
      <x:c r="A147" s="274" t="s">
        <x:v>1311</x:v>
      </x:c>
      <x:c r="B147" s="216"/>
      <x:c r="C147" s="275" t="s">
        <x:v>1312</x:v>
      </x:c>
      <x:c r="D147" s="274" t="s">
        <x:v>1309</x:v>
      </x:c>
      <x:c r="E147" s="276" t="s">
        <x:v>1313</x:v>
      </x:c>
      <x:c r="F147" s="277" t="s">
        <x:v>118</x:v>
      </x:c>
      <x:c r="G147" s="277" t="s">
        <x:v>118</x:v>
      </x:c>
      <x:c r="H147" s="277" t="s">
        <x:v>118</x:v>
      </x:c>
      <x:c r="I147" s="277" t="s">
        <x:v>118</x:v>
      </x:c>
      <x:c r="J147" s="277" t="s">
        <x:v>118</x:v>
      </x:c>
      <x:c r="K147" s="277" t="s">
        <x:v>118</x:v>
      </x:c>
      <x:c r="L147" s="277" t="s">
        <x:v>118</x:v>
      </x:c>
      <x:c r="M147" s="277" t="s">
        <x:v>118</x:v>
      </x:c>
      <x:c r="N147" s="277" t="s">
        <x:v>118</x:v>
      </x:c>
      <x:c r="O147" s="277" t="s">
        <x:v>118</x:v>
      </x:c>
      <x:c r="P147" s="277" t="s">
        <x:v>118</x:v>
      </x:c>
      <x:c r="Q147" s="277" t="s">
        <x:v>118</x:v>
      </x:c>
      <x:c r="R147" s="277" t="s">
        <x:v>118</x:v>
      </x:c>
      <x:c r="S147" s="277" t="s">
        <x:v>118</x:v>
      </x:c>
      <x:c r="T147" s="277" t="s">
        <x:v>118</x:v>
      </x:c>
      <x:c r="U147" s="277" t="s">
        <x:v>118</x:v>
      </x:c>
      <x:c r="V147" s="277" t="s">
        <x:v>118</x:v>
      </x:c>
      <x:c r="W147" s="277" t="s">
        <x:v>118</x:v>
      </x:c>
      <x:c r="X147" s="277" t="s">
        <x:v>118</x:v>
      </x:c>
      <x:c r="Y147" s="277" t="s">
        <x:v>118</x:v>
      </x:c>
      <x:c r="Z147" s="277" t="s">
        <x:v>118</x:v>
      </x:c>
      <x:c r="AA147" s="277" t="s">
        <x:v>118</x:v>
      </x:c>
      <x:c r="AB147" s="277" t="s">
        <x:v>118</x:v>
      </x:c>
      <x:c r="AC147" s="277" t="s">
        <x:v>118</x:v>
      </x:c>
      <x:c r="AD147" s="277" t="s">
        <x:v>118</x:v>
      </x:c>
      <x:c r="AE147" s="277" t="s">
        <x:v>118</x:v>
      </x:c>
      <x:c r="AF147" s="277" t="s">
        <x:v>118</x:v>
      </x:c>
      <x:c r="AG147" s="277" t="s">
        <x:v>118</x:v>
      </x:c>
      <x:c r="AH147" s="277" t="s">
        <x:v>118</x:v>
      </x:c>
      <x:c r="AI147" s="277" t="s">
        <x:v>118</x:v>
      </x:c>
      <x:c r="AJ147" s="277" t="s">
        <x:v>118</x:v>
      </x:c>
      <x:c r="AK147" s="220">
        <x:f>COUNTIF(F147:AJ147,"X")</x:f>
      </x:c>
      <x:c r="AL147" s="221"/>
      <x:c r="AM147" s="221"/>
      <x:c r="AN147" s="222"/>
      <x:c r="AO147" s="222"/>
      <x:c r="AP147" s="228"/>
      <x:c r="AQ147" s="228"/>
      <x:c r="AR147" s="228"/>
      <x:c r="AS147" s="228"/>
      <x:c r="AT147" s="230"/>
    </x:row>
    <x:row r="148" spans="1:47" ht="19.9" customHeight="1">
      <x:c r="A148" s="274" t="s">
        <x:v>1314</x:v>
      </x:c>
      <x:c r="B148" s="216"/>
      <x:c r="C148" s="275" t="s">
        <x:v>1315</x:v>
      </x:c>
      <x:c r="D148" s="274" t="s">
        <x:v>1316</x:v>
      </x:c>
      <x:c r="E148" s="276" t="s">
        <x:v>327</x:v>
      </x:c>
      <x:c r="F148" s="277" t="s">
        <x:v>118</x:v>
      </x:c>
      <x:c r="G148" s="277" t="s">
        <x:v>118</x:v>
      </x:c>
      <x:c r="H148" s="277" t="s">
        <x:v>118</x:v>
      </x:c>
      <x:c r="I148" s="277" t="s">
        <x:v>118</x:v>
      </x:c>
      <x:c r="J148" s="277" t="s">
        <x:v>118</x:v>
      </x:c>
      <x:c r="K148" s="277" t="s">
        <x:v>118</x:v>
      </x:c>
      <x:c r="L148" s="277" t="s">
        <x:v>118</x:v>
      </x:c>
      <x:c r="M148" s="277" t="s">
        <x:v>118</x:v>
      </x:c>
      <x:c r="N148" s="277" t="s">
        <x:v>118</x:v>
      </x:c>
      <x:c r="O148" s="277" t="s">
        <x:v>118</x:v>
      </x:c>
      <x:c r="P148" s="277" t="s">
        <x:v>118</x:v>
      </x:c>
      <x:c r="Q148" s="277" t="s">
        <x:v>118</x:v>
      </x:c>
      <x:c r="R148" s="277" t="s">
        <x:v>118</x:v>
      </x:c>
      <x:c r="S148" s="277" t="s">
        <x:v>118</x:v>
      </x:c>
      <x:c r="T148" s="277" t="s">
        <x:v>118</x:v>
      </x:c>
      <x:c r="U148" s="277" t="s">
        <x:v>118</x:v>
      </x:c>
      <x:c r="V148" s="277" t="s">
        <x:v>118</x:v>
      </x:c>
      <x:c r="W148" s="277" t="s">
        <x:v>118</x:v>
      </x:c>
      <x:c r="X148" s="277" t="s">
        <x:v>118</x:v>
      </x:c>
      <x:c r="Y148" s="277" t="s">
        <x:v>118</x:v>
      </x:c>
      <x:c r="Z148" s="277" t="s">
        <x:v>118</x:v>
      </x:c>
      <x:c r="AA148" s="277" t="s">
        <x:v>118</x:v>
      </x:c>
      <x:c r="AB148" s="277" t="s">
        <x:v>118</x:v>
      </x:c>
      <x:c r="AC148" s="277" t="s">
        <x:v>118</x:v>
      </x:c>
      <x:c r="AD148" s="277" t="s">
        <x:v>118</x:v>
      </x:c>
      <x:c r="AE148" s="277" t="s">
        <x:v>118</x:v>
      </x:c>
      <x:c r="AF148" s="277" t="s">
        <x:v>118</x:v>
      </x:c>
      <x:c r="AG148" s="277" t="s">
        <x:v>118</x:v>
      </x:c>
      <x:c r="AH148" s="277" t="s">
        <x:v>118</x:v>
      </x:c>
      <x:c r="AI148" s="277" t="s">
        <x:v>118</x:v>
      </x:c>
      <x:c r="AJ148" s="277" t="s">
        <x:v>118</x:v>
      </x:c>
      <x:c r="AK148" s="220">
        <x:f>COUNTIF(F148:AJ148,"X")</x:f>
      </x:c>
      <x:c r="AL148" s="221"/>
      <x:c r="AM148" s="221"/>
      <x:c r="AN148" s="222"/>
      <x:c r="AO148" s="222"/>
      <x:c r="AP148" s="228"/>
      <x:c r="AQ148" s="228"/>
      <x:c r="AR148" s="228"/>
      <x:c r="AS148" s="228"/>
      <x:c r="AT148" s="230"/>
    </x:row>
    <x:row r="149" spans="1:47" ht="19.9" customHeight="1">
      <x:c r="A149" s="274" t="s">
        <x:v>1317</x:v>
      </x:c>
      <x:c r="B149" s="216"/>
      <x:c r="C149" s="275" t="s">
        <x:v>1318</x:v>
      </x:c>
      <x:c r="D149" s="274" t="s">
        <x:v>1319</x:v>
      </x:c>
      <x:c r="E149" s="276" t="s">
        <x:v>1320</x:v>
      </x:c>
      <x:c r="F149" s="277" t="s">
        <x:v>118</x:v>
      </x:c>
      <x:c r="G149" s="277" t="s">
        <x:v>118</x:v>
      </x:c>
      <x:c r="H149" s="277" t="s">
        <x:v>118</x:v>
      </x:c>
      <x:c r="I149" s="277" t="s">
        <x:v>118</x:v>
      </x:c>
      <x:c r="J149" s="277" t="s">
        <x:v>118</x:v>
      </x:c>
      <x:c r="K149" s="277" t="s">
        <x:v>118</x:v>
      </x:c>
      <x:c r="L149" s="277" t="s">
        <x:v>118</x:v>
      </x:c>
      <x:c r="M149" s="277" t="s">
        <x:v>118</x:v>
      </x:c>
      <x:c r="N149" s="277" t="s">
        <x:v>118</x:v>
      </x:c>
      <x:c r="O149" s="277" t="s">
        <x:v>118</x:v>
      </x:c>
      <x:c r="P149" s="277" t="s">
        <x:v>118</x:v>
      </x:c>
      <x:c r="Q149" s="277" t="s">
        <x:v>118</x:v>
      </x:c>
      <x:c r="R149" s="277" t="s">
        <x:v>118</x:v>
      </x:c>
      <x:c r="S149" s="277" t="s">
        <x:v>118</x:v>
      </x:c>
      <x:c r="T149" s="277" t="s">
        <x:v>118</x:v>
      </x:c>
      <x:c r="U149" s="277" t="s">
        <x:v>118</x:v>
      </x:c>
      <x:c r="V149" s="277" t="s">
        <x:v>118</x:v>
      </x:c>
      <x:c r="W149" s="277" t="s">
        <x:v>118</x:v>
      </x:c>
      <x:c r="X149" s="277" t="s">
        <x:v>118</x:v>
      </x:c>
      <x:c r="Y149" s="277" t="s">
        <x:v>118</x:v>
      </x:c>
      <x:c r="Z149" s="277" t="s">
        <x:v>118</x:v>
      </x:c>
      <x:c r="AA149" s="277" t="s">
        <x:v>118</x:v>
      </x:c>
      <x:c r="AB149" s="277" t="s">
        <x:v>118</x:v>
      </x:c>
      <x:c r="AC149" s="277" t="s">
        <x:v>118</x:v>
      </x:c>
      <x:c r="AD149" s="277" t="s">
        <x:v>118</x:v>
      </x:c>
      <x:c r="AE149" s="277" t="s">
        <x:v>118</x:v>
      </x:c>
      <x:c r="AF149" s="277" t="s">
        <x:v>118</x:v>
      </x:c>
      <x:c r="AG149" s="277" t="s">
        <x:v>118</x:v>
      </x:c>
      <x:c r="AH149" s="277" t="s">
        <x:v>118</x:v>
      </x:c>
      <x:c r="AI149" s="277" t="s">
        <x:v>118</x:v>
      </x:c>
      <x:c r="AJ149" s="277" t="s">
        <x:v>118</x:v>
      </x:c>
      <x:c r="AK149" s="220">
        <x:f>COUNTIF(F149:AJ149,"X")</x:f>
      </x:c>
      <x:c r="AL149" s="221"/>
      <x:c r="AM149" s="221"/>
      <x:c r="AN149" s="222"/>
      <x:c r="AO149" s="222"/>
      <x:c r="AP149" s="228"/>
      <x:c r="AQ149" s="228"/>
      <x:c r="AR149" s="228"/>
      <x:c r="AS149" s="228"/>
      <x:c r="AT149" s="230"/>
    </x:row>
    <x:row r="150" spans="1:47" ht="19.9" customHeight="1">
      <x:c r="A150" s="274" t="s">
        <x:v>1321</x:v>
      </x:c>
      <x:c r="B150" s="216"/>
      <x:c r="C150" s="275" t="s">
        <x:v>1322</x:v>
      </x:c>
      <x:c r="D150" s="274" t="s">
        <x:v>1323</x:v>
      </x:c>
      <x:c r="E150" s="276" t="s">
        <x:v>1324</x:v>
      </x:c>
      <x:c r="F150" s="277" t="s">
        <x:v>118</x:v>
      </x:c>
      <x:c r="G150" s="277" t="s">
        <x:v>118</x:v>
      </x:c>
      <x:c r="H150" s="277" t="s">
        <x:v>118</x:v>
      </x:c>
      <x:c r="I150" s="277" t="s">
        <x:v>118</x:v>
      </x:c>
      <x:c r="J150" s="277" t="s">
        <x:v>118</x:v>
      </x:c>
      <x:c r="K150" s="277" t="s">
        <x:v>118</x:v>
      </x:c>
      <x:c r="L150" s="277" t="s">
        <x:v>118</x:v>
      </x:c>
      <x:c r="M150" s="277" t="s">
        <x:v>118</x:v>
      </x:c>
      <x:c r="N150" s="277" t="s">
        <x:v>118</x:v>
      </x:c>
      <x:c r="O150" s="277" t="s">
        <x:v>118</x:v>
      </x:c>
      <x:c r="P150" s="277" t="s">
        <x:v>118</x:v>
      </x:c>
      <x:c r="Q150" s="277" t="s">
        <x:v>118</x:v>
      </x:c>
      <x:c r="R150" s="277" t="s">
        <x:v>118</x:v>
      </x:c>
      <x:c r="S150" s="277" t="s">
        <x:v>118</x:v>
      </x:c>
      <x:c r="T150" s="277" t="s">
        <x:v>118</x:v>
      </x:c>
      <x:c r="U150" s="277" t="s">
        <x:v>118</x:v>
      </x:c>
      <x:c r="V150" s="277" t="s">
        <x:v>118</x:v>
      </x:c>
      <x:c r="W150" s="277" t="s">
        <x:v>118</x:v>
      </x:c>
      <x:c r="X150" s="277" t="s">
        <x:v>118</x:v>
      </x:c>
      <x:c r="Y150" s="277" t="s">
        <x:v>118</x:v>
      </x:c>
      <x:c r="Z150" s="277" t="s">
        <x:v>118</x:v>
      </x:c>
      <x:c r="AA150" s="277" t="s">
        <x:v>118</x:v>
      </x:c>
      <x:c r="AB150" s="277" t="s">
        <x:v>118</x:v>
      </x:c>
      <x:c r="AC150" s="277" t="s">
        <x:v>118</x:v>
      </x:c>
      <x:c r="AD150" s="277" t="s">
        <x:v>118</x:v>
      </x:c>
      <x:c r="AE150" s="277" t="s">
        <x:v>118</x:v>
      </x:c>
      <x:c r="AF150" s="277" t="s">
        <x:v>118</x:v>
      </x:c>
      <x:c r="AG150" s="277" t="s">
        <x:v>118</x:v>
      </x:c>
      <x:c r="AH150" s="277" t="s">
        <x:v>118</x:v>
      </x:c>
      <x:c r="AI150" s="277" t="s">
        <x:v>118</x:v>
      </x:c>
      <x:c r="AJ150" s="277" t="s">
        <x:v>118</x:v>
      </x:c>
      <x:c r="AK150" s="220">
        <x:f>COUNTIF(F150:AJ150,"X")</x:f>
      </x:c>
      <x:c r="AL150" s="221"/>
      <x:c r="AM150" s="221"/>
      <x:c r="AN150" s="222"/>
      <x:c r="AO150" s="222"/>
      <x:c r="AP150" s="228"/>
      <x:c r="AQ150" s="228"/>
      <x:c r="AR150" s="228"/>
      <x:c r="AS150" s="228"/>
      <x:c r="AT150" s="230"/>
    </x:row>
    <x:row r="151" spans="1:47" ht="19.9" customHeight="1">
      <x:c r="A151" s="274" t="s">
        <x:v>1325</x:v>
      </x:c>
      <x:c r="B151" s="216"/>
      <x:c r="C151" s="275" t="s">
        <x:v>1326</x:v>
      </x:c>
      <x:c r="D151" s="274" t="s">
        <x:v>1327</x:v>
      </x:c>
      <x:c r="E151" s="276" t="s">
        <x:v>1328</x:v>
      </x:c>
      <x:c r="F151" s="277" t="s">
        <x:v>118</x:v>
      </x:c>
      <x:c r="G151" s="277" t="s">
        <x:v>118</x:v>
      </x:c>
      <x:c r="H151" s="277" t="s">
        <x:v>118</x:v>
      </x:c>
      <x:c r="I151" s="277" t="s">
        <x:v>118</x:v>
      </x:c>
      <x:c r="J151" s="277" t="s">
        <x:v>118</x:v>
      </x:c>
      <x:c r="K151" s="277" t="s">
        <x:v>118</x:v>
      </x:c>
      <x:c r="L151" s="277" t="s">
        <x:v>118</x:v>
      </x:c>
      <x:c r="M151" s="277" t="s">
        <x:v>118</x:v>
      </x:c>
      <x:c r="N151" s="277" t="s">
        <x:v>118</x:v>
      </x:c>
      <x:c r="O151" s="277" t="s">
        <x:v>118</x:v>
      </x:c>
      <x:c r="P151" s="277" t="s">
        <x:v>118</x:v>
      </x:c>
      <x:c r="Q151" s="277" t="s">
        <x:v>118</x:v>
      </x:c>
      <x:c r="R151" s="277" t="s">
        <x:v>118</x:v>
      </x:c>
      <x:c r="S151" s="277" t="s">
        <x:v>118</x:v>
      </x:c>
      <x:c r="T151" s="277" t="s">
        <x:v>118</x:v>
      </x:c>
      <x:c r="U151" s="277" t="s">
        <x:v>118</x:v>
      </x:c>
      <x:c r="V151" s="277" t="s">
        <x:v>118</x:v>
      </x:c>
      <x:c r="W151" s="277" t="s">
        <x:v>118</x:v>
      </x:c>
      <x:c r="X151" s="277" t="s">
        <x:v>118</x:v>
      </x:c>
      <x:c r="Y151" s="277" t="s">
        <x:v>118</x:v>
      </x:c>
      <x:c r="Z151" s="277" t="s">
        <x:v>118</x:v>
      </x:c>
      <x:c r="AA151" s="277" t="s">
        <x:v>118</x:v>
      </x:c>
      <x:c r="AB151" s="277" t="s">
        <x:v>118</x:v>
      </x:c>
      <x:c r="AC151" s="277" t="s">
        <x:v>118</x:v>
      </x:c>
      <x:c r="AD151" s="277" t="s">
        <x:v>118</x:v>
      </x:c>
      <x:c r="AE151" s="277" t="s">
        <x:v>118</x:v>
      </x:c>
      <x:c r="AF151" s="277" t="s">
        <x:v>118</x:v>
      </x:c>
      <x:c r="AG151" s="277" t="s">
        <x:v>118</x:v>
      </x:c>
      <x:c r="AH151" s="277" t="s">
        <x:v>118</x:v>
      </x:c>
      <x:c r="AI151" s="277" t="s">
        <x:v>118</x:v>
      </x:c>
      <x:c r="AJ151" s="277" t="s">
        <x:v>118</x:v>
      </x:c>
      <x:c r="AK151" s="220">
        <x:f>COUNTIF(F151:AJ151,"X")</x:f>
      </x:c>
      <x:c r="AL151" s="221"/>
      <x:c r="AM151" s="221"/>
      <x:c r="AN151" s="222"/>
      <x:c r="AO151" s="222"/>
      <x:c r="AP151" s="228"/>
      <x:c r="AQ151" s="228"/>
      <x:c r="AR151" s="228"/>
      <x:c r="AS151" s="228"/>
      <x:c r="AT151" s="230"/>
    </x:row>
    <x:row r="152" spans="1:47" ht="19.9" customHeight="1">
      <x:c r="A152" s="274" t="s">
        <x:v>1329</x:v>
      </x:c>
      <x:c r="B152" s="216"/>
      <x:c r="C152" s="275" t="s">
        <x:v>1330</x:v>
      </x:c>
      <x:c r="D152" s="274" t="s">
        <x:v>1331</x:v>
      </x:c>
      <x:c r="E152" s="276" t="s">
        <x:v>1332</x:v>
      </x:c>
      <x:c r="F152" s="277" t="s">
        <x:v>118</x:v>
      </x:c>
      <x:c r="G152" s="277" t="s">
        <x:v>118</x:v>
      </x:c>
      <x:c r="H152" s="277" t="s">
        <x:v>118</x:v>
      </x:c>
      <x:c r="I152" s="277" t="s">
        <x:v>118</x:v>
      </x:c>
      <x:c r="J152" s="277" t="s">
        <x:v>118</x:v>
      </x:c>
      <x:c r="K152" s="277" t="s">
        <x:v>118</x:v>
      </x:c>
      <x:c r="L152" s="277" t="s">
        <x:v>118</x:v>
      </x:c>
      <x:c r="M152" s="277" t="s">
        <x:v>118</x:v>
      </x:c>
      <x:c r="N152" s="277" t="s">
        <x:v>118</x:v>
      </x:c>
      <x:c r="O152" s="277" t="s">
        <x:v>118</x:v>
      </x:c>
      <x:c r="P152" s="277" t="s">
        <x:v>118</x:v>
      </x:c>
      <x:c r="Q152" s="277" t="s">
        <x:v>118</x:v>
      </x:c>
      <x:c r="R152" s="277" t="s">
        <x:v>118</x:v>
      </x:c>
      <x:c r="S152" s="277" t="s">
        <x:v>118</x:v>
      </x:c>
      <x:c r="T152" s="277" t="s">
        <x:v>118</x:v>
      </x:c>
      <x:c r="U152" s="277" t="s">
        <x:v>118</x:v>
      </x:c>
      <x:c r="V152" s="277" t="s">
        <x:v>118</x:v>
      </x:c>
      <x:c r="W152" s="277" t="s">
        <x:v>118</x:v>
      </x:c>
      <x:c r="X152" s="277" t="s">
        <x:v>118</x:v>
      </x:c>
      <x:c r="Y152" s="277" t="s">
        <x:v>118</x:v>
      </x:c>
      <x:c r="Z152" s="277" t="s">
        <x:v>118</x:v>
      </x:c>
      <x:c r="AA152" s="277" t="s">
        <x:v>118</x:v>
      </x:c>
      <x:c r="AB152" s="277" t="s">
        <x:v>118</x:v>
      </x:c>
      <x:c r="AC152" s="277" t="s">
        <x:v>118</x:v>
      </x:c>
      <x:c r="AD152" s="277" t="s">
        <x:v>118</x:v>
      </x:c>
      <x:c r="AE152" s="277" t="s">
        <x:v>118</x:v>
      </x:c>
      <x:c r="AF152" s="277" t="s">
        <x:v>118</x:v>
      </x:c>
      <x:c r="AG152" s="277" t="s">
        <x:v>118</x:v>
      </x:c>
      <x:c r="AH152" s="277" t="s">
        <x:v>118</x:v>
      </x:c>
      <x:c r="AI152" s="277" t="s">
        <x:v>118</x:v>
      </x:c>
      <x:c r="AJ152" s="277" t="s">
        <x:v>118</x:v>
      </x:c>
      <x:c r="AK152" s="220">
        <x:f>COUNTIF(F152:AJ152,"X")</x:f>
      </x:c>
      <x:c r="AL152" s="221"/>
      <x:c r="AM152" s="221"/>
      <x:c r="AN152" s="222"/>
      <x:c r="AO152" s="222"/>
      <x:c r="AP152" s="228"/>
      <x:c r="AQ152" s="228"/>
      <x:c r="AR152" s="228"/>
      <x:c r="AS152" s="228"/>
      <x:c r="AT152" s="230"/>
    </x:row>
    <x:row r="153" spans="1:47" ht="19.9" customHeight="1">
      <x:c r="A153" s="274" t="s">
        <x:v>1333</x:v>
      </x:c>
      <x:c r="B153" s="216"/>
      <x:c r="C153" s="275" t="s">
        <x:v>1334</x:v>
      </x:c>
      <x:c r="D153" s="274" t="s">
        <x:v>1335</x:v>
      </x:c>
      <x:c r="E153" s="276" t="s">
        <x:v>759</x:v>
      </x:c>
      <x:c r="F153" s="277" t="s">
        <x:v>118</x:v>
      </x:c>
      <x:c r="G153" s="277" t="s">
        <x:v>118</x:v>
      </x:c>
      <x:c r="H153" s="277" t="s">
        <x:v>118</x:v>
      </x:c>
      <x:c r="I153" s="277" t="s">
        <x:v>118</x:v>
      </x:c>
      <x:c r="J153" s="277" t="s">
        <x:v>118</x:v>
      </x:c>
      <x:c r="K153" s="277" t="s">
        <x:v>118</x:v>
      </x:c>
      <x:c r="L153" s="277" t="s">
        <x:v>118</x:v>
      </x:c>
      <x:c r="M153" s="277" t="s">
        <x:v>118</x:v>
      </x:c>
      <x:c r="N153" s="277" t="s">
        <x:v>118</x:v>
      </x:c>
      <x:c r="O153" s="277" t="s">
        <x:v>118</x:v>
      </x:c>
      <x:c r="P153" s="277" t="s">
        <x:v>118</x:v>
      </x:c>
      <x:c r="Q153" s="277" t="s">
        <x:v>118</x:v>
      </x:c>
      <x:c r="R153" s="277" t="s">
        <x:v>118</x:v>
      </x:c>
      <x:c r="S153" s="277" t="s">
        <x:v>118</x:v>
      </x:c>
      <x:c r="T153" s="277" t="s">
        <x:v>118</x:v>
      </x:c>
      <x:c r="U153" s="277" t="s">
        <x:v>118</x:v>
      </x:c>
      <x:c r="V153" s="277" t="s">
        <x:v>118</x:v>
      </x:c>
      <x:c r="W153" s="277" t="s">
        <x:v>118</x:v>
      </x:c>
      <x:c r="X153" s="277" t="s">
        <x:v>118</x:v>
      </x:c>
      <x:c r="Y153" s="277" t="s">
        <x:v>118</x:v>
      </x:c>
      <x:c r="Z153" s="277" t="s">
        <x:v>118</x:v>
      </x:c>
      <x:c r="AA153" s="277" t="s">
        <x:v>118</x:v>
      </x:c>
      <x:c r="AB153" s="277" t="s">
        <x:v>118</x:v>
      </x:c>
      <x:c r="AC153" s="277" t="s">
        <x:v>118</x:v>
      </x:c>
      <x:c r="AD153" s="277" t="s">
        <x:v>118</x:v>
      </x:c>
      <x:c r="AE153" s="277" t="s">
        <x:v>118</x:v>
      </x:c>
      <x:c r="AF153" s="277" t="s">
        <x:v>118</x:v>
      </x:c>
      <x:c r="AG153" s="277" t="s">
        <x:v>118</x:v>
      </x:c>
      <x:c r="AH153" s="277" t="s">
        <x:v>118</x:v>
      </x:c>
      <x:c r="AI153" s="277" t="s">
        <x:v>118</x:v>
      </x:c>
      <x:c r="AJ153" s="277" t="s">
        <x:v>118</x:v>
      </x:c>
      <x:c r="AK153" s="220">
        <x:f>COUNTIF(F153:AJ153,"X")</x:f>
      </x:c>
      <x:c r="AL153" s="221"/>
      <x:c r="AM153" s="221"/>
      <x:c r="AN153" s="222"/>
      <x:c r="AO153" s="222"/>
      <x:c r="AP153" s="228"/>
      <x:c r="AQ153" s="228"/>
      <x:c r="AR153" s="228"/>
      <x:c r="AS153" s="228"/>
      <x:c r="AT153" s="230"/>
    </x:row>
    <x:row r="154" spans="1:47" ht="19.9" customHeight="1">
      <x:c r="A154" s="274" t="s">
        <x:v>1336</x:v>
      </x:c>
      <x:c r="B154" s="216"/>
      <x:c r="C154" s="275" t="s">
        <x:v>1337</x:v>
      </x:c>
      <x:c r="D154" s="274" t="s">
        <x:v>1338</x:v>
      </x:c>
      <x:c r="E154" s="276" t="s">
        <x:v>1339</x:v>
      </x:c>
      <x:c r="F154" s="277" t="s">
        <x:v>118</x:v>
      </x:c>
      <x:c r="G154" s="277" t="s">
        <x:v>118</x:v>
      </x:c>
      <x:c r="H154" s="277" t="s">
        <x:v>118</x:v>
      </x:c>
      <x:c r="I154" s="277" t="s">
        <x:v>118</x:v>
      </x:c>
      <x:c r="J154" s="277" t="s">
        <x:v>118</x:v>
      </x:c>
      <x:c r="K154" s="277" t="s">
        <x:v>118</x:v>
      </x:c>
      <x:c r="L154" s="277" t="s">
        <x:v>118</x:v>
      </x:c>
      <x:c r="M154" s="277" t="s">
        <x:v>118</x:v>
      </x:c>
      <x:c r="N154" s="277" t="s">
        <x:v>118</x:v>
      </x:c>
      <x:c r="O154" s="277" t="s">
        <x:v>118</x:v>
      </x:c>
      <x:c r="P154" s="277" t="s">
        <x:v>118</x:v>
      </x:c>
      <x:c r="Q154" s="277" t="s">
        <x:v>118</x:v>
      </x:c>
      <x:c r="R154" s="277" t="s">
        <x:v>118</x:v>
      </x:c>
      <x:c r="S154" s="277" t="s">
        <x:v>118</x:v>
      </x:c>
      <x:c r="T154" s="277" t="s">
        <x:v>118</x:v>
      </x:c>
      <x:c r="U154" s="277" t="s">
        <x:v>118</x:v>
      </x:c>
      <x:c r="V154" s="277" t="s">
        <x:v>118</x:v>
      </x:c>
      <x:c r="W154" s="277" t="s">
        <x:v>118</x:v>
      </x:c>
      <x:c r="X154" s="277" t="s">
        <x:v>118</x:v>
      </x:c>
      <x:c r="Y154" s="277" t="s">
        <x:v>118</x:v>
      </x:c>
      <x:c r="Z154" s="277" t="s">
        <x:v>118</x:v>
      </x:c>
      <x:c r="AA154" s="277" t="s">
        <x:v>118</x:v>
      </x:c>
      <x:c r="AB154" s="277" t="s">
        <x:v>118</x:v>
      </x:c>
      <x:c r="AC154" s="277" t="s">
        <x:v>118</x:v>
      </x:c>
      <x:c r="AD154" s="277" t="s">
        <x:v>118</x:v>
      </x:c>
      <x:c r="AE154" s="277" t="s">
        <x:v>118</x:v>
      </x:c>
      <x:c r="AF154" s="277" t="s">
        <x:v>118</x:v>
      </x:c>
      <x:c r="AG154" s="277" t="s">
        <x:v>118</x:v>
      </x:c>
      <x:c r="AH154" s="277" t="s">
        <x:v>118</x:v>
      </x:c>
      <x:c r="AI154" s="277" t="s">
        <x:v>118</x:v>
      </x:c>
      <x:c r="AJ154" s="277" t="s">
        <x:v>118</x:v>
      </x:c>
      <x:c r="AK154" s="220">
        <x:f>COUNTIF(F154:AJ154,"X")</x:f>
      </x:c>
      <x:c r="AL154" s="221"/>
      <x:c r="AM154" s="221"/>
      <x:c r="AN154" s="222"/>
      <x:c r="AO154" s="222"/>
      <x:c r="AP154" s="228"/>
      <x:c r="AQ154" s="228"/>
      <x:c r="AR154" s="228"/>
      <x:c r="AS154" s="228"/>
      <x:c r="AT154" s="230"/>
    </x:row>
    <x:row r="155" spans="1:47" ht="19.9" customHeight="1">
      <x:c r="A155" s="274" t="s">
        <x:v>1340</x:v>
      </x:c>
      <x:c r="B155" s="216"/>
      <x:c r="C155" s="275" t="s">
        <x:v>1341</x:v>
      </x:c>
      <x:c r="D155" s="274" t="s">
        <x:v>1342</x:v>
      </x:c>
      <x:c r="E155" s="276" t="s">
        <x:v>1343</x:v>
      </x:c>
      <x:c r="F155" s="277" t="s">
        <x:v>118</x:v>
      </x:c>
      <x:c r="G155" s="277" t="s">
        <x:v>118</x:v>
      </x:c>
      <x:c r="H155" s="277" t="s">
        <x:v>118</x:v>
      </x:c>
      <x:c r="I155" s="277" t="s">
        <x:v>118</x:v>
      </x:c>
      <x:c r="J155" s="277" t="s">
        <x:v>118</x:v>
      </x:c>
      <x:c r="K155" s="277" t="s">
        <x:v>118</x:v>
      </x:c>
      <x:c r="L155" s="277" t="s">
        <x:v>118</x:v>
      </x:c>
      <x:c r="M155" s="277" t="s">
        <x:v>118</x:v>
      </x:c>
      <x:c r="N155" s="277" t="s">
        <x:v>118</x:v>
      </x:c>
      <x:c r="O155" s="277" t="s">
        <x:v>118</x:v>
      </x:c>
      <x:c r="P155" s="277" t="s">
        <x:v>118</x:v>
      </x:c>
      <x:c r="Q155" s="277" t="s">
        <x:v>118</x:v>
      </x:c>
      <x:c r="R155" s="277" t="s">
        <x:v>118</x:v>
      </x:c>
      <x:c r="S155" s="277" t="s">
        <x:v>118</x:v>
      </x:c>
      <x:c r="T155" s="277" t="s">
        <x:v>118</x:v>
      </x:c>
      <x:c r="U155" s="277" t="s">
        <x:v>118</x:v>
      </x:c>
      <x:c r="V155" s="277" t="s">
        <x:v>118</x:v>
      </x:c>
      <x:c r="W155" s="277" t="s">
        <x:v>118</x:v>
      </x:c>
      <x:c r="X155" s="277" t="s">
        <x:v>118</x:v>
      </x:c>
      <x:c r="Y155" s="277" t="s">
        <x:v>118</x:v>
      </x:c>
      <x:c r="Z155" s="277" t="s">
        <x:v>118</x:v>
      </x:c>
      <x:c r="AA155" s="277" t="s">
        <x:v>118</x:v>
      </x:c>
      <x:c r="AB155" s="277" t="s">
        <x:v>118</x:v>
      </x:c>
      <x:c r="AC155" s="277" t="s">
        <x:v>118</x:v>
      </x:c>
      <x:c r="AD155" s="277" t="s">
        <x:v>118</x:v>
      </x:c>
      <x:c r="AE155" s="277" t="s">
        <x:v>118</x:v>
      </x:c>
      <x:c r="AF155" s="277" t="s">
        <x:v>118</x:v>
      </x:c>
      <x:c r="AG155" s="277" t="s">
        <x:v>118</x:v>
      </x:c>
      <x:c r="AH155" s="277" t="s">
        <x:v>118</x:v>
      </x:c>
      <x:c r="AI155" s="277" t="s">
        <x:v>118</x:v>
      </x:c>
      <x:c r="AJ155" s="277" t="s">
        <x:v>118</x:v>
      </x:c>
      <x:c r="AK155" s="220">
        <x:f>COUNTIF(F155:AJ155,"X")</x:f>
      </x:c>
      <x:c r="AL155" s="221"/>
      <x:c r="AM155" s="221"/>
      <x:c r="AN155" s="222"/>
      <x:c r="AO155" s="222"/>
      <x:c r="AP155" s="228"/>
      <x:c r="AQ155" s="228"/>
      <x:c r="AR155" s="228"/>
      <x:c r="AS155" s="228"/>
      <x:c r="AT155" s="230"/>
    </x:row>
    <x:row r="156" spans="1:47" ht="19.9" customHeight="1">
      <x:c r="A156" s="274" t="s">
        <x:v>1344</x:v>
      </x:c>
      <x:c r="B156" s="216"/>
      <x:c r="C156" s="275" t="s">
        <x:v>1345</x:v>
      </x:c>
      <x:c r="D156" s="274" t="s">
        <x:v>1342</x:v>
      </x:c>
      <x:c r="E156" s="276" t="s">
        <x:v>1346</x:v>
      </x:c>
      <x:c r="F156" s="277" t="s">
        <x:v>118</x:v>
      </x:c>
      <x:c r="G156" s="277" t="s">
        <x:v>118</x:v>
      </x:c>
      <x:c r="H156" s="277" t="s">
        <x:v>118</x:v>
      </x:c>
      <x:c r="I156" s="277" t="s">
        <x:v>118</x:v>
      </x:c>
      <x:c r="J156" s="277" t="s">
        <x:v>118</x:v>
      </x:c>
      <x:c r="K156" s="277" t="s">
        <x:v>118</x:v>
      </x:c>
      <x:c r="L156" s="277" t="s">
        <x:v>118</x:v>
      </x:c>
      <x:c r="M156" s="277" t="s">
        <x:v>118</x:v>
      </x:c>
      <x:c r="N156" s="277" t="s">
        <x:v>118</x:v>
      </x:c>
      <x:c r="O156" s="277" t="s">
        <x:v>118</x:v>
      </x:c>
      <x:c r="P156" s="277" t="s">
        <x:v>118</x:v>
      </x:c>
      <x:c r="Q156" s="277" t="s">
        <x:v>118</x:v>
      </x:c>
      <x:c r="R156" s="277" t="s">
        <x:v>118</x:v>
      </x:c>
      <x:c r="S156" s="277" t="s">
        <x:v>118</x:v>
      </x:c>
      <x:c r="T156" s="277" t="s">
        <x:v>118</x:v>
      </x:c>
      <x:c r="U156" s="277" t="s">
        <x:v>118</x:v>
      </x:c>
      <x:c r="V156" s="277" t="s">
        <x:v>118</x:v>
      </x:c>
      <x:c r="W156" s="277" t="s">
        <x:v>118</x:v>
      </x:c>
      <x:c r="X156" s="277" t="s">
        <x:v>118</x:v>
      </x:c>
      <x:c r="Y156" s="277" t="s">
        <x:v>118</x:v>
      </x:c>
      <x:c r="Z156" s="277" t="s">
        <x:v>118</x:v>
      </x:c>
      <x:c r="AA156" s="277" t="s">
        <x:v>118</x:v>
      </x:c>
      <x:c r="AB156" s="277" t="s">
        <x:v>118</x:v>
      </x:c>
      <x:c r="AC156" s="277" t="s">
        <x:v>118</x:v>
      </x:c>
      <x:c r="AD156" s="277" t="s">
        <x:v>118</x:v>
      </x:c>
      <x:c r="AE156" s="277" t="s">
        <x:v>118</x:v>
      </x:c>
      <x:c r="AF156" s="277" t="s">
        <x:v>118</x:v>
      </x:c>
      <x:c r="AG156" s="277" t="s">
        <x:v>118</x:v>
      </x:c>
      <x:c r="AH156" s="277" t="s">
        <x:v>118</x:v>
      </x:c>
      <x:c r="AI156" s="277" t="s">
        <x:v>118</x:v>
      </x:c>
      <x:c r="AJ156" s="277" t="s">
        <x:v>118</x:v>
      </x:c>
      <x:c r="AK156" s="220">
        <x:f>COUNTIF(F156:AJ156,"X")</x:f>
      </x:c>
      <x:c r="AL156" s="221"/>
      <x:c r="AM156" s="221"/>
      <x:c r="AN156" s="222"/>
      <x:c r="AO156" s="222"/>
      <x:c r="AP156" s="228"/>
      <x:c r="AQ156" s="228"/>
      <x:c r="AR156" s="228"/>
      <x:c r="AS156" s="228"/>
      <x:c r="AT156" s="230"/>
    </x:row>
    <x:row r="157" spans="1:47" ht="19.9" customHeight="1">
      <x:c r="A157" s="274" t="s">
        <x:v>1347</x:v>
      </x:c>
      <x:c r="B157" s="216"/>
      <x:c r="C157" s="275" t="s">
        <x:v>1348</x:v>
      </x:c>
      <x:c r="D157" s="274" t="s">
        <x:v>1349</x:v>
      </x:c>
      <x:c r="E157" s="276" t="s">
        <x:v>1350</x:v>
      </x:c>
      <x:c r="F157" s="277" t="s">
        <x:v>118</x:v>
      </x:c>
      <x:c r="G157" s="277" t="s">
        <x:v>118</x:v>
      </x:c>
      <x:c r="H157" s="277" t="s">
        <x:v>118</x:v>
      </x:c>
      <x:c r="I157" s="277" t="s">
        <x:v>118</x:v>
      </x:c>
      <x:c r="J157" s="277" t="s">
        <x:v>118</x:v>
      </x:c>
      <x:c r="K157" s="277" t="s">
        <x:v>118</x:v>
      </x:c>
      <x:c r="L157" s="277" t="s">
        <x:v>118</x:v>
      </x:c>
      <x:c r="M157" s="277" t="s">
        <x:v>118</x:v>
      </x:c>
      <x:c r="N157" s="277" t="s">
        <x:v>118</x:v>
      </x:c>
      <x:c r="O157" s="277" t="s">
        <x:v>118</x:v>
      </x:c>
      <x:c r="P157" s="277" t="s">
        <x:v>118</x:v>
      </x:c>
      <x:c r="Q157" s="277" t="s">
        <x:v>118</x:v>
      </x:c>
      <x:c r="R157" s="277" t="s">
        <x:v>118</x:v>
      </x:c>
      <x:c r="S157" s="277" t="s">
        <x:v>118</x:v>
      </x:c>
      <x:c r="T157" s="277" t="s">
        <x:v>118</x:v>
      </x:c>
      <x:c r="U157" s="277" t="s">
        <x:v>118</x:v>
      </x:c>
      <x:c r="V157" s="277" t="s">
        <x:v>118</x:v>
      </x:c>
      <x:c r="W157" s="277" t="s">
        <x:v>118</x:v>
      </x:c>
      <x:c r="X157" s="277" t="s">
        <x:v>118</x:v>
      </x:c>
      <x:c r="Y157" s="277" t="s">
        <x:v>118</x:v>
      </x:c>
      <x:c r="Z157" s="277" t="s">
        <x:v>118</x:v>
      </x:c>
      <x:c r="AA157" s="277" t="s">
        <x:v>118</x:v>
      </x:c>
      <x:c r="AB157" s="277" t="s">
        <x:v>118</x:v>
      </x:c>
      <x:c r="AC157" s="277" t="s">
        <x:v>118</x:v>
      </x:c>
      <x:c r="AD157" s="277" t="s">
        <x:v>118</x:v>
      </x:c>
      <x:c r="AE157" s="277" t="s">
        <x:v>118</x:v>
      </x:c>
      <x:c r="AF157" s="277" t="s">
        <x:v>118</x:v>
      </x:c>
      <x:c r="AG157" s="277" t="s">
        <x:v>118</x:v>
      </x:c>
      <x:c r="AH157" s="277" t="s">
        <x:v>118</x:v>
      </x:c>
      <x:c r="AI157" s="277" t="s">
        <x:v>118</x:v>
      </x:c>
      <x:c r="AJ157" s="277" t="s">
        <x:v>118</x:v>
      </x:c>
      <x:c r="AK157" s="220">
        <x:f>COUNTIF(F157:AJ157,"X")</x:f>
      </x:c>
      <x:c r="AL157" s="221"/>
      <x:c r="AM157" s="221"/>
      <x:c r="AN157" s="222"/>
      <x:c r="AO157" s="222"/>
      <x:c r="AP157" s="228"/>
      <x:c r="AQ157" s="228"/>
      <x:c r="AR157" s="228"/>
      <x:c r="AS157" s="228"/>
      <x:c r="AT157" s="230"/>
    </x:row>
    <x:row r="158" spans="1:47" ht="19.9" customHeight="1">
      <x:c r="A158" s="274" t="s">
        <x:v>1351</x:v>
      </x:c>
      <x:c r="B158" s="216"/>
      <x:c r="C158" s="275" t="s">
        <x:v>1352</x:v>
      </x:c>
      <x:c r="D158" s="274" t="s">
        <x:v>1349</x:v>
      </x:c>
      <x:c r="E158" s="276" t="s">
        <x:v>1353</x:v>
      </x:c>
      <x:c r="F158" s="277" t="s">
        <x:v>118</x:v>
      </x:c>
      <x:c r="G158" s="277" t="s">
        <x:v>118</x:v>
      </x:c>
      <x:c r="H158" s="277" t="s">
        <x:v>118</x:v>
      </x:c>
      <x:c r="I158" s="277" t="s">
        <x:v>118</x:v>
      </x:c>
      <x:c r="J158" s="277" t="s">
        <x:v>118</x:v>
      </x:c>
      <x:c r="K158" s="277" t="s">
        <x:v>118</x:v>
      </x:c>
      <x:c r="L158" s="277" t="s">
        <x:v>118</x:v>
      </x:c>
      <x:c r="M158" s="277" t="s">
        <x:v>118</x:v>
      </x:c>
      <x:c r="N158" s="277" t="s">
        <x:v>118</x:v>
      </x:c>
      <x:c r="O158" s="277" t="s">
        <x:v>118</x:v>
      </x:c>
      <x:c r="P158" s="277" t="s">
        <x:v>118</x:v>
      </x:c>
      <x:c r="Q158" s="277" t="s">
        <x:v>118</x:v>
      </x:c>
      <x:c r="R158" s="277" t="s">
        <x:v>118</x:v>
      </x:c>
      <x:c r="S158" s="277" t="s">
        <x:v>118</x:v>
      </x:c>
      <x:c r="T158" s="277" t="s">
        <x:v>118</x:v>
      </x:c>
      <x:c r="U158" s="277" t="s">
        <x:v>118</x:v>
      </x:c>
      <x:c r="V158" s="277" t="s">
        <x:v>118</x:v>
      </x:c>
      <x:c r="W158" s="277" t="s">
        <x:v>118</x:v>
      </x:c>
      <x:c r="X158" s="277" t="s">
        <x:v>118</x:v>
      </x:c>
      <x:c r="Y158" s="277" t="s">
        <x:v>118</x:v>
      </x:c>
      <x:c r="Z158" s="277" t="s">
        <x:v>118</x:v>
      </x:c>
      <x:c r="AA158" s="277" t="s">
        <x:v>118</x:v>
      </x:c>
      <x:c r="AB158" s="277" t="s">
        <x:v>118</x:v>
      </x:c>
      <x:c r="AC158" s="277" t="s">
        <x:v>118</x:v>
      </x:c>
      <x:c r="AD158" s="277" t="s">
        <x:v>118</x:v>
      </x:c>
      <x:c r="AE158" s="277" t="s">
        <x:v>118</x:v>
      </x:c>
      <x:c r="AF158" s="277" t="s">
        <x:v>118</x:v>
      </x:c>
      <x:c r="AG158" s="277" t="s">
        <x:v>118</x:v>
      </x:c>
      <x:c r="AH158" s="277" t="s">
        <x:v>118</x:v>
      </x:c>
      <x:c r="AI158" s="277" t="s">
        <x:v>118</x:v>
      </x:c>
      <x:c r="AJ158" s="277" t="s">
        <x:v>118</x:v>
      </x:c>
      <x:c r="AK158" s="220">
        <x:f>COUNTIF(F158:AJ158,"X")</x:f>
      </x:c>
      <x:c r="AL158" s="221"/>
      <x:c r="AM158" s="221"/>
      <x:c r="AN158" s="222"/>
      <x:c r="AO158" s="222"/>
      <x:c r="AP158" s="228"/>
      <x:c r="AQ158" s="228"/>
      <x:c r="AR158" s="228"/>
      <x:c r="AS158" s="228"/>
      <x:c r="AT158" s="230"/>
    </x:row>
    <x:row r="159" spans="1:47" ht="19.9" customHeight="1">
      <x:c r="A159" s="274" t="s">
        <x:v>1354</x:v>
      </x:c>
      <x:c r="B159" s="216"/>
      <x:c r="C159" s="275" t="s">
        <x:v>1355</x:v>
      </x:c>
      <x:c r="D159" s="274" t="s">
        <x:v>528</x:v>
      </x:c>
      <x:c r="E159" s="276" t="s">
        <x:v>1018</x:v>
      </x:c>
      <x:c r="F159" s="277" t="s">
        <x:v>118</x:v>
      </x:c>
      <x:c r="G159" s="277" t="s">
        <x:v>118</x:v>
      </x:c>
      <x:c r="H159" s="277" t="s">
        <x:v>118</x:v>
      </x:c>
      <x:c r="I159" s="277" t="s">
        <x:v>118</x:v>
      </x:c>
      <x:c r="J159" s="277" t="s">
        <x:v>118</x:v>
      </x:c>
      <x:c r="K159" s="277" t="s">
        <x:v>118</x:v>
      </x:c>
      <x:c r="L159" s="277" t="s">
        <x:v>118</x:v>
      </x:c>
      <x:c r="M159" s="277" t="s">
        <x:v>118</x:v>
      </x:c>
      <x:c r="N159" s="277" t="s">
        <x:v>118</x:v>
      </x:c>
      <x:c r="O159" s="277" t="s">
        <x:v>118</x:v>
      </x:c>
      <x:c r="P159" s="277" t="s">
        <x:v>118</x:v>
      </x:c>
      <x:c r="Q159" s="277" t="s">
        <x:v>118</x:v>
      </x:c>
      <x:c r="R159" s="277" t="s">
        <x:v>118</x:v>
      </x:c>
      <x:c r="S159" s="277" t="s">
        <x:v>118</x:v>
      </x:c>
      <x:c r="T159" s="277" t="s">
        <x:v>118</x:v>
      </x:c>
      <x:c r="U159" s="277" t="s">
        <x:v>118</x:v>
      </x:c>
      <x:c r="V159" s="277" t="s">
        <x:v>118</x:v>
      </x:c>
      <x:c r="W159" s="277" t="s">
        <x:v>118</x:v>
      </x:c>
      <x:c r="X159" s="277" t="s">
        <x:v>118</x:v>
      </x:c>
      <x:c r="Y159" s="277" t="s">
        <x:v>118</x:v>
      </x:c>
      <x:c r="Z159" s="277" t="s">
        <x:v>118</x:v>
      </x:c>
      <x:c r="AA159" s="277" t="s">
        <x:v>118</x:v>
      </x:c>
      <x:c r="AB159" s="277" t="s">
        <x:v>118</x:v>
      </x:c>
      <x:c r="AC159" s="277" t="s">
        <x:v>118</x:v>
      </x:c>
      <x:c r="AD159" s="277" t="s">
        <x:v>118</x:v>
      </x:c>
      <x:c r="AE159" s="277" t="s">
        <x:v>118</x:v>
      </x:c>
      <x:c r="AF159" s="277" t="s">
        <x:v>118</x:v>
      </x:c>
      <x:c r="AG159" s="277" t="s">
        <x:v>118</x:v>
      </x:c>
      <x:c r="AH159" s="277" t="s">
        <x:v>118</x:v>
      </x:c>
      <x:c r="AI159" s="277" t="s">
        <x:v>118</x:v>
      </x:c>
      <x:c r="AJ159" s="277" t="s">
        <x:v>118</x:v>
      </x:c>
      <x:c r="AK159" s="220">
        <x:f>COUNTIF(F159:AJ159,"X")</x:f>
      </x:c>
      <x:c r="AL159" s="221"/>
      <x:c r="AM159" s="221"/>
      <x:c r="AN159" s="222"/>
      <x:c r="AO159" s="222"/>
      <x:c r="AP159" s="228"/>
      <x:c r="AQ159" s="228"/>
      <x:c r="AR159" s="228"/>
      <x:c r="AS159" s="228"/>
      <x:c r="AT159" s="230"/>
    </x:row>
    <x:row r="160" spans="1:47" ht="19.9" customHeight="1">
      <x:c r="A160" s="274" t="s">
        <x:v>1356</x:v>
      </x:c>
      <x:c r="B160" s="216"/>
      <x:c r="C160" s="275" t="s">
        <x:v>1357</x:v>
      </x:c>
      <x:c r="D160" s="274" t="s">
        <x:v>528</x:v>
      </x:c>
      <x:c r="E160" s="276" t="s">
        <x:v>1358</x:v>
      </x:c>
      <x:c r="F160" s="277" t="s">
        <x:v>118</x:v>
      </x:c>
      <x:c r="G160" s="277" t="s">
        <x:v>118</x:v>
      </x:c>
      <x:c r="H160" s="277" t="s">
        <x:v>118</x:v>
      </x:c>
      <x:c r="I160" s="277" t="s">
        <x:v>118</x:v>
      </x:c>
      <x:c r="J160" s="277" t="s">
        <x:v>118</x:v>
      </x:c>
      <x:c r="K160" s="277" t="s">
        <x:v>118</x:v>
      </x:c>
      <x:c r="L160" s="277" t="s">
        <x:v>118</x:v>
      </x:c>
      <x:c r="M160" s="277" t="s">
        <x:v>118</x:v>
      </x:c>
      <x:c r="N160" s="277" t="s">
        <x:v>118</x:v>
      </x:c>
      <x:c r="O160" s="277" t="s">
        <x:v>118</x:v>
      </x:c>
      <x:c r="P160" s="277" t="s">
        <x:v>118</x:v>
      </x:c>
      <x:c r="Q160" s="277" t="s">
        <x:v>118</x:v>
      </x:c>
      <x:c r="R160" s="277" t="s">
        <x:v>118</x:v>
      </x:c>
      <x:c r="S160" s="277" t="s">
        <x:v>118</x:v>
      </x:c>
      <x:c r="T160" s="277" t="s">
        <x:v>118</x:v>
      </x:c>
      <x:c r="U160" s="277" t="s">
        <x:v>118</x:v>
      </x:c>
      <x:c r="V160" s="277" t="s">
        <x:v>118</x:v>
      </x:c>
      <x:c r="W160" s="277" t="s">
        <x:v>118</x:v>
      </x:c>
      <x:c r="X160" s="277" t="s">
        <x:v>118</x:v>
      </x:c>
      <x:c r="Y160" s="277" t="s">
        <x:v>118</x:v>
      </x:c>
      <x:c r="Z160" s="277" t="s">
        <x:v>118</x:v>
      </x:c>
      <x:c r="AA160" s="277" t="s">
        <x:v>118</x:v>
      </x:c>
      <x:c r="AB160" s="277" t="s">
        <x:v>118</x:v>
      </x:c>
      <x:c r="AC160" s="277" t="s">
        <x:v>118</x:v>
      </x:c>
      <x:c r="AD160" s="277" t="s">
        <x:v>118</x:v>
      </x:c>
      <x:c r="AE160" s="277" t="s">
        <x:v>118</x:v>
      </x:c>
      <x:c r="AF160" s="277" t="s">
        <x:v>118</x:v>
      </x:c>
      <x:c r="AG160" s="277" t="s">
        <x:v>118</x:v>
      </x:c>
      <x:c r="AH160" s="277" t="s">
        <x:v>118</x:v>
      </x:c>
      <x:c r="AI160" s="277" t="s">
        <x:v>118</x:v>
      </x:c>
      <x:c r="AJ160" s="277" t="s">
        <x:v>118</x:v>
      </x:c>
      <x:c r="AK160" s="220">
        <x:f>COUNTIF(F160:AJ160,"X")</x:f>
      </x:c>
      <x:c r="AL160" s="221"/>
      <x:c r="AM160" s="221"/>
      <x:c r="AN160" s="222"/>
      <x:c r="AO160" s="222"/>
      <x:c r="AP160" s="228"/>
      <x:c r="AQ160" s="228"/>
      <x:c r="AR160" s="228"/>
      <x:c r="AS160" s="228"/>
      <x:c r="AT160" s="230"/>
    </x:row>
    <x:row r="161" spans="1:47" ht="19.9" customHeight="1">
      <x:c r="A161" s="274" t="s">
        <x:v>1359</x:v>
      </x:c>
      <x:c r="B161" s="216"/>
      <x:c r="C161" s="275" t="s">
        <x:v>1360</x:v>
      </x:c>
      <x:c r="D161" s="274" t="s">
        <x:v>1361</x:v>
      </x:c>
      <x:c r="E161" s="276" t="s">
        <x:v>1362</x:v>
      </x:c>
      <x:c r="F161" s="277" t="s">
        <x:v>118</x:v>
      </x:c>
      <x:c r="G161" s="277" t="s">
        <x:v>118</x:v>
      </x:c>
      <x:c r="H161" s="277" t="s">
        <x:v>118</x:v>
      </x:c>
      <x:c r="I161" s="277" t="s">
        <x:v>118</x:v>
      </x:c>
      <x:c r="J161" s="277" t="s">
        <x:v>118</x:v>
      </x:c>
      <x:c r="K161" s="277" t="s">
        <x:v>118</x:v>
      </x:c>
      <x:c r="L161" s="277" t="s">
        <x:v>118</x:v>
      </x:c>
      <x:c r="M161" s="277" t="s">
        <x:v>118</x:v>
      </x:c>
      <x:c r="N161" s="277" t="s">
        <x:v>118</x:v>
      </x:c>
      <x:c r="O161" s="277" t="s">
        <x:v>118</x:v>
      </x:c>
      <x:c r="P161" s="277" t="s">
        <x:v>118</x:v>
      </x:c>
      <x:c r="Q161" s="277" t="s">
        <x:v>118</x:v>
      </x:c>
      <x:c r="R161" s="277" t="s">
        <x:v>118</x:v>
      </x:c>
      <x:c r="S161" s="277" t="s">
        <x:v>118</x:v>
      </x:c>
      <x:c r="T161" s="277" t="s">
        <x:v>118</x:v>
      </x:c>
      <x:c r="U161" s="277" t="s">
        <x:v>118</x:v>
      </x:c>
      <x:c r="V161" s="277" t="s">
        <x:v>118</x:v>
      </x:c>
      <x:c r="W161" s="277" t="s">
        <x:v>118</x:v>
      </x:c>
      <x:c r="X161" s="277" t="s">
        <x:v>118</x:v>
      </x:c>
      <x:c r="Y161" s="277" t="s">
        <x:v>118</x:v>
      </x:c>
      <x:c r="Z161" s="277" t="s">
        <x:v>118</x:v>
      </x:c>
      <x:c r="AA161" s="277" t="s">
        <x:v>118</x:v>
      </x:c>
      <x:c r="AB161" s="277" t="s">
        <x:v>118</x:v>
      </x:c>
      <x:c r="AC161" s="277" t="s">
        <x:v>118</x:v>
      </x:c>
      <x:c r="AD161" s="277" t="s">
        <x:v>118</x:v>
      </x:c>
      <x:c r="AE161" s="277" t="s">
        <x:v>118</x:v>
      </x:c>
      <x:c r="AF161" s="277" t="s">
        <x:v>118</x:v>
      </x:c>
      <x:c r="AG161" s="277" t="s">
        <x:v>118</x:v>
      </x:c>
      <x:c r="AH161" s="277" t="s">
        <x:v>118</x:v>
      </x:c>
      <x:c r="AI161" s="277" t="s">
        <x:v>118</x:v>
      </x:c>
      <x:c r="AJ161" s="277" t="s">
        <x:v>118</x:v>
      </x:c>
      <x:c r="AK161" s="220">
        <x:f>COUNTIF(F161:AJ161,"X")</x:f>
      </x:c>
      <x:c r="AL161" s="221"/>
      <x:c r="AM161" s="221"/>
      <x:c r="AN161" s="222"/>
      <x:c r="AO161" s="222"/>
      <x:c r="AP161" s="228"/>
      <x:c r="AQ161" s="228"/>
      <x:c r="AR161" s="228"/>
      <x:c r="AS161" s="228"/>
      <x:c r="AT161" s="230"/>
    </x:row>
    <x:row r="162" spans="1:47" ht="19.9" customHeight="1">
      <x:c r="A162" s="274" t="s">
        <x:v>1363</x:v>
      </x:c>
      <x:c r="B162" s="216"/>
      <x:c r="C162" s="275" t="s">
        <x:v>1364</x:v>
      </x:c>
      <x:c r="D162" s="274" t="s">
        <x:v>1361</x:v>
      </x:c>
      <x:c r="E162" s="276" t="s">
        <x:v>1365</x:v>
      </x:c>
      <x:c r="F162" s="277" t="s">
        <x:v>118</x:v>
      </x:c>
      <x:c r="G162" s="277" t="s">
        <x:v>118</x:v>
      </x:c>
      <x:c r="H162" s="277" t="s">
        <x:v>118</x:v>
      </x:c>
      <x:c r="I162" s="277" t="s">
        <x:v>118</x:v>
      </x:c>
      <x:c r="J162" s="277" t="s">
        <x:v>118</x:v>
      </x:c>
      <x:c r="K162" s="277" t="s">
        <x:v>118</x:v>
      </x:c>
      <x:c r="L162" s="277" t="s">
        <x:v>118</x:v>
      </x:c>
      <x:c r="M162" s="277" t="s">
        <x:v>118</x:v>
      </x:c>
      <x:c r="N162" s="277" t="s">
        <x:v>118</x:v>
      </x:c>
      <x:c r="O162" s="277" t="s">
        <x:v>118</x:v>
      </x:c>
      <x:c r="P162" s="277" t="s">
        <x:v>118</x:v>
      </x:c>
      <x:c r="Q162" s="277" t="s">
        <x:v>118</x:v>
      </x:c>
      <x:c r="R162" s="277" t="s">
        <x:v>118</x:v>
      </x:c>
      <x:c r="S162" s="277" t="s">
        <x:v>118</x:v>
      </x:c>
      <x:c r="T162" s="277" t="s">
        <x:v>118</x:v>
      </x:c>
      <x:c r="U162" s="277" t="s">
        <x:v>118</x:v>
      </x:c>
      <x:c r="V162" s="277" t="s">
        <x:v>118</x:v>
      </x:c>
      <x:c r="W162" s="277" t="s">
        <x:v>118</x:v>
      </x:c>
      <x:c r="X162" s="277" t="s">
        <x:v>118</x:v>
      </x:c>
      <x:c r="Y162" s="277" t="s">
        <x:v>118</x:v>
      </x:c>
      <x:c r="Z162" s="277" t="s">
        <x:v>118</x:v>
      </x:c>
      <x:c r="AA162" s="277" t="s">
        <x:v>118</x:v>
      </x:c>
      <x:c r="AB162" s="277" t="s">
        <x:v>118</x:v>
      </x:c>
      <x:c r="AC162" s="277" t="s">
        <x:v>118</x:v>
      </x:c>
      <x:c r="AD162" s="277" t="s">
        <x:v>118</x:v>
      </x:c>
      <x:c r="AE162" s="277" t="s">
        <x:v>118</x:v>
      </x:c>
      <x:c r="AF162" s="277" t="s">
        <x:v>118</x:v>
      </x:c>
      <x:c r="AG162" s="277" t="s">
        <x:v>118</x:v>
      </x:c>
      <x:c r="AH162" s="277" t="s">
        <x:v>118</x:v>
      </x:c>
      <x:c r="AI162" s="277" t="s">
        <x:v>118</x:v>
      </x:c>
      <x:c r="AJ162" s="277" t="s">
        <x:v>118</x:v>
      </x:c>
      <x:c r="AK162" s="220">
        <x:f>COUNTIF(F162:AJ162,"X")</x:f>
      </x:c>
      <x:c r="AL162" s="221"/>
      <x:c r="AM162" s="221"/>
      <x:c r="AN162" s="222"/>
      <x:c r="AO162" s="222"/>
      <x:c r="AP162" s="228"/>
      <x:c r="AQ162" s="228"/>
      <x:c r="AR162" s="228"/>
      <x:c r="AS162" s="228"/>
      <x:c r="AT162" s="230"/>
    </x:row>
    <x:row r="163" spans="1:47" ht="19.9" customHeight="1">
      <x:c r="A163" s="274" t="s">
        <x:v>1366</x:v>
      </x:c>
      <x:c r="B163" s="216"/>
      <x:c r="C163" s="275" t="s">
        <x:v>1367</x:v>
      </x:c>
      <x:c r="D163" s="274" t="s">
        <x:v>541</x:v>
      </x:c>
      <x:c r="E163" s="276" t="s">
        <x:v>1368</x:v>
      </x:c>
      <x:c r="F163" s="277" t="s">
        <x:v>118</x:v>
      </x:c>
      <x:c r="G163" s="277" t="s">
        <x:v>118</x:v>
      </x:c>
      <x:c r="H163" s="277" t="s">
        <x:v>118</x:v>
      </x:c>
      <x:c r="I163" s="277" t="s">
        <x:v>118</x:v>
      </x:c>
      <x:c r="J163" s="277" t="s">
        <x:v>118</x:v>
      </x:c>
      <x:c r="K163" s="277" t="s">
        <x:v>118</x:v>
      </x:c>
      <x:c r="L163" s="277" t="s">
        <x:v>118</x:v>
      </x:c>
      <x:c r="M163" s="277" t="s">
        <x:v>118</x:v>
      </x:c>
      <x:c r="N163" s="277" t="s">
        <x:v>118</x:v>
      </x:c>
      <x:c r="O163" s="277" t="s">
        <x:v>118</x:v>
      </x:c>
      <x:c r="P163" s="277" t="s">
        <x:v>118</x:v>
      </x:c>
      <x:c r="Q163" s="277" t="s">
        <x:v>118</x:v>
      </x:c>
      <x:c r="R163" s="277" t="s">
        <x:v>118</x:v>
      </x:c>
      <x:c r="S163" s="277" t="s">
        <x:v>118</x:v>
      </x:c>
      <x:c r="T163" s="277" t="s">
        <x:v>118</x:v>
      </x:c>
      <x:c r="U163" s="277" t="s">
        <x:v>118</x:v>
      </x:c>
      <x:c r="V163" s="277" t="s">
        <x:v>118</x:v>
      </x:c>
      <x:c r="W163" s="277" t="s">
        <x:v>118</x:v>
      </x:c>
      <x:c r="X163" s="277" t="s">
        <x:v>118</x:v>
      </x:c>
      <x:c r="Y163" s="277" t="s">
        <x:v>118</x:v>
      </x:c>
      <x:c r="Z163" s="277" t="s">
        <x:v>118</x:v>
      </x:c>
      <x:c r="AA163" s="277" t="s">
        <x:v>118</x:v>
      </x:c>
      <x:c r="AB163" s="277" t="s">
        <x:v>118</x:v>
      </x:c>
      <x:c r="AC163" s="277" t="s">
        <x:v>118</x:v>
      </x:c>
      <x:c r="AD163" s="277" t="s">
        <x:v>118</x:v>
      </x:c>
      <x:c r="AE163" s="277" t="s">
        <x:v>118</x:v>
      </x:c>
      <x:c r="AF163" s="277" t="s">
        <x:v>118</x:v>
      </x:c>
      <x:c r="AG163" s="277" t="s">
        <x:v>118</x:v>
      </x:c>
      <x:c r="AH163" s="277" t="s">
        <x:v>118</x:v>
      </x:c>
      <x:c r="AI163" s="277" t="s">
        <x:v>118</x:v>
      </x:c>
      <x:c r="AJ163" s="277" t="s">
        <x:v>118</x:v>
      </x:c>
      <x:c r="AK163" s="220">
        <x:f>COUNTIF(F163:AJ163,"X")</x:f>
      </x:c>
      <x:c r="AL163" s="221"/>
      <x:c r="AM163" s="221"/>
      <x:c r="AN163" s="222"/>
      <x:c r="AO163" s="222"/>
      <x:c r="AP163" s="228"/>
      <x:c r="AQ163" s="228"/>
      <x:c r="AR163" s="228"/>
      <x:c r="AS163" s="228"/>
      <x:c r="AT163" s="230"/>
    </x:row>
    <x:row r="164" spans="1:47" ht="19.9" customHeight="1">
      <x:c r="A164" s="274" t="s">
        <x:v>1369</x:v>
      </x:c>
      <x:c r="B164" s="216"/>
      <x:c r="C164" s="275" t="s">
        <x:v>1370</x:v>
      </x:c>
      <x:c r="D164" s="274" t="s">
        <x:v>1371</x:v>
      </x:c>
      <x:c r="E164" s="276" t="s">
        <x:v>1372</x:v>
      </x:c>
      <x:c r="F164" s="277" t="s">
        <x:v>118</x:v>
      </x:c>
      <x:c r="G164" s="277" t="s">
        <x:v>118</x:v>
      </x:c>
      <x:c r="H164" s="277" t="s">
        <x:v>118</x:v>
      </x:c>
      <x:c r="I164" s="277" t="s">
        <x:v>118</x:v>
      </x:c>
      <x:c r="J164" s="277" t="s">
        <x:v>118</x:v>
      </x:c>
      <x:c r="K164" s="277" t="s">
        <x:v>118</x:v>
      </x:c>
      <x:c r="L164" s="277" t="s">
        <x:v>118</x:v>
      </x:c>
      <x:c r="M164" s="277" t="s">
        <x:v>118</x:v>
      </x:c>
      <x:c r="N164" s="277" t="s">
        <x:v>118</x:v>
      </x:c>
      <x:c r="O164" s="277" t="s">
        <x:v>118</x:v>
      </x:c>
      <x:c r="P164" s="277" t="s">
        <x:v>118</x:v>
      </x:c>
      <x:c r="Q164" s="277" t="s">
        <x:v>118</x:v>
      </x:c>
      <x:c r="R164" s="277" t="s">
        <x:v>118</x:v>
      </x:c>
      <x:c r="S164" s="277" t="s">
        <x:v>118</x:v>
      </x:c>
      <x:c r="T164" s="277" t="s">
        <x:v>118</x:v>
      </x:c>
      <x:c r="U164" s="277" t="s">
        <x:v>118</x:v>
      </x:c>
      <x:c r="V164" s="277" t="s">
        <x:v>118</x:v>
      </x:c>
      <x:c r="W164" s="277" t="s">
        <x:v>118</x:v>
      </x:c>
      <x:c r="X164" s="277" t="s">
        <x:v>118</x:v>
      </x:c>
      <x:c r="Y164" s="277" t="s">
        <x:v>118</x:v>
      </x:c>
      <x:c r="Z164" s="277" t="s">
        <x:v>118</x:v>
      </x:c>
      <x:c r="AA164" s="277" t="s">
        <x:v>118</x:v>
      </x:c>
      <x:c r="AB164" s="277" t="s">
        <x:v>118</x:v>
      </x:c>
      <x:c r="AC164" s="277" t="s">
        <x:v>118</x:v>
      </x:c>
      <x:c r="AD164" s="277" t="s">
        <x:v>118</x:v>
      </x:c>
      <x:c r="AE164" s="277" t="s">
        <x:v>118</x:v>
      </x:c>
      <x:c r="AF164" s="277" t="s">
        <x:v>118</x:v>
      </x:c>
      <x:c r="AG164" s="277" t="s">
        <x:v>118</x:v>
      </x:c>
      <x:c r="AH164" s="277" t="s">
        <x:v>118</x:v>
      </x:c>
      <x:c r="AI164" s="277" t="s">
        <x:v>118</x:v>
      </x:c>
      <x:c r="AJ164" s="277" t="s">
        <x:v>118</x:v>
      </x:c>
      <x:c r="AK164" s="220">
        <x:f>COUNTIF(F164:AJ164,"X")</x:f>
      </x:c>
      <x:c r="AL164" s="221"/>
      <x:c r="AM164" s="221"/>
      <x:c r="AN164" s="222"/>
      <x:c r="AO164" s="222"/>
      <x:c r="AP164" s="228"/>
      <x:c r="AQ164" s="228"/>
      <x:c r="AR164" s="228"/>
      <x:c r="AS164" s="228"/>
      <x:c r="AT164" s="230"/>
    </x:row>
    <x:row r="165" spans="1:47" ht="19.9" customHeight="1">
      <x:c r="A165" s="274" t="s">
        <x:v>1373</x:v>
      </x:c>
      <x:c r="B165" s="216"/>
      <x:c r="C165" s="275" t="s">
        <x:v>1374</x:v>
      </x:c>
      <x:c r="D165" s="274" t="s">
        <x:v>1375</x:v>
      </x:c>
      <x:c r="E165" s="276" t="s">
        <x:v>1376</x:v>
      </x:c>
      <x:c r="F165" s="277" t="s">
        <x:v>118</x:v>
      </x:c>
      <x:c r="G165" s="277" t="s">
        <x:v>118</x:v>
      </x:c>
      <x:c r="H165" s="277" t="s">
        <x:v>118</x:v>
      </x:c>
      <x:c r="I165" s="277" t="s">
        <x:v>118</x:v>
      </x:c>
      <x:c r="J165" s="277" t="s">
        <x:v>118</x:v>
      </x:c>
      <x:c r="K165" s="277" t="s">
        <x:v>118</x:v>
      </x:c>
      <x:c r="L165" s="277" t="s">
        <x:v>118</x:v>
      </x:c>
      <x:c r="M165" s="277" t="s">
        <x:v>118</x:v>
      </x:c>
      <x:c r="N165" s="277" t="s">
        <x:v>118</x:v>
      </x:c>
      <x:c r="O165" s="277" t="s">
        <x:v>118</x:v>
      </x:c>
      <x:c r="P165" s="277" t="s">
        <x:v>118</x:v>
      </x:c>
      <x:c r="Q165" s="277" t="s">
        <x:v>118</x:v>
      </x:c>
      <x:c r="R165" s="277" t="s">
        <x:v>118</x:v>
      </x:c>
      <x:c r="S165" s="277" t="s">
        <x:v>118</x:v>
      </x:c>
      <x:c r="T165" s="277" t="s">
        <x:v>118</x:v>
      </x:c>
      <x:c r="U165" s="277" t="s">
        <x:v>118</x:v>
      </x:c>
      <x:c r="V165" s="277" t="s">
        <x:v>118</x:v>
      </x:c>
      <x:c r="W165" s="277" t="s">
        <x:v>118</x:v>
      </x:c>
      <x:c r="X165" s="277" t="s">
        <x:v>118</x:v>
      </x:c>
      <x:c r="Y165" s="277" t="s">
        <x:v>118</x:v>
      </x:c>
      <x:c r="Z165" s="277" t="s">
        <x:v>118</x:v>
      </x:c>
      <x:c r="AA165" s="277" t="s">
        <x:v>118</x:v>
      </x:c>
      <x:c r="AB165" s="277" t="s">
        <x:v>118</x:v>
      </x:c>
      <x:c r="AC165" s="277" t="s">
        <x:v>118</x:v>
      </x:c>
      <x:c r="AD165" s="277" t="s">
        <x:v>118</x:v>
      </x:c>
      <x:c r="AE165" s="277" t="s">
        <x:v>118</x:v>
      </x:c>
      <x:c r="AF165" s="277" t="s">
        <x:v>118</x:v>
      </x:c>
      <x:c r="AG165" s="277" t="s">
        <x:v>118</x:v>
      </x:c>
      <x:c r="AH165" s="277" t="s">
        <x:v>118</x:v>
      </x:c>
      <x:c r="AI165" s="277" t="s">
        <x:v>118</x:v>
      </x:c>
      <x:c r="AJ165" s="277" t="s">
        <x:v>118</x:v>
      </x:c>
      <x:c r="AK165" s="220">
        <x:f>COUNTIF(F165:AJ165,"X")</x:f>
      </x:c>
      <x:c r="AL165" s="221"/>
      <x:c r="AM165" s="221"/>
      <x:c r="AN165" s="222"/>
      <x:c r="AO165" s="222"/>
      <x:c r="AP165" s="228"/>
      <x:c r="AQ165" s="228"/>
      <x:c r="AR165" s="228"/>
      <x:c r="AS165" s="228"/>
      <x:c r="AT165" s="230"/>
    </x:row>
    <x:row r="166" spans="1:47" ht="19.9" customHeight="1">
      <x:c r="A166" s="274" t="s">
        <x:v>1377</x:v>
      </x:c>
      <x:c r="B166" s="216"/>
      <x:c r="C166" s="275" t="s">
        <x:v>1378</x:v>
      </x:c>
      <x:c r="D166" s="274" t="s">
        <x:v>1379</x:v>
      </x:c>
      <x:c r="E166" s="276" t="s">
        <x:v>948</x:v>
      </x:c>
      <x:c r="F166" s="277" t="s">
        <x:v>118</x:v>
      </x:c>
      <x:c r="G166" s="277" t="s">
        <x:v>118</x:v>
      </x:c>
      <x:c r="H166" s="277" t="s">
        <x:v>118</x:v>
      </x:c>
      <x:c r="I166" s="277" t="s">
        <x:v>118</x:v>
      </x:c>
      <x:c r="J166" s="277" t="s">
        <x:v>118</x:v>
      </x:c>
      <x:c r="K166" s="277" t="s">
        <x:v>118</x:v>
      </x:c>
      <x:c r="L166" s="277" t="s">
        <x:v>118</x:v>
      </x:c>
      <x:c r="M166" s="277" t="s">
        <x:v>118</x:v>
      </x:c>
      <x:c r="N166" s="277" t="s">
        <x:v>118</x:v>
      </x:c>
      <x:c r="O166" s="277" t="s">
        <x:v>118</x:v>
      </x:c>
      <x:c r="P166" s="277" t="s">
        <x:v>118</x:v>
      </x:c>
      <x:c r="Q166" s="277" t="s">
        <x:v>118</x:v>
      </x:c>
      <x:c r="R166" s="277" t="s">
        <x:v>118</x:v>
      </x:c>
      <x:c r="S166" s="277" t="s">
        <x:v>118</x:v>
      </x:c>
      <x:c r="T166" s="277" t="s">
        <x:v>118</x:v>
      </x:c>
      <x:c r="U166" s="277" t="s">
        <x:v>118</x:v>
      </x:c>
      <x:c r="V166" s="277" t="s">
        <x:v>118</x:v>
      </x:c>
      <x:c r="W166" s="277" t="s">
        <x:v>118</x:v>
      </x:c>
      <x:c r="X166" s="277" t="s">
        <x:v>118</x:v>
      </x:c>
      <x:c r="Y166" s="277" t="s">
        <x:v>118</x:v>
      </x:c>
      <x:c r="Z166" s="277" t="s">
        <x:v>118</x:v>
      </x:c>
      <x:c r="AA166" s="277" t="s">
        <x:v>118</x:v>
      </x:c>
      <x:c r="AB166" s="277" t="s">
        <x:v>118</x:v>
      </x:c>
      <x:c r="AC166" s="277" t="s">
        <x:v>118</x:v>
      </x:c>
      <x:c r="AD166" s="277" t="s">
        <x:v>118</x:v>
      </x:c>
      <x:c r="AE166" s="277" t="s">
        <x:v>118</x:v>
      </x:c>
      <x:c r="AF166" s="277" t="s">
        <x:v>118</x:v>
      </x:c>
      <x:c r="AG166" s="277" t="s">
        <x:v>118</x:v>
      </x:c>
      <x:c r="AH166" s="277" t="s">
        <x:v>118</x:v>
      </x:c>
      <x:c r="AI166" s="277" t="s">
        <x:v>118</x:v>
      </x:c>
      <x:c r="AJ166" s="277" t="s">
        <x:v>118</x:v>
      </x:c>
      <x:c r="AK166" s="220">
        <x:f>COUNTIF(F166:AJ166,"X")</x:f>
      </x:c>
      <x:c r="AL166" s="221"/>
      <x:c r="AM166" s="221"/>
      <x:c r="AN166" s="222"/>
      <x:c r="AO166" s="222"/>
      <x:c r="AP166" s="228"/>
      <x:c r="AQ166" s="228"/>
      <x:c r="AR166" s="228"/>
      <x:c r="AS166" s="228"/>
      <x:c r="AT166" s="230"/>
    </x:row>
    <x:row r="167" spans="1:47" ht="19.9" customHeight="1">
      <x:c r="A167" s="274" t="s">
        <x:v>1380</x:v>
      </x:c>
      <x:c r="B167" s="216"/>
      <x:c r="C167" s="275" t="s">
        <x:v>1381</x:v>
      </x:c>
      <x:c r="D167" s="274" t="s">
        <x:v>1382</x:v>
      </x:c>
      <x:c r="E167" s="276" t="s">
        <x:v>1383</x:v>
      </x:c>
      <x:c r="F167" s="277" t="s">
        <x:v>118</x:v>
      </x:c>
      <x:c r="G167" s="277" t="s">
        <x:v>118</x:v>
      </x:c>
      <x:c r="H167" s="277" t="s">
        <x:v>118</x:v>
      </x:c>
      <x:c r="I167" s="277" t="s">
        <x:v>118</x:v>
      </x:c>
      <x:c r="J167" s="277" t="s">
        <x:v>118</x:v>
      </x:c>
      <x:c r="K167" s="277" t="s">
        <x:v>118</x:v>
      </x:c>
      <x:c r="L167" s="277" t="s">
        <x:v>118</x:v>
      </x:c>
      <x:c r="M167" s="277" t="s">
        <x:v>118</x:v>
      </x:c>
      <x:c r="N167" s="277" t="s">
        <x:v>118</x:v>
      </x:c>
      <x:c r="O167" s="277" t="s">
        <x:v>118</x:v>
      </x:c>
      <x:c r="P167" s="277" t="s">
        <x:v>118</x:v>
      </x:c>
      <x:c r="Q167" s="277" t="s">
        <x:v>118</x:v>
      </x:c>
      <x:c r="R167" s="277" t="s">
        <x:v>118</x:v>
      </x:c>
      <x:c r="S167" s="277" t="s">
        <x:v>118</x:v>
      </x:c>
      <x:c r="T167" s="277" t="s">
        <x:v>118</x:v>
      </x:c>
      <x:c r="U167" s="277" t="s">
        <x:v>118</x:v>
      </x:c>
      <x:c r="V167" s="277" t="s">
        <x:v>118</x:v>
      </x:c>
      <x:c r="W167" s="277" t="s">
        <x:v>118</x:v>
      </x:c>
      <x:c r="X167" s="277" t="s">
        <x:v>118</x:v>
      </x:c>
      <x:c r="Y167" s="277" t="s">
        <x:v>118</x:v>
      </x:c>
      <x:c r="Z167" s="277" t="s">
        <x:v>118</x:v>
      </x:c>
      <x:c r="AA167" s="277" t="s">
        <x:v>118</x:v>
      </x:c>
      <x:c r="AB167" s="277" t="s">
        <x:v>118</x:v>
      </x:c>
      <x:c r="AC167" s="277" t="s">
        <x:v>118</x:v>
      </x:c>
      <x:c r="AD167" s="277" t="s">
        <x:v>118</x:v>
      </x:c>
      <x:c r="AE167" s="277" t="s">
        <x:v>118</x:v>
      </x:c>
      <x:c r="AF167" s="277" t="s">
        <x:v>118</x:v>
      </x:c>
      <x:c r="AG167" s="277" t="s">
        <x:v>118</x:v>
      </x:c>
      <x:c r="AH167" s="277" t="s">
        <x:v>118</x:v>
      </x:c>
      <x:c r="AI167" s="277" t="s">
        <x:v>118</x:v>
      </x:c>
      <x:c r="AJ167" s="277" t="s">
        <x:v>118</x:v>
      </x:c>
      <x:c r="AK167" s="220">
        <x:f>COUNTIF(F167:AJ167,"X")</x:f>
      </x:c>
      <x:c r="AL167" s="221"/>
      <x:c r="AM167" s="221"/>
      <x:c r="AN167" s="222"/>
      <x:c r="AO167" s="222"/>
      <x:c r="AP167" s="228"/>
      <x:c r="AQ167" s="228"/>
      <x:c r="AR167" s="228"/>
      <x:c r="AS167" s="228"/>
      <x:c r="AT167" s="230"/>
    </x:row>
    <x:row r="168" spans="1:47" ht="19.9" customHeight="1">
      <x:c r="A168" s="274" t="s">
        <x:v>1384</x:v>
      </x:c>
      <x:c r="B168" s="216"/>
      <x:c r="C168" s="275" t="s">
        <x:v>1385</x:v>
      </x:c>
      <x:c r="D168" s="274" t="s">
        <x:v>562</x:v>
      </x:c>
      <x:c r="E168" s="276" t="s">
        <x:v>1386</x:v>
      </x:c>
      <x:c r="F168" s="277" t="s">
        <x:v>118</x:v>
      </x:c>
      <x:c r="G168" s="277" t="s">
        <x:v>118</x:v>
      </x:c>
      <x:c r="H168" s="277" t="s">
        <x:v>118</x:v>
      </x:c>
      <x:c r="I168" s="277" t="s">
        <x:v>118</x:v>
      </x:c>
      <x:c r="J168" s="277" t="s">
        <x:v>118</x:v>
      </x:c>
      <x:c r="K168" s="277" t="s">
        <x:v>118</x:v>
      </x:c>
      <x:c r="L168" s="277" t="s">
        <x:v>118</x:v>
      </x:c>
      <x:c r="M168" s="277" t="s">
        <x:v>118</x:v>
      </x:c>
      <x:c r="N168" s="277" t="s">
        <x:v>118</x:v>
      </x:c>
      <x:c r="O168" s="277" t="s">
        <x:v>118</x:v>
      </x:c>
      <x:c r="P168" s="277" t="s">
        <x:v>118</x:v>
      </x:c>
      <x:c r="Q168" s="277" t="s">
        <x:v>118</x:v>
      </x:c>
      <x:c r="R168" s="277" t="s">
        <x:v>118</x:v>
      </x:c>
      <x:c r="S168" s="277" t="s">
        <x:v>118</x:v>
      </x:c>
      <x:c r="T168" s="277" t="s">
        <x:v>118</x:v>
      </x:c>
      <x:c r="U168" s="277" t="s">
        <x:v>118</x:v>
      </x:c>
      <x:c r="V168" s="277" t="s">
        <x:v>118</x:v>
      </x:c>
      <x:c r="W168" s="277" t="s">
        <x:v>118</x:v>
      </x:c>
      <x:c r="X168" s="277" t="s">
        <x:v>118</x:v>
      </x:c>
      <x:c r="Y168" s="277" t="s">
        <x:v>118</x:v>
      </x:c>
      <x:c r="Z168" s="277" t="s">
        <x:v>118</x:v>
      </x:c>
      <x:c r="AA168" s="277" t="s">
        <x:v>118</x:v>
      </x:c>
      <x:c r="AB168" s="277" t="s">
        <x:v>118</x:v>
      </x:c>
      <x:c r="AC168" s="277" t="s">
        <x:v>118</x:v>
      </x:c>
      <x:c r="AD168" s="277" t="s">
        <x:v>118</x:v>
      </x:c>
      <x:c r="AE168" s="277" t="s">
        <x:v>118</x:v>
      </x:c>
      <x:c r="AF168" s="277" t="s">
        <x:v>118</x:v>
      </x:c>
      <x:c r="AG168" s="277" t="s">
        <x:v>118</x:v>
      </x:c>
      <x:c r="AH168" s="277" t="s">
        <x:v>118</x:v>
      </x:c>
      <x:c r="AI168" s="277" t="s">
        <x:v>118</x:v>
      </x:c>
      <x:c r="AJ168" s="277" t="s">
        <x:v>118</x:v>
      </x:c>
      <x:c r="AK168" s="220">
        <x:f>COUNTIF(F168:AJ168,"X")</x:f>
      </x:c>
      <x:c r="AL168" s="221"/>
      <x:c r="AM168" s="221"/>
      <x:c r="AN168" s="222"/>
      <x:c r="AO168" s="222"/>
      <x:c r="AP168" s="228"/>
      <x:c r="AQ168" s="228"/>
      <x:c r="AR168" s="228"/>
      <x:c r="AS168" s="228"/>
      <x:c r="AT168" s="230"/>
    </x:row>
    <x:row r="169" spans="1:47" ht="19.9" customHeight="1">
      <x:c r="A169" s="274" t="s">
        <x:v>1387</x:v>
      </x:c>
      <x:c r="B169" s="216"/>
      <x:c r="C169" s="275" t="s">
        <x:v>1388</x:v>
      </x:c>
      <x:c r="D169" s="274" t="s">
        <x:v>1389</x:v>
      </x:c>
      <x:c r="E169" s="276" t="s">
        <x:v>397</x:v>
      </x:c>
      <x:c r="F169" s="277" t="s">
        <x:v>118</x:v>
      </x:c>
      <x:c r="G169" s="277" t="s">
        <x:v>118</x:v>
      </x:c>
      <x:c r="H169" s="277" t="s">
        <x:v>118</x:v>
      </x:c>
      <x:c r="I169" s="277" t="s">
        <x:v>118</x:v>
      </x:c>
      <x:c r="J169" s="277" t="s">
        <x:v>118</x:v>
      </x:c>
      <x:c r="K169" s="277" t="s">
        <x:v>118</x:v>
      </x:c>
      <x:c r="L169" s="277" t="s">
        <x:v>118</x:v>
      </x:c>
      <x:c r="M169" s="277" t="s">
        <x:v>118</x:v>
      </x:c>
      <x:c r="N169" s="277" t="s">
        <x:v>118</x:v>
      </x:c>
      <x:c r="O169" s="277" t="s">
        <x:v>118</x:v>
      </x:c>
      <x:c r="P169" s="277" t="s">
        <x:v>118</x:v>
      </x:c>
      <x:c r="Q169" s="277" t="s">
        <x:v>118</x:v>
      </x:c>
      <x:c r="R169" s="277" t="s">
        <x:v>118</x:v>
      </x:c>
      <x:c r="S169" s="277" t="s">
        <x:v>118</x:v>
      </x:c>
      <x:c r="T169" s="277" t="s">
        <x:v>118</x:v>
      </x:c>
      <x:c r="U169" s="277" t="s">
        <x:v>118</x:v>
      </x:c>
      <x:c r="V169" s="277" t="s">
        <x:v>118</x:v>
      </x:c>
      <x:c r="W169" s="277" t="s">
        <x:v>118</x:v>
      </x:c>
      <x:c r="X169" s="277" t="s">
        <x:v>118</x:v>
      </x:c>
      <x:c r="Y169" s="277" t="s">
        <x:v>118</x:v>
      </x:c>
      <x:c r="Z169" s="277" t="s">
        <x:v>118</x:v>
      </x:c>
      <x:c r="AA169" s="277" t="s">
        <x:v>118</x:v>
      </x:c>
      <x:c r="AB169" s="277" t="s">
        <x:v>118</x:v>
      </x:c>
      <x:c r="AC169" s="277" t="s">
        <x:v>118</x:v>
      </x:c>
      <x:c r="AD169" s="277" t="s">
        <x:v>118</x:v>
      </x:c>
      <x:c r="AE169" s="277" t="s">
        <x:v>118</x:v>
      </x:c>
      <x:c r="AF169" s="277" t="s">
        <x:v>118</x:v>
      </x:c>
      <x:c r="AG169" s="277" t="s">
        <x:v>118</x:v>
      </x:c>
      <x:c r="AH169" s="277" t="s">
        <x:v>118</x:v>
      </x:c>
      <x:c r="AI169" s="277" t="s">
        <x:v>118</x:v>
      </x:c>
      <x:c r="AJ169" s="277" t="s">
        <x:v>118</x:v>
      </x:c>
      <x:c r="AK169" s="220">
        <x:f>COUNTIF(F169:AJ169,"X")</x:f>
      </x:c>
      <x:c r="AL169" s="221"/>
      <x:c r="AM169" s="221"/>
      <x:c r="AN169" s="222"/>
      <x:c r="AO169" s="222"/>
      <x:c r="AP169" s="228"/>
      <x:c r="AQ169" s="228"/>
      <x:c r="AR169" s="228"/>
      <x:c r="AS169" s="228"/>
      <x:c r="AT169" s="230"/>
    </x:row>
    <x:row r="170" spans="1:47" ht="19.9" customHeight="1">
      <x:c r="A170" s="274" t="s">
        <x:v>1390</x:v>
      </x:c>
      <x:c r="B170" s="216"/>
      <x:c r="C170" s="275" t="s">
        <x:v>1391</x:v>
      </x:c>
      <x:c r="D170" s="274" t="s">
        <x:v>1392</x:v>
      </x:c>
      <x:c r="E170" s="276" t="s">
        <x:v>1393</x:v>
      </x:c>
      <x:c r="F170" s="277" t="s">
        <x:v>118</x:v>
      </x:c>
      <x:c r="G170" s="277" t="s">
        <x:v>118</x:v>
      </x:c>
      <x:c r="H170" s="277" t="s">
        <x:v>118</x:v>
      </x:c>
      <x:c r="I170" s="277" t="s">
        <x:v>118</x:v>
      </x:c>
      <x:c r="J170" s="277" t="s">
        <x:v>118</x:v>
      </x:c>
      <x:c r="K170" s="277" t="s">
        <x:v>118</x:v>
      </x:c>
      <x:c r="L170" s="277" t="s">
        <x:v>118</x:v>
      </x:c>
      <x:c r="M170" s="277" t="s">
        <x:v>118</x:v>
      </x:c>
      <x:c r="N170" s="277" t="s">
        <x:v>118</x:v>
      </x:c>
      <x:c r="O170" s="277" t="s">
        <x:v>118</x:v>
      </x:c>
      <x:c r="P170" s="277" t="s">
        <x:v>118</x:v>
      </x:c>
      <x:c r="Q170" s="277" t="s">
        <x:v>118</x:v>
      </x:c>
      <x:c r="R170" s="277" t="s">
        <x:v>118</x:v>
      </x:c>
      <x:c r="S170" s="277" t="s">
        <x:v>118</x:v>
      </x:c>
      <x:c r="T170" s="277" t="s">
        <x:v>118</x:v>
      </x:c>
      <x:c r="U170" s="277" t="s">
        <x:v>118</x:v>
      </x:c>
      <x:c r="V170" s="277" t="s">
        <x:v>118</x:v>
      </x:c>
      <x:c r="W170" s="277" t="s">
        <x:v>118</x:v>
      </x:c>
      <x:c r="X170" s="277" t="s">
        <x:v>118</x:v>
      </x:c>
      <x:c r="Y170" s="277" t="s">
        <x:v>118</x:v>
      </x:c>
      <x:c r="Z170" s="277" t="s">
        <x:v>118</x:v>
      </x:c>
      <x:c r="AA170" s="277" t="s">
        <x:v>118</x:v>
      </x:c>
      <x:c r="AB170" s="277" t="s">
        <x:v>118</x:v>
      </x:c>
      <x:c r="AC170" s="277" t="s">
        <x:v>118</x:v>
      </x:c>
      <x:c r="AD170" s="277" t="s">
        <x:v>118</x:v>
      </x:c>
      <x:c r="AE170" s="277" t="s">
        <x:v>118</x:v>
      </x:c>
      <x:c r="AF170" s="277" t="s">
        <x:v>118</x:v>
      </x:c>
      <x:c r="AG170" s="277" t="s">
        <x:v>118</x:v>
      </x:c>
      <x:c r="AH170" s="277" t="s">
        <x:v>118</x:v>
      </x:c>
      <x:c r="AI170" s="277" t="s">
        <x:v>118</x:v>
      </x:c>
      <x:c r="AJ170" s="277" t="s">
        <x:v>118</x:v>
      </x:c>
      <x:c r="AK170" s="220">
        <x:f>COUNTIF(F170:AJ170,"X")</x:f>
      </x:c>
      <x:c r="AL170" s="221"/>
      <x:c r="AM170" s="221"/>
      <x:c r="AN170" s="222"/>
      <x:c r="AO170" s="222"/>
      <x:c r="AP170" s="228"/>
      <x:c r="AQ170" s="228"/>
      <x:c r="AR170" s="228"/>
      <x:c r="AS170" s="228"/>
      <x:c r="AT170" s="233"/>
    </x:row>
    <x:row r="171" spans="1:47" ht="19.9" customHeight="1">
      <x:c r="A171" s="274" t="s">
        <x:v>1394</x:v>
      </x:c>
      <x:c r="B171" s="216"/>
      <x:c r="C171" s="275" t="s">
        <x:v>1395</x:v>
      </x:c>
      <x:c r="D171" s="274" t="s">
        <x:v>588</x:v>
      </x:c>
      <x:c r="E171" s="276" t="s">
        <x:v>1396</x:v>
      </x:c>
      <x:c r="F171" s="277" t="s">
        <x:v>118</x:v>
      </x:c>
      <x:c r="G171" s="277" t="s">
        <x:v>118</x:v>
      </x:c>
      <x:c r="H171" s="277" t="s">
        <x:v>118</x:v>
      </x:c>
      <x:c r="I171" s="277" t="s">
        <x:v>118</x:v>
      </x:c>
      <x:c r="J171" s="277" t="s">
        <x:v>118</x:v>
      </x:c>
      <x:c r="K171" s="277" t="s">
        <x:v>118</x:v>
      </x:c>
      <x:c r="L171" s="277" t="s">
        <x:v>118</x:v>
      </x:c>
      <x:c r="M171" s="277" t="s">
        <x:v>118</x:v>
      </x:c>
      <x:c r="N171" s="277" t="s">
        <x:v>118</x:v>
      </x:c>
      <x:c r="O171" s="277" t="s">
        <x:v>118</x:v>
      </x:c>
      <x:c r="P171" s="277" t="s">
        <x:v>118</x:v>
      </x:c>
      <x:c r="Q171" s="277" t="s">
        <x:v>118</x:v>
      </x:c>
      <x:c r="R171" s="277" t="s">
        <x:v>118</x:v>
      </x:c>
      <x:c r="S171" s="277" t="s">
        <x:v>118</x:v>
      </x:c>
      <x:c r="T171" s="277" t="s">
        <x:v>118</x:v>
      </x:c>
      <x:c r="U171" s="277" t="s">
        <x:v>118</x:v>
      </x:c>
      <x:c r="V171" s="277" t="s">
        <x:v>118</x:v>
      </x:c>
      <x:c r="W171" s="277" t="s">
        <x:v>118</x:v>
      </x:c>
      <x:c r="X171" s="277" t="s">
        <x:v>118</x:v>
      </x:c>
      <x:c r="Y171" s="277" t="s">
        <x:v>118</x:v>
      </x:c>
      <x:c r="Z171" s="277" t="s">
        <x:v>118</x:v>
      </x:c>
      <x:c r="AA171" s="277" t="s">
        <x:v>118</x:v>
      </x:c>
      <x:c r="AB171" s="277" t="s">
        <x:v>118</x:v>
      </x:c>
      <x:c r="AC171" s="277" t="s">
        <x:v>118</x:v>
      </x:c>
      <x:c r="AD171" s="277" t="s">
        <x:v>118</x:v>
      </x:c>
      <x:c r="AE171" s="277" t="s">
        <x:v>118</x:v>
      </x:c>
      <x:c r="AF171" s="277" t="s">
        <x:v>118</x:v>
      </x:c>
      <x:c r="AG171" s="277" t="s">
        <x:v>118</x:v>
      </x:c>
      <x:c r="AH171" s="277" t="s">
        <x:v>118</x:v>
      </x:c>
      <x:c r="AI171" s="277" t="s">
        <x:v>118</x:v>
      </x:c>
      <x:c r="AJ171" s="277" t="s">
        <x:v>118</x:v>
      </x:c>
      <x:c r="AK171" s="220">
        <x:f>COUNTIF(F171:AJ171,"X")</x:f>
      </x:c>
      <x:c r="AL171" s="221"/>
      <x:c r="AM171" s="221"/>
      <x:c r="AN171" s="222"/>
      <x:c r="AO171" s="222"/>
      <x:c r="AP171" s="228"/>
      <x:c r="AQ171" s="228"/>
      <x:c r="AR171" s="228"/>
      <x:c r="AS171" s="228"/>
      <x:c r="AT171" s="230"/>
    </x:row>
    <x:row r="172" spans="1:47" ht="19.9" customHeight="1">
      <x:c r="A172" s="274" t="s">
        <x:v>593</x:v>
      </x:c>
      <x:c r="B172" s="216"/>
      <x:c r="C172" s="275" t="s">
        <x:v>1397</x:v>
      </x:c>
      <x:c r="D172" s="274" t="s">
        <x:v>588</x:v>
      </x:c>
      <x:c r="E172" s="276" t="s">
        <x:v>209</x:v>
      </x:c>
      <x:c r="F172" s="277" t="s">
        <x:v>118</x:v>
      </x:c>
      <x:c r="G172" s="277" t="s">
        <x:v>118</x:v>
      </x:c>
      <x:c r="H172" s="277" t="s">
        <x:v>118</x:v>
      </x:c>
      <x:c r="I172" s="277" t="s">
        <x:v>118</x:v>
      </x:c>
      <x:c r="J172" s="277" t="s">
        <x:v>118</x:v>
      </x:c>
      <x:c r="K172" s="277" t="s">
        <x:v>118</x:v>
      </x:c>
      <x:c r="L172" s="277" t="s">
        <x:v>118</x:v>
      </x:c>
      <x:c r="M172" s="277" t="s">
        <x:v>118</x:v>
      </x:c>
      <x:c r="N172" s="277" t="s">
        <x:v>118</x:v>
      </x:c>
      <x:c r="O172" s="277" t="s">
        <x:v>118</x:v>
      </x:c>
      <x:c r="P172" s="277" t="s">
        <x:v>118</x:v>
      </x:c>
      <x:c r="Q172" s="277" t="s">
        <x:v>118</x:v>
      </x:c>
      <x:c r="R172" s="277" t="s">
        <x:v>118</x:v>
      </x:c>
      <x:c r="S172" s="277" t="s">
        <x:v>118</x:v>
      </x:c>
      <x:c r="T172" s="277" t="s">
        <x:v>118</x:v>
      </x:c>
      <x:c r="U172" s="277" t="s">
        <x:v>118</x:v>
      </x:c>
      <x:c r="V172" s="277" t="s">
        <x:v>118</x:v>
      </x:c>
      <x:c r="W172" s="277" t="s">
        <x:v>118</x:v>
      </x:c>
      <x:c r="X172" s="277" t="s">
        <x:v>118</x:v>
      </x:c>
      <x:c r="Y172" s="277" t="s">
        <x:v>118</x:v>
      </x:c>
      <x:c r="Z172" s="277" t="s">
        <x:v>118</x:v>
      </x:c>
      <x:c r="AA172" s="277" t="s">
        <x:v>118</x:v>
      </x:c>
      <x:c r="AB172" s="277" t="s">
        <x:v>118</x:v>
      </x:c>
      <x:c r="AC172" s="277" t="s">
        <x:v>118</x:v>
      </x:c>
      <x:c r="AD172" s="277" t="s">
        <x:v>118</x:v>
      </x:c>
      <x:c r="AE172" s="277" t="s">
        <x:v>118</x:v>
      </x:c>
      <x:c r="AF172" s="277" t="s">
        <x:v>118</x:v>
      </x:c>
      <x:c r="AG172" s="277" t="s">
        <x:v>118</x:v>
      </x:c>
      <x:c r="AH172" s="277" t="s">
        <x:v>118</x:v>
      </x:c>
      <x:c r="AI172" s="277" t="s">
        <x:v>118</x:v>
      </x:c>
      <x:c r="AJ172" s="277" t="s">
        <x:v>118</x:v>
      </x:c>
      <x:c r="AK172" s="220">
        <x:f>COUNTIF(F172:AJ172,"X")</x:f>
      </x:c>
      <x:c r="AL172" s="221"/>
      <x:c r="AM172" s="221"/>
      <x:c r="AN172" s="222"/>
      <x:c r="AO172" s="222"/>
      <x:c r="AP172" s="228"/>
      <x:c r="AQ172" s="228"/>
      <x:c r="AR172" s="228"/>
      <x:c r="AS172" s="228"/>
      <x:c r="AT172" s="230"/>
    </x:row>
    <x:row r="173" spans="1:47" ht="19.9" customHeight="1">
      <x:c r="A173" s="274" t="s">
        <x:v>1398</x:v>
      </x:c>
      <x:c r="B173" s="216"/>
      <x:c r="C173" s="275" t="s">
        <x:v>1399</x:v>
      </x:c>
      <x:c r="D173" s="274" t="s">
        <x:v>588</x:v>
      </x:c>
      <x:c r="E173" s="276" t="s">
        <x:v>1400</x:v>
      </x:c>
      <x:c r="F173" s="277" t="s">
        <x:v>118</x:v>
      </x:c>
      <x:c r="G173" s="277" t="s">
        <x:v>118</x:v>
      </x:c>
      <x:c r="H173" s="277" t="s">
        <x:v>118</x:v>
      </x:c>
      <x:c r="I173" s="277" t="s">
        <x:v>118</x:v>
      </x:c>
      <x:c r="J173" s="277" t="s">
        <x:v>118</x:v>
      </x:c>
      <x:c r="K173" s="277" t="s">
        <x:v>118</x:v>
      </x:c>
      <x:c r="L173" s="277" t="s">
        <x:v>118</x:v>
      </x:c>
      <x:c r="M173" s="277" t="s">
        <x:v>118</x:v>
      </x:c>
      <x:c r="N173" s="277" t="s">
        <x:v>118</x:v>
      </x:c>
      <x:c r="O173" s="277" t="s">
        <x:v>118</x:v>
      </x:c>
      <x:c r="P173" s="277" t="s">
        <x:v>118</x:v>
      </x:c>
      <x:c r="Q173" s="277" t="s">
        <x:v>118</x:v>
      </x:c>
      <x:c r="R173" s="277" t="s">
        <x:v>118</x:v>
      </x:c>
      <x:c r="S173" s="277" t="s">
        <x:v>118</x:v>
      </x:c>
      <x:c r="T173" s="277" t="s">
        <x:v>118</x:v>
      </x:c>
      <x:c r="U173" s="277" t="s">
        <x:v>118</x:v>
      </x:c>
      <x:c r="V173" s="277" t="s">
        <x:v>118</x:v>
      </x:c>
      <x:c r="W173" s="277" t="s">
        <x:v>118</x:v>
      </x:c>
      <x:c r="X173" s="277" t="s">
        <x:v>118</x:v>
      </x:c>
      <x:c r="Y173" s="277" t="s">
        <x:v>118</x:v>
      </x:c>
      <x:c r="Z173" s="277" t="s">
        <x:v>118</x:v>
      </x:c>
      <x:c r="AA173" s="277" t="s">
        <x:v>118</x:v>
      </x:c>
      <x:c r="AB173" s="277" t="s">
        <x:v>118</x:v>
      </x:c>
      <x:c r="AC173" s="277" t="s">
        <x:v>118</x:v>
      </x:c>
      <x:c r="AD173" s="277" t="s">
        <x:v>118</x:v>
      </x:c>
      <x:c r="AE173" s="277" t="s">
        <x:v>118</x:v>
      </x:c>
      <x:c r="AF173" s="277" t="s">
        <x:v>118</x:v>
      </x:c>
      <x:c r="AG173" s="277" t="s">
        <x:v>118</x:v>
      </x:c>
      <x:c r="AH173" s="277" t="s">
        <x:v>118</x:v>
      </x:c>
      <x:c r="AI173" s="277" t="s">
        <x:v>118</x:v>
      </x:c>
      <x:c r="AJ173" s="277" t="s">
        <x:v>118</x:v>
      </x:c>
      <x:c r="AK173" s="220">
        <x:f>COUNTIF(F173:AJ173,"X")</x:f>
      </x:c>
      <x:c r="AL173" s="221"/>
      <x:c r="AM173" s="221"/>
      <x:c r="AN173" s="222"/>
      <x:c r="AO173" s="222"/>
      <x:c r="AP173" s="228"/>
      <x:c r="AQ173" s="228"/>
      <x:c r="AR173" s="228"/>
      <x:c r="AS173" s="228"/>
      <x:c r="AT173" s="230"/>
    </x:row>
    <x:row r="174" spans="1:47" ht="19.9" customHeight="1">
      <x:c r="A174" s="274" t="s">
        <x:v>1401</x:v>
      </x:c>
      <x:c r="B174" s="216"/>
      <x:c r="C174" s="275" t="s">
        <x:v>1402</x:v>
      </x:c>
      <x:c r="D174" s="274" t="s">
        <x:v>588</x:v>
      </x:c>
      <x:c r="E174" s="276" t="s">
        <x:v>170</x:v>
      </x:c>
      <x:c r="F174" s="277" t="s">
        <x:v>118</x:v>
      </x:c>
      <x:c r="G174" s="277" t="s">
        <x:v>118</x:v>
      </x:c>
      <x:c r="H174" s="277" t="s">
        <x:v>118</x:v>
      </x:c>
      <x:c r="I174" s="277" t="s">
        <x:v>118</x:v>
      </x:c>
      <x:c r="J174" s="277" t="s">
        <x:v>118</x:v>
      </x:c>
      <x:c r="K174" s="277" t="s">
        <x:v>118</x:v>
      </x:c>
      <x:c r="L174" s="277" t="s">
        <x:v>118</x:v>
      </x:c>
      <x:c r="M174" s="277" t="s">
        <x:v>118</x:v>
      </x:c>
      <x:c r="N174" s="277" t="s">
        <x:v>118</x:v>
      </x:c>
      <x:c r="O174" s="277" t="s">
        <x:v>118</x:v>
      </x:c>
      <x:c r="P174" s="277" t="s">
        <x:v>118</x:v>
      </x:c>
      <x:c r="Q174" s="277" t="s">
        <x:v>118</x:v>
      </x:c>
      <x:c r="R174" s="277" t="s">
        <x:v>118</x:v>
      </x:c>
      <x:c r="S174" s="277" t="s">
        <x:v>118</x:v>
      </x:c>
      <x:c r="T174" s="277" t="s">
        <x:v>118</x:v>
      </x:c>
      <x:c r="U174" s="277" t="s">
        <x:v>118</x:v>
      </x:c>
      <x:c r="V174" s="277" t="s">
        <x:v>118</x:v>
      </x:c>
      <x:c r="W174" s="277" t="s">
        <x:v>118</x:v>
      </x:c>
      <x:c r="X174" s="277" t="s">
        <x:v>118</x:v>
      </x:c>
      <x:c r="Y174" s="277" t="s">
        <x:v>118</x:v>
      </x:c>
      <x:c r="Z174" s="277" t="s">
        <x:v>118</x:v>
      </x:c>
      <x:c r="AA174" s="277" t="s">
        <x:v>118</x:v>
      </x:c>
      <x:c r="AB174" s="277" t="s">
        <x:v>118</x:v>
      </x:c>
      <x:c r="AC174" s="277" t="s">
        <x:v>118</x:v>
      </x:c>
      <x:c r="AD174" s="277" t="s">
        <x:v>118</x:v>
      </x:c>
      <x:c r="AE174" s="277" t="s">
        <x:v>118</x:v>
      </x:c>
      <x:c r="AF174" s="277" t="s">
        <x:v>118</x:v>
      </x:c>
      <x:c r="AG174" s="277" t="s">
        <x:v>118</x:v>
      </x:c>
      <x:c r="AH174" s="277" t="s">
        <x:v>118</x:v>
      </x:c>
      <x:c r="AI174" s="277" t="s">
        <x:v>118</x:v>
      </x:c>
      <x:c r="AJ174" s="277" t="s">
        <x:v>118</x:v>
      </x:c>
      <x:c r="AK174" s="220">
        <x:f>COUNTIF(F174:AJ174,"X")</x:f>
      </x:c>
      <x:c r="AL174" s="221"/>
      <x:c r="AM174" s="221"/>
      <x:c r="AN174" s="222"/>
      <x:c r="AO174" s="222"/>
      <x:c r="AP174" s="228"/>
      <x:c r="AQ174" s="228"/>
      <x:c r="AR174" s="228"/>
      <x:c r="AS174" s="228"/>
      <x:c r="AT174" s="233"/>
    </x:row>
    <x:row r="175" spans="1:47" ht="19.9" customHeight="1">
      <x:c r="A175" s="274" t="s">
        <x:v>1403</x:v>
      </x:c>
      <x:c r="B175" s="216"/>
      <x:c r="C175" s="275" t="s">
        <x:v>1404</x:v>
      </x:c>
      <x:c r="D175" s="274" t="s">
        <x:v>1405</x:v>
      </x:c>
      <x:c r="E175" s="276" t="s">
        <x:v>888</x:v>
      </x:c>
      <x:c r="F175" s="277" t="s">
        <x:v>118</x:v>
      </x:c>
      <x:c r="G175" s="277" t="s">
        <x:v>118</x:v>
      </x:c>
      <x:c r="H175" s="277" t="s">
        <x:v>118</x:v>
      </x:c>
      <x:c r="I175" s="277" t="s">
        <x:v>118</x:v>
      </x:c>
      <x:c r="J175" s="277" t="s">
        <x:v>118</x:v>
      </x:c>
      <x:c r="K175" s="277" t="s">
        <x:v>118</x:v>
      </x:c>
      <x:c r="L175" s="277" t="s">
        <x:v>118</x:v>
      </x:c>
      <x:c r="M175" s="277" t="s">
        <x:v>118</x:v>
      </x:c>
      <x:c r="N175" s="277" t="s">
        <x:v>118</x:v>
      </x:c>
      <x:c r="O175" s="277" t="s">
        <x:v>118</x:v>
      </x:c>
      <x:c r="P175" s="277" t="s">
        <x:v>118</x:v>
      </x:c>
      <x:c r="Q175" s="277" t="s">
        <x:v>118</x:v>
      </x:c>
      <x:c r="R175" s="277" t="s">
        <x:v>118</x:v>
      </x:c>
      <x:c r="S175" s="277" t="s">
        <x:v>118</x:v>
      </x:c>
      <x:c r="T175" s="277" t="s">
        <x:v>118</x:v>
      </x:c>
      <x:c r="U175" s="277" t="s">
        <x:v>118</x:v>
      </x:c>
      <x:c r="V175" s="277" t="s">
        <x:v>118</x:v>
      </x:c>
      <x:c r="W175" s="277" t="s">
        <x:v>118</x:v>
      </x:c>
      <x:c r="X175" s="277" t="s">
        <x:v>118</x:v>
      </x:c>
      <x:c r="Y175" s="277" t="s">
        <x:v>118</x:v>
      </x:c>
      <x:c r="Z175" s="277" t="s">
        <x:v>118</x:v>
      </x:c>
      <x:c r="AA175" s="277" t="s">
        <x:v>118</x:v>
      </x:c>
      <x:c r="AB175" s="277" t="s">
        <x:v>118</x:v>
      </x:c>
      <x:c r="AC175" s="277" t="s">
        <x:v>118</x:v>
      </x:c>
      <x:c r="AD175" s="277" t="s">
        <x:v>118</x:v>
      </x:c>
      <x:c r="AE175" s="277" t="s">
        <x:v>118</x:v>
      </x:c>
      <x:c r="AF175" s="277" t="s">
        <x:v>118</x:v>
      </x:c>
      <x:c r="AG175" s="277" t="s">
        <x:v>118</x:v>
      </x:c>
      <x:c r="AH175" s="277" t="s">
        <x:v>118</x:v>
      </x:c>
      <x:c r="AI175" s="277" t="s">
        <x:v>118</x:v>
      </x:c>
      <x:c r="AJ175" s="277" t="s">
        <x:v>118</x:v>
      </x:c>
      <x:c r="AK175" s="220">
        <x:f>COUNTIF(F175:AJ175,"X")</x:f>
      </x:c>
      <x:c r="AL175" s="221"/>
      <x:c r="AM175" s="221"/>
      <x:c r="AN175" s="222"/>
      <x:c r="AO175" s="222"/>
      <x:c r="AP175" s="228"/>
      <x:c r="AQ175" s="228"/>
      <x:c r="AR175" s="228"/>
      <x:c r="AS175" s="228"/>
      <x:c r="AT175" s="230"/>
    </x:row>
    <x:row r="176" spans="1:47" ht="19.9" customHeight="1">
      <x:c r="A176" s="274" t="s">
        <x:v>1406</x:v>
      </x:c>
      <x:c r="B176" s="216"/>
      <x:c r="C176" s="275" t="s">
        <x:v>1407</x:v>
      </x:c>
      <x:c r="D176" s="274" t="s">
        <x:v>1408</x:v>
      </x:c>
      <x:c r="E176" s="276" t="s">
        <x:v>627</x:v>
      </x:c>
      <x:c r="F176" s="277" t="s">
        <x:v>118</x:v>
      </x:c>
      <x:c r="G176" s="277" t="s">
        <x:v>118</x:v>
      </x:c>
      <x:c r="H176" s="277" t="s">
        <x:v>118</x:v>
      </x:c>
      <x:c r="I176" s="277" t="s">
        <x:v>118</x:v>
      </x:c>
      <x:c r="J176" s="277" t="s">
        <x:v>118</x:v>
      </x:c>
      <x:c r="K176" s="277" t="s">
        <x:v>118</x:v>
      </x:c>
      <x:c r="L176" s="277" t="s">
        <x:v>118</x:v>
      </x:c>
      <x:c r="M176" s="277" t="s">
        <x:v>118</x:v>
      </x:c>
      <x:c r="N176" s="277" t="s">
        <x:v>118</x:v>
      </x:c>
      <x:c r="O176" s="277" t="s">
        <x:v>118</x:v>
      </x:c>
      <x:c r="P176" s="277" t="s">
        <x:v>118</x:v>
      </x:c>
      <x:c r="Q176" s="277" t="s">
        <x:v>118</x:v>
      </x:c>
      <x:c r="R176" s="277" t="s">
        <x:v>118</x:v>
      </x:c>
      <x:c r="S176" s="277" t="s">
        <x:v>118</x:v>
      </x:c>
      <x:c r="T176" s="277" t="s">
        <x:v>118</x:v>
      </x:c>
      <x:c r="U176" s="277" t="s">
        <x:v>118</x:v>
      </x:c>
      <x:c r="V176" s="277" t="s">
        <x:v>118</x:v>
      </x:c>
      <x:c r="W176" s="277" t="s">
        <x:v>118</x:v>
      </x:c>
      <x:c r="X176" s="277" t="s">
        <x:v>118</x:v>
      </x:c>
      <x:c r="Y176" s="277" t="s">
        <x:v>118</x:v>
      </x:c>
      <x:c r="Z176" s="277" t="s">
        <x:v>118</x:v>
      </x:c>
      <x:c r="AA176" s="277" t="s">
        <x:v>118</x:v>
      </x:c>
      <x:c r="AB176" s="277" t="s">
        <x:v>118</x:v>
      </x:c>
      <x:c r="AC176" s="277" t="s">
        <x:v>118</x:v>
      </x:c>
      <x:c r="AD176" s="277" t="s">
        <x:v>118</x:v>
      </x:c>
      <x:c r="AE176" s="277" t="s">
        <x:v>118</x:v>
      </x:c>
      <x:c r="AF176" s="277" t="s">
        <x:v>118</x:v>
      </x:c>
      <x:c r="AG176" s="277" t="s">
        <x:v>118</x:v>
      </x:c>
      <x:c r="AH176" s="277" t="s">
        <x:v>118</x:v>
      </x:c>
      <x:c r="AI176" s="277" t="s">
        <x:v>118</x:v>
      </x:c>
      <x:c r="AJ176" s="277" t="s">
        <x:v>118</x:v>
      </x:c>
      <x:c r="AK176" s="220">
        <x:f>COUNTIF(F176:AJ176,"X")</x:f>
      </x:c>
      <x:c r="AL176" s="221"/>
      <x:c r="AM176" s="221"/>
      <x:c r="AN176" s="222"/>
      <x:c r="AO176" s="222"/>
      <x:c r="AP176" s="228"/>
      <x:c r="AQ176" s="228"/>
      <x:c r="AR176" s="228"/>
      <x:c r="AS176" s="228"/>
      <x:c r="AT176" s="230"/>
    </x:row>
    <x:row r="177" spans="1:47" ht="19.9" customHeight="1">
      <x:c r="A177" s="274" t="s">
        <x:v>1409</x:v>
      </x:c>
      <x:c r="B177" s="216"/>
      <x:c r="C177" s="275" t="s">
        <x:v>1410</x:v>
      </x:c>
      <x:c r="D177" s="274" t="s">
        <x:v>1411</x:v>
      </x:c>
      <x:c r="E177" s="276" t="s">
        <x:v>147</x:v>
      </x:c>
      <x:c r="F177" s="277" t="s">
        <x:v>118</x:v>
      </x:c>
      <x:c r="G177" s="277" t="s">
        <x:v>118</x:v>
      </x:c>
      <x:c r="H177" s="277" t="s">
        <x:v>118</x:v>
      </x:c>
      <x:c r="I177" s="277" t="s">
        <x:v>118</x:v>
      </x:c>
      <x:c r="J177" s="277" t="s">
        <x:v>118</x:v>
      </x:c>
      <x:c r="K177" s="277" t="s">
        <x:v>118</x:v>
      </x:c>
      <x:c r="L177" s="277" t="s">
        <x:v>118</x:v>
      </x:c>
      <x:c r="M177" s="277" t="s">
        <x:v>118</x:v>
      </x:c>
      <x:c r="N177" s="277" t="s">
        <x:v>118</x:v>
      </x:c>
      <x:c r="O177" s="277" t="s">
        <x:v>118</x:v>
      </x:c>
      <x:c r="P177" s="277" t="s">
        <x:v>118</x:v>
      </x:c>
      <x:c r="Q177" s="277" t="s">
        <x:v>118</x:v>
      </x:c>
      <x:c r="R177" s="277" t="s">
        <x:v>118</x:v>
      </x:c>
      <x:c r="S177" s="277" t="s">
        <x:v>118</x:v>
      </x:c>
      <x:c r="T177" s="277" t="s">
        <x:v>118</x:v>
      </x:c>
      <x:c r="U177" s="277" t="s">
        <x:v>118</x:v>
      </x:c>
      <x:c r="V177" s="277" t="s">
        <x:v>118</x:v>
      </x:c>
      <x:c r="W177" s="277" t="s">
        <x:v>118</x:v>
      </x:c>
      <x:c r="X177" s="277" t="s">
        <x:v>118</x:v>
      </x:c>
      <x:c r="Y177" s="277" t="s">
        <x:v>118</x:v>
      </x:c>
      <x:c r="Z177" s="277" t="s">
        <x:v>118</x:v>
      </x:c>
      <x:c r="AA177" s="277" t="s">
        <x:v>118</x:v>
      </x:c>
      <x:c r="AB177" s="277" t="s">
        <x:v>118</x:v>
      </x:c>
      <x:c r="AC177" s="277" t="s">
        <x:v>118</x:v>
      </x:c>
      <x:c r="AD177" s="277" t="s">
        <x:v>118</x:v>
      </x:c>
      <x:c r="AE177" s="277" t="s">
        <x:v>118</x:v>
      </x:c>
      <x:c r="AF177" s="277" t="s">
        <x:v>118</x:v>
      </x:c>
      <x:c r="AG177" s="277" t="s">
        <x:v>118</x:v>
      </x:c>
      <x:c r="AH177" s="277" t="s">
        <x:v>118</x:v>
      </x:c>
      <x:c r="AI177" s="277" t="s">
        <x:v>118</x:v>
      </x:c>
      <x:c r="AJ177" s="277" t="s">
        <x:v>118</x:v>
      </x:c>
      <x:c r="AK177" s="220">
        <x:f>COUNTIF(F177:AJ177,"X")</x:f>
      </x:c>
      <x:c r="AL177" s="221"/>
      <x:c r="AM177" s="221"/>
      <x:c r="AN177" s="222"/>
      <x:c r="AO177" s="222"/>
      <x:c r="AP177" s="228"/>
      <x:c r="AQ177" s="228"/>
      <x:c r="AR177" s="228"/>
      <x:c r="AS177" s="228"/>
      <x:c r="AT177" s="230"/>
    </x:row>
    <x:row r="178" spans="1:47" ht="19.9" customHeight="1">
      <x:c r="A178" s="274" t="s">
        <x:v>1412</x:v>
      </x:c>
      <x:c r="B178" s="216"/>
      <x:c r="C178" s="275" t="s">
        <x:v>1413</x:v>
      </x:c>
      <x:c r="D178" s="274" t="s">
        <x:v>1414</x:v>
      </x:c>
      <x:c r="E178" s="276" t="s">
        <x:v>1415</x:v>
      </x:c>
      <x:c r="F178" s="277" t="s">
        <x:v>118</x:v>
      </x:c>
      <x:c r="G178" s="277" t="s">
        <x:v>118</x:v>
      </x:c>
      <x:c r="H178" s="277" t="s">
        <x:v>118</x:v>
      </x:c>
      <x:c r="I178" s="277" t="s">
        <x:v>118</x:v>
      </x:c>
      <x:c r="J178" s="277" t="s">
        <x:v>118</x:v>
      </x:c>
      <x:c r="K178" s="277" t="s">
        <x:v>118</x:v>
      </x:c>
      <x:c r="L178" s="277" t="s">
        <x:v>118</x:v>
      </x:c>
      <x:c r="M178" s="277" t="s">
        <x:v>118</x:v>
      </x:c>
      <x:c r="N178" s="277" t="s">
        <x:v>118</x:v>
      </x:c>
      <x:c r="O178" s="277" t="s">
        <x:v>118</x:v>
      </x:c>
      <x:c r="P178" s="277" t="s">
        <x:v>118</x:v>
      </x:c>
      <x:c r="Q178" s="277" t="s">
        <x:v>118</x:v>
      </x:c>
      <x:c r="R178" s="277" t="s">
        <x:v>118</x:v>
      </x:c>
      <x:c r="S178" s="277" t="s">
        <x:v>118</x:v>
      </x:c>
      <x:c r="T178" s="277" t="s">
        <x:v>118</x:v>
      </x:c>
      <x:c r="U178" s="277" t="s">
        <x:v>118</x:v>
      </x:c>
      <x:c r="V178" s="277" t="s">
        <x:v>118</x:v>
      </x:c>
      <x:c r="W178" s="277" t="s">
        <x:v>118</x:v>
      </x:c>
      <x:c r="X178" s="277" t="s">
        <x:v>118</x:v>
      </x:c>
      <x:c r="Y178" s="277" t="s">
        <x:v>118</x:v>
      </x:c>
      <x:c r="Z178" s="277" t="s">
        <x:v>118</x:v>
      </x:c>
      <x:c r="AA178" s="277" t="s">
        <x:v>118</x:v>
      </x:c>
      <x:c r="AB178" s="277" t="s">
        <x:v>118</x:v>
      </x:c>
      <x:c r="AC178" s="277" t="s">
        <x:v>118</x:v>
      </x:c>
      <x:c r="AD178" s="277" t="s">
        <x:v>118</x:v>
      </x:c>
      <x:c r="AE178" s="277" t="s">
        <x:v>118</x:v>
      </x:c>
      <x:c r="AF178" s="277" t="s">
        <x:v>118</x:v>
      </x:c>
      <x:c r="AG178" s="277" t="s">
        <x:v>118</x:v>
      </x:c>
      <x:c r="AH178" s="277" t="s">
        <x:v>118</x:v>
      </x:c>
      <x:c r="AI178" s="277" t="s">
        <x:v>118</x:v>
      </x:c>
      <x:c r="AJ178" s="277" t="s">
        <x:v>118</x:v>
      </x:c>
      <x:c r="AK178" s="220">
        <x:f>COUNTIF(F178:AJ178,"X")</x:f>
      </x:c>
      <x:c r="AL178" s="221"/>
      <x:c r="AM178" s="221"/>
      <x:c r="AN178" s="222"/>
      <x:c r="AO178" s="222"/>
      <x:c r="AP178" s="228"/>
      <x:c r="AQ178" s="228"/>
      <x:c r="AR178" s="228"/>
      <x:c r="AS178" s="228"/>
      <x:c r="AT178" s="230"/>
    </x:row>
    <x:row r="179" spans="1:47" ht="19.9" customHeight="1">
      <x:c r="A179" s="274" t="s">
        <x:v>1416</x:v>
      </x:c>
      <x:c r="B179" s="216"/>
      <x:c r="C179" s="275" t="s">
        <x:v>1417</x:v>
      </x:c>
      <x:c r="D179" s="274" t="s">
        <x:v>1418</x:v>
      </x:c>
      <x:c r="E179" s="276" t="s">
        <x:v>1419</x:v>
      </x:c>
      <x:c r="F179" s="277" t="s">
        <x:v>118</x:v>
      </x:c>
      <x:c r="G179" s="277" t="s">
        <x:v>118</x:v>
      </x:c>
      <x:c r="H179" s="277" t="s">
        <x:v>118</x:v>
      </x:c>
      <x:c r="I179" s="277" t="s">
        <x:v>118</x:v>
      </x:c>
      <x:c r="J179" s="277" t="s">
        <x:v>118</x:v>
      </x:c>
      <x:c r="K179" s="277" t="s">
        <x:v>118</x:v>
      </x:c>
      <x:c r="L179" s="277" t="s">
        <x:v>118</x:v>
      </x:c>
      <x:c r="M179" s="277" t="s">
        <x:v>118</x:v>
      </x:c>
      <x:c r="N179" s="277" t="s">
        <x:v>118</x:v>
      </x:c>
      <x:c r="O179" s="277" t="s">
        <x:v>118</x:v>
      </x:c>
      <x:c r="P179" s="277" t="s">
        <x:v>118</x:v>
      </x:c>
      <x:c r="Q179" s="277" t="s">
        <x:v>118</x:v>
      </x:c>
      <x:c r="R179" s="277" t="s">
        <x:v>118</x:v>
      </x:c>
      <x:c r="S179" s="277" t="s">
        <x:v>118</x:v>
      </x:c>
      <x:c r="T179" s="277" t="s">
        <x:v>118</x:v>
      </x:c>
      <x:c r="U179" s="277" t="s">
        <x:v>118</x:v>
      </x:c>
      <x:c r="V179" s="277" t="s">
        <x:v>118</x:v>
      </x:c>
      <x:c r="W179" s="277" t="s">
        <x:v>118</x:v>
      </x:c>
      <x:c r="X179" s="277" t="s">
        <x:v>118</x:v>
      </x:c>
      <x:c r="Y179" s="277" t="s">
        <x:v>118</x:v>
      </x:c>
      <x:c r="Z179" s="277" t="s">
        <x:v>118</x:v>
      </x:c>
      <x:c r="AA179" s="277" t="s">
        <x:v>118</x:v>
      </x:c>
      <x:c r="AB179" s="277" t="s">
        <x:v>118</x:v>
      </x:c>
      <x:c r="AC179" s="277" t="s">
        <x:v>118</x:v>
      </x:c>
      <x:c r="AD179" s="277" t="s">
        <x:v>118</x:v>
      </x:c>
      <x:c r="AE179" s="277" t="s">
        <x:v>118</x:v>
      </x:c>
      <x:c r="AF179" s="277" t="s">
        <x:v>118</x:v>
      </x:c>
      <x:c r="AG179" s="277" t="s">
        <x:v>118</x:v>
      </x:c>
      <x:c r="AH179" s="277" t="s">
        <x:v>118</x:v>
      </x:c>
      <x:c r="AI179" s="277" t="s">
        <x:v>118</x:v>
      </x:c>
      <x:c r="AJ179" s="277" t="s">
        <x:v>118</x:v>
      </x:c>
      <x:c r="AK179" s="220">
        <x:f>COUNTIF(F179:AJ179,"X")</x:f>
      </x:c>
      <x:c r="AL179" s="221"/>
      <x:c r="AM179" s="221"/>
      <x:c r="AN179" s="222"/>
      <x:c r="AO179" s="222"/>
      <x:c r="AP179" s="228"/>
      <x:c r="AQ179" s="228"/>
      <x:c r="AR179" s="228"/>
      <x:c r="AS179" s="228"/>
      <x:c r="AT179" s="230"/>
    </x:row>
    <x:row r="180" spans="1:47" ht="19.9" customHeight="1">
      <x:c r="A180" s="274" t="s">
        <x:v>1420</x:v>
      </x:c>
      <x:c r="B180" s="216"/>
      <x:c r="C180" s="275" t="s">
        <x:v>1421</x:v>
      </x:c>
      <x:c r="D180" s="274" t="s">
        <x:v>1422</x:v>
      </x:c>
      <x:c r="E180" s="276" t="s">
        <x:v>1423</x:v>
      </x:c>
      <x:c r="F180" s="277" t="s">
        <x:v>118</x:v>
      </x:c>
      <x:c r="G180" s="277" t="s">
        <x:v>118</x:v>
      </x:c>
      <x:c r="H180" s="277" t="s">
        <x:v>118</x:v>
      </x:c>
      <x:c r="I180" s="277" t="s">
        <x:v>118</x:v>
      </x:c>
      <x:c r="J180" s="277" t="s">
        <x:v>118</x:v>
      </x:c>
      <x:c r="K180" s="277" t="s">
        <x:v>118</x:v>
      </x:c>
      <x:c r="L180" s="277" t="s">
        <x:v>118</x:v>
      </x:c>
      <x:c r="M180" s="277" t="s">
        <x:v>118</x:v>
      </x:c>
      <x:c r="N180" s="277" t="s">
        <x:v>118</x:v>
      </x:c>
      <x:c r="O180" s="277" t="s">
        <x:v>118</x:v>
      </x:c>
      <x:c r="P180" s="277" t="s">
        <x:v>118</x:v>
      </x:c>
      <x:c r="Q180" s="277" t="s">
        <x:v>118</x:v>
      </x:c>
      <x:c r="R180" s="277" t="s">
        <x:v>118</x:v>
      </x:c>
      <x:c r="S180" s="277" t="s">
        <x:v>118</x:v>
      </x:c>
      <x:c r="T180" s="277" t="s">
        <x:v>118</x:v>
      </x:c>
      <x:c r="U180" s="277" t="s">
        <x:v>118</x:v>
      </x:c>
      <x:c r="V180" s="277" t="s">
        <x:v>118</x:v>
      </x:c>
      <x:c r="W180" s="277" t="s">
        <x:v>118</x:v>
      </x:c>
      <x:c r="X180" s="277" t="s">
        <x:v>118</x:v>
      </x:c>
      <x:c r="Y180" s="277" t="s">
        <x:v>118</x:v>
      </x:c>
      <x:c r="Z180" s="277" t="s">
        <x:v>118</x:v>
      </x:c>
      <x:c r="AA180" s="277" t="s">
        <x:v>118</x:v>
      </x:c>
      <x:c r="AB180" s="277" t="s">
        <x:v>118</x:v>
      </x:c>
      <x:c r="AC180" s="277" t="s">
        <x:v>118</x:v>
      </x:c>
      <x:c r="AD180" s="277" t="s">
        <x:v>118</x:v>
      </x:c>
      <x:c r="AE180" s="277" t="s">
        <x:v>118</x:v>
      </x:c>
      <x:c r="AF180" s="277" t="s">
        <x:v>118</x:v>
      </x:c>
      <x:c r="AG180" s="277" t="s">
        <x:v>118</x:v>
      </x:c>
      <x:c r="AH180" s="277" t="s">
        <x:v>118</x:v>
      </x:c>
      <x:c r="AI180" s="277" t="s">
        <x:v>118</x:v>
      </x:c>
      <x:c r="AJ180" s="277" t="s">
        <x:v>118</x:v>
      </x:c>
      <x:c r="AK180" s="220">
        <x:f>COUNTIF(F180:AJ180,"X")</x:f>
      </x:c>
      <x:c r="AL180" s="221"/>
      <x:c r="AM180" s="221"/>
      <x:c r="AN180" s="222"/>
      <x:c r="AO180" s="222"/>
      <x:c r="AP180" s="228"/>
      <x:c r="AQ180" s="228"/>
      <x:c r="AR180" s="228"/>
      <x:c r="AS180" s="228"/>
      <x:c r="AT180" s="230"/>
    </x:row>
    <x:row r="181" spans="1:47" ht="19.9" customHeight="1">
      <x:c r="A181" s="274" t="s">
        <x:v>1424</x:v>
      </x:c>
      <x:c r="B181" s="216"/>
      <x:c r="C181" s="275" t="s">
        <x:v>1425</x:v>
      </x:c>
      <x:c r="D181" s="274" t="s">
        <x:v>1426</x:v>
      </x:c>
      <x:c r="E181" s="276" t="s">
        <x:v>1427</x:v>
      </x:c>
      <x:c r="F181" s="277" t="s">
        <x:v>118</x:v>
      </x:c>
      <x:c r="G181" s="277" t="s">
        <x:v>118</x:v>
      </x:c>
      <x:c r="H181" s="277" t="s">
        <x:v>118</x:v>
      </x:c>
      <x:c r="I181" s="277" t="s">
        <x:v>118</x:v>
      </x:c>
      <x:c r="J181" s="277" t="s">
        <x:v>118</x:v>
      </x:c>
      <x:c r="K181" s="277" t="s">
        <x:v>118</x:v>
      </x:c>
      <x:c r="L181" s="277" t="s">
        <x:v>118</x:v>
      </x:c>
      <x:c r="M181" s="277" t="s">
        <x:v>118</x:v>
      </x:c>
      <x:c r="N181" s="277" t="s">
        <x:v>118</x:v>
      </x:c>
      <x:c r="O181" s="277" t="s">
        <x:v>118</x:v>
      </x:c>
      <x:c r="P181" s="277" t="s">
        <x:v>118</x:v>
      </x:c>
      <x:c r="Q181" s="277" t="s">
        <x:v>118</x:v>
      </x:c>
      <x:c r="R181" s="277" t="s">
        <x:v>118</x:v>
      </x:c>
      <x:c r="S181" s="277" t="s">
        <x:v>118</x:v>
      </x:c>
      <x:c r="T181" s="277" t="s">
        <x:v>118</x:v>
      </x:c>
      <x:c r="U181" s="277" t="s">
        <x:v>118</x:v>
      </x:c>
      <x:c r="V181" s="277" t="s">
        <x:v>118</x:v>
      </x:c>
      <x:c r="W181" s="277" t="s">
        <x:v>118</x:v>
      </x:c>
      <x:c r="X181" s="277" t="s">
        <x:v>118</x:v>
      </x:c>
      <x:c r="Y181" s="277" t="s">
        <x:v>118</x:v>
      </x:c>
      <x:c r="Z181" s="277" t="s">
        <x:v>118</x:v>
      </x:c>
      <x:c r="AA181" s="277" t="s">
        <x:v>118</x:v>
      </x:c>
      <x:c r="AB181" s="277" t="s">
        <x:v>118</x:v>
      </x:c>
      <x:c r="AC181" s="277" t="s">
        <x:v>118</x:v>
      </x:c>
      <x:c r="AD181" s="277" t="s">
        <x:v>118</x:v>
      </x:c>
      <x:c r="AE181" s="277" t="s">
        <x:v>118</x:v>
      </x:c>
      <x:c r="AF181" s="277" t="s">
        <x:v>118</x:v>
      </x:c>
      <x:c r="AG181" s="277" t="s">
        <x:v>118</x:v>
      </x:c>
      <x:c r="AH181" s="277" t="s">
        <x:v>118</x:v>
      </x:c>
      <x:c r="AI181" s="277" t="s">
        <x:v>118</x:v>
      </x:c>
      <x:c r="AJ181" s="277" t="s">
        <x:v>118</x:v>
      </x:c>
      <x:c r="AK181" s="220">
        <x:f>COUNTIF(F181:AJ181,"X")</x:f>
      </x:c>
      <x:c r="AL181" s="221"/>
      <x:c r="AM181" s="221"/>
      <x:c r="AN181" s="222"/>
      <x:c r="AO181" s="222"/>
      <x:c r="AP181" s="228"/>
      <x:c r="AQ181" s="228"/>
      <x:c r="AR181" s="228"/>
      <x:c r="AS181" s="228"/>
      <x:c r="AT181" s="230"/>
    </x:row>
    <x:row r="182" spans="1:47" ht="19.9" customHeight="1">
      <x:c r="A182" s="274" t="s">
        <x:v>1428</x:v>
      </x:c>
      <x:c r="B182" s="216"/>
      <x:c r="C182" s="275" t="s">
        <x:v>1429</x:v>
      </x:c>
      <x:c r="D182" s="274" t="s">
        <x:v>1430</x:v>
      </x:c>
      <x:c r="E182" s="276" t="s">
        <x:v>1431</x:v>
      </x:c>
      <x:c r="F182" s="277" t="s">
        <x:v>118</x:v>
      </x:c>
      <x:c r="G182" s="277" t="s">
        <x:v>118</x:v>
      </x:c>
      <x:c r="H182" s="277" t="s">
        <x:v>118</x:v>
      </x:c>
      <x:c r="I182" s="277" t="s">
        <x:v>118</x:v>
      </x:c>
      <x:c r="J182" s="277" t="s">
        <x:v>118</x:v>
      </x:c>
      <x:c r="K182" s="277" t="s">
        <x:v>118</x:v>
      </x:c>
      <x:c r="L182" s="277" t="s">
        <x:v>118</x:v>
      </x:c>
      <x:c r="M182" s="277" t="s">
        <x:v>118</x:v>
      </x:c>
      <x:c r="N182" s="277" t="s">
        <x:v>118</x:v>
      </x:c>
      <x:c r="O182" s="277" t="s">
        <x:v>118</x:v>
      </x:c>
      <x:c r="P182" s="277" t="s">
        <x:v>118</x:v>
      </x:c>
      <x:c r="Q182" s="277" t="s">
        <x:v>118</x:v>
      </x:c>
      <x:c r="R182" s="277" t="s">
        <x:v>118</x:v>
      </x:c>
      <x:c r="S182" s="277" t="s">
        <x:v>118</x:v>
      </x:c>
      <x:c r="T182" s="277" t="s">
        <x:v>118</x:v>
      </x:c>
      <x:c r="U182" s="277" t="s">
        <x:v>118</x:v>
      </x:c>
      <x:c r="V182" s="277" t="s">
        <x:v>118</x:v>
      </x:c>
      <x:c r="W182" s="277" t="s">
        <x:v>118</x:v>
      </x:c>
      <x:c r="X182" s="277" t="s">
        <x:v>118</x:v>
      </x:c>
      <x:c r="Y182" s="277" t="s">
        <x:v>118</x:v>
      </x:c>
      <x:c r="Z182" s="277" t="s">
        <x:v>118</x:v>
      </x:c>
      <x:c r="AA182" s="277" t="s">
        <x:v>118</x:v>
      </x:c>
      <x:c r="AB182" s="277" t="s">
        <x:v>118</x:v>
      </x:c>
      <x:c r="AC182" s="277" t="s">
        <x:v>118</x:v>
      </x:c>
      <x:c r="AD182" s="277" t="s">
        <x:v>118</x:v>
      </x:c>
      <x:c r="AE182" s="277" t="s">
        <x:v>118</x:v>
      </x:c>
      <x:c r="AF182" s="277" t="s">
        <x:v>118</x:v>
      </x:c>
      <x:c r="AG182" s="277" t="s">
        <x:v>118</x:v>
      </x:c>
      <x:c r="AH182" s="277" t="s">
        <x:v>118</x:v>
      </x:c>
      <x:c r="AI182" s="277" t="s">
        <x:v>118</x:v>
      </x:c>
      <x:c r="AJ182" s="277" t="s">
        <x:v>118</x:v>
      </x:c>
      <x:c r="AK182" s="220">
        <x:f>COUNTIF(F182:AJ182,"X")</x:f>
      </x:c>
      <x:c r="AL182" s="221"/>
      <x:c r="AM182" s="221"/>
      <x:c r="AN182" s="222"/>
      <x:c r="AO182" s="222"/>
      <x:c r="AP182" s="228"/>
      <x:c r="AQ182" s="228"/>
      <x:c r="AR182" s="228"/>
      <x:c r="AS182" s="228"/>
      <x:c r="AT182" s="230"/>
    </x:row>
    <x:row r="183" spans="1:47" ht="19.9" customHeight="1">
      <x:c r="A183" s="274" t="s">
        <x:v>1432</x:v>
      </x:c>
      <x:c r="B183" s="216"/>
      <x:c r="C183" s="275" t="s">
        <x:v>1433</x:v>
      </x:c>
      <x:c r="D183" s="274" t="s">
        <x:v>626</x:v>
      </x:c>
      <x:c r="E183" s="276" t="s">
        <x:v>1434</x:v>
      </x:c>
      <x:c r="F183" s="277" t="s">
        <x:v>118</x:v>
      </x:c>
      <x:c r="G183" s="277" t="s">
        <x:v>118</x:v>
      </x:c>
      <x:c r="H183" s="277" t="s">
        <x:v>118</x:v>
      </x:c>
      <x:c r="I183" s="277" t="s">
        <x:v>118</x:v>
      </x:c>
      <x:c r="J183" s="277" t="s">
        <x:v>118</x:v>
      </x:c>
      <x:c r="K183" s="277" t="s">
        <x:v>118</x:v>
      </x:c>
      <x:c r="L183" s="277" t="s">
        <x:v>118</x:v>
      </x:c>
      <x:c r="M183" s="277" t="s">
        <x:v>118</x:v>
      </x:c>
      <x:c r="N183" s="277" t="s">
        <x:v>118</x:v>
      </x:c>
      <x:c r="O183" s="277" t="s">
        <x:v>118</x:v>
      </x:c>
      <x:c r="P183" s="277" t="s">
        <x:v>118</x:v>
      </x:c>
      <x:c r="Q183" s="277" t="s">
        <x:v>118</x:v>
      </x:c>
      <x:c r="R183" s="277" t="s">
        <x:v>118</x:v>
      </x:c>
      <x:c r="S183" s="277" t="s">
        <x:v>118</x:v>
      </x:c>
      <x:c r="T183" s="277" t="s">
        <x:v>118</x:v>
      </x:c>
      <x:c r="U183" s="277" t="s">
        <x:v>118</x:v>
      </x:c>
      <x:c r="V183" s="277" t="s">
        <x:v>118</x:v>
      </x:c>
      <x:c r="W183" s="277" t="s">
        <x:v>118</x:v>
      </x:c>
      <x:c r="X183" s="277" t="s">
        <x:v>118</x:v>
      </x:c>
      <x:c r="Y183" s="277" t="s">
        <x:v>118</x:v>
      </x:c>
      <x:c r="Z183" s="277" t="s">
        <x:v>118</x:v>
      </x:c>
      <x:c r="AA183" s="277" t="s">
        <x:v>118</x:v>
      </x:c>
      <x:c r="AB183" s="277" t="s">
        <x:v>118</x:v>
      </x:c>
      <x:c r="AC183" s="277" t="s">
        <x:v>118</x:v>
      </x:c>
      <x:c r="AD183" s="277" t="s">
        <x:v>118</x:v>
      </x:c>
      <x:c r="AE183" s="277" t="s">
        <x:v>118</x:v>
      </x:c>
      <x:c r="AF183" s="277" t="s">
        <x:v>118</x:v>
      </x:c>
      <x:c r="AG183" s="277" t="s">
        <x:v>118</x:v>
      </x:c>
      <x:c r="AH183" s="277" t="s">
        <x:v>118</x:v>
      </x:c>
      <x:c r="AI183" s="277" t="s">
        <x:v>118</x:v>
      </x:c>
      <x:c r="AJ183" s="277" t="s">
        <x:v>118</x:v>
      </x:c>
      <x:c r="AK183" s="220">
        <x:f>COUNTIF(F183:AJ183,"X")</x:f>
      </x:c>
      <x:c r="AL183" s="221"/>
      <x:c r="AM183" s="221"/>
      <x:c r="AN183" s="222"/>
      <x:c r="AO183" s="222"/>
      <x:c r="AP183" s="228"/>
      <x:c r="AQ183" s="228"/>
      <x:c r="AR183" s="228"/>
      <x:c r="AS183" s="228"/>
      <x:c r="AT183" s="230"/>
    </x:row>
    <x:row r="184" spans="1:47" ht="19.9" customHeight="1">
      <x:c r="A184" s="274" t="s">
        <x:v>1435</x:v>
      </x:c>
      <x:c r="B184" s="216"/>
      <x:c r="C184" s="275" t="s">
        <x:v>1436</x:v>
      </x:c>
      <x:c r="D184" s="274" t="s">
        <x:v>1437</x:v>
      </x:c>
      <x:c r="E184" s="276" t="s">
        <x:v>209</x:v>
      </x:c>
      <x:c r="F184" s="277" t="s">
        <x:v>118</x:v>
      </x:c>
      <x:c r="G184" s="277" t="s">
        <x:v>118</x:v>
      </x:c>
      <x:c r="H184" s="277" t="s">
        <x:v>118</x:v>
      </x:c>
      <x:c r="I184" s="277" t="s">
        <x:v>118</x:v>
      </x:c>
      <x:c r="J184" s="277" t="s">
        <x:v>118</x:v>
      </x:c>
      <x:c r="K184" s="277" t="s">
        <x:v>118</x:v>
      </x:c>
      <x:c r="L184" s="277" t="s">
        <x:v>118</x:v>
      </x:c>
      <x:c r="M184" s="277" t="s">
        <x:v>118</x:v>
      </x:c>
      <x:c r="N184" s="277" t="s">
        <x:v>118</x:v>
      </x:c>
      <x:c r="O184" s="277" t="s">
        <x:v>118</x:v>
      </x:c>
      <x:c r="P184" s="277" t="s">
        <x:v>118</x:v>
      </x:c>
      <x:c r="Q184" s="277" t="s">
        <x:v>118</x:v>
      </x:c>
      <x:c r="R184" s="277" t="s">
        <x:v>118</x:v>
      </x:c>
      <x:c r="S184" s="277" t="s">
        <x:v>118</x:v>
      </x:c>
      <x:c r="T184" s="277" t="s">
        <x:v>118</x:v>
      </x:c>
      <x:c r="U184" s="277" t="s">
        <x:v>118</x:v>
      </x:c>
      <x:c r="V184" s="277" t="s">
        <x:v>118</x:v>
      </x:c>
      <x:c r="W184" s="277" t="s">
        <x:v>118</x:v>
      </x:c>
      <x:c r="X184" s="277" t="s">
        <x:v>118</x:v>
      </x:c>
      <x:c r="Y184" s="277" t="s">
        <x:v>118</x:v>
      </x:c>
      <x:c r="Z184" s="277" t="s">
        <x:v>118</x:v>
      </x:c>
      <x:c r="AA184" s="277" t="s">
        <x:v>118</x:v>
      </x:c>
      <x:c r="AB184" s="277" t="s">
        <x:v>118</x:v>
      </x:c>
      <x:c r="AC184" s="277" t="s">
        <x:v>118</x:v>
      </x:c>
      <x:c r="AD184" s="277" t="s">
        <x:v>118</x:v>
      </x:c>
      <x:c r="AE184" s="277" t="s">
        <x:v>118</x:v>
      </x:c>
      <x:c r="AF184" s="277" t="s">
        <x:v>118</x:v>
      </x:c>
      <x:c r="AG184" s="277" t="s">
        <x:v>118</x:v>
      </x:c>
      <x:c r="AH184" s="277" t="s">
        <x:v>118</x:v>
      </x:c>
      <x:c r="AI184" s="277" t="s">
        <x:v>118</x:v>
      </x:c>
      <x:c r="AJ184" s="277" t="s">
        <x:v>118</x:v>
      </x:c>
      <x:c r="AK184" s="220">
        <x:f>COUNTIF(F184:AJ184,"X")</x:f>
      </x:c>
      <x:c r="AL184" s="221"/>
      <x:c r="AM184" s="221"/>
      <x:c r="AN184" s="222"/>
      <x:c r="AO184" s="222"/>
      <x:c r="AP184" s="228"/>
      <x:c r="AQ184" s="228"/>
      <x:c r="AR184" s="228"/>
      <x:c r="AS184" s="228"/>
      <x:c r="AT184" s="230"/>
    </x:row>
    <x:row r="185" spans="1:47" ht="19.9" customHeight="1">
      <x:c r="A185" s="274" t="s">
        <x:v>1438</x:v>
      </x:c>
      <x:c r="B185" s="216"/>
      <x:c r="C185" s="275" t="s">
        <x:v>1439</x:v>
      </x:c>
      <x:c r="D185" s="274" t="s">
        <x:v>1440</x:v>
      </x:c>
      <x:c r="E185" s="276" t="s">
        <x:v>1441</x:v>
      </x:c>
      <x:c r="F185" s="277" t="s">
        <x:v>118</x:v>
      </x:c>
      <x:c r="G185" s="277" t="s">
        <x:v>118</x:v>
      </x:c>
      <x:c r="H185" s="277" t="s">
        <x:v>118</x:v>
      </x:c>
      <x:c r="I185" s="277" t="s">
        <x:v>118</x:v>
      </x:c>
      <x:c r="J185" s="277" t="s">
        <x:v>118</x:v>
      </x:c>
      <x:c r="K185" s="277" t="s">
        <x:v>118</x:v>
      </x:c>
      <x:c r="L185" s="277" t="s">
        <x:v>118</x:v>
      </x:c>
      <x:c r="M185" s="277" t="s">
        <x:v>118</x:v>
      </x:c>
      <x:c r="N185" s="277" t="s">
        <x:v>118</x:v>
      </x:c>
      <x:c r="O185" s="277" t="s">
        <x:v>118</x:v>
      </x:c>
      <x:c r="P185" s="277" t="s">
        <x:v>118</x:v>
      </x:c>
      <x:c r="Q185" s="277" t="s">
        <x:v>118</x:v>
      </x:c>
      <x:c r="R185" s="277" t="s">
        <x:v>118</x:v>
      </x:c>
      <x:c r="S185" s="277" t="s">
        <x:v>118</x:v>
      </x:c>
      <x:c r="T185" s="277" t="s">
        <x:v>118</x:v>
      </x:c>
      <x:c r="U185" s="277" t="s">
        <x:v>118</x:v>
      </x:c>
      <x:c r="V185" s="277" t="s">
        <x:v>118</x:v>
      </x:c>
      <x:c r="W185" s="277" t="s">
        <x:v>118</x:v>
      </x:c>
      <x:c r="X185" s="277" t="s">
        <x:v>118</x:v>
      </x:c>
      <x:c r="Y185" s="277" t="s">
        <x:v>118</x:v>
      </x:c>
      <x:c r="Z185" s="277" t="s">
        <x:v>118</x:v>
      </x:c>
      <x:c r="AA185" s="277" t="s">
        <x:v>118</x:v>
      </x:c>
      <x:c r="AB185" s="277" t="s">
        <x:v>118</x:v>
      </x:c>
      <x:c r="AC185" s="277" t="s">
        <x:v>118</x:v>
      </x:c>
      <x:c r="AD185" s="277" t="s">
        <x:v>118</x:v>
      </x:c>
      <x:c r="AE185" s="277" t="s">
        <x:v>118</x:v>
      </x:c>
      <x:c r="AF185" s="277" t="s">
        <x:v>118</x:v>
      </x:c>
      <x:c r="AG185" s="277" t="s">
        <x:v>118</x:v>
      </x:c>
      <x:c r="AH185" s="277" t="s">
        <x:v>118</x:v>
      </x:c>
      <x:c r="AI185" s="277" t="s">
        <x:v>118</x:v>
      </x:c>
      <x:c r="AJ185" s="277" t="s">
        <x:v>118</x:v>
      </x:c>
      <x:c r="AK185" s="220">
        <x:f>COUNTIF(F185:AJ185,"X")</x:f>
      </x:c>
      <x:c r="AL185" s="221"/>
      <x:c r="AM185" s="221"/>
      <x:c r="AN185" s="222"/>
      <x:c r="AO185" s="222"/>
      <x:c r="AP185" s="228"/>
      <x:c r="AQ185" s="228"/>
      <x:c r="AR185" s="228"/>
      <x:c r="AS185" s="228"/>
      <x:c r="AT185" s="235"/>
    </x:row>
    <x:row r="186" spans="1:47" ht="19.9" customHeight="1">
      <x:c r="A186" s="274" t="s">
        <x:v>1442</x:v>
      </x:c>
      <x:c r="B186" s="216"/>
      <x:c r="C186" s="275" t="s">
        <x:v>1443</x:v>
      </x:c>
      <x:c r="D186" s="274" t="s">
        <x:v>1444</x:v>
      </x:c>
      <x:c r="E186" s="276" t="s">
        <x:v>1445</x:v>
      </x:c>
      <x:c r="F186" s="277" t="s">
        <x:v>118</x:v>
      </x:c>
      <x:c r="G186" s="277" t="s">
        <x:v>118</x:v>
      </x:c>
      <x:c r="H186" s="277" t="s">
        <x:v>118</x:v>
      </x:c>
      <x:c r="I186" s="277" t="s">
        <x:v>118</x:v>
      </x:c>
      <x:c r="J186" s="277" t="s">
        <x:v>118</x:v>
      </x:c>
      <x:c r="K186" s="277" t="s">
        <x:v>118</x:v>
      </x:c>
      <x:c r="L186" s="277" t="s">
        <x:v>118</x:v>
      </x:c>
      <x:c r="M186" s="277" t="s">
        <x:v>118</x:v>
      </x:c>
      <x:c r="N186" s="277" t="s">
        <x:v>118</x:v>
      </x:c>
      <x:c r="O186" s="277" t="s">
        <x:v>118</x:v>
      </x:c>
      <x:c r="P186" s="277" t="s">
        <x:v>118</x:v>
      </x:c>
      <x:c r="Q186" s="277" t="s">
        <x:v>118</x:v>
      </x:c>
      <x:c r="R186" s="277" t="s">
        <x:v>118</x:v>
      </x:c>
      <x:c r="S186" s="277" t="s">
        <x:v>118</x:v>
      </x:c>
      <x:c r="T186" s="277" t="s">
        <x:v>118</x:v>
      </x:c>
      <x:c r="U186" s="277" t="s">
        <x:v>118</x:v>
      </x:c>
      <x:c r="V186" s="277" t="s">
        <x:v>118</x:v>
      </x:c>
      <x:c r="W186" s="277" t="s">
        <x:v>118</x:v>
      </x:c>
      <x:c r="X186" s="277" t="s">
        <x:v>118</x:v>
      </x:c>
      <x:c r="Y186" s="277" t="s">
        <x:v>118</x:v>
      </x:c>
      <x:c r="Z186" s="277" t="s">
        <x:v>118</x:v>
      </x:c>
      <x:c r="AA186" s="277" t="s">
        <x:v>118</x:v>
      </x:c>
      <x:c r="AB186" s="277" t="s">
        <x:v>118</x:v>
      </x:c>
      <x:c r="AC186" s="277" t="s">
        <x:v>118</x:v>
      </x:c>
      <x:c r="AD186" s="277" t="s">
        <x:v>118</x:v>
      </x:c>
      <x:c r="AE186" s="277" t="s">
        <x:v>118</x:v>
      </x:c>
      <x:c r="AF186" s="277" t="s">
        <x:v>118</x:v>
      </x:c>
      <x:c r="AG186" s="277" t="s">
        <x:v>118</x:v>
      </x:c>
      <x:c r="AH186" s="277" t="s">
        <x:v>118</x:v>
      </x:c>
      <x:c r="AI186" s="277" t="s">
        <x:v>118</x:v>
      </x:c>
      <x:c r="AJ186" s="277" t="s">
        <x:v>118</x:v>
      </x:c>
      <x:c r="AK186" s="220">
        <x:f>COUNTIF(F186:AJ186,"X")</x:f>
      </x:c>
      <x:c r="AL186" s="221"/>
      <x:c r="AM186" s="221"/>
      <x:c r="AN186" s="222"/>
      <x:c r="AO186" s="222"/>
      <x:c r="AP186" s="228"/>
      <x:c r="AQ186" s="228"/>
      <x:c r="AR186" s="228"/>
      <x:c r="AS186" s="228"/>
      <x:c r="AT186" s="230"/>
    </x:row>
    <x:row r="187" spans="1:47" ht="19.9" customHeight="1">
      <x:c r="A187" s="274" t="s">
        <x:v>1446</x:v>
      </x:c>
      <x:c r="B187" s="216"/>
      <x:c r="C187" s="275" t="s">
        <x:v>1447</x:v>
      </x:c>
      <x:c r="D187" s="274" t="s">
        <x:v>654</x:v>
      </x:c>
      <x:c r="E187" s="276" t="s">
        <x:v>1448</x:v>
      </x:c>
      <x:c r="F187" s="277" t="s">
        <x:v>118</x:v>
      </x:c>
      <x:c r="G187" s="277" t="s">
        <x:v>118</x:v>
      </x:c>
      <x:c r="H187" s="277" t="s">
        <x:v>118</x:v>
      </x:c>
      <x:c r="I187" s="277" t="s">
        <x:v>118</x:v>
      </x:c>
      <x:c r="J187" s="277" t="s">
        <x:v>118</x:v>
      </x:c>
      <x:c r="K187" s="277" t="s">
        <x:v>118</x:v>
      </x:c>
      <x:c r="L187" s="277" t="s">
        <x:v>118</x:v>
      </x:c>
      <x:c r="M187" s="277" t="s">
        <x:v>118</x:v>
      </x:c>
      <x:c r="N187" s="277" t="s">
        <x:v>118</x:v>
      </x:c>
      <x:c r="O187" s="277" t="s">
        <x:v>118</x:v>
      </x:c>
      <x:c r="P187" s="277" t="s">
        <x:v>118</x:v>
      </x:c>
      <x:c r="Q187" s="277" t="s">
        <x:v>118</x:v>
      </x:c>
      <x:c r="R187" s="277" t="s">
        <x:v>118</x:v>
      </x:c>
      <x:c r="S187" s="277" t="s">
        <x:v>118</x:v>
      </x:c>
      <x:c r="T187" s="277" t="s">
        <x:v>118</x:v>
      </x:c>
      <x:c r="U187" s="277" t="s">
        <x:v>118</x:v>
      </x:c>
      <x:c r="V187" s="277" t="s">
        <x:v>118</x:v>
      </x:c>
      <x:c r="W187" s="277" t="s">
        <x:v>118</x:v>
      </x:c>
      <x:c r="X187" s="277" t="s">
        <x:v>118</x:v>
      </x:c>
      <x:c r="Y187" s="277" t="s">
        <x:v>118</x:v>
      </x:c>
      <x:c r="Z187" s="277" t="s">
        <x:v>118</x:v>
      </x:c>
      <x:c r="AA187" s="277" t="s">
        <x:v>118</x:v>
      </x:c>
      <x:c r="AB187" s="277" t="s">
        <x:v>118</x:v>
      </x:c>
      <x:c r="AC187" s="277" t="s">
        <x:v>118</x:v>
      </x:c>
      <x:c r="AD187" s="277" t="s">
        <x:v>118</x:v>
      </x:c>
      <x:c r="AE187" s="277" t="s">
        <x:v>118</x:v>
      </x:c>
      <x:c r="AF187" s="277" t="s">
        <x:v>118</x:v>
      </x:c>
      <x:c r="AG187" s="277" t="s">
        <x:v>118</x:v>
      </x:c>
      <x:c r="AH187" s="277" t="s">
        <x:v>118</x:v>
      </x:c>
      <x:c r="AI187" s="277" t="s">
        <x:v>118</x:v>
      </x:c>
      <x:c r="AJ187" s="277" t="s">
        <x:v>118</x:v>
      </x:c>
      <x:c r="AK187" s="220">
        <x:f>COUNTIF(F187:AJ187,"X")</x:f>
      </x:c>
      <x:c r="AL187" s="221"/>
      <x:c r="AM187" s="221"/>
      <x:c r="AN187" s="222"/>
      <x:c r="AO187" s="222"/>
      <x:c r="AP187" s="228"/>
      <x:c r="AQ187" s="228"/>
      <x:c r="AR187" s="228"/>
      <x:c r="AS187" s="228"/>
      <x:c r="AT187" s="230"/>
    </x:row>
    <x:row r="188" spans="1:47" ht="19.9" customHeight="1">
      <x:c r="A188" s="274" t="s">
        <x:v>1449</x:v>
      </x:c>
      <x:c r="B188" s="216"/>
      <x:c r="C188" s="275" t="s">
        <x:v>1450</x:v>
      </x:c>
      <x:c r="D188" s="274" t="s">
        <x:v>1451</x:v>
      </x:c>
      <x:c r="E188" s="276" t="s">
        <x:v>1452</x:v>
      </x:c>
      <x:c r="F188" s="277" t="s">
        <x:v>118</x:v>
      </x:c>
      <x:c r="G188" s="277" t="s">
        <x:v>118</x:v>
      </x:c>
      <x:c r="H188" s="277" t="s">
        <x:v>118</x:v>
      </x:c>
      <x:c r="I188" s="277" t="s">
        <x:v>118</x:v>
      </x:c>
      <x:c r="J188" s="277" t="s">
        <x:v>118</x:v>
      </x:c>
      <x:c r="K188" s="277" t="s">
        <x:v>118</x:v>
      </x:c>
      <x:c r="L188" s="277" t="s">
        <x:v>118</x:v>
      </x:c>
      <x:c r="M188" s="277" t="s">
        <x:v>118</x:v>
      </x:c>
      <x:c r="N188" s="277" t="s">
        <x:v>118</x:v>
      </x:c>
      <x:c r="O188" s="277" t="s">
        <x:v>118</x:v>
      </x:c>
      <x:c r="P188" s="277" t="s">
        <x:v>118</x:v>
      </x:c>
      <x:c r="Q188" s="277" t="s">
        <x:v>118</x:v>
      </x:c>
      <x:c r="R188" s="277" t="s">
        <x:v>118</x:v>
      </x:c>
      <x:c r="S188" s="277" t="s">
        <x:v>118</x:v>
      </x:c>
      <x:c r="T188" s="277" t="s">
        <x:v>118</x:v>
      </x:c>
      <x:c r="U188" s="277" t="s">
        <x:v>118</x:v>
      </x:c>
      <x:c r="V188" s="277" t="s">
        <x:v>118</x:v>
      </x:c>
      <x:c r="W188" s="277" t="s">
        <x:v>118</x:v>
      </x:c>
      <x:c r="X188" s="277" t="s">
        <x:v>118</x:v>
      </x:c>
      <x:c r="Y188" s="277" t="s">
        <x:v>118</x:v>
      </x:c>
      <x:c r="Z188" s="277" t="s">
        <x:v>118</x:v>
      </x:c>
      <x:c r="AA188" s="277" t="s">
        <x:v>118</x:v>
      </x:c>
      <x:c r="AB188" s="277" t="s">
        <x:v>118</x:v>
      </x:c>
      <x:c r="AC188" s="277" t="s">
        <x:v>118</x:v>
      </x:c>
      <x:c r="AD188" s="277" t="s">
        <x:v>118</x:v>
      </x:c>
      <x:c r="AE188" s="277" t="s">
        <x:v>118</x:v>
      </x:c>
      <x:c r="AF188" s="277" t="s">
        <x:v>118</x:v>
      </x:c>
      <x:c r="AG188" s="277" t="s">
        <x:v>118</x:v>
      </x:c>
      <x:c r="AH188" s="277" t="s">
        <x:v>118</x:v>
      </x:c>
      <x:c r="AI188" s="277" t="s">
        <x:v>118</x:v>
      </x:c>
      <x:c r="AJ188" s="277" t="s">
        <x:v>118</x:v>
      </x:c>
      <x:c r="AK188" s="220">
        <x:f>COUNTIF(F188:AJ188,"X")</x:f>
      </x:c>
      <x:c r="AL188" s="221"/>
      <x:c r="AM188" s="221"/>
      <x:c r="AN188" s="222"/>
      <x:c r="AO188" s="222"/>
      <x:c r="AP188" s="228"/>
      <x:c r="AQ188" s="228"/>
      <x:c r="AR188" s="228"/>
      <x:c r="AS188" s="228"/>
      <x:c r="AT188" s="230"/>
    </x:row>
    <x:row r="189" spans="1:47" ht="19.9" customHeight="1">
      <x:c r="A189" s="274" t="s">
        <x:v>1453</x:v>
      </x:c>
      <x:c r="B189" s="216"/>
      <x:c r="C189" s="275" t="s">
        <x:v>1454</x:v>
      </x:c>
      <x:c r="D189" s="274" t="s">
        <x:v>1455</x:v>
      </x:c>
      <x:c r="E189" s="276" t="s">
        <x:v>1456</x:v>
      </x:c>
      <x:c r="F189" s="281" t="s">
        <x:v>118</x:v>
      </x:c>
      <x:c r="G189" s="281" t="s">
        <x:v>118</x:v>
      </x:c>
      <x:c r="H189" s="281" t="s">
        <x:v>118</x:v>
      </x:c>
      <x:c r="I189" s="281" t="s">
        <x:v>118</x:v>
      </x:c>
      <x:c r="J189" s="281" t="s">
        <x:v>118</x:v>
      </x:c>
      <x:c r="K189" s="281" t="s">
        <x:v>118</x:v>
      </x:c>
      <x:c r="L189" s="281" t="s">
        <x:v>118</x:v>
      </x:c>
      <x:c r="M189" s="281" t="s">
        <x:v>118</x:v>
      </x:c>
      <x:c r="N189" s="281" t="s">
        <x:v>118</x:v>
      </x:c>
      <x:c r="O189" s="281" t="s">
        <x:v>118</x:v>
      </x:c>
      <x:c r="P189" s="281" t="s">
        <x:v>118</x:v>
      </x:c>
      <x:c r="Q189" s="281" t="s">
        <x:v>118</x:v>
      </x:c>
      <x:c r="R189" s="281" t="s">
        <x:v>118</x:v>
      </x:c>
      <x:c r="S189" s="281" t="s">
        <x:v>118</x:v>
      </x:c>
      <x:c r="T189" s="281" t="s">
        <x:v>118</x:v>
      </x:c>
      <x:c r="U189" s="281" t="s">
        <x:v>118</x:v>
      </x:c>
      <x:c r="V189" s="281" t="s">
        <x:v>118</x:v>
      </x:c>
      <x:c r="W189" s="281" t="s">
        <x:v>118</x:v>
      </x:c>
      <x:c r="X189" s="281" t="s">
        <x:v>118</x:v>
      </x:c>
      <x:c r="Y189" s="281" t="s">
        <x:v>118</x:v>
      </x:c>
      <x:c r="Z189" s="281" t="s">
        <x:v>118</x:v>
      </x:c>
      <x:c r="AA189" s="281" t="s">
        <x:v>118</x:v>
      </x:c>
      <x:c r="AB189" s="281" t="s">
        <x:v>118</x:v>
      </x:c>
      <x:c r="AC189" s="281" t="s">
        <x:v>118</x:v>
      </x:c>
      <x:c r="AD189" s="281" t="s">
        <x:v>118</x:v>
      </x:c>
      <x:c r="AE189" s="281" t="s">
        <x:v>118</x:v>
      </x:c>
      <x:c r="AF189" s="281" t="s">
        <x:v>118</x:v>
      </x:c>
      <x:c r="AG189" s="281" t="s">
        <x:v>118</x:v>
      </x:c>
      <x:c r="AH189" s="281" t="s">
        <x:v>118</x:v>
      </x:c>
      <x:c r="AI189" s="281" t="s">
        <x:v>118</x:v>
      </x:c>
      <x:c r="AJ189" s="281" t="s">
        <x:v>118</x:v>
      </x:c>
      <x:c r="AK189" s="220">
        <x:f>COUNTIF(F189:AJ189,"X")</x:f>
      </x:c>
      <x:c r="AL189" s="221"/>
      <x:c r="AM189" s="221"/>
      <x:c r="AN189" s="222"/>
      <x:c r="AO189" s="222"/>
      <x:c r="AP189" s="228"/>
      <x:c r="AQ189" s="228"/>
      <x:c r="AR189" s="228"/>
      <x:c r="AS189" s="228"/>
      <x:c r="AT189" s="230"/>
    </x:row>
    <x:row r="190" spans="1:47" ht="19.9" customHeight="1">
      <x:c r="A190" s="274" t="s">
        <x:v>1457</x:v>
      </x:c>
      <x:c r="B190" s="216"/>
      <x:c r="C190" s="275" t="s">
        <x:v>1458</x:v>
      </x:c>
      <x:c r="D190" s="274" t="s">
        <x:v>1459</x:v>
      </x:c>
      <x:c r="E190" s="276" t="s">
        <x:v>1460</x:v>
      </x:c>
      <x:c r="F190" s="277" t="s">
        <x:v>118</x:v>
      </x:c>
      <x:c r="G190" s="277" t="s">
        <x:v>118</x:v>
      </x:c>
      <x:c r="H190" s="277" t="s">
        <x:v>118</x:v>
      </x:c>
      <x:c r="I190" s="277" t="s">
        <x:v>118</x:v>
      </x:c>
      <x:c r="J190" s="277" t="s">
        <x:v>118</x:v>
      </x:c>
      <x:c r="K190" s="277" t="s">
        <x:v>118</x:v>
      </x:c>
      <x:c r="L190" s="277" t="s">
        <x:v>118</x:v>
      </x:c>
      <x:c r="M190" s="277" t="s">
        <x:v>118</x:v>
      </x:c>
      <x:c r="N190" s="277" t="s">
        <x:v>118</x:v>
      </x:c>
      <x:c r="O190" s="277" t="s">
        <x:v>118</x:v>
      </x:c>
      <x:c r="P190" s="277" t="s">
        <x:v>118</x:v>
      </x:c>
      <x:c r="Q190" s="277" t="s">
        <x:v>118</x:v>
      </x:c>
      <x:c r="R190" s="277" t="s">
        <x:v>118</x:v>
      </x:c>
      <x:c r="S190" s="277" t="s">
        <x:v>118</x:v>
      </x:c>
      <x:c r="T190" s="277" t="s">
        <x:v>118</x:v>
      </x:c>
      <x:c r="U190" s="277" t="s">
        <x:v>118</x:v>
      </x:c>
      <x:c r="V190" s="277" t="s">
        <x:v>118</x:v>
      </x:c>
      <x:c r="W190" s="277" t="s">
        <x:v>118</x:v>
      </x:c>
      <x:c r="X190" s="277" t="s">
        <x:v>118</x:v>
      </x:c>
      <x:c r="Y190" s="277" t="s">
        <x:v>118</x:v>
      </x:c>
      <x:c r="Z190" s="277" t="s">
        <x:v>118</x:v>
      </x:c>
      <x:c r="AA190" s="277" t="s">
        <x:v>118</x:v>
      </x:c>
      <x:c r="AB190" s="277" t="s">
        <x:v>118</x:v>
      </x:c>
      <x:c r="AC190" s="277" t="s">
        <x:v>118</x:v>
      </x:c>
      <x:c r="AD190" s="277" t="s">
        <x:v>118</x:v>
      </x:c>
      <x:c r="AE190" s="277" t="s">
        <x:v>118</x:v>
      </x:c>
      <x:c r="AF190" s="277" t="s">
        <x:v>118</x:v>
      </x:c>
      <x:c r="AG190" s="277" t="s">
        <x:v>118</x:v>
      </x:c>
      <x:c r="AH190" s="277" t="s">
        <x:v>118</x:v>
      </x:c>
      <x:c r="AI190" s="277" t="s">
        <x:v>118</x:v>
      </x:c>
      <x:c r="AJ190" s="277" t="s">
        <x:v>118</x:v>
      </x:c>
      <x:c r="AK190" s="220">
        <x:f>COUNTIF(F190:AJ190,"X")</x:f>
      </x:c>
      <x:c r="AL190" s="221"/>
      <x:c r="AM190" s="221"/>
      <x:c r="AN190" s="222"/>
      <x:c r="AO190" s="222"/>
      <x:c r="AP190" s="228"/>
      <x:c r="AQ190" s="228"/>
      <x:c r="AR190" s="228"/>
      <x:c r="AS190" s="228"/>
      <x:c r="AT190" s="230"/>
    </x:row>
    <x:row r="191" spans="1:47" ht="19.9" customHeight="1">
      <x:c r="A191" s="274" t="s">
        <x:v>1461</x:v>
      </x:c>
      <x:c r="B191" s="216"/>
      <x:c r="C191" s="275" t="s">
        <x:v>1462</x:v>
      </x:c>
      <x:c r="D191" s="274" t="s">
        <x:v>1463</x:v>
      </x:c>
      <x:c r="E191" s="276" t="s">
        <x:v>1464</x:v>
      </x:c>
      <x:c r="F191" s="277" t="s">
        <x:v>118</x:v>
      </x:c>
      <x:c r="G191" s="277" t="s">
        <x:v>118</x:v>
      </x:c>
      <x:c r="H191" s="277" t="s">
        <x:v>118</x:v>
      </x:c>
      <x:c r="I191" s="277" t="s">
        <x:v>118</x:v>
      </x:c>
      <x:c r="J191" s="277" t="s">
        <x:v>118</x:v>
      </x:c>
      <x:c r="K191" s="277" t="s">
        <x:v>118</x:v>
      </x:c>
      <x:c r="L191" s="277" t="s">
        <x:v>118</x:v>
      </x:c>
      <x:c r="M191" s="277" t="s">
        <x:v>118</x:v>
      </x:c>
      <x:c r="N191" s="277" t="s">
        <x:v>118</x:v>
      </x:c>
      <x:c r="O191" s="277" t="s">
        <x:v>118</x:v>
      </x:c>
      <x:c r="P191" s="277" t="s">
        <x:v>118</x:v>
      </x:c>
      <x:c r="Q191" s="277" t="s">
        <x:v>118</x:v>
      </x:c>
      <x:c r="R191" s="277" t="s">
        <x:v>118</x:v>
      </x:c>
      <x:c r="S191" s="277" t="s">
        <x:v>118</x:v>
      </x:c>
      <x:c r="T191" s="277" t="s">
        <x:v>118</x:v>
      </x:c>
      <x:c r="U191" s="277" t="s">
        <x:v>118</x:v>
      </x:c>
      <x:c r="V191" s="277" t="s">
        <x:v>118</x:v>
      </x:c>
      <x:c r="W191" s="277" t="s">
        <x:v>118</x:v>
      </x:c>
      <x:c r="X191" s="277" t="s">
        <x:v>118</x:v>
      </x:c>
      <x:c r="Y191" s="277" t="s">
        <x:v>118</x:v>
      </x:c>
      <x:c r="Z191" s="277" t="s">
        <x:v>118</x:v>
      </x:c>
      <x:c r="AA191" s="277" t="s">
        <x:v>118</x:v>
      </x:c>
      <x:c r="AB191" s="277" t="s">
        <x:v>118</x:v>
      </x:c>
      <x:c r="AC191" s="277" t="s">
        <x:v>118</x:v>
      </x:c>
      <x:c r="AD191" s="277" t="s">
        <x:v>118</x:v>
      </x:c>
      <x:c r="AE191" s="277" t="s">
        <x:v>118</x:v>
      </x:c>
      <x:c r="AF191" s="277" t="s">
        <x:v>118</x:v>
      </x:c>
      <x:c r="AG191" s="277" t="s">
        <x:v>118</x:v>
      </x:c>
      <x:c r="AH191" s="277" t="s">
        <x:v>118</x:v>
      </x:c>
      <x:c r="AI191" s="277" t="s">
        <x:v>118</x:v>
      </x:c>
      <x:c r="AJ191" s="277" t="s">
        <x:v>118</x:v>
      </x:c>
      <x:c r="AK191" s="220">
        <x:f>COUNTIF(F191:AJ191,"X")</x:f>
      </x:c>
      <x:c r="AL191" s="221"/>
      <x:c r="AM191" s="221"/>
      <x:c r="AN191" s="222"/>
      <x:c r="AO191" s="222"/>
      <x:c r="AP191" s="228"/>
      <x:c r="AQ191" s="228"/>
      <x:c r="AR191" s="228"/>
      <x:c r="AS191" s="228"/>
      <x:c r="AT191" s="230"/>
    </x:row>
    <x:row r="192" spans="1:47" ht="19.9" customHeight="1">
      <x:c r="A192" s="274" t="s">
        <x:v>1465</x:v>
      </x:c>
      <x:c r="B192" s="216"/>
      <x:c r="C192" s="275" t="s">
        <x:v>1466</x:v>
      </x:c>
      <x:c r="D192" s="274" t="s">
        <x:v>665</x:v>
      </x:c>
      <x:c r="E192" s="276" t="s">
        <x:v>1386</x:v>
      </x:c>
      <x:c r="F192" s="277" t="s">
        <x:v>118</x:v>
      </x:c>
      <x:c r="G192" s="277" t="s">
        <x:v>118</x:v>
      </x:c>
      <x:c r="H192" s="277" t="s">
        <x:v>118</x:v>
      </x:c>
      <x:c r="I192" s="277" t="s">
        <x:v>118</x:v>
      </x:c>
      <x:c r="J192" s="277" t="s">
        <x:v>118</x:v>
      </x:c>
      <x:c r="K192" s="277" t="s">
        <x:v>118</x:v>
      </x:c>
      <x:c r="L192" s="277" t="s">
        <x:v>118</x:v>
      </x:c>
      <x:c r="M192" s="277" t="s">
        <x:v>118</x:v>
      </x:c>
      <x:c r="N192" s="277" t="s">
        <x:v>118</x:v>
      </x:c>
      <x:c r="O192" s="277" t="s">
        <x:v>118</x:v>
      </x:c>
      <x:c r="P192" s="277" t="s">
        <x:v>118</x:v>
      </x:c>
      <x:c r="Q192" s="277" t="s">
        <x:v>118</x:v>
      </x:c>
      <x:c r="R192" s="277" t="s">
        <x:v>118</x:v>
      </x:c>
      <x:c r="S192" s="277" t="s">
        <x:v>118</x:v>
      </x:c>
      <x:c r="T192" s="277" t="s">
        <x:v>118</x:v>
      </x:c>
      <x:c r="U192" s="277" t="s">
        <x:v>118</x:v>
      </x:c>
      <x:c r="V192" s="277" t="s">
        <x:v>118</x:v>
      </x:c>
      <x:c r="W192" s="277" t="s">
        <x:v>118</x:v>
      </x:c>
      <x:c r="X192" s="277" t="s">
        <x:v>118</x:v>
      </x:c>
      <x:c r="Y192" s="277" t="s">
        <x:v>118</x:v>
      </x:c>
      <x:c r="Z192" s="277" t="s">
        <x:v>118</x:v>
      </x:c>
      <x:c r="AA192" s="277" t="s">
        <x:v>118</x:v>
      </x:c>
      <x:c r="AB192" s="277" t="s">
        <x:v>118</x:v>
      </x:c>
      <x:c r="AC192" s="277" t="s">
        <x:v>118</x:v>
      </x:c>
      <x:c r="AD192" s="277" t="s">
        <x:v>118</x:v>
      </x:c>
      <x:c r="AE192" s="277" t="s">
        <x:v>118</x:v>
      </x:c>
      <x:c r="AF192" s="277" t="s">
        <x:v>118</x:v>
      </x:c>
      <x:c r="AG192" s="277" t="s">
        <x:v>118</x:v>
      </x:c>
      <x:c r="AH192" s="277" t="s">
        <x:v>118</x:v>
      </x:c>
      <x:c r="AI192" s="277" t="s">
        <x:v>118</x:v>
      </x:c>
      <x:c r="AJ192" s="277" t="s">
        <x:v>118</x:v>
      </x:c>
      <x:c r="AK192" s="220">
        <x:f>COUNTIF(F192:AJ192,"X")</x:f>
      </x:c>
      <x:c r="AL192" s="221"/>
      <x:c r="AM192" s="221"/>
      <x:c r="AN192" s="222"/>
      <x:c r="AO192" s="222"/>
      <x:c r="AP192" s="228"/>
      <x:c r="AQ192" s="228"/>
      <x:c r="AR192" s="228"/>
      <x:c r="AS192" s="228"/>
      <x:c r="AT192" s="233"/>
    </x:row>
    <x:row r="193" spans="1:47" ht="15" customHeight="1">
      <x:c r="A193" s="274" t="s">
        <x:v>1467</x:v>
      </x:c>
      <x:c r="B193" s="216"/>
      <x:c r="C193" s="275" t="s">
        <x:v>1468</x:v>
      </x:c>
      <x:c r="D193" s="274" t="s">
        <x:v>1469</x:v>
      </x:c>
      <x:c r="E193" s="276" t="s">
        <x:v>439</x:v>
      </x:c>
      <x:c r="F193" s="277" t="s">
        <x:v>118</x:v>
      </x:c>
      <x:c r="G193" s="277" t="s">
        <x:v>118</x:v>
      </x:c>
      <x:c r="H193" s="277" t="s">
        <x:v>118</x:v>
      </x:c>
      <x:c r="I193" s="277" t="s">
        <x:v>118</x:v>
      </x:c>
      <x:c r="J193" s="277" t="s">
        <x:v>118</x:v>
      </x:c>
      <x:c r="K193" s="277" t="s">
        <x:v>118</x:v>
      </x:c>
      <x:c r="L193" s="277" t="s">
        <x:v>118</x:v>
      </x:c>
      <x:c r="M193" s="277" t="s">
        <x:v>118</x:v>
      </x:c>
      <x:c r="N193" s="277" t="s">
        <x:v>118</x:v>
      </x:c>
      <x:c r="O193" s="277" t="s">
        <x:v>118</x:v>
      </x:c>
      <x:c r="P193" s="277" t="s">
        <x:v>118</x:v>
      </x:c>
      <x:c r="Q193" s="277" t="s">
        <x:v>118</x:v>
      </x:c>
      <x:c r="R193" s="277" t="s">
        <x:v>118</x:v>
      </x:c>
      <x:c r="S193" s="277" t="s">
        <x:v>118</x:v>
      </x:c>
      <x:c r="T193" s="277" t="s">
        <x:v>118</x:v>
      </x:c>
      <x:c r="U193" s="277" t="s">
        <x:v>118</x:v>
      </x:c>
      <x:c r="V193" s="277" t="s">
        <x:v>118</x:v>
      </x:c>
      <x:c r="W193" s="277" t="s">
        <x:v>118</x:v>
      </x:c>
      <x:c r="X193" s="277" t="s">
        <x:v>118</x:v>
      </x:c>
      <x:c r="Y193" s="277" t="s">
        <x:v>118</x:v>
      </x:c>
      <x:c r="Z193" s="277" t="s">
        <x:v>118</x:v>
      </x:c>
      <x:c r="AA193" s="277" t="s">
        <x:v>118</x:v>
      </x:c>
      <x:c r="AB193" s="277" t="s">
        <x:v>118</x:v>
      </x:c>
      <x:c r="AC193" s="277" t="s">
        <x:v>118</x:v>
      </x:c>
      <x:c r="AD193" s="277" t="s">
        <x:v>118</x:v>
      </x:c>
      <x:c r="AE193" s="277" t="s">
        <x:v>118</x:v>
      </x:c>
      <x:c r="AF193" s="277" t="s">
        <x:v>118</x:v>
      </x:c>
      <x:c r="AG193" s="277" t="s">
        <x:v>118</x:v>
      </x:c>
      <x:c r="AH193" s="277" t="s">
        <x:v>118</x:v>
      </x:c>
      <x:c r="AI193" s="277" t="s">
        <x:v>118</x:v>
      </x:c>
      <x:c r="AJ193" s="277" t="s">
        <x:v>118</x:v>
      </x:c>
      <x:c r="AK193" s="220">
        <x:f>COUNTIF(F193:AJ193,"X")</x:f>
      </x:c>
      <x:c r="AL193" s="221"/>
      <x:c r="AM193" s="221"/>
      <x:c r="AN193" s="222"/>
      <x:c r="AO193" s="222"/>
      <x:c r="AP193" s="228"/>
      <x:c r="AQ193" s="228"/>
      <x:c r="AR193" s="228"/>
      <x:c r="AS193" s="228"/>
      <x:c r="AT193" s="230"/>
    </x:row>
    <x:row r="194" spans="1:47" ht="15" customHeight="1">
      <x:c r="A194" s="282" t="s">
        <x:v>1470</x:v>
      </x:c>
      <x:c r="B194" s="216"/>
      <x:c r="C194" s="283" t="s">
        <x:v>1471</x:v>
      </x:c>
      <x:c r="D194" s="282" t="s">
        <x:v>1469</x:v>
      </x:c>
      <x:c r="E194" s="282" t="s">
        <x:v>1472</x:v>
      </x:c>
      <x:c r="F194" s="277" t="s">
        <x:v>118</x:v>
      </x:c>
      <x:c r="G194" s="277" t="s">
        <x:v>118</x:v>
      </x:c>
      <x:c r="H194" s="277" t="s">
        <x:v>118</x:v>
      </x:c>
      <x:c r="I194" s="277" t="s">
        <x:v>118</x:v>
      </x:c>
      <x:c r="J194" s="277" t="s">
        <x:v>118</x:v>
      </x:c>
      <x:c r="K194" s="277" t="s">
        <x:v>118</x:v>
      </x:c>
      <x:c r="L194" s="277" t="s">
        <x:v>118</x:v>
      </x:c>
      <x:c r="M194" s="277" t="s">
        <x:v>118</x:v>
      </x:c>
      <x:c r="N194" s="277" t="s">
        <x:v>118</x:v>
      </x:c>
      <x:c r="O194" s="277" t="s">
        <x:v>118</x:v>
      </x:c>
      <x:c r="P194" s="277" t="s">
        <x:v>118</x:v>
      </x:c>
      <x:c r="Q194" s="277" t="s">
        <x:v>118</x:v>
      </x:c>
      <x:c r="R194" s="277" t="s">
        <x:v>118</x:v>
      </x:c>
      <x:c r="S194" s="277" t="s">
        <x:v>118</x:v>
      </x:c>
      <x:c r="T194" s="277" t="s">
        <x:v>118</x:v>
      </x:c>
      <x:c r="U194" s="277" t="s">
        <x:v>118</x:v>
      </x:c>
      <x:c r="V194" s="277" t="s">
        <x:v>118</x:v>
      </x:c>
      <x:c r="W194" s="277" t="s">
        <x:v>118</x:v>
      </x:c>
      <x:c r="X194" s="277" t="s">
        <x:v>118</x:v>
      </x:c>
      <x:c r="Y194" s="277" t="s">
        <x:v>118</x:v>
      </x:c>
      <x:c r="Z194" s="277" t="s">
        <x:v>118</x:v>
      </x:c>
      <x:c r="AA194" s="277" t="s">
        <x:v>118</x:v>
      </x:c>
      <x:c r="AB194" s="277" t="s">
        <x:v>118</x:v>
      </x:c>
      <x:c r="AC194" s="277" t="s">
        <x:v>118</x:v>
      </x:c>
      <x:c r="AD194" s="277" t="s">
        <x:v>118</x:v>
      </x:c>
      <x:c r="AE194" s="277" t="s">
        <x:v>118</x:v>
      </x:c>
      <x:c r="AF194" s="277" t="s">
        <x:v>118</x:v>
      </x:c>
      <x:c r="AG194" s="277" t="s">
        <x:v>118</x:v>
      </x:c>
      <x:c r="AH194" s="277" t="s">
        <x:v>118</x:v>
      </x:c>
      <x:c r="AI194" s="277" t="s">
        <x:v>118</x:v>
      </x:c>
      <x:c r="AJ194" s="277" t="s">
        <x:v>118</x:v>
      </x:c>
      <x:c r="AK194" s="220">
        <x:f>COUNTIF(F194:AJ194,"X")</x:f>
      </x:c>
      <x:c r="AL194" s="221"/>
      <x:c r="AM194" s="221"/>
      <x:c r="AN194" s="222"/>
      <x:c r="AO194" s="222"/>
      <x:c r="AP194" s="228"/>
      <x:c r="AQ194" s="228"/>
      <x:c r="AR194" s="228"/>
      <x:c r="AS194" s="228"/>
      <x:c r="AT194" s="230"/>
    </x:row>
    <x:row r="195" spans="1:47" ht="15" customHeight="1">
      <x:c r="A195" s="282" t="s">
        <x:v>1473</x:v>
      </x:c>
      <x:c r="B195" s="216"/>
      <x:c r="C195" s="283" t="s">
        <x:v>1474</x:v>
      </x:c>
      <x:c r="D195" s="282" t="s">
        <x:v>1475</x:v>
      </x:c>
      <x:c r="E195" s="282" t="s">
        <x:v>1427</x:v>
      </x:c>
      <x:c r="F195" s="277" t="s">
        <x:v>118</x:v>
      </x:c>
      <x:c r="G195" s="277" t="s">
        <x:v>118</x:v>
      </x:c>
      <x:c r="H195" s="277" t="s">
        <x:v>118</x:v>
      </x:c>
      <x:c r="I195" s="277" t="s">
        <x:v>118</x:v>
      </x:c>
      <x:c r="J195" s="277" t="s">
        <x:v>118</x:v>
      </x:c>
      <x:c r="K195" s="277" t="s">
        <x:v>118</x:v>
      </x:c>
      <x:c r="L195" s="277" t="s">
        <x:v>118</x:v>
      </x:c>
      <x:c r="M195" s="277" t="s">
        <x:v>118</x:v>
      </x:c>
      <x:c r="N195" s="277" t="s">
        <x:v>118</x:v>
      </x:c>
      <x:c r="O195" s="277" t="s">
        <x:v>118</x:v>
      </x:c>
      <x:c r="P195" s="277" t="s">
        <x:v>118</x:v>
      </x:c>
      <x:c r="Q195" s="277" t="s">
        <x:v>118</x:v>
      </x:c>
      <x:c r="R195" s="277" t="s">
        <x:v>118</x:v>
      </x:c>
      <x:c r="S195" s="277" t="s">
        <x:v>118</x:v>
      </x:c>
      <x:c r="T195" s="277" t="s">
        <x:v>118</x:v>
      </x:c>
      <x:c r="U195" s="277" t="s">
        <x:v>118</x:v>
      </x:c>
      <x:c r="V195" s="277" t="s">
        <x:v>118</x:v>
      </x:c>
      <x:c r="W195" s="277" t="s">
        <x:v>118</x:v>
      </x:c>
      <x:c r="X195" s="277" t="s">
        <x:v>118</x:v>
      </x:c>
      <x:c r="Y195" s="277" t="s">
        <x:v>118</x:v>
      </x:c>
      <x:c r="Z195" s="277" t="s">
        <x:v>118</x:v>
      </x:c>
      <x:c r="AA195" s="277" t="s">
        <x:v>118</x:v>
      </x:c>
      <x:c r="AB195" s="277" t="s">
        <x:v>118</x:v>
      </x:c>
      <x:c r="AC195" s="277" t="s">
        <x:v>118</x:v>
      </x:c>
      <x:c r="AD195" s="277" t="s">
        <x:v>118</x:v>
      </x:c>
      <x:c r="AE195" s="277" t="s">
        <x:v>118</x:v>
      </x:c>
      <x:c r="AF195" s="277" t="s">
        <x:v>118</x:v>
      </x:c>
      <x:c r="AG195" s="277" t="s">
        <x:v>118</x:v>
      </x:c>
      <x:c r="AH195" s="277" t="s">
        <x:v>118</x:v>
      </x:c>
      <x:c r="AI195" s="277" t="s">
        <x:v>118</x:v>
      </x:c>
      <x:c r="AJ195" s="277" t="s">
        <x:v>118</x:v>
      </x:c>
      <x:c r="AK195" s="220">
        <x:f>COUNTIF(F195:AJ195,"X")</x:f>
      </x:c>
      <x:c r="AL195" s="221"/>
      <x:c r="AM195" s="221"/>
      <x:c r="AN195" s="222"/>
      <x:c r="AO195" s="222"/>
      <x:c r="AP195" s="228"/>
      <x:c r="AQ195" s="228"/>
      <x:c r="AR195" s="228"/>
      <x:c r="AS195" s="228"/>
      <x:c r="AT195" s="230"/>
    </x:row>
    <x:row r="196" spans="1:47" ht="15" customHeight="1">
      <x:c r="A196" s="282" t="s">
        <x:v>1476</x:v>
      </x:c>
      <x:c r="B196" s="216"/>
      <x:c r="C196" s="283" t="s">
        <x:v>1477</x:v>
      </x:c>
      <x:c r="D196" s="282" t="s">
        <x:v>1478</x:v>
      </x:c>
      <x:c r="E196" s="282" t="s">
        <x:v>1479</x:v>
      </x:c>
      <x:c r="F196" s="281" t="s">
        <x:v>118</x:v>
      </x:c>
      <x:c r="G196" s="281" t="s">
        <x:v>118</x:v>
      </x:c>
      <x:c r="H196" s="281" t="s">
        <x:v>118</x:v>
      </x:c>
      <x:c r="I196" s="281" t="s">
        <x:v>118</x:v>
      </x:c>
      <x:c r="J196" s="281" t="s">
        <x:v>118</x:v>
      </x:c>
      <x:c r="K196" s="281" t="s">
        <x:v>118</x:v>
      </x:c>
      <x:c r="L196" s="281" t="s">
        <x:v>118</x:v>
      </x:c>
      <x:c r="M196" s="281" t="s">
        <x:v>118</x:v>
      </x:c>
      <x:c r="N196" s="281" t="s">
        <x:v>118</x:v>
      </x:c>
      <x:c r="O196" s="281" t="s">
        <x:v>118</x:v>
      </x:c>
      <x:c r="P196" s="281" t="s">
        <x:v>118</x:v>
      </x:c>
      <x:c r="Q196" s="281" t="s">
        <x:v>118</x:v>
      </x:c>
      <x:c r="R196" s="281" t="s">
        <x:v>118</x:v>
      </x:c>
      <x:c r="S196" s="281" t="s">
        <x:v>118</x:v>
      </x:c>
      <x:c r="T196" s="281" t="s">
        <x:v>118</x:v>
      </x:c>
      <x:c r="U196" s="281" t="s">
        <x:v>118</x:v>
      </x:c>
      <x:c r="V196" s="281" t="s">
        <x:v>118</x:v>
      </x:c>
      <x:c r="W196" s="281" t="s">
        <x:v>118</x:v>
      </x:c>
      <x:c r="X196" s="281" t="s">
        <x:v>118</x:v>
      </x:c>
      <x:c r="Y196" s="281" t="s">
        <x:v>118</x:v>
      </x:c>
      <x:c r="Z196" s="281" t="s">
        <x:v>118</x:v>
      </x:c>
      <x:c r="AA196" s="281" t="s">
        <x:v>118</x:v>
      </x:c>
      <x:c r="AB196" s="281" t="s">
        <x:v>118</x:v>
      </x:c>
      <x:c r="AC196" s="281" t="s">
        <x:v>118</x:v>
      </x:c>
      <x:c r="AD196" s="281" t="s">
        <x:v>118</x:v>
      </x:c>
      <x:c r="AE196" s="281" t="s">
        <x:v>118</x:v>
      </x:c>
      <x:c r="AF196" s="281" t="s">
        <x:v>118</x:v>
      </x:c>
      <x:c r="AG196" s="281" t="s">
        <x:v>118</x:v>
      </x:c>
      <x:c r="AH196" s="281" t="s">
        <x:v>118</x:v>
      </x:c>
      <x:c r="AI196" s="281" t="s">
        <x:v>118</x:v>
      </x:c>
      <x:c r="AJ196" s="281" t="s">
        <x:v>118</x:v>
      </x:c>
      <x:c r="AK196" s="220">
        <x:f>COUNTIF(F196:AJ196,"X")</x:f>
      </x:c>
      <x:c r="AL196" s="221"/>
      <x:c r="AM196" s="221"/>
      <x:c r="AN196" s="222"/>
      <x:c r="AO196" s="222"/>
      <x:c r="AP196" s="228"/>
      <x:c r="AQ196" s="228"/>
      <x:c r="AR196" s="228"/>
      <x:c r="AS196" s="228"/>
      <x:c r="AT196" s="230"/>
    </x:row>
    <x:row r="197" spans="1:47" ht="15" customHeight="1">
      <x:c r="A197" s="282" t="s">
        <x:v>1480</x:v>
      </x:c>
      <x:c r="B197" s="216"/>
      <x:c r="C197" s="283" t="s">
        <x:v>1481</x:v>
      </x:c>
      <x:c r="D197" s="282" t="s">
        <x:v>1482</x:v>
      </x:c>
      <x:c r="E197" s="282" t="s">
        <x:v>1483</x:v>
      </x:c>
      <x:c r="F197" s="277" t="s">
        <x:v>118</x:v>
      </x:c>
      <x:c r="G197" s="277" t="s">
        <x:v>118</x:v>
      </x:c>
      <x:c r="H197" s="277" t="s">
        <x:v>118</x:v>
      </x:c>
      <x:c r="I197" s="277" t="s">
        <x:v>118</x:v>
      </x:c>
      <x:c r="J197" s="277" t="s">
        <x:v>118</x:v>
      </x:c>
      <x:c r="K197" s="277" t="s">
        <x:v>118</x:v>
      </x:c>
      <x:c r="L197" s="277" t="s">
        <x:v>118</x:v>
      </x:c>
      <x:c r="M197" s="277" t="s">
        <x:v>118</x:v>
      </x:c>
      <x:c r="N197" s="277" t="s">
        <x:v>118</x:v>
      </x:c>
      <x:c r="O197" s="277" t="s">
        <x:v>118</x:v>
      </x:c>
      <x:c r="P197" s="277" t="s">
        <x:v>118</x:v>
      </x:c>
      <x:c r="Q197" s="277" t="s">
        <x:v>118</x:v>
      </x:c>
      <x:c r="R197" s="277" t="s">
        <x:v>118</x:v>
      </x:c>
      <x:c r="S197" s="277" t="s">
        <x:v>118</x:v>
      </x:c>
      <x:c r="T197" s="277" t="s">
        <x:v>118</x:v>
      </x:c>
      <x:c r="U197" s="277" t="s">
        <x:v>118</x:v>
      </x:c>
      <x:c r="V197" s="277" t="s">
        <x:v>118</x:v>
      </x:c>
      <x:c r="W197" s="277" t="s">
        <x:v>118</x:v>
      </x:c>
      <x:c r="X197" s="277" t="s">
        <x:v>118</x:v>
      </x:c>
      <x:c r="Y197" s="277" t="s">
        <x:v>118</x:v>
      </x:c>
      <x:c r="Z197" s="277" t="s">
        <x:v>118</x:v>
      </x:c>
      <x:c r="AA197" s="277" t="s">
        <x:v>118</x:v>
      </x:c>
      <x:c r="AB197" s="277" t="s">
        <x:v>118</x:v>
      </x:c>
      <x:c r="AC197" s="277" t="s">
        <x:v>118</x:v>
      </x:c>
      <x:c r="AD197" s="277" t="s">
        <x:v>118</x:v>
      </x:c>
      <x:c r="AE197" s="277" t="s">
        <x:v>118</x:v>
      </x:c>
      <x:c r="AF197" s="277" t="s">
        <x:v>118</x:v>
      </x:c>
      <x:c r="AG197" s="277" t="s">
        <x:v>118</x:v>
      </x:c>
      <x:c r="AH197" s="277" t="s">
        <x:v>118</x:v>
      </x:c>
      <x:c r="AI197" s="277" t="s">
        <x:v>118</x:v>
      </x:c>
      <x:c r="AJ197" s="277" t="s">
        <x:v>118</x:v>
      </x:c>
      <x:c r="AK197" s="220">
        <x:f>COUNTIF(F197:AJ197,"X")</x:f>
      </x:c>
      <x:c r="AL197" s="221"/>
      <x:c r="AM197" s="221"/>
      <x:c r="AN197" s="222"/>
      <x:c r="AO197" s="222"/>
      <x:c r="AP197" s="228"/>
      <x:c r="AQ197" s="228"/>
      <x:c r="AR197" s="228"/>
      <x:c r="AS197" s="228"/>
      <x:c r="AT197" s="230"/>
    </x:row>
    <x:row r="198" spans="1:47" ht="15" customHeight="1">
      <x:c r="A198" s="282" t="s">
        <x:v>1484</x:v>
      </x:c>
      <x:c r="B198" s="216"/>
      <x:c r="C198" s="283" t="s">
        <x:v>1485</x:v>
      </x:c>
      <x:c r="D198" s="282" t="s">
        <x:v>1486</x:v>
      </x:c>
      <x:c r="E198" s="282" t="s">
        <x:v>1487</x:v>
      </x:c>
      <x:c r="F198" s="281" t="s">
        <x:v>118</x:v>
      </x:c>
      <x:c r="G198" s="281" t="s">
        <x:v>118</x:v>
      </x:c>
      <x:c r="H198" s="281" t="s">
        <x:v>118</x:v>
      </x:c>
      <x:c r="I198" s="281" t="s">
        <x:v>118</x:v>
      </x:c>
      <x:c r="J198" s="281" t="s">
        <x:v>118</x:v>
      </x:c>
      <x:c r="K198" s="281" t="s">
        <x:v>118</x:v>
      </x:c>
      <x:c r="L198" s="281" t="s">
        <x:v>118</x:v>
      </x:c>
      <x:c r="M198" s="281" t="s">
        <x:v>118</x:v>
      </x:c>
      <x:c r="N198" s="281" t="s">
        <x:v>118</x:v>
      </x:c>
      <x:c r="O198" s="281" t="s">
        <x:v>118</x:v>
      </x:c>
      <x:c r="P198" s="281" t="s">
        <x:v>118</x:v>
      </x:c>
      <x:c r="Q198" s="281" t="s">
        <x:v>118</x:v>
      </x:c>
      <x:c r="R198" s="281" t="s">
        <x:v>118</x:v>
      </x:c>
      <x:c r="S198" s="281" t="s">
        <x:v>118</x:v>
      </x:c>
      <x:c r="T198" s="281" t="s">
        <x:v>118</x:v>
      </x:c>
      <x:c r="U198" s="281" t="s">
        <x:v>118</x:v>
      </x:c>
      <x:c r="V198" s="281" t="s">
        <x:v>118</x:v>
      </x:c>
      <x:c r="W198" s="281" t="s">
        <x:v>118</x:v>
      </x:c>
      <x:c r="X198" s="281" t="s">
        <x:v>118</x:v>
      </x:c>
      <x:c r="Y198" s="281" t="s">
        <x:v>118</x:v>
      </x:c>
      <x:c r="Z198" s="281" t="s">
        <x:v>118</x:v>
      </x:c>
      <x:c r="AA198" s="281" t="s">
        <x:v>118</x:v>
      </x:c>
      <x:c r="AB198" s="281" t="s">
        <x:v>118</x:v>
      </x:c>
      <x:c r="AC198" s="281" t="s">
        <x:v>118</x:v>
      </x:c>
      <x:c r="AD198" s="281" t="s">
        <x:v>118</x:v>
      </x:c>
      <x:c r="AE198" s="281" t="s">
        <x:v>118</x:v>
      </x:c>
      <x:c r="AF198" s="281" t="s">
        <x:v>118</x:v>
      </x:c>
      <x:c r="AG198" s="281" t="s">
        <x:v>118</x:v>
      </x:c>
      <x:c r="AH198" s="281" t="s">
        <x:v>118</x:v>
      </x:c>
      <x:c r="AI198" s="281" t="s">
        <x:v>118</x:v>
      </x:c>
      <x:c r="AJ198" s="281" t="s">
        <x:v>118</x:v>
      </x:c>
      <x:c r="AK198" s="220">
        <x:f>COUNTIF(F198:AJ198,"X")</x:f>
      </x:c>
      <x:c r="AL198" s="221"/>
      <x:c r="AM198" s="221"/>
      <x:c r="AN198" s="222"/>
      <x:c r="AO198" s="222"/>
      <x:c r="AP198" s="228"/>
      <x:c r="AQ198" s="228"/>
      <x:c r="AR198" s="228"/>
      <x:c r="AS198" s="228"/>
      <x:c r="AT198" s="230"/>
    </x:row>
    <x:row r="199" spans="1:47" ht="15" customHeight="1">
      <x:c r="A199" s="282" t="s">
        <x:v>1488</x:v>
      </x:c>
      <x:c r="B199" s="216"/>
      <x:c r="C199" s="283" t="s">
        <x:v>1489</x:v>
      </x:c>
      <x:c r="D199" s="282" t="s">
        <x:v>1490</x:v>
      </x:c>
      <x:c r="E199" s="282" t="s">
        <x:v>469</x:v>
      </x:c>
      <x:c r="F199" s="281" t="s">
        <x:v>118</x:v>
      </x:c>
      <x:c r="G199" s="281" t="s">
        <x:v>118</x:v>
      </x:c>
      <x:c r="H199" s="281" t="s">
        <x:v>118</x:v>
      </x:c>
      <x:c r="I199" s="281" t="s">
        <x:v>118</x:v>
      </x:c>
      <x:c r="J199" s="281" t="s">
        <x:v>118</x:v>
      </x:c>
      <x:c r="K199" s="281" t="s">
        <x:v>118</x:v>
      </x:c>
      <x:c r="L199" s="281" t="s">
        <x:v>118</x:v>
      </x:c>
      <x:c r="M199" s="281" t="s">
        <x:v>118</x:v>
      </x:c>
      <x:c r="N199" s="281" t="s">
        <x:v>118</x:v>
      </x:c>
      <x:c r="O199" s="281" t="s">
        <x:v>118</x:v>
      </x:c>
      <x:c r="P199" s="281" t="s">
        <x:v>118</x:v>
      </x:c>
      <x:c r="Q199" s="281" t="s">
        <x:v>118</x:v>
      </x:c>
      <x:c r="R199" s="281" t="s">
        <x:v>118</x:v>
      </x:c>
      <x:c r="S199" s="281" t="s">
        <x:v>118</x:v>
      </x:c>
      <x:c r="T199" s="281" t="s">
        <x:v>118</x:v>
      </x:c>
      <x:c r="U199" s="281" t="s">
        <x:v>118</x:v>
      </x:c>
      <x:c r="V199" s="281" t="s">
        <x:v>118</x:v>
      </x:c>
      <x:c r="W199" s="281" t="s">
        <x:v>118</x:v>
      </x:c>
      <x:c r="X199" s="281" t="s">
        <x:v>118</x:v>
      </x:c>
      <x:c r="Y199" s="281" t="s">
        <x:v>118</x:v>
      </x:c>
      <x:c r="Z199" s="281" t="s">
        <x:v>118</x:v>
      </x:c>
      <x:c r="AA199" s="281" t="s">
        <x:v>118</x:v>
      </x:c>
      <x:c r="AB199" s="281" t="s">
        <x:v>118</x:v>
      </x:c>
      <x:c r="AC199" s="281" t="s">
        <x:v>118</x:v>
      </x:c>
      <x:c r="AD199" s="281" t="s">
        <x:v>118</x:v>
      </x:c>
      <x:c r="AE199" s="281" t="s">
        <x:v>118</x:v>
      </x:c>
      <x:c r="AF199" s="281" t="s">
        <x:v>118</x:v>
      </x:c>
      <x:c r="AG199" s="281" t="s">
        <x:v>118</x:v>
      </x:c>
      <x:c r="AH199" s="281" t="s">
        <x:v>118</x:v>
      </x:c>
      <x:c r="AI199" s="281" t="s">
        <x:v>118</x:v>
      </x:c>
      <x:c r="AJ199" s="281" t="s">
        <x:v>118</x:v>
      </x:c>
      <x:c r="AK199" s="220">
        <x:f>COUNTIF(F199:AJ199,"X")</x:f>
      </x:c>
      <x:c r="AL199" s="221"/>
      <x:c r="AM199" s="221"/>
      <x:c r="AN199" s="222"/>
      <x:c r="AO199" s="222"/>
      <x:c r="AP199" s="228"/>
      <x:c r="AQ199" s="228"/>
      <x:c r="AR199" s="228"/>
      <x:c r="AS199" s="228"/>
      <x:c r="AT199" s="230"/>
    </x:row>
    <x:row r="200" spans="1:47" ht="15" customHeight="1">
      <x:c r="A200" s="282" t="s">
        <x:v>1491</x:v>
      </x:c>
      <x:c r="B200" s="216"/>
      <x:c r="C200" s="283" t="s">
        <x:v>1492</x:v>
      </x:c>
      <x:c r="D200" s="282" t="s">
        <x:v>1493</x:v>
      </x:c>
      <x:c r="E200" s="282" t="s">
        <x:v>1494</x:v>
      </x:c>
      <x:c r="F200" s="277" t="s">
        <x:v>118</x:v>
      </x:c>
      <x:c r="G200" s="277" t="s">
        <x:v>118</x:v>
      </x:c>
      <x:c r="H200" s="277" t="s">
        <x:v>118</x:v>
      </x:c>
      <x:c r="I200" s="277" t="s">
        <x:v>118</x:v>
      </x:c>
      <x:c r="J200" s="277" t="s">
        <x:v>118</x:v>
      </x:c>
      <x:c r="K200" s="277" t="s">
        <x:v>118</x:v>
      </x:c>
      <x:c r="L200" s="277" t="s">
        <x:v>118</x:v>
      </x:c>
      <x:c r="M200" s="277" t="s">
        <x:v>118</x:v>
      </x:c>
      <x:c r="N200" s="277" t="s">
        <x:v>118</x:v>
      </x:c>
      <x:c r="O200" s="277" t="s">
        <x:v>118</x:v>
      </x:c>
      <x:c r="P200" s="277" t="s">
        <x:v>118</x:v>
      </x:c>
      <x:c r="Q200" s="277" t="s">
        <x:v>118</x:v>
      </x:c>
      <x:c r="R200" s="277" t="s">
        <x:v>118</x:v>
      </x:c>
      <x:c r="S200" s="277" t="s">
        <x:v>118</x:v>
      </x:c>
      <x:c r="T200" s="277" t="s">
        <x:v>118</x:v>
      </x:c>
      <x:c r="U200" s="277" t="s">
        <x:v>118</x:v>
      </x:c>
      <x:c r="V200" s="277" t="s">
        <x:v>118</x:v>
      </x:c>
      <x:c r="W200" s="277" t="s">
        <x:v>118</x:v>
      </x:c>
      <x:c r="X200" s="277" t="s">
        <x:v>118</x:v>
      </x:c>
      <x:c r="Y200" s="277" t="s">
        <x:v>118</x:v>
      </x:c>
      <x:c r="Z200" s="277" t="s">
        <x:v>118</x:v>
      </x:c>
      <x:c r="AA200" s="277" t="s">
        <x:v>118</x:v>
      </x:c>
      <x:c r="AB200" s="277" t="s">
        <x:v>118</x:v>
      </x:c>
      <x:c r="AC200" s="277" t="s">
        <x:v>118</x:v>
      </x:c>
      <x:c r="AD200" s="277" t="s">
        <x:v>118</x:v>
      </x:c>
      <x:c r="AE200" s="277" t="s">
        <x:v>118</x:v>
      </x:c>
      <x:c r="AF200" s="277" t="s">
        <x:v>118</x:v>
      </x:c>
      <x:c r="AG200" s="277" t="s">
        <x:v>118</x:v>
      </x:c>
      <x:c r="AH200" s="277" t="s">
        <x:v>118</x:v>
      </x:c>
      <x:c r="AI200" s="277" t="s">
        <x:v>118</x:v>
      </x:c>
      <x:c r="AJ200" s="277" t="s">
        <x:v>118</x:v>
      </x:c>
      <x:c r="AK200" s="220">
        <x:f>COUNTIF(F200:AJ200,"X")</x:f>
      </x:c>
      <x:c r="AL200" s="221"/>
      <x:c r="AM200" s="221"/>
      <x:c r="AN200" s="222"/>
      <x:c r="AO200" s="222"/>
      <x:c r="AP200" s="228"/>
      <x:c r="AQ200" s="228"/>
      <x:c r="AR200" s="228"/>
      <x:c r="AS200" s="228"/>
      <x:c r="AT200" s="230"/>
    </x:row>
    <x:row r="201" spans="1:47" ht="15" customHeight="1">
      <x:c r="A201" s="282" t="s">
        <x:v>1495</x:v>
      </x:c>
      <x:c r="B201" s="216"/>
      <x:c r="C201" s="283" t="s">
        <x:v>1496</x:v>
      </x:c>
      <x:c r="D201" s="282" t="s">
        <x:v>1493</x:v>
      </x:c>
      <x:c r="E201" s="282" t="s">
        <x:v>1497</x:v>
      </x:c>
      <x:c r="F201" s="277" t="s">
        <x:v>118</x:v>
      </x:c>
      <x:c r="G201" s="277" t="s">
        <x:v>118</x:v>
      </x:c>
      <x:c r="H201" s="277" t="s">
        <x:v>118</x:v>
      </x:c>
      <x:c r="I201" s="277" t="s">
        <x:v>118</x:v>
      </x:c>
      <x:c r="J201" s="277" t="s">
        <x:v>118</x:v>
      </x:c>
      <x:c r="K201" s="277" t="s">
        <x:v>118</x:v>
      </x:c>
      <x:c r="L201" s="277" t="s">
        <x:v>118</x:v>
      </x:c>
      <x:c r="M201" s="277" t="s">
        <x:v>118</x:v>
      </x:c>
      <x:c r="N201" s="277" t="s">
        <x:v>118</x:v>
      </x:c>
      <x:c r="O201" s="277" t="s">
        <x:v>118</x:v>
      </x:c>
      <x:c r="P201" s="277" t="s">
        <x:v>118</x:v>
      </x:c>
      <x:c r="Q201" s="277" t="s">
        <x:v>118</x:v>
      </x:c>
      <x:c r="R201" s="277" t="s">
        <x:v>118</x:v>
      </x:c>
      <x:c r="S201" s="277" t="s">
        <x:v>118</x:v>
      </x:c>
      <x:c r="T201" s="277" t="s">
        <x:v>118</x:v>
      </x:c>
      <x:c r="U201" s="277" t="s">
        <x:v>118</x:v>
      </x:c>
      <x:c r="V201" s="277" t="s">
        <x:v>118</x:v>
      </x:c>
      <x:c r="W201" s="277" t="s">
        <x:v>118</x:v>
      </x:c>
      <x:c r="X201" s="277" t="s">
        <x:v>118</x:v>
      </x:c>
      <x:c r="Y201" s="277" t="s">
        <x:v>118</x:v>
      </x:c>
      <x:c r="Z201" s="277" t="s">
        <x:v>118</x:v>
      </x:c>
      <x:c r="AA201" s="277" t="s">
        <x:v>118</x:v>
      </x:c>
      <x:c r="AB201" s="277" t="s">
        <x:v>118</x:v>
      </x:c>
      <x:c r="AC201" s="277" t="s">
        <x:v>118</x:v>
      </x:c>
      <x:c r="AD201" s="277" t="s">
        <x:v>118</x:v>
      </x:c>
      <x:c r="AE201" s="277" t="s">
        <x:v>118</x:v>
      </x:c>
      <x:c r="AF201" s="277" t="s">
        <x:v>118</x:v>
      </x:c>
      <x:c r="AG201" s="277" t="s">
        <x:v>118</x:v>
      </x:c>
      <x:c r="AH201" s="277" t="s">
        <x:v>118</x:v>
      </x:c>
      <x:c r="AI201" s="277" t="s">
        <x:v>118</x:v>
      </x:c>
      <x:c r="AJ201" s="277" t="s">
        <x:v>118</x:v>
      </x:c>
      <x:c r="AK201" s="220">
        <x:f>COUNTIF(F201:AJ201,"X")</x:f>
      </x:c>
      <x:c r="AL201" s="221"/>
      <x:c r="AM201" s="221"/>
      <x:c r="AN201" s="222"/>
      <x:c r="AO201" s="222"/>
      <x:c r="AP201" s="228"/>
      <x:c r="AQ201" s="228"/>
      <x:c r="AR201" s="228"/>
      <x:c r="AS201" s="228"/>
      <x:c r="AT201" s="230"/>
    </x:row>
    <x:row r="202" spans="1:47" ht="15" customHeight="1">
      <x:c r="A202" s="282" t="s">
        <x:v>1498</x:v>
      </x:c>
      <x:c r="B202" s="216"/>
      <x:c r="C202" s="283" t="s">
        <x:v>1499</x:v>
      </x:c>
      <x:c r="D202" s="282" t="s">
        <x:v>1500</x:v>
      </x:c>
      <x:c r="E202" s="282" t="s">
        <x:v>1501</x:v>
      </x:c>
      <x:c r="F202" s="277" t="s">
        <x:v>118</x:v>
      </x:c>
      <x:c r="G202" s="277" t="s">
        <x:v>118</x:v>
      </x:c>
      <x:c r="H202" s="277" t="s">
        <x:v>118</x:v>
      </x:c>
      <x:c r="I202" s="277" t="s">
        <x:v>118</x:v>
      </x:c>
      <x:c r="J202" s="277" t="s">
        <x:v>118</x:v>
      </x:c>
      <x:c r="K202" s="277" t="s">
        <x:v>118</x:v>
      </x:c>
      <x:c r="L202" s="277" t="s">
        <x:v>118</x:v>
      </x:c>
      <x:c r="M202" s="277" t="s">
        <x:v>118</x:v>
      </x:c>
      <x:c r="N202" s="277" t="s">
        <x:v>118</x:v>
      </x:c>
      <x:c r="O202" s="277" t="s">
        <x:v>118</x:v>
      </x:c>
      <x:c r="P202" s="277" t="s">
        <x:v>118</x:v>
      </x:c>
      <x:c r="Q202" s="277" t="s">
        <x:v>118</x:v>
      </x:c>
      <x:c r="R202" s="277" t="s">
        <x:v>118</x:v>
      </x:c>
      <x:c r="S202" s="277" t="s">
        <x:v>118</x:v>
      </x:c>
      <x:c r="T202" s="277" t="s">
        <x:v>118</x:v>
      </x:c>
      <x:c r="U202" s="277" t="s">
        <x:v>118</x:v>
      </x:c>
      <x:c r="V202" s="277" t="s">
        <x:v>118</x:v>
      </x:c>
      <x:c r="W202" s="277" t="s">
        <x:v>118</x:v>
      </x:c>
      <x:c r="X202" s="277" t="s">
        <x:v>118</x:v>
      </x:c>
      <x:c r="Y202" s="277" t="s">
        <x:v>118</x:v>
      </x:c>
      <x:c r="Z202" s="277" t="s">
        <x:v>118</x:v>
      </x:c>
      <x:c r="AA202" s="277" t="s">
        <x:v>118</x:v>
      </x:c>
      <x:c r="AB202" s="277" t="s">
        <x:v>118</x:v>
      </x:c>
      <x:c r="AC202" s="277" t="s">
        <x:v>118</x:v>
      </x:c>
      <x:c r="AD202" s="277" t="s">
        <x:v>118</x:v>
      </x:c>
      <x:c r="AE202" s="277" t="s">
        <x:v>118</x:v>
      </x:c>
      <x:c r="AF202" s="277" t="s">
        <x:v>118</x:v>
      </x:c>
      <x:c r="AG202" s="277" t="s">
        <x:v>118</x:v>
      </x:c>
      <x:c r="AH202" s="277" t="s">
        <x:v>118</x:v>
      </x:c>
      <x:c r="AI202" s="277" t="s">
        <x:v>118</x:v>
      </x:c>
      <x:c r="AJ202" s="277" t="s">
        <x:v>118</x:v>
      </x:c>
      <x:c r="AK202" s="220">
        <x:f>COUNTIF(F202:AJ202,"X")</x:f>
      </x:c>
      <x:c r="AL202" s="221"/>
      <x:c r="AM202" s="221"/>
      <x:c r="AN202" s="222"/>
      <x:c r="AO202" s="222"/>
      <x:c r="AP202" s="228"/>
      <x:c r="AQ202" s="228"/>
      <x:c r="AR202" s="228"/>
      <x:c r="AS202" s="228"/>
      <x:c r="AT202" s="230"/>
    </x:row>
    <x:row r="203" spans="1:47" ht="15" customHeight="1">
      <x:c r="A203" s="282" t="s">
        <x:v>1502</x:v>
      </x:c>
      <x:c r="B203" s="216"/>
      <x:c r="C203" s="283" t="s">
        <x:v>1503</x:v>
      </x:c>
      <x:c r="D203" s="282" t="s">
        <x:v>1504</x:v>
      </x:c>
      <x:c r="E203" s="282" t="s">
        <x:v>1505</x:v>
      </x:c>
      <x:c r="F203" s="281" t="s">
        <x:v>118</x:v>
      </x:c>
      <x:c r="G203" s="281" t="s">
        <x:v>118</x:v>
      </x:c>
      <x:c r="H203" s="281" t="s">
        <x:v>118</x:v>
      </x:c>
      <x:c r="I203" s="281" t="s">
        <x:v>118</x:v>
      </x:c>
      <x:c r="J203" s="281" t="s">
        <x:v>118</x:v>
      </x:c>
      <x:c r="K203" s="281" t="s">
        <x:v>118</x:v>
      </x:c>
      <x:c r="L203" s="281" t="s">
        <x:v>118</x:v>
      </x:c>
      <x:c r="M203" s="281" t="s">
        <x:v>118</x:v>
      </x:c>
      <x:c r="N203" s="281" t="s">
        <x:v>118</x:v>
      </x:c>
      <x:c r="O203" s="281" t="s">
        <x:v>118</x:v>
      </x:c>
      <x:c r="P203" s="281" t="s">
        <x:v>118</x:v>
      </x:c>
      <x:c r="Q203" s="281" t="s">
        <x:v>118</x:v>
      </x:c>
      <x:c r="R203" s="281" t="s">
        <x:v>118</x:v>
      </x:c>
      <x:c r="S203" s="281" t="s">
        <x:v>118</x:v>
      </x:c>
      <x:c r="T203" s="281" t="s">
        <x:v>118</x:v>
      </x:c>
      <x:c r="U203" s="281" t="s">
        <x:v>118</x:v>
      </x:c>
      <x:c r="V203" s="281" t="s">
        <x:v>118</x:v>
      </x:c>
      <x:c r="W203" s="281" t="s">
        <x:v>118</x:v>
      </x:c>
      <x:c r="X203" s="281" t="s">
        <x:v>118</x:v>
      </x:c>
      <x:c r="Y203" s="281" t="s">
        <x:v>118</x:v>
      </x:c>
      <x:c r="Z203" s="281" t="s">
        <x:v>118</x:v>
      </x:c>
      <x:c r="AA203" s="281" t="s">
        <x:v>118</x:v>
      </x:c>
      <x:c r="AB203" s="281" t="s">
        <x:v>118</x:v>
      </x:c>
      <x:c r="AC203" s="281" t="s">
        <x:v>118</x:v>
      </x:c>
      <x:c r="AD203" s="281" t="s">
        <x:v>118</x:v>
      </x:c>
      <x:c r="AE203" s="281" t="s">
        <x:v>118</x:v>
      </x:c>
      <x:c r="AF203" s="281" t="s">
        <x:v>118</x:v>
      </x:c>
      <x:c r="AG203" s="281" t="s">
        <x:v>118</x:v>
      </x:c>
      <x:c r="AH203" s="281" t="s">
        <x:v>118</x:v>
      </x:c>
      <x:c r="AI203" s="281" t="s">
        <x:v>118</x:v>
      </x:c>
      <x:c r="AJ203" s="281" t="s">
        <x:v>118</x:v>
      </x:c>
      <x:c r="AK203" s="220">
        <x:f>COUNTIF(F203:AJ203,"X")</x:f>
      </x:c>
      <x:c r="AL203" s="221"/>
      <x:c r="AM203" s="221"/>
      <x:c r="AN203" s="222"/>
      <x:c r="AO203" s="222"/>
      <x:c r="AP203" s="228"/>
      <x:c r="AQ203" s="228"/>
      <x:c r="AR203" s="228"/>
      <x:c r="AS203" s="228"/>
      <x:c r="AT203" s="230"/>
    </x:row>
    <x:row r="204" spans="1:47" ht="15" customHeight="1">
      <x:c r="A204" s="282" t="s">
        <x:v>1506</x:v>
      </x:c>
      <x:c r="B204" s="216"/>
      <x:c r="C204" s="283" t="s">
        <x:v>1507</x:v>
      </x:c>
      <x:c r="D204" s="282" t="s">
        <x:v>1508</x:v>
      </x:c>
      <x:c r="E204" s="282" t="s">
        <x:v>264</x:v>
      </x:c>
      <x:c r="F204" s="281" t="s">
        <x:v>118</x:v>
      </x:c>
      <x:c r="G204" s="281" t="s">
        <x:v>118</x:v>
      </x:c>
      <x:c r="H204" s="281" t="s">
        <x:v>118</x:v>
      </x:c>
      <x:c r="I204" s="281" t="s">
        <x:v>118</x:v>
      </x:c>
      <x:c r="J204" s="281" t="s">
        <x:v>118</x:v>
      </x:c>
      <x:c r="K204" s="281" t="s">
        <x:v>118</x:v>
      </x:c>
      <x:c r="L204" s="281" t="s">
        <x:v>118</x:v>
      </x:c>
      <x:c r="M204" s="281" t="s">
        <x:v>118</x:v>
      </x:c>
      <x:c r="N204" s="281" t="s">
        <x:v>118</x:v>
      </x:c>
      <x:c r="O204" s="281" t="s">
        <x:v>118</x:v>
      </x:c>
      <x:c r="P204" s="281" t="s">
        <x:v>118</x:v>
      </x:c>
      <x:c r="Q204" s="281" t="s">
        <x:v>118</x:v>
      </x:c>
      <x:c r="R204" s="281" t="s">
        <x:v>118</x:v>
      </x:c>
      <x:c r="S204" s="281" t="s">
        <x:v>118</x:v>
      </x:c>
      <x:c r="T204" s="281" t="s">
        <x:v>118</x:v>
      </x:c>
      <x:c r="U204" s="281" t="s">
        <x:v>118</x:v>
      </x:c>
      <x:c r="V204" s="281" t="s">
        <x:v>118</x:v>
      </x:c>
      <x:c r="W204" s="281" t="s">
        <x:v>118</x:v>
      </x:c>
      <x:c r="X204" s="281" t="s">
        <x:v>118</x:v>
      </x:c>
      <x:c r="Y204" s="281" t="s">
        <x:v>118</x:v>
      </x:c>
      <x:c r="Z204" s="281" t="s">
        <x:v>118</x:v>
      </x:c>
      <x:c r="AA204" s="281" t="s">
        <x:v>118</x:v>
      </x:c>
      <x:c r="AB204" s="281" t="s">
        <x:v>118</x:v>
      </x:c>
      <x:c r="AC204" s="281" t="s">
        <x:v>118</x:v>
      </x:c>
      <x:c r="AD204" s="281" t="s">
        <x:v>118</x:v>
      </x:c>
      <x:c r="AE204" s="281" t="s">
        <x:v>118</x:v>
      </x:c>
      <x:c r="AF204" s="281" t="s">
        <x:v>118</x:v>
      </x:c>
      <x:c r="AG204" s="281" t="s">
        <x:v>118</x:v>
      </x:c>
      <x:c r="AH204" s="281" t="s">
        <x:v>118</x:v>
      </x:c>
      <x:c r="AI204" s="281" t="s">
        <x:v>118</x:v>
      </x:c>
      <x:c r="AJ204" s="281" t="s">
        <x:v>118</x:v>
      </x:c>
      <x:c r="AK204" s="220">
        <x:f>COUNTIF(F204:AJ204,"X")</x:f>
      </x:c>
      <x:c r="AL204" s="221"/>
      <x:c r="AM204" s="221"/>
      <x:c r="AN204" s="222"/>
      <x:c r="AO204" s="222"/>
      <x:c r="AP204" s="228"/>
      <x:c r="AQ204" s="228"/>
      <x:c r="AR204" s="228"/>
      <x:c r="AS204" s="228"/>
      <x:c r="AT204" s="230"/>
    </x:row>
    <x:row r="205" spans="1:47" ht="15" customHeight="1">
      <x:c r="A205" s="282" t="s">
        <x:v>1509</x:v>
      </x:c>
      <x:c r="B205" s="216"/>
      <x:c r="C205" s="283" t="s">
        <x:v>1510</x:v>
      </x:c>
      <x:c r="D205" s="282" t="s">
        <x:v>704</x:v>
      </x:c>
      <x:c r="E205" s="282" t="s">
        <x:v>1511</x:v>
      </x:c>
      <x:c r="F205" s="281" t="s">
        <x:v>118</x:v>
      </x:c>
      <x:c r="G205" s="281" t="s">
        <x:v>118</x:v>
      </x:c>
      <x:c r="H205" s="281" t="s">
        <x:v>118</x:v>
      </x:c>
      <x:c r="I205" s="281" t="s">
        <x:v>118</x:v>
      </x:c>
      <x:c r="J205" s="281" t="s">
        <x:v>118</x:v>
      </x:c>
      <x:c r="K205" s="281" t="s">
        <x:v>118</x:v>
      </x:c>
      <x:c r="L205" s="281" t="s">
        <x:v>118</x:v>
      </x:c>
      <x:c r="M205" s="281" t="s">
        <x:v>118</x:v>
      </x:c>
      <x:c r="N205" s="281" t="s">
        <x:v>118</x:v>
      </x:c>
      <x:c r="O205" s="281" t="s">
        <x:v>118</x:v>
      </x:c>
      <x:c r="P205" s="281" t="s">
        <x:v>118</x:v>
      </x:c>
      <x:c r="Q205" s="281" t="s">
        <x:v>118</x:v>
      </x:c>
      <x:c r="R205" s="281" t="s">
        <x:v>118</x:v>
      </x:c>
      <x:c r="S205" s="281" t="s">
        <x:v>118</x:v>
      </x:c>
      <x:c r="T205" s="281" t="s">
        <x:v>118</x:v>
      </x:c>
      <x:c r="U205" s="281" t="s">
        <x:v>118</x:v>
      </x:c>
      <x:c r="V205" s="281" t="s">
        <x:v>118</x:v>
      </x:c>
      <x:c r="W205" s="281" t="s">
        <x:v>118</x:v>
      </x:c>
      <x:c r="X205" s="281" t="s">
        <x:v>118</x:v>
      </x:c>
      <x:c r="Y205" s="281" t="s">
        <x:v>118</x:v>
      </x:c>
      <x:c r="Z205" s="281" t="s">
        <x:v>118</x:v>
      </x:c>
      <x:c r="AA205" s="281" t="s">
        <x:v>118</x:v>
      </x:c>
      <x:c r="AB205" s="281" t="s">
        <x:v>118</x:v>
      </x:c>
      <x:c r="AC205" s="281" t="s">
        <x:v>118</x:v>
      </x:c>
      <x:c r="AD205" s="281" t="s">
        <x:v>118</x:v>
      </x:c>
      <x:c r="AE205" s="281" t="s">
        <x:v>118</x:v>
      </x:c>
      <x:c r="AF205" s="281" t="s">
        <x:v>118</x:v>
      </x:c>
      <x:c r="AG205" s="281" t="s">
        <x:v>118</x:v>
      </x:c>
      <x:c r="AH205" s="281" t="s">
        <x:v>118</x:v>
      </x:c>
      <x:c r="AI205" s="281" t="s">
        <x:v>118</x:v>
      </x:c>
      <x:c r="AJ205" s="281" t="s">
        <x:v>118</x:v>
      </x:c>
      <x:c r="AK205" s="220">
        <x:f>COUNTIF(F205:AJ205,"X")</x:f>
      </x:c>
      <x:c r="AL205" s="221"/>
      <x:c r="AM205" s="221"/>
      <x:c r="AN205" s="222"/>
      <x:c r="AO205" s="222"/>
      <x:c r="AP205" s="228"/>
      <x:c r="AQ205" s="228"/>
      <x:c r="AR205" s="228"/>
      <x:c r="AS205" s="228"/>
      <x:c r="AT205" s="230"/>
    </x:row>
    <x:row r="206" spans="1:47" ht="15" customHeight="1">
      <x:c r="A206" s="282" t="s">
        <x:v>1512</x:v>
      </x:c>
      <x:c r="B206" s="216"/>
      <x:c r="C206" s="283" t="s">
        <x:v>1513</x:v>
      </x:c>
      <x:c r="D206" s="282" t="s">
        <x:v>1514</x:v>
      </x:c>
      <x:c r="E206" s="282" t="s">
        <x:v>1515</x:v>
      </x:c>
      <x:c r="F206" s="277" t="s">
        <x:v>118</x:v>
      </x:c>
      <x:c r="G206" s="277" t="s">
        <x:v>118</x:v>
      </x:c>
      <x:c r="H206" s="277" t="s">
        <x:v>118</x:v>
      </x:c>
      <x:c r="I206" s="277" t="s">
        <x:v>118</x:v>
      </x:c>
      <x:c r="J206" s="277" t="s">
        <x:v>118</x:v>
      </x:c>
      <x:c r="K206" s="277" t="s">
        <x:v>118</x:v>
      </x:c>
      <x:c r="L206" s="277" t="s">
        <x:v>118</x:v>
      </x:c>
      <x:c r="M206" s="277" t="s">
        <x:v>118</x:v>
      </x:c>
      <x:c r="N206" s="277" t="s">
        <x:v>118</x:v>
      </x:c>
      <x:c r="O206" s="277" t="s">
        <x:v>118</x:v>
      </x:c>
      <x:c r="P206" s="277" t="s">
        <x:v>118</x:v>
      </x:c>
      <x:c r="Q206" s="277" t="s">
        <x:v>118</x:v>
      </x:c>
      <x:c r="R206" s="277" t="s">
        <x:v>118</x:v>
      </x:c>
      <x:c r="S206" s="277" t="s">
        <x:v>118</x:v>
      </x:c>
      <x:c r="T206" s="277" t="s">
        <x:v>118</x:v>
      </x:c>
      <x:c r="U206" s="277" t="s">
        <x:v>118</x:v>
      </x:c>
      <x:c r="V206" s="277" t="s">
        <x:v>118</x:v>
      </x:c>
      <x:c r="W206" s="277" t="s">
        <x:v>118</x:v>
      </x:c>
      <x:c r="X206" s="277" t="s">
        <x:v>118</x:v>
      </x:c>
      <x:c r="Y206" s="277" t="s">
        <x:v>118</x:v>
      </x:c>
      <x:c r="Z206" s="277" t="s">
        <x:v>118</x:v>
      </x:c>
      <x:c r="AA206" s="277" t="s">
        <x:v>118</x:v>
      </x:c>
      <x:c r="AB206" s="277" t="s">
        <x:v>118</x:v>
      </x:c>
      <x:c r="AC206" s="277" t="s">
        <x:v>118</x:v>
      </x:c>
      <x:c r="AD206" s="277" t="s">
        <x:v>118</x:v>
      </x:c>
      <x:c r="AE206" s="277" t="s">
        <x:v>118</x:v>
      </x:c>
      <x:c r="AF206" s="277" t="s">
        <x:v>118</x:v>
      </x:c>
      <x:c r="AG206" s="277" t="s">
        <x:v>118</x:v>
      </x:c>
      <x:c r="AH206" s="277" t="s">
        <x:v>118</x:v>
      </x:c>
      <x:c r="AI206" s="277" t="s">
        <x:v>118</x:v>
      </x:c>
      <x:c r="AJ206" s="277" t="s">
        <x:v>118</x:v>
      </x:c>
      <x:c r="AK206" s="220">
        <x:f>COUNTIF(F206:AJ206,"X")</x:f>
      </x:c>
      <x:c r="AL206" s="221"/>
      <x:c r="AM206" s="221"/>
      <x:c r="AN206" s="222"/>
      <x:c r="AO206" s="222"/>
      <x:c r="AP206" s="228"/>
      <x:c r="AQ206" s="228"/>
      <x:c r="AR206" s="228"/>
      <x:c r="AS206" s="228"/>
      <x:c r="AT206" s="230"/>
    </x:row>
    <x:row r="207" spans="1:47" ht="15" customHeight="1">
      <x:c r="A207" s="282" t="s">
        <x:v>1516</x:v>
      </x:c>
      <x:c r="B207" s="216"/>
      <x:c r="C207" s="283" t="s">
        <x:v>1517</x:v>
      </x:c>
      <x:c r="D207" s="282" t="s">
        <x:v>1514</x:v>
      </x:c>
      <x:c r="E207" s="282" t="s">
        <x:v>1518</x:v>
      </x:c>
      <x:c r="F207" s="277" t="s">
        <x:v>118</x:v>
      </x:c>
      <x:c r="G207" s="277" t="s">
        <x:v>118</x:v>
      </x:c>
      <x:c r="H207" s="277" t="s">
        <x:v>118</x:v>
      </x:c>
      <x:c r="I207" s="277" t="s">
        <x:v>118</x:v>
      </x:c>
      <x:c r="J207" s="277" t="s">
        <x:v>118</x:v>
      </x:c>
      <x:c r="K207" s="277" t="s">
        <x:v>118</x:v>
      </x:c>
      <x:c r="L207" s="277" t="s">
        <x:v>118</x:v>
      </x:c>
      <x:c r="M207" s="277" t="s">
        <x:v>118</x:v>
      </x:c>
      <x:c r="N207" s="277" t="s">
        <x:v>118</x:v>
      </x:c>
      <x:c r="O207" s="277" t="s">
        <x:v>118</x:v>
      </x:c>
      <x:c r="P207" s="277" t="s">
        <x:v>118</x:v>
      </x:c>
      <x:c r="Q207" s="277" t="s">
        <x:v>118</x:v>
      </x:c>
      <x:c r="R207" s="277" t="s">
        <x:v>118</x:v>
      </x:c>
      <x:c r="S207" s="277" t="s">
        <x:v>118</x:v>
      </x:c>
      <x:c r="T207" s="277" t="s">
        <x:v>118</x:v>
      </x:c>
      <x:c r="U207" s="277" t="s">
        <x:v>118</x:v>
      </x:c>
      <x:c r="V207" s="277" t="s">
        <x:v>118</x:v>
      </x:c>
      <x:c r="W207" s="277" t="s">
        <x:v>118</x:v>
      </x:c>
      <x:c r="X207" s="277" t="s">
        <x:v>118</x:v>
      </x:c>
      <x:c r="Y207" s="277" t="s">
        <x:v>118</x:v>
      </x:c>
      <x:c r="Z207" s="277" t="s">
        <x:v>118</x:v>
      </x:c>
      <x:c r="AA207" s="277" t="s">
        <x:v>118</x:v>
      </x:c>
      <x:c r="AB207" s="277" t="s">
        <x:v>118</x:v>
      </x:c>
      <x:c r="AC207" s="277" t="s">
        <x:v>118</x:v>
      </x:c>
      <x:c r="AD207" s="277" t="s">
        <x:v>118</x:v>
      </x:c>
      <x:c r="AE207" s="277" t="s">
        <x:v>118</x:v>
      </x:c>
      <x:c r="AF207" s="277" t="s">
        <x:v>118</x:v>
      </x:c>
      <x:c r="AG207" s="277" t="s">
        <x:v>118</x:v>
      </x:c>
      <x:c r="AH207" s="277" t="s">
        <x:v>118</x:v>
      </x:c>
      <x:c r="AI207" s="277" t="s">
        <x:v>118</x:v>
      </x:c>
      <x:c r="AJ207" s="277" t="s">
        <x:v>118</x:v>
      </x:c>
      <x:c r="AK207" s="220">
        <x:f>COUNTIF(F207:AJ207,"X")</x:f>
      </x:c>
      <x:c r="AL207" s="221"/>
      <x:c r="AM207" s="221"/>
      <x:c r="AN207" s="222"/>
      <x:c r="AO207" s="222"/>
      <x:c r="AP207" s="228"/>
      <x:c r="AQ207" s="228"/>
      <x:c r="AR207" s="228"/>
      <x:c r="AS207" s="228"/>
      <x:c r="AT207" s="230"/>
    </x:row>
    <x:row r="208" spans="1:47" ht="15" customHeight="1">
      <x:c r="A208" s="282" t="s">
        <x:v>1519</x:v>
      </x:c>
      <x:c r="B208" s="216"/>
      <x:c r="C208" s="283" t="s">
        <x:v>1520</x:v>
      </x:c>
      <x:c r="D208" s="282" t="s">
        <x:v>1521</x:v>
      </x:c>
      <x:c r="E208" s="282" t="s">
        <x:v>1522</x:v>
      </x:c>
      <x:c r="F208" s="281" t="s">
        <x:v>118</x:v>
      </x:c>
      <x:c r="G208" s="281" t="s">
        <x:v>118</x:v>
      </x:c>
      <x:c r="H208" s="281" t="s">
        <x:v>118</x:v>
      </x:c>
      <x:c r="I208" s="281" t="s">
        <x:v>118</x:v>
      </x:c>
      <x:c r="J208" s="281" t="s">
        <x:v>118</x:v>
      </x:c>
      <x:c r="K208" s="281" t="s">
        <x:v>118</x:v>
      </x:c>
      <x:c r="L208" s="281" t="s">
        <x:v>118</x:v>
      </x:c>
      <x:c r="M208" s="281" t="s">
        <x:v>118</x:v>
      </x:c>
      <x:c r="N208" s="281" t="s">
        <x:v>118</x:v>
      </x:c>
      <x:c r="O208" s="281" t="s">
        <x:v>118</x:v>
      </x:c>
      <x:c r="P208" s="281" t="s">
        <x:v>118</x:v>
      </x:c>
      <x:c r="Q208" s="281" t="s">
        <x:v>118</x:v>
      </x:c>
      <x:c r="R208" s="281" t="s">
        <x:v>118</x:v>
      </x:c>
      <x:c r="S208" s="281" t="s">
        <x:v>118</x:v>
      </x:c>
      <x:c r="T208" s="281" t="s">
        <x:v>118</x:v>
      </x:c>
      <x:c r="U208" s="281" t="s">
        <x:v>118</x:v>
      </x:c>
      <x:c r="V208" s="281" t="s">
        <x:v>118</x:v>
      </x:c>
      <x:c r="W208" s="281" t="s">
        <x:v>118</x:v>
      </x:c>
      <x:c r="X208" s="281" t="s">
        <x:v>118</x:v>
      </x:c>
      <x:c r="Y208" s="281" t="s">
        <x:v>118</x:v>
      </x:c>
      <x:c r="Z208" s="281" t="s">
        <x:v>118</x:v>
      </x:c>
      <x:c r="AA208" s="281" t="s">
        <x:v>118</x:v>
      </x:c>
      <x:c r="AB208" s="281" t="s">
        <x:v>118</x:v>
      </x:c>
      <x:c r="AC208" s="281" t="s">
        <x:v>118</x:v>
      </x:c>
      <x:c r="AD208" s="281" t="s">
        <x:v>118</x:v>
      </x:c>
      <x:c r="AE208" s="281" t="s">
        <x:v>118</x:v>
      </x:c>
      <x:c r="AF208" s="281" t="s">
        <x:v>118</x:v>
      </x:c>
      <x:c r="AG208" s="281" t="s">
        <x:v>118</x:v>
      </x:c>
      <x:c r="AH208" s="281" t="s">
        <x:v>118</x:v>
      </x:c>
      <x:c r="AI208" s="281" t="s">
        <x:v>118</x:v>
      </x:c>
      <x:c r="AJ208" s="281" t="s">
        <x:v>118</x:v>
      </x:c>
      <x:c r="AK208" s="220">
        <x:f>COUNTIF(F208:AJ208,"X")</x:f>
      </x:c>
      <x:c r="AL208" s="221"/>
      <x:c r="AM208" s="221"/>
      <x:c r="AN208" s="222"/>
      <x:c r="AO208" s="222"/>
      <x:c r="AP208" s="228"/>
      <x:c r="AQ208" s="228"/>
      <x:c r="AR208" s="228"/>
      <x:c r="AS208" s="228"/>
      <x:c r="AT208" s="230"/>
    </x:row>
    <x:row r="209" spans="1:47" ht="15" customHeight="1">
      <x:c r="A209" s="282" t="s">
        <x:v>1523</x:v>
      </x:c>
      <x:c r="B209" s="216"/>
      <x:c r="C209" s="283" t="s">
        <x:v>1524</x:v>
      </x:c>
      <x:c r="D209" s="282" t="s">
        <x:v>1521</x:v>
      </x:c>
      <x:c r="E209" s="282" t="s">
        <x:v>1525</x:v>
      </x:c>
      <x:c r="F209" s="277" t="s">
        <x:v>118</x:v>
      </x:c>
      <x:c r="G209" s="277" t="s">
        <x:v>118</x:v>
      </x:c>
      <x:c r="H209" s="277" t="s">
        <x:v>118</x:v>
      </x:c>
      <x:c r="I209" s="277" t="s">
        <x:v>118</x:v>
      </x:c>
      <x:c r="J209" s="277" t="s">
        <x:v>118</x:v>
      </x:c>
      <x:c r="K209" s="277" t="s">
        <x:v>118</x:v>
      </x:c>
      <x:c r="L209" s="277" t="s">
        <x:v>118</x:v>
      </x:c>
      <x:c r="M209" s="277" t="s">
        <x:v>118</x:v>
      </x:c>
      <x:c r="N209" s="277" t="s">
        <x:v>118</x:v>
      </x:c>
      <x:c r="O209" s="277" t="s">
        <x:v>118</x:v>
      </x:c>
      <x:c r="P209" s="277" t="s">
        <x:v>118</x:v>
      </x:c>
      <x:c r="Q209" s="277" t="s">
        <x:v>118</x:v>
      </x:c>
      <x:c r="R209" s="277" t="s">
        <x:v>118</x:v>
      </x:c>
      <x:c r="S209" s="277" t="s">
        <x:v>118</x:v>
      </x:c>
      <x:c r="T209" s="277" t="s">
        <x:v>118</x:v>
      </x:c>
      <x:c r="U209" s="277" t="s">
        <x:v>118</x:v>
      </x:c>
      <x:c r="V209" s="277" t="s">
        <x:v>118</x:v>
      </x:c>
      <x:c r="W209" s="277" t="s">
        <x:v>118</x:v>
      </x:c>
      <x:c r="X209" s="277" t="s">
        <x:v>118</x:v>
      </x:c>
      <x:c r="Y209" s="277" t="s">
        <x:v>118</x:v>
      </x:c>
      <x:c r="Z209" s="277" t="s">
        <x:v>118</x:v>
      </x:c>
      <x:c r="AA209" s="277" t="s">
        <x:v>118</x:v>
      </x:c>
      <x:c r="AB209" s="277" t="s">
        <x:v>118</x:v>
      </x:c>
      <x:c r="AC209" s="277" t="s">
        <x:v>118</x:v>
      </x:c>
      <x:c r="AD209" s="277" t="s">
        <x:v>118</x:v>
      </x:c>
      <x:c r="AE209" s="277" t="s">
        <x:v>118</x:v>
      </x:c>
      <x:c r="AF209" s="277" t="s">
        <x:v>118</x:v>
      </x:c>
      <x:c r="AG209" s="277" t="s">
        <x:v>118</x:v>
      </x:c>
      <x:c r="AH209" s="277" t="s">
        <x:v>118</x:v>
      </x:c>
      <x:c r="AI209" s="277" t="s">
        <x:v>118</x:v>
      </x:c>
      <x:c r="AJ209" s="277" t="s">
        <x:v>118</x:v>
      </x:c>
      <x:c r="AK209" s="220">
        <x:f>COUNTIF(F209:AJ209,"X")</x:f>
      </x:c>
      <x:c r="AL209" s="221"/>
      <x:c r="AM209" s="221"/>
      <x:c r="AN209" s="222"/>
      <x:c r="AO209" s="222"/>
      <x:c r="AP209" s="228"/>
      <x:c r="AQ209" s="228"/>
      <x:c r="AR209" s="228"/>
      <x:c r="AS209" s="228"/>
      <x:c r="AT209" s="230"/>
    </x:row>
    <x:row r="210" spans="1:47" ht="15" customHeight="1">
      <x:c r="A210" s="282" t="s">
        <x:v>1526</x:v>
      </x:c>
      <x:c r="B210" s="216"/>
      <x:c r="C210" s="283" t="s">
        <x:v>1527</x:v>
      </x:c>
      <x:c r="D210" s="282" t="s">
        <x:v>1528</x:v>
      </x:c>
      <x:c r="E210" s="282" t="s">
        <x:v>1529</x:v>
      </x:c>
      <x:c r="F210" s="277" t="s">
        <x:v>118</x:v>
      </x:c>
      <x:c r="G210" s="277" t="s">
        <x:v>118</x:v>
      </x:c>
      <x:c r="H210" s="277" t="s">
        <x:v>118</x:v>
      </x:c>
      <x:c r="I210" s="277" t="s">
        <x:v>118</x:v>
      </x:c>
      <x:c r="J210" s="277" t="s">
        <x:v>118</x:v>
      </x:c>
      <x:c r="K210" s="277" t="s">
        <x:v>118</x:v>
      </x:c>
      <x:c r="L210" s="277" t="s">
        <x:v>118</x:v>
      </x:c>
      <x:c r="M210" s="277" t="s">
        <x:v>118</x:v>
      </x:c>
      <x:c r="N210" s="277" t="s">
        <x:v>118</x:v>
      </x:c>
      <x:c r="O210" s="277" t="s">
        <x:v>118</x:v>
      </x:c>
      <x:c r="P210" s="277" t="s">
        <x:v>118</x:v>
      </x:c>
      <x:c r="Q210" s="277" t="s">
        <x:v>118</x:v>
      </x:c>
      <x:c r="R210" s="277" t="s">
        <x:v>118</x:v>
      </x:c>
      <x:c r="S210" s="277" t="s">
        <x:v>118</x:v>
      </x:c>
      <x:c r="T210" s="277" t="s">
        <x:v>118</x:v>
      </x:c>
      <x:c r="U210" s="277" t="s">
        <x:v>118</x:v>
      </x:c>
      <x:c r="V210" s="277" t="s">
        <x:v>118</x:v>
      </x:c>
      <x:c r="W210" s="277" t="s">
        <x:v>118</x:v>
      </x:c>
      <x:c r="X210" s="277" t="s">
        <x:v>118</x:v>
      </x:c>
      <x:c r="Y210" s="277" t="s">
        <x:v>118</x:v>
      </x:c>
      <x:c r="Z210" s="277" t="s">
        <x:v>118</x:v>
      </x:c>
      <x:c r="AA210" s="277" t="s">
        <x:v>118</x:v>
      </x:c>
      <x:c r="AB210" s="277" t="s">
        <x:v>118</x:v>
      </x:c>
      <x:c r="AC210" s="277" t="s">
        <x:v>118</x:v>
      </x:c>
      <x:c r="AD210" s="277" t="s">
        <x:v>118</x:v>
      </x:c>
      <x:c r="AE210" s="277" t="s">
        <x:v>118</x:v>
      </x:c>
      <x:c r="AF210" s="277" t="s">
        <x:v>118</x:v>
      </x:c>
      <x:c r="AG210" s="277" t="s">
        <x:v>118</x:v>
      </x:c>
      <x:c r="AH210" s="277" t="s">
        <x:v>118</x:v>
      </x:c>
      <x:c r="AI210" s="277" t="s">
        <x:v>118</x:v>
      </x:c>
      <x:c r="AJ210" s="277" t="s">
        <x:v>118</x:v>
      </x:c>
      <x:c r="AK210" s="220">
        <x:f>COUNTIF(F210:AJ210,"X")</x:f>
      </x:c>
      <x:c r="AL210" s="221"/>
      <x:c r="AM210" s="221"/>
      <x:c r="AN210" s="222"/>
      <x:c r="AO210" s="222"/>
      <x:c r="AP210" s="228"/>
      <x:c r="AQ210" s="228"/>
      <x:c r="AR210" s="228"/>
      <x:c r="AS210" s="228"/>
      <x:c r="AT210" s="230"/>
    </x:row>
    <x:row r="211" spans="1:47" ht="15" customHeight="1">
      <x:c r="A211" s="282" t="s">
        <x:v>1530</x:v>
      </x:c>
      <x:c r="B211" s="216"/>
      <x:c r="C211" s="283" t="s">
        <x:v>1531</x:v>
      </x:c>
      <x:c r="D211" s="282" t="s">
        <x:v>1532</x:v>
      </x:c>
      <x:c r="E211" s="282" t="s">
        <x:v>1533</x:v>
      </x:c>
      <x:c r="F211" s="277" t="s">
        <x:v>118</x:v>
      </x:c>
      <x:c r="G211" s="277" t="s">
        <x:v>118</x:v>
      </x:c>
      <x:c r="H211" s="277" t="s">
        <x:v>118</x:v>
      </x:c>
      <x:c r="I211" s="277" t="s">
        <x:v>118</x:v>
      </x:c>
      <x:c r="J211" s="277" t="s">
        <x:v>118</x:v>
      </x:c>
      <x:c r="K211" s="277" t="s">
        <x:v>118</x:v>
      </x:c>
      <x:c r="L211" s="277" t="s">
        <x:v>118</x:v>
      </x:c>
      <x:c r="M211" s="277" t="s">
        <x:v>118</x:v>
      </x:c>
      <x:c r="N211" s="277" t="s">
        <x:v>118</x:v>
      </x:c>
      <x:c r="O211" s="277" t="s">
        <x:v>118</x:v>
      </x:c>
      <x:c r="P211" s="277" t="s">
        <x:v>118</x:v>
      </x:c>
      <x:c r="Q211" s="277" t="s">
        <x:v>118</x:v>
      </x:c>
      <x:c r="R211" s="277" t="s">
        <x:v>118</x:v>
      </x:c>
      <x:c r="S211" s="277" t="s">
        <x:v>118</x:v>
      </x:c>
      <x:c r="T211" s="277" t="s">
        <x:v>118</x:v>
      </x:c>
      <x:c r="U211" s="277" t="s">
        <x:v>118</x:v>
      </x:c>
      <x:c r="V211" s="277" t="s">
        <x:v>118</x:v>
      </x:c>
      <x:c r="W211" s="277" t="s">
        <x:v>118</x:v>
      </x:c>
      <x:c r="X211" s="277" t="s">
        <x:v>118</x:v>
      </x:c>
      <x:c r="Y211" s="277" t="s">
        <x:v>118</x:v>
      </x:c>
      <x:c r="Z211" s="277" t="s">
        <x:v>118</x:v>
      </x:c>
      <x:c r="AA211" s="277" t="s">
        <x:v>118</x:v>
      </x:c>
      <x:c r="AB211" s="277" t="s">
        <x:v>118</x:v>
      </x:c>
      <x:c r="AC211" s="277" t="s">
        <x:v>118</x:v>
      </x:c>
      <x:c r="AD211" s="277" t="s">
        <x:v>118</x:v>
      </x:c>
      <x:c r="AE211" s="277" t="s">
        <x:v>118</x:v>
      </x:c>
      <x:c r="AF211" s="277" t="s">
        <x:v>118</x:v>
      </x:c>
      <x:c r="AG211" s="277" t="s">
        <x:v>118</x:v>
      </x:c>
      <x:c r="AH211" s="277" t="s">
        <x:v>118</x:v>
      </x:c>
      <x:c r="AI211" s="277" t="s">
        <x:v>118</x:v>
      </x:c>
      <x:c r="AJ211" s="277" t="s">
        <x:v>118</x:v>
      </x:c>
      <x:c r="AK211" s="220">
        <x:f>COUNTIF(F211:AJ211,"X")</x:f>
      </x:c>
      <x:c r="AL211" s="221"/>
      <x:c r="AM211" s="221"/>
      <x:c r="AN211" s="222"/>
      <x:c r="AO211" s="222"/>
      <x:c r="AP211" s="228"/>
      <x:c r="AQ211" s="228"/>
      <x:c r="AR211" s="228"/>
      <x:c r="AS211" s="228"/>
      <x:c r="AT211" s="230"/>
    </x:row>
    <x:row r="212" spans="1:47" ht="15" customHeight="1">
      <x:c r="A212" s="282" t="s">
        <x:v>1534</x:v>
      </x:c>
      <x:c r="B212" s="216"/>
      <x:c r="C212" s="283" t="s">
        <x:v>1535</x:v>
      </x:c>
      <x:c r="D212" s="282" t="s">
        <x:v>717</x:v>
      </x:c>
      <x:c r="E212" s="282" t="s">
        <x:v>405</x:v>
      </x:c>
      <x:c r="F212" s="281" t="s">
        <x:v>118</x:v>
      </x:c>
      <x:c r="G212" s="281" t="s">
        <x:v>118</x:v>
      </x:c>
      <x:c r="H212" s="281" t="s">
        <x:v>118</x:v>
      </x:c>
      <x:c r="I212" s="281" t="s">
        <x:v>118</x:v>
      </x:c>
      <x:c r="J212" s="281" t="s">
        <x:v>118</x:v>
      </x:c>
      <x:c r="K212" s="281" t="s">
        <x:v>118</x:v>
      </x:c>
      <x:c r="L212" s="281" t="s">
        <x:v>118</x:v>
      </x:c>
      <x:c r="M212" s="281" t="s">
        <x:v>118</x:v>
      </x:c>
      <x:c r="N212" s="281" t="s">
        <x:v>118</x:v>
      </x:c>
      <x:c r="O212" s="281" t="s">
        <x:v>118</x:v>
      </x:c>
      <x:c r="P212" s="281" t="s">
        <x:v>118</x:v>
      </x:c>
      <x:c r="Q212" s="281" t="s">
        <x:v>118</x:v>
      </x:c>
      <x:c r="R212" s="281" t="s">
        <x:v>118</x:v>
      </x:c>
      <x:c r="S212" s="281" t="s">
        <x:v>118</x:v>
      </x:c>
      <x:c r="T212" s="281" t="s">
        <x:v>118</x:v>
      </x:c>
      <x:c r="U212" s="281" t="s">
        <x:v>118</x:v>
      </x:c>
      <x:c r="V212" s="281" t="s">
        <x:v>118</x:v>
      </x:c>
      <x:c r="W212" s="281" t="s">
        <x:v>118</x:v>
      </x:c>
      <x:c r="X212" s="281" t="s">
        <x:v>118</x:v>
      </x:c>
      <x:c r="Y212" s="281" t="s">
        <x:v>118</x:v>
      </x:c>
      <x:c r="Z212" s="281" t="s">
        <x:v>118</x:v>
      </x:c>
      <x:c r="AA212" s="281" t="s">
        <x:v>118</x:v>
      </x:c>
      <x:c r="AB212" s="281" t="s">
        <x:v>118</x:v>
      </x:c>
      <x:c r="AC212" s="281" t="s">
        <x:v>118</x:v>
      </x:c>
      <x:c r="AD212" s="281" t="s">
        <x:v>118</x:v>
      </x:c>
      <x:c r="AE212" s="281" t="s">
        <x:v>118</x:v>
      </x:c>
      <x:c r="AF212" s="281" t="s">
        <x:v>118</x:v>
      </x:c>
      <x:c r="AG212" s="281" t="s">
        <x:v>118</x:v>
      </x:c>
      <x:c r="AH212" s="281" t="s">
        <x:v>118</x:v>
      </x:c>
      <x:c r="AI212" s="281" t="s">
        <x:v>118</x:v>
      </x:c>
      <x:c r="AJ212" s="281" t="s">
        <x:v>118</x:v>
      </x:c>
      <x:c r="AK212" s="220">
        <x:f>COUNTIF(F212:AJ212,"X")</x:f>
      </x:c>
      <x:c r="AL212" s="221"/>
      <x:c r="AM212" s="221"/>
      <x:c r="AN212" s="222"/>
      <x:c r="AO212" s="222"/>
      <x:c r="AP212" s="228"/>
      <x:c r="AQ212" s="228"/>
      <x:c r="AR212" s="228"/>
      <x:c r="AS212" s="228"/>
      <x:c r="AT212" s="230"/>
    </x:row>
    <x:row r="213" spans="1:47" ht="15" customHeight="1">
      <x:c r="A213" s="282" t="s">
        <x:v>1536</x:v>
      </x:c>
      <x:c r="B213" s="216"/>
      <x:c r="C213" s="283" t="s">
        <x:v>1537</x:v>
      </x:c>
      <x:c r="D213" s="282" t="s">
        <x:v>1538</x:v>
      </x:c>
      <x:c r="E213" s="282" t="s">
        <x:v>1539</x:v>
      </x:c>
      <x:c r="F213" s="281" t="s">
        <x:v>118</x:v>
      </x:c>
      <x:c r="G213" s="281" t="s">
        <x:v>118</x:v>
      </x:c>
      <x:c r="H213" s="281" t="s">
        <x:v>118</x:v>
      </x:c>
      <x:c r="I213" s="281" t="s">
        <x:v>118</x:v>
      </x:c>
      <x:c r="J213" s="281" t="s">
        <x:v>118</x:v>
      </x:c>
      <x:c r="K213" s="281" t="s">
        <x:v>118</x:v>
      </x:c>
      <x:c r="L213" s="281" t="s">
        <x:v>118</x:v>
      </x:c>
      <x:c r="M213" s="281" t="s">
        <x:v>118</x:v>
      </x:c>
      <x:c r="N213" s="281" t="s">
        <x:v>118</x:v>
      </x:c>
      <x:c r="O213" s="281" t="s">
        <x:v>118</x:v>
      </x:c>
      <x:c r="P213" s="281" t="s">
        <x:v>118</x:v>
      </x:c>
      <x:c r="Q213" s="281" t="s">
        <x:v>118</x:v>
      </x:c>
      <x:c r="R213" s="281" t="s">
        <x:v>118</x:v>
      </x:c>
      <x:c r="S213" s="281" t="s">
        <x:v>118</x:v>
      </x:c>
      <x:c r="T213" s="281" t="s">
        <x:v>118</x:v>
      </x:c>
      <x:c r="U213" s="281" t="s">
        <x:v>118</x:v>
      </x:c>
      <x:c r="V213" s="281" t="s">
        <x:v>118</x:v>
      </x:c>
      <x:c r="W213" s="281" t="s">
        <x:v>118</x:v>
      </x:c>
      <x:c r="X213" s="281" t="s">
        <x:v>118</x:v>
      </x:c>
      <x:c r="Y213" s="281" t="s">
        <x:v>118</x:v>
      </x:c>
      <x:c r="Z213" s="281" t="s">
        <x:v>118</x:v>
      </x:c>
      <x:c r="AA213" s="281" t="s">
        <x:v>118</x:v>
      </x:c>
      <x:c r="AB213" s="281" t="s">
        <x:v>118</x:v>
      </x:c>
      <x:c r="AC213" s="281" t="s">
        <x:v>118</x:v>
      </x:c>
      <x:c r="AD213" s="281" t="s">
        <x:v>118</x:v>
      </x:c>
      <x:c r="AE213" s="281" t="s">
        <x:v>118</x:v>
      </x:c>
      <x:c r="AF213" s="281" t="s">
        <x:v>118</x:v>
      </x:c>
      <x:c r="AG213" s="281" t="s">
        <x:v>118</x:v>
      </x:c>
      <x:c r="AH213" s="281" t="s">
        <x:v>118</x:v>
      </x:c>
      <x:c r="AI213" s="281" t="s">
        <x:v>118</x:v>
      </x:c>
      <x:c r="AJ213" s="281" t="s">
        <x:v>118</x:v>
      </x:c>
      <x:c r="AK213" s="220">
        <x:f>COUNTIF(F213:AJ213,"X")</x:f>
      </x:c>
      <x:c r="AL213" s="221"/>
      <x:c r="AM213" s="221"/>
      <x:c r="AN213" s="222"/>
      <x:c r="AO213" s="222"/>
      <x:c r="AP213" s="228"/>
      <x:c r="AQ213" s="228"/>
      <x:c r="AR213" s="228"/>
      <x:c r="AS213" s="228"/>
      <x:c r="AT213" s="230"/>
    </x:row>
    <x:row r="214" spans="1:47" ht="15" customHeight="1">
      <x:c r="A214" s="282" t="s">
        <x:v>1540</x:v>
      </x:c>
      <x:c r="B214" s="216"/>
      <x:c r="C214" s="283" t="s">
        <x:v>1541</x:v>
      </x:c>
      <x:c r="D214" s="282" t="s">
        <x:v>1542</x:v>
      </x:c>
      <x:c r="E214" s="282" t="s">
        <x:v>1543</x:v>
      </x:c>
      <x:c r="F214" s="277" t="s">
        <x:v>118</x:v>
      </x:c>
      <x:c r="G214" s="277" t="s">
        <x:v>118</x:v>
      </x:c>
      <x:c r="H214" s="277" t="s">
        <x:v>118</x:v>
      </x:c>
      <x:c r="I214" s="277" t="s">
        <x:v>118</x:v>
      </x:c>
      <x:c r="J214" s="277" t="s">
        <x:v>118</x:v>
      </x:c>
      <x:c r="K214" s="277" t="s">
        <x:v>118</x:v>
      </x:c>
      <x:c r="L214" s="277" t="s">
        <x:v>118</x:v>
      </x:c>
      <x:c r="M214" s="277" t="s">
        <x:v>118</x:v>
      </x:c>
      <x:c r="N214" s="277" t="s">
        <x:v>118</x:v>
      </x:c>
      <x:c r="O214" s="277" t="s">
        <x:v>118</x:v>
      </x:c>
      <x:c r="P214" s="277" t="s">
        <x:v>118</x:v>
      </x:c>
      <x:c r="Q214" s="277" t="s">
        <x:v>118</x:v>
      </x:c>
      <x:c r="R214" s="277" t="s">
        <x:v>118</x:v>
      </x:c>
      <x:c r="S214" s="277" t="s">
        <x:v>118</x:v>
      </x:c>
      <x:c r="T214" s="277" t="s">
        <x:v>118</x:v>
      </x:c>
      <x:c r="U214" s="277" t="s">
        <x:v>118</x:v>
      </x:c>
      <x:c r="V214" s="277" t="s">
        <x:v>118</x:v>
      </x:c>
      <x:c r="W214" s="277" t="s">
        <x:v>118</x:v>
      </x:c>
      <x:c r="X214" s="277" t="s">
        <x:v>118</x:v>
      </x:c>
      <x:c r="Y214" s="277" t="s">
        <x:v>118</x:v>
      </x:c>
      <x:c r="Z214" s="277" t="s">
        <x:v>118</x:v>
      </x:c>
      <x:c r="AA214" s="277" t="s">
        <x:v>118</x:v>
      </x:c>
      <x:c r="AB214" s="277" t="s">
        <x:v>118</x:v>
      </x:c>
      <x:c r="AC214" s="277" t="s">
        <x:v>118</x:v>
      </x:c>
      <x:c r="AD214" s="277" t="s">
        <x:v>118</x:v>
      </x:c>
      <x:c r="AE214" s="277" t="s">
        <x:v>118</x:v>
      </x:c>
      <x:c r="AF214" s="277" t="s">
        <x:v>118</x:v>
      </x:c>
      <x:c r="AG214" s="277" t="s">
        <x:v>118</x:v>
      </x:c>
      <x:c r="AH214" s="277" t="s">
        <x:v>118</x:v>
      </x:c>
      <x:c r="AI214" s="277" t="s">
        <x:v>118</x:v>
      </x:c>
      <x:c r="AJ214" s="277" t="s">
        <x:v>118</x:v>
      </x:c>
      <x:c r="AK214" s="220">
        <x:f>COUNTIF(F214:AJ214,"X")</x:f>
      </x:c>
      <x:c r="AL214" s="221"/>
      <x:c r="AM214" s="221"/>
      <x:c r="AN214" s="222"/>
      <x:c r="AO214" s="222"/>
      <x:c r="AP214" s="228"/>
      <x:c r="AQ214" s="228"/>
      <x:c r="AR214" s="228"/>
      <x:c r="AS214" s="228"/>
      <x:c r="AT214" s="230"/>
    </x:row>
    <x:row r="215" spans="1:47" ht="15" customHeight="1">
      <x:c r="A215" s="282" t="s">
        <x:v>1544</x:v>
      </x:c>
      <x:c r="B215" s="216"/>
      <x:c r="C215" s="283" t="s">
        <x:v>1545</x:v>
      </x:c>
      <x:c r="D215" s="282" t="s">
        <x:v>1546</x:v>
      </x:c>
      <x:c r="E215" s="282" t="s">
        <x:v>1547</x:v>
      </x:c>
      <x:c r="F215" s="281" t="s">
        <x:v>118</x:v>
      </x:c>
      <x:c r="G215" s="281" t="s">
        <x:v>118</x:v>
      </x:c>
      <x:c r="H215" s="281" t="s">
        <x:v>118</x:v>
      </x:c>
      <x:c r="I215" s="281" t="s">
        <x:v>118</x:v>
      </x:c>
      <x:c r="J215" s="281" t="s">
        <x:v>118</x:v>
      </x:c>
      <x:c r="K215" s="281" t="s">
        <x:v>118</x:v>
      </x:c>
      <x:c r="L215" s="281" t="s">
        <x:v>118</x:v>
      </x:c>
      <x:c r="M215" s="281" t="s">
        <x:v>118</x:v>
      </x:c>
      <x:c r="N215" s="281" t="s">
        <x:v>118</x:v>
      </x:c>
      <x:c r="O215" s="281" t="s">
        <x:v>118</x:v>
      </x:c>
      <x:c r="P215" s="281" t="s">
        <x:v>118</x:v>
      </x:c>
      <x:c r="Q215" s="281" t="s">
        <x:v>118</x:v>
      </x:c>
      <x:c r="R215" s="281" t="s">
        <x:v>118</x:v>
      </x:c>
      <x:c r="S215" s="281" t="s">
        <x:v>118</x:v>
      </x:c>
      <x:c r="T215" s="281" t="s">
        <x:v>118</x:v>
      </x:c>
      <x:c r="U215" s="281" t="s">
        <x:v>118</x:v>
      </x:c>
      <x:c r="V215" s="281" t="s">
        <x:v>118</x:v>
      </x:c>
      <x:c r="W215" s="281" t="s">
        <x:v>118</x:v>
      </x:c>
      <x:c r="X215" s="281" t="s">
        <x:v>118</x:v>
      </x:c>
      <x:c r="Y215" s="281" t="s">
        <x:v>118</x:v>
      </x:c>
      <x:c r="Z215" s="281" t="s">
        <x:v>118</x:v>
      </x:c>
      <x:c r="AA215" s="281" t="s">
        <x:v>118</x:v>
      </x:c>
      <x:c r="AB215" s="281" t="s">
        <x:v>118</x:v>
      </x:c>
      <x:c r="AC215" s="281" t="s">
        <x:v>118</x:v>
      </x:c>
      <x:c r="AD215" s="281" t="s">
        <x:v>118</x:v>
      </x:c>
      <x:c r="AE215" s="281" t="s">
        <x:v>118</x:v>
      </x:c>
      <x:c r="AF215" s="281" t="s">
        <x:v>118</x:v>
      </x:c>
      <x:c r="AG215" s="281" t="s">
        <x:v>118</x:v>
      </x:c>
      <x:c r="AH215" s="281" t="s">
        <x:v>118</x:v>
      </x:c>
      <x:c r="AI215" s="281" t="s">
        <x:v>118</x:v>
      </x:c>
      <x:c r="AJ215" s="281" t="s">
        <x:v>118</x:v>
      </x:c>
      <x:c r="AK215" s="220">
        <x:f>COUNTIF(F215:AJ215,"X")</x:f>
      </x:c>
      <x:c r="AL215" s="221"/>
      <x:c r="AM215" s="221"/>
      <x:c r="AN215" s="222"/>
      <x:c r="AO215" s="222"/>
      <x:c r="AP215" s="228"/>
      <x:c r="AQ215" s="228"/>
      <x:c r="AR215" s="228"/>
      <x:c r="AS215" s="228"/>
      <x:c r="AT215" s="230"/>
    </x:row>
    <x:row r="216" spans="1:47" ht="15" customHeight="1">
      <x:c r="A216" s="282" t="s">
        <x:v>1548</x:v>
      </x:c>
      <x:c r="B216" s="216"/>
      <x:c r="C216" s="283" t="s">
        <x:v>1549</x:v>
      </x:c>
      <x:c r="D216" s="282" t="s">
        <x:v>1550</x:v>
      </x:c>
      <x:c r="E216" s="282" t="s">
        <x:v>185</x:v>
      </x:c>
      <x:c r="F216" s="277" t="s">
        <x:v>118</x:v>
      </x:c>
      <x:c r="G216" s="277" t="s">
        <x:v>118</x:v>
      </x:c>
      <x:c r="H216" s="277" t="s">
        <x:v>118</x:v>
      </x:c>
      <x:c r="I216" s="277" t="s">
        <x:v>118</x:v>
      </x:c>
      <x:c r="J216" s="277" t="s">
        <x:v>118</x:v>
      </x:c>
      <x:c r="K216" s="277" t="s">
        <x:v>118</x:v>
      </x:c>
      <x:c r="L216" s="277" t="s">
        <x:v>118</x:v>
      </x:c>
      <x:c r="M216" s="277" t="s">
        <x:v>118</x:v>
      </x:c>
      <x:c r="N216" s="277" t="s">
        <x:v>118</x:v>
      </x:c>
      <x:c r="O216" s="277" t="s">
        <x:v>118</x:v>
      </x:c>
      <x:c r="P216" s="277" t="s">
        <x:v>118</x:v>
      </x:c>
      <x:c r="Q216" s="277" t="s">
        <x:v>118</x:v>
      </x:c>
      <x:c r="R216" s="277" t="s">
        <x:v>118</x:v>
      </x:c>
      <x:c r="S216" s="277" t="s">
        <x:v>118</x:v>
      </x:c>
      <x:c r="T216" s="277" t="s">
        <x:v>118</x:v>
      </x:c>
      <x:c r="U216" s="277" t="s">
        <x:v>118</x:v>
      </x:c>
      <x:c r="V216" s="277" t="s">
        <x:v>118</x:v>
      </x:c>
      <x:c r="W216" s="277" t="s">
        <x:v>118</x:v>
      </x:c>
      <x:c r="X216" s="277" t="s">
        <x:v>118</x:v>
      </x:c>
      <x:c r="Y216" s="277" t="s">
        <x:v>118</x:v>
      </x:c>
      <x:c r="Z216" s="277" t="s">
        <x:v>118</x:v>
      </x:c>
      <x:c r="AA216" s="277" t="s">
        <x:v>118</x:v>
      </x:c>
      <x:c r="AB216" s="277" t="s">
        <x:v>118</x:v>
      </x:c>
      <x:c r="AC216" s="277" t="s">
        <x:v>118</x:v>
      </x:c>
      <x:c r="AD216" s="277" t="s">
        <x:v>118</x:v>
      </x:c>
      <x:c r="AE216" s="277" t="s">
        <x:v>118</x:v>
      </x:c>
      <x:c r="AF216" s="277" t="s">
        <x:v>118</x:v>
      </x:c>
      <x:c r="AG216" s="277" t="s">
        <x:v>118</x:v>
      </x:c>
      <x:c r="AH216" s="277" t="s">
        <x:v>118</x:v>
      </x:c>
      <x:c r="AI216" s="277" t="s">
        <x:v>118</x:v>
      </x:c>
      <x:c r="AJ216" s="277" t="s">
        <x:v>118</x:v>
      </x:c>
      <x:c r="AK216" s="220">
        <x:f>COUNTIF(F216:AJ216,"X")</x:f>
      </x:c>
      <x:c r="AL216" s="221"/>
      <x:c r="AM216" s="221"/>
      <x:c r="AN216" s="222"/>
      <x:c r="AO216" s="222"/>
      <x:c r="AP216" s="228"/>
      <x:c r="AQ216" s="228"/>
      <x:c r="AR216" s="228"/>
      <x:c r="AS216" s="228"/>
      <x:c r="AT216" s="230"/>
    </x:row>
    <x:row r="217" spans="1:47" ht="15" customHeight="1">
      <x:c r="A217" s="282" t="s">
        <x:v>1551</x:v>
      </x:c>
      <x:c r="B217" s="216"/>
      <x:c r="C217" s="283" t="s">
        <x:v>1552</x:v>
      </x:c>
      <x:c r="D217" s="282" t="s">
        <x:v>1553</x:v>
      </x:c>
      <x:c r="E217" s="282" t="s">
        <x:v>1554</x:v>
      </x:c>
      <x:c r="F217" s="277" t="s">
        <x:v>118</x:v>
      </x:c>
      <x:c r="G217" s="277" t="s">
        <x:v>118</x:v>
      </x:c>
      <x:c r="H217" s="277" t="s">
        <x:v>118</x:v>
      </x:c>
      <x:c r="I217" s="277" t="s">
        <x:v>118</x:v>
      </x:c>
      <x:c r="J217" s="277" t="s">
        <x:v>118</x:v>
      </x:c>
      <x:c r="K217" s="277" t="s">
        <x:v>118</x:v>
      </x:c>
      <x:c r="L217" s="277" t="s">
        <x:v>118</x:v>
      </x:c>
      <x:c r="M217" s="277" t="s">
        <x:v>118</x:v>
      </x:c>
      <x:c r="N217" s="277" t="s">
        <x:v>118</x:v>
      </x:c>
      <x:c r="O217" s="277" t="s">
        <x:v>118</x:v>
      </x:c>
      <x:c r="P217" s="277" t="s">
        <x:v>118</x:v>
      </x:c>
      <x:c r="Q217" s="277" t="s">
        <x:v>118</x:v>
      </x:c>
      <x:c r="R217" s="277" t="s">
        <x:v>118</x:v>
      </x:c>
      <x:c r="S217" s="277" t="s">
        <x:v>118</x:v>
      </x:c>
      <x:c r="T217" s="277" t="s">
        <x:v>118</x:v>
      </x:c>
      <x:c r="U217" s="277" t="s">
        <x:v>118</x:v>
      </x:c>
      <x:c r="V217" s="277" t="s">
        <x:v>118</x:v>
      </x:c>
      <x:c r="W217" s="277" t="s">
        <x:v>118</x:v>
      </x:c>
      <x:c r="X217" s="277" t="s">
        <x:v>118</x:v>
      </x:c>
      <x:c r="Y217" s="277" t="s">
        <x:v>118</x:v>
      </x:c>
      <x:c r="Z217" s="277" t="s">
        <x:v>118</x:v>
      </x:c>
      <x:c r="AA217" s="277" t="s">
        <x:v>118</x:v>
      </x:c>
      <x:c r="AB217" s="277" t="s">
        <x:v>118</x:v>
      </x:c>
      <x:c r="AC217" s="277" t="s">
        <x:v>118</x:v>
      </x:c>
      <x:c r="AD217" s="277" t="s">
        <x:v>118</x:v>
      </x:c>
      <x:c r="AE217" s="277" t="s">
        <x:v>118</x:v>
      </x:c>
      <x:c r="AF217" s="277" t="s">
        <x:v>118</x:v>
      </x:c>
      <x:c r="AG217" s="277" t="s">
        <x:v>118</x:v>
      </x:c>
      <x:c r="AH217" s="277" t="s">
        <x:v>118</x:v>
      </x:c>
      <x:c r="AI217" s="277" t="s">
        <x:v>118</x:v>
      </x:c>
      <x:c r="AJ217" s="277" t="s">
        <x:v>118</x:v>
      </x:c>
      <x:c r="AK217" s="220">
        <x:f>COUNTIF(F217:AJ217,"X")</x:f>
      </x:c>
      <x:c r="AL217" s="221"/>
      <x:c r="AM217" s="221"/>
      <x:c r="AN217" s="222"/>
      <x:c r="AO217" s="222"/>
      <x:c r="AP217" s="228"/>
      <x:c r="AQ217" s="228"/>
      <x:c r="AR217" s="228"/>
      <x:c r="AS217" s="228"/>
      <x:c r="AT217" s="233"/>
    </x:row>
    <x:row r="218" spans="1:47" ht="15" customHeight="1">
      <x:c r="A218" s="282" t="s">
        <x:v>1555</x:v>
      </x:c>
      <x:c r="B218" s="216"/>
      <x:c r="C218" s="283" t="s">
        <x:v>1556</x:v>
      </x:c>
      <x:c r="D218" s="282" t="s">
        <x:v>1557</x:v>
      </x:c>
      <x:c r="E218" s="282" t="s">
        <x:v>350</x:v>
      </x:c>
      <x:c r="F218" s="277" t="s">
        <x:v>118</x:v>
      </x:c>
      <x:c r="G218" s="277" t="s">
        <x:v>118</x:v>
      </x:c>
      <x:c r="H218" s="277" t="s">
        <x:v>118</x:v>
      </x:c>
      <x:c r="I218" s="277" t="s">
        <x:v>118</x:v>
      </x:c>
      <x:c r="J218" s="277" t="s">
        <x:v>118</x:v>
      </x:c>
      <x:c r="K218" s="277" t="s">
        <x:v>118</x:v>
      </x:c>
      <x:c r="L218" s="277" t="s">
        <x:v>118</x:v>
      </x:c>
      <x:c r="M218" s="277" t="s">
        <x:v>118</x:v>
      </x:c>
      <x:c r="N218" s="277" t="s">
        <x:v>118</x:v>
      </x:c>
      <x:c r="O218" s="277" t="s">
        <x:v>118</x:v>
      </x:c>
      <x:c r="P218" s="277" t="s">
        <x:v>118</x:v>
      </x:c>
      <x:c r="Q218" s="277" t="s">
        <x:v>118</x:v>
      </x:c>
      <x:c r="R218" s="277" t="s">
        <x:v>118</x:v>
      </x:c>
      <x:c r="S218" s="277" t="s">
        <x:v>118</x:v>
      </x:c>
      <x:c r="T218" s="277" t="s">
        <x:v>118</x:v>
      </x:c>
      <x:c r="U218" s="277" t="s">
        <x:v>118</x:v>
      </x:c>
      <x:c r="V218" s="277" t="s">
        <x:v>118</x:v>
      </x:c>
      <x:c r="W218" s="277" t="s">
        <x:v>118</x:v>
      </x:c>
      <x:c r="X218" s="277" t="s">
        <x:v>118</x:v>
      </x:c>
      <x:c r="Y218" s="277" t="s">
        <x:v>118</x:v>
      </x:c>
      <x:c r="Z218" s="277" t="s">
        <x:v>118</x:v>
      </x:c>
      <x:c r="AA218" s="277" t="s">
        <x:v>118</x:v>
      </x:c>
      <x:c r="AB218" s="277" t="s">
        <x:v>118</x:v>
      </x:c>
      <x:c r="AC218" s="277" t="s">
        <x:v>118</x:v>
      </x:c>
      <x:c r="AD218" s="277" t="s">
        <x:v>118</x:v>
      </x:c>
      <x:c r="AE218" s="277" t="s">
        <x:v>118</x:v>
      </x:c>
      <x:c r="AF218" s="277" t="s">
        <x:v>118</x:v>
      </x:c>
      <x:c r="AG218" s="277" t="s">
        <x:v>118</x:v>
      </x:c>
      <x:c r="AH218" s="277" t="s">
        <x:v>118</x:v>
      </x:c>
      <x:c r="AI218" s="277" t="s">
        <x:v>118</x:v>
      </x:c>
      <x:c r="AJ218" s="277" t="s">
        <x:v>118</x:v>
      </x:c>
      <x:c r="AK218" s="220">
        <x:f>COUNTIF(F218:AJ218,"X")</x:f>
      </x:c>
      <x:c r="AL218" s="221"/>
      <x:c r="AM218" s="221"/>
      <x:c r="AN218" s="222"/>
      <x:c r="AO218" s="222"/>
      <x:c r="AP218" s="228"/>
      <x:c r="AQ218" s="228"/>
      <x:c r="AR218" s="228"/>
      <x:c r="AS218" s="228"/>
      <x:c r="AT218" s="230"/>
    </x:row>
    <x:row r="219" spans="1:47" ht="15" customHeight="1">
      <x:c r="A219" s="282" t="s">
        <x:v>1558</x:v>
      </x:c>
      <x:c r="B219" s="216"/>
      <x:c r="C219" s="283" t="s">
        <x:v>1559</x:v>
      </x:c>
      <x:c r="D219" s="282" t="s">
        <x:v>739</x:v>
      </x:c>
      <x:c r="E219" s="282" t="s">
        <x:v>1560</x:v>
      </x:c>
      <x:c r="F219" s="281" t="s">
        <x:v>118</x:v>
      </x:c>
      <x:c r="G219" s="281" t="s">
        <x:v>118</x:v>
      </x:c>
      <x:c r="H219" s="281" t="s">
        <x:v>118</x:v>
      </x:c>
      <x:c r="I219" s="281" t="s">
        <x:v>118</x:v>
      </x:c>
      <x:c r="J219" s="281" t="s">
        <x:v>118</x:v>
      </x:c>
      <x:c r="K219" s="281" t="s">
        <x:v>118</x:v>
      </x:c>
      <x:c r="L219" s="281" t="s">
        <x:v>118</x:v>
      </x:c>
      <x:c r="M219" s="281" t="s">
        <x:v>118</x:v>
      </x:c>
      <x:c r="N219" s="281" t="s">
        <x:v>118</x:v>
      </x:c>
      <x:c r="O219" s="281" t="s">
        <x:v>118</x:v>
      </x:c>
      <x:c r="P219" s="281" t="s">
        <x:v>118</x:v>
      </x:c>
      <x:c r="Q219" s="281" t="s">
        <x:v>118</x:v>
      </x:c>
      <x:c r="R219" s="281" t="s">
        <x:v>118</x:v>
      </x:c>
      <x:c r="S219" s="281" t="s">
        <x:v>118</x:v>
      </x:c>
      <x:c r="T219" s="281" t="s">
        <x:v>118</x:v>
      </x:c>
      <x:c r="U219" s="281" t="s">
        <x:v>118</x:v>
      </x:c>
      <x:c r="V219" s="281" t="s">
        <x:v>118</x:v>
      </x:c>
      <x:c r="W219" s="281" t="s">
        <x:v>118</x:v>
      </x:c>
      <x:c r="X219" s="281" t="s">
        <x:v>118</x:v>
      </x:c>
      <x:c r="Y219" s="281" t="s">
        <x:v>118</x:v>
      </x:c>
      <x:c r="Z219" s="281" t="s">
        <x:v>118</x:v>
      </x:c>
      <x:c r="AA219" s="281" t="s">
        <x:v>118</x:v>
      </x:c>
      <x:c r="AB219" s="281" t="s">
        <x:v>118</x:v>
      </x:c>
      <x:c r="AC219" s="281" t="s">
        <x:v>118</x:v>
      </x:c>
      <x:c r="AD219" s="281" t="s">
        <x:v>118</x:v>
      </x:c>
      <x:c r="AE219" s="281" t="s">
        <x:v>118</x:v>
      </x:c>
      <x:c r="AF219" s="281" t="s">
        <x:v>118</x:v>
      </x:c>
      <x:c r="AG219" s="281" t="s">
        <x:v>118</x:v>
      </x:c>
      <x:c r="AH219" s="281" t="s">
        <x:v>118</x:v>
      </x:c>
      <x:c r="AI219" s="281" t="s">
        <x:v>118</x:v>
      </x:c>
      <x:c r="AJ219" s="281" t="s">
        <x:v>118</x:v>
      </x:c>
      <x:c r="AK219" s="220">
        <x:f>COUNTIF(F219:AJ219,"X")</x:f>
      </x:c>
      <x:c r="AL219" s="221"/>
      <x:c r="AM219" s="221"/>
      <x:c r="AN219" s="222"/>
      <x:c r="AO219" s="222"/>
      <x:c r="AP219" s="228"/>
      <x:c r="AQ219" s="228"/>
      <x:c r="AR219" s="228"/>
      <x:c r="AS219" s="228"/>
      <x:c r="AT219" s="230"/>
    </x:row>
    <x:row r="220" spans="1:47" ht="15" customHeight="1">
      <x:c r="A220" s="282" t="s">
        <x:v>1561</x:v>
      </x:c>
      <x:c r="B220" s="216"/>
      <x:c r="C220" s="283" t="s">
        <x:v>1562</x:v>
      </x:c>
      <x:c r="D220" s="282" t="s">
        <x:v>739</x:v>
      </x:c>
      <x:c r="E220" s="282" t="s">
        <x:v>1563</x:v>
      </x:c>
      <x:c r="F220" s="277" t="s">
        <x:v>118</x:v>
      </x:c>
      <x:c r="G220" s="277" t="s">
        <x:v>118</x:v>
      </x:c>
      <x:c r="H220" s="277" t="s">
        <x:v>118</x:v>
      </x:c>
      <x:c r="I220" s="277" t="s">
        <x:v>118</x:v>
      </x:c>
      <x:c r="J220" s="277" t="s">
        <x:v>118</x:v>
      </x:c>
      <x:c r="K220" s="277" t="s">
        <x:v>118</x:v>
      </x:c>
      <x:c r="L220" s="277" t="s">
        <x:v>118</x:v>
      </x:c>
      <x:c r="M220" s="277" t="s">
        <x:v>118</x:v>
      </x:c>
      <x:c r="N220" s="277" t="s">
        <x:v>118</x:v>
      </x:c>
      <x:c r="O220" s="277" t="s">
        <x:v>118</x:v>
      </x:c>
      <x:c r="P220" s="277" t="s">
        <x:v>118</x:v>
      </x:c>
      <x:c r="Q220" s="277" t="s">
        <x:v>118</x:v>
      </x:c>
      <x:c r="R220" s="277" t="s">
        <x:v>118</x:v>
      </x:c>
      <x:c r="S220" s="277" t="s">
        <x:v>118</x:v>
      </x:c>
      <x:c r="T220" s="277" t="s">
        <x:v>118</x:v>
      </x:c>
      <x:c r="U220" s="277" t="s">
        <x:v>118</x:v>
      </x:c>
      <x:c r="V220" s="277" t="s">
        <x:v>118</x:v>
      </x:c>
      <x:c r="W220" s="277" t="s">
        <x:v>118</x:v>
      </x:c>
      <x:c r="X220" s="277" t="s">
        <x:v>118</x:v>
      </x:c>
      <x:c r="Y220" s="277" t="s">
        <x:v>118</x:v>
      </x:c>
      <x:c r="Z220" s="277" t="s">
        <x:v>118</x:v>
      </x:c>
      <x:c r="AA220" s="277" t="s">
        <x:v>118</x:v>
      </x:c>
      <x:c r="AB220" s="277" t="s">
        <x:v>118</x:v>
      </x:c>
      <x:c r="AC220" s="277" t="s">
        <x:v>118</x:v>
      </x:c>
      <x:c r="AD220" s="277" t="s">
        <x:v>118</x:v>
      </x:c>
      <x:c r="AE220" s="277" t="s">
        <x:v>118</x:v>
      </x:c>
      <x:c r="AF220" s="277" t="s">
        <x:v>118</x:v>
      </x:c>
      <x:c r="AG220" s="277" t="s">
        <x:v>118</x:v>
      </x:c>
      <x:c r="AH220" s="277" t="s">
        <x:v>118</x:v>
      </x:c>
      <x:c r="AI220" s="277" t="s">
        <x:v>118</x:v>
      </x:c>
      <x:c r="AJ220" s="277" t="s">
        <x:v>118</x:v>
      </x:c>
      <x:c r="AK220" s="220">
        <x:f>COUNTIF(F220:AJ220,"X")</x:f>
      </x:c>
      <x:c r="AL220" s="221"/>
      <x:c r="AM220" s="221"/>
      <x:c r="AN220" s="222"/>
      <x:c r="AO220" s="222"/>
      <x:c r="AP220" s="228"/>
      <x:c r="AQ220" s="228"/>
      <x:c r="AR220" s="228"/>
      <x:c r="AS220" s="228"/>
      <x:c r="AT220" s="230"/>
    </x:row>
    <x:row r="221" spans="1:47" ht="15" customHeight="1">
      <x:c r="A221" s="282" t="s">
        <x:v>1564</x:v>
      </x:c>
      <x:c r="B221" s="216"/>
      <x:c r="C221" s="283" t="s">
        <x:v>1565</x:v>
      </x:c>
      <x:c r="D221" s="282" t="s">
        <x:v>739</x:v>
      </x:c>
      <x:c r="E221" s="282" t="s">
        <x:v>1566</x:v>
      </x:c>
      <x:c r="F221" s="277" t="s">
        <x:v>118</x:v>
      </x:c>
      <x:c r="G221" s="277" t="s">
        <x:v>118</x:v>
      </x:c>
      <x:c r="H221" s="277" t="s">
        <x:v>118</x:v>
      </x:c>
      <x:c r="I221" s="277" t="s">
        <x:v>118</x:v>
      </x:c>
      <x:c r="J221" s="277" t="s">
        <x:v>118</x:v>
      </x:c>
      <x:c r="K221" s="277" t="s">
        <x:v>118</x:v>
      </x:c>
      <x:c r="L221" s="277" t="s">
        <x:v>118</x:v>
      </x:c>
      <x:c r="M221" s="277" t="s">
        <x:v>118</x:v>
      </x:c>
      <x:c r="N221" s="277" t="s">
        <x:v>118</x:v>
      </x:c>
      <x:c r="O221" s="277" t="s">
        <x:v>118</x:v>
      </x:c>
      <x:c r="P221" s="277" t="s">
        <x:v>118</x:v>
      </x:c>
      <x:c r="Q221" s="277" t="s">
        <x:v>118</x:v>
      </x:c>
      <x:c r="R221" s="277" t="s">
        <x:v>118</x:v>
      </x:c>
      <x:c r="S221" s="277" t="s">
        <x:v>118</x:v>
      </x:c>
      <x:c r="T221" s="277" t="s">
        <x:v>118</x:v>
      </x:c>
      <x:c r="U221" s="277" t="s">
        <x:v>118</x:v>
      </x:c>
      <x:c r="V221" s="277" t="s">
        <x:v>118</x:v>
      </x:c>
      <x:c r="W221" s="277" t="s">
        <x:v>118</x:v>
      </x:c>
      <x:c r="X221" s="277" t="s">
        <x:v>118</x:v>
      </x:c>
      <x:c r="Y221" s="277" t="s">
        <x:v>118</x:v>
      </x:c>
      <x:c r="Z221" s="277" t="s">
        <x:v>118</x:v>
      </x:c>
      <x:c r="AA221" s="277" t="s">
        <x:v>118</x:v>
      </x:c>
      <x:c r="AB221" s="277" t="s">
        <x:v>118</x:v>
      </x:c>
      <x:c r="AC221" s="277" t="s">
        <x:v>118</x:v>
      </x:c>
      <x:c r="AD221" s="277" t="s">
        <x:v>118</x:v>
      </x:c>
      <x:c r="AE221" s="277" t="s">
        <x:v>118</x:v>
      </x:c>
      <x:c r="AF221" s="277" t="s">
        <x:v>118</x:v>
      </x:c>
      <x:c r="AG221" s="277" t="s">
        <x:v>118</x:v>
      </x:c>
      <x:c r="AH221" s="277" t="s">
        <x:v>118</x:v>
      </x:c>
      <x:c r="AI221" s="277" t="s">
        <x:v>118</x:v>
      </x:c>
      <x:c r="AJ221" s="277" t="s">
        <x:v>118</x:v>
      </x:c>
      <x:c r="AK221" s="220">
        <x:f>COUNTIF(F221:AJ221,"X")</x:f>
      </x:c>
      <x:c r="AL221" s="221"/>
      <x:c r="AM221" s="221"/>
      <x:c r="AN221" s="222"/>
      <x:c r="AO221" s="222"/>
      <x:c r="AP221" s="228"/>
      <x:c r="AQ221" s="228"/>
      <x:c r="AR221" s="228"/>
      <x:c r="AS221" s="228"/>
      <x:c r="AT221" s="230"/>
    </x:row>
    <x:row r="222" spans="1:47" ht="15" customHeight="1">
      <x:c r="A222" s="282" t="s">
        <x:v>1567</x:v>
      </x:c>
      <x:c r="B222" s="216"/>
      <x:c r="C222" s="283" t="s">
        <x:v>1568</x:v>
      </x:c>
      <x:c r="D222" s="282" t="s">
        <x:v>1569</x:v>
      </x:c>
      <x:c r="E222" s="282" t="s">
        <x:v>1570</x:v>
      </x:c>
      <x:c r="F222" s="277" t="s">
        <x:v>118</x:v>
      </x:c>
      <x:c r="G222" s="277" t="s">
        <x:v>118</x:v>
      </x:c>
      <x:c r="H222" s="277" t="s">
        <x:v>118</x:v>
      </x:c>
      <x:c r="I222" s="277" t="s">
        <x:v>118</x:v>
      </x:c>
      <x:c r="J222" s="277" t="s">
        <x:v>118</x:v>
      </x:c>
      <x:c r="K222" s="277" t="s">
        <x:v>118</x:v>
      </x:c>
      <x:c r="L222" s="277" t="s">
        <x:v>118</x:v>
      </x:c>
      <x:c r="M222" s="277" t="s">
        <x:v>118</x:v>
      </x:c>
      <x:c r="N222" s="277" t="s">
        <x:v>118</x:v>
      </x:c>
      <x:c r="O222" s="277" t="s">
        <x:v>118</x:v>
      </x:c>
      <x:c r="P222" s="277" t="s">
        <x:v>118</x:v>
      </x:c>
      <x:c r="Q222" s="277" t="s">
        <x:v>118</x:v>
      </x:c>
      <x:c r="R222" s="277" t="s">
        <x:v>118</x:v>
      </x:c>
      <x:c r="S222" s="277" t="s">
        <x:v>118</x:v>
      </x:c>
      <x:c r="T222" s="277" t="s">
        <x:v>118</x:v>
      </x:c>
      <x:c r="U222" s="277" t="s">
        <x:v>118</x:v>
      </x:c>
      <x:c r="V222" s="277" t="s">
        <x:v>118</x:v>
      </x:c>
      <x:c r="W222" s="277" t="s">
        <x:v>118</x:v>
      </x:c>
      <x:c r="X222" s="277" t="s">
        <x:v>118</x:v>
      </x:c>
      <x:c r="Y222" s="277" t="s">
        <x:v>118</x:v>
      </x:c>
      <x:c r="Z222" s="277" t="s">
        <x:v>118</x:v>
      </x:c>
      <x:c r="AA222" s="277" t="s">
        <x:v>118</x:v>
      </x:c>
      <x:c r="AB222" s="277" t="s">
        <x:v>118</x:v>
      </x:c>
      <x:c r="AC222" s="277" t="s">
        <x:v>118</x:v>
      </x:c>
      <x:c r="AD222" s="277" t="s">
        <x:v>118</x:v>
      </x:c>
      <x:c r="AE222" s="277" t="s">
        <x:v>118</x:v>
      </x:c>
      <x:c r="AF222" s="277" t="s">
        <x:v>118</x:v>
      </x:c>
      <x:c r="AG222" s="277" t="s">
        <x:v>118</x:v>
      </x:c>
      <x:c r="AH222" s="277" t="s">
        <x:v>118</x:v>
      </x:c>
      <x:c r="AI222" s="277" t="s">
        <x:v>118</x:v>
      </x:c>
      <x:c r="AJ222" s="277" t="s">
        <x:v>118</x:v>
      </x:c>
      <x:c r="AK222" s="220">
        <x:f>COUNTIF(F222:AJ222,"X")</x:f>
      </x:c>
      <x:c r="AL222" s="221"/>
      <x:c r="AM222" s="221"/>
      <x:c r="AN222" s="222"/>
      <x:c r="AO222" s="222"/>
      <x:c r="AP222" s="228"/>
      <x:c r="AQ222" s="228"/>
      <x:c r="AR222" s="228"/>
      <x:c r="AS222" s="228"/>
      <x:c r="AT222" s="230"/>
    </x:row>
    <x:row r="223" spans="1:47" ht="15" customHeight="1">
      <x:c r="A223" s="282" t="s">
        <x:v>1571</x:v>
      </x:c>
      <x:c r="B223" s="216"/>
      <x:c r="C223" s="283" t="s">
        <x:v>1572</x:v>
      </x:c>
      <x:c r="D223" s="282" t="s">
        <x:v>742</x:v>
      </x:c>
      <x:c r="E223" s="282" t="s">
        <x:v>1573</x:v>
      </x:c>
      <x:c r="F223" s="277" t="s">
        <x:v>118</x:v>
      </x:c>
      <x:c r="G223" s="277" t="s">
        <x:v>118</x:v>
      </x:c>
      <x:c r="H223" s="277" t="s">
        <x:v>118</x:v>
      </x:c>
      <x:c r="I223" s="277" t="s">
        <x:v>118</x:v>
      </x:c>
      <x:c r="J223" s="277" t="s">
        <x:v>118</x:v>
      </x:c>
      <x:c r="K223" s="277" t="s">
        <x:v>118</x:v>
      </x:c>
      <x:c r="L223" s="277" t="s">
        <x:v>118</x:v>
      </x:c>
      <x:c r="M223" s="277" t="s">
        <x:v>118</x:v>
      </x:c>
      <x:c r="N223" s="277" t="s">
        <x:v>118</x:v>
      </x:c>
      <x:c r="O223" s="277" t="s">
        <x:v>118</x:v>
      </x:c>
      <x:c r="P223" s="277" t="s">
        <x:v>118</x:v>
      </x:c>
      <x:c r="Q223" s="277" t="s">
        <x:v>118</x:v>
      </x:c>
      <x:c r="R223" s="277" t="s">
        <x:v>118</x:v>
      </x:c>
      <x:c r="S223" s="277" t="s">
        <x:v>118</x:v>
      </x:c>
      <x:c r="T223" s="277" t="s">
        <x:v>118</x:v>
      </x:c>
      <x:c r="U223" s="277" t="s">
        <x:v>118</x:v>
      </x:c>
      <x:c r="V223" s="277" t="s">
        <x:v>118</x:v>
      </x:c>
      <x:c r="W223" s="277" t="s">
        <x:v>118</x:v>
      </x:c>
      <x:c r="X223" s="277" t="s">
        <x:v>118</x:v>
      </x:c>
      <x:c r="Y223" s="277" t="s">
        <x:v>118</x:v>
      </x:c>
      <x:c r="Z223" s="277" t="s">
        <x:v>118</x:v>
      </x:c>
      <x:c r="AA223" s="277" t="s">
        <x:v>118</x:v>
      </x:c>
      <x:c r="AB223" s="277" t="s">
        <x:v>118</x:v>
      </x:c>
      <x:c r="AC223" s="277" t="s">
        <x:v>118</x:v>
      </x:c>
      <x:c r="AD223" s="277" t="s">
        <x:v>118</x:v>
      </x:c>
      <x:c r="AE223" s="277" t="s">
        <x:v>118</x:v>
      </x:c>
      <x:c r="AF223" s="277" t="s">
        <x:v>118</x:v>
      </x:c>
      <x:c r="AG223" s="277" t="s">
        <x:v>118</x:v>
      </x:c>
      <x:c r="AH223" s="277" t="s">
        <x:v>118</x:v>
      </x:c>
      <x:c r="AI223" s="277" t="s">
        <x:v>118</x:v>
      </x:c>
      <x:c r="AJ223" s="277" t="s">
        <x:v>118</x:v>
      </x:c>
      <x:c r="AK223" s="220">
        <x:f>COUNTIF(F223:AJ223,"X")</x:f>
      </x:c>
      <x:c r="AL223" s="221"/>
      <x:c r="AM223" s="221"/>
      <x:c r="AN223" s="222"/>
      <x:c r="AO223" s="222"/>
      <x:c r="AP223" s="228"/>
      <x:c r="AQ223" s="228"/>
      <x:c r="AR223" s="228"/>
      <x:c r="AS223" s="228"/>
      <x:c r="AT223" s="230"/>
    </x:row>
    <x:row r="224" spans="1:47" ht="15" customHeight="1">
      <x:c r="A224" s="282" t="s">
        <x:v>1574</x:v>
      </x:c>
      <x:c r="B224" s="216"/>
      <x:c r="C224" s="283" t="s">
        <x:v>1575</x:v>
      </x:c>
      <x:c r="D224" s="282" t="s">
        <x:v>742</x:v>
      </x:c>
      <x:c r="E224" s="282" t="s">
        <x:v>1576</x:v>
      </x:c>
      <x:c r="F224" s="281" t="s">
        <x:v>118</x:v>
      </x:c>
      <x:c r="G224" s="281" t="s">
        <x:v>118</x:v>
      </x:c>
      <x:c r="H224" s="281" t="s">
        <x:v>118</x:v>
      </x:c>
      <x:c r="I224" s="281" t="s">
        <x:v>118</x:v>
      </x:c>
      <x:c r="J224" s="281" t="s">
        <x:v>118</x:v>
      </x:c>
      <x:c r="K224" s="281" t="s">
        <x:v>118</x:v>
      </x:c>
      <x:c r="L224" s="281" t="s">
        <x:v>118</x:v>
      </x:c>
      <x:c r="M224" s="281" t="s">
        <x:v>118</x:v>
      </x:c>
      <x:c r="N224" s="281" t="s">
        <x:v>118</x:v>
      </x:c>
      <x:c r="O224" s="281" t="s">
        <x:v>118</x:v>
      </x:c>
      <x:c r="P224" s="281" t="s">
        <x:v>118</x:v>
      </x:c>
      <x:c r="Q224" s="281" t="s">
        <x:v>118</x:v>
      </x:c>
      <x:c r="R224" s="281" t="s">
        <x:v>118</x:v>
      </x:c>
      <x:c r="S224" s="281" t="s">
        <x:v>118</x:v>
      </x:c>
      <x:c r="T224" s="281" t="s">
        <x:v>118</x:v>
      </x:c>
      <x:c r="U224" s="281" t="s">
        <x:v>118</x:v>
      </x:c>
      <x:c r="V224" s="281" t="s">
        <x:v>118</x:v>
      </x:c>
      <x:c r="W224" s="281" t="s">
        <x:v>118</x:v>
      </x:c>
      <x:c r="X224" s="281" t="s">
        <x:v>118</x:v>
      </x:c>
      <x:c r="Y224" s="281" t="s">
        <x:v>118</x:v>
      </x:c>
      <x:c r="Z224" s="281" t="s">
        <x:v>118</x:v>
      </x:c>
      <x:c r="AA224" s="281" t="s">
        <x:v>118</x:v>
      </x:c>
      <x:c r="AB224" s="281" t="s">
        <x:v>118</x:v>
      </x:c>
      <x:c r="AC224" s="281" t="s">
        <x:v>118</x:v>
      </x:c>
      <x:c r="AD224" s="281" t="s">
        <x:v>118</x:v>
      </x:c>
      <x:c r="AE224" s="281" t="s">
        <x:v>118</x:v>
      </x:c>
      <x:c r="AF224" s="281" t="s">
        <x:v>118</x:v>
      </x:c>
      <x:c r="AG224" s="281" t="s">
        <x:v>118</x:v>
      </x:c>
      <x:c r="AH224" s="281" t="s">
        <x:v>118</x:v>
      </x:c>
      <x:c r="AI224" s="281" t="s">
        <x:v>118</x:v>
      </x:c>
      <x:c r="AJ224" s="281" t="s">
        <x:v>118</x:v>
      </x:c>
      <x:c r="AK224" s="220">
        <x:f>COUNTIF(F224:AJ224,"X")</x:f>
      </x:c>
      <x:c r="AL224" s="221"/>
      <x:c r="AM224" s="221"/>
      <x:c r="AN224" s="222"/>
      <x:c r="AO224" s="222"/>
      <x:c r="AP224" s="228"/>
      <x:c r="AQ224" s="228"/>
      <x:c r="AR224" s="228"/>
      <x:c r="AS224" s="228"/>
      <x:c r="AT224" s="230"/>
    </x:row>
    <x:row r="225" spans="1:47" ht="15" customHeight="1">
      <x:c r="A225" s="282" t="s">
        <x:v>1577</x:v>
      </x:c>
      <x:c r="B225" s="216"/>
      <x:c r="C225" s="283" t="s">
        <x:v>1578</x:v>
      </x:c>
      <x:c r="D225" s="282" t="s">
        <x:v>742</x:v>
      </x:c>
      <x:c r="E225" s="282" t="s">
        <x:v>1579</x:v>
      </x:c>
      <x:c r="F225" s="277" t="s">
        <x:v>118</x:v>
      </x:c>
      <x:c r="G225" s="277" t="s">
        <x:v>118</x:v>
      </x:c>
      <x:c r="H225" s="277" t="s">
        <x:v>118</x:v>
      </x:c>
      <x:c r="I225" s="277" t="s">
        <x:v>118</x:v>
      </x:c>
      <x:c r="J225" s="277" t="s">
        <x:v>118</x:v>
      </x:c>
      <x:c r="K225" s="277" t="s">
        <x:v>118</x:v>
      </x:c>
      <x:c r="L225" s="277" t="s">
        <x:v>118</x:v>
      </x:c>
      <x:c r="M225" s="277" t="s">
        <x:v>118</x:v>
      </x:c>
      <x:c r="N225" s="277" t="s">
        <x:v>118</x:v>
      </x:c>
      <x:c r="O225" s="277" t="s">
        <x:v>118</x:v>
      </x:c>
      <x:c r="P225" s="277" t="s">
        <x:v>118</x:v>
      </x:c>
      <x:c r="Q225" s="277" t="s">
        <x:v>118</x:v>
      </x:c>
      <x:c r="R225" s="277" t="s">
        <x:v>118</x:v>
      </x:c>
      <x:c r="S225" s="277" t="s">
        <x:v>118</x:v>
      </x:c>
      <x:c r="T225" s="277" t="s">
        <x:v>118</x:v>
      </x:c>
      <x:c r="U225" s="277" t="s">
        <x:v>118</x:v>
      </x:c>
      <x:c r="V225" s="277" t="s">
        <x:v>118</x:v>
      </x:c>
      <x:c r="W225" s="277" t="s">
        <x:v>118</x:v>
      </x:c>
      <x:c r="X225" s="277" t="s">
        <x:v>118</x:v>
      </x:c>
      <x:c r="Y225" s="277" t="s">
        <x:v>118</x:v>
      </x:c>
      <x:c r="Z225" s="277" t="s">
        <x:v>118</x:v>
      </x:c>
      <x:c r="AA225" s="277" t="s">
        <x:v>118</x:v>
      </x:c>
      <x:c r="AB225" s="277" t="s">
        <x:v>118</x:v>
      </x:c>
      <x:c r="AC225" s="277" t="s">
        <x:v>118</x:v>
      </x:c>
      <x:c r="AD225" s="277" t="s">
        <x:v>118</x:v>
      </x:c>
      <x:c r="AE225" s="277" t="s">
        <x:v>118</x:v>
      </x:c>
      <x:c r="AF225" s="277" t="s">
        <x:v>118</x:v>
      </x:c>
      <x:c r="AG225" s="277" t="s">
        <x:v>118</x:v>
      </x:c>
      <x:c r="AH225" s="277" t="s">
        <x:v>118</x:v>
      </x:c>
      <x:c r="AI225" s="277" t="s">
        <x:v>118</x:v>
      </x:c>
      <x:c r="AJ225" s="277" t="s">
        <x:v>118</x:v>
      </x:c>
      <x:c r="AK225" s="220">
        <x:f>COUNTIF(F225:AJ225,"X")</x:f>
      </x:c>
      <x:c r="AL225" s="221"/>
      <x:c r="AM225" s="221"/>
      <x:c r="AN225" s="222"/>
      <x:c r="AO225" s="222"/>
      <x:c r="AP225" s="228"/>
      <x:c r="AQ225" s="228"/>
      <x:c r="AR225" s="228"/>
      <x:c r="AS225" s="228"/>
      <x:c r="AT225" s="230"/>
    </x:row>
    <x:row r="226" spans="1:47" ht="15" customHeight="1">
      <x:c r="A226" s="282" t="s">
        <x:v>1580</x:v>
      </x:c>
      <x:c r="B226" s="216"/>
      <x:c r="C226" s="283" t="s">
        <x:v>1581</x:v>
      </x:c>
      <x:c r="D226" s="282" t="s">
        <x:v>742</x:v>
      </x:c>
      <x:c r="E226" s="282" t="s">
        <x:v>209</x:v>
      </x:c>
      <x:c r="F226" s="281" t="s">
        <x:v>118</x:v>
      </x:c>
      <x:c r="G226" s="281" t="s">
        <x:v>118</x:v>
      </x:c>
      <x:c r="H226" s="281" t="s">
        <x:v>118</x:v>
      </x:c>
      <x:c r="I226" s="281" t="s">
        <x:v>118</x:v>
      </x:c>
      <x:c r="J226" s="281" t="s">
        <x:v>118</x:v>
      </x:c>
      <x:c r="K226" s="281" t="s">
        <x:v>118</x:v>
      </x:c>
      <x:c r="L226" s="281" t="s">
        <x:v>118</x:v>
      </x:c>
      <x:c r="M226" s="281" t="s">
        <x:v>118</x:v>
      </x:c>
      <x:c r="N226" s="281" t="s">
        <x:v>118</x:v>
      </x:c>
      <x:c r="O226" s="281" t="s">
        <x:v>118</x:v>
      </x:c>
      <x:c r="P226" s="281" t="s">
        <x:v>118</x:v>
      </x:c>
      <x:c r="Q226" s="281" t="s">
        <x:v>118</x:v>
      </x:c>
      <x:c r="R226" s="281" t="s">
        <x:v>118</x:v>
      </x:c>
      <x:c r="S226" s="281" t="s">
        <x:v>118</x:v>
      </x:c>
      <x:c r="T226" s="281" t="s">
        <x:v>118</x:v>
      </x:c>
      <x:c r="U226" s="281" t="s">
        <x:v>118</x:v>
      </x:c>
      <x:c r="V226" s="281" t="s">
        <x:v>118</x:v>
      </x:c>
      <x:c r="W226" s="281" t="s">
        <x:v>118</x:v>
      </x:c>
      <x:c r="X226" s="281" t="s">
        <x:v>118</x:v>
      </x:c>
      <x:c r="Y226" s="281" t="s">
        <x:v>118</x:v>
      </x:c>
      <x:c r="Z226" s="281" t="s">
        <x:v>118</x:v>
      </x:c>
      <x:c r="AA226" s="281" t="s">
        <x:v>118</x:v>
      </x:c>
      <x:c r="AB226" s="281" t="s">
        <x:v>118</x:v>
      </x:c>
      <x:c r="AC226" s="281" t="s">
        <x:v>118</x:v>
      </x:c>
      <x:c r="AD226" s="281" t="s">
        <x:v>118</x:v>
      </x:c>
      <x:c r="AE226" s="281" t="s">
        <x:v>118</x:v>
      </x:c>
      <x:c r="AF226" s="281" t="s">
        <x:v>118</x:v>
      </x:c>
      <x:c r="AG226" s="281" t="s">
        <x:v>118</x:v>
      </x:c>
      <x:c r="AH226" s="281" t="s">
        <x:v>118</x:v>
      </x:c>
      <x:c r="AI226" s="281" t="s">
        <x:v>118</x:v>
      </x:c>
      <x:c r="AJ226" s="281" t="s">
        <x:v>118</x:v>
      </x:c>
      <x:c r="AK226" s="220">
        <x:f>COUNTIF(F226:AJ226,"X")</x:f>
      </x:c>
      <x:c r="AL226" s="221"/>
      <x:c r="AM226" s="221"/>
      <x:c r="AN226" s="222"/>
      <x:c r="AO226" s="222"/>
      <x:c r="AP226" s="228"/>
      <x:c r="AQ226" s="228"/>
      <x:c r="AR226" s="228"/>
      <x:c r="AS226" s="228"/>
      <x:c r="AT226" s="230"/>
    </x:row>
    <x:row r="227" spans="1:47" ht="15" customHeight="1">
      <x:c r="A227" s="282" t="s">
        <x:v>1582</x:v>
      </x:c>
      <x:c r="B227" s="216"/>
      <x:c r="C227" s="283" t="s">
        <x:v>1583</x:v>
      </x:c>
      <x:c r="D227" s="282" t="s">
        <x:v>742</x:v>
      </x:c>
      <x:c r="E227" s="282" t="s">
        <x:v>1584</x:v>
      </x:c>
      <x:c r="F227" s="277" t="s">
        <x:v>118</x:v>
      </x:c>
      <x:c r="G227" s="277" t="s">
        <x:v>118</x:v>
      </x:c>
      <x:c r="H227" s="277" t="s">
        <x:v>118</x:v>
      </x:c>
      <x:c r="I227" s="277" t="s">
        <x:v>118</x:v>
      </x:c>
      <x:c r="J227" s="277" t="s">
        <x:v>118</x:v>
      </x:c>
      <x:c r="K227" s="277" t="s">
        <x:v>118</x:v>
      </x:c>
      <x:c r="L227" s="277" t="s">
        <x:v>118</x:v>
      </x:c>
      <x:c r="M227" s="277" t="s">
        <x:v>118</x:v>
      </x:c>
      <x:c r="N227" s="277" t="s">
        <x:v>118</x:v>
      </x:c>
      <x:c r="O227" s="277" t="s">
        <x:v>118</x:v>
      </x:c>
      <x:c r="P227" s="277" t="s">
        <x:v>118</x:v>
      </x:c>
      <x:c r="Q227" s="277" t="s">
        <x:v>118</x:v>
      </x:c>
      <x:c r="R227" s="277" t="s">
        <x:v>118</x:v>
      </x:c>
      <x:c r="S227" s="277" t="s">
        <x:v>118</x:v>
      </x:c>
      <x:c r="T227" s="277" t="s">
        <x:v>118</x:v>
      </x:c>
      <x:c r="U227" s="277" t="s">
        <x:v>118</x:v>
      </x:c>
      <x:c r="V227" s="277" t="s">
        <x:v>118</x:v>
      </x:c>
      <x:c r="W227" s="277" t="s">
        <x:v>118</x:v>
      </x:c>
      <x:c r="X227" s="277" t="s">
        <x:v>118</x:v>
      </x:c>
      <x:c r="Y227" s="277" t="s">
        <x:v>118</x:v>
      </x:c>
      <x:c r="Z227" s="277" t="s">
        <x:v>118</x:v>
      </x:c>
      <x:c r="AA227" s="277" t="s">
        <x:v>118</x:v>
      </x:c>
      <x:c r="AB227" s="277" t="s">
        <x:v>118</x:v>
      </x:c>
      <x:c r="AC227" s="277" t="s">
        <x:v>118</x:v>
      </x:c>
      <x:c r="AD227" s="277" t="s">
        <x:v>118</x:v>
      </x:c>
      <x:c r="AE227" s="277" t="s">
        <x:v>118</x:v>
      </x:c>
      <x:c r="AF227" s="277" t="s">
        <x:v>118</x:v>
      </x:c>
      <x:c r="AG227" s="277" t="s">
        <x:v>118</x:v>
      </x:c>
      <x:c r="AH227" s="277" t="s">
        <x:v>118</x:v>
      </x:c>
      <x:c r="AI227" s="277" t="s">
        <x:v>118</x:v>
      </x:c>
      <x:c r="AJ227" s="277" t="s">
        <x:v>118</x:v>
      </x:c>
      <x:c r="AK227" s="220">
        <x:f>COUNTIF(F227:AJ227,"X")</x:f>
      </x:c>
      <x:c r="AL227" s="221"/>
      <x:c r="AM227" s="221"/>
      <x:c r="AN227" s="222"/>
      <x:c r="AO227" s="222"/>
      <x:c r="AP227" s="228"/>
      <x:c r="AQ227" s="228"/>
      <x:c r="AR227" s="228"/>
      <x:c r="AS227" s="228"/>
      <x:c r="AT227" s="230"/>
    </x:row>
    <x:row r="228" spans="1:47" ht="15" customHeight="1">
      <x:c r="A228" s="282" t="s">
        <x:v>1585</x:v>
      </x:c>
      <x:c r="B228" s="216"/>
      <x:c r="C228" s="283" t="s">
        <x:v>1586</x:v>
      </x:c>
      <x:c r="D228" s="282" t="s">
        <x:v>1587</x:v>
      </x:c>
      <x:c r="E228" s="282" t="s">
        <x:v>1588</x:v>
      </x:c>
      <x:c r="F228" s="277" t="s">
        <x:v>118</x:v>
      </x:c>
      <x:c r="G228" s="277" t="s">
        <x:v>118</x:v>
      </x:c>
      <x:c r="H228" s="277" t="s">
        <x:v>118</x:v>
      </x:c>
      <x:c r="I228" s="277" t="s">
        <x:v>118</x:v>
      </x:c>
      <x:c r="J228" s="277" t="s">
        <x:v>118</x:v>
      </x:c>
      <x:c r="K228" s="277" t="s">
        <x:v>118</x:v>
      </x:c>
      <x:c r="L228" s="277" t="s">
        <x:v>118</x:v>
      </x:c>
      <x:c r="M228" s="277" t="s">
        <x:v>118</x:v>
      </x:c>
      <x:c r="N228" s="277" t="s">
        <x:v>118</x:v>
      </x:c>
      <x:c r="O228" s="277" t="s">
        <x:v>118</x:v>
      </x:c>
      <x:c r="P228" s="277" t="s">
        <x:v>118</x:v>
      </x:c>
      <x:c r="Q228" s="277" t="s">
        <x:v>118</x:v>
      </x:c>
      <x:c r="R228" s="277" t="s">
        <x:v>118</x:v>
      </x:c>
      <x:c r="S228" s="277" t="s">
        <x:v>118</x:v>
      </x:c>
      <x:c r="T228" s="277" t="s">
        <x:v>118</x:v>
      </x:c>
      <x:c r="U228" s="277" t="s">
        <x:v>118</x:v>
      </x:c>
      <x:c r="V228" s="277" t="s">
        <x:v>118</x:v>
      </x:c>
      <x:c r="W228" s="277" t="s">
        <x:v>118</x:v>
      </x:c>
      <x:c r="X228" s="277" t="s">
        <x:v>118</x:v>
      </x:c>
      <x:c r="Y228" s="277" t="s">
        <x:v>118</x:v>
      </x:c>
      <x:c r="Z228" s="277" t="s">
        <x:v>118</x:v>
      </x:c>
      <x:c r="AA228" s="277" t="s">
        <x:v>118</x:v>
      </x:c>
      <x:c r="AB228" s="277" t="s">
        <x:v>118</x:v>
      </x:c>
      <x:c r="AC228" s="277" t="s">
        <x:v>118</x:v>
      </x:c>
      <x:c r="AD228" s="277" t="s">
        <x:v>118</x:v>
      </x:c>
      <x:c r="AE228" s="277" t="s">
        <x:v>118</x:v>
      </x:c>
      <x:c r="AF228" s="277" t="s">
        <x:v>118</x:v>
      </x:c>
      <x:c r="AG228" s="277" t="s">
        <x:v>118</x:v>
      </x:c>
      <x:c r="AH228" s="277" t="s">
        <x:v>118</x:v>
      </x:c>
      <x:c r="AI228" s="277" t="s">
        <x:v>118</x:v>
      </x:c>
      <x:c r="AJ228" s="277" t="s">
        <x:v>118</x:v>
      </x:c>
      <x:c r="AK228" s="220">
        <x:f>COUNTIF(F228:AJ228,"X")</x:f>
      </x:c>
      <x:c r="AL228" s="221"/>
      <x:c r="AM228" s="221"/>
      <x:c r="AN228" s="222"/>
      <x:c r="AO228" s="222"/>
      <x:c r="AP228" s="228"/>
      <x:c r="AQ228" s="228"/>
      <x:c r="AR228" s="228"/>
      <x:c r="AS228" s="228"/>
      <x:c r="AT228" s="230"/>
    </x:row>
    <x:row r="229" spans="1:47" ht="15" customHeight="1">
      <x:c r="A229" s="282" t="s">
        <x:v>1589</x:v>
      </x:c>
      <x:c r="B229" s="216"/>
      <x:c r="C229" s="283" t="s">
        <x:v>1590</x:v>
      </x:c>
      <x:c r="D229" s="282" t="s">
        <x:v>1591</x:v>
      </x:c>
      <x:c r="E229" s="282" t="s">
        <x:v>185</x:v>
      </x:c>
      <x:c r="F229" s="277" t="s">
        <x:v>118</x:v>
      </x:c>
      <x:c r="G229" s="277" t="s">
        <x:v>118</x:v>
      </x:c>
      <x:c r="H229" s="277" t="s">
        <x:v>118</x:v>
      </x:c>
      <x:c r="I229" s="277" t="s">
        <x:v>118</x:v>
      </x:c>
      <x:c r="J229" s="277" t="s">
        <x:v>118</x:v>
      </x:c>
      <x:c r="K229" s="277" t="s">
        <x:v>118</x:v>
      </x:c>
      <x:c r="L229" s="277" t="s">
        <x:v>118</x:v>
      </x:c>
      <x:c r="M229" s="277" t="s">
        <x:v>118</x:v>
      </x:c>
      <x:c r="N229" s="277" t="s">
        <x:v>118</x:v>
      </x:c>
      <x:c r="O229" s="277" t="s">
        <x:v>118</x:v>
      </x:c>
      <x:c r="P229" s="277" t="s">
        <x:v>118</x:v>
      </x:c>
      <x:c r="Q229" s="277" t="s">
        <x:v>118</x:v>
      </x:c>
      <x:c r="R229" s="277" t="s">
        <x:v>118</x:v>
      </x:c>
      <x:c r="S229" s="277" t="s">
        <x:v>118</x:v>
      </x:c>
      <x:c r="T229" s="277" t="s">
        <x:v>118</x:v>
      </x:c>
      <x:c r="U229" s="277" t="s">
        <x:v>118</x:v>
      </x:c>
      <x:c r="V229" s="277" t="s">
        <x:v>118</x:v>
      </x:c>
      <x:c r="W229" s="277" t="s">
        <x:v>118</x:v>
      </x:c>
      <x:c r="X229" s="277" t="s">
        <x:v>118</x:v>
      </x:c>
      <x:c r="Y229" s="277" t="s">
        <x:v>118</x:v>
      </x:c>
      <x:c r="Z229" s="277" t="s">
        <x:v>118</x:v>
      </x:c>
      <x:c r="AA229" s="277" t="s">
        <x:v>118</x:v>
      </x:c>
      <x:c r="AB229" s="277" t="s">
        <x:v>118</x:v>
      </x:c>
      <x:c r="AC229" s="277" t="s">
        <x:v>118</x:v>
      </x:c>
      <x:c r="AD229" s="277" t="s">
        <x:v>118</x:v>
      </x:c>
      <x:c r="AE229" s="277" t="s">
        <x:v>118</x:v>
      </x:c>
      <x:c r="AF229" s="277" t="s">
        <x:v>118</x:v>
      </x:c>
      <x:c r="AG229" s="277" t="s">
        <x:v>118</x:v>
      </x:c>
      <x:c r="AH229" s="277" t="s">
        <x:v>118</x:v>
      </x:c>
      <x:c r="AI229" s="277" t="s">
        <x:v>118</x:v>
      </x:c>
      <x:c r="AJ229" s="277" t="s">
        <x:v>118</x:v>
      </x:c>
      <x:c r="AK229" s="220">
        <x:f>COUNTIF(F229:AJ229,"X")</x:f>
      </x:c>
      <x:c r="AL229" s="221"/>
      <x:c r="AM229" s="221"/>
      <x:c r="AN229" s="222"/>
      <x:c r="AO229" s="222"/>
      <x:c r="AP229" s="228"/>
      <x:c r="AQ229" s="228"/>
      <x:c r="AR229" s="228"/>
      <x:c r="AS229" s="228"/>
      <x:c r="AT229" s="230"/>
    </x:row>
    <x:row r="230" spans="1:47" ht="15" customHeight="1">
      <x:c r="A230" s="282" t="s">
        <x:v>1592</x:v>
      </x:c>
      <x:c r="B230" s="216"/>
      <x:c r="C230" s="283" t="s">
        <x:v>1593</x:v>
      </x:c>
      <x:c r="D230" s="282" t="s">
        <x:v>1594</x:v>
      </x:c>
      <x:c r="E230" s="282" t="s">
        <x:v>1595</x:v>
      </x:c>
      <x:c r="F230" s="277" t="s">
        <x:v>118</x:v>
      </x:c>
      <x:c r="G230" s="277" t="s">
        <x:v>118</x:v>
      </x:c>
      <x:c r="H230" s="277" t="s">
        <x:v>118</x:v>
      </x:c>
      <x:c r="I230" s="277" t="s">
        <x:v>118</x:v>
      </x:c>
      <x:c r="J230" s="277" t="s">
        <x:v>118</x:v>
      </x:c>
      <x:c r="K230" s="277" t="s">
        <x:v>118</x:v>
      </x:c>
      <x:c r="L230" s="277" t="s">
        <x:v>118</x:v>
      </x:c>
      <x:c r="M230" s="277" t="s">
        <x:v>118</x:v>
      </x:c>
      <x:c r="N230" s="277" t="s">
        <x:v>118</x:v>
      </x:c>
      <x:c r="O230" s="277" t="s">
        <x:v>118</x:v>
      </x:c>
      <x:c r="P230" s="277" t="s">
        <x:v>118</x:v>
      </x:c>
      <x:c r="Q230" s="277" t="s">
        <x:v>118</x:v>
      </x:c>
      <x:c r="R230" s="277" t="s">
        <x:v>118</x:v>
      </x:c>
      <x:c r="S230" s="277" t="s">
        <x:v>118</x:v>
      </x:c>
      <x:c r="T230" s="277" t="s">
        <x:v>118</x:v>
      </x:c>
      <x:c r="U230" s="277" t="s">
        <x:v>118</x:v>
      </x:c>
      <x:c r="V230" s="277" t="s">
        <x:v>118</x:v>
      </x:c>
      <x:c r="W230" s="277" t="s">
        <x:v>118</x:v>
      </x:c>
      <x:c r="X230" s="277" t="s">
        <x:v>118</x:v>
      </x:c>
      <x:c r="Y230" s="277" t="s">
        <x:v>118</x:v>
      </x:c>
      <x:c r="Z230" s="277" t="s">
        <x:v>118</x:v>
      </x:c>
      <x:c r="AA230" s="277" t="s">
        <x:v>118</x:v>
      </x:c>
      <x:c r="AB230" s="277" t="s">
        <x:v>118</x:v>
      </x:c>
      <x:c r="AC230" s="277" t="s">
        <x:v>118</x:v>
      </x:c>
      <x:c r="AD230" s="277" t="s">
        <x:v>118</x:v>
      </x:c>
      <x:c r="AE230" s="277" t="s">
        <x:v>118</x:v>
      </x:c>
      <x:c r="AF230" s="277" t="s">
        <x:v>118</x:v>
      </x:c>
      <x:c r="AG230" s="277" t="s">
        <x:v>118</x:v>
      </x:c>
      <x:c r="AH230" s="277" t="s">
        <x:v>118</x:v>
      </x:c>
      <x:c r="AI230" s="277" t="s">
        <x:v>118</x:v>
      </x:c>
      <x:c r="AJ230" s="277" t="s">
        <x:v>118</x:v>
      </x:c>
      <x:c r="AK230" s="220">
        <x:f>COUNTIF(F230:AJ230,"X")</x:f>
      </x:c>
      <x:c r="AL230" s="221"/>
      <x:c r="AM230" s="221"/>
      <x:c r="AN230" s="222"/>
      <x:c r="AO230" s="222"/>
      <x:c r="AP230" s="228"/>
      <x:c r="AQ230" s="228"/>
      <x:c r="AR230" s="228"/>
      <x:c r="AS230" s="228"/>
      <x:c r="AT230" s="233"/>
    </x:row>
    <x:row r="231" spans="1:47" ht="15" customHeight="1">
      <x:c r="A231" s="282" t="s">
        <x:v>1596</x:v>
      </x:c>
      <x:c r="B231" s="216"/>
      <x:c r="C231" s="283" t="s">
        <x:v>1597</x:v>
      </x:c>
      <x:c r="D231" s="282" t="s">
        <x:v>1598</x:v>
      </x:c>
      <x:c r="E231" s="282" t="s">
        <x:v>1599</x:v>
      </x:c>
      <x:c r="F231" s="277" t="s">
        <x:v>118</x:v>
      </x:c>
      <x:c r="G231" s="277" t="s">
        <x:v>118</x:v>
      </x:c>
      <x:c r="H231" s="277" t="s">
        <x:v>118</x:v>
      </x:c>
      <x:c r="I231" s="277" t="s">
        <x:v>118</x:v>
      </x:c>
      <x:c r="J231" s="277" t="s">
        <x:v>118</x:v>
      </x:c>
      <x:c r="K231" s="277" t="s">
        <x:v>118</x:v>
      </x:c>
      <x:c r="L231" s="277" t="s">
        <x:v>118</x:v>
      </x:c>
      <x:c r="M231" s="277" t="s">
        <x:v>118</x:v>
      </x:c>
      <x:c r="N231" s="277" t="s">
        <x:v>118</x:v>
      </x:c>
      <x:c r="O231" s="277" t="s">
        <x:v>118</x:v>
      </x:c>
      <x:c r="P231" s="277" t="s">
        <x:v>118</x:v>
      </x:c>
      <x:c r="Q231" s="277" t="s">
        <x:v>118</x:v>
      </x:c>
      <x:c r="R231" s="277" t="s">
        <x:v>118</x:v>
      </x:c>
      <x:c r="S231" s="277" t="s">
        <x:v>118</x:v>
      </x:c>
      <x:c r="T231" s="277" t="s">
        <x:v>118</x:v>
      </x:c>
      <x:c r="U231" s="277" t="s">
        <x:v>118</x:v>
      </x:c>
      <x:c r="V231" s="277" t="s">
        <x:v>118</x:v>
      </x:c>
      <x:c r="W231" s="277" t="s">
        <x:v>118</x:v>
      </x:c>
      <x:c r="X231" s="277" t="s">
        <x:v>118</x:v>
      </x:c>
      <x:c r="Y231" s="277" t="s">
        <x:v>118</x:v>
      </x:c>
      <x:c r="Z231" s="277" t="s">
        <x:v>118</x:v>
      </x:c>
      <x:c r="AA231" s="277" t="s">
        <x:v>118</x:v>
      </x:c>
      <x:c r="AB231" s="277" t="s">
        <x:v>118</x:v>
      </x:c>
      <x:c r="AC231" s="277" t="s">
        <x:v>118</x:v>
      </x:c>
      <x:c r="AD231" s="277" t="s">
        <x:v>118</x:v>
      </x:c>
      <x:c r="AE231" s="277" t="s">
        <x:v>118</x:v>
      </x:c>
      <x:c r="AF231" s="277" t="s">
        <x:v>118</x:v>
      </x:c>
      <x:c r="AG231" s="277" t="s">
        <x:v>118</x:v>
      </x:c>
      <x:c r="AH231" s="277" t="s">
        <x:v>118</x:v>
      </x:c>
      <x:c r="AI231" s="277" t="s">
        <x:v>118</x:v>
      </x:c>
      <x:c r="AJ231" s="277" t="s">
        <x:v>118</x:v>
      </x:c>
      <x:c r="AK231" s="220">
        <x:f>COUNTIF(F231:AJ231,"X")</x:f>
      </x:c>
      <x:c r="AL231" s="221"/>
      <x:c r="AM231" s="221"/>
      <x:c r="AN231" s="222"/>
      <x:c r="AO231" s="222"/>
      <x:c r="AP231" s="228"/>
      <x:c r="AQ231" s="228"/>
      <x:c r="AR231" s="228"/>
      <x:c r="AS231" s="228"/>
      <x:c r="AT231" s="230"/>
    </x:row>
    <x:row r="232" spans="1:47" ht="15" customHeight="1">
      <x:c r="A232" s="282" t="s">
        <x:v>1600</x:v>
      </x:c>
      <x:c r="B232" s="216"/>
      <x:c r="C232" s="283" t="s">
        <x:v>1601</x:v>
      </x:c>
      <x:c r="D232" s="282" t="s">
        <x:v>1602</x:v>
      </x:c>
      <x:c r="E232" s="282" t="s">
        <x:v>1603</x:v>
      </x:c>
      <x:c r="F232" s="277" t="s">
        <x:v>118</x:v>
      </x:c>
      <x:c r="G232" s="277" t="s">
        <x:v>118</x:v>
      </x:c>
      <x:c r="H232" s="277" t="s">
        <x:v>118</x:v>
      </x:c>
      <x:c r="I232" s="277" t="s">
        <x:v>118</x:v>
      </x:c>
      <x:c r="J232" s="277" t="s">
        <x:v>118</x:v>
      </x:c>
      <x:c r="K232" s="277" t="s">
        <x:v>118</x:v>
      </x:c>
      <x:c r="L232" s="277" t="s">
        <x:v>118</x:v>
      </x:c>
      <x:c r="M232" s="277" t="s">
        <x:v>118</x:v>
      </x:c>
      <x:c r="N232" s="277" t="s">
        <x:v>118</x:v>
      </x:c>
      <x:c r="O232" s="277" t="s">
        <x:v>118</x:v>
      </x:c>
      <x:c r="P232" s="277" t="s">
        <x:v>118</x:v>
      </x:c>
      <x:c r="Q232" s="277" t="s">
        <x:v>118</x:v>
      </x:c>
      <x:c r="R232" s="277" t="s">
        <x:v>118</x:v>
      </x:c>
      <x:c r="S232" s="277" t="s">
        <x:v>118</x:v>
      </x:c>
      <x:c r="T232" s="277" t="s">
        <x:v>118</x:v>
      </x:c>
      <x:c r="U232" s="277" t="s">
        <x:v>118</x:v>
      </x:c>
      <x:c r="V232" s="277" t="s">
        <x:v>118</x:v>
      </x:c>
      <x:c r="W232" s="277" t="s">
        <x:v>118</x:v>
      </x:c>
      <x:c r="X232" s="277" t="s">
        <x:v>118</x:v>
      </x:c>
      <x:c r="Y232" s="277" t="s">
        <x:v>118</x:v>
      </x:c>
      <x:c r="Z232" s="277" t="s">
        <x:v>118</x:v>
      </x:c>
      <x:c r="AA232" s="277" t="s">
        <x:v>118</x:v>
      </x:c>
      <x:c r="AB232" s="277" t="s">
        <x:v>118</x:v>
      </x:c>
      <x:c r="AC232" s="277" t="s">
        <x:v>118</x:v>
      </x:c>
      <x:c r="AD232" s="277" t="s">
        <x:v>118</x:v>
      </x:c>
      <x:c r="AE232" s="277" t="s">
        <x:v>118</x:v>
      </x:c>
      <x:c r="AF232" s="277" t="s">
        <x:v>118</x:v>
      </x:c>
      <x:c r="AG232" s="277" t="s">
        <x:v>118</x:v>
      </x:c>
      <x:c r="AH232" s="277" t="s">
        <x:v>118</x:v>
      </x:c>
      <x:c r="AI232" s="277" t="s">
        <x:v>118</x:v>
      </x:c>
      <x:c r="AJ232" s="277" t="s">
        <x:v>118</x:v>
      </x:c>
      <x:c r="AK232" s="220">
        <x:f>COUNTIF(F232:AJ232,"X")</x:f>
      </x:c>
      <x:c r="AL232" s="221"/>
      <x:c r="AM232" s="221"/>
      <x:c r="AN232" s="222"/>
      <x:c r="AO232" s="222"/>
      <x:c r="AP232" s="228"/>
      <x:c r="AQ232" s="228"/>
      <x:c r="AR232" s="228"/>
      <x:c r="AS232" s="228"/>
      <x:c r="AT232" s="230"/>
    </x:row>
    <x:row r="233" spans="1:47" ht="15" customHeight="1">
      <x:c r="A233" s="282" t="s">
        <x:v>1604</x:v>
      </x:c>
      <x:c r="B233" s="216"/>
      <x:c r="C233" s="283" t="s">
        <x:v>1605</x:v>
      </x:c>
      <x:c r="D233" s="282" t="s">
        <x:v>1602</x:v>
      </x:c>
      <x:c r="E233" s="282" t="s">
        <x:v>370</x:v>
      </x:c>
      <x:c r="F233" s="281" t="s">
        <x:v>118</x:v>
      </x:c>
      <x:c r="G233" s="281" t="s">
        <x:v>118</x:v>
      </x:c>
      <x:c r="H233" s="281" t="s">
        <x:v>118</x:v>
      </x:c>
      <x:c r="I233" s="281" t="s">
        <x:v>118</x:v>
      </x:c>
      <x:c r="J233" s="281" t="s">
        <x:v>118</x:v>
      </x:c>
      <x:c r="K233" s="281" t="s">
        <x:v>118</x:v>
      </x:c>
      <x:c r="L233" s="281" t="s">
        <x:v>118</x:v>
      </x:c>
      <x:c r="M233" s="281" t="s">
        <x:v>118</x:v>
      </x:c>
      <x:c r="N233" s="281" t="s">
        <x:v>118</x:v>
      </x:c>
      <x:c r="O233" s="281" t="s">
        <x:v>118</x:v>
      </x:c>
      <x:c r="P233" s="281" t="s">
        <x:v>118</x:v>
      </x:c>
      <x:c r="Q233" s="281" t="s">
        <x:v>118</x:v>
      </x:c>
      <x:c r="R233" s="281" t="s">
        <x:v>118</x:v>
      </x:c>
      <x:c r="S233" s="281" t="s">
        <x:v>118</x:v>
      </x:c>
      <x:c r="T233" s="281" t="s">
        <x:v>118</x:v>
      </x:c>
      <x:c r="U233" s="281" t="s">
        <x:v>118</x:v>
      </x:c>
      <x:c r="V233" s="281" t="s">
        <x:v>118</x:v>
      </x:c>
      <x:c r="W233" s="281" t="s">
        <x:v>118</x:v>
      </x:c>
      <x:c r="X233" s="281" t="s">
        <x:v>118</x:v>
      </x:c>
      <x:c r="Y233" s="281" t="s">
        <x:v>118</x:v>
      </x:c>
      <x:c r="Z233" s="281" t="s">
        <x:v>118</x:v>
      </x:c>
      <x:c r="AA233" s="281" t="s">
        <x:v>118</x:v>
      </x:c>
      <x:c r="AB233" s="281" t="s">
        <x:v>118</x:v>
      </x:c>
      <x:c r="AC233" s="281" t="s">
        <x:v>118</x:v>
      </x:c>
      <x:c r="AD233" s="281" t="s">
        <x:v>118</x:v>
      </x:c>
      <x:c r="AE233" s="281" t="s">
        <x:v>118</x:v>
      </x:c>
      <x:c r="AF233" s="281" t="s">
        <x:v>118</x:v>
      </x:c>
      <x:c r="AG233" s="281" t="s">
        <x:v>118</x:v>
      </x:c>
      <x:c r="AH233" s="281" t="s">
        <x:v>118</x:v>
      </x:c>
      <x:c r="AI233" s="281" t="s">
        <x:v>118</x:v>
      </x:c>
      <x:c r="AJ233" s="281" t="s">
        <x:v>118</x:v>
      </x:c>
      <x:c r="AK233" s="220">
        <x:f>COUNTIF(F233:AJ233,"X")</x:f>
      </x:c>
      <x:c r="AL233" s="221"/>
      <x:c r="AM233" s="221"/>
      <x:c r="AN233" s="222"/>
      <x:c r="AO233" s="222"/>
      <x:c r="AP233" s="228"/>
      <x:c r="AQ233" s="228"/>
      <x:c r="AR233" s="228"/>
      <x:c r="AS233" s="228"/>
      <x:c r="AT233" s="230"/>
    </x:row>
    <x:row r="234" spans="1:47" ht="15" customHeight="1">
      <x:c r="A234" s="282" t="s">
        <x:v>1606</x:v>
      </x:c>
      <x:c r="B234" s="216"/>
      <x:c r="C234" s="283" t="s">
        <x:v>1607</x:v>
      </x:c>
      <x:c r="D234" s="282" t="s">
        <x:v>1608</x:v>
      </x:c>
      <x:c r="E234" s="282" t="s">
        <x:v>1609</x:v>
      </x:c>
      <x:c r="F234" s="281" t="s">
        <x:v>118</x:v>
      </x:c>
      <x:c r="G234" s="281" t="s">
        <x:v>118</x:v>
      </x:c>
      <x:c r="H234" s="281" t="s">
        <x:v>118</x:v>
      </x:c>
      <x:c r="I234" s="281" t="s">
        <x:v>118</x:v>
      </x:c>
      <x:c r="J234" s="281" t="s">
        <x:v>118</x:v>
      </x:c>
      <x:c r="K234" s="281" t="s">
        <x:v>118</x:v>
      </x:c>
      <x:c r="L234" s="281" t="s">
        <x:v>118</x:v>
      </x:c>
      <x:c r="M234" s="281" t="s">
        <x:v>118</x:v>
      </x:c>
      <x:c r="N234" s="281" t="s">
        <x:v>118</x:v>
      </x:c>
      <x:c r="O234" s="281" t="s">
        <x:v>118</x:v>
      </x:c>
      <x:c r="P234" s="281" t="s">
        <x:v>118</x:v>
      </x:c>
      <x:c r="Q234" s="281" t="s">
        <x:v>118</x:v>
      </x:c>
      <x:c r="R234" s="281" t="s">
        <x:v>118</x:v>
      </x:c>
      <x:c r="S234" s="281" t="s">
        <x:v>118</x:v>
      </x:c>
      <x:c r="T234" s="281" t="s">
        <x:v>118</x:v>
      </x:c>
      <x:c r="U234" s="281" t="s">
        <x:v>118</x:v>
      </x:c>
      <x:c r="V234" s="281" t="s">
        <x:v>118</x:v>
      </x:c>
      <x:c r="W234" s="281" t="s">
        <x:v>118</x:v>
      </x:c>
      <x:c r="X234" s="281" t="s">
        <x:v>118</x:v>
      </x:c>
      <x:c r="Y234" s="281" t="s">
        <x:v>118</x:v>
      </x:c>
      <x:c r="Z234" s="281" t="s">
        <x:v>118</x:v>
      </x:c>
      <x:c r="AA234" s="281" t="s">
        <x:v>118</x:v>
      </x:c>
      <x:c r="AB234" s="281" t="s">
        <x:v>118</x:v>
      </x:c>
      <x:c r="AC234" s="281" t="s">
        <x:v>118</x:v>
      </x:c>
      <x:c r="AD234" s="281" t="s">
        <x:v>118</x:v>
      </x:c>
      <x:c r="AE234" s="281" t="s">
        <x:v>118</x:v>
      </x:c>
      <x:c r="AF234" s="281" t="s">
        <x:v>118</x:v>
      </x:c>
      <x:c r="AG234" s="281" t="s">
        <x:v>118</x:v>
      </x:c>
      <x:c r="AH234" s="281" t="s">
        <x:v>118</x:v>
      </x:c>
      <x:c r="AI234" s="281" t="s">
        <x:v>118</x:v>
      </x:c>
      <x:c r="AJ234" s="281" t="s">
        <x:v>118</x:v>
      </x:c>
      <x:c r="AK234" s="220">
        <x:f>COUNTIF(F234:AJ234,"X")</x:f>
      </x:c>
      <x:c r="AL234" s="221"/>
      <x:c r="AM234" s="221"/>
      <x:c r="AN234" s="222"/>
      <x:c r="AO234" s="222"/>
      <x:c r="AP234" s="228"/>
      <x:c r="AQ234" s="228"/>
      <x:c r="AR234" s="228"/>
      <x:c r="AS234" s="228"/>
      <x:c r="AT234" s="230"/>
    </x:row>
    <x:row r="235" spans="1:47" ht="15" customHeight="1">
      <x:c r="A235" s="282" t="s">
        <x:v>1610</x:v>
      </x:c>
      <x:c r="B235" s="216"/>
      <x:c r="C235" s="283" t="s">
        <x:v>1611</x:v>
      </x:c>
      <x:c r="D235" s="282" t="s">
        <x:v>1612</x:v>
      </x:c>
      <x:c r="E235" s="282" t="s">
        <x:v>1613</x:v>
      </x:c>
      <x:c r="F235" s="277" t="s">
        <x:v>118</x:v>
      </x:c>
      <x:c r="G235" s="277" t="s">
        <x:v>118</x:v>
      </x:c>
      <x:c r="H235" s="277" t="s">
        <x:v>118</x:v>
      </x:c>
      <x:c r="I235" s="277" t="s">
        <x:v>118</x:v>
      </x:c>
      <x:c r="J235" s="277" t="s">
        <x:v>118</x:v>
      </x:c>
      <x:c r="K235" s="277" t="s">
        <x:v>118</x:v>
      </x:c>
      <x:c r="L235" s="277" t="s">
        <x:v>118</x:v>
      </x:c>
      <x:c r="M235" s="277" t="s">
        <x:v>118</x:v>
      </x:c>
      <x:c r="N235" s="277" t="s">
        <x:v>118</x:v>
      </x:c>
      <x:c r="O235" s="277" t="s">
        <x:v>118</x:v>
      </x:c>
      <x:c r="P235" s="277" t="s">
        <x:v>118</x:v>
      </x:c>
      <x:c r="Q235" s="277" t="s">
        <x:v>118</x:v>
      </x:c>
      <x:c r="R235" s="277" t="s">
        <x:v>118</x:v>
      </x:c>
      <x:c r="S235" s="277" t="s">
        <x:v>118</x:v>
      </x:c>
      <x:c r="T235" s="277" t="s">
        <x:v>118</x:v>
      </x:c>
      <x:c r="U235" s="277" t="s">
        <x:v>118</x:v>
      </x:c>
      <x:c r="V235" s="277" t="s">
        <x:v>118</x:v>
      </x:c>
      <x:c r="W235" s="277" t="s">
        <x:v>118</x:v>
      </x:c>
      <x:c r="X235" s="277" t="s">
        <x:v>118</x:v>
      </x:c>
      <x:c r="Y235" s="277" t="s">
        <x:v>118</x:v>
      </x:c>
      <x:c r="Z235" s="277" t="s">
        <x:v>118</x:v>
      </x:c>
      <x:c r="AA235" s="277" t="s">
        <x:v>118</x:v>
      </x:c>
      <x:c r="AB235" s="277" t="s">
        <x:v>118</x:v>
      </x:c>
      <x:c r="AC235" s="277" t="s">
        <x:v>118</x:v>
      </x:c>
      <x:c r="AD235" s="277" t="s">
        <x:v>118</x:v>
      </x:c>
      <x:c r="AE235" s="277" t="s">
        <x:v>118</x:v>
      </x:c>
      <x:c r="AF235" s="277" t="s">
        <x:v>118</x:v>
      </x:c>
      <x:c r="AG235" s="277" t="s">
        <x:v>118</x:v>
      </x:c>
      <x:c r="AH235" s="277" t="s">
        <x:v>118</x:v>
      </x:c>
      <x:c r="AI235" s="277" t="s">
        <x:v>118</x:v>
      </x:c>
      <x:c r="AJ235" s="277" t="s">
        <x:v>118</x:v>
      </x:c>
      <x:c r="AK235" s="220">
        <x:f>COUNTIF(F235:AJ235,"X")</x:f>
      </x:c>
      <x:c r="AL235" s="221"/>
      <x:c r="AM235" s="221"/>
      <x:c r="AN235" s="222"/>
      <x:c r="AO235" s="222"/>
      <x:c r="AP235" s="228"/>
      <x:c r="AQ235" s="228"/>
      <x:c r="AR235" s="228"/>
      <x:c r="AS235" s="228"/>
      <x:c r="AT235" s="230"/>
    </x:row>
    <x:row r="236" spans="1:47" ht="15" customHeight="1">
      <x:c r="A236" s="282" t="s">
        <x:v>1614</x:v>
      </x:c>
      <x:c r="B236" s="216"/>
      <x:c r="C236" s="283" t="s">
        <x:v>1615</x:v>
      </x:c>
      <x:c r="D236" s="282" t="s">
        <x:v>1616</x:v>
      </x:c>
      <x:c r="E236" s="282" t="s">
        <x:v>1617</x:v>
      </x:c>
      <x:c r="F236" s="281" t="s">
        <x:v>118</x:v>
      </x:c>
      <x:c r="G236" s="281" t="s">
        <x:v>118</x:v>
      </x:c>
      <x:c r="H236" s="281" t="s">
        <x:v>118</x:v>
      </x:c>
      <x:c r="I236" s="281" t="s">
        <x:v>118</x:v>
      </x:c>
      <x:c r="J236" s="281" t="s">
        <x:v>118</x:v>
      </x:c>
      <x:c r="K236" s="281" t="s">
        <x:v>118</x:v>
      </x:c>
      <x:c r="L236" s="281" t="s">
        <x:v>118</x:v>
      </x:c>
      <x:c r="M236" s="281" t="s">
        <x:v>118</x:v>
      </x:c>
      <x:c r="N236" s="281" t="s">
        <x:v>118</x:v>
      </x:c>
      <x:c r="O236" s="281" t="s">
        <x:v>118</x:v>
      </x:c>
      <x:c r="P236" s="281" t="s">
        <x:v>118</x:v>
      </x:c>
      <x:c r="Q236" s="281" t="s">
        <x:v>118</x:v>
      </x:c>
      <x:c r="R236" s="281" t="s">
        <x:v>118</x:v>
      </x:c>
      <x:c r="S236" s="281" t="s">
        <x:v>118</x:v>
      </x:c>
      <x:c r="T236" s="281" t="s">
        <x:v>118</x:v>
      </x:c>
      <x:c r="U236" s="281" t="s">
        <x:v>118</x:v>
      </x:c>
      <x:c r="V236" s="281" t="s">
        <x:v>118</x:v>
      </x:c>
      <x:c r="W236" s="281" t="s">
        <x:v>118</x:v>
      </x:c>
      <x:c r="X236" s="281" t="s">
        <x:v>118</x:v>
      </x:c>
      <x:c r="Y236" s="281" t="s">
        <x:v>118</x:v>
      </x:c>
      <x:c r="Z236" s="281" t="s">
        <x:v>118</x:v>
      </x:c>
      <x:c r="AA236" s="281" t="s">
        <x:v>118</x:v>
      </x:c>
      <x:c r="AB236" s="281" t="s">
        <x:v>118</x:v>
      </x:c>
      <x:c r="AC236" s="281" t="s">
        <x:v>118</x:v>
      </x:c>
      <x:c r="AD236" s="281" t="s">
        <x:v>118</x:v>
      </x:c>
      <x:c r="AE236" s="281" t="s">
        <x:v>118</x:v>
      </x:c>
      <x:c r="AF236" s="281" t="s">
        <x:v>118</x:v>
      </x:c>
      <x:c r="AG236" s="281" t="s">
        <x:v>118</x:v>
      </x:c>
      <x:c r="AH236" s="281" t="s">
        <x:v>118</x:v>
      </x:c>
      <x:c r="AI236" s="281" t="s">
        <x:v>118</x:v>
      </x:c>
      <x:c r="AJ236" s="281" t="s">
        <x:v>118</x:v>
      </x:c>
      <x:c r="AK236" s="220">
        <x:f>COUNTIF(F236:AJ236,"X")</x:f>
      </x:c>
      <x:c r="AL236" s="221"/>
      <x:c r="AM236" s="221"/>
      <x:c r="AN236" s="222"/>
      <x:c r="AO236" s="222"/>
      <x:c r="AP236" s="228"/>
      <x:c r="AQ236" s="228"/>
      <x:c r="AR236" s="228"/>
      <x:c r="AS236" s="228"/>
      <x:c r="AT236" s="230"/>
    </x:row>
    <x:row r="237" spans="1:47" ht="15" customHeight="1">
      <x:c r="A237" s="282" t="s">
        <x:v>1618</x:v>
      </x:c>
      <x:c r="B237" s="216"/>
      <x:c r="C237" s="283" t="s">
        <x:v>1619</x:v>
      </x:c>
      <x:c r="D237" s="282" t="s">
        <x:v>1620</x:v>
      </x:c>
      <x:c r="E237" s="282" t="s">
        <x:v>1621</x:v>
      </x:c>
      <x:c r="F237" s="281" t="s">
        <x:v>118</x:v>
      </x:c>
      <x:c r="G237" s="281" t="s">
        <x:v>118</x:v>
      </x:c>
      <x:c r="H237" s="281" t="s">
        <x:v>118</x:v>
      </x:c>
      <x:c r="I237" s="281" t="s">
        <x:v>118</x:v>
      </x:c>
      <x:c r="J237" s="281" t="s">
        <x:v>118</x:v>
      </x:c>
      <x:c r="K237" s="281" t="s">
        <x:v>118</x:v>
      </x:c>
      <x:c r="L237" s="281" t="s">
        <x:v>118</x:v>
      </x:c>
      <x:c r="M237" s="281" t="s">
        <x:v>118</x:v>
      </x:c>
      <x:c r="N237" s="281" t="s">
        <x:v>118</x:v>
      </x:c>
      <x:c r="O237" s="281" t="s">
        <x:v>118</x:v>
      </x:c>
      <x:c r="P237" s="281" t="s">
        <x:v>118</x:v>
      </x:c>
      <x:c r="Q237" s="281" t="s">
        <x:v>118</x:v>
      </x:c>
      <x:c r="R237" s="281" t="s">
        <x:v>118</x:v>
      </x:c>
      <x:c r="S237" s="281" t="s">
        <x:v>118</x:v>
      </x:c>
      <x:c r="T237" s="281" t="s">
        <x:v>118</x:v>
      </x:c>
      <x:c r="U237" s="281" t="s">
        <x:v>118</x:v>
      </x:c>
      <x:c r="V237" s="281" t="s">
        <x:v>118</x:v>
      </x:c>
      <x:c r="W237" s="281" t="s">
        <x:v>118</x:v>
      </x:c>
      <x:c r="X237" s="281" t="s">
        <x:v>118</x:v>
      </x:c>
      <x:c r="Y237" s="281" t="s">
        <x:v>118</x:v>
      </x:c>
      <x:c r="Z237" s="281" t="s">
        <x:v>118</x:v>
      </x:c>
      <x:c r="AA237" s="281" t="s">
        <x:v>118</x:v>
      </x:c>
      <x:c r="AB237" s="281" t="s">
        <x:v>118</x:v>
      </x:c>
      <x:c r="AC237" s="281" t="s">
        <x:v>118</x:v>
      </x:c>
      <x:c r="AD237" s="281" t="s">
        <x:v>118</x:v>
      </x:c>
      <x:c r="AE237" s="281" t="s">
        <x:v>118</x:v>
      </x:c>
      <x:c r="AF237" s="281" t="s">
        <x:v>118</x:v>
      </x:c>
      <x:c r="AG237" s="281" t="s">
        <x:v>118</x:v>
      </x:c>
      <x:c r="AH237" s="281" t="s">
        <x:v>118</x:v>
      </x:c>
      <x:c r="AI237" s="281" t="s">
        <x:v>118</x:v>
      </x:c>
      <x:c r="AJ237" s="281" t="s">
        <x:v>118</x:v>
      </x:c>
      <x:c r="AK237" s="220">
        <x:f>COUNTIF(F237:AJ237,"X")</x:f>
      </x:c>
      <x:c r="AL237" s="221"/>
      <x:c r="AM237" s="221"/>
      <x:c r="AN237" s="222"/>
      <x:c r="AO237" s="222"/>
      <x:c r="AP237" s="228"/>
      <x:c r="AQ237" s="228"/>
      <x:c r="AR237" s="228"/>
      <x:c r="AS237" s="228"/>
      <x:c r="AT237" s="230"/>
    </x:row>
    <x:row r="238" spans="1:47" ht="15" customHeight="1">
      <x:c r="A238" s="282" t="s">
        <x:v>1622</x:v>
      </x:c>
      <x:c r="B238" s="216"/>
      <x:c r="C238" s="283" t="s">
        <x:v>1623</x:v>
      </x:c>
      <x:c r="D238" s="282" t="s">
        <x:v>1624</x:v>
      </x:c>
      <x:c r="E238" s="282" t="s">
        <x:v>1625</x:v>
      </x:c>
      <x:c r="F238" s="277" t="s">
        <x:v>118</x:v>
      </x:c>
      <x:c r="G238" s="277" t="s">
        <x:v>118</x:v>
      </x:c>
      <x:c r="H238" s="277" t="s">
        <x:v>118</x:v>
      </x:c>
      <x:c r="I238" s="277" t="s">
        <x:v>118</x:v>
      </x:c>
      <x:c r="J238" s="277" t="s">
        <x:v>118</x:v>
      </x:c>
      <x:c r="K238" s="277" t="s">
        <x:v>118</x:v>
      </x:c>
      <x:c r="L238" s="277" t="s">
        <x:v>118</x:v>
      </x:c>
      <x:c r="M238" s="277" t="s">
        <x:v>118</x:v>
      </x:c>
      <x:c r="N238" s="277" t="s">
        <x:v>118</x:v>
      </x:c>
      <x:c r="O238" s="277" t="s">
        <x:v>118</x:v>
      </x:c>
      <x:c r="P238" s="277" t="s">
        <x:v>118</x:v>
      </x:c>
      <x:c r="Q238" s="277" t="s">
        <x:v>118</x:v>
      </x:c>
      <x:c r="R238" s="277" t="s">
        <x:v>118</x:v>
      </x:c>
      <x:c r="S238" s="277" t="s">
        <x:v>118</x:v>
      </x:c>
      <x:c r="T238" s="277" t="s">
        <x:v>118</x:v>
      </x:c>
      <x:c r="U238" s="277" t="s">
        <x:v>118</x:v>
      </x:c>
      <x:c r="V238" s="277" t="s">
        <x:v>118</x:v>
      </x:c>
      <x:c r="W238" s="277" t="s">
        <x:v>118</x:v>
      </x:c>
      <x:c r="X238" s="277" t="s">
        <x:v>118</x:v>
      </x:c>
      <x:c r="Y238" s="277" t="s">
        <x:v>118</x:v>
      </x:c>
      <x:c r="Z238" s="277" t="s">
        <x:v>118</x:v>
      </x:c>
      <x:c r="AA238" s="277" t="s">
        <x:v>118</x:v>
      </x:c>
      <x:c r="AB238" s="277" t="s">
        <x:v>118</x:v>
      </x:c>
      <x:c r="AC238" s="277" t="s">
        <x:v>118</x:v>
      </x:c>
      <x:c r="AD238" s="277" t="s">
        <x:v>118</x:v>
      </x:c>
      <x:c r="AE238" s="277" t="s">
        <x:v>118</x:v>
      </x:c>
      <x:c r="AF238" s="277" t="s">
        <x:v>118</x:v>
      </x:c>
      <x:c r="AG238" s="277" t="s">
        <x:v>118</x:v>
      </x:c>
      <x:c r="AH238" s="277" t="s">
        <x:v>118</x:v>
      </x:c>
      <x:c r="AI238" s="277" t="s">
        <x:v>118</x:v>
      </x:c>
      <x:c r="AJ238" s="277" t="s">
        <x:v>118</x:v>
      </x:c>
      <x:c r="AK238" s="220">
        <x:f>COUNTIF(F238:AJ238,"X")</x:f>
      </x:c>
      <x:c r="AL238" s="221"/>
      <x:c r="AM238" s="221"/>
      <x:c r="AN238" s="222"/>
      <x:c r="AO238" s="222"/>
      <x:c r="AP238" s="228"/>
      <x:c r="AQ238" s="228"/>
      <x:c r="AR238" s="228"/>
      <x:c r="AS238" s="228"/>
      <x:c r="AT238" s="230"/>
    </x:row>
    <x:row r="239" spans="1:47" ht="15" customHeight="1">
      <x:c r="A239" s="282" t="s">
        <x:v>1626</x:v>
      </x:c>
      <x:c r="B239" s="216"/>
      <x:c r="C239" s="283" t="s">
        <x:v>1627</x:v>
      </x:c>
      <x:c r="D239" s="282" t="s">
        <x:v>1628</x:v>
      </x:c>
      <x:c r="E239" s="282" t="s">
        <x:v>1018</x:v>
      </x:c>
      <x:c r="F239" s="277" t="s">
        <x:v>118</x:v>
      </x:c>
      <x:c r="G239" s="277" t="s">
        <x:v>118</x:v>
      </x:c>
      <x:c r="H239" s="277" t="s">
        <x:v>118</x:v>
      </x:c>
      <x:c r="I239" s="277" t="s">
        <x:v>118</x:v>
      </x:c>
      <x:c r="J239" s="277" t="s">
        <x:v>118</x:v>
      </x:c>
      <x:c r="K239" s="277" t="s">
        <x:v>118</x:v>
      </x:c>
      <x:c r="L239" s="277" t="s">
        <x:v>118</x:v>
      </x:c>
      <x:c r="M239" s="277" t="s">
        <x:v>118</x:v>
      </x:c>
      <x:c r="N239" s="277" t="s">
        <x:v>118</x:v>
      </x:c>
      <x:c r="O239" s="277" t="s">
        <x:v>118</x:v>
      </x:c>
      <x:c r="P239" s="277" t="s">
        <x:v>118</x:v>
      </x:c>
      <x:c r="Q239" s="277" t="s">
        <x:v>118</x:v>
      </x:c>
      <x:c r="R239" s="277" t="s">
        <x:v>118</x:v>
      </x:c>
      <x:c r="S239" s="277" t="s">
        <x:v>118</x:v>
      </x:c>
      <x:c r="T239" s="277" t="s">
        <x:v>118</x:v>
      </x:c>
      <x:c r="U239" s="277" t="s">
        <x:v>118</x:v>
      </x:c>
      <x:c r="V239" s="277" t="s">
        <x:v>118</x:v>
      </x:c>
      <x:c r="W239" s="277" t="s">
        <x:v>118</x:v>
      </x:c>
      <x:c r="X239" s="277" t="s">
        <x:v>118</x:v>
      </x:c>
      <x:c r="Y239" s="277" t="s">
        <x:v>118</x:v>
      </x:c>
      <x:c r="Z239" s="277" t="s">
        <x:v>118</x:v>
      </x:c>
      <x:c r="AA239" s="277" t="s">
        <x:v>118</x:v>
      </x:c>
      <x:c r="AB239" s="277" t="s">
        <x:v>118</x:v>
      </x:c>
      <x:c r="AC239" s="277" t="s">
        <x:v>118</x:v>
      </x:c>
      <x:c r="AD239" s="277" t="s">
        <x:v>118</x:v>
      </x:c>
      <x:c r="AE239" s="277" t="s">
        <x:v>118</x:v>
      </x:c>
      <x:c r="AF239" s="277" t="s">
        <x:v>118</x:v>
      </x:c>
      <x:c r="AG239" s="277" t="s">
        <x:v>118</x:v>
      </x:c>
      <x:c r="AH239" s="277" t="s">
        <x:v>118</x:v>
      </x:c>
      <x:c r="AI239" s="277" t="s">
        <x:v>118</x:v>
      </x:c>
      <x:c r="AJ239" s="277" t="s">
        <x:v>118</x:v>
      </x:c>
      <x:c r="AK239" s="220">
        <x:f>COUNTIF(F239:AJ239,"X")</x:f>
      </x:c>
      <x:c r="AL239" s="221"/>
      <x:c r="AM239" s="221"/>
      <x:c r="AN239" s="222"/>
      <x:c r="AO239" s="222"/>
      <x:c r="AP239" s="228"/>
      <x:c r="AQ239" s="228"/>
      <x:c r="AR239" s="228"/>
      <x:c r="AS239" s="228"/>
      <x:c r="AT239" s="230"/>
    </x:row>
    <x:row r="240" spans="1:47" ht="15" customHeight="1">
      <x:c r="A240" s="282" t="s">
        <x:v>1629</x:v>
      </x:c>
      <x:c r="B240" s="216"/>
      <x:c r="C240" s="283" t="s">
        <x:v>1630</x:v>
      </x:c>
      <x:c r="D240" s="282" t="s">
        <x:v>1631</x:v>
      </x:c>
      <x:c r="E240" s="282" t="s">
        <x:v>1632</x:v>
      </x:c>
      <x:c r="F240" s="281" t="s">
        <x:v>118</x:v>
      </x:c>
      <x:c r="G240" s="281" t="s">
        <x:v>118</x:v>
      </x:c>
      <x:c r="H240" s="281" t="s">
        <x:v>118</x:v>
      </x:c>
      <x:c r="I240" s="281" t="s">
        <x:v>118</x:v>
      </x:c>
      <x:c r="J240" s="281" t="s">
        <x:v>118</x:v>
      </x:c>
      <x:c r="K240" s="281" t="s">
        <x:v>118</x:v>
      </x:c>
      <x:c r="L240" s="281" t="s">
        <x:v>118</x:v>
      </x:c>
      <x:c r="M240" s="281" t="s">
        <x:v>118</x:v>
      </x:c>
      <x:c r="N240" s="281" t="s">
        <x:v>118</x:v>
      </x:c>
      <x:c r="O240" s="281" t="s">
        <x:v>118</x:v>
      </x:c>
      <x:c r="P240" s="281" t="s">
        <x:v>118</x:v>
      </x:c>
      <x:c r="Q240" s="281" t="s">
        <x:v>118</x:v>
      </x:c>
      <x:c r="R240" s="281" t="s">
        <x:v>118</x:v>
      </x:c>
      <x:c r="S240" s="281" t="s">
        <x:v>118</x:v>
      </x:c>
      <x:c r="T240" s="281" t="s">
        <x:v>118</x:v>
      </x:c>
      <x:c r="U240" s="281" t="s">
        <x:v>118</x:v>
      </x:c>
      <x:c r="V240" s="281" t="s">
        <x:v>118</x:v>
      </x:c>
      <x:c r="W240" s="281" t="s">
        <x:v>118</x:v>
      </x:c>
      <x:c r="X240" s="281" t="s">
        <x:v>118</x:v>
      </x:c>
      <x:c r="Y240" s="281" t="s">
        <x:v>118</x:v>
      </x:c>
      <x:c r="Z240" s="281" t="s">
        <x:v>118</x:v>
      </x:c>
      <x:c r="AA240" s="281" t="s">
        <x:v>118</x:v>
      </x:c>
      <x:c r="AB240" s="281" t="s">
        <x:v>118</x:v>
      </x:c>
      <x:c r="AC240" s="281" t="s">
        <x:v>118</x:v>
      </x:c>
      <x:c r="AD240" s="281" t="s">
        <x:v>118</x:v>
      </x:c>
      <x:c r="AE240" s="281" t="s">
        <x:v>118</x:v>
      </x:c>
      <x:c r="AF240" s="281" t="s">
        <x:v>118</x:v>
      </x:c>
      <x:c r="AG240" s="281" t="s">
        <x:v>118</x:v>
      </x:c>
      <x:c r="AH240" s="281" t="s">
        <x:v>118</x:v>
      </x:c>
      <x:c r="AI240" s="281" t="s">
        <x:v>118</x:v>
      </x:c>
      <x:c r="AJ240" s="281" t="s">
        <x:v>118</x:v>
      </x:c>
      <x:c r="AK240" s="220">
        <x:f>COUNTIF(F240:AJ240,"X")</x:f>
      </x:c>
      <x:c r="AL240" s="221"/>
      <x:c r="AM240" s="221"/>
      <x:c r="AN240" s="222"/>
      <x:c r="AO240" s="222"/>
      <x:c r="AP240" s="228"/>
      <x:c r="AQ240" s="228"/>
      <x:c r="AR240" s="228"/>
      <x:c r="AS240" s="228"/>
      <x:c r="AT240" s="233"/>
    </x:row>
    <x:row r="241" spans="1:47" ht="15" customHeight="1">
      <x:c r="A241" s="282" t="s">
        <x:v>1633</x:v>
      </x:c>
      <x:c r="B241" s="216"/>
      <x:c r="C241" s="283" t="s">
        <x:v>1634</x:v>
      </x:c>
      <x:c r="D241" s="282" t="s">
        <x:v>1635</x:v>
      </x:c>
      <x:c r="E241" s="282" t="s">
        <x:v>1415</x:v>
      </x:c>
      <x:c r="F241" s="277" t="s">
        <x:v>118</x:v>
      </x:c>
      <x:c r="G241" s="277" t="s">
        <x:v>118</x:v>
      </x:c>
      <x:c r="H241" s="277" t="s">
        <x:v>118</x:v>
      </x:c>
      <x:c r="I241" s="277" t="s">
        <x:v>118</x:v>
      </x:c>
      <x:c r="J241" s="277" t="s">
        <x:v>118</x:v>
      </x:c>
      <x:c r="K241" s="277" t="s">
        <x:v>118</x:v>
      </x:c>
      <x:c r="L241" s="277" t="s">
        <x:v>118</x:v>
      </x:c>
      <x:c r="M241" s="277" t="s">
        <x:v>118</x:v>
      </x:c>
      <x:c r="N241" s="277" t="s">
        <x:v>118</x:v>
      </x:c>
      <x:c r="O241" s="277" t="s">
        <x:v>118</x:v>
      </x:c>
      <x:c r="P241" s="277" t="s">
        <x:v>118</x:v>
      </x:c>
      <x:c r="Q241" s="277" t="s">
        <x:v>118</x:v>
      </x:c>
      <x:c r="R241" s="277" t="s">
        <x:v>118</x:v>
      </x:c>
      <x:c r="S241" s="277" t="s">
        <x:v>118</x:v>
      </x:c>
      <x:c r="T241" s="277" t="s">
        <x:v>118</x:v>
      </x:c>
      <x:c r="U241" s="277" t="s">
        <x:v>118</x:v>
      </x:c>
      <x:c r="V241" s="277" t="s">
        <x:v>118</x:v>
      </x:c>
      <x:c r="W241" s="277" t="s">
        <x:v>118</x:v>
      </x:c>
      <x:c r="X241" s="277" t="s">
        <x:v>118</x:v>
      </x:c>
      <x:c r="Y241" s="277" t="s">
        <x:v>118</x:v>
      </x:c>
      <x:c r="Z241" s="277" t="s">
        <x:v>118</x:v>
      </x:c>
      <x:c r="AA241" s="277" t="s">
        <x:v>118</x:v>
      </x:c>
      <x:c r="AB241" s="277" t="s">
        <x:v>118</x:v>
      </x:c>
      <x:c r="AC241" s="277" t="s">
        <x:v>118</x:v>
      </x:c>
      <x:c r="AD241" s="277" t="s">
        <x:v>118</x:v>
      </x:c>
      <x:c r="AE241" s="277" t="s">
        <x:v>118</x:v>
      </x:c>
      <x:c r="AF241" s="277" t="s">
        <x:v>118</x:v>
      </x:c>
      <x:c r="AG241" s="277" t="s">
        <x:v>118</x:v>
      </x:c>
      <x:c r="AH241" s="277" t="s">
        <x:v>118</x:v>
      </x:c>
      <x:c r="AI241" s="277" t="s">
        <x:v>118</x:v>
      </x:c>
      <x:c r="AJ241" s="277" t="s">
        <x:v>118</x:v>
      </x:c>
      <x:c r="AK241" s="220">
        <x:f>COUNTIF(F241:AJ241,"X")</x:f>
      </x:c>
      <x:c r="AL241" s="221"/>
      <x:c r="AM241" s="221"/>
      <x:c r="AN241" s="222"/>
      <x:c r="AO241" s="222"/>
      <x:c r="AP241" s="228"/>
      <x:c r="AQ241" s="228"/>
      <x:c r="AR241" s="228"/>
      <x:c r="AS241" s="228"/>
      <x:c r="AT241" s="230"/>
    </x:row>
    <x:row r="242" spans="1:47" ht="15" customHeight="1">
      <x:c r="A242" s="282" t="s">
        <x:v>1636</x:v>
      </x:c>
      <x:c r="B242" s="216"/>
      <x:c r="C242" s="283" t="s">
        <x:v>1637</x:v>
      </x:c>
      <x:c r="D242" s="282" t="s">
        <x:v>1638</x:v>
      </x:c>
      <x:c r="E242" s="282" t="s">
        <x:v>1639</x:v>
      </x:c>
      <x:c r="F242" s="281" t="s">
        <x:v>118</x:v>
      </x:c>
      <x:c r="G242" s="281" t="s">
        <x:v>118</x:v>
      </x:c>
      <x:c r="H242" s="281" t="s">
        <x:v>118</x:v>
      </x:c>
      <x:c r="I242" s="281" t="s">
        <x:v>118</x:v>
      </x:c>
      <x:c r="J242" s="281" t="s">
        <x:v>118</x:v>
      </x:c>
      <x:c r="K242" s="281" t="s">
        <x:v>118</x:v>
      </x:c>
      <x:c r="L242" s="281" t="s">
        <x:v>118</x:v>
      </x:c>
      <x:c r="M242" s="281" t="s">
        <x:v>118</x:v>
      </x:c>
      <x:c r="N242" s="281" t="s">
        <x:v>118</x:v>
      </x:c>
      <x:c r="O242" s="281" t="s">
        <x:v>118</x:v>
      </x:c>
      <x:c r="P242" s="281" t="s">
        <x:v>118</x:v>
      </x:c>
      <x:c r="Q242" s="281" t="s">
        <x:v>118</x:v>
      </x:c>
      <x:c r="R242" s="281" t="s">
        <x:v>118</x:v>
      </x:c>
      <x:c r="S242" s="281" t="s">
        <x:v>118</x:v>
      </x:c>
      <x:c r="T242" s="281" t="s">
        <x:v>118</x:v>
      </x:c>
      <x:c r="U242" s="281" t="s">
        <x:v>118</x:v>
      </x:c>
      <x:c r="V242" s="281" t="s">
        <x:v>118</x:v>
      </x:c>
      <x:c r="W242" s="281" t="s">
        <x:v>118</x:v>
      </x:c>
      <x:c r="X242" s="281" t="s">
        <x:v>118</x:v>
      </x:c>
      <x:c r="Y242" s="281" t="s">
        <x:v>118</x:v>
      </x:c>
      <x:c r="Z242" s="281" t="s">
        <x:v>118</x:v>
      </x:c>
      <x:c r="AA242" s="281" t="s">
        <x:v>118</x:v>
      </x:c>
      <x:c r="AB242" s="281" t="s">
        <x:v>118</x:v>
      </x:c>
      <x:c r="AC242" s="281" t="s">
        <x:v>118</x:v>
      </x:c>
      <x:c r="AD242" s="281" t="s">
        <x:v>118</x:v>
      </x:c>
      <x:c r="AE242" s="281" t="s">
        <x:v>118</x:v>
      </x:c>
      <x:c r="AF242" s="281" t="s">
        <x:v>118</x:v>
      </x:c>
      <x:c r="AG242" s="281" t="s">
        <x:v>118</x:v>
      </x:c>
      <x:c r="AH242" s="281" t="s">
        <x:v>118</x:v>
      </x:c>
      <x:c r="AI242" s="281" t="s">
        <x:v>118</x:v>
      </x:c>
      <x:c r="AJ242" s="281" t="s">
        <x:v>118</x:v>
      </x:c>
      <x:c r="AK242" s="220">
        <x:f>COUNTIF(F242:AJ242,"X")</x:f>
      </x:c>
      <x:c r="AL242" s="221"/>
      <x:c r="AM242" s="221"/>
      <x:c r="AN242" s="222"/>
      <x:c r="AO242" s="222"/>
      <x:c r="AP242" s="228"/>
      <x:c r="AQ242" s="228"/>
      <x:c r="AR242" s="228"/>
      <x:c r="AS242" s="228"/>
      <x:c r="AT242" s="230"/>
    </x:row>
    <x:row r="243" spans="1:47" ht="15" customHeight="1">
      <x:c r="A243" s="282" t="s">
        <x:v>1640</x:v>
      </x:c>
      <x:c r="B243" s="216"/>
      <x:c r="C243" s="283" t="s">
        <x:v>1641</x:v>
      </x:c>
      <x:c r="D243" s="282" t="s">
        <x:v>1642</x:v>
      </x:c>
      <x:c r="E243" s="282" t="s">
        <x:v>1643</x:v>
      </x:c>
      <x:c r="F243" s="277" t="s">
        <x:v>118</x:v>
      </x:c>
      <x:c r="G243" s="277" t="s">
        <x:v>118</x:v>
      </x:c>
      <x:c r="H243" s="277" t="s">
        <x:v>118</x:v>
      </x:c>
      <x:c r="I243" s="277" t="s">
        <x:v>118</x:v>
      </x:c>
      <x:c r="J243" s="277" t="s">
        <x:v>118</x:v>
      </x:c>
      <x:c r="K243" s="277" t="s">
        <x:v>118</x:v>
      </x:c>
      <x:c r="L243" s="277" t="s">
        <x:v>118</x:v>
      </x:c>
      <x:c r="M243" s="277" t="s">
        <x:v>118</x:v>
      </x:c>
      <x:c r="N243" s="277" t="s">
        <x:v>118</x:v>
      </x:c>
      <x:c r="O243" s="277" t="s">
        <x:v>118</x:v>
      </x:c>
      <x:c r="P243" s="277" t="s">
        <x:v>118</x:v>
      </x:c>
      <x:c r="Q243" s="277" t="s">
        <x:v>118</x:v>
      </x:c>
      <x:c r="R243" s="277" t="s">
        <x:v>118</x:v>
      </x:c>
      <x:c r="S243" s="277" t="s">
        <x:v>118</x:v>
      </x:c>
      <x:c r="T243" s="277" t="s">
        <x:v>118</x:v>
      </x:c>
      <x:c r="U243" s="277" t="s">
        <x:v>118</x:v>
      </x:c>
      <x:c r="V243" s="277" t="s">
        <x:v>118</x:v>
      </x:c>
      <x:c r="W243" s="277" t="s">
        <x:v>118</x:v>
      </x:c>
      <x:c r="X243" s="277" t="s">
        <x:v>118</x:v>
      </x:c>
      <x:c r="Y243" s="277" t="s">
        <x:v>118</x:v>
      </x:c>
      <x:c r="Z243" s="277" t="s">
        <x:v>118</x:v>
      </x:c>
      <x:c r="AA243" s="277" t="s">
        <x:v>118</x:v>
      </x:c>
      <x:c r="AB243" s="277" t="s">
        <x:v>118</x:v>
      </x:c>
      <x:c r="AC243" s="277" t="s">
        <x:v>118</x:v>
      </x:c>
      <x:c r="AD243" s="277" t="s">
        <x:v>118</x:v>
      </x:c>
      <x:c r="AE243" s="277" t="s">
        <x:v>118</x:v>
      </x:c>
      <x:c r="AF243" s="277" t="s">
        <x:v>118</x:v>
      </x:c>
      <x:c r="AG243" s="277" t="s">
        <x:v>118</x:v>
      </x:c>
      <x:c r="AH243" s="277" t="s">
        <x:v>118</x:v>
      </x:c>
      <x:c r="AI243" s="277" t="s">
        <x:v>118</x:v>
      </x:c>
      <x:c r="AJ243" s="277" t="s">
        <x:v>118</x:v>
      </x:c>
      <x:c r="AK243" s="220">
        <x:f>COUNTIF(F243:AJ243,"X")</x:f>
      </x:c>
      <x:c r="AL243" s="221"/>
      <x:c r="AM243" s="221"/>
      <x:c r="AN243" s="222"/>
      <x:c r="AO243" s="222"/>
      <x:c r="AP243" s="228"/>
      <x:c r="AQ243" s="228"/>
      <x:c r="AR243" s="228"/>
      <x:c r="AS243" s="228"/>
      <x:c r="AT243" s="230"/>
    </x:row>
    <x:row r="244" spans="1:47" ht="15" customHeight="1">
      <x:c r="A244" s="282" t="s">
        <x:v>1644</x:v>
      </x:c>
      <x:c r="B244" s="216"/>
      <x:c r="C244" s="283" t="s">
        <x:v>1645</x:v>
      </x:c>
      <x:c r="D244" s="282" t="s">
        <x:v>1646</x:v>
      </x:c>
      <x:c r="E244" s="282" t="s">
        <x:v>147</x:v>
      </x:c>
      <x:c r="F244" s="281" t="s">
        <x:v>118</x:v>
      </x:c>
      <x:c r="G244" s="281" t="s">
        <x:v>118</x:v>
      </x:c>
      <x:c r="H244" s="281" t="s">
        <x:v>118</x:v>
      </x:c>
      <x:c r="I244" s="281" t="s">
        <x:v>118</x:v>
      </x:c>
      <x:c r="J244" s="281" t="s">
        <x:v>118</x:v>
      </x:c>
      <x:c r="K244" s="281" t="s">
        <x:v>118</x:v>
      </x:c>
      <x:c r="L244" s="281" t="s">
        <x:v>118</x:v>
      </x:c>
      <x:c r="M244" s="281" t="s">
        <x:v>118</x:v>
      </x:c>
      <x:c r="N244" s="281" t="s">
        <x:v>118</x:v>
      </x:c>
      <x:c r="O244" s="281" t="s">
        <x:v>118</x:v>
      </x:c>
      <x:c r="P244" s="281" t="s">
        <x:v>118</x:v>
      </x:c>
      <x:c r="Q244" s="281" t="s">
        <x:v>118</x:v>
      </x:c>
      <x:c r="R244" s="281" t="s">
        <x:v>118</x:v>
      </x:c>
      <x:c r="S244" s="281" t="s">
        <x:v>118</x:v>
      </x:c>
      <x:c r="T244" s="281" t="s">
        <x:v>118</x:v>
      </x:c>
      <x:c r="U244" s="281" t="s">
        <x:v>118</x:v>
      </x:c>
      <x:c r="V244" s="281" t="s">
        <x:v>118</x:v>
      </x:c>
      <x:c r="W244" s="281" t="s">
        <x:v>118</x:v>
      </x:c>
      <x:c r="X244" s="281" t="s">
        <x:v>118</x:v>
      </x:c>
      <x:c r="Y244" s="281" t="s">
        <x:v>118</x:v>
      </x:c>
      <x:c r="Z244" s="281" t="s">
        <x:v>118</x:v>
      </x:c>
      <x:c r="AA244" s="281" t="s">
        <x:v>118</x:v>
      </x:c>
      <x:c r="AB244" s="281" t="s">
        <x:v>118</x:v>
      </x:c>
      <x:c r="AC244" s="281" t="s">
        <x:v>118</x:v>
      </x:c>
      <x:c r="AD244" s="281" t="s">
        <x:v>118</x:v>
      </x:c>
      <x:c r="AE244" s="281" t="s">
        <x:v>118</x:v>
      </x:c>
      <x:c r="AF244" s="281" t="s">
        <x:v>118</x:v>
      </x:c>
      <x:c r="AG244" s="281" t="s">
        <x:v>118</x:v>
      </x:c>
      <x:c r="AH244" s="281" t="s">
        <x:v>118</x:v>
      </x:c>
      <x:c r="AI244" s="281" t="s">
        <x:v>118</x:v>
      </x:c>
      <x:c r="AJ244" s="281" t="s">
        <x:v>118</x:v>
      </x:c>
      <x:c r="AK244" s="220">
        <x:f>COUNTIF(F244:AJ244,"X")</x:f>
      </x:c>
      <x:c r="AL244" s="221"/>
      <x:c r="AM244" s="221"/>
      <x:c r="AN244" s="222"/>
      <x:c r="AO244" s="222"/>
      <x:c r="AP244" s="228"/>
      <x:c r="AQ244" s="228"/>
      <x:c r="AR244" s="228"/>
      <x:c r="AS244" s="228"/>
      <x:c r="AT244" s="230"/>
    </x:row>
    <x:row r="245" spans="1:47" ht="15" customHeight="1">
      <x:c r="A245" s="282" t="s">
        <x:v>1647</x:v>
      </x:c>
      <x:c r="B245" s="216"/>
      <x:c r="C245" s="283" t="s">
        <x:v>1648</x:v>
      </x:c>
      <x:c r="D245" s="282" t="s">
        <x:v>773</x:v>
      </x:c>
      <x:c r="E245" s="282" t="s">
        <x:v>1649</x:v>
      </x:c>
      <x:c r="F245" s="277" t="s">
        <x:v>118</x:v>
      </x:c>
      <x:c r="G245" s="277" t="s">
        <x:v>118</x:v>
      </x:c>
      <x:c r="H245" s="277" t="s">
        <x:v>118</x:v>
      </x:c>
      <x:c r="I245" s="277" t="s">
        <x:v>118</x:v>
      </x:c>
      <x:c r="J245" s="277" t="s">
        <x:v>118</x:v>
      </x:c>
      <x:c r="K245" s="277" t="s">
        <x:v>118</x:v>
      </x:c>
      <x:c r="L245" s="277" t="s">
        <x:v>118</x:v>
      </x:c>
      <x:c r="M245" s="277" t="s">
        <x:v>118</x:v>
      </x:c>
      <x:c r="N245" s="277" t="s">
        <x:v>118</x:v>
      </x:c>
      <x:c r="O245" s="277" t="s">
        <x:v>118</x:v>
      </x:c>
      <x:c r="P245" s="277" t="s">
        <x:v>118</x:v>
      </x:c>
      <x:c r="Q245" s="277" t="s">
        <x:v>118</x:v>
      </x:c>
      <x:c r="R245" s="277" t="s">
        <x:v>118</x:v>
      </x:c>
      <x:c r="S245" s="277" t="s">
        <x:v>118</x:v>
      </x:c>
      <x:c r="T245" s="277" t="s">
        <x:v>118</x:v>
      </x:c>
      <x:c r="U245" s="277" t="s">
        <x:v>118</x:v>
      </x:c>
      <x:c r="V245" s="277" t="s">
        <x:v>118</x:v>
      </x:c>
      <x:c r="W245" s="277" t="s">
        <x:v>118</x:v>
      </x:c>
      <x:c r="X245" s="277" t="s">
        <x:v>118</x:v>
      </x:c>
      <x:c r="Y245" s="277" t="s">
        <x:v>118</x:v>
      </x:c>
      <x:c r="Z245" s="277" t="s">
        <x:v>118</x:v>
      </x:c>
      <x:c r="AA245" s="277" t="s">
        <x:v>118</x:v>
      </x:c>
      <x:c r="AB245" s="277" t="s">
        <x:v>118</x:v>
      </x:c>
      <x:c r="AC245" s="277" t="s">
        <x:v>118</x:v>
      </x:c>
      <x:c r="AD245" s="277" t="s">
        <x:v>118</x:v>
      </x:c>
      <x:c r="AE245" s="277" t="s">
        <x:v>118</x:v>
      </x:c>
      <x:c r="AF245" s="277" t="s">
        <x:v>118</x:v>
      </x:c>
      <x:c r="AG245" s="277" t="s">
        <x:v>118</x:v>
      </x:c>
      <x:c r="AH245" s="277" t="s">
        <x:v>118</x:v>
      </x:c>
      <x:c r="AI245" s="277" t="s">
        <x:v>118</x:v>
      </x:c>
      <x:c r="AJ245" s="277" t="s">
        <x:v>118</x:v>
      </x:c>
      <x:c r="AK245" s="220">
        <x:f>COUNTIF(F245:AJ245,"X")</x:f>
      </x:c>
      <x:c r="AL245" s="221"/>
      <x:c r="AM245" s="221"/>
      <x:c r="AN245" s="222"/>
      <x:c r="AO245" s="222"/>
      <x:c r="AP245" s="228"/>
      <x:c r="AQ245" s="228"/>
      <x:c r="AR245" s="228"/>
      <x:c r="AS245" s="228"/>
      <x:c r="AT245" s="230"/>
    </x:row>
    <x:row r="246" spans="1:47" ht="15" customHeight="1">
      <x:c r="A246" s="282" t="s">
        <x:v>1650</x:v>
      </x:c>
      <x:c r="B246" s="216"/>
      <x:c r="C246" s="283" t="s">
        <x:v>1651</x:v>
      </x:c>
      <x:c r="D246" s="282" t="s">
        <x:v>1652</x:v>
      </x:c>
      <x:c r="E246" s="282" t="s">
        <x:v>1653</x:v>
      </x:c>
      <x:c r="F246" s="281" t="s">
        <x:v>118</x:v>
      </x:c>
      <x:c r="G246" s="281" t="s">
        <x:v>118</x:v>
      </x:c>
      <x:c r="H246" s="281" t="s">
        <x:v>118</x:v>
      </x:c>
      <x:c r="I246" s="281" t="s">
        <x:v>118</x:v>
      </x:c>
      <x:c r="J246" s="281" t="s">
        <x:v>118</x:v>
      </x:c>
      <x:c r="K246" s="281" t="s">
        <x:v>118</x:v>
      </x:c>
      <x:c r="L246" s="281" t="s">
        <x:v>118</x:v>
      </x:c>
      <x:c r="M246" s="281" t="s">
        <x:v>118</x:v>
      </x:c>
      <x:c r="N246" s="281" t="s">
        <x:v>118</x:v>
      </x:c>
      <x:c r="O246" s="281" t="s">
        <x:v>118</x:v>
      </x:c>
      <x:c r="P246" s="281" t="s">
        <x:v>118</x:v>
      </x:c>
      <x:c r="Q246" s="281" t="s">
        <x:v>118</x:v>
      </x:c>
      <x:c r="R246" s="281" t="s">
        <x:v>118</x:v>
      </x:c>
      <x:c r="S246" s="281" t="s">
        <x:v>118</x:v>
      </x:c>
      <x:c r="T246" s="281" t="s">
        <x:v>118</x:v>
      </x:c>
      <x:c r="U246" s="281" t="s">
        <x:v>118</x:v>
      </x:c>
      <x:c r="V246" s="281" t="s">
        <x:v>118</x:v>
      </x:c>
      <x:c r="W246" s="281" t="s">
        <x:v>118</x:v>
      </x:c>
      <x:c r="X246" s="281" t="s">
        <x:v>118</x:v>
      </x:c>
      <x:c r="Y246" s="281" t="s">
        <x:v>118</x:v>
      </x:c>
      <x:c r="Z246" s="281" t="s">
        <x:v>118</x:v>
      </x:c>
      <x:c r="AA246" s="281" t="s">
        <x:v>118</x:v>
      </x:c>
      <x:c r="AB246" s="281" t="s">
        <x:v>118</x:v>
      </x:c>
      <x:c r="AC246" s="281" t="s">
        <x:v>118</x:v>
      </x:c>
      <x:c r="AD246" s="281" t="s">
        <x:v>118</x:v>
      </x:c>
      <x:c r="AE246" s="281" t="s">
        <x:v>118</x:v>
      </x:c>
      <x:c r="AF246" s="281" t="s">
        <x:v>118</x:v>
      </x:c>
      <x:c r="AG246" s="281" t="s">
        <x:v>118</x:v>
      </x:c>
      <x:c r="AH246" s="281" t="s">
        <x:v>118</x:v>
      </x:c>
      <x:c r="AI246" s="281" t="s">
        <x:v>118</x:v>
      </x:c>
      <x:c r="AJ246" s="281" t="s">
        <x:v>118</x:v>
      </x:c>
      <x:c r="AK246" s="220">
        <x:f>COUNTIF(F246:AJ246,"X")</x:f>
      </x:c>
      <x:c r="AL246" s="221"/>
      <x:c r="AM246" s="221"/>
      <x:c r="AN246" s="222"/>
      <x:c r="AO246" s="222"/>
      <x:c r="AP246" s="228"/>
      <x:c r="AQ246" s="228"/>
      <x:c r="AR246" s="228"/>
      <x:c r="AS246" s="228"/>
      <x:c r="AT246" s="230"/>
    </x:row>
    <x:row r="247" spans="1:47" ht="15" customHeight="1">
      <x:c r="A247" s="282" t="s">
        <x:v>1654</x:v>
      </x:c>
      <x:c r="B247" s="216"/>
      <x:c r="C247" s="283" t="s">
        <x:v>1655</x:v>
      </x:c>
      <x:c r="D247" s="282" t="s">
        <x:v>1656</x:v>
      </x:c>
      <x:c r="E247" s="282" t="s">
        <x:v>1657</x:v>
      </x:c>
      <x:c r="F247" s="281" t="s">
        <x:v>118</x:v>
      </x:c>
      <x:c r="G247" s="281" t="s">
        <x:v>118</x:v>
      </x:c>
      <x:c r="H247" s="281" t="s">
        <x:v>118</x:v>
      </x:c>
      <x:c r="I247" s="281" t="s">
        <x:v>118</x:v>
      </x:c>
      <x:c r="J247" s="281" t="s">
        <x:v>118</x:v>
      </x:c>
      <x:c r="K247" s="281" t="s">
        <x:v>118</x:v>
      </x:c>
      <x:c r="L247" s="281" t="s">
        <x:v>118</x:v>
      </x:c>
      <x:c r="M247" s="281" t="s">
        <x:v>118</x:v>
      </x:c>
      <x:c r="N247" s="281" t="s">
        <x:v>118</x:v>
      </x:c>
      <x:c r="O247" s="281" t="s">
        <x:v>118</x:v>
      </x:c>
      <x:c r="P247" s="281" t="s">
        <x:v>118</x:v>
      </x:c>
      <x:c r="Q247" s="281" t="s">
        <x:v>118</x:v>
      </x:c>
      <x:c r="R247" s="281" t="s">
        <x:v>118</x:v>
      </x:c>
      <x:c r="S247" s="281" t="s">
        <x:v>118</x:v>
      </x:c>
      <x:c r="T247" s="281" t="s">
        <x:v>118</x:v>
      </x:c>
      <x:c r="U247" s="281" t="s">
        <x:v>118</x:v>
      </x:c>
      <x:c r="V247" s="281" t="s">
        <x:v>118</x:v>
      </x:c>
      <x:c r="W247" s="281" t="s">
        <x:v>118</x:v>
      </x:c>
      <x:c r="X247" s="281" t="s">
        <x:v>118</x:v>
      </x:c>
      <x:c r="Y247" s="281" t="s">
        <x:v>118</x:v>
      </x:c>
      <x:c r="Z247" s="281" t="s">
        <x:v>118</x:v>
      </x:c>
      <x:c r="AA247" s="281" t="s">
        <x:v>118</x:v>
      </x:c>
      <x:c r="AB247" s="281" t="s">
        <x:v>118</x:v>
      </x:c>
      <x:c r="AC247" s="281" t="s">
        <x:v>118</x:v>
      </x:c>
      <x:c r="AD247" s="281" t="s">
        <x:v>118</x:v>
      </x:c>
      <x:c r="AE247" s="281" t="s">
        <x:v>118</x:v>
      </x:c>
      <x:c r="AF247" s="281" t="s">
        <x:v>118</x:v>
      </x:c>
      <x:c r="AG247" s="281" t="s">
        <x:v>118</x:v>
      </x:c>
      <x:c r="AH247" s="281" t="s">
        <x:v>118</x:v>
      </x:c>
      <x:c r="AI247" s="281" t="s">
        <x:v>118</x:v>
      </x:c>
      <x:c r="AJ247" s="281" t="s">
        <x:v>118</x:v>
      </x:c>
      <x:c r="AK247" s="220">
        <x:f>COUNTIF(F247:AJ247,"X")</x:f>
      </x:c>
      <x:c r="AL247" s="221"/>
      <x:c r="AM247" s="221"/>
      <x:c r="AN247" s="222"/>
      <x:c r="AO247" s="222"/>
      <x:c r="AP247" s="228"/>
      <x:c r="AQ247" s="228"/>
      <x:c r="AR247" s="228"/>
      <x:c r="AS247" s="228"/>
      <x:c r="AT247" s="230"/>
    </x:row>
    <x:row r="248" spans="1:47" ht="15" customHeight="1">
      <x:c r="A248" s="282" t="s">
        <x:v>1658</x:v>
      </x:c>
      <x:c r="B248" s="216"/>
      <x:c r="C248" s="283" t="s">
        <x:v>1659</x:v>
      </x:c>
      <x:c r="D248" s="282" t="s">
        <x:v>1656</x:v>
      </x:c>
      <x:c r="E248" s="282" t="s">
        <x:v>1249</x:v>
      </x:c>
      <x:c r="F248" s="281" t="s">
        <x:v>118</x:v>
      </x:c>
      <x:c r="G248" s="281" t="s">
        <x:v>118</x:v>
      </x:c>
      <x:c r="H248" s="281" t="s">
        <x:v>118</x:v>
      </x:c>
      <x:c r="I248" s="281" t="s">
        <x:v>118</x:v>
      </x:c>
      <x:c r="J248" s="281" t="s">
        <x:v>118</x:v>
      </x:c>
      <x:c r="K248" s="281" t="s">
        <x:v>118</x:v>
      </x:c>
      <x:c r="L248" s="281" t="s">
        <x:v>118</x:v>
      </x:c>
      <x:c r="M248" s="281" t="s">
        <x:v>118</x:v>
      </x:c>
      <x:c r="N248" s="281" t="s">
        <x:v>118</x:v>
      </x:c>
      <x:c r="O248" s="281" t="s">
        <x:v>118</x:v>
      </x:c>
      <x:c r="P248" s="281" t="s">
        <x:v>118</x:v>
      </x:c>
      <x:c r="Q248" s="281" t="s">
        <x:v>118</x:v>
      </x:c>
      <x:c r="R248" s="281" t="s">
        <x:v>118</x:v>
      </x:c>
      <x:c r="S248" s="281" t="s">
        <x:v>118</x:v>
      </x:c>
      <x:c r="T248" s="281" t="s">
        <x:v>118</x:v>
      </x:c>
      <x:c r="U248" s="281" t="s">
        <x:v>118</x:v>
      </x:c>
      <x:c r="V248" s="281" t="s">
        <x:v>118</x:v>
      </x:c>
      <x:c r="W248" s="281" t="s">
        <x:v>118</x:v>
      </x:c>
      <x:c r="X248" s="281" t="s">
        <x:v>118</x:v>
      </x:c>
      <x:c r="Y248" s="281" t="s">
        <x:v>118</x:v>
      </x:c>
      <x:c r="Z248" s="281" t="s">
        <x:v>118</x:v>
      </x:c>
      <x:c r="AA248" s="281" t="s">
        <x:v>118</x:v>
      </x:c>
      <x:c r="AB248" s="281" t="s">
        <x:v>118</x:v>
      </x:c>
      <x:c r="AC248" s="281" t="s">
        <x:v>118</x:v>
      </x:c>
      <x:c r="AD248" s="281" t="s">
        <x:v>118</x:v>
      </x:c>
      <x:c r="AE248" s="281" t="s">
        <x:v>118</x:v>
      </x:c>
      <x:c r="AF248" s="281" t="s">
        <x:v>118</x:v>
      </x:c>
      <x:c r="AG248" s="281" t="s">
        <x:v>118</x:v>
      </x:c>
      <x:c r="AH248" s="281" t="s">
        <x:v>118</x:v>
      </x:c>
      <x:c r="AI248" s="281" t="s">
        <x:v>118</x:v>
      </x:c>
      <x:c r="AJ248" s="281" t="s">
        <x:v>118</x:v>
      </x:c>
      <x:c r="AK248" s="220">
        <x:f>COUNTIF(F248:AJ248,"X")</x:f>
      </x:c>
      <x:c r="AL248" s="221"/>
      <x:c r="AM248" s="221"/>
      <x:c r="AN248" s="222"/>
      <x:c r="AO248" s="222"/>
      <x:c r="AP248" s="228"/>
      <x:c r="AQ248" s="228"/>
      <x:c r="AR248" s="228"/>
      <x:c r="AS248" s="228"/>
      <x:c r="AT248" s="230"/>
    </x:row>
    <x:row r="249" spans="1:47" ht="15" customHeight="1">
      <x:c r="A249" s="282" t="s">
        <x:v>1660</x:v>
      </x:c>
      <x:c r="B249" s="216"/>
      <x:c r="C249" s="283" t="s">
        <x:v>1661</x:v>
      </x:c>
      <x:c r="D249" s="282" t="s">
        <x:v>1662</x:v>
      </x:c>
      <x:c r="E249" s="282" t="s">
        <x:v>1663</x:v>
      </x:c>
      <x:c r="F249" s="277" t="s">
        <x:v>118</x:v>
      </x:c>
      <x:c r="G249" s="277" t="s">
        <x:v>118</x:v>
      </x:c>
      <x:c r="H249" s="277" t="s">
        <x:v>118</x:v>
      </x:c>
      <x:c r="I249" s="277" t="s">
        <x:v>118</x:v>
      </x:c>
      <x:c r="J249" s="277" t="s">
        <x:v>118</x:v>
      </x:c>
      <x:c r="K249" s="277" t="s">
        <x:v>118</x:v>
      </x:c>
      <x:c r="L249" s="277" t="s">
        <x:v>118</x:v>
      </x:c>
      <x:c r="M249" s="277" t="s">
        <x:v>118</x:v>
      </x:c>
      <x:c r="N249" s="277" t="s">
        <x:v>118</x:v>
      </x:c>
      <x:c r="O249" s="277" t="s">
        <x:v>118</x:v>
      </x:c>
      <x:c r="P249" s="277" t="s">
        <x:v>118</x:v>
      </x:c>
      <x:c r="Q249" s="277" t="s">
        <x:v>118</x:v>
      </x:c>
      <x:c r="R249" s="277" t="s">
        <x:v>118</x:v>
      </x:c>
      <x:c r="S249" s="277" t="s">
        <x:v>118</x:v>
      </x:c>
      <x:c r="T249" s="277" t="s">
        <x:v>118</x:v>
      </x:c>
      <x:c r="U249" s="277" t="s">
        <x:v>118</x:v>
      </x:c>
      <x:c r="V249" s="277" t="s">
        <x:v>118</x:v>
      </x:c>
      <x:c r="W249" s="277" t="s">
        <x:v>118</x:v>
      </x:c>
      <x:c r="X249" s="277" t="s">
        <x:v>118</x:v>
      </x:c>
      <x:c r="Y249" s="277" t="s">
        <x:v>118</x:v>
      </x:c>
      <x:c r="Z249" s="277" t="s">
        <x:v>118</x:v>
      </x:c>
      <x:c r="AA249" s="277" t="s">
        <x:v>118</x:v>
      </x:c>
      <x:c r="AB249" s="277" t="s">
        <x:v>118</x:v>
      </x:c>
      <x:c r="AC249" s="277" t="s">
        <x:v>118</x:v>
      </x:c>
      <x:c r="AD249" s="277" t="s">
        <x:v>118</x:v>
      </x:c>
      <x:c r="AE249" s="277" t="s">
        <x:v>118</x:v>
      </x:c>
      <x:c r="AF249" s="277" t="s">
        <x:v>118</x:v>
      </x:c>
      <x:c r="AG249" s="277" t="s">
        <x:v>118</x:v>
      </x:c>
      <x:c r="AH249" s="277" t="s">
        <x:v>118</x:v>
      </x:c>
      <x:c r="AI249" s="277" t="s">
        <x:v>118</x:v>
      </x:c>
      <x:c r="AJ249" s="277" t="s">
        <x:v>118</x:v>
      </x:c>
      <x:c r="AK249" s="220">
        <x:f>COUNTIF(F249:AJ249,"X")</x:f>
      </x:c>
      <x:c r="AL249" s="221"/>
      <x:c r="AM249" s="221"/>
      <x:c r="AN249" s="222"/>
      <x:c r="AO249" s="222"/>
      <x:c r="AP249" s="228"/>
      <x:c r="AQ249" s="228"/>
      <x:c r="AR249" s="228"/>
      <x:c r="AS249" s="228"/>
      <x:c r="AT249" s="230"/>
    </x:row>
    <x:row r="250" spans="1:47" ht="15" customHeight="1">
      <x:c r="A250" s="282" t="s">
        <x:v>1664</x:v>
      </x:c>
      <x:c r="B250" s="216"/>
      <x:c r="C250" s="283" t="s">
        <x:v>1665</x:v>
      </x:c>
      <x:c r="D250" s="282" t="s">
        <x:v>323</x:v>
      </x:c>
      <x:c r="E250" s="282" t="s">
        <x:v>1666</x:v>
      </x:c>
      <x:c r="F250" s="277" t="s">
        <x:v>118</x:v>
      </x:c>
      <x:c r="G250" s="277" t="s">
        <x:v>118</x:v>
      </x:c>
      <x:c r="H250" s="277" t="s">
        <x:v>118</x:v>
      </x:c>
      <x:c r="I250" s="277" t="s">
        <x:v>118</x:v>
      </x:c>
      <x:c r="J250" s="277" t="s">
        <x:v>118</x:v>
      </x:c>
      <x:c r="K250" s="277" t="s">
        <x:v>118</x:v>
      </x:c>
      <x:c r="L250" s="277" t="s">
        <x:v>118</x:v>
      </x:c>
      <x:c r="M250" s="277" t="s">
        <x:v>118</x:v>
      </x:c>
      <x:c r="N250" s="277" t="s">
        <x:v>118</x:v>
      </x:c>
      <x:c r="O250" s="277" t="s">
        <x:v>118</x:v>
      </x:c>
      <x:c r="P250" s="277" t="s">
        <x:v>118</x:v>
      </x:c>
      <x:c r="Q250" s="277" t="s">
        <x:v>118</x:v>
      </x:c>
      <x:c r="R250" s="277" t="s">
        <x:v>118</x:v>
      </x:c>
      <x:c r="S250" s="277" t="s">
        <x:v>118</x:v>
      </x:c>
      <x:c r="T250" s="277" t="s">
        <x:v>118</x:v>
      </x:c>
      <x:c r="U250" s="277" t="s">
        <x:v>118</x:v>
      </x:c>
      <x:c r="V250" s="277" t="s">
        <x:v>118</x:v>
      </x:c>
      <x:c r="W250" s="277" t="s">
        <x:v>118</x:v>
      </x:c>
      <x:c r="X250" s="277" t="s">
        <x:v>118</x:v>
      </x:c>
      <x:c r="Y250" s="277" t="s">
        <x:v>118</x:v>
      </x:c>
      <x:c r="Z250" s="277" t="s">
        <x:v>118</x:v>
      </x:c>
      <x:c r="AA250" s="277" t="s">
        <x:v>118</x:v>
      </x:c>
      <x:c r="AB250" s="277" t="s">
        <x:v>118</x:v>
      </x:c>
      <x:c r="AC250" s="277" t="s">
        <x:v>118</x:v>
      </x:c>
      <x:c r="AD250" s="277" t="s">
        <x:v>118</x:v>
      </x:c>
      <x:c r="AE250" s="277" t="s">
        <x:v>118</x:v>
      </x:c>
      <x:c r="AF250" s="277" t="s">
        <x:v>118</x:v>
      </x:c>
      <x:c r="AG250" s="277" t="s">
        <x:v>118</x:v>
      </x:c>
      <x:c r="AH250" s="277" t="s">
        <x:v>118</x:v>
      </x:c>
      <x:c r="AI250" s="277" t="s">
        <x:v>118</x:v>
      </x:c>
      <x:c r="AJ250" s="277" t="s">
        <x:v>118</x:v>
      </x:c>
      <x:c r="AK250" s="220">
        <x:f>COUNTIF(F250:AJ250,"X")</x:f>
      </x:c>
      <x:c r="AL250" s="221"/>
      <x:c r="AM250" s="221"/>
      <x:c r="AN250" s="222"/>
      <x:c r="AO250" s="222"/>
      <x:c r="AP250" s="228"/>
      <x:c r="AQ250" s="228"/>
      <x:c r="AR250" s="228"/>
      <x:c r="AS250" s="228"/>
      <x:c r="AT250" s="230"/>
    </x:row>
    <x:row r="251" spans="1:47" ht="15" customHeight="1">
      <x:c r="A251" s="282" t="s">
        <x:v>1667</x:v>
      </x:c>
      <x:c r="B251" s="216"/>
      <x:c r="C251" s="283" t="s">
        <x:v>1668</x:v>
      </x:c>
      <x:c r="D251" s="282" t="s">
        <x:v>323</x:v>
      </x:c>
      <x:c r="E251" s="282" t="s">
        <x:v>166</x:v>
      </x:c>
      <x:c r="F251" s="281" t="s">
        <x:v>118</x:v>
      </x:c>
      <x:c r="G251" s="281" t="s">
        <x:v>118</x:v>
      </x:c>
      <x:c r="H251" s="281" t="s">
        <x:v>118</x:v>
      </x:c>
      <x:c r="I251" s="281" t="s">
        <x:v>118</x:v>
      </x:c>
      <x:c r="J251" s="281" t="s">
        <x:v>118</x:v>
      </x:c>
      <x:c r="K251" s="281" t="s">
        <x:v>118</x:v>
      </x:c>
      <x:c r="L251" s="281" t="s">
        <x:v>118</x:v>
      </x:c>
      <x:c r="M251" s="281" t="s">
        <x:v>118</x:v>
      </x:c>
      <x:c r="N251" s="281" t="s">
        <x:v>118</x:v>
      </x:c>
      <x:c r="O251" s="281" t="s">
        <x:v>118</x:v>
      </x:c>
      <x:c r="P251" s="281" t="s">
        <x:v>118</x:v>
      </x:c>
      <x:c r="Q251" s="281" t="s">
        <x:v>118</x:v>
      </x:c>
      <x:c r="R251" s="281" t="s">
        <x:v>118</x:v>
      </x:c>
      <x:c r="S251" s="281" t="s">
        <x:v>118</x:v>
      </x:c>
      <x:c r="T251" s="281" t="s">
        <x:v>118</x:v>
      </x:c>
      <x:c r="U251" s="281" t="s">
        <x:v>118</x:v>
      </x:c>
      <x:c r="V251" s="281" t="s">
        <x:v>118</x:v>
      </x:c>
      <x:c r="W251" s="281" t="s">
        <x:v>118</x:v>
      </x:c>
      <x:c r="X251" s="281" t="s">
        <x:v>118</x:v>
      </x:c>
      <x:c r="Y251" s="281" t="s">
        <x:v>118</x:v>
      </x:c>
      <x:c r="Z251" s="281" t="s">
        <x:v>118</x:v>
      </x:c>
      <x:c r="AA251" s="281" t="s">
        <x:v>118</x:v>
      </x:c>
      <x:c r="AB251" s="281" t="s">
        <x:v>118</x:v>
      </x:c>
      <x:c r="AC251" s="281" t="s">
        <x:v>118</x:v>
      </x:c>
      <x:c r="AD251" s="281" t="s">
        <x:v>118</x:v>
      </x:c>
      <x:c r="AE251" s="281" t="s">
        <x:v>118</x:v>
      </x:c>
      <x:c r="AF251" s="281" t="s">
        <x:v>118</x:v>
      </x:c>
      <x:c r="AG251" s="281" t="s">
        <x:v>118</x:v>
      </x:c>
      <x:c r="AH251" s="281" t="s">
        <x:v>118</x:v>
      </x:c>
      <x:c r="AI251" s="281" t="s">
        <x:v>118</x:v>
      </x:c>
      <x:c r="AJ251" s="281" t="s">
        <x:v>118</x:v>
      </x:c>
      <x:c r="AK251" s="220">
        <x:f>COUNTIF(F251:AJ251,"X")</x:f>
      </x:c>
      <x:c r="AL251" s="221"/>
      <x:c r="AM251" s="221"/>
      <x:c r="AN251" s="222"/>
      <x:c r="AO251" s="222"/>
      <x:c r="AP251" s="228"/>
      <x:c r="AQ251" s="228"/>
      <x:c r="AR251" s="228"/>
      <x:c r="AS251" s="228"/>
      <x:c r="AT251" s="230"/>
    </x:row>
    <x:row r="252" spans="1:47" ht="15" customHeight="1">
      <x:c r="A252" s="282" t="s">
        <x:v>1669</x:v>
      </x:c>
      <x:c r="B252" s="216"/>
      <x:c r="C252" s="283" t="s">
        <x:v>1670</x:v>
      </x:c>
      <x:c r="D252" s="282" t="s">
        <x:v>1671</x:v>
      </x:c>
      <x:c r="E252" s="282" t="s">
        <x:v>417</x:v>
      </x:c>
      <x:c r="F252" s="277" t="s">
        <x:v>118</x:v>
      </x:c>
      <x:c r="G252" s="277" t="s">
        <x:v>118</x:v>
      </x:c>
      <x:c r="H252" s="277" t="s">
        <x:v>118</x:v>
      </x:c>
      <x:c r="I252" s="277" t="s">
        <x:v>118</x:v>
      </x:c>
      <x:c r="J252" s="277" t="s">
        <x:v>118</x:v>
      </x:c>
      <x:c r="K252" s="277" t="s">
        <x:v>118</x:v>
      </x:c>
      <x:c r="L252" s="277" t="s">
        <x:v>118</x:v>
      </x:c>
      <x:c r="M252" s="277" t="s">
        <x:v>118</x:v>
      </x:c>
      <x:c r="N252" s="277" t="s">
        <x:v>118</x:v>
      </x:c>
      <x:c r="O252" s="277" t="s">
        <x:v>118</x:v>
      </x:c>
      <x:c r="P252" s="277" t="s">
        <x:v>118</x:v>
      </x:c>
      <x:c r="Q252" s="277" t="s">
        <x:v>118</x:v>
      </x:c>
      <x:c r="R252" s="277" t="s">
        <x:v>118</x:v>
      </x:c>
      <x:c r="S252" s="277" t="s">
        <x:v>118</x:v>
      </x:c>
      <x:c r="T252" s="277" t="s">
        <x:v>118</x:v>
      </x:c>
      <x:c r="U252" s="277" t="s">
        <x:v>118</x:v>
      </x:c>
      <x:c r="V252" s="277" t="s">
        <x:v>118</x:v>
      </x:c>
      <x:c r="W252" s="277" t="s">
        <x:v>118</x:v>
      </x:c>
      <x:c r="X252" s="277" t="s">
        <x:v>118</x:v>
      </x:c>
      <x:c r="Y252" s="277" t="s">
        <x:v>118</x:v>
      </x:c>
      <x:c r="Z252" s="277" t="s">
        <x:v>118</x:v>
      </x:c>
      <x:c r="AA252" s="277" t="s">
        <x:v>118</x:v>
      </x:c>
      <x:c r="AB252" s="277" t="s">
        <x:v>118</x:v>
      </x:c>
      <x:c r="AC252" s="277" t="s">
        <x:v>118</x:v>
      </x:c>
      <x:c r="AD252" s="277" t="s">
        <x:v>118</x:v>
      </x:c>
      <x:c r="AE252" s="277" t="s">
        <x:v>118</x:v>
      </x:c>
      <x:c r="AF252" s="277" t="s">
        <x:v>118</x:v>
      </x:c>
      <x:c r="AG252" s="277" t="s">
        <x:v>118</x:v>
      </x:c>
      <x:c r="AH252" s="277" t="s">
        <x:v>118</x:v>
      </x:c>
      <x:c r="AI252" s="277" t="s">
        <x:v>118</x:v>
      </x:c>
      <x:c r="AJ252" s="277" t="s">
        <x:v>118</x:v>
      </x:c>
      <x:c r="AK252" s="220">
        <x:f>COUNTIF(F252:AJ252,"X")</x:f>
      </x:c>
      <x:c r="AL252" s="221"/>
      <x:c r="AM252" s="221"/>
      <x:c r="AN252" s="222"/>
      <x:c r="AO252" s="222"/>
      <x:c r="AP252" s="228"/>
      <x:c r="AQ252" s="228"/>
      <x:c r="AR252" s="228"/>
      <x:c r="AS252" s="228"/>
      <x:c r="AT252" s="230"/>
    </x:row>
    <x:row r="253" spans="1:47" ht="15" customHeight="1">
      <x:c r="A253" s="282" t="s">
        <x:v>1672</x:v>
      </x:c>
      <x:c r="B253" s="216"/>
      <x:c r="C253" s="283" t="s">
        <x:v>1673</x:v>
      </x:c>
      <x:c r="D253" s="282" t="s">
        <x:v>798</x:v>
      </x:c>
      <x:c r="E253" s="282" t="s">
        <x:v>1674</x:v>
      </x:c>
      <x:c r="F253" s="277" t="s">
        <x:v>118</x:v>
      </x:c>
      <x:c r="G253" s="277" t="s">
        <x:v>118</x:v>
      </x:c>
      <x:c r="H253" s="277" t="s">
        <x:v>118</x:v>
      </x:c>
      <x:c r="I253" s="277" t="s">
        <x:v>118</x:v>
      </x:c>
      <x:c r="J253" s="277" t="s">
        <x:v>118</x:v>
      </x:c>
      <x:c r="K253" s="277" t="s">
        <x:v>118</x:v>
      </x:c>
      <x:c r="L253" s="277" t="s">
        <x:v>118</x:v>
      </x:c>
      <x:c r="M253" s="277" t="s">
        <x:v>118</x:v>
      </x:c>
      <x:c r="N253" s="277" t="s">
        <x:v>118</x:v>
      </x:c>
      <x:c r="O253" s="277" t="s">
        <x:v>118</x:v>
      </x:c>
      <x:c r="P253" s="277" t="s">
        <x:v>118</x:v>
      </x:c>
      <x:c r="Q253" s="277" t="s">
        <x:v>118</x:v>
      </x:c>
      <x:c r="R253" s="277" t="s">
        <x:v>118</x:v>
      </x:c>
      <x:c r="S253" s="277" t="s">
        <x:v>118</x:v>
      </x:c>
      <x:c r="T253" s="277" t="s">
        <x:v>118</x:v>
      </x:c>
      <x:c r="U253" s="277" t="s">
        <x:v>118</x:v>
      </x:c>
      <x:c r="V253" s="277" t="s">
        <x:v>118</x:v>
      </x:c>
      <x:c r="W253" s="277" t="s">
        <x:v>118</x:v>
      </x:c>
      <x:c r="X253" s="277" t="s">
        <x:v>118</x:v>
      </x:c>
      <x:c r="Y253" s="277" t="s">
        <x:v>118</x:v>
      </x:c>
      <x:c r="Z253" s="277" t="s">
        <x:v>118</x:v>
      </x:c>
      <x:c r="AA253" s="277" t="s">
        <x:v>118</x:v>
      </x:c>
      <x:c r="AB253" s="277" t="s">
        <x:v>118</x:v>
      </x:c>
      <x:c r="AC253" s="277" t="s">
        <x:v>118</x:v>
      </x:c>
      <x:c r="AD253" s="277" t="s">
        <x:v>118</x:v>
      </x:c>
      <x:c r="AE253" s="277" t="s">
        <x:v>118</x:v>
      </x:c>
      <x:c r="AF253" s="277" t="s">
        <x:v>118</x:v>
      </x:c>
      <x:c r="AG253" s="277" t="s">
        <x:v>118</x:v>
      </x:c>
      <x:c r="AH253" s="277" t="s">
        <x:v>118</x:v>
      </x:c>
      <x:c r="AI253" s="277" t="s">
        <x:v>118</x:v>
      </x:c>
      <x:c r="AJ253" s="277" t="s">
        <x:v>118</x:v>
      </x:c>
      <x:c r="AK253" s="220">
        <x:f>COUNTIF(F253:AJ253,"X")</x:f>
      </x:c>
      <x:c r="AL253" s="221"/>
      <x:c r="AM253" s="221"/>
      <x:c r="AN253" s="222"/>
      <x:c r="AO253" s="222"/>
      <x:c r="AP253" s="228"/>
      <x:c r="AQ253" s="228"/>
      <x:c r="AR253" s="228"/>
      <x:c r="AS253" s="228"/>
      <x:c r="AT253" s="230"/>
    </x:row>
    <x:row r="254" spans="1:47" ht="15" customHeight="1">
      <x:c r="A254" s="282" t="s">
        <x:v>1675</x:v>
      </x:c>
      <x:c r="B254" s="216"/>
      <x:c r="C254" s="283" t="s">
        <x:v>1676</x:v>
      </x:c>
      <x:c r="D254" s="282" t="s">
        <x:v>802</x:v>
      </x:c>
      <x:c r="E254" s="282" t="s">
        <x:v>486</x:v>
      </x:c>
      <x:c r="F254" s="277" t="s">
        <x:v>118</x:v>
      </x:c>
      <x:c r="G254" s="277" t="s">
        <x:v>118</x:v>
      </x:c>
      <x:c r="H254" s="277" t="s">
        <x:v>118</x:v>
      </x:c>
      <x:c r="I254" s="277" t="s">
        <x:v>118</x:v>
      </x:c>
      <x:c r="J254" s="277" t="s">
        <x:v>118</x:v>
      </x:c>
      <x:c r="K254" s="277" t="s">
        <x:v>118</x:v>
      </x:c>
      <x:c r="L254" s="277" t="s">
        <x:v>118</x:v>
      </x:c>
      <x:c r="M254" s="277" t="s">
        <x:v>118</x:v>
      </x:c>
      <x:c r="N254" s="277" t="s">
        <x:v>118</x:v>
      </x:c>
      <x:c r="O254" s="277" t="s">
        <x:v>118</x:v>
      </x:c>
      <x:c r="P254" s="277" t="s">
        <x:v>118</x:v>
      </x:c>
      <x:c r="Q254" s="277" t="s">
        <x:v>118</x:v>
      </x:c>
      <x:c r="R254" s="277" t="s">
        <x:v>118</x:v>
      </x:c>
      <x:c r="S254" s="277" t="s">
        <x:v>118</x:v>
      </x:c>
      <x:c r="T254" s="277" t="s">
        <x:v>118</x:v>
      </x:c>
      <x:c r="U254" s="277" t="s">
        <x:v>118</x:v>
      </x:c>
      <x:c r="V254" s="277" t="s">
        <x:v>118</x:v>
      </x:c>
      <x:c r="W254" s="277" t="s">
        <x:v>118</x:v>
      </x:c>
      <x:c r="X254" s="277" t="s">
        <x:v>118</x:v>
      </x:c>
      <x:c r="Y254" s="277" t="s">
        <x:v>118</x:v>
      </x:c>
      <x:c r="Z254" s="277" t="s">
        <x:v>118</x:v>
      </x:c>
      <x:c r="AA254" s="277" t="s">
        <x:v>118</x:v>
      </x:c>
      <x:c r="AB254" s="277" t="s">
        <x:v>118</x:v>
      </x:c>
      <x:c r="AC254" s="277" t="s">
        <x:v>118</x:v>
      </x:c>
      <x:c r="AD254" s="277" t="s">
        <x:v>118</x:v>
      </x:c>
      <x:c r="AE254" s="277" t="s">
        <x:v>118</x:v>
      </x:c>
      <x:c r="AF254" s="277" t="s">
        <x:v>118</x:v>
      </x:c>
      <x:c r="AG254" s="277" t="s">
        <x:v>118</x:v>
      </x:c>
      <x:c r="AH254" s="277" t="s">
        <x:v>118</x:v>
      </x:c>
      <x:c r="AI254" s="277" t="s">
        <x:v>118</x:v>
      </x:c>
      <x:c r="AJ254" s="277" t="s">
        <x:v>118</x:v>
      </x:c>
      <x:c r="AK254" s="220">
        <x:f>COUNTIF(F254:AJ254,"X")</x:f>
      </x:c>
      <x:c r="AL254" s="221"/>
      <x:c r="AM254" s="221"/>
      <x:c r="AN254" s="222"/>
      <x:c r="AO254" s="222"/>
      <x:c r="AP254" s="228"/>
      <x:c r="AQ254" s="228"/>
      <x:c r="AR254" s="228"/>
      <x:c r="AS254" s="228"/>
      <x:c r="AT254" s="230"/>
    </x:row>
    <x:row r="255" spans="1:47" ht="15" customHeight="1">
      <x:c r="A255" s="282" t="s">
        <x:v>1677</x:v>
      </x:c>
      <x:c r="B255" s="216"/>
      <x:c r="C255" s="283" t="s">
        <x:v>1678</x:v>
      </x:c>
      <x:c r="D255" s="282" t="s">
        <x:v>802</x:v>
      </x:c>
      <x:c r="E255" s="282" t="s">
        <x:v>1679</x:v>
      </x:c>
      <x:c r="F255" s="281" t="s">
        <x:v>118</x:v>
      </x:c>
      <x:c r="G255" s="281" t="s">
        <x:v>118</x:v>
      </x:c>
      <x:c r="H255" s="281" t="s">
        <x:v>118</x:v>
      </x:c>
      <x:c r="I255" s="281" t="s">
        <x:v>118</x:v>
      </x:c>
      <x:c r="J255" s="281" t="s">
        <x:v>118</x:v>
      </x:c>
      <x:c r="K255" s="281" t="s">
        <x:v>118</x:v>
      </x:c>
      <x:c r="L255" s="281" t="s">
        <x:v>118</x:v>
      </x:c>
      <x:c r="M255" s="281" t="s">
        <x:v>118</x:v>
      </x:c>
      <x:c r="N255" s="281" t="s">
        <x:v>118</x:v>
      </x:c>
      <x:c r="O255" s="281" t="s">
        <x:v>118</x:v>
      </x:c>
      <x:c r="P255" s="281" t="s">
        <x:v>118</x:v>
      </x:c>
      <x:c r="Q255" s="281" t="s">
        <x:v>118</x:v>
      </x:c>
      <x:c r="R255" s="281" t="s">
        <x:v>118</x:v>
      </x:c>
      <x:c r="S255" s="281" t="s">
        <x:v>118</x:v>
      </x:c>
      <x:c r="T255" s="281" t="s">
        <x:v>118</x:v>
      </x:c>
      <x:c r="U255" s="281" t="s">
        <x:v>118</x:v>
      </x:c>
      <x:c r="V255" s="281" t="s">
        <x:v>118</x:v>
      </x:c>
      <x:c r="W255" s="281" t="s">
        <x:v>118</x:v>
      </x:c>
      <x:c r="X255" s="281" t="s">
        <x:v>118</x:v>
      </x:c>
      <x:c r="Y255" s="281" t="s">
        <x:v>118</x:v>
      </x:c>
      <x:c r="Z255" s="281" t="s">
        <x:v>118</x:v>
      </x:c>
      <x:c r="AA255" s="281" t="s">
        <x:v>118</x:v>
      </x:c>
      <x:c r="AB255" s="281" t="s">
        <x:v>118</x:v>
      </x:c>
      <x:c r="AC255" s="281" t="s">
        <x:v>118</x:v>
      </x:c>
      <x:c r="AD255" s="281" t="s">
        <x:v>118</x:v>
      </x:c>
      <x:c r="AE255" s="281" t="s">
        <x:v>118</x:v>
      </x:c>
      <x:c r="AF255" s="281" t="s">
        <x:v>118</x:v>
      </x:c>
      <x:c r="AG255" s="281" t="s">
        <x:v>118</x:v>
      </x:c>
      <x:c r="AH255" s="281" t="s">
        <x:v>118</x:v>
      </x:c>
      <x:c r="AI255" s="281" t="s">
        <x:v>118</x:v>
      </x:c>
      <x:c r="AJ255" s="281" t="s">
        <x:v>118</x:v>
      </x:c>
      <x:c r="AK255" s="220">
        <x:f>COUNTIF(F255:AJ255,"X")</x:f>
      </x:c>
      <x:c r="AL255" s="221"/>
      <x:c r="AM255" s="221"/>
      <x:c r="AN255" s="222"/>
      <x:c r="AO255" s="222"/>
      <x:c r="AP255" s="228"/>
      <x:c r="AQ255" s="228"/>
      <x:c r="AR255" s="228"/>
      <x:c r="AS255" s="228"/>
      <x:c r="AT255" s="230"/>
    </x:row>
    <x:row r="256" spans="1:47" ht="15" customHeight="1">
      <x:c r="A256" s="282" t="s">
        <x:v>1680</x:v>
      </x:c>
      <x:c r="B256" s="216"/>
      <x:c r="C256" s="283" t="s">
        <x:v>1681</x:v>
      </x:c>
      <x:c r="D256" s="282" t="s">
        <x:v>1682</x:v>
      </x:c>
      <x:c r="E256" s="282" t="s">
        <x:v>693</x:v>
      </x:c>
      <x:c r="F256" s="277" t="s">
        <x:v>118</x:v>
      </x:c>
      <x:c r="G256" s="277" t="s">
        <x:v>118</x:v>
      </x:c>
      <x:c r="H256" s="277" t="s">
        <x:v>118</x:v>
      </x:c>
      <x:c r="I256" s="277" t="s">
        <x:v>118</x:v>
      </x:c>
      <x:c r="J256" s="277" t="s">
        <x:v>118</x:v>
      </x:c>
      <x:c r="K256" s="277" t="s">
        <x:v>118</x:v>
      </x:c>
      <x:c r="L256" s="277" t="s">
        <x:v>118</x:v>
      </x:c>
      <x:c r="M256" s="277" t="s">
        <x:v>118</x:v>
      </x:c>
      <x:c r="N256" s="277" t="s">
        <x:v>118</x:v>
      </x:c>
      <x:c r="O256" s="277" t="s">
        <x:v>118</x:v>
      </x:c>
      <x:c r="P256" s="277" t="s">
        <x:v>118</x:v>
      </x:c>
      <x:c r="Q256" s="277" t="s">
        <x:v>118</x:v>
      </x:c>
      <x:c r="R256" s="277" t="s">
        <x:v>118</x:v>
      </x:c>
      <x:c r="S256" s="277" t="s">
        <x:v>118</x:v>
      </x:c>
      <x:c r="T256" s="277" t="s">
        <x:v>118</x:v>
      </x:c>
      <x:c r="U256" s="277" t="s">
        <x:v>118</x:v>
      </x:c>
      <x:c r="V256" s="277" t="s">
        <x:v>118</x:v>
      </x:c>
      <x:c r="W256" s="277" t="s">
        <x:v>118</x:v>
      </x:c>
      <x:c r="X256" s="277" t="s">
        <x:v>118</x:v>
      </x:c>
      <x:c r="Y256" s="277" t="s">
        <x:v>118</x:v>
      </x:c>
      <x:c r="Z256" s="277" t="s">
        <x:v>118</x:v>
      </x:c>
      <x:c r="AA256" s="277" t="s">
        <x:v>118</x:v>
      </x:c>
      <x:c r="AB256" s="277" t="s">
        <x:v>118</x:v>
      </x:c>
      <x:c r="AC256" s="277" t="s">
        <x:v>118</x:v>
      </x:c>
      <x:c r="AD256" s="277" t="s">
        <x:v>118</x:v>
      </x:c>
      <x:c r="AE256" s="277" t="s">
        <x:v>118</x:v>
      </x:c>
      <x:c r="AF256" s="277" t="s">
        <x:v>118</x:v>
      </x:c>
      <x:c r="AG256" s="277" t="s">
        <x:v>118</x:v>
      </x:c>
      <x:c r="AH256" s="277" t="s">
        <x:v>118</x:v>
      </x:c>
      <x:c r="AI256" s="277" t="s">
        <x:v>118</x:v>
      </x:c>
      <x:c r="AJ256" s="277" t="s">
        <x:v>118</x:v>
      </x:c>
      <x:c r="AK256" s="220">
        <x:f>COUNTIF(F256:AJ256,"X")</x:f>
      </x:c>
      <x:c r="AL256" s="221"/>
      <x:c r="AM256" s="221"/>
      <x:c r="AN256" s="222"/>
      <x:c r="AO256" s="222"/>
      <x:c r="AP256" s="228"/>
      <x:c r="AQ256" s="228"/>
      <x:c r="AR256" s="228"/>
      <x:c r="AS256" s="228"/>
      <x:c r="AT256" s="230"/>
    </x:row>
    <x:row r="257" spans="1:47" ht="15" customHeight="1">
      <x:c r="A257" s="282" t="s">
        <x:v>1683</x:v>
      </x:c>
      <x:c r="B257" s="216"/>
      <x:c r="C257" s="283" t="s">
        <x:v>1684</x:v>
      </x:c>
      <x:c r="D257" s="282" t="s">
        <x:v>1685</x:v>
      </x:c>
      <x:c r="E257" s="282" t="s">
        <x:v>1686</x:v>
      </x:c>
      <x:c r="F257" s="277" t="s">
        <x:v>118</x:v>
      </x:c>
      <x:c r="G257" s="277" t="s">
        <x:v>118</x:v>
      </x:c>
      <x:c r="H257" s="277" t="s">
        <x:v>118</x:v>
      </x:c>
      <x:c r="I257" s="277" t="s">
        <x:v>118</x:v>
      </x:c>
      <x:c r="J257" s="277" t="s">
        <x:v>118</x:v>
      </x:c>
      <x:c r="K257" s="277" t="s">
        <x:v>118</x:v>
      </x:c>
      <x:c r="L257" s="277" t="s">
        <x:v>118</x:v>
      </x:c>
      <x:c r="M257" s="277" t="s">
        <x:v>118</x:v>
      </x:c>
      <x:c r="N257" s="277" t="s">
        <x:v>118</x:v>
      </x:c>
      <x:c r="O257" s="277" t="s">
        <x:v>118</x:v>
      </x:c>
      <x:c r="P257" s="277" t="s">
        <x:v>118</x:v>
      </x:c>
      <x:c r="Q257" s="277" t="s">
        <x:v>118</x:v>
      </x:c>
      <x:c r="R257" s="277" t="s">
        <x:v>118</x:v>
      </x:c>
      <x:c r="S257" s="277" t="s">
        <x:v>118</x:v>
      </x:c>
      <x:c r="T257" s="277" t="s">
        <x:v>118</x:v>
      </x:c>
      <x:c r="U257" s="277" t="s">
        <x:v>118</x:v>
      </x:c>
      <x:c r="V257" s="277" t="s">
        <x:v>118</x:v>
      </x:c>
      <x:c r="W257" s="277" t="s">
        <x:v>118</x:v>
      </x:c>
      <x:c r="X257" s="277" t="s">
        <x:v>118</x:v>
      </x:c>
      <x:c r="Y257" s="277" t="s">
        <x:v>118</x:v>
      </x:c>
      <x:c r="Z257" s="277" t="s">
        <x:v>118</x:v>
      </x:c>
      <x:c r="AA257" s="277" t="s">
        <x:v>118</x:v>
      </x:c>
      <x:c r="AB257" s="277" t="s">
        <x:v>118</x:v>
      </x:c>
      <x:c r="AC257" s="277" t="s">
        <x:v>118</x:v>
      </x:c>
      <x:c r="AD257" s="277" t="s">
        <x:v>118</x:v>
      </x:c>
      <x:c r="AE257" s="277" t="s">
        <x:v>118</x:v>
      </x:c>
      <x:c r="AF257" s="277" t="s">
        <x:v>118</x:v>
      </x:c>
      <x:c r="AG257" s="277" t="s">
        <x:v>118</x:v>
      </x:c>
      <x:c r="AH257" s="277" t="s">
        <x:v>118</x:v>
      </x:c>
      <x:c r="AI257" s="277" t="s">
        <x:v>118</x:v>
      </x:c>
      <x:c r="AJ257" s="277" t="s">
        <x:v>118</x:v>
      </x:c>
      <x:c r="AK257" s="220">
        <x:f>COUNTIF(F257:AJ257,"X")</x:f>
      </x:c>
      <x:c r="AL257" s="221"/>
      <x:c r="AM257" s="221"/>
      <x:c r="AN257" s="222"/>
      <x:c r="AO257" s="222"/>
      <x:c r="AP257" s="228"/>
      <x:c r="AQ257" s="228"/>
      <x:c r="AR257" s="228"/>
      <x:c r="AS257" s="228"/>
      <x:c r="AT257" s="230"/>
    </x:row>
    <x:row r="258" spans="1:47" ht="15" customHeight="1">
      <x:c r="A258" s="282" t="s">
        <x:v>1687</x:v>
      </x:c>
      <x:c r="B258" s="216"/>
      <x:c r="C258" s="283" t="s">
        <x:v>1688</x:v>
      </x:c>
      <x:c r="D258" s="282" t="s">
        <x:v>1685</x:v>
      </x:c>
      <x:c r="E258" s="282" t="s">
        <x:v>1689</x:v>
      </x:c>
      <x:c r="F258" s="277" t="s">
        <x:v>118</x:v>
      </x:c>
      <x:c r="G258" s="277" t="s">
        <x:v>118</x:v>
      </x:c>
      <x:c r="H258" s="277" t="s">
        <x:v>118</x:v>
      </x:c>
      <x:c r="I258" s="277" t="s">
        <x:v>118</x:v>
      </x:c>
      <x:c r="J258" s="277" t="s">
        <x:v>118</x:v>
      </x:c>
      <x:c r="K258" s="277" t="s">
        <x:v>118</x:v>
      </x:c>
      <x:c r="L258" s="277" t="s">
        <x:v>118</x:v>
      </x:c>
      <x:c r="M258" s="277" t="s">
        <x:v>118</x:v>
      </x:c>
      <x:c r="N258" s="277" t="s">
        <x:v>118</x:v>
      </x:c>
      <x:c r="O258" s="277" t="s">
        <x:v>118</x:v>
      </x:c>
      <x:c r="P258" s="277" t="s">
        <x:v>118</x:v>
      </x:c>
      <x:c r="Q258" s="277" t="s">
        <x:v>118</x:v>
      </x:c>
      <x:c r="R258" s="277" t="s">
        <x:v>118</x:v>
      </x:c>
      <x:c r="S258" s="277" t="s">
        <x:v>118</x:v>
      </x:c>
      <x:c r="T258" s="277" t="s">
        <x:v>118</x:v>
      </x:c>
      <x:c r="U258" s="277" t="s">
        <x:v>118</x:v>
      </x:c>
      <x:c r="V258" s="277" t="s">
        <x:v>118</x:v>
      </x:c>
      <x:c r="W258" s="277" t="s">
        <x:v>118</x:v>
      </x:c>
      <x:c r="X258" s="277" t="s">
        <x:v>118</x:v>
      </x:c>
      <x:c r="Y258" s="277" t="s">
        <x:v>118</x:v>
      </x:c>
      <x:c r="Z258" s="277" t="s">
        <x:v>118</x:v>
      </x:c>
      <x:c r="AA258" s="277" t="s">
        <x:v>118</x:v>
      </x:c>
      <x:c r="AB258" s="277" t="s">
        <x:v>118</x:v>
      </x:c>
      <x:c r="AC258" s="277" t="s">
        <x:v>118</x:v>
      </x:c>
      <x:c r="AD258" s="277" t="s">
        <x:v>118</x:v>
      </x:c>
      <x:c r="AE258" s="277" t="s">
        <x:v>118</x:v>
      </x:c>
      <x:c r="AF258" s="277" t="s">
        <x:v>118</x:v>
      </x:c>
      <x:c r="AG258" s="277" t="s">
        <x:v>118</x:v>
      </x:c>
      <x:c r="AH258" s="277" t="s">
        <x:v>118</x:v>
      </x:c>
      <x:c r="AI258" s="277" t="s">
        <x:v>118</x:v>
      </x:c>
      <x:c r="AJ258" s="277" t="s">
        <x:v>118</x:v>
      </x:c>
      <x:c r="AK258" s="220">
        <x:f>COUNTIF(F258:AJ258,"X")</x:f>
      </x:c>
      <x:c r="AL258" s="221"/>
      <x:c r="AM258" s="221"/>
      <x:c r="AN258" s="222"/>
      <x:c r="AO258" s="222"/>
      <x:c r="AP258" s="228"/>
      <x:c r="AQ258" s="228"/>
      <x:c r="AR258" s="228"/>
      <x:c r="AS258" s="228"/>
      <x:c r="AT258" s="230"/>
    </x:row>
    <x:row r="259" spans="1:47" ht="15" customHeight="1">
      <x:c r="A259" s="282" t="s">
        <x:v>1690</x:v>
      </x:c>
      <x:c r="B259" s="216"/>
      <x:c r="C259" s="283" t="s">
        <x:v>1691</x:v>
      </x:c>
      <x:c r="D259" s="282" t="s">
        <x:v>1692</x:v>
      </x:c>
      <x:c r="E259" s="282" t="s">
        <x:v>1649</x:v>
      </x:c>
      <x:c r="F259" s="277" t="s">
        <x:v>118</x:v>
      </x:c>
      <x:c r="G259" s="277" t="s">
        <x:v>118</x:v>
      </x:c>
      <x:c r="H259" s="277" t="s">
        <x:v>118</x:v>
      </x:c>
      <x:c r="I259" s="277" t="s">
        <x:v>118</x:v>
      </x:c>
      <x:c r="J259" s="277" t="s">
        <x:v>118</x:v>
      </x:c>
      <x:c r="K259" s="277" t="s">
        <x:v>118</x:v>
      </x:c>
      <x:c r="L259" s="277" t="s">
        <x:v>118</x:v>
      </x:c>
      <x:c r="M259" s="277" t="s">
        <x:v>118</x:v>
      </x:c>
      <x:c r="N259" s="277" t="s">
        <x:v>118</x:v>
      </x:c>
      <x:c r="O259" s="277" t="s">
        <x:v>118</x:v>
      </x:c>
      <x:c r="P259" s="277" t="s">
        <x:v>118</x:v>
      </x:c>
      <x:c r="Q259" s="277" t="s">
        <x:v>118</x:v>
      </x:c>
      <x:c r="R259" s="277" t="s">
        <x:v>118</x:v>
      </x:c>
      <x:c r="S259" s="277" t="s">
        <x:v>118</x:v>
      </x:c>
      <x:c r="T259" s="277" t="s">
        <x:v>118</x:v>
      </x:c>
      <x:c r="U259" s="277" t="s">
        <x:v>118</x:v>
      </x:c>
      <x:c r="V259" s="277" t="s">
        <x:v>118</x:v>
      </x:c>
      <x:c r="W259" s="277" t="s">
        <x:v>118</x:v>
      </x:c>
      <x:c r="X259" s="277" t="s">
        <x:v>118</x:v>
      </x:c>
      <x:c r="Y259" s="277" t="s">
        <x:v>118</x:v>
      </x:c>
      <x:c r="Z259" s="277" t="s">
        <x:v>118</x:v>
      </x:c>
      <x:c r="AA259" s="277" t="s">
        <x:v>118</x:v>
      </x:c>
      <x:c r="AB259" s="277" t="s">
        <x:v>118</x:v>
      </x:c>
      <x:c r="AC259" s="277" t="s">
        <x:v>118</x:v>
      </x:c>
      <x:c r="AD259" s="277" t="s">
        <x:v>118</x:v>
      </x:c>
      <x:c r="AE259" s="277" t="s">
        <x:v>118</x:v>
      </x:c>
      <x:c r="AF259" s="277" t="s">
        <x:v>118</x:v>
      </x:c>
      <x:c r="AG259" s="277" t="s">
        <x:v>118</x:v>
      </x:c>
      <x:c r="AH259" s="277" t="s">
        <x:v>118</x:v>
      </x:c>
      <x:c r="AI259" s="277" t="s">
        <x:v>118</x:v>
      </x:c>
      <x:c r="AJ259" s="277" t="s">
        <x:v>118</x:v>
      </x:c>
      <x:c r="AK259" s="220">
        <x:f>COUNTIF(F259:AJ259,"X")</x:f>
      </x:c>
      <x:c r="AL259" s="221"/>
      <x:c r="AM259" s="221"/>
      <x:c r="AN259" s="222"/>
      <x:c r="AO259" s="222"/>
      <x:c r="AP259" s="228"/>
      <x:c r="AQ259" s="228"/>
      <x:c r="AR259" s="228"/>
      <x:c r="AS259" s="228"/>
      <x:c r="AT259" s="230"/>
    </x:row>
    <x:row r="260" spans="1:47" ht="15" customHeight="1">
      <x:c r="A260" s="282" t="s">
        <x:v>1693</x:v>
      </x:c>
      <x:c r="B260" s="216"/>
      <x:c r="C260" s="283" t="s">
        <x:v>1694</x:v>
      </x:c>
      <x:c r="D260" s="282" t="s">
        <x:v>1695</x:v>
      </x:c>
      <x:c r="E260" s="282" t="s">
        <x:v>1696</x:v>
      </x:c>
      <x:c r="F260" s="277" t="s">
        <x:v>118</x:v>
      </x:c>
      <x:c r="G260" s="277" t="s">
        <x:v>118</x:v>
      </x:c>
      <x:c r="H260" s="277" t="s">
        <x:v>118</x:v>
      </x:c>
      <x:c r="I260" s="277" t="s">
        <x:v>118</x:v>
      </x:c>
      <x:c r="J260" s="277" t="s">
        <x:v>118</x:v>
      </x:c>
      <x:c r="K260" s="277" t="s">
        <x:v>118</x:v>
      </x:c>
      <x:c r="L260" s="277" t="s">
        <x:v>118</x:v>
      </x:c>
      <x:c r="M260" s="277" t="s">
        <x:v>118</x:v>
      </x:c>
      <x:c r="N260" s="277" t="s">
        <x:v>118</x:v>
      </x:c>
      <x:c r="O260" s="277" t="s">
        <x:v>118</x:v>
      </x:c>
      <x:c r="P260" s="277" t="s">
        <x:v>118</x:v>
      </x:c>
      <x:c r="Q260" s="277" t="s">
        <x:v>118</x:v>
      </x:c>
      <x:c r="R260" s="277" t="s">
        <x:v>118</x:v>
      </x:c>
      <x:c r="S260" s="277" t="s">
        <x:v>118</x:v>
      </x:c>
      <x:c r="T260" s="277" t="s">
        <x:v>118</x:v>
      </x:c>
      <x:c r="U260" s="277" t="s">
        <x:v>118</x:v>
      </x:c>
      <x:c r="V260" s="277" t="s">
        <x:v>118</x:v>
      </x:c>
      <x:c r="W260" s="277" t="s">
        <x:v>118</x:v>
      </x:c>
      <x:c r="X260" s="277" t="s">
        <x:v>118</x:v>
      </x:c>
      <x:c r="Y260" s="277" t="s">
        <x:v>118</x:v>
      </x:c>
      <x:c r="Z260" s="277" t="s">
        <x:v>118</x:v>
      </x:c>
      <x:c r="AA260" s="277" t="s">
        <x:v>118</x:v>
      </x:c>
      <x:c r="AB260" s="277" t="s">
        <x:v>118</x:v>
      </x:c>
      <x:c r="AC260" s="277" t="s">
        <x:v>118</x:v>
      </x:c>
      <x:c r="AD260" s="277" t="s">
        <x:v>118</x:v>
      </x:c>
      <x:c r="AE260" s="277" t="s">
        <x:v>118</x:v>
      </x:c>
      <x:c r="AF260" s="277" t="s">
        <x:v>118</x:v>
      </x:c>
      <x:c r="AG260" s="277" t="s">
        <x:v>118</x:v>
      </x:c>
      <x:c r="AH260" s="277" t="s">
        <x:v>118</x:v>
      </x:c>
      <x:c r="AI260" s="277" t="s">
        <x:v>118</x:v>
      </x:c>
      <x:c r="AJ260" s="277" t="s">
        <x:v>118</x:v>
      </x:c>
      <x:c r="AK260" s="220">
        <x:f>COUNTIF(F260:AJ260,"X")</x:f>
      </x:c>
      <x:c r="AL260" s="221"/>
      <x:c r="AM260" s="221"/>
      <x:c r="AN260" s="222"/>
      <x:c r="AO260" s="222"/>
      <x:c r="AP260" s="228"/>
      <x:c r="AQ260" s="228"/>
      <x:c r="AR260" s="228"/>
      <x:c r="AS260" s="228"/>
      <x:c r="AT260" s="230"/>
    </x:row>
    <x:row r="261" spans="1:47" ht="15" customHeight="1">
      <x:c r="A261" s="282" t="s">
        <x:v>1697</x:v>
      </x:c>
      <x:c r="B261" s="216"/>
      <x:c r="C261" s="283" t="s">
        <x:v>1698</x:v>
      </x:c>
      <x:c r="D261" s="282" t="s">
        <x:v>1699</x:v>
      </x:c>
      <x:c r="E261" s="282" t="s">
        <x:v>563</x:v>
      </x:c>
      <x:c r="F261" s="281" t="s">
        <x:v>118</x:v>
      </x:c>
      <x:c r="G261" s="281" t="s">
        <x:v>118</x:v>
      </x:c>
      <x:c r="H261" s="281" t="s">
        <x:v>118</x:v>
      </x:c>
      <x:c r="I261" s="281" t="s">
        <x:v>118</x:v>
      </x:c>
      <x:c r="J261" s="281" t="s">
        <x:v>118</x:v>
      </x:c>
      <x:c r="K261" s="281" t="s">
        <x:v>118</x:v>
      </x:c>
      <x:c r="L261" s="281" t="s">
        <x:v>118</x:v>
      </x:c>
      <x:c r="M261" s="281" t="s">
        <x:v>118</x:v>
      </x:c>
      <x:c r="N261" s="281" t="s">
        <x:v>118</x:v>
      </x:c>
      <x:c r="O261" s="281" t="s">
        <x:v>118</x:v>
      </x:c>
      <x:c r="P261" s="281" t="s">
        <x:v>118</x:v>
      </x:c>
      <x:c r="Q261" s="281" t="s">
        <x:v>118</x:v>
      </x:c>
      <x:c r="R261" s="281" t="s">
        <x:v>118</x:v>
      </x:c>
      <x:c r="S261" s="281" t="s">
        <x:v>118</x:v>
      </x:c>
      <x:c r="T261" s="281" t="s">
        <x:v>118</x:v>
      </x:c>
      <x:c r="U261" s="281" t="s">
        <x:v>118</x:v>
      </x:c>
      <x:c r="V261" s="281" t="s">
        <x:v>118</x:v>
      </x:c>
      <x:c r="W261" s="281" t="s">
        <x:v>118</x:v>
      </x:c>
      <x:c r="X261" s="281" t="s">
        <x:v>118</x:v>
      </x:c>
      <x:c r="Y261" s="281" t="s">
        <x:v>118</x:v>
      </x:c>
      <x:c r="Z261" s="281" t="s">
        <x:v>118</x:v>
      </x:c>
      <x:c r="AA261" s="281" t="s">
        <x:v>118</x:v>
      </x:c>
      <x:c r="AB261" s="281" t="s">
        <x:v>118</x:v>
      </x:c>
      <x:c r="AC261" s="281" t="s">
        <x:v>118</x:v>
      </x:c>
      <x:c r="AD261" s="281" t="s">
        <x:v>118</x:v>
      </x:c>
      <x:c r="AE261" s="281" t="s">
        <x:v>118</x:v>
      </x:c>
      <x:c r="AF261" s="281" t="s">
        <x:v>118</x:v>
      </x:c>
      <x:c r="AG261" s="281" t="s">
        <x:v>118</x:v>
      </x:c>
      <x:c r="AH261" s="281" t="s">
        <x:v>118</x:v>
      </x:c>
      <x:c r="AI261" s="281" t="s">
        <x:v>118</x:v>
      </x:c>
      <x:c r="AJ261" s="281" t="s">
        <x:v>118</x:v>
      </x:c>
      <x:c r="AK261" s="220">
        <x:f>COUNTIF(F261:AJ261,"X")</x:f>
      </x:c>
      <x:c r="AL261" s="221"/>
      <x:c r="AM261" s="221"/>
      <x:c r="AN261" s="222"/>
      <x:c r="AO261" s="222"/>
      <x:c r="AP261" s="228"/>
      <x:c r="AQ261" s="228"/>
      <x:c r="AR261" s="228"/>
      <x:c r="AS261" s="228"/>
      <x:c r="AT261" s="230"/>
    </x:row>
    <x:row r="262" spans="1:47" ht="15" customHeight="1">
      <x:c r="A262" s="282" t="s">
        <x:v>1700</x:v>
      </x:c>
      <x:c r="B262" s="216"/>
      <x:c r="C262" s="283" t="s">
        <x:v>1701</x:v>
      </x:c>
      <x:c r="D262" s="282" t="s">
        <x:v>1702</x:v>
      </x:c>
      <x:c r="E262" s="282" t="s">
        <x:v>1703</x:v>
      </x:c>
      <x:c r="F262" s="281" t="s">
        <x:v>118</x:v>
      </x:c>
      <x:c r="G262" s="281" t="s">
        <x:v>118</x:v>
      </x:c>
      <x:c r="H262" s="281" t="s">
        <x:v>118</x:v>
      </x:c>
      <x:c r="I262" s="281" t="s">
        <x:v>118</x:v>
      </x:c>
      <x:c r="J262" s="281" t="s">
        <x:v>118</x:v>
      </x:c>
      <x:c r="K262" s="281" t="s">
        <x:v>118</x:v>
      </x:c>
      <x:c r="L262" s="281" t="s">
        <x:v>118</x:v>
      </x:c>
      <x:c r="M262" s="281" t="s">
        <x:v>118</x:v>
      </x:c>
      <x:c r="N262" s="281" t="s">
        <x:v>118</x:v>
      </x:c>
      <x:c r="O262" s="281" t="s">
        <x:v>118</x:v>
      </x:c>
      <x:c r="P262" s="281" t="s">
        <x:v>118</x:v>
      </x:c>
      <x:c r="Q262" s="281" t="s">
        <x:v>118</x:v>
      </x:c>
      <x:c r="R262" s="281" t="s">
        <x:v>118</x:v>
      </x:c>
      <x:c r="S262" s="281" t="s">
        <x:v>118</x:v>
      </x:c>
      <x:c r="T262" s="281" t="s">
        <x:v>118</x:v>
      </x:c>
      <x:c r="U262" s="281" t="s">
        <x:v>118</x:v>
      </x:c>
      <x:c r="V262" s="281" t="s">
        <x:v>118</x:v>
      </x:c>
      <x:c r="W262" s="281" t="s">
        <x:v>118</x:v>
      </x:c>
      <x:c r="X262" s="281" t="s">
        <x:v>118</x:v>
      </x:c>
      <x:c r="Y262" s="281" t="s">
        <x:v>118</x:v>
      </x:c>
      <x:c r="Z262" s="281" t="s">
        <x:v>118</x:v>
      </x:c>
      <x:c r="AA262" s="281" t="s">
        <x:v>118</x:v>
      </x:c>
      <x:c r="AB262" s="281" t="s">
        <x:v>118</x:v>
      </x:c>
      <x:c r="AC262" s="281" t="s">
        <x:v>118</x:v>
      </x:c>
      <x:c r="AD262" s="281" t="s">
        <x:v>118</x:v>
      </x:c>
      <x:c r="AE262" s="281" t="s">
        <x:v>118</x:v>
      </x:c>
      <x:c r="AF262" s="281" t="s">
        <x:v>118</x:v>
      </x:c>
      <x:c r="AG262" s="281" t="s">
        <x:v>118</x:v>
      </x:c>
      <x:c r="AH262" s="281" t="s">
        <x:v>118</x:v>
      </x:c>
      <x:c r="AI262" s="281" t="s">
        <x:v>118</x:v>
      </x:c>
      <x:c r="AJ262" s="281" t="s">
        <x:v>118</x:v>
      </x:c>
      <x:c r="AK262" s="220">
        <x:f>COUNTIF(F262:AJ262,"X")</x:f>
      </x:c>
      <x:c r="AL262" s="221"/>
      <x:c r="AM262" s="221"/>
      <x:c r="AN262" s="222"/>
      <x:c r="AO262" s="222"/>
      <x:c r="AP262" s="228"/>
      <x:c r="AQ262" s="228"/>
      <x:c r="AR262" s="228"/>
      <x:c r="AS262" s="228"/>
      <x:c r="AT262" s="230"/>
    </x:row>
    <x:row r="263" spans="1:47" ht="15" customHeight="1">
      <x:c r="A263" s="282" t="s">
        <x:v>1704</x:v>
      </x:c>
      <x:c r="B263" s="216"/>
      <x:c r="C263" s="283" t="s">
        <x:v>1705</x:v>
      </x:c>
      <x:c r="D263" s="282" t="s">
        <x:v>812</x:v>
      </x:c>
      <x:c r="E263" s="282" t="s">
        <x:v>549</x:v>
      </x:c>
      <x:c r="F263" s="281" t="s">
        <x:v>118</x:v>
      </x:c>
      <x:c r="G263" s="281" t="s">
        <x:v>118</x:v>
      </x:c>
      <x:c r="H263" s="281" t="s">
        <x:v>118</x:v>
      </x:c>
      <x:c r="I263" s="281" t="s">
        <x:v>118</x:v>
      </x:c>
      <x:c r="J263" s="281" t="s">
        <x:v>118</x:v>
      </x:c>
      <x:c r="K263" s="281" t="s">
        <x:v>118</x:v>
      </x:c>
      <x:c r="L263" s="281" t="s">
        <x:v>118</x:v>
      </x:c>
      <x:c r="M263" s="281" t="s">
        <x:v>118</x:v>
      </x:c>
      <x:c r="N263" s="281" t="s">
        <x:v>118</x:v>
      </x:c>
      <x:c r="O263" s="281" t="s">
        <x:v>118</x:v>
      </x:c>
      <x:c r="P263" s="281" t="s">
        <x:v>118</x:v>
      </x:c>
      <x:c r="Q263" s="281" t="s">
        <x:v>118</x:v>
      </x:c>
      <x:c r="R263" s="281" t="s">
        <x:v>118</x:v>
      </x:c>
      <x:c r="S263" s="281" t="s">
        <x:v>118</x:v>
      </x:c>
      <x:c r="T263" s="281" t="s">
        <x:v>118</x:v>
      </x:c>
      <x:c r="U263" s="281" t="s">
        <x:v>118</x:v>
      </x:c>
      <x:c r="V263" s="281" t="s">
        <x:v>118</x:v>
      </x:c>
      <x:c r="W263" s="281" t="s">
        <x:v>118</x:v>
      </x:c>
      <x:c r="X263" s="281" t="s">
        <x:v>118</x:v>
      </x:c>
      <x:c r="Y263" s="281" t="s">
        <x:v>118</x:v>
      </x:c>
      <x:c r="Z263" s="281" t="s">
        <x:v>118</x:v>
      </x:c>
      <x:c r="AA263" s="281" t="s">
        <x:v>118</x:v>
      </x:c>
      <x:c r="AB263" s="281" t="s">
        <x:v>118</x:v>
      </x:c>
      <x:c r="AC263" s="281" t="s">
        <x:v>118</x:v>
      </x:c>
      <x:c r="AD263" s="281" t="s">
        <x:v>118</x:v>
      </x:c>
      <x:c r="AE263" s="281" t="s">
        <x:v>118</x:v>
      </x:c>
      <x:c r="AF263" s="281" t="s">
        <x:v>118</x:v>
      </x:c>
      <x:c r="AG263" s="281" t="s">
        <x:v>118</x:v>
      </x:c>
      <x:c r="AH263" s="281" t="s">
        <x:v>118</x:v>
      </x:c>
      <x:c r="AI263" s="281" t="s">
        <x:v>118</x:v>
      </x:c>
      <x:c r="AJ263" s="281" t="s">
        <x:v>118</x:v>
      </x:c>
      <x:c r="AK263" s="220">
        <x:f>COUNTIF(F263:AJ263,"X")</x:f>
      </x:c>
      <x:c r="AL263" s="221"/>
      <x:c r="AM263" s="221"/>
      <x:c r="AN263" s="222"/>
      <x:c r="AO263" s="222"/>
      <x:c r="AP263" s="228"/>
      <x:c r="AQ263" s="228"/>
      <x:c r="AR263" s="228"/>
      <x:c r="AS263" s="228"/>
      <x:c r="AT263" s="230"/>
    </x:row>
    <x:row r="264" spans="1:47" ht="15" customHeight="1">
      <x:c r="A264" s="282" t="s">
        <x:v>1706</x:v>
      </x:c>
      <x:c r="B264" s="216"/>
      <x:c r="C264" s="283" t="s">
        <x:v>1707</x:v>
      </x:c>
      <x:c r="D264" s="282" t="s">
        <x:v>1708</x:v>
      </x:c>
      <x:c r="E264" s="282" t="s">
        <x:v>1709</x:v>
      </x:c>
      <x:c r="F264" s="277" t="s">
        <x:v>118</x:v>
      </x:c>
      <x:c r="G264" s="277" t="s">
        <x:v>118</x:v>
      </x:c>
      <x:c r="H264" s="277" t="s">
        <x:v>118</x:v>
      </x:c>
      <x:c r="I264" s="277" t="s">
        <x:v>118</x:v>
      </x:c>
      <x:c r="J264" s="277" t="s">
        <x:v>118</x:v>
      </x:c>
      <x:c r="K264" s="277" t="s">
        <x:v>118</x:v>
      </x:c>
      <x:c r="L264" s="277" t="s">
        <x:v>118</x:v>
      </x:c>
      <x:c r="M264" s="277" t="s">
        <x:v>118</x:v>
      </x:c>
      <x:c r="N264" s="277" t="s">
        <x:v>118</x:v>
      </x:c>
      <x:c r="O264" s="277" t="s">
        <x:v>118</x:v>
      </x:c>
      <x:c r="P264" s="277" t="s">
        <x:v>118</x:v>
      </x:c>
      <x:c r="Q264" s="277" t="s">
        <x:v>118</x:v>
      </x:c>
      <x:c r="R264" s="277" t="s">
        <x:v>118</x:v>
      </x:c>
      <x:c r="S264" s="277" t="s">
        <x:v>118</x:v>
      </x:c>
      <x:c r="T264" s="277" t="s">
        <x:v>118</x:v>
      </x:c>
      <x:c r="U264" s="277" t="s">
        <x:v>118</x:v>
      </x:c>
      <x:c r="V264" s="277" t="s">
        <x:v>118</x:v>
      </x:c>
      <x:c r="W264" s="277" t="s">
        <x:v>118</x:v>
      </x:c>
      <x:c r="X264" s="277" t="s">
        <x:v>118</x:v>
      </x:c>
      <x:c r="Y264" s="277" t="s">
        <x:v>118</x:v>
      </x:c>
      <x:c r="Z264" s="277" t="s">
        <x:v>118</x:v>
      </x:c>
      <x:c r="AA264" s="277" t="s">
        <x:v>118</x:v>
      </x:c>
      <x:c r="AB264" s="277" t="s">
        <x:v>118</x:v>
      </x:c>
      <x:c r="AC264" s="277" t="s">
        <x:v>118</x:v>
      </x:c>
      <x:c r="AD264" s="277" t="s">
        <x:v>118</x:v>
      </x:c>
      <x:c r="AE264" s="277" t="s">
        <x:v>118</x:v>
      </x:c>
      <x:c r="AF264" s="277" t="s">
        <x:v>118</x:v>
      </x:c>
      <x:c r="AG264" s="277" t="s">
        <x:v>118</x:v>
      </x:c>
      <x:c r="AH264" s="277" t="s">
        <x:v>118</x:v>
      </x:c>
      <x:c r="AI264" s="277" t="s">
        <x:v>118</x:v>
      </x:c>
      <x:c r="AJ264" s="277" t="s">
        <x:v>118</x:v>
      </x:c>
      <x:c r="AK264" s="220">
        <x:f>COUNTIF(F264:AJ264,"X")</x:f>
      </x:c>
      <x:c r="AL264" s="221"/>
      <x:c r="AM264" s="221"/>
      <x:c r="AN264" s="222"/>
      <x:c r="AO264" s="222"/>
      <x:c r="AP264" s="228"/>
      <x:c r="AQ264" s="228"/>
      <x:c r="AR264" s="228"/>
      <x:c r="AS264" s="228"/>
      <x:c r="AT264" s="230"/>
    </x:row>
    <x:row r="265" spans="1:47" ht="15" customHeight="1">
      <x:c r="A265" s="282" t="s">
        <x:v>1710</x:v>
      </x:c>
      <x:c r="B265" s="216"/>
      <x:c r="C265" s="283" t="s">
        <x:v>1711</x:v>
      </x:c>
      <x:c r="D265" s="282" t="s">
        <x:v>1712</x:v>
      </x:c>
      <x:c r="E265" s="282" t="s">
        <x:v>1713</x:v>
      </x:c>
      <x:c r="F265" s="277" t="s">
        <x:v>118</x:v>
      </x:c>
      <x:c r="G265" s="277" t="s">
        <x:v>118</x:v>
      </x:c>
      <x:c r="H265" s="277" t="s">
        <x:v>118</x:v>
      </x:c>
      <x:c r="I265" s="277" t="s">
        <x:v>118</x:v>
      </x:c>
      <x:c r="J265" s="277" t="s">
        <x:v>118</x:v>
      </x:c>
      <x:c r="K265" s="277" t="s">
        <x:v>118</x:v>
      </x:c>
      <x:c r="L265" s="277" t="s">
        <x:v>118</x:v>
      </x:c>
      <x:c r="M265" s="277" t="s">
        <x:v>118</x:v>
      </x:c>
      <x:c r="N265" s="277" t="s">
        <x:v>118</x:v>
      </x:c>
      <x:c r="O265" s="277" t="s">
        <x:v>118</x:v>
      </x:c>
      <x:c r="P265" s="277" t="s">
        <x:v>118</x:v>
      </x:c>
      <x:c r="Q265" s="277" t="s">
        <x:v>118</x:v>
      </x:c>
      <x:c r="R265" s="277" t="s">
        <x:v>118</x:v>
      </x:c>
      <x:c r="S265" s="277" t="s">
        <x:v>118</x:v>
      </x:c>
      <x:c r="T265" s="277" t="s">
        <x:v>118</x:v>
      </x:c>
      <x:c r="U265" s="277" t="s">
        <x:v>118</x:v>
      </x:c>
      <x:c r="V265" s="277" t="s">
        <x:v>118</x:v>
      </x:c>
      <x:c r="W265" s="277" t="s">
        <x:v>118</x:v>
      </x:c>
      <x:c r="X265" s="277" t="s">
        <x:v>118</x:v>
      </x:c>
      <x:c r="Y265" s="277" t="s">
        <x:v>118</x:v>
      </x:c>
      <x:c r="Z265" s="277" t="s">
        <x:v>118</x:v>
      </x:c>
      <x:c r="AA265" s="277" t="s">
        <x:v>118</x:v>
      </x:c>
      <x:c r="AB265" s="277" t="s">
        <x:v>118</x:v>
      </x:c>
      <x:c r="AC265" s="277" t="s">
        <x:v>118</x:v>
      </x:c>
      <x:c r="AD265" s="277" t="s">
        <x:v>118</x:v>
      </x:c>
      <x:c r="AE265" s="277" t="s">
        <x:v>118</x:v>
      </x:c>
      <x:c r="AF265" s="277" t="s">
        <x:v>118</x:v>
      </x:c>
      <x:c r="AG265" s="277" t="s">
        <x:v>118</x:v>
      </x:c>
      <x:c r="AH265" s="277" t="s">
        <x:v>118</x:v>
      </x:c>
      <x:c r="AI265" s="277" t="s">
        <x:v>118</x:v>
      </x:c>
      <x:c r="AJ265" s="277" t="s">
        <x:v>118</x:v>
      </x:c>
      <x:c r="AK265" s="220">
        <x:f>COUNTIF(F265:AJ265,"X")</x:f>
      </x:c>
      <x:c r="AL265" s="221"/>
      <x:c r="AM265" s="221"/>
      <x:c r="AN265" s="222"/>
      <x:c r="AO265" s="222"/>
      <x:c r="AP265" s="228"/>
      <x:c r="AQ265" s="228"/>
      <x:c r="AR265" s="228"/>
      <x:c r="AS265" s="228"/>
      <x:c r="AT265" s="230"/>
    </x:row>
    <x:row r="266" spans="1:47" ht="15" customHeight="1">
      <x:c r="A266" s="282" t="s">
        <x:v>1714</x:v>
      </x:c>
      <x:c r="B266" s="216"/>
      <x:c r="C266" s="283" t="s">
        <x:v>1715</x:v>
      </x:c>
      <x:c r="D266" s="282" t="s">
        <x:v>1716</x:v>
      </x:c>
      <x:c r="E266" s="282" t="s">
        <x:v>354</x:v>
      </x:c>
      <x:c r="F266" s="277" t="s">
        <x:v>118</x:v>
      </x:c>
      <x:c r="G266" s="277" t="s">
        <x:v>118</x:v>
      </x:c>
      <x:c r="H266" s="277" t="s">
        <x:v>118</x:v>
      </x:c>
      <x:c r="I266" s="277" t="s">
        <x:v>118</x:v>
      </x:c>
      <x:c r="J266" s="277" t="s">
        <x:v>118</x:v>
      </x:c>
      <x:c r="K266" s="277" t="s">
        <x:v>118</x:v>
      </x:c>
      <x:c r="L266" s="277" t="s">
        <x:v>118</x:v>
      </x:c>
      <x:c r="M266" s="277" t="s">
        <x:v>118</x:v>
      </x:c>
      <x:c r="N266" s="277" t="s">
        <x:v>118</x:v>
      </x:c>
      <x:c r="O266" s="277" t="s">
        <x:v>118</x:v>
      </x:c>
      <x:c r="P266" s="277" t="s">
        <x:v>118</x:v>
      </x:c>
      <x:c r="Q266" s="277" t="s">
        <x:v>118</x:v>
      </x:c>
      <x:c r="R266" s="277" t="s">
        <x:v>118</x:v>
      </x:c>
      <x:c r="S266" s="277" t="s">
        <x:v>118</x:v>
      </x:c>
      <x:c r="T266" s="277" t="s">
        <x:v>118</x:v>
      </x:c>
      <x:c r="U266" s="277" t="s">
        <x:v>118</x:v>
      </x:c>
      <x:c r="V266" s="277" t="s">
        <x:v>118</x:v>
      </x:c>
      <x:c r="W266" s="277" t="s">
        <x:v>118</x:v>
      </x:c>
      <x:c r="X266" s="277" t="s">
        <x:v>118</x:v>
      </x:c>
      <x:c r="Y266" s="277" t="s">
        <x:v>118</x:v>
      </x:c>
      <x:c r="Z266" s="277" t="s">
        <x:v>118</x:v>
      </x:c>
      <x:c r="AA266" s="277" t="s">
        <x:v>118</x:v>
      </x:c>
      <x:c r="AB266" s="277" t="s">
        <x:v>118</x:v>
      </x:c>
      <x:c r="AC266" s="277" t="s">
        <x:v>118</x:v>
      </x:c>
      <x:c r="AD266" s="277" t="s">
        <x:v>118</x:v>
      </x:c>
      <x:c r="AE266" s="277" t="s">
        <x:v>118</x:v>
      </x:c>
      <x:c r="AF266" s="277" t="s">
        <x:v>118</x:v>
      </x:c>
      <x:c r="AG266" s="277" t="s">
        <x:v>118</x:v>
      </x:c>
      <x:c r="AH266" s="277" t="s">
        <x:v>118</x:v>
      </x:c>
      <x:c r="AI266" s="277" t="s">
        <x:v>118</x:v>
      </x:c>
      <x:c r="AJ266" s="277" t="s">
        <x:v>118</x:v>
      </x:c>
      <x:c r="AK266" s="220">
        <x:f>COUNTIF(F266:AJ266,"X")</x:f>
      </x:c>
      <x:c r="AL266" s="221"/>
      <x:c r="AM266" s="221"/>
      <x:c r="AN266" s="222"/>
      <x:c r="AO266" s="222"/>
      <x:c r="AP266" s="228"/>
      <x:c r="AQ266" s="228"/>
      <x:c r="AR266" s="228"/>
      <x:c r="AS266" s="228"/>
      <x:c r="AT266" s="230"/>
    </x:row>
    <x:row r="267" spans="1:47" ht="15" customHeight="1">
      <x:c r="A267" s="237"/>
      <x:c r="B267" s="216"/>
      <x:c r="C267" s="238"/>
      <x:c r="D267" s="239"/>
      <x:c r="E267" s="239"/>
      <x:c r="F267" s="219"/>
      <x:c r="G267" s="219"/>
      <x:c r="H267" s="219"/>
      <x:c r="I267" s="219"/>
      <x:c r="J267" s="219"/>
      <x:c r="K267" s="219"/>
      <x:c r="L267" s="219"/>
      <x:c r="M267" s="219"/>
      <x:c r="N267" s="219"/>
      <x:c r="O267" s="219"/>
      <x:c r="P267" s="219"/>
      <x:c r="Q267" s="219"/>
      <x:c r="R267" s="219"/>
      <x:c r="S267" s="219"/>
      <x:c r="T267" s="219"/>
      <x:c r="U267" s="219"/>
      <x:c r="V267" s="219"/>
      <x:c r="W267" s="219"/>
      <x:c r="X267" s="219"/>
      <x:c r="Y267" s="219"/>
      <x:c r="Z267" s="219"/>
      <x:c r="AA267" s="219"/>
      <x:c r="AB267" s="219"/>
      <x:c r="AC267" s="219"/>
      <x:c r="AD267" s="219"/>
      <x:c r="AE267" s="219"/>
      <x:c r="AF267" s="219"/>
      <x:c r="AG267" s="219"/>
      <x:c r="AH267" s="219"/>
      <x:c r="AI267" s="219"/>
      <x:c r="AJ267" s="219"/>
      <x:c r="AK267" s="220"/>
      <x:c r="AL267" s="221"/>
      <x:c r="AM267" s="221"/>
      <x:c r="AN267" s="222"/>
      <x:c r="AO267" s="222"/>
      <x:c r="AP267" s="228"/>
      <x:c r="AQ267" s="228"/>
      <x:c r="AR267" s="228"/>
      <x:c r="AS267" s="228"/>
      <x:c r="AT267" s="230"/>
    </x:row>
    <x:row r="268" spans="1:47" ht="15" customHeight="1">
      <x:c r="A268" s="237"/>
      <x:c r="B268" s="216"/>
      <x:c r="C268" s="238"/>
      <x:c r="D268" s="239"/>
      <x:c r="E268" s="239"/>
      <x:c r="F268" s="236"/>
      <x:c r="G268" s="236"/>
      <x:c r="H268" s="236"/>
      <x:c r="I268" s="236"/>
      <x:c r="J268" s="236"/>
      <x:c r="K268" s="236"/>
      <x:c r="L268" s="236"/>
      <x:c r="M268" s="236"/>
      <x:c r="N268" s="236"/>
      <x:c r="O268" s="236"/>
      <x:c r="P268" s="236"/>
      <x:c r="Q268" s="236"/>
      <x:c r="R268" s="236"/>
      <x:c r="S268" s="236"/>
      <x:c r="T268" s="236"/>
      <x:c r="U268" s="236"/>
      <x:c r="V268" s="236"/>
      <x:c r="W268" s="236"/>
      <x:c r="X268" s="236"/>
      <x:c r="Y268" s="236"/>
      <x:c r="Z268" s="236"/>
      <x:c r="AA268" s="236"/>
      <x:c r="AB268" s="236"/>
      <x:c r="AC268" s="236"/>
      <x:c r="AD268" s="236"/>
      <x:c r="AE268" s="236"/>
      <x:c r="AF268" s="236"/>
      <x:c r="AG268" s="236"/>
      <x:c r="AH268" s="236"/>
      <x:c r="AI268" s="236"/>
      <x:c r="AJ268" s="236"/>
      <x:c r="AK268" s="220"/>
      <x:c r="AL268" s="221"/>
      <x:c r="AM268" s="221"/>
      <x:c r="AN268" s="222"/>
      <x:c r="AO268" s="222"/>
      <x:c r="AP268" s="228"/>
      <x:c r="AQ268" s="228"/>
      <x:c r="AR268" s="228"/>
      <x:c r="AS268" s="228"/>
      <x:c r="AT268" s="230"/>
    </x:row>
    <x:row r="269" spans="1:47" ht="15" customHeight="1">
      <x:c r="A269" s="237"/>
      <x:c r="B269" s="216"/>
      <x:c r="C269" s="238"/>
      <x:c r="D269" s="239"/>
      <x:c r="E269" s="239"/>
      <x:c r="F269" s="219"/>
      <x:c r="G269" s="219"/>
      <x:c r="H269" s="219"/>
      <x:c r="I269" s="219"/>
      <x:c r="J269" s="219"/>
      <x:c r="K269" s="219"/>
      <x:c r="L269" s="219"/>
      <x:c r="M269" s="219"/>
      <x:c r="N269" s="219"/>
      <x:c r="O269" s="219"/>
      <x:c r="P269" s="219"/>
      <x:c r="Q269" s="219"/>
      <x:c r="R269" s="219"/>
      <x:c r="S269" s="219"/>
      <x:c r="T269" s="219"/>
      <x:c r="U269" s="219"/>
      <x:c r="V269" s="219"/>
      <x:c r="W269" s="219"/>
      <x:c r="X269" s="219"/>
      <x:c r="Y269" s="219"/>
      <x:c r="Z269" s="219"/>
      <x:c r="AA269" s="219"/>
      <x:c r="AB269" s="219"/>
      <x:c r="AC269" s="219"/>
      <x:c r="AD269" s="219"/>
      <x:c r="AE269" s="219"/>
      <x:c r="AF269" s="219"/>
      <x:c r="AG269" s="219"/>
      <x:c r="AH269" s="219"/>
      <x:c r="AI269" s="219"/>
      <x:c r="AJ269" s="219"/>
      <x:c r="AK269" s="220"/>
      <x:c r="AL269" s="221"/>
      <x:c r="AM269" s="221"/>
      <x:c r="AN269" s="222"/>
      <x:c r="AO269" s="222"/>
      <x:c r="AP269" s="228"/>
      <x:c r="AQ269" s="228"/>
      <x:c r="AR269" s="228"/>
      <x:c r="AS269" s="228"/>
      <x:c r="AT269" s="230"/>
    </x:row>
    <x:row r="270" spans="1:47" ht="15" customHeight="1">
      <x:c r="A270" s="237"/>
      <x:c r="B270" s="216"/>
      <x:c r="C270" s="238"/>
      <x:c r="D270" s="239"/>
      <x:c r="E270" s="239"/>
      <x:c r="F270" s="236"/>
      <x:c r="G270" s="236"/>
      <x:c r="H270" s="236"/>
      <x:c r="I270" s="236"/>
      <x:c r="J270" s="236"/>
      <x:c r="K270" s="236"/>
      <x:c r="L270" s="236"/>
      <x:c r="M270" s="236"/>
      <x:c r="N270" s="236"/>
      <x:c r="O270" s="236"/>
      <x:c r="P270" s="236"/>
      <x:c r="Q270" s="236"/>
      <x:c r="R270" s="236"/>
      <x:c r="S270" s="236"/>
      <x:c r="T270" s="236"/>
      <x:c r="U270" s="236"/>
      <x:c r="V270" s="236"/>
      <x:c r="W270" s="236"/>
      <x:c r="X270" s="236"/>
      <x:c r="Y270" s="236"/>
      <x:c r="Z270" s="236"/>
      <x:c r="AA270" s="236"/>
      <x:c r="AB270" s="236"/>
      <x:c r="AC270" s="236"/>
      <x:c r="AD270" s="236"/>
      <x:c r="AE270" s="236"/>
      <x:c r="AF270" s="236"/>
      <x:c r="AG270" s="236"/>
      <x:c r="AH270" s="236"/>
      <x:c r="AI270" s="236"/>
      <x:c r="AJ270" s="236"/>
      <x:c r="AK270" s="220"/>
      <x:c r="AL270" s="221"/>
      <x:c r="AM270" s="221"/>
      <x:c r="AN270" s="222"/>
      <x:c r="AO270" s="222"/>
      <x:c r="AP270" s="228"/>
      <x:c r="AQ270" s="228"/>
      <x:c r="AR270" s="228"/>
      <x:c r="AS270" s="228"/>
      <x:c r="AT270" s="230"/>
    </x:row>
    <x:row r="271" spans="1:47" ht="15" customHeight="1">
      <x:c r="A271" s="237"/>
      <x:c r="B271" s="216"/>
      <x:c r="C271" s="238"/>
      <x:c r="D271" s="239"/>
      <x:c r="E271" s="239"/>
      <x:c r="F271" s="219"/>
      <x:c r="G271" s="219"/>
      <x:c r="H271" s="219"/>
      <x:c r="I271" s="219"/>
      <x:c r="J271" s="219"/>
      <x:c r="K271" s="219"/>
      <x:c r="L271" s="219"/>
      <x:c r="M271" s="219"/>
      <x:c r="N271" s="219"/>
      <x:c r="O271" s="219"/>
      <x:c r="P271" s="219"/>
      <x:c r="Q271" s="219"/>
      <x:c r="R271" s="219"/>
      <x:c r="S271" s="219"/>
      <x:c r="T271" s="219"/>
      <x:c r="U271" s="219"/>
      <x:c r="V271" s="219"/>
      <x:c r="W271" s="219"/>
      <x:c r="X271" s="219"/>
      <x:c r="Y271" s="219"/>
      <x:c r="Z271" s="219"/>
      <x:c r="AA271" s="219"/>
      <x:c r="AB271" s="219"/>
      <x:c r="AC271" s="219"/>
      <x:c r="AD271" s="219"/>
      <x:c r="AE271" s="219"/>
      <x:c r="AF271" s="219"/>
      <x:c r="AG271" s="219"/>
      <x:c r="AH271" s="219"/>
      <x:c r="AI271" s="219"/>
      <x:c r="AJ271" s="219"/>
      <x:c r="AK271" s="220"/>
      <x:c r="AL271" s="221"/>
      <x:c r="AM271" s="221"/>
      <x:c r="AN271" s="222"/>
      <x:c r="AO271" s="222"/>
      <x:c r="AP271" s="228"/>
      <x:c r="AQ271" s="228"/>
      <x:c r="AR271" s="228"/>
      <x:c r="AS271" s="228"/>
      <x:c r="AT271" s="230"/>
    </x:row>
    <x:row r="272" spans="1:47" ht="15" customHeight="1">
      <x:c r="A272" s="237"/>
      <x:c r="B272" s="216"/>
      <x:c r="C272" s="238"/>
      <x:c r="D272" s="239"/>
      <x:c r="E272" s="239"/>
      <x:c r="F272" s="219"/>
      <x:c r="G272" s="219"/>
      <x:c r="H272" s="219"/>
      <x:c r="I272" s="219"/>
      <x:c r="J272" s="219"/>
      <x:c r="K272" s="219"/>
      <x:c r="L272" s="219"/>
      <x:c r="M272" s="219"/>
      <x:c r="N272" s="219"/>
      <x:c r="O272" s="219"/>
      <x:c r="P272" s="219"/>
      <x:c r="Q272" s="219"/>
      <x:c r="R272" s="219"/>
      <x:c r="S272" s="219"/>
      <x:c r="T272" s="219"/>
      <x:c r="U272" s="219"/>
      <x:c r="V272" s="219"/>
      <x:c r="W272" s="219"/>
      <x:c r="X272" s="219"/>
      <x:c r="Y272" s="219"/>
      <x:c r="Z272" s="219"/>
      <x:c r="AA272" s="219"/>
      <x:c r="AB272" s="219"/>
      <x:c r="AC272" s="219"/>
      <x:c r="AD272" s="219"/>
      <x:c r="AE272" s="219"/>
      <x:c r="AF272" s="219"/>
      <x:c r="AG272" s="219"/>
      <x:c r="AH272" s="219"/>
      <x:c r="AI272" s="219"/>
      <x:c r="AJ272" s="219"/>
      <x:c r="AK272" s="220"/>
      <x:c r="AL272" s="221"/>
      <x:c r="AM272" s="221"/>
      <x:c r="AN272" s="222"/>
      <x:c r="AO272" s="222"/>
      <x:c r="AP272" s="228"/>
      <x:c r="AQ272" s="228"/>
      <x:c r="AR272" s="228"/>
      <x:c r="AS272" s="228"/>
      <x:c r="AT272" s="230"/>
    </x:row>
    <x:row r="273" spans="1:47" ht="15" customHeight="1">
      <x:c r="A273" s="237"/>
      <x:c r="B273" s="216"/>
      <x:c r="C273" s="238"/>
      <x:c r="D273" s="239"/>
      <x:c r="E273" s="239"/>
      <x:c r="F273" s="219"/>
      <x:c r="G273" s="219"/>
      <x:c r="H273" s="219"/>
      <x:c r="I273" s="219"/>
      <x:c r="J273" s="219"/>
      <x:c r="K273" s="219"/>
      <x:c r="L273" s="219"/>
      <x:c r="M273" s="219"/>
      <x:c r="N273" s="219"/>
      <x:c r="O273" s="219"/>
      <x:c r="P273" s="219"/>
      <x:c r="Q273" s="219"/>
      <x:c r="R273" s="219"/>
      <x:c r="S273" s="219"/>
      <x:c r="T273" s="219"/>
      <x:c r="U273" s="219"/>
      <x:c r="V273" s="219"/>
      <x:c r="W273" s="219"/>
      <x:c r="X273" s="219"/>
      <x:c r="Y273" s="219"/>
      <x:c r="Z273" s="219"/>
      <x:c r="AA273" s="219"/>
      <x:c r="AB273" s="219"/>
      <x:c r="AC273" s="219"/>
      <x:c r="AD273" s="219"/>
      <x:c r="AE273" s="219"/>
      <x:c r="AF273" s="219"/>
      <x:c r="AG273" s="219"/>
      <x:c r="AH273" s="219"/>
      <x:c r="AI273" s="219"/>
      <x:c r="AJ273" s="219"/>
      <x:c r="AK273" s="220"/>
      <x:c r="AL273" s="221"/>
      <x:c r="AM273" s="221"/>
      <x:c r="AN273" s="222"/>
      <x:c r="AO273" s="222"/>
      <x:c r="AP273" s="228"/>
      <x:c r="AQ273" s="228"/>
      <x:c r="AR273" s="228"/>
      <x:c r="AS273" s="228"/>
      <x:c r="AT273" s="230"/>
    </x:row>
    <x:row r="274" spans="1:47" ht="15" customHeight="1">
      <x:c r="A274" s="237"/>
      <x:c r="B274" s="216"/>
      <x:c r="C274" s="238"/>
      <x:c r="D274" s="239"/>
      <x:c r="E274" s="239"/>
      <x:c r="F274" s="219"/>
      <x:c r="G274" s="219"/>
      <x:c r="H274" s="219"/>
      <x:c r="I274" s="219"/>
      <x:c r="J274" s="219"/>
      <x:c r="K274" s="219"/>
      <x:c r="L274" s="219"/>
      <x:c r="M274" s="219"/>
      <x:c r="N274" s="219"/>
      <x:c r="O274" s="219"/>
      <x:c r="P274" s="219"/>
      <x:c r="Q274" s="219"/>
      <x:c r="R274" s="219"/>
      <x:c r="S274" s="219"/>
      <x:c r="T274" s="219"/>
      <x:c r="U274" s="219"/>
      <x:c r="V274" s="219"/>
      <x:c r="W274" s="219"/>
      <x:c r="X274" s="219"/>
      <x:c r="Y274" s="219"/>
      <x:c r="Z274" s="219"/>
      <x:c r="AA274" s="219"/>
      <x:c r="AB274" s="219"/>
      <x:c r="AC274" s="219"/>
      <x:c r="AD274" s="219"/>
      <x:c r="AE274" s="219"/>
      <x:c r="AF274" s="219"/>
      <x:c r="AG274" s="219"/>
      <x:c r="AH274" s="219"/>
      <x:c r="AI274" s="219"/>
      <x:c r="AJ274" s="219"/>
      <x:c r="AK274" s="220"/>
      <x:c r="AL274" s="221"/>
      <x:c r="AM274" s="221"/>
      <x:c r="AN274" s="222"/>
      <x:c r="AO274" s="222"/>
      <x:c r="AP274" s="228"/>
      <x:c r="AQ274" s="228"/>
      <x:c r="AR274" s="228"/>
      <x:c r="AS274" s="228"/>
      <x:c r="AT274" s="230"/>
    </x:row>
    <x:row r="275" spans="1:47" ht="15" customHeight="1">
      <x:c r="A275" s="237"/>
      <x:c r="B275" s="216"/>
      <x:c r="C275" s="238"/>
      <x:c r="D275" s="239"/>
      <x:c r="E275" s="239"/>
      <x:c r="F275" s="236"/>
      <x:c r="G275" s="236"/>
      <x:c r="H275" s="236"/>
      <x:c r="I275" s="236"/>
      <x:c r="J275" s="236"/>
      <x:c r="K275" s="236"/>
      <x:c r="L275" s="236"/>
      <x:c r="M275" s="236"/>
      <x:c r="N275" s="236"/>
      <x:c r="O275" s="236"/>
      <x:c r="P275" s="236"/>
      <x:c r="Q275" s="236"/>
      <x:c r="R275" s="236"/>
      <x:c r="S275" s="236"/>
      <x:c r="T275" s="236"/>
      <x:c r="U275" s="236"/>
      <x:c r="V275" s="236"/>
      <x:c r="W275" s="236"/>
      <x:c r="X275" s="236"/>
      <x:c r="Y275" s="236"/>
      <x:c r="Z275" s="236"/>
      <x:c r="AA275" s="236"/>
      <x:c r="AB275" s="236"/>
      <x:c r="AC275" s="236"/>
      <x:c r="AD275" s="236"/>
      <x:c r="AE275" s="236"/>
      <x:c r="AF275" s="236"/>
      <x:c r="AG275" s="236"/>
      <x:c r="AH275" s="236"/>
      <x:c r="AI275" s="236"/>
      <x:c r="AJ275" s="236"/>
      <x:c r="AK275" s="220"/>
      <x:c r="AL275" s="221"/>
      <x:c r="AM275" s="221"/>
      <x:c r="AN275" s="222"/>
      <x:c r="AO275" s="222"/>
      <x:c r="AP275" s="228"/>
      <x:c r="AQ275" s="228"/>
      <x:c r="AR275" s="228"/>
      <x:c r="AS275" s="228"/>
      <x:c r="AT275" s="230"/>
    </x:row>
    <x:row r="276" spans="1:47" ht="15" customHeight="1">
      <x:c r="A276" s="237"/>
      <x:c r="B276" s="216"/>
      <x:c r="C276" s="238"/>
      <x:c r="D276" s="239"/>
      <x:c r="E276" s="239"/>
      <x:c r="F276" s="236"/>
      <x:c r="G276" s="236"/>
      <x:c r="H276" s="236"/>
      <x:c r="I276" s="236"/>
      <x:c r="J276" s="236"/>
      <x:c r="K276" s="236"/>
      <x:c r="L276" s="236"/>
      <x:c r="M276" s="236"/>
      <x:c r="N276" s="236"/>
      <x:c r="O276" s="236"/>
      <x:c r="P276" s="236"/>
      <x:c r="Q276" s="236"/>
      <x:c r="R276" s="236"/>
      <x:c r="S276" s="236"/>
      <x:c r="T276" s="236"/>
      <x:c r="U276" s="236"/>
      <x:c r="V276" s="236"/>
      <x:c r="W276" s="236"/>
      <x:c r="X276" s="236"/>
      <x:c r="Y276" s="236"/>
      <x:c r="Z276" s="236"/>
      <x:c r="AA276" s="236"/>
      <x:c r="AB276" s="236"/>
      <x:c r="AC276" s="236"/>
      <x:c r="AD276" s="236"/>
      <x:c r="AE276" s="236"/>
      <x:c r="AF276" s="236"/>
      <x:c r="AG276" s="236"/>
      <x:c r="AH276" s="236"/>
      <x:c r="AI276" s="236"/>
      <x:c r="AJ276" s="236"/>
      <x:c r="AK276" s="220"/>
      <x:c r="AL276" s="221"/>
      <x:c r="AM276" s="221"/>
      <x:c r="AN276" s="222"/>
      <x:c r="AO276" s="222"/>
      <x:c r="AP276" s="228"/>
      <x:c r="AQ276" s="228"/>
      <x:c r="AR276" s="228"/>
      <x:c r="AS276" s="228"/>
      <x:c r="AT276" s="230"/>
    </x:row>
    <x:row r="277" spans="1:47" ht="15" customHeight="1">
      <x:c r="A277" s="237"/>
      <x:c r="B277" s="216"/>
      <x:c r="C277" s="238"/>
      <x:c r="D277" s="239"/>
      <x:c r="E277" s="239"/>
      <x:c r="F277" s="236"/>
      <x:c r="G277" s="236"/>
      <x:c r="H277" s="236"/>
      <x:c r="I277" s="236"/>
      <x:c r="J277" s="236"/>
      <x:c r="K277" s="236"/>
      <x:c r="L277" s="236"/>
      <x:c r="M277" s="236"/>
      <x:c r="N277" s="236"/>
      <x:c r="O277" s="236"/>
      <x:c r="P277" s="236"/>
      <x:c r="Q277" s="236"/>
      <x:c r="R277" s="236"/>
      <x:c r="S277" s="236"/>
      <x:c r="T277" s="236"/>
      <x:c r="U277" s="236"/>
      <x:c r="V277" s="236"/>
      <x:c r="W277" s="236"/>
      <x:c r="X277" s="236"/>
      <x:c r="Y277" s="236"/>
      <x:c r="Z277" s="236"/>
      <x:c r="AA277" s="236"/>
      <x:c r="AB277" s="236"/>
      <x:c r="AC277" s="236"/>
      <x:c r="AD277" s="236"/>
      <x:c r="AE277" s="236"/>
      <x:c r="AF277" s="236"/>
      <x:c r="AG277" s="236"/>
      <x:c r="AH277" s="236"/>
      <x:c r="AI277" s="236"/>
      <x:c r="AJ277" s="236"/>
      <x:c r="AK277" s="220"/>
      <x:c r="AL277" s="221"/>
      <x:c r="AM277" s="221"/>
      <x:c r="AN277" s="222"/>
      <x:c r="AO277" s="222"/>
      <x:c r="AP277" s="228"/>
      <x:c r="AQ277" s="228"/>
      <x:c r="AR277" s="228"/>
      <x:c r="AS277" s="228"/>
      <x:c r="AT277" s="230"/>
    </x:row>
    <x:row r="278" spans="1:47" ht="15" customHeight="1">
      <x:c r="A278" s="237"/>
      <x:c r="B278" s="216"/>
      <x:c r="C278" s="238"/>
      <x:c r="D278" s="239"/>
      <x:c r="E278" s="239"/>
      <x:c r="F278" s="219"/>
      <x:c r="G278" s="219"/>
      <x:c r="H278" s="219"/>
      <x:c r="I278" s="219"/>
      <x:c r="J278" s="219"/>
      <x:c r="K278" s="219"/>
      <x:c r="L278" s="219"/>
      <x:c r="M278" s="219"/>
      <x:c r="N278" s="219"/>
      <x:c r="O278" s="219"/>
      <x:c r="P278" s="219"/>
      <x:c r="Q278" s="219"/>
      <x:c r="R278" s="219"/>
      <x:c r="S278" s="219"/>
      <x:c r="T278" s="219"/>
      <x:c r="U278" s="219"/>
      <x:c r="V278" s="219"/>
      <x:c r="W278" s="219"/>
      <x:c r="X278" s="219"/>
      <x:c r="Y278" s="219"/>
      <x:c r="Z278" s="219"/>
      <x:c r="AA278" s="219"/>
      <x:c r="AB278" s="219"/>
      <x:c r="AC278" s="219"/>
      <x:c r="AD278" s="219"/>
      <x:c r="AE278" s="219"/>
      <x:c r="AF278" s="219"/>
      <x:c r="AG278" s="219"/>
      <x:c r="AH278" s="219"/>
      <x:c r="AI278" s="219"/>
      <x:c r="AJ278" s="219"/>
      <x:c r="AK278" s="220"/>
      <x:c r="AL278" s="221"/>
      <x:c r="AM278" s="221"/>
      <x:c r="AN278" s="222"/>
      <x:c r="AO278" s="222"/>
      <x:c r="AP278" s="228"/>
      <x:c r="AQ278" s="228"/>
      <x:c r="AR278" s="228"/>
      <x:c r="AS278" s="228"/>
      <x:c r="AT278" s="230"/>
    </x:row>
    <x:row r="279" spans="1:47" ht="15" customHeight="1">
      <x:c r="A279" s="237"/>
      <x:c r="B279" s="216"/>
      <x:c r="C279" s="238"/>
      <x:c r="D279" s="239"/>
      <x:c r="E279" s="239"/>
      <x:c r="F279" s="219"/>
      <x:c r="G279" s="219"/>
      <x:c r="H279" s="219"/>
      <x:c r="I279" s="219"/>
      <x:c r="J279" s="219"/>
      <x:c r="K279" s="219"/>
      <x:c r="L279" s="219"/>
      <x:c r="M279" s="219"/>
      <x:c r="N279" s="219"/>
      <x:c r="O279" s="219"/>
      <x:c r="P279" s="219"/>
      <x:c r="Q279" s="219"/>
      <x:c r="R279" s="219"/>
      <x:c r="S279" s="219"/>
      <x:c r="T279" s="219"/>
      <x:c r="U279" s="219"/>
      <x:c r="V279" s="219"/>
      <x:c r="W279" s="219"/>
      <x:c r="X279" s="219"/>
      <x:c r="Y279" s="219"/>
      <x:c r="Z279" s="219"/>
      <x:c r="AA279" s="219"/>
      <x:c r="AB279" s="219"/>
      <x:c r="AC279" s="219"/>
      <x:c r="AD279" s="219"/>
      <x:c r="AE279" s="219"/>
      <x:c r="AF279" s="219"/>
      <x:c r="AG279" s="219"/>
      <x:c r="AH279" s="219"/>
      <x:c r="AI279" s="219"/>
      <x:c r="AJ279" s="219"/>
      <x:c r="AK279" s="220"/>
      <x:c r="AL279" s="221"/>
      <x:c r="AM279" s="221"/>
      <x:c r="AN279" s="222"/>
      <x:c r="AO279" s="222"/>
      <x:c r="AP279" s="228"/>
      <x:c r="AQ279" s="228"/>
      <x:c r="AR279" s="228"/>
      <x:c r="AS279" s="228"/>
      <x:c r="AT279" s="230"/>
    </x:row>
    <x:row r="280" spans="1:47" ht="15" customHeight="1">
      <x:c r="A280" s="237"/>
      <x:c r="B280" s="216"/>
      <x:c r="C280" s="238"/>
      <x:c r="D280" s="239"/>
      <x:c r="E280" s="239"/>
      <x:c r="F280" s="236"/>
      <x:c r="G280" s="236"/>
      <x:c r="H280" s="236"/>
      <x:c r="I280" s="236"/>
      <x:c r="J280" s="236"/>
      <x:c r="K280" s="236"/>
      <x:c r="L280" s="236"/>
      <x:c r="M280" s="236"/>
      <x:c r="N280" s="236"/>
      <x:c r="O280" s="236"/>
      <x:c r="P280" s="236"/>
      <x:c r="Q280" s="236"/>
      <x:c r="R280" s="236"/>
      <x:c r="S280" s="236"/>
      <x:c r="T280" s="236"/>
      <x:c r="U280" s="236"/>
      <x:c r="V280" s="236"/>
      <x:c r="W280" s="236"/>
      <x:c r="X280" s="236"/>
      <x:c r="Y280" s="236"/>
      <x:c r="Z280" s="236"/>
      <x:c r="AA280" s="236"/>
      <x:c r="AB280" s="236"/>
      <x:c r="AC280" s="236"/>
      <x:c r="AD280" s="236"/>
      <x:c r="AE280" s="236"/>
      <x:c r="AF280" s="236"/>
      <x:c r="AG280" s="236"/>
      <x:c r="AH280" s="236"/>
      <x:c r="AI280" s="236"/>
      <x:c r="AJ280" s="236"/>
      <x:c r="AK280" s="220"/>
      <x:c r="AL280" s="221"/>
      <x:c r="AM280" s="221"/>
      <x:c r="AN280" s="222"/>
      <x:c r="AO280" s="222"/>
      <x:c r="AP280" s="228"/>
      <x:c r="AQ280" s="228"/>
      <x:c r="AR280" s="228"/>
      <x:c r="AS280" s="228"/>
      <x:c r="AT280" s="230"/>
    </x:row>
    <x:row r="281" spans="1:47" ht="15" customHeight="1">
      <x:c r="A281" s="237"/>
      <x:c r="B281" s="216"/>
      <x:c r="C281" s="238"/>
      <x:c r="D281" s="239"/>
      <x:c r="E281" s="239"/>
      <x:c r="F281" s="219"/>
      <x:c r="G281" s="219"/>
      <x:c r="H281" s="219"/>
      <x:c r="I281" s="219"/>
      <x:c r="J281" s="219"/>
      <x:c r="K281" s="219"/>
      <x:c r="L281" s="219"/>
      <x:c r="M281" s="219"/>
      <x:c r="N281" s="219"/>
      <x:c r="O281" s="219"/>
      <x:c r="P281" s="219"/>
      <x:c r="Q281" s="219"/>
      <x:c r="R281" s="219"/>
      <x:c r="S281" s="219"/>
      <x:c r="T281" s="219"/>
      <x:c r="U281" s="219"/>
      <x:c r="V281" s="219"/>
      <x:c r="W281" s="219"/>
      <x:c r="X281" s="219"/>
      <x:c r="Y281" s="219"/>
      <x:c r="Z281" s="219"/>
      <x:c r="AA281" s="219"/>
      <x:c r="AB281" s="219"/>
      <x:c r="AC281" s="219"/>
      <x:c r="AD281" s="219"/>
      <x:c r="AE281" s="219"/>
      <x:c r="AF281" s="219"/>
      <x:c r="AG281" s="219"/>
      <x:c r="AH281" s="219"/>
      <x:c r="AI281" s="219"/>
      <x:c r="AJ281" s="219"/>
      <x:c r="AK281" s="220"/>
      <x:c r="AL281" s="221"/>
      <x:c r="AM281" s="221"/>
      <x:c r="AN281" s="222"/>
      <x:c r="AO281" s="222"/>
      <x:c r="AP281" s="228"/>
      <x:c r="AQ281" s="228"/>
      <x:c r="AR281" s="228"/>
      <x:c r="AS281" s="228"/>
      <x:c r="AT281" s="230"/>
    </x:row>
    <x:row r="282" spans="1:47" ht="15" customHeight="1">
      <x:c r="A282" s="237"/>
      <x:c r="B282" s="216"/>
      <x:c r="C282" s="238"/>
      <x:c r="D282" s="239"/>
      <x:c r="E282" s="239"/>
      <x:c r="F282" s="219"/>
      <x:c r="G282" s="219"/>
      <x:c r="H282" s="219"/>
      <x:c r="I282" s="219"/>
      <x:c r="J282" s="219"/>
      <x:c r="K282" s="219"/>
      <x:c r="L282" s="219"/>
      <x:c r="M282" s="219"/>
      <x:c r="N282" s="219"/>
      <x:c r="O282" s="219"/>
      <x:c r="P282" s="219"/>
      <x:c r="Q282" s="219"/>
      <x:c r="R282" s="219"/>
      <x:c r="S282" s="219"/>
      <x:c r="T282" s="219"/>
      <x:c r="U282" s="219"/>
      <x:c r="V282" s="219"/>
      <x:c r="W282" s="219"/>
      <x:c r="X282" s="219"/>
      <x:c r="Y282" s="219"/>
      <x:c r="Z282" s="219"/>
      <x:c r="AA282" s="219"/>
      <x:c r="AB282" s="219"/>
      <x:c r="AC282" s="219"/>
      <x:c r="AD282" s="219"/>
      <x:c r="AE282" s="219"/>
      <x:c r="AF282" s="219"/>
      <x:c r="AG282" s="219"/>
      <x:c r="AH282" s="219"/>
      <x:c r="AI282" s="219"/>
      <x:c r="AJ282" s="219"/>
      <x:c r="AK282" s="220"/>
      <x:c r="AL282" s="221"/>
      <x:c r="AM282" s="221"/>
      <x:c r="AN282" s="222"/>
      <x:c r="AO282" s="222"/>
      <x:c r="AP282" s="228"/>
      <x:c r="AQ282" s="228"/>
      <x:c r="AR282" s="228"/>
      <x:c r="AS282" s="228"/>
      <x:c r="AT282" s="230"/>
    </x:row>
    <x:row r="283" spans="1:47" ht="15" customHeight="1">
      <x:c r="A283" s="237"/>
      <x:c r="B283" s="216"/>
      <x:c r="C283" s="238"/>
      <x:c r="D283" s="239"/>
      <x:c r="E283" s="239"/>
      <x:c r="F283" s="219"/>
      <x:c r="G283" s="219"/>
      <x:c r="H283" s="219"/>
      <x:c r="I283" s="219"/>
      <x:c r="J283" s="219"/>
      <x:c r="K283" s="219"/>
      <x:c r="L283" s="219"/>
      <x:c r="M283" s="219"/>
      <x:c r="N283" s="219"/>
      <x:c r="O283" s="219"/>
      <x:c r="P283" s="219"/>
      <x:c r="Q283" s="219"/>
      <x:c r="R283" s="219"/>
      <x:c r="S283" s="219"/>
      <x:c r="T283" s="219"/>
      <x:c r="U283" s="219"/>
      <x:c r="V283" s="219"/>
      <x:c r="W283" s="219"/>
      <x:c r="X283" s="219"/>
      <x:c r="Y283" s="219"/>
      <x:c r="Z283" s="219"/>
      <x:c r="AA283" s="219"/>
      <x:c r="AB283" s="219"/>
      <x:c r="AC283" s="219"/>
      <x:c r="AD283" s="219"/>
      <x:c r="AE283" s="219"/>
      <x:c r="AF283" s="219"/>
      <x:c r="AG283" s="219"/>
      <x:c r="AH283" s="219"/>
      <x:c r="AI283" s="219"/>
      <x:c r="AJ283" s="219"/>
      <x:c r="AK283" s="220"/>
      <x:c r="AL283" s="221"/>
      <x:c r="AM283" s="221"/>
      <x:c r="AN283" s="222"/>
      <x:c r="AO283" s="222"/>
      <x:c r="AP283" s="228"/>
      <x:c r="AQ283" s="228"/>
      <x:c r="AR283" s="228"/>
      <x:c r="AS283" s="228"/>
      <x:c r="AT283" s="230"/>
    </x:row>
    <x:row r="284" spans="1:47" ht="15" customHeight="1">
      <x:c r="A284" s="237"/>
      <x:c r="B284" s="216"/>
      <x:c r="C284" s="238"/>
      <x:c r="D284" s="239"/>
      <x:c r="E284" s="239"/>
      <x:c r="F284" s="236"/>
      <x:c r="G284" s="236"/>
      <x:c r="H284" s="236"/>
      <x:c r="I284" s="236"/>
      <x:c r="J284" s="236"/>
      <x:c r="K284" s="236"/>
      <x:c r="L284" s="236"/>
      <x:c r="M284" s="236"/>
      <x:c r="N284" s="236"/>
      <x:c r="O284" s="236"/>
      <x:c r="P284" s="236"/>
      <x:c r="Q284" s="236"/>
      <x:c r="R284" s="236"/>
      <x:c r="S284" s="236"/>
      <x:c r="T284" s="236"/>
      <x:c r="U284" s="236"/>
      <x:c r="V284" s="236"/>
      <x:c r="W284" s="236"/>
      <x:c r="X284" s="236"/>
      <x:c r="Y284" s="236"/>
      <x:c r="Z284" s="236"/>
      <x:c r="AA284" s="236"/>
      <x:c r="AB284" s="236"/>
      <x:c r="AC284" s="236"/>
      <x:c r="AD284" s="236"/>
      <x:c r="AE284" s="236"/>
      <x:c r="AF284" s="236"/>
      <x:c r="AG284" s="236"/>
      <x:c r="AH284" s="236"/>
      <x:c r="AI284" s="236"/>
      <x:c r="AJ284" s="236"/>
      <x:c r="AK284" s="220"/>
      <x:c r="AL284" s="221"/>
      <x:c r="AM284" s="221"/>
      <x:c r="AN284" s="222"/>
      <x:c r="AO284" s="222"/>
      <x:c r="AP284" s="228"/>
      <x:c r="AQ284" s="228"/>
      <x:c r="AR284" s="228"/>
      <x:c r="AS284" s="228"/>
      <x:c r="AT284" s="230"/>
    </x:row>
    <x:row r="285" spans="1:47" ht="15" customHeight="1">
      <x:c r="A285" s="237"/>
      <x:c r="B285" s="216"/>
      <x:c r="C285" s="238"/>
      <x:c r="D285" s="239"/>
      <x:c r="E285" s="239"/>
      <x:c r="F285" s="236"/>
      <x:c r="G285" s="236"/>
      <x:c r="H285" s="236"/>
      <x:c r="I285" s="236"/>
      <x:c r="J285" s="236"/>
      <x:c r="K285" s="236"/>
      <x:c r="L285" s="236"/>
      <x:c r="M285" s="236"/>
      <x:c r="N285" s="236"/>
      <x:c r="O285" s="236"/>
      <x:c r="P285" s="236"/>
      <x:c r="Q285" s="236"/>
      <x:c r="R285" s="236"/>
      <x:c r="S285" s="236"/>
      <x:c r="T285" s="236"/>
      <x:c r="U285" s="236"/>
      <x:c r="V285" s="236"/>
      <x:c r="W285" s="236"/>
      <x:c r="X285" s="236"/>
      <x:c r="Y285" s="236"/>
      <x:c r="Z285" s="236"/>
      <x:c r="AA285" s="236"/>
      <x:c r="AB285" s="236"/>
      <x:c r="AC285" s="236"/>
      <x:c r="AD285" s="236"/>
      <x:c r="AE285" s="236"/>
      <x:c r="AF285" s="236"/>
      <x:c r="AG285" s="236"/>
      <x:c r="AH285" s="236"/>
      <x:c r="AI285" s="236"/>
      <x:c r="AJ285" s="236"/>
      <x:c r="AK285" s="220"/>
      <x:c r="AL285" s="221"/>
      <x:c r="AM285" s="221"/>
      <x:c r="AN285" s="222"/>
      <x:c r="AO285" s="222"/>
      <x:c r="AP285" s="228"/>
      <x:c r="AQ285" s="228"/>
      <x:c r="AR285" s="228"/>
      <x:c r="AS285" s="228"/>
      <x:c r="AT285" s="230"/>
    </x:row>
    <x:row r="286" spans="1:47" ht="15" customHeight="1">
      <x:c r="A286" s="237"/>
      <x:c r="B286" s="216"/>
      <x:c r="C286" s="238"/>
      <x:c r="D286" s="239"/>
      <x:c r="E286" s="239"/>
      <x:c r="F286" s="219"/>
      <x:c r="G286" s="219"/>
      <x:c r="H286" s="219"/>
      <x:c r="I286" s="219"/>
      <x:c r="J286" s="219"/>
      <x:c r="K286" s="219"/>
      <x:c r="L286" s="219"/>
      <x:c r="M286" s="219"/>
      <x:c r="N286" s="219"/>
      <x:c r="O286" s="219"/>
      <x:c r="P286" s="219"/>
      <x:c r="Q286" s="219"/>
      <x:c r="R286" s="219"/>
      <x:c r="S286" s="219"/>
      <x:c r="T286" s="219"/>
      <x:c r="U286" s="219"/>
      <x:c r="V286" s="219"/>
      <x:c r="W286" s="219"/>
      <x:c r="X286" s="219"/>
      <x:c r="Y286" s="219"/>
      <x:c r="Z286" s="219"/>
      <x:c r="AA286" s="219"/>
      <x:c r="AB286" s="219"/>
      <x:c r="AC286" s="219"/>
      <x:c r="AD286" s="219"/>
      <x:c r="AE286" s="219"/>
      <x:c r="AF286" s="219"/>
      <x:c r="AG286" s="219"/>
      <x:c r="AH286" s="219"/>
      <x:c r="AI286" s="219"/>
      <x:c r="AJ286" s="219"/>
      <x:c r="AK286" s="220"/>
      <x:c r="AL286" s="221"/>
      <x:c r="AM286" s="221"/>
      <x:c r="AN286" s="222"/>
      <x:c r="AO286" s="222"/>
      <x:c r="AP286" s="228"/>
      <x:c r="AQ286" s="228"/>
      <x:c r="AR286" s="228"/>
      <x:c r="AS286" s="228"/>
      <x:c r="AT286" s="230"/>
    </x:row>
    <x:row r="287" spans="1:47" ht="15" customHeight="1">
      <x:c r="A287" s="237"/>
      <x:c r="B287" s="216"/>
      <x:c r="C287" s="238"/>
      <x:c r="D287" s="239"/>
      <x:c r="E287" s="239"/>
      <x:c r="F287" s="236"/>
      <x:c r="G287" s="236"/>
      <x:c r="H287" s="236"/>
      <x:c r="I287" s="236"/>
      <x:c r="J287" s="236"/>
      <x:c r="K287" s="236"/>
      <x:c r="L287" s="236"/>
      <x:c r="M287" s="236"/>
      <x:c r="N287" s="236"/>
      <x:c r="O287" s="236"/>
      <x:c r="P287" s="236"/>
      <x:c r="Q287" s="236"/>
      <x:c r="R287" s="236"/>
      <x:c r="S287" s="236"/>
      <x:c r="T287" s="236"/>
      <x:c r="U287" s="236"/>
      <x:c r="V287" s="236"/>
      <x:c r="W287" s="236"/>
      <x:c r="X287" s="236"/>
      <x:c r="Y287" s="236"/>
      <x:c r="Z287" s="236"/>
      <x:c r="AA287" s="236"/>
      <x:c r="AB287" s="236"/>
      <x:c r="AC287" s="236"/>
      <x:c r="AD287" s="236"/>
      <x:c r="AE287" s="236"/>
      <x:c r="AF287" s="236"/>
      <x:c r="AG287" s="236"/>
      <x:c r="AH287" s="236"/>
      <x:c r="AI287" s="236"/>
      <x:c r="AJ287" s="236"/>
      <x:c r="AK287" s="220"/>
      <x:c r="AL287" s="221"/>
      <x:c r="AM287" s="221"/>
      <x:c r="AN287" s="222"/>
      <x:c r="AO287" s="222"/>
      <x:c r="AP287" s="228"/>
      <x:c r="AQ287" s="228"/>
      <x:c r="AR287" s="228"/>
      <x:c r="AS287" s="228"/>
      <x:c r="AT287" s="230"/>
    </x:row>
    <x:row r="288" spans="1:47" ht="15" customHeight="1">
      <x:c r="A288" s="237"/>
      <x:c r="B288" s="216"/>
      <x:c r="C288" s="238"/>
      <x:c r="D288" s="239"/>
      <x:c r="E288" s="239"/>
      <x:c r="F288" s="219"/>
      <x:c r="G288" s="219"/>
      <x:c r="H288" s="219"/>
      <x:c r="I288" s="219"/>
      <x:c r="J288" s="219"/>
      <x:c r="K288" s="219"/>
      <x:c r="L288" s="219"/>
      <x:c r="M288" s="219"/>
      <x:c r="N288" s="219"/>
      <x:c r="O288" s="219"/>
      <x:c r="P288" s="219"/>
      <x:c r="Q288" s="219"/>
      <x:c r="R288" s="219"/>
      <x:c r="S288" s="219"/>
      <x:c r="T288" s="219"/>
      <x:c r="U288" s="219"/>
      <x:c r="V288" s="219"/>
      <x:c r="W288" s="219"/>
      <x:c r="X288" s="219"/>
      <x:c r="Y288" s="219"/>
      <x:c r="Z288" s="219"/>
      <x:c r="AA288" s="219"/>
      <x:c r="AB288" s="219"/>
      <x:c r="AC288" s="219"/>
      <x:c r="AD288" s="219"/>
      <x:c r="AE288" s="219"/>
      <x:c r="AF288" s="219"/>
      <x:c r="AG288" s="219"/>
      <x:c r="AH288" s="219"/>
      <x:c r="AI288" s="219"/>
      <x:c r="AJ288" s="219"/>
      <x:c r="AK288" s="220"/>
      <x:c r="AL288" s="221"/>
      <x:c r="AM288" s="221"/>
      <x:c r="AN288" s="222"/>
      <x:c r="AO288" s="222"/>
      <x:c r="AP288" s="228"/>
      <x:c r="AQ288" s="228"/>
      <x:c r="AR288" s="228"/>
      <x:c r="AS288" s="228"/>
      <x:c r="AT288" s="230"/>
    </x:row>
    <x:row r="289" spans="1:47" ht="15" customHeight="1">
      <x:c r="A289" s="237"/>
      <x:c r="B289" s="216"/>
      <x:c r="C289" s="238"/>
      <x:c r="D289" s="239"/>
      <x:c r="E289" s="239"/>
      <x:c r="F289" s="219"/>
      <x:c r="G289" s="219"/>
      <x:c r="H289" s="219"/>
      <x:c r="I289" s="219"/>
      <x:c r="J289" s="219"/>
      <x:c r="K289" s="219"/>
      <x:c r="L289" s="219"/>
      <x:c r="M289" s="219"/>
      <x:c r="N289" s="219"/>
      <x:c r="O289" s="219"/>
      <x:c r="P289" s="219"/>
      <x:c r="Q289" s="219"/>
      <x:c r="R289" s="219"/>
      <x:c r="S289" s="219"/>
      <x:c r="T289" s="219"/>
      <x:c r="U289" s="219"/>
      <x:c r="V289" s="219"/>
      <x:c r="W289" s="219"/>
      <x:c r="X289" s="219"/>
      <x:c r="Y289" s="219"/>
      <x:c r="Z289" s="219"/>
      <x:c r="AA289" s="219"/>
      <x:c r="AB289" s="219"/>
      <x:c r="AC289" s="219"/>
      <x:c r="AD289" s="219"/>
      <x:c r="AE289" s="219"/>
      <x:c r="AF289" s="219"/>
      <x:c r="AG289" s="219"/>
      <x:c r="AH289" s="219"/>
      <x:c r="AI289" s="219"/>
      <x:c r="AJ289" s="219"/>
      <x:c r="AK289" s="220"/>
      <x:c r="AL289" s="221"/>
      <x:c r="AM289" s="221"/>
      <x:c r="AN289" s="222"/>
      <x:c r="AO289" s="222"/>
      <x:c r="AP289" s="228"/>
      <x:c r="AQ289" s="228"/>
      <x:c r="AR289" s="228"/>
      <x:c r="AS289" s="228"/>
      <x:c r="AT289" s="230"/>
    </x:row>
    <x:row r="290" spans="1:47" ht="15" customHeight="1">
      <x:c r="A290" s="237"/>
      <x:c r="B290" s="216"/>
      <x:c r="C290" s="238"/>
      <x:c r="D290" s="239"/>
      <x:c r="E290" s="239"/>
      <x:c r="F290" s="236"/>
      <x:c r="G290" s="236"/>
      <x:c r="H290" s="236"/>
      <x:c r="I290" s="236"/>
      <x:c r="J290" s="236"/>
      <x:c r="K290" s="236"/>
      <x:c r="L290" s="236"/>
      <x:c r="M290" s="236"/>
      <x:c r="N290" s="236"/>
      <x:c r="O290" s="236"/>
      <x:c r="P290" s="236"/>
      <x:c r="Q290" s="236"/>
      <x:c r="R290" s="236"/>
      <x:c r="S290" s="236"/>
      <x:c r="T290" s="236"/>
      <x:c r="U290" s="236"/>
      <x:c r="V290" s="236"/>
      <x:c r="W290" s="236"/>
      <x:c r="X290" s="236"/>
      <x:c r="Y290" s="236"/>
      <x:c r="Z290" s="236"/>
      <x:c r="AA290" s="236"/>
      <x:c r="AB290" s="236"/>
      <x:c r="AC290" s="236"/>
      <x:c r="AD290" s="236"/>
      <x:c r="AE290" s="236"/>
      <x:c r="AF290" s="236"/>
      <x:c r="AG290" s="236"/>
      <x:c r="AH290" s="236"/>
      <x:c r="AI290" s="236"/>
      <x:c r="AJ290" s="236"/>
      <x:c r="AK290" s="220"/>
      <x:c r="AL290" s="221"/>
      <x:c r="AM290" s="221"/>
      <x:c r="AN290" s="222"/>
      <x:c r="AO290" s="222"/>
      <x:c r="AP290" s="228"/>
      <x:c r="AQ290" s="228"/>
      <x:c r="AR290" s="228"/>
      <x:c r="AS290" s="228"/>
      <x:c r="AT290" s="233"/>
    </x:row>
    <x:row r="291" spans="1:47" ht="15" customHeight="1">
      <x:c r="A291" s="237"/>
      <x:c r="B291" s="216"/>
      <x:c r="C291" s="238"/>
      <x:c r="D291" s="239"/>
      <x:c r="E291" s="239"/>
      <x:c r="F291" s="219"/>
      <x:c r="G291" s="219"/>
      <x:c r="H291" s="219"/>
      <x:c r="I291" s="219"/>
      <x:c r="J291" s="219"/>
      <x:c r="K291" s="219"/>
      <x:c r="L291" s="219"/>
      <x:c r="M291" s="219"/>
      <x:c r="N291" s="219"/>
      <x:c r="O291" s="219"/>
      <x:c r="P291" s="219"/>
      <x:c r="Q291" s="219"/>
      <x:c r="R291" s="219"/>
      <x:c r="S291" s="219"/>
      <x:c r="T291" s="219"/>
      <x:c r="U291" s="219"/>
      <x:c r="V291" s="219"/>
      <x:c r="W291" s="219"/>
      <x:c r="X291" s="219"/>
      <x:c r="Y291" s="219"/>
      <x:c r="Z291" s="219"/>
      <x:c r="AA291" s="219"/>
      <x:c r="AB291" s="219"/>
      <x:c r="AC291" s="219"/>
      <x:c r="AD291" s="219"/>
      <x:c r="AE291" s="219"/>
      <x:c r="AF291" s="219"/>
      <x:c r="AG291" s="219"/>
      <x:c r="AH291" s="219"/>
      <x:c r="AI291" s="219"/>
      <x:c r="AJ291" s="219"/>
      <x:c r="AK291" s="220"/>
      <x:c r="AL291" s="221"/>
      <x:c r="AM291" s="221"/>
      <x:c r="AN291" s="222"/>
      <x:c r="AO291" s="222"/>
      <x:c r="AP291" s="228"/>
      <x:c r="AQ291" s="228"/>
      <x:c r="AR291" s="228"/>
      <x:c r="AS291" s="228"/>
      <x:c r="AT291" s="230"/>
    </x:row>
    <x:row r="292" spans="1:47" ht="15" customHeight="1">
      <x:c r="A292" s="237"/>
      <x:c r="B292" s="216"/>
      <x:c r="C292" s="238"/>
      <x:c r="D292" s="239"/>
      <x:c r="E292" s="239"/>
      <x:c r="F292" s="219"/>
      <x:c r="G292" s="219"/>
      <x:c r="H292" s="219"/>
      <x:c r="I292" s="219"/>
      <x:c r="J292" s="219"/>
      <x:c r="K292" s="219"/>
      <x:c r="L292" s="219"/>
      <x:c r="M292" s="219"/>
      <x:c r="N292" s="219"/>
      <x:c r="O292" s="219"/>
      <x:c r="P292" s="219"/>
      <x:c r="Q292" s="219"/>
      <x:c r="R292" s="219"/>
      <x:c r="S292" s="219"/>
      <x:c r="T292" s="219"/>
      <x:c r="U292" s="219"/>
      <x:c r="V292" s="219"/>
      <x:c r="W292" s="219"/>
      <x:c r="X292" s="219"/>
      <x:c r="Y292" s="219"/>
      <x:c r="Z292" s="219"/>
      <x:c r="AA292" s="219"/>
      <x:c r="AB292" s="219"/>
      <x:c r="AC292" s="219"/>
      <x:c r="AD292" s="219"/>
      <x:c r="AE292" s="219"/>
      <x:c r="AF292" s="219"/>
      <x:c r="AG292" s="219"/>
      <x:c r="AH292" s="219"/>
      <x:c r="AI292" s="219"/>
      <x:c r="AJ292" s="219"/>
      <x:c r="AK292" s="220"/>
      <x:c r="AL292" s="221"/>
      <x:c r="AM292" s="221"/>
      <x:c r="AN292" s="222"/>
      <x:c r="AO292" s="222"/>
      <x:c r="AP292" s="228"/>
      <x:c r="AQ292" s="228"/>
      <x:c r="AR292" s="228"/>
      <x:c r="AS292" s="228"/>
      <x:c r="AT292" s="230"/>
    </x:row>
    <x:row r="293" spans="1:47" ht="15" customHeight="1">
      <x:c r="A293" s="237"/>
      <x:c r="B293" s="216"/>
      <x:c r="C293" s="238"/>
      <x:c r="D293" s="239"/>
      <x:c r="E293" s="239"/>
      <x:c r="F293" s="236"/>
      <x:c r="G293" s="236"/>
      <x:c r="H293" s="236"/>
      <x:c r="I293" s="236"/>
      <x:c r="J293" s="236"/>
      <x:c r="K293" s="236"/>
      <x:c r="L293" s="236"/>
      <x:c r="M293" s="236"/>
      <x:c r="N293" s="236"/>
      <x:c r="O293" s="236"/>
      <x:c r="P293" s="236"/>
      <x:c r="Q293" s="236"/>
      <x:c r="R293" s="236"/>
      <x:c r="S293" s="236"/>
      <x:c r="T293" s="236"/>
      <x:c r="U293" s="236"/>
      <x:c r="V293" s="236"/>
      <x:c r="W293" s="236"/>
      <x:c r="X293" s="236"/>
      <x:c r="Y293" s="236"/>
      <x:c r="Z293" s="236"/>
      <x:c r="AA293" s="236"/>
      <x:c r="AB293" s="236"/>
      <x:c r="AC293" s="236"/>
      <x:c r="AD293" s="236"/>
      <x:c r="AE293" s="236"/>
      <x:c r="AF293" s="236"/>
      <x:c r="AG293" s="236"/>
      <x:c r="AH293" s="236"/>
      <x:c r="AI293" s="236"/>
      <x:c r="AJ293" s="236"/>
      <x:c r="AK293" s="220"/>
      <x:c r="AL293" s="221"/>
      <x:c r="AM293" s="221"/>
      <x:c r="AN293" s="222"/>
      <x:c r="AO293" s="222"/>
      <x:c r="AP293" s="228"/>
      <x:c r="AQ293" s="228"/>
      <x:c r="AR293" s="228"/>
      <x:c r="AS293" s="228"/>
      <x:c r="AT293" s="230"/>
    </x:row>
    <x:row r="294" spans="1:47" ht="15" customHeight="1">
      <x:c r="A294" s="237"/>
      <x:c r="B294" s="216"/>
      <x:c r="C294" s="238"/>
      <x:c r="D294" s="239"/>
      <x:c r="E294" s="239"/>
      <x:c r="F294" s="236"/>
      <x:c r="G294" s="236"/>
      <x:c r="H294" s="236"/>
      <x:c r="I294" s="236"/>
      <x:c r="J294" s="236"/>
      <x:c r="K294" s="236"/>
      <x:c r="L294" s="236"/>
      <x:c r="M294" s="236"/>
      <x:c r="N294" s="236"/>
      <x:c r="O294" s="236"/>
      <x:c r="P294" s="236"/>
      <x:c r="Q294" s="236"/>
      <x:c r="R294" s="236"/>
      <x:c r="S294" s="236"/>
      <x:c r="T294" s="236"/>
      <x:c r="U294" s="236"/>
      <x:c r="V294" s="236"/>
      <x:c r="W294" s="236"/>
      <x:c r="X294" s="236"/>
      <x:c r="Y294" s="236"/>
      <x:c r="Z294" s="236"/>
      <x:c r="AA294" s="236"/>
      <x:c r="AB294" s="236"/>
      <x:c r="AC294" s="236"/>
      <x:c r="AD294" s="236"/>
      <x:c r="AE294" s="236"/>
      <x:c r="AF294" s="236"/>
      <x:c r="AG294" s="236"/>
      <x:c r="AH294" s="236"/>
      <x:c r="AI294" s="236"/>
      <x:c r="AJ294" s="236"/>
      <x:c r="AK294" s="220"/>
      <x:c r="AL294" s="221"/>
      <x:c r="AM294" s="221"/>
      <x:c r="AN294" s="222"/>
      <x:c r="AO294" s="222"/>
      <x:c r="AP294" s="228"/>
      <x:c r="AQ294" s="228"/>
      <x:c r="AR294" s="228"/>
      <x:c r="AS294" s="228"/>
      <x:c r="AT294" s="230"/>
    </x:row>
    <x:row r="295" spans="1:47" ht="15" customHeight="1">
      <x:c r="A295" s="237"/>
      <x:c r="B295" s="216"/>
      <x:c r="C295" s="238"/>
      <x:c r="D295" s="239"/>
      <x:c r="E295" s="239"/>
      <x:c r="F295" s="236"/>
      <x:c r="G295" s="236"/>
      <x:c r="H295" s="236"/>
      <x:c r="I295" s="236"/>
      <x:c r="J295" s="236"/>
      <x:c r="K295" s="236"/>
      <x:c r="L295" s="236"/>
      <x:c r="M295" s="236"/>
      <x:c r="N295" s="236"/>
      <x:c r="O295" s="236"/>
      <x:c r="P295" s="236"/>
      <x:c r="Q295" s="236"/>
      <x:c r="R295" s="236"/>
      <x:c r="S295" s="236"/>
      <x:c r="T295" s="236"/>
      <x:c r="U295" s="236"/>
      <x:c r="V295" s="236"/>
      <x:c r="W295" s="236"/>
      <x:c r="X295" s="236"/>
      <x:c r="Y295" s="236"/>
      <x:c r="Z295" s="236"/>
      <x:c r="AA295" s="236"/>
      <x:c r="AB295" s="236"/>
      <x:c r="AC295" s="236"/>
      <x:c r="AD295" s="236"/>
      <x:c r="AE295" s="236"/>
      <x:c r="AF295" s="236"/>
      <x:c r="AG295" s="236"/>
      <x:c r="AH295" s="236"/>
      <x:c r="AI295" s="236"/>
      <x:c r="AJ295" s="236"/>
      <x:c r="AK295" s="220"/>
      <x:c r="AL295" s="221"/>
      <x:c r="AM295" s="221"/>
      <x:c r="AN295" s="222"/>
      <x:c r="AO295" s="222"/>
      <x:c r="AP295" s="228"/>
      <x:c r="AQ295" s="228"/>
      <x:c r="AR295" s="228"/>
      <x:c r="AS295" s="228"/>
      <x:c r="AT295" s="230"/>
    </x:row>
    <x:row r="296" spans="1:47" ht="15" customHeight="1">
      <x:c r="A296" s="237"/>
      <x:c r="B296" s="216"/>
      <x:c r="C296" s="238"/>
      <x:c r="D296" s="239"/>
      <x:c r="E296" s="239"/>
      <x:c r="F296" s="236"/>
      <x:c r="G296" s="236"/>
      <x:c r="H296" s="236"/>
      <x:c r="I296" s="236"/>
      <x:c r="J296" s="236"/>
      <x:c r="K296" s="236"/>
      <x:c r="L296" s="236"/>
      <x:c r="M296" s="236"/>
      <x:c r="N296" s="236"/>
      <x:c r="O296" s="236"/>
      <x:c r="P296" s="236"/>
      <x:c r="Q296" s="236"/>
      <x:c r="R296" s="236"/>
      <x:c r="S296" s="236"/>
      <x:c r="T296" s="236"/>
      <x:c r="U296" s="236"/>
      <x:c r="V296" s="236"/>
      <x:c r="W296" s="236"/>
      <x:c r="X296" s="236"/>
      <x:c r="Y296" s="236"/>
      <x:c r="Z296" s="236"/>
      <x:c r="AA296" s="236"/>
      <x:c r="AB296" s="236"/>
      <x:c r="AC296" s="236"/>
      <x:c r="AD296" s="236"/>
      <x:c r="AE296" s="236"/>
      <x:c r="AF296" s="236"/>
      <x:c r="AG296" s="236"/>
      <x:c r="AH296" s="236"/>
      <x:c r="AI296" s="236"/>
      <x:c r="AJ296" s="236"/>
      <x:c r="AK296" s="220"/>
      <x:c r="AL296" s="221"/>
      <x:c r="AM296" s="221"/>
      <x:c r="AN296" s="222"/>
      <x:c r="AO296" s="222"/>
      <x:c r="AP296" s="228"/>
      <x:c r="AQ296" s="228"/>
      <x:c r="AR296" s="228"/>
      <x:c r="AS296" s="228"/>
      <x:c r="AT296" s="230"/>
    </x:row>
    <x:row r="297" spans="1:47" ht="15" customHeight="1">
      <x:c r="A297" s="237"/>
      <x:c r="B297" s="216"/>
      <x:c r="C297" s="238"/>
      <x:c r="D297" s="239"/>
      <x:c r="E297" s="239"/>
      <x:c r="F297" s="236"/>
      <x:c r="G297" s="236"/>
      <x:c r="H297" s="236"/>
      <x:c r="I297" s="236"/>
      <x:c r="J297" s="236"/>
      <x:c r="K297" s="236"/>
      <x:c r="L297" s="236"/>
      <x:c r="M297" s="236"/>
      <x:c r="N297" s="236"/>
      <x:c r="O297" s="236"/>
      <x:c r="P297" s="236"/>
      <x:c r="Q297" s="236"/>
      <x:c r="R297" s="236"/>
      <x:c r="S297" s="236"/>
      <x:c r="T297" s="236"/>
      <x:c r="U297" s="236"/>
      <x:c r="V297" s="236"/>
      <x:c r="W297" s="236"/>
      <x:c r="X297" s="236"/>
      <x:c r="Y297" s="236"/>
      <x:c r="Z297" s="236"/>
      <x:c r="AA297" s="236"/>
      <x:c r="AB297" s="236"/>
      <x:c r="AC297" s="236"/>
      <x:c r="AD297" s="236"/>
      <x:c r="AE297" s="236"/>
      <x:c r="AF297" s="236"/>
      <x:c r="AG297" s="236"/>
      <x:c r="AH297" s="236"/>
      <x:c r="AI297" s="236"/>
      <x:c r="AJ297" s="236"/>
      <x:c r="AK297" s="220"/>
      <x:c r="AL297" s="221"/>
      <x:c r="AM297" s="221"/>
      <x:c r="AN297" s="222"/>
      <x:c r="AO297" s="222"/>
      <x:c r="AP297" s="228"/>
      <x:c r="AQ297" s="228"/>
      <x:c r="AR297" s="228"/>
      <x:c r="AS297" s="228"/>
      <x:c r="AT297" s="230"/>
    </x:row>
    <x:row r="298" spans="1:47" ht="15" customHeight="1">
      <x:c r="A298" s="237"/>
      <x:c r="B298" s="216"/>
      <x:c r="C298" s="238"/>
      <x:c r="D298" s="239"/>
      <x:c r="E298" s="239"/>
      <x:c r="F298" s="236"/>
      <x:c r="G298" s="236"/>
      <x:c r="H298" s="236"/>
      <x:c r="I298" s="236"/>
      <x:c r="J298" s="236"/>
      <x:c r="K298" s="236"/>
      <x:c r="L298" s="236"/>
      <x:c r="M298" s="236"/>
      <x:c r="N298" s="236"/>
      <x:c r="O298" s="236"/>
      <x:c r="P298" s="236"/>
      <x:c r="Q298" s="236"/>
      <x:c r="R298" s="236"/>
      <x:c r="S298" s="236"/>
      <x:c r="T298" s="236"/>
      <x:c r="U298" s="236"/>
      <x:c r="V298" s="236"/>
      <x:c r="W298" s="236"/>
      <x:c r="X298" s="236"/>
      <x:c r="Y298" s="236"/>
      <x:c r="Z298" s="236"/>
      <x:c r="AA298" s="236"/>
      <x:c r="AB298" s="236"/>
      <x:c r="AC298" s="236"/>
      <x:c r="AD298" s="236"/>
      <x:c r="AE298" s="236"/>
      <x:c r="AF298" s="236"/>
      <x:c r="AG298" s="236"/>
      <x:c r="AH298" s="236"/>
      <x:c r="AI298" s="236"/>
      <x:c r="AJ298" s="236"/>
      <x:c r="AK298" s="220"/>
      <x:c r="AL298" s="221"/>
      <x:c r="AM298" s="221"/>
      <x:c r="AN298" s="222"/>
      <x:c r="AO298" s="222"/>
      <x:c r="AP298" s="228"/>
      <x:c r="AQ298" s="228"/>
      <x:c r="AR298" s="228"/>
      <x:c r="AS298" s="228"/>
      <x:c r="AT298" s="230"/>
    </x:row>
    <x:row r="299" spans="1:47" ht="15" customHeight="1">
      <x:c r="A299" s="237"/>
      <x:c r="B299" s="216"/>
      <x:c r="C299" s="238"/>
      <x:c r="D299" s="239"/>
      <x:c r="E299" s="239"/>
      <x:c r="F299" s="236"/>
      <x:c r="G299" s="236"/>
      <x:c r="H299" s="236"/>
      <x:c r="I299" s="236"/>
      <x:c r="J299" s="236"/>
      <x:c r="K299" s="236"/>
      <x:c r="L299" s="236"/>
      <x:c r="M299" s="236"/>
      <x:c r="N299" s="236"/>
      <x:c r="O299" s="236"/>
      <x:c r="P299" s="236"/>
      <x:c r="Q299" s="236"/>
      <x:c r="R299" s="236"/>
      <x:c r="S299" s="236"/>
      <x:c r="T299" s="236"/>
      <x:c r="U299" s="236"/>
      <x:c r="V299" s="236"/>
      <x:c r="W299" s="236"/>
      <x:c r="X299" s="236"/>
      <x:c r="Y299" s="236"/>
      <x:c r="Z299" s="236"/>
      <x:c r="AA299" s="236"/>
      <x:c r="AB299" s="236"/>
      <x:c r="AC299" s="236"/>
      <x:c r="AD299" s="236"/>
      <x:c r="AE299" s="236"/>
      <x:c r="AF299" s="236"/>
      <x:c r="AG299" s="236"/>
      <x:c r="AH299" s="236"/>
      <x:c r="AI299" s="236"/>
      <x:c r="AJ299" s="236"/>
      <x:c r="AK299" s="220"/>
      <x:c r="AL299" s="221"/>
      <x:c r="AM299" s="221"/>
      <x:c r="AN299" s="222"/>
      <x:c r="AO299" s="222"/>
      <x:c r="AP299" s="228"/>
      <x:c r="AQ299" s="228"/>
      <x:c r="AR299" s="228"/>
      <x:c r="AS299" s="228"/>
      <x:c r="AT299" s="230"/>
    </x:row>
    <x:row r="300" spans="1:47" ht="15" customHeight="1">
      <x:c r="A300" s="237"/>
      <x:c r="B300" s="216"/>
      <x:c r="C300" s="238"/>
      <x:c r="D300" s="239"/>
      <x:c r="E300" s="239"/>
      <x:c r="F300" s="236"/>
      <x:c r="G300" s="236"/>
      <x:c r="H300" s="236"/>
      <x:c r="I300" s="236"/>
      <x:c r="J300" s="236"/>
      <x:c r="K300" s="236"/>
      <x:c r="L300" s="236"/>
      <x:c r="M300" s="236"/>
      <x:c r="N300" s="236"/>
      <x:c r="O300" s="236"/>
      <x:c r="P300" s="236"/>
      <x:c r="Q300" s="236"/>
      <x:c r="R300" s="236"/>
      <x:c r="S300" s="236"/>
      <x:c r="T300" s="236"/>
      <x:c r="U300" s="236"/>
      <x:c r="V300" s="236"/>
      <x:c r="W300" s="236"/>
      <x:c r="X300" s="236"/>
      <x:c r="Y300" s="236"/>
      <x:c r="Z300" s="236"/>
      <x:c r="AA300" s="236"/>
      <x:c r="AB300" s="236"/>
      <x:c r="AC300" s="236"/>
      <x:c r="AD300" s="236"/>
      <x:c r="AE300" s="236"/>
      <x:c r="AF300" s="236"/>
      <x:c r="AG300" s="236"/>
      <x:c r="AH300" s="236"/>
      <x:c r="AI300" s="236"/>
      <x:c r="AJ300" s="236"/>
      <x:c r="AK300" s="220"/>
      <x:c r="AL300" s="221"/>
      <x:c r="AM300" s="221"/>
      <x:c r="AN300" s="222"/>
      <x:c r="AO300" s="222"/>
      <x:c r="AP300" s="228"/>
      <x:c r="AQ300" s="228"/>
      <x:c r="AR300" s="228"/>
      <x:c r="AS300" s="228"/>
      <x:c r="AT300" s="230"/>
    </x:row>
    <x:row r="301" spans="1:47" ht="15" customHeight="1">
      <x:c r="A301" s="237"/>
      <x:c r="B301" s="216"/>
      <x:c r="C301" s="238"/>
      <x:c r="D301" s="239"/>
      <x:c r="E301" s="239"/>
      <x:c r="F301" s="236"/>
      <x:c r="G301" s="236"/>
      <x:c r="H301" s="236"/>
      <x:c r="I301" s="236"/>
      <x:c r="J301" s="236"/>
      <x:c r="K301" s="236"/>
      <x:c r="L301" s="236"/>
      <x:c r="M301" s="236"/>
      <x:c r="N301" s="236"/>
      <x:c r="O301" s="236"/>
      <x:c r="P301" s="236"/>
      <x:c r="Q301" s="236"/>
      <x:c r="R301" s="236"/>
      <x:c r="S301" s="236"/>
      <x:c r="T301" s="236"/>
      <x:c r="U301" s="236"/>
      <x:c r="V301" s="236"/>
      <x:c r="W301" s="236"/>
      <x:c r="X301" s="236"/>
      <x:c r="Y301" s="236"/>
      <x:c r="Z301" s="236"/>
      <x:c r="AA301" s="236"/>
      <x:c r="AB301" s="236"/>
      <x:c r="AC301" s="236"/>
      <x:c r="AD301" s="236"/>
      <x:c r="AE301" s="236"/>
      <x:c r="AF301" s="236"/>
      <x:c r="AG301" s="236"/>
      <x:c r="AH301" s="236"/>
      <x:c r="AI301" s="236"/>
      <x:c r="AJ301" s="236"/>
      <x:c r="AK301" s="220"/>
      <x:c r="AL301" s="221"/>
      <x:c r="AM301" s="221"/>
      <x:c r="AN301" s="222"/>
      <x:c r="AO301" s="222"/>
      <x:c r="AP301" s="228"/>
      <x:c r="AQ301" s="228"/>
      <x:c r="AR301" s="228"/>
      <x:c r="AS301" s="228"/>
      <x:c r="AT301" s="230"/>
    </x:row>
    <x:row r="302" spans="1:47" ht="15" customHeight="1">
      <x:c r="A302" s="237"/>
      <x:c r="B302" s="216"/>
      <x:c r="C302" s="238"/>
      <x:c r="D302" s="239"/>
      <x:c r="E302" s="239"/>
      <x:c r="F302" s="236"/>
      <x:c r="G302" s="236"/>
      <x:c r="H302" s="236"/>
      <x:c r="I302" s="236"/>
      <x:c r="J302" s="236"/>
      <x:c r="K302" s="236"/>
      <x:c r="L302" s="236"/>
      <x:c r="M302" s="236"/>
      <x:c r="N302" s="236"/>
      <x:c r="O302" s="236"/>
      <x:c r="P302" s="236"/>
      <x:c r="Q302" s="236"/>
      <x:c r="R302" s="236"/>
      <x:c r="S302" s="236"/>
      <x:c r="T302" s="236"/>
      <x:c r="U302" s="236"/>
      <x:c r="V302" s="236"/>
      <x:c r="W302" s="236"/>
      <x:c r="X302" s="236"/>
      <x:c r="Y302" s="236"/>
      <x:c r="Z302" s="236"/>
      <x:c r="AA302" s="236"/>
      <x:c r="AB302" s="236"/>
      <x:c r="AC302" s="236"/>
      <x:c r="AD302" s="236"/>
      <x:c r="AE302" s="236"/>
      <x:c r="AF302" s="236"/>
      <x:c r="AG302" s="236"/>
      <x:c r="AH302" s="236"/>
      <x:c r="AI302" s="236"/>
      <x:c r="AJ302" s="236"/>
      <x:c r="AK302" s="220"/>
      <x:c r="AL302" s="221"/>
      <x:c r="AM302" s="221"/>
      <x:c r="AN302" s="222"/>
      <x:c r="AO302" s="222"/>
      <x:c r="AP302" s="228"/>
      <x:c r="AQ302" s="228"/>
      <x:c r="AR302" s="228"/>
      <x:c r="AS302" s="228"/>
      <x:c r="AT302" s="230"/>
    </x:row>
    <x:row r="303" spans="1:47" ht="15" customHeight="1">
      <x:c r="A303" s="237"/>
      <x:c r="B303" s="216"/>
      <x:c r="C303" s="238"/>
      <x:c r="D303" s="239"/>
      <x:c r="E303" s="239"/>
      <x:c r="F303" s="236"/>
      <x:c r="G303" s="236"/>
      <x:c r="H303" s="236"/>
      <x:c r="I303" s="236"/>
      <x:c r="J303" s="236"/>
      <x:c r="K303" s="236"/>
      <x:c r="L303" s="236"/>
      <x:c r="M303" s="236"/>
      <x:c r="N303" s="236"/>
      <x:c r="O303" s="236"/>
      <x:c r="P303" s="236"/>
      <x:c r="Q303" s="236"/>
      <x:c r="R303" s="236"/>
      <x:c r="S303" s="236"/>
      <x:c r="T303" s="236"/>
      <x:c r="U303" s="236"/>
      <x:c r="V303" s="236"/>
      <x:c r="W303" s="236"/>
      <x:c r="X303" s="236"/>
      <x:c r="Y303" s="236"/>
      <x:c r="Z303" s="236"/>
      <x:c r="AA303" s="236"/>
      <x:c r="AB303" s="236"/>
      <x:c r="AC303" s="236"/>
      <x:c r="AD303" s="236"/>
      <x:c r="AE303" s="236"/>
      <x:c r="AF303" s="236"/>
      <x:c r="AG303" s="236"/>
      <x:c r="AH303" s="236"/>
      <x:c r="AI303" s="236"/>
      <x:c r="AJ303" s="236"/>
      <x:c r="AK303" s="220"/>
      <x:c r="AL303" s="221"/>
      <x:c r="AM303" s="221"/>
      <x:c r="AN303" s="222"/>
      <x:c r="AO303" s="222"/>
      <x:c r="AP303" s="228"/>
      <x:c r="AQ303" s="228"/>
      <x:c r="AR303" s="228"/>
      <x:c r="AS303" s="228"/>
      <x:c r="AT303" s="230"/>
    </x:row>
    <x:row r="304" spans="1:47" ht="15" customHeight="1">
      <x:c r="A304" s="237"/>
      <x:c r="B304" s="216"/>
      <x:c r="C304" s="238"/>
      <x:c r="D304" s="239"/>
      <x:c r="E304" s="239"/>
      <x:c r="F304" s="236"/>
      <x:c r="G304" s="236"/>
      <x:c r="H304" s="236"/>
      <x:c r="I304" s="236"/>
      <x:c r="J304" s="236"/>
      <x:c r="K304" s="236"/>
      <x:c r="L304" s="236"/>
      <x:c r="M304" s="236"/>
      <x:c r="N304" s="236"/>
      <x:c r="O304" s="236"/>
      <x:c r="P304" s="236"/>
      <x:c r="Q304" s="236"/>
      <x:c r="R304" s="236"/>
      <x:c r="S304" s="236"/>
      <x:c r="T304" s="236"/>
      <x:c r="U304" s="236"/>
      <x:c r="V304" s="236"/>
      <x:c r="W304" s="236"/>
      <x:c r="X304" s="236"/>
      <x:c r="Y304" s="236"/>
      <x:c r="Z304" s="236"/>
      <x:c r="AA304" s="236"/>
      <x:c r="AB304" s="236"/>
      <x:c r="AC304" s="236"/>
      <x:c r="AD304" s="236"/>
      <x:c r="AE304" s="236"/>
      <x:c r="AF304" s="236"/>
      <x:c r="AG304" s="236"/>
      <x:c r="AH304" s="236"/>
      <x:c r="AI304" s="236"/>
      <x:c r="AJ304" s="236"/>
      <x:c r="AK304" s="220"/>
      <x:c r="AL304" s="221"/>
      <x:c r="AM304" s="221"/>
      <x:c r="AN304" s="222"/>
      <x:c r="AO304" s="222"/>
      <x:c r="AP304" s="228"/>
      <x:c r="AQ304" s="228"/>
      <x:c r="AR304" s="228"/>
      <x:c r="AS304" s="228"/>
      <x:c r="AT304" s="230"/>
    </x:row>
    <x:row r="305" spans="1:47" ht="15" customHeight="1">
      <x:c r="A305" s="237"/>
      <x:c r="B305" s="216"/>
      <x:c r="C305" s="238"/>
      <x:c r="D305" s="239"/>
      <x:c r="E305" s="239"/>
      <x:c r="F305" s="236"/>
      <x:c r="G305" s="236"/>
      <x:c r="H305" s="236"/>
      <x:c r="I305" s="236"/>
      <x:c r="J305" s="236"/>
      <x:c r="K305" s="236"/>
      <x:c r="L305" s="236"/>
      <x:c r="M305" s="236"/>
      <x:c r="N305" s="236"/>
      <x:c r="O305" s="236"/>
      <x:c r="P305" s="236"/>
      <x:c r="Q305" s="236"/>
      <x:c r="R305" s="236"/>
      <x:c r="S305" s="236"/>
      <x:c r="T305" s="236"/>
      <x:c r="U305" s="236"/>
      <x:c r="V305" s="236"/>
      <x:c r="W305" s="236"/>
      <x:c r="X305" s="236"/>
      <x:c r="Y305" s="236"/>
      <x:c r="Z305" s="236"/>
      <x:c r="AA305" s="236"/>
      <x:c r="AB305" s="236"/>
      <x:c r="AC305" s="236"/>
      <x:c r="AD305" s="236"/>
      <x:c r="AE305" s="236"/>
      <x:c r="AF305" s="236"/>
      <x:c r="AG305" s="236"/>
      <x:c r="AH305" s="236"/>
      <x:c r="AI305" s="236"/>
      <x:c r="AJ305" s="236"/>
      <x:c r="AK305" s="220"/>
      <x:c r="AL305" s="221"/>
      <x:c r="AM305" s="221"/>
      <x:c r="AN305" s="222"/>
      <x:c r="AO305" s="222"/>
      <x:c r="AP305" s="228"/>
      <x:c r="AQ305" s="228"/>
      <x:c r="AR305" s="228"/>
      <x:c r="AS305" s="228"/>
      <x:c r="AT305" s="230"/>
    </x:row>
    <x:row r="306" spans="1:47" ht="15" customHeight="1">
      <x:c r="A306" s="237"/>
      <x:c r="B306" s="216"/>
      <x:c r="C306" s="238"/>
      <x:c r="D306" s="239"/>
      <x:c r="E306" s="239"/>
      <x:c r="F306" s="236"/>
      <x:c r="G306" s="236"/>
      <x:c r="H306" s="236"/>
      <x:c r="I306" s="236"/>
      <x:c r="J306" s="236"/>
      <x:c r="K306" s="236"/>
      <x:c r="L306" s="236"/>
      <x:c r="M306" s="236"/>
      <x:c r="N306" s="236"/>
      <x:c r="O306" s="236"/>
      <x:c r="P306" s="236"/>
      <x:c r="Q306" s="236"/>
      <x:c r="R306" s="236"/>
      <x:c r="S306" s="236"/>
      <x:c r="T306" s="236"/>
      <x:c r="U306" s="236"/>
      <x:c r="V306" s="236"/>
      <x:c r="W306" s="236"/>
      <x:c r="X306" s="236"/>
      <x:c r="Y306" s="236"/>
      <x:c r="Z306" s="236"/>
      <x:c r="AA306" s="236"/>
      <x:c r="AB306" s="236"/>
      <x:c r="AC306" s="236"/>
      <x:c r="AD306" s="236"/>
      <x:c r="AE306" s="236"/>
      <x:c r="AF306" s="236"/>
      <x:c r="AG306" s="236"/>
      <x:c r="AH306" s="236"/>
      <x:c r="AI306" s="236"/>
      <x:c r="AJ306" s="236"/>
      <x:c r="AK306" s="220"/>
      <x:c r="AL306" s="221"/>
      <x:c r="AM306" s="221"/>
      <x:c r="AN306" s="222"/>
      <x:c r="AO306" s="222"/>
      <x:c r="AP306" s="228"/>
      <x:c r="AQ306" s="228"/>
      <x:c r="AR306" s="228"/>
      <x:c r="AS306" s="228"/>
      <x:c r="AT306" s="230"/>
    </x:row>
    <x:row r="307" spans="1:47" ht="15" customHeight="1">
      <x:c r="A307" s="237"/>
      <x:c r="B307" s="216"/>
      <x:c r="C307" s="238"/>
      <x:c r="D307" s="239"/>
      <x:c r="E307" s="239"/>
      <x:c r="F307" s="236"/>
      <x:c r="G307" s="236"/>
      <x:c r="H307" s="236"/>
      <x:c r="I307" s="236"/>
      <x:c r="J307" s="236"/>
      <x:c r="K307" s="236"/>
      <x:c r="L307" s="236"/>
      <x:c r="M307" s="236"/>
      <x:c r="N307" s="236"/>
      <x:c r="O307" s="236"/>
      <x:c r="P307" s="236"/>
      <x:c r="Q307" s="236"/>
      <x:c r="R307" s="236"/>
      <x:c r="S307" s="236"/>
      <x:c r="T307" s="236"/>
      <x:c r="U307" s="236"/>
      <x:c r="V307" s="236"/>
      <x:c r="W307" s="236"/>
      <x:c r="X307" s="236"/>
      <x:c r="Y307" s="236"/>
      <x:c r="Z307" s="236"/>
      <x:c r="AA307" s="236"/>
      <x:c r="AB307" s="236"/>
      <x:c r="AC307" s="236"/>
      <x:c r="AD307" s="236"/>
      <x:c r="AE307" s="236"/>
      <x:c r="AF307" s="236"/>
      <x:c r="AG307" s="236"/>
      <x:c r="AH307" s="236"/>
      <x:c r="AI307" s="236"/>
      <x:c r="AJ307" s="236"/>
      <x:c r="AK307" s="220"/>
      <x:c r="AL307" s="221"/>
      <x:c r="AM307" s="221"/>
      <x:c r="AN307" s="222"/>
      <x:c r="AO307" s="222"/>
      <x:c r="AP307" s="228"/>
      <x:c r="AQ307" s="228"/>
      <x:c r="AR307" s="228"/>
      <x:c r="AS307" s="228"/>
      <x:c r="AT307" s="230"/>
    </x:row>
    <x:row r="308" spans="1:47" ht="15" customHeight="1">
      <x:c r="A308" s="237"/>
      <x:c r="B308" s="216"/>
      <x:c r="C308" s="238"/>
      <x:c r="D308" s="239"/>
      <x:c r="E308" s="239"/>
      <x:c r="F308" s="236"/>
      <x:c r="G308" s="236"/>
      <x:c r="H308" s="236"/>
      <x:c r="I308" s="236"/>
      <x:c r="J308" s="236"/>
      <x:c r="K308" s="236"/>
      <x:c r="L308" s="236"/>
      <x:c r="M308" s="236"/>
      <x:c r="N308" s="236"/>
      <x:c r="O308" s="236"/>
      <x:c r="P308" s="236"/>
      <x:c r="Q308" s="236"/>
      <x:c r="R308" s="236"/>
      <x:c r="S308" s="236"/>
      <x:c r="T308" s="236"/>
      <x:c r="U308" s="236"/>
      <x:c r="V308" s="236"/>
      <x:c r="W308" s="236"/>
      <x:c r="X308" s="236"/>
      <x:c r="Y308" s="236"/>
      <x:c r="Z308" s="236"/>
      <x:c r="AA308" s="236"/>
      <x:c r="AB308" s="236"/>
      <x:c r="AC308" s="236"/>
      <x:c r="AD308" s="236"/>
      <x:c r="AE308" s="236"/>
      <x:c r="AF308" s="236"/>
      <x:c r="AG308" s="236"/>
      <x:c r="AH308" s="236"/>
      <x:c r="AI308" s="236"/>
      <x:c r="AJ308" s="236"/>
      <x:c r="AK308" s="220"/>
      <x:c r="AL308" s="221"/>
      <x:c r="AM308" s="221"/>
      <x:c r="AN308" s="222"/>
      <x:c r="AO308" s="222"/>
      <x:c r="AP308" s="228"/>
      <x:c r="AQ308" s="228"/>
      <x:c r="AR308" s="228"/>
      <x:c r="AS308" s="228"/>
      <x:c r="AT308" s="230"/>
    </x:row>
    <x:row r="309" spans="1:47" ht="15" customHeight="1">
      <x:c r="A309" s="237"/>
      <x:c r="B309" s="216"/>
      <x:c r="C309" s="238"/>
      <x:c r="D309" s="239"/>
      <x:c r="E309" s="239"/>
      <x:c r="F309" s="236"/>
      <x:c r="G309" s="236"/>
      <x:c r="H309" s="236"/>
      <x:c r="I309" s="236"/>
      <x:c r="J309" s="236"/>
      <x:c r="K309" s="236"/>
      <x:c r="L309" s="236"/>
      <x:c r="M309" s="236"/>
      <x:c r="N309" s="236"/>
      <x:c r="O309" s="236"/>
      <x:c r="P309" s="236"/>
      <x:c r="Q309" s="236"/>
      <x:c r="R309" s="236"/>
      <x:c r="S309" s="236"/>
      <x:c r="T309" s="236"/>
      <x:c r="U309" s="236"/>
      <x:c r="V309" s="236"/>
      <x:c r="W309" s="236"/>
      <x:c r="X309" s="236"/>
      <x:c r="Y309" s="236"/>
      <x:c r="Z309" s="236"/>
      <x:c r="AA309" s="236"/>
      <x:c r="AB309" s="236"/>
      <x:c r="AC309" s="236"/>
      <x:c r="AD309" s="236"/>
      <x:c r="AE309" s="236"/>
      <x:c r="AF309" s="236"/>
      <x:c r="AG309" s="236"/>
      <x:c r="AH309" s="236"/>
      <x:c r="AI309" s="236"/>
      <x:c r="AJ309" s="236"/>
      <x:c r="AK309" s="220"/>
      <x:c r="AL309" s="221"/>
      <x:c r="AM309" s="221"/>
      <x:c r="AN309" s="222"/>
      <x:c r="AO309" s="222"/>
      <x:c r="AP309" s="228"/>
      <x:c r="AQ309" s="228"/>
      <x:c r="AR309" s="228"/>
      <x:c r="AS309" s="228"/>
      <x:c r="AT309" s="230"/>
    </x:row>
    <x:row r="310" spans="1:47" ht="15" customHeight="1">
      <x:c r="A310" s="237"/>
      <x:c r="B310" s="216"/>
      <x:c r="C310" s="238"/>
      <x:c r="D310" s="239"/>
      <x:c r="E310" s="239"/>
      <x:c r="F310" s="236"/>
      <x:c r="G310" s="236"/>
      <x:c r="H310" s="236"/>
      <x:c r="I310" s="236"/>
      <x:c r="J310" s="236"/>
      <x:c r="K310" s="236"/>
      <x:c r="L310" s="236"/>
      <x:c r="M310" s="236"/>
      <x:c r="N310" s="236"/>
      <x:c r="O310" s="236"/>
      <x:c r="P310" s="236"/>
      <x:c r="Q310" s="236"/>
      <x:c r="R310" s="236"/>
      <x:c r="S310" s="236"/>
      <x:c r="T310" s="236"/>
      <x:c r="U310" s="236"/>
      <x:c r="V310" s="236"/>
      <x:c r="W310" s="236"/>
      <x:c r="X310" s="236"/>
      <x:c r="Y310" s="236"/>
      <x:c r="Z310" s="236"/>
      <x:c r="AA310" s="236"/>
      <x:c r="AB310" s="236"/>
      <x:c r="AC310" s="236"/>
      <x:c r="AD310" s="236"/>
      <x:c r="AE310" s="236"/>
      <x:c r="AF310" s="236"/>
      <x:c r="AG310" s="236"/>
      <x:c r="AH310" s="236"/>
      <x:c r="AI310" s="236"/>
      <x:c r="AJ310" s="236"/>
      <x:c r="AK310" s="220"/>
      <x:c r="AL310" s="221"/>
      <x:c r="AM310" s="221"/>
      <x:c r="AN310" s="222"/>
      <x:c r="AO310" s="222"/>
      <x:c r="AP310" s="228"/>
      <x:c r="AQ310" s="228"/>
      <x:c r="AR310" s="228"/>
      <x:c r="AS310" s="228"/>
      <x:c r="AT310" s="230"/>
    </x:row>
    <x:row r="311" spans="1:47" ht="15" customHeight="1">
      <x:c r="A311" s="237"/>
      <x:c r="B311" s="216"/>
      <x:c r="C311" s="238"/>
      <x:c r="D311" s="239"/>
      <x:c r="E311" s="239"/>
      <x:c r="F311" s="236"/>
      <x:c r="G311" s="236"/>
      <x:c r="H311" s="236"/>
      <x:c r="I311" s="236"/>
      <x:c r="J311" s="236"/>
      <x:c r="K311" s="236"/>
      <x:c r="L311" s="236"/>
      <x:c r="M311" s="236"/>
      <x:c r="N311" s="236"/>
      <x:c r="O311" s="236"/>
      <x:c r="P311" s="236"/>
      <x:c r="Q311" s="236"/>
      <x:c r="R311" s="236"/>
      <x:c r="S311" s="236"/>
      <x:c r="T311" s="236"/>
      <x:c r="U311" s="236"/>
      <x:c r="V311" s="236"/>
      <x:c r="W311" s="236"/>
      <x:c r="X311" s="236"/>
      <x:c r="Y311" s="236"/>
      <x:c r="Z311" s="236"/>
      <x:c r="AA311" s="236"/>
      <x:c r="AB311" s="236"/>
      <x:c r="AC311" s="236"/>
      <x:c r="AD311" s="236"/>
      <x:c r="AE311" s="236"/>
      <x:c r="AF311" s="236"/>
      <x:c r="AG311" s="236"/>
      <x:c r="AH311" s="236"/>
      <x:c r="AI311" s="236"/>
      <x:c r="AJ311" s="236"/>
      <x:c r="AK311" s="220"/>
      <x:c r="AL311" s="221"/>
      <x:c r="AM311" s="221"/>
      <x:c r="AN311" s="222"/>
      <x:c r="AO311" s="222"/>
      <x:c r="AP311" s="228"/>
      <x:c r="AQ311" s="228"/>
      <x:c r="AR311" s="228"/>
      <x:c r="AS311" s="228"/>
      <x:c r="AT311" s="230"/>
    </x:row>
    <x:row r="312" spans="1:47" ht="15" customHeight="1">
      <x:c r="A312" s="237"/>
      <x:c r="B312" s="216"/>
      <x:c r="C312" s="238"/>
      <x:c r="D312" s="239"/>
      <x:c r="E312" s="239"/>
      <x:c r="F312" s="236"/>
      <x:c r="G312" s="236"/>
      <x:c r="H312" s="236"/>
      <x:c r="I312" s="236"/>
      <x:c r="J312" s="236"/>
      <x:c r="K312" s="236"/>
      <x:c r="L312" s="236"/>
      <x:c r="M312" s="236"/>
      <x:c r="N312" s="236"/>
      <x:c r="O312" s="236"/>
      <x:c r="P312" s="236"/>
      <x:c r="Q312" s="236"/>
      <x:c r="R312" s="236"/>
      <x:c r="S312" s="236"/>
      <x:c r="T312" s="236"/>
      <x:c r="U312" s="236"/>
      <x:c r="V312" s="236"/>
      <x:c r="W312" s="236"/>
      <x:c r="X312" s="236"/>
      <x:c r="Y312" s="236"/>
      <x:c r="Z312" s="236"/>
      <x:c r="AA312" s="236"/>
      <x:c r="AB312" s="236"/>
      <x:c r="AC312" s="236"/>
      <x:c r="AD312" s="236"/>
      <x:c r="AE312" s="236"/>
      <x:c r="AF312" s="236"/>
      <x:c r="AG312" s="236"/>
      <x:c r="AH312" s="236"/>
      <x:c r="AI312" s="236"/>
      <x:c r="AJ312" s="236"/>
      <x:c r="AK312" s="220"/>
      <x:c r="AL312" s="221"/>
      <x:c r="AM312" s="221"/>
      <x:c r="AN312" s="222"/>
      <x:c r="AO312" s="222"/>
      <x:c r="AP312" s="228"/>
      <x:c r="AQ312" s="228"/>
      <x:c r="AR312" s="228"/>
      <x:c r="AS312" s="228"/>
      <x:c r="AT312" s="230"/>
    </x:row>
    <x:row r="313" spans="1:47" ht="15" customHeight="1">
      <x:c r="A313" s="237"/>
      <x:c r="B313" s="216"/>
      <x:c r="C313" s="238"/>
      <x:c r="D313" s="239"/>
      <x:c r="E313" s="239"/>
      <x:c r="F313" s="236"/>
      <x:c r="G313" s="236"/>
      <x:c r="H313" s="236"/>
      <x:c r="I313" s="236"/>
      <x:c r="J313" s="236"/>
      <x:c r="K313" s="236"/>
      <x:c r="L313" s="236"/>
      <x:c r="M313" s="236"/>
      <x:c r="N313" s="236"/>
      <x:c r="O313" s="236"/>
      <x:c r="P313" s="236"/>
      <x:c r="Q313" s="236"/>
      <x:c r="R313" s="236"/>
      <x:c r="S313" s="236"/>
      <x:c r="T313" s="236"/>
      <x:c r="U313" s="236"/>
      <x:c r="V313" s="236"/>
      <x:c r="W313" s="236"/>
      <x:c r="X313" s="236"/>
      <x:c r="Y313" s="236"/>
      <x:c r="Z313" s="236"/>
      <x:c r="AA313" s="236"/>
      <x:c r="AB313" s="236"/>
      <x:c r="AC313" s="236"/>
      <x:c r="AD313" s="236"/>
      <x:c r="AE313" s="236"/>
      <x:c r="AF313" s="236"/>
      <x:c r="AG313" s="236"/>
      <x:c r="AH313" s="236"/>
      <x:c r="AI313" s="236"/>
      <x:c r="AJ313" s="236"/>
      <x:c r="AK313" s="220"/>
      <x:c r="AL313" s="221"/>
      <x:c r="AM313" s="221"/>
      <x:c r="AN313" s="222"/>
      <x:c r="AO313" s="222"/>
      <x:c r="AP313" s="228"/>
      <x:c r="AQ313" s="228"/>
      <x:c r="AR313" s="228"/>
      <x:c r="AS313" s="228"/>
      <x:c r="AT313" s="230"/>
    </x:row>
    <x:row r="314" spans="1:47" ht="15" customHeight="1">
      <x:c r="A314" s="237"/>
      <x:c r="B314" s="216"/>
      <x:c r="C314" s="238"/>
      <x:c r="D314" s="239"/>
      <x:c r="E314" s="239"/>
      <x:c r="F314" s="236"/>
      <x:c r="G314" s="236"/>
      <x:c r="H314" s="236"/>
      <x:c r="I314" s="236"/>
      <x:c r="J314" s="236"/>
      <x:c r="K314" s="236"/>
      <x:c r="L314" s="236"/>
      <x:c r="M314" s="236"/>
      <x:c r="N314" s="236"/>
      <x:c r="O314" s="236"/>
      <x:c r="P314" s="236"/>
      <x:c r="Q314" s="236"/>
      <x:c r="R314" s="236"/>
      <x:c r="S314" s="236"/>
      <x:c r="T314" s="236"/>
      <x:c r="U314" s="236"/>
      <x:c r="V314" s="236"/>
      <x:c r="W314" s="236"/>
      <x:c r="X314" s="236"/>
      <x:c r="Y314" s="236"/>
      <x:c r="Z314" s="236"/>
      <x:c r="AA314" s="236"/>
      <x:c r="AB314" s="236"/>
      <x:c r="AC314" s="236"/>
      <x:c r="AD314" s="236"/>
      <x:c r="AE314" s="236"/>
      <x:c r="AF314" s="236"/>
      <x:c r="AG314" s="236"/>
      <x:c r="AH314" s="236"/>
      <x:c r="AI314" s="236"/>
      <x:c r="AJ314" s="236"/>
      <x:c r="AK314" s="220"/>
      <x:c r="AL314" s="221"/>
      <x:c r="AM314" s="221"/>
      <x:c r="AN314" s="222"/>
      <x:c r="AO314" s="222"/>
      <x:c r="AP314" s="228"/>
      <x:c r="AQ314" s="228"/>
      <x:c r="AR314" s="228"/>
      <x:c r="AS314" s="228"/>
      <x:c r="AT314" s="230"/>
    </x:row>
    <x:row r="315" spans="1:47" ht="15" customHeight="1">
      <x:c r="A315" s="237"/>
      <x:c r="B315" s="216"/>
      <x:c r="C315" s="238"/>
      <x:c r="D315" s="239"/>
      <x:c r="E315" s="239"/>
      <x:c r="F315" s="236"/>
      <x:c r="G315" s="236"/>
      <x:c r="H315" s="236"/>
      <x:c r="I315" s="236"/>
      <x:c r="J315" s="236"/>
      <x:c r="K315" s="236"/>
      <x:c r="L315" s="236"/>
      <x:c r="M315" s="236"/>
      <x:c r="N315" s="236"/>
      <x:c r="O315" s="236"/>
      <x:c r="P315" s="236"/>
      <x:c r="Q315" s="236"/>
      <x:c r="R315" s="236"/>
      <x:c r="S315" s="236"/>
      <x:c r="T315" s="236"/>
      <x:c r="U315" s="236"/>
      <x:c r="V315" s="236"/>
      <x:c r="W315" s="236"/>
      <x:c r="X315" s="236"/>
      <x:c r="Y315" s="236"/>
      <x:c r="Z315" s="236"/>
      <x:c r="AA315" s="236"/>
      <x:c r="AB315" s="236"/>
      <x:c r="AC315" s="236"/>
      <x:c r="AD315" s="236"/>
      <x:c r="AE315" s="236"/>
      <x:c r="AF315" s="236"/>
      <x:c r="AG315" s="236"/>
      <x:c r="AH315" s="236"/>
      <x:c r="AI315" s="236"/>
      <x:c r="AJ315" s="236"/>
      <x:c r="AK315" s="220"/>
      <x:c r="AL315" s="221"/>
      <x:c r="AM315" s="221"/>
      <x:c r="AN315" s="222"/>
      <x:c r="AO315" s="222"/>
      <x:c r="AP315" s="228"/>
      <x:c r="AQ315" s="228"/>
      <x:c r="AR315" s="228"/>
      <x:c r="AS315" s="228"/>
      <x:c r="AT315" s="230"/>
    </x:row>
    <x:row r="316" spans="1:47" ht="15" customHeight="1">
      <x:c r="A316" s="237"/>
      <x:c r="B316" s="216"/>
      <x:c r="C316" s="238"/>
      <x:c r="D316" s="239"/>
      <x:c r="E316" s="239"/>
      <x:c r="F316" s="236"/>
      <x:c r="G316" s="236"/>
      <x:c r="H316" s="236"/>
      <x:c r="I316" s="236"/>
      <x:c r="J316" s="236"/>
      <x:c r="K316" s="236"/>
      <x:c r="L316" s="236"/>
      <x:c r="M316" s="236"/>
      <x:c r="N316" s="236"/>
      <x:c r="O316" s="236"/>
      <x:c r="P316" s="236"/>
      <x:c r="Q316" s="236"/>
      <x:c r="R316" s="236"/>
      <x:c r="S316" s="236"/>
      <x:c r="T316" s="236"/>
      <x:c r="U316" s="236"/>
      <x:c r="V316" s="236"/>
      <x:c r="W316" s="236"/>
      <x:c r="X316" s="236"/>
      <x:c r="Y316" s="236"/>
      <x:c r="Z316" s="236"/>
      <x:c r="AA316" s="236"/>
      <x:c r="AB316" s="236"/>
      <x:c r="AC316" s="236"/>
      <x:c r="AD316" s="236"/>
      <x:c r="AE316" s="236"/>
      <x:c r="AF316" s="236"/>
      <x:c r="AG316" s="236"/>
      <x:c r="AH316" s="236"/>
      <x:c r="AI316" s="236"/>
      <x:c r="AJ316" s="236"/>
      <x:c r="AK316" s="220"/>
      <x:c r="AL316" s="221"/>
      <x:c r="AM316" s="221"/>
      <x:c r="AN316" s="222"/>
      <x:c r="AO316" s="222"/>
      <x:c r="AP316" s="228"/>
      <x:c r="AQ316" s="228"/>
      <x:c r="AR316" s="228"/>
      <x:c r="AS316" s="228"/>
      <x:c r="AT316" s="230"/>
    </x:row>
    <x:row r="317" spans="1:47" ht="15" customHeight="1">
      <x:c r="A317" s="237"/>
      <x:c r="B317" s="216"/>
      <x:c r="C317" s="238"/>
      <x:c r="D317" s="239"/>
      <x:c r="E317" s="239"/>
      <x:c r="F317" s="236"/>
      <x:c r="G317" s="236"/>
      <x:c r="H317" s="236"/>
      <x:c r="I317" s="236"/>
      <x:c r="J317" s="236"/>
      <x:c r="K317" s="236"/>
      <x:c r="L317" s="236"/>
      <x:c r="M317" s="236"/>
      <x:c r="N317" s="236"/>
      <x:c r="O317" s="236"/>
      <x:c r="P317" s="236"/>
      <x:c r="Q317" s="236"/>
      <x:c r="R317" s="236"/>
      <x:c r="S317" s="236"/>
      <x:c r="T317" s="236"/>
      <x:c r="U317" s="236"/>
      <x:c r="V317" s="236"/>
      <x:c r="W317" s="236"/>
      <x:c r="X317" s="236"/>
      <x:c r="Y317" s="236"/>
      <x:c r="Z317" s="236"/>
      <x:c r="AA317" s="236"/>
      <x:c r="AB317" s="236"/>
      <x:c r="AC317" s="236"/>
      <x:c r="AD317" s="236"/>
      <x:c r="AE317" s="236"/>
      <x:c r="AF317" s="236"/>
      <x:c r="AG317" s="236"/>
      <x:c r="AH317" s="236"/>
      <x:c r="AI317" s="236"/>
      <x:c r="AJ317" s="236"/>
      <x:c r="AK317" s="220"/>
      <x:c r="AL317" s="221"/>
      <x:c r="AM317" s="221"/>
      <x:c r="AN317" s="222"/>
      <x:c r="AO317" s="222"/>
      <x:c r="AP317" s="228"/>
      <x:c r="AQ317" s="228"/>
      <x:c r="AR317" s="228"/>
      <x:c r="AS317" s="228"/>
      <x:c r="AT317" s="230"/>
    </x:row>
    <x:row r="318" spans="1:47" ht="15" customHeight="1">
      <x:c r="A318" s="237"/>
      <x:c r="B318" s="216"/>
      <x:c r="C318" s="238"/>
      <x:c r="D318" s="239"/>
      <x:c r="E318" s="239"/>
      <x:c r="F318" s="236"/>
      <x:c r="G318" s="236"/>
      <x:c r="H318" s="236"/>
      <x:c r="I318" s="236"/>
      <x:c r="J318" s="236"/>
      <x:c r="K318" s="236"/>
      <x:c r="L318" s="236"/>
      <x:c r="M318" s="236"/>
      <x:c r="N318" s="236"/>
      <x:c r="O318" s="236"/>
      <x:c r="P318" s="236"/>
      <x:c r="Q318" s="236"/>
      <x:c r="R318" s="236"/>
      <x:c r="S318" s="236"/>
      <x:c r="T318" s="236"/>
      <x:c r="U318" s="236"/>
      <x:c r="V318" s="236"/>
      <x:c r="W318" s="236"/>
      <x:c r="X318" s="236"/>
      <x:c r="Y318" s="236"/>
      <x:c r="Z318" s="236"/>
      <x:c r="AA318" s="236"/>
      <x:c r="AB318" s="236"/>
      <x:c r="AC318" s="236"/>
      <x:c r="AD318" s="236"/>
      <x:c r="AE318" s="236"/>
      <x:c r="AF318" s="236"/>
      <x:c r="AG318" s="236"/>
      <x:c r="AH318" s="236"/>
      <x:c r="AI318" s="236"/>
      <x:c r="AJ318" s="236"/>
      <x:c r="AK318" s="220"/>
      <x:c r="AL318" s="221"/>
      <x:c r="AM318" s="221"/>
      <x:c r="AN318" s="222"/>
      <x:c r="AO318" s="222"/>
      <x:c r="AP318" s="228"/>
      <x:c r="AQ318" s="228"/>
      <x:c r="AR318" s="228"/>
      <x:c r="AS318" s="228"/>
      <x:c r="AT318" s="230"/>
    </x:row>
    <x:row r="319" spans="1:47" ht="15" customHeight="1">
      <x:c r="A319" s="237"/>
      <x:c r="B319" s="216"/>
      <x:c r="C319" s="238"/>
      <x:c r="D319" s="239"/>
      <x:c r="E319" s="239"/>
      <x:c r="F319" s="236"/>
      <x:c r="G319" s="236"/>
      <x:c r="H319" s="236"/>
      <x:c r="I319" s="236"/>
      <x:c r="J319" s="236"/>
      <x:c r="K319" s="236"/>
      <x:c r="L319" s="236"/>
      <x:c r="M319" s="236"/>
      <x:c r="N319" s="236"/>
      <x:c r="O319" s="236"/>
      <x:c r="P319" s="236"/>
      <x:c r="Q319" s="236"/>
      <x:c r="R319" s="236"/>
      <x:c r="S319" s="236"/>
      <x:c r="T319" s="236"/>
      <x:c r="U319" s="236"/>
      <x:c r="V319" s="236"/>
      <x:c r="W319" s="236"/>
      <x:c r="X319" s="236"/>
      <x:c r="Y319" s="236"/>
      <x:c r="Z319" s="236"/>
      <x:c r="AA319" s="236"/>
      <x:c r="AB319" s="236"/>
      <x:c r="AC319" s="236"/>
      <x:c r="AD319" s="236"/>
      <x:c r="AE319" s="236"/>
      <x:c r="AF319" s="236"/>
      <x:c r="AG319" s="236"/>
      <x:c r="AH319" s="236"/>
      <x:c r="AI319" s="236"/>
      <x:c r="AJ319" s="236"/>
      <x:c r="AK319" s="220"/>
      <x:c r="AL319" s="221"/>
      <x:c r="AM319" s="221"/>
      <x:c r="AN319" s="222"/>
      <x:c r="AO319" s="222"/>
      <x:c r="AP319" s="228"/>
      <x:c r="AQ319" s="228"/>
      <x:c r="AR319" s="228"/>
      <x:c r="AS319" s="228"/>
      <x:c r="AT319" s="230"/>
    </x:row>
    <x:row r="320" spans="1:47" ht="15" customHeight="1">
      <x:c r="A320" s="237"/>
      <x:c r="B320" s="216"/>
      <x:c r="C320" s="238"/>
      <x:c r="D320" s="239"/>
      <x:c r="E320" s="239"/>
      <x:c r="F320" s="236"/>
      <x:c r="G320" s="236"/>
      <x:c r="H320" s="236"/>
      <x:c r="I320" s="236"/>
      <x:c r="J320" s="236"/>
      <x:c r="K320" s="236"/>
      <x:c r="L320" s="236"/>
      <x:c r="M320" s="236"/>
      <x:c r="N320" s="236"/>
      <x:c r="O320" s="236"/>
      <x:c r="P320" s="236"/>
      <x:c r="Q320" s="236"/>
      <x:c r="R320" s="236"/>
      <x:c r="S320" s="236"/>
      <x:c r="T320" s="236"/>
      <x:c r="U320" s="236"/>
      <x:c r="V320" s="236"/>
      <x:c r="W320" s="236"/>
      <x:c r="X320" s="236"/>
      <x:c r="Y320" s="236"/>
      <x:c r="Z320" s="236"/>
      <x:c r="AA320" s="236"/>
      <x:c r="AB320" s="236"/>
      <x:c r="AC320" s="236"/>
      <x:c r="AD320" s="236"/>
      <x:c r="AE320" s="236"/>
      <x:c r="AF320" s="236"/>
      <x:c r="AG320" s="236"/>
      <x:c r="AH320" s="236"/>
      <x:c r="AI320" s="236"/>
      <x:c r="AJ320" s="236"/>
      <x:c r="AK320" s="220"/>
      <x:c r="AL320" s="221"/>
      <x:c r="AM320" s="221"/>
      <x:c r="AN320" s="222"/>
      <x:c r="AO320" s="222"/>
      <x:c r="AP320" s="228"/>
      <x:c r="AQ320" s="228"/>
      <x:c r="AR320" s="228"/>
      <x:c r="AS320" s="228"/>
      <x:c r="AT320" s="230"/>
    </x:row>
    <x:row r="321" spans="1:47" ht="15" customHeight="1">
      <x:c r="A321" s="237"/>
      <x:c r="B321" s="216"/>
      <x:c r="C321" s="238"/>
      <x:c r="D321" s="239"/>
      <x:c r="E321" s="239"/>
      <x:c r="F321" s="236"/>
      <x:c r="G321" s="236"/>
      <x:c r="H321" s="236"/>
      <x:c r="I321" s="236"/>
      <x:c r="J321" s="236"/>
      <x:c r="K321" s="236"/>
      <x:c r="L321" s="236"/>
      <x:c r="M321" s="236"/>
      <x:c r="N321" s="236"/>
      <x:c r="O321" s="236"/>
      <x:c r="P321" s="236"/>
      <x:c r="Q321" s="236"/>
      <x:c r="R321" s="236"/>
      <x:c r="S321" s="236"/>
      <x:c r="T321" s="236"/>
      <x:c r="U321" s="236"/>
      <x:c r="V321" s="236"/>
      <x:c r="W321" s="236"/>
      <x:c r="X321" s="236"/>
      <x:c r="Y321" s="236"/>
      <x:c r="Z321" s="236"/>
      <x:c r="AA321" s="236"/>
      <x:c r="AB321" s="236"/>
      <x:c r="AC321" s="236"/>
      <x:c r="AD321" s="236"/>
      <x:c r="AE321" s="236"/>
      <x:c r="AF321" s="236"/>
      <x:c r="AG321" s="236"/>
      <x:c r="AH321" s="236"/>
      <x:c r="AI321" s="236"/>
      <x:c r="AJ321" s="236"/>
      <x:c r="AK321" s="220"/>
      <x:c r="AL321" s="221"/>
      <x:c r="AM321" s="221"/>
      <x:c r="AN321" s="222"/>
      <x:c r="AO321" s="222"/>
      <x:c r="AP321" s="228"/>
      <x:c r="AQ321" s="228"/>
      <x:c r="AR321" s="228"/>
      <x:c r="AS321" s="228"/>
      <x:c r="AT321" s="230"/>
    </x:row>
    <x:row r="322" spans="1:47" ht="15" customHeight="1">
      <x:c r="A322" s="237"/>
      <x:c r="B322" s="216"/>
      <x:c r="C322" s="238"/>
      <x:c r="D322" s="239"/>
      <x:c r="E322" s="239"/>
      <x:c r="F322" s="236"/>
      <x:c r="G322" s="236"/>
      <x:c r="H322" s="236"/>
      <x:c r="I322" s="236"/>
      <x:c r="J322" s="236"/>
      <x:c r="K322" s="236"/>
      <x:c r="L322" s="236"/>
      <x:c r="M322" s="236"/>
      <x:c r="N322" s="236"/>
      <x:c r="O322" s="236"/>
      <x:c r="P322" s="236"/>
      <x:c r="Q322" s="236"/>
      <x:c r="R322" s="236"/>
      <x:c r="S322" s="236"/>
      <x:c r="T322" s="236"/>
      <x:c r="U322" s="236"/>
      <x:c r="V322" s="236"/>
      <x:c r="W322" s="236"/>
      <x:c r="X322" s="236"/>
      <x:c r="Y322" s="236"/>
      <x:c r="Z322" s="236"/>
      <x:c r="AA322" s="236"/>
      <x:c r="AB322" s="236"/>
      <x:c r="AC322" s="236"/>
      <x:c r="AD322" s="236"/>
      <x:c r="AE322" s="236"/>
      <x:c r="AF322" s="236"/>
      <x:c r="AG322" s="236"/>
      <x:c r="AH322" s="236"/>
      <x:c r="AI322" s="236"/>
      <x:c r="AJ322" s="236"/>
      <x:c r="AK322" s="220"/>
      <x:c r="AL322" s="221"/>
      <x:c r="AM322" s="221"/>
      <x:c r="AN322" s="222"/>
      <x:c r="AO322" s="222"/>
      <x:c r="AP322" s="228"/>
      <x:c r="AQ322" s="228"/>
      <x:c r="AR322" s="228"/>
      <x:c r="AS322" s="228"/>
      <x:c r="AT322" s="230"/>
    </x:row>
    <x:row r="323" spans="1:47" ht="15" customHeight="1">
      <x:c r="A323" s="237"/>
      <x:c r="B323" s="216"/>
      <x:c r="C323" s="238"/>
      <x:c r="D323" s="239"/>
      <x:c r="E323" s="239"/>
      <x:c r="F323" s="236"/>
      <x:c r="G323" s="236"/>
      <x:c r="H323" s="236"/>
      <x:c r="I323" s="236"/>
      <x:c r="J323" s="236"/>
      <x:c r="K323" s="236"/>
      <x:c r="L323" s="236"/>
      <x:c r="M323" s="236"/>
      <x:c r="N323" s="236"/>
      <x:c r="O323" s="236"/>
      <x:c r="P323" s="236"/>
      <x:c r="Q323" s="236"/>
      <x:c r="R323" s="236"/>
      <x:c r="S323" s="236"/>
      <x:c r="T323" s="236"/>
      <x:c r="U323" s="236"/>
      <x:c r="V323" s="236"/>
      <x:c r="W323" s="236"/>
      <x:c r="X323" s="236"/>
      <x:c r="Y323" s="236"/>
      <x:c r="Z323" s="236"/>
      <x:c r="AA323" s="236"/>
      <x:c r="AB323" s="236"/>
      <x:c r="AC323" s="236"/>
      <x:c r="AD323" s="236"/>
      <x:c r="AE323" s="236"/>
      <x:c r="AF323" s="236"/>
      <x:c r="AG323" s="236"/>
      <x:c r="AH323" s="236"/>
      <x:c r="AI323" s="236"/>
      <x:c r="AJ323" s="236"/>
      <x:c r="AK323" s="220"/>
      <x:c r="AL323" s="221"/>
      <x:c r="AM323" s="221"/>
      <x:c r="AN323" s="222"/>
      <x:c r="AO323" s="222"/>
      <x:c r="AP323" s="228"/>
      <x:c r="AQ323" s="228"/>
      <x:c r="AR323" s="228"/>
      <x:c r="AS323" s="228"/>
      <x:c r="AT323" s="230"/>
    </x:row>
    <x:row r="324" spans="1:47" ht="15" customHeight="1">
      <x:c r="A324" s="237"/>
      <x:c r="B324" s="216"/>
      <x:c r="C324" s="238"/>
      <x:c r="D324" s="239"/>
      <x:c r="E324" s="239"/>
      <x:c r="F324" s="236"/>
      <x:c r="G324" s="236"/>
      <x:c r="H324" s="236"/>
      <x:c r="I324" s="236"/>
      <x:c r="J324" s="236"/>
      <x:c r="K324" s="236"/>
      <x:c r="L324" s="236"/>
      <x:c r="M324" s="236"/>
      <x:c r="N324" s="236"/>
      <x:c r="O324" s="236"/>
      <x:c r="P324" s="236"/>
      <x:c r="Q324" s="236"/>
      <x:c r="R324" s="236"/>
      <x:c r="S324" s="236"/>
      <x:c r="T324" s="236"/>
      <x:c r="U324" s="236"/>
      <x:c r="V324" s="236"/>
      <x:c r="W324" s="236"/>
      <x:c r="X324" s="236"/>
      <x:c r="Y324" s="236"/>
      <x:c r="Z324" s="236"/>
      <x:c r="AA324" s="236"/>
      <x:c r="AB324" s="236"/>
      <x:c r="AC324" s="236"/>
      <x:c r="AD324" s="236"/>
      <x:c r="AE324" s="236"/>
      <x:c r="AF324" s="236"/>
      <x:c r="AG324" s="236"/>
      <x:c r="AH324" s="236"/>
      <x:c r="AI324" s="236"/>
      <x:c r="AJ324" s="236"/>
      <x:c r="AK324" s="220"/>
      <x:c r="AL324" s="221"/>
      <x:c r="AM324" s="221"/>
      <x:c r="AN324" s="222"/>
      <x:c r="AO324" s="222"/>
      <x:c r="AP324" s="228"/>
      <x:c r="AQ324" s="228"/>
      <x:c r="AR324" s="228"/>
      <x:c r="AS324" s="228"/>
      <x:c r="AT324" s="230"/>
    </x:row>
    <x:row r="325" spans="1:47" ht="15" customHeight="1">
      <x:c r="A325" s="237"/>
      <x:c r="B325" s="216"/>
      <x:c r="C325" s="238"/>
      <x:c r="D325" s="239"/>
      <x:c r="E325" s="239"/>
      <x:c r="F325" s="236"/>
      <x:c r="G325" s="236"/>
      <x:c r="H325" s="236"/>
      <x:c r="I325" s="236"/>
      <x:c r="J325" s="236"/>
      <x:c r="K325" s="236"/>
      <x:c r="L325" s="236"/>
      <x:c r="M325" s="236"/>
      <x:c r="N325" s="236"/>
      <x:c r="O325" s="236"/>
      <x:c r="P325" s="236"/>
      <x:c r="Q325" s="236"/>
      <x:c r="R325" s="236"/>
      <x:c r="S325" s="236"/>
      <x:c r="T325" s="236"/>
      <x:c r="U325" s="236"/>
      <x:c r="V325" s="236"/>
      <x:c r="W325" s="236"/>
      <x:c r="X325" s="236"/>
      <x:c r="Y325" s="236"/>
      <x:c r="Z325" s="236"/>
      <x:c r="AA325" s="236"/>
      <x:c r="AB325" s="236"/>
      <x:c r="AC325" s="236"/>
      <x:c r="AD325" s="236"/>
      <x:c r="AE325" s="236"/>
      <x:c r="AF325" s="236"/>
      <x:c r="AG325" s="236"/>
      <x:c r="AH325" s="236"/>
      <x:c r="AI325" s="236"/>
      <x:c r="AJ325" s="236"/>
      <x:c r="AK325" s="220"/>
      <x:c r="AL325" s="221"/>
      <x:c r="AM325" s="221"/>
      <x:c r="AN325" s="222"/>
      <x:c r="AO325" s="222"/>
      <x:c r="AP325" s="228"/>
      <x:c r="AQ325" s="228"/>
      <x:c r="AR325" s="228"/>
      <x:c r="AS325" s="228"/>
      <x:c r="AT325" s="230"/>
    </x:row>
    <x:row r="326" spans="1:47" ht="15" customHeight="1">
      <x:c r="A326" s="237"/>
      <x:c r="B326" s="216"/>
      <x:c r="C326" s="238"/>
      <x:c r="D326" s="239"/>
      <x:c r="E326" s="239"/>
      <x:c r="F326" s="236"/>
      <x:c r="G326" s="236"/>
      <x:c r="H326" s="236"/>
      <x:c r="I326" s="236"/>
      <x:c r="J326" s="236"/>
      <x:c r="K326" s="236"/>
      <x:c r="L326" s="236"/>
      <x:c r="M326" s="236"/>
      <x:c r="N326" s="236"/>
      <x:c r="O326" s="236"/>
      <x:c r="P326" s="236"/>
      <x:c r="Q326" s="236"/>
      <x:c r="R326" s="236"/>
      <x:c r="S326" s="236"/>
      <x:c r="T326" s="236"/>
      <x:c r="U326" s="236"/>
      <x:c r="V326" s="236"/>
      <x:c r="W326" s="236"/>
      <x:c r="X326" s="236"/>
      <x:c r="Y326" s="236"/>
      <x:c r="Z326" s="236"/>
      <x:c r="AA326" s="236"/>
      <x:c r="AB326" s="236"/>
      <x:c r="AC326" s="236"/>
      <x:c r="AD326" s="236"/>
      <x:c r="AE326" s="236"/>
      <x:c r="AF326" s="236"/>
      <x:c r="AG326" s="236"/>
      <x:c r="AH326" s="236"/>
      <x:c r="AI326" s="236"/>
      <x:c r="AJ326" s="236"/>
      <x:c r="AK326" s="220"/>
      <x:c r="AL326" s="221"/>
      <x:c r="AM326" s="221"/>
      <x:c r="AN326" s="222"/>
      <x:c r="AO326" s="222"/>
      <x:c r="AP326" s="228"/>
      <x:c r="AQ326" s="228"/>
      <x:c r="AR326" s="228"/>
      <x:c r="AS326" s="228"/>
      <x:c r="AT326" s="230"/>
    </x:row>
    <x:row r="327" spans="1:47" ht="15" customHeight="1">
      <x:c r="A327" s="237"/>
      <x:c r="B327" s="216"/>
      <x:c r="C327" s="238"/>
      <x:c r="D327" s="239"/>
      <x:c r="E327" s="239"/>
      <x:c r="F327" s="236"/>
      <x:c r="G327" s="236"/>
      <x:c r="H327" s="236"/>
      <x:c r="I327" s="236"/>
      <x:c r="J327" s="236"/>
      <x:c r="K327" s="236"/>
      <x:c r="L327" s="236"/>
      <x:c r="M327" s="236"/>
      <x:c r="N327" s="236"/>
      <x:c r="O327" s="236"/>
      <x:c r="P327" s="236"/>
      <x:c r="Q327" s="236"/>
      <x:c r="R327" s="236"/>
      <x:c r="S327" s="236"/>
      <x:c r="T327" s="236"/>
      <x:c r="U327" s="236"/>
      <x:c r="V327" s="236"/>
      <x:c r="W327" s="236"/>
      <x:c r="X327" s="236"/>
      <x:c r="Y327" s="236"/>
      <x:c r="Z327" s="236"/>
      <x:c r="AA327" s="236"/>
      <x:c r="AB327" s="236"/>
      <x:c r="AC327" s="236"/>
      <x:c r="AD327" s="236"/>
      <x:c r="AE327" s="236"/>
      <x:c r="AF327" s="236"/>
      <x:c r="AG327" s="236"/>
      <x:c r="AH327" s="236"/>
      <x:c r="AI327" s="236"/>
      <x:c r="AJ327" s="236"/>
      <x:c r="AK327" s="220"/>
      <x:c r="AL327" s="221"/>
      <x:c r="AM327" s="221"/>
      <x:c r="AN327" s="222"/>
      <x:c r="AO327" s="222"/>
      <x:c r="AP327" s="228"/>
      <x:c r="AQ327" s="228"/>
      <x:c r="AR327" s="228"/>
      <x:c r="AS327" s="228"/>
      <x:c r="AT327" s="230"/>
    </x:row>
    <x:row r="328" spans="1:47" ht="15" customHeight="1">
      <x:c r="A328" s="237"/>
      <x:c r="B328" s="216"/>
      <x:c r="C328" s="238"/>
      <x:c r="D328" s="239"/>
      <x:c r="E328" s="239"/>
      <x:c r="F328" s="236"/>
      <x:c r="G328" s="236"/>
      <x:c r="H328" s="236"/>
      <x:c r="I328" s="236"/>
      <x:c r="J328" s="236"/>
      <x:c r="K328" s="236"/>
      <x:c r="L328" s="236"/>
      <x:c r="M328" s="236"/>
      <x:c r="N328" s="236"/>
      <x:c r="O328" s="236"/>
      <x:c r="P328" s="236"/>
      <x:c r="Q328" s="236"/>
      <x:c r="R328" s="236"/>
      <x:c r="S328" s="236"/>
      <x:c r="T328" s="236"/>
      <x:c r="U328" s="236"/>
      <x:c r="V328" s="236"/>
      <x:c r="W328" s="236"/>
      <x:c r="X328" s="236"/>
      <x:c r="Y328" s="236"/>
      <x:c r="Z328" s="236"/>
      <x:c r="AA328" s="236"/>
      <x:c r="AB328" s="236"/>
      <x:c r="AC328" s="236"/>
      <x:c r="AD328" s="236"/>
      <x:c r="AE328" s="236"/>
      <x:c r="AF328" s="236"/>
      <x:c r="AG328" s="236"/>
      <x:c r="AH328" s="236"/>
      <x:c r="AI328" s="236"/>
      <x:c r="AJ328" s="236"/>
      <x:c r="AK328" s="220"/>
      <x:c r="AL328" s="221"/>
      <x:c r="AM328" s="221"/>
      <x:c r="AN328" s="222"/>
      <x:c r="AO328" s="222"/>
      <x:c r="AP328" s="228"/>
      <x:c r="AQ328" s="228"/>
      <x:c r="AR328" s="228"/>
      <x:c r="AS328" s="228"/>
      <x:c r="AT328" s="230"/>
    </x:row>
    <x:row r="329" spans="1:47" ht="15" customHeight="1">
      <x:c r="A329" s="237"/>
      <x:c r="B329" s="216"/>
      <x:c r="C329" s="238"/>
      <x:c r="D329" s="239"/>
      <x:c r="E329" s="239"/>
      <x:c r="F329" s="236"/>
      <x:c r="G329" s="236"/>
      <x:c r="H329" s="236"/>
      <x:c r="I329" s="236"/>
      <x:c r="J329" s="236"/>
      <x:c r="K329" s="236"/>
      <x:c r="L329" s="236"/>
      <x:c r="M329" s="236"/>
      <x:c r="N329" s="236"/>
      <x:c r="O329" s="236"/>
      <x:c r="P329" s="236"/>
      <x:c r="Q329" s="236"/>
      <x:c r="R329" s="236"/>
      <x:c r="S329" s="236"/>
      <x:c r="T329" s="236"/>
      <x:c r="U329" s="236"/>
      <x:c r="V329" s="236"/>
      <x:c r="W329" s="236"/>
      <x:c r="X329" s="236"/>
      <x:c r="Y329" s="236"/>
      <x:c r="Z329" s="236"/>
      <x:c r="AA329" s="236"/>
      <x:c r="AB329" s="236"/>
      <x:c r="AC329" s="236"/>
      <x:c r="AD329" s="236"/>
      <x:c r="AE329" s="236"/>
      <x:c r="AF329" s="236"/>
      <x:c r="AG329" s="236"/>
      <x:c r="AH329" s="236"/>
      <x:c r="AI329" s="236"/>
      <x:c r="AJ329" s="236"/>
      <x:c r="AK329" s="220"/>
      <x:c r="AL329" s="221"/>
      <x:c r="AM329" s="221"/>
      <x:c r="AN329" s="222"/>
      <x:c r="AO329" s="222"/>
      <x:c r="AP329" s="228"/>
      <x:c r="AQ329" s="228"/>
      <x:c r="AR329" s="228"/>
      <x:c r="AS329" s="228"/>
      <x:c r="AT329" s="230"/>
    </x:row>
    <x:row r="330" spans="1:47" ht="15" customHeight="1">
      <x:c r="A330" s="237"/>
      <x:c r="B330" s="216"/>
      <x:c r="C330" s="238"/>
      <x:c r="D330" s="239"/>
      <x:c r="E330" s="239"/>
      <x:c r="F330" s="236"/>
      <x:c r="G330" s="236"/>
      <x:c r="H330" s="236"/>
      <x:c r="I330" s="236"/>
      <x:c r="J330" s="236"/>
      <x:c r="K330" s="236"/>
      <x:c r="L330" s="236"/>
      <x:c r="M330" s="236"/>
      <x:c r="N330" s="236"/>
      <x:c r="O330" s="236"/>
      <x:c r="P330" s="236"/>
      <x:c r="Q330" s="236"/>
      <x:c r="R330" s="236"/>
      <x:c r="S330" s="236"/>
      <x:c r="T330" s="236"/>
      <x:c r="U330" s="236"/>
      <x:c r="V330" s="236"/>
      <x:c r="W330" s="236"/>
      <x:c r="X330" s="236"/>
      <x:c r="Y330" s="236"/>
      <x:c r="Z330" s="236"/>
      <x:c r="AA330" s="236"/>
      <x:c r="AB330" s="236"/>
      <x:c r="AC330" s="236"/>
      <x:c r="AD330" s="236"/>
      <x:c r="AE330" s="236"/>
      <x:c r="AF330" s="236"/>
      <x:c r="AG330" s="236"/>
      <x:c r="AH330" s="236"/>
      <x:c r="AI330" s="236"/>
      <x:c r="AJ330" s="236"/>
      <x:c r="AK330" s="220"/>
      <x:c r="AL330" s="221"/>
      <x:c r="AM330" s="221"/>
      <x:c r="AN330" s="222"/>
      <x:c r="AO330" s="222"/>
      <x:c r="AP330" s="228"/>
      <x:c r="AQ330" s="228"/>
      <x:c r="AR330" s="228"/>
      <x:c r="AS330" s="228"/>
      <x:c r="AT330" s="230"/>
    </x:row>
    <x:row r="331" spans="1:47" ht="15" customHeight="1">
      <x:c r="A331" s="237"/>
      <x:c r="B331" s="216"/>
      <x:c r="C331" s="238"/>
      <x:c r="D331" s="239"/>
      <x:c r="E331" s="239"/>
      <x:c r="F331" s="236"/>
      <x:c r="G331" s="236"/>
      <x:c r="H331" s="236"/>
      <x:c r="I331" s="236"/>
      <x:c r="J331" s="236"/>
      <x:c r="K331" s="236"/>
      <x:c r="L331" s="236"/>
      <x:c r="M331" s="236"/>
      <x:c r="N331" s="236"/>
      <x:c r="O331" s="236"/>
      <x:c r="P331" s="236"/>
      <x:c r="Q331" s="236"/>
      <x:c r="R331" s="236"/>
      <x:c r="S331" s="236"/>
      <x:c r="T331" s="236"/>
      <x:c r="U331" s="236"/>
      <x:c r="V331" s="236"/>
      <x:c r="W331" s="236"/>
      <x:c r="X331" s="236"/>
      <x:c r="Y331" s="236"/>
      <x:c r="Z331" s="236"/>
      <x:c r="AA331" s="236"/>
      <x:c r="AB331" s="236"/>
      <x:c r="AC331" s="236"/>
      <x:c r="AD331" s="236"/>
      <x:c r="AE331" s="236"/>
      <x:c r="AF331" s="236"/>
      <x:c r="AG331" s="236"/>
      <x:c r="AH331" s="236"/>
      <x:c r="AI331" s="236"/>
      <x:c r="AJ331" s="236"/>
      <x:c r="AK331" s="220"/>
      <x:c r="AL331" s="221"/>
      <x:c r="AM331" s="221"/>
      <x:c r="AN331" s="222"/>
      <x:c r="AO331" s="222"/>
      <x:c r="AP331" s="228"/>
      <x:c r="AQ331" s="228"/>
      <x:c r="AR331" s="228"/>
      <x:c r="AS331" s="228"/>
      <x:c r="AT331" s="230"/>
    </x:row>
    <x:row r="332" spans="1:47" ht="15" customHeight="1">
      <x:c r="A332" s="237"/>
      <x:c r="B332" s="216"/>
      <x:c r="C332" s="238"/>
      <x:c r="D332" s="239"/>
      <x:c r="E332" s="239"/>
      <x:c r="F332" s="236"/>
      <x:c r="G332" s="236"/>
      <x:c r="H332" s="236"/>
      <x:c r="I332" s="236"/>
      <x:c r="J332" s="236"/>
      <x:c r="K332" s="236"/>
      <x:c r="L332" s="236"/>
      <x:c r="M332" s="236"/>
      <x:c r="N332" s="236"/>
      <x:c r="O332" s="236"/>
      <x:c r="P332" s="236"/>
      <x:c r="Q332" s="236"/>
      <x:c r="R332" s="236"/>
      <x:c r="S332" s="236"/>
      <x:c r="T332" s="236"/>
      <x:c r="U332" s="236"/>
      <x:c r="V332" s="236"/>
      <x:c r="W332" s="236"/>
      <x:c r="X332" s="236"/>
      <x:c r="Y332" s="236"/>
      <x:c r="Z332" s="236"/>
      <x:c r="AA332" s="236"/>
      <x:c r="AB332" s="236"/>
      <x:c r="AC332" s="236"/>
      <x:c r="AD332" s="236"/>
      <x:c r="AE332" s="236"/>
      <x:c r="AF332" s="236"/>
      <x:c r="AG332" s="236"/>
      <x:c r="AH332" s="236"/>
      <x:c r="AI332" s="236"/>
      <x:c r="AJ332" s="236"/>
      <x:c r="AK332" s="220"/>
      <x:c r="AL332" s="221"/>
      <x:c r="AM332" s="221"/>
      <x:c r="AN332" s="222"/>
      <x:c r="AO332" s="222"/>
      <x:c r="AP332" s="228"/>
      <x:c r="AQ332" s="228"/>
      <x:c r="AR332" s="228"/>
      <x:c r="AS332" s="228"/>
      <x:c r="AT332" s="230"/>
    </x:row>
    <x:row r="333" spans="1:47" ht="15" customHeight="1">
      <x:c r="A333" s="237"/>
      <x:c r="B333" s="216"/>
      <x:c r="C333" s="238"/>
      <x:c r="D333" s="239"/>
      <x:c r="E333" s="239"/>
      <x:c r="F333" s="236"/>
      <x:c r="G333" s="236"/>
      <x:c r="H333" s="236"/>
      <x:c r="I333" s="236"/>
      <x:c r="J333" s="236"/>
      <x:c r="K333" s="236"/>
      <x:c r="L333" s="236"/>
      <x:c r="M333" s="236"/>
      <x:c r="N333" s="236"/>
      <x:c r="O333" s="236"/>
      <x:c r="P333" s="236"/>
      <x:c r="Q333" s="236"/>
      <x:c r="R333" s="236"/>
      <x:c r="S333" s="236"/>
      <x:c r="T333" s="236"/>
      <x:c r="U333" s="236"/>
      <x:c r="V333" s="236"/>
      <x:c r="W333" s="236"/>
      <x:c r="X333" s="236"/>
      <x:c r="Y333" s="236"/>
      <x:c r="Z333" s="236"/>
      <x:c r="AA333" s="236"/>
      <x:c r="AB333" s="236"/>
      <x:c r="AC333" s="236"/>
      <x:c r="AD333" s="236"/>
      <x:c r="AE333" s="236"/>
      <x:c r="AF333" s="236"/>
      <x:c r="AG333" s="236"/>
      <x:c r="AH333" s="236"/>
      <x:c r="AI333" s="236"/>
      <x:c r="AJ333" s="236"/>
      <x:c r="AK333" s="220"/>
      <x:c r="AL333" s="221"/>
      <x:c r="AM333" s="221"/>
      <x:c r="AN333" s="222"/>
      <x:c r="AO333" s="222"/>
      <x:c r="AP333" s="228"/>
      <x:c r="AQ333" s="228"/>
      <x:c r="AR333" s="228"/>
      <x:c r="AS333" s="228"/>
      <x:c r="AT333" s="230"/>
    </x:row>
    <x:row r="334" spans="1:47" ht="15" customHeight="1">
      <x:c r="A334" s="237"/>
      <x:c r="B334" s="216"/>
      <x:c r="C334" s="238"/>
      <x:c r="D334" s="239"/>
      <x:c r="E334" s="239"/>
      <x:c r="F334" s="236"/>
      <x:c r="G334" s="236"/>
      <x:c r="H334" s="236"/>
      <x:c r="I334" s="236"/>
      <x:c r="J334" s="236"/>
      <x:c r="K334" s="236"/>
      <x:c r="L334" s="236"/>
      <x:c r="M334" s="236"/>
      <x:c r="N334" s="236"/>
      <x:c r="O334" s="236"/>
      <x:c r="P334" s="236"/>
      <x:c r="Q334" s="236"/>
      <x:c r="R334" s="236"/>
      <x:c r="S334" s="236"/>
      <x:c r="T334" s="236"/>
      <x:c r="U334" s="236"/>
      <x:c r="V334" s="236"/>
      <x:c r="W334" s="236"/>
      <x:c r="X334" s="236"/>
      <x:c r="Y334" s="236"/>
      <x:c r="Z334" s="236"/>
      <x:c r="AA334" s="236"/>
      <x:c r="AB334" s="236"/>
      <x:c r="AC334" s="236"/>
      <x:c r="AD334" s="236"/>
      <x:c r="AE334" s="236"/>
      <x:c r="AF334" s="236"/>
      <x:c r="AG334" s="236"/>
      <x:c r="AH334" s="236"/>
      <x:c r="AI334" s="236"/>
      <x:c r="AJ334" s="236"/>
      <x:c r="AK334" s="220"/>
      <x:c r="AL334" s="221"/>
      <x:c r="AM334" s="221"/>
      <x:c r="AN334" s="222"/>
      <x:c r="AO334" s="222"/>
      <x:c r="AP334" s="228"/>
      <x:c r="AQ334" s="228"/>
      <x:c r="AR334" s="228"/>
      <x:c r="AS334" s="228"/>
      <x:c r="AT334" s="230"/>
    </x:row>
    <x:row r="335" spans="1:47" ht="15" customHeight="1">
      <x:c r="A335" s="237"/>
      <x:c r="B335" s="216"/>
      <x:c r="C335" s="238"/>
      <x:c r="D335" s="239"/>
      <x:c r="E335" s="239"/>
      <x:c r="F335" s="236"/>
      <x:c r="G335" s="236"/>
      <x:c r="H335" s="236"/>
      <x:c r="I335" s="236"/>
      <x:c r="J335" s="236"/>
      <x:c r="K335" s="236"/>
      <x:c r="L335" s="236"/>
      <x:c r="M335" s="236"/>
      <x:c r="N335" s="236"/>
      <x:c r="O335" s="236"/>
      <x:c r="P335" s="236"/>
      <x:c r="Q335" s="236"/>
      <x:c r="R335" s="236"/>
      <x:c r="S335" s="236"/>
      <x:c r="T335" s="236"/>
      <x:c r="U335" s="236"/>
      <x:c r="V335" s="236"/>
      <x:c r="W335" s="236"/>
      <x:c r="X335" s="236"/>
      <x:c r="Y335" s="236"/>
      <x:c r="Z335" s="236"/>
      <x:c r="AA335" s="236"/>
      <x:c r="AB335" s="236"/>
      <x:c r="AC335" s="236"/>
      <x:c r="AD335" s="236"/>
      <x:c r="AE335" s="236"/>
      <x:c r="AF335" s="236"/>
      <x:c r="AG335" s="236"/>
      <x:c r="AH335" s="236"/>
      <x:c r="AI335" s="236"/>
      <x:c r="AJ335" s="236"/>
      <x:c r="AK335" s="220"/>
      <x:c r="AL335" s="221"/>
      <x:c r="AM335" s="221"/>
      <x:c r="AN335" s="222"/>
      <x:c r="AO335" s="222"/>
      <x:c r="AP335" s="228"/>
      <x:c r="AQ335" s="228"/>
      <x:c r="AR335" s="228"/>
      <x:c r="AS335" s="228"/>
      <x:c r="AT335" s="230"/>
    </x:row>
    <x:row r="336" spans="1:47" ht="15" customHeight="1">
      <x:c r="A336" s="237"/>
      <x:c r="B336" s="216"/>
      <x:c r="C336" s="238"/>
      <x:c r="D336" s="239"/>
      <x:c r="E336" s="239"/>
      <x:c r="F336" s="236"/>
      <x:c r="G336" s="236"/>
      <x:c r="H336" s="236"/>
      <x:c r="I336" s="236"/>
      <x:c r="J336" s="236"/>
      <x:c r="K336" s="236"/>
      <x:c r="L336" s="236"/>
      <x:c r="M336" s="236"/>
      <x:c r="N336" s="236"/>
      <x:c r="O336" s="236"/>
      <x:c r="P336" s="236"/>
      <x:c r="Q336" s="236"/>
      <x:c r="R336" s="236"/>
      <x:c r="S336" s="236"/>
      <x:c r="T336" s="236"/>
      <x:c r="U336" s="236"/>
      <x:c r="V336" s="236"/>
      <x:c r="W336" s="236"/>
      <x:c r="X336" s="236"/>
      <x:c r="Y336" s="236"/>
      <x:c r="Z336" s="236"/>
      <x:c r="AA336" s="236"/>
      <x:c r="AB336" s="236"/>
      <x:c r="AC336" s="236"/>
      <x:c r="AD336" s="236"/>
      <x:c r="AE336" s="236"/>
      <x:c r="AF336" s="236"/>
      <x:c r="AG336" s="236"/>
      <x:c r="AH336" s="236"/>
      <x:c r="AI336" s="236"/>
      <x:c r="AJ336" s="236"/>
      <x:c r="AK336" s="220"/>
      <x:c r="AL336" s="221"/>
      <x:c r="AM336" s="221"/>
      <x:c r="AN336" s="222"/>
      <x:c r="AO336" s="222"/>
      <x:c r="AP336" s="228"/>
      <x:c r="AQ336" s="228"/>
      <x:c r="AR336" s="228"/>
      <x:c r="AS336" s="228"/>
      <x:c r="AT336" s="230"/>
    </x:row>
    <x:row r="337" spans="1:47" ht="15" customHeight="1">
      <x:c r="A337" s="237"/>
      <x:c r="B337" s="216"/>
      <x:c r="C337" s="238"/>
      <x:c r="D337" s="239"/>
      <x:c r="E337" s="239"/>
      <x:c r="F337" s="236"/>
      <x:c r="G337" s="236"/>
      <x:c r="H337" s="236"/>
      <x:c r="I337" s="236"/>
      <x:c r="J337" s="236"/>
      <x:c r="K337" s="236"/>
      <x:c r="L337" s="236"/>
      <x:c r="M337" s="236"/>
      <x:c r="N337" s="236"/>
      <x:c r="O337" s="236"/>
      <x:c r="P337" s="236"/>
      <x:c r="Q337" s="236"/>
      <x:c r="R337" s="236"/>
      <x:c r="S337" s="236"/>
      <x:c r="T337" s="236"/>
      <x:c r="U337" s="236"/>
      <x:c r="V337" s="236"/>
      <x:c r="W337" s="236"/>
      <x:c r="X337" s="236"/>
      <x:c r="Y337" s="236"/>
      <x:c r="Z337" s="236"/>
      <x:c r="AA337" s="236"/>
      <x:c r="AB337" s="236"/>
      <x:c r="AC337" s="236"/>
      <x:c r="AD337" s="236"/>
      <x:c r="AE337" s="236"/>
      <x:c r="AF337" s="236"/>
      <x:c r="AG337" s="236"/>
      <x:c r="AH337" s="236"/>
      <x:c r="AI337" s="236"/>
      <x:c r="AJ337" s="236"/>
      <x:c r="AK337" s="220"/>
      <x:c r="AL337" s="221"/>
      <x:c r="AM337" s="221"/>
      <x:c r="AN337" s="222"/>
      <x:c r="AO337" s="222"/>
      <x:c r="AP337" s="228"/>
      <x:c r="AQ337" s="228"/>
      <x:c r="AR337" s="228"/>
      <x:c r="AS337" s="228"/>
      <x:c r="AT337" s="230"/>
    </x:row>
    <x:row r="338" spans="1:47" ht="15" customHeight="1">
      <x:c r="A338" s="237"/>
      <x:c r="B338" s="216"/>
      <x:c r="C338" s="238"/>
      <x:c r="D338" s="239"/>
      <x:c r="E338" s="239"/>
      <x:c r="F338" s="236"/>
      <x:c r="G338" s="236"/>
      <x:c r="H338" s="236"/>
      <x:c r="I338" s="236"/>
      <x:c r="J338" s="236"/>
      <x:c r="K338" s="236"/>
      <x:c r="L338" s="236"/>
      <x:c r="M338" s="236"/>
      <x:c r="N338" s="236"/>
      <x:c r="O338" s="236"/>
      <x:c r="P338" s="236"/>
      <x:c r="Q338" s="236"/>
      <x:c r="R338" s="236"/>
      <x:c r="S338" s="236"/>
      <x:c r="T338" s="236"/>
      <x:c r="U338" s="236"/>
      <x:c r="V338" s="236"/>
      <x:c r="W338" s="236"/>
      <x:c r="X338" s="236"/>
      <x:c r="Y338" s="236"/>
      <x:c r="Z338" s="236"/>
      <x:c r="AA338" s="236"/>
      <x:c r="AB338" s="236"/>
      <x:c r="AC338" s="236"/>
      <x:c r="AD338" s="236"/>
      <x:c r="AE338" s="236"/>
      <x:c r="AF338" s="236"/>
      <x:c r="AG338" s="236"/>
      <x:c r="AH338" s="236"/>
      <x:c r="AI338" s="236"/>
      <x:c r="AJ338" s="236"/>
      <x:c r="AK338" s="220"/>
      <x:c r="AL338" s="221"/>
      <x:c r="AM338" s="221"/>
      <x:c r="AN338" s="222"/>
      <x:c r="AO338" s="222"/>
      <x:c r="AP338" s="228"/>
      <x:c r="AQ338" s="228"/>
      <x:c r="AR338" s="228"/>
      <x:c r="AS338" s="228"/>
      <x:c r="AT338" s="230"/>
    </x:row>
    <x:row r="339" spans="1:47" ht="15" customHeight="1">
      <x:c r="A339" s="237"/>
      <x:c r="B339" s="216"/>
      <x:c r="C339" s="238"/>
      <x:c r="D339" s="239"/>
      <x:c r="E339" s="239"/>
      <x:c r="F339" s="236"/>
      <x:c r="G339" s="236"/>
      <x:c r="H339" s="236"/>
      <x:c r="I339" s="236"/>
      <x:c r="J339" s="236"/>
      <x:c r="K339" s="236"/>
      <x:c r="L339" s="236"/>
      <x:c r="M339" s="236"/>
      <x:c r="N339" s="236"/>
      <x:c r="O339" s="236"/>
      <x:c r="P339" s="236"/>
      <x:c r="Q339" s="236"/>
      <x:c r="R339" s="236"/>
      <x:c r="S339" s="236"/>
      <x:c r="T339" s="236"/>
      <x:c r="U339" s="236"/>
      <x:c r="V339" s="236"/>
      <x:c r="W339" s="236"/>
      <x:c r="X339" s="236"/>
      <x:c r="Y339" s="236"/>
      <x:c r="Z339" s="236"/>
      <x:c r="AA339" s="236"/>
      <x:c r="AB339" s="236"/>
      <x:c r="AC339" s="236"/>
      <x:c r="AD339" s="236"/>
      <x:c r="AE339" s="236"/>
      <x:c r="AF339" s="236"/>
      <x:c r="AG339" s="236"/>
      <x:c r="AH339" s="236"/>
      <x:c r="AI339" s="236"/>
      <x:c r="AJ339" s="236"/>
      <x:c r="AK339" s="220"/>
      <x:c r="AL339" s="221"/>
      <x:c r="AM339" s="221"/>
      <x:c r="AN339" s="222"/>
      <x:c r="AO339" s="222"/>
      <x:c r="AP339" s="228"/>
      <x:c r="AQ339" s="228"/>
      <x:c r="AR339" s="228"/>
      <x:c r="AS339" s="228"/>
      <x:c r="AT339" s="230"/>
    </x:row>
    <x:row r="340" spans="1:47" ht="15" customHeight="1">
      <x:c r="A340" s="237"/>
      <x:c r="B340" s="216"/>
      <x:c r="C340" s="238"/>
      <x:c r="D340" s="239"/>
      <x:c r="E340" s="239"/>
      <x:c r="F340" s="236"/>
      <x:c r="G340" s="236"/>
      <x:c r="H340" s="236"/>
      <x:c r="I340" s="236"/>
      <x:c r="J340" s="236"/>
      <x:c r="K340" s="236"/>
      <x:c r="L340" s="236"/>
      <x:c r="M340" s="236"/>
      <x:c r="N340" s="236"/>
      <x:c r="O340" s="236"/>
      <x:c r="P340" s="236"/>
      <x:c r="Q340" s="236"/>
      <x:c r="R340" s="236"/>
      <x:c r="S340" s="236"/>
      <x:c r="T340" s="236"/>
      <x:c r="U340" s="236"/>
      <x:c r="V340" s="236"/>
      <x:c r="W340" s="236"/>
      <x:c r="X340" s="236"/>
      <x:c r="Y340" s="236"/>
      <x:c r="Z340" s="236"/>
      <x:c r="AA340" s="236"/>
      <x:c r="AB340" s="236"/>
      <x:c r="AC340" s="236"/>
      <x:c r="AD340" s="236"/>
      <x:c r="AE340" s="236"/>
      <x:c r="AF340" s="236"/>
      <x:c r="AG340" s="236"/>
      <x:c r="AH340" s="236"/>
      <x:c r="AI340" s="236"/>
      <x:c r="AJ340" s="236"/>
      <x:c r="AK340" s="220"/>
      <x:c r="AL340" s="221"/>
      <x:c r="AM340" s="221"/>
      <x:c r="AN340" s="222"/>
      <x:c r="AO340" s="222"/>
      <x:c r="AP340" s="228"/>
      <x:c r="AQ340" s="228"/>
      <x:c r="AR340" s="228"/>
      <x:c r="AS340" s="228"/>
      <x:c r="AT340" s="230"/>
    </x:row>
    <x:row r="341" spans="1:47" ht="15" customHeight="1">
      <x:c r="A341" s="237"/>
      <x:c r="B341" s="216"/>
      <x:c r="C341" s="238"/>
      <x:c r="D341" s="239"/>
      <x:c r="E341" s="239"/>
      <x:c r="F341" s="236"/>
      <x:c r="G341" s="236"/>
      <x:c r="H341" s="236"/>
      <x:c r="I341" s="236"/>
      <x:c r="J341" s="236"/>
      <x:c r="K341" s="236"/>
      <x:c r="L341" s="236"/>
      <x:c r="M341" s="236"/>
      <x:c r="N341" s="236"/>
      <x:c r="O341" s="236"/>
      <x:c r="P341" s="236"/>
      <x:c r="Q341" s="236"/>
      <x:c r="R341" s="236"/>
      <x:c r="S341" s="236"/>
      <x:c r="T341" s="236"/>
      <x:c r="U341" s="236"/>
      <x:c r="V341" s="236"/>
      <x:c r="W341" s="236"/>
      <x:c r="X341" s="236"/>
      <x:c r="Y341" s="236"/>
      <x:c r="Z341" s="236"/>
      <x:c r="AA341" s="236"/>
      <x:c r="AB341" s="236"/>
      <x:c r="AC341" s="236"/>
      <x:c r="AD341" s="236"/>
      <x:c r="AE341" s="236"/>
      <x:c r="AF341" s="236"/>
      <x:c r="AG341" s="236"/>
      <x:c r="AH341" s="236"/>
      <x:c r="AI341" s="236"/>
      <x:c r="AJ341" s="236"/>
      <x:c r="AK341" s="220"/>
      <x:c r="AL341" s="221"/>
      <x:c r="AM341" s="221"/>
      <x:c r="AN341" s="222"/>
      <x:c r="AO341" s="222"/>
      <x:c r="AP341" s="228"/>
      <x:c r="AQ341" s="228"/>
      <x:c r="AR341" s="228"/>
      <x:c r="AS341" s="228"/>
      <x:c r="AT341" s="230"/>
    </x:row>
    <x:row r="342" spans="1:47" ht="15" customHeight="1">
      <x:c r="A342" s="237"/>
      <x:c r="B342" s="216"/>
      <x:c r="C342" s="238"/>
      <x:c r="D342" s="239"/>
      <x:c r="E342" s="239"/>
      <x:c r="F342" s="236"/>
      <x:c r="G342" s="236"/>
      <x:c r="H342" s="236"/>
      <x:c r="I342" s="236"/>
      <x:c r="J342" s="236"/>
      <x:c r="K342" s="236"/>
      <x:c r="L342" s="236"/>
      <x:c r="M342" s="236"/>
      <x:c r="N342" s="236"/>
      <x:c r="O342" s="236"/>
      <x:c r="P342" s="236"/>
      <x:c r="Q342" s="236"/>
      <x:c r="R342" s="236"/>
      <x:c r="S342" s="236"/>
      <x:c r="T342" s="236"/>
      <x:c r="U342" s="236"/>
      <x:c r="V342" s="236"/>
      <x:c r="W342" s="236"/>
      <x:c r="X342" s="236"/>
      <x:c r="Y342" s="236"/>
      <x:c r="Z342" s="236"/>
      <x:c r="AA342" s="236"/>
      <x:c r="AB342" s="236"/>
      <x:c r="AC342" s="236"/>
      <x:c r="AD342" s="236"/>
      <x:c r="AE342" s="236"/>
      <x:c r="AF342" s="236"/>
      <x:c r="AG342" s="236"/>
      <x:c r="AH342" s="236"/>
      <x:c r="AI342" s="236"/>
      <x:c r="AJ342" s="236"/>
      <x:c r="AK342" s="220"/>
      <x:c r="AL342" s="221"/>
      <x:c r="AM342" s="221"/>
      <x:c r="AN342" s="222"/>
      <x:c r="AO342" s="222"/>
      <x:c r="AP342" s="228"/>
      <x:c r="AQ342" s="228"/>
      <x:c r="AR342" s="228"/>
      <x:c r="AS342" s="228"/>
      <x:c r="AT342" s="230"/>
    </x:row>
    <x:row r="343" spans="1:47" ht="15" customHeight="1">
      <x:c r="A343" s="237"/>
      <x:c r="B343" s="216"/>
      <x:c r="C343" s="238"/>
      <x:c r="D343" s="239"/>
      <x:c r="E343" s="239"/>
      <x:c r="F343" s="236"/>
      <x:c r="G343" s="236"/>
      <x:c r="H343" s="236"/>
      <x:c r="I343" s="236"/>
      <x:c r="J343" s="236"/>
      <x:c r="K343" s="236"/>
      <x:c r="L343" s="236"/>
      <x:c r="M343" s="236"/>
      <x:c r="N343" s="236"/>
      <x:c r="O343" s="236"/>
      <x:c r="P343" s="236"/>
      <x:c r="Q343" s="236"/>
      <x:c r="R343" s="236"/>
      <x:c r="S343" s="236"/>
      <x:c r="T343" s="236"/>
      <x:c r="U343" s="236"/>
      <x:c r="V343" s="236"/>
      <x:c r="W343" s="236"/>
      <x:c r="X343" s="236"/>
      <x:c r="Y343" s="236"/>
      <x:c r="Z343" s="236"/>
      <x:c r="AA343" s="236"/>
      <x:c r="AB343" s="236"/>
      <x:c r="AC343" s="236"/>
      <x:c r="AD343" s="236"/>
      <x:c r="AE343" s="236"/>
      <x:c r="AF343" s="236"/>
      <x:c r="AG343" s="236"/>
      <x:c r="AH343" s="236"/>
      <x:c r="AI343" s="236"/>
      <x:c r="AJ343" s="236"/>
      <x:c r="AK343" s="220"/>
      <x:c r="AL343" s="221"/>
      <x:c r="AM343" s="221"/>
      <x:c r="AN343" s="222"/>
      <x:c r="AO343" s="222"/>
      <x:c r="AP343" s="228"/>
      <x:c r="AQ343" s="228"/>
      <x:c r="AR343" s="228"/>
      <x:c r="AS343" s="228"/>
      <x:c r="AT343" s="230"/>
    </x:row>
    <x:row r="344" spans="1:47" ht="15" customHeight="1">
      <x:c r="A344" s="237"/>
      <x:c r="B344" s="216"/>
      <x:c r="C344" s="238"/>
      <x:c r="D344" s="239"/>
      <x:c r="E344" s="239"/>
      <x:c r="F344" s="236"/>
      <x:c r="G344" s="236"/>
      <x:c r="H344" s="236"/>
      <x:c r="I344" s="236"/>
      <x:c r="J344" s="236"/>
      <x:c r="K344" s="236"/>
      <x:c r="L344" s="236"/>
      <x:c r="M344" s="236"/>
      <x:c r="N344" s="236"/>
      <x:c r="O344" s="236"/>
      <x:c r="P344" s="236"/>
      <x:c r="Q344" s="236"/>
      <x:c r="R344" s="236"/>
      <x:c r="S344" s="236"/>
      <x:c r="T344" s="236"/>
      <x:c r="U344" s="236"/>
      <x:c r="V344" s="236"/>
      <x:c r="W344" s="236"/>
      <x:c r="X344" s="236"/>
      <x:c r="Y344" s="236"/>
      <x:c r="Z344" s="236"/>
      <x:c r="AA344" s="236"/>
      <x:c r="AB344" s="236"/>
      <x:c r="AC344" s="236"/>
      <x:c r="AD344" s="236"/>
      <x:c r="AE344" s="236"/>
      <x:c r="AF344" s="236"/>
      <x:c r="AG344" s="236"/>
      <x:c r="AH344" s="236"/>
      <x:c r="AI344" s="236"/>
      <x:c r="AJ344" s="236"/>
      <x:c r="AK344" s="220"/>
      <x:c r="AL344" s="221"/>
      <x:c r="AM344" s="221"/>
      <x:c r="AN344" s="222"/>
      <x:c r="AO344" s="222"/>
      <x:c r="AP344" s="228"/>
      <x:c r="AQ344" s="228"/>
      <x:c r="AR344" s="228"/>
      <x:c r="AS344" s="228"/>
      <x:c r="AT344" s="230"/>
    </x:row>
    <x:row r="345" spans="1:47" ht="15" customHeight="1">
      <x:c r="A345" s="237"/>
      <x:c r="B345" s="216"/>
      <x:c r="C345" s="238"/>
      <x:c r="D345" s="239"/>
      <x:c r="E345" s="239"/>
      <x:c r="F345" s="236"/>
      <x:c r="G345" s="236"/>
      <x:c r="H345" s="236"/>
      <x:c r="I345" s="236"/>
      <x:c r="J345" s="236"/>
      <x:c r="K345" s="236"/>
      <x:c r="L345" s="236"/>
      <x:c r="M345" s="236"/>
      <x:c r="N345" s="236"/>
      <x:c r="O345" s="236"/>
      <x:c r="P345" s="236"/>
      <x:c r="Q345" s="236"/>
      <x:c r="R345" s="236"/>
      <x:c r="S345" s="236"/>
      <x:c r="T345" s="236"/>
      <x:c r="U345" s="236"/>
      <x:c r="V345" s="236"/>
      <x:c r="W345" s="236"/>
      <x:c r="X345" s="236"/>
      <x:c r="Y345" s="236"/>
      <x:c r="Z345" s="236"/>
      <x:c r="AA345" s="236"/>
      <x:c r="AB345" s="236"/>
      <x:c r="AC345" s="236"/>
      <x:c r="AD345" s="236"/>
      <x:c r="AE345" s="236"/>
      <x:c r="AF345" s="236"/>
      <x:c r="AG345" s="236"/>
      <x:c r="AH345" s="236"/>
      <x:c r="AI345" s="236"/>
      <x:c r="AJ345" s="236"/>
      <x:c r="AK345" s="220"/>
      <x:c r="AL345" s="221"/>
      <x:c r="AM345" s="221"/>
      <x:c r="AN345" s="222"/>
      <x:c r="AO345" s="222"/>
      <x:c r="AP345" s="228"/>
      <x:c r="AQ345" s="228"/>
      <x:c r="AR345" s="228"/>
      <x:c r="AS345" s="228"/>
      <x:c r="AT345" s="230"/>
    </x:row>
    <x:row r="346" spans="1:47" ht="15" customHeight="1">
      <x:c r="A346" s="237"/>
      <x:c r="B346" s="216"/>
      <x:c r="C346" s="238"/>
      <x:c r="D346" s="239"/>
      <x:c r="E346" s="239"/>
      <x:c r="F346" s="236"/>
      <x:c r="G346" s="236"/>
      <x:c r="H346" s="236"/>
      <x:c r="I346" s="236"/>
      <x:c r="J346" s="236"/>
      <x:c r="K346" s="236"/>
      <x:c r="L346" s="236"/>
      <x:c r="M346" s="236"/>
      <x:c r="N346" s="236"/>
      <x:c r="O346" s="236"/>
      <x:c r="P346" s="236"/>
      <x:c r="Q346" s="236"/>
      <x:c r="R346" s="236"/>
      <x:c r="S346" s="236"/>
      <x:c r="T346" s="236"/>
      <x:c r="U346" s="236"/>
      <x:c r="V346" s="236"/>
      <x:c r="W346" s="236"/>
      <x:c r="X346" s="236"/>
      <x:c r="Y346" s="236"/>
      <x:c r="Z346" s="236"/>
      <x:c r="AA346" s="236"/>
      <x:c r="AB346" s="236"/>
      <x:c r="AC346" s="236"/>
      <x:c r="AD346" s="236"/>
      <x:c r="AE346" s="236"/>
      <x:c r="AF346" s="236"/>
      <x:c r="AG346" s="236"/>
      <x:c r="AH346" s="236"/>
      <x:c r="AI346" s="236"/>
      <x:c r="AJ346" s="236"/>
      <x:c r="AK346" s="220"/>
      <x:c r="AL346" s="221"/>
      <x:c r="AM346" s="221"/>
      <x:c r="AN346" s="222"/>
      <x:c r="AO346" s="222"/>
      <x:c r="AP346" s="228"/>
      <x:c r="AQ346" s="228"/>
      <x:c r="AR346" s="228"/>
      <x:c r="AS346" s="228"/>
      <x:c r="AT346" s="230"/>
    </x:row>
    <x:row r="347" spans="1:47" ht="15" customHeight="1">
      <x:c r="A347" s="237"/>
      <x:c r="B347" s="216"/>
      <x:c r="C347" s="238"/>
      <x:c r="D347" s="239"/>
      <x:c r="E347" s="239"/>
      <x:c r="F347" s="236"/>
      <x:c r="G347" s="236"/>
      <x:c r="H347" s="236"/>
      <x:c r="I347" s="236"/>
      <x:c r="J347" s="236"/>
      <x:c r="K347" s="236"/>
      <x:c r="L347" s="236"/>
      <x:c r="M347" s="236"/>
      <x:c r="N347" s="236"/>
      <x:c r="O347" s="236"/>
      <x:c r="P347" s="236"/>
      <x:c r="Q347" s="236"/>
      <x:c r="R347" s="236"/>
      <x:c r="S347" s="236"/>
      <x:c r="T347" s="236"/>
      <x:c r="U347" s="236"/>
      <x:c r="V347" s="236"/>
      <x:c r="W347" s="236"/>
      <x:c r="X347" s="236"/>
      <x:c r="Y347" s="236"/>
      <x:c r="Z347" s="236"/>
      <x:c r="AA347" s="236"/>
      <x:c r="AB347" s="236"/>
      <x:c r="AC347" s="236"/>
      <x:c r="AD347" s="236"/>
      <x:c r="AE347" s="236"/>
      <x:c r="AF347" s="236"/>
      <x:c r="AG347" s="236"/>
      <x:c r="AH347" s="236"/>
      <x:c r="AI347" s="236"/>
      <x:c r="AJ347" s="236"/>
      <x:c r="AK347" s="220"/>
      <x:c r="AL347" s="221"/>
      <x:c r="AM347" s="221"/>
      <x:c r="AN347" s="222"/>
      <x:c r="AO347" s="222"/>
      <x:c r="AP347" s="228"/>
      <x:c r="AQ347" s="228"/>
      <x:c r="AR347" s="228"/>
      <x:c r="AS347" s="228"/>
      <x:c r="AT347" s="230"/>
    </x:row>
    <x:row r="348" spans="1:47" ht="15" customHeight="1">
      <x:c r="A348" s="237"/>
      <x:c r="B348" s="216"/>
      <x:c r="C348" s="238"/>
      <x:c r="D348" s="239"/>
      <x:c r="E348" s="239"/>
      <x:c r="F348" s="236"/>
      <x:c r="G348" s="236"/>
      <x:c r="H348" s="236"/>
      <x:c r="I348" s="236"/>
      <x:c r="J348" s="236"/>
      <x:c r="K348" s="236"/>
      <x:c r="L348" s="236"/>
      <x:c r="M348" s="236"/>
      <x:c r="N348" s="236"/>
      <x:c r="O348" s="236"/>
      <x:c r="P348" s="236"/>
      <x:c r="Q348" s="236"/>
      <x:c r="R348" s="236"/>
      <x:c r="S348" s="236"/>
      <x:c r="T348" s="236"/>
      <x:c r="U348" s="236"/>
      <x:c r="V348" s="236"/>
      <x:c r="W348" s="236"/>
      <x:c r="X348" s="236"/>
      <x:c r="Y348" s="236"/>
      <x:c r="Z348" s="236"/>
      <x:c r="AA348" s="236"/>
      <x:c r="AB348" s="236"/>
      <x:c r="AC348" s="236"/>
      <x:c r="AD348" s="236"/>
      <x:c r="AE348" s="236"/>
      <x:c r="AF348" s="236"/>
      <x:c r="AG348" s="236"/>
      <x:c r="AH348" s="236"/>
      <x:c r="AI348" s="236"/>
      <x:c r="AJ348" s="236"/>
      <x:c r="AK348" s="220"/>
      <x:c r="AL348" s="221"/>
      <x:c r="AM348" s="221"/>
      <x:c r="AN348" s="222"/>
      <x:c r="AO348" s="222"/>
      <x:c r="AP348" s="228"/>
      <x:c r="AQ348" s="228"/>
      <x:c r="AR348" s="228"/>
      <x:c r="AS348" s="228"/>
      <x:c r="AT348" s="230"/>
    </x:row>
    <x:row r="349" spans="1:47" ht="15" customHeight="1">
      <x:c r="A349" s="237"/>
      <x:c r="B349" s="216"/>
      <x:c r="C349" s="238"/>
      <x:c r="D349" s="239"/>
      <x:c r="E349" s="239"/>
      <x:c r="F349" s="236"/>
      <x:c r="G349" s="236"/>
      <x:c r="H349" s="236"/>
      <x:c r="I349" s="236"/>
      <x:c r="J349" s="236"/>
      <x:c r="K349" s="236"/>
      <x:c r="L349" s="236"/>
      <x:c r="M349" s="236"/>
      <x:c r="N349" s="236"/>
      <x:c r="O349" s="236"/>
      <x:c r="P349" s="236"/>
      <x:c r="Q349" s="236"/>
      <x:c r="R349" s="236"/>
      <x:c r="S349" s="236"/>
      <x:c r="T349" s="236"/>
      <x:c r="U349" s="236"/>
      <x:c r="V349" s="236"/>
      <x:c r="W349" s="236"/>
      <x:c r="X349" s="236"/>
      <x:c r="Y349" s="236"/>
      <x:c r="Z349" s="236"/>
      <x:c r="AA349" s="236"/>
      <x:c r="AB349" s="236"/>
      <x:c r="AC349" s="236"/>
      <x:c r="AD349" s="236"/>
      <x:c r="AE349" s="236"/>
      <x:c r="AF349" s="236"/>
      <x:c r="AG349" s="236"/>
      <x:c r="AH349" s="236"/>
      <x:c r="AI349" s="236"/>
      <x:c r="AJ349" s="236"/>
      <x:c r="AK349" s="220"/>
      <x:c r="AL349" s="221"/>
      <x:c r="AM349" s="221"/>
      <x:c r="AN349" s="222"/>
      <x:c r="AO349" s="222"/>
      <x:c r="AP349" s="228"/>
      <x:c r="AQ349" s="228"/>
      <x:c r="AR349" s="228"/>
      <x:c r="AS349" s="228"/>
      <x:c r="AT349" s="230"/>
    </x:row>
    <x:row r="350" spans="1:47" ht="15" customHeight="1">
      <x:c r="A350" s="237"/>
      <x:c r="B350" s="216"/>
      <x:c r="C350" s="238"/>
      <x:c r="D350" s="239"/>
      <x:c r="E350" s="239"/>
      <x:c r="F350" s="236"/>
      <x:c r="G350" s="236"/>
      <x:c r="H350" s="236"/>
      <x:c r="I350" s="236"/>
      <x:c r="J350" s="236"/>
      <x:c r="K350" s="236"/>
      <x:c r="L350" s="236"/>
      <x:c r="M350" s="236"/>
      <x:c r="N350" s="236"/>
      <x:c r="O350" s="236"/>
      <x:c r="P350" s="236"/>
      <x:c r="Q350" s="236"/>
      <x:c r="R350" s="236"/>
      <x:c r="S350" s="236"/>
      <x:c r="T350" s="236"/>
      <x:c r="U350" s="236"/>
      <x:c r="V350" s="236"/>
      <x:c r="W350" s="236"/>
      <x:c r="X350" s="236"/>
      <x:c r="Y350" s="236"/>
      <x:c r="Z350" s="236"/>
      <x:c r="AA350" s="236"/>
      <x:c r="AB350" s="236"/>
      <x:c r="AC350" s="236"/>
      <x:c r="AD350" s="236"/>
      <x:c r="AE350" s="236"/>
      <x:c r="AF350" s="236"/>
      <x:c r="AG350" s="236"/>
      <x:c r="AH350" s="236"/>
      <x:c r="AI350" s="236"/>
      <x:c r="AJ350" s="236"/>
      <x:c r="AK350" s="220"/>
      <x:c r="AL350" s="221"/>
      <x:c r="AM350" s="221"/>
      <x:c r="AN350" s="222"/>
      <x:c r="AO350" s="222"/>
      <x:c r="AP350" s="228"/>
      <x:c r="AQ350" s="228"/>
      <x:c r="AR350" s="228"/>
      <x:c r="AS350" s="228"/>
      <x:c r="AT350" s="230"/>
    </x:row>
    <x:row r="351" spans="1:47" ht="15" customHeight="1">
      <x:c r="A351" s="240"/>
      <x:c r="B351" s="216"/>
      <x:c r="C351" s="236"/>
      <x:c r="D351" s="236"/>
      <x:c r="E351" s="236"/>
      <x:c r="F351" s="236"/>
      <x:c r="G351" s="236"/>
      <x:c r="H351" s="236"/>
      <x:c r="I351" s="236"/>
      <x:c r="J351" s="236"/>
      <x:c r="K351" s="236"/>
      <x:c r="L351" s="236"/>
      <x:c r="M351" s="236"/>
      <x:c r="N351" s="236"/>
      <x:c r="O351" s="236"/>
      <x:c r="P351" s="236"/>
      <x:c r="Q351" s="236"/>
      <x:c r="R351" s="236"/>
      <x:c r="S351" s="236"/>
      <x:c r="T351" s="236"/>
      <x:c r="U351" s="236"/>
      <x:c r="V351" s="236"/>
      <x:c r="W351" s="236"/>
      <x:c r="X351" s="236"/>
      <x:c r="Y351" s="236"/>
      <x:c r="Z351" s="236"/>
      <x:c r="AA351" s="236"/>
      <x:c r="AB351" s="236"/>
      <x:c r="AC351" s="236"/>
      <x:c r="AD351" s="236"/>
      <x:c r="AE351" s="236"/>
      <x:c r="AF351" s="236"/>
      <x:c r="AG351" s="236"/>
      <x:c r="AH351" s="236"/>
      <x:c r="AI351" s="236"/>
      <x:c r="AJ351" s="236"/>
      <x:c r="AK351" s="220"/>
      <x:c r="AL351" s="221"/>
      <x:c r="AM351" s="221"/>
      <x:c r="AN351" s="222"/>
      <x:c r="AO351" s="222"/>
      <x:c r="AP351" s="228"/>
      <x:c r="AQ351" s="228"/>
      <x:c r="AR351" s="228"/>
      <x:c r="AS351" s="228"/>
      <x:c r="AT351" s="228"/>
    </x:row>
    <x:row r="352" spans="1:47" ht="15" customHeight="1">
      <x:c r="A352" s="240"/>
      <x:c r="B352" s="216"/>
      <x:c r="C352" s="236"/>
      <x:c r="D352" s="236"/>
      <x:c r="E352" s="236"/>
      <x:c r="F352" s="236"/>
      <x:c r="G352" s="236"/>
      <x:c r="H352" s="236"/>
      <x:c r="I352" s="236"/>
      <x:c r="J352" s="236"/>
      <x:c r="K352" s="236"/>
      <x:c r="L352" s="236"/>
      <x:c r="M352" s="236"/>
      <x:c r="N352" s="236"/>
      <x:c r="O352" s="236"/>
      <x:c r="P352" s="236"/>
      <x:c r="Q352" s="236"/>
      <x:c r="R352" s="236"/>
      <x:c r="S352" s="236"/>
      <x:c r="T352" s="236"/>
      <x:c r="U352" s="236"/>
      <x:c r="V352" s="236"/>
      <x:c r="W352" s="236"/>
      <x:c r="X352" s="236"/>
      <x:c r="Y352" s="236"/>
      <x:c r="Z352" s="236"/>
      <x:c r="AA352" s="236"/>
      <x:c r="AB352" s="236"/>
      <x:c r="AC352" s="236"/>
      <x:c r="AD352" s="236"/>
      <x:c r="AE352" s="236"/>
      <x:c r="AF352" s="236"/>
      <x:c r="AG352" s="236"/>
      <x:c r="AH352" s="236"/>
      <x:c r="AI352" s="236"/>
      <x:c r="AJ352" s="236"/>
      <x:c r="AK352" s="220"/>
      <x:c r="AL352" s="221"/>
      <x:c r="AM352" s="221"/>
      <x:c r="AN352" s="222"/>
      <x:c r="AO352" s="222"/>
      <x:c r="AP352" s="228"/>
      <x:c r="AQ352" s="228"/>
      <x:c r="AR352" s="228"/>
      <x:c r="AS352" s="228"/>
      <x:c r="AT352" s="228"/>
    </x:row>
    <x:row r="353" spans="1:47" ht="15" customHeight="1">
      <x:c r="A353" s="240"/>
      <x:c r="B353" s="216"/>
      <x:c r="C353" s="236"/>
      <x:c r="D353" s="236"/>
      <x:c r="E353" s="236"/>
      <x:c r="F353" s="236"/>
      <x:c r="G353" s="236"/>
      <x:c r="H353" s="236"/>
      <x:c r="I353" s="236"/>
      <x:c r="J353" s="236"/>
      <x:c r="K353" s="236"/>
      <x:c r="L353" s="236"/>
      <x:c r="M353" s="236"/>
      <x:c r="N353" s="236"/>
      <x:c r="O353" s="236"/>
      <x:c r="P353" s="236"/>
      <x:c r="Q353" s="236"/>
      <x:c r="R353" s="236"/>
      <x:c r="S353" s="236"/>
      <x:c r="T353" s="236"/>
      <x:c r="U353" s="236"/>
      <x:c r="V353" s="236"/>
      <x:c r="W353" s="236"/>
      <x:c r="X353" s="236"/>
      <x:c r="Y353" s="236"/>
      <x:c r="Z353" s="236"/>
      <x:c r="AA353" s="236"/>
      <x:c r="AB353" s="236"/>
      <x:c r="AC353" s="236"/>
      <x:c r="AD353" s="236"/>
      <x:c r="AE353" s="236"/>
      <x:c r="AF353" s="236"/>
      <x:c r="AG353" s="236"/>
      <x:c r="AH353" s="236"/>
      <x:c r="AI353" s="236"/>
      <x:c r="AJ353" s="236"/>
      <x:c r="AK353" s="220"/>
      <x:c r="AL353" s="221"/>
      <x:c r="AM353" s="221"/>
      <x:c r="AN353" s="222"/>
      <x:c r="AO353" s="222"/>
      <x:c r="AP353" s="228"/>
      <x:c r="AQ353" s="228"/>
      <x:c r="AR353" s="228"/>
      <x:c r="AS353" s="228"/>
      <x:c r="AT353" s="228"/>
    </x:row>
    <x:row r="354" spans="1:47" ht="15" customHeight="1">
      <x:c r="A354" s="69"/>
      <x:c r="B354" s="216"/>
      <x:c r="C354" s="121"/>
      <x:c r="D354" s="121"/>
      <x:c r="E354" s="121"/>
      <x:c r="F354" s="241"/>
      <x:c r="G354" s="241"/>
      <x:c r="H354" s="241"/>
      <x:c r="I354" s="241"/>
      <x:c r="J354" s="241"/>
      <x:c r="K354" s="241"/>
      <x:c r="L354" s="241"/>
      <x:c r="M354" s="241"/>
      <x:c r="N354" s="241"/>
      <x:c r="O354" s="241"/>
      <x:c r="P354" s="241"/>
      <x:c r="Q354" s="241"/>
      <x:c r="R354" s="241"/>
      <x:c r="S354" s="241"/>
      <x:c r="T354" s="241"/>
      <x:c r="U354" s="241"/>
      <x:c r="V354" s="241"/>
      <x:c r="W354" s="241"/>
      <x:c r="X354" s="241"/>
      <x:c r="Y354" s="241"/>
      <x:c r="Z354" s="241"/>
      <x:c r="AA354" s="241"/>
      <x:c r="AB354" s="241"/>
      <x:c r="AC354" s="241"/>
      <x:c r="AD354" s="241"/>
      <x:c r="AE354" s="241"/>
      <x:c r="AF354" s="241"/>
      <x:c r="AG354" s="241"/>
      <x:c r="AH354" s="241"/>
      <x:c r="AI354" s="241"/>
      <x:c r="AJ354" s="241"/>
      <x:c r="AK354" s="220"/>
      <x:c r="AL354" s="221"/>
      <x:c r="AM354" s="221"/>
      <x:c r="AN354" s="123"/>
      <x:c r="AO354" s="123"/>
    </x:row>
    <x:row r="355" spans="1:47" ht="15" customHeight="1">
      <x:c r="A355" s="69"/>
      <x:c r="B355" s="216"/>
      <x:c r="C355" s="121"/>
      <x:c r="D355" s="121"/>
      <x:c r="E355" s="121"/>
      <x:c r="F355" s="241"/>
      <x:c r="G355" s="241"/>
      <x:c r="H355" s="241"/>
      <x:c r="I355" s="241"/>
      <x:c r="J355" s="241"/>
      <x:c r="K355" s="241"/>
      <x:c r="L355" s="241"/>
      <x:c r="M355" s="241"/>
      <x:c r="N355" s="241"/>
      <x:c r="O355" s="241"/>
      <x:c r="P355" s="241"/>
      <x:c r="Q355" s="241"/>
      <x:c r="R355" s="241"/>
      <x:c r="S355" s="241"/>
      <x:c r="T355" s="241"/>
      <x:c r="U355" s="241"/>
      <x:c r="V355" s="241"/>
      <x:c r="W355" s="241"/>
      <x:c r="X355" s="241"/>
      <x:c r="Y355" s="241"/>
      <x:c r="Z355" s="241"/>
      <x:c r="AA355" s="241"/>
      <x:c r="AB355" s="241"/>
      <x:c r="AC355" s="241"/>
      <x:c r="AD355" s="241"/>
      <x:c r="AE355" s="241"/>
      <x:c r="AF355" s="241"/>
      <x:c r="AG355" s="241"/>
      <x:c r="AH355" s="241"/>
      <x:c r="AI355" s="241"/>
      <x:c r="AJ355" s="241"/>
      <x:c r="AK355" s="220"/>
      <x:c r="AL355" s="221"/>
      <x:c r="AM355" s="221"/>
      <x:c r="AN355" s="123"/>
      <x:c r="AO355" s="123"/>
    </x:row>
    <x:row r="356" spans="1:47" ht="15" customHeight="1">
      <x:c r="A356" s="69"/>
      <x:c r="B356" s="216"/>
      <x:c r="C356" s="121"/>
      <x:c r="D356" s="121"/>
      <x:c r="E356" s="121"/>
      <x:c r="F356" s="241"/>
      <x:c r="G356" s="241"/>
      <x:c r="H356" s="241"/>
      <x:c r="I356" s="241"/>
      <x:c r="J356" s="241"/>
      <x:c r="K356" s="241"/>
      <x:c r="L356" s="241"/>
      <x:c r="M356" s="241"/>
      <x:c r="N356" s="241"/>
      <x:c r="O356" s="241"/>
      <x:c r="P356" s="241"/>
      <x:c r="Q356" s="241"/>
      <x:c r="R356" s="241"/>
      <x:c r="S356" s="241"/>
      <x:c r="T356" s="241"/>
      <x:c r="U356" s="241"/>
      <x:c r="V356" s="241"/>
      <x:c r="W356" s="241"/>
      <x:c r="X356" s="241"/>
      <x:c r="Y356" s="241"/>
      <x:c r="Z356" s="241"/>
      <x:c r="AA356" s="241"/>
      <x:c r="AB356" s="241"/>
      <x:c r="AC356" s="241"/>
      <x:c r="AD356" s="241"/>
      <x:c r="AE356" s="241"/>
      <x:c r="AF356" s="241"/>
      <x:c r="AG356" s="241"/>
      <x:c r="AH356" s="241"/>
      <x:c r="AI356" s="241"/>
      <x:c r="AJ356" s="241"/>
      <x:c r="AK356" s="220"/>
      <x:c r="AL356" s="221"/>
      <x:c r="AM356" s="221"/>
      <x:c r="AN356" s="123"/>
      <x:c r="AO356" s="123"/>
    </x:row>
    <x:row r="357" spans="1:47" ht="15" customHeight="1">
      <x:c r="A357" s="69"/>
      <x:c r="B357" s="216"/>
      <x:c r="C357" s="121"/>
      <x:c r="D357" s="121"/>
      <x:c r="E357" s="121"/>
      <x:c r="F357" s="241"/>
      <x:c r="G357" s="241"/>
      <x:c r="H357" s="241"/>
      <x:c r="I357" s="241"/>
      <x:c r="J357" s="241"/>
      <x:c r="K357" s="241"/>
      <x:c r="L357" s="241"/>
      <x:c r="M357" s="241"/>
      <x:c r="N357" s="241"/>
      <x:c r="O357" s="241"/>
      <x:c r="P357" s="241"/>
      <x:c r="Q357" s="241"/>
      <x:c r="R357" s="241"/>
      <x:c r="S357" s="241"/>
      <x:c r="T357" s="241"/>
      <x:c r="U357" s="241"/>
      <x:c r="V357" s="241"/>
      <x:c r="W357" s="241"/>
      <x:c r="X357" s="241"/>
      <x:c r="Y357" s="241"/>
      <x:c r="Z357" s="241"/>
      <x:c r="AA357" s="241"/>
      <x:c r="AB357" s="241"/>
      <x:c r="AC357" s="241"/>
      <x:c r="AD357" s="241"/>
      <x:c r="AE357" s="241"/>
      <x:c r="AF357" s="241"/>
      <x:c r="AG357" s="241"/>
      <x:c r="AH357" s="241"/>
      <x:c r="AI357" s="241"/>
      <x:c r="AJ357" s="241"/>
      <x:c r="AK357" s="220"/>
      <x:c r="AL357" s="221"/>
      <x:c r="AM357" s="221"/>
      <x:c r="AN357" s="123"/>
      <x:c r="AO357" s="123"/>
    </x:row>
    <x:row r="358" spans="1:47" ht="15" customHeight="1">
      <x:c r="A358" s="69"/>
      <x:c r="B358" s="216"/>
      <x:c r="C358" s="121"/>
      <x:c r="D358" s="121"/>
      <x:c r="E358" s="121"/>
      <x:c r="F358" s="241"/>
      <x:c r="G358" s="241"/>
      <x:c r="H358" s="241"/>
      <x:c r="I358" s="241"/>
      <x:c r="J358" s="241"/>
      <x:c r="K358" s="241"/>
      <x:c r="L358" s="241"/>
      <x:c r="M358" s="241"/>
      <x:c r="N358" s="241"/>
      <x:c r="O358" s="241"/>
      <x:c r="P358" s="241"/>
      <x:c r="Q358" s="241"/>
      <x:c r="R358" s="241"/>
      <x:c r="S358" s="241"/>
      <x:c r="T358" s="241"/>
      <x:c r="U358" s="241"/>
      <x:c r="V358" s="241"/>
      <x:c r="W358" s="241"/>
      <x:c r="X358" s="241"/>
      <x:c r="Y358" s="241"/>
      <x:c r="Z358" s="241"/>
      <x:c r="AA358" s="241"/>
      <x:c r="AB358" s="241"/>
      <x:c r="AC358" s="241"/>
      <x:c r="AD358" s="241"/>
      <x:c r="AE358" s="241"/>
      <x:c r="AF358" s="241"/>
      <x:c r="AG358" s="241"/>
      <x:c r="AH358" s="241"/>
      <x:c r="AI358" s="241"/>
      <x:c r="AJ358" s="241"/>
      <x:c r="AK358" s="220"/>
      <x:c r="AL358" s="221"/>
      <x:c r="AM358" s="221"/>
      <x:c r="AN358" s="123"/>
      <x:c r="AO358" s="123"/>
    </x:row>
    <x:row r="359" spans="1:47" ht="15" customHeight="1">
      <x:c r="A359" s="69"/>
      <x:c r="B359" s="216"/>
      <x:c r="C359" s="121"/>
      <x:c r="D359" s="121"/>
      <x:c r="E359" s="121"/>
      <x:c r="F359" s="241"/>
      <x:c r="G359" s="241"/>
      <x:c r="H359" s="241"/>
      <x:c r="I359" s="241"/>
      <x:c r="J359" s="241"/>
      <x:c r="K359" s="241"/>
      <x:c r="L359" s="241"/>
      <x:c r="M359" s="241"/>
      <x:c r="N359" s="241"/>
      <x:c r="O359" s="241"/>
      <x:c r="P359" s="241"/>
      <x:c r="Q359" s="241"/>
      <x:c r="R359" s="241"/>
      <x:c r="S359" s="241"/>
      <x:c r="T359" s="241"/>
      <x:c r="U359" s="241"/>
      <x:c r="V359" s="241"/>
      <x:c r="W359" s="241"/>
      <x:c r="X359" s="241"/>
      <x:c r="Y359" s="241"/>
      <x:c r="Z359" s="241"/>
      <x:c r="AA359" s="241"/>
      <x:c r="AB359" s="241"/>
      <x:c r="AC359" s="241"/>
      <x:c r="AD359" s="241"/>
      <x:c r="AE359" s="241"/>
      <x:c r="AF359" s="241"/>
      <x:c r="AG359" s="241"/>
      <x:c r="AH359" s="241"/>
      <x:c r="AI359" s="241"/>
      <x:c r="AJ359" s="241"/>
      <x:c r="AK359" s="220"/>
      <x:c r="AL359" s="221"/>
      <x:c r="AM359" s="221"/>
      <x:c r="AN359" s="123"/>
      <x:c r="AO359" s="123"/>
    </x:row>
    <x:row r="360" spans="1:47" ht="15" customHeight="1">
      <x:c r="A360" s="69"/>
      <x:c r="B360" s="216"/>
      <x:c r="C360" s="121"/>
      <x:c r="D360" s="121"/>
      <x:c r="E360" s="121"/>
      <x:c r="F360" s="241"/>
      <x:c r="G360" s="241"/>
      <x:c r="H360" s="241"/>
      <x:c r="I360" s="241"/>
      <x:c r="J360" s="241"/>
      <x:c r="K360" s="241"/>
      <x:c r="L360" s="241"/>
      <x:c r="M360" s="241"/>
      <x:c r="N360" s="241"/>
      <x:c r="O360" s="241"/>
      <x:c r="P360" s="241"/>
      <x:c r="Q360" s="241"/>
      <x:c r="R360" s="241"/>
      <x:c r="S360" s="241"/>
      <x:c r="T360" s="241"/>
      <x:c r="U360" s="241"/>
      <x:c r="V360" s="241"/>
      <x:c r="W360" s="241"/>
      <x:c r="X360" s="241"/>
      <x:c r="Y360" s="241"/>
      <x:c r="Z360" s="241"/>
      <x:c r="AA360" s="241"/>
      <x:c r="AB360" s="241"/>
      <x:c r="AC360" s="241"/>
      <x:c r="AD360" s="241"/>
      <x:c r="AE360" s="241"/>
      <x:c r="AF360" s="241"/>
      <x:c r="AG360" s="241"/>
      <x:c r="AH360" s="241"/>
      <x:c r="AI360" s="241"/>
      <x:c r="AJ360" s="241"/>
      <x:c r="AK360" s="220"/>
      <x:c r="AL360" s="221"/>
      <x:c r="AM360" s="221"/>
      <x:c r="AN360" s="123"/>
      <x:c r="AO360" s="123"/>
    </x:row>
    <x:row r="361" spans="1:47" ht="15" customHeight="1">
      <x:c r="A361" s="69"/>
      <x:c r="B361" s="216"/>
      <x:c r="C361" s="121"/>
      <x:c r="D361" s="121"/>
      <x:c r="E361" s="121"/>
      <x:c r="F361" s="241"/>
      <x:c r="G361" s="241"/>
      <x:c r="H361" s="241"/>
      <x:c r="I361" s="241"/>
      <x:c r="J361" s="241"/>
      <x:c r="K361" s="241"/>
      <x:c r="L361" s="241"/>
      <x:c r="M361" s="241"/>
      <x:c r="N361" s="241"/>
      <x:c r="O361" s="241"/>
      <x:c r="P361" s="241"/>
      <x:c r="Q361" s="241"/>
      <x:c r="R361" s="241"/>
      <x:c r="S361" s="241"/>
      <x:c r="T361" s="241"/>
      <x:c r="U361" s="241"/>
      <x:c r="V361" s="241"/>
      <x:c r="W361" s="241"/>
      <x:c r="X361" s="241"/>
      <x:c r="Y361" s="241"/>
      <x:c r="Z361" s="241"/>
      <x:c r="AA361" s="241"/>
      <x:c r="AB361" s="241"/>
      <x:c r="AC361" s="241"/>
      <x:c r="AD361" s="241"/>
      <x:c r="AE361" s="241"/>
      <x:c r="AF361" s="241"/>
      <x:c r="AG361" s="241"/>
      <x:c r="AH361" s="241"/>
      <x:c r="AI361" s="241"/>
      <x:c r="AJ361" s="241"/>
      <x:c r="AK361" s="220"/>
      <x:c r="AL361" s="221"/>
      <x:c r="AM361" s="221"/>
      <x:c r="AN361" s="123"/>
      <x:c r="AO361" s="123"/>
    </x:row>
    <x:row r="362" spans="1:47" ht="15" customHeight="1">
      <x:c r="A362" s="69"/>
      <x:c r="B362" s="216"/>
      <x:c r="C362" s="121"/>
      <x:c r="D362" s="121"/>
      <x:c r="E362" s="121"/>
      <x:c r="F362" s="241"/>
      <x:c r="G362" s="241"/>
      <x:c r="H362" s="241"/>
      <x:c r="I362" s="241"/>
      <x:c r="J362" s="241"/>
      <x:c r="K362" s="241"/>
      <x:c r="L362" s="241"/>
      <x:c r="M362" s="241"/>
      <x:c r="N362" s="241"/>
      <x:c r="O362" s="241"/>
      <x:c r="P362" s="241"/>
      <x:c r="Q362" s="241"/>
      <x:c r="R362" s="241"/>
      <x:c r="S362" s="241"/>
      <x:c r="T362" s="241"/>
      <x:c r="U362" s="241"/>
      <x:c r="V362" s="241"/>
      <x:c r="W362" s="241"/>
      <x:c r="X362" s="241"/>
      <x:c r="Y362" s="241"/>
      <x:c r="Z362" s="241"/>
      <x:c r="AA362" s="241"/>
      <x:c r="AB362" s="241"/>
      <x:c r="AC362" s="241"/>
      <x:c r="AD362" s="241"/>
      <x:c r="AE362" s="241"/>
      <x:c r="AF362" s="241"/>
      <x:c r="AG362" s="241"/>
      <x:c r="AH362" s="241"/>
      <x:c r="AI362" s="241"/>
      <x:c r="AJ362" s="241"/>
      <x:c r="AK362" s="220"/>
      <x:c r="AL362" s="221"/>
      <x:c r="AM362" s="221"/>
      <x:c r="AN362" s="123"/>
      <x:c r="AO362" s="123"/>
    </x:row>
    <x:row r="363" spans="1:47" ht="15" customHeight="1">
      <x:c r="A363" s="69"/>
      <x:c r="B363" s="216"/>
      <x:c r="C363" s="121"/>
      <x:c r="D363" s="121"/>
      <x:c r="E363" s="121"/>
      <x:c r="F363" s="241"/>
      <x:c r="G363" s="241"/>
      <x:c r="H363" s="241"/>
      <x:c r="I363" s="241"/>
      <x:c r="J363" s="241"/>
      <x:c r="K363" s="241"/>
      <x:c r="L363" s="241"/>
      <x:c r="M363" s="241"/>
      <x:c r="N363" s="241"/>
      <x:c r="O363" s="241"/>
      <x:c r="P363" s="241"/>
      <x:c r="Q363" s="241"/>
      <x:c r="R363" s="241"/>
      <x:c r="S363" s="241"/>
      <x:c r="T363" s="241"/>
      <x:c r="U363" s="241"/>
      <x:c r="V363" s="241"/>
      <x:c r="W363" s="241"/>
      <x:c r="X363" s="241"/>
      <x:c r="Y363" s="241"/>
      <x:c r="Z363" s="241"/>
      <x:c r="AA363" s="241"/>
      <x:c r="AB363" s="241"/>
      <x:c r="AC363" s="241"/>
      <x:c r="AD363" s="241"/>
      <x:c r="AE363" s="241"/>
      <x:c r="AF363" s="241"/>
      <x:c r="AG363" s="241"/>
      <x:c r="AH363" s="241"/>
      <x:c r="AI363" s="241"/>
      <x:c r="AJ363" s="241"/>
      <x:c r="AK363" s="220"/>
      <x:c r="AL363" s="221"/>
      <x:c r="AM363" s="221"/>
      <x:c r="AN363" s="123"/>
      <x:c r="AO363" s="123"/>
    </x:row>
    <x:row r="364" spans="1:47" ht="15" customHeight="1">
      <x:c r="A364" s="69"/>
      <x:c r="B364" s="216"/>
      <x:c r="C364" s="121"/>
      <x:c r="D364" s="121"/>
      <x:c r="E364" s="121"/>
      <x:c r="F364" s="241"/>
      <x:c r="G364" s="241"/>
      <x:c r="H364" s="241"/>
      <x:c r="I364" s="241"/>
      <x:c r="J364" s="241"/>
      <x:c r="K364" s="241"/>
      <x:c r="L364" s="241"/>
      <x:c r="M364" s="241"/>
      <x:c r="N364" s="241"/>
      <x:c r="O364" s="241"/>
      <x:c r="P364" s="241"/>
      <x:c r="Q364" s="241"/>
      <x:c r="R364" s="241"/>
      <x:c r="S364" s="241"/>
      <x:c r="T364" s="241"/>
      <x:c r="U364" s="241"/>
      <x:c r="V364" s="241"/>
      <x:c r="W364" s="241"/>
      <x:c r="X364" s="241"/>
      <x:c r="Y364" s="241"/>
      <x:c r="Z364" s="241"/>
      <x:c r="AA364" s="241"/>
      <x:c r="AB364" s="241"/>
      <x:c r="AC364" s="241"/>
      <x:c r="AD364" s="241"/>
      <x:c r="AE364" s="241"/>
      <x:c r="AF364" s="241"/>
      <x:c r="AG364" s="241"/>
      <x:c r="AH364" s="241"/>
      <x:c r="AI364" s="241"/>
      <x:c r="AJ364" s="241"/>
      <x:c r="AK364" s="220"/>
      <x:c r="AL364" s="221"/>
      <x:c r="AM364" s="221"/>
      <x:c r="AN364" s="123"/>
      <x:c r="AO364" s="123"/>
    </x:row>
    <x:row r="365" spans="1:47" ht="15" customHeight="1">
      <x:c r="A365" s="69"/>
      <x:c r="B365" s="216"/>
      <x:c r="C365" s="121"/>
      <x:c r="D365" s="121"/>
      <x:c r="E365" s="121"/>
      <x:c r="F365" s="241"/>
      <x:c r="G365" s="241"/>
      <x:c r="H365" s="241"/>
      <x:c r="I365" s="241"/>
      <x:c r="J365" s="241"/>
      <x:c r="K365" s="241"/>
      <x:c r="L365" s="241"/>
      <x:c r="M365" s="241"/>
      <x:c r="N365" s="241"/>
      <x:c r="O365" s="241"/>
      <x:c r="P365" s="241"/>
      <x:c r="Q365" s="241"/>
      <x:c r="R365" s="241"/>
      <x:c r="S365" s="241"/>
      <x:c r="T365" s="241"/>
      <x:c r="U365" s="241"/>
      <x:c r="V365" s="241"/>
      <x:c r="W365" s="241"/>
      <x:c r="X365" s="241"/>
      <x:c r="Y365" s="241"/>
      <x:c r="Z365" s="241"/>
      <x:c r="AA365" s="241"/>
      <x:c r="AB365" s="241"/>
      <x:c r="AC365" s="241"/>
      <x:c r="AD365" s="241"/>
      <x:c r="AE365" s="241"/>
      <x:c r="AF365" s="241"/>
      <x:c r="AG365" s="241"/>
      <x:c r="AH365" s="241"/>
      <x:c r="AI365" s="241"/>
      <x:c r="AJ365" s="241"/>
      <x:c r="AK365" s="220"/>
      <x:c r="AL365" s="221"/>
      <x:c r="AM365" s="221"/>
      <x:c r="AN365" s="123"/>
      <x:c r="AO365" s="123"/>
    </x:row>
    <x:row r="366" spans="1:47" ht="15" customHeight="1">
      <x:c r="A366" s="69"/>
      <x:c r="B366" s="216"/>
      <x:c r="C366" s="121"/>
      <x:c r="D366" s="121"/>
      <x:c r="E366" s="121"/>
      <x:c r="F366" s="241"/>
      <x:c r="G366" s="241"/>
      <x:c r="H366" s="241"/>
      <x:c r="I366" s="241"/>
      <x:c r="J366" s="241"/>
      <x:c r="K366" s="241"/>
      <x:c r="L366" s="241"/>
      <x:c r="M366" s="241"/>
      <x:c r="N366" s="241"/>
      <x:c r="O366" s="241"/>
      <x:c r="P366" s="241"/>
      <x:c r="Q366" s="241"/>
      <x:c r="R366" s="241"/>
      <x:c r="S366" s="241"/>
      <x:c r="T366" s="241"/>
      <x:c r="U366" s="241"/>
      <x:c r="V366" s="241"/>
      <x:c r="W366" s="241"/>
      <x:c r="X366" s="241"/>
      <x:c r="Y366" s="241"/>
      <x:c r="Z366" s="241"/>
      <x:c r="AA366" s="241"/>
      <x:c r="AB366" s="241"/>
      <x:c r="AC366" s="241"/>
      <x:c r="AD366" s="241"/>
      <x:c r="AE366" s="241"/>
      <x:c r="AF366" s="241"/>
      <x:c r="AG366" s="241"/>
      <x:c r="AH366" s="241"/>
      <x:c r="AI366" s="241"/>
      <x:c r="AJ366" s="241"/>
      <x:c r="AK366" s="220"/>
      <x:c r="AL366" s="221"/>
      <x:c r="AM366" s="221"/>
      <x:c r="AN366" s="123"/>
      <x:c r="AO366" s="123"/>
    </x:row>
    <x:row r="367" spans="1:47" ht="15" customHeight="1">
      <x:c r="A367" s="69"/>
      <x:c r="B367" s="216"/>
      <x:c r="C367" s="121"/>
      <x:c r="D367" s="121"/>
      <x:c r="E367" s="121"/>
      <x:c r="F367" s="241"/>
      <x:c r="G367" s="241"/>
      <x:c r="H367" s="241"/>
      <x:c r="I367" s="241"/>
      <x:c r="J367" s="241"/>
      <x:c r="K367" s="241"/>
      <x:c r="L367" s="241"/>
      <x:c r="M367" s="241"/>
      <x:c r="N367" s="241"/>
      <x:c r="O367" s="241"/>
      <x:c r="P367" s="241"/>
      <x:c r="Q367" s="241"/>
      <x:c r="R367" s="241"/>
      <x:c r="S367" s="241"/>
      <x:c r="T367" s="241"/>
      <x:c r="U367" s="241"/>
      <x:c r="V367" s="241"/>
      <x:c r="W367" s="241"/>
      <x:c r="X367" s="241"/>
      <x:c r="Y367" s="241"/>
      <x:c r="Z367" s="241"/>
      <x:c r="AA367" s="241"/>
      <x:c r="AB367" s="241"/>
      <x:c r="AC367" s="241"/>
      <x:c r="AD367" s="241"/>
      <x:c r="AE367" s="241"/>
      <x:c r="AF367" s="241"/>
      <x:c r="AG367" s="241"/>
      <x:c r="AH367" s="241"/>
      <x:c r="AI367" s="241"/>
      <x:c r="AJ367" s="241"/>
      <x:c r="AK367" s="220"/>
      <x:c r="AL367" s="221"/>
      <x:c r="AM367" s="221"/>
      <x:c r="AN367" s="123"/>
      <x:c r="AO367" s="123"/>
    </x:row>
    <x:row r="368" spans="1:47" ht="15" customHeight="1">
      <x:c r="A368" s="69"/>
      <x:c r="B368" s="216"/>
      <x:c r="C368" s="121"/>
      <x:c r="D368" s="121"/>
      <x:c r="E368" s="121"/>
      <x:c r="F368" s="241"/>
      <x:c r="G368" s="241"/>
      <x:c r="H368" s="241"/>
      <x:c r="I368" s="241"/>
      <x:c r="J368" s="241"/>
      <x:c r="K368" s="241"/>
      <x:c r="L368" s="241"/>
      <x:c r="M368" s="241"/>
      <x:c r="N368" s="241"/>
      <x:c r="O368" s="241"/>
      <x:c r="P368" s="241"/>
      <x:c r="Q368" s="241"/>
      <x:c r="R368" s="241"/>
      <x:c r="S368" s="241"/>
      <x:c r="T368" s="241"/>
      <x:c r="U368" s="241"/>
      <x:c r="V368" s="241"/>
      <x:c r="W368" s="241"/>
      <x:c r="X368" s="241"/>
      <x:c r="Y368" s="241"/>
      <x:c r="Z368" s="241"/>
      <x:c r="AA368" s="241"/>
      <x:c r="AB368" s="241"/>
      <x:c r="AC368" s="241"/>
      <x:c r="AD368" s="241"/>
      <x:c r="AE368" s="241"/>
      <x:c r="AF368" s="241"/>
      <x:c r="AG368" s="241"/>
      <x:c r="AH368" s="241"/>
      <x:c r="AI368" s="241"/>
      <x:c r="AJ368" s="241"/>
      <x:c r="AK368" s="220"/>
      <x:c r="AL368" s="221"/>
      <x:c r="AM368" s="221"/>
      <x:c r="AN368" s="123"/>
      <x:c r="AO368" s="123"/>
    </x:row>
    <x:row r="369" spans="1:47" ht="15" customHeight="1">
      <x:c r="A369" s="69"/>
      <x:c r="B369" s="216"/>
      <x:c r="C369" s="121"/>
      <x:c r="D369" s="121"/>
      <x:c r="E369" s="121"/>
      <x:c r="F369" s="241"/>
      <x:c r="G369" s="241"/>
      <x:c r="H369" s="241"/>
      <x:c r="I369" s="241"/>
      <x:c r="J369" s="241"/>
      <x:c r="K369" s="241"/>
      <x:c r="L369" s="241"/>
      <x:c r="M369" s="241"/>
      <x:c r="N369" s="241"/>
      <x:c r="O369" s="241"/>
      <x:c r="P369" s="241"/>
      <x:c r="Q369" s="241"/>
      <x:c r="R369" s="241"/>
      <x:c r="S369" s="241"/>
      <x:c r="T369" s="241"/>
      <x:c r="U369" s="241"/>
      <x:c r="V369" s="241"/>
      <x:c r="W369" s="241"/>
      <x:c r="X369" s="241"/>
      <x:c r="Y369" s="241"/>
      <x:c r="Z369" s="241"/>
      <x:c r="AA369" s="241"/>
      <x:c r="AB369" s="241"/>
      <x:c r="AC369" s="241"/>
      <x:c r="AD369" s="241"/>
      <x:c r="AE369" s="241"/>
      <x:c r="AF369" s="241"/>
      <x:c r="AG369" s="241"/>
      <x:c r="AH369" s="241"/>
      <x:c r="AI369" s="241"/>
      <x:c r="AJ369" s="241"/>
      <x:c r="AK369" s="220"/>
      <x:c r="AL369" s="221"/>
      <x:c r="AM369" s="221"/>
      <x:c r="AN369" s="123"/>
      <x:c r="AO369" s="123"/>
    </x:row>
    <x:row r="370" spans="1:47" ht="15" customHeight="1">
      <x:c r="A370" s="69"/>
      <x:c r="B370" s="216"/>
      <x:c r="C370" s="121"/>
      <x:c r="D370" s="121"/>
      <x:c r="E370" s="121"/>
      <x:c r="F370" s="241"/>
      <x:c r="G370" s="241"/>
      <x:c r="H370" s="241"/>
      <x:c r="I370" s="241"/>
      <x:c r="J370" s="241"/>
      <x:c r="K370" s="241"/>
      <x:c r="L370" s="241"/>
      <x:c r="M370" s="241"/>
      <x:c r="N370" s="241"/>
      <x:c r="O370" s="241"/>
      <x:c r="P370" s="241"/>
      <x:c r="Q370" s="241"/>
      <x:c r="R370" s="241"/>
      <x:c r="S370" s="241"/>
      <x:c r="T370" s="241"/>
      <x:c r="U370" s="241"/>
      <x:c r="V370" s="241"/>
      <x:c r="W370" s="241"/>
      <x:c r="X370" s="241"/>
      <x:c r="Y370" s="241"/>
      <x:c r="Z370" s="241"/>
      <x:c r="AA370" s="241"/>
      <x:c r="AB370" s="241"/>
      <x:c r="AC370" s="241"/>
      <x:c r="AD370" s="241"/>
      <x:c r="AE370" s="241"/>
      <x:c r="AF370" s="241"/>
      <x:c r="AG370" s="241"/>
      <x:c r="AH370" s="241"/>
      <x:c r="AI370" s="241"/>
      <x:c r="AJ370" s="241"/>
      <x:c r="AK370" s="220"/>
      <x:c r="AL370" s="221"/>
      <x:c r="AM370" s="221"/>
      <x:c r="AN370" s="123"/>
      <x:c r="AO370" s="123"/>
    </x:row>
    <x:row r="371" spans="1:47" ht="15" customHeight="1">
      <x:c r="A371" s="69"/>
      <x:c r="B371" s="216"/>
      <x:c r="C371" s="121"/>
      <x:c r="D371" s="121"/>
      <x:c r="E371" s="121"/>
      <x:c r="F371" s="241"/>
      <x:c r="G371" s="241"/>
      <x:c r="H371" s="241"/>
      <x:c r="I371" s="241"/>
      <x:c r="J371" s="241"/>
      <x:c r="K371" s="241"/>
      <x:c r="L371" s="241"/>
      <x:c r="M371" s="241"/>
      <x:c r="N371" s="241"/>
      <x:c r="O371" s="241"/>
      <x:c r="P371" s="241"/>
      <x:c r="Q371" s="241"/>
      <x:c r="R371" s="241"/>
      <x:c r="S371" s="241"/>
      <x:c r="T371" s="241"/>
      <x:c r="U371" s="241"/>
      <x:c r="V371" s="241"/>
      <x:c r="W371" s="241"/>
      <x:c r="X371" s="241"/>
      <x:c r="Y371" s="241"/>
      <x:c r="Z371" s="241"/>
      <x:c r="AA371" s="241"/>
      <x:c r="AB371" s="241"/>
      <x:c r="AC371" s="241"/>
      <x:c r="AD371" s="241"/>
      <x:c r="AE371" s="241"/>
      <x:c r="AF371" s="241"/>
      <x:c r="AG371" s="241"/>
      <x:c r="AH371" s="241"/>
      <x:c r="AI371" s="241"/>
      <x:c r="AJ371" s="241"/>
      <x:c r="AK371" s="220"/>
      <x:c r="AL371" s="221"/>
      <x:c r="AM371" s="221"/>
      <x:c r="AN371" s="123"/>
      <x:c r="AO371" s="123"/>
    </x:row>
    <x:row r="372" spans="1:47" ht="15" customHeight="1">
      <x:c r="A372" s="69"/>
      <x:c r="B372" s="216"/>
      <x:c r="C372" s="121"/>
      <x:c r="D372" s="121"/>
      <x:c r="E372" s="121"/>
      <x:c r="F372" s="241"/>
      <x:c r="G372" s="241"/>
      <x:c r="H372" s="241"/>
      <x:c r="I372" s="241"/>
      <x:c r="J372" s="241"/>
      <x:c r="K372" s="241"/>
      <x:c r="L372" s="241"/>
      <x:c r="M372" s="241"/>
      <x:c r="N372" s="241"/>
      <x:c r="O372" s="241"/>
      <x:c r="P372" s="241"/>
      <x:c r="Q372" s="241"/>
      <x:c r="R372" s="241"/>
      <x:c r="S372" s="241"/>
      <x:c r="T372" s="241"/>
      <x:c r="U372" s="241"/>
      <x:c r="V372" s="241"/>
      <x:c r="W372" s="241"/>
      <x:c r="X372" s="241"/>
      <x:c r="Y372" s="241"/>
      <x:c r="Z372" s="241"/>
      <x:c r="AA372" s="241"/>
      <x:c r="AB372" s="241"/>
      <x:c r="AC372" s="241"/>
      <x:c r="AD372" s="241"/>
      <x:c r="AE372" s="241"/>
      <x:c r="AF372" s="241"/>
      <x:c r="AG372" s="241"/>
      <x:c r="AH372" s="241"/>
      <x:c r="AI372" s="241"/>
      <x:c r="AJ372" s="241"/>
      <x:c r="AK372" s="220"/>
      <x:c r="AL372" s="221"/>
      <x:c r="AM372" s="221"/>
      <x:c r="AN372" s="123"/>
      <x:c r="AO372" s="123"/>
    </x:row>
    <x:row r="373" spans="1:47" ht="15" customHeight="1">
      <x:c r="A373" s="69"/>
      <x:c r="B373" s="216"/>
      <x:c r="C373" s="121"/>
      <x:c r="D373" s="121"/>
      <x:c r="E373" s="121"/>
      <x:c r="F373" s="241"/>
      <x:c r="G373" s="241"/>
      <x:c r="H373" s="241"/>
      <x:c r="I373" s="241"/>
      <x:c r="J373" s="241"/>
      <x:c r="K373" s="241"/>
      <x:c r="L373" s="241"/>
      <x:c r="M373" s="241"/>
      <x:c r="N373" s="241"/>
      <x:c r="O373" s="241"/>
      <x:c r="P373" s="241"/>
      <x:c r="Q373" s="241"/>
      <x:c r="R373" s="241"/>
      <x:c r="S373" s="241"/>
      <x:c r="T373" s="241"/>
      <x:c r="U373" s="241"/>
      <x:c r="V373" s="241"/>
      <x:c r="W373" s="241"/>
      <x:c r="X373" s="241"/>
      <x:c r="Y373" s="241"/>
      <x:c r="Z373" s="241"/>
      <x:c r="AA373" s="241"/>
      <x:c r="AB373" s="241"/>
      <x:c r="AC373" s="241"/>
      <x:c r="AD373" s="241"/>
      <x:c r="AE373" s="241"/>
      <x:c r="AF373" s="241"/>
      <x:c r="AG373" s="241"/>
      <x:c r="AH373" s="241"/>
      <x:c r="AI373" s="241"/>
      <x:c r="AJ373" s="241"/>
      <x:c r="AK373" s="220"/>
      <x:c r="AL373" s="221"/>
      <x:c r="AM373" s="221"/>
      <x:c r="AN373" s="123"/>
      <x:c r="AO373" s="123"/>
    </x:row>
    <x:row r="374" spans="1:47" ht="15" customHeight="1">
      <x:c r="A374" s="69"/>
      <x:c r="B374" s="216"/>
      <x:c r="C374" s="121"/>
      <x:c r="D374" s="121"/>
      <x:c r="E374" s="121"/>
      <x:c r="F374" s="241"/>
      <x:c r="G374" s="241"/>
      <x:c r="H374" s="241"/>
      <x:c r="I374" s="241"/>
      <x:c r="J374" s="241"/>
      <x:c r="K374" s="241"/>
      <x:c r="L374" s="241"/>
      <x:c r="M374" s="241"/>
      <x:c r="N374" s="241"/>
      <x:c r="O374" s="241"/>
      <x:c r="P374" s="241"/>
      <x:c r="Q374" s="241"/>
      <x:c r="R374" s="241"/>
      <x:c r="S374" s="241"/>
      <x:c r="T374" s="241"/>
      <x:c r="U374" s="241"/>
      <x:c r="V374" s="241"/>
      <x:c r="W374" s="241"/>
      <x:c r="X374" s="241"/>
      <x:c r="Y374" s="241"/>
      <x:c r="Z374" s="241"/>
      <x:c r="AA374" s="241"/>
      <x:c r="AB374" s="241"/>
      <x:c r="AC374" s="241"/>
      <x:c r="AD374" s="241"/>
      <x:c r="AE374" s="241"/>
      <x:c r="AF374" s="241"/>
      <x:c r="AG374" s="241"/>
      <x:c r="AH374" s="241"/>
      <x:c r="AI374" s="241"/>
      <x:c r="AJ374" s="241"/>
      <x:c r="AK374" s="220"/>
      <x:c r="AL374" s="221"/>
      <x:c r="AM374" s="221"/>
      <x:c r="AN374" s="123"/>
      <x:c r="AO374" s="123"/>
    </x:row>
    <x:row r="375" spans="1:47" ht="15" customHeight="1">
      <x:c r="A375" s="69"/>
      <x:c r="B375" s="216"/>
      <x:c r="C375" s="121"/>
      <x:c r="D375" s="121"/>
      <x:c r="E375" s="121"/>
      <x:c r="F375" s="241"/>
      <x:c r="G375" s="241"/>
      <x:c r="H375" s="241"/>
      <x:c r="I375" s="241"/>
      <x:c r="J375" s="241"/>
      <x:c r="K375" s="241"/>
      <x:c r="L375" s="241"/>
      <x:c r="M375" s="241"/>
      <x:c r="N375" s="241"/>
      <x:c r="O375" s="241"/>
      <x:c r="P375" s="241"/>
      <x:c r="Q375" s="241"/>
      <x:c r="R375" s="241"/>
      <x:c r="S375" s="241"/>
      <x:c r="T375" s="241"/>
      <x:c r="U375" s="241"/>
      <x:c r="V375" s="241"/>
      <x:c r="W375" s="241"/>
      <x:c r="X375" s="241"/>
      <x:c r="Y375" s="241"/>
      <x:c r="Z375" s="241"/>
      <x:c r="AA375" s="241"/>
      <x:c r="AB375" s="241"/>
      <x:c r="AC375" s="241"/>
      <x:c r="AD375" s="241"/>
      <x:c r="AE375" s="241"/>
      <x:c r="AF375" s="241"/>
      <x:c r="AG375" s="241"/>
      <x:c r="AH375" s="241"/>
      <x:c r="AI375" s="241"/>
      <x:c r="AJ375" s="241"/>
      <x:c r="AK375" s="220"/>
      <x:c r="AL375" s="221"/>
      <x:c r="AM375" s="221"/>
      <x:c r="AN375" s="123"/>
      <x:c r="AO375" s="123"/>
    </x:row>
    <x:row r="376" spans="1:47" ht="15" customHeight="1">
      <x:c r="A376" s="69"/>
      <x:c r="B376" s="216"/>
      <x:c r="C376" s="121"/>
      <x:c r="D376" s="121"/>
      <x:c r="E376" s="121"/>
      <x:c r="F376" s="241"/>
      <x:c r="G376" s="241"/>
      <x:c r="H376" s="241"/>
      <x:c r="I376" s="241"/>
      <x:c r="J376" s="241"/>
      <x:c r="K376" s="241"/>
      <x:c r="L376" s="241"/>
      <x:c r="M376" s="241"/>
      <x:c r="N376" s="241"/>
      <x:c r="O376" s="241"/>
      <x:c r="P376" s="241"/>
      <x:c r="Q376" s="241"/>
      <x:c r="R376" s="241"/>
      <x:c r="S376" s="241"/>
      <x:c r="T376" s="241"/>
      <x:c r="U376" s="241"/>
      <x:c r="V376" s="241"/>
      <x:c r="W376" s="241"/>
      <x:c r="X376" s="241"/>
      <x:c r="Y376" s="241"/>
      <x:c r="Z376" s="241"/>
      <x:c r="AA376" s="241"/>
      <x:c r="AB376" s="241"/>
      <x:c r="AC376" s="241"/>
      <x:c r="AD376" s="241"/>
      <x:c r="AE376" s="241"/>
      <x:c r="AF376" s="241"/>
      <x:c r="AG376" s="241"/>
      <x:c r="AH376" s="241"/>
      <x:c r="AI376" s="241"/>
      <x:c r="AJ376" s="241"/>
      <x:c r="AK376" s="220"/>
      <x:c r="AL376" s="221"/>
      <x:c r="AM376" s="221"/>
      <x:c r="AN376" s="123"/>
      <x:c r="AO376" s="123"/>
    </x:row>
    <x:row r="377" spans="1:47" ht="15" customHeight="1">
      <x:c r="A377" s="69"/>
      <x:c r="B377" s="216"/>
      <x:c r="C377" s="121"/>
      <x:c r="D377" s="121"/>
      <x:c r="E377" s="121"/>
      <x:c r="F377" s="241"/>
      <x:c r="G377" s="241"/>
      <x:c r="H377" s="241"/>
      <x:c r="I377" s="241"/>
      <x:c r="J377" s="241"/>
      <x:c r="K377" s="241"/>
      <x:c r="L377" s="241"/>
      <x:c r="M377" s="241"/>
      <x:c r="N377" s="241"/>
      <x:c r="O377" s="241"/>
      <x:c r="P377" s="241"/>
      <x:c r="Q377" s="241"/>
      <x:c r="R377" s="241"/>
      <x:c r="S377" s="241"/>
      <x:c r="T377" s="241"/>
      <x:c r="U377" s="241"/>
      <x:c r="V377" s="241"/>
      <x:c r="W377" s="241"/>
      <x:c r="X377" s="241"/>
      <x:c r="Y377" s="241"/>
      <x:c r="Z377" s="241"/>
      <x:c r="AA377" s="241"/>
      <x:c r="AB377" s="241"/>
      <x:c r="AC377" s="241"/>
      <x:c r="AD377" s="241"/>
      <x:c r="AE377" s="241"/>
      <x:c r="AF377" s="241"/>
      <x:c r="AG377" s="241"/>
      <x:c r="AH377" s="241"/>
      <x:c r="AI377" s="241"/>
      <x:c r="AJ377" s="241"/>
      <x:c r="AK377" s="220"/>
      <x:c r="AL377" s="221"/>
      <x:c r="AM377" s="221"/>
      <x:c r="AN377" s="123"/>
      <x:c r="AO377" s="123"/>
    </x:row>
    <x:row r="378" spans="1:47" ht="15" customHeight="1">
      <x:c r="A378" s="69"/>
      <x:c r="B378" s="216"/>
      <x:c r="C378" s="121"/>
      <x:c r="D378" s="121"/>
      <x:c r="E378" s="121"/>
      <x:c r="F378" s="241"/>
      <x:c r="G378" s="241"/>
      <x:c r="H378" s="241"/>
      <x:c r="I378" s="241"/>
      <x:c r="J378" s="241"/>
      <x:c r="K378" s="241"/>
      <x:c r="L378" s="241"/>
      <x:c r="M378" s="241"/>
      <x:c r="N378" s="241"/>
      <x:c r="O378" s="241"/>
      <x:c r="P378" s="241"/>
      <x:c r="Q378" s="241"/>
      <x:c r="R378" s="241"/>
      <x:c r="S378" s="241"/>
      <x:c r="T378" s="241"/>
      <x:c r="U378" s="241"/>
      <x:c r="V378" s="241"/>
      <x:c r="W378" s="241"/>
      <x:c r="X378" s="241"/>
      <x:c r="Y378" s="241"/>
      <x:c r="Z378" s="241"/>
      <x:c r="AA378" s="241"/>
      <x:c r="AB378" s="241"/>
      <x:c r="AC378" s="241"/>
      <x:c r="AD378" s="241"/>
      <x:c r="AE378" s="241"/>
      <x:c r="AF378" s="241"/>
      <x:c r="AG378" s="241"/>
      <x:c r="AH378" s="241"/>
      <x:c r="AI378" s="241"/>
      <x:c r="AJ378" s="241"/>
      <x:c r="AK378" s="220"/>
      <x:c r="AL378" s="221"/>
      <x:c r="AM378" s="221"/>
      <x:c r="AN378" s="123"/>
      <x:c r="AO378" s="123"/>
    </x:row>
    <x:row r="379" spans="1:47" ht="15" customHeight="1">
      <x:c r="A379" s="69"/>
      <x:c r="B379" s="216"/>
      <x:c r="C379" s="121"/>
      <x:c r="D379" s="121"/>
      <x:c r="E379" s="121"/>
      <x:c r="F379" s="241"/>
      <x:c r="G379" s="241"/>
      <x:c r="H379" s="241"/>
      <x:c r="I379" s="241"/>
      <x:c r="J379" s="241"/>
      <x:c r="K379" s="241"/>
      <x:c r="L379" s="241"/>
      <x:c r="M379" s="241"/>
      <x:c r="N379" s="241"/>
      <x:c r="O379" s="241"/>
      <x:c r="P379" s="241"/>
      <x:c r="Q379" s="241"/>
      <x:c r="R379" s="241"/>
      <x:c r="S379" s="241"/>
      <x:c r="T379" s="241"/>
      <x:c r="U379" s="241"/>
      <x:c r="V379" s="241"/>
      <x:c r="W379" s="241"/>
      <x:c r="X379" s="241"/>
      <x:c r="Y379" s="241"/>
      <x:c r="Z379" s="241"/>
      <x:c r="AA379" s="241"/>
      <x:c r="AB379" s="241"/>
      <x:c r="AC379" s="241"/>
      <x:c r="AD379" s="241"/>
      <x:c r="AE379" s="241"/>
      <x:c r="AF379" s="241"/>
      <x:c r="AG379" s="241"/>
      <x:c r="AH379" s="241"/>
      <x:c r="AI379" s="241"/>
      <x:c r="AJ379" s="241"/>
      <x:c r="AK379" s="220"/>
      <x:c r="AL379" s="221"/>
      <x:c r="AM379" s="221"/>
      <x:c r="AN379" s="123"/>
      <x:c r="AO379" s="123"/>
    </x:row>
    <x:row r="380" spans="1:47" ht="15" customHeight="1">
      <x:c r="A380" s="69"/>
      <x:c r="B380" s="216"/>
      <x:c r="C380" s="121"/>
      <x:c r="D380" s="121"/>
      <x:c r="E380" s="121"/>
      <x:c r="F380" s="241"/>
      <x:c r="G380" s="241"/>
      <x:c r="H380" s="241"/>
      <x:c r="I380" s="241"/>
      <x:c r="J380" s="241"/>
      <x:c r="K380" s="241"/>
      <x:c r="L380" s="241"/>
      <x:c r="M380" s="241"/>
      <x:c r="N380" s="241"/>
      <x:c r="O380" s="241"/>
      <x:c r="P380" s="241"/>
      <x:c r="Q380" s="241"/>
      <x:c r="R380" s="241"/>
      <x:c r="S380" s="241"/>
      <x:c r="T380" s="241"/>
      <x:c r="U380" s="241"/>
      <x:c r="V380" s="241"/>
      <x:c r="W380" s="241"/>
      <x:c r="X380" s="241"/>
      <x:c r="Y380" s="241"/>
      <x:c r="Z380" s="241"/>
      <x:c r="AA380" s="241"/>
      <x:c r="AB380" s="241"/>
      <x:c r="AC380" s="241"/>
      <x:c r="AD380" s="241"/>
      <x:c r="AE380" s="241"/>
      <x:c r="AF380" s="241"/>
      <x:c r="AG380" s="241"/>
      <x:c r="AH380" s="241"/>
      <x:c r="AI380" s="241"/>
      <x:c r="AJ380" s="241"/>
      <x:c r="AK380" s="220"/>
      <x:c r="AL380" s="221"/>
      <x:c r="AM380" s="221"/>
      <x:c r="AN380" s="123"/>
      <x:c r="AO380" s="123"/>
    </x:row>
    <x:row r="381" spans="1:47" ht="15" customHeight="1">
      <x:c r="A381" s="69"/>
      <x:c r="B381" s="216"/>
      <x:c r="C381" s="121"/>
      <x:c r="D381" s="121"/>
      <x:c r="E381" s="121"/>
      <x:c r="F381" s="241"/>
      <x:c r="G381" s="241"/>
      <x:c r="H381" s="241"/>
      <x:c r="I381" s="241"/>
      <x:c r="J381" s="241"/>
      <x:c r="K381" s="241"/>
      <x:c r="L381" s="241"/>
      <x:c r="M381" s="241"/>
      <x:c r="N381" s="241"/>
      <x:c r="O381" s="241"/>
      <x:c r="P381" s="241"/>
      <x:c r="Q381" s="241"/>
      <x:c r="R381" s="241"/>
      <x:c r="S381" s="241"/>
      <x:c r="T381" s="241"/>
      <x:c r="U381" s="241"/>
      <x:c r="V381" s="241"/>
      <x:c r="W381" s="241"/>
      <x:c r="X381" s="241"/>
      <x:c r="Y381" s="241"/>
      <x:c r="Z381" s="241"/>
      <x:c r="AA381" s="241"/>
      <x:c r="AB381" s="241"/>
      <x:c r="AC381" s="241"/>
      <x:c r="AD381" s="241"/>
      <x:c r="AE381" s="241"/>
      <x:c r="AF381" s="241"/>
      <x:c r="AG381" s="241"/>
      <x:c r="AH381" s="241"/>
      <x:c r="AI381" s="241"/>
      <x:c r="AJ381" s="241"/>
      <x:c r="AK381" s="220"/>
      <x:c r="AL381" s="221"/>
      <x:c r="AM381" s="221"/>
      <x:c r="AN381" s="123"/>
      <x:c r="AO381" s="123"/>
    </x:row>
    <x:row r="382" spans="1:47" ht="15" customHeight="1">
      <x:c r="A382" s="69"/>
      <x:c r="B382" s="216"/>
      <x:c r="C382" s="121"/>
      <x:c r="D382" s="121"/>
      <x:c r="E382" s="121"/>
      <x:c r="F382" s="241"/>
      <x:c r="G382" s="241"/>
      <x:c r="H382" s="241"/>
      <x:c r="I382" s="241"/>
      <x:c r="J382" s="241"/>
      <x:c r="K382" s="241"/>
      <x:c r="L382" s="241"/>
      <x:c r="M382" s="241"/>
      <x:c r="N382" s="241"/>
      <x:c r="O382" s="241"/>
      <x:c r="P382" s="241"/>
      <x:c r="Q382" s="241"/>
      <x:c r="R382" s="241"/>
      <x:c r="S382" s="241"/>
      <x:c r="T382" s="241"/>
      <x:c r="U382" s="241"/>
      <x:c r="V382" s="241"/>
      <x:c r="W382" s="241"/>
      <x:c r="X382" s="241"/>
      <x:c r="Y382" s="241"/>
      <x:c r="Z382" s="241"/>
      <x:c r="AA382" s="241"/>
      <x:c r="AB382" s="241"/>
      <x:c r="AC382" s="241"/>
      <x:c r="AD382" s="241"/>
      <x:c r="AE382" s="241"/>
      <x:c r="AF382" s="241"/>
      <x:c r="AG382" s="241"/>
      <x:c r="AH382" s="241"/>
      <x:c r="AI382" s="241"/>
      <x:c r="AJ382" s="241"/>
      <x:c r="AK382" s="220"/>
      <x:c r="AL382" s="221"/>
      <x:c r="AM382" s="221"/>
      <x:c r="AN382" s="123"/>
      <x:c r="AO382" s="123"/>
    </x:row>
    <x:row r="383" spans="1:47" ht="15" customHeight="1">
      <x:c r="A383" s="69"/>
      <x:c r="B383" s="216"/>
      <x:c r="C383" s="121"/>
      <x:c r="D383" s="121"/>
      <x:c r="E383" s="121"/>
      <x:c r="F383" s="241"/>
      <x:c r="G383" s="241"/>
      <x:c r="H383" s="241"/>
      <x:c r="I383" s="241"/>
      <x:c r="J383" s="241"/>
      <x:c r="K383" s="241"/>
      <x:c r="L383" s="241"/>
      <x:c r="M383" s="241"/>
      <x:c r="N383" s="241"/>
      <x:c r="O383" s="241"/>
      <x:c r="P383" s="241"/>
      <x:c r="Q383" s="241"/>
      <x:c r="R383" s="241"/>
      <x:c r="S383" s="241"/>
      <x:c r="T383" s="241"/>
      <x:c r="U383" s="241"/>
      <x:c r="V383" s="241"/>
      <x:c r="W383" s="241"/>
      <x:c r="X383" s="241"/>
      <x:c r="Y383" s="241"/>
      <x:c r="Z383" s="241"/>
      <x:c r="AA383" s="241"/>
      <x:c r="AB383" s="241"/>
      <x:c r="AC383" s="241"/>
      <x:c r="AD383" s="241"/>
      <x:c r="AE383" s="241"/>
      <x:c r="AF383" s="241"/>
      <x:c r="AG383" s="241"/>
      <x:c r="AH383" s="241"/>
      <x:c r="AI383" s="241"/>
      <x:c r="AJ383" s="241"/>
      <x:c r="AK383" s="220"/>
      <x:c r="AL383" s="221"/>
      <x:c r="AM383" s="221"/>
      <x:c r="AN383" s="123"/>
      <x:c r="AO383" s="123"/>
    </x:row>
    <x:row r="384" spans="1:47" ht="15" customHeight="1">
      <x:c r="A384" s="69"/>
      <x:c r="B384" s="216"/>
      <x:c r="C384" s="121"/>
      <x:c r="D384" s="121"/>
      <x:c r="E384" s="121"/>
      <x:c r="F384" s="241"/>
      <x:c r="G384" s="241"/>
      <x:c r="H384" s="241"/>
      <x:c r="I384" s="241"/>
      <x:c r="J384" s="241"/>
      <x:c r="K384" s="241"/>
      <x:c r="L384" s="241"/>
      <x:c r="M384" s="241"/>
      <x:c r="N384" s="241"/>
      <x:c r="O384" s="241"/>
      <x:c r="P384" s="241"/>
      <x:c r="Q384" s="241"/>
      <x:c r="R384" s="241"/>
      <x:c r="S384" s="241"/>
      <x:c r="T384" s="241"/>
      <x:c r="U384" s="241"/>
      <x:c r="V384" s="241"/>
      <x:c r="W384" s="241"/>
      <x:c r="X384" s="241"/>
      <x:c r="Y384" s="241"/>
      <x:c r="Z384" s="241"/>
      <x:c r="AA384" s="241"/>
      <x:c r="AB384" s="241"/>
      <x:c r="AC384" s="241"/>
      <x:c r="AD384" s="241"/>
      <x:c r="AE384" s="241"/>
      <x:c r="AF384" s="241"/>
      <x:c r="AG384" s="241"/>
      <x:c r="AH384" s="241"/>
      <x:c r="AI384" s="241"/>
      <x:c r="AJ384" s="241"/>
      <x:c r="AK384" s="220"/>
      <x:c r="AL384" s="221"/>
      <x:c r="AM384" s="221"/>
      <x:c r="AN384" s="123"/>
      <x:c r="AO384" s="123"/>
    </x:row>
    <x:row r="385" spans="1:47" ht="15" customHeight="1">
      <x:c r="A385" s="69"/>
      <x:c r="B385" s="216"/>
      <x:c r="C385" s="121"/>
      <x:c r="D385" s="121"/>
      <x:c r="E385" s="121"/>
      <x:c r="F385" s="241"/>
      <x:c r="G385" s="241"/>
      <x:c r="H385" s="241"/>
      <x:c r="I385" s="241"/>
      <x:c r="J385" s="241"/>
      <x:c r="K385" s="241"/>
      <x:c r="L385" s="241"/>
      <x:c r="M385" s="241"/>
      <x:c r="N385" s="241"/>
      <x:c r="O385" s="241"/>
      <x:c r="P385" s="241"/>
      <x:c r="Q385" s="241"/>
      <x:c r="R385" s="241"/>
      <x:c r="S385" s="241"/>
      <x:c r="T385" s="241"/>
      <x:c r="U385" s="241"/>
      <x:c r="V385" s="241"/>
      <x:c r="W385" s="241"/>
      <x:c r="X385" s="241"/>
      <x:c r="Y385" s="241"/>
      <x:c r="Z385" s="241"/>
      <x:c r="AA385" s="241"/>
      <x:c r="AB385" s="241"/>
      <x:c r="AC385" s="241"/>
      <x:c r="AD385" s="241"/>
      <x:c r="AE385" s="241"/>
      <x:c r="AF385" s="241"/>
      <x:c r="AG385" s="241"/>
      <x:c r="AH385" s="241"/>
      <x:c r="AI385" s="241"/>
      <x:c r="AJ385" s="241"/>
      <x:c r="AK385" s="220"/>
      <x:c r="AL385" s="221"/>
      <x:c r="AM385" s="221"/>
      <x:c r="AN385" s="123"/>
      <x:c r="AO385" s="123"/>
    </x:row>
    <x:row r="386" spans="1:47" ht="15" customHeight="1">
      <x:c r="A386" s="69"/>
      <x:c r="B386" s="216"/>
      <x:c r="C386" s="121"/>
      <x:c r="D386" s="121"/>
      <x:c r="E386" s="121"/>
      <x:c r="F386" s="241"/>
      <x:c r="G386" s="241"/>
      <x:c r="H386" s="241"/>
      <x:c r="I386" s="241"/>
      <x:c r="J386" s="241"/>
      <x:c r="K386" s="241"/>
      <x:c r="L386" s="241"/>
      <x:c r="M386" s="241"/>
      <x:c r="N386" s="241"/>
      <x:c r="O386" s="241"/>
      <x:c r="P386" s="241"/>
      <x:c r="Q386" s="241"/>
      <x:c r="R386" s="241"/>
      <x:c r="S386" s="241"/>
      <x:c r="T386" s="241"/>
      <x:c r="U386" s="241"/>
      <x:c r="V386" s="241"/>
      <x:c r="W386" s="241"/>
      <x:c r="X386" s="241"/>
      <x:c r="Y386" s="241"/>
      <x:c r="Z386" s="241"/>
      <x:c r="AA386" s="241"/>
      <x:c r="AB386" s="241"/>
      <x:c r="AC386" s="241"/>
      <x:c r="AD386" s="241"/>
      <x:c r="AE386" s="241"/>
      <x:c r="AF386" s="241"/>
      <x:c r="AG386" s="241"/>
      <x:c r="AH386" s="241"/>
      <x:c r="AI386" s="241"/>
      <x:c r="AJ386" s="241"/>
      <x:c r="AK386" s="220"/>
      <x:c r="AL386" s="221"/>
      <x:c r="AM386" s="221"/>
      <x:c r="AN386" s="123"/>
      <x:c r="AO386" s="123"/>
    </x:row>
    <x:row r="387" spans="1:47" ht="15" customHeight="1">
      <x:c r="A387" s="69"/>
      <x:c r="B387" s="216"/>
      <x:c r="C387" s="121"/>
      <x:c r="D387" s="121"/>
      <x:c r="E387" s="121"/>
      <x:c r="F387" s="241"/>
      <x:c r="G387" s="241"/>
      <x:c r="H387" s="241"/>
      <x:c r="I387" s="241"/>
      <x:c r="J387" s="241"/>
      <x:c r="K387" s="241"/>
      <x:c r="L387" s="241"/>
      <x:c r="M387" s="241"/>
      <x:c r="N387" s="241"/>
      <x:c r="O387" s="241"/>
      <x:c r="P387" s="241"/>
      <x:c r="Q387" s="241"/>
      <x:c r="R387" s="241"/>
      <x:c r="S387" s="241"/>
      <x:c r="T387" s="241"/>
      <x:c r="U387" s="241"/>
      <x:c r="V387" s="241"/>
      <x:c r="W387" s="241"/>
      <x:c r="X387" s="241"/>
      <x:c r="Y387" s="241"/>
      <x:c r="Z387" s="241"/>
      <x:c r="AA387" s="241"/>
      <x:c r="AB387" s="241"/>
      <x:c r="AC387" s="241"/>
      <x:c r="AD387" s="241"/>
      <x:c r="AE387" s="241"/>
      <x:c r="AF387" s="241"/>
      <x:c r="AG387" s="241"/>
      <x:c r="AH387" s="241"/>
      <x:c r="AI387" s="241"/>
      <x:c r="AJ387" s="241"/>
      <x:c r="AK387" s="220"/>
      <x:c r="AL387" s="221"/>
      <x:c r="AM387" s="221"/>
      <x:c r="AN387" s="123"/>
      <x:c r="AO387" s="123"/>
    </x:row>
    <x:row r="388" spans="1:47" ht="15" customHeight="1">
      <x:c r="A388" s="69"/>
      <x:c r="B388" s="216"/>
      <x:c r="C388" s="121"/>
      <x:c r="D388" s="121"/>
      <x:c r="E388" s="121"/>
      <x:c r="F388" s="241"/>
      <x:c r="G388" s="241"/>
      <x:c r="H388" s="241"/>
      <x:c r="I388" s="241"/>
      <x:c r="J388" s="241"/>
      <x:c r="K388" s="241"/>
      <x:c r="L388" s="241"/>
      <x:c r="M388" s="241"/>
      <x:c r="N388" s="241"/>
      <x:c r="O388" s="241"/>
      <x:c r="P388" s="241"/>
      <x:c r="Q388" s="241"/>
      <x:c r="R388" s="241"/>
      <x:c r="S388" s="241"/>
      <x:c r="T388" s="241"/>
      <x:c r="U388" s="241"/>
      <x:c r="V388" s="241"/>
      <x:c r="W388" s="241"/>
      <x:c r="X388" s="241"/>
      <x:c r="Y388" s="241"/>
      <x:c r="Z388" s="241"/>
      <x:c r="AA388" s="241"/>
      <x:c r="AB388" s="241"/>
      <x:c r="AC388" s="241"/>
      <x:c r="AD388" s="241"/>
      <x:c r="AE388" s="241"/>
      <x:c r="AF388" s="241"/>
      <x:c r="AG388" s="241"/>
      <x:c r="AH388" s="241"/>
      <x:c r="AI388" s="241"/>
      <x:c r="AJ388" s="241"/>
      <x:c r="AK388" s="220"/>
      <x:c r="AL388" s="221"/>
      <x:c r="AM388" s="221"/>
      <x:c r="AN388" s="123"/>
      <x:c r="AO388" s="123"/>
    </x:row>
    <x:row r="389" spans="1:47" ht="15" customHeight="1">
      <x:c r="A389" s="69"/>
      <x:c r="B389" s="216"/>
      <x:c r="C389" s="121"/>
      <x:c r="D389" s="121"/>
      <x:c r="E389" s="121"/>
      <x:c r="F389" s="241"/>
      <x:c r="G389" s="241"/>
      <x:c r="H389" s="241"/>
      <x:c r="I389" s="241"/>
      <x:c r="J389" s="241"/>
      <x:c r="K389" s="241"/>
      <x:c r="L389" s="241"/>
      <x:c r="M389" s="241"/>
      <x:c r="N389" s="241"/>
      <x:c r="O389" s="241"/>
      <x:c r="P389" s="241"/>
      <x:c r="Q389" s="241"/>
      <x:c r="R389" s="241"/>
      <x:c r="S389" s="241"/>
      <x:c r="T389" s="241"/>
      <x:c r="U389" s="241"/>
      <x:c r="V389" s="241"/>
      <x:c r="W389" s="241"/>
      <x:c r="X389" s="241"/>
      <x:c r="Y389" s="241"/>
      <x:c r="Z389" s="241"/>
      <x:c r="AA389" s="241"/>
      <x:c r="AB389" s="241"/>
      <x:c r="AC389" s="241"/>
      <x:c r="AD389" s="241"/>
      <x:c r="AE389" s="241"/>
      <x:c r="AF389" s="241"/>
      <x:c r="AG389" s="241"/>
      <x:c r="AH389" s="241"/>
      <x:c r="AI389" s="241"/>
      <x:c r="AJ389" s="241"/>
      <x:c r="AK389" s="220"/>
      <x:c r="AL389" s="221"/>
      <x:c r="AM389" s="221"/>
      <x:c r="AN389" s="123"/>
      <x:c r="AO389" s="123"/>
    </x:row>
    <x:row r="390" spans="1:47" ht="15" customHeight="1">
      <x:c r="A390" s="69"/>
      <x:c r="B390" s="216"/>
      <x:c r="C390" s="121"/>
      <x:c r="D390" s="121"/>
      <x:c r="E390" s="121"/>
      <x:c r="F390" s="241"/>
      <x:c r="G390" s="241"/>
      <x:c r="H390" s="241"/>
      <x:c r="I390" s="241"/>
      <x:c r="J390" s="241"/>
      <x:c r="K390" s="241"/>
      <x:c r="L390" s="241"/>
      <x:c r="M390" s="241"/>
      <x:c r="N390" s="241"/>
      <x:c r="O390" s="241"/>
      <x:c r="P390" s="241"/>
      <x:c r="Q390" s="241"/>
      <x:c r="R390" s="241"/>
      <x:c r="S390" s="241"/>
      <x:c r="T390" s="241"/>
      <x:c r="U390" s="241"/>
      <x:c r="V390" s="241"/>
      <x:c r="W390" s="241"/>
      <x:c r="X390" s="241"/>
      <x:c r="Y390" s="241"/>
      <x:c r="Z390" s="241"/>
      <x:c r="AA390" s="241"/>
      <x:c r="AB390" s="241"/>
      <x:c r="AC390" s="241"/>
      <x:c r="AD390" s="241"/>
      <x:c r="AE390" s="241"/>
      <x:c r="AF390" s="241"/>
      <x:c r="AG390" s="241"/>
      <x:c r="AH390" s="241"/>
      <x:c r="AI390" s="241"/>
      <x:c r="AJ390" s="241"/>
      <x:c r="AK390" s="220"/>
      <x:c r="AL390" s="221"/>
      <x:c r="AM390" s="221"/>
      <x:c r="AN390" s="123"/>
      <x:c r="AO390" s="123"/>
    </x:row>
    <x:row r="391" spans="1:47" ht="15" customHeight="1">
      <x:c r="A391" s="69"/>
      <x:c r="B391" s="216"/>
      <x:c r="C391" s="121"/>
      <x:c r="D391" s="121"/>
      <x:c r="E391" s="121"/>
      <x:c r="F391" s="241"/>
      <x:c r="G391" s="241"/>
      <x:c r="H391" s="241"/>
      <x:c r="I391" s="241"/>
      <x:c r="J391" s="241"/>
      <x:c r="K391" s="241"/>
      <x:c r="L391" s="241"/>
      <x:c r="M391" s="241"/>
      <x:c r="N391" s="241"/>
      <x:c r="O391" s="241"/>
      <x:c r="P391" s="241"/>
      <x:c r="Q391" s="241"/>
      <x:c r="R391" s="241"/>
      <x:c r="S391" s="241"/>
      <x:c r="T391" s="241"/>
      <x:c r="U391" s="241"/>
      <x:c r="V391" s="241"/>
      <x:c r="W391" s="241"/>
      <x:c r="X391" s="241"/>
      <x:c r="Y391" s="241"/>
      <x:c r="Z391" s="241"/>
      <x:c r="AA391" s="241"/>
      <x:c r="AB391" s="241"/>
      <x:c r="AC391" s="241"/>
      <x:c r="AD391" s="241"/>
      <x:c r="AE391" s="241"/>
      <x:c r="AF391" s="241"/>
      <x:c r="AG391" s="241"/>
      <x:c r="AH391" s="241"/>
      <x:c r="AI391" s="241"/>
      <x:c r="AJ391" s="241"/>
      <x:c r="AK391" s="220"/>
      <x:c r="AL391" s="221"/>
      <x:c r="AM391" s="221"/>
      <x:c r="AN391" s="123"/>
      <x:c r="AO391" s="123"/>
    </x:row>
    <x:row r="392" spans="1:47" ht="15" customHeight="1">
      <x:c r="A392" s="69"/>
      <x:c r="B392" s="216"/>
      <x:c r="C392" s="121"/>
      <x:c r="D392" s="121"/>
      <x:c r="E392" s="121"/>
      <x:c r="F392" s="241"/>
      <x:c r="G392" s="241"/>
      <x:c r="H392" s="241"/>
      <x:c r="I392" s="241"/>
      <x:c r="J392" s="241"/>
      <x:c r="K392" s="241"/>
      <x:c r="L392" s="241"/>
      <x:c r="M392" s="241"/>
      <x:c r="N392" s="241"/>
      <x:c r="O392" s="241"/>
      <x:c r="P392" s="241"/>
      <x:c r="Q392" s="241"/>
      <x:c r="R392" s="241"/>
      <x:c r="S392" s="241"/>
      <x:c r="T392" s="241"/>
      <x:c r="U392" s="241"/>
      <x:c r="V392" s="241"/>
      <x:c r="W392" s="241"/>
      <x:c r="X392" s="241"/>
      <x:c r="Y392" s="241"/>
      <x:c r="Z392" s="241"/>
      <x:c r="AA392" s="241"/>
      <x:c r="AB392" s="241"/>
      <x:c r="AC392" s="241"/>
      <x:c r="AD392" s="241"/>
      <x:c r="AE392" s="241"/>
      <x:c r="AF392" s="241"/>
      <x:c r="AG392" s="241"/>
      <x:c r="AH392" s="241"/>
      <x:c r="AI392" s="241"/>
      <x:c r="AJ392" s="241"/>
      <x:c r="AK392" s="220"/>
      <x:c r="AL392" s="221"/>
      <x:c r="AM392" s="221"/>
      <x:c r="AN392" s="123"/>
      <x:c r="AO392" s="123"/>
    </x:row>
    <x:row r="393" spans="1:47" ht="15" customHeight="1">
      <x:c r="A393" s="69"/>
      <x:c r="B393" s="216"/>
      <x:c r="C393" s="121"/>
      <x:c r="D393" s="121"/>
      <x:c r="E393" s="121"/>
      <x:c r="F393" s="241"/>
      <x:c r="G393" s="241"/>
      <x:c r="H393" s="241"/>
      <x:c r="I393" s="241"/>
      <x:c r="J393" s="241"/>
      <x:c r="K393" s="241"/>
      <x:c r="L393" s="241"/>
      <x:c r="M393" s="241"/>
      <x:c r="N393" s="241"/>
      <x:c r="O393" s="241"/>
      <x:c r="P393" s="241"/>
      <x:c r="Q393" s="241"/>
      <x:c r="R393" s="241"/>
      <x:c r="S393" s="241"/>
      <x:c r="T393" s="241"/>
      <x:c r="U393" s="241"/>
      <x:c r="V393" s="241"/>
      <x:c r="W393" s="241"/>
      <x:c r="X393" s="241"/>
      <x:c r="Y393" s="241"/>
      <x:c r="Z393" s="241"/>
      <x:c r="AA393" s="241"/>
      <x:c r="AB393" s="241"/>
      <x:c r="AC393" s="241"/>
      <x:c r="AD393" s="241"/>
      <x:c r="AE393" s="241"/>
      <x:c r="AF393" s="241"/>
      <x:c r="AG393" s="241"/>
      <x:c r="AH393" s="241"/>
      <x:c r="AI393" s="241"/>
      <x:c r="AJ393" s="241"/>
      <x:c r="AK393" s="220"/>
      <x:c r="AL393" s="221"/>
      <x:c r="AM393" s="221"/>
      <x:c r="AN393" s="123"/>
      <x:c r="AO393" s="123"/>
    </x:row>
    <x:row r="394" spans="1:47" ht="15" customHeight="1">
      <x:c r="A394" s="69"/>
      <x:c r="B394" s="216"/>
      <x:c r="C394" s="121"/>
      <x:c r="D394" s="121"/>
      <x:c r="E394" s="121"/>
      <x:c r="F394" s="241"/>
      <x:c r="G394" s="241"/>
      <x:c r="H394" s="241"/>
      <x:c r="I394" s="241"/>
      <x:c r="J394" s="241"/>
      <x:c r="K394" s="241"/>
      <x:c r="L394" s="241"/>
      <x:c r="M394" s="241"/>
      <x:c r="N394" s="241"/>
      <x:c r="O394" s="241"/>
      <x:c r="P394" s="241"/>
      <x:c r="Q394" s="241"/>
      <x:c r="R394" s="241"/>
      <x:c r="S394" s="241"/>
      <x:c r="T394" s="241"/>
      <x:c r="U394" s="241"/>
      <x:c r="V394" s="241"/>
      <x:c r="W394" s="241"/>
      <x:c r="X394" s="241"/>
      <x:c r="Y394" s="241"/>
      <x:c r="Z394" s="241"/>
      <x:c r="AA394" s="241"/>
      <x:c r="AB394" s="241"/>
      <x:c r="AC394" s="241"/>
      <x:c r="AD394" s="241"/>
      <x:c r="AE394" s="241"/>
      <x:c r="AF394" s="241"/>
      <x:c r="AG394" s="241"/>
      <x:c r="AH394" s="241"/>
      <x:c r="AI394" s="241"/>
      <x:c r="AJ394" s="241"/>
      <x:c r="AK394" s="220"/>
      <x:c r="AL394" s="221"/>
      <x:c r="AM394" s="221"/>
      <x:c r="AN394" s="123"/>
      <x:c r="AO394" s="123"/>
    </x:row>
    <x:row r="395" spans="1:47" ht="15" customHeight="1">
      <x:c r="A395" s="69"/>
      <x:c r="B395" s="216"/>
      <x:c r="C395" s="121"/>
      <x:c r="D395" s="121"/>
      <x:c r="E395" s="121"/>
      <x:c r="F395" s="241"/>
      <x:c r="G395" s="241"/>
      <x:c r="H395" s="241"/>
      <x:c r="I395" s="241"/>
      <x:c r="J395" s="241"/>
      <x:c r="K395" s="241"/>
      <x:c r="L395" s="241"/>
      <x:c r="M395" s="241"/>
      <x:c r="N395" s="241"/>
      <x:c r="O395" s="241"/>
      <x:c r="P395" s="241"/>
      <x:c r="Q395" s="241"/>
      <x:c r="R395" s="241"/>
      <x:c r="S395" s="241"/>
      <x:c r="T395" s="241"/>
      <x:c r="U395" s="241"/>
      <x:c r="V395" s="241"/>
      <x:c r="W395" s="241"/>
      <x:c r="X395" s="241"/>
      <x:c r="Y395" s="241"/>
      <x:c r="Z395" s="241"/>
      <x:c r="AA395" s="241"/>
      <x:c r="AB395" s="241"/>
      <x:c r="AC395" s="241"/>
      <x:c r="AD395" s="241"/>
      <x:c r="AE395" s="241"/>
      <x:c r="AF395" s="241"/>
      <x:c r="AG395" s="241"/>
      <x:c r="AH395" s="241"/>
      <x:c r="AI395" s="241"/>
      <x:c r="AJ395" s="241"/>
      <x:c r="AK395" s="220"/>
      <x:c r="AL395" s="221"/>
      <x:c r="AM395" s="221"/>
      <x:c r="AN395" s="123"/>
      <x:c r="AO395" s="123"/>
    </x:row>
    <x:row r="396" spans="1:47" ht="15" customHeight="1">
      <x:c r="A396" s="69"/>
      <x:c r="B396" s="216"/>
      <x:c r="C396" s="121"/>
      <x:c r="D396" s="121"/>
      <x:c r="E396" s="121"/>
      <x:c r="F396" s="241"/>
      <x:c r="G396" s="241"/>
      <x:c r="H396" s="241"/>
      <x:c r="I396" s="241"/>
      <x:c r="J396" s="241"/>
      <x:c r="K396" s="241"/>
      <x:c r="L396" s="241"/>
      <x:c r="M396" s="241"/>
      <x:c r="N396" s="241"/>
      <x:c r="O396" s="241"/>
      <x:c r="P396" s="241"/>
      <x:c r="Q396" s="241"/>
      <x:c r="R396" s="241"/>
      <x:c r="S396" s="241"/>
      <x:c r="T396" s="241"/>
      <x:c r="U396" s="241"/>
      <x:c r="V396" s="241"/>
      <x:c r="W396" s="241"/>
      <x:c r="X396" s="241"/>
      <x:c r="Y396" s="241"/>
      <x:c r="Z396" s="241"/>
      <x:c r="AA396" s="241"/>
      <x:c r="AB396" s="241"/>
      <x:c r="AC396" s="241"/>
      <x:c r="AD396" s="241"/>
      <x:c r="AE396" s="241"/>
      <x:c r="AF396" s="241"/>
      <x:c r="AG396" s="241"/>
      <x:c r="AH396" s="241"/>
      <x:c r="AI396" s="241"/>
      <x:c r="AJ396" s="241"/>
      <x:c r="AK396" s="220"/>
      <x:c r="AL396" s="221"/>
      <x:c r="AM396" s="221"/>
      <x:c r="AN396" s="123"/>
      <x:c r="AO396" s="123"/>
    </x:row>
    <x:row r="397" spans="1:47" ht="15" customHeight="1">
      <x:c r="A397" s="69"/>
      <x:c r="B397" s="216"/>
      <x:c r="C397" s="121"/>
      <x:c r="D397" s="121"/>
      <x:c r="E397" s="121"/>
      <x:c r="F397" s="241"/>
      <x:c r="G397" s="241"/>
      <x:c r="H397" s="241"/>
      <x:c r="I397" s="241"/>
      <x:c r="J397" s="241"/>
      <x:c r="K397" s="241"/>
      <x:c r="L397" s="241"/>
      <x:c r="M397" s="241"/>
      <x:c r="N397" s="241"/>
      <x:c r="O397" s="241"/>
      <x:c r="P397" s="241"/>
      <x:c r="Q397" s="241"/>
      <x:c r="R397" s="241"/>
      <x:c r="S397" s="241"/>
      <x:c r="T397" s="241"/>
      <x:c r="U397" s="241"/>
      <x:c r="V397" s="241"/>
      <x:c r="W397" s="241"/>
      <x:c r="X397" s="241"/>
      <x:c r="Y397" s="241"/>
      <x:c r="Z397" s="241"/>
      <x:c r="AA397" s="241"/>
      <x:c r="AB397" s="241"/>
      <x:c r="AC397" s="241"/>
      <x:c r="AD397" s="241"/>
      <x:c r="AE397" s="241"/>
      <x:c r="AF397" s="241"/>
      <x:c r="AG397" s="241"/>
      <x:c r="AH397" s="241"/>
      <x:c r="AI397" s="241"/>
      <x:c r="AJ397" s="241"/>
      <x:c r="AK397" s="220"/>
      <x:c r="AL397" s="221"/>
      <x:c r="AM397" s="221"/>
      <x:c r="AN397" s="123"/>
      <x:c r="AO397" s="123"/>
    </x:row>
    <x:row r="398" spans="1:47" ht="15" customHeight="1">
      <x:c r="A398" s="69"/>
      <x:c r="B398" s="216"/>
      <x:c r="C398" s="121"/>
      <x:c r="D398" s="121"/>
      <x:c r="E398" s="121"/>
      <x:c r="F398" s="241"/>
      <x:c r="G398" s="241"/>
      <x:c r="H398" s="241"/>
      <x:c r="I398" s="241"/>
      <x:c r="J398" s="241"/>
      <x:c r="K398" s="241"/>
      <x:c r="L398" s="241"/>
      <x:c r="M398" s="241"/>
      <x:c r="N398" s="241"/>
      <x:c r="O398" s="241"/>
      <x:c r="P398" s="241"/>
      <x:c r="Q398" s="241"/>
      <x:c r="R398" s="241"/>
      <x:c r="S398" s="241"/>
      <x:c r="T398" s="241"/>
      <x:c r="U398" s="241"/>
      <x:c r="V398" s="241"/>
      <x:c r="W398" s="241"/>
      <x:c r="X398" s="241"/>
      <x:c r="Y398" s="241"/>
      <x:c r="Z398" s="241"/>
      <x:c r="AA398" s="241"/>
      <x:c r="AB398" s="241"/>
      <x:c r="AC398" s="241"/>
      <x:c r="AD398" s="241"/>
      <x:c r="AE398" s="241"/>
      <x:c r="AF398" s="241"/>
      <x:c r="AG398" s="241"/>
      <x:c r="AH398" s="241"/>
      <x:c r="AI398" s="241"/>
      <x:c r="AJ398" s="241"/>
      <x:c r="AK398" s="220"/>
      <x:c r="AL398" s="221"/>
      <x:c r="AM398" s="221"/>
      <x:c r="AN398" s="123"/>
      <x:c r="AO398" s="123"/>
    </x:row>
    <x:row r="399" spans="1:47" ht="15" customHeight="1">
      <x:c r="A399" s="69"/>
      <x:c r="B399" s="216"/>
      <x:c r="C399" s="121"/>
      <x:c r="D399" s="121"/>
      <x:c r="E399" s="121"/>
      <x:c r="F399" s="241"/>
      <x:c r="G399" s="241"/>
      <x:c r="H399" s="241"/>
      <x:c r="I399" s="241"/>
      <x:c r="J399" s="241"/>
      <x:c r="K399" s="241"/>
      <x:c r="L399" s="241"/>
      <x:c r="M399" s="241"/>
      <x:c r="N399" s="241"/>
      <x:c r="O399" s="241"/>
      <x:c r="P399" s="241"/>
      <x:c r="Q399" s="241"/>
      <x:c r="R399" s="241"/>
      <x:c r="S399" s="241"/>
      <x:c r="T399" s="241"/>
      <x:c r="U399" s="241"/>
      <x:c r="V399" s="241"/>
      <x:c r="W399" s="241"/>
      <x:c r="X399" s="241"/>
      <x:c r="Y399" s="241"/>
      <x:c r="Z399" s="241"/>
      <x:c r="AA399" s="241"/>
      <x:c r="AB399" s="241"/>
      <x:c r="AC399" s="241"/>
      <x:c r="AD399" s="241"/>
      <x:c r="AE399" s="241"/>
      <x:c r="AF399" s="241"/>
      <x:c r="AG399" s="241"/>
      <x:c r="AH399" s="241"/>
      <x:c r="AI399" s="241"/>
      <x:c r="AJ399" s="241"/>
      <x:c r="AK399" s="220"/>
      <x:c r="AL399" s="221"/>
      <x:c r="AM399" s="221"/>
      <x:c r="AN399" s="123"/>
      <x:c r="AO399" s="123"/>
    </x:row>
    <x:row r="400" spans="1:47" ht="15" customHeight="1">
      <x:c r="A400" s="69"/>
      <x:c r="B400" s="216"/>
      <x:c r="C400" s="121"/>
      <x:c r="D400" s="121"/>
      <x:c r="E400" s="121"/>
      <x:c r="F400" s="241"/>
      <x:c r="G400" s="241"/>
      <x:c r="H400" s="241"/>
      <x:c r="I400" s="241"/>
      <x:c r="J400" s="241"/>
      <x:c r="K400" s="241"/>
      <x:c r="L400" s="241"/>
      <x:c r="M400" s="241"/>
      <x:c r="N400" s="241"/>
      <x:c r="O400" s="241"/>
      <x:c r="P400" s="241"/>
      <x:c r="Q400" s="241"/>
      <x:c r="R400" s="241"/>
      <x:c r="S400" s="241"/>
      <x:c r="T400" s="241"/>
      <x:c r="U400" s="241"/>
      <x:c r="V400" s="241"/>
      <x:c r="W400" s="241"/>
      <x:c r="X400" s="241"/>
      <x:c r="Y400" s="241"/>
      <x:c r="Z400" s="241"/>
      <x:c r="AA400" s="241"/>
      <x:c r="AB400" s="241"/>
      <x:c r="AC400" s="241"/>
      <x:c r="AD400" s="241"/>
      <x:c r="AE400" s="241"/>
      <x:c r="AF400" s="241"/>
      <x:c r="AG400" s="241"/>
      <x:c r="AH400" s="241"/>
      <x:c r="AI400" s="241"/>
      <x:c r="AJ400" s="241"/>
      <x:c r="AK400" s="220"/>
      <x:c r="AL400" s="221"/>
      <x:c r="AM400" s="221"/>
      <x:c r="AN400" s="123"/>
      <x:c r="AO400" s="123"/>
    </x:row>
    <x:row r="401" spans="1:47" ht="15" customHeight="1">
      <x:c r="A401" s="69"/>
      <x:c r="B401" s="216"/>
      <x:c r="C401" s="121"/>
      <x:c r="D401" s="121"/>
      <x:c r="E401" s="121"/>
      <x:c r="F401" s="241"/>
      <x:c r="G401" s="241"/>
      <x:c r="H401" s="241"/>
      <x:c r="I401" s="241"/>
      <x:c r="J401" s="241"/>
      <x:c r="K401" s="241"/>
      <x:c r="L401" s="241"/>
      <x:c r="M401" s="241"/>
      <x:c r="N401" s="241"/>
      <x:c r="O401" s="241"/>
      <x:c r="P401" s="241"/>
      <x:c r="Q401" s="241"/>
      <x:c r="R401" s="241"/>
      <x:c r="S401" s="241"/>
      <x:c r="T401" s="241"/>
      <x:c r="U401" s="241"/>
      <x:c r="V401" s="241"/>
      <x:c r="W401" s="241"/>
      <x:c r="X401" s="241"/>
      <x:c r="Y401" s="241"/>
      <x:c r="Z401" s="241"/>
      <x:c r="AA401" s="241"/>
      <x:c r="AB401" s="241"/>
      <x:c r="AC401" s="241"/>
      <x:c r="AD401" s="241"/>
      <x:c r="AE401" s="241"/>
      <x:c r="AF401" s="241"/>
      <x:c r="AG401" s="241"/>
      <x:c r="AH401" s="241"/>
      <x:c r="AI401" s="241"/>
      <x:c r="AJ401" s="241"/>
      <x:c r="AK401" s="220"/>
      <x:c r="AL401" s="221"/>
      <x:c r="AM401" s="221"/>
      <x:c r="AN401" s="123"/>
      <x:c r="AO401" s="123"/>
    </x:row>
    <x:row r="402" spans="1:47" ht="15" customHeight="1">
      <x:c r="A402" s="69"/>
      <x:c r="B402" s="216"/>
      <x:c r="C402" s="121"/>
      <x:c r="D402" s="121"/>
      <x:c r="E402" s="121"/>
      <x:c r="F402" s="241"/>
      <x:c r="G402" s="241"/>
      <x:c r="H402" s="241"/>
      <x:c r="I402" s="241"/>
      <x:c r="J402" s="241"/>
      <x:c r="K402" s="241"/>
      <x:c r="L402" s="241"/>
      <x:c r="M402" s="241"/>
      <x:c r="N402" s="241"/>
      <x:c r="O402" s="241"/>
      <x:c r="P402" s="241"/>
      <x:c r="Q402" s="241"/>
      <x:c r="R402" s="241"/>
      <x:c r="S402" s="241"/>
      <x:c r="T402" s="241"/>
      <x:c r="U402" s="241"/>
      <x:c r="V402" s="241"/>
      <x:c r="W402" s="241"/>
      <x:c r="X402" s="241"/>
      <x:c r="Y402" s="241"/>
      <x:c r="Z402" s="241"/>
      <x:c r="AA402" s="241"/>
      <x:c r="AB402" s="241"/>
      <x:c r="AC402" s="241"/>
      <x:c r="AD402" s="241"/>
      <x:c r="AE402" s="241"/>
      <x:c r="AF402" s="241"/>
      <x:c r="AG402" s="241"/>
      <x:c r="AH402" s="241"/>
      <x:c r="AI402" s="241"/>
      <x:c r="AJ402" s="241"/>
      <x:c r="AK402" s="220"/>
      <x:c r="AL402" s="221"/>
      <x:c r="AM402" s="221"/>
      <x:c r="AN402" s="123"/>
      <x:c r="AO402" s="123"/>
    </x:row>
    <x:row r="403" spans="1:47" ht="15" customHeight="1">
      <x:c r="A403" s="69"/>
      <x:c r="B403" s="216"/>
      <x:c r="C403" s="121"/>
      <x:c r="D403" s="121"/>
      <x:c r="E403" s="121"/>
      <x:c r="F403" s="241"/>
      <x:c r="G403" s="241"/>
      <x:c r="H403" s="241"/>
      <x:c r="I403" s="241"/>
      <x:c r="J403" s="241"/>
      <x:c r="K403" s="241"/>
      <x:c r="L403" s="241"/>
      <x:c r="M403" s="241"/>
      <x:c r="N403" s="241"/>
      <x:c r="O403" s="241"/>
      <x:c r="P403" s="241"/>
      <x:c r="Q403" s="241"/>
      <x:c r="R403" s="241"/>
      <x:c r="S403" s="241"/>
      <x:c r="T403" s="241"/>
      <x:c r="U403" s="241"/>
      <x:c r="V403" s="241"/>
      <x:c r="W403" s="241"/>
      <x:c r="X403" s="241"/>
      <x:c r="Y403" s="241"/>
      <x:c r="Z403" s="241"/>
      <x:c r="AA403" s="241"/>
      <x:c r="AB403" s="241"/>
      <x:c r="AC403" s="241"/>
      <x:c r="AD403" s="241"/>
      <x:c r="AE403" s="241"/>
      <x:c r="AF403" s="241"/>
      <x:c r="AG403" s="241"/>
      <x:c r="AH403" s="241"/>
      <x:c r="AI403" s="241"/>
      <x:c r="AJ403" s="241"/>
      <x:c r="AK403" s="220"/>
      <x:c r="AL403" s="221"/>
      <x:c r="AM403" s="221"/>
      <x:c r="AN403" s="123"/>
      <x:c r="AO403" s="123"/>
    </x:row>
    <x:row r="404" spans="1:47" ht="15" customHeight="1">
      <x:c r="A404" s="69"/>
      <x:c r="B404" s="216"/>
      <x:c r="C404" s="121"/>
      <x:c r="D404" s="121"/>
      <x:c r="E404" s="121"/>
      <x:c r="F404" s="241"/>
      <x:c r="G404" s="241"/>
      <x:c r="H404" s="241"/>
      <x:c r="I404" s="241"/>
      <x:c r="J404" s="241"/>
      <x:c r="K404" s="241"/>
      <x:c r="L404" s="241"/>
      <x:c r="M404" s="241"/>
      <x:c r="N404" s="241"/>
      <x:c r="O404" s="241"/>
      <x:c r="P404" s="241"/>
      <x:c r="Q404" s="241"/>
      <x:c r="R404" s="241"/>
      <x:c r="S404" s="241"/>
      <x:c r="T404" s="241"/>
      <x:c r="U404" s="241"/>
      <x:c r="V404" s="241"/>
      <x:c r="W404" s="241"/>
      <x:c r="X404" s="241"/>
      <x:c r="Y404" s="241"/>
      <x:c r="Z404" s="241"/>
      <x:c r="AA404" s="241"/>
      <x:c r="AB404" s="241"/>
      <x:c r="AC404" s="241"/>
      <x:c r="AD404" s="241"/>
      <x:c r="AE404" s="241"/>
      <x:c r="AF404" s="241"/>
      <x:c r="AG404" s="241"/>
      <x:c r="AH404" s="241"/>
      <x:c r="AI404" s="241"/>
      <x:c r="AJ404" s="241"/>
      <x:c r="AK404" s="220"/>
      <x:c r="AL404" s="221"/>
      <x:c r="AM404" s="221"/>
      <x:c r="AN404" s="123"/>
      <x:c r="AO404" s="123"/>
    </x:row>
    <x:row r="405" spans="1:47" ht="15" customHeight="1">
      <x:c r="A405" s="69"/>
      <x:c r="B405" s="216"/>
      <x:c r="C405" s="121"/>
      <x:c r="D405" s="121"/>
      <x:c r="E405" s="121"/>
      <x:c r="F405" s="241"/>
      <x:c r="G405" s="241"/>
      <x:c r="H405" s="241"/>
      <x:c r="I405" s="241"/>
      <x:c r="J405" s="241"/>
      <x:c r="K405" s="241"/>
      <x:c r="L405" s="241"/>
      <x:c r="M405" s="241"/>
      <x:c r="N405" s="241"/>
      <x:c r="O405" s="241"/>
      <x:c r="P405" s="241"/>
      <x:c r="Q405" s="241"/>
      <x:c r="R405" s="241"/>
      <x:c r="S405" s="241"/>
      <x:c r="T405" s="241"/>
      <x:c r="U405" s="241"/>
      <x:c r="V405" s="241"/>
      <x:c r="W405" s="241"/>
      <x:c r="X405" s="241"/>
      <x:c r="Y405" s="241"/>
      <x:c r="Z405" s="241"/>
      <x:c r="AA405" s="241"/>
      <x:c r="AB405" s="241"/>
      <x:c r="AC405" s="241"/>
      <x:c r="AD405" s="241"/>
      <x:c r="AE405" s="241"/>
      <x:c r="AF405" s="241"/>
      <x:c r="AG405" s="241"/>
      <x:c r="AH405" s="241"/>
      <x:c r="AI405" s="241"/>
      <x:c r="AJ405" s="241"/>
      <x:c r="AK405" s="220"/>
      <x:c r="AL405" s="221"/>
      <x:c r="AM405" s="221"/>
      <x:c r="AN405" s="123"/>
      <x:c r="AO405" s="123"/>
    </x:row>
    <x:row r="406" spans="1:47" ht="15" customHeight="1">
      <x:c r="A406" s="69"/>
      <x:c r="B406" s="216"/>
      <x:c r="C406" s="121"/>
      <x:c r="D406" s="121"/>
      <x:c r="E406" s="121"/>
      <x:c r="F406" s="121"/>
      <x:c r="G406" s="121"/>
      <x:c r="H406" s="121"/>
      <x:c r="I406" s="121"/>
      <x:c r="J406" s="121"/>
      <x:c r="K406" s="121"/>
      <x:c r="L406" s="121"/>
      <x:c r="M406" s="121"/>
      <x:c r="N406" s="121"/>
      <x:c r="O406" s="121"/>
      <x:c r="P406" s="121"/>
      <x:c r="Q406" s="121"/>
      <x:c r="R406" s="121"/>
      <x:c r="S406" s="121"/>
      <x:c r="T406" s="121"/>
      <x:c r="U406" s="121"/>
      <x:c r="V406" s="121"/>
      <x:c r="W406" s="121"/>
      <x:c r="X406" s="121"/>
      <x:c r="Y406" s="121"/>
      <x:c r="Z406" s="121"/>
      <x:c r="AA406" s="121"/>
      <x:c r="AB406" s="121"/>
      <x:c r="AC406" s="121"/>
      <x:c r="AD406" s="121"/>
      <x:c r="AE406" s="121"/>
      <x:c r="AF406" s="121"/>
      <x:c r="AG406" s="121"/>
      <x:c r="AH406" s="121"/>
      <x:c r="AI406" s="121"/>
      <x:c r="AJ406" s="121"/>
      <x:c r="AK406" s="220"/>
      <x:c r="AL406" s="221"/>
      <x:c r="AM406" s="221"/>
      <x:c r="AN406" s="121"/>
      <x:c r="AO406" s="121"/>
    </x:row>
    <x:row r="407" spans="1:47" ht="15" customHeight="1">
      <x:c r="A407" s="69"/>
      <x:c r="B407" s="216"/>
      <x:c r="C407" s="121"/>
      <x:c r="D407" s="121"/>
      <x:c r="E407" s="121"/>
      <x:c r="F407" s="121"/>
      <x:c r="G407" s="121"/>
      <x:c r="H407" s="121"/>
      <x:c r="I407" s="121"/>
      <x:c r="J407" s="121"/>
      <x:c r="K407" s="121"/>
      <x:c r="L407" s="121"/>
      <x:c r="M407" s="121"/>
      <x:c r="N407" s="121"/>
      <x:c r="O407" s="121"/>
      <x:c r="P407" s="121"/>
      <x:c r="Q407" s="121"/>
      <x:c r="R407" s="121"/>
      <x:c r="S407" s="121"/>
      <x:c r="T407" s="121"/>
      <x:c r="U407" s="121"/>
      <x:c r="V407" s="121"/>
      <x:c r="W407" s="121"/>
      <x:c r="X407" s="121"/>
      <x:c r="Y407" s="121"/>
      <x:c r="Z407" s="121"/>
      <x:c r="AA407" s="121"/>
      <x:c r="AB407" s="121"/>
      <x:c r="AC407" s="121"/>
      <x:c r="AD407" s="121"/>
      <x:c r="AE407" s="121"/>
      <x:c r="AF407" s="121"/>
      <x:c r="AG407" s="121"/>
      <x:c r="AH407" s="121"/>
      <x:c r="AI407" s="121"/>
      <x:c r="AJ407" s="121"/>
      <x:c r="AK407" s="220"/>
      <x:c r="AL407" s="221"/>
      <x:c r="AM407" s="221"/>
      <x:c r="AN407" s="121"/>
      <x:c r="AO407" s="121"/>
    </x:row>
    <x:row r="408" spans="1:47" ht="15" customHeight="1">
      <x:c r="A408" s="69"/>
      <x:c r="B408" s="216"/>
      <x:c r="C408" s="121"/>
      <x:c r="D408" s="121"/>
      <x:c r="E408" s="121"/>
      <x:c r="F408" s="121"/>
      <x:c r="G408" s="121"/>
      <x:c r="H408" s="121"/>
      <x:c r="I408" s="121"/>
      <x:c r="J408" s="121"/>
      <x:c r="K408" s="121"/>
      <x:c r="L408" s="121"/>
      <x:c r="M408" s="121"/>
      <x:c r="N408" s="121"/>
      <x:c r="O408" s="121"/>
      <x:c r="P408" s="121"/>
      <x:c r="Q408" s="121"/>
      <x:c r="R408" s="121"/>
      <x:c r="S408" s="121"/>
      <x:c r="T408" s="121"/>
      <x:c r="U408" s="121"/>
      <x:c r="V408" s="121"/>
      <x:c r="W408" s="121"/>
      <x:c r="X408" s="121"/>
      <x:c r="Y408" s="121"/>
      <x:c r="Z408" s="121"/>
      <x:c r="AA408" s="121"/>
      <x:c r="AB408" s="121"/>
      <x:c r="AC408" s="121"/>
      <x:c r="AD408" s="121"/>
      <x:c r="AE408" s="121"/>
      <x:c r="AF408" s="121"/>
      <x:c r="AG408" s="121"/>
      <x:c r="AH408" s="121"/>
      <x:c r="AI408" s="121"/>
      <x:c r="AJ408" s="121"/>
      <x:c r="AK408" s="220"/>
      <x:c r="AL408" s="221"/>
      <x:c r="AM408" s="221"/>
      <x:c r="AN408" s="121"/>
      <x:c r="AO408" s="121"/>
    </x:row>
    <x:row r="409" spans="1:47" ht="15" customHeight="1">
      <x:c r="A409" s="69"/>
      <x:c r="B409" s="216"/>
      <x:c r="C409" s="121"/>
      <x:c r="D409" s="121"/>
      <x:c r="E409" s="121"/>
      <x:c r="F409" s="121"/>
      <x:c r="G409" s="121"/>
      <x:c r="H409" s="121"/>
      <x:c r="I409" s="121"/>
      <x:c r="J409" s="121"/>
      <x:c r="K409" s="121"/>
      <x:c r="L409" s="121"/>
      <x:c r="M409" s="121"/>
      <x:c r="N409" s="121"/>
      <x:c r="O409" s="121"/>
      <x:c r="P409" s="121"/>
      <x:c r="Q409" s="121"/>
      <x:c r="R409" s="121"/>
      <x:c r="S409" s="121"/>
      <x:c r="T409" s="121"/>
      <x:c r="U409" s="121"/>
      <x:c r="V409" s="121"/>
      <x:c r="W409" s="121"/>
      <x:c r="X409" s="121"/>
      <x:c r="Y409" s="121"/>
      <x:c r="Z409" s="121"/>
      <x:c r="AA409" s="121"/>
      <x:c r="AB409" s="121"/>
      <x:c r="AC409" s="121"/>
      <x:c r="AD409" s="121"/>
      <x:c r="AE409" s="121"/>
      <x:c r="AF409" s="121"/>
      <x:c r="AG409" s="121"/>
      <x:c r="AH409" s="121"/>
      <x:c r="AI409" s="121"/>
      <x:c r="AJ409" s="121"/>
      <x:c r="AK409" s="220"/>
      <x:c r="AL409" s="221"/>
      <x:c r="AM409" s="221"/>
      <x:c r="AN409" s="121"/>
      <x:c r="AO409" s="121"/>
    </x:row>
    <x:row r="410" spans="1:47" ht="15" customHeight="1">
      <x:c r="A410" s="69"/>
      <x:c r="B410" s="216"/>
      <x:c r="C410" s="121"/>
      <x:c r="D410" s="121"/>
      <x:c r="E410" s="121"/>
      <x:c r="F410" s="121"/>
      <x:c r="G410" s="121"/>
      <x:c r="H410" s="121"/>
      <x:c r="I410" s="121"/>
      <x:c r="J410" s="121"/>
      <x:c r="K410" s="121"/>
      <x:c r="L410" s="121"/>
      <x:c r="M410" s="121"/>
      <x:c r="N410" s="121"/>
      <x:c r="O410" s="121"/>
      <x:c r="P410" s="121"/>
      <x:c r="Q410" s="121"/>
      <x:c r="R410" s="121"/>
      <x:c r="S410" s="121"/>
      <x:c r="T410" s="121"/>
      <x:c r="U410" s="121"/>
      <x:c r="V410" s="121"/>
      <x:c r="W410" s="121"/>
      <x:c r="X410" s="121"/>
      <x:c r="Y410" s="121"/>
      <x:c r="Z410" s="121"/>
      <x:c r="AA410" s="121"/>
      <x:c r="AB410" s="121"/>
      <x:c r="AC410" s="121"/>
      <x:c r="AD410" s="121"/>
      <x:c r="AE410" s="121"/>
      <x:c r="AF410" s="121"/>
      <x:c r="AG410" s="121"/>
      <x:c r="AH410" s="121"/>
      <x:c r="AI410" s="121"/>
      <x:c r="AJ410" s="121"/>
      <x:c r="AK410" s="220"/>
      <x:c r="AL410" s="221"/>
      <x:c r="AM410" s="221"/>
      <x:c r="AN410" s="121"/>
      <x:c r="AO410" s="121"/>
    </x:row>
    <x:row r="411" spans="1:47" ht="15" customHeight="1">
      <x:c r="A411" s="69"/>
      <x:c r="B411" s="216"/>
      <x:c r="C411" s="121"/>
      <x:c r="D411" s="121"/>
      <x:c r="E411" s="121"/>
      <x:c r="F411" s="121"/>
      <x:c r="G411" s="121"/>
      <x:c r="H411" s="121"/>
      <x:c r="I411" s="121"/>
      <x:c r="J411" s="121"/>
      <x:c r="K411" s="121"/>
      <x:c r="L411" s="121"/>
      <x:c r="M411" s="121"/>
      <x:c r="N411" s="121"/>
      <x:c r="O411" s="121"/>
      <x:c r="P411" s="121"/>
      <x:c r="Q411" s="121"/>
      <x:c r="R411" s="121"/>
      <x:c r="S411" s="121"/>
      <x:c r="T411" s="121"/>
      <x:c r="U411" s="121"/>
      <x:c r="V411" s="121"/>
      <x:c r="W411" s="121"/>
      <x:c r="X411" s="121"/>
      <x:c r="Y411" s="121"/>
      <x:c r="Z411" s="121"/>
      <x:c r="AA411" s="121"/>
      <x:c r="AB411" s="121"/>
      <x:c r="AC411" s="121"/>
      <x:c r="AD411" s="121"/>
      <x:c r="AE411" s="121"/>
      <x:c r="AF411" s="121"/>
      <x:c r="AG411" s="121"/>
      <x:c r="AH411" s="121"/>
      <x:c r="AI411" s="121"/>
      <x:c r="AJ411" s="121"/>
      <x:c r="AK411" s="220"/>
      <x:c r="AL411" s="221"/>
      <x:c r="AM411" s="221"/>
      <x:c r="AN411" s="121"/>
      <x:c r="AO411" s="121"/>
    </x:row>
    <x:row r="412" spans="1:47" ht="15" customHeight="1">
      <x:c r="A412" s="69"/>
      <x:c r="B412" s="216"/>
      <x:c r="C412" s="121"/>
      <x:c r="D412" s="121"/>
      <x:c r="E412" s="121"/>
      <x:c r="F412" s="121"/>
      <x:c r="G412" s="121"/>
      <x:c r="H412" s="121"/>
      <x:c r="I412" s="121"/>
      <x:c r="J412" s="121"/>
      <x:c r="K412" s="121"/>
      <x:c r="L412" s="121"/>
      <x:c r="M412" s="121"/>
      <x:c r="N412" s="121"/>
      <x:c r="O412" s="121"/>
      <x:c r="P412" s="121"/>
      <x:c r="Q412" s="121"/>
      <x:c r="R412" s="121"/>
      <x:c r="S412" s="121"/>
      <x:c r="T412" s="121"/>
      <x:c r="U412" s="121"/>
      <x:c r="V412" s="121"/>
      <x:c r="W412" s="121"/>
      <x:c r="X412" s="121"/>
      <x:c r="Y412" s="121"/>
      <x:c r="Z412" s="121"/>
      <x:c r="AA412" s="121"/>
      <x:c r="AB412" s="121"/>
      <x:c r="AC412" s="121"/>
      <x:c r="AD412" s="121"/>
      <x:c r="AE412" s="121"/>
      <x:c r="AF412" s="121"/>
      <x:c r="AG412" s="121"/>
      <x:c r="AH412" s="121"/>
      <x:c r="AI412" s="121"/>
      <x:c r="AJ412" s="121"/>
      <x:c r="AK412" s="220"/>
      <x:c r="AL412" s="221"/>
      <x:c r="AM412" s="221"/>
      <x:c r="AN412" s="121"/>
      <x:c r="AO412" s="121"/>
    </x:row>
    <x:row r="413" spans="1:47" ht="15" customHeight="1">
      <x:c r="A413" s="69"/>
      <x:c r="B413" s="216"/>
      <x:c r="C413" s="121"/>
      <x:c r="D413" s="121"/>
      <x:c r="E413" s="121"/>
      <x:c r="F413" s="121"/>
      <x:c r="G413" s="121"/>
      <x:c r="H413" s="121"/>
      <x:c r="I413" s="121"/>
      <x:c r="J413" s="121"/>
      <x:c r="K413" s="121"/>
      <x:c r="L413" s="121"/>
      <x:c r="M413" s="121"/>
      <x:c r="N413" s="121"/>
      <x:c r="O413" s="121"/>
      <x:c r="P413" s="121"/>
      <x:c r="Q413" s="121"/>
      <x:c r="R413" s="121"/>
      <x:c r="S413" s="121"/>
      <x:c r="T413" s="121"/>
      <x:c r="U413" s="121"/>
      <x:c r="V413" s="121"/>
      <x:c r="W413" s="121"/>
      <x:c r="X413" s="121"/>
      <x:c r="Y413" s="121"/>
      <x:c r="Z413" s="121"/>
      <x:c r="AA413" s="121"/>
      <x:c r="AB413" s="121"/>
      <x:c r="AC413" s="121"/>
      <x:c r="AD413" s="121"/>
      <x:c r="AE413" s="121"/>
      <x:c r="AF413" s="121"/>
      <x:c r="AG413" s="121"/>
      <x:c r="AH413" s="121"/>
      <x:c r="AI413" s="121"/>
      <x:c r="AJ413" s="121"/>
      <x:c r="AK413" s="220"/>
      <x:c r="AL413" s="221"/>
      <x:c r="AM413" s="221"/>
      <x:c r="AN413" s="121"/>
      <x:c r="AO413" s="121"/>
    </x:row>
    <x:row r="414" spans="1:47" ht="15" customHeight="1">
      <x:c r="A414" s="69"/>
      <x:c r="B414" s="216"/>
      <x:c r="C414" s="121"/>
      <x:c r="D414" s="121"/>
      <x:c r="E414" s="121"/>
      <x:c r="F414" s="121"/>
      <x:c r="G414" s="121"/>
      <x:c r="H414" s="121"/>
      <x:c r="I414" s="121"/>
      <x:c r="J414" s="121"/>
      <x:c r="K414" s="121"/>
      <x:c r="L414" s="121"/>
      <x:c r="M414" s="121"/>
      <x:c r="N414" s="121"/>
      <x:c r="O414" s="121"/>
      <x:c r="P414" s="121"/>
      <x:c r="Q414" s="121"/>
      <x:c r="R414" s="121"/>
      <x:c r="S414" s="121"/>
      <x:c r="T414" s="121"/>
      <x:c r="U414" s="121"/>
      <x:c r="V414" s="121"/>
      <x:c r="W414" s="121"/>
      <x:c r="X414" s="121"/>
      <x:c r="Y414" s="121"/>
      <x:c r="Z414" s="121"/>
      <x:c r="AA414" s="121"/>
      <x:c r="AB414" s="121"/>
      <x:c r="AC414" s="121"/>
      <x:c r="AD414" s="121"/>
      <x:c r="AE414" s="121"/>
      <x:c r="AF414" s="121"/>
      <x:c r="AG414" s="121"/>
      <x:c r="AH414" s="121"/>
      <x:c r="AI414" s="121"/>
      <x:c r="AJ414" s="121"/>
      <x:c r="AK414" s="220"/>
      <x:c r="AL414" s="221"/>
      <x:c r="AM414" s="221"/>
      <x:c r="AN414" s="121"/>
      <x:c r="AO414" s="121"/>
    </x:row>
    <x:row r="415" spans="1:47" ht="15" customHeight="1">
      <x:c r="A415" s="69"/>
      <x:c r="B415" s="216"/>
      <x:c r="C415" s="121"/>
      <x:c r="D415" s="121"/>
      <x:c r="E415" s="121"/>
      <x:c r="F415" s="121"/>
      <x:c r="G415" s="121"/>
      <x:c r="H415" s="121"/>
      <x:c r="I415" s="121"/>
      <x:c r="J415" s="121"/>
      <x:c r="K415" s="121"/>
      <x:c r="L415" s="121"/>
      <x:c r="M415" s="121"/>
      <x:c r="N415" s="121"/>
      <x:c r="O415" s="121"/>
      <x:c r="P415" s="121"/>
      <x:c r="Q415" s="121"/>
      <x:c r="R415" s="121"/>
      <x:c r="S415" s="121"/>
      <x:c r="T415" s="121"/>
      <x:c r="U415" s="121"/>
      <x:c r="V415" s="121"/>
      <x:c r="W415" s="121"/>
      <x:c r="X415" s="121"/>
      <x:c r="Y415" s="121"/>
      <x:c r="Z415" s="121"/>
      <x:c r="AA415" s="121"/>
      <x:c r="AB415" s="121"/>
      <x:c r="AC415" s="121"/>
      <x:c r="AD415" s="121"/>
      <x:c r="AE415" s="121"/>
      <x:c r="AF415" s="121"/>
      <x:c r="AG415" s="121"/>
      <x:c r="AH415" s="121"/>
      <x:c r="AI415" s="121"/>
      <x:c r="AJ415" s="121"/>
      <x:c r="AK415" s="220"/>
      <x:c r="AL415" s="221"/>
      <x:c r="AM415" s="221"/>
      <x:c r="AN415" s="121"/>
      <x:c r="AO415" s="121"/>
    </x:row>
    <x:row r="416" spans="1:47" ht="15" customHeight="1">
      <x:c r="A416" s="69"/>
      <x:c r="B416" s="216"/>
      <x:c r="C416" s="121"/>
      <x:c r="D416" s="121"/>
      <x:c r="E416" s="121"/>
      <x:c r="F416" s="121"/>
      <x:c r="G416" s="121"/>
      <x:c r="H416" s="121"/>
      <x:c r="I416" s="121"/>
      <x:c r="J416" s="121"/>
      <x:c r="K416" s="121"/>
      <x:c r="L416" s="121"/>
      <x:c r="M416" s="121"/>
      <x:c r="N416" s="121"/>
      <x:c r="O416" s="121"/>
      <x:c r="P416" s="121"/>
      <x:c r="Q416" s="121"/>
      <x:c r="R416" s="121"/>
      <x:c r="S416" s="121"/>
      <x:c r="T416" s="121"/>
      <x:c r="U416" s="121"/>
      <x:c r="V416" s="121"/>
      <x:c r="W416" s="121"/>
      <x:c r="X416" s="121"/>
      <x:c r="Y416" s="121"/>
      <x:c r="Z416" s="121"/>
      <x:c r="AA416" s="121"/>
      <x:c r="AB416" s="121"/>
      <x:c r="AC416" s="121"/>
      <x:c r="AD416" s="121"/>
      <x:c r="AE416" s="121"/>
      <x:c r="AF416" s="121"/>
      <x:c r="AG416" s="121"/>
      <x:c r="AH416" s="121"/>
      <x:c r="AI416" s="121"/>
      <x:c r="AJ416" s="121"/>
      <x:c r="AK416" s="220"/>
      <x:c r="AL416" s="221"/>
      <x:c r="AM416" s="221"/>
      <x:c r="AN416" s="121"/>
      <x:c r="AO416" s="121"/>
    </x:row>
    <x:row r="417" spans="1:47" ht="15" customHeight="1">
      <x:c r="A417" s="69"/>
      <x:c r="B417" s="216"/>
      <x:c r="C417" s="121"/>
      <x:c r="D417" s="121"/>
      <x:c r="E417" s="121"/>
      <x:c r="F417" s="121"/>
      <x:c r="G417" s="121"/>
      <x:c r="H417" s="121"/>
      <x:c r="I417" s="121"/>
      <x:c r="J417" s="121"/>
      <x:c r="K417" s="121"/>
      <x:c r="L417" s="121"/>
      <x:c r="M417" s="121"/>
      <x:c r="N417" s="121"/>
      <x:c r="O417" s="121"/>
      <x:c r="P417" s="121"/>
      <x:c r="Q417" s="121"/>
      <x:c r="R417" s="121"/>
      <x:c r="S417" s="121"/>
      <x:c r="T417" s="121"/>
      <x:c r="U417" s="121"/>
      <x:c r="V417" s="121"/>
      <x:c r="W417" s="121"/>
      <x:c r="X417" s="121"/>
      <x:c r="Y417" s="121"/>
      <x:c r="Z417" s="121"/>
      <x:c r="AA417" s="121"/>
      <x:c r="AB417" s="121"/>
      <x:c r="AC417" s="121"/>
      <x:c r="AD417" s="121"/>
      <x:c r="AE417" s="121"/>
      <x:c r="AF417" s="121"/>
      <x:c r="AG417" s="121"/>
      <x:c r="AH417" s="121"/>
      <x:c r="AI417" s="121"/>
      <x:c r="AJ417" s="121"/>
      <x:c r="AK417" s="220"/>
      <x:c r="AL417" s="221"/>
      <x:c r="AM417" s="221"/>
      <x:c r="AN417" s="121"/>
      <x:c r="AO417" s="121"/>
    </x:row>
    <x:row r="418" spans="1:47" ht="15" customHeight="1">
      <x:c r="A418" s="69"/>
      <x:c r="B418" s="216"/>
      <x:c r="C418" s="121"/>
      <x:c r="D418" s="121"/>
      <x:c r="E418" s="121"/>
      <x:c r="F418" s="121"/>
      <x:c r="G418" s="121"/>
      <x:c r="H418" s="121"/>
      <x:c r="I418" s="121"/>
      <x:c r="J418" s="121"/>
      <x:c r="K418" s="121"/>
      <x:c r="L418" s="121"/>
      <x:c r="M418" s="121"/>
      <x:c r="N418" s="121"/>
      <x:c r="O418" s="121"/>
      <x:c r="P418" s="121"/>
      <x:c r="Q418" s="121"/>
      <x:c r="R418" s="121"/>
      <x:c r="S418" s="121"/>
      <x:c r="T418" s="121"/>
      <x:c r="U418" s="121"/>
      <x:c r="V418" s="121"/>
      <x:c r="W418" s="121"/>
      <x:c r="X418" s="121"/>
      <x:c r="Y418" s="121"/>
      <x:c r="Z418" s="121"/>
      <x:c r="AA418" s="121"/>
      <x:c r="AB418" s="121"/>
      <x:c r="AC418" s="121"/>
      <x:c r="AD418" s="121"/>
      <x:c r="AE418" s="121"/>
      <x:c r="AF418" s="121"/>
      <x:c r="AG418" s="121"/>
      <x:c r="AH418" s="121"/>
      <x:c r="AI418" s="121"/>
      <x:c r="AJ418" s="121"/>
      <x:c r="AK418" s="220"/>
      <x:c r="AL418" s="221"/>
      <x:c r="AM418" s="221"/>
      <x:c r="AN418" s="121"/>
      <x:c r="AO418" s="121"/>
    </x:row>
    <x:row r="419" spans="1:47" ht="15" customHeight="1">
      <x:c r="A419" s="69"/>
      <x:c r="B419" s="216"/>
      <x:c r="C419" s="121"/>
      <x:c r="D419" s="121"/>
      <x:c r="E419" s="121"/>
      <x:c r="F419" s="121"/>
      <x:c r="G419" s="121"/>
      <x:c r="H419" s="121"/>
      <x:c r="I419" s="121"/>
      <x:c r="J419" s="121"/>
      <x:c r="K419" s="121"/>
      <x:c r="L419" s="121"/>
      <x:c r="M419" s="121"/>
      <x:c r="N419" s="121"/>
      <x:c r="O419" s="121"/>
      <x:c r="P419" s="121"/>
      <x:c r="Q419" s="121"/>
      <x:c r="R419" s="121"/>
      <x:c r="S419" s="121"/>
      <x:c r="T419" s="121"/>
      <x:c r="U419" s="121"/>
      <x:c r="V419" s="121"/>
      <x:c r="W419" s="121"/>
      <x:c r="X419" s="121"/>
      <x:c r="Y419" s="121"/>
      <x:c r="Z419" s="121"/>
      <x:c r="AA419" s="121"/>
      <x:c r="AB419" s="121"/>
      <x:c r="AC419" s="121"/>
      <x:c r="AD419" s="121"/>
      <x:c r="AE419" s="121"/>
      <x:c r="AF419" s="121"/>
      <x:c r="AG419" s="121"/>
      <x:c r="AH419" s="121"/>
      <x:c r="AI419" s="121"/>
      <x:c r="AJ419" s="121"/>
      <x:c r="AK419" s="220"/>
      <x:c r="AL419" s="221"/>
      <x:c r="AM419" s="221"/>
      <x:c r="AN419" s="121"/>
      <x:c r="AO419" s="121"/>
    </x:row>
    <x:row r="420" spans="1:47" ht="15" customHeight="1">
      <x:c r="A420" s="69"/>
      <x:c r="B420" s="216"/>
      <x:c r="C420" s="121"/>
      <x:c r="D420" s="121"/>
      <x:c r="E420" s="121"/>
      <x:c r="F420" s="121"/>
      <x:c r="G420" s="121"/>
      <x:c r="H420" s="121"/>
      <x:c r="I420" s="121"/>
      <x:c r="J420" s="121"/>
      <x:c r="K420" s="121"/>
      <x:c r="L420" s="121"/>
      <x:c r="M420" s="121"/>
      <x:c r="N420" s="121"/>
      <x:c r="O420" s="121"/>
      <x:c r="P420" s="121"/>
      <x:c r="Q420" s="121"/>
      <x:c r="R420" s="121"/>
      <x:c r="S420" s="121"/>
      <x:c r="T420" s="121"/>
      <x:c r="U420" s="121"/>
      <x:c r="V420" s="121"/>
      <x:c r="W420" s="121"/>
      <x:c r="X420" s="121"/>
      <x:c r="Y420" s="121"/>
      <x:c r="Z420" s="121"/>
      <x:c r="AA420" s="121"/>
      <x:c r="AB420" s="121"/>
      <x:c r="AC420" s="121"/>
      <x:c r="AD420" s="121"/>
      <x:c r="AE420" s="121"/>
      <x:c r="AF420" s="121"/>
      <x:c r="AG420" s="121"/>
      <x:c r="AH420" s="121"/>
      <x:c r="AI420" s="121"/>
      <x:c r="AJ420" s="121"/>
      <x:c r="AK420" s="220"/>
      <x:c r="AL420" s="221"/>
      <x:c r="AM420" s="221"/>
      <x:c r="AN420" s="121"/>
      <x:c r="AO420" s="121"/>
    </x:row>
    <x:row r="421" spans="1:47" ht="15" customHeight="1">
      <x:c r="A421" s="69"/>
      <x:c r="B421" s="216"/>
      <x:c r="C421" s="121"/>
      <x:c r="D421" s="121"/>
      <x:c r="E421" s="121"/>
      <x:c r="F421" s="121"/>
      <x:c r="G421" s="121"/>
      <x:c r="H421" s="121"/>
      <x:c r="I421" s="121"/>
      <x:c r="J421" s="121"/>
      <x:c r="K421" s="121"/>
      <x:c r="L421" s="121"/>
      <x:c r="M421" s="121"/>
      <x:c r="N421" s="121"/>
      <x:c r="O421" s="121"/>
      <x:c r="P421" s="121"/>
      <x:c r="Q421" s="121"/>
      <x:c r="R421" s="121"/>
      <x:c r="S421" s="121"/>
      <x:c r="T421" s="121"/>
      <x:c r="U421" s="121"/>
      <x:c r="V421" s="121"/>
      <x:c r="W421" s="121"/>
      <x:c r="X421" s="121"/>
      <x:c r="Y421" s="121"/>
      <x:c r="Z421" s="121"/>
      <x:c r="AA421" s="121"/>
      <x:c r="AB421" s="121"/>
      <x:c r="AC421" s="121"/>
      <x:c r="AD421" s="121"/>
      <x:c r="AE421" s="121"/>
      <x:c r="AF421" s="121"/>
      <x:c r="AG421" s="121"/>
      <x:c r="AH421" s="121"/>
      <x:c r="AI421" s="121"/>
      <x:c r="AJ421" s="121"/>
      <x:c r="AK421" s="220"/>
      <x:c r="AL421" s="221"/>
      <x:c r="AM421" s="221"/>
      <x:c r="AN421" s="121"/>
      <x:c r="AO421" s="121"/>
    </x:row>
    <x:row r="422" spans="1:47" ht="15" customHeight="1">
      <x:c r="A422" s="69"/>
      <x:c r="B422" s="216"/>
      <x:c r="C422" s="121"/>
      <x:c r="D422" s="121"/>
      <x:c r="E422" s="121"/>
      <x:c r="F422" s="121"/>
      <x:c r="G422" s="121"/>
      <x:c r="H422" s="121"/>
      <x:c r="I422" s="121"/>
      <x:c r="J422" s="121"/>
      <x:c r="K422" s="121"/>
      <x:c r="L422" s="121"/>
      <x:c r="M422" s="121"/>
      <x:c r="N422" s="121"/>
      <x:c r="O422" s="121"/>
      <x:c r="P422" s="121"/>
      <x:c r="Q422" s="121"/>
      <x:c r="R422" s="121"/>
      <x:c r="S422" s="121"/>
      <x:c r="T422" s="121"/>
      <x:c r="U422" s="121"/>
      <x:c r="V422" s="121"/>
      <x:c r="W422" s="121"/>
      <x:c r="X422" s="121"/>
      <x:c r="Y422" s="121"/>
      <x:c r="Z422" s="121"/>
      <x:c r="AA422" s="121"/>
      <x:c r="AB422" s="121"/>
      <x:c r="AC422" s="121"/>
      <x:c r="AD422" s="121"/>
      <x:c r="AE422" s="121"/>
      <x:c r="AF422" s="121"/>
      <x:c r="AG422" s="121"/>
      <x:c r="AH422" s="121"/>
      <x:c r="AI422" s="121"/>
      <x:c r="AJ422" s="121"/>
      <x:c r="AK422" s="220"/>
      <x:c r="AL422" s="221"/>
      <x:c r="AM422" s="221"/>
      <x:c r="AN422" s="121"/>
      <x:c r="AO422" s="121"/>
    </x:row>
    <x:row r="423" spans="1:47" ht="15" customHeight="1">
      <x:c r="A423" s="69"/>
      <x:c r="B423" s="216"/>
      <x:c r="C423" s="121"/>
      <x:c r="D423" s="121"/>
      <x:c r="E423" s="121"/>
      <x:c r="F423" s="121"/>
      <x:c r="G423" s="121"/>
      <x:c r="H423" s="121"/>
      <x:c r="I423" s="121"/>
      <x:c r="J423" s="121"/>
      <x:c r="K423" s="121"/>
      <x:c r="L423" s="121"/>
      <x:c r="M423" s="121"/>
      <x:c r="N423" s="121"/>
      <x:c r="O423" s="121"/>
      <x:c r="P423" s="121"/>
      <x:c r="Q423" s="121"/>
      <x:c r="R423" s="121"/>
      <x:c r="S423" s="121"/>
      <x:c r="T423" s="121"/>
      <x:c r="U423" s="121"/>
      <x:c r="V423" s="121"/>
      <x:c r="W423" s="121"/>
      <x:c r="X423" s="121"/>
      <x:c r="Y423" s="121"/>
      <x:c r="Z423" s="121"/>
      <x:c r="AA423" s="121"/>
      <x:c r="AB423" s="121"/>
      <x:c r="AC423" s="121"/>
      <x:c r="AD423" s="121"/>
      <x:c r="AE423" s="121"/>
      <x:c r="AF423" s="121"/>
      <x:c r="AG423" s="121"/>
      <x:c r="AH423" s="121"/>
      <x:c r="AI423" s="121"/>
      <x:c r="AJ423" s="121"/>
      <x:c r="AK423" s="220"/>
      <x:c r="AL423" s="221"/>
      <x:c r="AM423" s="221"/>
      <x:c r="AN423" s="121"/>
      <x:c r="AO423" s="121"/>
    </x:row>
    <x:row r="424" spans="1:47" ht="15" customHeight="1">
      <x:c r="A424" s="69"/>
      <x:c r="B424" s="216"/>
      <x:c r="C424" s="121"/>
      <x:c r="D424" s="121"/>
      <x:c r="E424" s="121"/>
      <x:c r="F424" s="121"/>
      <x:c r="G424" s="121"/>
      <x:c r="H424" s="121"/>
      <x:c r="I424" s="121"/>
      <x:c r="J424" s="121"/>
      <x:c r="K424" s="121"/>
      <x:c r="L424" s="121"/>
      <x:c r="M424" s="121"/>
      <x:c r="N424" s="121"/>
      <x:c r="O424" s="121"/>
      <x:c r="P424" s="121"/>
      <x:c r="Q424" s="121"/>
      <x:c r="R424" s="121"/>
      <x:c r="S424" s="121"/>
      <x:c r="T424" s="121"/>
      <x:c r="U424" s="121"/>
      <x:c r="V424" s="121"/>
      <x:c r="W424" s="121"/>
      <x:c r="X424" s="121"/>
      <x:c r="Y424" s="121"/>
      <x:c r="Z424" s="121"/>
      <x:c r="AA424" s="121"/>
      <x:c r="AB424" s="121"/>
      <x:c r="AC424" s="121"/>
      <x:c r="AD424" s="121"/>
      <x:c r="AE424" s="121"/>
      <x:c r="AF424" s="121"/>
      <x:c r="AG424" s="121"/>
      <x:c r="AH424" s="121"/>
      <x:c r="AI424" s="121"/>
      <x:c r="AJ424" s="121"/>
      <x:c r="AK424" s="220"/>
      <x:c r="AL424" s="221"/>
      <x:c r="AM424" s="221"/>
      <x:c r="AN424" s="121"/>
      <x:c r="AO424" s="121"/>
    </x:row>
  </x:sheetData>
  <x:autoFilter ref="A5:AO424"/>
  <x:mergeCells count="38">
    <x:mergeCell ref="B1:AK2"/>
    <x:mergeCell ref="B3:E3"/>
    <x:mergeCell ref="F3:F4"/>
    <x:mergeCell ref="G3:G4"/>
    <x:mergeCell ref="H3:H4"/>
    <x:mergeCell ref="I3:I4"/>
    <x:mergeCell ref="J3:J4"/>
    <x:mergeCell ref="K3:K4"/>
    <x:mergeCell ref="L3:L4"/>
    <x:mergeCell ref="M3:M4"/>
    <x:mergeCell ref="N3:N4"/>
    <x:mergeCell ref="O3:O4"/>
    <x:mergeCell ref="P3:P4"/>
    <x:mergeCell ref="Q3:Q4"/>
    <x:mergeCell ref="R3:R4"/>
    <x:mergeCell ref="S3:S4"/>
    <x:mergeCell ref="T3:T4"/>
    <x:mergeCell ref="U3:U4"/>
    <x:mergeCell ref="V3:V4"/>
    <x:mergeCell ref="W3:W4"/>
    <x:mergeCell ref="X3:X4"/>
    <x:mergeCell ref="Y3:Y4"/>
    <x:mergeCell ref="Z3:Z4"/>
    <x:mergeCell ref="AA3:AA4"/>
    <x:mergeCell ref="AB3:AB4"/>
    <x:mergeCell ref="AC3:AC4"/>
    <x:mergeCell ref="AD3:AD4"/>
    <x:mergeCell ref="AE3:AE4"/>
    <x:mergeCell ref="AF3:AF4"/>
    <x:mergeCell ref="AG3:AG4"/>
    <x:mergeCell ref="AH3:AH4"/>
    <x:mergeCell ref="AI3:AI4"/>
    <x:mergeCell ref="AJ3:AJ4"/>
    <x:mergeCell ref="AK3:AK4"/>
    <x:mergeCell ref="AL3:AL4"/>
    <x:mergeCell ref="AM3:AM4"/>
    <x:mergeCell ref="AN3:AO3"/>
    <x:mergeCell ref="D4:E4"/>
  </x:mergeCells>
  <x:conditionalFormatting sqref="F3:AJ3">
    <x:cfRule type="expression" dxfId="0" priority="1" stopIfTrue="1" operator="equal">
      <x:formula>F$5&gt;=6</x:formula>
    </x:cfRule>
  </x:conditionalFormatting>
  <x:conditionalFormatting sqref="F3:AJ4">
    <x:cfRule type="expression" dxfId="0" priority="2" stopIfTrue="1" operator="equal">
      <x:formula>F$5&gt;=6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AO2:AO2">
      <x:formula1>$AQ$6:$AQ$17</x:formula1>
      <x:formula2/>
    </x:dataValidation>
  </x:dataValidations>
  <x:printOptions horizontalCentered="0" verticalCentered="0" headings="0" gridLines="0"/>
  <x:pageMargins left="0.70866141732283472" right="0.11811023622047245" top="0.35433070866141736" bottom="0.35433070866141736" header="0.31496062992125984" footer="0.31496062992125984"/>
  <x:pageSetup paperSize="9" scale="95" pageOrder="downThenOver" orientation="landscape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U424"/>
  <x:sheetViews>
    <x:sheetView workbookViewId="0">
      <x:pane xSplit="0" ySplit="4" topLeftCell="A5" activePane="bottomLeft" state="frozenSplit"/>
      <x:selection activeCell="A22" sqref="A22"/>
      <x:selection pane="bottomLeft" activeCell="A22" sqref="A22"/>
    </x:sheetView>
  </x:sheetViews>
  <x:sheetFormatPr defaultColWidth="9.140625" defaultRowHeight="11.25"/>
  <x:cols>
    <x:col min="48" max="16384" width="9.140625" style="39" customWidth="1"/>
    <x:col min="1" max="1" width="27.710938" style="39" customWidth="1"/>
    <x:col min="2" max="2" width="5" style="39" customWidth="1"/>
    <x:col min="3" max="3" width="12" style="39" customWidth="1"/>
    <x:col min="4" max="4" width="26.570312" style="39" customWidth="1"/>
    <x:col min="5" max="5" width="14.285156" style="39" customWidth="1"/>
    <x:col min="6" max="36" width="2.855469" style="39" customWidth="1"/>
    <x:col min="37" max="37" width="7.285156" style="39" customWidth="1"/>
    <x:col min="38" max="39" width="10.425781" style="39" customWidth="1"/>
    <x:col min="40" max="40" width="13.140625" style="39" customWidth="1"/>
    <x:col min="41" max="41" width="11.425781" style="39" customWidth="1"/>
    <x:col min="42" max="42" width="4.285156" style="39" customWidth="1"/>
    <x:col min="43" max="43" width="13.140625" style="39" hidden="1" customWidth="1"/>
    <x:col min="44" max="45" width="0" style="39" hidden="1" customWidth="1"/>
    <x:col min="46" max="46" width="9.140625" style="39" customWidth="1"/>
    <x:col min="47" max="47" width="19.285156" style="39" customWidth="1"/>
  </x:cols>
  <x:sheetData>
    <x:row r="1" spans="1:47" ht="14.25" customHeight="1">
      <x:c r="B1" s="203" t="s">
        <x:v>0</x:v>
      </x:c>
      <x:c r="C1" s="203"/>
      <x:c r="D1" s="203"/>
      <x:c r="E1" s="203"/>
      <x:c r="F1" s="203"/>
      <x:c r="G1" s="203"/>
      <x:c r="H1" s="203"/>
      <x:c r="I1" s="203"/>
      <x:c r="J1" s="203"/>
      <x:c r="K1" s="203"/>
      <x:c r="L1" s="203"/>
      <x:c r="M1" s="203"/>
      <x:c r="N1" s="203"/>
      <x:c r="O1" s="203"/>
      <x:c r="P1" s="203"/>
      <x:c r="Q1" s="203"/>
      <x:c r="R1" s="203"/>
      <x:c r="S1" s="203"/>
      <x:c r="T1" s="203"/>
      <x:c r="U1" s="203"/>
      <x:c r="V1" s="203"/>
      <x:c r="W1" s="203"/>
      <x:c r="X1" s="203"/>
      <x:c r="Y1" s="203"/>
      <x:c r="Z1" s="203"/>
      <x:c r="AA1" s="203"/>
      <x:c r="AB1" s="203"/>
      <x:c r="AC1" s="203"/>
      <x:c r="AD1" s="203"/>
      <x:c r="AE1" s="203"/>
      <x:c r="AF1" s="203"/>
      <x:c r="AG1" s="203"/>
      <x:c r="AH1" s="203"/>
      <x:c r="AI1" s="203"/>
      <x:c r="AJ1" s="203"/>
      <x:c r="AK1" s="203"/>
      <x:c r="AL1" s="124"/>
      <x:c r="AM1" s="124"/>
      <x:c r="AN1" s="204" t="s">
        <x:v>1</x:v>
      </x:c>
      <x:c r="AO1" s="205">
        <x:v>2026</x:v>
      </x:c>
      <x:c r="AP1" s="124"/>
      <x:c r="AQ1" s="124"/>
      <x:c r="AR1" s="124"/>
      <x:c r="AS1" s="124"/>
      <x:c r="AT1" s="124"/>
    </x:row>
    <x:row r="2" spans="1:47" ht="15.75" customHeight="1">
      <x:c r="B2" s="203"/>
      <x:c r="C2" s="203"/>
      <x:c r="D2" s="203"/>
      <x:c r="E2" s="203"/>
      <x:c r="F2" s="203"/>
      <x:c r="G2" s="203"/>
      <x:c r="H2" s="203"/>
      <x:c r="I2" s="203"/>
      <x:c r="J2" s="203"/>
      <x:c r="K2" s="203"/>
      <x:c r="L2" s="203"/>
      <x:c r="M2" s="203"/>
      <x:c r="N2" s="203"/>
      <x:c r="O2" s="203"/>
      <x:c r="P2" s="203"/>
      <x:c r="Q2" s="203"/>
      <x:c r="R2" s="203"/>
      <x:c r="S2" s="203"/>
      <x:c r="T2" s="203"/>
      <x:c r="U2" s="203"/>
      <x:c r="V2" s="203"/>
      <x:c r="W2" s="203"/>
      <x:c r="X2" s="203"/>
      <x:c r="Y2" s="203"/>
      <x:c r="Z2" s="203"/>
      <x:c r="AA2" s="203"/>
      <x:c r="AB2" s="203"/>
      <x:c r="AC2" s="203"/>
      <x:c r="AD2" s="203"/>
      <x:c r="AE2" s="203"/>
      <x:c r="AF2" s="203"/>
      <x:c r="AG2" s="203"/>
      <x:c r="AH2" s="203"/>
      <x:c r="AI2" s="203"/>
      <x:c r="AJ2" s="203"/>
      <x:c r="AK2" s="203"/>
      <x:c r="AL2" s="128"/>
      <x:c r="AM2" s="128"/>
      <x:c r="AN2" s="204" t="s">
        <x:v>2</x:v>
      </x:c>
      <x:c r="AO2" s="205" t="s">
        <x:v>20</x:v>
      </x:c>
      <x:c r="AP2" s="124"/>
      <x:c r="AQ2" s="124"/>
      <x:c r="AR2" s="124"/>
      <x:c r="AS2" s="124"/>
      <x:c r="AT2" s="124"/>
    </x:row>
    <x:row r="3" spans="1:47" ht="92.25" customHeight="1">
      <x:c r="B3" s="151" t="s">
        <x:v>4</x:v>
      </x:c>
      <x:c r="C3" s="152"/>
      <x:c r="D3" s="152"/>
      <x:c r="E3" s="153"/>
      <x:c r="F3" s="206">
        <x:v>46082</x:v>
      </x:c>
      <x:c r="G3" s="206">
        <x:v>46083</x:v>
      </x:c>
      <x:c r="H3" s="206">
        <x:v>46084</x:v>
      </x:c>
      <x:c r="I3" s="206">
        <x:v>46085</x:v>
      </x:c>
      <x:c r="J3" s="206">
        <x:v>46086</x:v>
      </x:c>
      <x:c r="K3" s="206">
        <x:v>46087</x:v>
      </x:c>
      <x:c r="L3" s="206">
        <x:v>46088</x:v>
      </x:c>
      <x:c r="M3" s="206">
        <x:v>46089</x:v>
      </x:c>
      <x:c r="N3" s="206">
        <x:v>46090</x:v>
      </x:c>
      <x:c r="O3" s="206">
        <x:v>46091</x:v>
      </x:c>
      <x:c r="P3" s="206">
        <x:v>46092</x:v>
      </x:c>
      <x:c r="Q3" s="206">
        <x:v>46093</x:v>
      </x:c>
      <x:c r="R3" s="206">
        <x:v>46094</x:v>
      </x:c>
      <x:c r="S3" s="206">
        <x:v>46095</x:v>
      </x:c>
      <x:c r="T3" s="206">
        <x:v>46096</x:v>
      </x:c>
      <x:c r="U3" s="206">
        <x:v>46097</x:v>
      </x:c>
      <x:c r="V3" s="206">
        <x:v>46098</x:v>
      </x:c>
      <x:c r="W3" s="206">
        <x:v>46099</x:v>
      </x:c>
      <x:c r="X3" s="206">
        <x:v>46100</x:v>
      </x:c>
      <x:c r="Y3" s="206">
        <x:v>46101</x:v>
      </x:c>
      <x:c r="Z3" s="206">
        <x:v>46102</x:v>
      </x:c>
      <x:c r="AA3" s="206">
        <x:v>46103</x:v>
      </x:c>
      <x:c r="AB3" s="206">
        <x:v>46104</x:v>
      </x:c>
      <x:c r="AC3" s="206">
        <x:v>46105</x:v>
      </x:c>
      <x:c r="AD3" s="206">
        <x:v>46106</x:v>
      </x:c>
      <x:c r="AE3" s="206">
        <x:v>46107</x:v>
      </x:c>
      <x:c r="AF3" s="206">
        <x:v>46108</x:v>
      </x:c>
      <x:c r="AG3" s="206">
        <x:v>46109</x:v>
      </x:c>
      <x:c r="AH3" s="206">
        <x:v>46110</x:v>
      </x:c>
      <x:c r="AI3" s="206">
        <x:v>46111</x:v>
      </x:c>
      <x:c r="AJ3" s="207">
        <x:v>46112</x:v>
      </x:c>
      <x:c r="AK3" s="154" t="s">
        <x:v>5</x:v>
      </x:c>
      <x:c r="AL3" s="154" t="s">
        <x:v>6</x:v>
      </x:c>
      <x:c r="AM3" s="156" t="s">
        <x:v>7</x:v>
      </x:c>
      <x:c r="AN3" s="272" t="s">
        <x:v>8</x:v>
      </x:c>
      <x:c r="AO3" s="273"/>
      <x:c r="AP3" s="208"/>
      <x:c r="AQ3" s="124"/>
      <x:c r="AR3" s="124"/>
      <x:c r="AS3" s="124"/>
      <x:c r="AT3" s="124"/>
    </x:row>
    <x:row r="4" spans="1:47" ht="14.25" customHeight="1">
      <x:c r="A4" s="70" t="s">
        <x:v>9</x:v>
      </x:c>
      <x:c r="B4" s="131" t="s">
        <x:v>10</x:v>
      </x:c>
      <x:c r="C4" s="132" t="s">
        <x:v>11</x:v>
      </x:c>
      <x:c r="D4" s="145" t="s">
        <x:v>12</x:v>
      </x:c>
      <x:c r="E4" s="146"/>
      <x:c r="F4" s="209"/>
      <x:c r="G4" s="209"/>
      <x:c r="H4" s="209"/>
      <x:c r="I4" s="209"/>
      <x:c r="J4" s="209"/>
      <x:c r="K4" s="209"/>
      <x:c r="L4" s="209"/>
      <x:c r="M4" s="209"/>
      <x:c r="N4" s="209"/>
      <x:c r="O4" s="209"/>
      <x:c r="P4" s="209"/>
      <x:c r="Q4" s="209"/>
      <x:c r="R4" s="209"/>
      <x:c r="S4" s="209"/>
      <x:c r="T4" s="209"/>
      <x:c r="U4" s="209"/>
      <x:c r="V4" s="209"/>
      <x:c r="W4" s="209"/>
      <x:c r="X4" s="209"/>
      <x:c r="Y4" s="209"/>
      <x:c r="Z4" s="209"/>
      <x:c r="AA4" s="209"/>
      <x:c r="AB4" s="209"/>
      <x:c r="AC4" s="209"/>
      <x:c r="AD4" s="209"/>
      <x:c r="AE4" s="209"/>
      <x:c r="AF4" s="209"/>
      <x:c r="AG4" s="209"/>
      <x:c r="AH4" s="209"/>
      <x:c r="AI4" s="209"/>
      <x:c r="AJ4" s="210"/>
      <x:c r="AK4" s="155"/>
      <x:c r="AL4" s="155"/>
      <x:c r="AM4" s="157"/>
      <x:c r="AN4" s="211" t="s">
        <x:v>13</x:v>
      </x:c>
      <x:c r="AO4" s="211" t="s">
        <x:v>14</x:v>
      </x:c>
      <x:c r="AP4" s="133"/>
      <x:c r="AQ4" s="212" t="s">
        <x:v>15</x:v>
      </x:c>
      <x:c r="AR4" s="212" t="s">
        <x:v>16</x:v>
      </x:c>
      <x:c r="AS4" s="212" t="s">
        <x:v>17</x:v>
      </x:c>
      <x:c r="AT4" s="124">
        <x:f>SUM(AK6:AK424)</x:f>
      </x:c>
      <x:c r="AU4" s="213"/>
    </x:row>
    <x:row r="5" spans="1:47" ht="15" customHeight="1">
      <x:c r="A5" s="69"/>
      <x:c r="B5" s="108"/>
      <x:c r="C5" s="109"/>
      <x:c r="D5" s="110"/>
      <x:c r="E5" s="111"/>
      <x:c r="F5" s="214">
        <x:v>7</x:v>
      </x:c>
      <x:c r="G5" s="214">
        <x:v>1</x:v>
      </x:c>
      <x:c r="H5" s="214">
        <x:v>2</x:v>
      </x:c>
      <x:c r="I5" s="214">
        <x:v>3</x:v>
      </x:c>
      <x:c r="J5" s="214">
        <x:v>4</x:v>
      </x:c>
      <x:c r="K5" s="214">
        <x:v>5</x:v>
      </x:c>
      <x:c r="L5" s="214">
        <x:v>6</x:v>
      </x:c>
      <x:c r="M5" s="214">
        <x:v>7</x:v>
      </x:c>
      <x:c r="N5" s="214">
        <x:v>1</x:v>
      </x:c>
      <x:c r="O5" s="214">
        <x:v>2</x:v>
      </x:c>
      <x:c r="P5" s="214">
        <x:v>3</x:v>
      </x:c>
      <x:c r="Q5" s="214">
        <x:v>4</x:v>
      </x:c>
      <x:c r="R5" s="214">
        <x:v>5</x:v>
      </x:c>
      <x:c r="S5" s="214">
        <x:v>6</x:v>
      </x:c>
      <x:c r="T5" s="214">
        <x:v>7</x:v>
      </x:c>
      <x:c r="U5" s="214">
        <x:v>1</x:v>
      </x:c>
      <x:c r="V5" s="214">
        <x:v>2</x:v>
      </x:c>
      <x:c r="W5" s="214">
        <x:v>3</x:v>
      </x:c>
      <x:c r="X5" s="214">
        <x:v>4</x:v>
      </x:c>
      <x:c r="Y5" s="214">
        <x:v>5</x:v>
      </x:c>
      <x:c r="Z5" s="214">
        <x:v>6</x:v>
      </x:c>
      <x:c r="AA5" s="214">
        <x:v>7</x:v>
      </x:c>
      <x:c r="AB5" s="214">
        <x:v>1</x:v>
      </x:c>
      <x:c r="AC5" s="214">
        <x:v>2</x:v>
      </x:c>
      <x:c r="AD5" s="214">
        <x:v>3</x:v>
      </x:c>
      <x:c r="AE5" s="214">
        <x:v>4</x:v>
      </x:c>
      <x:c r="AF5" s="214">
        <x:v>5</x:v>
      </x:c>
      <x:c r="AG5" s="214">
        <x:v>6</x:v>
      </x:c>
      <x:c r="AH5" s="214">
        <x:v>7</x:v>
      </x:c>
      <x:c r="AI5" s="214">
        <x:v>1</x:v>
      </x:c>
      <x:c r="AJ5" s="214">
        <x:v>2</x:v>
      </x:c>
      <x:c r="AK5" s="113"/>
      <x:c r="AL5" s="114"/>
      <x:c r="AM5" s="114"/>
      <x:c r="AN5" s="211"/>
      <x:c r="AO5" s="211"/>
      <x:c r="AP5" s="208"/>
      <x:c r="AQ5" s="212"/>
      <x:c r="AR5" s="212"/>
      <x:c r="AS5" s="212"/>
      <x:c r="AT5" s="124"/>
    </x:row>
    <x:row r="6" spans="1:47" ht="19.9" customHeight="1">
      <x:c r="A6" s="274" t="s">
        <x:v>1717</x:v>
      </x:c>
      <x:c r="B6" s="216"/>
      <x:c r="C6" s="275" t="s">
        <x:v>1718</x:v>
      </x:c>
      <x:c r="D6" s="274" t="s">
        <x:v>1719</x:v>
      </x:c>
      <x:c r="E6" s="276" t="s">
        <x:v>1720</x:v>
      </x:c>
      <x:c r="F6" s="277" t="s">
        <x:v>118</x:v>
      </x:c>
      <x:c r="G6" s="277" t="s">
        <x:v>118</x:v>
      </x:c>
      <x:c r="H6" s="277" t="s">
        <x:v>118</x:v>
      </x:c>
      <x:c r="I6" s="277" t="s">
        <x:v>118</x:v>
      </x:c>
      <x:c r="J6" s="277" t="s">
        <x:v>118</x:v>
      </x:c>
      <x:c r="K6" s="277" t="s">
        <x:v>118</x:v>
      </x:c>
      <x:c r="L6" s="277" t="s">
        <x:v>118</x:v>
      </x:c>
      <x:c r="M6" s="277" t="s">
        <x:v>118</x:v>
      </x:c>
      <x:c r="N6" s="277" t="s">
        <x:v>118</x:v>
      </x:c>
      <x:c r="O6" s="277" t="s">
        <x:v>118</x:v>
      </x:c>
      <x:c r="P6" s="277" t="s">
        <x:v>118</x:v>
      </x:c>
      <x:c r="Q6" s="277" t="s">
        <x:v>118</x:v>
      </x:c>
      <x:c r="R6" s="277" t="s">
        <x:v>118</x:v>
      </x:c>
      <x:c r="S6" s="277" t="s">
        <x:v>118</x:v>
      </x:c>
      <x:c r="T6" s="277" t="s">
        <x:v>118</x:v>
      </x:c>
      <x:c r="U6" s="277" t="s">
        <x:v>118</x:v>
      </x:c>
      <x:c r="V6" s="277" t="s">
        <x:v>118</x:v>
      </x:c>
      <x:c r="W6" s="277" t="s">
        <x:v>118</x:v>
      </x:c>
      <x:c r="X6" s="277" t="s">
        <x:v>118</x:v>
      </x:c>
      <x:c r="Y6" s="277" t="s">
        <x:v>118</x:v>
      </x:c>
      <x:c r="Z6" s="277" t="s">
        <x:v>118</x:v>
      </x:c>
      <x:c r="AA6" s="277" t="s">
        <x:v>118</x:v>
      </x:c>
      <x:c r="AB6" s="277" t="s">
        <x:v>118</x:v>
      </x:c>
      <x:c r="AC6" s="277" t="s">
        <x:v>118</x:v>
      </x:c>
      <x:c r="AD6" s="277" t="s">
        <x:v>118</x:v>
      </x:c>
      <x:c r="AE6" s="277" t="s">
        <x:v>118</x:v>
      </x:c>
      <x:c r="AF6" s="277" t="s">
        <x:v>118</x:v>
      </x:c>
      <x:c r="AG6" s="277" t="s">
        <x:v>118</x:v>
      </x:c>
      <x:c r="AH6" s="277" t="s">
        <x:v>118</x:v>
      </x:c>
      <x:c r="AI6" s="277" t="s">
        <x:v>118</x:v>
      </x:c>
      <x:c r="AJ6" s="277" t="s">
        <x:v>118</x:v>
      </x:c>
      <x:c r="AK6" s="220">
        <x:f>COUNTIF(F6:AJ6,"X")</x:f>
      </x:c>
      <x:c r="AL6" s="221"/>
      <x:c r="AM6" s="221"/>
      <x:c r="AN6" s="222"/>
      <x:c r="AO6" s="222"/>
      <x:c r="AP6" s="223"/>
      <x:c r="AQ6" s="224"/>
      <x:c r="AR6" s="225"/>
      <x:c r="AS6" s="225"/>
      <x:c r="AT6" s="220"/>
    </x:row>
    <x:row r="7" spans="1:47" ht="19.9" customHeight="1">
      <x:c r="A7" s="274" t="s">
        <x:v>1721</x:v>
      </x:c>
      <x:c r="B7" s="216"/>
      <x:c r="C7" s="275" t="s">
        <x:v>1722</x:v>
      </x:c>
      <x:c r="D7" s="274" t="s">
        <x:v>819</x:v>
      </x:c>
      <x:c r="E7" s="276" t="s">
        <x:v>1723</x:v>
      </x:c>
      <x:c r="F7" s="277" t="s">
        <x:v>118</x:v>
      </x:c>
      <x:c r="G7" s="277" t="s">
        <x:v>118</x:v>
      </x:c>
      <x:c r="H7" s="277" t="s">
        <x:v>118</x:v>
      </x:c>
      <x:c r="I7" s="277" t="s">
        <x:v>118</x:v>
      </x:c>
      <x:c r="J7" s="278" t="s">
        <x:v>118</x:v>
      </x:c>
      <x:c r="K7" s="277" t="s">
        <x:v>118</x:v>
      </x:c>
      <x:c r="L7" s="277" t="s">
        <x:v>118</x:v>
      </x:c>
      <x:c r="M7" s="277" t="s">
        <x:v>118</x:v>
      </x:c>
      <x:c r="N7" s="277" t="s">
        <x:v>118</x:v>
      </x:c>
      <x:c r="O7" s="277" t="s">
        <x:v>118</x:v>
      </x:c>
      <x:c r="P7" s="278" t="s">
        <x:v>118</x:v>
      </x:c>
      <x:c r="Q7" s="277" t="s">
        <x:v>118</x:v>
      </x:c>
      <x:c r="R7" s="277" t="s">
        <x:v>118</x:v>
      </x:c>
      <x:c r="S7" s="277" t="s">
        <x:v>118</x:v>
      </x:c>
      <x:c r="T7" s="277" t="s">
        <x:v>118</x:v>
      </x:c>
      <x:c r="U7" s="277" t="s">
        <x:v>118</x:v>
      </x:c>
      <x:c r="V7" s="277" t="s">
        <x:v>118</x:v>
      </x:c>
      <x:c r="W7" s="277" t="s">
        <x:v>118</x:v>
      </x:c>
      <x:c r="X7" s="277" t="s">
        <x:v>118</x:v>
      </x:c>
      <x:c r="Y7" s="277" t="s">
        <x:v>118</x:v>
      </x:c>
      <x:c r="Z7" s="277" t="s">
        <x:v>118</x:v>
      </x:c>
      <x:c r="AA7" s="277" t="s">
        <x:v>118</x:v>
      </x:c>
      <x:c r="AB7" s="277" t="s">
        <x:v>118</x:v>
      </x:c>
      <x:c r="AC7" s="277" t="s">
        <x:v>118</x:v>
      </x:c>
      <x:c r="AD7" s="277" t="s">
        <x:v>118</x:v>
      </x:c>
      <x:c r="AE7" s="279" t="s">
        <x:v>118</x:v>
      </x:c>
      <x:c r="AF7" s="277" t="s">
        <x:v>118</x:v>
      </x:c>
      <x:c r="AG7" s="277" t="s">
        <x:v>118</x:v>
      </x:c>
      <x:c r="AH7" s="277" t="s">
        <x:v>118</x:v>
      </x:c>
      <x:c r="AI7" s="277" t="s">
        <x:v>118</x:v>
      </x:c>
      <x:c r="AJ7" s="277" t="s">
        <x:v>118</x:v>
      </x:c>
      <x:c r="AK7" s="220">
        <x:f>COUNTIF(F7:AJ7,"X")</x:f>
      </x:c>
      <x:c r="AL7" s="221"/>
      <x:c r="AM7" s="221"/>
      <x:c r="AN7" s="222"/>
      <x:c r="AO7" s="222"/>
      <x:c r="AP7" s="228"/>
      <x:c r="AQ7" s="224"/>
      <x:c r="AR7" s="229"/>
      <x:c r="AS7" s="229"/>
      <x:c r="AT7" s="230"/>
    </x:row>
    <x:row r="8" spans="1:47" ht="19.9" customHeight="1">
      <x:c r="A8" s="274" t="s">
        <x:v>1724</x:v>
      </x:c>
      <x:c r="B8" s="216"/>
      <x:c r="C8" s="275" t="s">
        <x:v>1725</x:v>
      </x:c>
      <x:c r="D8" s="274" t="s">
        <x:v>819</x:v>
      </x:c>
      <x:c r="E8" s="276" t="s">
        <x:v>209</x:v>
      </x:c>
      <x:c r="F8" s="277" t="s">
        <x:v>118</x:v>
      </x:c>
      <x:c r="G8" s="277" t="s">
        <x:v>118</x:v>
      </x:c>
      <x:c r="H8" s="277" t="s">
        <x:v>118</x:v>
      </x:c>
      <x:c r="I8" s="277" t="s">
        <x:v>118</x:v>
      </x:c>
      <x:c r="J8" s="277" t="s">
        <x:v>118</x:v>
      </x:c>
      <x:c r="K8" s="277" t="s">
        <x:v>118</x:v>
      </x:c>
      <x:c r="L8" s="277" t="s">
        <x:v>118</x:v>
      </x:c>
      <x:c r="M8" s="277" t="s">
        <x:v>118</x:v>
      </x:c>
      <x:c r="N8" s="277" t="s">
        <x:v>118</x:v>
      </x:c>
      <x:c r="O8" s="277" t="s">
        <x:v>118</x:v>
      </x:c>
      <x:c r="P8" s="277" t="s">
        <x:v>118</x:v>
      </x:c>
      <x:c r="Q8" s="277" t="s">
        <x:v>118</x:v>
      </x:c>
      <x:c r="R8" s="277" t="s">
        <x:v>118</x:v>
      </x:c>
      <x:c r="S8" s="277" t="s">
        <x:v>118</x:v>
      </x:c>
      <x:c r="T8" s="277" t="s">
        <x:v>118</x:v>
      </x:c>
      <x:c r="U8" s="277" t="s">
        <x:v>118</x:v>
      </x:c>
      <x:c r="V8" s="277" t="s">
        <x:v>118</x:v>
      </x:c>
      <x:c r="W8" s="277" t="s">
        <x:v>118</x:v>
      </x:c>
      <x:c r="X8" s="277" t="s">
        <x:v>118</x:v>
      </x:c>
      <x:c r="Y8" s="277" t="s">
        <x:v>118</x:v>
      </x:c>
      <x:c r="Z8" s="277" t="s">
        <x:v>118</x:v>
      </x:c>
      <x:c r="AA8" s="277" t="s">
        <x:v>118</x:v>
      </x:c>
      <x:c r="AB8" s="277" t="s">
        <x:v>118</x:v>
      </x:c>
      <x:c r="AC8" s="277" t="s">
        <x:v>118</x:v>
      </x:c>
      <x:c r="AD8" s="277" t="s">
        <x:v>118</x:v>
      </x:c>
      <x:c r="AE8" s="277" t="s">
        <x:v>118</x:v>
      </x:c>
      <x:c r="AF8" s="277" t="s">
        <x:v>118</x:v>
      </x:c>
      <x:c r="AG8" s="277" t="s">
        <x:v>118</x:v>
      </x:c>
      <x:c r="AH8" s="277" t="s">
        <x:v>118</x:v>
      </x:c>
      <x:c r="AI8" s="277" t="s">
        <x:v>118</x:v>
      </x:c>
      <x:c r="AJ8" s="277" t="s">
        <x:v>118</x:v>
      </x:c>
      <x:c r="AK8" s="220">
        <x:f>COUNTIF(F8:AJ8,"X")</x:f>
      </x:c>
      <x:c r="AL8" s="221"/>
      <x:c r="AM8" s="221"/>
      <x:c r="AN8" s="222"/>
      <x:c r="AO8" s="222"/>
      <x:c r="AP8" s="228"/>
      <x:c r="AQ8" s="224"/>
      <x:c r="AR8" s="229"/>
      <x:c r="AS8" s="229"/>
      <x:c r="AT8" s="230"/>
    </x:row>
    <x:row r="9" spans="1:47" ht="19.9" customHeight="1">
      <x:c r="A9" s="274" t="s">
        <x:v>1726</x:v>
      </x:c>
      <x:c r="B9" s="216"/>
      <x:c r="C9" s="275" t="s">
        <x:v>1727</x:v>
      </x:c>
      <x:c r="D9" s="274" t="s">
        <x:v>1728</x:v>
      </x:c>
      <x:c r="E9" s="276" t="s">
        <x:v>1729</x:v>
      </x:c>
      <x:c r="F9" s="277" t="s">
        <x:v>118</x:v>
      </x:c>
      <x:c r="G9" s="277" t="s">
        <x:v>118</x:v>
      </x:c>
      <x:c r="H9" s="277" t="s">
        <x:v>118</x:v>
      </x:c>
      <x:c r="I9" s="277" t="s">
        <x:v>118</x:v>
      </x:c>
      <x:c r="J9" s="277" t="s">
        <x:v>118</x:v>
      </x:c>
      <x:c r="K9" s="277" t="s">
        <x:v>118</x:v>
      </x:c>
      <x:c r="L9" s="277" t="s">
        <x:v>118</x:v>
      </x:c>
      <x:c r="M9" s="277" t="s">
        <x:v>118</x:v>
      </x:c>
      <x:c r="N9" s="277" t="s">
        <x:v>118</x:v>
      </x:c>
      <x:c r="O9" s="277" t="s">
        <x:v>118</x:v>
      </x:c>
      <x:c r="P9" s="277" t="s">
        <x:v>118</x:v>
      </x:c>
      <x:c r="Q9" s="277" t="s">
        <x:v>118</x:v>
      </x:c>
      <x:c r="R9" s="277" t="s">
        <x:v>118</x:v>
      </x:c>
      <x:c r="S9" s="277" t="s">
        <x:v>118</x:v>
      </x:c>
      <x:c r="T9" s="277" t="s">
        <x:v>118</x:v>
      </x:c>
      <x:c r="U9" s="277" t="s">
        <x:v>118</x:v>
      </x:c>
      <x:c r="V9" s="277" t="s">
        <x:v>118</x:v>
      </x:c>
      <x:c r="W9" s="277" t="s">
        <x:v>118</x:v>
      </x:c>
      <x:c r="X9" s="277" t="s">
        <x:v>118</x:v>
      </x:c>
      <x:c r="Y9" s="277" t="s">
        <x:v>118</x:v>
      </x:c>
      <x:c r="Z9" s="277" t="s">
        <x:v>118</x:v>
      </x:c>
      <x:c r="AA9" s="277" t="s">
        <x:v>118</x:v>
      </x:c>
      <x:c r="AB9" s="277" t="s">
        <x:v>118</x:v>
      </x:c>
      <x:c r="AC9" s="277" t="s">
        <x:v>118</x:v>
      </x:c>
      <x:c r="AD9" s="277" t="s">
        <x:v>118</x:v>
      </x:c>
      <x:c r="AE9" s="277" t="s">
        <x:v>118</x:v>
      </x:c>
      <x:c r="AF9" s="277" t="s">
        <x:v>118</x:v>
      </x:c>
      <x:c r="AG9" s="277" t="s">
        <x:v>118</x:v>
      </x:c>
      <x:c r="AH9" s="277" t="s">
        <x:v>118</x:v>
      </x:c>
      <x:c r="AI9" s="277" t="s">
        <x:v>118</x:v>
      </x:c>
      <x:c r="AJ9" s="277" t="s">
        <x:v>118</x:v>
      </x:c>
      <x:c r="AK9" s="220">
        <x:f>COUNTIF(F9:AJ9,"X")</x:f>
      </x:c>
      <x:c r="AL9" s="221"/>
      <x:c r="AM9" s="221"/>
      <x:c r="AN9" s="222"/>
      <x:c r="AO9" s="222"/>
      <x:c r="AP9" s="228"/>
      <x:c r="AQ9" s="224"/>
      <x:c r="AR9" s="229"/>
      <x:c r="AS9" s="229"/>
      <x:c r="AT9" s="230"/>
    </x:row>
    <x:row r="10" spans="1:47" ht="19.9" customHeight="1">
      <x:c r="A10" s="274" t="s">
        <x:v>1730</x:v>
      </x:c>
      <x:c r="B10" s="216"/>
      <x:c r="C10" s="275" t="s">
        <x:v>1731</x:v>
      </x:c>
      <x:c r="D10" s="274" t="s">
        <x:v>1732</x:v>
      </x:c>
      <x:c r="E10" s="276" t="s">
        <x:v>1733</x:v>
      </x:c>
      <x:c r="F10" s="277" t="s">
        <x:v>118</x:v>
      </x:c>
      <x:c r="G10" s="277" t="s">
        <x:v>118</x:v>
      </x:c>
      <x:c r="H10" s="277" t="s">
        <x:v>118</x:v>
      </x:c>
      <x:c r="I10" s="277" t="s">
        <x:v>118</x:v>
      </x:c>
      <x:c r="J10" s="277" t="s">
        <x:v>118</x:v>
      </x:c>
      <x:c r="K10" s="277" t="s">
        <x:v>118</x:v>
      </x:c>
      <x:c r="L10" s="277" t="s">
        <x:v>118</x:v>
      </x:c>
      <x:c r="M10" s="277" t="s">
        <x:v>118</x:v>
      </x:c>
      <x:c r="N10" s="277" t="s">
        <x:v>118</x:v>
      </x:c>
      <x:c r="O10" s="277" t="s">
        <x:v>118</x:v>
      </x:c>
      <x:c r="P10" s="277" t="s">
        <x:v>118</x:v>
      </x:c>
      <x:c r="Q10" s="277" t="s">
        <x:v>118</x:v>
      </x:c>
      <x:c r="R10" s="277" t="s">
        <x:v>118</x:v>
      </x:c>
      <x:c r="S10" s="277" t="s">
        <x:v>118</x:v>
      </x:c>
      <x:c r="T10" s="277" t="s">
        <x:v>118</x:v>
      </x:c>
      <x:c r="U10" s="277" t="s">
        <x:v>118</x:v>
      </x:c>
      <x:c r="V10" s="277" t="s">
        <x:v>118</x:v>
      </x:c>
      <x:c r="W10" s="277" t="s">
        <x:v>118</x:v>
      </x:c>
      <x:c r="X10" s="277" t="s">
        <x:v>118</x:v>
      </x:c>
      <x:c r="Y10" s="277" t="s">
        <x:v>118</x:v>
      </x:c>
      <x:c r="Z10" s="277" t="s">
        <x:v>118</x:v>
      </x:c>
      <x:c r="AA10" s="277" t="s">
        <x:v>118</x:v>
      </x:c>
      <x:c r="AB10" s="277" t="s">
        <x:v>118</x:v>
      </x:c>
      <x:c r="AC10" s="277" t="s">
        <x:v>118</x:v>
      </x:c>
      <x:c r="AD10" s="277" t="s">
        <x:v>118</x:v>
      </x:c>
      <x:c r="AE10" s="277" t="s">
        <x:v>118</x:v>
      </x:c>
      <x:c r="AF10" s="277" t="s">
        <x:v>118</x:v>
      </x:c>
      <x:c r="AG10" s="277" t="s">
        <x:v>118</x:v>
      </x:c>
      <x:c r="AH10" s="277" t="s">
        <x:v>118</x:v>
      </x:c>
      <x:c r="AI10" s="277" t="s">
        <x:v>118</x:v>
      </x:c>
      <x:c r="AJ10" s="277" t="s">
        <x:v>118</x:v>
      </x:c>
      <x:c r="AK10" s="220">
        <x:f>COUNTIF(F10:AJ10,"X")</x:f>
      </x:c>
      <x:c r="AL10" s="221"/>
      <x:c r="AM10" s="221"/>
      <x:c r="AN10" s="222"/>
      <x:c r="AO10" s="222"/>
      <x:c r="AP10" s="228"/>
      <x:c r="AQ10" s="224"/>
      <x:c r="AR10" s="229"/>
      <x:c r="AS10" s="229"/>
      <x:c r="AT10" s="230"/>
    </x:row>
    <x:row r="11" spans="1:47" ht="19.9" customHeight="1">
      <x:c r="A11" s="274" t="s">
        <x:v>1734</x:v>
      </x:c>
      <x:c r="B11" s="216"/>
      <x:c r="C11" s="275" t="s">
        <x:v>1735</x:v>
      </x:c>
      <x:c r="D11" s="274" t="s">
        <x:v>1736</x:v>
      </x:c>
      <x:c r="E11" s="276" t="s">
        <x:v>22</x:v>
      </x:c>
      <x:c r="F11" s="277" t="s">
        <x:v>118</x:v>
      </x:c>
      <x:c r="G11" s="277" t="s">
        <x:v>118</x:v>
      </x:c>
      <x:c r="H11" s="277" t="s">
        <x:v>118</x:v>
      </x:c>
      <x:c r="I11" s="277" t="s">
        <x:v>118</x:v>
      </x:c>
      <x:c r="J11" s="277" t="s">
        <x:v>118</x:v>
      </x:c>
      <x:c r="K11" s="277" t="s">
        <x:v>118</x:v>
      </x:c>
      <x:c r="L11" s="277" t="s">
        <x:v>118</x:v>
      </x:c>
      <x:c r="M11" s="277" t="s">
        <x:v>118</x:v>
      </x:c>
      <x:c r="N11" s="277" t="s">
        <x:v>118</x:v>
      </x:c>
      <x:c r="O11" s="277" t="s">
        <x:v>118</x:v>
      </x:c>
      <x:c r="P11" s="277" t="s">
        <x:v>118</x:v>
      </x:c>
      <x:c r="Q11" s="277" t="s">
        <x:v>118</x:v>
      </x:c>
      <x:c r="R11" s="277" t="s">
        <x:v>118</x:v>
      </x:c>
      <x:c r="S11" s="277" t="s">
        <x:v>118</x:v>
      </x:c>
      <x:c r="T11" s="277" t="s">
        <x:v>118</x:v>
      </x:c>
      <x:c r="U11" s="277" t="s">
        <x:v>118</x:v>
      </x:c>
      <x:c r="V11" s="277" t="s">
        <x:v>118</x:v>
      </x:c>
      <x:c r="W11" s="277" t="s">
        <x:v>118</x:v>
      </x:c>
      <x:c r="X11" s="277" t="s">
        <x:v>118</x:v>
      </x:c>
      <x:c r="Y11" s="277" t="s">
        <x:v>118</x:v>
      </x:c>
      <x:c r="Z11" s="277" t="s">
        <x:v>118</x:v>
      </x:c>
      <x:c r="AA11" s="277" t="s">
        <x:v>118</x:v>
      </x:c>
      <x:c r="AB11" s="277" t="s">
        <x:v>118</x:v>
      </x:c>
      <x:c r="AC11" s="277" t="s">
        <x:v>118</x:v>
      </x:c>
      <x:c r="AD11" s="277" t="s">
        <x:v>118</x:v>
      </x:c>
      <x:c r="AE11" s="277" t="s">
        <x:v>118</x:v>
      </x:c>
      <x:c r="AF11" s="277" t="s">
        <x:v>118</x:v>
      </x:c>
      <x:c r="AG11" s="277" t="s">
        <x:v>118</x:v>
      </x:c>
      <x:c r="AH11" s="277" t="s">
        <x:v>118</x:v>
      </x:c>
      <x:c r="AI11" s="277" t="s">
        <x:v>118</x:v>
      </x:c>
      <x:c r="AJ11" s="277" t="s">
        <x:v>118</x:v>
      </x:c>
      <x:c r="AK11" s="220">
        <x:f>COUNTIF(F11:AJ11,"X")</x:f>
      </x:c>
      <x:c r="AL11" s="221"/>
      <x:c r="AM11" s="221"/>
      <x:c r="AN11" s="222"/>
      <x:c r="AO11" s="222"/>
      <x:c r="AP11" s="228"/>
      <x:c r="AQ11" s="224"/>
      <x:c r="AR11" s="229"/>
      <x:c r="AS11" s="229"/>
      <x:c r="AT11" s="230"/>
    </x:row>
    <x:row r="12" spans="1:47" ht="19.9" customHeight="1">
      <x:c r="A12" s="274" t="s">
        <x:v>1737</x:v>
      </x:c>
      <x:c r="B12" s="216"/>
      <x:c r="C12" s="275" t="s">
        <x:v>1738</x:v>
      </x:c>
      <x:c r="D12" s="274" t="s">
        <x:v>826</x:v>
      </x:c>
      <x:c r="E12" s="276" t="s">
        <x:v>784</x:v>
      </x:c>
      <x:c r="F12" s="277" t="s">
        <x:v>118</x:v>
      </x:c>
      <x:c r="G12" s="277" t="s">
        <x:v>118</x:v>
      </x:c>
      <x:c r="H12" s="277" t="s">
        <x:v>118</x:v>
      </x:c>
      <x:c r="I12" s="277" t="s">
        <x:v>118</x:v>
      </x:c>
      <x:c r="J12" s="277" t="s">
        <x:v>118</x:v>
      </x:c>
      <x:c r="K12" s="277" t="s">
        <x:v>118</x:v>
      </x:c>
      <x:c r="L12" s="277" t="s">
        <x:v>118</x:v>
      </x:c>
      <x:c r="M12" s="277" t="s">
        <x:v>118</x:v>
      </x:c>
      <x:c r="N12" s="277" t="s">
        <x:v>118</x:v>
      </x:c>
      <x:c r="O12" s="277" t="s">
        <x:v>118</x:v>
      </x:c>
      <x:c r="P12" s="277" t="s">
        <x:v>118</x:v>
      </x:c>
      <x:c r="Q12" s="277" t="s">
        <x:v>118</x:v>
      </x:c>
      <x:c r="R12" s="277" t="s">
        <x:v>118</x:v>
      </x:c>
      <x:c r="S12" s="277" t="s">
        <x:v>118</x:v>
      </x:c>
      <x:c r="T12" s="277" t="s">
        <x:v>118</x:v>
      </x:c>
      <x:c r="U12" s="277" t="s">
        <x:v>118</x:v>
      </x:c>
      <x:c r="V12" s="277" t="s">
        <x:v>118</x:v>
      </x:c>
      <x:c r="W12" s="277" t="s">
        <x:v>118</x:v>
      </x:c>
      <x:c r="X12" s="277" t="s">
        <x:v>118</x:v>
      </x:c>
      <x:c r="Y12" s="277" t="s">
        <x:v>118</x:v>
      </x:c>
      <x:c r="Z12" s="277" t="s">
        <x:v>118</x:v>
      </x:c>
      <x:c r="AA12" s="277" t="s">
        <x:v>118</x:v>
      </x:c>
      <x:c r="AB12" s="277" t="s">
        <x:v>118</x:v>
      </x:c>
      <x:c r="AC12" s="277" t="s">
        <x:v>118</x:v>
      </x:c>
      <x:c r="AD12" s="277" t="s">
        <x:v>118</x:v>
      </x:c>
      <x:c r="AE12" s="277" t="s">
        <x:v>118</x:v>
      </x:c>
      <x:c r="AF12" s="277" t="s">
        <x:v>118</x:v>
      </x:c>
      <x:c r="AG12" s="277" t="s">
        <x:v>118</x:v>
      </x:c>
      <x:c r="AH12" s="277" t="s">
        <x:v>118</x:v>
      </x:c>
      <x:c r="AI12" s="277" t="s">
        <x:v>118</x:v>
      </x:c>
      <x:c r="AJ12" s="277" t="s">
        <x:v>118</x:v>
      </x:c>
      <x:c r="AK12" s="220">
        <x:f>COUNTIF(F12:AJ12,"X")</x:f>
      </x:c>
      <x:c r="AL12" s="221"/>
      <x:c r="AM12" s="221"/>
      <x:c r="AN12" s="222"/>
      <x:c r="AO12" s="222"/>
      <x:c r="AP12" s="228"/>
      <x:c r="AQ12" s="224"/>
      <x:c r="AR12" s="229"/>
      <x:c r="AS12" s="229"/>
      <x:c r="AT12" s="230"/>
    </x:row>
    <x:row r="13" spans="1:47" ht="19.9" customHeight="1">
      <x:c r="A13" s="274" t="s">
        <x:v>1739</x:v>
      </x:c>
      <x:c r="B13" s="216"/>
      <x:c r="C13" s="275" t="s">
        <x:v>1740</x:v>
      </x:c>
      <x:c r="D13" s="274" t="s">
        <x:v>1741</x:v>
      </x:c>
      <x:c r="E13" s="276" t="s">
        <x:v>1742</x:v>
      </x:c>
      <x:c r="F13" s="277" t="s">
        <x:v>118</x:v>
      </x:c>
      <x:c r="G13" s="277" t="s">
        <x:v>118</x:v>
      </x:c>
      <x:c r="H13" s="277" t="s">
        <x:v>118</x:v>
      </x:c>
      <x:c r="I13" s="277" t="s">
        <x:v>118</x:v>
      </x:c>
      <x:c r="J13" s="277" t="s">
        <x:v>118</x:v>
      </x:c>
      <x:c r="K13" s="277" t="s">
        <x:v>118</x:v>
      </x:c>
      <x:c r="L13" s="277" t="s">
        <x:v>118</x:v>
      </x:c>
      <x:c r="M13" s="277" t="s">
        <x:v>118</x:v>
      </x:c>
      <x:c r="N13" s="277" t="s">
        <x:v>118</x:v>
      </x:c>
      <x:c r="O13" s="277" t="s">
        <x:v>118</x:v>
      </x:c>
      <x:c r="P13" s="277" t="s">
        <x:v>118</x:v>
      </x:c>
      <x:c r="Q13" s="277" t="s">
        <x:v>118</x:v>
      </x:c>
      <x:c r="R13" s="277" t="s">
        <x:v>118</x:v>
      </x:c>
      <x:c r="S13" s="277" t="s">
        <x:v>118</x:v>
      </x:c>
      <x:c r="T13" s="277" t="s">
        <x:v>118</x:v>
      </x:c>
      <x:c r="U13" s="277" t="s">
        <x:v>118</x:v>
      </x:c>
      <x:c r="V13" s="277" t="s">
        <x:v>118</x:v>
      </x:c>
      <x:c r="W13" s="277" t="s">
        <x:v>118</x:v>
      </x:c>
      <x:c r="X13" s="277" t="s">
        <x:v>118</x:v>
      </x:c>
      <x:c r="Y13" s="277" t="s">
        <x:v>118</x:v>
      </x:c>
      <x:c r="Z13" s="277" t="s">
        <x:v>118</x:v>
      </x:c>
      <x:c r="AA13" s="277" t="s">
        <x:v>118</x:v>
      </x:c>
      <x:c r="AB13" s="277" t="s">
        <x:v>118</x:v>
      </x:c>
      <x:c r="AC13" s="277" t="s">
        <x:v>118</x:v>
      </x:c>
      <x:c r="AD13" s="277" t="s">
        <x:v>118</x:v>
      </x:c>
      <x:c r="AE13" s="277" t="s">
        <x:v>118</x:v>
      </x:c>
      <x:c r="AF13" s="277" t="s">
        <x:v>118</x:v>
      </x:c>
      <x:c r="AG13" s="277" t="s">
        <x:v>118</x:v>
      </x:c>
      <x:c r="AH13" s="277" t="s">
        <x:v>118</x:v>
      </x:c>
      <x:c r="AI13" s="277" t="s">
        <x:v>118</x:v>
      </x:c>
      <x:c r="AJ13" s="277" t="s">
        <x:v>118</x:v>
      </x:c>
      <x:c r="AK13" s="220">
        <x:f>COUNTIF(F13:AJ13,"X")</x:f>
      </x:c>
      <x:c r="AL13" s="221"/>
      <x:c r="AM13" s="221"/>
      <x:c r="AN13" s="222"/>
      <x:c r="AO13" s="222"/>
      <x:c r="AP13" s="228"/>
      <x:c r="AQ13" s="224"/>
      <x:c r="AR13" s="229"/>
      <x:c r="AS13" s="229"/>
      <x:c r="AT13" s="230"/>
    </x:row>
    <x:row r="14" spans="1:47" ht="19.9" customHeight="1">
      <x:c r="A14" s="274" t="s">
        <x:v>1743</x:v>
      </x:c>
      <x:c r="B14" s="216"/>
      <x:c r="C14" s="275" t="s">
        <x:v>1744</x:v>
      </x:c>
      <x:c r="D14" s="274" t="s">
        <x:v>1745</x:v>
      </x:c>
      <x:c r="E14" s="276" t="s">
        <x:v>1746</x:v>
      </x:c>
      <x:c r="F14" s="277" t="s">
        <x:v>118</x:v>
      </x:c>
      <x:c r="G14" s="277" t="s">
        <x:v>118</x:v>
      </x:c>
      <x:c r="H14" s="277" t="s">
        <x:v>118</x:v>
      </x:c>
      <x:c r="I14" s="277" t="s">
        <x:v>118</x:v>
      </x:c>
      <x:c r="J14" s="277" t="s">
        <x:v>118</x:v>
      </x:c>
      <x:c r="K14" s="277" t="s">
        <x:v>118</x:v>
      </x:c>
      <x:c r="L14" s="277" t="s">
        <x:v>118</x:v>
      </x:c>
      <x:c r="M14" s="277" t="s">
        <x:v>118</x:v>
      </x:c>
      <x:c r="N14" s="277" t="s">
        <x:v>118</x:v>
      </x:c>
      <x:c r="O14" s="277" t="s">
        <x:v>118</x:v>
      </x:c>
      <x:c r="P14" s="277" t="s">
        <x:v>118</x:v>
      </x:c>
      <x:c r="Q14" s="277" t="s">
        <x:v>118</x:v>
      </x:c>
      <x:c r="R14" s="277" t="s">
        <x:v>118</x:v>
      </x:c>
      <x:c r="S14" s="277" t="s">
        <x:v>118</x:v>
      </x:c>
      <x:c r="T14" s="277" t="s">
        <x:v>118</x:v>
      </x:c>
      <x:c r="U14" s="277" t="s">
        <x:v>118</x:v>
      </x:c>
      <x:c r="V14" s="277" t="s">
        <x:v>118</x:v>
      </x:c>
      <x:c r="W14" s="277" t="s">
        <x:v>118</x:v>
      </x:c>
      <x:c r="X14" s="277" t="s">
        <x:v>118</x:v>
      </x:c>
      <x:c r="Y14" s="277" t="s">
        <x:v>118</x:v>
      </x:c>
      <x:c r="Z14" s="277" t="s">
        <x:v>118</x:v>
      </x:c>
      <x:c r="AA14" s="277" t="s">
        <x:v>118</x:v>
      </x:c>
      <x:c r="AB14" s="277" t="s">
        <x:v>118</x:v>
      </x:c>
      <x:c r="AC14" s="277" t="s">
        <x:v>118</x:v>
      </x:c>
      <x:c r="AD14" s="277" t="s">
        <x:v>118</x:v>
      </x:c>
      <x:c r="AE14" s="277" t="s">
        <x:v>118</x:v>
      </x:c>
      <x:c r="AF14" s="277" t="s">
        <x:v>118</x:v>
      </x:c>
      <x:c r="AG14" s="277" t="s">
        <x:v>118</x:v>
      </x:c>
      <x:c r="AH14" s="277" t="s">
        <x:v>118</x:v>
      </x:c>
      <x:c r="AI14" s="277" t="s">
        <x:v>118</x:v>
      </x:c>
      <x:c r="AJ14" s="277" t="s">
        <x:v>118</x:v>
      </x:c>
      <x:c r="AK14" s="220">
        <x:f>COUNTIF(F14:AJ14,"X")</x:f>
      </x:c>
      <x:c r="AL14" s="221"/>
      <x:c r="AM14" s="221"/>
      <x:c r="AN14" s="222"/>
      <x:c r="AO14" s="222"/>
      <x:c r="AP14" s="228"/>
      <x:c r="AQ14" s="224"/>
      <x:c r="AR14" s="229"/>
      <x:c r="AS14" s="229"/>
      <x:c r="AT14" s="230"/>
    </x:row>
    <x:row r="15" spans="1:47" ht="19.9" customHeight="1">
      <x:c r="A15" s="274" t="s">
        <x:v>446</x:v>
      </x:c>
      <x:c r="B15" s="216"/>
      <x:c r="C15" s="275" t="s">
        <x:v>1747</x:v>
      </x:c>
      <x:c r="D15" s="274" t="s">
        <x:v>122</x:v>
      </x:c>
      <x:c r="E15" s="276" t="s">
        <x:v>1748</x:v>
      </x:c>
      <x:c r="F15" s="277" t="s">
        <x:v>118</x:v>
      </x:c>
      <x:c r="G15" s="277" t="s">
        <x:v>118</x:v>
      </x:c>
      <x:c r="H15" s="277" t="s">
        <x:v>118</x:v>
      </x:c>
      <x:c r="I15" s="277" t="s">
        <x:v>118</x:v>
      </x:c>
      <x:c r="J15" s="277" t="s">
        <x:v>118</x:v>
      </x:c>
      <x:c r="K15" s="277" t="s">
        <x:v>118</x:v>
      </x:c>
      <x:c r="L15" s="277" t="s">
        <x:v>118</x:v>
      </x:c>
      <x:c r="M15" s="277" t="s">
        <x:v>118</x:v>
      </x:c>
      <x:c r="N15" s="277" t="s">
        <x:v>118</x:v>
      </x:c>
      <x:c r="O15" s="277" t="s">
        <x:v>118</x:v>
      </x:c>
      <x:c r="P15" s="277" t="s">
        <x:v>118</x:v>
      </x:c>
      <x:c r="Q15" s="277" t="s">
        <x:v>118</x:v>
      </x:c>
      <x:c r="R15" s="277" t="s">
        <x:v>118</x:v>
      </x:c>
      <x:c r="S15" s="277" t="s">
        <x:v>118</x:v>
      </x:c>
      <x:c r="T15" s="277" t="s">
        <x:v>118</x:v>
      </x:c>
      <x:c r="U15" s="277" t="s">
        <x:v>118</x:v>
      </x:c>
      <x:c r="V15" s="277" t="s">
        <x:v>118</x:v>
      </x:c>
      <x:c r="W15" s="277" t="s">
        <x:v>118</x:v>
      </x:c>
      <x:c r="X15" s="277" t="s">
        <x:v>118</x:v>
      </x:c>
      <x:c r="Y15" s="277" t="s">
        <x:v>118</x:v>
      </x:c>
      <x:c r="Z15" s="277" t="s">
        <x:v>118</x:v>
      </x:c>
      <x:c r="AA15" s="277" t="s">
        <x:v>118</x:v>
      </x:c>
      <x:c r="AB15" s="277" t="s">
        <x:v>118</x:v>
      </x:c>
      <x:c r="AC15" s="277" t="s">
        <x:v>118</x:v>
      </x:c>
      <x:c r="AD15" s="277" t="s">
        <x:v>118</x:v>
      </x:c>
      <x:c r="AE15" s="277" t="s">
        <x:v>118</x:v>
      </x:c>
      <x:c r="AF15" s="277" t="s">
        <x:v>118</x:v>
      </x:c>
      <x:c r="AG15" s="277" t="s">
        <x:v>118</x:v>
      </x:c>
      <x:c r="AH15" s="277" t="s">
        <x:v>118</x:v>
      </x:c>
      <x:c r="AI15" s="277" t="s">
        <x:v>118</x:v>
      </x:c>
      <x:c r="AJ15" s="277" t="s">
        <x:v>118</x:v>
      </x:c>
      <x:c r="AK15" s="220">
        <x:f>COUNTIF(F15:AJ15,"X")</x:f>
      </x:c>
      <x:c r="AL15" s="221"/>
      <x:c r="AM15" s="221"/>
      <x:c r="AN15" s="222"/>
      <x:c r="AO15" s="222"/>
      <x:c r="AP15" s="228"/>
      <x:c r="AQ15" s="224"/>
      <x:c r="AR15" s="229"/>
      <x:c r="AS15" s="229"/>
      <x:c r="AT15" s="230"/>
    </x:row>
    <x:row r="16" spans="1:47" ht="19.9" customHeight="1">
      <x:c r="A16" s="274" t="s">
        <x:v>1749</x:v>
      </x:c>
      <x:c r="B16" s="216"/>
      <x:c r="C16" s="275" t="s">
        <x:v>1750</x:v>
      </x:c>
      <x:c r="D16" s="274" t="s">
        <x:v>122</x:v>
      </x:c>
      <x:c r="E16" s="276" t="s">
        <x:v>1751</x:v>
      </x:c>
      <x:c r="F16" s="277" t="s">
        <x:v>118</x:v>
      </x:c>
      <x:c r="G16" s="277" t="s">
        <x:v>118</x:v>
      </x:c>
      <x:c r="H16" s="277" t="s">
        <x:v>118</x:v>
      </x:c>
      <x:c r="I16" s="277" t="s">
        <x:v>118</x:v>
      </x:c>
      <x:c r="J16" s="277" t="s">
        <x:v>118</x:v>
      </x:c>
      <x:c r="K16" s="277" t="s">
        <x:v>118</x:v>
      </x:c>
      <x:c r="L16" s="277" t="s">
        <x:v>118</x:v>
      </x:c>
      <x:c r="M16" s="277" t="s">
        <x:v>118</x:v>
      </x:c>
      <x:c r="N16" s="277" t="s">
        <x:v>118</x:v>
      </x:c>
      <x:c r="O16" s="277" t="s">
        <x:v>118</x:v>
      </x:c>
      <x:c r="P16" s="277" t="s">
        <x:v>118</x:v>
      </x:c>
      <x:c r="Q16" s="277" t="s">
        <x:v>118</x:v>
      </x:c>
      <x:c r="R16" s="277" t="s">
        <x:v>118</x:v>
      </x:c>
      <x:c r="S16" s="277" t="s">
        <x:v>118</x:v>
      </x:c>
      <x:c r="T16" s="277" t="s">
        <x:v>118</x:v>
      </x:c>
      <x:c r="U16" s="277" t="s">
        <x:v>118</x:v>
      </x:c>
      <x:c r="V16" s="277" t="s">
        <x:v>118</x:v>
      </x:c>
      <x:c r="W16" s="277" t="s">
        <x:v>118</x:v>
      </x:c>
      <x:c r="X16" s="277" t="s">
        <x:v>118</x:v>
      </x:c>
      <x:c r="Y16" s="277" t="s">
        <x:v>118</x:v>
      </x:c>
      <x:c r="Z16" s="277" t="s">
        <x:v>118</x:v>
      </x:c>
      <x:c r="AA16" s="277" t="s">
        <x:v>118</x:v>
      </x:c>
      <x:c r="AB16" s="277" t="s">
        <x:v>118</x:v>
      </x:c>
      <x:c r="AC16" s="277" t="s">
        <x:v>118</x:v>
      </x:c>
      <x:c r="AD16" s="277" t="s">
        <x:v>118</x:v>
      </x:c>
      <x:c r="AE16" s="277" t="s">
        <x:v>118</x:v>
      </x:c>
      <x:c r="AF16" s="277" t="s">
        <x:v>118</x:v>
      </x:c>
      <x:c r="AG16" s="277" t="s">
        <x:v>118</x:v>
      </x:c>
      <x:c r="AH16" s="277" t="s">
        <x:v>118</x:v>
      </x:c>
      <x:c r="AI16" s="277" t="s">
        <x:v>118</x:v>
      </x:c>
      <x:c r="AJ16" s="277" t="s">
        <x:v>118</x:v>
      </x:c>
      <x:c r="AK16" s="220">
        <x:f>COUNTIF(F16:AJ16,"X")</x:f>
      </x:c>
      <x:c r="AL16" s="221"/>
      <x:c r="AM16" s="221"/>
      <x:c r="AN16" s="222"/>
      <x:c r="AO16" s="222"/>
      <x:c r="AP16" s="228"/>
      <x:c r="AQ16" s="224"/>
      <x:c r="AR16" s="229"/>
      <x:c r="AS16" s="229"/>
      <x:c r="AT16" s="230"/>
    </x:row>
    <x:row r="17" spans="1:47" ht="19.9" customHeight="1">
      <x:c r="A17" s="274" t="s">
        <x:v>1752</x:v>
      </x:c>
      <x:c r="B17" s="216"/>
      <x:c r="C17" s="275" t="s">
        <x:v>1753</x:v>
      </x:c>
      <x:c r="D17" s="274" t="s">
        <x:v>122</x:v>
      </x:c>
      <x:c r="E17" s="276" t="s">
        <x:v>1754</x:v>
      </x:c>
      <x:c r="F17" s="277" t="s">
        <x:v>118</x:v>
      </x:c>
      <x:c r="G17" s="277" t="s">
        <x:v>118</x:v>
      </x:c>
      <x:c r="H17" s="277" t="s">
        <x:v>118</x:v>
      </x:c>
      <x:c r="I17" s="277" t="s">
        <x:v>118</x:v>
      </x:c>
      <x:c r="J17" s="277" t="s">
        <x:v>118</x:v>
      </x:c>
      <x:c r="K17" s="277" t="s">
        <x:v>118</x:v>
      </x:c>
      <x:c r="L17" s="277" t="s">
        <x:v>118</x:v>
      </x:c>
      <x:c r="M17" s="277" t="s">
        <x:v>118</x:v>
      </x:c>
      <x:c r="N17" s="277" t="s">
        <x:v>118</x:v>
      </x:c>
      <x:c r="O17" s="277" t="s">
        <x:v>118</x:v>
      </x:c>
      <x:c r="P17" s="277" t="s">
        <x:v>118</x:v>
      </x:c>
      <x:c r="Q17" s="277" t="s">
        <x:v>118</x:v>
      </x:c>
      <x:c r="R17" s="277" t="s">
        <x:v>118</x:v>
      </x:c>
      <x:c r="S17" s="277" t="s">
        <x:v>118</x:v>
      </x:c>
      <x:c r="T17" s="277" t="s">
        <x:v>118</x:v>
      </x:c>
      <x:c r="U17" s="277" t="s">
        <x:v>118</x:v>
      </x:c>
      <x:c r="V17" s="277" t="s">
        <x:v>118</x:v>
      </x:c>
      <x:c r="W17" s="277" t="s">
        <x:v>118</x:v>
      </x:c>
      <x:c r="X17" s="277" t="s">
        <x:v>118</x:v>
      </x:c>
      <x:c r="Y17" s="277" t="s">
        <x:v>118</x:v>
      </x:c>
      <x:c r="Z17" s="277" t="s">
        <x:v>118</x:v>
      </x:c>
      <x:c r="AA17" s="277" t="s">
        <x:v>118</x:v>
      </x:c>
      <x:c r="AB17" s="277" t="s">
        <x:v>118</x:v>
      </x:c>
      <x:c r="AC17" s="277" t="s">
        <x:v>118</x:v>
      </x:c>
      <x:c r="AD17" s="277" t="s">
        <x:v>118</x:v>
      </x:c>
      <x:c r="AE17" s="277" t="s">
        <x:v>118</x:v>
      </x:c>
      <x:c r="AF17" s="277" t="s">
        <x:v>118</x:v>
      </x:c>
      <x:c r="AG17" s="277" t="s">
        <x:v>118</x:v>
      </x:c>
      <x:c r="AH17" s="277" t="s">
        <x:v>118</x:v>
      </x:c>
      <x:c r="AI17" s="277" t="s">
        <x:v>118</x:v>
      </x:c>
      <x:c r="AJ17" s="277" t="s">
        <x:v>118</x:v>
      </x:c>
      <x:c r="AK17" s="220">
        <x:f>COUNTIF(F17:AJ17,"X")</x:f>
      </x:c>
      <x:c r="AL17" s="221"/>
      <x:c r="AM17" s="221"/>
      <x:c r="AN17" s="222"/>
      <x:c r="AO17" s="222"/>
      <x:c r="AP17" s="228"/>
      <x:c r="AQ17" s="224"/>
      <x:c r="AR17" s="229"/>
      <x:c r="AS17" s="229"/>
      <x:c r="AT17" s="230"/>
    </x:row>
    <x:row r="18" spans="1:47" ht="19.9" customHeight="1">
      <x:c r="A18" s="274" t="s">
        <x:v>1755</x:v>
      </x:c>
      <x:c r="B18" s="216"/>
      <x:c r="C18" s="275" t="s">
        <x:v>1756</x:v>
      </x:c>
      <x:c r="D18" s="274" t="s">
        <x:v>122</x:v>
      </x:c>
      <x:c r="E18" s="276" t="s">
        <x:v>135</x:v>
      </x:c>
      <x:c r="F18" s="277" t="s">
        <x:v>118</x:v>
      </x:c>
      <x:c r="G18" s="277" t="s">
        <x:v>118</x:v>
      </x:c>
      <x:c r="H18" s="277" t="s">
        <x:v>118</x:v>
      </x:c>
      <x:c r="I18" s="277" t="s">
        <x:v>118</x:v>
      </x:c>
      <x:c r="J18" s="277" t="s">
        <x:v>118</x:v>
      </x:c>
      <x:c r="K18" s="277" t="s">
        <x:v>118</x:v>
      </x:c>
      <x:c r="L18" s="277" t="s">
        <x:v>118</x:v>
      </x:c>
      <x:c r="M18" s="277" t="s">
        <x:v>118</x:v>
      </x:c>
      <x:c r="N18" s="277" t="s">
        <x:v>118</x:v>
      </x:c>
      <x:c r="O18" s="277" t="s">
        <x:v>118</x:v>
      </x:c>
      <x:c r="P18" s="277" t="s">
        <x:v>118</x:v>
      </x:c>
      <x:c r="Q18" s="277" t="s">
        <x:v>118</x:v>
      </x:c>
      <x:c r="R18" s="277" t="s">
        <x:v>118</x:v>
      </x:c>
      <x:c r="S18" s="277" t="s">
        <x:v>118</x:v>
      </x:c>
      <x:c r="T18" s="277" t="s">
        <x:v>118</x:v>
      </x:c>
      <x:c r="U18" s="277" t="s">
        <x:v>118</x:v>
      </x:c>
      <x:c r="V18" s="277" t="s">
        <x:v>118</x:v>
      </x:c>
      <x:c r="W18" s="277" t="s">
        <x:v>118</x:v>
      </x:c>
      <x:c r="X18" s="277" t="s">
        <x:v>118</x:v>
      </x:c>
      <x:c r="Y18" s="277" t="s">
        <x:v>118</x:v>
      </x:c>
      <x:c r="Z18" s="277" t="s">
        <x:v>118</x:v>
      </x:c>
      <x:c r="AA18" s="277" t="s">
        <x:v>118</x:v>
      </x:c>
      <x:c r="AB18" s="277" t="s">
        <x:v>118</x:v>
      </x:c>
      <x:c r="AC18" s="277" t="s">
        <x:v>118</x:v>
      </x:c>
      <x:c r="AD18" s="277" t="s">
        <x:v>118</x:v>
      </x:c>
      <x:c r="AE18" s="277" t="s">
        <x:v>118</x:v>
      </x:c>
      <x:c r="AF18" s="277" t="s">
        <x:v>118</x:v>
      </x:c>
      <x:c r="AG18" s="277" t="s">
        <x:v>118</x:v>
      </x:c>
      <x:c r="AH18" s="277" t="s">
        <x:v>118</x:v>
      </x:c>
      <x:c r="AI18" s="277" t="s">
        <x:v>118</x:v>
      </x:c>
      <x:c r="AJ18" s="277" t="s">
        <x:v>118</x:v>
      </x:c>
      <x:c r="AK18" s="220">
        <x:f>COUNTIF(F18:AJ18,"X")</x:f>
      </x:c>
      <x:c r="AL18" s="221"/>
      <x:c r="AM18" s="221"/>
      <x:c r="AN18" s="222"/>
      <x:c r="AO18" s="222"/>
      <x:c r="AP18" s="228"/>
      <x:c r="AQ18" s="231"/>
      <x:c r="AR18" s="228"/>
      <x:c r="AS18" s="228"/>
      <x:c r="AT18" s="230"/>
    </x:row>
    <x:row r="19" spans="1:47" ht="19.9" customHeight="1">
      <x:c r="A19" s="274" t="s">
        <x:v>1757</x:v>
      </x:c>
      <x:c r="B19" s="216"/>
      <x:c r="C19" s="275" t="s">
        <x:v>1758</x:v>
      </x:c>
      <x:c r="D19" s="274" t="s">
        <x:v>1759</x:v>
      </x:c>
      <x:c r="E19" s="276" t="s">
        <x:v>3</x:v>
      </x:c>
      <x:c r="F19" s="277" t="s">
        <x:v>118</x:v>
      </x:c>
      <x:c r="G19" s="277" t="s">
        <x:v>118</x:v>
      </x:c>
      <x:c r="H19" s="277" t="s">
        <x:v>118</x:v>
      </x:c>
      <x:c r="I19" s="277" t="s">
        <x:v>118</x:v>
      </x:c>
      <x:c r="J19" s="277" t="s">
        <x:v>118</x:v>
      </x:c>
      <x:c r="K19" s="277" t="s">
        <x:v>118</x:v>
      </x:c>
      <x:c r="L19" s="277" t="s">
        <x:v>118</x:v>
      </x:c>
      <x:c r="M19" s="277" t="s">
        <x:v>118</x:v>
      </x:c>
      <x:c r="N19" s="277" t="s">
        <x:v>118</x:v>
      </x:c>
      <x:c r="O19" s="277" t="s">
        <x:v>118</x:v>
      </x:c>
      <x:c r="P19" s="277" t="s">
        <x:v>118</x:v>
      </x:c>
      <x:c r="Q19" s="277" t="s">
        <x:v>118</x:v>
      </x:c>
      <x:c r="R19" s="277" t="s">
        <x:v>118</x:v>
      </x:c>
      <x:c r="S19" s="277" t="s">
        <x:v>118</x:v>
      </x:c>
      <x:c r="T19" s="277" t="s">
        <x:v>118</x:v>
      </x:c>
      <x:c r="U19" s="277" t="s">
        <x:v>118</x:v>
      </x:c>
      <x:c r="V19" s="277" t="s">
        <x:v>118</x:v>
      </x:c>
      <x:c r="W19" s="277" t="s">
        <x:v>118</x:v>
      </x:c>
      <x:c r="X19" s="277" t="s">
        <x:v>118</x:v>
      </x:c>
      <x:c r="Y19" s="277" t="s">
        <x:v>118</x:v>
      </x:c>
      <x:c r="Z19" s="277" t="s">
        <x:v>118</x:v>
      </x:c>
      <x:c r="AA19" s="277" t="s">
        <x:v>118</x:v>
      </x:c>
      <x:c r="AB19" s="277" t="s">
        <x:v>118</x:v>
      </x:c>
      <x:c r="AC19" s="277" t="s">
        <x:v>118</x:v>
      </x:c>
      <x:c r="AD19" s="277" t="s">
        <x:v>118</x:v>
      </x:c>
      <x:c r="AE19" s="277" t="s">
        <x:v>118</x:v>
      </x:c>
      <x:c r="AF19" s="277" t="s">
        <x:v>118</x:v>
      </x:c>
      <x:c r="AG19" s="277" t="s">
        <x:v>118</x:v>
      </x:c>
      <x:c r="AH19" s="277" t="s">
        <x:v>118</x:v>
      </x:c>
      <x:c r="AI19" s="277" t="s">
        <x:v>118</x:v>
      </x:c>
      <x:c r="AJ19" s="277" t="s">
        <x:v>118</x:v>
      </x:c>
      <x:c r="AK19" s="220">
        <x:f>COUNTIF(F19:AJ19,"X")</x:f>
      </x:c>
      <x:c r="AL19" s="221"/>
      <x:c r="AM19" s="221"/>
      <x:c r="AN19" s="222"/>
      <x:c r="AO19" s="222"/>
      <x:c r="AP19" s="228"/>
      <x:c r="AQ19" s="228"/>
      <x:c r="AR19" s="228"/>
      <x:c r="AS19" s="228"/>
      <x:c r="AT19" s="230"/>
    </x:row>
    <x:row r="20" spans="1:47" ht="19.9" customHeight="1">
      <x:c r="A20" s="274" t="s">
        <x:v>1760</x:v>
      </x:c>
      <x:c r="B20" s="216"/>
      <x:c r="C20" s="275" t="s">
        <x:v>1761</x:v>
      </x:c>
      <x:c r="D20" s="274" t="s">
        <x:v>1762</x:v>
      </x:c>
      <x:c r="E20" s="276" t="s">
        <x:v>28</x:v>
      </x:c>
      <x:c r="F20" s="277" t="s">
        <x:v>118</x:v>
      </x:c>
      <x:c r="G20" s="277" t="s">
        <x:v>118</x:v>
      </x:c>
      <x:c r="H20" s="277" t="s">
        <x:v>118</x:v>
      </x:c>
      <x:c r="I20" s="277" t="s">
        <x:v>118</x:v>
      </x:c>
      <x:c r="J20" s="277" t="s">
        <x:v>118</x:v>
      </x:c>
      <x:c r="K20" s="277" t="s">
        <x:v>118</x:v>
      </x:c>
      <x:c r="L20" s="277" t="s">
        <x:v>118</x:v>
      </x:c>
      <x:c r="M20" s="277" t="s">
        <x:v>118</x:v>
      </x:c>
      <x:c r="N20" s="277" t="s">
        <x:v>118</x:v>
      </x:c>
      <x:c r="O20" s="277" t="s">
        <x:v>118</x:v>
      </x:c>
      <x:c r="P20" s="277" t="s">
        <x:v>118</x:v>
      </x:c>
      <x:c r="Q20" s="277" t="s">
        <x:v>118</x:v>
      </x:c>
      <x:c r="R20" s="277" t="s">
        <x:v>118</x:v>
      </x:c>
      <x:c r="S20" s="277" t="s">
        <x:v>118</x:v>
      </x:c>
      <x:c r="T20" s="277" t="s">
        <x:v>118</x:v>
      </x:c>
      <x:c r="U20" s="277" t="s">
        <x:v>118</x:v>
      </x:c>
      <x:c r="V20" s="277" t="s">
        <x:v>118</x:v>
      </x:c>
      <x:c r="W20" s="277" t="s">
        <x:v>118</x:v>
      </x:c>
      <x:c r="X20" s="277" t="s">
        <x:v>118</x:v>
      </x:c>
      <x:c r="Y20" s="277" t="s">
        <x:v>118</x:v>
      </x:c>
      <x:c r="Z20" s="277" t="s">
        <x:v>118</x:v>
      </x:c>
      <x:c r="AA20" s="277" t="s">
        <x:v>118</x:v>
      </x:c>
      <x:c r="AB20" s="277" t="s">
        <x:v>118</x:v>
      </x:c>
      <x:c r="AC20" s="277" t="s">
        <x:v>118</x:v>
      </x:c>
      <x:c r="AD20" s="277" t="s">
        <x:v>118</x:v>
      </x:c>
      <x:c r="AE20" s="277" t="s">
        <x:v>118</x:v>
      </x:c>
      <x:c r="AF20" s="277" t="s">
        <x:v>118</x:v>
      </x:c>
      <x:c r="AG20" s="277" t="s">
        <x:v>118</x:v>
      </x:c>
      <x:c r="AH20" s="277" t="s">
        <x:v>118</x:v>
      </x:c>
      <x:c r="AI20" s="277" t="s">
        <x:v>118</x:v>
      </x:c>
      <x:c r="AJ20" s="277" t="s">
        <x:v>118</x:v>
      </x:c>
      <x:c r="AK20" s="220">
        <x:f>COUNTIF(F20:AJ20,"X")</x:f>
      </x:c>
      <x:c r="AL20" s="221"/>
      <x:c r="AM20" s="221"/>
      <x:c r="AN20" s="222"/>
      <x:c r="AO20" s="222"/>
      <x:c r="AP20" s="228"/>
      <x:c r="AQ20" s="228"/>
      <x:c r="AR20" s="228"/>
      <x:c r="AS20" s="228"/>
      <x:c r="AT20" s="230"/>
    </x:row>
    <x:row r="21" spans="1:47" ht="19.9" customHeight="1">
      <x:c r="A21" s="274" t="s">
        <x:v>1763</x:v>
      </x:c>
      <x:c r="B21" s="216"/>
      <x:c r="C21" s="275" t="s">
        <x:v>1764</x:v>
      </x:c>
      <x:c r="D21" s="274" t="s">
        <x:v>1765</x:v>
      </x:c>
      <x:c r="E21" s="276" t="s">
        <x:v>1766</x:v>
      </x:c>
      <x:c r="F21" s="277" t="s">
        <x:v>118</x:v>
      </x:c>
      <x:c r="G21" s="277" t="s">
        <x:v>118</x:v>
      </x:c>
      <x:c r="H21" s="277" t="s">
        <x:v>118</x:v>
      </x:c>
      <x:c r="I21" s="277" t="s">
        <x:v>118</x:v>
      </x:c>
      <x:c r="J21" s="277" t="s">
        <x:v>118</x:v>
      </x:c>
      <x:c r="K21" s="277" t="s">
        <x:v>118</x:v>
      </x:c>
      <x:c r="L21" s="277" t="s">
        <x:v>118</x:v>
      </x:c>
      <x:c r="M21" s="277" t="s">
        <x:v>118</x:v>
      </x:c>
      <x:c r="N21" s="277" t="s">
        <x:v>118</x:v>
      </x:c>
      <x:c r="O21" s="277" t="s">
        <x:v>118</x:v>
      </x:c>
      <x:c r="P21" s="277" t="s">
        <x:v>118</x:v>
      </x:c>
      <x:c r="Q21" s="277" t="s">
        <x:v>118</x:v>
      </x:c>
      <x:c r="R21" s="277" t="s">
        <x:v>118</x:v>
      </x:c>
      <x:c r="S21" s="277" t="s">
        <x:v>118</x:v>
      </x:c>
      <x:c r="T21" s="277" t="s">
        <x:v>118</x:v>
      </x:c>
      <x:c r="U21" s="277" t="s">
        <x:v>118</x:v>
      </x:c>
      <x:c r="V21" s="277" t="s">
        <x:v>118</x:v>
      </x:c>
      <x:c r="W21" s="277" t="s">
        <x:v>118</x:v>
      </x:c>
      <x:c r="X21" s="277" t="s">
        <x:v>118</x:v>
      </x:c>
      <x:c r="Y21" s="277" t="s">
        <x:v>118</x:v>
      </x:c>
      <x:c r="Z21" s="277" t="s">
        <x:v>118</x:v>
      </x:c>
      <x:c r="AA21" s="277" t="s">
        <x:v>118</x:v>
      </x:c>
      <x:c r="AB21" s="277" t="s">
        <x:v>118</x:v>
      </x:c>
      <x:c r="AC21" s="277" t="s">
        <x:v>118</x:v>
      </x:c>
      <x:c r="AD21" s="277" t="s">
        <x:v>118</x:v>
      </x:c>
      <x:c r="AE21" s="277" t="s">
        <x:v>118</x:v>
      </x:c>
      <x:c r="AF21" s="277" t="s">
        <x:v>118</x:v>
      </x:c>
      <x:c r="AG21" s="277" t="s">
        <x:v>118</x:v>
      </x:c>
      <x:c r="AH21" s="277" t="s">
        <x:v>118</x:v>
      </x:c>
      <x:c r="AI21" s="277" t="s">
        <x:v>118</x:v>
      </x:c>
      <x:c r="AJ21" s="277" t="s">
        <x:v>118</x:v>
      </x:c>
      <x:c r="AK21" s="220">
        <x:f>COUNTIF(F21:AJ21,"X")</x:f>
      </x:c>
      <x:c r="AL21" s="221"/>
      <x:c r="AM21" s="221"/>
      <x:c r="AN21" s="222"/>
      <x:c r="AO21" s="222"/>
      <x:c r="AP21" s="228"/>
      <x:c r="AQ21" s="228"/>
      <x:c r="AR21" s="228"/>
      <x:c r="AS21" s="228"/>
      <x:c r="AT21" s="230"/>
    </x:row>
    <x:row r="22" spans="1:47" ht="19.9" customHeight="1">
      <x:c r="A22" s="274" t="s">
        <x:v>1767</x:v>
      </x:c>
      <x:c r="B22" s="216"/>
      <x:c r="C22" s="275" t="s">
        <x:v>1768</x:v>
      </x:c>
      <x:c r="D22" s="274" t="s">
        <x:v>838</x:v>
      </x:c>
      <x:c r="E22" s="276" t="s">
        <x:v>1769</x:v>
      </x:c>
      <x:c r="F22" s="277" t="s">
        <x:v>118</x:v>
      </x:c>
      <x:c r="G22" s="277" t="s">
        <x:v>118</x:v>
      </x:c>
      <x:c r="H22" s="277" t="s">
        <x:v>118</x:v>
      </x:c>
      <x:c r="I22" s="277" t="s">
        <x:v>118</x:v>
      </x:c>
      <x:c r="J22" s="277" t="s">
        <x:v>118</x:v>
      </x:c>
      <x:c r="K22" s="277" t="s">
        <x:v>118</x:v>
      </x:c>
      <x:c r="L22" s="277" t="s">
        <x:v>118</x:v>
      </x:c>
      <x:c r="M22" s="277" t="s">
        <x:v>118</x:v>
      </x:c>
      <x:c r="N22" s="277" t="s">
        <x:v>118</x:v>
      </x:c>
      <x:c r="O22" s="277" t="s">
        <x:v>118</x:v>
      </x:c>
      <x:c r="P22" s="277" t="s">
        <x:v>118</x:v>
      </x:c>
      <x:c r="Q22" s="277" t="s">
        <x:v>118</x:v>
      </x:c>
      <x:c r="R22" s="277" t="s">
        <x:v>118</x:v>
      </x:c>
      <x:c r="S22" s="277" t="s">
        <x:v>118</x:v>
      </x:c>
      <x:c r="T22" s="277" t="s">
        <x:v>118</x:v>
      </x:c>
      <x:c r="U22" s="277" t="s">
        <x:v>118</x:v>
      </x:c>
      <x:c r="V22" s="277" t="s">
        <x:v>118</x:v>
      </x:c>
      <x:c r="W22" s="277" t="s">
        <x:v>118</x:v>
      </x:c>
      <x:c r="X22" s="277" t="s">
        <x:v>118</x:v>
      </x:c>
      <x:c r="Y22" s="277" t="s">
        <x:v>118</x:v>
      </x:c>
      <x:c r="Z22" s="277" t="s">
        <x:v>118</x:v>
      </x:c>
      <x:c r="AA22" s="277" t="s">
        <x:v>118</x:v>
      </x:c>
      <x:c r="AB22" s="277" t="s">
        <x:v>118</x:v>
      </x:c>
      <x:c r="AC22" s="277" t="s">
        <x:v>118</x:v>
      </x:c>
      <x:c r="AD22" s="277" t="s">
        <x:v>118</x:v>
      </x:c>
      <x:c r="AE22" s="277" t="s">
        <x:v>118</x:v>
      </x:c>
      <x:c r="AF22" s="277" t="s">
        <x:v>118</x:v>
      </x:c>
      <x:c r="AG22" s="277" t="s">
        <x:v>118</x:v>
      </x:c>
      <x:c r="AH22" s="277" t="s">
        <x:v>118</x:v>
      </x:c>
      <x:c r="AI22" s="277" t="s">
        <x:v>118</x:v>
      </x:c>
      <x:c r="AJ22" s="277" t="s">
        <x:v>118</x:v>
      </x:c>
      <x:c r="AK22" s="220">
        <x:f>COUNTIF(F22:AJ22,"X")</x:f>
      </x:c>
      <x:c r="AL22" s="221"/>
      <x:c r="AM22" s="221"/>
      <x:c r="AN22" s="222"/>
      <x:c r="AO22" s="222"/>
      <x:c r="AP22" s="228"/>
      <x:c r="AQ22" s="228"/>
      <x:c r="AR22" s="228"/>
      <x:c r="AS22" s="228"/>
      <x:c r="AT22" s="230"/>
    </x:row>
    <x:row r="23" spans="1:47" ht="19.9" customHeight="1">
      <x:c r="A23" s="274" t="s">
        <x:v>1770</x:v>
      </x:c>
      <x:c r="B23" s="216"/>
      <x:c r="C23" s="275" t="s">
        <x:v>1771</x:v>
      </x:c>
      <x:c r="D23" s="274" t="s">
        <x:v>1772</x:v>
      </x:c>
      <x:c r="E23" s="276" t="s">
        <x:v>166</x:v>
      </x:c>
      <x:c r="F23" s="277" t="s">
        <x:v>118</x:v>
      </x:c>
      <x:c r="G23" s="277" t="s">
        <x:v>118</x:v>
      </x:c>
      <x:c r="H23" s="277" t="s">
        <x:v>118</x:v>
      </x:c>
      <x:c r="I23" s="277" t="s">
        <x:v>118</x:v>
      </x:c>
      <x:c r="J23" s="277" t="s">
        <x:v>118</x:v>
      </x:c>
      <x:c r="K23" s="277" t="s">
        <x:v>118</x:v>
      </x:c>
      <x:c r="L23" s="277" t="s">
        <x:v>118</x:v>
      </x:c>
      <x:c r="M23" s="277" t="s">
        <x:v>118</x:v>
      </x:c>
      <x:c r="N23" s="277" t="s">
        <x:v>118</x:v>
      </x:c>
      <x:c r="O23" s="277" t="s">
        <x:v>118</x:v>
      </x:c>
      <x:c r="P23" s="277" t="s">
        <x:v>118</x:v>
      </x:c>
      <x:c r="Q23" s="277" t="s">
        <x:v>118</x:v>
      </x:c>
      <x:c r="R23" s="277" t="s">
        <x:v>118</x:v>
      </x:c>
      <x:c r="S23" s="277" t="s">
        <x:v>118</x:v>
      </x:c>
      <x:c r="T23" s="277" t="s">
        <x:v>118</x:v>
      </x:c>
      <x:c r="U23" s="277" t="s">
        <x:v>118</x:v>
      </x:c>
      <x:c r="V23" s="277" t="s">
        <x:v>118</x:v>
      </x:c>
      <x:c r="W23" s="277" t="s">
        <x:v>118</x:v>
      </x:c>
      <x:c r="X23" s="277" t="s">
        <x:v>118</x:v>
      </x:c>
      <x:c r="Y23" s="277" t="s">
        <x:v>118</x:v>
      </x:c>
      <x:c r="Z23" s="277" t="s">
        <x:v>118</x:v>
      </x:c>
      <x:c r="AA23" s="277" t="s">
        <x:v>118</x:v>
      </x:c>
      <x:c r="AB23" s="277" t="s">
        <x:v>118</x:v>
      </x:c>
      <x:c r="AC23" s="277" t="s">
        <x:v>118</x:v>
      </x:c>
      <x:c r="AD23" s="277" t="s">
        <x:v>118</x:v>
      </x:c>
      <x:c r="AE23" s="277" t="s">
        <x:v>118</x:v>
      </x:c>
      <x:c r="AF23" s="277" t="s">
        <x:v>118</x:v>
      </x:c>
      <x:c r="AG23" s="277" t="s">
        <x:v>118</x:v>
      </x:c>
      <x:c r="AH23" s="277" t="s">
        <x:v>118</x:v>
      </x:c>
      <x:c r="AI23" s="277" t="s">
        <x:v>118</x:v>
      </x:c>
      <x:c r="AJ23" s="277" t="s">
        <x:v>118</x:v>
      </x:c>
      <x:c r="AK23" s="220">
        <x:f>COUNTIF(F23:AJ23,"X")</x:f>
      </x:c>
      <x:c r="AL23" s="221"/>
      <x:c r="AM23" s="221"/>
      <x:c r="AN23" s="222"/>
      <x:c r="AO23" s="222"/>
      <x:c r="AP23" s="228"/>
      <x:c r="AQ23" s="228"/>
      <x:c r="AR23" s="228"/>
      <x:c r="AS23" s="228"/>
      <x:c r="AT23" s="230"/>
    </x:row>
    <x:row r="24" spans="1:47" ht="19.9" customHeight="1">
      <x:c r="A24" s="274" t="s">
        <x:v>1773</x:v>
      </x:c>
      <x:c r="B24" s="216"/>
      <x:c r="C24" s="275" t="s">
        <x:v>1774</x:v>
      </x:c>
      <x:c r="D24" s="274" t="s">
        <x:v>1775</x:v>
      </x:c>
      <x:c r="E24" s="276" t="s">
        <x:v>1776</x:v>
      </x:c>
      <x:c r="F24" s="277" t="s">
        <x:v>118</x:v>
      </x:c>
      <x:c r="G24" s="277" t="s">
        <x:v>118</x:v>
      </x:c>
      <x:c r="H24" s="277" t="s">
        <x:v>118</x:v>
      </x:c>
      <x:c r="I24" s="277" t="s">
        <x:v>118</x:v>
      </x:c>
      <x:c r="J24" s="277" t="s">
        <x:v>118</x:v>
      </x:c>
      <x:c r="K24" s="277" t="s">
        <x:v>118</x:v>
      </x:c>
      <x:c r="L24" s="277" t="s">
        <x:v>118</x:v>
      </x:c>
      <x:c r="M24" s="277" t="s">
        <x:v>118</x:v>
      </x:c>
      <x:c r="N24" s="277" t="s">
        <x:v>118</x:v>
      </x:c>
      <x:c r="O24" s="277" t="s">
        <x:v>118</x:v>
      </x:c>
      <x:c r="P24" s="277" t="s">
        <x:v>118</x:v>
      </x:c>
      <x:c r="Q24" s="277" t="s">
        <x:v>118</x:v>
      </x:c>
      <x:c r="R24" s="277" t="s">
        <x:v>118</x:v>
      </x:c>
      <x:c r="S24" s="277" t="s">
        <x:v>118</x:v>
      </x:c>
      <x:c r="T24" s="277" t="s">
        <x:v>118</x:v>
      </x:c>
      <x:c r="U24" s="277" t="s">
        <x:v>118</x:v>
      </x:c>
      <x:c r="V24" s="277" t="s">
        <x:v>118</x:v>
      </x:c>
      <x:c r="W24" s="277" t="s">
        <x:v>118</x:v>
      </x:c>
      <x:c r="X24" s="277" t="s">
        <x:v>118</x:v>
      </x:c>
      <x:c r="Y24" s="277" t="s">
        <x:v>118</x:v>
      </x:c>
      <x:c r="Z24" s="277" t="s">
        <x:v>118</x:v>
      </x:c>
      <x:c r="AA24" s="277" t="s">
        <x:v>118</x:v>
      </x:c>
      <x:c r="AB24" s="277" t="s">
        <x:v>118</x:v>
      </x:c>
      <x:c r="AC24" s="277" t="s">
        <x:v>118</x:v>
      </x:c>
      <x:c r="AD24" s="277" t="s">
        <x:v>118</x:v>
      </x:c>
      <x:c r="AE24" s="277" t="s">
        <x:v>118</x:v>
      </x:c>
      <x:c r="AF24" s="277" t="s">
        <x:v>118</x:v>
      </x:c>
      <x:c r="AG24" s="277" t="s">
        <x:v>118</x:v>
      </x:c>
      <x:c r="AH24" s="277" t="s">
        <x:v>118</x:v>
      </x:c>
      <x:c r="AI24" s="277" t="s">
        <x:v>118</x:v>
      </x:c>
      <x:c r="AJ24" s="277" t="s">
        <x:v>118</x:v>
      </x:c>
      <x:c r="AK24" s="220">
        <x:f>COUNTIF(F24:AJ24,"X")</x:f>
      </x:c>
      <x:c r="AL24" s="221"/>
      <x:c r="AM24" s="221"/>
      <x:c r="AN24" s="222"/>
      <x:c r="AO24" s="222"/>
      <x:c r="AP24" s="228"/>
      <x:c r="AQ24" s="228"/>
      <x:c r="AR24" s="228"/>
      <x:c r="AS24" s="228"/>
      <x:c r="AT24" s="230"/>
    </x:row>
    <x:row r="25" spans="1:47" ht="19.9" customHeight="1">
      <x:c r="A25" s="274" t="s">
        <x:v>1777</x:v>
      </x:c>
      <x:c r="B25" s="216"/>
      <x:c r="C25" s="275" t="s">
        <x:v>1778</x:v>
      </x:c>
      <x:c r="D25" s="274" t="s">
        <x:v>1779</x:v>
      </x:c>
      <x:c r="E25" s="276" t="s">
        <x:v>1663</x:v>
      </x:c>
      <x:c r="F25" s="277" t="s">
        <x:v>118</x:v>
      </x:c>
      <x:c r="G25" s="277" t="s">
        <x:v>118</x:v>
      </x:c>
      <x:c r="H25" s="277" t="s">
        <x:v>118</x:v>
      </x:c>
      <x:c r="I25" s="277" t="s">
        <x:v>118</x:v>
      </x:c>
      <x:c r="J25" s="277" t="s">
        <x:v>118</x:v>
      </x:c>
      <x:c r="K25" s="277" t="s">
        <x:v>118</x:v>
      </x:c>
      <x:c r="L25" s="277" t="s">
        <x:v>118</x:v>
      </x:c>
      <x:c r="M25" s="277" t="s">
        <x:v>118</x:v>
      </x:c>
      <x:c r="N25" s="277" t="s">
        <x:v>118</x:v>
      </x:c>
      <x:c r="O25" s="277" t="s">
        <x:v>118</x:v>
      </x:c>
      <x:c r="P25" s="277" t="s">
        <x:v>118</x:v>
      </x:c>
      <x:c r="Q25" s="277" t="s">
        <x:v>118</x:v>
      </x:c>
      <x:c r="R25" s="277" t="s">
        <x:v>118</x:v>
      </x:c>
      <x:c r="S25" s="277" t="s">
        <x:v>118</x:v>
      </x:c>
      <x:c r="T25" s="277" t="s">
        <x:v>118</x:v>
      </x:c>
      <x:c r="U25" s="277" t="s">
        <x:v>118</x:v>
      </x:c>
      <x:c r="V25" s="277" t="s">
        <x:v>118</x:v>
      </x:c>
      <x:c r="W25" s="277" t="s">
        <x:v>118</x:v>
      </x:c>
      <x:c r="X25" s="277" t="s">
        <x:v>118</x:v>
      </x:c>
      <x:c r="Y25" s="277" t="s">
        <x:v>118</x:v>
      </x:c>
      <x:c r="Z25" s="277" t="s">
        <x:v>118</x:v>
      </x:c>
      <x:c r="AA25" s="277" t="s">
        <x:v>118</x:v>
      </x:c>
      <x:c r="AB25" s="277" t="s">
        <x:v>118</x:v>
      </x:c>
      <x:c r="AC25" s="277" t="s">
        <x:v>118</x:v>
      </x:c>
      <x:c r="AD25" s="277" t="s">
        <x:v>118</x:v>
      </x:c>
      <x:c r="AE25" s="277" t="s">
        <x:v>118</x:v>
      </x:c>
      <x:c r="AF25" s="277" t="s">
        <x:v>118</x:v>
      </x:c>
      <x:c r="AG25" s="277" t="s">
        <x:v>118</x:v>
      </x:c>
      <x:c r="AH25" s="277" t="s">
        <x:v>118</x:v>
      </x:c>
      <x:c r="AI25" s="277" t="s">
        <x:v>118</x:v>
      </x:c>
      <x:c r="AJ25" s="277" t="s">
        <x:v>118</x:v>
      </x:c>
      <x:c r="AK25" s="220">
        <x:f>COUNTIF(F25:AJ25,"X")</x:f>
      </x:c>
      <x:c r="AL25" s="221"/>
      <x:c r="AM25" s="221"/>
      <x:c r="AN25" s="222"/>
      <x:c r="AO25" s="222"/>
      <x:c r="AP25" s="228"/>
      <x:c r="AQ25" s="228"/>
      <x:c r="AR25" s="228"/>
      <x:c r="AS25" s="228"/>
      <x:c r="AT25" s="230"/>
    </x:row>
    <x:row r="26" spans="1:47" ht="19.9" customHeight="1">
      <x:c r="A26" s="274" t="s">
        <x:v>1780</x:v>
      </x:c>
      <x:c r="B26" s="216"/>
      <x:c r="C26" s="275" t="s">
        <x:v>1781</x:v>
      </x:c>
      <x:c r="D26" s="274" t="s">
        <x:v>842</x:v>
      </x:c>
      <x:c r="E26" s="276" t="s">
        <x:v>1782</x:v>
      </x:c>
      <x:c r="F26" s="277" t="s">
        <x:v>118</x:v>
      </x:c>
      <x:c r="G26" s="277" t="s">
        <x:v>118</x:v>
      </x:c>
      <x:c r="H26" s="277" t="s">
        <x:v>118</x:v>
      </x:c>
      <x:c r="I26" s="277" t="s">
        <x:v>118</x:v>
      </x:c>
      <x:c r="J26" s="277" t="s">
        <x:v>118</x:v>
      </x:c>
      <x:c r="K26" s="277" t="s">
        <x:v>118</x:v>
      </x:c>
      <x:c r="L26" s="277" t="s">
        <x:v>118</x:v>
      </x:c>
      <x:c r="M26" s="277" t="s">
        <x:v>118</x:v>
      </x:c>
      <x:c r="N26" s="277" t="s">
        <x:v>118</x:v>
      </x:c>
      <x:c r="O26" s="277" t="s">
        <x:v>118</x:v>
      </x:c>
      <x:c r="P26" s="277" t="s">
        <x:v>118</x:v>
      </x:c>
      <x:c r="Q26" s="277" t="s">
        <x:v>118</x:v>
      </x:c>
      <x:c r="R26" s="277" t="s">
        <x:v>118</x:v>
      </x:c>
      <x:c r="S26" s="277" t="s">
        <x:v>118</x:v>
      </x:c>
      <x:c r="T26" s="277" t="s">
        <x:v>118</x:v>
      </x:c>
      <x:c r="U26" s="277" t="s">
        <x:v>118</x:v>
      </x:c>
      <x:c r="V26" s="277" t="s">
        <x:v>118</x:v>
      </x:c>
      <x:c r="W26" s="277" t="s">
        <x:v>118</x:v>
      </x:c>
      <x:c r="X26" s="277" t="s">
        <x:v>118</x:v>
      </x:c>
      <x:c r="Y26" s="277" t="s">
        <x:v>118</x:v>
      </x:c>
      <x:c r="Z26" s="277" t="s">
        <x:v>118</x:v>
      </x:c>
      <x:c r="AA26" s="277" t="s">
        <x:v>118</x:v>
      </x:c>
      <x:c r="AB26" s="277" t="s">
        <x:v>118</x:v>
      </x:c>
      <x:c r="AC26" s="277" t="s">
        <x:v>118</x:v>
      </x:c>
      <x:c r="AD26" s="277" t="s">
        <x:v>118</x:v>
      </x:c>
      <x:c r="AE26" s="277" t="s">
        <x:v>118</x:v>
      </x:c>
      <x:c r="AF26" s="277" t="s">
        <x:v>118</x:v>
      </x:c>
      <x:c r="AG26" s="277" t="s">
        <x:v>118</x:v>
      </x:c>
      <x:c r="AH26" s="277" t="s">
        <x:v>118</x:v>
      </x:c>
      <x:c r="AI26" s="277" t="s">
        <x:v>118</x:v>
      </x:c>
      <x:c r="AJ26" s="277" t="s">
        <x:v>118</x:v>
      </x:c>
      <x:c r="AK26" s="220">
        <x:f>COUNTIF(F26:AJ26,"X")</x:f>
      </x:c>
      <x:c r="AL26" s="221"/>
      <x:c r="AM26" s="221"/>
      <x:c r="AN26" s="222"/>
      <x:c r="AO26" s="222"/>
      <x:c r="AP26" s="228"/>
      <x:c r="AQ26" s="228"/>
      <x:c r="AR26" s="228"/>
      <x:c r="AS26" s="228"/>
      <x:c r="AT26" s="230"/>
    </x:row>
    <x:row r="27" spans="1:47" ht="19.9" customHeight="1">
      <x:c r="A27" s="274" t="s">
        <x:v>1783</x:v>
      </x:c>
      <x:c r="B27" s="216"/>
      <x:c r="C27" s="275" t="s">
        <x:v>1784</x:v>
      </x:c>
      <x:c r="D27" s="274" t="s">
        <x:v>842</x:v>
      </x:c>
      <x:c r="E27" s="276" t="s">
        <x:v>1785</x:v>
      </x:c>
      <x:c r="F27" s="277" t="s">
        <x:v>118</x:v>
      </x:c>
      <x:c r="G27" s="277" t="s">
        <x:v>118</x:v>
      </x:c>
      <x:c r="H27" s="277" t="s">
        <x:v>118</x:v>
      </x:c>
      <x:c r="I27" s="277" t="s">
        <x:v>118</x:v>
      </x:c>
      <x:c r="J27" s="277" t="s">
        <x:v>118</x:v>
      </x:c>
      <x:c r="K27" s="277" t="s">
        <x:v>118</x:v>
      </x:c>
      <x:c r="L27" s="277" t="s">
        <x:v>118</x:v>
      </x:c>
      <x:c r="M27" s="277" t="s">
        <x:v>118</x:v>
      </x:c>
      <x:c r="N27" s="277" t="s">
        <x:v>118</x:v>
      </x:c>
      <x:c r="O27" s="277" t="s">
        <x:v>118</x:v>
      </x:c>
      <x:c r="P27" s="277" t="s">
        <x:v>118</x:v>
      </x:c>
      <x:c r="Q27" s="277" t="s">
        <x:v>118</x:v>
      </x:c>
      <x:c r="R27" s="277" t="s">
        <x:v>118</x:v>
      </x:c>
      <x:c r="S27" s="277" t="s">
        <x:v>118</x:v>
      </x:c>
      <x:c r="T27" s="277" t="s">
        <x:v>118</x:v>
      </x:c>
      <x:c r="U27" s="277" t="s">
        <x:v>118</x:v>
      </x:c>
      <x:c r="V27" s="277" t="s">
        <x:v>118</x:v>
      </x:c>
      <x:c r="W27" s="277" t="s">
        <x:v>118</x:v>
      </x:c>
      <x:c r="X27" s="277" t="s">
        <x:v>118</x:v>
      </x:c>
      <x:c r="Y27" s="277" t="s">
        <x:v>118</x:v>
      </x:c>
      <x:c r="Z27" s="277" t="s">
        <x:v>118</x:v>
      </x:c>
      <x:c r="AA27" s="277" t="s">
        <x:v>118</x:v>
      </x:c>
      <x:c r="AB27" s="277" t="s">
        <x:v>118</x:v>
      </x:c>
      <x:c r="AC27" s="277" t="s">
        <x:v>118</x:v>
      </x:c>
      <x:c r="AD27" s="277" t="s">
        <x:v>118</x:v>
      </x:c>
      <x:c r="AE27" s="277" t="s">
        <x:v>118</x:v>
      </x:c>
      <x:c r="AF27" s="277" t="s">
        <x:v>118</x:v>
      </x:c>
      <x:c r="AG27" s="277" t="s">
        <x:v>118</x:v>
      </x:c>
      <x:c r="AH27" s="277" t="s">
        <x:v>118</x:v>
      </x:c>
      <x:c r="AI27" s="277" t="s">
        <x:v>118</x:v>
      </x:c>
      <x:c r="AJ27" s="277" t="s">
        <x:v>118</x:v>
      </x:c>
      <x:c r="AK27" s="220">
        <x:f>COUNTIF(F27:AJ27,"X")</x:f>
      </x:c>
      <x:c r="AL27" s="221"/>
      <x:c r="AM27" s="221"/>
      <x:c r="AN27" s="222"/>
      <x:c r="AO27" s="222"/>
      <x:c r="AP27" s="228"/>
      <x:c r="AQ27" s="228"/>
      <x:c r="AR27" s="228"/>
      <x:c r="AS27" s="228"/>
      <x:c r="AT27" s="230"/>
    </x:row>
    <x:row r="28" spans="1:47" ht="19.9" customHeight="1">
      <x:c r="A28" s="274" t="s">
        <x:v>1786</x:v>
      </x:c>
      <x:c r="B28" s="216"/>
      <x:c r="C28" s="275" t="s">
        <x:v>1787</x:v>
      </x:c>
      <x:c r="D28" s="274" t="s">
        <x:v>1788</x:v>
      </x:c>
      <x:c r="E28" s="276" t="s">
        <x:v>1789</x:v>
      </x:c>
      <x:c r="F28" s="277" t="s">
        <x:v>118</x:v>
      </x:c>
      <x:c r="G28" s="277" t="s">
        <x:v>118</x:v>
      </x:c>
      <x:c r="H28" s="277" t="s">
        <x:v>118</x:v>
      </x:c>
      <x:c r="I28" s="277" t="s">
        <x:v>118</x:v>
      </x:c>
      <x:c r="J28" s="277" t="s">
        <x:v>118</x:v>
      </x:c>
      <x:c r="K28" s="277" t="s">
        <x:v>118</x:v>
      </x:c>
      <x:c r="L28" s="277" t="s">
        <x:v>118</x:v>
      </x:c>
      <x:c r="M28" s="277" t="s">
        <x:v>118</x:v>
      </x:c>
      <x:c r="N28" s="277" t="s">
        <x:v>118</x:v>
      </x:c>
      <x:c r="O28" s="277" t="s">
        <x:v>118</x:v>
      </x:c>
      <x:c r="P28" s="277" t="s">
        <x:v>118</x:v>
      </x:c>
      <x:c r="Q28" s="277" t="s">
        <x:v>118</x:v>
      </x:c>
      <x:c r="R28" s="277" t="s">
        <x:v>118</x:v>
      </x:c>
      <x:c r="S28" s="277" t="s">
        <x:v>118</x:v>
      </x:c>
      <x:c r="T28" s="277" t="s">
        <x:v>118</x:v>
      </x:c>
      <x:c r="U28" s="277" t="s">
        <x:v>118</x:v>
      </x:c>
      <x:c r="V28" s="277" t="s">
        <x:v>118</x:v>
      </x:c>
      <x:c r="W28" s="277" t="s">
        <x:v>118</x:v>
      </x:c>
      <x:c r="X28" s="277" t="s">
        <x:v>118</x:v>
      </x:c>
      <x:c r="Y28" s="277" t="s">
        <x:v>118</x:v>
      </x:c>
      <x:c r="Z28" s="277" t="s">
        <x:v>118</x:v>
      </x:c>
      <x:c r="AA28" s="277" t="s">
        <x:v>118</x:v>
      </x:c>
      <x:c r="AB28" s="277" t="s">
        <x:v>118</x:v>
      </x:c>
      <x:c r="AC28" s="277" t="s">
        <x:v>118</x:v>
      </x:c>
      <x:c r="AD28" s="277" t="s">
        <x:v>118</x:v>
      </x:c>
      <x:c r="AE28" s="277" t="s">
        <x:v>118</x:v>
      </x:c>
      <x:c r="AF28" s="277" t="s">
        <x:v>118</x:v>
      </x:c>
      <x:c r="AG28" s="277" t="s">
        <x:v>118</x:v>
      </x:c>
      <x:c r="AH28" s="277" t="s">
        <x:v>118</x:v>
      </x:c>
      <x:c r="AI28" s="277" t="s">
        <x:v>118</x:v>
      </x:c>
      <x:c r="AJ28" s="277" t="s">
        <x:v>118</x:v>
      </x:c>
      <x:c r="AK28" s="220">
        <x:f>COUNTIF(F28:AJ28,"X")</x:f>
      </x:c>
      <x:c r="AL28" s="221"/>
      <x:c r="AM28" s="221"/>
      <x:c r="AN28" s="222"/>
      <x:c r="AO28" s="222"/>
      <x:c r="AP28" s="228"/>
      <x:c r="AQ28" s="228"/>
      <x:c r="AR28" s="228"/>
      <x:c r="AS28" s="228"/>
      <x:c r="AT28" s="230"/>
    </x:row>
    <x:row r="29" spans="1:47" ht="19.9" customHeight="1">
      <x:c r="A29" s="274" t="s">
        <x:v>1790</x:v>
      </x:c>
      <x:c r="B29" s="216"/>
      <x:c r="C29" s="275" t="s">
        <x:v>1791</x:v>
      </x:c>
      <x:c r="D29" s="274" t="s">
        <x:v>1792</x:v>
      </x:c>
      <x:c r="E29" s="276" t="s">
        <x:v>1793</x:v>
      </x:c>
      <x:c r="F29" s="277" t="s">
        <x:v>118</x:v>
      </x:c>
      <x:c r="G29" s="277" t="s">
        <x:v>118</x:v>
      </x:c>
      <x:c r="H29" s="277" t="s">
        <x:v>118</x:v>
      </x:c>
      <x:c r="I29" s="277" t="s">
        <x:v>118</x:v>
      </x:c>
      <x:c r="J29" s="277" t="s">
        <x:v>118</x:v>
      </x:c>
      <x:c r="K29" s="277" t="s">
        <x:v>118</x:v>
      </x:c>
      <x:c r="L29" s="277" t="s">
        <x:v>118</x:v>
      </x:c>
      <x:c r="M29" s="277" t="s">
        <x:v>118</x:v>
      </x:c>
      <x:c r="N29" s="277" t="s">
        <x:v>118</x:v>
      </x:c>
      <x:c r="O29" s="277" t="s">
        <x:v>118</x:v>
      </x:c>
      <x:c r="P29" s="277" t="s">
        <x:v>118</x:v>
      </x:c>
      <x:c r="Q29" s="277" t="s">
        <x:v>118</x:v>
      </x:c>
      <x:c r="R29" s="277" t="s">
        <x:v>118</x:v>
      </x:c>
      <x:c r="S29" s="277" t="s">
        <x:v>118</x:v>
      </x:c>
      <x:c r="T29" s="277" t="s">
        <x:v>118</x:v>
      </x:c>
      <x:c r="U29" s="277" t="s">
        <x:v>118</x:v>
      </x:c>
      <x:c r="V29" s="277" t="s">
        <x:v>118</x:v>
      </x:c>
      <x:c r="W29" s="277" t="s">
        <x:v>118</x:v>
      </x:c>
      <x:c r="X29" s="277" t="s">
        <x:v>118</x:v>
      </x:c>
      <x:c r="Y29" s="277" t="s">
        <x:v>118</x:v>
      </x:c>
      <x:c r="Z29" s="277" t="s">
        <x:v>118</x:v>
      </x:c>
      <x:c r="AA29" s="277" t="s">
        <x:v>118</x:v>
      </x:c>
      <x:c r="AB29" s="277" t="s">
        <x:v>118</x:v>
      </x:c>
      <x:c r="AC29" s="277" t="s">
        <x:v>118</x:v>
      </x:c>
      <x:c r="AD29" s="277" t="s">
        <x:v>118</x:v>
      </x:c>
      <x:c r="AE29" s="277" t="s">
        <x:v>118</x:v>
      </x:c>
      <x:c r="AF29" s="277" t="s">
        <x:v>118</x:v>
      </x:c>
      <x:c r="AG29" s="277" t="s">
        <x:v>118</x:v>
      </x:c>
      <x:c r="AH29" s="277" t="s">
        <x:v>118</x:v>
      </x:c>
      <x:c r="AI29" s="277" t="s">
        <x:v>118</x:v>
      </x:c>
      <x:c r="AJ29" s="277" t="s">
        <x:v>118</x:v>
      </x:c>
      <x:c r="AK29" s="220">
        <x:f>COUNTIF(F29:AJ29,"X")</x:f>
      </x:c>
      <x:c r="AL29" s="221"/>
      <x:c r="AM29" s="221"/>
      <x:c r="AN29" s="222"/>
      <x:c r="AO29" s="222"/>
      <x:c r="AP29" s="228"/>
      <x:c r="AQ29" s="228"/>
      <x:c r="AR29" s="228"/>
      <x:c r="AS29" s="228"/>
      <x:c r="AT29" s="230"/>
    </x:row>
    <x:row r="30" spans="1:47" ht="19.9" customHeight="1">
      <x:c r="A30" s="274" t="s">
        <x:v>1794</x:v>
      </x:c>
      <x:c r="B30" s="216"/>
      <x:c r="C30" s="275" t="s">
        <x:v>1795</x:v>
      </x:c>
      <x:c r="D30" s="274" t="s">
        <x:v>1796</x:v>
      </x:c>
      <x:c r="E30" s="276" t="s">
        <x:v>1797</x:v>
      </x:c>
      <x:c r="F30" s="277" t="s">
        <x:v>118</x:v>
      </x:c>
      <x:c r="G30" s="277" t="s">
        <x:v>118</x:v>
      </x:c>
      <x:c r="H30" s="277" t="s">
        <x:v>118</x:v>
      </x:c>
      <x:c r="I30" s="277" t="s">
        <x:v>118</x:v>
      </x:c>
      <x:c r="J30" s="277" t="s">
        <x:v>118</x:v>
      </x:c>
      <x:c r="K30" s="277" t="s">
        <x:v>118</x:v>
      </x:c>
      <x:c r="L30" s="277" t="s">
        <x:v>118</x:v>
      </x:c>
      <x:c r="M30" s="277" t="s">
        <x:v>118</x:v>
      </x:c>
      <x:c r="N30" s="277" t="s">
        <x:v>118</x:v>
      </x:c>
      <x:c r="O30" s="277" t="s">
        <x:v>118</x:v>
      </x:c>
      <x:c r="P30" s="277" t="s">
        <x:v>118</x:v>
      </x:c>
      <x:c r="Q30" s="277" t="s">
        <x:v>118</x:v>
      </x:c>
      <x:c r="R30" s="277" t="s">
        <x:v>118</x:v>
      </x:c>
      <x:c r="S30" s="277" t="s">
        <x:v>118</x:v>
      </x:c>
      <x:c r="T30" s="277" t="s">
        <x:v>118</x:v>
      </x:c>
      <x:c r="U30" s="277" t="s">
        <x:v>118</x:v>
      </x:c>
      <x:c r="V30" s="277" t="s">
        <x:v>118</x:v>
      </x:c>
      <x:c r="W30" s="277" t="s">
        <x:v>118</x:v>
      </x:c>
      <x:c r="X30" s="277" t="s">
        <x:v>118</x:v>
      </x:c>
      <x:c r="Y30" s="277" t="s">
        <x:v>118</x:v>
      </x:c>
      <x:c r="Z30" s="277" t="s">
        <x:v>118</x:v>
      </x:c>
      <x:c r="AA30" s="277" t="s">
        <x:v>118</x:v>
      </x:c>
      <x:c r="AB30" s="277" t="s">
        <x:v>118</x:v>
      </x:c>
      <x:c r="AC30" s="277" t="s">
        <x:v>118</x:v>
      </x:c>
      <x:c r="AD30" s="277" t="s">
        <x:v>118</x:v>
      </x:c>
      <x:c r="AE30" s="277" t="s">
        <x:v>118</x:v>
      </x:c>
      <x:c r="AF30" s="277" t="s">
        <x:v>118</x:v>
      </x:c>
      <x:c r="AG30" s="277" t="s">
        <x:v>118</x:v>
      </x:c>
      <x:c r="AH30" s="277" t="s">
        <x:v>118</x:v>
      </x:c>
      <x:c r="AI30" s="277" t="s">
        <x:v>118</x:v>
      </x:c>
      <x:c r="AJ30" s="277" t="s">
        <x:v>118</x:v>
      </x:c>
      <x:c r="AK30" s="220">
        <x:f>COUNTIF(F30:AJ30,"X")</x:f>
      </x:c>
      <x:c r="AL30" s="221"/>
      <x:c r="AM30" s="221"/>
      <x:c r="AN30" s="222"/>
      <x:c r="AO30" s="222"/>
      <x:c r="AP30" s="228"/>
      <x:c r="AQ30" s="228"/>
      <x:c r="AR30" s="228"/>
      <x:c r="AS30" s="228"/>
      <x:c r="AT30" s="230"/>
    </x:row>
    <x:row r="31" spans="1:47" ht="19.9" customHeight="1">
      <x:c r="A31" s="274" t="s">
        <x:v>1798</x:v>
      </x:c>
      <x:c r="B31" s="216"/>
      <x:c r="C31" s="275" t="s">
        <x:v>1799</x:v>
      </x:c>
      <x:c r="D31" s="274" t="s">
        <x:v>1800</x:v>
      </x:c>
      <x:c r="E31" s="276" t="s">
        <x:v>413</x:v>
      </x:c>
      <x:c r="F31" s="277" t="s">
        <x:v>118</x:v>
      </x:c>
      <x:c r="G31" s="277" t="s">
        <x:v>118</x:v>
      </x:c>
      <x:c r="H31" s="277" t="s">
        <x:v>118</x:v>
      </x:c>
      <x:c r="I31" s="277" t="s">
        <x:v>118</x:v>
      </x:c>
      <x:c r="J31" s="277" t="s">
        <x:v>118</x:v>
      </x:c>
      <x:c r="K31" s="277" t="s">
        <x:v>118</x:v>
      </x:c>
      <x:c r="L31" s="277" t="s">
        <x:v>118</x:v>
      </x:c>
      <x:c r="M31" s="277" t="s">
        <x:v>118</x:v>
      </x:c>
      <x:c r="N31" s="277" t="s">
        <x:v>118</x:v>
      </x:c>
      <x:c r="O31" s="277" t="s">
        <x:v>118</x:v>
      </x:c>
      <x:c r="P31" s="277" t="s">
        <x:v>118</x:v>
      </x:c>
      <x:c r="Q31" s="277" t="s">
        <x:v>118</x:v>
      </x:c>
      <x:c r="R31" s="277" t="s">
        <x:v>118</x:v>
      </x:c>
      <x:c r="S31" s="277" t="s">
        <x:v>118</x:v>
      </x:c>
      <x:c r="T31" s="277" t="s">
        <x:v>118</x:v>
      </x:c>
      <x:c r="U31" s="277" t="s">
        <x:v>118</x:v>
      </x:c>
      <x:c r="V31" s="277" t="s">
        <x:v>118</x:v>
      </x:c>
      <x:c r="W31" s="277" t="s">
        <x:v>118</x:v>
      </x:c>
      <x:c r="X31" s="277" t="s">
        <x:v>118</x:v>
      </x:c>
      <x:c r="Y31" s="277" t="s">
        <x:v>118</x:v>
      </x:c>
      <x:c r="Z31" s="277" t="s">
        <x:v>118</x:v>
      </x:c>
      <x:c r="AA31" s="277" t="s">
        <x:v>118</x:v>
      </x:c>
      <x:c r="AB31" s="277" t="s">
        <x:v>118</x:v>
      </x:c>
      <x:c r="AC31" s="277" t="s">
        <x:v>118</x:v>
      </x:c>
      <x:c r="AD31" s="277" t="s">
        <x:v>118</x:v>
      </x:c>
      <x:c r="AE31" s="277" t="s">
        <x:v>118</x:v>
      </x:c>
      <x:c r="AF31" s="277" t="s">
        <x:v>118</x:v>
      </x:c>
      <x:c r="AG31" s="277" t="s">
        <x:v>118</x:v>
      </x:c>
      <x:c r="AH31" s="277" t="s">
        <x:v>118</x:v>
      </x:c>
      <x:c r="AI31" s="277" t="s">
        <x:v>118</x:v>
      </x:c>
      <x:c r="AJ31" s="277" t="s">
        <x:v>118</x:v>
      </x:c>
      <x:c r="AK31" s="220">
        <x:f>COUNTIF(F31:AJ31,"X")</x:f>
      </x:c>
      <x:c r="AL31" s="221"/>
      <x:c r="AM31" s="221"/>
      <x:c r="AN31" s="222"/>
      <x:c r="AO31" s="222"/>
      <x:c r="AP31" s="228"/>
      <x:c r="AQ31" s="228"/>
      <x:c r="AR31" s="228"/>
      <x:c r="AS31" s="228"/>
      <x:c r="AT31" s="230"/>
    </x:row>
    <x:row r="32" spans="1:47" ht="19.9" customHeight="1">
      <x:c r="A32" s="274" t="s">
        <x:v>1801</x:v>
      </x:c>
      <x:c r="B32" s="216"/>
      <x:c r="C32" s="275" t="s">
        <x:v>1802</x:v>
      </x:c>
      <x:c r="D32" s="274" t="s">
        <x:v>1803</x:v>
      </x:c>
      <x:c r="E32" s="276" t="s">
        <x:v>1599</x:v>
      </x:c>
      <x:c r="F32" s="277" t="s">
        <x:v>118</x:v>
      </x:c>
      <x:c r="G32" s="277" t="s">
        <x:v>118</x:v>
      </x:c>
      <x:c r="H32" s="277" t="s">
        <x:v>118</x:v>
      </x:c>
      <x:c r="I32" s="277" t="s">
        <x:v>118</x:v>
      </x:c>
      <x:c r="J32" s="277" t="s">
        <x:v>118</x:v>
      </x:c>
      <x:c r="K32" s="277" t="s">
        <x:v>118</x:v>
      </x:c>
      <x:c r="L32" s="277" t="s">
        <x:v>118</x:v>
      </x:c>
      <x:c r="M32" s="277" t="s">
        <x:v>118</x:v>
      </x:c>
      <x:c r="N32" s="277" t="s">
        <x:v>118</x:v>
      </x:c>
      <x:c r="O32" s="277" t="s">
        <x:v>118</x:v>
      </x:c>
      <x:c r="P32" s="277" t="s">
        <x:v>118</x:v>
      </x:c>
      <x:c r="Q32" s="277" t="s">
        <x:v>118</x:v>
      </x:c>
      <x:c r="R32" s="277" t="s">
        <x:v>118</x:v>
      </x:c>
      <x:c r="S32" s="277" t="s">
        <x:v>118</x:v>
      </x:c>
      <x:c r="T32" s="277" t="s">
        <x:v>118</x:v>
      </x:c>
      <x:c r="U32" s="277" t="s">
        <x:v>118</x:v>
      </x:c>
      <x:c r="V32" s="277" t="s">
        <x:v>118</x:v>
      </x:c>
      <x:c r="W32" s="277" t="s">
        <x:v>118</x:v>
      </x:c>
      <x:c r="X32" s="277" t="s">
        <x:v>118</x:v>
      </x:c>
      <x:c r="Y32" s="277" t="s">
        <x:v>118</x:v>
      </x:c>
      <x:c r="Z32" s="277" t="s">
        <x:v>118</x:v>
      </x:c>
      <x:c r="AA32" s="277" t="s">
        <x:v>118</x:v>
      </x:c>
      <x:c r="AB32" s="277" t="s">
        <x:v>118</x:v>
      </x:c>
      <x:c r="AC32" s="277" t="s">
        <x:v>118</x:v>
      </x:c>
      <x:c r="AD32" s="277" t="s">
        <x:v>118</x:v>
      </x:c>
      <x:c r="AE32" s="277" t="s">
        <x:v>118</x:v>
      </x:c>
      <x:c r="AF32" s="277" t="s">
        <x:v>118</x:v>
      </x:c>
      <x:c r="AG32" s="277" t="s">
        <x:v>118</x:v>
      </x:c>
      <x:c r="AH32" s="277" t="s">
        <x:v>118</x:v>
      </x:c>
      <x:c r="AI32" s="277" t="s">
        <x:v>118</x:v>
      </x:c>
      <x:c r="AJ32" s="277" t="s">
        <x:v>118</x:v>
      </x:c>
      <x:c r="AK32" s="220">
        <x:f>COUNTIF(F32:AJ32,"X")</x:f>
      </x:c>
      <x:c r="AL32" s="221"/>
      <x:c r="AM32" s="221"/>
      <x:c r="AN32" s="222"/>
      <x:c r="AO32" s="222"/>
      <x:c r="AP32" s="228"/>
      <x:c r="AQ32" s="228"/>
      <x:c r="AR32" s="228"/>
      <x:c r="AS32" s="228"/>
      <x:c r="AT32" s="230"/>
    </x:row>
    <x:row r="33" spans="1:47" ht="19.9" customHeight="1">
      <x:c r="A33" s="274" t="s">
        <x:v>1804</x:v>
      </x:c>
      <x:c r="B33" s="216"/>
      <x:c r="C33" s="275" t="s">
        <x:v>1805</x:v>
      </x:c>
      <x:c r="D33" s="274" t="s">
        <x:v>1806</x:v>
      </x:c>
      <x:c r="E33" s="276" t="s">
        <x:v>1807</x:v>
      </x:c>
      <x:c r="F33" s="277" t="s">
        <x:v>118</x:v>
      </x:c>
      <x:c r="G33" s="277" t="s">
        <x:v>118</x:v>
      </x:c>
      <x:c r="H33" s="277" t="s">
        <x:v>118</x:v>
      </x:c>
      <x:c r="I33" s="277" t="s">
        <x:v>118</x:v>
      </x:c>
      <x:c r="J33" s="277" t="s">
        <x:v>118</x:v>
      </x:c>
      <x:c r="K33" s="277" t="s">
        <x:v>118</x:v>
      </x:c>
      <x:c r="L33" s="277" t="s">
        <x:v>118</x:v>
      </x:c>
      <x:c r="M33" s="277" t="s">
        <x:v>118</x:v>
      </x:c>
      <x:c r="N33" s="277" t="s">
        <x:v>118</x:v>
      </x:c>
      <x:c r="O33" s="277" t="s">
        <x:v>118</x:v>
      </x:c>
      <x:c r="P33" s="277" t="s">
        <x:v>118</x:v>
      </x:c>
      <x:c r="Q33" s="277" t="s">
        <x:v>118</x:v>
      </x:c>
      <x:c r="R33" s="277" t="s">
        <x:v>118</x:v>
      </x:c>
      <x:c r="S33" s="277" t="s">
        <x:v>118</x:v>
      </x:c>
      <x:c r="T33" s="277" t="s">
        <x:v>118</x:v>
      </x:c>
      <x:c r="U33" s="277" t="s">
        <x:v>118</x:v>
      </x:c>
      <x:c r="V33" s="277" t="s">
        <x:v>118</x:v>
      </x:c>
      <x:c r="W33" s="277" t="s">
        <x:v>118</x:v>
      </x:c>
      <x:c r="X33" s="277" t="s">
        <x:v>118</x:v>
      </x:c>
      <x:c r="Y33" s="277" t="s">
        <x:v>118</x:v>
      </x:c>
      <x:c r="Z33" s="277" t="s">
        <x:v>118</x:v>
      </x:c>
      <x:c r="AA33" s="277" t="s">
        <x:v>118</x:v>
      </x:c>
      <x:c r="AB33" s="277" t="s">
        <x:v>118</x:v>
      </x:c>
      <x:c r="AC33" s="277" t="s">
        <x:v>118</x:v>
      </x:c>
      <x:c r="AD33" s="277" t="s">
        <x:v>118</x:v>
      </x:c>
      <x:c r="AE33" s="277" t="s">
        <x:v>118</x:v>
      </x:c>
      <x:c r="AF33" s="277" t="s">
        <x:v>118</x:v>
      </x:c>
      <x:c r="AG33" s="277" t="s">
        <x:v>118</x:v>
      </x:c>
      <x:c r="AH33" s="277" t="s">
        <x:v>118</x:v>
      </x:c>
      <x:c r="AI33" s="277" t="s">
        <x:v>118</x:v>
      </x:c>
      <x:c r="AJ33" s="277" t="s">
        <x:v>118</x:v>
      </x:c>
      <x:c r="AK33" s="220">
        <x:f>COUNTIF(F33:AJ33,"X")</x:f>
      </x:c>
      <x:c r="AL33" s="221"/>
      <x:c r="AM33" s="221"/>
      <x:c r="AN33" s="222"/>
      <x:c r="AO33" s="222"/>
      <x:c r="AP33" s="228"/>
      <x:c r="AQ33" s="228"/>
      <x:c r="AR33" s="228"/>
      <x:c r="AS33" s="228"/>
      <x:c r="AT33" s="230"/>
    </x:row>
    <x:row r="34" spans="1:47" ht="19.9" customHeight="1">
      <x:c r="A34" s="274" t="s">
        <x:v>1808</x:v>
      </x:c>
      <x:c r="B34" s="216"/>
      <x:c r="C34" s="275" t="s">
        <x:v>1809</x:v>
      </x:c>
      <x:c r="D34" s="274" t="s">
        <x:v>180</x:v>
      </x:c>
      <x:c r="E34" s="276" t="s">
        <x:v>549</x:v>
      </x:c>
      <x:c r="F34" s="277" t="s">
        <x:v>118</x:v>
      </x:c>
      <x:c r="G34" s="277" t="s">
        <x:v>118</x:v>
      </x:c>
      <x:c r="H34" s="277" t="s">
        <x:v>118</x:v>
      </x:c>
      <x:c r="I34" s="277" t="s">
        <x:v>118</x:v>
      </x:c>
      <x:c r="J34" s="277" t="s">
        <x:v>118</x:v>
      </x:c>
      <x:c r="K34" s="277" t="s">
        <x:v>118</x:v>
      </x:c>
      <x:c r="L34" s="277" t="s">
        <x:v>118</x:v>
      </x:c>
      <x:c r="M34" s="277" t="s">
        <x:v>118</x:v>
      </x:c>
      <x:c r="N34" s="277" t="s">
        <x:v>118</x:v>
      </x:c>
      <x:c r="O34" s="277" t="s">
        <x:v>118</x:v>
      </x:c>
      <x:c r="P34" s="277" t="s">
        <x:v>118</x:v>
      </x:c>
      <x:c r="Q34" s="277" t="s">
        <x:v>118</x:v>
      </x:c>
      <x:c r="R34" s="277" t="s">
        <x:v>118</x:v>
      </x:c>
      <x:c r="S34" s="277" t="s">
        <x:v>118</x:v>
      </x:c>
      <x:c r="T34" s="277" t="s">
        <x:v>118</x:v>
      </x:c>
      <x:c r="U34" s="277" t="s">
        <x:v>118</x:v>
      </x:c>
      <x:c r="V34" s="277" t="s">
        <x:v>118</x:v>
      </x:c>
      <x:c r="W34" s="277" t="s">
        <x:v>118</x:v>
      </x:c>
      <x:c r="X34" s="277" t="s">
        <x:v>118</x:v>
      </x:c>
      <x:c r="Y34" s="277" t="s">
        <x:v>118</x:v>
      </x:c>
      <x:c r="Z34" s="277" t="s">
        <x:v>118</x:v>
      </x:c>
      <x:c r="AA34" s="277" t="s">
        <x:v>118</x:v>
      </x:c>
      <x:c r="AB34" s="277" t="s">
        <x:v>118</x:v>
      </x:c>
      <x:c r="AC34" s="277" t="s">
        <x:v>118</x:v>
      </x:c>
      <x:c r="AD34" s="277" t="s">
        <x:v>118</x:v>
      </x:c>
      <x:c r="AE34" s="277" t="s">
        <x:v>118</x:v>
      </x:c>
      <x:c r="AF34" s="277" t="s">
        <x:v>118</x:v>
      </x:c>
      <x:c r="AG34" s="277" t="s">
        <x:v>118</x:v>
      </x:c>
      <x:c r="AH34" s="277" t="s">
        <x:v>118</x:v>
      </x:c>
      <x:c r="AI34" s="277" t="s">
        <x:v>118</x:v>
      </x:c>
      <x:c r="AJ34" s="277" t="s">
        <x:v>118</x:v>
      </x:c>
      <x:c r="AK34" s="220">
        <x:f>COUNTIF(F34:AJ34,"X")</x:f>
      </x:c>
      <x:c r="AL34" s="221"/>
      <x:c r="AM34" s="221"/>
      <x:c r="AN34" s="222"/>
      <x:c r="AO34" s="222"/>
      <x:c r="AP34" s="228"/>
      <x:c r="AQ34" s="228"/>
      <x:c r="AR34" s="228"/>
      <x:c r="AS34" s="228"/>
      <x:c r="AT34" s="230"/>
    </x:row>
    <x:row r="35" spans="1:47" ht="19.9" customHeight="1">
      <x:c r="A35" s="274" t="s">
        <x:v>1810</x:v>
      </x:c>
      <x:c r="B35" s="216"/>
      <x:c r="C35" s="275" t="s">
        <x:v>1811</x:v>
      </x:c>
      <x:c r="D35" s="274" t="s">
        <x:v>1812</x:v>
      </x:c>
      <x:c r="E35" s="276" t="s">
        <x:v>1813</x:v>
      </x:c>
      <x:c r="F35" s="277" t="s">
        <x:v>118</x:v>
      </x:c>
      <x:c r="G35" s="277" t="s">
        <x:v>118</x:v>
      </x:c>
      <x:c r="H35" s="277" t="s">
        <x:v>118</x:v>
      </x:c>
      <x:c r="I35" s="277" t="s">
        <x:v>118</x:v>
      </x:c>
      <x:c r="J35" s="277" t="s">
        <x:v>118</x:v>
      </x:c>
      <x:c r="K35" s="277" t="s">
        <x:v>118</x:v>
      </x:c>
      <x:c r="L35" s="277" t="s">
        <x:v>118</x:v>
      </x:c>
      <x:c r="M35" s="277" t="s">
        <x:v>118</x:v>
      </x:c>
      <x:c r="N35" s="277" t="s">
        <x:v>118</x:v>
      </x:c>
      <x:c r="O35" s="277" t="s">
        <x:v>118</x:v>
      </x:c>
      <x:c r="P35" s="277" t="s">
        <x:v>118</x:v>
      </x:c>
      <x:c r="Q35" s="277" t="s">
        <x:v>118</x:v>
      </x:c>
      <x:c r="R35" s="277" t="s">
        <x:v>118</x:v>
      </x:c>
      <x:c r="S35" s="277" t="s">
        <x:v>118</x:v>
      </x:c>
      <x:c r="T35" s="277" t="s">
        <x:v>118</x:v>
      </x:c>
      <x:c r="U35" s="277" t="s">
        <x:v>118</x:v>
      </x:c>
      <x:c r="V35" s="277" t="s">
        <x:v>118</x:v>
      </x:c>
      <x:c r="W35" s="277" t="s">
        <x:v>118</x:v>
      </x:c>
      <x:c r="X35" s="277" t="s">
        <x:v>118</x:v>
      </x:c>
      <x:c r="Y35" s="277" t="s">
        <x:v>118</x:v>
      </x:c>
      <x:c r="Z35" s="277" t="s">
        <x:v>118</x:v>
      </x:c>
      <x:c r="AA35" s="277" t="s">
        <x:v>118</x:v>
      </x:c>
      <x:c r="AB35" s="277" t="s">
        <x:v>118</x:v>
      </x:c>
      <x:c r="AC35" s="277" t="s">
        <x:v>118</x:v>
      </x:c>
      <x:c r="AD35" s="277" t="s">
        <x:v>118</x:v>
      </x:c>
      <x:c r="AE35" s="277" t="s">
        <x:v>118</x:v>
      </x:c>
      <x:c r="AF35" s="277" t="s">
        <x:v>118</x:v>
      </x:c>
      <x:c r="AG35" s="277" t="s">
        <x:v>118</x:v>
      </x:c>
      <x:c r="AH35" s="277" t="s">
        <x:v>118</x:v>
      </x:c>
      <x:c r="AI35" s="277" t="s">
        <x:v>118</x:v>
      </x:c>
      <x:c r="AJ35" s="277" t="s">
        <x:v>118</x:v>
      </x:c>
      <x:c r="AK35" s="220">
        <x:f>COUNTIF(F35:AJ35,"X")</x:f>
      </x:c>
      <x:c r="AL35" s="221"/>
      <x:c r="AM35" s="221"/>
      <x:c r="AN35" s="222"/>
      <x:c r="AO35" s="222"/>
      <x:c r="AP35" s="228"/>
      <x:c r="AQ35" s="228"/>
      <x:c r="AR35" s="228"/>
      <x:c r="AS35" s="228"/>
      <x:c r="AT35" s="230"/>
    </x:row>
    <x:row r="36" spans="1:47" ht="19.9" customHeight="1">
      <x:c r="A36" s="274" t="s">
        <x:v>1814</x:v>
      </x:c>
      <x:c r="B36" s="216"/>
      <x:c r="C36" s="275" t="s">
        <x:v>1815</x:v>
      </x:c>
      <x:c r="D36" s="274" t="s">
        <x:v>1816</x:v>
      </x:c>
      <x:c r="E36" s="276" t="s">
        <x:v>151</x:v>
      </x:c>
      <x:c r="F36" s="277" t="s">
        <x:v>118</x:v>
      </x:c>
      <x:c r="G36" s="277" t="s">
        <x:v>118</x:v>
      </x:c>
      <x:c r="H36" s="277" t="s">
        <x:v>118</x:v>
      </x:c>
      <x:c r="I36" s="277" t="s">
        <x:v>118</x:v>
      </x:c>
      <x:c r="J36" s="277" t="s">
        <x:v>118</x:v>
      </x:c>
      <x:c r="K36" s="277" t="s">
        <x:v>118</x:v>
      </x:c>
      <x:c r="L36" s="277" t="s">
        <x:v>118</x:v>
      </x:c>
      <x:c r="M36" s="277" t="s">
        <x:v>118</x:v>
      </x:c>
      <x:c r="N36" s="277" t="s">
        <x:v>118</x:v>
      </x:c>
      <x:c r="O36" s="277" t="s">
        <x:v>118</x:v>
      </x:c>
      <x:c r="P36" s="277" t="s">
        <x:v>118</x:v>
      </x:c>
      <x:c r="Q36" s="277" t="s">
        <x:v>118</x:v>
      </x:c>
      <x:c r="R36" s="277" t="s">
        <x:v>118</x:v>
      </x:c>
      <x:c r="S36" s="277" t="s">
        <x:v>118</x:v>
      </x:c>
      <x:c r="T36" s="277" t="s">
        <x:v>118</x:v>
      </x:c>
      <x:c r="U36" s="277" t="s">
        <x:v>118</x:v>
      </x:c>
      <x:c r="V36" s="277" t="s">
        <x:v>118</x:v>
      </x:c>
      <x:c r="W36" s="277" t="s">
        <x:v>118</x:v>
      </x:c>
      <x:c r="X36" s="277" t="s">
        <x:v>118</x:v>
      </x:c>
      <x:c r="Y36" s="277" t="s">
        <x:v>118</x:v>
      </x:c>
      <x:c r="Z36" s="277" t="s">
        <x:v>118</x:v>
      </x:c>
      <x:c r="AA36" s="277" t="s">
        <x:v>118</x:v>
      </x:c>
      <x:c r="AB36" s="277" t="s">
        <x:v>118</x:v>
      </x:c>
      <x:c r="AC36" s="277" t="s">
        <x:v>118</x:v>
      </x:c>
      <x:c r="AD36" s="277" t="s">
        <x:v>118</x:v>
      </x:c>
      <x:c r="AE36" s="277" t="s">
        <x:v>118</x:v>
      </x:c>
      <x:c r="AF36" s="277" t="s">
        <x:v>118</x:v>
      </x:c>
      <x:c r="AG36" s="277" t="s">
        <x:v>118</x:v>
      </x:c>
      <x:c r="AH36" s="277" t="s">
        <x:v>118</x:v>
      </x:c>
      <x:c r="AI36" s="277" t="s">
        <x:v>118</x:v>
      </x:c>
      <x:c r="AJ36" s="277" t="s">
        <x:v>118</x:v>
      </x:c>
      <x:c r="AK36" s="220">
        <x:f>COUNTIF(F36:AJ36,"X")</x:f>
      </x:c>
      <x:c r="AL36" s="221"/>
      <x:c r="AM36" s="221"/>
      <x:c r="AN36" s="222"/>
      <x:c r="AO36" s="222"/>
      <x:c r="AP36" s="228"/>
      <x:c r="AQ36" s="228"/>
      <x:c r="AR36" s="228"/>
      <x:c r="AS36" s="228"/>
      <x:c r="AT36" s="230"/>
    </x:row>
    <x:row r="37" spans="1:47" ht="19.9" customHeight="1">
      <x:c r="A37" s="274" t="s">
        <x:v>1817</x:v>
      </x:c>
      <x:c r="B37" s="216"/>
      <x:c r="C37" s="275" t="s">
        <x:v>1818</x:v>
      </x:c>
      <x:c r="D37" s="274" t="s">
        <x:v>911</x:v>
      </x:c>
      <x:c r="E37" s="276" t="s">
        <x:v>1819</x:v>
      </x:c>
      <x:c r="F37" s="277" t="s">
        <x:v>118</x:v>
      </x:c>
      <x:c r="G37" s="277" t="s">
        <x:v>118</x:v>
      </x:c>
      <x:c r="H37" s="277" t="s">
        <x:v>118</x:v>
      </x:c>
      <x:c r="I37" s="277" t="s">
        <x:v>118</x:v>
      </x:c>
      <x:c r="J37" s="277" t="s">
        <x:v>118</x:v>
      </x:c>
      <x:c r="K37" s="277" t="s">
        <x:v>118</x:v>
      </x:c>
      <x:c r="L37" s="277" t="s">
        <x:v>118</x:v>
      </x:c>
      <x:c r="M37" s="277" t="s">
        <x:v>118</x:v>
      </x:c>
      <x:c r="N37" s="277" t="s">
        <x:v>118</x:v>
      </x:c>
      <x:c r="O37" s="277" t="s">
        <x:v>118</x:v>
      </x:c>
      <x:c r="P37" s="277" t="s">
        <x:v>118</x:v>
      </x:c>
      <x:c r="Q37" s="277" t="s">
        <x:v>118</x:v>
      </x:c>
      <x:c r="R37" s="277" t="s">
        <x:v>118</x:v>
      </x:c>
      <x:c r="S37" s="277" t="s">
        <x:v>118</x:v>
      </x:c>
      <x:c r="T37" s="277" t="s">
        <x:v>118</x:v>
      </x:c>
      <x:c r="U37" s="277" t="s">
        <x:v>118</x:v>
      </x:c>
      <x:c r="V37" s="277" t="s">
        <x:v>118</x:v>
      </x:c>
      <x:c r="W37" s="277" t="s">
        <x:v>118</x:v>
      </x:c>
      <x:c r="X37" s="277" t="s">
        <x:v>118</x:v>
      </x:c>
      <x:c r="Y37" s="277" t="s">
        <x:v>118</x:v>
      </x:c>
      <x:c r="Z37" s="277" t="s">
        <x:v>118</x:v>
      </x:c>
      <x:c r="AA37" s="277" t="s">
        <x:v>118</x:v>
      </x:c>
      <x:c r="AB37" s="277" t="s">
        <x:v>118</x:v>
      </x:c>
      <x:c r="AC37" s="277" t="s">
        <x:v>118</x:v>
      </x:c>
      <x:c r="AD37" s="277" t="s">
        <x:v>118</x:v>
      </x:c>
      <x:c r="AE37" s="277" t="s">
        <x:v>118</x:v>
      </x:c>
      <x:c r="AF37" s="277" t="s">
        <x:v>118</x:v>
      </x:c>
      <x:c r="AG37" s="277" t="s">
        <x:v>118</x:v>
      </x:c>
      <x:c r="AH37" s="277" t="s">
        <x:v>118</x:v>
      </x:c>
      <x:c r="AI37" s="277" t="s">
        <x:v>118</x:v>
      </x:c>
      <x:c r="AJ37" s="277" t="s">
        <x:v>118</x:v>
      </x:c>
      <x:c r="AK37" s="220">
        <x:f>COUNTIF(F37:AJ37,"X")</x:f>
      </x:c>
      <x:c r="AL37" s="221"/>
      <x:c r="AM37" s="221"/>
      <x:c r="AN37" s="222"/>
      <x:c r="AO37" s="222"/>
      <x:c r="AP37" s="228"/>
      <x:c r="AQ37" s="228"/>
      <x:c r="AR37" s="228"/>
      <x:c r="AS37" s="228"/>
      <x:c r="AT37" s="230"/>
    </x:row>
    <x:row r="38" spans="1:47" ht="19.9" customHeight="1">
      <x:c r="A38" s="274" t="s">
        <x:v>1820</x:v>
      </x:c>
      <x:c r="B38" s="216"/>
      <x:c r="C38" s="275" t="s">
        <x:v>1821</x:v>
      </x:c>
      <x:c r="D38" s="274" t="s">
        <x:v>919</x:v>
      </x:c>
      <x:c r="E38" s="276" t="s">
        <x:v>1822</x:v>
      </x:c>
      <x:c r="F38" s="277" t="s">
        <x:v>118</x:v>
      </x:c>
      <x:c r="G38" s="277" t="s">
        <x:v>118</x:v>
      </x:c>
      <x:c r="H38" s="277" t="s">
        <x:v>118</x:v>
      </x:c>
      <x:c r="I38" s="277" t="s">
        <x:v>118</x:v>
      </x:c>
      <x:c r="J38" s="277" t="s">
        <x:v>118</x:v>
      </x:c>
      <x:c r="K38" s="277" t="s">
        <x:v>118</x:v>
      </x:c>
      <x:c r="L38" s="277" t="s">
        <x:v>118</x:v>
      </x:c>
      <x:c r="M38" s="277" t="s">
        <x:v>118</x:v>
      </x:c>
      <x:c r="N38" s="277" t="s">
        <x:v>118</x:v>
      </x:c>
      <x:c r="O38" s="277" t="s">
        <x:v>118</x:v>
      </x:c>
      <x:c r="P38" s="277" t="s">
        <x:v>118</x:v>
      </x:c>
      <x:c r="Q38" s="277" t="s">
        <x:v>118</x:v>
      </x:c>
      <x:c r="R38" s="277" t="s">
        <x:v>118</x:v>
      </x:c>
      <x:c r="S38" s="277" t="s">
        <x:v>118</x:v>
      </x:c>
      <x:c r="T38" s="277" t="s">
        <x:v>118</x:v>
      </x:c>
      <x:c r="U38" s="277" t="s">
        <x:v>118</x:v>
      </x:c>
      <x:c r="V38" s="277" t="s">
        <x:v>118</x:v>
      </x:c>
      <x:c r="W38" s="277" t="s">
        <x:v>118</x:v>
      </x:c>
      <x:c r="X38" s="277" t="s">
        <x:v>118</x:v>
      </x:c>
      <x:c r="Y38" s="277" t="s">
        <x:v>118</x:v>
      </x:c>
      <x:c r="Z38" s="277" t="s">
        <x:v>118</x:v>
      </x:c>
      <x:c r="AA38" s="277" t="s">
        <x:v>118</x:v>
      </x:c>
      <x:c r="AB38" s="277" t="s">
        <x:v>118</x:v>
      </x:c>
      <x:c r="AC38" s="277" t="s">
        <x:v>118</x:v>
      </x:c>
      <x:c r="AD38" s="277" t="s">
        <x:v>118</x:v>
      </x:c>
      <x:c r="AE38" s="277" t="s">
        <x:v>118</x:v>
      </x:c>
      <x:c r="AF38" s="277" t="s">
        <x:v>118</x:v>
      </x:c>
      <x:c r="AG38" s="277" t="s">
        <x:v>118</x:v>
      </x:c>
      <x:c r="AH38" s="277" t="s">
        <x:v>118</x:v>
      </x:c>
      <x:c r="AI38" s="277" t="s">
        <x:v>118</x:v>
      </x:c>
      <x:c r="AJ38" s="277" t="s">
        <x:v>118</x:v>
      </x:c>
      <x:c r="AK38" s="220">
        <x:f>COUNTIF(F38:AJ38,"X")</x:f>
      </x:c>
      <x:c r="AL38" s="221"/>
      <x:c r="AM38" s="221"/>
      <x:c r="AN38" s="222"/>
      <x:c r="AO38" s="222"/>
      <x:c r="AP38" s="228"/>
      <x:c r="AQ38" s="228"/>
      <x:c r="AR38" s="228"/>
      <x:c r="AS38" s="228"/>
      <x:c r="AT38" s="230"/>
    </x:row>
    <x:row r="39" spans="1:47" ht="19.9" customHeight="1">
      <x:c r="A39" s="274" t="s">
        <x:v>1823</x:v>
      </x:c>
      <x:c r="B39" s="216"/>
      <x:c r="C39" s="275" t="s">
        <x:v>1824</x:v>
      </x:c>
      <x:c r="D39" s="274" t="s">
        <x:v>1825</x:v>
      </x:c>
      <x:c r="E39" s="276" t="s">
        <x:v>1826</x:v>
      </x:c>
      <x:c r="F39" s="277" t="s">
        <x:v>118</x:v>
      </x:c>
      <x:c r="G39" s="277" t="s">
        <x:v>118</x:v>
      </x:c>
      <x:c r="H39" s="277" t="s">
        <x:v>118</x:v>
      </x:c>
      <x:c r="I39" s="277" t="s">
        <x:v>118</x:v>
      </x:c>
      <x:c r="J39" s="277" t="s">
        <x:v>118</x:v>
      </x:c>
      <x:c r="K39" s="277" t="s">
        <x:v>118</x:v>
      </x:c>
      <x:c r="L39" s="277" t="s">
        <x:v>118</x:v>
      </x:c>
      <x:c r="M39" s="277" t="s">
        <x:v>118</x:v>
      </x:c>
      <x:c r="N39" s="277" t="s">
        <x:v>118</x:v>
      </x:c>
      <x:c r="O39" s="277" t="s">
        <x:v>118</x:v>
      </x:c>
      <x:c r="P39" s="277" t="s">
        <x:v>118</x:v>
      </x:c>
      <x:c r="Q39" s="277" t="s">
        <x:v>118</x:v>
      </x:c>
      <x:c r="R39" s="277" t="s">
        <x:v>118</x:v>
      </x:c>
      <x:c r="S39" s="277" t="s">
        <x:v>118</x:v>
      </x:c>
      <x:c r="T39" s="277" t="s">
        <x:v>118</x:v>
      </x:c>
      <x:c r="U39" s="277" t="s">
        <x:v>118</x:v>
      </x:c>
      <x:c r="V39" s="277" t="s">
        <x:v>118</x:v>
      </x:c>
      <x:c r="W39" s="277" t="s">
        <x:v>118</x:v>
      </x:c>
      <x:c r="X39" s="277" t="s">
        <x:v>118</x:v>
      </x:c>
      <x:c r="Y39" s="277" t="s">
        <x:v>118</x:v>
      </x:c>
      <x:c r="Z39" s="277" t="s">
        <x:v>118</x:v>
      </x:c>
      <x:c r="AA39" s="277" t="s">
        <x:v>118</x:v>
      </x:c>
      <x:c r="AB39" s="277" t="s">
        <x:v>118</x:v>
      </x:c>
      <x:c r="AC39" s="277" t="s">
        <x:v>118</x:v>
      </x:c>
      <x:c r="AD39" s="277" t="s">
        <x:v>118</x:v>
      </x:c>
      <x:c r="AE39" s="277" t="s">
        <x:v>118</x:v>
      </x:c>
      <x:c r="AF39" s="277" t="s">
        <x:v>118</x:v>
      </x:c>
      <x:c r="AG39" s="277" t="s">
        <x:v>118</x:v>
      </x:c>
      <x:c r="AH39" s="277" t="s">
        <x:v>118</x:v>
      </x:c>
      <x:c r="AI39" s="277" t="s">
        <x:v>118</x:v>
      </x:c>
      <x:c r="AJ39" s="277" t="s">
        <x:v>118</x:v>
      </x:c>
      <x:c r="AK39" s="220">
        <x:f>COUNTIF(F39:AJ39,"X")</x:f>
      </x:c>
      <x:c r="AL39" s="221"/>
      <x:c r="AM39" s="221"/>
      <x:c r="AN39" s="222"/>
      <x:c r="AO39" s="222"/>
      <x:c r="AP39" s="228"/>
      <x:c r="AQ39" s="228"/>
      <x:c r="AR39" s="228"/>
      <x:c r="AS39" s="228"/>
      <x:c r="AT39" s="230"/>
    </x:row>
    <x:row r="40" spans="1:47" ht="19.9" customHeight="1">
      <x:c r="A40" s="274" t="s">
        <x:v>1827</x:v>
      </x:c>
      <x:c r="B40" s="216"/>
      <x:c r="C40" s="275" t="s">
        <x:v>1828</x:v>
      </x:c>
      <x:c r="D40" s="274" t="s">
        <x:v>200</x:v>
      </x:c>
      <x:c r="E40" s="276" t="s">
        <x:v>486</x:v>
      </x:c>
      <x:c r="F40" s="277" t="s">
        <x:v>118</x:v>
      </x:c>
      <x:c r="G40" s="277" t="s">
        <x:v>118</x:v>
      </x:c>
      <x:c r="H40" s="277" t="s">
        <x:v>118</x:v>
      </x:c>
      <x:c r="I40" s="277" t="s">
        <x:v>118</x:v>
      </x:c>
      <x:c r="J40" s="277" t="s">
        <x:v>118</x:v>
      </x:c>
      <x:c r="K40" s="277" t="s">
        <x:v>118</x:v>
      </x:c>
      <x:c r="L40" s="277" t="s">
        <x:v>118</x:v>
      </x:c>
      <x:c r="M40" s="277" t="s">
        <x:v>118</x:v>
      </x:c>
      <x:c r="N40" s="277" t="s">
        <x:v>118</x:v>
      </x:c>
      <x:c r="O40" s="277" t="s">
        <x:v>118</x:v>
      </x:c>
      <x:c r="P40" s="277" t="s">
        <x:v>118</x:v>
      </x:c>
      <x:c r="Q40" s="277" t="s">
        <x:v>118</x:v>
      </x:c>
      <x:c r="R40" s="277" t="s">
        <x:v>118</x:v>
      </x:c>
      <x:c r="S40" s="277" t="s">
        <x:v>118</x:v>
      </x:c>
      <x:c r="T40" s="277" t="s">
        <x:v>118</x:v>
      </x:c>
      <x:c r="U40" s="277" t="s">
        <x:v>118</x:v>
      </x:c>
      <x:c r="V40" s="277" t="s">
        <x:v>118</x:v>
      </x:c>
      <x:c r="W40" s="277" t="s">
        <x:v>118</x:v>
      </x:c>
      <x:c r="X40" s="277" t="s">
        <x:v>118</x:v>
      </x:c>
      <x:c r="Y40" s="277" t="s">
        <x:v>118</x:v>
      </x:c>
      <x:c r="Z40" s="277" t="s">
        <x:v>118</x:v>
      </x:c>
      <x:c r="AA40" s="277" t="s">
        <x:v>118</x:v>
      </x:c>
      <x:c r="AB40" s="277" t="s">
        <x:v>118</x:v>
      </x:c>
      <x:c r="AC40" s="277" t="s">
        <x:v>118</x:v>
      </x:c>
      <x:c r="AD40" s="277" t="s">
        <x:v>118</x:v>
      </x:c>
      <x:c r="AE40" s="277" t="s">
        <x:v>118</x:v>
      </x:c>
      <x:c r="AF40" s="277" t="s">
        <x:v>118</x:v>
      </x:c>
      <x:c r="AG40" s="277" t="s">
        <x:v>118</x:v>
      </x:c>
      <x:c r="AH40" s="277" t="s">
        <x:v>118</x:v>
      </x:c>
      <x:c r="AI40" s="277" t="s">
        <x:v>118</x:v>
      </x:c>
      <x:c r="AJ40" s="277" t="s">
        <x:v>118</x:v>
      </x:c>
      <x:c r="AK40" s="220">
        <x:f>COUNTIF(F40:AJ40,"X")</x:f>
      </x:c>
      <x:c r="AL40" s="221"/>
      <x:c r="AM40" s="221"/>
      <x:c r="AN40" s="222"/>
      <x:c r="AO40" s="222"/>
      <x:c r="AP40" s="228"/>
      <x:c r="AQ40" s="228"/>
      <x:c r="AR40" s="228"/>
      <x:c r="AS40" s="228"/>
      <x:c r="AT40" s="230"/>
    </x:row>
    <x:row r="41" spans="1:47" ht="19.9" customHeight="1">
      <x:c r="A41" s="274" t="s">
        <x:v>1829</x:v>
      </x:c>
      <x:c r="B41" s="216"/>
      <x:c r="C41" s="275" t="s">
        <x:v>1830</x:v>
      </x:c>
      <x:c r="D41" s="274" t="s">
        <x:v>1831</x:v>
      </x:c>
      <x:c r="E41" s="276" t="s">
        <x:v>1832</x:v>
      </x:c>
      <x:c r="F41" s="277" t="s">
        <x:v>118</x:v>
      </x:c>
      <x:c r="G41" s="277" t="s">
        <x:v>118</x:v>
      </x:c>
      <x:c r="H41" s="277" t="s">
        <x:v>118</x:v>
      </x:c>
      <x:c r="I41" s="277" t="s">
        <x:v>118</x:v>
      </x:c>
      <x:c r="J41" s="277" t="s">
        <x:v>118</x:v>
      </x:c>
      <x:c r="K41" s="277" t="s">
        <x:v>118</x:v>
      </x:c>
      <x:c r="L41" s="277" t="s">
        <x:v>118</x:v>
      </x:c>
      <x:c r="M41" s="277" t="s">
        <x:v>118</x:v>
      </x:c>
      <x:c r="N41" s="277" t="s">
        <x:v>118</x:v>
      </x:c>
      <x:c r="O41" s="277" t="s">
        <x:v>118</x:v>
      </x:c>
      <x:c r="P41" s="277" t="s">
        <x:v>118</x:v>
      </x:c>
      <x:c r="Q41" s="277" t="s">
        <x:v>118</x:v>
      </x:c>
      <x:c r="R41" s="277" t="s">
        <x:v>118</x:v>
      </x:c>
      <x:c r="S41" s="277" t="s">
        <x:v>118</x:v>
      </x:c>
      <x:c r="T41" s="277" t="s">
        <x:v>118</x:v>
      </x:c>
      <x:c r="U41" s="277" t="s">
        <x:v>118</x:v>
      </x:c>
      <x:c r="V41" s="277" t="s">
        <x:v>118</x:v>
      </x:c>
      <x:c r="W41" s="277" t="s">
        <x:v>118</x:v>
      </x:c>
      <x:c r="X41" s="277" t="s">
        <x:v>118</x:v>
      </x:c>
      <x:c r="Y41" s="277" t="s">
        <x:v>118</x:v>
      </x:c>
      <x:c r="Z41" s="277" t="s">
        <x:v>118</x:v>
      </x:c>
      <x:c r="AA41" s="277" t="s">
        <x:v>118</x:v>
      </x:c>
      <x:c r="AB41" s="277" t="s">
        <x:v>118</x:v>
      </x:c>
      <x:c r="AC41" s="277" t="s">
        <x:v>118</x:v>
      </x:c>
      <x:c r="AD41" s="277" t="s">
        <x:v>118</x:v>
      </x:c>
      <x:c r="AE41" s="277" t="s">
        <x:v>118</x:v>
      </x:c>
      <x:c r="AF41" s="277" t="s">
        <x:v>118</x:v>
      </x:c>
      <x:c r="AG41" s="277" t="s">
        <x:v>118</x:v>
      </x:c>
      <x:c r="AH41" s="277" t="s">
        <x:v>118</x:v>
      </x:c>
      <x:c r="AI41" s="277" t="s">
        <x:v>118</x:v>
      </x:c>
      <x:c r="AJ41" s="277" t="s">
        <x:v>118</x:v>
      </x:c>
      <x:c r="AK41" s="220">
        <x:f>COUNTIF(F41:AJ41,"X")</x:f>
      </x:c>
      <x:c r="AL41" s="221"/>
      <x:c r="AM41" s="221"/>
      <x:c r="AN41" s="222"/>
      <x:c r="AO41" s="222"/>
      <x:c r="AP41" s="228"/>
      <x:c r="AQ41" s="228"/>
      <x:c r="AR41" s="228"/>
      <x:c r="AS41" s="228"/>
      <x:c r="AT41" s="230"/>
    </x:row>
    <x:row r="42" spans="1:47" ht="19.9" customHeight="1">
      <x:c r="A42" s="274" t="s">
        <x:v>1833</x:v>
      </x:c>
      <x:c r="B42" s="216"/>
      <x:c r="C42" s="275" t="s">
        <x:v>1834</x:v>
      </x:c>
      <x:c r="D42" s="274" t="s">
        <x:v>1831</x:v>
      </x:c>
      <x:c r="E42" s="276" t="s">
        <x:v>1184</x:v>
      </x:c>
      <x:c r="F42" s="277" t="s">
        <x:v>118</x:v>
      </x:c>
      <x:c r="G42" s="277" t="s">
        <x:v>118</x:v>
      </x:c>
      <x:c r="H42" s="277" t="s">
        <x:v>118</x:v>
      </x:c>
      <x:c r="I42" s="277" t="s">
        <x:v>118</x:v>
      </x:c>
      <x:c r="J42" s="277" t="s">
        <x:v>118</x:v>
      </x:c>
      <x:c r="K42" s="277" t="s">
        <x:v>118</x:v>
      </x:c>
      <x:c r="L42" s="277" t="s">
        <x:v>118</x:v>
      </x:c>
      <x:c r="M42" s="277" t="s">
        <x:v>118</x:v>
      </x:c>
      <x:c r="N42" s="277" t="s">
        <x:v>118</x:v>
      </x:c>
      <x:c r="O42" s="277" t="s">
        <x:v>118</x:v>
      </x:c>
      <x:c r="P42" s="277" t="s">
        <x:v>118</x:v>
      </x:c>
      <x:c r="Q42" s="277" t="s">
        <x:v>118</x:v>
      </x:c>
      <x:c r="R42" s="277" t="s">
        <x:v>118</x:v>
      </x:c>
      <x:c r="S42" s="277" t="s">
        <x:v>118</x:v>
      </x:c>
      <x:c r="T42" s="277" t="s">
        <x:v>118</x:v>
      </x:c>
      <x:c r="U42" s="277" t="s">
        <x:v>118</x:v>
      </x:c>
      <x:c r="V42" s="277" t="s">
        <x:v>118</x:v>
      </x:c>
      <x:c r="W42" s="277" t="s">
        <x:v>118</x:v>
      </x:c>
      <x:c r="X42" s="277" t="s">
        <x:v>118</x:v>
      </x:c>
      <x:c r="Y42" s="277" t="s">
        <x:v>118</x:v>
      </x:c>
      <x:c r="Z42" s="277" t="s">
        <x:v>118</x:v>
      </x:c>
      <x:c r="AA42" s="277" t="s">
        <x:v>118</x:v>
      </x:c>
      <x:c r="AB42" s="277" t="s">
        <x:v>118</x:v>
      </x:c>
      <x:c r="AC42" s="277" t="s">
        <x:v>118</x:v>
      </x:c>
      <x:c r="AD42" s="277" t="s">
        <x:v>118</x:v>
      </x:c>
      <x:c r="AE42" s="277" t="s">
        <x:v>118</x:v>
      </x:c>
      <x:c r="AF42" s="277" t="s">
        <x:v>118</x:v>
      </x:c>
      <x:c r="AG42" s="277" t="s">
        <x:v>118</x:v>
      </x:c>
      <x:c r="AH42" s="277" t="s">
        <x:v>118</x:v>
      </x:c>
      <x:c r="AI42" s="277" t="s">
        <x:v>118</x:v>
      </x:c>
      <x:c r="AJ42" s="277" t="s">
        <x:v>118</x:v>
      </x:c>
      <x:c r="AK42" s="220">
        <x:f>COUNTIF(F42:AJ42,"X")</x:f>
      </x:c>
      <x:c r="AL42" s="221"/>
      <x:c r="AM42" s="221"/>
      <x:c r="AN42" s="222"/>
      <x:c r="AO42" s="222"/>
      <x:c r="AP42" s="228"/>
      <x:c r="AQ42" s="228"/>
      <x:c r="AR42" s="228"/>
      <x:c r="AS42" s="228"/>
      <x:c r="AT42" s="230"/>
    </x:row>
    <x:row r="43" spans="1:47" ht="19.9" customHeight="1">
      <x:c r="A43" s="274" t="s">
        <x:v>1835</x:v>
      </x:c>
      <x:c r="B43" s="216"/>
      <x:c r="C43" s="275" t="s">
        <x:v>1836</x:v>
      </x:c>
      <x:c r="D43" s="274" t="s">
        <x:v>1837</x:v>
      </x:c>
      <x:c r="E43" s="276" t="s">
        <x:v>1838</x:v>
      </x:c>
      <x:c r="F43" s="277" t="s">
        <x:v>118</x:v>
      </x:c>
      <x:c r="G43" s="277" t="s">
        <x:v>118</x:v>
      </x:c>
      <x:c r="H43" s="277" t="s">
        <x:v>118</x:v>
      </x:c>
      <x:c r="I43" s="277" t="s">
        <x:v>118</x:v>
      </x:c>
      <x:c r="J43" s="277" t="s">
        <x:v>118</x:v>
      </x:c>
      <x:c r="K43" s="277" t="s">
        <x:v>118</x:v>
      </x:c>
      <x:c r="L43" s="277" t="s">
        <x:v>118</x:v>
      </x:c>
      <x:c r="M43" s="277" t="s">
        <x:v>118</x:v>
      </x:c>
      <x:c r="N43" s="277" t="s">
        <x:v>118</x:v>
      </x:c>
      <x:c r="O43" s="277" t="s">
        <x:v>118</x:v>
      </x:c>
      <x:c r="P43" s="277" t="s">
        <x:v>118</x:v>
      </x:c>
      <x:c r="Q43" s="277" t="s">
        <x:v>118</x:v>
      </x:c>
      <x:c r="R43" s="277" t="s">
        <x:v>118</x:v>
      </x:c>
      <x:c r="S43" s="277" t="s">
        <x:v>118</x:v>
      </x:c>
      <x:c r="T43" s="277" t="s">
        <x:v>118</x:v>
      </x:c>
      <x:c r="U43" s="277" t="s">
        <x:v>118</x:v>
      </x:c>
      <x:c r="V43" s="277" t="s">
        <x:v>118</x:v>
      </x:c>
      <x:c r="W43" s="277" t="s">
        <x:v>118</x:v>
      </x:c>
      <x:c r="X43" s="277" t="s">
        <x:v>118</x:v>
      </x:c>
      <x:c r="Y43" s="277" t="s">
        <x:v>118</x:v>
      </x:c>
      <x:c r="Z43" s="277" t="s">
        <x:v>118</x:v>
      </x:c>
      <x:c r="AA43" s="277" t="s">
        <x:v>118</x:v>
      </x:c>
      <x:c r="AB43" s="277" t="s">
        <x:v>118</x:v>
      </x:c>
      <x:c r="AC43" s="277" t="s">
        <x:v>118</x:v>
      </x:c>
      <x:c r="AD43" s="277" t="s">
        <x:v>118</x:v>
      </x:c>
      <x:c r="AE43" s="277" t="s">
        <x:v>118</x:v>
      </x:c>
      <x:c r="AF43" s="277" t="s">
        <x:v>118</x:v>
      </x:c>
      <x:c r="AG43" s="277" t="s">
        <x:v>118</x:v>
      </x:c>
      <x:c r="AH43" s="277" t="s">
        <x:v>118</x:v>
      </x:c>
      <x:c r="AI43" s="277" t="s">
        <x:v>118</x:v>
      </x:c>
      <x:c r="AJ43" s="277" t="s">
        <x:v>118</x:v>
      </x:c>
      <x:c r="AK43" s="220">
        <x:f>COUNTIF(F43:AJ43,"X")</x:f>
      </x:c>
      <x:c r="AL43" s="221"/>
      <x:c r="AM43" s="221"/>
      <x:c r="AN43" s="222"/>
      <x:c r="AO43" s="222"/>
      <x:c r="AP43" s="228"/>
      <x:c r="AQ43" s="228"/>
      <x:c r="AR43" s="228"/>
      <x:c r="AS43" s="228"/>
      <x:c r="AT43" s="230"/>
    </x:row>
    <x:row r="44" spans="1:47" ht="19.9" customHeight="1">
      <x:c r="A44" s="274" t="s">
        <x:v>1839</x:v>
      </x:c>
      <x:c r="B44" s="216"/>
      <x:c r="C44" s="275" t="s">
        <x:v>1840</x:v>
      </x:c>
      <x:c r="D44" s="274" t="s">
        <x:v>1841</x:v>
      </x:c>
      <x:c r="E44" s="276" t="s">
        <x:v>1842</x:v>
      </x:c>
      <x:c r="F44" s="277" t="s">
        <x:v>118</x:v>
      </x:c>
      <x:c r="G44" s="277" t="s">
        <x:v>118</x:v>
      </x:c>
      <x:c r="H44" s="277" t="s">
        <x:v>118</x:v>
      </x:c>
      <x:c r="I44" s="277" t="s">
        <x:v>118</x:v>
      </x:c>
      <x:c r="J44" s="277" t="s">
        <x:v>118</x:v>
      </x:c>
      <x:c r="K44" s="277" t="s">
        <x:v>118</x:v>
      </x:c>
      <x:c r="L44" s="277" t="s">
        <x:v>118</x:v>
      </x:c>
      <x:c r="M44" s="277" t="s">
        <x:v>118</x:v>
      </x:c>
      <x:c r="N44" s="277" t="s">
        <x:v>118</x:v>
      </x:c>
      <x:c r="O44" s="277" t="s">
        <x:v>118</x:v>
      </x:c>
      <x:c r="P44" s="277" t="s">
        <x:v>118</x:v>
      </x:c>
      <x:c r="Q44" s="277" t="s">
        <x:v>118</x:v>
      </x:c>
      <x:c r="R44" s="277" t="s">
        <x:v>118</x:v>
      </x:c>
      <x:c r="S44" s="277" t="s">
        <x:v>118</x:v>
      </x:c>
      <x:c r="T44" s="277" t="s">
        <x:v>118</x:v>
      </x:c>
      <x:c r="U44" s="277" t="s">
        <x:v>118</x:v>
      </x:c>
      <x:c r="V44" s="277" t="s">
        <x:v>118</x:v>
      </x:c>
      <x:c r="W44" s="277" t="s">
        <x:v>118</x:v>
      </x:c>
      <x:c r="X44" s="277" t="s">
        <x:v>118</x:v>
      </x:c>
      <x:c r="Y44" s="277" t="s">
        <x:v>118</x:v>
      </x:c>
      <x:c r="Z44" s="277" t="s">
        <x:v>118</x:v>
      </x:c>
      <x:c r="AA44" s="277" t="s">
        <x:v>118</x:v>
      </x:c>
      <x:c r="AB44" s="277" t="s">
        <x:v>118</x:v>
      </x:c>
      <x:c r="AC44" s="277" t="s">
        <x:v>118</x:v>
      </x:c>
      <x:c r="AD44" s="277" t="s">
        <x:v>118</x:v>
      </x:c>
      <x:c r="AE44" s="277" t="s">
        <x:v>118</x:v>
      </x:c>
      <x:c r="AF44" s="277" t="s">
        <x:v>118</x:v>
      </x:c>
      <x:c r="AG44" s="277" t="s">
        <x:v>118</x:v>
      </x:c>
      <x:c r="AH44" s="277" t="s">
        <x:v>118</x:v>
      </x:c>
      <x:c r="AI44" s="277" t="s">
        <x:v>118</x:v>
      </x:c>
      <x:c r="AJ44" s="277" t="s">
        <x:v>118</x:v>
      </x:c>
      <x:c r="AK44" s="220">
        <x:f>COUNTIF(F44:AJ44,"X")</x:f>
      </x:c>
      <x:c r="AL44" s="221"/>
      <x:c r="AM44" s="221"/>
      <x:c r="AN44" s="222"/>
      <x:c r="AO44" s="222"/>
      <x:c r="AP44" s="228"/>
      <x:c r="AQ44" s="228"/>
      <x:c r="AR44" s="228"/>
      <x:c r="AS44" s="228"/>
      <x:c r="AT44" s="230"/>
    </x:row>
    <x:row r="45" spans="1:47" ht="19.9" customHeight="1">
      <x:c r="A45" s="274" t="s">
        <x:v>1843</x:v>
      </x:c>
      <x:c r="B45" s="216"/>
      <x:c r="C45" s="275" t="s">
        <x:v>1844</x:v>
      </x:c>
      <x:c r="D45" s="274" t="s">
        <x:v>204</x:v>
      </x:c>
      <x:c r="E45" s="276" t="s">
        <x:v>1845</x:v>
      </x:c>
      <x:c r="F45" s="277" t="s">
        <x:v>118</x:v>
      </x:c>
      <x:c r="G45" s="277" t="s">
        <x:v>118</x:v>
      </x:c>
      <x:c r="H45" s="277" t="s">
        <x:v>118</x:v>
      </x:c>
      <x:c r="I45" s="277" t="s">
        <x:v>118</x:v>
      </x:c>
      <x:c r="J45" s="277" t="s">
        <x:v>118</x:v>
      </x:c>
      <x:c r="K45" s="277" t="s">
        <x:v>118</x:v>
      </x:c>
      <x:c r="L45" s="277" t="s">
        <x:v>118</x:v>
      </x:c>
      <x:c r="M45" s="277" t="s">
        <x:v>118</x:v>
      </x:c>
      <x:c r="N45" s="277" t="s">
        <x:v>118</x:v>
      </x:c>
      <x:c r="O45" s="277" t="s">
        <x:v>118</x:v>
      </x:c>
      <x:c r="P45" s="277" t="s">
        <x:v>118</x:v>
      </x:c>
      <x:c r="Q45" s="277" t="s">
        <x:v>118</x:v>
      </x:c>
      <x:c r="R45" s="277" t="s">
        <x:v>118</x:v>
      </x:c>
      <x:c r="S45" s="277" t="s">
        <x:v>118</x:v>
      </x:c>
      <x:c r="T45" s="277" t="s">
        <x:v>118</x:v>
      </x:c>
      <x:c r="U45" s="277" t="s">
        <x:v>118</x:v>
      </x:c>
      <x:c r="V45" s="277" t="s">
        <x:v>118</x:v>
      </x:c>
      <x:c r="W45" s="277" t="s">
        <x:v>118</x:v>
      </x:c>
      <x:c r="X45" s="277" t="s">
        <x:v>118</x:v>
      </x:c>
      <x:c r="Y45" s="277" t="s">
        <x:v>118</x:v>
      </x:c>
      <x:c r="Z45" s="277" t="s">
        <x:v>118</x:v>
      </x:c>
      <x:c r="AA45" s="277" t="s">
        <x:v>118</x:v>
      </x:c>
      <x:c r="AB45" s="277" t="s">
        <x:v>118</x:v>
      </x:c>
      <x:c r="AC45" s="277" t="s">
        <x:v>118</x:v>
      </x:c>
      <x:c r="AD45" s="277" t="s">
        <x:v>118</x:v>
      </x:c>
      <x:c r="AE45" s="277" t="s">
        <x:v>118</x:v>
      </x:c>
      <x:c r="AF45" s="277" t="s">
        <x:v>118</x:v>
      </x:c>
      <x:c r="AG45" s="277" t="s">
        <x:v>118</x:v>
      </x:c>
      <x:c r="AH45" s="277" t="s">
        <x:v>118</x:v>
      </x:c>
      <x:c r="AI45" s="277" t="s">
        <x:v>118</x:v>
      </x:c>
      <x:c r="AJ45" s="277" t="s">
        <x:v>118</x:v>
      </x:c>
      <x:c r="AK45" s="220">
        <x:f>COUNTIF(F45:AJ45,"X")</x:f>
      </x:c>
      <x:c r="AL45" s="221"/>
      <x:c r="AM45" s="221"/>
      <x:c r="AN45" s="222"/>
      <x:c r="AO45" s="222"/>
      <x:c r="AP45" s="228"/>
      <x:c r="AQ45" s="228"/>
      <x:c r="AR45" s="228"/>
      <x:c r="AS45" s="228"/>
      <x:c r="AT45" s="230"/>
    </x:row>
    <x:row r="46" spans="1:47" ht="19.9" customHeight="1">
      <x:c r="A46" s="274" t="s">
        <x:v>1846</x:v>
      </x:c>
      <x:c r="B46" s="216"/>
      <x:c r="C46" s="275" t="s">
        <x:v>1847</x:v>
      </x:c>
      <x:c r="D46" s="274" t="s">
        <x:v>204</x:v>
      </x:c>
      <x:c r="E46" s="276" t="s">
        <x:v>1848</x:v>
      </x:c>
      <x:c r="F46" s="277" t="s">
        <x:v>118</x:v>
      </x:c>
      <x:c r="G46" s="277" t="s">
        <x:v>118</x:v>
      </x:c>
      <x:c r="H46" s="277" t="s">
        <x:v>118</x:v>
      </x:c>
      <x:c r="I46" s="277" t="s">
        <x:v>118</x:v>
      </x:c>
      <x:c r="J46" s="277" t="s">
        <x:v>118</x:v>
      </x:c>
      <x:c r="K46" s="277" t="s">
        <x:v>118</x:v>
      </x:c>
      <x:c r="L46" s="277" t="s">
        <x:v>118</x:v>
      </x:c>
      <x:c r="M46" s="277" t="s">
        <x:v>118</x:v>
      </x:c>
      <x:c r="N46" s="277" t="s">
        <x:v>118</x:v>
      </x:c>
      <x:c r="O46" s="277" t="s">
        <x:v>118</x:v>
      </x:c>
      <x:c r="P46" s="277" t="s">
        <x:v>118</x:v>
      </x:c>
      <x:c r="Q46" s="277" t="s">
        <x:v>118</x:v>
      </x:c>
      <x:c r="R46" s="277" t="s">
        <x:v>118</x:v>
      </x:c>
      <x:c r="S46" s="277" t="s">
        <x:v>118</x:v>
      </x:c>
      <x:c r="T46" s="277" t="s">
        <x:v>118</x:v>
      </x:c>
      <x:c r="U46" s="277" t="s">
        <x:v>118</x:v>
      </x:c>
      <x:c r="V46" s="277" t="s">
        <x:v>118</x:v>
      </x:c>
      <x:c r="W46" s="277" t="s">
        <x:v>118</x:v>
      </x:c>
      <x:c r="X46" s="277" t="s">
        <x:v>118</x:v>
      </x:c>
      <x:c r="Y46" s="277" t="s">
        <x:v>118</x:v>
      </x:c>
      <x:c r="Z46" s="277" t="s">
        <x:v>118</x:v>
      </x:c>
      <x:c r="AA46" s="277" t="s">
        <x:v>118</x:v>
      </x:c>
      <x:c r="AB46" s="277" t="s">
        <x:v>118</x:v>
      </x:c>
      <x:c r="AC46" s="277" t="s">
        <x:v>118</x:v>
      </x:c>
      <x:c r="AD46" s="277" t="s">
        <x:v>118</x:v>
      </x:c>
      <x:c r="AE46" s="277" t="s">
        <x:v>118</x:v>
      </x:c>
      <x:c r="AF46" s="277" t="s">
        <x:v>118</x:v>
      </x:c>
      <x:c r="AG46" s="277" t="s">
        <x:v>118</x:v>
      </x:c>
      <x:c r="AH46" s="277" t="s">
        <x:v>118</x:v>
      </x:c>
      <x:c r="AI46" s="277" t="s">
        <x:v>118</x:v>
      </x:c>
      <x:c r="AJ46" s="277" t="s">
        <x:v>118</x:v>
      </x:c>
      <x:c r="AK46" s="220">
        <x:f>COUNTIF(F46:AJ46,"X")</x:f>
      </x:c>
      <x:c r="AL46" s="221"/>
      <x:c r="AM46" s="221"/>
      <x:c r="AN46" s="222"/>
      <x:c r="AO46" s="222"/>
      <x:c r="AP46" s="228"/>
      <x:c r="AQ46" s="228"/>
      <x:c r="AR46" s="228"/>
      <x:c r="AS46" s="228"/>
      <x:c r="AT46" s="230"/>
    </x:row>
    <x:row r="47" spans="1:47" ht="19.9" customHeight="1">
      <x:c r="A47" s="274" t="s">
        <x:v>1849</x:v>
      </x:c>
      <x:c r="B47" s="216"/>
      <x:c r="C47" s="275" t="s">
        <x:v>1850</x:v>
      </x:c>
      <x:c r="D47" s="274" t="s">
        <x:v>1851</x:v>
      </x:c>
      <x:c r="E47" s="276" t="s">
        <x:v>323</x:v>
      </x:c>
      <x:c r="F47" s="277" t="s">
        <x:v>118</x:v>
      </x:c>
      <x:c r="G47" s="277" t="s">
        <x:v>118</x:v>
      </x:c>
      <x:c r="H47" s="277" t="s">
        <x:v>118</x:v>
      </x:c>
      <x:c r="I47" s="277" t="s">
        <x:v>118</x:v>
      </x:c>
      <x:c r="J47" s="277" t="s">
        <x:v>118</x:v>
      </x:c>
      <x:c r="K47" s="277" t="s">
        <x:v>118</x:v>
      </x:c>
      <x:c r="L47" s="277" t="s">
        <x:v>118</x:v>
      </x:c>
      <x:c r="M47" s="277" t="s">
        <x:v>118</x:v>
      </x:c>
      <x:c r="N47" s="277" t="s">
        <x:v>118</x:v>
      </x:c>
      <x:c r="O47" s="277" t="s">
        <x:v>118</x:v>
      </x:c>
      <x:c r="P47" s="277" t="s">
        <x:v>118</x:v>
      </x:c>
      <x:c r="Q47" s="277" t="s">
        <x:v>118</x:v>
      </x:c>
      <x:c r="R47" s="277" t="s">
        <x:v>118</x:v>
      </x:c>
      <x:c r="S47" s="277" t="s">
        <x:v>118</x:v>
      </x:c>
      <x:c r="T47" s="277" t="s">
        <x:v>118</x:v>
      </x:c>
      <x:c r="U47" s="277" t="s">
        <x:v>118</x:v>
      </x:c>
      <x:c r="V47" s="277" t="s">
        <x:v>118</x:v>
      </x:c>
      <x:c r="W47" s="277" t="s">
        <x:v>118</x:v>
      </x:c>
      <x:c r="X47" s="277" t="s">
        <x:v>118</x:v>
      </x:c>
      <x:c r="Y47" s="277" t="s">
        <x:v>118</x:v>
      </x:c>
      <x:c r="Z47" s="277" t="s">
        <x:v>118</x:v>
      </x:c>
      <x:c r="AA47" s="277" t="s">
        <x:v>118</x:v>
      </x:c>
      <x:c r="AB47" s="277" t="s">
        <x:v>118</x:v>
      </x:c>
      <x:c r="AC47" s="277" t="s">
        <x:v>118</x:v>
      </x:c>
      <x:c r="AD47" s="277" t="s">
        <x:v>118</x:v>
      </x:c>
      <x:c r="AE47" s="277" t="s">
        <x:v>118</x:v>
      </x:c>
      <x:c r="AF47" s="277" t="s">
        <x:v>118</x:v>
      </x:c>
      <x:c r="AG47" s="277" t="s">
        <x:v>118</x:v>
      </x:c>
      <x:c r="AH47" s="277" t="s">
        <x:v>118</x:v>
      </x:c>
      <x:c r="AI47" s="277" t="s">
        <x:v>118</x:v>
      </x:c>
      <x:c r="AJ47" s="277" t="s">
        <x:v>118</x:v>
      </x:c>
      <x:c r="AK47" s="220">
        <x:f>COUNTIF(F47:AJ47,"X")</x:f>
      </x:c>
      <x:c r="AL47" s="221"/>
      <x:c r="AM47" s="221"/>
      <x:c r="AN47" s="222"/>
      <x:c r="AO47" s="222"/>
      <x:c r="AP47" s="228"/>
      <x:c r="AQ47" s="228"/>
      <x:c r="AR47" s="228"/>
      <x:c r="AS47" s="228"/>
      <x:c r="AT47" s="230"/>
    </x:row>
    <x:row r="48" spans="1:47" ht="19.9" customHeight="1">
      <x:c r="A48" s="274" t="s">
        <x:v>1852</x:v>
      </x:c>
      <x:c r="B48" s="216"/>
      <x:c r="C48" s="275" t="s">
        <x:v>1853</x:v>
      </x:c>
      <x:c r="D48" s="274" t="s">
        <x:v>947</x:v>
      </x:c>
      <x:c r="E48" s="276" t="s">
        <x:v>1854</x:v>
      </x:c>
      <x:c r="F48" s="277" t="s">
        <x:v>118</x:v>
      </x:c>
      <x:c r="G48" s="277" t="s">
        <x:v>118</x:v>
      </x:c>
      <x:c r="H48" s="277" t="s">
        <x:v>118</x:v>
      </x:c>
      <x:c r="I48" s="277" t="s">
        <x:v>118</x:v>
      </x:c>
      <x:c r="J48" s="277" t="s">
        <x:v>118</x:v>
      </x:c>
      <x:c r="K48" s="277" t="s">
        <x:v>118</x:v>
      </x:c>
      <x:c r="L48" s="277" t="s">
        <x:v>118</x:v>
      </x:c>
      <x:c r="M48" s="277" t="s">
        <x:v>118</x:v>
      </x:c>
      <x:c r="N48" s="277" t="s">
        <x:v>118</x:v>
      </x:c>
      <x:c r="O48" s="277" t="s">
        <x:v>118</x:v>
      </x:c>
      <x:c r="P48" s="277" t="s">
        <x:v>118</x:v>
      </x:c>
      <x:c r="Q48" s="277" t="s">
        <x:v>118</x:v>
      </x:c>
      <x:c r="R48" s="277" t="s">
        <x:v>118</x:v>
      </x:c>
      <x:c r="S48" s="277" t="s">
        <x:v>118</x:v>
      </x:c>
      <x:c r="T48" s="277" t="s">
        <x:v>118</x:v>
      </x:c>
      <x:c r="U48" s="277" t="s">
        <x:v>118</x:v>
      </x:c>
      <x:c r="V48" s="277" t="s">
        <x:v>118</x:v>
      </x:c>
      <x:c r="W48" s="277" t="s">
        <x:v>118</x:v>
      </x:c>
      <x:c r="X48" s="277" t="s">
        <x:v>118</x:v>
      </x:c>
      <x:c r="Y48" s="277" t="s">
        <x:v>118</x:v>
      </x:c>
      <x:c r="Z48" s="277" t="s">
        <x:v>118</x:v>
      </x:c>
      <x:c r="AA48" s="277" t="s">
        <x:v>118</x:v>
      </x:c>
      <x:c r="AB48" s="277" t="s">
        <x:v>118</x:v>
      </x:c>
      <x:c r="AC48" s="277" t="s">
        <x:v>118</x:v>
      </x:c>
      <x:c r="AD48" s="277" t="s">
        <x:v>118</x:v>
      </x:c>
      <x:c r="AE48" s="277" t="s">
        <x:v>118</x:v>
      </x:c>
      <x:c r="AF48" s="277" t="s">
        <x:v>118</x:v>
      </x:c>
      <x:c r="AG48" s="277" t="s">
        <x:v>118</x:v>
      </x:c>
      <x:c r="AH48" s="277" t="s">
        <x:v>118</x:v>
      </x:c>
      <x:c r="AI48" s="277" t="s">
        <x:v>118</x:v>
      </x:c>
      <x:c r="AJ48" s="277" t="s">
        <x:v>118</x:v>
      </x:c>
      <x:c r="AK48" s="220">
        <x:f>COUNTIF(F48:AJ48,"X")</x:f>
      </x:c>
      <x:c r="AL48" s="221"/>
      <x:c r="AM48" s="221"/>
      <x:c r="AN48" s="222"/>
      <x:c r="AO48" s="222"/>
      <x:c r="AP48" s="228"/>
      <x:c r="AQ48" s="228"/>
      <x:c r="AR48" s="228"/>
      <x:c r="AS48" s="228"/>
      <x:c r="AT48" s="230"/>
    </x:row>
    <x:row r="49" spans="1:47" ht="19.9" customHeight="1">
      <x:c r="A49" s="274" t="s">
        <x:v>1855</x:v>
      </x:c>
      <x:c r="B49" s="216"/>
      <x:c r="C49" s="275" t="s">
        <x:v>1856</x:v>
      </x:c>
      <x:c r="D49" s="274" t="s">
        <x:v>208</x:v>
      </x:c>
      <x:c r="E49" s="276" t="s">
        <x:v>1657</x:v>
      </x:c>
      <x:c r="F49" s="277" t="s">
        <x:v>118</x:v>
      </x:c>
      <x:c r="G49" s="277" t="s">
        <x:v>118</x:v>
      </x:c>
      <x:c r="H49" s="277" t="s">
        <x:v>118</x:v>
      </x:c>
      <x:c r="I49" s="277" t="s">
        <x:v>118</x:v>
      </x:c>
      <x:c r="J49" s="277" t="s">
        <x:v>118</x:v>
      </x:c>
      <x:c r="K49" s="277" t="s">
        <x:v>118</x:v>
      </x:c>
      <x:c r="L49" s="277" t="s">
        <x:v>118</x:v>
      </x:c>
      <x:c r="M49" s="277" t="s">
        <x:v>118</x:v>
      </x:c>
      <x:c r="N49" s="277" t="s">
        <x:v>118</x:v>
      </x:c>
      <x:c r="O49" s="277" t="s">
        <x:v>118</x:v>
      </x:c>
      <x:c r="P49" s="277" t="s">
        <x:v>118</x:v>
      </x:c>
      <x:c r="Q49" s="277" t="s">
        <x:v>118</x:v>
      </x:c>
      <x:c r="R49" s="277" t="s">
        <x:v>118</x:v>
      </x:c>
      <x:c r="S49" s="277" t="s">
        <x:v>118</x:v>
      </x:c>
      <x:c r="T49" s="277" t="s">
        <x:v>118</x:v>
      </x:c>
      <x:c r="U49" s="277" t="s">
        <x:v>118</x:v>
      </x:c>
      <x:c r="V49" s="277" t="s">
        <x:v>118</x:v>
      </x:c>
      <x:c r="W49" s="277" t="s">
        <x:v>118</x:v>
      </x:c>
      <x:c r="X49" s="277" t="s">
        <x:v>118</x:v>
      </x:c>
      <x:c r="Y49" s="277" t="s">
        <x:v>118</x:v>
      </x:c>
      <x:c r="Z49" s="277" t="s">
        <x:v>118</x:v>
      </x:c>
      <x:c r="AA49" s="277" t="s">
        <x:v>118</x:v>
      </x:c>
      <x:c r="AB49" s="277" t="s">
        <x:v>118</x:v>
      </x:c>
      <x:c r="AC49" s="277" t="s">
        <x:v>118</x:v>
      </x:c>
      <x:c r="AD49" s="277" t="s">
        <x:v>118</x:v>
      </x:c>
      <x:c r="AE49" s="277" t="s">
        <x:v>118</x:v>
      </x:c>
      <x:c r="AF49" s="277" t="s">
        <x:v>118</x:v>
      </x:c>
      <x:c r="AG49" s="277" t="s">
        <x:v>118</x:v>
      </x:c>
      <x:c r="AH49" s="277" t="s">
        <x:v>118</x:v>
      </x:c>
      <x:c r="AI49" s="277" t="s">
        <x:v>118</x:v>
      </x:c>
      <x:c r="AJ49" s="277" t="s">
        <x:v>118</x:v>
      </x:c>
      <x:c r="AK49" s="220">
        <x:f>COUNTIF(F49:AJ49,"X")</x:f>
      </x:c>
      <x:c r="AL49" s="221"/>
      <x:c r="AM49" s="221"/>
      <x:c r="AN49" s="222"/>
      <x:c r="AO49" s="222"/>
      <x:c r="AP49" s="228"/>
      <x:c r="AQ49" s="228"/>
      <x:c r="AR49" s="228"/>
      <x:c r="AS49" s="228"/>
      <x:c r="AT49" s="230"/>
    </x:row>
    <x:row r="50" spans="1:47" ht="19.9" customHeight="1">
      <x:c r="A50" s="274" t="s">
        <x:v>1857</x:v>
      </x:c>
      <x:c r="B50" s="216"/>
      <x:c r="C50" s="275" t="s">
        <x:v>1858</x:v>
      </x:c>
      <x:c r="D50" s="274" t="s">
        <x:v>1859</x:v>
      </x:c>
      <x:c r="E50" s="276" t="s">
        <x:v>1860</x:v>
      </x:c>
      <x:c r="F50" s="277" t="s">
        <x:v>118</x:v>
      </x:c>
      <x:c r="G50" s="277" t="s">
        <x:v>118</x:v>
      </x:c>
      <x:c r="H50" s="277" t="s">
        <x:v>118</x:v>
      </x:c>
      <x:c r="I50" s="277" t="s">
        <x:v>118</x:v>
      </x:c>
      <x:c r="J50" s="277" t="s">
        <x:v>118</x:v>
      </x:c>
      <x:c r="K50" s="277" t="s">
        <x:v>118</x:v>
      </x:c>
      <x:c r="L50" s="277" t="s">
        <x:v>118</x:v>
      </x:c>
      <x:c r="M50" s="277" t="s">
        <x:v>118</x:v>
      </x:c>
      <x:c r="N50" s="277" t="s">
        <x:v>118</x:v>
      </x:c>
      <x:c r="O50" s="277" t="s">
        <x:v>118</x:v>
      </x:c>
      <x:c r="P50" s="277" t="s">
        <x:v>118</x:v>
      </x:c>
      <x:c r="Q50" s="277" t="s">
        <x:v>118</x:v>
      </x:c>
      <x:c r="R50" s="277" t="s">
        <x:v>118</x:v>
      </x:c>
      <x:c r="S50" s="277" t="s">
        <x:v>118</x:v>
      </x:c>
      <x:c r="T50" s="277" t="s">
        <x:v>118</x:v>
      </x:c>
      <x:c r="U50" s="277" t="s">
        <x:v>118</x:v>
      </x:c>
      <x:c r="V50" s="277" t="s">
        <x:v>118</x:v>
      </x:c>
      <x:c r="W50" s="277" t="s">
        <x:v>118</x:v>
      </x:c>
      <x:c r="X50" s="277" t="s">
        <x:v>118</x:v>
      </x:c>
      <x:c r="Y50" s="277" t="s">
        <x:v>118</x:v>
      </x:c>
      <x:c r="Z50" s="277" t="s">
        <x:v>118</x:v>
      </x:c>
      <x:c r="AA50" s="277" t="s">
        <x:v>118</x:v>
      </x:c>
      <x:c r="AB50" s="277" t="s">
        <x:v>118</x:v>
      </x:c>
      <x:c r="AC50" s="277" t="s">
        <x:v>118</x:v>
      </x:c>
      <x:c r="AD50" s="277" t="s">
        <x:v>118</x:v>
      </x:c>
      <x:c r="AE50" s="277" t="s">
        <x:v>118</x:v>
      </x:c>
      <x:c r="AF50" s="277" t="s">
        <x:v>118</x:v>
      </x:c>
      <x:c r="AG50" s="277" t="s">
        <x:v>118</x:v>
      </x:c>
      <x:c r="AH50" s="277" t="s">
        <x:v>118</x:v>
      </x:c>
      <x:c r="AI50" s="277" t="s">
        <x:v>118</x:v>
      </x:c>
      <x:c r="AJ50" s="277" t="s">
        <x:v>118</x:v>
      </x:c>
      <x:c r="AK50" s="220">
        <x:f>COUNTIF(F50:AJ50,"X")</x:f>
      </x:c>
      <x:c r="AL50" s="221"/>
      <x:c r="AM50" s="221"/>
      <x:c r="AN50" s="222"/>
      <x:c r="AO50" s="222"/>
      <x:c r="AP50" s="228"/>
      <x:c r="AQ50" s="228"/>
      <x:c r="AR50" s="228"/>
      <x:c r="AS50" s="228"/>
      <x:c r="AT50" s="230"/>
    </x:row>
    <x:row r="51" spans="1:47" ht="19.9" customHeight="1">
      <x:c r="A51" s="274" t="s">
        <x:v>1861</x:v>
      </x:c>
      <x:c r="B51" s="216"/>
      <x:c r="C51" s="275" t="s">
        <x:v>1862</x:v>
      </x:c>
      <x:c r="D51" s="274" t="s">
        <x:v>1859</x:v>
      </x:c>
      <x:c r="E51" s="276" t="s">
        <x:v>397</x:v>
      </x:c>
      <x:c r="F51" s="277" t="s">
        <x:v>118</x:v>
      </x:c>
      <x:c r="G51" s="277" t="s">
        <x:v>118</x:v>
      </x:c>
      <x:c r="H51" s="277" t="s">
        <x:v>118</x:v>
      </x:c>
      <x:c r="I51" s="277" t="s">
        <x:v>118</x:v>
      </x:c>
      <x:c r="J51" s="277" t="s">
        <x:v>118</x:v>
      </x:c>
      <x:c r="K51" s="277" t="s">
        <x:v>118</x:v>
      </x:c>
      <x:c r="L51" s="277" t="s">
        <x:v>118</x:v>
      </x:c>
      <x:c r="M51" s="277" t="s">
        <x:v>118</x:v>
      </x:c>
      <x:c r="N51" s="277" t="s">
        <x:v>118</x:v>
      </x:c>
      <x:c r="O51" s="277" t="s">
        <x:v>118</x:v>
      </x:c>
      <x:c r="P51" s="277" t="s">
        <x:v>118</x:v>
      </x:c>
      <x:c r="Q51" s="277" t="s">
        <x:v>118</x:v>
      </x:c>
      <x:c r="R51" s="277" t="s">
        <x:v>118</x:v>
      </x:c>
      <x:c r="S51" s="277" t="s">
        <x:v>118</x:v>
      </x:c>
      <x:c r="T51" s="277" t="s">
        <x:v>118</x:v>
      </x:c>
      <x:c r="U51" s="277" t="s">
        <x:v>118</x:v>
      </x:c>
      <x:c r="V51" s="277" t="s">
        <x:v>118</x:v>
      </x:c>
      <x:c r="W51" s="277" t="s">
        <x:v>118</x:v>
      </x:c>
      <x:c r="X51" s="277" t="s">
        <x:v>118</x:v>
      </x:c>
      <x:c r="Y51" s="277" t="s">
        <x:v>118</x:v>
      </x:c>
      <x:c r="Z51" s="277" t="s">
        <x:v>118</x:v>
      </x:c>
      <x:c r="AA51" s="277" t="s">
        <x:v>118</x:v>
      </x:c>
      <x:c r="AB51" s="277" t="s">
        <x:v>118</x:v>
      </x:c>
      <x:c r="AC51" s="277" t="s">
        <x:v>118</x:v>
      </x:c>
      <x:c r="AD51" s="277" t="s">
        <x:v>118</x:v>
      </x:c>
      <x:c r="AE51" s="277" t="s">
        <x:v>118</x:v>
      </x:c>
      <x:c r="AF51" s="277" t="s">
        <x:v>118</x:v>
      </x:c>
      <x:c r="AG51" s="277" t="s">
        <x:v>118</x:v>
      </x:c>
      <x:c r="AH51" s="277" t="s">
        <x:v>118</x:v>
      </x:c>
      <x:c r="AI51" s="277" t="s">
        <x:v>118</x:v>
      </x:c>
      <x:c r="AJ51" s="277" t="s">
        <x:v>118</x:v>
      </x:c>
      <x:c r="AK51" s="220">
        <x:f>COUNTIF(F51:AJ51,"X")</x:f>
      </x:c>
      <x:c r="AL51" s="221"/>
      <x:c r="AM51" s="221"/>
      <x:c r="AN51" s="222"/>
      <x:c r="AO51" s="222"/>
      <x:c r="AP51" s="228"/>
      <x:c r="AQ51" s="228"/>
      <x:c r="AR51" s="228"/>
      <x:c r="AS51" s="228"/>
      <x:c r="AT51" s="230"/>
    </x:row>
    <x:row r="52" spans="1:47" ht="19.9" customHeight="1">
      <x:c r="A52" s="274" t="s">
        <x:v>1863</x:v>
      </x:c>
      <x:c r="B52" s="216"/>
      <x:c r="C52" s="275" t="s">
        <x:v>1864</x:v>
      </x:c>
      <x:c r="D52" s="274" t="s">
        <x:v>1859</x:v>
      </x:c>
      <x:c r="E52" s="276" t="s">
        <x:v>1865</x:v>
      </x:c>
      <x:c r="F52" s="277" t="s">
        <x:v>118</x:v>
      </x:c>
      <x:c r="G52" s="277" t="s">
        <x:v>118</x:v>
      </x:c>
      <x:c r="H52" s="277" t="s">
        <x:v>118</x:v>
      </x:c>
      <x:c r="I52" s="277" t="s">
        <x:v>118</x:v>
      </x:c>
      <x:c r="J52" s="277" t="s">
        <x:v>118</x:v>
      </x:c>
      <x:c r="K52" s="277" t="s">
        <x:v>118</x:v>
      </x:c>
      <x:c r="L52" s="277" t="s">
        <x:v>118</x:v>
      </x:c>
      <x:c r="M52" s="277" t="s">
        <x:v>118</x:v>
      </x:c>
      <x:c r="N52" s="277" t="s">
        <x:v>118</x:v>
      </x:c>
      <x:c r="O52" s="277" t="s">
        <x:v>118</x:v>
      </x:c>
      <x:c r="P52" s="277" t="s">
        <x:v>118</x:v>
      </x:c>
      <x:c r="Q52" s="277" t="s">
        <x:v>118</x:v>
      </x:c>
      <x:c r="R52" s="277" t="s">
        <x:v>118</x:v>
      </x:c>
      <x:c r="S52" s="277" t="s">
        <x:v>118</x:v>
      </x:c>
      <x:c r="T52" s="277" t="s">
        <x:v>118</x:v>
      </x:c>
      <x:c r="U52" s="277" t="s">
        <x:v>118</x:v>
      </x:c>
      <x:c r="V52" s="277" t="s">
        <x:v>118</x:v>
      </x:c>
      <x:c r="W52" s="277" t="s">
        <x:v>118</x:v>
      </x:c>
      <x:c r="X52" s="277" t="s">
        <x:v>118</x:v>
      </x:c>
      <x:c r="Y52" s="277" t="s">
        <x:v>118</x:v>
      </x:c>
      <x:c r="Z52" s="277" t="s">
        <x:v>118</x:v>
      </x:c>
      <x:c r="AA52" s="277" t="s">
        <x:v>118</x:v>
      </x:c>
      <x:c r="AB52" s="277" t="s">
        <x:v>118</x:v>
      </x:c>
      <x:c r="AC52" s="277" t="s">
        <x:v>118</x:v>
      </x:c>
      <x:c r="AD52" s="277" t="s">
        <x:v>118</x:v>
      </x:c>
      <x:c r="AE52" s="277" t="s">
        <x:v>118</x:v>
      </x:c>
      <x:c r="AF52" s="277" t="s">
        <x:v>118</x:v>
      </x:c>
      <x:c r="AG52" s="277" t="s">
        <x:v>118</x:v>
      </x:c>
      <x:c r="AH52" s="277" t="s">
        <x:v>118</x:v>
      </x:c>
      <x:c r="AI52" s="277" t="s">
        <x:v>118</x:v>
      </x:c>
      <x:c r="AJ52" s="277" t="s">
        <x:v>118</x:v>
      </x:c>
      <x:c r="AK52" s="220">
        <x:f>COUNTIF(F52:AJ52,"X")</x:f>
      </x:c>
      <x:c r="AL52" s="221"/>
      <x:c r="AM52" s="221"/>
      <x:c r="AN52" s="222"/>
      <x:c r="AO52" s="222"/>
      <x:c r="AP52" s="228"/>
      <x:c r="AQ52" s="228"/>
      <x:c r="AR52" s="228"/>
      <x:c r="AS52" s="228"/>
      <x:c r="AT52" s="230"/>
    </x:row>
    <x:row r="53" spans="1:47" ht="19.9" customHeight="1">
      <x:c r="A53" s="274" t="s">
        <x:v>1866</x:v>
      </x:c>
      <x:c r="B53" s="216"/>
      <x:c r="C53" s="275" t="s">
        <x:v>1867</x:v>
      </x:c>
      <x:c r="D53" s="274" t="s">
        <x:v>1868</x:v>
      </x:c>
      <x:c r="E53" s="276" t="s">
        <x:v>1869</x:v>
      </x:c>
      <x:c r="F53" s="277" t="s">
        <x:v>118</x:v>
      </x:c>
      <x:c r="G53" s="277" t="s">
        <x:v>118</x:v>
      </x:c>
      <x:c r="H53" s="277" t="s">
        <x:v>118</x:v>
      </x:c>
      <x:c r="I53" s="277" t="s">
        <x:v>118</x:v>
      </x:c>
      <x:c r="J53" s="277" t="s">
        <x:v>118</x:v>
      </x:c>
      <x:c r="K53" s="277" t="s">
        <x:v>118</x:v>
      </x:c>
      <x:c r="L53" s="277" t="s">
        <x:v>118</x:v>
      </x:c>
      <x:c r="M53" s="277" t="s">
        <x:v>118</x:v>
      </x:c>
      <x:c r="N53" s="277" t="s">
        <x:v>118</x:v>
      </x:c>
      <x:c r="O53" s="277" t="s">
        <x:v>118</x:v>
      </x:c>
      <x:c r="P53" s="277" t="s">
        <x:v>118</x:v>
      </x:c>
      <x:c r="Q53" s="277" t="s">
        <x:v>118</x:v>
      </x:c>
      <x:c r="R53" s="277" t="s">
        <x:v>118</x:v>
      </x:c>
      <x:c r="S53" s="277" t="s">
        <x:v>118</x:v>
      </x:c>
      <x:c r="T53" s="277" t="s">
        <x:v>118</x:v>
      </x:c>
      <x:c r="U53" s="277" t="s">
        <x:v>118</x:v>
      </x:c>
      <x:c r="V53" s="277" t="s">
        <x:v>118</x:v>
      </x:c>
      <x:c r="W53" s="277" t="s">
        <x:v>118</x:v>
      </x:c>
      <x:c r="X53" s="277" t="s">
        <x:v>118</x:v>
      </x:c>
      <x:c r="Y53" s="277" t="s">
        <x:v>118</x:v>
      </x:c>
      <x:c r="Z53" s="277" t="s">
        <x:v>118</x:v>
      </x:c>
      <x:c r="AA53" s="277" t="s">
        <x:v>118</x:v>
      </x:c>
      <x:c r="AB53" s="277" t="s">
        <x:v>118</x:v>
      </x:c>
      <x:c r="AC53" s="277" t="s">
        <x:v>118</x:v>
      </x:c>
      <x:c r="AD53" s="277" t="s">
        <x:v>118</x:v>
      </x:c>
      <x:c r="AE53" s="277" t="s">
        <x:v>118</x:v>
      </x:c>
      <x:c r="AF53" s="277" t="s">
        <x:v>118</x:v>
      </x:c>
      <x:c r="AG53" s="277" t="s">
        <x:v>118</x:v>
      </x:c>
      <x:c r="AH53" s="277" t="s">
        <x:v>118</x:v>
      </x:c>
      <x:c r="AI53" s="277" t="s">
        <x:v>118</x:v>
      </x:c>
      <x:c r="AJ53" s="277" t="s">
        <x:v>118</x:v>
      </x:c>
      <x:c r="AK53" s="220">
        <x:f>COUNTIF(F53:AJ53,"X")</x:f>
      </x:c>
      <x:c r="AL53" s="221"/>
      <x:c r="AM53" s="221"/>
      <x:c r="AN53" s="222"/>
      <x:c r="AO53" s="222"/>
      <x:c r="AP53" s="228"/>
      <x:c r="AQ53" s="228"/>
      <x:c r="AR53" s="228"/>
      <x:c r="AS53" s="228"/>
      <x:c r="AT53" s="230"/>
    </x:row>
    <x:row r="54" spans="1:47" ht="19.9" customHeight="1">
      <x:c r="A54" s="274" t="s">
        <x:v>1870</x:v>
      </x:c>
      <x:c r="B54" s="216"/>
      <x:c r="C54" s="275" t="s">
        <x:v>1871</x:v>
      </x:c>
      <x:c r="D54" s="274" t="s">
        <x:v>1868</x:v>
      </x:c>
      <x:c r="E54" s="276" t="s">
        <x:v>1872</x:v>
      </x:c>
      <x:c r="F54" s="277" t="s">
        <x:v>118</x:v>
      </x:c>
      <x:c r="G54" s="277" t="s">
        <x:v>118</x:v>
      </x:c>
      <x:c r="H54" s="277" t="s">
        <x:v>118</x:v>
      </x:c>
      <x:c r="I54" s="277" t="s">
        <x:v>118</x:v>
      </x:c>
      <x:c r="J54" s="277" t="s">
        <x:v>118</x:v>
      </x:c>
      <x:c r="K54" s="277" t="s">
        <x:v>118</x:v>
      </x:c>
      <x:c r="L54" s="277" t="s">
        <x:v>118</x:v>
      </x:c>
      <x:c r="M54" s="277" t="s">
        <x:v>118</x:v>
      </x:c>
      <x:c r="N54" s="277" t="s">
        <x:v>118</x:v>
      </x:c>
      <x:c r="O54" s="277" t="s">
        <x:v>118</x:v>
      </x:c>
      <x:c r="P54" s="277" t="s">
        <x:v>118</x:v>
      </x:c>
      <x:c r="Q54" s="277" t="s">
        <x:v>118</x:v>
      </x:c>
      <x:c r="R54" s="277" t="s">
        <x:v>118</x:v>
      </x:c>
      <x:c r="S54" s="277" t="s">
        <x:v>118</x:v>
      </x:c>
      <x:c r="T54" s="277" t="s">
        <x:v>118</x:v>
      </x:c>
      <x:c r="U54" s="277" t="s">
        <x:v>118</x:v>
      </x:c>
      <x:c r="V54" s="277" t="s">
        <x:v>118</x:v>
      </x:c>
      <x:c r="W54" s="277" t="s">
        <x:v>118</x:v>
      </x:c>
      <x:c r="X54" s="277" t="s">
        <x:v>118</x:v>
      </x:c>
      <x:c r="Y54" s="277" t="s">
        <x:v>118</x:v>
      </x:c>
      <x:c r="Z54" s="277" t="s">
        <x:v>118</x:v>
      </x:c>
      <x:c r="AA54" s="277" t="s">
        <x:v>118</x:v>
      </x:c>
      <x:c r="AB54" s="277" t="s">
        <x:v>118</x:v>
      </x:c>
      <x:c r="AC54" s="277" t="s">
        <x:v>118</x:v>
      </x:c>
      <x:c r="AD54" s="277" t="s">
        <x:v>118</x:v>
      </x:c>
      <x:c r="AE54" s="277" t="s">
        <x:v>118</x:v>
      </x:c>
      <x:c r="AF54" s="277" t="s">
        <x:v>118</x:v>
      </x:c>
      <x:c r="AG54" s="277" t="s">
        <x:v>118</x:v>
      </x:c>
      <x:c r="AH54" s="277" t="s">
        <x:v>118</x:v>
      </x:c>
      <x:c r="AI54" s="277" t="s">
        <x:v>118</x:v>
      </x:c>
      <x:c r="AJ54" s="277" t="s">
        <x:v>118</x:v>
      </x:c>
      <x:c r="AK54" s="220">
        <x:f>COUNTIF(F54:AJ54,"X")</x:f>
      </x:c>
      <x:c r="AL54" s="221"/>
      <x:c r="AM54" s="221"/>
      <x:c r="AN54" s="222"/>
      <x:c r="AO54" s="222"/>
      <x:c r="AP54" s="228"/>
      <x:c r="AQ54" s="228"/>
      <x:c r="AR54" s="228"/>
      <x:c r="AS54" s="228"/>
      <x:c r="AT54" s="230"/>
    </x:row>
    <x:row r="55" spans="1:47" ht="19.9" customHeight="1">
      <x:c r="A55" s="274" t="s">
        <x:v>1873</x:v>
      </x:c>
      <x:c r="B55" s="216"/>
      <x:c r="C55" s="275" t="s">
        <x:v>1874</x:v>
      </x:c>
      <x:c r="D55" s="274" t="s">
        <x:v>969</x:v>
      </x:c>
      <x:c r="E55" s="276" t="s">
        <x:v>877</x:v>
      </x:c>
      <x:c r="F55" s="277" t="s">
        <x:v>118</x:v>
      </x:c>
      <x:c r="G55" s="277" t="s">
        <x:v>118</x:v>
      </x:c>
      <x:c r="H55" s="277" t="s">
        <x:v>118</x:v>
      </x:c>
      <x:c r="I55" s="277" t="s">
        <x:v>118</x:v>
      </x:c>
      <x:c r="J55" s="277" t="s">
        <x:v>118</x:v>
      </x:c>
      <x:c r="K55" s="277" t="s">
        <x:v>118</x:v>
      </x:c>
      <x:c r="L55" s="277" t="s">
        <x:v>118</x:v>
      </x:c>
      <x:c r="M55" s="277" t="s">
        <x:v>118</x:v>
      </x:c>
      <x:c r="N55" s="277" t="s">
        <x:v>118</x:v>
      </x:c>
      <x:c r="O55" s="277" t="s">
        <x:v>118</x:v>
      </x:c>
      <x:c r="P55" s="277" t="s">
        <x:v>118</x:v>
      </x:c>
      <x:c r="Q55" s="277" t="s">
        <x:v>118</x:v>
      </x:c>
      <x:c r="R55" s="277" t="s">
        <x:v>118</x:v>
      </x:c>
      <x:c r="S55" s="277" t="s">
        <x:v>118</x:v>
      </x:c>
      <x:c r="T55" s="277" t="s">
        <x:v>118</x:v>
      </x:c>
      <x:c r="U55" s="277" t="s">
        <x:v>118</x:v>
      </x:c>
      <x:c r="V55" s="277" t="s">
        <x:v>118</x:v>
      </x:c>
      <x:c r="W55" s="277" t="s">
        <x:v>118</x:v>
      </x:c>
      <x:c r="X55" s="277" t="s">
        <x:v>118</x:v>
      </x:c>
      <x:c r="Y55" s="277" t="s">
        <x:v>118</x:v>
      </x:c>
      <x:c r="Z55" s="277" t="s">
        <x:v>118</x:v>
      </x:c>
      <x:c r="AA55" s="277" t="s">
        <x:v>118</x:v>
      </x:c>
      <x:c r="AB55" s="277" t="s">
        <x:v>118</x:v>
      </x:c>
      <x:c r="AC55" s="277" t="s">
        <x:v>118</x:v>
      </x:c>
      <x:c r="AD55" s="277" t="s">
        <x:v>118</x:v>
      </x:c>
      <x:c r="AE55" s="277" t="s">
        <x:v>118</x:v>
      </x:c>
      <x:c r="AF55" s="277" t="s">
        <x:v>118</x:v>
      </x:c>
      <x:c r="AG55" s="277" t="s">
        <x:v>118</x:v>
      </x:c>
      <x:c r="AH55" s="277" t="s">
        <x:v>118</x:v>
      </x:c>
      <x:c r="AI55" s="277" t="s">
        <x:v>118</x:v>
      </x:c>
      <x:c r="AJ55" s="277" t="s">
        <x:v>118</x:v>
      </x:c>
      <x:c r="AK55" s="220">
        <x:f>COUNTIF(F55:AJ55,"X")</x:f>
      </x:c>
      <x:c r="AL55" s="221"/>
      <x:c r="AM55" s="221"/>
      <x:c r="AN55" s="222"/>
      <x:c r="AO55" s="222"/>
      <x:c r="AP55" s="228"/>
      <x:c r="AQ55" s="228"/>
      <x:c r="AR55" s="228"/>
      <x:c r="AS55" s="228"/>
      <x:c r="AT55" s="230"/>
    </x:row>
    <x:row r="56" spans="1:47" ht="19.9" customHeight="1">
      <x:c r="A56" s="274" t="s">
        <x:v>1875</x:v>
      </x:c>
      <x:c r="B56" s="216"/>
      <x:c r="C56" s="275" t="s">
        <x:v>1876</x:v>
      </x:c>
      <x:c r="D56" s="274" t="s">
        <x:v>223</x:v>
      </x:c>
      <x:c r="E56" s="276" t="s">
        <x:v>1877</x:v>
      </x:c>
      <x:c r="F56" s="277" t="s">
        <x:v>118</x:v>
      </x:c>
      <x:c r="G56" s="277" t="s">
        <x:v>118</x:v>
      </x:c>
      <x:c r="H56" s="277" t="s">
        <x:v>118</x:v>
      </x:c>
      <x:c r="I56" s="277" t="s">
        <x:v>118</x:v>
      </x:c>
      <x:c r="J56" s="277" t="s">
        <x:v>118</x:v>
      </x:c>
      <x:c r="K56" s="277" t="s">
        <x:v>118</x:v>
      </x:c>
      <x:c r="L56" s="277" t="s">
        <x:v>118</x:v>
      </x:c>
      <x:c r="M56" s="277" t="s">
        <x:v>118</x:v>
      </x:c>
      <x:c r="N56" s="277" t="s">
        <x:v>118</x:v>
      </x:c>
      <x:c r="O56" s="277" t="s">
        <x:v>118</x:v>
      </x:c>
      <x:c r="P56" s="277" t="s">
        <x:v>118</x:v>
      </x:c>
      <x:c r="Q56" s="277" t="s">
        <x:v>118</x:v>
      </x:c>
      <x:c r="R56" s="277" t="s">
        <x:v>118</x:v>
      </x:c>
      <x:c r="S56" s="277" t="s">
        <x:v>118</x:v>
      </x:c>
      <x:c r="T56" s="277" t="s">
        <x:v>118</x:v>
      </x:c>
      <x:c r="U56" s="277" t="s">
        <x:v>118</x:v>
      </x:c>
      <x:c r="V56" s="277" t="s">
        <x:v>118</x:v>
      </x:c>
      <x:c r="W56" s="277" t="s">
        <x:v>118</x:v>
      </x:c>
      <x:c r="X56" s="277" t="s">
        <x:v>118</x:v>
      </x:c>
      <x:c r="Y56" s="277" t="s">
        <x:v>118</x:v>
      </x:c>
      <x:c r="Z56" s="277" t="s">
        <x:v>118</x:v>
      </x:c>
      <x:c r="AA56" s="277" t="s">
        <x:v>118</x:v>
      </x:c>
      <x:c r="AB56" s="277" t="s">
        <x:v>118</x:v>
      </x:c>
      <x:c r="AC56" s="277" t="s">
        <x:v>118</x:v>
      </x:c>
      <x:c r="AD56" s="277" t="s">
        <x:v>118</x:v>
      </x:c>
      <x:c r="AE56" s="277" t="s">
        <x:v>118</x:v>
      </x:c>
      <x:c r="AF56" s="277" t="s">
        <x:v>118</x:v>
      </x:c>
      <x:c r="AG56" s="277" t="s">
        <x:v>118</x:v>
      </x:c>
      <x:c r="AH56" s="277" t="s">
        <x:v>118</x:v>
      </x:c>
      <x:c r="AI56" s="277" t="s">
        <x:v>118</x:v>
      </x:c>
      <x:c r="AJ56" s="277" t="s">
        <x:v>118</x:v>
      </x:c>
      <x:c r="AK56" s="220">
        <x:f>COUNTIF(F56:AJ56,"X")</x:f>
      </x:c>
      <x:c r="AL56" s="221"/>
      <x:c r="AM56" s="221"/>
      <x:c r="AN56" s="222"/>
      <x:c r="AO56" s="222"/>
      <x:c r="AP56" s="228"/>
      <x:c r="AQ56" s="228"/>
      <x:c r="AR56" s="228"/>
      <x:c r="AS56" s="228"/>
      <x:c r="AT56" s="230"/>
    </x:row>
    <x:row r="57" spans="1:47" ht="19.9" customHeight="1">
      <x:c r="A57" s="274" t="s">
        <x:v>1878</x:v>
      </x:c>
      <x:c r="B57" s="216"/>
      <x:c r="C57" s="275" t="s">
        <x:v>1879</x:v>
      </x:c>
      <x:c r="D57" s="274" t="s">
        <x:v>980</x:v>
      </x:c>
      <x:c r="E57" s="276" t="s">
        <x:v>1880</x:v>
      </x:c>
      <x:c r="F57" s="277" t="s">
        <x:v>118</x:v>
      </x:c>
      <x:c r="G57" s="277" t="s">
        <x:v>118</x:v>
      </x:c>
      <x:c r="H57" s="277" t="s">
        <x:v>118</x:v>
      </x:c>
      <x:c r="I57" s="277" t="s">
        <x:v>118</x:v>
      </x:c>
      <x:c r="J57" s="277" t="s">
        <x:v>118</x:v>
      </x:c>
      <x:c r="K57" s="277" t="s">
        <x:v>118</x:v>
      </x:c>
      <x:c r="L57" s="277" t="s">
        <x:v>118</x:v>
      </x:c>
      <x:c r="M57" s="277" t="s">
        <x:v>118</x:v>
      </x:c>
      <x:c r="N57" s="277" t="s">
        <x:v>118</x:v>
      </x:c>
      <x:c r="O57" s="277" t="s">
        <x:v>118</x:v>
      </x:c>
      <x:c r="P57" s="277" t="s">
        <x:v>118</x:v>
      </x:c>
      <x:c r="Q57" s="277" t="s">
        <x:v>118</x:v>
      </x:c>
      <x:c r="R57" s="277" t="s">
        <x:v>118</x:v>
      </x:c>
      <x:c r="S57" s="277" t="s">
        <x:v>118</x:v>
      </x:c>
      <x:c r="T57" s="277" t="s">
        <x:v>118</x:v>
      </x:c>
      <x:c r="U57" s="277" t="s">
        <x:v>118</x:v>
      </x:c>
      <x:c r="V57" s="277" t="s">
        <x:v>118</x:v>
      </x:c>
      <x:c r="W57" s="277" t="s">
        <x:v>118</x:v>
      </x:c>
      <x:c r="X57" s="277" t="s">
        <x:v>118</x:v>
      </x:c>
      <x:c r="Y57" s="277" t="s">
        <x:v>118</x:v>
      </x:c>
      <x:c r="Z57" s="277" t="s">
        <x:v>118</x:v>
      </x:c>
      <x:c r="AA57" s="277" t="s">
        <x:v>118</x:v>
      </x:c>
      <x:c r="AB57" s="277" t="s">
        <x:v>118</x:v>
      </x:c>
      <x:c r="AC57" s="277" t="s">
        <x:v>118</x:v>
      </x:c>
      <x:c r="AD57" s="277" t="s">
        <x:v>118</x:v>
      </x:c>
      <x:c r="AE57" s="277" t="s">
        <x:v>118</x:v>
      </x:c>
      <x:c r="AF57" s="277" t="s">
        <x:v>118</x:v>
      </x:c>
      <x:c r="AG57" s="277" t="s">
        <x:v>118</x:v>
      </x:c>
      <x:c r="AH57" s="277" t="s">
        <x:v>118</x:v>
      </x:c>
      <x:c r="AI57" s="277" t="s">
        <x:v>118</x:v>
      </x:c>
      <x:c r="AJ57" s="277" t="s">
        <x:v>118</x:v>
      </x:c>
      <x:c r="AK57" s="220">
        <x:f>COUNTIF(F57:AJ57,"X")</x:f>
      </x:c>
      <x:c r="AL57" s="221"/>
      <x:c r="AM57" s="221"/>
      <x:c r="AN57" s="222"/>
      <x:c r="AO57" s="222"/>
      <x:c r="AP57" s="228"/>
      <x:c r="AQ57" s="228"/>
      <x:c r="AR57" s="228"/>
      <x:c r="AS57" s="228"/>
      <x:c r="AT57" s="230"/>
    </x:row>
    <x:row r="58" spans="1:47" ht="19.9" customHeight="1">
      <x:c r="A58" s="274" t="s">
        <x:v>1881</x:v>
      </x:c>
      <x:c r="B58" s="216"/>
      <x:c r="C58" s="275" t="s">
        <x:v>1882</x:v>
      </x:c>
      <x:c r="D58" s="274" t="s">
        <x:v>980</x:v>
      </x:c>
      <x:c r="E58" s="276" t="s">
        <x:v>1883</x:v>
      </x:c>
      <x:c r="F58" s="277" t="s">
        <x:v>118</x:v>
      </x:c>
      <x:c r="G58" s="277" t="s">
        <x:v>118</x:v>
      </x:c>
      <x:c r="H58" s="277" t="s">
        <x:v>118</x:v>
      </x:c>
      <x:c r="I58" s="277" t="s">
        <x:v>118</x:v>
      </x:c>
      <x:c r="J58" s="277" t="s">
        <x:v>118</x:v>
      </x:c>
      <x:c r="K58" s="277" t="s">
        <x:v>118</x:v>
      </x:c>
      <x:c r="L58" s="277" t="s">
        <x:v>118</x:v>
      </x:c>
      <x:c r="M58" s="277" t="s">
        <x:v>118</x:v>
      </x:c>
      <x:c r="N58" s="277" t="s">
        <x:v>118</x:v>
      </x:c>
      <x:c r="O58" s="277" t="s">
        <x:v>118</x:v>
      </x:c>
      <x:c r="P58" s="277" t="s">
        <x:v>118</x:v>
      </x:c>
      <x:c r="Q58" s="277" t="s">
        <x:v>118</x:v>
      </x:c>
      <x:c r="R58" s="277" t="s">
        <x:v>118</x:v>
      </x:c>
      <x:c r="S58" s="277" t="s">
        <x:v>118</x:v>
      </x:c>
      <x:c r="T58" s="277" t="s">
        <x:v>118</x:v>
      </x:c>
      <x:c r="U58" s="277" t="s">
        <x:v>118</x:v>
      </x:c>
      <x:c r="V58" s="277" t="s">
        <x:v>118</x:v>
      </x:c>
      <x:c r="W58" s="277" t="s">
        <x:v>118</x:v>
      </x:c>
      <x:c r="X58" s="277" t="s">
        <x:v>118</x:v>
      </x:c>
      <x:c r="Y58" s="277" t="s">
        <x:v>118</x:v>
      </x:c>
      <x:c r="Z58" s="277" t="s">
        <x:v>118</x:v>
      </x:c>
      <x:c r="AA58" s="277" t="s">
        <x:v>118</x:v>
      </x:c>
      <x:c r="AB58" s="277" t="s">
        <x:v>118</x:v>
      </x:c>
      <x:c r="AC58" s="277" t="s">
        <x:v>118</x:v>
      </x:c>
      <x:c r="AD58" s="277" t="s">
        <x:v>118</x:v>
      </x:c>
      <x:c r="AE58" s="277" t="s">
        <x:v>118</x:v>
      </x:c>
      <x:c r="AF58" s="277" t="s">
        <x:v>118</x:v>
      </x:c>
      <x:c r="AG58" s="277" t="s">
        <x:v>118</x:v>
      </x:c>
      <x:c r="AH58" s="277" t="s">
        <x:v>118</x:v>
      </x:c>
      <x:c r="AI58" s="277" t="s">
        <x:v>118</x:v>
      </x:c>
      <x:c r="AJ58" s="277" t="s">
        <x:v>118</x:v>
      </x:c>
      <x:c r="AK58" s="220">
        <x:f>COUNTIF(F58:AJ58,"X")</x:f>
      </x:c>
      <x:c r="AL58" s="221"/>
      <x:c r="AM58" s="221"/>
      <x:c r="AN58" s="222"/>
      <x:c r="AO58" s="222"/>
      <x:c r="AP58" s="228"/>
      <x:c r="AQ58" s="228"/>
      <x:c r="AR58" s="228"/>
      <x:c r="AS58" s="228"/>
      <x:c r="AT58" s="230"/>
    </x:row>
    <x:row r="59" spans="1:47" ht="19.9" customHeight="1">
      <x:c r="A59" s="274" t="s">
        <x:v>1884</x:v>
      </x:c>
      <x:c r="B59" s="216"/>
      <x:c r="C59" s="275" t="s">
        <x:v>1885</x:v>
      </x:c>
      <x:c r="D59" s="274" t="s">
        <x:v>1886</x:v>
      </x:c>
      <x:c r="E59" s="276" t="s">
        <x:v>1400</x:v>
      </x:c>
      <x:c r="F59" s="277" t="s">
        <x:v>118</x:v>
      </x:c>
      <x:c r="G59" s="277" t="s">
        <x:v>118</x:v>
      </x:c>
      <x:c r="H59" s="277" t="s">
        <x:v>118</x:v>
      </x:c>
      <x:c r="I59" s="277" t="s">
        <x:v>118</x:v>
      </x:c>
      <x:c r="J59" s="277" t="s">
        <x:v>118</x:v>
      </x:c>
      <x:c r="K59" s="277" t="s">
        <x:v>118</x:v>
      </x:c>
      <x:c r="L59" s="277" t="s">
        <x:v>118</x:v>
      </x:c>
      <x:c r="M59" s="277" t="s">
        <x:v>118</x:v>
      </x:c>
      <x:c r="N59" s="277" t="s">
        <x:v>118</x:v>
      </x:c>
      <x:c r="O59" s="277" t="s">
        <x:v>118</x:v>
      </x:c>
      <x:c r="P59" s="277" t="s">
        <x:v>118</x:v>
      </x:c>
      <x:c r="Q59" s="277" t="s">
        <x:v>118</x:v>
      </x:c>
      <x:c r="R59" s="277" t="s">
        <x:v>118</x:v>
      </x:c>
      <x:c r="S59" s="277" t="s">
        <x:v>118</x:v>
      </x:c>
      <x:c r="T59" s="277" t="s">
        <x:v>118</x:v>
      </x:c>
      <x:c r="U59" s="277" t="s">
        <x:v>118</x:v>
      </x:c>
      <x:c r="V59" s="277" t="s">
        <x:v>118</x:v>
      </x:c>
      <x:c r="W59" s="277" t="s">
        <x:v>118</x:v>
      </x:c>
      <x:c r="X59" s="277" t="s">
        <x:v>118</x:v>
      </x:c>
      <x:c r="Y59" s="277" t="s">
        <x:v>118</x:v>
      </x:c>
      <x:c r="Z59" s="277" t="s">
        <x:v>118</x:v>
      </x:c>
      <x:c r="AA59" s="277" t="s">
        <x:v>118</x:v>
      </x:c>
      <x:c r="AB59" s="277" t="s">
        <x:v>118</x:v>
      </x:c>
      <x:c r="AC59" s="277" t="s">
        <x:v>118</x:v>
      </x:c>
      <x:c r="AD59" s="277" t="s">
        <x:v>118</x:v>
      </x:c>
      <x:c r="AE59" s="277" t="s">
        <x:v>118</x:v>
      </x:c>
      <x:c r="AF59" s="277" t="s">
        <x:v>118</x:v>
      </x:c>
      <x:c r="AG59" s="277" t="s">
        <x:v>118</x:v>
      </x:c>
      <x:c r="AH59" s="277" t="s">
        <x:v>118</x:v>
      </x:c>
      <x:c r="AI59" s="277" t="s">
        <x:v>118</x:v>
      </x:c>
      <x:c r="AJ59" s="277" t="s">
        <x:v>118</x:v>
      </x:c>
      <x:c r="AK59" s="220">
        <x:f>COUNTIF(F59:AJ59,"X")</x:f>
      </x:c>
      <x:c r="AL59" s="221"/>
      <x:c r="AM59" s="221"/>
      <x:c r="AN59" s="222"/>
      <x:c r="AO59" s="222"/>
      <x:c r="AP59" s="228"/>
      <x:c r="AQ59" s="228"/>
      <x:c r="AR59" s="228"/>
      <x:c r="AS59" s="228"/>
      <x:c r="AT59" s="230"/>
    </x:row>
    <x:row r="60" spans="1:47" ht="19.9" customHeight="1">
      <x:c r="A60" s="274" t="s">
        <x:v>1887</x:v>
      </x:c>
      <x:c r="B60" s="216"/>
      <x:c r="C60" s="275" t="s">
        <x:v>1888</x:v>
      </x:c>
      <x:c r="D60" s="274" t="s">
        <x:v>1889</x:v>
      </x:c>
      <x:c r="E60" s="276" t="s">
        <x:v>1890</x:v>
      </x:c>
      <x:c r="F60" s="277" t="s">
        <x:v>118</x:v>
      </x:c>
      <x:c r="G60" s="277" t="s">
        <x:v>118</x:v>
      </x:c>
      <x:c r="H60" s="277" t="s">
        <x:v>118</x:v>
      </x:c>
      <x:c r="I60" s="277" t="s">
        <x:v>118</x:v>
      </x:c>
      <x:c r="J60" s="277" t="s">
        <x:v>118</x:v>
      </x:c>
      <x:c r="K60" s="277" t="s">
        <x:v>118</x:v>
      </x:c>
      <x:c r="L60" s="277" t="s">
        <x:v>118</x:v>
      </x:c>
      <x:c r="M60" s="277" t="s">
        <x:v>118</x:v>
      </x:c>
      <x:c r="N60" s="277" t="s">
        <x:v>118</x:v>
      </x:c>
      <x:c r="O60" s="277" t="s">
        <x:v>118</x:v>
      </x:c>
      <x:c r="P60" s="277" t="s">
        <x:v>118</x:v>
      </x:c>
      <x:c r="Q60" s="277" t="s">
        <x:v>118</x:v>
      </x:c>
      <x:c r="R60" s="277" t="s">
        <x:v>118</x:v>
      </x:c>
      <x:c r="S60" s="277" t="s">
        <x:v>118</x:v>
      </x:c>
      <x:c r="T60" s="277" t="s">
        <x:v>118</x:v>
      </x:c>
      <x:c r="U60" s="277" t="s">
        <x:v>118</x:v>
      </x:c>
      <x:c r="V60" s="277" t="s">
        <x:v>118</x:v>
      </x:c>
      <x:c r="W60" s="277" t="s">
        <x:v>118</x:v>
      </x:c>
      <x:c r="X60" s="277" t="s">
        <x:v>118</x:v>
      </x:c>
      <x:c r="Y60" s="277" t="s">
        <x:v>118</x:v>
      </x:c>
      <x:c r="Z60" s="277" t="s">
        <x:v>118</x:v>
      </x:c>
      <x:c r="AA60" s="277" t="s">
        <x:v>118</x:v>
      </x:c>
      <x:c r="AB60" s="277" t="s">
        <x:v>118</x:v>
      </x:c>
      <x:c r="AC60" s="277" t="s">
        <x:v>118</x:v>
      </x:c>
      <x:c r="AD60" s="277" t="s">
        <x:v>118</x:v>
      </x:c>
      <x:c r="AE60" s="277" t="s">
        <x:v>118</x:v>
      </x:c>
      <x:c r="AF60" s="277" t="s">
        <x:v>118</x:v>
      </x:c>
      <x:c r="AG60" s="277" t="s">
        <x:v>118</x:v>
      </x:c>
      <x:c r="AH60" s="277" t="s">
        <x:v>118</x:v>
      </x:c>
      <x:c r="AI60" s="277" t="s">
        <x:v>118</x:v>
      </x:c>
      <x:c r="AJ60" s="277" t="s">
        <x:v>118</x:v>
      </x:c>
      <x:c r="AK60" s="220">
        <x:f>COUNTIF(F60:AJ60,"X")</x:f>
      </x:c>
      <x:c r="AL60" s="221"/>
      <x:c r="AM60" s="221"/>
      <x:c r="AN60" s="222"/>
      <x:c r="AO60" s="222"/>
      <x:c r="AP60" s="228"/>
      <x:c r="AQ60" s="228"/>
      <x:c r="AR60" s="228"/>
      <x:c r="AS60" s="228"/>
      <x:c r="AT60" s="230"/>
    </x:row>
    <x:row r="61" spans="1:47" ht="19.9" customHeight="1">
      <x:c r="A61" s="274" t="s">
        <x:v>1891</x:v>
      </x:c>
      <x:c r="B61" s="216"/>
      <x:c r="C61" s="275" t="s">
        <x:v>1892</x:v>
      </x:c>
      <x:c r="D61" s="274" t="s">
        <x:v>1893</x:v>
      </x:c>
      <x:c r="E61" s="276" t="s">
        <x:v>1894</x:v>
      </x:c>
      <x:c r="F61" s="277" t="s">
        <x:v>118</x:v>
      </x:c>
      <x:c r="G61" s="277" t="s">
        <x:v>118</x:v>
      </x:c>
      <x:c r="H61" s="277" t="s">
        <x:v>118</x:v>
      </x:c>
      <x:c r="I61" s="277" t="s">
        <x:v>118</x:v>
      </x:c>
      <x:c r="J61" s="277" t="s">
        <x:v>118</x:v>
      </x:c>
      <x:c r="K61" s="277" t="s">
        <x:v>118</x:v>
      </x:c>
      <x:c r="L61" s="277" t="s">
        <x:v>118</x:v>
      </x:c>
      <x:c r="M61" s="277" t="s">
        <x:v>118</x:v>
      </x:c>
      <x:c r="N61" s="277" t="s">
        <x:v>118</x:v>
      </x:c>
      <x:c r="O61" s="277" t="s">
        <x:v>118</x:v>
      </x:c>
      <x:c r="P61" s="277" t="s">
        <x:v>118</x:v>
      </x:c>
      <x:c r="Q61" s="277" t="s">
        <x:v>118</x:v>
      </x:c>
      <x:c r="R61" s="277" t="s">
        <x:v>118</x:v>
      </x:c>
      <x:c r="S61" s="277" t="s">
        <x:v>118</x:v>
      </x:c>
      <x:c r="T61" s="277" t="s">
        <x:v>118</x:v>
      </x:c>
      <x:c r="U61" s="277" t="s">
        <x:v>118</x:v>
      </x:c>
      <x:c r="V61" s="277" t="s">
        <x:v>118</x:v>
      </x:c>
      <x:c r="W61" s="277" t="s">
        <x:v>118</x:v>
      </x:c>
      <x:c r="X61" s="277" t="s">
        <x:v>118</x:v>
      </x:c>
      <x:c r="Y61" s="277" t="s">
        <x:v>118</x:v>
      </x:c>
      <x:c r="Z61" s="277" t="s">
        <x:v>118</x:v>
      </x:c>
      <x:c r="AA61" s="277" t="s">
        <x:v>118</x:v>
      </x:c>
      <x:c r="AB61" s="277" t="s">
        <x:v>118</x:v>
      </x:c>
      <x:c r="AC61" s="277" t="s">
        <x:v>118</x:v>
      </x:c>
      <x:c r="AD61" s="277" t="s">
        <x:v>118</x:v>
      </x:c>
      <x:c r="AE61" s="277" t="s">
        <x:v>118</x:v>
      </x:c>
      <x:c r="AF61" s="277" t="s">
        <x:v>118</x:v>
      </x:c>
      <x:c r="AG61" s="277" t="s">
        <x:v>118</x:v>
      </x:c>
      <x:c r="AH61" s="277" t="s">
        <x:v>118</x:v>
      </x:c>
      <x:c r="AI61" s="277" t="s">
        <x:v>118</x:v>
      </x:c>
      <x:c r="AJ61" s="277" t="s">
        <x:v>118</x:v>
      </x:c>
      <x:c r="AK61" s="220">
        <x:f>COUNTIF(F61:AJ61,"X")</x:f>
      </x:c>
      <x:c r="AL61" s="221"/>
      <x:c r="AM61" s="221"/>
      <x:c r="AN61" s="222"/>
      <x:c r="AO61" s="222"/>
      <x:c r="AP61" s="228"/>
      <x:c r="AQ61" s="228"/>
      <x:c r="AR61" s="228"/>
      <x:c r="AS61" s="228"/>
      <x:c r="AT61" s="230"/>
    </x:row>
    <x:row r="62" spans="1:47" ht="19.9" customHeight="1">
      <x:c r="A62" s="274" t="s">
        <x:v>1895</x:v>
      </x:c>
      <x:c r="B62" s="216"/>
      <x:c r="C62" s="275" t="s">
        <x:v>1896</x:v>
      </x:c>
      <x:c r="D62" s="274" t="s">
        <x:v>1893</x:v>
      </x:c>
      <x:c r="E62" s="276" t="s">
        <x:v>1897</x:v>
      </x:c>
      <x:c r="F62" s="277" t="s">
        <x:v>118</x:v>
      </x:c>
      <x:c r="G62" s="277" t="s">
        <x:v>118</x:v>
      </x:c>
      <x:c r="H62" s="277" t="s">
        <x:v>118</x:v>
      </x:c>
      <x:c r="I62" s="277" t="s">
        <x:v>118</x:v>
      </x:c>
      <x:c r="J62" s="277" t="s">
        <x:v>118</x:v>
      </x:c>
      <x:c r="K62" s="277" t="s">
        <x:v>118</x:v>
      </x:c>
      <x:c r="L62" s="277" t="s">
        <x:v>118</x:v>
      </x:c>
      <x:c r="M62" s="277" t="s">
        <x:v>118</x:v>
      </x:c>
      <x:c r="N62" s="277" t="s">
        <x:v>118</x:v>
      </x:c>
      <x:c r="O62" s="277" t="s">
        <x:v>118</x:v>
      </x:c>
      <x:c r="P62" s="277" t="s">
        <x:v>118</x:v>
      </x:c>
      <x:c r="Q62" s="277" t="s">
        <x:v>118</x:v>
      </x:c>
      <x:c r="R62" s="277" t="s">
        <x:v>118</x:v>
      </x:c>
      <x:c r="S62" s="277" t="s">
        <x:v>118</x:v>
      </x:c>
      <x:c r="T62" s="277" t="s">
        <x:v>118</x:v>
      </x:c>
      <x:c r="U62" s="277" t="s">
        <x:v>118</x:v>
      </x:c>
      <x:c r="V62" s="277" t="s">
        <x:v>118</x:v>
      </x:c>
      <x:c r="W62" s="277" t="s">
        <x:v>118</x:v>
      </x:c>
      <x:c r="X62" s="277" t="s">
        <x:v>118</x:v>
      </x:c>
      <x:c r="Y62" s="277" t="s">
        <x:v>118</x:v>
      </x:c>
      <x:c r="Z62" s="277" t="s">
        <x:v>118</x:v>
      </x:c>
      <x:c r="AA62" s="277" t="s">
        <x:v>118</x:v>
      </x:c>
      <x:c r="AB62" s="277" t="s">
        <x:v>118</x:v>
      </x:c>
      <x:c r="AC62" s="277" t="s">
        <x:v>118</x:v>
      </x:c>
      <x:c r="AD62" s="277" t="s">
        <x:v>118</x:v>
      </x:c>
      <x:c r="AE62" s="277" t="s">
        <x:v>118</x:v>
      </x:c>
      <x:c r="AF62" s="277" t="s">
        <x:v>118</x:v>
      </x:c>
      <x:c r="AG62" s="277" t="s">
        <x:v>118</x:v>
      </x:c>
      <x:c r="AH62" s="277" t="s">
        <x:v>118</x:v>
      </x:c>
      <x:c r="AI62" s="277" t="s">
        <x:v>118</x:v>
      </x:c>
      <x:c r="AJ62" s="277" t="s">
        <x:v>118</x:v>
      </x:c>
      <x:c r="AK62" s="220">
        <x:f>COUNTIF(F62:AJ62,"X")</x:f>
      </x:c>
      <x:c r="AL62" s="221"/>
      <x:c r="AM62" s="221"/>
      <x:c r="AN62" s="222"/>
      <x:c r="AO62" s="222"/>
      <x:c r="AP62" s="228"/>
      <x:c r="AQ62" s="228"/>
      <x:c r="AR62" s="228"/>
      <x:c r="AS62" s="228"/>
      <x:c r="AT62" s="230"/>
    </x:row>
    <x:row r="63" spans="1:47" ht="19.9" customHeight="1">
      <x:c r="A63" s="274" t="s">
        <x:v>1898</x:v>
      </x:c>
      <x:c r="B63" s="216"/>
      <x:c r="C63" s="275" t="s">
        <x:v>1899</x:v>
      </x:c>
      <x:c r="D63" s="274" t="s">
        <x:v>1900</x:v>
      </x:c>
      <x:c r="E63" s="276" t="s">
        <x:v>264</x:v>
      </x:c>
      <x:c r="F63" s="277" t="s">
        <x:v>118</x:v>
      </x:c>
      <x:c r="G63" s="277" t="s">
        <x:v>118</x:v>
      </x:c>
      <x:c r="H63" s="277" t="s">
        <x:v>118</x:v>
      </x:c>
      <x:c r="I63" s="277" t="s">
        <x:v>118</x:v>
      </x:c>
      <x:c r="J63" s="277" t="s">
        <x:v>118</x:v>
      </x:c>
      <x:c r="K63" s="277" t="s">
        <x:v>118</x:v>
      </x:c>
      <x:c r="L63" s="277" t="s">
        <x:v>118</x:v>
      </x:c>
      <x:c r="M63" s="277" t="s">
        <x:v>118</x:v>
      </x:c>
      <x:c r="N63" s="277" t="s">
        <x:v>118</x:v>
      </x:c>
      <x:c r="O63" s="277" t="s">
        <x:v>118</x:v>
      </x:c>
      <x:c r="P63" s="277" t="s">
        <x:v>118</x:v>
      </x:c>
      <x:c r="Q63" s="277" t="s">
        <x:v>118</x:v>
      </x:c>
      <x:c r="R63" s="277" t="s">
        <x:v>118</x:v>
      </x:c>
      <x:c r="S63" s="277" t="s">
        <x:v>118</x:v>
      </x:c>
      <x:c r="T63" s="277" t="s">
        <x:v>118</x:v>
      </x:c>
      <x:c r="U63" s="277" t="s">
        <x:v>118</x:v>
      </x:c>
      <x:c r="V63" s="277" t="s">
        <x:v>118</x:v>
      </x:c>
      <x:c r="W63" s="277" t="s">
        <x:v>118</x:v>
      </x:c>
      <x:c r="X63" s="277" t="s">
        <x:v>118</x:v>
      </x:c>
      <x:c r="Y63" s="277" t="s">
        <x:v>118</x:v>
      </x:c>
      <x:c r="Z63" s="277" t="s">
        <x:v>118</x:v>
      </x:c>
      <x:c r="AA63" s="277" t="s">
        <x:v>118</x:v>
      </x:c>
      <x:c r="AB63" s="277" t="s">
        <x:v>118</x:v>
      </x:c>
      <x:c r="AC63" s="277" t="s">
        <x:v>118</x:v>
      </x:c>
      <x:c r="AD63" s="277" t="s">
        <x:v>118</x:v>
      </x:c>
      <x:c r="AE63" s="277" t="s">
        <x:v>118</x:v>
      </x:c>
      <x:c r="AF63" s="277" t="s">
        <x:v>118</x:v>
      </x:c>
      <x:c r="AG63" s="277" t="s">
        <x:v>118</x:v>
      </x:c>
      <x:c r="AH63" s="277" t="s">
        <x:v>118</x:v>
      </x:c>
      <x:c r="AI63" s="277" t="s">
        <x:v>118</x:v>
      </x:c>
      <x:c r="AJ63" s="277" t="s">
        <x:v>118</x:v>
      </x:c>
      <x:c r="AK63" s="220">
        <x:f>COUNTIF(F63:AJ63,"X")</x:f>
      </x:c>
      <x:c r="AL63" s="221"/>
      <x:c r="AM63" s="221"/>
      <x:c r="AN63" s="222"/>
      <x:c r="AO63" s="222"/>
      <x:c r="AP63" s="228"/>
      <x:c r="AQ63" s="228"/>
      <x:c r="AR63" s="228"/>
      <x:c r="AS63" s="228"/>
      <x:c r="AT63" s="230"/>
    </x:row>
    <x:row r="64" spans="1:47" ht="19.9" customHeight="1">
      <x:c r="A64" s="274" t="s">
        <x:v>1901</x:v>
      </x:c>
      <x:c r="B64" s="216"/>
      <x:c r="C64" s="275" t="s">
        <x:v>1902</x:v>
      </x:c>
      <x:c r="D64" s="274" t="s">
        <x:v>1903</x:v>
      </x:c>
      <x:c r="E64" s="276" t="s">
        <x:v>1904</x:v>
      </x:c>
      <x:c r="F64" s="277" t="s">
        <x:v>118</x:v>
      </x:c>
      <x:c r="G64" s="277" t="s">
        <x:v>118</x:v>
      </x:c>
      <x:c r="H64" s="277" t="s">
        <x:v>118</x:v>
      </x:c>
      <x:c r="I64" s="277" t="s">
        <x:v>118</x:v>
      </x:c>
      <x:c r="J64" s="277" t="s">
        <x:v>118</x:v>
      </x:c>
      <x:c r="K64" s="277" t="s">
        <x:v>118</x:v>
      </x:c>
      <x:c r="L64" s="277" t="s">
        <x:v>118</x:v>
      </x:c>
      <x:c r="M64" s="277" t="s">
        <x:v>118</x:v>
      </x:c>
      <x:c r="N64" s="277" t="s">
        <x:v>118</x:v>
      </x:c>
      <x:c r="O64" s="277" t="s">
        <x:v>118</x:v>
      </x:c>
      <x:c r="P64" s="277" t="s">
        <x:v>118</x:v>
      </x:c>
      <x:c r="Q64" s="277" t="s">
        <x:v>118</x:v>
      </x:c>
      <x:c r="R64" s="277" t="s">
        <x:v>118</x:v>
      </x:c>
      <x:c r="S64" s="277" t="s">
        <x:v>118</x:v>
      </x:c>
      <x:c r="T64" s="277" t="s">
        <x:v>118</x:v>
      </x:c>
      <x:c r="U64" s="277" t="s">
        <x:v>118</x:v>
      </x:c>
      <x:c r="V64" s="277" t="s">
        <x:v>118</x:v>
      </x:c>
      <x:c r="W64" s="277" t="s">
        <x:v>118</x:v>
      </x:c>
      <x:c r="X64" s="277" t="s">
        <x:v>118</x:v>
      </x:c>
      <x:c r="Y64" s="277" t="s">
        <x:v>118</x:v>
      </x:c>
      <x:c r="Z64" s="277" t="s">
        <x:v>118</x:v>
      </x:c>
      <x:c r="AA64" s="277" t="s">
        <x:v>118</x:v>
      </x:c>
      <x:c r="AB64" s="277" t="s">
        <x:v>118</x:v>
      </x:c>
      <x:c r="AC64" s="277" t="s">
        <x:v>118</x:v>
      </x:c>
      <x:c r="AD64" s="277" t="s">
        <x:v>118</x:v>
      </x:c>
      <x:c r="AE64" s="277" t="s">
        <x:v>118</x:v>
      </x:c>
      <x:c r="AF64" s="277" t="s">
        <x:v>118</x:v>
      </x:c>
      <x:c r="AG64" s="277" t="s">
        <x:v>118</x:v>
      </x:c>
      <x:c r="AH64" s="277" t="s">
        <x:v>118</x:v>
      </x:c>
      <x:c r="AI64" s="277" t="s">
        <x:v>118</x:v>
      </x:c>
      <x:c r="AJ64" s="277" t="s">
        <x:v>118</x:v>
      </x:c>
      <x:c r="AK64" s="220">
        <x:f>COUNTIF(F64:AJ64,"X")</x:f>
      </x:c>
      <x:c r="AL64" s="221"/>
      <x:c r="AM64" s="221"/>
      <x:c r="AN64" s="222"/>
      <x:c r="AO64" s="222"/>
      <x:c r="AP64" s="228"/>
      <x:c r="AQ64" s="228"/>
      <x:c r="AR64" s="228"/>
      <x:c r="AS64" s="228"/>
      <x:c r="AT64" s="230"/>
    </x:row>
    <x:row r="65" spans="1:47" ht="19.9" customHeight="1">
      <x:c r="A65" s="274" t="s">
        <x:v>1905</x:v>
      </x:c>
      <x:c r="B65" s="216"/>
      <x:c r="C65" s="275" t="s">
        <x:v>1906</x:v>
      </x:c>
      <x:c r="D65" s="274" t="s">
        <x:v>249</x:v>
      </x:c>
      <x:c r="E65" s="276" t="s">
        <x:v>1907</x:v>
      </x:c>
      <x:c r="F65" s="277" t="s">
        <x:v>118</x:v>
      </x:c>
      <x:c r="G65" s="277" t="s">
        <x:v>118</x:v>
      </x:c>
      <x:c r="H65" s="277" t="s">
        <x:v>118</x:v>
      </x:c>
      <x:c r="I65" s="277" t="s">
        <x:v>118</x:v>
      </x:c>
      <x:c r="J65" s="277" t="s">
        <x:v>118</x:v>
      </x:c>
      <x:c r="K65" s="277" t="s">
        <x:v>118</x:v>
      </x:c>
      <x:c r="L65" s="277" t="s">
        <x:v>118</x:v>
      </x:c>
      <x:c r="M65" s="277" t="s">
        <x:v>118</x:v>
      </x:c>
      <x:c r="N65" s="277" t="s">
        <x:v>118</x:v>
      </x:c>
      <x:c r="O65" s="277" t="s">
        <x:v>118</x:v>
      </x:c>
      <x:c r="P65" s="277" t="s">
        <x:v>118</x:v>
      </x:c>
      <x:c r="Q65" s="277" t="s">
        <x:v>118</x:v>
      </x:c>
      <x:c r="R65" s="277" t="s">
        <x:v>118</x:v>
      </x:c>
      <x:c r="S65" s="277" t="s">
        <x:v>118</x:v>
      </x:c>
      <x:c r="T65" s="277" t="s">
        <x:v>118</x:v>
      </x:c>
      <x:c r="U65" s="277" t="s">
        <x:v>118</x:v>
      </x:c>
      <x:c r="V65" s="277" t="s">
        <x:v>118</x:v>
      </x:c>
      <x:c r="W65" s="277" t="s">
        <x:v>118</x:v>
      </x:c>
      <x:c r="X65" s="277" t="s">
        <x:v>118</x:v>
      </x:c>
      <x:c r="Y65" s="277" t="s">
        <x:v>118</x:v>
      </x:c>
      <x:c r="Z65" s="277" t="s">
        <x:v>118</x:v>
      </x:c>
      <x:c r="AA65" s="277" t="s">
        <x:v>118</x:v>
      </x:c>
      <x:c r="AB65" s="277" t="s">
        <x:v>118</x:v>
      </x:c>
      <x:c r="AC65" s="277" t="s">
        <x:v>118</x:v>
      </x:c>
      <x:c r="AD65" s="277" t="s">
        <x:v>118</x:v>
      </x:c>
      <x:c r="AE65" s="277" t="s">
        <x:v>118</x:v>
      </x:c>
      <x:c r="AF65" s="277" t="s">
        <x:v>118</x:v>
      </x:c>
      <x:c r="AG65" s="277" t="s">
        <x:v>118</x:v>
      </x:c>
      <x:c r="AH65" s="277" t="s">
        <x:v>118</x:v>
      </x:c>
      <x:c r="AI65" s="277" t="s">
        <x:v>118</x:v>
      </x:c>
      <x:c r="AJ65" s="277" t="s">
        <x:v>118</x:v>
      </x:c>
      <x:c r="AK65" s="220">
        <x:f>COUNTIF(F65:AJ65,"X")</x:f>
      </x:c>
      <x:c r="AL65" s="221"/>
      <x:c r="AM65" s="221"/>
      <x:c r="AN65" s="222"/>
      <x:c r="AO65" s="222"/>
      <x:c r="AP65" s="228"/>
      <x:c r="AQ65" s="228"/>
      <x:c r="AR65" s="228"/>
      <x:c r="AS65" s="228"/>
      <x:c r="AT65" s="230"/>
    </x:row>
    <x:row r="66" spans="1:47" ht="19.9" customHeight="1">
      <x:c r="A66" s="274" t="s">
        <x:v>1908</x:v>
      </x:c>
      <x:c r="B66" s="216"/>
      <x:c r="C66" s="275" t="s">
        <x:v>1909</x:v>
      </x:c>
      <x:c r="D66" s="274" t="s">
        <x:v>1910</x:v>
      </x:c>
      <x:c r="E66" s="276" t="s">
        <x:v>239</x:v>
      </x:c>
      <x:c r="F66" s="277" t="s">
        <x:v>118</x:v>
      </x:c>
      <x:c r="G66" s="277" t="s">
        <x:v>118</x:v>
      </x:c>
      <x:c r="H66" s="277" t="s">
        <x:v>118</x:v>
      </x:c>
      <x:c r="I66" s="277" t="s">
        <x:v>118</x:v>
      </x:c>
      <x:c r="J66" s="277" t="s">
        <x:v>118</x:v>
      </x:c>
      <x:c r="K66" s="277" t="s">
        <x:v>118</x:v>
      </x:c>
      <x:c r="L66" s="277" t="s">
        <x:v>118</x:v>
      </x:c>
      <x:c r="M66" s="277" t="s">
        <x:v>118</x:v>
      </x:c>
      <x:c r="N66" s="277" t="s">
        <x:v>118</x:v>
      </x:c>
      <x:c r="O66" s="277" t="s">
        <x:v>118</x:v>
      </x:c>
      <x:c r="P66" s="277" t="s">
        <x:v>118</x:v>
      </x:c>
      <x:c r="Q66" s="277" t="s">
        <x:v>118</x:v>
      </x:c>
      <x:c r="R66" s="277" t="s">
        <x:v>118</x:v>
      </x:c>
      <x:c r="S66" s="277" t="s">
        <x:v>118</x:v>
      </x:c>
      <x:c r="T66" s="277" t="s">
        <x:v>118</x:v>
      </x:c>
      <x:c r="U66" s="277" t="s">
        <x:v>118</x:v>
      </x:c>
      <x:c r="V66" s="277" t="s">
        <x:v>118</x:v>
      </x:c>
      <x:c r="W66" s="277" t="s">
        <x:v>118</x:v>
      </x:c>
      <x:c r="X66" s="277" t="s">
        <x:v>118</x:v>
      </x:c>
      <x:c r="Y66" s="277" t="s">
        <x:v>118</x:v>
      </x:c>
      <x:c r="Z66" s="277" t="s">
        <x:v>118</x:v>
      </x:c>
      <x:c r="AA66" s="277" t="s">
        <x:v>118</x:v>
      </x:c>
      <x:c r="AB66" s="277" t="s">
        <x:v>118</x:v>
      </x:c>
      <x:c r="AC66" s="277" t="s">
        <x:v>118</x:v>
      </x:c>
      <x:c r="AD66" s="277" t="s">
        <x:v>118</x:v>
      </x:c>
      <x:c r="AE66" s="277" t="s">
        <x:v>118</x:v>
      </x:c>
      <x:c r="AF66" s="277" t="s">
        <x:v>118</x:v>
      </x:c>
      <x:c r="AG66" s="277" t="s">
        <x:v>118</x:v>
      </x:c>
      <x:c r="AH66" s="277" t="s">
        <x:v>118</x:v>
      </x:c>
      <x:c r="AI66" s="277" t="s">
        <x:v>118</x:v>
      </x:c>
      <x:c r="AJ66" s="277" t="s">
        <x:v>118</x:v>
      </x:c>
      <x:c r="AK66" s="220">
        <x:f>COUNTIF(F66:AJ66,"X")</x:f>
      </x:c>
      <x:c r="AL66" s="221"/>
      <x:c r="AM66" s="221"/>
      <x:c r="AN66" s="222"/>
      <x:c r="AO66" s="222"/>
      <x:c r="AP66" s="228"/>
      <x:c r="AQ66" s="228"/>
      <x:c r="AR66" s="228"/>
      <x:c r="AS66" s="228"/>
      <x:c r="AT66" s="230"/>
    </x:row>
    <x:row r="67" spans="1:47" ht="19.9" customHeight="1">
      <x:c r="A67" s="274" t="s">
        <x:v>1911</x:v>
      </x:c>
      <x:c r="B67" s="216"/>
      <x:c r="C67" s="275" t="s">
        <x:v>1912</x:v>
      </x:c>
      <x:c r="D67" s="274" t="s">
        <x:v>1913</x:v>
      </x:c>
      <x:c r="E67" s="276" t="s">
        <x:v>759</x:v>
      </x:c>
      <x:c r="F67" s="277" t="s">
        <x:v>118</x:v>
      </x:c>
      <x:c r="G67" s="277" t="s">
        <x:v>118</x:v>
      </x:c>
      <x:c r="H67" s="277" t="s">
        <x:v>118</x:v>
      </x:c>
      <x:c r="I67" s="277" t="s">
        <x:v>118</x:v>
      </x:c>
      <x:c r="J67" s="277" t="s">
        <x:v>118</x:v>
      </x:c>
      <x:c r="K67" s="277" t="s">
        <x:v>118</x:v>
      </x:c>
      <x:c r="L67" s="277" t="s">
        <x:v>118</x:v>
      </x:c>
      <x:c r="M67" s="277" t="s">
        <x:v>118</x:v>
      </x:c>
      <x:c r="N67" s="277" t="s">
        <x:v>118</x:v>
      </x:c>
      <x:c r="O67" s="277" t="s">
        <x:v>118</x:v>
      </x:c>
      <x:c r="P67" s="277" t="s">
        <x:v>118</x:v>
      </x:c>
      <x:c r="Q67" s="277" t="s">
        <x:v>118</x:v>
      </x:c>
      <x:c r="R67" s="277" t="s">
        <x:v>118</x:v>
      </x:c>
      <x:c r="S67" s="277" t="s">
        <x:v>118</x:v>
      </x:c>
      <x:c r="T67" s="277" t="s">
        <x:v>118</x:v>
      </x:c>
      <x:c r="U67" s="277" t="s">
        <x:v>118</x:v>
      </x:c>
      <x:c r="V67" s="277" t="s">
        <x:v>118</x:v>
      </x:c>
      <x:c r="W67" s="277" t="s">
        <x:v>118</x:v>
      </x:c>
      <x:c r="X67" s="277" t="s">
        <x:v>118</x:v>
      </x:c>
      <x:c r="Y67" s="277" t="s">
        <x:v>118</x:v>
      </x:c>
      <x:c r="Z67" s="277" t="s">
        <x:v>118</x:v>
      </x:c>
      <x:c r="AA67" s="277" t="s">
        <x:v>118</x:v>
      </x:c>
      <x:c r="AB67" s="277" t="s">
        <x:v>118</x:v>
      </x:c>
      <x:c r="AC67" s="277" t="s">
        <x:v>118</x:v>
      </x:c>
      <x:c r="AD67" s="277" t="s">
        <x:v>118</x:v>
      </x:c>
      <x:c r="AE67" s="277" t="s">
        <x:v>118</x:v>
      </x:c>
      <x:c r="AF67" s="277" t="s">
        <x:v>118</x:v>
      </x:c>
      <x:c r="AG67" s="277" t="s">
        <x:v>118</x:v>
      </x:c>
      <x:c r="AH67" s="277" t="s">
        <x:v>118</x:v>
      </x:c>
      <x:c r="AI67" s="277" t="s">
        <x:v>118</x:v>
      </x:c>
      <x:c r="AJ67" s="277" t="s">
        <x:v>118</x:v>
      </x:c>
      <x:c r="AK67" s="220">
        <x:f>COUNTIF(F67:AJ67,"X")</x:f>
      </x:c>
      <x:c r="AL67" s="221"/>
      <x:c r="AM67" s="221"/>
      <x:c r="AN67" s="222"/>
      <x:c r="AO67" s="222"/>
      <x:c r="AP67" s="228"/>
      <x:c r="AQ67" s="228"/>
      <x:c r="AR67" s="228"/>
      <x:c r="AS67" s="228"/>
      <x:c r="AT67" s="230"/>
    </x:row>
    <x:row r="68" spans="1:47" ht="19.9" customHeight="1">
      <x:c r="A68" s="274" t="s">
        <x:v>1914</x:v>
      </x:c>
      <x:c r="B68" s="216"/>
      <x:c r="C68" s="275" t="s">
        <x:v>1915</x:v>
      </x:c>
      <x:c r="D68" s="274" t="s">
        <x:v>1916</x:v>
      </x:c>
      <x:c r="E68" s="276" t="s">
        <x:v>412</x:v>
      </x:c>
      <x:c r="F68" s="277" t="s">
        <x:v>118</x:v>
      </x:c>
      <x:c r="G68" s="277" t="s">
        <x:v>118</x:v>
      </x:c>
      <x:c r="H68" s="277" t="s">
        <x:v>118</x:v>
      </x:c>
      <x:c r="I68" s="277" t="s">
        <x:v>118</x:v>
      </x:c>
      <x:c r="J68" s="277" t="s">
        <x:v>118</x:v>
      </x:c>
      <x:c r="K68" s="277" t="s">
        <x:v>118</x:v>
      </x:c>
      <x:c r="L68" s="277" t="s">
        <x:v>118</x:v>
      </x:c>
      <x:c r="M68" s="277" t="s">
        <x:v>118</x:v>
      </x:c>
      <x:c r="N68" s="277" t="s">
        <x:v>118</x:v>
      </x:c>
      <x:c r="O68" s="277" t="s">
        <x:v>118</x:v>
      </x:c>
      <x:c r="P68" s="277" t="s">
        <x:v>118</x:v>
      </x:c>
      <x:c r="Q68" s="277" t="s">
        <x:v>118</x:v>
      </x:c>
      <x:c r="R68" s="277" t="s">
        <x:v>118</x:v>
      </x:c>
      <x:c r="S68" s="277" t="s">
        <x:v>118</x:v>
      </x:c>
      <x:c r="T68" s="277" t="s">
        <x:v>118</x:v>
      </x:c>
      <x:c r="U68" s="277" t="s">
        <x:v>118</x:v>
      </x:c>
      <x:c r="V68" s="277" t="s">
        <x:v>118</x:v>
      </x:c>
      <x:c r="W68" s="277" t="s">
        <x:v>118</x:v>
      </x:c>
      <x:c r="X68" s="277" t="s">
        <x:v>118</x:v>
      </x:c>
      <x:c r="Y68" s="277" t="s">
        <x:v>118</x:v>
      </x:c>
      <x:c r="Z68" s="277" t="s">
        <x:v>118</x:v>
      </x:c>
      <x:c r="AA68" s="277" t="s">
        <x:v>118</x:v>
      </x:c>
      <x:c r="AB68" s="277" t="s">
        <x:v>118</x:v>
      </x:c>
      <x:c r="AC68" s="277" t="s">
        <x:v>118</x:v>
      </x:c>
      <x:c r="AD68" s="277" t="s">
        <x:v>118</x:v>
      </x:c>
      <x:c r="AE68" s="277" t="s">
        <x:v>118</x:v>
      </x:c>
      <x:c r="AF68" s="277" t="s">
        <x:v>118</x:v>
      </x:c>
      <x:c r="AG68" s="277" t="s">
        <x:v>118</x:v>
      </x:c>
      <x:c r="AH68" s="277" t="s">
        <x:v>118</x:v>
      </x:c>
      <x:c r="AI68" s="277" t="s">
        <x:v>118</x:v>
      </x:c>
      <x:c r="AJ68" s="277" t="s">
        <x:v>118</x:v>
      </x:c>
      <x:c r="AK68" s="220">
        <x:f>COUNTIF(F68:AJ68,"X")</x:f>
      </x:c>
      <x:c r="AL68" s="221"/>
      <x:c r="AM68" s="221"/>
      <x:c r="AN68" s="222"/>
      <x:c r="AO68" s="222"/>
      <x:c r="AP68" s="228"/>
      <x:c r="AQ68" s="228"/>
      <x:c r="AR68" s="228"/>
      <x:c r="AS68" s="228"/>
      <x:c r="AT68" s="230"/>
    </x:row>
    <x:row r="69" spans="1:47" ht="19.9" customHeight="1">
      <x:c r="A69" s="274" t="s">
        <x:v>1917</x:v>
      </x:c>
      <x:c r="B69" s="216"/>
      <x:c r="C69" s="275" t="s">
        <x:v>1918</x:v>
      </x:c>
      <x:c r="D69" s="274" t="s">
        <x:v>1919</x:v>
      </x:c>
      <x:c r="E69" s="276" t="s">
        <x:v>1118</x:v>
      </x:c>
      <x:c r="F69" s="277" t="s">
        <x:v>118</x:v>
      </x:c>
      <x:c r="G69" s="277" t="s">
        <x:v>118</x:v>
      </x:c>
      <x:c r="H69" s="277" t="s">
        <x:v>118</x:v>
      </x:c>
      <x:c r="I69" s="277" t="s">
        <x:v>118</x:v>
      </x:c>
      <x:c r="J69" s="277" t="s">
        <x:v>118</x:v>
      </x:c>
      <x:c r="K69" s="277" t="s">
        <x:v>118</x:v>
      </x:c>
      <x:c r="L69" s="277" t="s">
        <x:v>118</x:v>
      </x:c>
      <x:c r="M69" s="277" t="s">
        <x:v>118</x:v>
      </x:c>
      <x:c r="N69" s="277" t="s">
        <x:v>118</x:v>
      </x:c>
      <x:c r="O69" s="277" t="s">
        <x:v>118</x:v>
      </x:c>
      <x:c r="P69" s="277" t="s">
        <x:v>118</x:v>
      </x:c>
      <x:c r="Q69" s="277" t="s">
        <x:v>118</x:v>
      </x:c>
      <x:c r="R69" s="277" t="s">
        <x:v>118</x:v>
      </x:c>
      <x:c r="S69" s="277" t="s">
        <x:v>118</x:v>
      </x:c>
      <x:c r="T69" s="277" t="s">
        <x:v>118</x:v>
      </x:c>
      <x:c r="U69" s="277" t="s">
        <x:v>118</x:v>
      </x:c>
      <x:c r="V69" s="277" t="s">
        <x:v>118</x:v>
      </x:c>
      <x:c r="W69" s="277" t="s">
        <x:v>118</x:v>
      </x:c>
      <x:c r="X69" s="277" t="s">
        <x:v>118</x:v>
      </x:c>
      <x:c r="Y69" s="277" t="s">
        <x:v>118</x:v>
      </x:c>
      <x:c r="Z69" s="277" t="s">
        <x:v>118</x:v>
      </x:c>
      <x:c r="AA69" s="277" t="s">
        <x:v>118</x:v>
      </x:c>
      <x:c r="AB69" s="277" t="s">
        <x:v>118</x:v>
      </x:c>
      <x:c r="AC69" s="277" t="s">
        <x:v>118</x:v>
      </x:c>
      <x:c r="AD69" s="277" t="s">
        <x:v>118</x:v>
      </x:c>
      <x:c r="AE69" s="277" t="s">
        <x:v>118</x:v>
      </x:c>
      <x:c r="AF69" s="277" t="s">
        <x:v>118</x:v>
      </x:c>
      <x:c r="AG69" s="277" t="s">
        <x:v>118</x:v>
      </x:c>
      <x:c r="AH69" s="277" t="s">
        <x:v>118</x:v>
      </x:c>
      <x:c r="AI69" s="277" t="s">
        <x:v>118</x:v>
      </x:c>
      <x:c r="AJ69" s="277" t="s">
        <x:v>118</x:v>
      </x:c>
      <x:c r="AK69" s="220">
        <x:f>COUNTIF(F69:AJ69,"X")</x:f>
      </x:c>
      <x:c r="AL69" s="221"/>
      <x:c r="AM69" s="221"/>
      <x:c r="AN69" s="222"/>
      <x:c r="AO69" s="222"/>
      <x:c r="AP69" s="228"/>
      <x:c r="AQ69" s="228"/>
      <x:c r="AR69" s="228"/>
      <x:c r="AS69" s="228"/>
      <x:c r="AT69" s="230"/>
    </x:row>
    <x:row r="70" spans="1:47" ht="19.9" customHeight="1">
      <x:c r="A70" s="274" t="s">
        <x:v>1920</x:v>
      </x:c>
      <x:c r="B70" s="216"/>
      <x:c r="C70" s="275" t="s">
        <x:v>1921</x:v>
      </x:c>
      <x:c r="D70" s="274" t="s">
        <x:v>1919</x:v>
      </x:c>
      <x:c r="E70" s="276" t="s">
        <x:v>1922</x:v>
      </x:c>
      <x:c r="F70" s="277" t="s">
        <x:v>118</x:v>
      </x:c>
      <x:c r="G70" s="277" t="s">
        <x:v>118</x:v>
      </x:c>
      <x:c r="H70" s="277" t="s">
        <x:v>118</x:v>
      </x:c>
      <x:c r="I70" s="277" t="s">
        <x:v>118</x:v>
      </x:c>
      <x:c r="J70" s="277" t="s">
        <x:v>118</x:v>
      </x:c>
      <x:c r="K70" s="277" t="s">
        <x:v>118</x:v>
      </x:c>
      <x:c r="L70" s="277" t="s">
        <x:v>118</x:v>
      </x:c>
      <x:c r="M70" s="277" t="s">
        <x:v>118</x:v>
      </x:c>
      <x:c r="N70" s="277" t="s">
        <x:v>118</x:v>
      </x:c>
      <x:c r="O70" s="277" t="s">
        <x:v>118</x:v>
      </x:c>
      <x:c r="P70" s="277" t="s">
        <x:v>118</x:v>
      </x:c>
      <x:c r="Q70" s="277" t="s">
        <x:v>118</x:v>
      </x:c>
      <x:c r="R70" s="277" t="s">
        <x:v>118</x:v>
      </x:c>
      <x:c r="S70" s="277" t="s">
        <x:v>118</x:v>
      </x:c>
      <x:c r="T70" s="277" t="s">
        <x:v>118</x:v>
      </x:c>
      <x:c r="U70" s="277" t="s">
        <x:v>118</x:v>
      </x:c>
      <x:c r="V70" s="277" t="s">
        <x:v>118</x:v>
      </x:c>
      <x:c r="W70" s="277" t="s">
        <x:v>118</x:v>
      </x:c>
      <x:c r="X70" s="277" t="s">
        <x:v>118</x:v>
      </x:c>
      <x:c r="Y70" s="277" t="s">
        <x:v>118</x:v>
      </x:c>
      <x:c r="Z70" s="277" t="s">
        <x:v>118</x:v>
      </x:c>
      <x:c r="AA70" s="277" t="s">
        <x:v>118</x:v>
      </x:c>
      <x:c r="AB70" s="277" t="s">
        <x:v>118</x:v>
      </x:c>
      <x:c r="AC70" s="277" t="s">
        <x:v>118</x:v>
      </x:c>
      <x:c r="AD70" s="277" t="s">
        <x:v>118</x:v>
      </x:c>
      <x:c r="AE70" s="277" t="s">
        <x:v>118</x:v>
      </x:c>
      <x:c r="AF70" s="277" t="s">
        <x:v>118</x:v>
      </x:c>
      <x:c r="AG70" s="277" t="s">
        <x:v>118</x:v>
      </x:c>
      <x:c r="AH70" s="277" t="s">
        <x:v>118</x:v>
      </x:c>
      <x:c r="AI70" s="277" t="s">
        <x:v>118</x:v>
      </x:c>
      <x:c r="AJ70" s="277" t="s">
        <x:v>118</x:v>
      </x:c>
      <x:c r="AK70" s="220">
        <x:f>COUNTIF(F70:AJ70,"X")</x:f>
      </x:c>
      <x:c r="AL70" s="221"/>
      <x:c r="AM70" s="221"/>
      <x:c r="AN70" s="222"/>
      <x:c r="AO70" s="222"/>
      <x:c r="AP70" s="228"/>
      <x:c r="AQ70" s="228"/>
      <x:c r="AR70" s="228"/>
      <x:c r="AS70" s="228"/>
      <x:c r="AT70" s="230"/>
    </x:row>
    <x:row r="71" spans="1:47" ht="19.9" customHeight="1">
      <x:c r="A71" s="274" t="s">
        <x:v>1923</x:v>
      </x:c>
      <x:c r="B71" s="216"/>
      <x:c r="C71" s="275" t="s">
        <x:v>1924</x:v>
      </x:c>
      <x:c r="D71" s="274" t="s">
        <x:v>1014</x:v>
      </x:c>
      <x:c r="E71" s="276" t="s">
        <x:v>224</x:v>
      </x:c>
      <x:c r="F71" s="277" t="s">
        <x:v>118</x:v>
      </x:c>
      <x:c r="G71" s="277" t="s">
        <x:v>118</x:v>
      </x:c>
      <x:c r="H71" s="277" t="s">
        <x:v>118</x:v>
      </x:c>
      <x:c r="I71" s="277" t="s">
        <x:v>118</x:v>
      </x:c>
      <x:c r="J71" s="277" t="s">
        <x:v>118</x:v>
      </x:c>
      <x:c r="K71" s="277" t="s">
        <x:v>118</x:v>
      </x:c>
      <x:c r="L71" s="277" t="s">
        <x:v>118</x:v>
      </x:c>
      <x:c r="M71" s="277" t="s">
        <x:v>118</x:v>
      </x:c>
      <x:c r="N71" s="277" t="s">
        <x:v>118</x:v>
      </x:c>
      <x:c r="O71" s="277" t="s">
        <x:v>118</x:v>
      </x:c>
      <x:c r="P71" s="277" t="s">
        <x:v>118</x:v>
      </x:c>
      <x:c r="Q71" s="277" t="s">
        <x:v>118</x:v>
      </x:c>
      <x:c r="R71" s="277" t="s">
        <x:v>118</x:v>
      </x:c>
      <x:c r="S71" s="277" t="s">
        <x:v>118</x:v>
      </x:c>
      <x:c r="T71" s="277" t="s">
        <x:v>118</x:v>
      </x:c>
      <x:c r="U71" s="277" t="s">
        <x:v>118</x:v>
      </x:c>
      <x:c r="V71" s="277" t="s">
        <x:v>118</x:v>
      </x:c>
      <x:c r="W71" s="277" t="s">
        <x:v>118</x:v>
      </x:c>
      <x:c r="X71" s="277" t="s">
        <x:v>118</x:v>
      </x:c>
      <x:c r="Y71" s="277" t="s">
        <x:v>118</x:v>
      </x:c>
      <x:c r="Z71" s="277" t="s">
        <x:v>118</x:v>
      </x:c>
      <x:c r="AA71" s="277" t="s">
        <x:v>118</x:v>
      </x:c>
      <x:c r="AB71" s="277" t="s">
        <x:v>118</x:v>
      </x:c>
      <x:c r="AC71" s="277" t="s">
        <x:v>118</x:v>
      </x:c>
      <x:c r="AD71" s="277" t="s">
        <x:v>118</x:v>
      </x:c>
      <x:c r="AE71" s="277" t="s">
        <x:v>118</x:v>
      </x:c>
      <x:c r="AF71" s="277" t="s">
        <x:v>118</x:v>
      </x:c>
      <x:c r="AG71" s="277" t="s">
        <x:v>118</x:v>
      </x:c>
      <x:c r="AH71" s="277" t="s">
        <x:v>118</x:v>
      </x:c>
      <x:c r="AI71" s="277" t="s">
        <x:v>118</x:v>
      </x:c>
      <x:c r="AJ71" s="277" t="s">
        <x:v>118</x:v>
      </x:c>
      <x:c r="AK71" s="220">
        <x:f>COUNTIF(F71:AJ71,"X")</x:f>
      </x:c>
      <x:c r="AL71" s="221"/>
      <x:c r="AM71" s="221"/>
      <x:c r="AN71" s="222"/>
      <x:c r="AO71" s="222"/>
      <x:c r="AP71" s="228"/>
      <x:c r="AQ71" s="228"/>
      <x:c r="AR71" s="228"/>
      <x:c r="AS71" s="228"/>
      <x:c r="AT71" s="230"/>
    </x:row>
    <x:row r="72" spans="1:47" ht="19.9" customHeight="1">
      <x:c r="A72" s="274" t="s">
        <x:v>1925</x:v>
      </x:c>
      <x:c r="B72" s="216"/>
      <x:c r="C72" s="275" t="s">
        <x:v>1926</x:v>
      </x:c>
      <x:c r="D72" s="274" t="s">
        <x:v>1927</x:v>
      </x:c>
      <x:c r="E72" s="276" t="s">
        <x:v>1173</x:v>
      </x:c>
      <x:c r="F72" s="277" t="s">
        <x:v>118</x:v>
      </x:c>
      <x:c r="G72" s="277" t="s">
        <x:v>118</x:v>
      </x:c>
      <x:c r="H72" s="277" t="s">
        <x:v>118</x:v>
      </x:c>
      <x:c r="I72" s="277" t="s">
        <x:v>118</x:v>
      </x:c>
      <x:c r="J72" s="277" t="s">
        <x:v>118</x:v>
      </x:c>
      <x:c r="K72" s="277" t="s">
        <x:v>118</x:v>
      </x:c>
      <x:c r="L72" s="277" t="s">
        <x:v>118</x:v>
      </x:c>
      <x:c r="M72" s="277" t="s">
        <x:v>118</x:v>
      </x:c>
      <x:c r="N72" s="277" t="s">
        <x:v>118</x:v>
      </x:c>
      <x:c r="O72" s="277" t="s">
        <x:v>118</x:v>
      </x:c>
      <x:c r="P72" s="277" t="s">
        <x:v>118</x:v>
      </x:c>
      <x:c r="Q72" s="277" t="s">
        <x:v>118</x:v>
      </x:c>
      <x:c r="R72" s="277" t="s">
        <x:v>118</x:v>
      </x:c>
      <x:c r="S72" s="277" t="s">
        <x:v>118</x:v>
      </x:c>
      <x:c r="T72" s="277" t="s">
        <x:v>118</x:v>
      </x:c>
      <x:c r="U72" s="277" t="s">
        <x:v>118</x:v>
      </x:c>
      <x:c r="V72" s="277" t="s">
        <x:v>118</x:v>
      </x:c>
      <x:c r="W72" s="277" t="s">
        <x:v>118</x:v>
      </x:c>
      <x:c r="X72" s="277" t="s">
        <x:v>118</x:v>
      </x:c>
      <x:c r="Y72" s="277" t="s">
        <x:v>118</x:v>
      </x:c>
      <x:c r="Z72" s="277" t="s">
        <x:v>118</x:v>
      </x:c>
      <x:c r="AA72" s="277" t="s">
        <x:v>118</x:v>
      </x:c>
      <x:c r="AB72" s="277" t="s">
        <x:v>118</x:v>
      </x:c>
      <x:c r="AC72" s="277" t="s">
        <x:v>118</x:v>
      </x:c>
      <x:c r="AD72" s="277" t="s">
        <x:v>118</x:v>
      </x:c>
      <x:c r="AE72" s="277" t="s">
        <x:v>118</x:v>
      </x:c>
      <x:c r="AF72" s="277" t="s">
        <x:v>118</x:v>
      </x:c>
      <x:c r="AG72" s="277" t="s">
        <x:v>118</x:v>
      </x:c>
      <x:c r="AH72" s="277" t="s">
        <x:v>118</x:v>
      </x:c>
      <x:c r="AI72" s="277" t="s">
        <x:v>118</x:v>
      </x:c>
      <x:c r="AJ72" s="277" t="s">
        <x:v>118</x:v>
      </x:c>
      <x:c r="AK72" s="220">
        <x:f>COUNTIF(F72:AJ72,"X")</x:f>
      </x:c>
      <x:c r="AL72" s="221"/>
      <x:c r="AM72" s="221"/>
      <x:c r="AN72" s="222"/>
      <x:c r="AO72" s="222"/>
      <x:c r="AP72" s="228"/>
      <x:c r="AQ72" s="228"/>
      <x:c r="AR72" s="228"/>
      <x:c r="AS72" s="228"/>
      <x:c r="AT72" s="230"/>
    </x:row>
    <x:row r="73" spans="1:47" ht="19.9" customHeight="1">
      <x:c r="A73" s="274" t="s">
        <x:v>1928</x:v>
      </x:c>
      <x:c r="B73" s="216"/>
      <x:c r="C73" s="275" t="s">
        <x:v>1929</x:v>
      </x:c>
      <x:c r="D73" s="274" t="s">
        <x:v>1029</x:v>
      </x:c>
      <x:c r="E73" s="276" t="s">
        <x:v>185</x:v>
      </x:c>
      <x:c r="F73" s="277" t="s">
        <x:v>118</x:v>
      </x:c>
      <x:c r="G73" s="277" t="s">
        <x:v>118</x:v>
      </x:c>
      <x:c r="H73" s="277" t="s">
        <x:v>118</x:v>
      </x:c>
      <x:c r="I73" s="277" t="s">
        <x:v>118</x:v>
      </x:c>
      <x:c r="J73" s="277" t="s">
        <x:v>118</x:v>
      </x:c>
      <x:c r="K73" s="277" t="s">
        <x:v>118</x:v>
      </x:c>
      <x:c r="L73" s="277" t="s">
        <x:v>118</x:v>
      </x:c>
      <x:c r="M73" s="277" t="s">
        <x:v>118</x:v>
      </x:c>
      <x:c r="N73" s="277" t="s">
        <x:v>118</x:v>
      </x:c>
      <x:c r="O73" s="277" t="s">
        <x:v>118</x:v>
      </x:c>
      <x:c r="P73" s="277" t="s">
        <x:v>118</x:v>
      </x:c>
      <x:c r="Q73" s="277" t="s">
        <x:v>118</x:v>
      </x:c>
      <x:c r="R73" s="277" t="s">
        <x:v>118</x:v>
      </x:c>
      <x:c r="S73" s="277" t="s">
        <x:v>118</x:v>
      </x:c>
      <x:c r="T73" s="277" t="s">
        <x:v>118</x:v>
      </x:c>
      <x:c r="U73" s="277" t="s">
        <x:v>118</x:v>
      </x:c>
      <x:c r="V73" s="277" t="s">
        <x:v>118</x:v>
      </x:c>
      <x:c r="W73" s="277" t="s">
        <x:v>118</x:v>
      </x:c>
      <x:c r="X73" s="277" t="s">
        <x:v>118</x:v>
      </x:c>
      <x:c r="Y73" s="277" t="s">
        <x:v>118</x:v>
      </x:c>
      <x:c r="Z73" s="277" t="s">
        <x:v>118</x:v>
      </x:c>
      <x:c r="AA73" s="277" t="s">
        <x:v>118</x:v>
      </x:c>
      <x:c r="AB73" s="277" t="s">
        <x:v>118</x:v>
      </x:c>
      <x:c r="AC73" s="277" t="s">
        <x:v>118</x:v>
      </x:c>
      <x:c r="AD73" s="277" t="s">
        <x:v>118</x:v>
      </x:c>
      <x:c r="AE73" s="277" t="s">
        <x:v>118</x:v>
      </x:c>
      <x:c r="AF73" s="277" t="s">
        <x:v>118</x:v>
      </x:c>
      <x:c r="AG73" s="277" t="s">
        <x:v>118</x:v>
      </x:c>
      <x:c r="AH73" s="277" t="s">
        <x:v>118</x:v>
      </x:c>
      <x:c r="AI73" s="277" t="s">
        <x:v>118</x:v>
      </x:c>
      <x:c r="AJ73" s="277" t="s">
        <x:v>118</x:v>
      </x:c>
      <x:c r="AK73" s="220">
        <x:f>COUNTIF(F73:AJ73,"X")</x:f>
      </x:c>
      <x:c r="AL73" s="221"/>
      <x:c r="AM73" s="221"/>
      <x:c r="AN73" s="222"/>
      <x:c r="AO73" s="222"/>
      <x:c r="AP73" s="228"/>
      <x:c r="AQ73" s="228"/>
      <x:c r="AR73" s="228"/>
      <x:c r="AS73" s="228"/>
      <x:c r="AT73" s="230"/>
    </x:row>
    <x:row r="74" spans="1:47" ht="19.9" customHeight="1">
      <x:c r="A74" s="274" t="s">
        <x:v>1930</x:v>
      </x:c>
      <x:c r="B74" s="216"/>
      <x:c r="C74" s="275" t="s">
        <x:v>1931</x:v>
      </x:c>
      <x:c r="D74" s="274" t="s">
        <x:v>981</x:v>
      </x:c>
      <x:c r="E74" s="276" t="s">
        <x:v>1663</x:v>
      </x:c>
      <x:c r="F74" s="277" t="s">
        <x:v>118</x:v>
      </x:c>
      <x:c r="G74" s="277" t="s">
        <x:v>118</x:v>
      </x:c>
      <x:c r="H74" s="277" t="s">
        <x:v>118</x:v>
      </x:c>
      <x:c r="I74" s="277" t="s">
        <x:v>118</x:v>
      </x:c>
      <x:c r="J74" s="277" t="s">
        <x:v>118</x:v>
      </x:c>
      <x:c r="K74" s="277" t="s">
        <x:v>118</x:v>
      </x:c>
      <x:c r="L74" s="277" t="s">
        <x:v>118</x:v>
      </x:c>
      <x:c r="M74" s="277" t="s">
        <x:v>118</x:v>
      </x:c>
      <x:c r="N74" s="277" t="s">
        <x:v>118</x:v>
      </x:c>
      <x:c r="O74" s="277" t="s">
        <x:v>118</x:v>
      </x:c>
      <x:c r="P74" s="277" t="s">
        <x:v>118</x:v>
      </x:c>
      <x:c r="Q74" s="277" t="s">
        <x:v>118</x:v>
      </x:c>
      <x:c r="R74" s="277" t="s">
        <x:v>118</x:v>
      </x:c>
      <x:c r="S74" s="277" t="s">
        <x:v>118</x:v>
      </x:c>
      <x:c r="T74" s="277" t="s">
        <x:v>118</x:v>
      </x:c>
      <x:c r="U74" s="277" t="s">
        <x:v>118</x:v>
      </x:c>
      <x:c r="V74" s="277" t="s">
        <x:v>118</x:v>
      </x:c>
      <x:c r="W74" s="277" t="s">
        <x:v>118</x:v>
      </x:c>
      <x:c r="X74" s="277" t="s">
        <x:v>118</x:v>
      </x:c>
      <x:c r="Y74" s="277" t="s">
        <x:v>118</x:v>
      </x:c>
      <x:c r="Z74" s="277" t="s">
        <x:v>118</x:v>
      </x:c>
      <x:c r="AA74" s="277" t="s">
        <x:v>118</x:v>
      </x:c>
      <x:c r="AB74" s="277" t="s">
        <x:v>118</x:v>
      </x:c>
      <x:c r="AC74" s="277" t="s">
        <x:v>118</x:v>
      </x:c>
      <x:c r="AD74" s="277" t="s">
        <x:v>118</x:v>
      </x:c>
      <x:c r="AE74" s="277" t="s">
        <x:v>118</x:v>
      </x:c>
      <x:c r="AF74" s="277" t="s">
        <x:v>118</x:v>
      </x:c>
      <x:c r="AG74" s="277" t="s">
        <x:v>118</x:v>
      </x:c>
      <x:c r="AH74" s="277" t="s">
        <x:v>118</x:v>
      </x:c>
      <x:c r="AI74" s="277" t="s">
        <x:v>118</x:v>
      </x:c>
      <x:c r="AJ74" s="277" t="s">
        <x:v>118</x:v>
      </x:c>
      <x:c r="AK74" s="220">
        <x:f>COUNTIF(F74:AJ74,"X")</x:f>
      </x:c>
      <x:c r="AL74" s="221"/>
      <x:c r="AM74" s="221"/>
      <x:c r="AN74" s="222"/>
      <x:c r="AO74" s="222"/>
      <x:c r="AP74" s="228"/>
      <x:c r="AQ74" s="228"/>
      <x:c r="AR74" s="228"/>
      <x:c r="AS74" s="228"/>
      <x:c r="AT74" s="230"/>
    </x:row>
    <x:row r="75" spans="1:47" ht="19.9" customHeight="1">
      <x:c r="A75" s="274" t="s">
        <x:v>1932</x:v>
      </x:c>
      <x:c r="B75" s="216"/>
      <x:c r="C75" s="275" t="s">
        <x:v>1933</x:v>
      </x:c>
      <x:c r="D75" s="274" t="s">
        <x:v>1934</x:v>
      </x:c>
      <x:c r="E75" s="276" t="s">
        <x:v>1427</x:v>
      </x:c>
      <x:c r="F75" s="277" t="s">
        <x:v>118</x:v>
      </x:c>
      <x:c r="G75" s="277" t="s">
        <x:v>118</x:v>
      </x:c>
      <x:c r="H75" s="277" t="s">
        <x:v>118</x:v>
      </x:c>
      <x:c r="I75" s="277" t="s">
        <x:v>118</x:v>
      </x:c>
      <x:c r="J75" s="277" t="s">
        <x:v>118</x:v>
      </x:c>
      <x:c r="K75" s="277" t="s">
        <x:v>118</x:v>
      </x:c>
      <x:c r="L75" s="277" t="s">
        <x:v>118</x:v>
      </x:c>
      <x:c r="M75" s="277" t="s">
        <x:v>118</x:v>
      </x:c>
      <x:c r="N75" s="277" t="s">
        <x:v>118</x:v>
      </x:c>
      <x:c r="O75" s="277" t="s">
        <x:v>118</x:v>
      </x:c>
      <x:c r="P75" s="277" t="s">
        <x:v>118</x:v>
      </x:c>
      <x:c r="Q75" s="277" t="s">
        <x:v>118</x:v>
      </x:c>
      <x:c r="R75" s="277" t="s">
        <x:v>118</x:v>
      </x:c>
      <x:c r="S75" s="277" t="s">
        <x:v>118</x:v>
      </x:c>
      <x:c r="T75" s="277" t="s">
        <x:v>118</x:v>
      </x:c>
      <x:c r="U75" s="277" t="s">
        <x:v>118</x:v>
      </x:c>
      <x:c r="V75" s="277" t="s">
        <x:v>118</x:v>
      </x:c>
      <x:c r="W75" s="277" t="s">
        <x:v>118</x:v>
      </x:c>
      <x:c r="X75" s="277" t="s">
        <x:v>118</x:v>
      </x:c>
      <x:c r="Y75" s="277" t="s">
        <x:v>118</x:v>
      </x:c>
      <x:c r="Z75" s="277" t="s">
        <x:v>118</x:v>
      </x:c>
      <x:c r="AA75" s="277" t="s">
        <x:v>118</x:v>
      </x:c>
      <x:c r="AB75" s="277" t="s">
        <x:v>118</x:v>
      </x:c>
      <x:c r="AC75" s="277" t="s">
        <x:v>118</x:v>
      </x:c>
      <x:c r="AD75" s="277" t="s">
        <x:v>118</x:v>
      </x:c>
      <x:c r="AE75" s="277" t="s">
        <x:v>118</x:v>
      </x:c>
      <x:c r="AF75" s="277" t="s">
        <x:v>118</x:v>
      </x:c>
      <x:c r="AG75" s="277" t="s">
        <x:v>118</x:v>
      </x:c>
      <x:c r="AH75" s="277" t="s">
        <x:v>118</x:v>
      </x:c>
      <x:c r="AI75" s="277" t="s">
        <x:v>118</x:v>
      </x:c>
      <x:c r="AJ75" s="277" t="s">
        <x:v>118</x:v>
      </x:c>
      <x:c r="AK75" s="220">
        <x:f>COUNTIF(F75:AJ75,"X")</x:f>
      </x:c>
      <x:c r="AL75" s="221"/>
      <x:c r="AM75" s="221"/>
      <x:c r="AN75" s="222"/>
      <x:c r="AO75" s="222"/>
      <x:c r="AP75" s="228"/>
      <x:c r="AQ75" s="228"/>
      <x:c r="AR75" s="228"/>
      <x:c r="AS75" s="228"/>
      <x:c r="AT75" s="233"/>
    </x:row>
    <x:row r="76" spans="1:47" ht="19.9" customHeight="1">
      <x:c r="A76" s="274" t="s">
        <x:v>1935</x:v>
      </x:c>
      <x:c r="B76" s="216"/>
      <x:c r="C76" s="275" t="s">
        <x:v>1936</x:v>
      </x:c>
      <x:c r="D76" s="274" t="s">
        <x:v>1937</x:v>
      </x:c>
      <x:c r="E76" s="276" t="s">
        <x:v>1064</x:v>
      </x:c>
      <x:c r="F76" s="277" t="s">
        <x:v>118</x:v>
      </x:c>
      <x:c r="G76" s="277" t="s">
        <x:v>118</x:v>
      </x:c>
      <x:c r="H76" s="277" t="s">
        <x:v>118</x:v>
      </x:c>
      <x:c r="I76" s="277" t="s">
        <x:v>118</x:v>
      </x:c>
      <x:c r="J76" s="277" t="s">
        <x:v>118</x:v>
      </x:c>
      <x:c r="K76" s="277" t="s">
        <x:v>118</x:v>
      </x:c>
      <x:c r="L76" s="277" t="s">
        <x:v>118</x:v>
      </x:c>
      <x:c r="M76" s="277" t="s">
        <x:v>118</x:v>
      </x:c>
      <x:c r="N76" s="277" t="s">
        <x:v>118</x:v>
      </x:c>
      <x:c r="O76" s="277" t="s">
        <x:v>118</x:v>
      </x:c>
      <x:c r="P76" s="277" t="s">
        <x:v>118</x:v>
      </x:c>
      <x:c r="Q76" s="277" t="s">
        <x:v>118</x:v>
      </x:c>
      <x:c r="R76" s="277" t="s">
        <x:v>118</x:v>
      </x:c>
      <x:c r="S76" s="277" t="s">
        <x:v>118</x:v>
      </x:c>
      <x:c r="T76" s="277" t="s">
        <x:v>118</x:v>
      </x:c>
      <x:c r="U76" s="277" t="s">
        <x:v>118</x:v>
      </x:c>
      <x:c r="V76" s="277" t="s">
        <x:v>118</x:v>
      </x:c>
      <x:c r="W76" s="277" t="s">
        <x:v>118</x:v>
      </x:c>
      <x:c r="X76" s="277" t="s">
        <x:v>118</x:v>
      </x:c>
      <x:c r="Y76" s="277" t="s">
        <x:v>118</x:v>
      </x:c>
      <x:c r="Z76" s="277" t="s">
        <x:v>118</x:v>
      </x:c>
      <x:c r="AA76" s="277" t="s">
        <x:v>118</x:v>
      </x:c>
      <x:c r="AB76" s="277" t="s">
        <x:v>118</x:v>
      </x:c>
      <x:c r="AC76" s="277" t="s">
        <x:v>118</x:v>
      </x:c>
      <x:c r="AD76" s="277" t="s">
        <x:v>118</x:v>
      </x:c>
      <x:c r="AE76" s="277" t="s">
        <x:v>118</x:v>
      </x:c>
      <x:c r="AF76" s="277" t="s">
        <x:v>118</x:v>
      </x:c>
      <x:c r="AG76" s="277" t="s">
        <x:v>118</x:v>
      </x:c>
      <x:c r="AH76" s="277" t="s">
        <x:v>118</x:v>
      </x:c>
      <x:c r="AI76" s="277" t="s">
        <x:v>118</x:v>
      </x:c>
      <x:c r="AJ76" s="277" t="s">
        <x:v>118</x:v>
      </x:c>
      <x:c r="AK76" s="220">
        <x:f>COUNTIF(F76:AJ76,"X")</x:f>
      </x:c>
      <x:c r="AL76" s="221"/>
      <x:c r="AM76" s="221"/>
      <x:c r="AN76" s="222"/>
      <x:c r="AO76" s="222"/>
      <x:c r="AP76" s="228"/>
      <x:c r="AQ76" s="228"/>
      <x:c r="AR76" s="228"/>
      <x:c r="AS76" s="228"/>
      <x:c r="AT76" s="230"/>
    </x:row>
    <x:row r="77" spans="1:47" ht="19.9" customHeight="1">
      <x:c r="A77" s="274" t="s">
        <x:v>1938</x:v>
      </x:c>
      <x:c r="B77" s="216"/>
      <x:c r="C77" s="275" t="s">
        <x:v>1939</x:v>
      </x:c>
      <x:c r="D77" s="274" t="s">
        <x:v>260</x:v>
      </x:c>
      <x:c r="E77" s="276" t="s">
        <x:v>1940</x:v>
      </x:c>
      <x:c r="F77" s="277" t="s">
        <x:v>118</x:v>
      </x:c>
      <x:c r="G77" s="277" t="s">
        <x:v>118</x:v>
      </x:c>
      <x:c r="H77" s="277" t="s">
        <x:v>118</x:v>
      </x:c>
      <x:c r="I77" s="277" t="s">
        <x:v>118</x:v>
      </x:c>
      <x:c r="J77" s="277" t="s">
        <x:v>118</x:v>
      </x:c>
      <x:c r="K77" s="277" t="s">
        <x:v>118</x:v>
      </x:c>
      <x:c r="L77" s="277" t="s">
        <x:v>118</x:v>
      </x:c>
      <x:c r="M77" s="277" t="s">
        <x:v>118</x:v>
      </x:c>
      <x:c r="N77" s="277" t="s">
        <x:v>118</x:v>
      </x:c>
      <x:c r="O77" s="277" t="s">
        <x:v>118</x:v>
      </x:c>
      <x:c r="P77" s="277" t="s">
        <x:v>118</x:v>
      </x:c>
      <x:c r="Q77" s="277" t="s">
        <x:v>118</x:v>
      </x:c>
      <x:c r="R77" s="277" t="s">
        <x:v>118</x:v>
      </x:c>
      <x:c r="S77" s="277" t="s">
        <x:v>118</x:v>
      </x:c>
      <x:c r="T77" s="277" t="s">
        <x:v>118</x:v>
      </x:c>
      <x:c r="U77" s="277" t="s">
        <x:v>118</x:v>
      </x:c>
      <x:c r="V77" s="277" t="s">
        <x:v>118</x:v>
      </x:c>
      <x:c r="W77" s="277" t="s">
        <x:v>118</x:v>
      </x:c>
      <x:c r="X77" s="277" t="s">
        <x:v>118</x:v>
      </x:c>
      <x:c r="Y77" s="277" t="s">
        <x:v>118</x:v>
      </x:c>
      <x:c r="Z77" s="277" t="s">
        <x:v>118</x:v>
      </x:c>
      <x:c r="AA77" s="277" t="s">
        <x:v>118</x:v>
      </x:c>
      <x:c r="AB77" s="277" t="s">
        <x:v>118</x:v>
      </x:c>
      <x:c r="AC77" s="277" t="s">
        <x:v>118</x:v>
      </x:c>
      <x:c r="AD77" s="277" t="s">
        <x:v>118</x:v>
      </x:c>
      <x:c r="AE77" s="277" t="s">
        <x:v>118</x:v>
      </x:c>
      <x:c r="AF77" s="277" t="s">
        <x:v>118</x:v>
      </x:c>
      <x:c r="AG77" s="277" t="s">
        <x:v>118</x:v>
      </x:c>
      <x:c r="AH77" s="277" t="s">
        <x:v>118</x:v>
      </x:c>
      <x:c r="AI77" s="277" t="s">
        <x:v>118</x:v>
      </x:c>
      <x:c r="AJ77" s="277" t="s">
        <x:v>118</x:v>
      </x:c>
      <x:c r="AK77" s="220">
        <x:f>COUNTIF(F77:AJ77,"X")</x:f>
      </x:c>
      <x:c r="AL77" s="221"/>
      <x:c r="AM77" s="221"/>
      <x:c r="AN77" s="222"/>
      <x:c r="AO77" s="222"/>
      <x:c r="AP77" s="228"/>
      <x:c r="AQ77" s="228"/>
      <x:c r="AR77" s="228"/>
      <x:c r="AS77" s="228"/>
      <x:c r="AT77" s="230"/>
    </x:row>
    <x:row r="78" spans="1:47" ht="19.9" customHeight="1">
      <x:c r="A78" s="274" t="s">
        <x:v>1941</x:v>
      </x:c>
      <x:c r="B78" s="216"/>
      <x:c r="C78" s="275" t="s">
        <x:v>1942</x:v>
      </x:c>
      <x:c r="D78" s="274" t="s">
        <x:v>1943</x:v>
      </x:c>
      <x:c r="E78" s="276" t="s">
        <x:v>201</x:v>
      </x:c>
      <x:c r="F78" s="277" t="s">
        <x:v>118</x:v>
      </x:c>
      <x:c r="G78" s="277" t="s">
        <x:v>118</x:v>
      </x:c>
      <x:c r="H78" s="277" t="s">
        <x:v>118</x:v>
      </x:c>
      <x:c r="I78" s="277" t="s">
        <x:v>118</x:v>
      </x:c>
      <x:c r="J78" s="277" t="s">
        <x:v>118</x:v>
      </x:c>
      <x:c r="K78" s="277" t="s">
        <x:v>118</x:v>
      </x:c>
      <x:c r="L78" s="277" t="s">
        <x:v>118</x:v>
      </x:c>
      <x:c r="M78" s="277" t="s">
        <x:v>118</x:v>
      </x:c>
      <x:c r="N78" s="277" t="s">
        <x:v>118</x:v>
      </x:c>
      <x:c r="O78" s="277" t="s">
        <x:v>118</x:v>
      </x:c>
      <x:c r="P78" s="277" t="s">
        <x:v>118</x:v>
      </x:c>
      <x:c r="Q78" s="277" t="s">
        <x:v>118</x:v>
      </x:c>
      <x:c r="R78" s="277" t="s">
        <x:v>118</x:v>
      </x:c>
      <x:c r="S78" s="277" t="s">
        <x:v>118</x:v>
      </x:c>
      <x:c r="T78" s="277" t="s">
        <x:v>118</x:v>
      </x:c>
      <x:c r="U78" s="277" t="s">
        <x:v>118</x:v>
      </x:c>
      <x:c r="V78" s="277" t="s">
        <x:v>118</x:v>
      </x:c>
      <x:c r="W78" s="277" t="s">
        <x:v>118</x:v>
      </x:c>
      <x:c r="X78" s="277" t="s">
        <x:v>118</x:v>
      </x:c>
      <x:c r="Y78" s="277" t="s">
        <x:v>118</x:v>
      </x:c>
      <x:c r="Z78" s="277" t="s">
        <x:v>118</x:v>
      </x:c>
      <x:c r="AA78" s="277" t="s">
        <x:v>118</x:v>
      </x:c>
      <x:c r="AB78" s="277" t="s">
        <x:v>118</x:v>
      </x:c>
      <x:c r="AC78" s="277" t="s">
        <x:v>118</x:v>
      </x:c>
      <x:c r="AD78" s="277" t="s">
        <x:v>118</x:v>
      </x:c>
      <x:c r="AE78" s="277" t="s">
        <x:v>118</x:v>
      </x:c>
      <x:c r="AF78" s="277" t="s">
        <x:v>118</x:v>
      </x:c>
      <x:c r="AG78" s="277" t="s">
        <x:v>118</x:v>
      </x:c>
      <x:c r="AH78" s="277" t="s">
        <x:v>118</x:v>
      </x:c>
      <x:c r="AI78" s="277" t="s">
        <x:v>118</x:v>
      </x:c>
      <x:c r="AJ78" s="277" t="s">
        <x:v>118</x:v>
      </x:c>
      <x:c r="AK78" s="220">
        <x:f>COUNTIF(F78:AJ78,"X")</x:f>
      </x:c>
      <x:c r="AL78" s="221"/>
      <x:c r="AM78" s="221"/>
      <x:c r="AN78" s="222"/>
      <x:c r="AO78" s="222"/>
      <x:c r="AP78" s="228"/>
      <x:c r="AQ78" s="228"/>
      <x:c r="AR78" s="228"/>
      <x:c r="AS78" s="228"/>
      <x:c r="AT78" s="230"/>
    </x:row>
    <x:row r="79" spans="1:47" ht="19.9" customHeight="1">
      <x:c r="A79" s="274" t="s">
        <x:v>1944</x:v>
      </x:c>
      <x:c r="B79" s="216"/>
      <x:c r="C79" s="275" t="s">
        <x:v>1945</x:v>
      </x:c>
      <x:c r="D79" s="274" t="s">
        <x:v>1946</x:v>
      </x:c>
      <x:c r="E79" s="276" t="s">
        <x:v>1947</x:v>
      </x:c>
      <x:c r="F79" s="277" t="s">
        <x:v>118</x:v>
      </x:c>
      <x:c r="G79" s="277" t="s">
        <x:v>118</x:v>
      </x:c>
      <x:c r="H79" s="277" t="s">
        <x:v>118</x:v>
      </x:c>
      <x:c r="I79" s="277" t="s">
        <x:v>118</x:v>
      </x:c>
      <x:c r="J79" s="277" t="s">
        <x:v>118</x:v>
      </x:c>
      <x:c r="K79" s="277" t="s">
        <x:v>118</x:v>
      </x:c>
      <x:c r="L79" s="277" t="s">
        <x:v>118</x:v>
      </x:c>
      <x:c r="M79" s="277" t="s">
        <x:v>118</x:v>
      </x:c>
      <x:c r="N79" s="277" t="s">
        <x:v>118</x:v>
      </x:c>
      <x:c r="O79" s="277" t="s">
        <x:v>118</x:v>
      </x:c>
      <x:c r="P79" s="277" t="s">
        <x:v>118</x:v>
      </x:c>
      <x:c r="Q79" s="277" t="s">
        <x:v>118</x:v>
      </x:c>
      <x:c r="R79" s="277" t="s">
        <x:v>118</x:v>
      </x:c>
      <x:c r="S79" s="277" t="s">
        <x:v>118</x:v>
      </x:c>
      <x:c r="T79" s="277" t="s">
        <x:v>118</x:v>
      </x:c>
      <x:c r="U79" s="277" t="s">
        <x:v>118</x:v>
      </x:c>
      <x:c r="V79" s="277" t="s">
        <x:v>118</x:v>
      </x:c>
      <x:c r="W79" s="277" t="s">
        <x:v>118</x:v>
      </x:c>
      <x:c r="X79" s="277" t="s">
        <x:v>118</x:v>
      </x:c>
      <x:c r="Y79" s="277" t="s">
        <x:v>118</x:v>
      </x:c>
      <x:c r="Z79" s="277" t="s">
        <x:v>118</x:v>
      </x:c>
      <x:c r="AA79" s="277" t="s">
        <x:v>118</x:v>
      </x:c>
      <x:c r="AB79" s="277" t="s">
        <x:v>118</x:v>
      </x:c>
      <x:c r="AC79" s="277" t="s">
        <x:v>118</x:v>
      </x:c>
      <x:c r="AD79" s="277" t="s">
        <x:v>118</x:v>
      </x:c>
      <x:c r="AE79" s="277" t="s">
        <x:v>118</x:v>
      </x:c>
      <x:c r="AF79" s="277" t="s">
        <x:v>118</x:v>
      </x:c>
      <x:c r="AG79" s="277" t="s">
        <x:v>118</x:v>
      </x:c>
      <x:c r="AH79" s="277" t="s">
        <x:v>118</x:v>
      </x:c>
      <x:c r="AI79" s="277" t="s">
        <x:v>118</x:v>
      </x:c>
      <x:c r="AJ79" s="277" t="s">
        <x:v>118</x:v>
      </x:c>
      <x:c r="AK79" s="220">
        <x:f>COUNTIF(F79:AJ79,"X")</x:f>
      </x:c>
      <x:c r="AL79" s="221"/>
      <x:c r="AM79" s="221"/>
      <x:c r="AN79" s="222"/>
      <x:c r="AO79" s="222"/>
      <x:c r="AP79" s="228"/>
      <x:c r="AQ79" s="228"/>
      <x:c r="AR79" s="228"/>
      <x:c r="AS79" s="228"/>
      <x:c r="AT79" s="230"/>
    </x:row>
    <x:row r="80" spans="1:47" ht="19.9" customHeight="1">
      <x:c r="A80" s="274" t="s">
        <x:v>1948</x:v>
      </x:c>
      <x:c r="B80" s="216"/>
      <x:c r="C80" s="275" t="s">
        <x:v>1949</x:v>
      </x:c>
      <x:c r="D80" s="274" t="s">
        <x:v>274</x:v>
      </x:c>
      <x:c r="E80" s="276" t="s">
        <x:v>1950</x:v>
      </x:c>
      <x:c r="F80" s="277" t="s">
        <x:v>118</x:v>
      </x:c>
      <x:c r="G80" s="277" t="s">
        <x:v>118</x:v>
      </x:c>
      <x:c r="H80" s="277" t="s">
        <x:v>118</x:v>
      </x:c>
      <x:c r="I80" s="277" t="s">
        <x:v>118</x:v>
      </x:c>
      <x:c r="J80" s="277" t="s">
        <x:v>118</x:v>
      </x:c>
      <x:c r="K80" s="277" t="s">
        <x:v>118</x:v>
      </x:c>
      <x:c r="L80" s="277" t="s">
        <x:v>118</x:v>
      </x:c>
      <x:c r="M80" s="277" t="s">
        <x:v>118</x:v>
      </x:c>
      <x:c r="N80" s="277" t="s">
        <x:v>118</x:v>
      </x:c>
      <x:c r="O80" s="277" t="s">
        <x:v>118</x:v>
      </x:c>
      <x:c r="P80" s="277" t="s">
        <x:v>118</x:v>
      </x:c>
      <x:c r="Q80" s="277" t="s">
        <x:v>118</x:v>
      </x:c>
      <x:c r="R80" s="277" t="s">
        <x:v>118</x:v>
      </x:c>
      <x:c r="S80" s="277" t="s">
        <x:v>118</x:v>
      </x:c>
      <x:c r="T80" s="277" t="s">
        <x:v>118</x:v>
      </x:c>
      <x:c r="U80" s="277" t="s">
        <x:v>118</x:v>
      </x:c>
      <x:c r="V80" s="277" t="s">
        <x:v>118</x:v>
      </x:c>
      <x:c r="W80" s="277" t="s">
        <x:v>118</x:v>
      </x:c>
      <x:c r="X80" s="277" t="s">
        <x:v>118</x:v>
      </x:c>
      <x:c r="Y80" s="277" t="s">
        <x:v>118</x:v>
      </x:c>
      <x:c r="Z80" s="277" t="s">
        <x:v>118</x:v>
      </x:c>
      <x:c r="AA80" s="277" t="s">
        <x:v>118</x:v>
      </x:c>
      <x:c r="AB80" s="277" t="s">
        <x:v>118</x:v>
      </x:c>
      <x:c r="AC80" s="277" t="s">
        <x:v>118</x:v>
      </x:c>
      <x:c r="AD80" s="277" t="s">
        <x:v>118</x:v>
      </x:c>
      <x:c r="AE80" s="277" t="s">
        <x:v>118</x:v>
      </x:c>
      <x:c r="AF80" s="277" t="s">
        <x:v>118</x:v>
      </x:c>
      <x:c r="AG80" s="277" t="s">
        <x:v>118</x:v>
      </x:c>
      <x:c r="AH80" s="277" t="s">
        <x:v>118</x:v>
      </x:c>
      <x:c r="AI80" s="277" t="s">
        <x:v>118</x:v>
      </x:c>
      <x:c r="AJ80" s="277" t="s">
        <x:v>118</x:v>
      </x:c>
      <x:c r="AK80" s="220">
        <x:f>COUNTIF(F80:AJ80,"X")</x:f>
      </x:c>
      <x:c r="AL80" s="221"/>
      <x:c r="AM80" s="221"/>
      <x:c r="AN80" s="222"/>
      <x:c r="AO80" s="222"/>
      <x:c r="AP80" s="228"/>
      <x:c r="AQ80" s="228"/>
      <x:c r="AR80" s="228"/>
      <x:c r="AS80" s="228"/>
      <x:c r="AT80" s="230"/>
    </x:row>
    <x:row r="81" spans="1:47" ht="19.9" customHeight="1">
      <x:c r="A81" s="274" t="s">
        <x:v>1951</x:v>
      </x:c>
      <x:c r="B81" s="216"/>
      <x:c r="C81" s="275" t="s">
        <x:v>1952</x:v>
      </x:c>
      <x:c r="D81" s="274" t="s">
        <x:v>274</x:v>
      </x:c>
      <x:c r="E81" s="276" t="s">
        <x:v>189</x:v>
      </x:c>
      <x:c r="F81" s="277" t="s">
        <x:v>118</x:v>
      </x:c>
      <x:c r="G81" s="277" t="s">
        <x:v>118</x:v>
      </x:c>
      <x:c r="H81" s="277" t="s">
        <x:v>118</x:v>
      </x:c>
      <x:c r="I81" s="277" t="s">
        <x:v>118</x:v>
      </x:c>
      <x:c r="J81" s="277" t="s">
        <x:v>118</x:v>
      </x:c>
      <x:c r="K81" s="277" t="s">
        <x:v>118</x:v>
      </x:c>
      <x:c r="L81" s="277" t="s">
        <x:v>118</x:v>
      </x:c>
      <x:c r="M81" s="277" t="s">
        <x:v>118</x:v>
      </x:c>
      <x:c r="N81" s="277" t="s">
        <x:v>118</x:v>
      </x:c>
      <x:c r="O81" s="277" t="s">
        <x:v>118</x:v>
      </x:c>
      <x:c r="P81" s="277" t="s">
        <x:v>118</x:v>
      </x:c>
      <x:c r="Q81" s="277" t="s">
        <x:v>118</x:v>
      </x:c>
      <x:c r="R81" s="277" t="s">
        <x:v>118</x:v>
      </x:c>
      <x:c r="S81" s="277" t="s">
        <x:v>118</x:v>
      </x:c>
      <x:c r="T81" s="277" t="s">
        <x:v>118</x:v>
      </x:c>
      <x:c r="U81" s="277" t="s">
        <x:v>118</x:v>
      </x:c>
      <x:c r="V81" s="277" t="s">
        <x:v>118</x:v>
      </x:c>
      <x:c r="W81" s="277" t="s">
        <x:v>118</x:v>
      </x:c>
      <x:c r="X81" s="277" t="s">
        <x:v>118</x:v>
      </x:c>
      <x:c r="Y81" s="277" t="s">
        <x:v>118</x:v>
      </x:c>
      <x:c r="Z81" s="277" t="s">
        <x:v>118</x:v>
      </x:c>
      <x:c r="AA81" s="277" t="s">
        <x:v>118</x:v>
      </x:c>
      <x:c r="AB81" s="277" t="s">
        <x:v>118</x:v>
      </x:c>
      <x:c r="AC81" s="277" t="s">
        <x:v>118</x:v>
      </x:c>
      <x:c r="AD81" s="277" t="s">
        <x:v>118</x:v>
      </x:c>
      <x:c r="AE81" s="277" t="s">
        <x:v>118</x:v>
      </x:c>
      <x:c r="AF81" s="277" t="s">
        <x:v>118</x:v>
      </x:c>
      <x:c r="AG81" s="277" t="s">
        <x:v>118</x:v>
      </x:c>
      <x:c r="AH81" s="277" t="s">
        <x:v>118</x:v>
      </x:c>
      <x:c r="AI81" s="277" t="s">
        <x:v>118</x:v>
      </x:c>
      <x:c r="AJ81" s="277" t="s">
        <x:v>118</x:v>
      </x:c>
      <x:c r="AK81" s="220">
        <x:f>COUNTIF(F81:AJ81,"X")</x:f>
      </x:c>
      <x:c r="AL81" s="221"/>
      <x:c r="AM81" s="221"/>
      <x:c r="AN81" s="222"/>
      <x:c r="AO81" s="222"/>
      <x:c r="AP81" s="228"/>
      <x:c r="AQ81" s="228"/>
      <x:c r="AR81" s="228"/>
      <x:c r="AS81" s="228"/>
      <x:c r="AT81" s="230"/>
    </x:row>
    <x:row r="82" spans="1:47" ht="19.9" customHeight="1">
      <x:c r="A82" s="274" t="s">
        <x:v>1953</x:v>
      </x:c>
      <x:c r="B82" s="216"/>
      <x:c r="C82" s="275" t="s">
        <x:v>1954</x:v>
      </x:c>
      <x:c r="D82" s="274" t="s">
        <x:v>274</x:v>
      </x:c>
      <x:c r="E82" s="276" t="s">
        <x:v>1955</x:v>
      </x:c>
      <x:c r="F82" s="277" t="s">
        <x:v>118</x:v>
      </x:c>
      <x:c r="G82" s="277" t="s">
        <x:v>118</x:v>
      </x:c>
      <x:c r="H82" s="277" t="s">
        <x:v>118</x:v>
      </x:c>
      <x:c r="I82" s="277" t="s">
        <x:v>118</x:v>
      </x:c>
      <x:c r="J82" s="277" t="s">
        <x:v>118</x:v>
      </x:c>
      <x:c r="K82" s="277" t="s">
        <x:v>118</x:v>
      </x:c>
      <x:c r="L82" s="277" t="s">
        <x:v>118</x:v>
      </x:c>
      <x:c r="M82" s="277" t="s">
        <x:v>118</x:v>
      </x:c>
      <x:c r="N82" s="277" t="s">
        <x:v>118</x:v>
      </x:c>
      <x:c r="O82" s="277" t="s">
        <x:v>118</x:v>
      </x:c>
      <x:c r="P82" s="277" t="s">
        <x:v>118</x:v>
      </x:c>
      <x:c r="Q82" s="277" t="s">
        <x:v>118</x:v>
      </x:c>
      <x:c r="R82" s="277" t="s">
        <x:v>118</x:v>
      </x:c>
      <x:c r="S82" s="277" t="s">
        <x:v>118</x:v>
      </x:c>
      <x:c r="T82" s="277" t="s">
        <x:v>118</x:v>
      </x:c>
      <x:c r="U82" s="277" t="s">
        <x:v>118</x:v>
      </x:c>
      <x:c r="V82" s="277" t="s">
        <x:v>118</x:v>
      </x:c>
      <x:c r="W82" s="277" t="s">
        <x:v>118</x:v>
      </x:c>
      <x:c r="X82" s="277" t="s">
        <x:v>118</x:v>
      </x:c>
      <x:c r="Y82" s="277" t="s">
        <x:v>118</x:v>
      </x:c>
      <x:c r="Z82" s="277" t="s">
        <x:v>118</x:v>
      </x:c>
      <x:c r="AA82" s="277" t="s">
        <x:v>118</x:v>
      </x:c>
      <x:c r="AB82" s="277" t="s">
        <x:v>118</x:v>
      </x:c>
      <x:c r="AC82" s="277" t="s">
        <x:v>118</x:v>
      </x:c>
      <x:c r="AD82" s="277" t="s">
        <x:v>118</x:v>
      </x:c>
      <x:c r="AE82" s="277" t="s">
        <x:v>118</x:v>
      </x:c>
      <x:c r="AF82" s="277" t="s">
        <x:v>118</x:v>
      </x:c>
      <x:c r="AG82" s="277" t="s">
        <x:v>118</x:v>
      </x:c>
      <x:c r="AH82" s="277" t="s">
        <x:v>118</x:v>
      </x:c>
      <x:c r="AI82" s="277" t="s">
        <x:v>118</x:v>
      </x:c>
      <x:c r="AJ82" s="277" t="s">
        <x:v>118</x:v>
      </x:c>
      <x:c r="AK82" s="220">
        <x:f>COUNTIF(F82:AJ82,"X")</x:f>
      </x:c>
      <x:c r="AL82" s="221"/>
      <x:c r="AM82" s="221"/>
      <x:c r="AN82" s="222"/>
      <x:c r="AO82" s="222"/>
      <x:c r="AP82" s="228"/>
      <x:c r="AQ82" s="228"/>
      <x:c r="AR82" s="228"/>
      <x:c r="AS82" s="228"/>
      <x:c r="AT82" s="230"/>
    </x:row>
    <x:row r="83" spans="1:47" ht="19.9" customHeight="1">
      <x:c r="A83" s="274" t="s">
        <x:v>1956</x:v>
      </x:c>
      <x:c r="B83" s="216"/>
      <x:c r="C83" s="275" t="s">
        <x:v>1957</x:v>
      </x:c>
      <x:c r="D83" s="274" t="s">
        <x:v>274</x:v>
      </x:c>
      <x:c r="E83" s="276" t="s">
        <x:v>1958</x:v>
      </x:c>
      <x:c r="F83" s="277" t="s">
        <x:v>118</x:v>
      </x:c>
      <x:c r="G83" s="277" t="s">
        <x:v>118</x:v>
      </x:c>
      <x:c r="H83" s="277" t="s">
        <x:v>118</x:v>
      </x:c>
      <x:c r="I83" s="277" t="s">
        <x:v>118</x:v>
      </x:c>
      <x:c r="J83" s="277" t="s">
        <x:v>118</x:v>
      </x:c>
      <x:c r="K83" s="277" t="s">
        <x:v>118</x:v>
      </x:c>
      <x:c r="L83" s="277" t="s">
        <x:v>118</x:v>
      </x:c>
      <x:c r="M83" s="277" t="s">
        <x:v>118</x:v>
      </x:c>
      <x:c r="N83" s="277" t="s">
        <x:v>118</x:v>
      </x:c>
      <x:c r="O83" s="277" t="s">
        <x:v>118</x:v>
      </x:c>
      <x:c r="P83" s="277" t="s">
        <x:v>118</x:v>
      </x:c>
      <x:c r="Q83" s="277" t="s">
        <x:v>118</x:v>
      </x:c>
      <x:c r="R83" s="277" t="s">
        <x:v>118</x:v>
      </x:c>
      <x:c r="S83" s="277" t="s">
        <x:v>118</x:v>
      </x:c>
      <x:c r="T83" s="277" t="s">
        <x:v>118</x:v>
      </x:c>
      <x:c r="U83" s="277" t="s">
        <x:v>118</x:v>
      </x:c>
      <x:c r="V83" s="277" t="s">
        <x:v>118</x:v>
      </x:c>
      <x:c r="W83" s="277" t="s">
        <x:v>118</x:v>
      </x:c>
      <x:c r="X83" s="277" t="s">
        <x:v>118</x:v>
      </x:c>
      <x:c r="Y83" s="277" t="s">
        <x:v>118</x:v>
      </x:c>
      <x:c r="Z83" s="277" t="s">
        <x:v>118</x:v>
      </x:c>
      <x:c r="AA83" s="277" t="s">
        <x:v>118</x:v>
      </x:c>
      <x:c r="AB83" s="277" t="s">
        <x:v>118</x:v>
      </x:c>
      <x:c r="AC83" s="277" t="s">
        <x:v>118</x:v>
      </x:c>
      <x:c r="AD83" s="277" t="s">
        <x:v>118</x:v>
      </x:c>
      <x:c r="AE83" s="277" t="s">
        <x:v>118</x:v>
      </x:c>
      <x:c r="AF83" s="277" t="s">
        <x:v>118</x:v>
      </x:c>
      <x:c r="AG83" s="277" t="s">
        <x:v>118</x:v>
      </x:c>
      <x:c r="AH83" s="277" t="s">
        <x:v>118</x:v>
      </x:c>
      <x:c r="AI83" s="277" t="s">
        <x:v>118</x:v>
      </x:c>
      <x:c r="AJ83" s="277" t="s">
        <x:v>118</x:v>
      </x:c>
      <x:c r="AK83" s="220">
        <x:f>COUNTIF(F83:AJ83,"X")</x:f>
      </x:c>
      <x:c r="AL83" s="221"/>
      <x:c r="AM83" s="221"/>
      <x:c r="AN83" s="222"/>
      <x:c r="AO83" s="222"/>
      <x:c r="AP83" s="228"/>
      <x:c r="AQ83" s="228"/>
      <x:c r="AR83" s="228"/>
      <x:c r="AS83" s="228"/>
      <x:c r="AT83" s="230"/>
    </x:row>
    <x:row r="84" spans="1:47" ht="19.9" customHeight="1">
      <x:c r="A84" s="274" t="s">
        <x:v>1959</x:v>
      </x:c>
      <x:c r="B84" s="216"/>
      <x:c r="C84" s="275" t="s">
        <x:v>1960</x:v>
      </x:c>
      <x:c r="D84" s="274" t="s">
        <x:v>1961</x:v>
      </x:c>
      <x:c r="E84" s="276" t="s">
        <x:v>1962</x:v>
      </x:c>
      <x:c r="F84" s="277" t="s">
        <x:v>118</x:v>
      </x:c>
      <x:c r="G84" s="277" t="s">
        <x:v>118</x:v>
      </x:c>
      <x:c r="H84" s="277" t="s">
        <x:v>118</x:v>
      </x:c>
      <x:c r="I84" s="277" t="s">
        <x:v>118</x:v>
      </x:c>
      <x:c r="J84" s="277" t="s">
        <x:v>118</x:v>
      </x:c>
      <x:c r="K84" s="277" t="s">
        <x:v>118</x:v>
      </x:c>
      <x:c r="L84" s="277" t="s">
        <x:v>118</x:v>
      </x:c>
      <x:c r="M84" s="277" t="s">
        <x:v>118</x:v>
      </x:c>
      <x:c r="N84" s="277" t="s">
        <x:v>118</x:v>
      </x:c>
      <x:c r="O84" s="277" t="s">
        <x:v>118</x:v>
      </x:c>
      <x:c r="P84" s="277" t="s">
        <x:v>118</x:v>
      </x:c>
      <x:c r="Q84" s="277" t="s">
        <x:v>118</x:v>
      </x:c>
      <x:c r="R84" s="277" t="s">
        <x:v>118</x:v>
      </x:c>
      <x:c r="S84" s="277" t="s">
        <x:v>118</x:v>
      </x:c>
      <x:c r="T84" s="277" t="s">
        <x:v>118</x:v>
      </x:c>
      <x:c r="U84" s="277" t="s">
        <x:v>118</x:v>
      </x:c>
      <x:c r="V84" s="277" t="s">
        <x:v>118</x:v>
      </x:c>
      <x:c r="W84" s="277" t="s">
        <x:v>118</x:v>
      </x:c>
      <x:c r="X84" s="277" t="s">
        <x:v>118</x:v>
      </x:c>
      <x:c r="Y84" s="277" t="s">
        <x:v>118</x:v>
      </x:c>
      <x:c r="Z84" s="277" t="s">
        <x:v>118</x:v>
      </x:c>
      <x:c r="AA84" s="277" t="s">
        <x:v>118</x:v>
      </x:c>
      <x:c r="AB84" s="277" t="s">
        <x:v>118</x:v>
      </x:c>
      <x:c r="AC84" s="277" t="s">
        <x:v>118</x:v>
      </x:c>
      <x:c r="AD84" s="277" t="s">
        <x:v>118</x:v>
      </x:c>
      <x:c r="AE84" s="277" t="s">
        <x:v>118</x:v>
      </x:c>
      <x:c r="AF84" s="277" t="s">
        <x:v>118</x:v>
      </x:c>
      <x:c r="AG84" s="277" t="s">
        <x:v>118</x:v>
      </x:c>
      <x:c r="AH84" s="277" t="s">
        <x:v>118</x:v>
      </x:c>
      <x:c r="AI84" s="277" t="s">
        <x:v>118</x:v>
      </x:c>
      <x:c r="AJ84" s="277" t="s">
        <x:v>118</x:v>
      </x:c>
      <x:c r="AK84" s="220">
        <x:f>COUNTIF(F84:AJ84,"X")</x:f>
      </x:c>
      <x:c r="AL84" s="221"/>
      <x:c r="AM84" s="221"/>
      <x:c r="AN84" s="222"/>
      <x:c r="AO84" s="222"/>
      <x:c r="AP84" s="228"/>
      <x:c r="AQ84" s="228"/>
      <x:c r="AR84" s="228"/>
      <x:c r="AS84" s="228"/>
      <x:c r="AT84" s="230"/>
    </x:row>
    <x:row r="85" spans="1:47" ht="19.9" customHeight="1">
      <x:c r="A85" s="274" t="s">
        <x:v>1963</x:v>
      </x:c>
      <x:c r="B85" s="216"/>
      <x:c r="C85" s="275" t="s">
        <x:v>1964</x:v>
      </x:c>
      <x:c r="D85" s="274" t="s">
        <x:v>1961</x:v>
      </x:c>
      <x:c r="E85" s="276" t="s">
        <x:v>1965</x:v>
      </x:c>
      <x:c r="F85" s="277" t="s">
        <x:v>118</x:v>
      </x:c>
      <x:c r="G85" s="277" t="s">
        <x:v>118</x:v>
      </x:c>
      <x:c r="H85" s="277" t="s">
        <x:v>118</x:v>
      </x:c>
      <x:c r="I85" s="277" t="s">
        <x:v>118</x:v>
      </x:c>
      <x:c r="J85" s="277" t="s">
        <x:v>118</x:v>
      </x:c>
      <x:c r="K85" s="277" t="s">
        <x:v>118</x:v>
      </x:c>
      <x:c r="L85" s="277" t="s">
        <x:v>118</x:v>
      </x:c>
      <x:c r="M85" s="277" t="s">
        <x:v>118</x:v>
      </x:c>
      <x:c r="N85" s="277" t="s">
        <x:v>118</x:v>
      </x:c>
      <x:c r="O85" s="277" t="s">
        <x:v>118</x:v>
      </x:c>
      <x:c r="P85" s="277" t="s">
        <x:v>118</x:v>
      </x:c>
      <x:c r="Q85" s="277" t="s">
        <x:v>118</x:v>
      </x:c>
      <x:c r="R85" s="277" t="s">
        <x:v>118</x:v>
      </x:c>
      <x:c r="S85" s="277" t="s">
        <x:v>118</x:v>
      </x:c>
      <x:c r="T85" s="277" t="s">
        <x:v>118</x:v>
      </x:c>
      <x:c r="U85" s="277" t="s">
        <x:v>118</x:v>
      </x:c>
      <x:c r="V85" s="277" t="s">
        <x:v>118</x:v>
      </x:c>
      <x:c r="W85" s="277" t="s">
        <x:v>118</x:v>
      </x:c>
      <x:c r="X85" s="277" t="s">
        <x:v>118</x:v>
      </x:c>
      <x:c r="Y85" s="277" t="s">
        <x:v>118</x:v>
      </x:c>
      <x:c r="Z85" s="277" t="s">
        <x:v>118</x:v>
      </x:c>
      <x:c r="AA85" s="277" t="s">
        <x:v>118</x:v>
      </x:c>
      <x:c r="AB85" s="277" t="s">
        <x:v>118</x:v>
      </x:c>
      <x:c r="AC85" s="277" t="s">
        <x:v>118</x:v>
      </x:c>
      <x:c r="AD85" s="277" t="s">
        <x:v>118</x:v>
      </x:c>
      <x:c r="AE85" s="277" t="s">
        <x:v>118</x:v>
      </x:c>
      <x:c r="AF85" s="277" t="s">
        <x:v>118</x:v>
      </x:c>
      <x:c r="AG85" s="277" t="s">
        <x:v>118</x:v>
      </x:c>
      <x:c r="AH85" s="277" t="s">
        <x:v>118</x:v>
      </x:c>
      <x:c r="AI85" s="277" t="s">
        <x:v>118</x:v>
      </x:c>
      <x:c r="AJ85" s="277" t="s">
        <x:v>118</x:v>
      </x:c>
      <x:c r="AK85" s="220">
        <x:f>COUNTIF(F85:AJ85,"X")</x:f>
      </x:c>
      <x:c r="AL85" s="221"/>
      <x:c r="AM85" s="221"/>
      <x:c r="AN85" s="222"/>
      <x:c r="AO85" s="222"/>
      <x:c r="AP85" s="228"/>
      <x:c r="AQ85" s="228"/>
      <x:c r="AR85" s="228"/>
      <x:c r="AS85" s="228"/>
      <x:c r="AT85" s="230"/>
    </x:row>
    <x:row r="86" spans="1:47" ht="19.9" customHeight="1">
      <x:c r="A86" s="274" t="s">
        <x:v>1966</x:v>
      </x:c>
      <x:c r="B86" s="216"/>
      <x:c r="C86" s="275" t="s">
        <x:v>1967</x:v>
      </x:c>
      <x:c r="D86" s="274" t="s">
        <x:v>1968</x:v>
      </x:c>
      <x:c r="E86" s="276" t="s">
        <x:v>323</x:v>
      </x:c>
      <x:c r="F86" s="277" t="s">
        <x:v>118</x:v>
      </x:c>
      <x:c r="G86" s="277" t="s">
        <x:v>118</x:v>
      </x:c>
      <x:c r="H86" s="277" t="s">
        <x:v>118</x:v>
      </x:c>
      <x:c r="I86" s="277" t="s">
        <x:v>118</x:v>
      </x:c>
      <x:c r="J86" s="277" t="s">
        <x:v>118</x:v>
      </x:c>
      <x:c r="K86" s="277" t="s">
        <x:v>118</x:v>
      </x:c>
      <x:c r="L86" s="277" t="s">
        <x:v>118</x:v>
      </x:c>
      <x:c r="M86" s="277" t="s">
        <x:v>118</x:v>
      </x:c>
      <x:c r="N86" s="277" t="s">
        <x:v>118</x:v>
      </x:c>
      <x:c r="O86" s="277" t="s">
        <x:v>118</x:v>
      </x:c>
      <x:c r="P86" s="277" t="s">
        <x:v>118</x:v>
      </x:c>
      <x:c r="Q86" s="277" t="s">
        <x:v>118</x:v>
      </x:c>
      <x:c r="R86" s="277" t="s">
        <x:v>118</x:v>
      </x:c>
      <x:c r="S86" s="277" t="s">
        <x:v>118</x:v>
      </x:c>
      <x:c r="T86" s="277" t="s">
        <x:v>118</x:v>
      </x:c>
      <x:c r="U86" s="277" t="s">
        <x:v>118</x:v>
      </x:c>
      <x:c r="V86" s="277" t="s">
        <x:v>118</x:v>
      </x:c>
      <x:c r="W86" s="277" t="s">
        <x:v>118</x:v>
      </x:c>
      <x:c r="X86" s="277" t="s">
        <x:v>118</x:v>
      </x:c>
      <x:c r="Y86" s="277" t="s">
        <x:v>118</x:v>
      </x:c>
      <x:c r="Z86" s="277" t="s">
        <x:v>118</x:v>
      </x:c>
      <x:c r="AA86" s="277" t="s">
        <x:v>118</x:v>
      </x:c>
      <x:c r="AB86" s="277" t="s">
        <x:v>118</x:v>
      </x:c>
      <x:c r="AC86" s="277" t="s">
        <x:v>118</x:v>
      </x:c>
      <x:c r="AD86" s="277" t="s">
        <x:v>118</x:v>
      </x:c>
      <x:c r="AE86" s="277" t="s">
        <x:v>118</x:v>
      </x:c>
      <x:c r="AF86" s="277" t="s">
        <x:v>118</x:v>
      </x:c>
      <x:c r="AG86" s="277" t="s">
        <x:v>118</x:v>
      </x:c>
      <x:c r="AH86" s="277" t="s">
        <x:v>118</x:v>
      </x:c>
      <x:c r="AI86" s="277" t="s">
        <x:v>118</x:v>
      </x:c>
      <x:c r="AJ86" s="277" t="s">
        <x:v>118</x:v>
      </x:c>
      <x:c r="AK86" s="220">
        <x:f>COUNTIF(F86:AJ86,"X")</x:f>
      </x:c>
      <x:c r="AL86" s="221"/>
      <x:c r="AM86" s="221"/>
      <x:c r="AN86" s="222"/>
      <x:c r="AO86" s="222"/>
      <x:c r="AP86" s="228"/>
      <x:c r="AQ86" s="228"/>
      <x:c r="AR86" s="228"/>
      <x:c r="AS86" s="228"/>
      <x:c r="AT86" s="230"/>
    </x:row>
    <x:row r="87" spans="1:47" ht="19.9" customHeight="1">
      <x:c r="A87" s="274" t="s">
        <x:v>1969</x:v>
      </x:c>
      <x:c r="B87" s="216"/>
      <x:c r="C87" s="275" t="s">
        <x:v>1970</x:v>
      </x:c>
      <x:c r="D87" s="274" t="s">
        <x:v>1971</x:v>
      </x:c>
      <x:c r="E87" s="276" t="s">
        <x:v>1972</x:v>
      </x:c>
      <x:c r="F87" s="277" t="s">
        <x:v>118</x:v>
      </x:c>
      <x:c r="G87" s="277" t="s">
        <x:v>118</x:v>
      </x:c>
      <x:c r="H87" s="277" t="s">
        <x:v>118</x:v>
      </x:c>
      <x:c r="I87" s="277" t="s">
        <x:v>118</x:v>
      </x:c>
      <x:c r="J87" s="277" t="s">
        <x:v>118</x:v>
      </x:c>
      <x:c r="K87" s="277" t="s">
        <x:v>118</x:v>
      </x:c>
      <x:c r="L87" s="277" t="s">
        <x:v>118</x:v>
      </x:c>
      <x:c r="M87" s="277" t="s">
        <x:v>118</x:v>
      </x:c>
      <x:c r="N87" s="277" t="s">
        <x:v>118</x:v>
      </x:c>
      <x:c r="O87" s="277" t="s">
        <x:v>118</x:v>
      </x:c>
      <x:c r="P87" s="277" t="s">
        <x:v>118</x:v>
      </x:c>
      <x:c r="Q87" s="277" t="s">
        <x:v>118</x:v>
      </x:c>
      <x:c r="R87" s="277" t="s">
        <x:v>118</x:v>
      </x:c>
      <x:c r="S87" s="277" t="s">
        <x:v>118</x:v>
      </x:c>
      <x:c r="T87" s="277" t="s">
        <x:v>118</x:v>
      </x:c>
      <x:c r="U87" s="277" t="s">
        <x:v>118</x:v>
      </x:c>
      <x:c r="V87" s="277" t="s">
        <x:v>118</x:v>
      </x:c>
      <x:c r="W87" s="277" t="s">
        <x:v>118</x:v>
      </x:c>
      <x:c r="X87" s="277" t="s">
        <x:v>118</x:v>
      </x:c>
      <x:c r="Y87" s="277" t="s">
        <x:v>118</x:v>
      </x:c>
      <x:c r="Z87" s="277" t="s">
        <x:v>118</x:v>
      </x:c>
      <x:c r="AA87" s="277" t="s">
        <x:v>118</x:v>
      </x:c>
      <x:c r="AB87" s="277" t="s">
        <x:v>118</x:v>
      </x:c>
      <x:c r="AC87" s="277" t="s">
        <x:v>118</x:v>
      </x:c>
      <x:c r="AD87" s="277" t="s">
        <x:v>118</x:v>
      </x:c>
      <x:c r="AE87" s="277" t="s">
        <x:v>118</x:v>
      </x:c>
      <x:c r="AF87" s="277" t="s">
        <x:v>118</x:v>
      </x:c>
      <x:c r="AG87" s="277" t="s">
        <x:v>118</x:v>
      </x:c>
      <x:c r="AH87" s="277" t="s">
        <x:v>118</x:v>
      </x:c>
      <x:c r="AI87" s="277" t="s">
        <x:v>118</x:v>
      </x:c>
      <x:c r="AJ87" s="277" t="s">
        <x:v>118</x:v>
      </x:c>
      <x:c r="AK87" s="220">
        <x:f>COUNTIF(F87:AJ87,"X")</x:f>
      </x:c>
      <x:c r="AL87" s="221"/>
      <x:c r="AM87" s="221"/>
      <x:c r="AN87" s="222"/>
      <x:c r="AO87" s="222"/>
      <x:c r="AP87" s="228"/>
      <x:c r="AQ87" s="228"/>
      <x:c r="AR87" s="228"/>
      <x:c r="AS87" s="228"/>
      <x:c r="AT87" s="230"/>
    </x:row>
    <x:row r="88" spans="1:47" ht="19.9" customHeight="1">
      <x:c r="A88" s="274" t="s">
        <x:v>1973</x:v>
      </x:c>
      <x:c r="B88" s="216"/>
      <x:c r="C88" s="275" t="s">
        <x:v>1974</x:v>
      </x:c>
      <x:c r="D88" s="274" t="s">
        <x:v>286</x:v>
      </x:c>
      <x:c r="E88" s="276" t="s">
        <x:v>1975</x:v>
      </x:c>
      <x:c r="F88" s="277" t="s">
        <x:v>118</x:v>
      </x:c>
      <x:c r="G88" s="277" t="s">
        <x:v>118</x:v>
      </x:c>
      <x:c r="H88" s="277" t="s">
        <x:v>118</x:v>
      </x:c>
      <x:c r="I88" s="277" t="s">
        <x:v>118</x:v>
      </x:c>
      <x:c r="J88" s="277" t="s">
        <x:v>118</x:v>
      </x:c>
      <x:c r="K88" s="277" t="s">
        <x:v>118</x:v>
      </x:c>
      <x:c r="L88" s="277" t="s">
        <x:v>118</x:v>
      </x:c>
      <x:c r="M88" s="277" t="s">
        <x:v>118</x:v>
      </x:c>
      <x:c r="N88" s="277" t="s">
        <x:v>118</x:v>
      </x:c>
      <x:c r="O88" s="277" t="s">
        <x:v>118</x:v>
      </x:c>
      <x:c r="P88" s="277" t="s">
        <x:v>118</x:v>
      </x:c>
      <x:c r="Q88" s="277" t="s">
        <x:v>118</x:v>
      </x:c>
      <x:c r="R88" s="277" t="s">
        <x:v>118</x:v>
      </x:c>
      <x:c r="S88" s="277" t="s">
        <x:v>118</x:v>
      </x:c>
      <x:c r="T88" s="277" t="s">
        <x:v>118</x:v>
      </x:c>
      <x:c r="U88" s="277" t="s">
        <x:v>118</x:v>
      </x:c>
      <x:c r="V88" s="277" t="s">
        <x:v>118</x:v>
      </x:c>
      <x:c r="W88" s="277" t="s">
        <x:v>118</x:v>
      </x:c>
      <x:c r="X88" s="277" t="s">
        <x:v>118</x:v>
      </x:c>
      <x:c r="Y88" s="277" t="s">
        <x:v>118</x:v>
      </x:c>
      <x:c r="Z88" s="277" t="s">
        <x:v>118</x:v>
      </x:c>
      <x:c r="AA88" s="277" t="s">
        <x:v>118</x:v>
      </x:c>
      <x:c r="AB88" s="277" t="s">
        <x:v>118</x:v>
      </x:c>
      <x:c r="AC88" s="277" t="s">
        <x:v>118</x:v>
      </x:c>
      <x:c r="AD88" s="277" t="s">
        <x:v>118</x:v>
      </x:c>
      <x:c r="AE88" s="277" t="s">
        <x:v>118</x:v>
      </x:c>
      <x:c r="AF88" s="277" t="s">
        <x:v>118</x:v>
      </x:c>
      <x:c r="AG88" s="277" t="s">
        <x:v>118</x:v>
      </x:c>
      <x:c r="AH88" s="277" t="s">
        <x:v>118</x:v>
      </x:c>
      <x:c r="AI88" s="277" t="s">
        <x:v>118</x:v>
      </x:c>
      <x:c r="AJ88" s="277" t="s">
        <x:v>118</x:v>
      </x:c>
      <x:c r="AK88" s="220">
        <x:f>COUNTIF(F88:AJ88,"X")</x:f>
      </x:c>
      <x:c r="AL88" s="221"/>
      <x:c r="AM88" s="221"/>
      <x:c r="AN88" s="222"/>
      <x:c r="AO88" s="222"/>
      <x:c r="AP88" s="228"/>
      <x:c r="AQ88" s="228"/>
      <x:c r="AR88" s="228"/>
      <x:c r="AS88" s="228"/>
      <x:c r="AT88" s="230"/>
    </x:row>
    <x:row r="89" spans="1:47" ht="19.9" customHeight="1">
      <x:c r="A89" s="274" t="s">
        <x:v>1976</x:v>
      </x:c>
      <x:c r="B89" s="216"/>
      <x:c r="C89" s="275" t="s">
        <x:v>1977</x:v>
      </x:c>
      <x:c r="D89" s="274" t="s">
        <x:v>286</x:v>
      </x:c>
      <x:c r="E89" s="276" t="s">
        <x:v>1978</x:v>
      </x:c>
      <x:c r="F89" s="277" t="s">
        <x:v>118</x:v>
      </x:c>
      <x:c r="G89" s="277" t="s">
        <x:v>118</x:v>
      </x:c>
      <x:c r="H89" s="277" t="s">
        <x:v>118</x:v>
      </x:c>
      <x:c r="I89" s="277" t="s">
        <x:v>118</x:v>
      </x:c>
      <x:c r="J89" s="277" t="s">
        <x:v>118</x:v>
      </x:c>
      <x:c r="K89" s="277" t="s">
        <x:v>118</x:v>
      </x:c>
      <x:c r="L89" s="277" t="s">
        <x:v>118</x:v>
      </x:c>
      <x:c r="M89" s="277" t="s">
        <x:v>118</x:v>
      </x:c>
      <x:c r="N89" s="277" t="s">
        <x:v>118</x:v>
      </x:c>
      <x:c r="O89" s="277" t="s">
        <x:v>118</x:v>
      </x:c>
      <x:c r="P89" s="277" t="s">
        <x:v>118</x:v>
      </x:c>
      <x:c r="Q89" s="277" t="s">
        <x:v>118</x:v>
      </x:c>
      <x:c r="R89" s="277" t="s">
        <x:v>118</x:v>
      </x:c>
      <x:c r="S89" s="277" t="s">
        <x:v>118</x:v>
      </x:c>
      <x:c r="T89" s="277" t="s">
        <x:v>118</x:v>
      </x:c>
      <x:c r="U89" s="277" t="s">
        <x:v>118</x:v>
      </x:c>
      <x:c r="V89" s="277" t="s">
        <x:v>118</x:v>
      </x:c>
      <x:c r="W89" s="277" t="s">
        <x:v>118</x:v>
      </x:c>
      <x:c r="X89" s="277" t="s">
        <x:v>118</x:v>
      </x:c>
      <x:c r="Y89" s="277" t="s">
        <x:v>118</x:v>
      </x:c>
      <x:c r="Z89" s="277" t="s">
        <x:v>118</x:v>
      </x:c>
      <x:c r="AA89" s="277" t="s">
        <x:v>118</x:v>
      </x:c>
      <x:c r="AB89" s="277" t="s">
        <x:v>118</x:v>
      </x:c>
      <x:c r="AC89" s="277" t="s">
        <x:v>118</x:v>
      </x:c>
      <x:c r="AD89" s="277" t="s">
        <x:v>118</x:v>
      </x:c>
      <x:c r="AE89" s="277" t="s">
        <x:v>118</x:v>
      </x:c>
      <x:c r="AF89" s="277" t="s">
        <x:v>118</x:v>
      </x:c>
      <x:c r="AG89" s="277" t="s">
        <x:v>118</x:v>
      </x:c>
      <x:c r="AH89" s="277" t="s">
        <x:v>118</x:v>
      </x:c>
      <x:c r="AI89" s="277" t="s">
        <x:v>118</x:v>
      </x:c>
      <x:c r="AJ89" s="277" t="s">
        <x:v>118</x:v>
      </x:c>
      <x:c r="AK89" s="220">
        <x:f>COUNTIF(F89:AJ89,"X")</x:f>
      </x:c>
      <x:c r="AL89" s="221"/>
      <x:c r="AM89" s="221"/>
      <x:c r="AN89" s="222"/>
      <x:c r="AO89" s="222"/>
      <x:c r="AP89" s="228"/>
      <x:c r="AQ89" s="228"/>
      <x:c r="AR89" s="228"/>
      <x:c r="AS89" s="228"/>
      <x:c r="AT89" s="230"/>
    </x:row>
    <x:row r="90" spans="1:47" ht="19.9" customHeight="1">
      <x:c r="A90" s="274" t="s">
        <x:v>1979</x:v>
      </x:c>
      <x:c r="B90" s="216"/>
      <x:c r="C90" s="275" t="s">
        <x:v>1980</x:v>
      </x:c>
      <x:c r="D90" s="274" t="s">
        <x:v>286</x:v>
      </x:c>
      <x:c r="E90" s="276" t="s">
        <x:v>1981</x:v>
      </x:c>
      <x:c r="F90" s="277" t="s">
        <x:v>118</x:v>
      </x:c>
      <x:c r="G90" s="277" t="s">
        <x:v>118</x:v>
      </x:c>
      <x:c r="H90" s="277" t="s">
        <x:v>118</x:v>
      </x:c>
      <x:c r="I90" s="277" t="s">
        <x:v>118</x:v>
      </x:c>
      <x:c r="J90" s="277" t="s">
        <x:v>118</x:v>
      </x:c>
      <x:c r="K90" s="277" t="s">
        <x:v>118</x:v>
      </x:c>
      <x:c r="L90" s="277" t="s">
        <x:v>118</x:v>
      </x:c>
      <x:c r="M90" s="277" t="s">
        <x:v>118</x:v>
      </x:c>
      <x:c r="N90" s="277" t="s">
        <x:v>118</x:v>
      </x:c>
      <x:c r="O90" s="277" t="s">
        <x:v>118</x:v>
      </x:c>
      <x:c r="P90" s="277" t="s">
        <x:v>118</x:v>
      </x:c>
      <x:c r="Q90" s="277" t="s">
        <x:v>118</x:v>
      </x:c>
      <x:c r="R90" s="277" t="s">
        <x:v>118</x:v>
      </x:c>
      <x:c r="S90" s="277" t="s">
        <x:v>118</x:v>
      </x:c>
      <x:c r="T90" s="277" t="s">
        <x:v>118</x:v>
      </x:c>
      <x:c r="U90" s="277" t="s">
        <x:v>118</x:v>
      </x:c>
      <x:c r="V90" s="277" t="s">
        <x:v>118</x:v>
      </x:c>
      <x:c r="W90" s="277" t="s">
        <x:v>118</x:v>
      </x:c>
      <x:c r="X90" s="277" t="s">
        <x:v>118</x:v>
      </x:c>
      <x:c r="Y90" s="277" t="s">
        <x:v>118</x:v>
      </x:c>
      <x:c r="Z90" s="277" t="s">
        <x:v>118</x:v>
      </x:c>
      <x:c r="AA90" s="277" t="s">
        <x:v>118</x:v>
      </x:c>
      <x:c r="AB90" s="277" t="s">
        <x:v>118</x:v>
      </x:c>
      <x:c r="AC90" s="277" t="s">
        <x:v>118</x:v>
      </x:c>
      <x:c r="AD90" s="277" t="s">
        <x:v>118</x:v>
      </x:c>
      <x:c r="AE90" s="277" t="s">
        <x:v>118</x:v>
      </x:c>
      <x:c r="AF90" s="277" t="s">
        <x:v>118</x:v>
      </x:c>
      <x:c r="AG90" s="277" t="s">
        <x:v>118</x:v>
      </x:c>
      <x:c r="AH90" s="277" t="s">
        <x:v>118</x:v>
      </x:c>
      <x:c r="AI90" s="277" t="s">
        <x:v>118</x:v>
      </x:c>
      <x:c r="AJ90" s="277" t="s">
        <x:v>118</x:v>
      </x:c>
      <x:c r="AK90" s="220">
        <x:f>COUNTIF(F90:AJ90,"X")</x:f>
      </x:c>
      <x:c r="AL90" s="221"/>
      <x:c r="AM90" s="221"/>
      <x:c r="AN90" s="222"/>
      <x:c r="AO90" s="222"/>
      <x:c r="AP90" s="228"/>
      <x:c r="AQ90" s="228"/>
      <x:c r="AR90" s="228"/>
      <x:c r="AS90" s="228"/>
      <x:c r="AT90" s="230"/>
    </x:row>
    <x:row r="91" spans="1:47" ht="19.9" customHeight="1">
      <x:c r="A91" s="274" t="s">
        <x:v>1982</x:v>
      </x:c>
      <x:c r="B91" s="216"/>
      <x:c r="C91" s="275" t="s">
        <x:v>1983</x:v>
      </x:c>
      <x:c r="D91" s="274" t="s">
        <x:v>286</x:v>
      </x:c>
      <x:c r="E91" s="276" t="s">
        <x:v>1984</x:v>
      </x:c>
      <x:c r="F91" s="277" t="s">
        <x:v>118</x:v>
      </x:c>
      <x:c r="G91" s="277" t="s">
        <x:v>118</x:v>
      </x:c>
      <x:c r="H91" s="277" t="s">
        <x:v>118</x:v>
      </x:c>
      <x:c r="I91" s="277" t="s">
        <x:v>118</x:v>
      </x:c>
      <x:c r="J91" s="277" t="s">
        <x:v>118</x:v>
      </x:c>
      <x:c r="K91" s="277" t="s">
        <x:v>118</x:v>
      </x:c>
      <x:c r="L91" s="277" t="s">
        <x:v>118</x:v>
      </x:c>
      <x:c r="M91" s="277" t="s">
        <x:v>118</x:v>
      </x:c>
      <x:c r="N91" s="277" t="s">
        <x:v>118</x:v>
      </x:c>
      <x:c r="O91" s="277" t="s">
        <x:v>118</x:v>
      </x:c>
      <x:c r="P91" s="277" t="s">
        <x:v>118</x:v>
      </x:c>
      <x:c r="Q91" s="277" t="s">
        <x:v>118</x:v>
      </x:c>
      <x:c r="R91" s="277" t="s">
        <x:v>118</x:v>
      </x:c>
      <x:c r="S91" s="277" t="s">
        <x:v>118</x:v>
      </x:c>
      <x:c r="T91" s="277" t="s">
        <x:v>118</x:v>
      </x:c>
      <x:c r="U91" s="277" t="s">
        <x:v>118</x:v>
      </x:c>
      <x:c r="V91" s="277" t="s">
        <x:v>118</x:v>
      </x:c>
      <x:c r="W91" s="277" t="s">
        <x:v>118</x:v>
      </x:c>
      <x:c r="X91" s="277" t="s">
        <x:v>118</x:v>
      </x:c>
      <x:c r="Y91" s="277" t="s">
        <x:v>118</x:v>
      </x:c>
      <x:c r="Z91" s="277" t="s">
        <x:v>118</x:v>
      </x:c>
      <x:c r="AA91" s="277" t="s">
        <x:v>118</x:v>
      </x:c>
      <x:c r="AB91" s="277" t="s">
        <x:v>118</x:v>
      </x:c>
      <x:c r="AC91" s="277" t="s">
        <x:v>118</x:v>
      </x:c>
      <x:c r="AD91" s="277" t="s">
        <x:v>118</x:v>
      </x:c>
      <x:c r="AE91" s="277" t="s">
        <x:v>118</x:v>
      </x:c>
      <x:c r="AF91" s="277" t="s">
        <x:v>118</x:v>
      </x:c>
      <x:c r="AG91" s="277" t="s">
        <x:v>118</x:v>
      </x:c>
      <x:c r="AH91" s="277" t="s">
        <x:v>118</x:v>
      </x:c>
      <x:c r="AI91" s="277" t="s">
        <x:v>118</x:v>
      </x:c>
      <x:c r="AJ91" s="277" t="s">
        <x:v>118</x:v>
      </x:c>
      <x:c r="AK91" s="220">
        <x:f>COUNTIF(F91:AJ91,"X")</x:f>
      </x:c>
      <x:c r="AL91" s="221"/>
      <x:c r="AM91" s="221"/>
      <x:c r="AN91" s="222"/>
      <x:c r="AO91" s="222"/>
      <x:c r="AP91" s="228"/>
      <x:c r="AQ91" s="228"/>
      <x:c r="AR91" s="228"/>
      <x:c r="AS91" s="228"/>
      <x:c r="AT91" s="230"/>
    </x:row>
    <x:row r="92" spans="1:47" ht="19.9" customHeight="1">
      <x:c r="A92" s="274" t="s">
        <x:v>1985</x:v>
      </x:c>
      <x:c r="B92" s="216"/>
      <x:c r="C92" s="275" t="s">
        <x:v>1986</x:v>
      </x:c>
      <x:c r="D92" s="274" t="s">
        <x:v>294</x:v>
      </x:c>
      <x:c r="E92" s="276" t="s">
        <x:v>1807</x:v>
      </x:c>
      <x:c r="F92" s="277" t="s">
        <x:v>118</x:v>
      </x:c>
      <x:c r="G92" s="277" t="s">
        <x:v>118</x:v>
      </x:c>
      <x:c r="H92" s="277" t="s">
        <x:v>118</x:v>
      </x:c>
      <x:c r="I92" s="277" t="s">
        <x:v>118</x:v>
      </x:c>
      <x:c r="J92" s="277" t="s">
        <x:v>118</x:v>
      </x:c>
      <x:c r="K92" s="277" t="s">
        <x:v>118</x:v>
      </x:c>
      <x:c r="L92" s="277" t="s">
        <x:v>118</x:v>
      </x:c>
      <x:c r="M92" s="277" t="s">
        <x:v>118</x:v>
      </x:c>
      <x:c r="N92" s="277" t="s">
        <x:v>118</x:v>
      </x:c>
      <x:c r="O92" s="277" t="s">
        <x:v>118</x:v>
      </x:c>
      <x:c r="P92" s="277" t="s">
        <x:v>118</x:v>
      </x:c>
      <x:c r="Q92" s="277" t="s">
        <x:v>118</x:v>
      </x:c>
      <x:c r="R92" s="277" t="s">
        <x:v>118</x:v>
      </x:c>
      <x:c r="S92" s="277" t="s">
        <x:v>118</x:v>
      </x:c>
      <x:c r="T92" s="277" t="s">
        <x:v>118</x:v>
      </x:c>
      <x:c r="U92" s="277" t="s">
        <x:v>118</x:v>
      </x:c>
      <x:c r="V92" s="277" t="s">
        <x:v>118</x:v>
      </x:c>
      <x:c r="W92" s="277" t="s">
        <x:v>118</x:v>
      </x:c>
      <x:c r="X92" s="277" t="s">
        <x:v>118</x:v>
      </x:c>
      <x:c r="Y92" s="277" t="s">
        <x:v>118</x:v>
      </x:c>
      <x:c r="Z92" s="277" t="s">
        <x:v>118</x:v>
      </x:c>
      <x:c r="AA92" s="277" t="s">
        <x:v>118</x:v>
      </x:c>
      <x:c r="AB92" s="277" t="s">
        <x:v>118</x:v>
      </x:c>
      <x:c r="AC92" s="277" t="s">
        <x:v>118</x:v>
      </x:c>
      <x:c r="AD92" s="277" t="s">
        <x:v>118</x:v>
      </x:c>
      <x:c r="AE92" s="277" t="s">
        <x:v>118</x:v>
      </x:c>
      <x:c r="AF92" s="277" t="s">
        <x:v>118</x:v>
      </x:c>
      <x:c r="AG92" s="277" t="s">
        <x:v>118</x:v>
      </x:c>
      <x:c r="AH92" s="277" t="s">
        <x:v>118</x:v>
      </x:c>
      <x:c r="AI92" s="277" t="s">
        <x:v>118</x:v>
      </x:c>
      <x:c r="AJ92" s="277" t="s">
        <x:v>118</x:v>
      </x:c>
      <x:c r="AK92" s="220">
        <x:f>COUNTIF(F92:AJ92,"X")</x:f>
      </x:c>
      <x:c r="AL92" s="221"/>
      <x:c r="AM92" s="221"/>
      <x:c r="AN92" s="222"/>
      <x:c r="AO92" s="222"/>
      <x:c r="AP92" s="228"/>
      <x:c r="AQ92" s="228"/>
      <x:c r="AR92" s="228"/>
      <x:c r="AS92" s="228"/>
      <x:c r="AT92" s="230"/>
    </x:row>
    <x:row r="93" spans="1:47" ht="19.9" customHeight="1">
      <x:c r="A93" s="274" t="s">
        <x:v>1987</x:v>
      </x:c>
      <x:c r="B93" s="216"/>
      <x:c r="C93" s="275" t="s">
        <x:v>1988</x:v>
      </x:c>
      <x:c r="D93" s="274" t="s">
        <x:v>294</x:v>
      </x:c>
      <x:c r="E93" s="276" t="s">
        <x:v>803</x:v>
      </x:c>
      <x:c r="F93" s="277" t="s">
        <x:v>118</x:v>
      </x:c>
      <x:c r="G93" s="277" t="s">
        <x:v>118</x:v>
      </x:c>
      <x:c r="H93" s="277" t="s">
        <x:v>118</x:v>
      </x:c>
      <x:c r="I93" s="277" t="s">
        <x:v>118</x:v>
      </x:c>
      <x:c r="J93" s="277" t="s">
        <x:v>118</x:v>
      </x:c>
      <x:c r="K93" s="277" t="s">
        <x:v>118</x:v>
      </x:c>
      <x:c r="L93" s="277" t="s">
        <x:v>118</x:v>
      </x:c>
      <x:c r="M93" s="277" t="s">
        <x:v>118</x:v>
      </x:c>
      <x:c r="N93" s="277" t="s">
        <x:v>118</x:v>
      </x:c>
      <x:c r="O93" s="277" t="s">
        <x:v>118</x:v>
      </x:c>
      <x:c r="P93" s="277" t="s">
        <x:v>118</x:v>
      </x:c>
      <x:c r="Q93" s="277" t="s">
        <x:v>118</x:v>
      </x:c>
      <x:c r="R93" s="277" t="s">
        <x:v>118</x:v>
      </x:c>
      <x:c r="S93" s="277" t="s">
        <x:v>118</x:v>
      </x:c>
      <x:c r="T93" s="277" t="s">
        <x:v>118</x:v>
      </x:c>
      <x:c r="U93" s="277" t="s">
        <x:v>118</x:v>
      </x:c>
      <x:c r="V93" s="277" t="s">
        <x:v>118</x:v>
      </x:c>
      <x:c r="W93" s="277" t="s">
        <x:v>118</x:v>
      </x:c>
      <x:c r="X93" s="277" t="s">
        <x:v>118</x:v>
      </x:c>
      <x:c r="Y93" s="277" t="s">
        <x:v>118</x:v>
      </x:c>
      <x:c r="Z93" s="277" t="s">
        <x:v>118</x:v>
      </x:c>
      <x:c r="AA93" s="277" t="s">
        <x:v>118</x:v>
      </x:c>
      <x:c r="AB93" s="277" t="s">
        <x:v>118</x:v>
      </x:c>
      <x:c r="AC93" s="277" t="s">
        <x:v>118</x:v>
      </x:c>
      <x:c r="AD93" s="277" t="s">
        <x:v>118</x:v>
      </x:c>
      <x:c r="AE93" s="277" t="s">
        <x:v>118</x:v>
      </x:c>
      <x:c r="AF93" s="277" t="s">
        <x:v>118</x:v>
      </x:c>
      <x:c r="AG93" s="277" t="s">
        <x:v>118</x:v>
      </x:c>
      <x:c r="AH93" s="277" t="s">
        <x:v>118</x:v>
      </x:c>
      <x:c r="AI93" s="277" t="s">
        <x:v>118</x:v>
      </x:c>
      <x:c r="AJ93" s="277" t="s">
        <x:v>118</x:v>
      </x:c>
      <x:c r="AK93" s="220">
        <x:f>COUNTIF(F93:AJ93,"X")</x:f>
      </x:c>
      <x:c r="AL93" s="221"/>
      <x:c r="AM93" s="221"/>
      <x:c r="AN93" s="222"/>
      <x:c r="AO93" s="222"/>
      <x:c r="AP93" s="228"/>
      <x:c r="AQ93" s="228"/>
      <x:c r="AR93" s="228"/>
      <x:c r="AS93" s="228"/>
      <x:c r="AT93" s="230"/>
    </x:row>
    <x:row r="94" spans="1:47" ht="19.9" customHeight="1">
      <x:c r="A94" s="280" t="s">
        <x:v>1989</x:v>
      </x:c>
      <x:c r="B94" s="216"/>
      <x:c r="C94" s="275" t="s">
        <x:v>1990</x:v>
      </x:c>
      <x:c r="D94" s="274" t="s">
        <x:v>301</x:v>
      </x:c>
      <x:c r="E94" s="276" t="s">
        <x:v>1797</x:v>
      </x:c>
      <x:c r="F94" s="277" t="s">
        <x:v>118</x:v>
      </x:c>
      <x:c r="G94" s="277" t="s">
        <x:v>118</x:v>
      </x:c>
      <x:c r="H94" s="277" t="s">
        <x:v>118</x:v>
      </x:c>
      <x:c r="I94" s="277" t="s">
        <x:v>118</x:v>
      </x:c>
      <x:c r="J94" s="277" t="s">
        <x:v>118</x:v>
      </x:c>
      <x:c r="K94" s="277" t="s">
        <x:v>118</x:v>
      </x:c>
      <x:c r="L94" s="277" t="s">
        <x:v>118</x:v>
      </x:c>
      <x:c r="M94" s="277" t="s">
        <x:v>118</x:v>
      </x:c>
      <x:c r="N94" s="277" t="s">
        <x:v>118</x:v>
      </x:c>
      <x:c r="O94" s="277" t="s">
        <x:v>118</x:v>
      </x:c>
      <x:c r="P94" s="277" t="s">
        <x:v>118</x:v>
      </x:c>
      <x:c r="Q94" s="277" t="s">
        <x:v>118</x:v>
      </x:c>
      <x:c r="R94" s="277" t="s">
        <x:v>118</x:v>
      </x:c>
      <x:c r="S94" s="277" t="s">
        <x:v>118</x:v>
      </x:c>
      <x:c r="T94" s="277" t="s">
        <x:v>118</x:v>
      </x:c>
      <x:c r="U94" s="277" t="s">
        <x:v>118</x:v>
      </x:c>
      <x:c r="V94" s="277" t="s">
        <x:v>118</x:v>
      </x:c>
      <x:c r="W94" s="277" t="s">
        <x:v>118</x:v>
      </x:c>
      <x:c r="X94" s="277" t="s">
        <x:v>118</x:v>
      </x:c>
      <x:c r="Y94" s="277" t="s">
        <x:v>118</x:v>
      </x:c>
      <x:c r="Z94" s="277" t="s">
        <x:v>118</x:v>
      </x:c>
      <x:c r="AA94" s="277" t="s">
        <x:v>118</x:v>
      </x:c>
      <x:c r="AB94" s="277" t="s">
        <x:v>118</x:v>
      </x:c>
      <x:c r="AC94" s="277" t="s">
        <x:v>118</x:v>
      </x:c>
      <x:c r="AD94" s="277" t="s">
        <x:v>118</x:v>
      </x:c>
      <x:c r="AE94" s="277" t="s">
        <x:v>118</x:v>
      </x:c>
      <x:c r="AF94" s="277" t="s">
        <x:v>118</x:v>
      </x:c>
      <x:c r="AG94" s="277" t="s">
        <x:v>118</x:v>
      </x:c>
      <x:c r="AH94" s="277" t="s">
        <x:v>118</x:v>
      </x:c>
      <x:c r="AI94" s="277" t="s">
        <x:v>118</x:v>
      </x:c>
      <x:c r="AJ94" s="277" t="s">
        <x:v>118</x:v>
      </x:c>
      <x:c r="AK94" s="220">
        <x:f>COUNTIF(F94:AJ94,"X")</x:f>
      </x:c>
      <x:c r="AL94" s="221"/>
      <x:c r="AM94" s="221"/>
      <x:c r="AN94" s="222"/>
      <x:c r="AO94" s="222"/>
      <x:c r="AP94" s="228"/>
      <x:c r="AQ94" s="228"/>
      <x:c r="AR94" s="228"/>
      <x:c r="AS94" s="228"/>
      <x:c r="AT94" s="230"/>
    </x:row>
    <x:row r="95" spans="1:47" ht="19.9" customHeight="1">
      <x:c r="A95" s="274" t="s">
        <x:v>1991</x:v>
      </x:c>
      <x:c r="B95" s="216"/>
      <x:c r="C95" s="275" t="s">
        <x:v>1992</x:v>
      </x:c>
      <x:c r="D95" s="274" t="s">
        <x:v>1993</x:v>
      </x:c>
      <x:c r="E95" s="276" t="s">
        <x:v>1994</x:v>
      </x:c>
      <x:c r="F95" s="277" t="s">
        <x:v>118</x:v>
      </x:c>
      <x:c r="G95" s="277" t="s">
        <x:v>118</x:v>
      </x:c>
      <x:c r="H95" s="277" t="s">
        <x:v>118</x:v>
      </x:c>
      <x:c r="I95" s="277" t="s">
        <x:v>118</x:v>
      </x:c>
      <x:c r="J95" s="277" t="s">
        <x:v>118</x:v>
      </x:c>
      <x:c r="K95" s="277" t="s">
        <x:v>118</x:v>
      </x:c>
      <x:c r="L95" s="277" t="s">
        <x:v>118</x:v>
      </x:c>
      <x:c r="M95" s="277" t="s">
        <x:v>118</x:v>
      </x:c>
      <x:c r="N95" s="277" t="s">
        <x:v>118</x:v>
      </x:c>
      <x:c r="O95" s="277" t="s">
        <x:v>118</x:v>
      </x:c>
      <x:c r="P95" s="277" t="s">
        <x:v>118</x:v>
      </x:c>
      <x:c r="Q95" s="277" t="s">
        <x:v>118</x:v>
      </x:c>
      <x:c r="R95" s="277" t="s">
        <x:v>118</x:v>
      </x:c>
      <x:c r="S95" s="277" t="s">
        <x:v>118</x:v>
      </x:c>
      <x:c r="T95" s="277" t="s">
        <x:v>118</x:v>
      </x:c>
      <x:c r="U95" s="277" t="s">
        <x:v>118</x:v>
      </x:c>
      <x:c r="V95" s="277" t="s">
        <x:v>118</x:v>
      </x:c>
      <x:c r="W95" s="277" t="s">
        <x:v>118</x:v>
      </x:c>
      <x:c r="X95" s="277" t="s">
        <x:v>118</x:v>
      </x:c>
      <x:c r="Y95" s="277" t="s">
        <x:v>118</x:v>
      </x:c>
      <x:c r="Z95" s="277" t="s">
        <x:v>118</x:v>
      </x:c>
      <x:c r="AA95" s="277" t="s">
        <x:v>118</x:v>
      </x:c>
      <x:c r="AB95" s="277" t="s">
        <x:v>118</x:v>
      </x:c>
      <x:c r="AC95" s="277" t="s">
        <x:v>118</x:v>
      </x:c>
      <x:c r="AD95" s="277" t="s">
        <x:v>118</x:v>
      </x:c>
      <x:c r="AE95" s="277" t="s">
        <x:v>118</x:v>
      </x:c>
      <x:c r="AF95" s="277" t="s">
        <x:v>118</x:v>
      </x:c>
      <x:c r="AG95" s="277" t="s">
        <x:v>118</x:v>
      </x:c>
      <x:c r="AH95" s="277" t="s">
        <x:v>118</x:v>
      </x:c>
      <x:c r="AI95" s="277" t="s">
        <x:v>118</x:v>
      </x:c>
      <x:c r="AJ95" s="277" t="s">
        <x:v>118</x:v>
      </x:c>
      <x:c r="AK95" s="220">
        <x:f>COUNTIF(F95:AJ95,"X")</x:f>
      </x:c>
      <x:c r="AL95" s="221"/>
      <x:c r="AM95" s="221"/>
      <x:c r="AN95" s="222"/>
      <x:c r="AO95" s="222"/>
      <x:c r="AP95" s="228"/>
      <x:c r="AQ95" s="228"/>
      <x:c r="AR95" s="228"/>
      <x:c r="AS95" s="228"/>
      <x:c r="AT95" s="230"/>
    </x:row>
    <x:row r="96" spans="1:47" ht="19.9" customHeight="1">
      <x:c r="A96" s="274" t="s">
        <x:v>1995</x:v>
      </x:c>
      <x:c r="B96" s="216"/>
      <x:c r="C96" s="275" t="s">
        <x:v>1996</x:v>
      </x:c>
      <x:c r="D96" s="274" t="s">
        <x:v>305</x:v>
      </x:c>
      <x:c r="E96" s="276" t="s">
        <x:v>1997</x:v>
      </x:c>
      <x:c r="F96" s="277" t="s">
        <x:v>118</x:v>
      </x:c>
      <x:c r="G96" s="277" t="s">
        <x:v>118</x:v>
      </x:c>
      <x:c r="H96" s="277" t="s">
        <x:v>118</x:v>
      </x:c>
      <x:c r="I96" s="277" t="s">
        <x:v>118</x:v>
      </x:c>
      <x:c r="J96" s="277" t="s">
        <x:v>118</x:v>
      </x:c>
      <x:c r="K96" s="277" t="s">
        <x:v>118</x:v>
      </x:c>
      <x:c r="L96" s="277" t="s">
        <x:v>118</x:v>
      </x:c>
      <x:c r="M96" s="277" t="s">
        <x:v>118</x:v>
      </x:c>
      <x:c r="N96" s="277" t="s">
        <x:v>118</x:v>
      </x:c>
      <x:c r="O96" s="277" t="s">
        <x:v>118</x:v>
      </x:c>
      <x:c r="P96" s="277" t="s">
        <x:v>118</x:v>
      </x:c>
      <x:c r="Q96" s="277" t="s">
        <x:v>118</x:v>
      </x:c>
      <x:c r="R96" s="277" t="s">
        <x:v>118</x:v>
      </x:c>
      <x:c r="S96" s="277" t="s">
        <x:v>118</x:v>
      </x:c>
      <x:c r="T96" s="277" t="s">
        <x:v>118</x:v>
      </x:c>
      <x:c r="U96" s="277" t="s">
        <x:v>118</x:v>
      </x:c>
      <x:c r="V96" s="277" t="s">
        <x:v>118</x:v>
      </x:c>
      <x:c r="W96" s="277" t="s">
        <x:v>118</x:v>
      </x:c>
      <x:c r="X96" s="277" t="s">
        <x:v>118</x:v>
      </x:c>
      <x:c r="Y96" s="277" t="s">
        <x:v>118</x:v>
      </x:c>
      <x:c r="Z96" s="277" t="s">
        <x:v>118</x:v>
      </x:c>
      <x:c r="AA96" s="277" t="s">
        <x:v>118</x:v>
      </x:c>
      <x:c r="AB96" s="277" t="s">
        <x:v>118</x:v>
      </x:c>
      <x:c r="AC96" s="277" t="s">
        <x:v>118</x:v>
      </x:c>
      <x:c r="AD96" s="277" t="s">
        <x:v>118</x:v>
      </x:c>
      <x:c r="AE96" s="277" t="s">
        <x:v>118</x:v>
      </x:c>
      <x:c r="AF96" s="277" t="s">
        <x:v>118</x:v>
      </x:c>
      <x:c r="AG96" s="277" t="s">
        <x:v>118</x:v>
      </x:c>
      <x:c r="AH96" s="277" t="s">
        <x:v>118</x:v>
      </x:c>
      <x:c r="AI96" s="277" t="s">
        <x:v>118</x:v>
      </x:c>
      <x:c r="AJ96" s="277" t="s">
        <x:v>118</x:v>
      </x:c>
      <x:c r="AK96" s="220">
        <x:f>COUNTIF(F96:AJ96,"X")</x:f>
      </x:c>
      <x:c r="AL96" s="221"/>
      <x:c r="AM96" s="221"/>
      <x:c r="AN96" s="222"/>
      <x:c r="AO96" s="222"/>
      <x:c r="AP96" s="228"/>
      <x:c r="AQ96" s="228"/>
      <x:c r="AR96" s="228"/>
      <x:c r="AS96" s="228"/>
      <x:c r="AT96" s="230"/>
    </x:row>
    <x:row r="97" spans="1:47" ht="19.9" customHeight="1">
      <x:c r="A97" s="274" t="s">
        <x:v>1998</x:v>
      </x:c>
      <x:c r="B97" s="216"/>
      <x:c r="C97" s="275" t="s">
        <x:v>1999</x:v>
      </x:c>
      <x:c r="D97" s="274" t="s">
        <x:v>316</x:v>
      </x:c>
      <x:c r="E97" s="276" t="s">
        <x:v>549</x:v>
      </x:c>
      <x:c r="F97" s="277" t="s">
        <x:v>118</x:v>
      </x:c>
      <x:c r="G97" s="277" t="s">
        <x:v>118</x:v>
      </x:c>
      <x:c r="H97" s="277" t="s">
        <x:v>118</x:v>
      </x:c>
      <x:c r="I97" s="277" t="s">
        <x:v>118</x:v>
      </x:c>
      <x:c r="J97" s="277" t="s">
        <x:v>118</x:v>
      </x:c>
      <x:c r="K97" s="277" t="s">
        <x:v>118</x:v>
      </x:c>
      <x:c r="L97" s="277" t="s">
        <x:v>118</x:v>
      </x:c>
      <x:c r="M97" s="277" t="s">
        <x:v>118</x:v>
      </x:c>
      <x:c r="N97" s="277" t="s">
        <x:v>118</x:v>
      </x:c>
      <x:c r="O97" s="277" t="s">
        <x:v>118</x:v>
      </x:c>
      <x:c r="P97" s="277" t="s">
        <x:v>118</x:v>
      </x:c>
      <x:c r="Q97" s="277" t="s">
        <x:v>118</x:v>
      </x:c>
      <x:c r="R97" s="277" t="s">
        <x:v>118</x:v>
      </x:c>
      <x:c r="S97" s="277" t="s">
        <x:v>118</x:v>
      </x:c>
      <x:c r="T97" s="277" t="s">
        <x:v>118</x:v>
      </x:c>
      <x:c r="U97" s="277" t="s">
        <x:v>118</x:v>
      </x:c>
      <x:c r="V97" s="277" t="s">
        <x:v>118</x:v>
      </x:c>
      <x:c r="W97" s="277" t="s">
        <x:v>118</x:v>
      </x:c>
      <x:c r="X97" s="277" t="s">
        <x:v>118</x:v>
      </x:c>
      <x:c r="Y97" s="277" t="s">
        <x:v>118</x:v>
      </x:c>
      <x:c r="Z97" s="277" t="s">
        <x:v>118</x:v>
      </x:c>
      <x:c r="AA97" s="277" t="s">
        <x:v>118</x:v>
      </x:c>
      <x:c r="AB97" s="277" t="s">
        <x:v>118</x:v>
      </x:c>
      <x:c r="AC97" s="277" t="s">
        <x:v>118</x:v>
      </x:c>
      <x:c r="AD97" s="277" t="s">
        <x:v>118</x:v>
      </x:c>
      <x:c r="AE97" s="277" t="s">
        <x:v>118</x:v>
      </x:c>
      <x:c r="AF97" s="277" t="s">
        <x:v>118</x:v>
      </x:c>
      <x:c r="AG97" s="277" t="s">
        <x:v>118</x:v>
      </x:c>
      <x:c r="AH97" s="277" t="s">
        <x:v>118</x:v>
      </x:c>
      <x:c r="AI97" s="277" t="s">
        <x:v>118</x:v>
      </x:c>
      <x:c r="AJ97" s="277" t="s">
        <x:v>118</x:v>
      </x:c>
      <x:c r="AK97" s="220">
        <x:f>COUNTIF(F97:AJ97,"X")</x:f>
      </x:c>
      <x:c r="AL97" s="221"/>
      <x:c r="AM97" s="221"/>
      <x:c r="AN97" s="222"/>
      <x:c r="AO97" s="222"/>
      <x:c r="AP97" s="228"/>
      <x:c r="AQ97" s="228"/>
      <x:c r="AR97" s="228"/>
      <x:c r="AS97" s="228"/>
      <x:c r="AT97" s="230"/>
    </x:row>
    <x:row r="98" spans="1:47" ht="19.9" customHeight="1">
      <x:c r="A98" s="274" t="s">
        <x:v>2000</x:v>
      </x:c>
      <x:c r="B98" s="216"/>
      <x:c r="C98" s="275" t="s">
        <x:v>2001</x:v>
      </x:c>
      <x:c r="D98" s="274" t="s">
        <x:v>316</x:v>
      </x:c>
      <x:c r="E98" s="276" t="s">
        <x:v>2002</x:v>
      </x:c>
      <x:c r="F98" s="277" t="s">
        <x:v>118</x:v>
      </x:c>
      <x:c r="G98" s="277" t="s">
        <x:v>118</x:v>
      </x:c>
      <x:c r="H98" s="277" t="s">
        <x:v>118</x:v>
      </x:c>
      <x:c r="I98" s="277" t="s">
        <x:v>118</x:v>
      </x:c>
      <x:c r="J98" s="277" t="s">
        <x:v>118</x:v>
      </x:c>
      <x:c r="K98" s="277" t="s">
        <x:v>118</x:v>
      </x:c>
      <x:c r="L98" s="277" t="s">
        <x:v>118</x:v>
      </x:c>
      <x:c r="M98" s="277" t="s">
        <x:v>118</x:v>
      </x:c>
      <x:c r="N98" s="277" t="s">
        <x:v>118</x:v>
      </x:c>
      <x:c r="O98" s="277" t="s">
        <x:v>118</x:v>
      </x:c>
      <x:c r="P98" s="277" t="s">
        <x:v>118</x:v>
      </x:c>
      <x:c r="Q98" s="277" t="s">
        <x:v>118</x:v>
      </x:c>
      <x:c r="R98" s="277" t="s">
        <x:v>118</x:v>
      </x:c>
      <x:c r="S98" s="277" t="s">
        <x:v>118</x:v>
      </x:c>
      <x:c r="T98" s="277" t="s">
        <x:v>118</x:v>
      </x:c>
      <x:c r="U98" s="277" t="s">
        <x:v>118</x:v>
      </x:c>
      <x:c r="V98" s="277" t="s">
        <x:v>118</x:v>
      </x:c>
      <x:c r="W98" s="277" t="s">
        <x:v>118</x:v>
      </x:c>
      <x:c r="X98" s="277" t="s">
        <x:v>118</x:v>
      </x:c>
      <x:c r="Y98" s="277" t="s">
        <x:v>118</x:v>
      </x:c>
      <x:c r="Z98" s="277" t="s">
        <x:v>118</x:v>
      </x:c>
      <x:c r="AA98" s="277" t="s">
        <x:v>118</x:v>
      </x:c>
      <x:c r="AB98" s="277" t="s">
        <x:v>118</x:v>
      </x:c>
      <x:c r="AC98" s="277" t="s">
        <x:v>118</x:v>
      </x:c>
      <x:c r="AD98" s="277" t="s">
        <x:v>118</x:v>
      </x:c>
      <x:c r="AE98" s="277" t="s">
        <x:v>118</x:v>
      </x:c>
      <x:c r="AF98" s="277" t="s">
        <x:v>118</x:v>
      </x:c>
      <x:c r="AG98" s="277" t="s">
        <x:v>118</x:v>
      </x:c>
      <x:c r="AH98" s="277" t="s">
        <x:v>118</x:v>
      </x:c>
      <x:c r="AI98" s="277" t="s">
        <x:v>118</x:v>
      </x:c>
      <x:c r="AJ98" s="277" t="s">
        <x:v>118</x:v>
      </x:c>
      <x:c r="AK98" s="220">
        <x:f>COUNTIF(F98:AJ98,"X")</x:f>
      </x:c>
      <x:c r="AL98" s="221"/>
      <x:c r="AM98" s="221"/>
      <x:c r="AN98" s="222"/>
      <x:c r="AO98" s="222"/>
      <x:c r="AP98" s="228"/>
      <x:c r="AQ98" s="228"/>
      <x:c r="AR98" s="228"/>
      <x:c r="AS98" s="228"/>
      <x:c r="AT98" s="230"/>
    </x:row>
    <x:row r="99" spans="1:47" ht="19.9" customHeight="1">
      <x:c r="A99" s="274" t="s">
        <x:v>2003</x:v>
      </x:c>
      <x:c r="B99" s="216"/>
      <x:c r="C99" s="275" t="s">
        <x:v>2004</x:v>
      </x:c>
      <x:c r="D99" s="274" t="s">
        <x:v>2005</x:v>
      </x:c>
      <x:c r="E99" s="276" t="s">
        <x:v>1047</x:v>
      </x:c>
      <x:c r="F99" s="277" t="s">
        <x:v>118</x:v>
      </x:c>
      <x:c r="G99" s="277" t="s">
        <x:v>118</x:v>
      </x:c>
      <x:c r="H99" s="277" t="s">
        <x:v>118</x:v>
      </x:c>
      <x:c r="I99" s="277" t="s">
        <x:v>118</x:v>
      </x:c>
      <x:c r="J99" s="277" t="s">
        <x:v>118</x:v>
      </x:c>
      <x:c r="K99" s="277" t="s">
        <x:v>118</x:v>
      </x:c>
      <x:c r="L99" s="277" t="s">
        <x:v>118</x:v>
      </x:c>
      <x:c r="M99" s="277" t="s">
        <x:v>118</x:v>
      </x:c>
      <x:c r="N99" s="277" t="s">
        <x:v>118</x:v>
      </x:c>
      <x:c r="O99" s="277" t="s">
        <x:v>118</x:v>
      </x:c>
      <x:c r="P99" s="277" t="s">
        <x:v>118</x:v>
      </x:c>
      <x:c r="Q99" s="277" t="s">
        <x:v>118</x:v>
      </x:c>
      <x:c r="R99" s="277" t="s">
        <x:v>118</x:v>
      </x:c>
      <x:c r="S99" s="277" t="s">
        <x:v>118</x:v>
      </x:c>
      <x:c r="T99" s="277" t="s">
        <x:v>118</x:v>
      </x:c>
      <x:c r="U99" s="277" t="s">
        <x:v>118</x:v>
      </x:c>
      <x:c r="V99" s="277" t="s">
        <x:v>118</x:v>
      </x:c>
      <x:c r="W99" s="277" t="s">
        <x:v>118</x:v>
      </x:c>
      <x:c r="X99" s="277" t="s">
        <x:v>118</x:v>
      </x:c>
      <x:c r="Y99" s="277" t="s">
        <x:v>118</x:v>
      </x:c>
      <x:c r="Z99" s="277" t="s">
        <x:v>118</x:v>
      </x:c>
      <x:c r="AA99" s="277" t="s">
        <x:v>118</x:v>
      </x:c>
      <x:c r="AB99" s="277" t="s">
        <x:v>118</x:v>
      </x:c>
      <x:c r="AC99" s="277" t="s">
        <x:v>118</x:v>
      </x:c>
      <x:c r="AD99" s="277" t="s">
        <x:v>118</x:v>
      </x:c>
      <x:c r="AE99" s="277" t="s">
        <x:v>118</x:v>
      </x:c>
      <x:c r="AF99" s="277" t="s">
        <x:v>118</x:v>
      </x:c>
      <x:c r="AG99" s="277" t="s">
        <x:v>118</x:v>
      </x:c>
      <x:c r="AH99" s="277" t="s">
        <x:v>118</x:v>
      </x:c>
      <x:c r="AI99" s="277" t="s">
        <x:v>118</x:v>
      </x:c>
      <x:c r="AJ99" s="277" t="s">
        <x:v>118</x:v>
      </x:c>
      <x:c r="AK99" s="220">
        <x:f>COUNTIF(F99:AJ99,"X")</x:f>
      </x:c>
      <x:c r="AL99" s="221"/>
      <x:c r="AM99" s="221"/>
      <x:c r="AN99" s="222"/>
      <x:c r="AO99" s="222"/>
      <x:c r="AP99" s="228"/>
      <x:c r="AQ99" s="228"/>
      <x:c r="AR99" s="228"/>
      <x:c r="AS99" s="228"/>
      <x:c r="AT99" s="230"/>
    </x:row>
    <x:row r="100" spans="1:47" ht="19.9" customHeight="1">
      <x:c r="A100" s="274" t="s">
        <x:v>2006</x:v>
      </x:c>
      <x:c r="B100" s="216"/>
      <x:c r="C100" s="275" t="s">
        <x:v>2007</x:v>
      </x:c>
      <x:c r="D100" s="274" t="s">
        <x:v>2008</x:v>
      </x:c>
      <x:c r="E100" s="276" t="s">
        <x:v>2009</x:v>
      </x:c>
      <x:c r="F100" s="277" t="s">
        <x:v>118</x:v>
      </x:c>
      <x:c r="G100" s="277" t="s">
        <x:v>118</x:v>
      </x:c>
      <x:c r="H100" s="277" t="s">
        <x:v>118</x:v>
      </x:c>
      <x:c r="I100" s="277" t="s">
        <x:v>118</x:v>
      </x:c>
      <x:c r="J100" s="277" t="s">
        <x:v>118</x:v>
      </x:c>
      <x:c r="K100" s="277" t="s">
        <x:v>118</x:v>
      </x:c>
      <x:c r="L100" s="277" t="s">
        <x:v>118</x:v>
      </x:c>
      <x:c r="M100" s="277" t="s">
        <x:v>118</x:v>
      </x:c>
      <x:c r="N100" s="277" t="s">
        <x:v>118</x:v>
      </x:c>
      <x:c r="O100" s="277" t="s">
        <x:v>118</x:v>
      </x:c>
      <x:c r="P100" s="277" t="s">
        <x:v>118</x:v>
      </x:c>
      <x:c r="Q100" s="277" t="s">
        <x:v>118</x:v>
      </x:c>
      <x:c r="R100" s="277" t="s">
        <x:v>118</x:v>
      </x:c>
      <x:c r="S100" s="277" t="s">
        <x:v>118</x:v>
      </x:c>
      <x:c r="T100" s="277" t="s">
        <x:v>118</x:v>
      </x:c>
      <x:c r="U100" s="277" t="s">
        <x:v>118</x:v>
      </x:c>
      <x:c r="V100" s="277" t="s">
        <x:v>118</x:v>
      </x:c>
      <x:c r="W100" s="277" t="s">
        <x:v>118</x:v>
      </x:c>
      <x:c r="X100" s="277" t="s">
        <x:v>118</x:v>
      </x:c>
      <x:c r="Y100" s="277" t="s">
        <x:v>118</x:v>
      </x:c>
      <x:c r="Z100" s="277" t="s">
        <x:v>118</x:v>
      </x:c>
      <x:c r="AA100" s="277" t="s">
        <x:v>118</x:v>
      </x:c>
      <x:c r="AB100" s="277" t="s">
        <x:v>118</x:v>
      </x:c>
      <x:c r="AC100" s="277" t="s">
        <x:v>118</x:v>
      </x:c>
      <x:c r="AD100" s="277" t="s">
        <x:v>118</x:v>
      </x:c>
      <x:c r="AE100" s="277" t="s">
        <x:v>118</x:v>
      </x:c>
      <x:c r="AF100" s="277" t="s">
        <x:v>118</x:v>
      </x:c>
      <x:c r="AG100" s="277" t="s">
        <x:v>118</x:v>
      </x:c>
      <x:c r="AH100" s="277" t="s">
        <x:v>118</x:v>
      </x:c>
      <x:c r="AI100" s="277" t="s">
        <x:v>118</x:v>
      </x:c>
      <x:c r="AJ100" s="277" t="s">
        <x:v>118</x:v>
      </x:c>
      <x:c r="AK100" s="220">
        <x:f>COUNTIF(F100:AJ100,"X")</x:f>
      </x:c>
      <x:c r="AL100" s="221"/>
      <x:c r="AM100" s="221"/>
      <x:c r="AN100" s="222"/>
      <x:c r="AO100" s="222"/>
      <x:c r="AP100" s="228"/>
      <x:c r="AQ100" s="228"/>
      <x:c r="AR100" s="228"/>
      <x:c r="AS100" s="228"/>
      <x:c r="AT100" s="230"/>
    </x:row>
    <x:row r="101" spans="1:47" ht="19.9" customHeight="1">
      <x:c r="A101" s="274" t="s">
        <x:v>2010</x:v>
      </x:c>
      <x:c r="B101" s="216"/>
      <x:c r="C101" s="275" t="s">
        <x:v>2011</x:v>
      </x:c>
      <x:c r="D101" s="274" t="s">
        <x:v>326</x:v>
      </x:c>
      <x:c r="E101" s="276" t="s">
        <x:v>2012</x:v>
      </x:c>
      <x:c r="F101" s="277" t="s">
        <x:v>118</x:v>
      </x:c>
      <x:c r="G101" s="277" t="s">
        <x:v>118</x:v>
      </x:c>
      <x:c r="H101" s="277" t="s">
        <x:v>118</x:v>
      </x:c>
      <x:c r="I101" s="277" t="s">
        <x:v>118</x:v>
      </x:c>
      <x:c r="J101" s="277" t="s">
        <x:v>118</x:v>
      </x:c>
      <x:c r="K101" s="277" t="s">
        <x:v>118</x:v>
      </x:c>
      <x:c r="L101" s="277" t="s">
        <x:v>118</x:v>
      </x:c>
      <x:c r="M101" s="277" t="s">
        <x:v>118</x:v>
      </x:c>
      <x:c r="N101" s="277" t="s">
        <x:v>118</x:v>
      </x:c>
      <x:c r="O101" s="277" t="s">
        <x:v>118</x:v>
      </x:c>
      <x:c r="P101" s="277" t="s">
        <x:v>118</x:v>
      </x:c>
      <x:c r="Q101" s="277" t="s">
        <x:v>118</x:v>
      </x:c>
      <x:c r="R101" s="277" t="s">
        <x:v>118</x:v>
      </x:c>
      <x:c r="S101" s="277" t="s">
        <x:v>118</x:v>
      </x:c>
      <x:c r="T101" s="277" t="s">
        <x:v>118</x:v>
      </x:c>
      <x:c r="U101" s="277" t="s">
        <x:v>118</x:v>
      </x:c>
      <x:c r="V101" s="277" t="s">
        <x:v>118</x:v>
      </x:c>
      <x:c r="W101" s="277" t="s">
        <x:v>118</x:v>
      </x:c>
      <x:c r="X101" s="277" t="s">
        <x:v>118</x:v>
      </x:c>
      <x:c r="Y101" s="277" t="s">
        <x:v>118</x:v>
      </x:c>
      <x:c r="Z101" s="277" t="s">
        <x:v>118</x:v>
      </x:c>
      <x:c r="AA101" s="277" t="s">
        <x:v>118</x:v>
      </x:c>
      <x:c r="AB101" s="277" t="s">
        <x:v>118</x:v>
      </x:c>
      <x:c r="AC101" s="277" t="s">
        <x:v>118</x:v>
      </x:c>
      <x:c r="AD101" s="277" t="s">
        <x:v>118</x:v>
      </x:c>
      <x:c r="AE101" s="277" t="s">
        <x:v>118</x:v>
      </x:c>
      <x:c r="AF101" s="277" t="s">
        <x:v>118</x:v>
      </x:c>
      <x:c r="AG101" s="277" t="s">
        <x:v>118</x:v>
      </x:c>
      <x:c r="AH101" s="277" t="s">
        <x:v>118</x:v>
      </x:c>
      <x:c r="AI101" s="277" t="s">
        <x:v>118</x:v>
      </x:c>
      <x:c r="AJ101" s="277" t="s">
        <x:v>118</x:v>
      </x:c>
      <x:c r="AK101" s="220">
        <x:f>COUNTIF(F101:AJ101,"X")</x:f>
      </x:c>
      <x:c r="AL101" s="221"/>
      <x:c r="AM101" s="221"/>
      <x:c r="AN101" s="222"/>
      <x:c r="AO101" s="222"/>
      <x:c r="AP101" s="228"/>
      <x:c r="AQ101" s="228"/>
      <x:c r="AR101" s="228"/>
      <x:c r="AS101" s="228"/>
      <x:c r="AT101" s="230"/>
    </x:row>
    <x:row r="102" spans="1:47" ht="19.9" customHeight="1">
      <x:c r="A102" s="274" t="s">
        <x:v>2013</x:v>
      </x:c>
      <x:c r="B102" s="216"/>
      <x:c r="C102" s="275" t="s">
        <x:v>2014</x:v>
      </x:c>
      <x:c r="D102" s="274" t="s">
        <x:v>326</x:v>
      </x:c>
      <x:c r="E102" s="276" t="s">
        <x:v>309</x:v>
      </x:c>
      <x:c r="F102" s="277" t="s">
        <x:v>118</x:v>
      </x:c>
      <x:c r="G102" s="277" t="s">
        <x:v>118</x:v>
      </x:c>
      <x:c r="H102" s="277" t="s">
        <x:v>118</x:v>
      </x:c>
      <x:c r="I102" s="277" t="s">
        <x:v>118</x:v>
      </x:c>
      <x:c r="J102" s="277" t="s">
        <x:v>118</x:v>
      </x:c>
      <x:c r="K102" s="277" t="s">
        <x:v>118</x:v>
      </x:c>
      <x:c r="L102" s="277" t="s">
        <x:v>118</x:v>
      </x:c>
      <x:c r="M102" s="277" t="s">
        <x:v>118</x:v>
      </x:c>
      <x:c r="N102" s="277" t="s">
        <x:v>118</x:v>
      </x:c>
      <x:c r="O102" s="277" t="s">
        <x:v>118</x:v>
      </x:c>
      <x:c r="P102" s="277" t="s">
        <x:v>118</x:v>
      </x:c>
      <x:c r="Q102" s="277" t="s">
        <x:v>118</x:v>
      </x:c>
      <x:c r="R102" s="277" t="s">
        <x:v>118</x:v>
      </x:c>
      <x:c r="S102" s="277" t="s">
        <x:v>118</x:v>
      </x:c>
      <x:c r="T102" s="277" t="s">
        <x:v>118</x:v>
      </x:c>
      <x:c r="U102" s="277" t="s">
        <x:v>118</x:v>
      </x:c>
      <x:c r="V102" s="277" t="s">
        <x:v>118</x:v>
      </x:c>
      <x:c r="W102" s="277" t="s">
        <x:v>118</x:v>
      </x:c>
      <x:c r="X102" s="277" t="s">
        <x:v>118</x:v>
      </x:c>
      <x:c r="Y102" s="277" t="s">
        <x:v>118</x:v>
      </x:c>
      <x:c r="Z102" s="277" t="s">
        <x:v>118</x:v>
      </x:c>
      <x:c r="AA102" s="277" t="s">
        <x:v>118</x:v>
      </x:c>
      <x:c r="AB102" s="277" t="s">
        <x:v>118</x:v>
      </x:c>
      <x:c r="AC102" s="277" t="s">
        <x:v>118</x:v>
      </x:c>
      <x:c r="AD102" s="277" t="s">
        <x:v>118</x:v>
      </x:c>
      <x:c r="AE102" s="277" t="s">
        <x:v>118</x:v>
      </x:c>
      <x:c r="AF102" s="277" t="s">
        <x:v>118</x:v>
      </x:c>
      <x:c r="AG102" s="277" t="s">
        <x:v>118</x:v>
      </x:c>
      <x:c r="AH102" s="277" t="s">
        <x:v>118</x:v>
      </x:c>
      <x:c r="AI102" s="277" t="s">
        <x:v>118</x:v>
      </x:c>
      <x:c r="AJ102" s="277" t="s">
        <x:v>118</x:v>
      </x:c>
      <x:c r="AK102" s="220">
        <x:f>COUNTIF(F102:AJ102,"X")</x:f>
      </x:c>
      <x:c r="AL102" s="221"/>
      <x:c r="AM102" s="221"/>
      <x:c r="AN102" s="222"/>
      <x:c r="AO102" s="222"/>
      <x:c r="AP102" s="228"/>
      <x:c r="AQ102" s="228"/>
      <x:c r="AR102" s="228"/>
      <x:c r="AS102" s="228"/>
      <x:c r="AT102" s="230"/>
    </x:row>
    <x:row r="103" spans="1:47" ht="19.9" customHeight="1">
      <x:c r="A103" s="274" t="s">
        <x:v>2015</x:v>
      </x:c>
      <x:c r="B103" s="216"/>
      <x:c r="C103" s="275" t="s">
        <x:v>2016</x:v>
      </x:c>
      <x:c r="D103" s="274" t="s">
        <x:v>2017</x:v>
      </x:c>
      <x:c r="E103" s="276" t="s">
        <x:v>1889</x:v>
      </x:c>
      <x:c r="F103" s="277" t="s">
        <x:v>118</x:v>
      </x:c>
      <x:c r="G103" s="277" t="s">
        <x:v>118</x:v>
      </x:c>
      <x:c r="H103" s="277" t="s">
        <x:v>118</x:v>
      </x:c>
      <x:c r="I103" s="277" t="s">
        <x:v>118</x:v>
      </x:c>
      <x:c r="J103" s="277" t="s">
        <x:v>118</x:v>
      </x:c>
      <x:c r="K103" s="277" t="s">
        <x:v>118</x:v>
      </x:c>
      <x:c r="L103" s="277" t="s">
        <x:v>118</x:v>
      </x:c>
      <x:c r="M103" s="277" t="s">
        <x:v>118</x:v>
      </x:c>
      <x:c r="N103" s="277" t="s">
        <x:v>118</x:v>
      </x:c>
      <x:c r="O103" s="277" t="s">
        <x:v>118</x:v>
      </x:c>
      <x:c r="P103" s="277" t="s">
        <x:v>118</x:v>
      </x:c>
      <x:c r="Q103" s="277" t="s">
        <x:v>118</x:v>
      </x:c>
      <x:c r="R103" s="277" t="s">
        <x:v>118</x:v>
      </x:c>
      <x:c r="S103" s="277" t="s">
        <x:v>118</x:v>
      </x:c>
      <x:c r="T103" s="277" t="s">
        <x:v>118</x:v>
      </x:c>
      <x:c r="U103" s="277" t="s">
        <x:v>118</x:v>
      </x:c>
      <x:c r="V103" s="277" t="s">
        <x:v>118</x:v>
      </x:c>
      <x:c r="W103" s="277" t="s">
        <x:v>118</x:v>
      </x:c>
      <x:c r="X103" s="277" t="s">
        <x:v>118</x:v>
      </x:c>
      <x:c r="Y103" s="277" t="s">
        <x:v>118</x:v>
      </x:c>
      <x:c r="Z103" s="277" t="s">
        <x:v>118</x:v>
      </x:c>
      <x:c r="AA103" s="277" t="s">
        <x:v>118</x:v>
      </x:c>
      <x:c r="AB103" s="277" t="s">
        <x:v>118</x:v>
      </x:c>
      <x:c r="AC103" s="277" t="s">
        <x:v>118</x:v>
      </x:c>
      <x:c r="AD103" s="277" t="s">
        <x:v>118</x:v>
      </x:c>
      <x:c r="AE103" s="277" t="s">
        <x:v>118</x:v>
      </x:c>
      <x:c r="AF103" s="277" t="s">
        <x:v>118</x:v>
      </x:c>
      <x:c r="AG103" s="277" t="s">
        <x:v>118</x:v>
      </x:c>
      <x:c r="AH103" s="277" t="s">
        <x:v>118</x:v>
      </x:c>
      <x:c r="AI103" s="277" t="s">
        <x:v>118</x:v>
      </x:c>
      <x:c r="AJ103" s="277" t="s">
        <x:v>118</x:v>
      </x:c>
      <x:c r="AK103" s="220">
        <x:f>COUNTIF(F103:AJ103,"X")</x:f>
      </x:c>
      <x:c r="AL103" s="221"/>
      <x:c r="AM103" s="221"/>
      <x:c r="AN103" s="222"/>
      <x:c r="AO103" s="222"/>
      <x:c r="AP103" s="228"/>
      <x:c r="AQ103" s="228"/>
      <x:c r="AR103" s="228"/>
      <x:c r="AS103" s="228"/>
      <x:c r="AT103" s="230"/>
    </x:row>
    <x:row r="104" spans="1:47" ht="19.9" customHeight="1">
      <x:c r="A104" s="274" t="s">
        <x:v>2018</x:v>
      </x:c>
      <x:c r="B104" s="216"/>
      <x:c r="C104" s="275" t="s">
        <x:v>2019</x:v>
      </x:c>
      <x:c r="D104" s="274" t="s">
        <x:v>2020</x:v>
      </x:c>
      <x:c r="E104" s="276" t="s">
        <x:v>792</x:v>
      </x:c>
      <x:c r="F104" s="277" t="s">
        <x:v>118</x:v>
      </x:c>
      <x:c r="G104" s="277" t="s">
        <x:v>118</x:v>
      </x:c>
      <x:c r="H104" s="277" t="s">
        <x:v>118</x:v>
      </x:c>
      <x:c r="I104" s="277" t="s">
        <x:v>118</x:v>
      </x:c>
      <x:c r="J104" s="277" t="s">
        <x:v>118</x:v>
      </x:c>
      <x:c r="K104" s="277" t="s">
        <x:v>118</x:v>
      </x:c>
      <x:c r="L104" s="277" t="s">
        <x:v>118</x:v>
      </x:c>
      <x:c r="M104" s="277" t="s">
        <x:v>118</x:v>
      </x:c>
      <x:c r="N104" s="277" t="s">
        <x:v>118</x:v>
      </x:c>
      <x:c r="O104" s="277" t="s">
        <x:v>118</x:v>
      </x:c>
      <x:c r="P104" s="277" t="s">
        <x:v>118</x:v>
      </x:c>
      <x:c r="Q104" s="277" t="s">
        <x:v>118</x:v>
      </x:c>
      <x:c r="R104" s="277" t="s">
        <x:v>118</x:v>
      </x:c>
      <x:c r="S104" s="277" t="s">
        <x:v>118</x:v>
      </x:c>
      <x:c r="T104" s="277" t="s">
        <x:v>118</x:v>
      </x:c>
      <x:c r="U104" s="277" t="s">
        <x:v>118</x:v>
      </x:c>
      <x:c r="V104" s="277" t="s">
        <x:v>118</x:v>
      </x:c>
      <x:c r="W104" s="277" t="s">
        <x:v>118</x:v>
      </x:c>
      <x:c r="X104" s="277" t="s">
        <x:v>118</x:v>
      </x:c>
      <x:c r="Y104" s="277" t="s">
        <x:v>118</x:v>
      </x:c>
      <x:c r="Z104" s="277" t="s">
        <x:v>118</x:v>
      </x:c>
      <x:c r="AA104" s="277" t="s">
        <x:v>118</x:v>
      </x:c>
      <x:c r="AB104" s="277" t="s">
        <x:v>118</x:v>
      </x:c>
      <x:c r="AC104" s="277" t="s">
        <x:v>118</x:v>
      </x:c>
      <x:c r="AD104" s="277" t="s">
        <x:v>118</x:v>
      </x:c>
      <x:c r="AE104" s="277" t="s">
        <x:v>118</x:v>
      </x:c>
      <x:c r="AF104" s="277" t="s">
        <x:v>118</x:v>
      </x:c>
      <x:c r="AG104" s="277" t="s">
        <x:v>118</x:v>
      </x:c>
      <x:c r="AH104" s="277" t="s">
        <x:v>118</x:v>
      </x:c>
      <x:c r="AI104" s="277" t="s">
        <x:v>118</x:v>
      </x:c>
      <x:c r="AJ104" s="277" t="s">
        <x:v>118</x:v>
      </x:c>
      <x:c r="AK104" s="220">
        <x:f>COUNTIF(F104:AJ104,"X")</x:f>
      </x:c>
      <x:c r="AL104" s="221"/>
      <x:c r="AM104" s="221"/>
      <x:c r="AN104" s="222"/>
      <x:c r="AO104" s="222"/>
      <x:c r="AP104" s="228"/>
      <x:c r="AQ104" s="228"/>
      <x:c r="AR104" s="228"/>
      <x:c r="AS104" s="228"/>
      <x:c r="AT104" s="230"/>
    </x:row>
    <x:row r="105" spans="1:47" ht="19.9" customHeight="1">
      <x:c r="A105" s="274" t="s">
        <x:v>2021</x:v>
      </x:c>
      <x:c r="B105" s="216"/>
      <x:c r="C105" s="275" t="s">
        <x:v>2022</x:v>
      </x:c>
      <x:c r="D105" s="274" t="s">
        <x:v>2023</x:v>
      </x:c>
      <x:c r="E105" s="276" t="s">
        <x:v>718</x:v>
      </x:c>
      <x:c r="F105" s="277" t="s">
        <x:v>118</x:v>
      </x:c>
      <x:c r="G105" s="277" t="s">
        <x:v>118</x:v>
      </x:c>
      <x:c r="H105" s="277" t="s">
        <x:v>118</x:v>
      </x:c>
      <x:c r="I105" s="277" t="s">
        <x:v>118</x:v>
      </x:c>
      <x:c r="J105" s="277" t="s">
        <x:v>118</x:v>
      </x:c>
      <x:c r="K105" s="277" t="s">
        <x:v>118</x:v>
      </x:c>
      <x:c r="L105" s="277" t="s">
        <x:v>118</x:v>
      </x:c>
      <x:c r="M105" s="277" t="s">
        <x:v>118</x:v>
      </x:c>
      <x:c r="N105" s="277" t="s">
        <x:v>118</x:v>
      </x:c>
      <x:c r="O105" s="277" t="s">
        <x:v>118</x:v>
      </x:c>
      <x:c r="P105" s="277" t="s">
        <x:v>118</x:v>
      </x:c>
      <x:c r="Q105" s="277" t="s">
        <x:v>118</x:v>
      </x:c>
      <x:c r="R105" s="277" t="s">
        <x:v>118</x:v>
      </x:c>
      <x:c r="S105" s="277" t="s">
        <x:v>118</x:v>
      </x:c>
      <x:c r="T105" s="277" t="s">
        <x:v>118</x:v>
      </x:c>
      <x:c r="U105" s="277" t="s">
        <x:v>118</x:v>
      </x:c>
      <x:c r="V105" s="277" t="s">
        <x:v>118</x:v>
      </x:c>
      <x:c r="W105" s="277" t="s">
        <x:v>118</x:v>
      </x:c>
      <x:c r="X105" s="277" t="s">
        <x:v>118</x:v>
      </x:c>
      <x:c r="Y105" s="277" t="s">
        <x:v>118</x:v>
      </x:c>
      <x:c r="Z105" s="277" t="s">
        <x:v>118</x:v>
      </x:c>
      <x:c r="AA105" s="277" t="s">
        <x:v>118</x:v>
      </x:c>
      <x:c r="AB105" s="277" t="s">
        <x:v>118</x:v>
      </x:c>
      <x:c r="AC105" s="277" t="s">
        <x:v>118</x:v>
      </x:c>
      <x:c r="AD105" s="277" t="s">
        <x:v>118</x:v>
      </x:c>
      <x:c r="AE105" s="277" t="s">
        <x:v>118</x:v>
      </x:c>
      <x:c r="AF105" s="277" t="s">
        <x:v>118</x:v>
      </x:c>
      <x:c r="AG105" s="277" t="s">
        <x:v>118</x:v>
      </x:c>
      <x:c r="AH105" s="277" t="s">
        <x:v>118</x:v>
      </x:c>
      <x:c r="AI105" s="277" t="s">
        <x:v>118</x:v>
      </x:c>
      <x:c r="AJ105" s="277" t="s">
        <x:v>118</x:v>
      </x:c>
      <x:c r="AK105" s="220">
        <x:f>COUNTIF(F105:AJ105,"X")</x:f>
      </x:c>
      <x:c r="AL105" s="221"/>
      <x:c r="AM105" s="221"/>
      <x:c r="AN105" s="222"/>
      <x:c r="AO105" s="222"/>
      <x:c r="AP105" s="228"/>
      <x:c r="AQ105" s="228"/>
      <x:c r="AR105" s="228"/>
      <x:c r="AS105" s="228"/>
      <x:c r="AT105" s="233"/>
    </x:row>
    <x:row r="106" spans="1:47" ht="19.9" customHeight="1">
      <x:c r="A106" s="274" t="s">
        <x:v>2024</x:v>
      </x:c>
      <x:c r="B106" s="216"/>
      <x:c r="C106" s="275" t="s">
        <x:v>2025</x:v>
      </x:c>
      <x:c r="D106" s="274" t="s">
        <x:v>2026</x:v>
      </x:c>
      <x:c r="E106" s="276" t="s">
        <x:v>2027</x:v>
      </x:c>
      <x:c r="F106" s="277" t="s">
        <x:v>118</x:v>
      </x:c>
      <x:c r="G106" s="277" t="s">
        <x:v>118</x:v>
      </x:c>
      <x:c r="H106" s="277" t="s">
        <x:v>118</x:v>
      </x:c>
      <x:c r="I106" s="277" t="s">
        <x:v>118</x:v>
      </x:c>
      <x:c r="J106" s="277" t="s">
        <x:v>118</x:v>
      </x:c>
      <x:c r="K106" s="277" t="s">
        <x:v>118</x:v>
      </x:c>
      <x:c r="L106" s="277" t="s">
        <x:v>118</x:v>
      </x:c>
      <x:c r="M106" s="277" t="s">
        <x:v>118</x:v>
      </x:c>
      <x:c r="N106" s="277" t="s">
        <x:v>118</x:v>
      </x:c>
      <x:c r="O106" s="277" t="s">
        <x:v>118</x:v>
      </x:c>
      <x:c r="P106" s="277" t="s">
        <x:v>118</x:v>
      </x:c>
      <x:c r="Q106" s="277" t="s">
        <x:v>118</x:v>
      </x:c>
      <x:c r="R106" s="277" t="s">
        <x:v>118</x:v>
      </x:c>
      <x:c r="S106" s="277" t="s">
        <x:v>118</x:v>
      </x:c>
      <x:c r="T106" s="277" t="s">
        <x:v>118</x:v>
      </x:c>
      <x:c r="U106" s="277" t="s">
        <x:v>118</x:v>
      </x:c>
      <x:c r="V106" s="277" t="s">
        <x:v>118</x:v>
      </x:c>
      <x:c r="W106" s="277" t="s">
        <x:v>118</x:v>
      </x:c>
      <x:c r="X106" s="277" t="s">
        <x:v>118</x:v>
      </x:c>
      <x:c r="Y106" s="277" t="s">
        <x:v>118</x:v>
      </x:c>
      <x:c r="Z106" s="277" t="s">
        <x:v>118</x:v>
      </x:c>
      <x:c r="AA106" s="277" t="s">
        <x:v>118</x:v>
      </x:c>
      <x:c r="AB106" s="277" t="s">
        <x:v>118</x:v>
      </x:c>
      <x:c r="AC106" s="277" t="s">
        <x:v>118</x:v>
      </x:c>
      <x:c r="AD106" s="277" t="s">
        <x:v>118</x:v>
      </x:c>
      <x:c r="AE106" s="277" t="s">
        <x:v>118</x:v>
      </x:c>
      <x:c r="AF106" s="277" t="s">
        <x:v>118</x:v>
      </x:c>
      <x:c r="AG106" s="277" t="s">
        <x:v>118</x:v>
      </x:c>
      <x:c r="AH106" s="277" t="s">
        <x:v>118</x:v>
      </x:c>
      <x:c r="AI106" s="277" t="s">
        <x:v>118</x:v>
      </x:c>
      <x:c r="AJ106" s="277" t="s">
        <x:v>118</x:v>
      </x:c>
      <x:c r="AK106" s="220">
        <x:f>COUNTIF(F106:AJ106,"X")</x:f>
      </x:c>
      <x:c r="AL106" s="221"/>
      <x:c r="AM106" s="221"/>
      <x:c r="AN106" s="222"/>
      <x:c r="AO106" s="222"/>
      <x:c r="AP106" s="228"/>
      <x:c r="AQ106" s="228"/>
      <x:c r="AR106" s="228"/>
      <x:c r="AS106" s="228"/>
      <x:c r="AT106" s="230"/>
    </x:row>
    <x:row r="107" spans="1:47" ht="19.9" customHeight="1">
      <x:c r="A107" s="274" t="s">
        <x:v>2028</x:v>
      </x:c>
      <x:c r="B107" s="216"/>
      <x:c r="C107" s="275" t="s">
        <x:v>2029</x:v>
      </x:c>
      <x:c r="D107" s="274" t="s">
        <x:v>2030</x:v>
      </x:c>
      <x:c r="E107" s="276" t="s">
        <x:v>2031</x:v>
      </x:c>
      <x:c r="F107" s="277" t="s">
        <x:v>118</x:v>
      </x:c>
      <x:c r="G107" s="277" t="s">
        <x:v>118</x:v>
      </x:c>
      <x:c r="H107" s="277" t="s">
        <x:v>118</x:v>
      </x:c>
      <x:c r="I107" s="277" t="s">
        <x:v>118</x:v>
      </x:c>
      <x:c r="J107" s="277" t="s">
        <x:v>118</x:v>
      </x:c>
      <x:c r="K107" s="277" t="s">
        <x:v>118</x:v>
      </x:c>
      <x:c r="L107" s="277" t="s">
        <x:v>118</x:v>
      </x:c>
      <x:c r="M107" s="277" t="s">
        <x:v>118</x:v>
      </x:c>
      <x:c r="N107" s="277" t="s">
        <x:v>118</x:v>
      </x:c>
      <x:c r="O107" s="277" t="s">
        <x:v>118</x:v>
      </x:c>
      <x:c r="P107" s="277" t="s">
        <x:v>118</x:v>
      </x:c>
      <x:c r="Q107" s="277" t="s">
        <x:v>118</x:v>
      </x:c>
      <x:c r="R107" s="277" t="s">
        <x:v>118</x:v>
      </x:c>
      <x:c r="S107" s="277" t="s">
        <x:v>118</x:v>
      </x:c>
      <x:c r="T107" s="277" t="s">
        <x:v>118</x:v>
      </x:c>
      <x:c r="U107" s="277" t="s">
        <x:v>118</x:v>
      </x:c>
      <x:c r="V107" s="277" t="s">
        <x:v>118</x:v>
      </x:c>
      <x:c r="W107" s="277" t="s">
        <x:v>118</x:v>
      </x:c>
      <x:c r="X107" s="277" t="s">
        <x:v>118</x:v>
      </x:c>
      <x:c r="Y107" s="277" t="s">
        <x:v>118</x:v>
      </x:c>
      <x:c r="Z107" s="277" t="s">
        <x:v>118</x:v>
      </x:c>
      <x:c r="AA107" s="277" t="s">
        <x:v>118</x:v>
      </x:c>
      <x:c r="AB107" s="277" t="s">
        <x:v>118</x:v>
      </x:c>
      <x:c r="AC107" s="277" t="s">
        <x:v>118</x:v>
      </x:c>
      <x:c r="AD107" s="277" t="s">
        <x:v>118</x:v>
      </x:c>
      <x:c r="AE107" s="277" t="s">
        <x:v>118</x:v>
      </x:c>
      <x:c r="AF107" s="277" t="s">
        <x:v>118</x:v>
      </x:c>
      <x:c r="AG107" s="277" t="s">
        <x:v>118</x:v>
      </x:c>
      <x:c r="AH107" s="277" t="s">
        <x:v>118</x:v>
      </x:c>
      <x:c r="AI107" s="277" t="s">
        <x:v>118</x:v>
      </x:c>
      <x:c r="AJ107" s="277" t="s">
        <x:v>118</x:v>
      </x:c>
      <x:c r="AK107" s="220">
        <x:f>COUNTIF(F107:AJ107,"X")</x:f>
      </x:c>
      <x:c r="AL107" s="221"/>
      <x:c r="AM107" s="221"/>
      <x:c r="AN107" s="222"/>
      <x:c r="AO107" s="222"/>
      <x:c r="AP107" s="228"/>
      <x:c r="AQ107" s="228"/>
      <x:c r="AR107" s="228"/>
      <x:c r="AS107" s="228"/>
      <x:c r="AT107" s="230"/>
    </x:row>
    <x:row r="108" spans="1:47" ht="19.9" customHeight="1">
      <x:c r="A108" s="274" t="s">
        <x:v>2032</x:v>
      </x:c>
      <x:c r="B108" s="216"/>
      <x:c r="C108" s="275" t="s">
        <x:v>2033</x:v>
      </x:c>
      <x:c r="D108" s="274" t="s">
        <x:v>349</x:v>
      </x:c>
      <x:c r="E108" s="276" t="s">
        <x:v>2034</x:v>
      </x:c>
      <x:c r="F108" s="277" t="s">
        <x:v>118</x:v>
      </x:c>
      <x:c r="G108" s="277" t="s">
        <x:v>118</x:v>
      </x:c>
      <x:c r="H108" s="277" t="s">
        <x:v>118</x:v>
      </x:c>
      <x:c r="I108" s="277" t="s">
        <x:v>118</x:v>
      </x:c>
      <x:c r="J108" s="277" t="s">
        <x:v>118</x:v>
      </x:c>
      <x:c r="K108" s="277" t="s">
        <x:v>118</x:v>
      </x:c>
      <x:c r="L108" s="277" t="s">
        <x:v>118</x:v>
      </x:c>
      <x:c r="M108" s="277" t="s">
        <x:v>118</x:v>
      </x:c>
      <x:c r="N108" s="277" t="s">
        <x:v>118</x:v>
      </x:c>
      <x:c r="O108" s="277" t="s">
        <x:v>118</x:v>
      </x:c>
      <x:c r="P108" s="277" t="s">
        <x:v>118</x:v>
      </x:c>
      <x:c r="Q108" s="277" t="s">
        <x:v>118</x:v>
      </x:c>
      <x:c r="R108" s="277" t="s">
        <x:v>118</x:v>
      </x:c>
      <x:c r="S108" s="277" t="s">
        <x:v>118</x:v>
      </x:c>
      <x:c r="T108" s="277" t="s">
        <x:v>118</x:v>
      </x:c>
      <x:c r="U108" s="277" t="s">
        <x:v>118</x:v>
      </x:c>
      <x:c r="V108" s="277" t="s">
        <x:v>118</x:v>
      </x:c>
      <x:c r="W108" s="277" t="s">
        <x:v>118</x:v>
      </x:c>
      <x:c r="X108" s="277" t="s">
        <x:v>118</x:v>
      </x:c>
      <x:c r="Y108" s="277" t="s">
        <x:v>118</x:v>
      </x:c>
      <x:c r="Z108" s="277" t="s">
        <x:v>118</x:v>
      </x:c>
      <x:c r="AA108" s="277" t="s">
        <x:v>118</x:v>
      </x:c>
      <x:c r="AB108" s="277" t="s">
        <x:v>118</x:v>
      </x:c>
      <x:c r="AC108" s="277" t="s">
        <x:v>118</x:v>
      </x:c>
      <x:c r="AD108" s="277" t="s">
        <x:v>118</x:v>
      </x:c>
      <x:c r="AE108" s="277" t="s">
        <x:v>118</x:v>
      </x:c>
      <x:c r="AF108" s="277" t="s">
        <x:v>118</x:v>
      </x:c>
      <x:c r="AG108" s="277" t="s">
        <x:v>118</x:v>
      </x:c>
      <x:c r="AH108" s="277" t="s">
        <x:v>118</x:v>
      </x:c>
      <x:c r="AI108" s="277" t="s">
        <x:v>118</x:v>
      </x:c>
      <x:c r="AJ108" s="277" t="s">
        <x:v>118</x:v>
      </x:c>
      <x:c r="AK108" s="220">
        <x:f>COUNTIF(F108:AJ108,"X")</x:f>
      </x:c>
      <x:c r="AL108" s="221"/>
      <x:c r="AM108" s="221"/>
      <x:c r="AN108" s="222"/>
      <x:c r="AO108" s="222"/>
      <x:c r="AP108" s="228"/>
      <x:c r="AQ108" s="228"/>
      <x:c r="AR108" s="228"/>
      <x:c r="AS108" s="228"/>
      <x:c r="AT108" s="230"/>
    </x:row>
    <x:row r="109" spans="1:47" ht="19.9" customHeight="1">
      <x:c r="A109" s="274" t="s">
        <x:v>2035</x:v>
      </x:c>
      <x:c r="B109" s="216"/>
      <x:c r="C109" s="275" t="s">
        <x:v>2036</x:v>
      </x:c>
      <x:c r="D109" s="274" t="s">
        <x:v>2037</x:v>
      </x:c>
      <x:c r="E109" s="276" t="s">
        <x:v>2038</x:v>
      </x:c>
      <x:c r="F109" s="277" t="s">
        <x:v>118</x:v>
      </x:c>
      <x:c r="G109" s="277" t="s">
        <x:v>118</x:v>
      </x:c>
      <x:c r="H109" s="277" t="s">
        <x:v>118</x:v>
      </x:c>
      <x:c r="I109" s="277" t="s">
        <x:v>118</x:v>
      </x:c>
      <x:c r="J109" s="277" t="s">
        <x:v>118</x:v>
      </x:c>
      <x:c r="K109" s="277" t="s">
        <x:v>118</x:v>
      </x:c>
      <x:c r="L109" s="277" t="s">
        <x:v>118</x:v>
      </x:c>
      <x:c r="M109" s="277" t="s">
        <x:v>118</x:v>
      </x:c>
      <x:c r="N109" s="277" t="s">
        <x:v>118</x:v>
      </x:c>
      <x:c r="O109" s="277" t="s">
        <x:v>118</x:v>
      </x:c>
      <x:c r="P109" s="277" t="s">
        <x:v>118</x:v>
      </x:c>
      <x:c r="Q109" s="277" t="s">
        <x:v>118</x:v>
      </x:c>
      <x:c r="R109" s="277" t="s">
        <x:v>118</x:v>
      </x:c>
      <x:c r="S109" s="277" t="s">
        <x:v>118</x:v>
      </x:c>
      <x:c r="T109" s="277" t="s">
        <x:v>118</x:v>
      </x:c>
      <x:c r="U109" s="277" t="s">
        <x:v>118</x:v>
      </x:c>
      <x:c r="V109" s="277" t="s">
        <x:v>118</x:v>
      </x:c>
      <x:c r="W109" s="277" t="s">
        <x:v>118</x:v>
      </x:c>
      <x:c r="X109" s="277" t="s">
        <x:v>118</x:v>
      </x:c>
      <x:c r="Y109" s="277" t="s">
        <x:v>118</x:v>
      </x:c>
      <x:c r="Z109" s="277" t="s">
        <x:v>118</x:v>
      </x:c>
      <x:c r="AA109" s="277" t="s">
        <x:v>118</x:v>
      </x:c>
      <x:c r="AB109" s="277" t="s">
        <x:v>118</x:v>
      </x:c>
      <x:c r="AC109" s="277" t="s">
        <x:v>118</x:v>
      </x:c>
      <x:c r="AD109" s="277" t="s">
        <x:v>118</x:v>
      </x:c>
      <x:c r="AE109" s="277" t="s">
        <x:v>118</x:v>
      </x:c>
      <x:c r="AF109" s="277" t="s">
        <x:v>118</x:v>
      </x:c>
      <x:c r="AG109" s="277" t="s">
        <x:v>118</x:v>
      </x:c>
      <x:c r="AH109" s="277" t="s">
        <x:v>118</x:v>
      </x:c>
      <x:c r="AI109" s="277" t="s">
        <x:v>118</x:v>
      </x:c>
      <x:c r="AJ109" s="277" t="s">
        <x:v>118</x:v>
      </x:c>
      <x:c r="AK109" s="220">
        <x:f>COUNTIF(F109:AJ109,"X")</x:f>
      </x:c>
      <x:c r="AL109" s="221"/>
      <x:c r="AM109" s="221"/>
      <x:c r="AN109" s="222"/>
      <x:c r="AO109" s="222"/>
      <x:c r="AP109" s="228"/>
      <x:c r="AQ109" s="228"/>
      <x:c r="AR109" s="228"/>
      <x:c r="AS109" s="228"/>
      <x:c r="AT109" s="230"/>
    </x:row>
    <x:row r="110" spans="1:47" ht="19.9" customHeight="1">
      <x:c r="A110" s="274" t="s">
        <x:v>2039</x:v>
      </x:c>
      <x:c r="B110" s="216"/>
      <x:c r="C110" s="275" t="s">
        <x:v>2040</x:v>
      </x:c>
      <x:c r="D110" s="274" t="s">
        <x:v>2037</x:v>
      </x:c>
      <x:c r="E110" s="276" t="s">
        <x:v>2041</x:v>
      </x:c>
      <x:c r="F110" s="277" t="s">
        <x:v>118</x:v>
      </x:c>
      <x:c r="G110" s="277" t="s">
        <x:v>118</x:v>
      </x:c>
      <x:c r="H110" s="277" t="s">
        <x:v>118</x:v>
      </x:c>
      <x:c r="I110" s="277" t="s">
        <x:v>118</x:v>
      </x:c>
      <x:c r="J110" s="277" t="s">
        <x:v>118</x:v>
      </x:c>
      <x:c r="K110" s="277" t="s">
        <x:v>118</x:v>
      </x:c>
      <x:c r="L110" s="277" t="s">
        <x:v>118</x:v>
      </x:c>
      <x:c r="M110" s="277" t="s">
        <x:v>118</x:v>
      </x:c>
      <x:c r="N110" s="277" t="s">
        <x:v>118</x:v>
      </x:c>
      <x:c r="O110" s="277" t="s">
        <x:v>118</x:v>
      </x:c>
      <x:c r="P110" s="277" t="s">
        <x:v>118</x:v>
      </x:c>
      <x:c r="Q110" s="277" t="s">
        <x:v>118</x:v>
      </x:c>
      <x:c r="R110" s="277" t="s">
        <x:v>118</x:v>
      </x:c>
      <x:c r="S110" s="277" t="s">
        <x:v>118</x:v>
      </x:c>
      <x:c r="T110" s="277" t="s">
        <x:v>118</x:v>
      </x:c>
      <x:c r="U110" s="277" t="s">
        <x:v>118</x:v>
      </x:c>
      <x:c r="V110" s="277" t="s">
        <x:v>118</x:v>
      </x:c>
      <x:c r="W110" s="277" t="s">
        <x:v>118</x:v>
      </x:c>
      <x:c r="X110" s="277" t="s">
        <x:v>118</x:v>
      </x:c>
      <x:c r="Y110" s="277" t="s">
        <x:v>118</x:v>
      </x:c>
      <x:c r="Z110" s="277" t="s">
        <x:v>118</x:v>
      </x:c>
      <x:c r="AA110" s="277" t="s">
        <x:v>118</x:v>
      </x:c>
      <x:c r="AB110" s="277" t="s">
        <x:v>118</x:v>
      </x:c>
      <x:c r="AC110" s="277" t="s">
        <x:v>118</x:v>
      </x:c>
      <x:c r="AD110" s="277" t="s">
        <x:v>118</x:v>
      </x:c>
      <x:c r="AE110" s="277" t="s">
        <x:v>118</x:v>
      </x:c>
      <x:c r="AF110" s="277" t="s">
        <x:v>118</x:v>
      </x:c>
      <x:c r="AG110" s="277" t="s">
        <x:v>118</x:v>
      </x:c>
      <x:c r="AH110" s="277" t="s">
        <x:v>118</x:v>
      </x:c>
      <x:c r="AI110" s="277" t="s">
        <x:v>118</x:v>
      </x:c>
      <x:c r="AJ110" s="277" t="s">
        <x:v>118</x:v>
      </x:c>
      <x:c r="AK110" s="220">
        <x:f>COUNTIF(F110:AJ110,"X")</x:f>
      </x:c>
      <x:c r="AL110" s="221"/>
      <x:c r="AM110" s="221"/>
      <x:c r="AN110" s="222"/>
      <x:c r="AO110" s="222"/>
      <x:c r="AP110" s="228"/>
      <x:c r="AQ110" s="228"/>
      <x:c r="AR110" s="228"/>
      <x:c r="AS110" s="228"/>
      <x:c r="AT110" s="230"/>
    </x:row>
    <x:row r="111" spans="1:47" ht="19.9" customHeight="1">
      <x:c r="A111" s="274" t="s">
        <x:v>2042</x:v>
      </x:c>
      <x:c r="B111" s="216"/>
      <x:c r="C111" s="275" t="s">
        <x:v>2043</x:v>
      </x:c>
      <x:c r="D111" s="274" t="s">
        <x:v>1109</x:v>
      </x:c>
      <x:c r="E111" s="276" t="s">
        <x:v>2044</x:v>
      </x:c>
      <x:c r="F111" s="277" t="s">
        <x:v>118</x:v>
      </x:c>
      <x:c r="G111" s="277" t="s">
        <x:v>118</x:v>
      </x:c>
      <x:c r="H111" s="277" t="s">
        <x:v>118</x:v>
      </x:c>
      <x:c r="I111" s="277" t="s">
        <x:v>118</x:v>
      </x:c>
      <x:c r="J111" s="277" t="s">
        <x:v>118</x:v>
      </x:c>
      <x:c r="K111" s="277" t="s">
        <x:v>118</x:v>
      </x:c>
      <x:c r="L111" s="277" t="s">
        <x:v>118</x:v>
      </x:c>
      <x:c r="M111" s="277" t="s">
        <x:v>118</x:v>
      </x:c>
      <x:c r="N111" s="277" t="s">
        <x:v>118</x:v>
      </x:c>
      <x:c r="O111" s="277" t="s">
        <x:v>118</x:v>
      </x:c>
      <x:c r="P111" s="277" t="s">
        <x:v>118</x:v>
      </x:c>
      <x:c r="Q111" s="277" t="s">
        <x:v>118</x:v>
      </x:c>
      <x:c r="R111" s="277" t="s">
        <x:v>118</x:v>
      </x:c>
      <x:c r="S111" s="277" t="s">
        <x:v>118</x:v>
      </x:c>
      <x:c r="T111" s="277" t="s">
        <x:v>118</x:v>
      </x:c>
      <x:c r="U111" s="277" t="s">
        <x:v>118</x:v>
      </x:c>
      <x:c r="V111" s="277" t="s">
        <x:v>118</x:v>
      </x:c>
      <x:c r="W111" s="277" t="s">
        <x:v>118</x:v>
      </x:c>
      <x:c r="X111" s="277" t="s">
        <x:v>118</x:v>
      </x:c>
      <x:c r="Y111" s="277" t="s">
        <x:v>118</x:v>
      </x:c>
      <x:c r="Z111" s="277" t="s">
        <x:v>118</x:v>
      </x:c>
      <x:c r="AA111" s="277" t="s">
        <x:v>118</x:v>
      </x:c>
      <x:c r="AB111" s="277" t="s">
        <x:v>118</x:v>
      </x:c>
      <x:c r="AC111" s="277" t="s">
        <x:v>118</x:v>
      </x:c>
      <x:c r="AD111" s="277" t="s">
        <x:v>118</x:v>
      </x:c>
      <x:c r="AE111" s="277" t="s">
        <x:v>118</x:v>
      </x:c>
      <x:c r="AF111" s="277" t="s">
        <x:v>118</x:v>
      </x:c>
      <x:c r="AG111" s="277" t="s">
        <x:v>118</x:v>
      </x:c>
      <x:c r="AH111" s="277" t="s">
        <x:v>118</x:v>
      </x:c>
      <x:c r="AI111" s="277" t="s">
        <x:v>118</x:v>
      </x:c>
      <x:c r="AJ111" s="277" t="s">
        <x:v>118</x:v>
      </x:c>
      <x:c r="AK111" s="220">
        <x:f>COUNTIF(F111:AJ111,"X")</x:f>
      </x:c>
      <x:c r="AL111" s="221"/>
      <x:c r="AM111" s="221"/>
      <x:c r="AN111" s="222"/>
      <x:c r="AO111" s="222"/>
      <x:c r="AP111" s="228"/>
      <x:c r="AQ111" s="228"/>
      <x:c r="AR111" s="228"/>
      <x:c r="AS111" s="228"/>
      <x:c r="AT111" s="230"/>
    </x:row>
    <x:row r="112" spans="1:47" ht="19.9" customHeight="1">
      <x:c r="A112" s="274" t="s">
        <x:v>2045</x:v>
      </x:c>
      <x:c r="B112" s="216"/>
      <x:c r="C112" s="275" t="s">
        <x:v>2046</x:v>
      </x:c>
      <x:c r="D112" s="274" t="s">
        <x:v>1109</x:v>
      </x:c>
      <x:c r="E112" s="276" t="s">
        <x:v>2047</x:v>
      </x:c>
      <x:c r="F112" s="277" t="s">
        <x:v>118</x:v>
      </x:c>
      <x:c r="G112" s="277" t="s">
        <x:v>118</x:v>
      </x:c>
      <x:c r="H112" s="277" t="s">
        <x:v>118</x:v>
      </x:c>
      <x:c r="I112" s="277" t="s">
        <x:v>118</x:v>
      </x:c>
      <x:c r="J112" s="277" t="s">
        <x:v>118</x:v>
      </x:c>
      <x:c r="K112" s="277" t="s">
        <x:v>118</x:v>
      </x:c>
      <x:c r="L112" s="277" t="s">
        <x:v>118</x:v>
      </x:c>
      <x:c r="M112" s="277" t="s">
        <x:v>118</x:v>
      </x:c>
      <x:c r="N112" s="277" t="s">
        <x:v>118</x:v>
      </x:c>
      <x:c r="O112" s="277" t="s">
        <x:v>118</x:v>
      </x:c>
      <x:c r="P112" s="277" t="s">
        <x:v>118</x:v>
      </x:c>
      <x:c r="Q112" s="277" t="s">
        <x:v>118</x:v>
      </x:c>
      <x:c r="R112" s="277" t="s">
        <x:v>118</x:v>
      </x:c>
      <x:c r="S112" s="277" t="s">
        <x:v>118</x:v>
      </x:c>
      <x:c r="T112" s="277" t="s">
        <x:v>118</x:v>
      </x:c>
      <x:c r="U112" s="277" t="s">
        <x:v>118</x:v>
      </x:c>
      <x:c r="V112" s="277" t="s">
        <x:v>118</x:v>
      </x:c>
      <x:c r="W112" s="277" t="s">
        <x:v>118</x:v>
      </x:c>
      <x:c r="X112" s="277" t="s">
        <x:v>118</x:v>
      </x:c>
      <x:c r="Y112" s="277" t="s">
        <x:v>118</x:v>
      </x:c>
      <x:c r="Z112" s="277" t="s">
        <x:v>118</x:v>
      </x:c>
      <x:c r="AA112" s="277" t="s">
        <x:v>118</x:v>
      </x:c>
      <x:c r="AB112" s="277" t="s">
        <x:v>118</x:v>
      </x:c>
      <x:c r="AC112" s="277" t="s">
        <x:v>118</x:v>
      </x:c>
      <x:c r="AD112" s="277" t="s">
        <x:v>118</x:v>
      </x:c>
      <x:c r="AE112" s="277" t="s">
        <x:v>118</x:v>
      </x:c>
      <x:c r="AF112" s="277" t="s">
        <x:v>118</x:v>
      </x:c>
      <x:c r="AG112" s="277" t="s">
        <x:v>118</x:v>
      </x:c>
      <x:c r="AH112" s="277" t="s">
        <x:v>118</x:v>
      </x:c>
      <x:c r="AI112" s="277" t="s">
        <x:v>118</x:v>
      </x:c>
      <x:c r="AJ112" s="277" t="s">
        <x:v>118</x:v>
      </x:c>
      <x:c r="AK112" s="220">
        <x:f>COUNTIF(F112:AJ112,"X")</x:f>
      </x:c>
      <x:c r="AL112" s="221"/>
      <x:c r="AM112" s="221"/>
      <x:c r="AN112" s="222"/>
      <x:c r="AO112" s="222"/>
      <x:c r="AP112" s="228"/>
      <x:c r="AQ112" s="228"/>
      <x:c r="AR112" s="228"/>
      <x:c r="AS112" s="228"/>
      <x:c r="AT112" s="230"/>
    </x:row>
    <x:row r="113" spans="1:47" ht="19.9" customHeight="1">
      <x:c r="A113" s="274" t="s">
        <x:v>2048</x:v>
      </x:c>
      <x:c r="B113" s="216"/>
      <x:c r="C113" s="275" t="s">
        <x:v>2049</x:v>
      </x:c>
      <x:c r="D113" s="274" t="s">
        <x:v>2050</x:v>
      </x:c>
      <x:c r="E113" s="276" t="s">
        <x:v>806</x:v>
      </x:c>
      <x:c r="F113" s="277" t="s">
        <x:v>118</x:v>
      </x:c>
      <x:c r="G113" s="277" t="s">
        <x:v>118</x:v>
      </x:c>
      <x:c r="H113" s="277" t="s">
        <x:v>118</x:v>
      </x:c>
      <x:c r="I113" s="277" t="s">
        <x:v>118</x:v>
      </x:c>
      <x:c r="J113" s="277" t="s">
        <x:v>118</x:v>
      </x:c>
      <x:c r="K113" s="277" t="s">
        <x:v>118</x:v>
      </x:c>
      <x:c r="L113" s="277" t="s">
        <x:v>118</x:v>
      </x:c>
      <x:c r="M113" s="277" t="s">
        <x:v>118</x:v>
      </x:c>
      <x:c r="N113" s="277" t="s">
        <x:v>118</x:v>
      </x:c>
      <x:c r="O113" s="277" t="s">
        <x:v>118</x:v>
      </x:c>
      <x:c r="P113" s="277" t="s">
        <x:v>118</x:v>
      </x:c>
      <x:c r="Q113" s="277" t="s">
        <x:v>118</x:v>
      </x:c>
      <x:c r="R113" s="277" t="s">
        <x:v>118</x:v>
      </x:c>
      <x:c r="S113" s="277" t="s">
        <x:v>118</x:v>
      </x:c>
      <x:c r="T113" s="277" t="s">
        <x:v>118</x:v>
      </x:c>
      <x:c r="U113" s="277" t="s">
        <x:v>118</x:v>
      </x:c>
      <x:c r="V113" s="277" t="s">
        <x:v>118</x:v>
      </x:c>
      <x:c r="W113" s="277" t="s">
        <x:v>118</x:v>
      </x:c>
      <x:c r="X113" s="277" t="s">
        <x:v>118</x:v>
      </x:c>
      <x:c r="Y113" s="277" t="s">
        <x:v>118</x:v>
      </x:c>
      <x:c r="Z113" s="277" t="s">
        <x:v>118</x:v>
      </x:c>
      <x:c r="AA113" s="277" t="s">
        <x:v>118</x:v>
      </x:c>
      <x:c r="AB113" s="277" t="s">
        <x:v>118</x:v>
      </x:c>
      <x:c r="AC113" s="277" t="s">
        <x:v>118</x:v>
      </x:c>
      <x:c r="AD113" s="277" t="s">
        <x:v>118</x:v>
      </x:c>
      <x:c r="AE113" s="277" t="s">
        <x:v>118</x:v>
      </x:c>
      <x:c r="AF113" s="277" t="s">
        <x:v>118</x:v>
      </x:c>
      <x:c r="AG113" s="277" t="s">
        <x:v>118</x:v>
      </x:c>
      <x:c r="AH113" s="277" t="s">
        <x:v>118</x:v>
      </x:c>
      <x:c r="AI113" s="277" t="s">
        <x:v>118</x:v>
      </x:c>
      <x:c r="AJ113" s="277" t="s">
        <x:v>118</x:v>
      </x:c>
      <x:c r="AK113" s="220">
        <x:f>COUNTIF(F113:AJ113,"X")</x:f>
      </x:c>
      <x:c r="AL113" s="221"/>
      <x:c r="AM113" s="221"/>
      <x:c r="AN113" s="222"/>
      <x:c r="AO113" s="222"/>
      <x:c r="AP113" s="228"/>
      <x:c r="AQ113" s="228"/>
      <x:c r="AR113" s="228"/>
      <x:c r="AS113" s="228"/>
      <x:c r="AT113" s="230"/>
    </x:row>
    <x:row r="114" spans="1:47" ht="19.9" customHeight="1">
      <x:c r="A114" s="274" t="s">
        <x:v>2051</x:v>
      </x:c>
      <x:c r="B114" s="216"/>
      <x:c r="C114" s="275" t="s">
        <x:v>2052</x:v>
      </x:c>
      <x:c r="D114" s="274" t="s">
        <x:v>2053</x:v>
      </x:c>
      <x:c r="E114" s="276" t="s">
        <x:v>393</x:v>
      </x:c>
      <x:c r="F114" s="277" t="s">
        <x:v>118</x:v>
      </x:c>
      <x:c r="G114" s="277" t="s">
        <x:v>118</x:v>
      </x:c>
      <x:c r="H114" s="277" t="s">
        <x:v>118</x:v>
      </x:c>
      <x:c r="I114" s="277" t="s">
        <x:v>118</x:v>
      </x:c>
      <x:c r="J114" s="277" t="s">
        <x:v>118</x:v>
      </x:c>
      <x:c r="K114" s="277" t="s">
        <x:v>118</x:v>
      </x:c>
      <x:c r="L114" s="277" t="s">
        <x:v>118</x:v>
      </x:c>
      <x:c r="M114" s="277" t="s">
        <x:v>118</x:v>
      </x:c>
      <x:c r="N114" s="277" t="s">
        <x:v>118</x:v>
      </x:c>
      <x:c r="O114" s="277" t="s">
        <x:v>118</x:v>
      </x:c>
      <x:c r="P114" s="277" t="s">
        <x:v>118</x:v>
      </x:c>
      <x:c r="Q114" s="277" t="s">
        <x:v>118</x:v>
      </x:c>
      <x:c r="R114" s="277" t="s">
        <x:v>118</x:v>
      </x:c>
      <x:c r="S114" s="277" t="s">
        <x:v>118</x:v>
      </x:c>
      <x:c r="T114" s="277" t="s">
        <x:v>118</x:v>
      </x:c>
      <x:c r="U114" s="277" t="s">
        <x:v>118</x:v>
      </x:c>
      <x:c r="V114" s="277" t="s">
        <x:v>118</x:v>
      </x:c>
      <x:c r="W114" s="277" t="s">
        <x:v>118</x:v>
      </x:c>
      <x:c r="X114" s="277" t="s">
        <x:v>118</x:v>
      </x:c>
      <x:c r="Y114" s="277" t="s">
        <x:v>118</x:v>
      </x:c>
      <x:c r="Z114" s="277" t="s">
        <x:v>118</x:v>
      </x:c>
      <x:c r="AA114" s="277" t="s">
        <x:v>118</x:v>
      </x:c>
      <x:c r="AB114" s="277" t="s">
        <x:v>118</x:v>
      </x:c>
      <x:c r="AC114" s="277" t="s">
        <x:v>118</x:v>
      </x:c>
      <x:c r="AD114" s="277" t="s">
        <x:v>118</x:v>
      </x:c>
      <x:c r="AE114" s="277" t="s">
        <x:v>118</x:v>
      </x:c>
      <x:c r="AF114" s="277" t="s">
        <x:v>118</x:v>
      </x:c>
      <x:c r="AG114" s="277" t="s">
        <x:v>118</x:v>
      </x:c>
      <x:c r="AH114" s="277" t="s">
        <x:v>118</x:v>
      </x:c>
      <x:c r="AI114" s="277" t="s">
        <x:v>118</x:v>
      </x:c>
      <x:c r="AJ114" s="277" t="s">
        <x:v>118</x:v>
      </x:c>
      <x:c r="AK114" s="220">
        <x:f>COUNTIF(F114:AJ114,"X")</x:f>
      </x:c>
      <x:c r="AL114" s="221"/>
      <x:c r="AM114" s="221"/>
      <x:c r="AN114" s="222"/>
      <x:c r="AO114" s="222"/>
      <x:c r="AP114" s="228"/>
      <x:c r="AQ114" s="228"/>
      <x:c r="AR114" s="228"/>
      <x:c r="AS114" s="228"/>
      <x:c r="AT114" s="230"/>
    </x:row>
    <x:row r="115" spans="1:47" ht="19.9" customHeight="1">
      <x:c r="A115" s="274" t="s">
        <x:v>2054</x:v>
      </x:c>
      <x:c r="B115" s="216"/>
      <x:c r="C115" s="275" t="s">
        <x:v>2055</x:v>
      </x:c>
      <x:c r="D115" s="274" t="s">
        <x:v>2056</x:v>
      </x:c>
      <x:c r="E115" s="276" t="s">
        <x:v>209</x:v>
      </x:c>
      <x:c r="F115" s="277" t="s">
        <x:v>118</x:v>
      </x:c>
      <x:c r="G115" s="277" t="s">
        <x:v>118</x:v>
      </x:c>
      <x:c r="H115" s="277" t="s">
        <x:v>118</x:v>
      </x:c>
      <x:c r="I115" s="277" t="s">
        <x:v>118</x:v>
      </x:c>
      <x:c r="J115" s="277" t="s">
        <x:v>118</x:v>
      </x:c>
      <x:c r="K115" s="277" t="s">
        <x:v>118</x:v>
      </x:c>
      <x:c r="L115" s="277" t="s">
        <x:v>118</x:v>
      </x:c>
      <x:c r="M115" s="277" t="s">
        <x:v>118</x:v>
      </x:c>
      <x:c r="N115" s="277" t="s">
        <x:v>118</x:v>
      </x:c>
      <x:c r="O115" s="277" t="s">
        <x:v>118</x:v>
      </x:c>
      <x:c r="P115" s="277" t="s">
        <x:v>118</x:v>
      </x:c>
      <x:c r="Q115" s="277" t="s">
        <x:v>118</x:v>
      </x:c>
      <x:c r="R115" s="277" t="s">
        <x:v>118</x:v>
      </x:c>
      <x:c r="S115" s="277" t="s">
        <x:v>118</x:v>
      </x:c>
      <x:c r="T115" s="277" t="s">
        <x:v>118</x:v>
      </x:c>
      <x:c r="U115" s="277" t="s">
        <x:v>118</x:v>
      </x:c>
      <x:c r="V115" s="277" t="s">
        <x:v>118</x:v>
      </x:c>
      <x:c r="W115" s="277" t="s">
        <x:v>118</x:v>
      </x:c>
      <x:c r="X115" s="277" t="s">
        <x:v>118</x:v>
      </x:c>
      <x:c r="Y115" s="277" t="s">
        <x:v>118</x:v>
      </x:c>
      <x:c r="Z115" s="277" t="s">
        <x:v>118</x:v>
      </x:c>
      <x:c r="AA115" s="277" t="s">
        <x:v>118</x:v>
      </x:c>
      <x:c r="AB115" s="277" t="s">
        <x:v>118</x:v>
      </x:c>
      <x:c r="AC115" s="277" t="s">
        <x:v>118</x:v>
      </x:c>
      <x:c r="AD115" s="277" t="s">
        <x:v>118</x:v>
      </x:c>
      <x:c r="AE115" s="277" t="s">
        <x:v>118</x:v>
      </x:c>
      <x:c r="AF115" s="277" t="s">
        <x:v>118</x:v>
      </x:c>
      <x:c r="AG115" s="277" t="s">
        <x:v>118</x:v>
      </x:c>
      <x:c r="AH115" s="277" t="s">
        <x:v>118</x:v>
      </x:c>
      <x:c r="AI115" s="277" t="s">
        <x:v>118</x:v>
      </x:c>
      <x:c r="AJ115" s="277" t="s">
        <x:v>118</x:v>
      </x:c>
      <x:c r="AK115" s="220">
        <x:f>COUNTIF(F115:AJ115,"X")</x:f>
      </x:c>
      <x:c r="AL115" s="221"/>
      <x:c r="AM115" s="221"/>
      <x:c r="AN115" s="222"/>
      <x:c r="AO115" s="222"/>
      <x:c r="AP115" s="228"/>
      <x:c r="AQ115" s="228"/>
      <x:c r="AR115" s="228"/>
      <x:c r="AS115" s="228"/>
      <x:c r="AT115" s="230"/>
    </x:row>
    <x:row r="116" spans="1:47" ht="19.9" customHeight="1">
      <x:c r="A116" s="274" t="s">
        <x:v>2057</x:v>
      </x:c>
      <x:c r="B116" s="216"/>
      <x:c r="C116" s="275" t="s">
        <x:v>2058</x:v>
      </x:c>
      <x:c r="D116" s="274" t="s">
        <x:v>2059</x:v>
      </x:c>
      <x:c r="E116" s="276" t="s">
        <x:v>549</x:v>
      </x:c>
      <x:c r="F116" s="277" t="s">
        <x:v>118</x:v>
      </x:c>
      <x:c r="G116" s="277" t="s">
        <x:v>118</x:v>
      </x:c>
      <x:c r="H116" s="277" t="s">
        <x:v>118</x:v>
      </x:c>
      <x:c r="I116" s="277" t="s">
        <x:v>118</x:v>
      </x:c>
      <x:c r="J116" s="277" t="s">
        <x:v>118</x:v>
      </x:c>
      <x:c r="K116" s="277" t="s">
        <x:v>118</x:v>
      </x:c>
      <x:c r="L116" s="277" t="s">
        <x:v>118</x:v>
      </x:c>
      <x:c r="M116" s="277" t="s">
        <x:v>118</x:v>
      </x:c>
      <x:c r="N116" s="277" t="s">
        <x:v>118</x:v>
      </x:c>
      <x:c r="O116" s="277" t="s">
        <x:v>118</x:v>
      </x:c>
      <x:c r="P116" s="277" t="s">
        <x:v>118</x:v>
      </x:c>
      <x:c r="Q116" s="277" t="s">
        <x:v>118</x:v>
      </x:c>
      <x:c r="R116" s="277" t="s">
        <x:v>118</x:v>
      </x:c>
      <x:c r="S116" s="277" t="s">
        <x:v>118</x:v>
      </x:c>
      <x:c r="T116" s="277" t="s">
        <x:v>118</x:v>
      </x:c>
      <x:c r="U116" s="277" t="s">
        <x:v>118</x:v>
      </x:c>
      <x:c r="V116" s="277" t="s">
        <x:v>118</x:v>
      </x:c>
      <x:c r="W116" s="277" t="s">
        <x:v>118</x:v>
      </x:c>
      <x:c r="X116" s="277" t="s">
        <x:v>118</x:v>
      </x:c>
      <x:c r="Y116" s="277" t="s">
        <x:v>118</x:v>
      </x:c>
      <x:c r="Z116" s="277" t="s">
        <x:v>118</x:v>
      </x:c>
      <x:c r="AA116" s="277" t="s">
        <x:v>118</x:v>
      </x:c>
      <x:c r="AB116" s="277" t="s">
        <x:v>118</x:v>
      </x:c>
      <x:c r="AC116" s="277" t="s">
        <x:v>118</x:v>
      </x:c>
      <x:c r="AD116" s="277" t="s">
        <x:v>118</x:v>
      </x:c>
      <x:c r="AE116" s="277" t="s">
        <x:v>118</x:v>
      </x:c>
      <x:c r="AF116" s="277" t="s">
        <x:v>118</x:v>
      </x:c>
      <x:c r="AG116" s="277" t="s">
        <x:v>118</x:v>
      </x:c>
      <x:c r="AH116" s="277" t="s">
        <x:v>118</x:v>
      </x:c>
      <x:c r="AI116" s="277" t="s">
        <x:v>118</x:v>
      </x:c>
      <x:c r="AJ116" s="277" t="s">
        <x:v>118</x:v>
      </x:c>
      <x:c r="AK116" s="220">
        <x:f>COUNTIF(F116:AJ116,"X")</x:f>
      </x:c>
      <x:c r="AL116" s="221"/>
      <x:c r="AM116" s="221"/>
      <x:c r="AN116" s="222"/>
      <x:c r="AO116" s="222"/>
      <x:c r="AP116" s="228"/>
      <x:c r="AQ116" s="228"/>
      <x:c r="AR116" s="228"/>
      <x:c r="AS116" s="228"/>
      <x:c r="AT116" s="230"/>
    </x:row>
    <x:row r="117" spans="1:47" ht="19.9" customHeight="1">
      <x:c r="A117" s="274" t="s">
        <x:v>2060</x:v>
      </x:c>
      <x:c r="B117" s="216"/>
      <x:c r="C117" s="275" t="s">
        <x:v>2061</x:v>
      </x:c>
      <x:c r="D117" s="274" t="s">
        <x:v>2062</x:v>
      </x:c>
      <x:c r="E117" s="276" t="s">
        <x:v>2063</x:v>
      </x:c>
      <x:c r="F117" s="277" t="s">
        <x:v>118</x:v>
      </x:c>
      <x:c r="G117" s="277" t="s">
        <x:v>118</x:v>
      </x:c>
      <x:c r="H117" s="277" t="s">
        <x:v>118</x:v>
      </x:c>
      <x:c r="I117" s="277" t="s">
        <x:v>118</x:v>
      </x:c>
      <x:c r="J117" s="277" t="s">
        <x:v>118</x:v>
      </x:c>
      <x:c r="K117" s="277" t="s">
        <x:v>118</x:v>
      </x:c>
      <x:c r="L117" s="277" t="s">
        <x:v>118</x:v>
      </x:c>
      <x:c r="M117" s="277" t="s">
        <x:v>118</x:v>
      </x:c>
      <x:c r="N117" s="277" t="s">
        <x:v>118</x:v>
      </x:c>
      <x:c r="O117" s="277" t="s">
        <x:v>118</x:v>
      </x:c>
      <x:c r="P117" s="277" t="s">
        <x:v>118</x:v>
      </x:c>
      <x:c r="Q117" s="277" t="s">
        <x:v>118</x:v>
      </x:c>
      <x:c r="R117" s="277" t="s">
        <x:v>118</x:v>
      </x:c>
      <x:c r="S117" s="277" t="s">
        <x:v>118</x:v>
      </x:c>
      <x:c r="T117" s="277" t="s">
        <x:v>118</x:v>
      </x:c>
      <x:c r="U117" s="277" t="s">
        <x:v>118</x:v>
      </x:c>
      <x:c r="V117" s="277" t="s">
        <x:v>118</x:v>
      </x:c>
      <x:c r="W117" s="277" t="s">
        <x:v>118</x:v>
      </x:c>
      <x:c r="X117" s="277" t="s">
        <x:v>118</x:v>
      </x:c>
      <x:c r="Y117" s="277" t="s">
        <x:v>118</x:v>
      </x:c>
      <x:c r="Z117" s="277" t="s">
        <x:v>118</x:v>
      </x:c>
      <x:c r="AA117" s="277" t="s">
        <x:v>118</x:v>
      </x:c>
      <x:c r="AB117" s="277" t="s">
        <x:v>118</x:v>
      </x:c>
      <x:c r="AC117" s="277" t="s">
        <x:v>118</x:v>
      </x:c>
      <x:c r="AD117" s="277" t="s">
        <x:v>118</x:v>
      </x:c>
      <x:c r="AE117" s="277" t="s">
        <x:v>118</x:v>
      </x:c>
      <x:c r="AF117" s="277" t="s">
        <x:v>118</x:v>
      </x:c>
      <x:c r="AG117" s="277" t="s">
        <x:v>118</x:v>
      </x:c>
      <x:c r="AH117" s="277" t="s">
        <x:v>118</x:v>
      </x:c>
      <x:c r="AI117" s="277" t="s">
        <x:v>118</x:v>
      </x:c>
      <x:c r="AJ117" s="277" t="s">
        <x:v>118</x:v>
      </x:c>
      <x:c r="AK117" s="220">
        <x:f>COUNTIF(F117:AJ117,"X")</x:f>
      </x:c>
      <x:c r="AL117" s="221"/>
      <x:c r="AM117" s="221"/>
      <x:c r="AN117" s="222"/>
      <x:c r="AO117" s="222"/>
      <x:c r="AP117" s="228"/>
      <x:c r="AQ117" s="228"/>
      <x:c r="AR117" s="228"/>
      <x:c r="AS117" s="228"/>
      <x:c r="AT117" s="230"/>
    </x:row>
    <x:row r="118" spans="1:47" ht="19.9" customHeight="1">
      <x:c r="A118" s="274" t="s">
        <x:v>2064</x:v>
      </x:c>
      <x:c r="B118" s="216"/>
      <x:c r="C118" s="275" t="s">
        <x:v>2065</x:v>
      </x:c>
      <x:c r="D118" s="274" t="s">
        <x:v>2062</x:v>
      </x:c>
      <x:c r="E118" s="276" t="s">
        <x:v>2066</x:v>
      </x:c>
      <x:c r="F118" s="279" t="s">
        <x:v>118</x:v>
      </x:c>
      <x:c r="G118" s="279" t="s">
        <x:v>118</x:v>
      </x:c>
      <x:c r="H118" s="279" t="s">
        <x:v>118</x:v>
      </x:c>
      <x:c r="I118" s="279" t="s">
        <x:v>118</x:v>
      </x:c>
      <x:c r="J118" s="279" t="s">
        <x:v>118</x:v>
      </x:c>
      <x:c r="K118" s="279" t="s">
        <x:v>118</x:v>
      </x:c>
      <x:c r="L118" s="279" t="s">
        <x:v>118</x:v>
      </x:c>
      <x:c r="M118" s="279" t="s">
        <x:v>118</x:v>
      </x:c>
      <x:c r="N118" s="279" t="s">
        <x:v>118</x:v>
      </x:c>
      <x:c r="O118" s="279" t="s">
        <x:v>118</x:v>
      </x:c>
      <x:c r="P118" s="279" t="s">
        <x:v>118</x:v>
      </x:c>
      <x:c r="Q118" s="279" t="s">
        <x:v>118</x:v>
      </x:c>
      <x:c r="R118" s="279" t="s">
        <x:v>118</x:v>
      </x:c>
      <x:c r="S118" s="279" t="s">
        <x:v>118</x:v>
      </x:c>
      <x:c r="T118" s="279" t="s">
        <x:v>118</x:v>
      </x:c>
      <x:c r="U118" s="279" t="s">
        <x:v>118</x:v>
      </x:c>
      <x:c r="V118" s="279" t="s">
        <x:v>118</x:v>
      </x:c>
      <x:c r="W118" s="279" t="s">
        <x:v>118</x:v>
      </x:c>
      <x:c r="X118" s="279" t="s">
        <x:v>118</x:v>
      </x:c>
      <x:c r="Y118" s="279" t="s">
        <x:v>118</x:v>
      </x:c>
      <x:c r="Z118" s="279" t="s">
        <x:v>118</x:v>
      </x:c>
      <x:c r="AA118" s="279" t="s">
        <x:v>118</x:v>
      </x:c>
      <x:c r="AB118" s="279" t="s">
        <x:v>118</x:v>
      </x:c>
      <x:c r="AC118" s="279" t="s">
        <x:v>118</x:v>
      </x:c>
      <x:c r="AD118" s="279" t="s">
        <x:v>118</x:v>
      </x:c>
      <x:c r="AE118" s="279" t="s">
        <x:v>118</x:v>
      </x:c>
      <x:c r="AF118" s="279" t="s">
        <x:v>118</x:v>
      </x:c>
      <x:c r="AG118" s="279" t="s">
        <x:v>118</x:v>
      </x:c>
      <x:c r="AH118" s="279" t="s">
        <x:v>118</x:v>
      </x:c>
      <x:c r="AI118" s="279" t="s">
        <x:v>118</x:v>
      </x:c>
      <x:c r="AJ118" s="279" t="s">
        <x:v>118</x:v>
      </x:c>
      <x:c r="AK118" s="220">
        <x:f>COUNTIF(F118:AJ118,"X")</x:f>
      </x:c>
      <x:c r="AL118" s="221"/>
      <x:c r="AM118" s="221"/>
      <x:c r="AN118" s="222"/>
      <x:c r="AO118" s="222"/>
      <x:c r="AP118" s="228"/>
      <x:c r="AQ118" s="228"/>
      <x:c r="AR118" s="228"/>
      <x:c r="AS118" s="228"/>
      <x:c r="AT118" s="230"/>
    </x:row>
    <x:row r="119" spans="1:47" ht="19.9" customHeight="1">
      <x:c r="A119" s="274" t="s">
        <x:v>2067</x:v>
      </x:c>
      <x:c r="B119" s="216"/>
      <x:c r="C119" s="275" t="s">
        <x:v>2068</x:v>
      </x:c>
      <x:c r="D119" s="274" t="s">
        <x:v>2062</x:v>
      </x:c>
      <x:c r="E119" s="276" t="s">
        <x:v>2069</x:v>
      </x:c>
      <x:c r="F119" s="277" t="s">
        <x:v>118</x:v>
      </x:c>
      <x:c r="G119" s="277" t="s">
        <x:v>118</x:v>
      </x:c>
      <x:c r="H119" s="277" t="s">
        <x:v>118</x:v>
      </x:c>
      <x:c r="I119" s="277" t="s">
        <x:v>118</x:v>
      </x:c>
      <x:c r="J119" s="277" t="s">
        <x:v>118</x:v>
      </x:c>
      <x:c r="K119" s="277" t="s">
        <x:v>118</x:v>
      </x:c>
      <x:c r="L119" s="277" t="s">
        <x:v>118</x:v>
      </x:c>
      <x:c r="M119" s="277" t="s">
        <x:v>118</x:v>
      </x:c>
      <x:c r="N119" s="277" t="s">
        <x:v>118</x:v>
      </x:c>
      <x:c r="O119" s="277" t="s">
        <x:v>118</x:v>
      </x:c>
      <x:c r="P119" s="277" t="s">
        <x:v>118</x:v>
      </x:c>
      <x:c r="Q119" s="277" t="s">
        <x:v>118</x:v>
      </x:c>
      <x:c r="R119" s="277" t="s">
        <x:v>118</x:v>
      </x:c>
      <x:c r="S119" s="277" t="s">
        <x:v>118</x:v>
      </x:c>
      <x:c r="T119" s="277" t="s">
        <x:v>118</x:v>
      </x:c>
      <x:c r="U119" s="277" t="s">
        <x:v>118</x:v>
      </x:c>
      <x:c r="V119" s="277" t="s">
        <x:v>118</x:v>
      </x:c>
      <x:c r="W119" s="277" t="s">
        <x:v>118</x:v>
      </x:c>
      <x:c r="X119" s="277" t="s">
        <x:v>118</x:v>
      </x:c>
      <x:c r="Y119" s="277" t="s">
        <x:v>118</x:v>
      </x:c>
      <x:c r="Z119" s="277" t="s">
        <x:v>118</x:v>
      </x:c>
      <x:c r="AA119" s="277" t="s">
        <x:v>118</x:v>
      </x:c>
      <x:c r="AB119" s="277" t="s">
        <x:v>118</x:v>
      </x:c>
      <x:c r="AC119" s="277" t="s">
        <x:v>118</x:v>
      </x:c>
      <x:c r="AD119" s="277" t="s">
        <x:v>118</x:v>
      </x:c>
      <x:c r="AE119" s="277" t="s">
        <x:v>118</x:v>
      </x:c>
      <x:c r="AF119" s="277" t="s">
        <x:v>118</x:v>
      </x:c>
      <x:c r="AG119" s="277" t="s">
        <x:v>118</x:v>
      </x:c>
      <x:c r="AH119" s="277" t="s">
        <x:v>118</x:v>
      </x:c>
      <x:c r="AI119" s="277" t="s">
        <x:v>118</x:v>
      </x:c>
      <x:c r="AJ119" s="277" t="s">
        <x:v>118</x:v>
      </x:c>
      <x:c r="AK119" s="220">
        <x:f>COUNTIF(F119:AJ119,"X")</x:f>
      </x:c>
      <x:c r="AL119" s="221"/>
      <x:c r="AM119" s="221"/>
      <x:c r="AN119" s="222"/>
      <x:c r="AO119" s="222"/>
      <x:c r="AP119" s="228"/>
      <x:c r="AQ119" s="228"/>
      <x:c r="AR119" s="228"/>
      <x:c r="AS119" s="228"/>
      <x:c r="AT119" s="230"/>
    </x:row>
    <x:row r="120" spans="1:47" ht="19.9" customHeight="1">
      <x:c r="A120" s="274" t="s">
        <x:v>2070</x:v>
      </x:c>
      <x:c r="B120" s="216"/>
      <x:c r="C120" s="275" t="s">
        <x:v>2071</x:v>
      </x:c>
      <x:c r="D120" s="274" t="s">
        <x:v>2062</x:v>
      </x:c>
      <x:c r="E120" s="276" t="s">
        <x:v>1181</x:v>
      </x:c>
      <x:c r="F120" s="277" t="s">
        <x:v>118</x:v>
      </x:c>
      <x:c r="G120" s="277" t="s">
        <x:v>118</x:v>
      </x:c>
      <x:c r="H120" s="277" t="s">
        <x:v>118</x:v>
      </x:c>
      <x:c r="I120" s="277" t="s">
        <x:v>118</x:v>
      </x:c>
      <x:c r="J120" s="277" t="s">
        <x:v>118</x:v>
      </x:c>
      <x:c r="K120" s="277" t="s">
        <x:v>118</x:v>
      </x:c>
      <x:c r="L120" s="277" t="s">
        <x:v>118</x:v>
      </x:c>
      <x:c r="M120" s="277" t="s">
        <x:v>118</x:v>
      </x:c>
      <x:c r="N120" s="277" t="s">
        <x:v>118</x:v>
      </x:c>
      <x:c r="O120" s="277" t="s">
        <x:v>118</x:v>
      </x:c>
      <x:c r="P120" s="277" t="s">
        <x:v>118</x:v>
      </x:c>
      <x:c r="Q120" s="277" t="s">
        <x:v>118</x:v>
      </x:c>
      <x:c r="R120" s="277" t="s">
        <x:v>118</x:v>
      </x:c>
      <x:c r="S120" s="277" t="s">
        <x:v>118</x:v>
      </x:c>
      <x:c r="T120" s="277" t="s">
        <x:v>118</x:v>
      </x:c>
      <x:c r="U120" s="277" t="s">
        <x:v>118</x:v>
      </x:c>
      <x:c r="V120" s="277" t="s">
        <x:v>118</x:v>
      </x:c>
      <x:c r="W120" s="277" t="s">
        <x:v>118</x:v>
      </x:c>
      <x:c r="X120" s="277" t="s">
        <x:v>118</x:v>
      </x:c>
      <x:c r="Y120" s="277" t="s">
        <x:v>118</x:v>
      </x:c>
      <x:c r="Z120" s="277" t="s">
        <x:v>118</x:v>
      </x:c>
      <x:c r="AA120" s="277" t="s">
        <x:v>118</x:v>
      </x:c>
      <x:c r="AB120" s="277" t="s">
        <x:v>118</x:v>
      </x:c>
      <x:c r="AC120" s="277" t="s">
        <x:v>118</x:v>
      </x:c>
      <x:c r="AD120" s="277" t="s">
        <x:v>118</x:v>
      </x:c>
      <x:c r="AE120" s="277" t="s">
        <x:v>118</x:v>
      </x:c>
      <x:c r="AF120" s="277" t="s">
        <x:v>118</x:v>
      </x:c>
      <x:c r="AG120" s="277" t="s">
        <x:v>118</x:v>
      </x:c>
      <x:c r="AH120" s="277" t="s">
        <x:v>118</x:v>
      </x:c>
      <x:c r="AI120" s="277" t="s">
        <x:v>118</x:v>
      </x:c>
      <x:c r="AJ120" s="277" t="s">
        <x:v>118</x:v>
      </x:c>
      <x:c r="AK120" s="220">
        <x:f>COUNTIF(F120:AJ120,"X")</x:f>
      </x:c>
      <x:c r="AL120" s="221"/>
      <x:c r="AM120" s="221"/>
      <x:c r="AN120" s="222"/>
      <x:c r="AO120" s="222"/>
      <x:c r="AP120" s="228"/>
      <x:c r="AQ120" s="228"/>
      <x:c r="AR120" s="228"/>
      <x:c r="AS120" s="228"/>
      <x:c r="AT120" s="230"/>
    </x:row>
    <x:row r="121" spans="1:47" ht="19.9" customHeight="1">
      <x:c r="A121" s="274" t="s">
        <x:v>2072</x:v>
      </x:c>
      <x:c r="B121" s="216"/>
      <x:c r="C121" s="275" t="s">
        <x:v>2073</x:v>
      </x:c>
      <x:c r="D121" s="274" t="s">
        <x:v>2074</x:v>
      </x:c>
      <x:c r="E121" s="276" t="s">
        <x:v>1472</x:v>
      </x:c>
      <x:c r="F121" s="277" t="s">
        <x:v>118</x:v>
      </x:c>
      <x:c r="G121" s="277" t="s">
        <x:v>118</x:v>
      </x:c>
      <x:c r="H121" s="277" t="s">
        <x:v>118</x:v>
      </x:c>
      <x:c r="I121" s="277" t="s">
        <x:v>118</x:v>
      </x:c>
      <x:c r="J121" s="277" t="s">
        <x:v>118</x:v>
      </x:c>
      <x:c r="K121" s="277" t="s">
        <x:v>118</x:v>
      </x:c>
      <x:c r="L121" s="277" t="s">
        <x:v>118</x:v>
      </x:c>
      <x:c r="M121" s="277" t="s">
        <x:v>118</x:v>
      </x:c>
      <x:c r="N121" s="277" t="s">
        <x:v>118</x:v>
      </x:c>
      <x:c r="O121" s="277" t="s">
        <x:v>118</x:v>
      </x:c>
      <x:c r="P121" s="277" t="s">
        <x:v>118</x:v>
      </x:c>
      <x:c r="Q121" s="277" t="s">
        <x:v>118</x:v>
      </x:c>
      <x:c r="R121" s="277" t="s">
        <x:v>118</x:v>
      </x:c>
      <x:c r="S121" s="277" t="s">
        <x:v>118</x:v>
      </x:c>
      <x:c r="T121" s="277" t="s">
        <x:v>118</x:v>
      </x:c>
      <x:c r="U121" s="277" t="s">
        <x:v>118</x:v>
      </x:c>
      <x:c r="V121" s="277" t="s">
        <x:v>118</x:v>
      </x:c>
      <x:c r="W121" s="277" t="s">
        <x:v>118</x:v>
      </x:c>
      <x:c r="X121" s="277" t="s">
        <x:v>118</x:v>
      </x:c>
      <x:c r="Y121" s="277" t="s">
        <x:v>118</x:v>
      </x:c>
      <x:c r="Z121" s="277" t="s">
        <x:v>118</x:v>
      </x:c>
      <x:c r="AA121" s="277" t="s">
        <x:v>118</x:v>
      </x:c>
      <x:c r="AB121" s="277" t="s">
        <x:v>118</x:v>
      </x:c>
      <x:c r="AC121" s="277" t="s">
        <x:v>118</x:v>
      </x:c>
      <x:c r="AD121" s="277" t="s">
        <x:v>118</x:v>
      </x:c>
      <x:c r="AE121" s="277" t="s">
        <x:v>118</x:v>
      </x:c>
      <x:c r="AF121" s="277" t="s">
        <x:v>118</x:v>
      </x:c>
      <x:c r="AG121" s="277" t="s">
        <x:v>118</x:v>
      </x:c>
      <x:c r="AH121" s="277" t="s">
        <x:v>118</x:v>
      </x:c>
      <x:c r="AI121" s="277" t="s">
        <x:v>118</x:v>
      </x:c>
      <x:c r="AJ121" s="277" t="s">
        <x:v>118</x:v>
      </x:c>
      <x:c r="AK121" s="220">
        <x:f>COUNTIF(F121:AJ121,"X")</x:f>
      </x:c>
      <x:c r="AL121" s="221"/>
      <x:c r="AM121" s="221"/>
      <x:c r="AN121" s="222"/>
      <x:c r="AO121" s="222"/>
      <x:c r="AP121" s="228"/>
      <x:c r="AQ121" s="228"/>
      <x:c r="AR121" s="228"/>
      <x:c r="AS121" s="228"/>
      <x:c r="AT121" s="230"/>
    </x:row>
    <x:row r="122" spans="1:47" ht="19.9" customHeight="1">
      <x:c r="A122" s="274" t="s">
        <x:v>2075</x:v>
      </x:c>
      <x:c r="B122" s="216"/>
      <x:c r="C122" s="275" t="s">
        <x:v>2076</x:v>
      </x:c>
      <x:c r="D122" s="274" t="s">
        <x:v>2077</x:v>
      </x:c>
      <x:c r="E122" s="276" t="s">
        <x:v>2078</x:v>
      </x:c>
      <x:c r="F122" s="277" t="s">
        <x:v>118</x:v>
      </x:c>
      <x:c r="G122" s="277" t="s">
        <x:v>118</x:v>
      </x:c>
      <x:c r="H122" s="277" t="s">
        <x:v>118</x:v>
      </x:c>
      <x:c r="I122" s="277" t="s">
        <x:v>118</x:v>
      </x:c>
      <x:c r="J122" s="277" t="s">
        <x:v>118</x:v>
      </x:c>
      <x:c r="K122" s="277" t="s">
        <x:v>118</x:v>
      </x:c>
      <x:c r="L122" s="277" t="s">
        <x:v>118</x:v>
      </x:c>
      <x:c r="M122" s="277" t="s">
        <x:v>118</x:v>
      </x:c>
      <x:c r="N122" s="277" t="s">
        <x:v>118</x:v>
      </x:c>
      <x:c r="O122" s="277" t="s">
        <x:v>118</x:v>
      </x:c>
      <x:c r="P122" s="277" t="s">
        <x:v>118</x:v>
      </x:c>
      <x:c r="Q122" s="277" t="s">
        <x:v>118</x:v>
      </x:c>
      <x:c r="R122" s="277" t="s">
        <x:v>118</x:v>
      </x:c>
      <x:c r="S122" s="277" t="s">
        <x:v>118</x:v>
      </x:c>
      <x:c r="T122" s="277" t="s">
        <x:v>118</x:v>
      </x:c>
      <x:c r="U122" s="277" t="s">
        <x:v>118</x:v>
      </x:c>
      <x:c r="V122" s="277" t="s">
        <x:v>118</x:v>
      </x:c>
      <x:c r="W122" s="277" t="s">
        <x:v>118</x:v>
      </x:c>
      <x:c r="X122" s="277" t="s">
        <x:v>118</x:v>
      </x:c>
      <x:c r="Y122" s="277" t="s">
        <x:v>118</x:v>
      </x:c>
      <x:c r="Z122" s="277" t="s">
        <x:v>118</x:v>
      </x:c>
      <x:c r="AA122" s="277" t="s">
        <x:v>118</x:v>
      </x:c>
      <x:c r="AB122" s="277" t="s">
        <x:v>118</x:v>
      </x:c>
      <x:c r="AC122" s="277" t="s">
        <x:v>118</x:v>
      </x:c>
      <x:c r="AD122" s="277" t="s">
        <x:v>118</x:v>
      </x:c>
      <x:c r="AE122" s="277" t="s">
        <x:v>118</x:v>
      </x:c>
      <x:c r="AF122" s="277" t="s">
        <x:v>118</x:v>
      </x:c>
      <x:c r="AG122" s="277" t="s">
        <x:v>118</x:v>
      </x:c>
      <x:c r="AH122" s="277" t="s">
        <x:v>118</x:v>
      </x:c>
      <x:c r="AI122" s="277" t="s">
        <x:v>118</x:v>
      </x:c>
      <x:c r="AJ122" s="277" t="s">
        <x:v>118</x:v>
      </x:c>
      <x:c r="AK122" s="220">
        <x:f>COUNTIF(F122:AJ122,"X")</x:f>
      </x:c>
      <x:c r="AL122" s="221"/>
      <x:c r="AM122" s="221"/>
      <x:c r="AN122" s="222"/>
      <x:c r="AO122" s="222"/>
      <x:c r="AP122" s="228"/>
      <x:c r="AQ122" s="228"/>
      <x:c r="AR122" s="228"/>
      <x:c r="AS122" s="228"/>
      <x:c r="AT122" s="230"/>
    </x:row>
    <x:row r="123" spans="1:47" ht="19.9" customHeight="1">
      <x:c r="A123" s="274" t="s">
        <x:v>2079</x:v>
      </x:c>
      <x:c r="B123" s="216"/>
      <x:c r="C123" s="275" t="s">
        <x:v>2080</x:v>
      </x:c>
      <x:c r="D123" s="274" t="s">
        <x:v>2081</x:v>
      </x:c>
      <x:c r="E123" s="276" t="s">
        <x:v>2082</x:v>
      </x:c>
      <x:c r="F123" s="277" t="s">
        <x:v>118</x:v>
      </x:c>
      <x:c r="G123" s="277" t="s">
        <x:v>118</x:v>
      </x:c>
      <x:c r="H123" s="277" t="s">
        <x:v>118</x:v>
      </x:c>
      <x:c r="I123" s="277" t="s">
        <x:v>118</x:v>
      </x:c>
      <x:c r="J123" s="277" t="s">
        <x:v>118</x:v>
      </x:c>
      <x:c r="K123" s="277" t="s">
        <x:v>118</x:v>
      </x:c>
      <x:c r="L123" s="277" t="s">
        <x:v>118</x:v>
      </x:c>
      <x:c r="M123" s="277" t="s">
        <x:v>118</x:v>
      </x:c>
      <x:c r="N123" s="277" t="s">
        <x:v>118</x:v>
      </x:c>
      <x:c r="O123" s="277" t="s">
        <x:v>118</x:v>
      </x:c>
      <x:c r="P123" s="277" t="s">
        <x:v>118</x:v>
      </x:c>
      <x:c r="Q123" s="277" t="s">
        <x:v>118</x:v>
      </x:c>
      <x:c r="R123" s="277" t="s">
        <x:v>118</x:v>
      </x:c>
      <x:c r="S123" s="277" t="s">
        <x:v>118</x:v>
      </x:c>
      <x:c r="T123" s="277" t="s">
        <x:v>118</x:v>
      </x:c>
      <x:c r="U123" s="277" t="s">
        <x:v>118</x:v>
      </x:c>
      <x:c r="V123" s="277" t="s">
        <x:v>118</x:v>
      </x:c>
      <x:c r="W123" s="277" t="s">
        <x:v>118</x:v>
      </x:c>
      <x:c r="X123" s="277" t="s">
        <x:v>118</x:v>
      </x:c>
      <x:c r="Y123" s="277" t="s">
        <x:v>118</x:v>
      </x:c>
      <x:c r="Z123" s="277" t="s">
        <x:v>118</x:v>
      </x:c>
      <x:c r="AA123" s="277" t="s">
        <x:v>118</x:v>
      </x:c>
      <x:c r="AB123" s="277" t="s">
        <x:v>118</x:v>
      </x:c>
      <x:c r="AC123" s="277" t="s">
        <x:v>118</x:v>
      </x:c>
      <x:c r="AD123" s="277" t="s">
        <x:v>118</x:v>
      </x:c>
      <x:c r="AE123" s="277" t="s">
        <x:v>118</x:v>
      </x:c>
      <x:c r="AF123" s="277" t="s">
        <x:v>118</x:v>
      </x:c>
      <x:c r="AG123" s="277" t="s">
        <x:v>118</x:v>
      </x:c>
      <x:c r="AH123" s="277" t="s">
        <x:v>118</x:v>
      </x:c>
      <x:c r="AI123" s="277" t="s">
        <x:v>118</x:v>
      </x:c>
      <x:c r="AJ123" s="277" t="s">
        <x:v>118</x:v>
      </x:c>
      <x:c r="AK123" s="220">
        <x:f>COUNTIF(F123:AJ123,"X")</x:f>
      </x:c>
      <x:c r="AL123" s="221"/>
      <x:c r="AM123" s="221"/>
      <x:c r="AN123" s="222"/>
      <x:c r="AO123" s="222"/>
      <x:c r="AP123" s="228"/>
      <x:c r="AQ123" s="228"/>
      <x:c r="AR123" s="228"/>
      <x:c r="AS123" s="228"/>
      <x:c r="AT123" s="230"/>
    </x:row>
    <x:row r="124" spans="1:47" ht="19.9" customHeight="1">
      <x:c r="A124" s="274" t="s">
        <x:v>2083</x:v>
      </x:c>
      <x:c r="B124" s="216"/>
      <x:c r="C124" s="275" t="s">
        <x:v>2084</x:v>
      </x:c>
      <x:c r="D124" s="274" t="s">
        <x:v>361</x:v>
      </x:c>
      <x:c r="E124" s="276" t="s">
        <x:v>2085</x:v>
      </x:c>
      <x:c r="F124" s="277" t="s">
        <x:v>118</x:v>
      </x:c>
      <x:c r="G124" s="277" t="s">
        <x:v>118</x:v>
      </x:c>
      <x:c r="H124" s="277" t="s">
        <x:v>118</x:v>
      </x:c>
      <x:c r="I124" s="277" t="s">
        <x:v>118</x:v>
      </x:c>
      <x:c r="J124" s="277" t="s">
        <x:v>118</x:v>
      </x:c>
      <x:c r="K124" s="277" t="s">
        <x:v>118</x:v>
      </x:c>
      <x:c r="L124" s="277" t="s">
        <x:v>118</x:v>
      </x:c>
      <x:c r="M124" s="277" t="s">
        <x:v>118</x:v>
      </x:c>
      <x:c r="N124" s="277" t="s">
        <x:v>118</x:v>
      </x:c>
      <x:c r="O124" s="277" t="s">
        <x:v>118</x:v>
      </x:c>
      <x:c r="P124" s="277" t="s">
        <x:v>118</x:v>
      </x:c>
      <x:c r="Q124" s="277" t="s">
        <x:v>118</x:v>
      </x:c>
      <x:c r="R124" s="277" t="s">
        <x:v>118</x:v>
      </x:c>
      <x:c r="S124" s="277" t="s">
        <x:v>118</x:v>
      </x:c>
      <x:c r="T124" s="277" t="s">
        <x:v>118</x:v>
      </x:c>
      <x:c r="U124" s="277" t="s">
        <x:v>118</x:v>
      </x:c>
      <x:c r="V124" s="277" t="s">
        <x:v>118</x:v>
      </x:c>
      <x:c r="W124" s="277" t="s">
        <x:v>118</x:v>
      </x:c>
      <x:c r="X124" s="277" t="s">
        <x:v>118</x:v>
      </x:c>
      <x:c r="Y124" s="277" t="s">
        <x:v>118</x:v>
      </x:c>
      <x:c r="Z124" s="277" t="s">
        <x:v>118</x:v>
      </x:c>
      <x:c r="AA124" s="277" t="s">
        <x:v>118</x:v>
      </x:c>
      <x:c r="AB124" s="277" t="s">
        <x:v>118</x:v>
      </x:c>
      <x:c r="AC124" s="277" t="s">
        <x:v>118</x:v>
      </x:c>
      <x:c r="AD124" s="277" t="s">
        <x:v>118</x:v>
      </x:c>
      <x:c r="AE124" s="277" t="s">
        <x:v>118</x:v>
      </x:c>
      <x:c r="AF124" s="277" t="s">
        <x:v>118</x:v>
      </x:c>
      <x:c r="AG124" s="277" t="s">
        <x:v>118</x:v>
      </x:c>
      <x:c r="AH124" s="277" t="s">
        <x:v>118</x:v>
      </x:c>
      <x:c r="AI124" s="277" t="s">
        <x:v>118</x:v>
      </x:c>
      <x:c r="AJ124" s="277" t="s">
        <x:v>118</x:v>
      </x:c>
      <x:c r="AK124" s="220">
        <x:f>COUNTIF(F124:AJ124,"X")</x:f>
      </x:c>
      <x:c r="AL124" s="221"/>
      <x:c r="AM124" s="221"/>
      <x:c r="AN124" s="222"/>
      <x:c r="AO124" s="222"/>
      <x:c r="AP124" s="228"/>
      <x:c r="AQ124" s="228"/>
      <x:c r="AR124" s="228"/>
      <x:c r="AS124" s="228"/>
      <x:c r="AT124" s="230"/>
    </x:row>
    <x:row r="125" spans="1:47" ht="19.9" customHeight="1">
      <x:c r="A125" s="274" t="s">
        <x:v>2086</x:v>
      </x:c>
      <x:c r="B125" s="216"/>
      <x:c r="C125" s="275" t="s">
        <x:v>2087</x:v>
      </x:c>
      <x:c r="D125" s="274" t="s">
        <x:v>2088</x:v>
      </x:c>
      <x:c r="E125" s="276" t="s">
        <x:v>432</x:v>
      </x:c>
      <x:c r="F125" s="277" t="s">
        <x:v>118</x:v>
      </x:c>
      <x:c r="G125" s="277" t="s">
        <x:v>118</x:v>
      </x:c>
      <x:c r="H125" s="277" t="s">
        <x:v>118</x:v>
      </x:c>
      <x:c r="I125" s="277" t="s">
        <x:v>118</x:v>
      </x:c>
      <x:c r="J125" s="277" t="s">
        <x:v>118</x:v>
      </x:c>
      <x:c r="K125" s="277" t="s">
        <x:v>118</x:v>
      </x:c>
      <x:c r="L125" s="277" t="s">
        <x:v>118</x:v>
      </x:c>
      <x:c r="M125" s="277" t="s">
        <x:v>118</x:v>
      </x:c>
      <x:c r="N125" s="277" t="s">
        <x:v>118</x:v>
      </x:c>
      <x:c r="O125" s="277" t="s">
        <x:v>118</x:v>
      </x:c>
      <x:c r="P125" s="277" t="s">
        <x:v>118</x:v>
      </x:c>
      <x:c r="Q125" s="277" t="s">
        <x:v>118</x:v>
      </x:c>
      <x:c r="R125" s="277" t="s">
        <x:v>118</x:v>
      </x:c>
      <x:c r="S125" s="277" t="s">
        <x:v>118</x:v>
      </x:c>
      <x:c r="T125" s="277" t="s">
        <x:v>118</x:v>
      </x:c>
      <x:c r="U125" s="277" t="s">
        <x:v>118</x:v>
      </x:c>
      <x:c r="V125" s="277" t="s">
        <x:v>118</x:v>
      </x:c>
      <x:c r="W125" s="277" t="s">
        <x:v>118</x:v>
      </x:c>
      <x:c r="X125" s="277" t="s">
        <x:v>118</x:v>
      </x:c>
      <x:c r="Y125" s="277" t="s">
        <x:v>118</x:v>
      </x:c>
      <x:c r="Z125" s="277" t="s">
        <x:v>118</x:v>
      </x:c>
      <x:c r="AA125" s="277" t="s">
        <x:v>118</x:v>
      </x:c>
      <x:c r="AB125" s="277" t="s">
        <x:v>118</x:v>
      </x:c>
      <x:c r="AC125" s="277" t="s">
        <x:v>118</x:v>
      </x:c>
      <x:c r="AD125" s="277" t="s">
        <x:v>118</x:v>
      </x:c>
      <x:c r="AE125" s="277" t="s">
        <x:v>118</x:v>
      </x:c>
      <x:c r="AF125" s="277" t="s">
        <x:v>118</x:v>
      </x:c>
      <x:c r="AG125" s="277" t="s">
        <x:v>118</x:v>
      </x:c>
      <x:c r="AH125" s="277" t="s">
        <x:v>118</x:v>
      </x:c>
      <x:c r="AI125" s="277" t="s">
        <x:v>118</x:v>
      </x:c>
      <x:c r="AJ125" s="277" t="s">
        <x:v>118</x:v>
      </x:c>
      <x:c r="AK125" s="220">
        <x:f>COUNTIF(F125:AJ125,"X")</x:f>
      </x:c>
      <x:c r="AL125" s="221"/>
      <x:c r="AM125" s="221"/>
      <x:c r="AN125" s="222"/>
      <x:c r="AO125" s="222"/>
      <x:c r="AP125" s="228"/>
      <x:c r="AQ125" s="228"/>
      <x:c r="AR125" s="228"/>
      <x:c r="AS125" s="228"/>
      <x:c r="AT125" s="230"/>
    </x:row>
    <x:row r="126" spans="1:47" ht="19.9" customHeight="1">
      <x:c r="A126" s="274" t="s">
        <x:v>2089</x:v>
      </x:c>
      <x:c r="B126" s="216"/>
      <x:c r="C126" s="275" t="s">
        <x:v>2090</x:v>
      </x:c>
      <x:c r="D126" s="274" t="s">
        <x:v>2091</x:v>
      </x:c>
      <x:c r="E126" s="276" t="s">
        <x:v>916</x:v>
      </x:c>
      <x:c r="F126" s="277" t="s">
        <x:v>118</x:v>
      </x:c>
      <x:c r="G126" s="277" t="s">
        <x:v>118</x:v>
      </x:c>
      <x:c r="H126" s="277" t="s">
        <x:v>118</x:v>
      </x:c>
      <x:c r="I126" s="277" t="s">
        <x:v>118</x:v>
      </x:c>
      <x:c r="J126" s="277" t="s">
        <x:v>118</x:v>
      </x:c>
      <x:c r="K126" s="277" t="s">
        <x:v>118</x:v>
      </x:c>
      <x:c r="L126" s="277" t="s">
        <x:v>118</x:v>
      </x:c>
      <x:c r="M126" s="277" t="s">
        <x:v>118</x:v>
      </x:c>
      <x:c r="N126" s="277" t="s">
        <x:v>118</x:v>
      </x:c>
      <x:c r="O126" s="277" t="s">
        <x:v>118</x:v>
      </x:c>
      <x:c r="P126" s="277" t="s">
        <x:v>118</x:v>
      </x:c>
      <x:c r="Q126" s="277" t="s">
        <x:v>118</x:v>
      </x:c>
      <x:c r="R126" s="277" t="s">
        <x:v>118</x:v>
      </x:c>
      <x:c r="S126" s="277" t="s">
        <x:v>118</x:v>
      </x:c>
      <x:c r="T126" s="277" t="s">
        <x:v>118</x:v>
      </x:c>
      <x:c r="U126" s="277" t="s">
        <x:v>118</x:v>
      </x:c>
      <x:c r="V126" s="277" t="s">
        <x:v>118</x:v>
      </x:c>
      <x:c r="W126" s="277" t="s">
        <x:v>118</x:v>
      </x:c>
      <x:c r="X126" s="277" t="s">
        <x:v>118</x:v>
      </x:c>
      <x:c r="Y126" s="277" t="s">
        <x:v>118</x:v>
      </x:c>
      <x:c r="Z126" s="277" t="s">
        <x:v>118</x:v>
      </x:c>
      <x:c r="AA126" s="277" t="s">
        <x:v>118</x:v>
      </x:c>
      <x:c r="AB126" s="277" t="s">
        <x:v>118</x:v>
      </x:c>
      <x:c r="AC126" s="277" t="s">
        <x:v>118</x:v>
      </x:c>
      <x:c r="AD126" s="277" t="s">
        <x:v>118</x:v>
      </x:c>
      <x:c r="AE126" s="277" t="s">
        <x:v>118</x:v>
      </x:c>
      <x:c r="AF126" s="277" t="s">
        <x:v>118</x:v>
      </x:c>
      <x:c r="AG126" s="277" t="s">
        <x:v>118</x:v>
      </x:c>
      <x:c r="AH126" s="277" t="s">
        <x:v>118</x:v>
      </x:c>
      <x:c r="AI126" s="277" t="s">
        <x:v>118</x:v>
      </x:c>
      <x:c r="AJ126" s="277" t="s">
        <x:v>118</x:v>
      </x:c>
      <x:c r="AK126" s="220">
        <x:f>COUNTIF(F126:AJ126,"X")</x:f>
      </x:c>
      <x:c r="AL126" s="221"/>
      <x:c r="AM126" s="221"/>
      <x:c r="AN126" s="222"/>
      <x:c r="AO126" s="222"/>
      <x:c r="AP126" s="228"/>
      <x:c r="AQ126" s="228"/>
      <x:c r="AR126" s="228"/>
      <x:c r="AS126" s="228"/>
      <x:c r="AT126" s="230"/>
    </x:row>
    <x:row r="127" spans="1:47" ht="19.9" customHeight="1">
      <x:c r="A127" s="274" t="s">
        <x:v>2092</x:v>
      </x:c>
      <x:c r="B127" s="216"/>
      <x:c r="C127" s="275" t="s">
        <x:v>2093</x:v>
      </x:c>
      <x:c r="D127" s="274" t="s">
        <x:v>2094</x:v>
      </x:c>
      <x:c r="E127" s="276" t="s">
        <x:v>2095</x:v>
      </x:c>
      <x:c r="F127" s="277" t="s">
        <x:v>118</x:v>
      </x:c>
      <x:c r="G127" s="277" t="s">
        <x:v>118</x:v>
      </x:c>
      <x:c r="H127" s="277" t="s">
        <x:v>118</x:v>
      </x:c>
      <x:c r="I127" s="277" t="s">
        <x:v>118</x:v>
      </x:c>
      <x:c r="J127" s="277" t="s">
        <x:v>118</x:v>
      </x:c>
      <x:c r="K127" s="277" t="s">
        <x:v>118</x:v>
      </x:c>
      <x:c r="L127" s="277" t="s">
        <x:v>118</x:v>
      </x:c>
      <x:c r="M127" s="277" t="s">
        <x:v>118</x:v>
      </x:c>
      <x:c r="N127" s="277" t="s">
        <x:v>118</x:v>
      </x:c>
      <x:c r="O127" s="277" t="s">
        <x:v>118</x:v>
      </x:c>
      <x:c r="P127" s="277" t="s">
        <x:v>118</x:v>
      </x:c>
      <x:c r="Q127" s="277" t="s">
        <x:v>118</x:v>
      </x:c>
      <x:c r="R127" s="277" t="s">
        <x:v>118</x:v>
      </x:c>
      <x:c r="S127" s="277" t="s">
        <x:v>118</x:v>
      </x:c>
      <x:c r="T127" s="277" t="s">
        <x:v>118</x:v>
      </x:c>
      <x:c r="U127" s="277" t="s">
        <x:v>118</x:v>
      </x:c>
      <x:c r="V127" s="277" t="s">
        <x:v>118</x:v>
      </x:c>
      <x:c r="W127" s="277" t="s">
        <x:v>118</x:v>
      </x:c>
      <x:c r="X127" s="277" t="s">
        <x:v>118</x:v>
      </x:c>
      <x:c r="Y127" s="277" t="s">
        <x:v>118</x:v>
      </x:c>
      <x:c r="Z127" s="277" t="s">
        <x:v>118</x:v>
      </x:c>
      <x:c r="AA127" s="277" t="s">
        <x:v>118</x:v>
      </x:c>
      <x:c r="AB127" s="277" t="s">
        <x:v>118</x:v>
      </x:c>
      <x:c r="AC127" s="277" t="s">
        <x:v>118</x:v>
      </x:c>
      <x:c r="AD127" s="277" t="s">
        <x:v>118</x:v>
      </x:c>
      <x:c r="AE127" s="277" t="s">
        <x:v>118</x:v>
      </x:c>
      <x:c r="AF127" s="277" t="s">
        <x:v>118</x:v>
      </x:c>
      <x:c r="AG127" s="277" t="s">
        <x:v>118</x:v>
      </x:c>
      <x:c r="AH127" s="277" t="s">
        <x:v>118</x:v>
      </x:c>
      <x:c r="AI127" s="277" t="s">
        <x:v>118</x:v>
      </x:c>
      <x:c r="AJ127" s="277" t="s">
        <x:v>118</x:v>
      </x:c>
      <x:c r="AK127" s="220">
        <x:f>COUNTIF(F127:AJ127,"X")</x:f>
      </x:c>
      <x:c r="AL127" s="221"/>
      <x:c r="AM127" s="221"/>
      <x:c r="AN127" s="222"/>
      <x:c r="AO127" s="222"/>
      <x:c r="AP127" s="228"/>
      <x:c r="AQ127" s="228"/>
      <x:c r="AR127" s="228"/>
      <x:c r="AS127" s="228"/>
      <x:c r="AT127" s="230"/>
    </x:row>
    <x:row r="128" spans="1:47" ht="19.9" customHeight="1">
      <x:c r="A128" s="274" t="s">
        <x:v>2096</x:v>
      </x:c>
      <x:c r="B128" s="216"/>
      <x:c r="C128" s="275" t="s">
        <x:v>2097</x:v>
      </x:c>
      <x:c r="D128" s="274" t="s">
        <x:v>2094</x:v>
      </x:c>
      <x:c r="E128" s="276" t="s">
        <x:v>1955</x:v>
      </x:c>
      <x:c r="F128" s="277" t="s">
        <x:v>118</x:v>
      </x:c>
      <x:c r="G128" s="277" t="s">
        <x:v>118</x:v>
      </x:c>
      <x:c r="H128" s="277" t="s">
        <x:v>118</x:v>
      </x:c>
      <x:c r="I128" s="277" t="s">
        <x:v>118</x:v>
      </x:c>
      <x:c r="J128" s="277" t="s">
        <x:v>118</x:v>
      </x:c>
      <x:c r="K128" s="277" t="s">
        <x:v>118</x:v>
      </x:c>
      <x:c r="L128" s="277" t="s">
        <x:v>118</x:v>
      </x:c>
      <x:c r="M128" s="277" t="s">
        <x:v>118</x:v>
      </x:c>
      <x:c r="N128" s="277" t="s">
        <x:v>118</x:v>
      </x:c>
      <x:c r="O128" s="277" t="s">
        <x:v>118</x:v>
      </x:c>
      <x:c r="P128" s="277" t="s">
        <x:v>118</x:v>
      </x:c>
      <x:c r="Q128" s="277" t="s">
        <x:v>118</x:v>
      </x:c>
      <x:c r="R128" s="277" t="s">
        <x:v>118</x:v>
      </x:c>
      <x:c r="S128" s="277" t="s">
        <x:v>118</x:v>
      </x:c>
      <x:c r="T128" s="277" t="s">
        <x:v>118</x:v>
      </x:c>
      <x:c r="U128" s="277" t="s">
        <x:v>118</x:v>
      </x:c>
      <x:c r="V128" s="277" t="s">
        <x:v>118</x:v>
      </x:c>
      <x:c r="W128" s="277" t="s">
        <x:v>118</x:v>
      </x:c>
      <x:c r="X128" s="277" t="s">
        <x:v>118</x:v>
      </x:c>
      <x:c r="Y128" s="277" t="s">
        <x:v>118</x:v>
      </x:c>
      <x:c r="Z128" s="277" t="s">
        <x:v>118</x:v>
      </x:c>
      <x:c r="AA128" s="277" t="s">
        <x:v>118</x:v>
      </x:c>
      <x:c r="AB128" s="277" t="s">
        <x:v>118</x:v>
      </x:c>
      <x:c r="AC128" s="277" t="s">
        <x:v>118</x:v>
      </x:c>
      <x:c r="AD128" s="277" t="s">
        <x:v>118</x:v>
      </x:c>
      <x:c r="AE128" s="277" t="s">
        <x:v>118</x:v>
      </x:c>
      <x:c r="AF128" s="277" t="s">
        <x:v>118</x:v>
      </x:c>
      <x:c r="AG128" s="277" t="s">
        <x:v>118</x:v>
      </x:c>
      <x:c r="AH128" s="277" t="s">
        <x:v>118</x:v>
      </x:c>
      <x:c r="AI128" s="277" t="s">
        <x:v>118</x:v>
      </x:c>
      <x:c r="AJ128" s="277" t="s">
        <x:v>118</x:v>
      </x:c>
      <x:c r="AK128" s="220">
        <x:f>COUNTIF(F128:AJ128,"X")</x:f>
      </x:c>
      <x:c r="AL128" s="221"/>
      <x:c r="AM128" s="221"/>
      <x:c r="AN128" s="222"/>
      <x:c r="AO128" s="222"/>
      <x:c r="AP128" s="228"/>
      <x:c r="AQ128" s="228"/>
      <x:c r="AR128" s="228"/>
      <x:c r="AS128" s="228"/>
      <x:c r="AT128" s="230"/>
    </x:row>
    <x:row r="129" spans="1:47" ht="19.9" customHeight="1">
      <x:c r="A129" s="274" t="s">
        <x:v>2098</x:v>
      </x:c>
      <x:c r="B129" s="216"/>
      <x:c r="C129" s="275" t="s">
        <x:v>2099</x:v>
      </x:c>
      <x:c r="D129" s="274" t="s">
        <x:v>2100</x:v>
      </x:c>
      <x:c r="E129" s="276" t="s">
        <x:v>2101</x:v>
      </x:c>
      <x:c r="F129" s="277" t="s">
        <x:v>118</x:v>
      </x:c>
      <x:c r="G129" s="277" t="s">
        <x:v>118</x:v>
      </x:c>
      <x:c r="H129" s="277" t="s">
        <x:v>118</x:v>
      </x:c>
      <x:c r="I129" s="277" t="s">
        <x:v>118</x:v>
      </x:c>
      <x:c r="J129" s="277" t="s">
        <x:v>118</x:v>
      </x:c>
      <x:c r="K129" s="277" t="s">
        <x:v>118</x:v>
      </x:c>
      <x:c r="L129" s="277" t="s">
        <x:v>118</x:v>
      </x:c>
      <x:c r="M129" s="277" t="s">
        <x:v>118</x:v>
      </x:c>
      <x:c r="N129" s="277" t="s">
        <x:v>118</x:v>
      </x:c>
      <x:c r="O129" s="277" t="s">
        <x:v>118</x:v>
      </x:c>
      <x:c r="P129" s="277" t="s">
        <x:v>118</x:v>
      </x:c>
      <x:c r="Q129" s="277" t="s">
        <x:v>118</x:v>
      </x:c>
      <x:c r="R129" s="277" t="s">
        <x:v>118</x:v>
      </x:c>
      <x:c r="S129" s="277" t="s">
        <x:v>118</x:v>
      </x:c>
      <x:c r="T129" s="277" t="s">
        <x:v>118</x:v>
      </x:c>
      <x:c r="U129" s="277" t="s">
        <x:v>118</x:v>
      </x:c>
      <x:c r="V129" s="277" t="s">
        <x:v>118</x:v>
      </x:c>
      <x:c r="W129" s="277" t="s">
        <x:v>118</x:v>
      </x:c>
      <x:c r="X129" s="277" t="s">
        <x:v>118</x:v>
      </x:c>
      <x:c r="Y129" s="277" t="s">
        <x:v>118</x:v>
      </x:c>
      <x:c r="Z129" s="277" t="s">
        <x:v>118</x:v>
      </x:c>
      <x:c r="AA129" s="277" t="s">
        <x:v>118</x:v>
      </x:c>
      <x:c r="AB129" s="277" t="s">
        <x:v>118</x:v>
      </x:c>
      <x:c r="AC129" s="277" t="s">
        <x:v>118</x:v>
      </x:c>
      <x:c r="AD129" s="277" t="s">
        <x:v>118</x:v>
      </x:c>
      <x:c r="AE129" s="277" t="s">
        <x:v>118</x:v>
      </x:c>
      <x:c r="AF129" s="277" t="s">
        <x:v>118</x:v>
      </x:c>
      <x:c r="AG129" s="277" t="s">
        <x:v>118</x:v>
      </x:c>
      <x:c r="AH129" s="277" t="s">
        <x:v>118</x:v>
      </x:c>
      <x:c r="AI129" s="277" t="s">
        <x:v>118</x:v>
      </x:c>
      <x:c r="AJ129" s="277" t="s">
        <x:v>118</x:v>
      </x:c>
      <x:c r="AK129" s="220">
        <x:f>COUNTIF(F129:AJ129,"X")</x:f>
      </x:c>
      <x:c r="AL129" s="221"/>
      <x:c r="AM129" s="221"/>
      <x:c r="AN129" s="222"/>
      <x:c r="AO129" s="222"/>
      <x:c r="AP129" s="228"/>
      <x:c r="AQ129" s="228"/>
      <x:c r="AR129" s="228"/>
      <x:c r="AS129" s="228"/>
      <x:c r="AT129" s="230"/>
    </x:row>
    <x:row r="130" spans="1:47" ht="19.9" customHeight="1">
      <x:c r="A130" s="274" t="s">
        <x:v>2102</x:v>
      </x:c>
      <x:c r="B130" s="216"/>
      <x:c r="C130" s="275" t="s">
        <x:v>2103</x:v>
      </x:c>
      <x:c r="D130" s="274" t="s">
        <x:v>2100</x:v>
      </x:c>
      <x:c r="E130" s="276" t="s">
        <x:v>1343</x:v>
      </x:c>
      <x:c r="F130" s="277" t="s">
        <x:v>118</x:v>
      </x:c>
      <x:c r="G130" s="277" t="s">
        <x:v>118</x:v>
      </x:c>
      <x:c r="H130" s="277" t="s">
        <x:v>118</x:v>
      </x:c>
      <x:c r="I130" s="277" t="s">
        <x:v>118</x:v>
      </x:c>
      <x:c r="J130" s="277" t="s">
        <x:v>118</x:v>
      </x:c>
      <x:c r="K130" s="277" t="s">
        <x:v>118</x:v>
      </x:c>
      <x:c r="L130" s="277" t="s">
        <x:v>118</x:v>
      </x:c>
      <x:c r="M130" s="277" t="s">
        <x:v>118</x:v>
      </x:c>
      <x:c r="N130" s="277" t="s">
        <x:v>118</x:v>
      </x:c>
      <x:c r="O130" s="277" t="s">
        <x:v>118</x:v>
      </x:c>
      <x:c r="P130" s="277" t="s">
        <x:v>118</x:v>
      </x:c>
      <x:c r="Q130" s="277" t="s">
        <x:v>118</x:v>
      </x:c>
      <x:c r="R130" s="277" t="s">
        <x:v>118</x:v>
      </x:c>
      <x:c r="S130" s="277" t="s">
        <x:v>118</x:v>
      </x:c>
      <x:c r="T130" s="277" t="s">
        <x:v>118</x:v>
      </x:c>
      <x:c r="U130" s="277" t="s">
        <x:v>118</x:v>
      </x:c>
      <x:c r="V130" s="277" t="s">
        <x:v>118</x:v>
      </x:c>
      <x:c r="W130" s="277" t="s">
        <x:v>118</x:v>
      </x:c>
      <x:c r="X130" s="277" t="s">
        <x:v>118</x:v>
      </x:c>
      <x:c r="Y130" s="277" t="s">
        <x:v>118</x:v>
      </x:c>
      <x:c r="Z130" s="277" t="s">
        <x:v>118</x:v>
      </x:c>
      <x:c r="AA130" s="277" t="s">
        <x:v>118</x:v>
      </x:c>
      <x:c r="AB130" s="277" t="s">
        <x:v>118</x:v>
      </x:c>
      <x:c r="AC130" s="277" t="s">
        <x:v>118</x:v>
      </x:c>
      <x:c r="AD130" s="277" t="s">
        <x:v>118</x:v>
      </x:c>
      <x:c r="AE130" s="277" t="s">
        <x:v>118</x:v>
      </x:c>
      <x:c r="AF130" s="277" t="s">
        <x:v>118</x:v>
      </x:c>
      <x:c r="AG130" s="277" t="s">
        <x:v>118</x:v>
      </x:c>
      <x:c r="AH130" s="277" t="s">
        <x:v>118</x:v>
      </x:c>
      <x:c r="AI130" s="277" t="s">
        <x:v>118</x:v>
      </x:c>
      <x:c r="AJ130" s="277" t="s">
        <x:v>118</x:v>
      </x:c>
      <x:c r="AK130" s="220">
        <x:f>COUNTIF(F130:AJ130,"X")</x:f>
      </x:c>
      <x:c r="AL130" s="221"/>
      <x:c r="AM130" s="221"/>
      <x:c r="AN130" s="222"/>
      <x:c r="AO130" s="222"/>
      <x:c r="AP130" s="228"/>
      <x:c r="AQ130" s="228"/>
      <x:c r="AR130" s="228"/>
      <x:c r="AS130" s="228"/>
      <x:c r="AT130" s="230"/>
    </x:row>
    <x:row r="131" spans="1:47" ht="19.9" customHeight="1">
      <x:c r="A131" s="274" t="s">
        <x:v>2104</x:v>
      </x:c>
      <x:c r="B131" s="216"/>
      <x:c r="C131" s="275" t="s">
        <x:v>2105</x:v>
      </x:c>
      <x:c r="D131" s="274" t="s">
        <x:v>2106</x:v>
      </x:c>
      <x:c r="E131" s="276" t="s">
        <x:v>2107</x:v>
      </x:c>
      <x:c r="F131" s="277" t="s">
        <x:v>118</x:v>
      </x:c>
      <x:c r="G131" s="277" t="s">
        <x:v>118</x:v>
      </x:c>
      <x:c r="H131" s="277" t="s">
        <x:v>118</x:v>
      </x:c>
      <x:c r="I131" s="277" t="s">
        <x:v>118</x:v>
      </x:c>
      <x:c r="J131" s="277" t="s">
        <x:v>118</x:v>
      </x:c>
      <x:c r="K131" s="277" t="s">
        <x:v>118</x:v>
      </x:c>
      <x:c r="L131" s="277" t="s">
        <x:v>118</x:v>
      </x:c>
      <x:c r="M131" s="277" t="s">
        <x:v>118</x:v>
      </x:c>
      <x:c r="N131" s="277" t="s">
        <x:v>118</x:v>
      </x:c>
      <x:c r="O131" s="277" t="s">
        <x:v>118</x:v>
      </x:c>
      <x:c r="P131" s="277" t="s">
        <x:v>118</x:v>
      </x:c>
      <x:c r="Q131" s="277" t="s">
        <x:v>118</x:v>
      </x:c>
      <x:c r="R131" s="277" t="s">
        <x:v>118</x:v>
      </x:c>
      <x:c r="S131" s="277" t="s">
        <x:v>118</x:v>
      </x:c>
      <x:c r="T131" s="277" t="s">
        <x:v>118</x:v>
      </x:c>
      <x:c r="U131" s="277" t="s">
        <x:v>118</x:v>
      </x:c>
      <x:c r="V131" s="277" t="s">
        <x:v>118</x:v>
      </x:c>
      <x:c r="W131" s="277" t="s">
        <x:v>118</x:v>
      </x:c>
      <x:c r="X131" s="277" t="s">
        <x:v>118</x:v>
      </x:c>
      <x:c r="Y131" s="277" t="s">
        <x:v>118</x:v>
      </x:c>
      <x:c r="Z131" s="277" t="s">
        <x:v>118</x:v>
      </x:c>
      <x:c r="AA131" s="277" t="s">
        <x:v>118</x:v>
      </x:c>
      <x:c r="AB131" s="277" t="s">
        <x:v>118</x:v>
      </x:c>
      <x:c r="AC131" s="277" t="s">
        <x:v>118</x:v>
      </x:c>
      <x:c r="AD131" s="277" t="s">
        <x:v>118</x:v>
      </x:c>
      <x:c r="AE131" s="277" t="s">
        <x:v>118</x:v>
      </x:c>
      <x:c r="AF131" s="277" t="s">
        <x:v>118</x:v>
      </x:c>
      <x:c r="AG131" s="277" t="s">
        <x:v>118</x:v>
      </x:c>
      <x:c r="AH131" s="277" t="s">
        <x:v>118</x:v>
      </x:c>
      <x:c r="AI131" s="277" t="s">
        <x:v>118</x:v>
      </x:c>
      <x:c r="AJ131" s="277" t="s">
        <x:v>118</x:v>
      </x:c>
      <x:c r="AK131" s="220">
        <x:f>COUNTIF(F131:AJ131,"X")</x:f>
      </x:c>
      <x:c r="AL131" s="221"/>
      <x:c r="AM131" s="221"/>
      <x:c r="AN131" s="222"/>
      <x:c r="AO131" s="222"/>
      <x:c r="AP131" s="228"/>
      <x:c r="AQ131" s="228"/>
      <x:c r="AR131" s="228"/>
      <x:c r="AS131" s="228"/>
      <x:c r="AT131" s="230"/>
    </x:row>
    <x:row r="132" spans="1:47" ht="19.9" customHeight="1">
      <x:c r="A132" s="274" t="s">
        <x:v>2108</x:v>
      </x:c>
      <x:c r="B132" s="216"/>
      <x:c r="C132" s="275" t="s">
        <x:v>2109</x:v>
      </x:c>
      <x:c r="D132" s="274" t="s">
        <x:v>2110</x:v>
      </x:c>
      <x:c r="E132" s="276" t="s">
        <x:v>323</x:v>
      </x:c>
      <x:c r="F132" s="277" t="s">
        <x:v>118</x:v>
      </x:c>
      <x:c r="G132" s="277" t="s">
        <x:v>118</x:v>
      </x:c>
      <x:c r="H132" s="277" t="s">
        <x:v>118</x:v>
      </x:c>
      <x:c r="I132" s="277" t="s">
        <x:v>118</x:v>
      </x:c>
      <x:c r="J132" s="277" t="s">
        <x:v>118</x:v>
      </x:c>
      <x:c r="K132" s="277" t="s">
        <x:v>118</x:v>
      </x:c>
      <x:c r="L132" s="277" t="s">
        <x:v>118</x:v>
      </x:c>
      <x:c r="M132" s="277" t="s">
        <x:v>118</x:v>
      </x:c>
      <x:c r="N132" s="277" t="s">
        <x:v>118</x:v>
      </x:c>
      <x:c r="O132" s="277" t="s">
        <x:v>118</x:v>
      </x:c>
      <x:c r="P132" s="277" t="s">
        <x:v>118</x:v>
      </x:c>
      <x:c r="Q132" s="277" t="s">
        <x:v>118</x:v>
      </x:c>
      <x:c r="R132" s="277" t="s">
        <x:v>118</x:v>
      </x:c>
      <x:c r="S132" s="277" t="s">
        <x:v>118</x:v>
      </x:c>
      <x:c r="T132" s="277" t="s">
        <x:v>118</x:v>
      </x:c>
      <x:c r="U132" s="277" t="s">
        <x:v>118</x:v>
      </x:c>
      <x:c r="V132" s="277" t="s">
        <x:v>118</x:v>
      </x:c>
      <x:c r="W132" s="277" t="s">
        <x:v>118</x:v>
      </x:c>
      <x:c r="X132" s="277" t="s">
        <x:v>118</x:v>
      </x:c>
      <x:c r="Y132" s="277" t="s">
        <x:v>118</x:v>
      </x:c>
      <x:c r="Z132" s="277" t="s">
        <x:v>118</x:v>
      </x:c>
      <x:c r="AA132" s="277" t="s">
        <x:v>118</x:v>
      </x:c>
      <x:c r="AB132" s="277" t="s">
        <x:v>118</x:v>
      </x:c>
      <x:c r="AC132" s="277" t="s">
        <x:v>118</x:v>
      </x:c>
      <x:c r="AD132" s="277" t="s">
        <x:v>118</x:v>
      </x:c>
      <x:c r="AE132" s="277" t="s">
        <x:v>118</x:v>
      </x:c>
      <x:c r="AF132" s="277" t="s">
        <x:v>118</x:v>
      </x:c>
      <x:c r="AG132" s="277" t="s">
        <x:v>118</x:v>
      </x:c>
      <x:c r="AH132" s="277" t="s">
        <x:v>118</x:v>
      </x:c>
      <x:c r="AI132" s="277" t="s">
        <x:v>118</x:v>
      </x:c>
      <x:c r="AJ132" s="277" t="s">
        <x:v>118</x:v>
      </x:c>
      <x:c r="AK132" s="220">
        <x:f>COUNTIF(F132:AJ132,"X")</x:f>
      </x:c>
      <x:c r="AL132" s="221"/>
      <x:c r="AM132" s="221"/>
      <x:c r="AN132" s="222"/>
      <x:c r="AO132" s="222"/>
      <x:c r="AP132" s="228"/>
      <x:c r="AQ132" s="228"/>
      <x:c r="AR132" s="228"/>
      <x:c r="AS132" s="228"/>
      <x:c r="AT132" s="230"/>
    </x:row>
    <x:row r="133" spans="1:47" ht="19.9" customHeight="1">
      <x:c r="A133" s="274" t="s">
        <x:v>2111</x:v>
      </x:c>
      <x:c r="B133" s="216"/>
      <x:c r="C133" s="275" t="s">
        <x:v>2112</x:v>
      </x:c>
      <x:c r="D133" s="274" t="s">
        <x:v>317</x:v>
      </x:c>
      <x:c r="E133" s="276" t="s">
        <x:v>2113</x:v>
      </x:c>
      <x:c r="F133" s="277" t="s">
        <x:v>118</x:v>
      </x:c>
      <x:c r="G133" s="277" t="s">
        <x:v>118</x:v>
      </x:c>
      <x:c r="H133" s="277" t="s">
        <x:v>118</x:v>
      </x:c>
      <x:c r="I133" s="277" t="s">
        <x:v>118</x:v>
      </x:c>
      <x:c r="J133" s="277" t="s">
        <x:v>118</x:v>
      </x:c>
      <x:c r="K133" s="277" t="s">
        <x:v>118</x:v>
      </x:c>
      <x:c r="L133" s="277" t="s">
        <x:v>118</x:v>
      </x:c>
      <x:c r="M133" s="277" t="s">
        <x:v>118</x:v>
      </x:c>
      <x:c r="N133" s="277" t="s">
        <x:v>118</x:v>
      </x:c>
      <x:c r="O133" s="277" t="s">
        <x:v>118</x:v>
      </x:c>
      <x:c r="P133" s="277" t="s">
        <x:v>118</x:v>
      </x:c>
      <x:c r="Q133" s="277" t="s">
        <x:v>118</x:v>
      </x:c>
      <x:c r="R133" s="277" t="s">
        <x:v>118</x:v>
      </x:c>
      <x:c r="S133" s="277" t="s">
        <x:v>118</x:v>
      </x:c>
      <x:c r="T133" s="277" t="s">
        <x:v>118</x:v>
      </x:c>
      <x:c r="U133" s="277" t="s">
        <x:v>118</x:v>
      </x:c>
      <x:c r="V133" s="277" t="s">
        <x:v>118</x:v>
      </x:c>
      <x:c r="W133" s="277" t="s">
        <x:v>118</x:v>
      </x:c>
      <x:c r="X133" s="277" t="s">
        <x:v>118</x:v>
      </x:c>
      <x:c r="Y133" s="277" t="s">
        <x:v>118</x:v>
      </x:c>
      <x:c r="Z133" s="277" t="s">
        <x:v>118</x:v>
      </x:c>
      <x:c r="AA133" s="277" t="s">
        <x:v>118</x:v>
      </x:c>
      <x:c r="AB133" s="277" t="s">
        <x:v>118</x:v>
      </x:c>
      <x:c r="AC133" s="277" t="s">
        <x:v>118</x:v>
      </x:c>
      <x:c r="AD133" s="277" t="s">
        <x:v>118</x:v>
      </x:c>
      <x:c r="AE133" s="277" t="s">
        <x:v>118</x:v>
      </x:c>
      <x:c r="AF133" s="277" t="s">
        <x:v>118</x:v>
      </x:c>
      <x:c r="AG133" s="277" t="s">
        <x:v>118</x:v>
      </x:c>
      <x:c r="AH133" s="277" t="s">
        <x:v>118</x:v>
      </x:c>
      <x:c r="AI133" s="277" t="s">
        <x:v>118</x:v>
      </x:c>
      <x:c r="AJ133" s="277" t="s">
        <x:v>118</x:v>
      </x:c>
      <x:c r="AK133" s="220">
        <x:f>COUNTIF(F133:AJ133,"X")</x:f>
      </x:c>
      <x:c r="AL133" s="221"/>
      <x:c r="AM133" s="221"/>
      <x:c r="AN133" s="222"/>
      <x:c r="AO133" s="222"/>
      <x:c r="AP133" s="228"/>
      <x:c r="AQ133" s="228"/>
      <x:c r="AR133" s="228"/>
      <x:c r="AS133" s="228"/>
      <x:c r="AT133" s="230"/>
    </x:row>
    <x:row r="134" spans="1:47" ht="19.9" customHeight="1">
      <x:c r="A134" s="274" t="s">
        <x:v>2114</x:v>
      </x:c>
      <x:c r="B134" s="216"/>
      <x:c r="C134" s="275" t="s">
        <x:v>2115</x:v>
      </x:c>
      <x:c r="D134" s="274" t="s">
        <x:v>381</x:v>
      </x:c>
      <x:c r="E134" s="276" t="s">
        <x:v>264</x:v>
      </x:c>
      <x:c r="F134" s="277" t="s">
        <x:v>118</x:v>
      </x:c>
      <x:c r="G134" s="277" t="s">
        <x:v>118</x:v>
      </x:c>
      <x:c r="H134" s="277" t="s">
        <x:v>118</x:v>
      </x:c>
      <x:c r="I134" s="277" t="s">
        <x:v>118</x:v>
      </x:c>
      <x:c r="J134" s="277" t="s">
        <x:v>118</x:v>
      </x:c>
      <x:c r="K134" s="277" t="s">
        <x:v>118</x:v>
      </x:c>
      <x:c r="L134" s="277" t="s">
        <x:v>118</x:v>
      </x:c>
      <x:c r="M134" s="277" t="s">
        <x:v>118</x:v>
      </x:c>
      <x:c r="N134" s="277" t="s">
        <x:v>118</x:v>
      </x:c>
      <x:c r="O134" s="277" t="s">
        <x:v>118</x:v>
      </x:c>
      <x:c r="P134" s="277" t="s">
        <x:v>118</x:v>
      </x:c>
      <x:c r="Q134" s="277" t="s">
        <x:v>118</x:v>
      </x:c>
      <x:c r="R134" s="277" t="s">
        <x:v>118</x:v>
      </x:c>
      <x:c r="S134" s="277" t="s">
        <x:v>118</x:v>
      </x:c>
      <x:c r="T134" s="277" t="s">
        <x:v>118</x:v>
      </x:c>
      <x:c r="U134" s="277" t="s">
        <x:v>118</x:v>
      </x:c>
      <x:c r="V134" s="277" t="s">
        <x:v>118</x:v>
      </x:c>
      <x:c r="W134" s="277" t="s">
        <x:v>118</x:v>
      </x:c>
      <x:c r="X134" s="277" t="s">
        <x:v>118</x:v>
      </x:c>
      <x:c r="Y134" s="277" t="s">
        <x:v>118</x:v>
      </x:c>
      <x:c r="Z134" s="277" t="s">
        <x:v>118</x:v>
      </x:c>
      <x:c r="AA134" s="277" t="s">
        <x:v>118</x:v>
      </x:c>
      <x:c r="AB134" s="277" t="s">
        <x:v>118</x:v>
      </x:c>
      <x:c r="AC134" s="277" t="s">
        <x:v>118</x:v>
      </x:c>
      <x:c r="AD134" s="277" t="s">
        <x:v>118</x:v>
      </x:c>
      <x:c r="AE134" s="277" t="s">
        <x:v>118</x:v>
      </x:c>
      <x:c r="AF134" s="277" t="s">
        <x:v>118</x:v>
      </x:c>
      <x:c r="AG134" s="277" t="s">
        <x:v>118</x:v>
      </x:c>
      <x:c r="AH134" s="277" t="s">
        <x:v>118</x:v>
      </x:c>
      <x:c r="AI134" s="277" t="s">
        <x:v>118</x:v>
      </x:c>
      <x:c r="AJ134" s="277" t="s">
        <x:v>118</x:v>
      </x:c>
      <x:c r="AK134" s="220">
        <x:f>COUNTIF(F134:AJ134,"X")</x:f>
      </x:c>
      <x:c r="AL134" s="221"/>
      <x:c r="AM134" s="221"/>
      <x:c r="AN134" s="222"/>
      <x:c r="AO134" s="222"/>
      <x:c r="AP134" s="228"/>
      <x:c r="AQ134" s="228"/>
      <x:c r="AR134" s="228"/>
      <x:c r="AS134" s="228"/>
      <x:c r="AT134" s="230"/>
    </x:row>
    <x:row r="135" spans="1:47" ht="19.9" customHeight="1">
      <x:c r="A135" s="274" t="s">
        <x:v>2116</x:v>
      </x:c>
      <x:c r="B135" s="216"/>
      <x:c r="C135" s="275" t="s">
        <x:v>2117</x:v>
      </x:c>
      <x:c r="D135" s="274" t="s">
        <x:v>381</x:v>
      </x:c>
      <x:c r="E135" s="276" t="s">
        <x:v>2118</x:v>
      </x:c>
      <x:c r="F135" s="277" t="s">
        <x:v>118</x:v>
      </x:c>
      <x:c r="G135" s="277" t="s">
        <x:v>118</x:v>
      </x:c>
      <x:c r="H135" s="277" t="s">
        <x:v>118</x:v>
      </x:c>
      <x:c r="I135" s="277" t="s">
        <x:v>118</x:v>
      </x:c>
      <x:c r="J135" s="277" t="s">
        <x:v>118</x:v>
      </x:c>
      <x:c r="K135" s="277" t="s">
        <x:v>118</x:v>
      </x:c>
      <x:c r="L135" s="277" t="s">
        <x:v>118</x:v>
      </x:c>
      <x:c r="M135" s="277" t="s">
        <x:v>118</x:v>
      </x:c>
      <x:c r="N135" s="277" t="s">
        <x:v>118</x:v>
      </x:c>
      <x:c r="O135" s="277" t="s">
        <x:v>118</x:v>
      </x:c>
      <x:c r="P135" s="277" t="s">
        <x:v>118</x:v>
      </x:c>
      <x:c r="Q135" s="277" t="s">
        <x:v>118</x:v>
      </x:c>
      <x:c r="R135" s="277" t="s">
        <x:v>118</x:v>
      </x:c>
      <x:c r="S135" s="277" t="s">
        <x:v>118</x:v>
      </x:c>
      <x:c r="T135" s="277" t="s">
        <x:v>118</x:v>
      </x:c>
      <x:c r="U135" s="277" t="s">
        <x:v>118</x:v>
      </x:c>
      <x:c r="V135" s="277" t="s">
        <x:v>118</x:v>
      </x:c>
      <x:c r="W135" s="277" t="s">
        <x:v>118</x:v>
      </x:c>
      <x:c r="X135" s="277" t="s">
        <x:v>118</x:v>
      </x:c>
      <x:c r="Y135" s="277" t="s">
        <x:v>118</x:v>
      </x:c>
      <x:c r="Z135" s="277" t="s">
        <x:v>118</x:v>
      </x:c>
      <x:c r="AA135" s="277" t="s">
        <x:v>118</x:v>
      </x:c>
      <x:c r="AB135" s="277" t="s">
        <x:v>118</x:v>
      </x:c>
      <x:c r="AC135" s="277" t="s">
        <x:v>118</x:v>
      </x:c>
      <x:c r="AD135" s="277" t="s">
        <x:v>118</x:v>
      </x:c>
      <x:c r="AE135" s="277" t="s">
        <x:v>118</x:v>
      </x:c>
      <x:c r="AF135" s="277" t="s">
        <x:v>118</x:v>
      </x:c>
      <x:c r="AG135" s="277" t="s">
        <x:v>118</x:v>
      </x:c>
      <x:c r="AH135" s="277" t="s">
        <x:v>118</x:v>
      </x:c>
      <x:c r="AI135" s="277" t="s">
        <x:v>118</x:v>
      </x:c>
      <x:c r="AJ135" s="277" t="s">
        <x:v>118</x:v>
      </x:c>
      <x:c r="AK135" s="220">
        <x:f>COUNTIF(F135:AJ135,"X")</x:f>
      </x:c>
      <x:c r="AL135" s="221"/>
      <x:c r="AM135" s="221"/>
      <x:c r="AN135" s="222"/>
      <x:c r="AO135" s="222"/>
      <x:c r="AP135" s="228"/>
      <x:c r="AQ135" s="228"/>
      <x:c r="AR135" s="228"/>
      <x:c r="AS135" s="228"/>
      <x:c r="AT135" s="230"/>
    </x:row>
    <x:row r="136" spans="1:47" ht="19.9" customHeight="1">
      <x:c r="A136" s="274" t="s">
        <x:v>2119</x:v>
      </x:c>
      <x:c r="B136" s="216"/>
      <x:c r="C136" s="275" t="s">
        <x:v>2120</x:v>
      </x:c>
      <x:c r="D136" s="274" t="s">
        <x:v>381</x:v>
      </x:c>
      <x:c r="E136" s="276" t="s">
        <x:v>549</x:v>
      </x:c>
      <x:c r="F136" s="277" t="s">
        <x:v>118</x:v>
      </x:c>
      <x:c r="G136" s="277" t="s">
        <x:v>118</x:v>
      </x:c>
      <x:c r="H136" s="277" t="s">
        <x:v>118</x:v>
      </x:c>
      <x:c r="I136" s="277" t="s">
        <x:v>118</x:v>
      </x:c>
      <x:c r="J136" s="277" t="s">
        <x:v>118</x:v>
      </x:c>
      <x:c r="K136" s="277" t="s">
        <x:v>118</x:v>
      </x:c>
      <x:c r="L136" s="277" t="s">
        <x:v>118</x:v>
      </x:c>
      <x:c r="M136" s="277" t="s">
        <x:v>118</x:v>
      </x:c>
      <x:c r="N136" s="277" t="s">
        <x:v>118</x:v>
      </x:c>
      <x:c r="O136" s="277" t="s">
        <x:v>118</x:v>
      </x:c>
      <x:c r="P136" s="277" t="s">
        <x:v>118</x:v>
      </x:c>
      <x:c r="Q136" s="277" t="s">
        <x:v>118</x:v>
      </x:c>
      <x:c r="R136" s="277" t="s">
        <x:v>118</x:v>
      </x:c>
      <x:c r="S136" s="277" t="s">
        <x:v>118</x:v>
      </x:c>
      <x:c r="T136" s="277" t="s">
        <x:v>118</x:v>
      </x:c>
      <x:c r="U136" s="277" t="s">
        <x:v>118</x:v>
      </x:c>
      <x:c r="V136" s="277" t="s">
        <x:v>118</x:v>
      </x:c>
      <x:c r="W136" s="277" t="s">
        <x:v>118</x:v>
      </x:c>
      <x:c r="X136" s="277" t="s">
        <x:v>118</x:v>
      </x:c>
      <x:c r="Y136" s="277" t="s">
        <x:v>118</x:v>
      </x:c>
      <x:c r="Z136" s="277" t="s">
        <x:v>118</x:v>
      </x:c>
      <x:c r="AA136" s="277" t="s">
        <x:v>118</x:v>
      </x:c>
      <x:c r="AB136" s="277" t="s">
        <x:v>118</x:v>
      </x:c>
      <x:c r="AC136" s="277" t="s">
        <x:v>118</x:v>
      </x:c>
      <x:c r="AD136" s="277" t="s">
        <x:v>118</x:v>
      </x:c>
      <x:c r="AE136" s="277" t="s">
        <x:v>118</x:v>
      </x:c>
      <x:c r="AF136" s="277" t="s">
        <x:v>118</x:v>
      </x:c>
      <x:c r="AG136" s="277" t="s">
        <x:v>118</x:v>
      </x:c>
      <x:c r="AH136" s="277" t="s">
        <x:v>118</x:v>
      </x:c>
      <x:c r="AI136" s="277" t="s">
        <x:v>118</x:v>
      </x:c>
      <x:c r="AJ136" s="277" t="s">
        <x:v>118</x:v>
      </x:c>
      <x:c r="AK136" s="220">
        <x:f>COUNTIF(F136:AJ136,"X")</x:f>
      </x:c>
      <x:c r="AL136" s="221"/>
      <x:c r="AM136" s="221"/>
      <x:c r="AN136" s="222"/>
      <x:c r="AO136" s="222"/>
      <x:c r="AP136" s="228"/>
      <x:c r="AQ136" s="228"/>
      <x:c r="AR136" s="228"/>
      <x:c r="AS136" s="228"/>
      <x:c r="AT136" s="230"/>
    </x:row>
    <x:row r="137" spans="1:47" ht="19.9" customHeight="1">
      <x:c r="A137" s="274" t="s">
        <x:v>2121</x:v>
      </x:c>
      <x:c r="B137" s="216"/>
      <x:c r="C137" s="275" t="s">
        <x:v>2122</x:v>
      </x:c>
      <x:c r="D137" s="274" t="s">
        <x:v>381</x:v>
      </x:c>
      <x:c r="E137" s="276" t="s">
        <x:v>1079</x:v>
      </x:c>
      <x:c r="F137" s="277" t="s">
        <x:v>118</x:v>
      </x:c>
      <x:c r="G137" s="277" t="s">
        <x:v>118</x:v>
      </x:c>
      <x:c r="H137" s="277" t="s">
        <x:v>118</x:v>
      </x:c>
      <x:c r="I137" s="277" t="s">
        <x:v>118</x:v>
      </x:c>
      <x:c r="J137" s="277" t="s">
        <x:v>118</x:v>
      </x:c>
      <x:c r="K137" s="277" t="s">
        <x:v>118</x:v>
      </x:c>
      <x:c r="L137" s="277" t="s">
        <x:v>118</x:v>
      </x:c>
      <x:c r="M137" s="277" t="s">
        <x:v>118</x:v>
      </x:c>
      <x:c r="N137" s="277" t="s">
        <x:v>118</x:v>
      </x:c>
      <x:c r="O137" s="277" t="s">
        <x:v>118</x:v>
      </x:c>
      <x:c r="P137" s="277" t="s">
        <x:v>118</x:v>
      </x:c>
      <x:c r="Q137" s="277" t="s">
        <x:v>118</x:v>
      </x:c>
      <x:c r="R137" s="277" t="s">
        <x:v>118</x:v>
      </x:c>
      <x:c r="S137" s="277" t="s">
        <x:v>118</x:v>
      </x:c>
      <x:c r="T137" s="277" t="s">
        <x:v>118</x:v>
      </x:c>
      <x:c r="U137" s="277" t="s">
        <x:v>118</x:v>
      </x:c>
      <x:c r="V137" s="277" t="s">
        <x:v>118</x:v>
      </x:c>
      <x:c r="W137" s="277" t="s">
        <x:v>118</x:v>
      </x:c>
      <x:c r="X137" s="277" t="s">
        <x:v>118</x:v>
      </x:c>
      <x:c r="Y137" s="277" t="s">
        <x:v>118</x:v>
      </x:c>
      <x:c r="Z137" s="277" t="s">
        <x:v>118</x:v>
      </x:c>
      <x:c r="AA137" s="277" t="s">
        <x:v>118</x:v>
      </x:c>
      <x:c r="AB137" s="277" t="s">
        <x:v>118</x:v>
      </x:c>
      <x:c r="AC137" s="277" t="s">
        <x:v>118</x:v>
      </x:c>
      <x:c r="AD137" s="277" t="s">
        <x:v>118</x:v>
      </x:c>
      <x:c r="AE137" s="277" t="s">
        <x:v>118</x:v>
      </x:c>
      <x:c r="AF137" s="277" t="s">
        <x:v>118</x:v>
      </x:c>
      <x:c r="AG137" s="277" t="s">
        <x:v>118</x:v>
      </x:c>
      <x:c r="AH137" s="277" t="s">
        <x:v>118</x:v>
      </x:c>
      <x:c r="AI137" s="277" t="s">
        <x:v>118</x:v>
      </x:c>
      <x:c r="AJ137" s="277" t="s">
        <x:v>118</x:v>
      </x:c>
      <x:c r="AK137" s="220">
        <x:f>COUNTIF(F137:AJ137,"X")</x:f>
      </x:c>
      <x:c r="AL137" s="221"/>
      <x:c r="AM137" s="221"/>
      <x:c r="AN137" s="222"/>
      <x:c r="AO137" s="222"/>
      <x:c r="AP137" s="228"/>
      <x:c r="AQ137" s="228"/>
      <x:c r="AR137" s="228"/>
      <x:c r="AS137" s="228"/>
      <x:c r="AT137" s="230"/>
    </x:row>
    <x:row r="138" spans="1:47" ht="19.9" customHeight="1">
      <x:c r="A138" s="274" t="s">
        <x:v>2123</x:v>
      </x:c>
      <x:c r="B138" s="216"/>
      <x:c r="C138" s="275" t="s">
        <x:v>2124</x:v>
      </x:c>
      <x:c r="D138" s="274" t="s">
        <x:v>381</x:v>
      </x:c>
      <x:c r="E138" s="276" t="s">
        <x:v>309</x:v>
      </x:c>
      <x:c r="F138" s="277" t="s">
        <x:v>118</x:v>
      </x:c>
      <x:c r="G138" s="277" t="s">
        <x:v>118</x:v>
      </x:c>
      <x:c r="H138" s="277" t="s">
        <x:v>118</x:v>
      </x:c>
      <x:c r="I138" s="277" t="s">
        <x:v>118</x:v>
      </x:c>
      <x:c r="J138" s="277" t="s">
        <x:v>118</x:v>
      </x:c>
      <x:c r="K138" s="277" t="s">
        <x:v>118</x:v>
      </x:c>
      <x:c r="L138" s="277" t="s">
        <x:v>118</x:v>
      </x:c>
      <x:c r="M138" s="277" t="s">
        <x:v>118</x:v>
      </x:c>
      <x:c r="N138" s="277" t="s">
        <x:v>118</x:v>
      </x:c>
      <x:c r="O138" s="277" t="s">
        <x:v>118</x:v>
      </x:c>
      <x:c r="P138" s="277" t="s">
        <x:v>118</x:v>
      </x:c>
      <x:c r="Q138" s="277" t="s">
        <x:v>118</x:v>
      </x:c>
      <x:c r="R138" s="277" t="s">
        <x:v>118</x:v>
      </x:c>
      <x:c r="S138" s="277" t="s">
        <x:v>118</x:v>
      </x:c>
      <x:c r="T138" s="277" t="s">
        <x:v>118</x:v>
      </x:c>
      <x:c r="U138" s="277" t="s">
        <x:v>118</x:v>
      </x:c>
      <x:c r="V138" s="277" t="s">
        <x:v>118</x:v>
      </x:c>
      <x:c r="W138" s="277" t="s">
        <x:v>118</x:v>
      </x:c>
      <x:c r="X138" s="277" t="s">
        <x:v>118</x:v>
      </x:c>
      <x:c r="Y138" s="277" t="s">
        <x:v>118</x:v>
      </x:c>
      <x:c r="Z138" s="277" t="s">
        <x:v>118</x:v>
      </x:c>
      <x:c r="AA138" s="277" t="s">
        <x:v>118</x:v>
      </x:c>
      <x:c r="AB138" s="277" t="s">
        <x:v>118</x:v>
      </x:c>
      <x:c r="AC138" s="277" t="s">
        <x:v>118</x:v>
      </x:c>
      <x:c r="AD138" s="277" t="s">
        <x:v>118</x:v>
      </x:c>
      <x:c r="AE138" s="277" t="s">
        <x:v>118</x:v>
      </x:c>
      <x:c r="AF138" s="277" t="s">
        <x:v>118</x:v>
      </x:c>
      <x:c r="AG138" s="277" t="s">
        <x:v>118</x:v>
      </x:c>
      <x:c r="AH138" s="277" t="s">
        <x:v>118</x:v>
      </x:c>
      <x:c r="AI138" s="277" t="s">
        <x:v>118</x:v>
      </x:c>
      <x:c r="AJ138" s="277" t="s">
        <x:v>118</x:v>
      </x:c>
      <x:c r="AK138" s="220">
        <x:f>COUNTIF(F138:AJ138,"X")</x:f>
      </x:c>
      <x:c r="AL138" s="221"/>
      <x:c r="AM138" s="221"/>
      <x:c r="AN138" s="222"/>
      <x:c r="AO138" s="222"/>
      <x:c r="AP138" s="228"/>
      <x:c r="AQ138" s="228"/>
      <x:c r="AR138" s="228"/>
      <x:c r="AS138" s="228"/>
      <x:c r="AT138" s="230"/>
    </x:row>
    <x:row r="139" spans="1:47" ht="19.9" customHeight="1">
      <x:c r="A139" s="274" t="s">
        <x:v>2125</x:v>
      </x:c>
      <x:c r="B139" s="216"/>
      <x:c r="C139" s="275" t="s">
        <x:v>2126</x:v>
      </x:c>
      <x:c r="D139" s="274" t="s">
        <x:v>381</x:v>
      </x:c>
      <x:c r="E139" s="276" t="s">
        <x:v>309</x:v>
      </x:c>
      <x:c r="F139" s="277" t="s">
        <x:v>118</x:v>
      </x:c>
      <x:c r="G139" s="277" t="s">
        <x:v>118</x:v>
      </x:c>
      <x:c r="H139" s="277" t="s">
        <x:v>118</x:v>
      </x:c>
      <x:c r="I139" s="277" t="s">
        <x:v>118</x:v>
      </x:c>
      <x:c r="J139" s="277" t="s">
        <x:v>118</x:v>
      </x:c>
      <x:c r="K139" s="277" t="s">
        <x:v>118</x:v>
      </x:c>
      <x:c r="L139" s="277" t="s">
        <x:v>118</x:v>
      </x:c>
      <x:c r="M139" s="277" t="s">
        <x:v>118</x:v>
      </x:c>
      <x:c r="N139" s="277" t="s">
        <x:v>118</x:v>
      </x:c>
      <x:c r="O139" s="277" t="s">
        <x:v>118</x:v>
      </x:c>
      <x:c r="P139" s="277" t="s">
        <x:v>118</x:v>
      </x:c>
      <x:c r="Q139" s="277" t="s">
        <x:v>118</x:v>
      </x:c>
      <x:c r="R139" s="277" t="s">
        <x:v>118</x:v>
      </x:c>
      <x:c r="S139" s="277" t="s">
        <x:v>118</x:v>
      </x:c>
      <x:c r="T139" s="277" t="s">
        <x:v>118</x:v>
      </x:c>
      <x:c r="U139" s="277" t="s">
        <x:v>118</x:v>
      </x:c>
      <x:c r="V139" s="277" t="s">
        <x:v>118</x:v>
      </x:c>
      <x:c r="W139" s="277" t="s">
        <x:v>118</x:v>
      </x:c>
      <x:c r="X139" s="277" t="s">
        <x:v>118</x:v>
      </x:c>
      <x:c r="Y139" s="277" t="s">
        <x:v>118</x:v>
      </x:c>
      <x:c r="Z139" s="277" t="s">
        <x:v>118</x:v>
      </x:c>
      <x:c r="AA139" s="277" t="s">
        <x:v>118</x:v>
      </x:c>
      <x:c r="AB139" s="277" t="s">
        <x:v>118</x:v>
      </x:c>
      <x:c r="AC139" s="277" t="s">
        <x:v>118</x:v>
      </x:c>
      <x:c r="AD139" s="277" t="s">
        <x:v>118</x:v>
      </x:c>
      <x:c r="AE139" s="277" t="s">
        <x:v>118</x:v>
      </x:c>
      <x:c r="AF139" s="277" t="s">
        <x:v>118</x:v>
      </x:c>
      <x:c r="AG139" s="277" t="s">
        <x:v>118</x:v>
      </x:c>
      <x:c r="AH139" s="277" t="s">
        <x:v>118</x:v>
      </x:c>
      <x:c r="AI139" s="277" t="s">
        <x:v>118</x:v>
      </x:c>
      <x:c r="AJ139" s="277" t="s">
        <x:v>118</x:v>
      </x:c>
      <x:c r="AK139" s="220">
        <x:f>COUNTIF(F139:AJ139,"X")</x:f>
      </x:c>
      <x:c r="AL139" s="221"/>
      <x:c r="AM139" s="221"/>
      <x:c r="AN139" s="222"/>
      <x:c r="AO139" s="222"/>
      <x:c r="AP139" s="228"/>
      <x:c r="AQ139" s="228"/>
      <x:c r="AR139" s="228"/>
      <x:c r="AS139" s="228"/>
      <x:c r="AT139" s="233"/>
    </x:row>
    <x:row r="140" spans="1:47" ht="19.9" customHeight="1">
      <x:c r="A140" s="274" t="s">
        <x:v>2127</x:v>
      </x:c>
      <x:c r="B140" s="216"/>
      <x:c r="C140" s="275" t="s">
        <x:v>2128</x:v>
      </x:c>
      <x:c r="D140" s="274" t="s">
        <x:v>381</x:v>
      </x:c>
      <x:c r="E140" s="276" t="s">
        <x:v>2129</x:v>
      </x:c>
      <x:c r="F140" s="277" t="s">
        <x:v>118</x:v>
      </x:c>
      <x:c r="G140" s="277" t="s">
        <x:v>118</x:v>
      </x:c>
      <x:c r="H140" s="277" t="s">
        <x:v>118</x:v>
      </x:c>
      <x:c r="I140" s="277" t="s">
        <x:v>118</x:v>
      </x:c>
      <x:c r="J140" s="277" t="s">
        <x:v>118</x:v>
      </x:c>
      <x:c r="K140" s="277" t="s">
        <x:v>118</x:v>
      </x:c>
      <x:c r="L140" s="277" t="s">
        <x:v>118</x:v>
      </x:c>
      <x:c r="M140" s="277" t="s">
        <x:v>118</x:v>
      </x:c>
      <x:c r="N140" s="277" t="s">
        <x:v>118</x:v>
      </x:c>
      <x:c r="O140" s="277" t="s">
        <x:v>118</x:v>
      </x:c>
      <x:c r="P140" s="277" t="s">
        <x:v>118</x:v>
      </x:c>
      <x:c r="Q140" s="277" t="s">
        <x:v>118</x:v>
      </x:c>
      <x:c r="R140" s="277" t="s">
        <x:v>118</x:v>
      </x:c>
      <x:c r="S140" s="277" t="s">
        <x:v>118</x:v>
      </x:c>
      <x:c r="T140" s="277" t="s">
        <x:v>118</x:v>
      </x:c>
      <x:c r="U140" s="277" t="s">
        <x:v>118</x:v>
      </x:c>
      <x:c r="V140" s="277" t="s">
        <x:v>118</x:v>
      </x:c>
      <x:c r="W140" s="277" t="s">
        <x:v>118</x:v>
      </x:c>
      <x:c r="X140" s="277" t="s">
        <x:v>118</x:v>
      </x:c>
      <x:c r="Y140" s="277" t="s">
        <x:v>118</x:v>
      </x:c>
      <x:c r="Z140" s="277" t="s">
        <x:v>118</x:v>
      </x:c>
      <x:c r="AA140" s="277" t="s">
        <x:v>118</x:v>
      </x:c>
      <x:c r="AB140" s="277" t="s">
        <x:v>118</x:v>
      </x:c>
      <x:c r="AC140" s="277" t="s">
        <x:v>118</x:v>
      </x:c>
      <x:c r="AD140" s="277" t="s">
        <x:v>118</x:v>
      </x:c>
      <x:c r="AE140" s="277" t="s">
        <x:v>118</x:v>
      </x:c>
      <x:c r="AF140" s="277" t="s">
        <x:v>118</x:v>
      </x:c>
      <x:c r="AG140" s="277" t="s">
        <x:v>118</x:v>
      </x:c>
      <x:c r="AH140" s="277" t="s">
        <x:v>118</x:v>
      </x:c>
      <x:c r="AI140" s="277" t="s">
        <x:v>118</x:v>
      </x:c>
      <x:c r="AJ140" s="277" t="s">
        <x:v>118</x:v>
      </x:c>
      <x:c r="AK140" s="220">
        <x:f>COUNTIF(F140:AJ140,"X")</x:f>
      </x:c>
      <x:c r="AL140" s="221"/>
      <x:c r="AM140" s="221"/>
      <x:c r="AN140" s="222"/>
      <x:c r="AO140" s="222"/>
      <x:c r="AP140" s="228"/>
      <x:c r="AQ140" s="228"/>
      <x:c r="AR140" s="228"/>
      <x:c r="AS140" s="228"/>
      <x:c r="AT140" s="230"/>
    </x:row>
    <x:row r="141" spans="1:47" ht="19.9" customHeight="1">
      <x:c r="A141" s="274" t="s">
        <x:v>2130</x:v>
      </x:c>
      <x:c r="B141" s="216"/>
      <x:c r="C141" s="275" t="s">
        <x:v>2131</x:v>
      </x:c>
      <x:c r="D141" s="274" t="s">
        <x:v>381</x:v>
      </x:c>
      <x:c r="E141" s="276" t="s">
        <x:v>2132</x:v>
      </x:c>
      <x:c r="F141" s="277" t="s">
        <x:v>118</x:v>
      </x:c>
      <x:c r="G141" s="277" t="s">
        <x:v>118</x:v>
      </x:c>
      <x:c r="H141" s="277" t="s">
        <x:v>118</x:v>
      </x:c>
      <x:c r="I141" s="277" t="s">
        <x:v>118</x:v>
      </x:c>
      <x:c r="J141" s="277" t="s">
        <x:v>118</x:v>
      </x:c>
      <x:c r="K141" s="277" t="s">
        <x:v>118</x:v>
      </x:c>
      <x:c r="L141" s="277" t="s">
        <x:v>118</x:v>
      </x:c>
      <x:c r="M141" s="277" t="s">
        <x:v>118</x:v>
      </x:c>
      <x:c r="N141" s="277" t="s">
        <x:v>118</x:v>
      </x:c>
      <x:c r="O141" s="277" t="s">
        <x:v>118</x:v>
      </x:c>
      <x:c r="P141" s="277" t="s">
        <x:v>118</x:v>
      </x:c>
      <x:c r="Q141" s="277" t="s">
        <x:v>118</x:v>
      </x:c>
      <x:c r="R141" s="277" t="s">
        <x:v>118</x:v>
      </x:c>
      <x:c r="S141" s="277" t="s">
        <x:v>118</x:v>
      </x:c>
      <x:c r="T141" s="277" t="s">
        <x:v>118</x:v>
      </x:c>
      <x:c r="U141" s="277" t="s">
        <x:v>118</x:v>
      </x:c>
      <x:c r="V141" s="277" t="s">
        <x:v>118</x:v>
      </x:c>
      <x:c r="W141" s="277" t="s">
        <x:v>118</x:v>
      </x:c>
      <x:c r="X141" s="277" t="s">
        <x:v>118</x:v>
      </x:c>
      <x:c r="Y141" s="277" t="s">
        <x:v>118</x:v>
      </x:c>
      <x:c r="Z141" s="277" t="s">
        <x:v>118</x:v>
      </x:c>
      <x:c r="AA141" s="277" t="s">
        <x:v>118</x:v>
      </x:c>
      <x:c r="AB141" s="277" t="s">
        <x:v>118</x:v>
      </x:c>
      <x:c r="AC141" s="277" t="s">
        <x:v>118</x:v>
      </x:c>
      <x:c r="AD141" s="277" t="s">
        <x:v>118</x:v>
      </x:c>
      <x:c r="AE141" s="277" t="s">
        <x:v>118</x:v>
      </x:c>
      <x:c r="AF141" s="277" t="s">
        <x:v>118</x:v>
      </x:c>
      <x:c r="AG141" s="277" t="s">
        <x:v>118</x:v>
      </x:c>
      <x:c r="AH141" s="277" t="s">
        <x:v>118</x:v>
      </x:c>
      <x:c r="AI141" s="277" t="s">
        <x:v>118</x:v>
      </x:c>
      <x:c r="AJ141" s="277" t="s">
        <x:v>118</x:v>
      </x:c>
      <x:c r="AK141" s="220">
        <x:f>COUNTIF(F141:AJ141,"X")</x:f>
      </x:c>
      <x:c r="AL141" s="221"/>
      <x:c r="AM141" s="221"/>
      <x:c r="AN141" s="222"/>
      <x:c r="AO141" s="222"/>
      <x:c r="AP141" s="228"/>
      <x:c r="AQ141" s="228"/>
      <x:c r="AR141" s="228"/>
      <x:c r="AS141" s="228"/>
      <x:c r="AT141" s="230"/>
    </x:row>
    <x:row r="142" spans="1:47" ht="19.9" customHeight="1">
      <x:c r="A142" s="274" t="s">
        <x:v>2133</x:v>
      </x:c>
      <x:c r="B142" s="216"/>
      <x:c r="C142" s="275" t="s">
        <x:v>2134</x:v>
      </x:c>
      <x:c r="D142" s="274" t="s">
        <x:v>2135</x:v>
      </x:c>
      <x:c r="E142" s="276" t="s">
        <x:v>2136</x:v>
      </x:c>
      <x:c r="F142" s="277" t="s">
        <x:v>118</x:v>
      </x:c>
      <x:c r="G142" s="277" t="s">
        <x:v>118</x:v>
      </x:c>
      <x:c r="H142" s="277" t="s">
        <x:v>118</x:v>
      </x:c>
      <x:c r="I142" s="277" t="s">
        <x:v>118</x:v>
      </x:c>
      <x:c r="J142" s="277" t="s">
        <x:v>118</x:v>
      </x:c>
      <x:c r="K142" s="277" t="s">
        <x:v>118</x:v>
      </x:c>
      <x:c r="L142" s="277" t="s">
        <x:v>118</x:v>
      </x:c>
      <x:c r="M142" s="277" t="s">
        <x:v>118</x:v>
      </x:c>
      <x:c r="N142" s="277" t="s">
        <x:v>118</x:v>
      </x:c>
      <x:c r="O142" s="277" t="s">
        <x:v>118</x:v>
      </x:c>
      <x:c r="P142" s="277" t="s">
        <x:v>118</x:v>
      </x:c>
      <x:c r="Q142" s="277" t="s">
        <x:v>118</x:v>
      </x:c>
      <x:c r="R142" s="277" t="s">
        <x:v>118</x:v>
      </x:c>
      <x:c r="S142" s="277" t="s">
        <x:v>118</x:v>
      </x:c>
      <x:c r="T142" s="277" t="s">
        <x:v>118</x:v>
      </x:c>
      <x:c r="U142" s="277" t="s">
        <x:v>118</x:v>
      </x:c>
      <x:c r="V142" s="277" t="s">
        <x:v>118</x:v>
      </x:c>
      <x:c r="W142" s="277" t="s">
        <x:v>118</x:v>
      </x:c>
      <x:c r="X142" s="277" t="s">
        <x:v>118</x:v>
      </x:c>
      <x:c r="Y142" s="277" t="s">
        <x:v>118</x:v>
      </x:c>
      <x:c r="Z142" s="277" t="s">
        <x:v>118</x:v>
      </x:c>
      <x:c r="AA142" s="277" t="s">
        <x:v>118</x:v>
      </x:c>
      <x:c r="AB142" s="277" t="s">
        <x:v>118</x:v>
      </x:c>
      <x:c r="AC142" s="277" t="s">
        <x:v>118</x:v>
      </x:c>
      <x:c r="AD142" s="277" t="s">
        <x:v>118</x:v>
      </x:c>
      <x:c r="AE142" s="277" t="s">
        <x:v>118</x:v>
      </x:c>
      <x:c r="AF142" s="277" t="s">
        <x:v>118</x:v>
      </x:c>
      <x:c r="AG142" s="277" t="s">
        <x:v>118</x:v>
      </x:c>
      <x:c r="AH142" s="277" t="s">
        <x:v>118</x:v>
      </x:c>
      <x:c r="AI142" s="277" t="s">
        <x:v>118</x:v>
      </x:c>
      <x:c r="AJ142" s="277" t="s">
        <x:v>118</x:v>
      </x:c>
      <x:c r="AK142" s="220">
        <x:f>COUNTIF(F142:AJ142,"X")</x:f>
      </x:c>
      <x:c r="AL142" s="221"/>
      <x:c r="AM142" s="221"/>
      <x:c r="AN142" s="222"/>
      <x:c r="AO142" s="222"/>
      <x:c r="AP142" s="228"/>
      <x:c r="AQ142" s="228"/>
      <x:c r="AR142" s="228"/>
      <x:c r="AS142" s="228"/>
      <x:c r="AT142" s="230"/>
    </x:row>
    <x:row r="143" spans="1:47" ht="19.9" customHeight="1">
      <x:c r="A143" s="274" t="s">
        <x:v>2137</x:v>
      </x:c>
      <x:c r="B143" s="216"/>
      <x:c r="C143" s="275" t="s">
        <x:v>2138</x:v>
      </x:c>
      <x:c r="D143" s="274" t="s">
        <x:v>2139</x:v>
      </x:c>
      <x:c r="E143" s="276" t="s">
        <x:v>2140</x:v>
      </x:c>
      <x:c r="F143" s="277" t="s">
        <x:v>118</x:v>
      </x:c>
      <x:c r="G143" s="277" t="s">
        <x:v>118</x:v>
      </x:c>
      <x:c r="H143" s="277" t="s">
        <x:v>118</x:v>
      </x:c>
      <x:c r="I143" s="277" t="s">
        <x:v>118</x:v>
      </x:c>
      <x:c r="J143" s="277" t="s">
        <x:v>118</x:v>
      </x:c>
      <x:c r="K143" s="277" t="s">
        <x:v>118</x:v>
      </x:c>
      <x:c r="L143" s="277" t="s">
        <x:v>118</x:v>
      </x:c>
      <x:c r="M143" s="277" t="s">
        <x:v>118</x:v>
      </x:c>
      <x:c r="N143" s="277" t="s">
        <x:v>118</x:v>
      </x:c>
      <x:c r="O143" s="277" t="s">
        <x:v>118</x:v>
      </x:c>
      <x:c r="P143" s="277" t="s">
        <x:v>118</x:v>
      </x:c>
      <x:c r="Q143" s="277" t="s">
        <x:v>118</x:v>
      </x:c>
      <x:c r="R143" s="277" t="s">
        <x:v>118</x:v>
      </x:c>
      <x:c r="S143" s="277" t="s">
        <x:v>118</x:v>
      </x:c>
      <x:c r="T143" s="277" t="s">
        <x:v>118</x:v>
      </x:c>
      <x:c r="U143" s="277" t="s">
        <x:v>118</x:v>
      </x:c>
      <x:c r="V143" s="277" t="s">
        <x:v>118</x:v>
      </x:c>
      <x:c r="W143" s="277" t="s">
        <x:v>118</x:v>
      </x:c>
      <x:c r="X143" s="277" t="s">
        <x:v>118</x:v>
      </x:c>
      <x:c r="Y143" s="277" t="s">
        <x:v>118</x:v>
      </x:c>
      <x:c r="Z143" s="277" t="s">
        <x:v>118</x:v>
      </x:c>
      <x:c r="AA143" s="277" t="s">
        <x:v>118</x:v>
      </x:c>
      <x:c r="AB143" s="277" t="s">
        <x:v>118</x:v>
      </x:c>
      <x:c r="AC143" s="277" t="s">
        <x:v>118</x:v>
      </x:c>
      <x:c r="AD143" s="277" t="s">
        <x:v>118</x:v>
      </x:c>
      <x:c r="AE143" s="277" t="s">
        <x:v>118</x:v>
      </x:c>
      <x:c r="AF143" s="277" t="s">
        <x:v>118</x:v>
      </x:c>
      <x:c r="AG143" s="277" t="s">
        <x:v>118</x:v>
      </x:c>
      <x:c r="AH143" s="277" t="s">
        <x:v>118</x:v>
      </x:c>
      <x:c r="AI143" s="277" t="s">
        <x:v>118</x:v>
      </x:c>
      <x:c r="AJ143" s="277" t="s">
        <x:v>118</x:v>
      </x:c>
      <x:c r="AK143" s="220">
        <x:f>COUNTIF(F143:AJ143,"X")</x:f>
      </x:c>
      <x:c r="AL143" s="221"/>
      <x:c r="AM143" s="221"/>
      <x:c r="AN143" s="222"/>
      <x:c r="AO143" s="222"/>
      <x:c r="AP143" s="228"/>
      <x:c r="AQ143" s="228"/>
      <x:c r="AR143" s="228"/>
      <x:c r="AS143" s="228"/>
      <x:c r="AT143" s="230"/>
    </x:row>
    <x:row r="144" spans="1:47" ht="19.9" customHeight="1">
      <x:c r="A144" s="274" t="s">
        <x:v>2141</x:v>
      </x:c>
      <x:c r="B144" s="216"/>
      <x:c r="C144" s="275" t="s">
        <x:v>2142</x:v>
      </x:c>
      <x:c r="D144" s="274" t="s">
        <x:v>2143</x:v>
      </x:c>
      <x:c r="E144" s="276" t="s">
        <x:v>2144</x:v>
      </x:c>
      <x:c r="F144" s="277" t="s">
        <x:v>118</x:v>
      </x:c>
      <x:c r="G144" s="277" t="s">
        <x:v>118</x:v>
      </x:c>
      <x:c r="H144" s="277" t="s">
        <x:v>118</x:v>
      </x:c>
      <x:c r="I144" s="277" t="s">
        <x:v>118</x:v>
      </x:c>
      <x:c r="J144" s="277" t="s">
        <x:v>118</x:v>
      </x:c>
      <x:c r="K144" s="277" t="s">
        <x:v>118</x:v>
      </x:c>
      <x:c r="L144" s="277" t="s">
        <x:v>118</x:v>
      </x:c>
      <x:c r="M144" s="277" t="s">
        <x:v>118</x:v>
      </x:c>
      <x:c r="N144" s="277" t="s">
        <x:v>118</x:v>
      </x:c>
      <x:c r="O144" s="277" t="s">
        <x:v>118</x:v>
      </x:c>
      <x:c r="P144" s="277" t="s">
        <x:v>118</x:v>
      </x:c>
      <x:c r="Q144" s="277" t="s">
        <x:v>118</x:v>
      </x:c>
      <x:c r="R144" s="277" t="s">
        <x:v>118</x:v>
      </x:c>
      <x:c r="S144" s="277" t="s">
        <x:v>118</x:v>
      </x:c>
      <x:c r="T144" s="277" t="s">
        <x:v>118</x:v>
      </x:c>
      <x:c r="U144" s="277" t="s">
        <x:v>118</x:v>
      </x:c>
      <x:c r="V144" s="277" t="s">
        <x:v>118</x:v>
      </x:c>
      <x:c r="W144" s="277" t="s">
        <x:v>118</x:v>
      </x:c>
      <x:c r="X144" s="277" t="s">
        <x:v>118</x:v>
      </x:c>
      <x:c r="Y144" s="277" t="s">
        <x:v>118</x:v>
      </x:c>
      <x:c r="Z144" s="277" t="s">
        <x:v>118</x:v>
      </x:c>
      <x:c r="AA144" s="277" t="s">
        <x:v>118</x:v>
      </x:c>
      <x:c r="AB144" s="277" t="s">
        <x:v>118</x:v>
      </x:c>
      <x:c r="AC144" s="277" t="s">
        <x:v>118</x:v>
      </x:c>
      <x:c r="AD144" s="277" t="s">
        <x:v>118</x:v>
      </x:c>
      <x:c r="AE144" s="277" t="s">
        <x:v>118</x:v>
      </x:c>
      <x:c r="AF144" s="277" t="s">
        <x:v>118</x:v>
      </x:c>
      <x:c r="AG144" s="277" t="s">
        <x:v>118</x:v>
      </x:c>
      <x:c r="AH144" s="277" t="s">
        <x:v>118</x:v>
      </x:c>
      <x:c r="AI144" s="277" t="s">
        <x:v>118</x:v>
      </x:c>
      <x:c r="AJ144" s="277" t="s">
        <x:v>118</x:v>
      </x:c>
      <x:c r="AK144" s="220">
        <x:f>COUNTIF(F144:AJ144,"X")</x:f>
      </x:c>
      <x:c r="AL144" s="221"/>
      <x:c r="AM144" s="221"/>
      <x:c r="AN144" s="222"/>
      <x:c r="AO144" s="222"/>
      <x:c r="AP144" s="228"/>
      <x:c r="AQ144" s="228"/>
      <x:c r="AR144" s="228"/>
      <x:c r="AS144" s="228"/>
      <x:c r="AT144" s="230"/>
    </x:row>
    <x:row r="145" spans="1:47" ht="19.9" customHeight="1">
      <x:c r="A145" s="274" t="s">
        <x:v>2145</x:v>
      </x:c>
      <x:c r="B145" s="216"/>
      <x:c r="C145" s="275" t="s">
        <x:v>2146</x:v>
      </x:c>
      <x:c r="D145" s="274" t="s">
        <x:v>2147</x:v>
      </x:c>
      <x:c r="E145" s="276" t="s">
        <x:v>2148</x:v>
      </x:c>
      <x:c r="F145" s="277" t="s">
        <x:v>118</x:v>
      </x:c>
      <x:c r="G145" s="277" t="s">
        <x:v>118</x:v>
      </x:c>
      <x:c r="H145" s="277" t="s">
        <x:v>118</x:v>
      </x:c>
      <x:c r="I145" s="277" t="s">
        <x:v>118</x:v>
      </x:c>
      <x:c r="J145" s="277" t="s">
        <x:v>118</x:v>
      </x:c>
      <x:c r="K145" s="277" t="s">
        <x:v>118</x:v>
      </x:c>
      <x:c r="L145" s="277" t="s">
        <x:v>118</x:v>
      </x:c>
      <x:c r="M145" s="277" t="s">
        <x:v>118</x:v>
      </x:c>
      <x:c r="N145" s="277" t="s">
        <x:v>118</x:v>
      </x:c>
      <x:c r="O145" s="277" t="s">
        <x:v>118</x:v>
      </x:c>
      <x:c r="P145" s="277" t="s">
        <x:v>118</x:v>
      </x:c>
      <x:c r="Q145" s="277" t="s">
        <x:v>118</x:v>
      </x:c>
      <x:c r="R145" s="277" t="s">
        <x:v>118</x:v>
      </x:c>
      <x:c r="S145" s="277" t="s">
        <x:v>118</x:v>
      </x:c>
      <x:c r="T145" s="277" t="s">
        <x:v>118</x:v>
      </x:c>
      <x:c r="U145" s="277" t="s">
        <x:v>118</x:v>
      </x:c>
      <x:c r="V145" s="277" t="s">
        <x:v>118</x:v>
      </x:c>
      <x:c r="W145" s="277" t="s">
        <x:v>118</x:v>
      </x:c>
      <x:c r="X145" s="277" t="s">
        <x:v>118</x:v>
      </x:c>
      <x:c r="Y145" s="277" t="s">
        <x:v>118</x:v>
      </x:c>
      <x:c r="Z145" s="277" t="s">
        <x:v>118</x:v>
      </x:c>
      <x:c r="AA145" s="277" t="s">
        <x:v>118</x:v>
      </x:c>
      <x:c r="AB145" s="277" t="s">
        <x:v>118</x:v>
      </x:c>
      <x:c r="AC145" s="277" t="s">
        <x:v>118</x:v>
      </x:c>
      <x:c r="AD145" s="277" t="s">
        <x:v>118</x:v>
      </x:c>
      <x:c r="AE145" s="277" t="s">
        <x:v>118</x:v>
      </x:c>
      <x:c r="AF145" s="277" t="s">
        <x:v>118</x:v>
      </x:c>
      <x:c r="AG145" s="277" t="s">
        <x:v>118</x:v>
      </x:c>
      <x:c r="AH145" s="277" t="s">
        <x:v>118</x:v>
      </x:c>
      <x:c r="AI145" s="277" t="s">
        <x:v>118</x:v>
      </x:c>
      <x:c r="AJ145" s="277" t="s">
        <x:v>118</x:v>
      </x:c>
      <x:c r="AK145" s="220">
        <x:f>COUNTIF(F145:AJ145,"X")</x:f>
      </x:c>
      <x:c r="AL145" s="221"/>
      <x:c r="AM145" s="221"/>
      <x:c r="AN145" s="222"/>
      <x:c r="AO145" s="222"/>
      <x:c r="AP145" s="228"/>
      <x:c r="AQ145" s="228"/>
      <x:c r="AR145" s="228"/>
      <x:c r="AS145" s="228"/>
      <x:c r="AT145" s="230"/>
    </x:row>
    <x:row r="146" spans="1:47" ht="19.9" customHeight="1">
      <x:c r="A146" s="274" t="s">
        <x:v>2149</x:v>
      </x:c>
      <x:c r="B146" s="216"/>
      <x:c r="C146" s="275" t="s">
        <x:v>2150</x:v>
      </x:c>
      <x:c r="D146" s="274" t="s">
        <x:v>2151</x:v>
      </x:c>
      <x:c r="E146" s="276" t="s">
        <x:v>1797</x:v>
      </x:c>
      <x:c r="F146" s="277" t="s">
        <x:v>118</x:v>
      </x:c>
      <x:c r="G146" s="277" t="s">
        <x:v>118</x:v>
      </x:c>
      <x:c r="H146" s="277" t="s">
        <x:v>118</x:v>
      </x:c>
      <x:c r="I146" s="277" t="s">
        <x:v>118</x:v>
      </x:c>
      <x:c r="J146" s="277" t="s">
        <x:v>118</x:v>
      </x:c>
      <x:c r="K146" s="277" t="s">
        <x:v>118</x:v>
      </x:c>
      <x:c r="L146" s="277" t="s">
        <x:v>118</x:v>
      </x:c>
      <x:c r="M146" s="277" t="s">
        <x:v>118</x:v>
      </x:c>
      <x:c r="N146" s="277" t="s">
        <x:v>118</x:v>
      </x:c>
      <x:c r="O146" s="277" t="s">
        <x:v>118</x:v>
      </x:c>
      <x:c r="P146" s="277" t="s">
        <x:v>118</x:v>
      </x:c>
      <x:c r="Q146" s="277" t="s">
        <x:v>118</x:v>
      </x:c>
      <x:c r="R146" s="277" t="s">
        <x:v>118</x:v>
      </x:c>
      <x:c r="S146" s="277" t="s">
        <x:v>118</x:v>
      </x:c>
      <x:c r="T146" s="277" t="s">
        <x:v>118</x:v>
      </x:c>
      <x:c r="U146" s="277" t="s">
        <x:v>118</x:v>
      </x:c>
      <x:c r="V146" s="277" t="s">
        <x:v>118</x:v>
      </x:c>
      <x:c r="W146" s="277" t="s">
        <x:v>118</x:v>
      </x:c>
      <x:c r="X146" s="277" t="s">
        <x:v>118</x:v>
      </x:c>
      <x:c r="Y146" s="277" t="s">
        <x:v>118</x:v>
      </x:c>
      <x:c r="Z146" s="277" t="s">
        <x:v>118</x:v>
      </x:c>
      <x:c r="AA146" s="277" t="s">
        <x:v>118</x:v>
      </x:c>
      <x:c r="AB146" s="277" t="s">
        <x:v>118</x:v>
      </x:c>
      <x:c r="AC146" s="277" t="s">
        <x:v>118</x:v>
      </x:c>
      <x:c r="AD146" s="277" t="s">
        <x:v>118</x:v>
      </x:c>
      <x:c r="AE146" s="277" t="s">
        <x:v>118</x:v>
      </x:c>
      <x:c r="AF146" s="277" t="s">
        <x:v>118</x:v>
      </x:c>
      <x:c r="AG146" s="277" t="s">
        <x:v>118</x:v>
      </x:c>
      <x:c r="AH146" s="277" t="s">
        <x:v>118</x:v>
      </x:c>
      <x:c r="AI146" s="277" t="s">
        <x:v>118</x:v>
      </x:c>
      <x:c r="AJ146" s="277" t="s">
        <x:v>118</x:v>
      </x:c>
      <x:c r="AK146" s="220">
        <x:f>COUNTIF(F146:AJ146,"X")</x:f>
      </x:c>
      <x:c r="AL146" s="221"/>
      <x:c r="AM146" s="221"/>
      <x:c r="AN146" s="222"/>
      <x:c r="AO146" s="222"/>
      <x:c r="AP146" s="228"/>
      <x:c r="AQ146" s="228"/>
      <x:c r="AR146" s="228"/>
      <x:c r="AS146" s="228"/>
      <x:c r="AT146" s="230"/>
    </x:row>
    <x:row r="147" spans="1:47" ht="19.9" customHeight="1">
      <x:c r="A147" s="274" t="s">
        <x:v>2152</x:v>
      </x:c>
      <x:c r="B147" s="216"/>
      <x:c r="C147" s="275" t="s">
        <x:v>2153</x:v>
      </x:c>
      <x:c r="D147" s="274" t="s">
        <x:v>2154</x:v>
      </x:c>
      <x:c r="E147" s="276" t="s">
        <x:v>1639</x:v>
      </x:c>
      <x:c r="F147" s="277" t="s">
        <x:v>118</x:v>
      </x:c>
      <x:c r="G147" s="277" t="s">
        <x:v>118</x:v>
      </x:c>
      <x:c r="H147" s="277" t="s">
        <x:v>118</x:v>
      </x:c>
      <x:c r="I147" s="277" t="s">
        <x:v>118</x:v>
      </x:c>
      <x:c r="J147" s="277" t="s">
        <x:v>118</x:v>
      </x:c>
      <x:c r="K147" s="277" t="s">
        <x:v>118</x:v>
      </x:c>
      <x:c r="L147" s="277" t="s">
        <x:v>118</x:v>
      </x:c>
      <x:c r="M147" s="277" t="s">
        <x:v>118</x:v>
      </x:c>
      <x:c r="N147" s="277" t="s">
        <x:v>118</x:v>
      </x:c>
      <x:c r="O147" s="277" t="s">
        <x:v>118</x:v>
      </x:c>
      <x:c r="P147" s="277" t="s">
        <x:v>118</x:v>
      </x:c>
      <x:c r="Q147" s="277" t="s">
        <x:v>118</x:v>
      </x:c>
      <x:c r="R147" s="277" t="s">
        <x:v>118</x:v>
      </x:c>
      <x:c r="S147" s="277" t="s">
        <x:v>118</x:v>
      </x:c>
      <x:c r="T147" s="277" t="s">
        <x:v>118</x:v>
      </x:c>
      <x:c r="U147" s="277" t="s">
        <x:v>118</x:v>
      </x:c>
      <x:c r="V147" s="277" t="s">
        <x:v>118</x:v>
      </x:c>
      <x:c r="W147" s="277" t="s">
        <x:v>118</x:v>
      </x:c>
      <x:c r="X147" s="277" t="s">
        <x:v>118</x:v>
      </x:c>
      <x:c r="Y147" s="277" t="s">
        <x:v>118</x:v>
      </x:c>
      <x:c r="Z147" s="277" t="s">
        <x:v>118</x:v>
      </x:c>
      <x:c r="AA147" s="277" t="s">
        <x:v>118</x:v>
      </x:c>
      <x:c r="AB147" s="277" t="s">
        <x:v>118</x:v>
      </x:c>
      <x:c r="AC147" s="277" t="s">
        <x:v>118</x:v>
      </x:c>
      <x:c r="AD147" s="277" t="s">
        <x:v>118</x:v>
      </x:c>
      <x:c r="AE147" s="277" t="s">
        <x:v>118</x:v>
      </x:c>
      <x:c r="AF147" s="277" t="s">
        <x:v>118</x:v>
      </x:c>
      <x:c r="AG147" s="277" t="s">
        <x:v>118</x:v>
      </x:c>
      <x:c r="AH147" s="277" t="s">
        <x:v>118</x:v>
      </x:c>
      <x:c r="AI147" s="277" t="s">
        <x:v>118</x:v>
      </x:c>
      <x:c r="AJ147" s="277" t="s">
        <x:v>118</x:v>
      </x:c>
      <x:c r="AK147" s="220">
        <x:f>COUNTIF(F147:AJ147,"X")</x:f>
      </x:c>
      <x:c r="AL147" s="221"/>
      <x:c r="AM147" s="221"/>
      <x:c r="AN147" s="222"/>
      <x:c r="AO147" s="222"/>
      <x:c r="AP147" s="228"/>
      <x:c r="AQ147" s="228"/>
      <x:c r="AR147" s="228"/>
      <x:c r="AS147" s="228"/>
      <x:c r="AT147" s="230"/>
    </x:row>
    <x:row r="148" spans="1:47" ht="19.9" customHeight="1">
      <x:c r="A148" s="274" t="s">
        <x:v>2155</x:v>
      </x:c>
      <x:c r="B148" s="216"/>
      <x:c r="C148" s="275" t="s">
        <x:v>2156</x:v>
      </x:c>
      <x:c r="D148" s="274" t="s">
        <x:v>2157</x:v>
      </x:c>
      <x:c r="E148" s="276" t="s">
        <x:v>2044</x:v>
      </x:c>
      <x:c r="F148" s="277" t="s">
        <x:v>118</x:v>
      </x:c>
      <x:c r="G148" s="277" t="s">
        <x:v>118</x:v>
      </x:c>
      <x:c r="H148" s="277" t="s">
        <x:v>118</x:v>
      </x:c>
      <x:c r="I148" s="277" t="s">
        <x:v>118</x:v>
      </x:c>
      <x:c r="J148" s="277" t="s">
        <x:v>118</x:v>
      </x:c>
      <x:c r="K148" s="277" t="s">
        <x:v>118</x:v>
      </x:c>
      <x:c r="L148" s="277" t="s">
        <x:v>118</x:v>
      </x:c>
      <x:c r="M148" s="277" t="s">
        <x:v>118</x:v>
      </x:c>
      <x:c r="N148" s="277" t="s">
        <x:v>118</x:v>
      </x:c>
      <x:c r="O148" s="277" t="s">
        <x:v>118</x:v>
      </x:c>
      <x:c r="P148" s="277" t="s">
        <x:v>118</x:v>
      </x:c>
      <x:c r="Q148" s="277" t="s">
        <x:v>118</x:v>
      </x:c>
      <x:c r="R148" s="277" t="s">
        <x:v>118</x:v>
      </x:c>
      <x:c r="S148" s="277" t="s">
        <x:v>118</x:v>
      </x:c>
      <x:c r="T148" s="277" t="s">
        <x:v>118</x:v>
      </x:c>
      <x:c r="U148" s="277" t="s">
        <x:v>118</x:v>
      </x:c>
      <x:c r="V148" s="277" t="s">
        <x:v>118</x:v>
      </x:c>
      <x:c r="W148" s="277" t="s">
        <x:v>118</x:v>
      </x:c>
      <x:c r="X148" s="277" t="s">
        <x:v>118</x:v>
      </x:c>
      <x:c r="Y148" s="277" t="s">
        <x:v>118</x:v>
      </x:c>
      <x:c r="Z148" s="277" t="s">
        <x:v>118</x:v>
      </x:c>
      <x:c r="AA148" s="277" t="s">
        <x:v>118</x:v>
      </x:c>
      <x:c r="AB148" s="277" t="s">
        <x:v>118</x:v>
      </x:c>
      <x:c r="AC148" s="277" t="s">
        <x:v>118</x:v>
      </x:c>
      <x:c r="AD148" s="277" t="s">
        <x:v>118</x:v>
      </x:c>
      <x:c r="AE148" s="277" t="s">
        <x:v>118</x:v>
      </x:c>
      <x:c r="AF148" s="277" t="s">
        <x:v>118</x:v>
      </x:c>
      <x:c r="AG148" s="277" t="s">
        <x:v>118</x:v>
      </x:c>
      <x:c r="AH148" s="277" t="s">
        <x:v>118</x:v>
      </x:c>
      <x:c r="AI148" s="277" t="s">
        <x:v>118</x:v>
      </x:c>
      <x:c r="AJ148" s="277" t="s">
        <x:v>118</x:v>
      </x:c>
      <x:c r="AK148" s="220">
        <x:f>COUNTIF(F148:AJ148,"X")</x:f>
      </x:c>
      <x:c r="AL148" s="221"/>
      <x:c r="AM148" s="221"/>
      <x:c r="AN148" s="222"/>
      <x:c r="AO148" s="222"/>
      <x:c r="AP148" s="228"/>
      <x:c r="AQ148" s="228"/>
      <x:c r="AR148" s="228"/>
      <x:c r="AS148" s="228"/>
      <x:c r="AT148" s="230"/>
    </x:row>
    <x:row r="149" spans="1:47" ht="19.9" customHeight="1">
      <x:c r="A149" s="274" t="s">
        <x:v>2158</x:v>
      </x:c>
      <x:c r="B149" s="216"/>
      <x:c r="C149" s="275" t="s">
        <x:v>2159</x:v>
      </x:c>
      <x:c r="D149" s="274" t="s">
        <x:v>2157</x:v>
      </x:c>
      <x:c r="E149" s="276" t="s">
        <x:v>2160</x:v>
      </x:c>
      <x:c r="F149" s="277" t="s">
        <x:v>118</x:v>
      </x:c>
      <x:c r="G149" s="277" t="s">
        <x:v>118</x:v>
      </x:c>
      <x:c r="H149" s="277" t="s">
        <x:v>118</x:v>
      </x:c>
      <x:c r="I149" s="277" t="s">
        <x:v>118</x:v>
      </x:c>
      <x:c r="J149" s="277" t="s">
        <x:v>118</x:v>
      </x:c>
      <x:c r="K149" s="277" t="s">
        <x:v>118</x:v>
      </x:c>
      <x:c r="L149" s="277" t="s">
        <x:v>118</x:v>
      </x:c>
      <x:c r="M149" s="277" t="s">
        <x:v>118</x:v>
      </x:c>
      <x:c r="N149" s="277" t="s">
        <x:v>118</x:v>
      </x:c>
      <x:c r="O149" s="277" t="s">
        <x:v>118</x:v>
      </x:c>
      <x:c r="P149" s="277" t="s">
        <x:v>118</x:v>
      </x:c>
      <x:c r="Q149" s="277" t="s">
        <x:v>118</x:v>
      </x:c>
      <x:c r="R149" s="277" t="s">
        <x:v>118</x:v>
      </x:c>
      <x:c r="S149" s="277" t="s">
        <x:v>118</x:v>
      </x:c>
      <x:c r="T149" s="277" t="s">
        <x:v>118</x:v>
      </x:c>
      <x:c r="U149" s="277" t="s">
        <x:v>118</x:v>
      </x:c>
      <x:c r="V149" s="277" t="s">
        <x:v>118</x:v>
      </x:c>
      <x:c r="W149" s="277" t="s">
        <x:v>118</x:v>
      </x:c>
      <x:c r="X149" s="277" t="s">
        <x:v>118</x:v>
      </x:c>
      <x:c r="Y149" s="277" t="s">
        <x:v>118</x:v>
      </x:c>
      <x:c r="Z149" s="277" t="s">
        <x:v>118</x:v>
      </x:c>
      <x:c r="AA149" s="277" t="s">
        <x:v>118</x:v>
      </x:c>
      <x:c r="AB149" s="277" t="s">
        <x:v>118</x:v>
      </x:c>
      <x:c r="AC149" s="277" t="s">
        <x:v>118</x:v>
      </x:c>
      <x:c r="AD149" s="277" t="s">
        <x:v>118</x:v>
      </x:c>
      <x:c r="AE149" s="277" t="s">
        <x:v>118</x:v>
      </x:c>
      <x:c r="AF149" s="277" t="s">
        <x:v>118</x:v>
      </x:c>
      <x:c r="AG149" s="277" t="s">
        <x:v>118</x:v>
      </x:c>
      <x:c r="AH149" s="277" t="s">
        <x:v>118</x:v>
      </x:c>
      <x:c r="AI149" s="277" t="s">
        <x:v>118</x:v>
      </x:c>
      <x:c r="AJ149" s="277" t="s">
        <x:v>118</x:v>
      </x:c>
      <x:c r="AK149" s="220">
        <x:f>COUNTIF(F149:AJ149,"X")</x:f>
      </x:c>
      <x:c r="AL149" s="221"/>
      <x:c r="AM149" s="221"/>
      <x:c r="AN149" s="222"/>
      <x:c r="AO149" s="222"/>
      <x:c r="AP149" s="228"/>
      <x:c r="AQ149" s="228"/>
      <x:c r="AR149" s="228"/>
      <x:c r="AS149" s="228"/>
      <x:c r="AT149" s="230"/>
    </x:row>
    <x:row r="150" spans="1:47" ht="19.9" customHeight="1">
      <x:c r="A150" s="274" t="s">
        <x:v>2161</x:v>
      </x:c>
      <x:c r="B150" s="216"/>
      <x:c r="C150" s="275" t="s">
        <x:v>2162</x:v>
      </x:c>
      <x:c r="D150" s="274" t="s">
        <x:v>2163</x:v>
      </x:c>
      <x:c r="E150" s="276" t="s">
        <x:v>2164</x:v>
      </x:c>
      <x:c r="F150" s="277" t="s">
        <x:v>118</x:v>
      </x:c>
      <x:c r="G150" s="277" t="s">
        <x:v>118</x:v>
      </x:c>
      <x:c r="H150" s="277" t="s">
        <x:v>118</x:v>
      </x:c>
      <x:c r="I150" s="277" t="s">
        <x:v>118</x:v>
      </x:c>
      <x:c r="J150" s="277" t="s">
        <x:v>118</x:v>
      </x:c>
      <x:c r="K150" s="277" t="s">
        <x:v>118</x:v>
      </x:c>
      <x:c r="L150" s="277" t="s">
        <x:v>118</x:v>
      </x:c>
      <x:c r="M150" s="277" t="s">
        <x:v>118</x:v>
      </x:c>
      <x:c r="N150" s="277" t="s">
        <x:v>118</x:v>
      </x:c>
      <x:c r="O150" s="277" t="s">
        <x:v>118</x:v>
      </x:c>
      <x:c r="P150" s="277" t="s">
        <x:v>118</x:v>
      </x:c>
      <x:c r="Q150" s="277" t="s">
        <x:v>118</x:v>
      </x:c>
      <x:c r="R150" s="277" t="s">
        <x:v>118</x:v>
      </x:c>
      <x:c r="S150" s="277" t="s">
        <x:v>118</x:v>
      </x:c>
      <x:c r="T150" s="277" t="s">
        <x:v>118</x:v>
      </x:c>
      <x:c r="U150" s="277" t="s">
        <x:v>118</x:v>
      </x:c>
      <x:c r="V150" s="277" t="s">
        <x:v>118</x:v>
      </x:c>
      <x:c r="W150" s="277" t="s">
        <x:v>118</x:v>
      </x:c>
      <x:c r="X150" s="277" t="s">
        <x:v>118</x:v>
      </x:c>
      <x:c r="Y150" s="277" t="s">
        <x:v>118</x:v>
      </x:c>
      <x:c r="Z150" s="277" t="s">
        <x:v>118</x:v>
      </x:c>
      <x:c r="AA150" s="277" t="s">
        <x:v>118</x:v>
      </x:c>
      <x:c r="AB150" s="277" t="s">
        <x:v>118</x:v>
      </x:c>
      <x:c r="AC150" s="277" t="s">
        <x:v>118</x:v>
      </x:c>
      <x:c r="AD150" s="277" t="s">
        <x:v>118</x:v>
      </x:c>
      <x:c r="AE150" s="277" t="s">
        <x:v>118</x:v>
      </x:c>
      <x:c r="AF150" s="277" t="s">
        <x:v>118</x:v>
      </x:c>
      <x:c r="AG150" s="277" t="s">
        <x:v>118</x:v>
      </x:c>
      <x:c r="AH150" s="277" t="s">
        <x:v>118</x:v>
      </x:c>
      <x:c r="AI150" s="277" t="s">
        <x:v>118</x:v>
      </x:c>
      <x:c r="AJ150" s="277" t="s">
        <x:v>118</x:v>
      </x:c>
      <x:c r="AK150" s="220">
        <x:f>COUNTIF(F150:AJ150,"X")</x:f>
      </x:c>
      <x:c r="AL150" s="221"/>
      <x:c r="AM150" s="221"/>
      <x:c r="AN150" s="222"/>
      <x:c r="AO150" s="222"/>
      <x:c r="AP150" s="228"/>
      <x:c r="AQ150" s="228"/>
      <x:c r="AR150" s="228"/>
      <x:c r="AS150" s="228"/>
      <x:c r="AT150" s="230"/>
    </x:row>
    <x:row r="151" spans="1:47" ht="19.9" customHeight="1">
      <x:c r="A151" s="274" t="s">
        <x:v>2165</x:v>
      </x:c>
      <x:c r="B151" s="216"/>
      <x:c r="C151" s="275" t="s">
        <x:v>2166</x:v>
      </x:c>
      <x:c r="D151" s="274" t="s">
        <x:v>2167</x:v>
      </x:c>
      <x:c r="E151" s="276" t="s">
        <x:v>2168</x:v>
      </x:c>
      <x:c r="F151" s="277" t="s">
        <x:v>118</x:v>
      </x:c>
      <x:c r="G151" s="277" t="s">
        <x:v>118</x:v>
      </x:c>
      <x:c r="H151" s="277" t="s">
        <x:v>118</x:v>
      </x:c>
      <x:c r="I151" s="277" t="s">
        <x:v>118</x:v>
      </x:c>
      <x:c r="J151" s="277" t="s">
        <x:v>118</x:v>
      </x:c>
      <x:c r="K151" s="277" t="s">
        <x:v>118</x:v>
      </x:c>
      <x:c r="L151" s="277" t="s">
        <x:v>118</x:v>
      </x:c>
      <x:c r="M151" s="277" t="s">
        <x:v>118</x:v>
      </x:c>
      <x:c r="N151" s="277" t="s">
        <x:v>118</x:v>
      </x:c>
      <x:c r="O151" s="277" t="s">
        <x:v>118</x:v>
      </x:c>
      <x:c r="P151" s="277" t="s">
        <x:v>118</x:v>
      </x:c>
      <x:c r="Q151" s="277" t="s">
        <x:v>118</x:v>
      </x:c>
      <x:c r="R151" s="277" t="s">
        <x:v>118</x:v>
      </x:c>
      <x:c r="S151" s="277" t="s">
        <x:v>118</x:v>
      </x:c>
      <x:c r="T151" s="277" t="s">
        <x:v>118</x:v>
      </x:c>
      <x:c r="U151" s="277" t="s">
        <x:v>118</x:v>
      </x:c>
      <x:c r="V151" s="277" t="s">
        <x:v>118</x:v>
      </x:c>
      <x:c r="W151" s="277" t="s">
        <x:v>118</x:v>
      </x:c>
      <x:c r="X151" s="277" t="s">
        <x:v>118</x:v>
      </x:c>
      <x:c r="Y151" s="277" t="s">
        <x:v>118</x:v>
      </x:c>
      <x:c r="Z151" s="277" t="s">
        <x:v>118</x:v>
      </x:c>
      <x:c r="AA151" s="277" t="s">
        <x:v>118</x:v>
      </x:c>
      <x:c r="AB151" s="277" t="s">
        <x:v>118</x:v>
      </x:c>
      <x:c r="AC151" s="277" t="s">
        <x:v>118</x:v>
      </x:c>
      <x:c r="AD151" s="277" t="s">
        <x:v>118</x:v>
      </x:c>
      <x:c r="AE151" s="277" t="s">
        <x:v>118</x:v>
      </x:c>
      <x:c r="AF151" s="277" t="s">
        <x:v>118</x:v>
      </x:c>
      <x:c r="AG151" s="277" t="s">
        <x:v>118</x:v>
      </x:c>
      <x:c r="AH151" s="277" t="s">
        <x:v>118</x:v>
      </x:c>
      <x:c r="AI151" s="277" t="s">
        <x:v>118</x:v>
      </x:c>
      <x:c r="AJ151" s="277" t="s">
        <x:v>118</x:v>
      </x:c>
      <x:c r="AK151" s="220">
        <x:f>COUNTIF(F151:AJ151,"X")</x:f>
      </x:c>
      <x:c r="AL151" s="221"/>
      <x:c r="AM151" s="221"/>
      <x:c r="AN151" s="222"/>
      <x:c r="AO151" s="222"/>
      <x:c r="AP151" s="228"/>
      <x:c r="AQ151" s="228"/>
      <x:c r="AR151" s="228"/>
      <x:c r="AS151" s="228"/>
      <x:c r="AT151" s="230"/>
    </x:row>
    <x:row r="152" spans="1:47" ht="19.9" customHeight="1">
      <x:c r="A152" s="274" t="s">
        <x:v>2169</x:v>
      </x:c>
      <x:c r="B152" s="216"/>
      <x:c r="C152" s="275" t="s">
        <x:v>2170</x:v>
      </x:c>
      <x:c r="D152" s="274" t="s">
        <x:v>1176</x:v>
      </x:c>
      <x:c r="E152" s="276" t="s">
        <x:v>123</x:v>
      </x:c>
      <x:c r="F152" s="277" t="s">
        <x:v>118</x:v>
      </x:c>
      <x:c r="G152" s="277" t="s">
        <x:v>118</x:v>
      </x:c>
      <x:c r="H152" s="277" t="s">
        <x:v>118</x:v>
      </x:c>
      <x:c r="I152" s="277" t="s">
        <x:v>118</x:v>
      </x:c>
      <x:c r="J152" s="277" t="s">
        <x:v>118</x:v>
      </x:c>
      <x:c r="K152" s="277" t="s">
        <x:v>118</x:v>
      </x:c>
      <x:c r="L152" s="277" t="s">
        <x:v>118</x:v>
      </x:c>
      <x:c r="M152" s="277" t="s">
        <x:v>118</x:v>
      </x:c>
      <x:c r="N152" s="277" t="s">
        <x:v>118</x:v>
      </x:c>
      <x:c r="O152" s="277" t="s">
        <x:v>118</x:v>
      </x:c>
      <x:c r="P152" s="277" t="s">
        <x:v>118</x:v>
      </x:c>
      <x:c r="Q152" s="277" t="s">
        <x:v>118</x:v>
      </x:c>
      <x:c r="R152" s="277" t="s">
        <x:v>118</x:v>
      </x:c>
      <x:c r="S152" s="277" t="s">
        <x:v>118</x:v>
      </x:c>
      <x:c r="T152" s="277" t="s">
        <x:v>118</x:v>
      </x:c>
      <x:c r="U152" s="277" t="s">
        <x:v>118</x:v>
      </x:c>
      <x:c r="V152" s="277" t="s">
        <x:v>118</x:v>
      </x:c>
      <x:c r="W152" s="277" t="s">
        <x:v>118</x:v>
      </x:c>
      <x:c r="X152" s="277" t="s">
        <x:v>118</x:v>
      </x:c>
      <x:c r="Y152" s="277" t="s">
        <x:v>118</x:v>
      </x:c>
      <x:c r="Z152" s="277" t="s">
        <x:v>118</x:v>
      </x:c>
      <x:c r="AA152" s="277" t="s">
        <x:v>118</x:v>
      </x:c>
      <x:c r="AB152" s="277" t="s">
        <x:v>118</x:v>
      </x:c>
      <x:c r="AC152" s="277" t="s">
        <x:v>118</x:v>
      </x:c>
      <x:c r="AD152" s="277" t="s">
        <x:v>118</x:v>
      </x:c>
      <x:c r="AE152" s="277" t="s">
        <x:v>118</x:v>
      </x:c>
      <x:c r="AF152" s="277" t="s">
        <x:v>118</x:v>
      </x:c>
      <x:c r="AG152" s="277" t="s">
        <x:v>118</x:v>
      </x:c>
      <x:c r="AH152" s="277" t="s">
        <x:v>118</x:v>
      </x:c>
      <x:c r="AI152" s="277" t="s">
        <x:v>118</x:v>
      </x:c>
      <x:c r="AJ152" s="277" t="s">
        <x:v>118</x:v>
      </x:c>
      <x:c r="AK152" s="220">
        <x:f>COUNTIF(F152:AJ152,"X")</x:f>
      </x:c>
      <x:c r="AL152" s="221"/>
      <x:c r="AM152" s="221"/>
      <x:c r="AN152" s="222"/>
      <x:c r="AO152" s="222"/>
      <x:c r="AP152" s="228"/>
      <x:c r="AQ152" s="228"/>
      <x:c r="AR152" s="228"/>
      <x:c r="AS152" s="228"/>
      <x:c r="AT152" s="230"/>
    </x:row>
    <x:row r="153" spans="1:47" ht="19.9" customHeight="1">
      <x:c r="A153" s="274" t="s">
        <x:v>2171</x:v>
      </x:c>
      <x:c r="B153" s="216"/>
      <x:c r="C153" s="275" t="s">
        <x:v>2172</x:v>
      </x:c>
      <x:c r="D153" s="274" t="s">
        <x:v>2173</x:v>
      </x:c>
      <x:c r="E153" s="276" t="s">
        <x:v>2174</x:v>
      </x:c>
      <x:c r="F153" s="277" t="s">
        <x:v>118</x:v>
      </x:c>
      <x:c r="G153" s="277" t="s">
        <x:v>118</x:v>
      </x:c>
      <x:c r="H153" s="277" t="s">
        <x:v>118</x:v>
      </x:c>
      <x:c r="I153" s="277" t="s">
        <x:v>118</x:v>
      </x:c>
      <x:c r="J153" s="277" t="s">
        <x:v>118</x:v>
      </x:c>
      <x:c r="K153" s="277" t="s">
        <x:v>118</x:v>
      </x:c>
      <x:c r="L153" s="277" t="s">
        <x:v>118</x:v>
      </x:c>
      <x:c r="M153" s="277" t="s">
        <x:v>118</x:v>
      </x:c>
      <x:c r="N153" s="277" t="s">
        <x:v>118</x:v>
      </x:c>
      <x:c r="O153" s="277" t="s">
        <x:v>118</x:v>
      </x:c>
      <x:c r="P153" s="277" t="s">
        <x:v>118</x:v>
      </x:c>
      <x:c r="Q153" s="277" t="s">
        <x:v>118</x:v>
      </x:c>
      <x:c r="R153" s="277" t="s">
        <x:v>118</x:v>
      </x:c>
      <x:c r="S153" s="277" t="s">
        <x:v>118</x:v>
      </x:c>
      <x:c r="T153" s="277" t="s">
        <x:v>118</x:v>
      </x:c>
      <x:c r="U153" s="277" t="s">
        <x:v>118</x:v>
      </x:c>
      <x:c r="V153" s="277" t="s">
        <x:v>118</x:v>
      </x:c>
      <x:c r="W153" s="277" t="s">
        <x:v>118</x:v>
      </x:c>
      <x:c r="X153" s="277" t="s">
        <x:v>118</x:v>
      </x:c>
      <x:c r="Y153" s="277" t="s">
        <x:v>118</x:v>
      </x:c>
      <x:c r="Z153" s="277" t="s">
        <x:v>118</x:v>
      </x:c>
      <x:c r="AA153" s="277" t="s">
        <x:v>118</x:v>
      </x:c>
      <x:c r="AB153" s="277" t="s">
        <x:v>118</x:v>
      </x:c>
      <x:c r="AC153" s="277" t="s">
        <x:v>118</x:v>
      </x:c>
      <x:c r="AD153" s="277" t="s">
        <x:v>118</x:v>
      </x:c>
      <x:c r="AE153" s="277" t="s">
        <x:v>118</x:v>
      </x:c>
      <x:c r="AF153" s="277" t="s">
        <x:v>118</x:v>
      </x:c>
      <x:c r="AG153" s="277" t="s">
        <x:v>118</x:v>
      </x:c>
      <x:c r="AH153" s="277" t="s">
        <x:v>118</x:v>
      </x:c>
      <x:c r="AI153" s="277" t="s">
        <x:v>118</x:v>
      </x:c>
      <x:c r="AJ153" s="277" t="s">
        <x:v>118</x:v>
      </x:c>
      <x:c r="AK153" s="220">
        <x:f>COUNTIF(F153:AJ153,"X")</x:f>
      </x:c>
      <x:c r="AL153" s="221"/>
      <x:c r="AM153" s="221"/>
      <x:c r="AN153" s="222"/>
      <x:c r="AO153" s="222"/>
      <x:c r="AP153" s="228"/>
      <x:c r="AQ153" s="228"/>
      <x:c r="AR153" s="228"/>
      <x:c r="AS153" s="228"/>
      <x:c r="AT153" s="230"/>
    </x:row>
    <x:row r="154" spans="1:47" ht="19.9" customHeight="1">
      <x:c r="A154" s="274" t="s">
        <x:v>2175</x:v>
      </x:c>
      <x:c r="B154" s="216"/>
      <x:c r="C154" s="275" t="s">
        <x:v>2176</x:v>
      </x:c>
      <x:c r="D154" s="274" t="s">
        <x:v>1180</x:v>
      </x:c>
      <x:c r="E154" s="276" t="s">
        <x:v>413</x:v>
      </x:c>
      <x:c r="F154" s="277" t="s">
        <x:v>118</x:v>
      </x:c>
      <x:c r="G154" s="277" t="s">
        <x:v>118</x:v>
      </x:c>
      <x:c r="H154" s="277" t="s">
        <x:v>118</x:v>
      </x:c>
      <x:c r="I154" s="277" t="s">
        <x:v>118</x:v>
      </x:c>
      <x:c r="J154" s="277" t="s">
        <x:v>118</x:v>
      </x:c>
      <x:c r="K154" s="277" t="s">
        <x:v>118</x:v>
      </x:c>
      <x:c r="L154" s="277" t="s">
        <x:v>118</x:v>
      </x:c>
      <x:c r="M154" s="277" t="s">
        <x:v>118</x:v>
      </x:c>
      <x:c r="N154" s="277" t="s">
        <x:v>118</x:v>
      </x:c>
      <x:c r="O154" s="277" t="s">
        <x:v>118</x:v>
      </x:c>
      <x:c r="P154" s="277" t="s">
        <x:v>118</x:v>
      </x:c>
      <x:c r="Q154" s="277" t="s">
        <x:v>118</x:v>
      </x:c>
      <x:c r="R154" s="277" t="s">
        <x:v>118</x:v>
      </x:c>
      <x:c r="S154" s="277" t="s">
        <x:v>118</x:v>
      </x:c>
      <x:c r="T154" s="277" t="s">
        <x:v>118</x:v>
      </x:c>
      <x:c r="U154" s="277" t="s">
        <x:v>118</x:v>
      </x:c>
      <x:c r="V154" s="277" t="s">
        <x:v>118</x:v>
      </x:c>
      <x:c r="W154" s="277" t="s">
        <x:v>118</x:v>
      </x:c>
      <x:c r="X154" s="277" t="s">
        <x:v>118</x:v>
      </x:c>
      <x:c r="Y154" s="277" t="s">
        <x:v>118</x:v>
      </x:c>
      <x:c r="Z154" s="277" t="s">
        <x:v>118</x:v>
      </x:c>
      <x:c r="AA154" s="277" t="s">
        <x:v>118</x:v>
      </x:c>
      <x:c r="AB154" s="277" t="s">
        <x:v>118</x:v>
      </x:c>
      <x:c r="AC154" s="277" t="s">
        <x:v>118</x:v>
      </x:c>
      <x:c r="AD154" s="277" t="s">
        <x:v>118</x:v>
      </x:c>
      <x:c r="AE154" s="277" t="s">
        <x:v>118</x:v>
      </x:c>
      <x:c r="AF154" s="277" t="s">
        <x:v>118</x:v>
      </x:c>
      <x:c r="AG154" s="277" t="s">
        <x:v>118</x:v>
      </x:c>
      <x:c r="AH154" s="277" t="s">
        <x:v>118</x:v>
      </x:c>
      <x:c r="AI154" s="277" t="s">
        <x:v>118</x:v>
      </x:c>
      <x:c r="AJ154" s="277" t="s">
        <x:v>118</x:v>
      </x:c>
      <x:c r="AK154" s="220">
        <x:f>COUNTIF(F154:AJ154,"X")</x:f>
      </x:c>
      <x:c r="AL154" s="221"/>
      <x:c r="AM154" s="221"/>
      <x:c r="AN154" s="222"/>
      <x:c r="AO154" s="222"/>
      <x:c r="AP154" s="228"/>
      <x:c r="AQ154" s="228"/>
      <x:c r="AR154" s="228"/>
      <x:c r="AS154" s="228"/>
      <x:c r="AT154" s="230"/>
    </x:row>
    <x:row r="155" spans="1:47" ht="19.9" customHeight="1">
      <x:c r="A155" s="274" t="s">
        <x:v>2177</x:v>
      </x:c>
      <x:c r="B155" s="216"/>
      <x:c r="C155" s="275" t="s">
        <x:v>2178</x:v>
      </x:c>
      <x:c r="D155" s="274" t="s">
        <x:v>2179</x:v>
      </x:c>
      <x:c r="E155" s="276" t="s">
        <x:v>2180</x:v>
      </x:c>
      <x:c r="F155" s="277" t="s">
        <x:v>118</x:v>
      </x:c>
      <x:c r="G155" s="277" t="s">
        <x:v>118</x:v>
      </x:c>
      <x:c r="H155" s="277" t="s">
        <x:v>118</x:v>
      </x:c>
      <x:c r="I155" s="277" t="s">
        <x:v>118</x:v>
      </x:c>
      <x:c r="J155" s="277" t="s">
        <x:v>118</x:v>
      </x:c>
      <x:c r="K155" s="277" t="s">
        <x:v>118</x:v>
      </x:c>
      <x:c r="L155" s="277" t="s">
        <x:v>118</x:v>
      </x:c>
      <x:c r="M155" s="277" t="s">
        <x:v>118</x:v>
      </x:c>
      <x:c r="N155" s="277" t="s">
        <x:v>118</x:v>
      </x:c>
      <x:c r="O155" s="277" t="s">
        <x:v>118</x:v>
      </x:c>
      <x:c r="P155" s="277" t="s">
        <x:v>118</x:v>
      </x:c>
      <x:c r="Q155" s="277" t="s">
        <x:v>118</x:v>
      </x:c>
      <x:c r="R155" s="277" t="s">
        <x:v>118</x:v>
      </x:c>
      <x:c r="S155" s="277" t="s">
        <x:v>118</x:v>
      </x:c>
      <x:c r="T155" s="277" t="s">
        <x:v>118</x:v>
      </x:c>
      <x:c r="U155" s="277" t="s">
        <x:v>118</x:v>
      </x:c>
      <x:c r="V155" s="277" t="s">
        <x:v>118</x:v>
      </x:c>
      <x:c r="W155" s="277" t="s">
        <x:v>118</x:v>
      </x:c>
      <x:c r="X155" s="277" t="s">
        <x:v>118</x:v>
      </x:c>
      <x:c r="Y155" s="277" t="s">
        <x:v>118</x:v>
      </x:c>
      <x:c r="Z155" s="277" t="s">
        <x:v>118</x:v>
      </x:c>
      <x:c r="AA155" s="277" t="s">
        <x:v>118</x:v>
      </x:c>
      <x:c r="AB155" s="277" t="s">
        <x:v>118</x:v>
      </x:c>
      <x:c r="AC155" s="277" t="s">
        <x:v>118</x:v>
      </x:c>
      <x:c r="AD155" s="277" t="s">
        <x:v>118</x:v>
      </x:c>
      <x:c r="AE155" s="277" t="s">
        <x:v>118</x:v>
      </x:c>
      <x:c r="AF155" s="277" t="s">
        <x:v>118</x:v>
      </x:c>
      <x:c r="AG155" s="277" t="s">
        <x:v>118</x:v>
      </x:c>
      <x:c r="AH155" s="277" t="s">
        <x:v>118</x:v>
      </x:c>
      <x:c r="AI155" s="277" t="s">
        <x:v>118</x:v>
      </x:c>
      <x:c r="AJ155" s="277" t="s">
        <x:v>118</x:v>
      </x:c>
      <x:c r="AK155" s="220">
        <x:f>COUNTIF(F155:AJ155,"X")</x:f>
      </x:c>
      <x:c r="AL155" s="221"/>
      <x:c r="AM155" s="221"/>
      <x:c r="AN155" s="222"/>
      <x:c r="AO155" s="222"/>
      <x:c r="AP155" s="228"/>
      <x:c r="AQ155" s="228"/>
      <x:c r="AR155" s="228"/>
      <x:c r="AS155" s="228"/>
      <x:c r="AT155" s="230"/>
    </x:row>
    <x:row r="156" spans="1:47" ht="19.9" customHeight="1">
      <x:c r="A156" s="274" t="s">
        <x:v>2181</x:v>
      </x:c>
      <x:c r="B156" s="216"/>
      <x:c r="C156" s="275" t="s">
        <x:v>2182</x:v>
      </x:c>
      <x:c r="D156" s="274" t="s">
        <x:v>2179</x:v>
      </x:c>
      <x:c r="E156" s="276" t="s">
        <x:v>1709</x:v>
      </x:c>
      <x:c r="F156" s="277" t="s">
        <x:v>118</x:v>
      </x:c>
      <x:c r="G156" s="277" t="s">
        <x:v>118</x:v>
      </x:c>
      <x:c r="H156" s="277" t="s">
        <x:v>118</x:v>
      </x:c>
      <x:c r="I156" s="277" t="s">
        <x:v>118</x:v>
      </x:c>
      <x:c r="J156" s="277" t="s">
        <x:v>118</x:v>
      </x:c>
      <x:c r="K156" s="277" t="s">
        <x:v>118</x:v>
      </x:c>
      <x:c r="L156" s="277" t="s">
        <x:v>118</x:v>
      </x:c>
      <x:c r="M156" s="277" t="s">
        <x:v>118</x:v>
      </x:c>
      <x:c r="N156" s="277" t="s">
        <x:v>118</x:v>
      </x:c>
      <x:c r="O156" s="277" t="s">
        <x:v>118</x:v>
      </x:c>
      <x:c r="P156" s="277" t="s">
        <x:v>118</x:v>
      </x:c>
      <x:c r="Q156" s="277" t="s">
        <x:v>118</x:v>
      </x:c>
      <x:c r="R156" s="277" t="s">
        <x:v>118</x:v>
      </x:c>
      <x:c r="S156" s="277" t="s">
        <x:v>118</x:v>
      </x:c>
      <x:c r="T156" s="277" t="s">
        <x:v>118</x:v>
      </x:c>
      <x:c r="U156" s="277" t="s">
        <x:v>118</x:v>
      </x:c>
      <x:c r="V156" s="277" t="s">
        <x:v>118</x:v>
      </x:c>
      <x:c r="W156" s="277" t="s">
        <x:v>118</x:v>
      </x:c>
      <x:c r="X156" s="277" t="s">
        <x:v>118</x:v>
      </x:c>
      <x:c r="Y156" s="277" t="s">
        <x:v>118</x:v>
      </x:c>
      <x:c r="Z156" s="277" t="s">
        <x:v>118</x:v>
      </x:c>
      <x:c r="AA156" s="277" t="s">
        <x:v>118</x:v>
      </x:c>
      <x:c r="AB156" s="277" t="s">
        <x:v>118</x:v>
      </x:c>
      <x:c r="AC156" s="277" t="s">
        <x:v>118</x:v>
      </x:c>
      <x:c r="AD156" s="277" t="s">
        <x:v>118</x:v>
      </x:c>
      <x:c r="AE156" s="277" t="s">
        <x:v>118</x:v>
      </x:c>
      <x:c r="AF156" s="277" t="s">
        <x:v>118</x:v>
      </x:c>
      <x:c r="AG156" s="277" t="s">
        <x:v>118</x:v>
      </x:c>
      <x:c r="AH156" s="277" t="s">
        <x:v>118</x:v>
      </x:c>
      <x:c r="AI156" s="277" t="s">
        <x:v>118</x:v>
      </x:c>
      <x:c r="AJ156" s="277" t="s">
        <x:v>118</x:v>
      </x:c>
      <x:c r="AK156" s="220">
        <x:f>COUNTIF(F156:AJ156,"X")</x:f>
      </x:c>
      <x:c r="AL156" s="221"/>
      <x:c r="AM156" s="221"/>
      <x:c r="AN156" s="222"/>
      <x:c r="AO156" s="222"/>
      <x:c r="AP156" s="228"/>
      <x:c r="AQ156" s="228"/>
      <x:c r="AR156" s="228"/>
      <x:c r="AS156" s="228"/>
      <x:c r="AT156" s="230"/>
    </x:row>
    <x:row r="157" spans="1:47" ht="19.9" customHeight="1">
      <x:c r="A157" s="274" t="s">
        <x:v>2183</x:v>
      </x:c>
      <x:c r="B157" s="216"/>
      <x:c r="C157" s="275" t="s">
        <x:v>2184</x:v>
      </x:c>
      <x:c r="D157" s="274" t="s">
        <x:v>2185</x:v>
      </x:c>
      <x:c r="E157" s="276" t="s">
        <x:v>2186</x:v>
      </x:c>
      <x:c r="F157" s="277" t="s">
        <x:v>118</x:v>
      </x:c>
      <x:c r="G157" s="277" t="s">
        <x:v>118</x:v>
      </x:c>
      <x:c r="H157" s="277" t="s">
        <x:v>118</x:v>
      </x:c>
      <x:c r="I157" s="277" t="s">
        <x:v>118</x:v>
      </x:c>
      <x:c r="J157" s="277" t="s">
        <x:v>118</x:v>
      </x:c>
      <x:c r="K157" s="277" t="s">
        <x:v>118</x:v>
      </x:c>
      <x:c r="L157" s="277" t="s">
        <x:v>118</x:v>
      </x:c>
      <x:c r="M157" s="277" t="s">
        <x:v>118</x:v>
      </x:c>
      <x:c r="N157" s="277" t="s">
        <x:v>118</x:v>
      </x:c>
      <x:c r="O157" s="277" t="s">
        <x:v>118</x:v>
      </x:c>
      <x:c r="P157" s="277" t="s">
        <x:v>118</x:v>
      </x:c>
      <x:c r="Q157" s="277" t="s">
        <x:v>118</x:v>
      </x:c>
      <x:c r="R157" s="277" t="s">
        <x:v>118</x:v>
      </x:c>
      <x:c r="S157" s="277" t="s">
        <x:v>118</x:v>
      </x:c>
      <x:c r="T157" s="277" t="s">
        <x:v>118</x:v>
      </x:c>
      <x:c r="U157" s="277" t="s">
        <x:v>118</x:v>
      </x:c>
      <x:c r="V157" s="277" t="s">
        <x:v>118</x:v>
      </x:c>
      <x:c r="W157" s="277" t="s">
        <x:v>118</x:v>
      </x:c>
      <x:c r="X157" s="277" t="s">
        <x:v>118</x:v>
      </x:c>
      <x:c r="Y157" s="277" t="s">
        <x:v>118</x:v>
      </x:c>
      <x:c r="Z157" s="277" t="s">
        <x:v>118</x:v>
      </x:c>
      <x:c r="AA157" s="277" t="s">
        <x:v>118</x:v>
      </x:c>
      <x:c r="AB157" s="277" t="s">
        <x:v>118</x:v>
      </x:c>
      <x:c r="AC157" s="277" t="s">
        <x:v>118</x:v>
      </x:c>
      <x:c r="AD157" s="277" t="s">
        <x:v>118</x:v>
      </x:c>
      <x:c r="AE157" s="277" t="s">
        <x:v>118</x:v>
      </x:c>
      <x:c r="AF157" s="277" t="s">
        <x:v>118</x:v>
      </x:c>
      <x:c r="AG157" s="277" t="s">
        <x:v>118</x:v>
      </x:c>
      <x:c r="AH157" s="277" t="s">
        <x:v>118</x:v>
      </x:c>
      <x:c r="AI157" s="277" t="s">
        <x:v>118</x:v>
      </x:c>
      <x:c r="AJ157" s="277" t="s">
        <x:v>118</x:v>
      </x:c>
      <x:c r="AK157" s="220">
        <x:f>COUNTIF(F157:AJ157,"X")</x:f>
      </x:c>
      <x:c r="AL157" s="221"/>
      <x:c r="AM157" s="221"/>
      <x:c r="AN157" s="222"/>
      <x:c r="AO157" s="222"/>
      <x:c r="AP157" s="228"/>
      <x:c r="AQ157" s="228"/>
      <x:c r="AR157" s="228"/>
      <x:c r="AS157" s="228"/>
      <x:c r="AT157" s="230"/>
    </x:row>
    <x:row r="158" spans="1:47" ht="19.9" customHeight="1">
      <x:c r="A158" s="274" t="s">
        <x:v>2187</x:v>
      </x:c>
      <x:c r="B158" s="216"/>
      <x:c r="C158" s="275" t="s">
        <x:v>2188</x:v>
      </x:c>
      <x:c r="D158" s="274" t="s">
        <x:v>416</x:v>
      </x:c>
      <x:c r="E158" s="276" t="s">
        <x:v>2189</x:v>
      </x:c>
      <x:c r="F158" s="277" t="s">
        <x:v>118</x:v>
      </x:c>
      <x:c r="G158" s="277" t="s">
        <x:v>118</x:v>
      </x:c>
      <x:c r="H158" s="277" t="s">
        <x:v>118</x:v>
      </x:c>
      <x:c r="I158" s="277" t="s">
        <x:v>118</x:v>
      </x:c>
      <x:c r="J158" s="277" t="s">
        <x:v>118</x:v>
      </x:c>
      <x:c r="K158" s="277" t="s">
        <x:v>118</x:v>
      </x:c>
      <x:c r="L158" s="277" t="s">
        <x:v>118</x:v>
      </x:c>
      <x:c r="M158" s="277" t="s">
        <x:v>118</x:v>
      </x:c>
      <x:c r="N158" s="277" t="s">
        <x:v>118</x:v>
      </x:c>
      <x:c r="O158" s="277" t="s">
        <x:v>118</x:v>
      </x:c>
      <x:c r="P158" s="277" t="s">
        <x:v>118</x:v>
      </x:c>
      <x:c r="Q158" s="277" t="s">
        <x:v>118</x:v>
      </x:c>
      <x:c r="R158" s="277" t="s">
        <x:v>118</x:v>
      </x:c>
      <x:c r="S158" s="277" t="s">
        <x:v>118</x:v>
      </x:c>
      <x:c r="T158" s="277" t="s">
        <x:v>118</x:v>
      </x:c>
      <x:c r="U158" s="277" t="s">
        <x:v>118</x:v>
      </x:c>
      <x:c r="V158" s="277" t="s">
        <x:v>118</x:v>
      </x:c>
      <x:c r="W158" s="277" t="s">
        <x:v>118</x:v>
      </x:c>
      <x:c r="X158" s="277" t="s">
        <x:v>118</x:v>
      </x:c>
      <x:c r="Y158" s="277" t="s">
        <x:v>118</x:v>
      </x:c>
      <x:c r="Z158" s="277" t="s">
        <x:v>118</x:v>
      </x:c>
      <x:c r="AA158" s="277" t="s">
        <x:v>118</x:v>
      </x:c>
      <x:c r="AB158" s="277" t="s">
        <x:v>118</x:v>
      </x:c>
      <x:c r="AC158" s="277" t="s">
        <x:v>118</x:v>
      </x:c>
      <x:c r="AD158" s="277" t="s">
        <x:v>118</x:v>
      </x:c>
      <x:c r="AE158" s="277" t="s">
        <x:v>118</x:v>
      </x:c>
      <x:c r="AF158" s="277" t="s">
        <x:v>118</x:v>
      </x:c>
      <x:c r="AG158" s="277" t="s">
        <x:v>118</x:v>
      </x:c>
      <x:c r="AH158" s="277" t="s">
        <x:v>118</x:v>
      </x:c>
      <x:c r="AI158" s="277" t="s">
        <x:v>118</x:v>
      </x:c>
      <x:c r="AJ158" s="277" t="s">
        <x:v>118</x:v>
      </x:c>
      <x:c r="AK158" s="220">
        <x:f>COUNTIF(F158:AJ158,"X")</x:f>
      </x:c>
      <x:c r="AL158" s="221"/>
      <x:c r="AM158" s="221"/>
      <x:c r="AN158" s="222"/>
      <x:c r="AO158" s="222"/>
      <x:c r="AP158" s="228"/>
      <x:c r="AQ158" s="228"/>
      <x:c r="AR158" s="228"/>
      <x:c r="AS158" s="228"/>
      <x:c r="AT158" s="230"/>
    </x:row>
    <x:row r="159" spans="1:47" ht="19.9" customHeight="1">
      <x:c r="A159" s="274" t="s">
        <x:v>2190</x:v>
      </x:c>
      <x:c r="B159" s="216"/>
      <x:c r="C159" s="275" t="s">
        <x:v>2191</x:v>
      </x:c>
      <x:c r="D159" s="274" t="s">
        <x:v>423</x:v>
      </x:c>
      <x:c r="E159" s="276" t="s">
        <x:v>2192</x:v>
      </x:c>
      <x:c r="F159" s="277" t="s">
        <x:v>118</x:v>
      </x:c>
      <x:c r="G159" s="277" t="s">
        <x:v>118</x:v>
      </x:c>
      <x:c r="H159" s="277" t="s">
        <x:v>118</x:v>
      </x:c>
      <x:c r="I159" s="277" t="s">
        <x:v>118</x:v>
      </x:c>
      <x:c r="J159" s="277" t="s">
        <x:v>118</x:v>
      </x:c>
      <x:c r="K159" s="277" t="s">
        <x:v>118</x:v>
      </x:c>
      <x:c r="L159" s="277" t="s">
        <x:v>118</x:v>
      </x:c>
      <x:c r="M159" s="277" t="s">
        <x:v>118</x:v>
      </x:c>
      <x:c r="N159" s="277" t="s">
        <x:v>118</x:v>
      </x:c>
      <x:c r="O159" s="277" t="s">
        <x:v>118</x:v>
      </x:c>
      <x:c r="P159" s="277" t="s">
        <x:v>118</x:v>
      </x:c>
      <x:c r="Q159" s="277" t="s">
        <x:v>118</x:v>
      </x:c>
      <x:c r="R159" s="277" t="s">
        <x:v>118</x:v>
      </x:c>
      <x:c r="S159" s="277" t="s">
        <x:v>118</x:v>
      </x:c>
      <x:c r="T159" s="277" t="s">
        <x:v>118</x:v>
      </x:c>
      <x:c r="U159" s="277" t="s">
        <x:v>118</x:v>
      </x:c>
      <x:c r="V159" s="277" t="s">
        <x:v>118</x:v>
      </x:c>
      <x:c r="W159" s="277" t="s">
        <x:v>118</x:v>
      </x:c>
      <x:c r="X159" s="277" t="s">
        <x:v>118</x:v>
      </x:c>
      <x:c r="Y159" s="277" t="s">
        <x:v>118</x:v>
      </x:c>
      <x:c r="Z159" s="277" t="s">
        <x:v>118</x:v>
      </x:c>
      <x:c r="AA159" s="277" t="s">
        <x:v>118</x:v>
      </x:c>
      <x:c r="AB159" s="277" t="s">
        <x:v>118</x:v>
      </x:c>
      <x:c r="AC159" s="277" t="s">
        <x:v>118</x:v>
      </x:c>
      <x:c r="AD159" s="277" t="s">
        <x:v>118</x:v>
      </x:c>
      <x:c r="AE159" s="277" t="s">
        <x:v>118</x:v>
      </x:c>
      <x:c r="AF159" s="277" t="s">
        <x:v>118</x:v>
      </x:c>
      <x:c r="AG159" s="277" t="s">
        <x:v>118</x:v>
      </x:c>
      <x:c r="AH159" s="277" t="s">
        <x:v>118</x:v>
      </x:c>
      <x:c r="AI159" s="277" t="s">
        <x:v>118</x:v>
      </x:c>
      <x:c r="AJ159" s="277" t="s">
        <x:v>118</x:v>
      </x:c>
      <x:c r="AK159" s="220">
        <x:f>COUNTIF(F159:AJ159,"X")</x:f>
      </x:c>
      <x:c r="AL159" s="221"/>
      <x:c r="AM159" s="221"/>
      <x:c r="AN159" s="222"/>
      <x:c r="AO159" s="222"/>
      <x:c r="AP159" s="228"/>
      <x:c r="AQ159" s="228"/>
      <x:c r="AR159" s="228"/>
      <x:c r="AS159" s="228"/>
      <x:c r="AT159" s="230"/>
    </x:row>
    <x:row r="160" spans="1:47" ht="19.9" customHeight="1">
      <x:c r="A160" s="274" t="s">
        <x:v>2193</x:v>
      </x:c>
      <x:c r="B160" s="216"/>
      <x:c r="C160" s="275" t="s">
        <x:v>2194</x:v>
      </x:c>
      <x:c r="D160" s="274" t="s">
        <x:v>2195</x:v>
      </x:c>
      <x:c r="E160" s="276" t="s">
        <x:v>2196</x:v>
      </x:c>
      <x:c r="F160" s="277" t="s">
        <x:v>118</x:v>
      </x:c>
      <x:c r="G160" s="277" t="s">
        <x:v>118</x:v>
      </x:c>
      <x:c r="H160" s="277" t="s">
        <x:v>118</x:v>
      </x:c>
      <x:c r="I160" s="277" t="s">
        <x:v>118</x:v>
      </x:c>
      <x:c r="J160" s="277" t="s">
        <x:v>118</x:v>
      </x:c>
      <x:c r="K160" s="277" t="s">
        <x:v>118</x:v>
      </x:c>
      <x:c r="L160" s="277" t="s">
        <x:v>118</x:v>
      </x:c>
      <x:c r="M160" s="277" t="s">
        <x:v>118</x:v>
      </x:c>
      <x:c r="N160" s="277" t="s">
        <x:v>118</x:v>
      </x:c>
      <x:c r="O160" s="277" t="s">
        <x:v>118</x:v>
      </x:c>
      <x:c r="P160" s="277" t="s">
        <x:v>118</x:v>
      </x:c>
      <x:c r="Q160" s="277" t="s">
        <x:v>118</x:v>
      </x:c>
      <x:c r="R160" s="277" t="s">
        <x:v>118</x:v>
      </x:c>
      <x:c r="S160" s="277" t="s">
        <x:v>118</x:v>
      </x:c>
      <x:c r="T160" s="277" t="s">
        <x:v>118</x:v>
      </x:c>
      <x:c r="U160" s="277" t="s">
        <x:v>118</x:v>
      </x:c>
      <x:c r="V160" s="277" t="s">
        <x:v>118</x:v>
      </x:c>
      <x:c r="W160" s="277" t="s">
        <x:v>118</x:v>
      </x:c>
      <x:c r="X160" s="277" t="s">
        <x:v>118</x:v>
      </x:c>
      <x:c r="Y160" s="277" t="s">
        <x:v>118</x:v>
      </x:c>
      <x:c r="Z160" s="277" t="s">
        <x:v>118</x:v>
      </x:c>
      <x:c r="AA160" s="277" t="s">
        <x:v>118</x:v>
      </x:c>
      <x:c r="AB160" s="277" t="s">
        <x:v>118</x:v>
      </x:c>
      <x:c r="AC160" s="277" t="s">
        <x:v>118</x:v>
      </x:c>
      <x:c r="AD160" s="277" t="s">
        <x:v>118</x:v>
      </x:c>
      <x:c r="AE160" s="277" t="s">
        <x:v>118</x:v>
      </x:c>
      <x:c r="AF160" s="277" t="s">
        <x:v>118</x:v>
      </x:c>
      <x:c r="AG160" s="277" t="s">
        <x:v>118</x:v>
      </x:c>
      <x:c r="AH160" s="277" t="s">
        <x:v>118</x:v>
      </x:c>
      <x:c r="AI160" s="277" t="s">
        <x:v>118</x:v>
      </x:c>
      <x:c r="AJ160" s="277" t="s">
        <x:v>118</x:v>
      </x:c>
      <x:c r="AK160" s="220">
        <x:f>COUNTIF(F160:AJ160,"X")</x:f>
      </x:c>
      <x:c r="AL160" s="221"/>
      <x:c r="AM160" s="221"/>
      <x:c r="AN160" s="222"/>
      <x:c r="AO160" s="222"/>
      <x:c r="AP160" s="228"/>
      <x:c r="AQ160" s="228"/>
      <x:c r="AR160" s="228"/>
      <x:c r="AS160" s="228"/>
      <x:c r="AT160" s="230"/>
    </x:row>
    <x:row r="161" spans="1:47" ht="19.9" customHeight="1">
      <x:c r="A161" s="274" t="s">
        <x:v>2197</x:v>
      </x:c>
      <x:c r="B161" s="216"/>
      <x:c r="C161" s="275" t="s">
        <x:v>2198</x:v>
      </x:c>
      <x:c r="D161" s="274" t="s">
        <x:v>2199</x:v>
      </x:c>
      <x:c r="E161" s="276" t="s">
        <x:v>2200</x:v>
      </x:c>
      <x:c r="F161" s="277" t="s">
        <x:v>118</x:v>
      </x:c>
      <x:c r="G161" s="277" t="s">
        <x:v>118</x:v>
      </x:c>
      <x:c r="H161" s="277" t="s">
        <x:v>118</x:v>
      </x:c>
      <x:c r="I161" s="277" t="s">
        <x:v>118</x:v>
      </x:c>
      <x:c r="J161" s="277" t="s">
        <x:v>118</x:v>
      </x:c>
      <x:c r="K161" s="277" t="s">
        <x:v>118</x:v>
      </x:c>
      <x:c r="L161" s="277" t="s">
        <x:v>118</x:v>
      </x:c>
      <x:c r="M161" s="277" t="s">
        <x:v>118</x:v>
      </x:c>
      <x:c r="N161" s="277" t="s">
        <x:v>118</x:v>
      </x:c>
      <x:c r="O161" s="277" t="s">
        <x:v>118</x:v>
      </x:c>
      <x:c r="P161" s="277" t="s">
        <x:v>118</x:v>
      </x:c>
      <x:c r="Q161" s="277" t="s">
        <x:v>118</x:v>
      </x:c>
      <x:c r="R161" s="277" t="s">
        <x:v>118</x:v>
      </x:c>
      <x:c r="S161" s="277" t="s">
        <x:v>118</x:v>
      </x:c>
      <x:c r="T161" s="277" t="s">
        <x:v>118</x:v>
      </x:c>
      <x:c r="U161" s="277" t="s">
        <x:v>118</x:v>
      </x:c>
      <x:c r="V161" s="277" t="s">
        <x:v>118</x:v>
      </x:c>
      <x:c r="W161" s="277" t="s">
        <x:v>118</x:v>
      </x:c>
      <x:c r="X161" s="277" t="s">
        <x:v>118</x:v>
      </x:c>
      <x:c r="Y161" s="277" t="s">
        <x:v>118</x:v>
      </x:c>
      <x:c r="Z161" s="277" t="s">
        <x:v>118</x:v>
      </x:c>
      <x:c r="AA161" s="277" t="s">
        <x:v>118</x:v>
      </x:c>
      <x:c r="AB161" s="277" t="s">
        <x:v>118</x:v>
      </x:c>
      <x:c r="AC161" s="277" t="s">
        <x:v>118</x:v>
      </x:c>
      <x:c r="AD161" s="277" t="s">
        <x:v>118</x:v>
      </x:c>
      <x:c r="AE161" s="277" t="s">
        <x:v>118</x:v>
      </x:c>
      <x:c r="AF161" s="277" t="s">
        <x:v>118</x:v>
      </x:c>
      <x:c r="AG161" s="277" t="s">
        <x:v>118</x:v>
      </x:c>
      <x:c r="AH161" s="277" t="s">
        <x:v>118</x:v>
      </x:c>
      <x:c r="AI161" s="277" t="s">
        <x:v>118</x:v>
      </x:c>
      <x:c r="AJ161" s="277" t="s">
        <x:v>118</x:v>
      </x:c>
      <x:c r="AK161" s="220">
        <x:f>COUNTIF(F161:AJ161,"X")</x:f>
      </x:c>
      <x:c r="AL161" s="221"/>
      <x:c r="AM161" s="221"/>
      <x:c r="AN161" s="222"/>
      <x:c r="AO161" s="222"/>
      <x:c r="AP161" s="228"/>
      <x:c r="AQ161" s="228"/>
      <x:c r="AR161" s="228"/>
      <x:c r="AS161" s="228"/>
      <x:c r="AT161" s="230"/>
    </x:row>
    <x:row r="162" spans="1:47" ht="19.9" customHeight="1">
      <x:c r="A162" s="274" t="s">
        <x:v>2201</x:v>
      </x:c>
      <x:c r="B162" s="216"/>
      <x:c r="C162" s="275" t="s">
        <x:v>2202</x:v>
      </x:c>
      <x:c r="D162" s="274" t="s">
        <x:v>2203</x:v>
      </x:c>
      <x:c r="E162" s="276" t="s">
        <x:v>1253</x:v>
      </x:c>
      <x:c r="F162" s="277" t="s">
        <x:v>118</x:v>
      </x:c>
      <x:c r="G162" s="277" t="s">
        <x:v>118</x:v>
      </x:c>
      <x:c r="H162" s="277" t="s">
        <x:v>118</x:v>
      </x:c>
      <x:c r="I162" s="277" t="s">
        <x:v>118</x:v>
      </x:c>
      <x:c r="J162" s="277" t="s">
        <x:v>118</x:v>
      </x:c>
      <x:c r="K162" s="277" t="s">
        <x:v>118</x:v>
      </x:c>
      <x:c r="L162" s="277" t="s">
        <x:v>118</x:v>
      </x:c>
      <x:c r="M162" s="277" t="s">
        <x:v>118</x:v>
      </x:c>
      <x:c r="N162" s="277" t="s">
        <x:v>118</x:v>
      </x:c>
      <x:c r="O162" s="277" t="s">
        <x:v>118</x:v>
      </x:c>
      <x:c r="P162" s="277" t="s">
        <x:v>118</x:v>
      </x:c>
      <x:c r="Q162" s="277" t="s">
        <x:v>118</x:v>
      </x:c>
      <x:c r="R162" s="277" t="s">
        <x:v>118</x:v>
      </x:c>
      <x:c r="S162" s="277" t="s">
        <x:v>118</x:v>
      </x:c>
      <x:c r="T162" s="277" t="s">
        <x:v>118</x:v>
      </x:c>
      <x:c r="U162" s="277" t="s">
        <x:v>118</x:v>
      </x:c>
      <x:c r="V162" s="277" t="s">
        <x:v>118</x:v>
      </x:c>
      <x:c r="W162" s="277" t="s">
        <x:v>118</x:v>
      </x:c>
      <x:c r="X162" s="277" t="s">
        <x:v>118</x:v>
      </x:c>
      <x:c r="Y162" s="277" t="s">
        <x:v>118</x:v>
      </x:c>
      <x:c r="Z162" s="277" t="s">
        <x:v>118</x:v>
      </x:c>
      <x:c r="AA162" s="277" t="s">
        <x:v>118</x:v>
      </x:c>
      <x:c r="AB162" s="277" t="s">
        <x:v>118</x:v>
      </x:c>
      <x:c r="AC162" s="277" t="s">
        <x:v>118</x:v>
      </x:c>
      <x:c r="AD162" s="277" t="s">
        <x:v>118</x:v>
      </x:c>
      <x:c r="AE162" s="277" t="s">
        <x:v>118</x:v>
      </x:c>
      <x:c r="AF162" s="277" t="s">
        <x:v>118</x:v>
      </x:c>
      <x:c r="AG162" s="277" t="s">
        <x:v>118</x:v>
      </x:c>
      <x:c r="AH162" s="277" t="s">
        <x:v>118</x:v>
      </x:c>
      <x:c r="AI162" s="277" t="s">
        <x:v>118</x:v>
      </x:c>
      <x:c r="AJ162" s="277" t="s">
        <x:v>118</x:v>
      </x:c>
      <x:c r="AK162" s="220">
        <x:f>COUNTIF(F162:AJ162,"X")</x:f>
      </x:c>
      <x:c r="AL162" s="221"/>
      <x:c r="AM162" s="221"/>
      <x:c r="AN162" s="222"/>
      <x:c r="AO162" s="222"/>
      <x:c r="AP162" s="228"/>
      <x:c r="AQ162" s="228"/>
      <x:c r="AR162" s="228"/>
      <x:c r="AS162" s="228"/>
      <x:c r="AT162" s="230"/>
    </x:row>
    <x:row r="163" spans="1:47" ht="19.9" customHeight="1">
      <x:c r="A163" s="274" t="s">
        <x:v>2204</x:v>
      </x:c>
      <x:c r="B163" s="216"/>
      <x:c r="C163" s="275" t="s">
        <x:v>2205</x:v>
      </x:c>
      <x:c r="D163" s="274" t="s">
        <x:v>431</x:v>
      </x:c>
      <x:c r="E163" s="276" t="s">
        <x:v>2206</x:v>
      </x:c>
      <x:c r="F163" s="277" t="s">
        <x:v>118</x:v>
      </x:c>
      <x:c r="G163" s="277" t="s">
        <x:v>118</x:v>
      </x:c>
      <x:c r="H163" s="277" t="s">
        <x:v>118</x:v>
      </x:c>
      <x:c r="I163" s="277" t="s">
        <x:v>118</x:v>
      </x:c>
      <x:c r="J163" s="277" t="s">
        <x:v>118</x:v>
      </x:c>
      <x:c r="K163" s="277" t="s">
        <x:v>118</x:v>
      </x:c>
      <x:c r="L163" s="277" t="s">
        <x:v>118</x:v>
      </x:c>
      <x:c r="M163" s="277" t="s">
        <x:v>118</x:v>
      </x:c>
      <x:c r="N163" s="277" t="s">
        <x:v>118</x:v>
      </x:c>
      <x:c r="O163" s="277" t="s">
        <x:v>118</x:v>
      </x:c>
      <x:c r="P163" s="277" t="s">
        <x:v>118</x:v>
      </x:c>
      <x:c r="Q163" s="277" t="s">
        <x:v>118</x:v>
      </x:c>
      <x:c r="R163" s="277" t="s">
        <x:v>118</x:v>
      </x:c>
      <x:c r="S163" s="277" t="s">
        <x:v>118</x:v>
      </x:c>
      <x:c r="T163" s="277" t="s">
        <x:v>118</x:v>
      </x:c>
      <x:c r="U163" s="277" t="s">
        <x:v>118</x:v>
      </x:c>
      <x:c r="V163" s="277" t="s">
        <x:v>118</x:v>
      </x:c>
      <x:c r="W163" s="277" t="s">
        <x:v>118</x:v>
      </x:c>
      <x:c r="X163" s="277" t="s">
        <x:v>118</x:v>
      </x:c>
      <x:c r="Y163" s="277" t="s">
        <x:v>118</x:v>
      </x:c>
      <x:c r="Z163" s="277" t="s">
        <x:v>118</x:v>
      </x:c>
      <x:c r="AA163" s="277" t="s">
        <x:v>118</x:v>
      </x:c>
      <x:c r="AB163" s="277" t="s">
        <x:v>118</x:v>
      </x:c>
      <x:c r="AC163" s="277" t="s">
        <x:v>118</x:v>
      </x:c>
      <x:c r="AD163" s="277" t="s">
        <x:v>118</x:v>
      </x:c>
      <x:c r="AE163" s="277" t="s">
        <x:v>118</x:v>
      </x:c>
      <x:c r="AF163" s="277" t="s">
        <x:v>118</x:v>
      </x:c>
      <x:c r="AG163" s="277" t="s">
        <x:v>118</x:v>
      </x:c>
      <x:c r="AH163" s="277" t="s">
        <x:v>118</x:v>
      </x:c>
      <x:c r="AI163" s="277" t="s">
        <x:v>118</x:v>
      </x:c>
      <x:c r="AJ163" s="277" t="s">
        <x:v>118</x:v>
      </x:c>
      <x:c r="AK163" s="220">
        <x:f>COUNTIF(F163:AJ163,"X")</x:f>
      </x:c>
      <x:c r="AL163" s="221"/>
      <x:c r="AM163" s="221"/>
      <x:c r="AN163" s="222"/>
      <x:c r="AO163" s="222"/>
      <x:c r="AP163" s="228"/>
      <x:c r="AQ163" s="228"/>
      <x:c r="AR163" s="228"/>
      <x:c r="AS163" s="228"/>
      <x:c r="AT163" s="230"/>
    </x:row>
    <x:row r="164" spans="1:47" ht="19.9" customHeight="1">
      <x:c r="A164" s="274" t="s">
        <x:v>2207</x:v>
      </x:c>
      <x:c r="B164" s="216"/>
      <x:c r="C164" s="275" t="s">
        <x:v>2208</x:v>
      </x:c>
      <x:c r="D164" s="274" t="s">
        <x:v>438</x:v>
      </x:c>
      <x:c r="E164" s="276" t="s">
        <x:v>1522</x:v>
      </x:c>
      <x:c r="F164" s="277" t="s">
        <x:v>118</x:v>
      </x:c>
      <x:c r="G164" s="277" t="s">
        <x:v>118</x:v>
      </x:c>
      <x:c r="H164" s="277" t="s">
        <x:v>118</x:v>
      </x:c>
      <x:c r="I164" s="277" t="s">
        <x:v>118</x:v>
      </x:c>
      <x:c r="J164" s="277" t="s">
        <x:v>118</x:v>
      </x:c>
      <x:c r="K164" s="277" t="s">
        <x:v>118</x:v>
      </x:c>
      <x:c r="L164" s="277" t="s">
        <x:v>118</x:v>
      </x:c>
      <x:c r="M164" s="277" t="s">
        <x:v>118</x:v>
      </x:c>
      <x:c r="N164" s="277" t="s">
        <x:v>118</x:v>
      </x:c>
      <x:c r="O164" s="277" t="s">
        <x:v>118</x:v>
      </x:c>
      <x:c r="P164" s="277" t="s">
        <x:v>118</x:v>
      </x:c>
      <x:c r="Q164" s="277" t="s">
        <x:v>118</x:v>
      </x:c>
      <x:c r="R164" s="277" t="s">
        <x:v>118</x:v>
      </x:c>
      <x:c r="S164" s="277" t="s">
        <x:v>118</x:v>
      </x:c>
      <x:c r="T164" s="277" t="s">
        <x:v>118</x:v>
      </x:c>
      <x:c r="U164" s="277" t="s">
        <x:v>118</x:v>
      </x:c>
      <x:c r="V164" s="277" t="s">
        <x:v>118</x:v>
      </x:c>
      <x:c r="W164" s="277" t="s">
        <x:v>118</x:v>
      </x:c>
      <x:c r="X164" s="277" t="s">
        <x:v>118</x:v>
      </x:c>
      <x:c r="Y164" s="277" t="s">
        <x:v>118</x:v>
      </x:c>
      <x:c r="Z164" s="277" t="s">
        <x:v>118</x:v>
      </x:c>
      <x:c r="AA164" s="277" t="s">
        <x:v>118</x:v>
      </x:c>
      <x:c r="AB164" s="277" t="s">
        <x:v>118</x:v>
      </x:c>
      <x:c r="AC164" s="277" t="s">
        <x:v>118</x:v>
      </x:c>
      <x:c r="AD164" s="277" t="s">
        <x:v>118</x:v>
      </x:c>
      <x:c r="AE164" s="277" t="s">
        <x:v>118</x:v>
      </x:c>
      <x:c r="AF164" s="277" t="s">
        <x:v>118</x:v>
      </x:c>
      <x:c r="AG164" s="277" t="s">
        <x:v>118</x:v>
      </x:c>
      <x:c r="AH164" s="277" t="s">
        <x:v>118</x:v>
      </x:c>
      <x:c r="AI164" s="277" t="s">
        <x:v>118</x:v>
      </x:c>
      <x:c r="AJ164" s="277" t="s">
        <x:v>118</x:v>
      </x:c>
      <x:c r="AK164" s="220">
        <x:f>COUNTIF(F164:AJ164,"X")</x:f>
      </x:c>
      <x:c r="AL164" s="221"/>
      <x:c r="AM164" s="221"/>
      <x:c r="AN164" s="222"/>
      <x:c r="AO164" s="222"/>
      <x:c r="AP164" s="228"/>
      <x:c r="AQ164" s="228"/>
      <x:c r="AR164" s="228"/>
      <x:c r="AS164" s="228"/>
      <x:c r="AT164" s="230"/>
    </x:row>
    <x:row r="165" spans="1:47" ht="19.9" customHeight="1">
      <x:c r="A165" s="274" t="s">
        <x:v>2209</x:v>
      </x:c>
      <x:c r="B165" s="216"/>
      <x:c r="C165" s="275" t="s">
        <x:v>2210</x:v>
      </x:c>
      <x:c r="D165" s="274" t="s">
        <x:v>2211</x:v>
      </x:c>
      <x:c r="E165" s="276" t="s">
        <x:v>2212</x:v>
      </x:c>
      <x:c r="F165" s="277" t="s">
        <x:v>118</x:v>
      </x:c>
      <x:c r="G165" s="277" t="s">
        <x:v>118</x:v>
      </x:c>
      <x:c r="H165" s="277" t="s">
        <x:v>118</x:v>
      </x:c>
      <x:c r="I165" s="277" t="s">
        <x:v>118</x:v>
      </x:c>
      <x:c r="J165" s="277" t="s">
        <x:v>118</x:v>
      </x:c>
      <x:c r="K165" s="277" t="s">
        <x:v>118</x:v>
      </x:c>
      <x:c r="L165" s="277" t="s">
        <x:v>118</x:v>
      </x:c>
      <x:c r="M165" s="277" t="s">
        <x:v>118</x:v>
      </x:c>
      <x:c r="N165" s="277" t="s">
        <x:v>118</x:v>
      </x:c>
      <x:c r="O165" s="277" t="s">
        <x:v>118</x:v>
      </x:c>
      <x:c r="P165" s="277" t="s">
        <x:v>118</x:v>
      </x:c>
      <x:c r="Q165" s="277" t="s">
        <x:v>118</x:v>
      </x:c>
      <x:c r="R165" s="277" t="s">
        <x:v>118</x:v>
      </x:c>
      <x:c r="S165" s="277" t="s">
        <x:v>118</x:v>
      </x:c>
      <x:c r="T165" s="277" t="s">
        <x:v>118</x:v>
      </x:c>
      <x:c r="U165" s="277" t="s">
        <x:v>118</x:v>
      </x:c>
      <x:c r="V165" s="277" t="s">
        <x:v>118</x:v>
      </x:c>
      <x:c r="W165" s="277" t="s">
        <x:v>118</x:v>
      </x:c>
      <x:c r="X165" s="277" t="s">
        <x:v>118</x:v>
      </x:c>
      <x:c r="Y165" s="277" t="s">
        <x:v>118</x:v>
      </x:c>
      <x:c r="Z165" s="277" t="s">
        <x:v>118</x:v>
      </x:c>
      <x:c r="AA165" s="277" t="s">
        <x:v>118</x:v>
      </x:c>
      <x:c r="AB165" s="277" t="s">
        <x:v>118</x:v>
      </x:c>
      <x:c r="AC165" s="277" t="s">
        <x:v>118</x:v>
      </x:c>
      <x:c r="AD165" s="277" t="s">
        <x:v>118</x:v>
      </x:c>
      <x:c r="AE165" s="277" t="s">
        <x:v>118</x:v>
      </x:c>
      <x:c r="AF165" s="277" t="s">
        <x:v>118</x:v>
      </x:c>
      <x:c r="AG165" s="277" t="s">
        <x:v>118</x:v>
      </x:c>
      <x:c r="AH165" s="277" t="s">
        <x:v>118</x:v>
      </x:c>
      <x:c r="AI165" s="277" t="s">
        <x:v>118</x:v>
      </x:c>
      <x:c r="AJ165" s="277" t="s">
        <x:v>118</x:v>
      </x:c>
      <x:c r="AK165" s="220">
        <x:f>COUNTIF(F165:AJ165,"X")</x:f>
      </x:c>
      <x:c r="AL165" s="221"/>
      <x:c r="AM165" s="221"/>
      <x:c r="AN165" s="222"/>
      <x:c r="AO165" s="222"/>
      <x:c r="AP165" s="228"/>
      <x:c r="AQ165" s="228"/>
      <x:c r="AR165" s="228"/>
      <x:c r="AS165" s="228"/>
      <x:c r="AT165" s="230"/>
    </x:row>
    <x:row r="166" spans="1:47" ht="19.9" customHeight="1">
      <x:c r="A166" s="274" t="s">
        <x:v>2213</x:v>
      </x:c>
      <x:c r="B166" s="216"/>
      <x:c r="C166" s="275" t="s">
        <x:v>2214</x:v>
      </x:c>
      <x:c r="D166" s="274" t="s">
        <x:v>442</x:v>
      </x:c>
      <x:c r="E166" s="276" t="s">
        <x:v>1386</x:v>
      </x:c>
      <x:c r="F166" s="277" t="s">
        <x:v>118</x:v>
      </x:c>
      <x:c r="G166" s="277" t="s">
        <x:v>118</x:v>
      </x:c>
      <x:c r="H166" s="277" t="s">
        <x:v>118</x:v>
      </x:c>
      <x:c r="I166" s="277" t="s">
        <x:v>118</x:v>
      </x:c>
      <x:c r="J166" s="277" t="s">
        <x:v>118</x:v>
      </x:c>
      <x:c r="K166" s="277" t="s">
        <x:v>118</x:v>
      </x:c>
      <x:c r="L166" s="277" t="s">
        <x:v>118</x:v>
      </x:c>
      <x:c r="M166" s="277" t="s">
        <x:v>118</x:v>
      </x:c>
      <x:c r="N166" s="277" t="s">
        <x:v>118</x:v>
      </x:c>
      <x:c r="O166" s="277" t="s">
        <x:v>118</x:v>
      </x:c>
      <x:c r="P166" s="277" t="s">
        <x:v>118</x:v>
      </x:c>
      <x:c r="Q166" s="277" t="s">
        <x:v>118</x:v>
      </x:c>
      <x:c r="R166" s="277" t="s">
        <x:v>118</x:v>
      </x:c>
      <x:c r="S166" s="277" t="s">
        <x:v>118</x:v>
      </x:c>
      <x:c r="T166" s="277" t="s">
        <x:v>118</x:v>
      </x:c>
      <x:c r="U166" s="277" t="s">
        <x:v>118</x:v>
      </x:c>
      <x:c r="V166" s="277" t="s">
        <x:v>118</x:v>
      </x:c>
      <x:c r="W166" s="277" t="s">
        <x:v>118</x:v>
      </x:c>
      <x:c r="X166" s="277" t="s">
        <x:v>118</x:v>
      </x:c>
      <x:c r="Y166" s="277" t="s">
        <x:v>118</x:v>
      </x:c>
      <x:c r="Z166" s="277" t="s">
        <x:v>118</x:v>
      </x:c>
      <x:c r="AA166" s="277" t="s">
        <x:v>118</x:v>
      </x:c>
      <x:c r="AB166" s="277" t="s">
        <x:v>118</x:v>
      </x:c>
      <x:c r="AC166" s="277" t="s">
        <x:v>118</x:v>
      </x:c>
      <x:c r="AD166" s="277" t="s">
        <x:v>118</x:v>
      </x:c>
      <x:c r="AE166" s="277" t="s">
        <x:v>118</x:v>
      </x:c>
      <x:c r="AF166" s="277" t="s">
        <x:v>118</x:v>
      </x:c>
      <x:c r="AG166" s="277" t="s">
        <x:v>118</x:v>
      </x:c>
      <x:c r="AH166" s="277" t="s">
        <x:v>118</x:v>
      </x:c>
      <x:c r="AI166" s="277" t="s">
        <x:v>118</x:v>
      </x:c>
      <x:c r="AJ166" s="277" t="s">
        <x:v>118</x:v>
      </x:c>
      <x:c r="AK166" s="220">
        <x:f>COUNTIF(F166:AJ166,"X")</x:f>
      </x:c>
      <x:c r="AL166" s="221"/>
      <x:c r="AM166" s="221"/>
      <x:c r="AN166" s="222"/>
      <x:c r="AO166" s="222"/>
      <x:c r="AP166" s="228"/>
      <x:c r="AQ166" s="228"/>
      <x:c r="AR166" s="228"/>
      <x:c r="AS166" s="228"/>
      <x:c r="AT166" s="230"/>
    </x:row>
    <x:row r="167" spans="1:47" ht="19.9" customHeight="1">
      <x:c r="A167" s="274" t="s">
        <x:v>2215</x:v>
      </x:c>
      <x:c r="B167" s="216"/>
      <x:c r="C167" s="275" t="s">
        <x:v>2216</x:v>
      </x:c>
      <x:c r="D167" s="274" t="s">
        <x:v>442</x:v>
      </x:c>
      <x:c r="E167" s="276" t="s">
        <x:v>2217</x:v>
      </x:c>
      <x:c r="F167" s="277" t="s">
        <x:v>118</x:v>
      </x:c>
      <x:c r="G167" s="277" t="s">
        <x:v>118</x:v>
      </x:c>
      <x:c r="H167" s="277" t="s">
        <x:v>118</x:v>
      </x:c>
      <x:c r="I167" s="277" t="s">
        <x:v>118</x:v>
      </x:c>
      <x:c r="J167" s="277" t="s">
        <x:v>118</x:v>
      </x:c>
      <x:c r="K167" s="277" t="s">
        <x:v>118</x:v>
      </x:c>
      <x:c r="L167" s="277" t="s">
        <x:v>118</x:v>
      </x:c>
      <x:c r="M167" s="277" t="s">
        <x:v>118</x:v>
      </x:c>
      <x:c r="N167" s="277" t="s">
        <x:v>118</x:v>
      </x:c>
      <x:c r="O167" s="277" t="s">
        <x:v>118</x:v>
      </x:c>
      <x:c r="P167" s="277" t="s">
        <x:v>118</x:v>
      </x:c>
      <x:c r="Q167" s="277" t="s">
        <x:v>118</x:v>
      </x:c>
      <x:c r="R167" s="277" t="s">
        <x:v>118</x:v>
      </x:c>
      <x:c r="S167" s="277" t="s">
        <x:v>118</x:v>
      </x:c>
      <x:c r="T167" s="277" t="s">
        <x:v>118</x:v>
      </x:c>
      <x:c r="U167" s="277" t="s">
        <x:v>118</x:v>
      </x:c>
      <x:c r="V167" s="277" t="s">
        <x:v>118</x:v>
      </x:c>
      <x:c r="W167" s="277" t="s">
        <x:v>118</x:v>
      </x:c>
      <x:c r="X167" s="277" t="s">
        <x:v>118</x:v>
      </x:c>
      <x:c r="Y167" s="277" t="s">
        <x:v>118</x:v>
      </x:c>
      <x:c r="Z167" s="277" t="s">
        <x:v>118</x:v>
      </x:c>
      <x:c r="AA167" s="277" t="s">
        <x:v>118</x:v>
      </x:c>
      <x:c r="AB167" s="277" t="s">
        <x:v>118</x:v>
      </x:c>
      <x:c r="AC167" s="277" t="s">
        <x:v>118</x:v>
      </x:c>
      <x:c r="AD167" s="277" t="s">
        <x:v>118</x:v>
      </x:c>
      <x:c r="AE167" s="277" t="s">
        <x:v>118</x:v>
      </x:c>
      <x:c r="AF167" s="277" t="s">
        <x:v>118</x:v>
      </x:c>
      <x:c r="AG167" s="277" t="s">
        <x:v>118</x:v>
      </x:c>
      <x:c r="AH167" s="277" t="s">
        <x:v>118</x:v>
      </x:c>
      <x:c r="AI167" s="277" t="s">
        <x:v>118</x:v>
      </x:c>
      <x:c r="AJ167" s="277" t="s">
        <x:v>118</x:v>
      </x:c>
      <x:c r="AK167" s="220">
        <x:f>COUNTIF(F167:AJ167,"X")</x:f>
      </x:c>
      <x:c r="AL167" s="221"/>
      <x:c r="AM167" s="221"/>
      <x:c r="AN167" s="222"/>
      <x:c r="AO167" s="222"/>
      <x:c r="AP167" s="228"/>
      <x:c r="AQ167" s="228"/>
      <x:c r="AR167" s="228"/>
      <x:c r="AS167" s="228"/>
      <x:c r="AT167" s="230"/>
    </x:row>
    <x:row r="168" spans="1:47" ht="19.9" customHeight="1">
      <x:c r="A168" s="274" t="s">
        <x:v>2218</x:v>
      </x:c>
      <x:c r="B168" s="216"/>
      <x:c r="C168" s="275" t="s">
        <x:v>2219</x:v>
      </x:c>
      <x:c r="D168" s="274" t="s">
        <x:v>442</x:v>
      </x:c>
      <x:c r="E168" s="276" t="s">
        <x:v>2220</x:v>
      </x:c>
      <x:c r="F168" s="277" t="s">
        <x:v>118</x:v>
      </x:c>
      <x:c r="G168" s="277" t="s">
        <x:v>118</x:v>
      </x:c>
      <x:c r="H168" s="277" t="s">
        <x:v>118</x:v>
      </x:c>
      <x:c r="I168" s="277" t="s">
        <x:v>118</x:v>
      </x:c>
      <x:c r="J168" s="277" t="s">
        <x:v>118</x:v>
      </x:c>
      <x:c r="K168" s="277" t="s">
        <x:v>118</x:v>
      </x:c>
      <x:c r="L168" s="277" t="s">
        <x:v>118</x:v>
      </x:c>
      <x:c r="M168" s="277" t="s">
        <x:v>118</x:v>
      </x:c>
      <x:c r="N168" s="277" t="s">
        <x:v>118</x:v>
      </x:c>
      <x:c r="O168" s="277" t="s">
        <x:v>118</x:v>
      </x:c>
      <x:c r="P168" s="277" t="s">
        <x:v>118</x:v>
      </x:c>
      <x:c r="Q168" s="277" t="s">
        <x:v>118</x:v>
      </x:c>
      <x:c r="R168" s="277" t="s">
        <x:v>118</x:v>
      </x:c>
      <x:c r="S168" s="277" t="s">
        <x:v>118</x:v>
      </x:c>
      <x:c r="T168" s="277" t="s">
        <x:v>118</x:v>
      </x:c>
      <x:c r="U168" s="277" t="s">
        <x:v>118</x:v>
      </x:c>
      <x:c r="V168" s="277" t="s">
        <x:v>118</x:v>
      </x:c>
      <x:c r="W168" s="277" t="s">
        <x:v>118</x:v>
      </x:c>
      <x:c r="X168" s="277" t="s">
        <x:v>118</x:v>
      </x:c>
      <x:c r="Y168" s="277" t="s">
        <x:v>118</x:v>
      </x:c>
      <x:c r="Z168" s="277" t="s">
        <x:v>118</x:v>
      </x:c>
      <x:c r="AA168" s="277" t="s">
        <x:v>118</x:v>
      </x:c>
      <x:c r="AB168" s="277" t="s">
        <x:v>118</x:v>
      </x:c>
      <x:c r="AC168" s="277" t="s">
        <x:v>118</x:v>
      </x:c>
      <x:c r="AD168" s="277" t="s">
        <x:v>118</x:v>
      </x:c>
      <x:c r="AE168" s="277" t="s">
        <x:v>118</x:v>
      </x:c>
      <x:c r="AF168" s="277" t="s">
        <x:v>118</x:v>
      </x:c>
      <x:c r="AG168" s="277" t="s">
        <x:v>118</x:v>
      </x:c>
      <x:c r="AH168" s="277" t="s">
        <x:v>118</x:v>
      </x:c>
      <x:c r="AI168" s="277" t="s">
        <x:v>118</x:v>
      </x:c>
      <x:c r="AJ168" s="277" t="s">
        <x:v>118</x:v>
      </x:c>
      <x:c r="AK168" s="220">
        <x:f>COUNTIF(F168:AJ168,"X")</x:f>
      </x:c>
      <x:c r="AL168" s="221"/>
      <x:c r="AM168" s="221"/>
      <x:c r="AN168" s="222"/>
      <x:c r="AO168" s="222"/>
      <x:c r="AP168" s="228"/>
      <x:c r="AQ168" s="228"/>
      <x:c r="AR168" s="228"/>
      <x:c r="AS168" s="228"/>
      <x:c r="AT168" s="230"/>
    </x:row>
    <x:row r="169" spans="1:47" ht="19.9" customHeight="1">
      <x:c r="A169" s="274" t="s">
        <x:v>2221</x:v>
      </x:c>
      <x:c r="B169" s="216"/>
      <x:c r="C169" s="275" t="s">
        <x:v>2222</x:v>
      </x:c>
      <x:c r="D169" s="274" t="s">
        <x:v>442</x:v>
      </x:c>
      <x:c r="E169" s="276" t="s">
        <x:v>469</x:v>
      </x:c>
      <x:c r="F169" s="277" t="s">
        <x:v>118</x:v>
      </x:c>
      <x:c r="G169" s="277" t="s">
        <x:v>118</x:v>
      </x:c>
      <x:c r="H169" s="277" t="s">
        <x:v>118</x:v>
      </x:c>
      <x:c r="I169" s="277" t="s">
        <x:v>118</x:v>
      </x:c>
      <x:c r="J169" s="277" t="s">
        <x:v>118</x:v>
      </x:c>
      <x:c r="K169" s="277" t="s">
        <x:v>118</x:v>
      </x:c>
      <x:c r="L169" s="277" t="s">
        <x:v>118</x:v>
      </x:c>
      <x:c r="M169" s="277" t="s">
        <x:v>118</x:v>
      </x:c>
      <x:c r="N169" s="277" t="s">
        <x:v>118</x:v>
      </x:c>
      <x:c r="O169" s="277" t="s">
        <x:v>118</x:v>
      </x:c>
      <x:c r="P169" s="277" t="s">
        <x:v>118</x:v>
      </x:c>
      <x:c r="Q169" s="277" t="s">
        <x:v>118</x:v>
      </x:c>
      <x:c r="R169" s="277" t="s">
        <x:v>118</x:v>
      </x:c>
      <x:c r="S169" s="277" t="s">
        <x:v>118</x:v>
      </x:c>
      <x:c r="T169" s="277" t="s">
        <x:v>118</x:v>
      </x:c>
      <x:c r="U169" s="277" t="s">
        <x:v>118</x:v>
      </x:c>
      <x:c r="V169" s="277" t="s">
        <x:v>118</x:v>
      </x:c>
      <x:c r="W169" s="277" t="s">
        <x:v>118</x:v>
      </x:c>
      <x:c r="X169" s="277" t="s">
        <x:v>118</x:v>
      </x:c>
      <x:c r="Y169" s="277" t="s">
        <x:v>118</x:v>
      </x:c>
      <x:c r="Z169" s="277" t="s">
        <x:v>118</x:v>
      </x:c>
      <x:c r="AA169" s="277" t="s">
        <x:v>118</x:v>
      </x:c>
      <x:c r="AB169" s="277" t="s">
        <x:v>118</x:v>
      </x:c>
      <x:c r="AC169" s="277" t="s">
        <x:v>118</x:v>
      </x:c>
      <x:c r="AD169" s="277" t="s">
        <x:v>118</x:v>
      </x:c>
      <x:c r="AE169" s="277" t="s">
        <x:v>118</x:v>
      </x:c>
      <x:c r="AF169" s="277" t="s">
        <x:v>118</x:v>
      </x:c>
      <x:c r="AG169" s="277" t="s">
        <x:v>118</x:v>
      </x:c>
      <x:c r="AH169" s="277" t="s">
        <x:v>118</x:v>
      </x:c>
      <x:c r="AI169" s="277" t="s">
        <x:v>118</x:v>
      </x:c>
      <x:c r="AJ169" s="277" t="s">
        <x:v>118</x:v>
      </x:c>
      <x:c r="AK169" s="220">
        <x:f>COUNTIF(F169:AJ169,"X")</x:f>
      </x:c>
      <x:c r="AL169" s="221"/>
      <x:c r="AM169" s="221"/>
      <x:c r="AN169" s="222"/>
      <x:c r="AO169" s="222"/>
      <x:c r="AP169" s="228"/>
      <x:c r="AQ169" s="228"/>
      <x:c r="AR169" s="228"/>
      <x:c r="AS169" s="228"/>
      <x:c r="AT169" s="230"/>
    </x:row>
    <x:row r="170" spans="1:47" ht="19.9" customHeight="1">
      <x:c r="A170" s="274" t="s">
        <x:v>2223</x:v>
      </x:c>
      <x:c r="B170" s="216"/>
      <x:c r="C170" s="275" t="s">
        <x:v>2224</x:v>
      </x:c>
      <x:c r="D170" s="274" t="s">
        <x:v>442</x:v>
      </x:c>
      <x:c r="E170" s="276" t="s">
        <x:v>2225</x:v>
      </x:c>
      <x:c r="F170" s="277" t="s">
        <x:v>118</x:v>
      </x:c>
      <x:c r="G170" s="277" t="s">
        <x:v>118</x:v>
      </x:c>
      <x:c r="H170" s="277" t="s">
        <x:v>118</x:v>
      </x:c>
      <x:c r="I170" s="277" t="s">
        <x:v>118</x:v>
      </x:c>
      <x:c r="J170" s="277" t="s">
        <x:v>118</x:v>
      </x:c>
      <x:c r="K170" s="277" t="s">
        <x:v>118</x:v>
      </x:c>
      <x:c r="L170" s="277" t="s">
        <x:v>118</x:v>
      </x:c>
      <x:c r="M170" s="277" t="s">
        <x:v>118</x:v>
      </x:c>
      <x:c r="N170" s="277" t="s">
        <x:v>118</x:v>
      </x:c>
      <x:c r="O170" s="277" t="s">
        <x:v>118</x:v>
      </x:c>
      <x:c r="P170" s="277" t="s">
        <x:v>118</x:v>
      </x:c>
      <x:c r="Q170" s="277" t="s">
        <x:v>118</x:v>
      </x:c>
      <x:c r="R170" s="277" t="s">
        <x:v>118</x:v>
      </x:c>
      <x:c r="S170" s="277" t="s">
        <x:v>118</x:v>
      </x:c>
      <x:c r="T170" s="277" t="s">
        <x:v>118</x:v>
      </x:c>
      <x:c r="U170" s="277" t="s">
        <x:v>118</x:v>
      </x:c>
      <x:c r="V170" s="277" t="s">
        <x:v>118</x:v>
      </x:c>
      <x:c r="W170" s="277" t="s">
        <x:v>118</x:v>
      </x:c>
      <x:c r="X170" s="277" t="s">
        <x:v>118</x:v>
      </x:c>
      <x:c r="Y170" s="277" t="s">
        <x:v>118</x:v>
      </x:c>
      <x:c r="Z170" s="277" t="s">
        <x:v>118</x:v>
      </x:c>
      <x:c r="AA170" s="277" t="s">
        <x:v>118</x:v>
      </x:c>
      <x:c r="AB170" s="277" t="s">
        <x:v>118</x:v>
      </x:c>
      <x:c r="AC170" s="277" t="s">
        <x:v>118</x:v>
      </x:c>
      <x:c r="AD170" s="277" t="s">
        <x:v>118</x:v>
      </x:c>
      <x:c r="AE170" s="277" t="s">
        <x:v>118</x:v>
      </x:c>
      <x:c r="AF170" s="277" t="s">
        <x:v>118</x:v>
      </x:c>
      <x:c r="AG170" s="277" t="s">
        <x:v>118</x:v>
      </x:c>
      <x:c r="AH170" s="277" t="s">
        <x:v>118</x:v>
      </x:c>
      <x:c r="AI170" s="277" t="s">
        <x:v>118</x:v>
      </x:c>
      <x:c r="AJ170" s="277" t="s">
        <x:v>118</x:v>
      </x:c>
      <x:c r="AK170" s="220">
        <x:f>COUNTIF(F170:AJ170,"X")</x:f>
      </x:c>
      <x:c r="AL170" s="221"/>
      <x:c r="AM170" s="221"/>
      <x:c r="AN170" s="222"/>
      <x:c r="AO170" s="222"/>
      <x:c r="AP170" s="228"/>
      <x:c r="AQ170" s="228"/>
      <x:c r="AR170" s="228"/>
      <x:c r="AS170" s="228"/>
      <x:c r="AT170" s="233"/>
    </x:row>
    <x:row r="171" spans="1:47" ht="19.9" customHeight="1">
      <x:c r="A171" s="274" t="s">
        <x:v>2226</x:v>
      </x:c>
      <x:c r="B171" s="216"/>
      <x:c r="C171" s="275" t="s">
        <x:v>2227</x:v>
      </x:c>
      <x:c r="D171" s="274" t="s">
        <x:v>2228</x:v>
      </x:c>
      <x:c r="E171" s="276" t="s">
        <x:v>2229</x:v>
      </x:c>
      <x:c r="F171" s="277" t="s">
        <x:v>118</x:v>
      </x:c>
      <x:c r="G171" s="277" t="s">
        <x:v>118</x:v>
      </x:c>
      <x:c r="H171" s="277" t="s">
        <x:v>118</x:v>
      </x:c>
      <x:c r="I171" s="277" t="s">
        <x:v>118</x:v>
      </x:c>
      <x:c r="J171" s="277" t="s">
        <x:v>118</x:v>
      </x:c>
      <x:c r="K171" s="277" t="s">
        <x:v>118</x:v>
      </x:c>
      <x:c r="L171" s="277" t="s">
        <x:v>118</x:v>
      </x:c>
      <x:c r="M171" s="277" t="s">
        <x:v>118</x:v>
      </x:c>
      <x:c r="N171" s="277" t="s">
        <x:v>118</x:v>
      </x:c>
      <x:c r="O171" s="277" t="s">
        <x:v>118</x:v>
      </x:c>
      <x:c r="P171" s="277" t="s">
        <x:v>118</x:v>
      </x:c>
      <x:c r="Q171" s="277" t="s">
        <x:v>118</x:v>
      </x:c>
      <x:c r="R171" s="277" t="s">
        <x:v>118</x:v>
      </x:c>
      <x:c r="S171" s="277" t="s">
        <x:v>118</x:v>
      </x:c>
      <x:c r="T171" s="277" t="s">
        <x:v>118</x:v>
      </x:c>
      <x:c r="U171" s="277" t="s">
        <x:v>118</x:v>
      </x:c>
      <x:c r="V171" s="277" t="s">
        <x:v>118</x:v>
      </x:c>
      <x:c r="W171" s="277" t="s">
        <x:v>118</x:v>
      </x:c>
      <x:c r="X171" s="277" t="s">
        <x:v>118</x:v>
      </x:c>
      <x:c r="Y171" s="277" t="s">
        <x:v>118</x:v>
      </x:c>
      <x:c r="Z171" s="277" t="s">
        <x:v>118</x:v>
      </x:c>
      <x:c r="AA171" s="277" t="s">
        <x:v>118</x:v>
      </x:c>
      <x:c r="AB171" s="277" t="s">
        <x:v>118</x:v>
      </x:c>
      <x:c r="AC171" s="277" t="s">
        <x:v>118</x:v>
      </x:c>
      <x:c r="AD171" s="277" t="s">
        <x:v>118</x:v>
      </x:c>
      <x:c r="AE171" s="277" t="s">
        <x:v>118</x:v>
      </x:c>
      <x:c r="AF171" s="277" t="s">
        <x:v>118</x:v>
      </x:c>
      <x:c r="AG171" s="277" t="s">
        <x:v>118</x:v>
      </x:c>
      <x:c r="AH171" s="277" t="s">
        <x:v>118</x:v>
      </x:c>
      <x:c r="AI171" s="277" t="s">
        <x:v>118</x:v>
      </x:c>
      <x:c r="AJ171" s="277" t="s">
        <x:v>118</x:v>
      </x:c>
      <x:c r="AK171" s="220">
        <x:f>COUNTIF(F171:AJ171,"X")</x:f>
      </x:c>
      <x:c r="AL171" s="221"/>
      <x:c r="AM171" s="221"/>
      <x:c r="AN171" s="222"/>
      <x:c r="AO171" s="222"/>
      <x:c r="AP171" s="228"/>
      <x:c r="AQ171" s="228"/>
      <x:c r="AR171" s="228"/>
      <x:c r="AS171" s="228"/>
      <x:c r="AT171" s="230"/>
    </x:row>
    <x:row r="172" spans="1:47" ht="19.9" customHeight="1">
      <x:c r="A172" s="274" t="s">
        <x:v>2230</x:v>
      </x:c>
      <x:c r="B172" s="216"/>
      <x:c r="C172" s="275" t="s">
        <x:v>2231</x:v>
      </x:c>
      <x:c r="D172" s="274" t="s">
        <x:v>2232</x:v>
      </x:c>
      <x:c r="E172" s="276" t="s">
        <x:v>2233</x:v>
      </x:c>
      <x:c r="F172" s="277" t="s">
        <x:v>118</x:v>
      </x:c>
      <x:c r="G172" s="277" t="s">
        <x:v>118</x:v>
      </x:c>
      <x:c r="H172" s="277" t="s">
        <x:v>118</x:v>
      </x:c>
      <x:c r="I172" s="277" t="s">
        <x:v>118</x:v>
      </x:c>
      <x:c r="J172" s="277" t="s">
        <x:v>118</x:v>
      </x:c>
      <x:c r="K172" s="277" t="s">
        <x:v>118</x:v>
      </x:c>
      <x:c r="L172" s="277" t="s">
        <x:v>118</x:v>
      </x:c>
      <x:c r="M172" s="277" t="s">
        <x:v>118</x:v>
      </x:c>
      <x:c r="N172" s="277" t="s">
        <x:v>118</x:v>
      </x:c>
      <x:c r="O172" s="277" t="s">
        <x:v>118</x:v>
      </x:c>
      <x:c r="P172" s="277" t="s">
        <x:v>118</x:v>
      </x:c>
      <x:c r="Q172" s="277" t="s">
        <x:v>118</x:v>
      </x:c>
      <x:c r="R172" s="277" t="s">
        <x:v>118</x:v>
      </x:c>
      <x:c r="S172" s="277" t="s">
        <x:v>118</x:v>
      </x:c>
      <x:c r="T172" s="277" t="s">
        <x:v>118</x:v>
      </x:c>
      <x:c r="U172" s="277" t="s">
        <x:v>118</x:v>
      </x:c>
      <x:c r="V172" s="277" t="s">
        <x:v>118</x:v>
      </x:c>
      <x:c r="W172" s="277" t="s">
        <x:v>118</x:v>
      </x:c>
      <x:c r="X172" s="277" t="s">
        <x:v>118</x:v>
      </x:c>
      <x:c r="Y172" s="277" t="s">
        <x:v>118</x:v>
      </x:c>
      <x:c r="Z172" s="277" t="s">
        <x:v>118</x:v>
      </x:c>
      <x:c r="AA172" s="277" t="s">
        <x:v>118</x:v>
      </x:c>
      <x:c r="AB172" s="277" t="s">
        <x:v>118</x:v>
      </x:c>
      <x:c r="AC172" s="277" t="s">
        <x:v>118</x:v>
      </x:c>
      <x:c r="AD172" s="277" t="s">
        <x:v>118</x:v>
      </x:c>
      <x:c r="AE172" s="277" t="s">
        <x:v>118</x:v>
      </x:c>
      <x:c r="AF172" s="277" t="s">
        <x:v>118</x:v>
      </x:c>
      <x:c r="AG172" s="277" t="s">
        <x:v>118</x:v>
      </x:c>
      <x:c r="AH172" s="277" t="s">
        <x:v>118</x:v>
      </x:c>
      <x:c r="AI172" s="277" t="s">
        <x:v>118</x:v>
      </x:c>
      <x:c r="AJ172" s="277" t="s">
        <x:v>118</x:v>
      </x:c>
      <x:c r="AK172" s="220">
        <x:f>COUNTIF(F172:AJ172,"X")</x:f>
      </x:c>
      <x:c r="AL172" s="221"/>
      <x:c r="AM172" s="221"/>
      <x:c r="AN172" s="222"/>
      <x:c r="AO172" s="222"/>
      <x:c r="AP172" s="228"/>
      <x:c r="AQ172" s="228"/>
      <x:c r="AR172" s="228"/>
      <x:c r="AS172" s="228"/>
      <x:c r="AT172" s="230"/>
    </x:row>
    <x:row r="173" spans="1:47" ht="19.9" customHeight="1">
      <x:c r="A173" s="274" t="s">
        <x:v>2234</x:v>
      </x:c>
      <x:c r="B173" s="216"/>
      <x:c r="C173" s="275" t="s">
        <x:v>2235</x:v>
      </x:c>
      <x:c r="D173" s="274" t="s">
        <x:v>2236</x:v>
      </x:c>
      <x:c r="E173" s="276" t="s">
        <x:v>2237</x:v>
      </x:c>
      <x:c r="F173" s="277" t="s">
        <x:v>118</x:v>
      </x:c>
      <x:c r="G173" s="277" t="s">
        <x:v>118</x:v>
      </x:c>
      <x:c r="H173" s="277" t="s">
        <x:v>118</x:v>
      </x:c>
      <x:c r="I173" s="277" t="s">
        <x:v>118</x:v>
      </x:c>
      <x:c r="J173" s="277" t="s">
        <x:v>118</x:v>
      </x:c>
      <x:c r="K173" s="277" t="s">
        <x:v>118</x:v>
      </x:c>
      <x:c r="L173" s="277" t="s">
        <x:v>118</x:v>
      </x:c>
      <x:c r="M173" s="277" t="s">
        <x:v>118</x:v>
      </x:c>
      <x:c r="N173" s="277" t="s">
        <x:v>118</x:v>
      </x:c>
      <x:c r="O173" s="277" t="s">
        <x:v>118</x:v>
      </x:c>
      <x:c r="P173" s="277" t="s">
        <x:v>118</x:v>
      </x:c>
      <x:c r="Q173" s="277" t="s">
        <x:v>118</x:v>
      </x:c>
      <x:c r="R173" s="277" t="s">
        <x:v>118</x:v>
      </x:c>
      <x:c r="S173" s="277" t="s">
        <x:v>118</x:v>
      </x:c>
      <x:c r="T173" s="277" t="s">
        <x:v>118</x:v>
      </x:c>
      <x:c r="U173" s="277" t="s">
        <x:v>118</x:v>
      </x:c>
      <x:c r="V173" s="277" t="s">
        <x:v>118</x:v>
      </x:c>
      <x:c r="W173" s="277" t="s">
        <x:v>118</x:v>
      </x:c>
      <x:c r="X173" s="277" t="s">
        <x:v>118</x:v>
      </x:c>
      <x:c r="Y173" s="277" t="s">
        <x:v>118</x:v>
      </x:c>
      <x:c r="Z173" s="277" t="s">
        <x:v>118</x:v>
      </x:c>
      <x:c r="AA173" s="277" t="s">
        <x:v>118</x:v>
      </x:c>
      <x:c r="AB173" s="277" t="s">
        <x:v>118</x:v>
      </x:c>
      <x:c r="AC173" s="277" t="s">
        <x:v>118</x:v>
      </x:c>
      <x:c r="AD173" s="277" t="s">
        <x:v>118</x:v>
      </x:c>
      <x:c r="AE173" s="277" t="s">
        <x:v>118</x:v>
      </x:c>
      <x:c r="AF173" s="277" t="s">
        <x:v>118</x:v>
      </x:c>
      <x:c r="AG173" s="277" t="s">
        <x:v>118</x:v>
      </x:c>
      <x:c r="AH173" s="277" t="s">
        <x:v>118</x:v>
      </x:c>
      <x:c r="AI173" s="277" t="s">
        <x:v>118</x:v>
      </x:c>
      <x:c r="AJ173" s="277" t="s">
        <x:v>118</x:v>
      </x:c>
      <x:c r="AK173" s="220">
        <x:f>COUNTIF(F173:AJ173,"X")</x:f>
      </x:c>
      <x:c r="AL173" s="221"/>
      <x:c r="AM173" s="221"/>
      <x:c r="AN173" s="222"/>
      <x:c r="AO173" s="222"/>
      <x:c r="AP173" s="228"/>
      <x:c r="AQ173" s="228"/>
      <x:c r="AR173" s="228"/>
      <x:c r="AS173" s="228"/>
      <x:c r="AT173" s="230"/>
    </x:row>
    <x:row r="174" spans="1:47" ht="19.9" customHeight="1">
      <x:c r="A174" s="274" t="s">
        <x:v>2238</x:v>
      </x:c>
      <x:c r="B174" s="216"/>
      <x:c r="C174" s="275" t="s">
        <x:v>2239</x:v>
      </x:c>
      <x:c r="D174" s="274" t="s">
        <x:v>2240</x:v>
      </x:c>
      <x:c r="E174" s="276" t="s">
        <x:v>563</x:v>
      </x:c>
      <x:c r="F174" s="277" t="s">
        <x:v>118</x:v>
      </x:c>
      <x:c r="G174" s="277" t="s">
        <x:v>118</x:v>
      </x:c>
      <x:c r="H174" s="277" t="s">
        <x:v>118</x:v>
      </x:c>
      <x:c r="I174" s="277" t="s">
        <x:v>118</x:v>
      </x:c>
      <x:c r="J174" s="277" t="s">
        <x:v>118</x:v>
      </x:c>
      <x:c r="K174" s="277" t="s">
        <x:v>118</x:v>
      </x:c>
      <x:c r="L174" s="277" t="s">
        <x:v>118</x:v>
      </x:c>
      <x:c r="M174" s="277" t="s">
        <x:v>118</x:v>
      </x:c>
      <x:c r="N174" s="277" t="s">
        <x:v>118</x:v>
      </x:c>
      <x:c r="O174" s="277" t="s">
        <x:v>118</x:v>
      </x:c>
      <x:c r="P174" s="277" t="s">
        <x:v>118</x:v>
      </x:c>
      <x:c r="Q174" s="277" t="s">
        <x:v>118</x:v>
      </x:c>
      <x:c r="R174" s="277" t="s">
        <x:v>118</x:v>
      </x:c>
      <x:c r="S174" s="277" t="s">
        <x:v>118</x:v>
      </x:c>
      <x:c r="T174" s="277" t="s">
        <x:v>118</x:v>
      </x:c>
      <x:c r="U174" s="277" t="s">
        <x:v>118</x:v>
      </x:c>
      <x:c r="V174" s="277" t="s">
        <x:v>118</x:v>
      </x:c>
      <x:c r="W174" s="277" t="s">
        <x:v>118</x:v>
      </x:c>
      <x:c r="X174" s="277" t="s">
        <x:v>118</x:v>
      </x:c>
      <x:c r="Y174" s="277" t="s">
        <x:v>118</x:v>
      </x:c>
      <x:c r="Z174" s="277" t="s">
        <x:v>118</x:v>
      </x:c>
      <x:c r="AA174" s="277" t="s">
        <x:v>118</x:v>
      </x:c>
      <x:c r="AB174" s="277" t="s">
        <x:v>118</x:v>
      </x:c>
      <x:c r="AC174" s="277" t="s">
        <x:v>118</x:v>
      </x:c>
      <x:c r="AD174" s="277" t="s">
        <x:v>118</x:v>
      </x:c>
      <x:c r="AE174" s="277" t="s">
        <x:v>118</x:v>
      </x:c>
      <x:c r="AF174" s="277" t="s">
        <x:v>118</x:v>
      </x:c>
      <x:c r="AG174" s="277" t="s">
        <x:v>118</x:v>
      </x:c>
      <x:c r="AH174" s="277" t="s">
        <x:v>118</x:v>
      </x:c>
      <x:c r="AI174" s="277" t="s">
        <x:v>118</x:v>
      </x:c>
      <x:c r="AJ174" s="277" t="s">
        <x:v>118</x:v>
      </x:c>
      <x:c r="AK174" s="220">
        <x:f>COUNTIF(F174:AJ174,"X")</x:f>
      </x:c>
      <x:c r="AL174" s="221"/>
      <x:c r="AM174" s="221"/>
      <x:c r="AN174" s="222"/>
      <x:c r="AO174" s="222"/>
      <x:c r="AP174" s="228"/>
      <x:c r="AQ174" s="228"/>
      <x:c r="AR174" s="228"/>
      <x:c r="AS174" s="228"/>
      <x:c r="AT174" s="233"/>
    </x:row>
    <x:row r="175" spans="1:47" ht="19.9" customHeight="1">
      <x:c r="A175" s="274" t="s">
        <x:v>2241</x:v>
      </x:c>
      <x:c r="B175" s="216"/>
      <x:c r="C175" s="275" t="s">
        <x:v>2242</x:v>
      </x:c>
      <x:c r="D175" s="274" t="s">
        <x:v>452</x:v>
      </x:c>
      <x:c r="E175" s="276" t="s">
        <x:v>1353</x:v>
      </x:c>
      <x:c r="F175" s="277" t="s">
        <x:v>118</x:v>
      </x:c>
      <x:c r="G175" s="277" t="s">
        <x:v>118</x:v>
      </x:c>
      <x:c r="H175" s="277" t="s">
        <x:v>118</x:v>
      </x:c>
      <x:c r="I175" s="277" t="s">
        <x:v>118</x:v>
      </x:c>
      <x:c r="J175" s="277" t="s">
        <x:v>118</x:v>
      </x:c>
      <x:c r="K175" s="277" t="s">
        <x:v>118</x:v>
      </x:c>
      <x:c r="L175" s="277" t="s">
        <x:v>118</x:v>
      </x:c>
      <x:c r="M175" s="277" t="s">
        <x:v>118</x:v>
      </x:c>
      <x:c r="N175" s="277" t="s">
        <x:v>118</x:v>
      </x:c>
      <x:c r="O175" s="277" t="s">
        <x:v>118</x:v>
      </x:c>
      <x:c r="P175" s="277" t="s">
        <x:v>118</x:v>
      </x:c>
      <x:c r="Q175" s="277" t="s">
        <x:v>118</x:v>
      </x:c>
      <x:c r="R175" s="277" t="s">
        <x:v>118</x:v>
      </x:c>
      <x:c r="S175" s="277" t="s">
        <x:v>118</x:v>
      </x:c>
      <x:c r="T175" s="277" t="s">
        <x:v>118</x:v>
      </x:c>
      <x:c r="U175" s="277" t="s">
        <x:v>118</x:v>
      </x:c>
      <x:c r="V175" s="277" t="s">
        <x:v>118</x:v>
      </x:c>
      <x:c r="W175" s="277" t="s">
        <x:v>118</x:v>
      </x:c>
      <x:c r="X175" s="277" t="s">
        <x:v>118</x:v>
      </x:c>
      <x:c r="Y175" s="277" t="s">
        <x:v>118</x:v>
      </x:c>
      <x:c r="Z175" s="277" t="s">
        <x:v>118</x:v>
      </x:c>
      <x:c r="AA175" s="277" t="s">
        <x:v>118</x:v>
      </x:c>
      <x:c r="AB175" s="277" t="s">
        <x:v>118</x:v>
      </x:c>
      <x:c r="AC175" s="277" t="s">
        <x:v>118</x:v>
      </x:c>
      <x:c r="AD175" s="277" t="s">
        <x:v>118</x:v>
      </x:c>
      <x:c r="AE175" s="277" t="s">
        <x:v>118</x:v>
      </x:c>
      <x:c r="AF175" s="277" t="s">
        <x:v>118</x:v>
      </x:c>
      <x:c r="AG175" s="277" t="s">
        <x:v>118</x:v>
      </x:c>
      <x:c r="AH175" s="277" t="s">
        <x:v>118</x:v>
      </x:c>
      <x:c r="AI175" s="277" t="s">
        <x:v>118</x:v>
      </x:c>
      <x:c r="AJ175" s="277" t="s">
        <x:v>118</x:v>
      </x:c>
      <x:c r="AK175" s="220">
        <x:f>COUNTIF(F175:AJ175,"X")</x:f>
      </x:c>
      <x:c r="AL175" s="221"/>
      <x:c r="AM175" s="221"/>
      <x:c r="AN175" s="222"/>
      <x:c r="AO175" s="222"/>
      <x:c r="AP175" s="228"/>
      <x:c r="AQ175" s="228"/>
      <x:c r="AR175" s="228"/>
      <x:c r="AS175" s="228"/>
      <x:c r="AT175" s="230"/>
    </x:row>
    <x:row r="176" spans="1:47" ht="19.9" customHeight="1">
      <x:c r="A176" s="274" t="s">
        <x:v>2243</x:v>
      </x:c>
      <x:c r="B176" s="216"/>
      <x:c r="C176" s="275" t="s">
        <x:v>2244</x:v>
      </x:c>
      <x:c r="D176" s="274" t="s">
        <x:v>462</x:v>
      </x:c>
      <x:c r="E176" s="276" t="s">
        <x:v>2245</x:v>
      </x:c>
      <x:c r="F176" s="277" t="s">
        <x:v>118</x:v>
      </x:c>
      <x:c r="G176" s="277" t="s">
        <x:v>118</x:v>
      </x:c>
      <x:c r="H176" s="277" t="s">
        <x:v>118</x:v>
      </x:c>
      <x:c r="I176" s="277" t="s">
        <x:v>118</x:v>
      </x:c>
      <x:c r="J176" s="277" t="s">
        <x:v>118</x:v>
      </x:c>
      <x:c r="K176" s="277" t="s">
        <x:v>118</x:v>
      </x:c>
      <x:c r="L176" s="277" t="s">
        <x:v>118</x:v>
      </x:c>
      <x:c r="M176" s="277" t="s">
        <x:v>118</x:v>
      </x:c>
      <x:c r="N176" s="277" t="s">
        <x:v>118</x:v>
      </x:c>
      <x:c r="O176" s="277" t="s">
        <x:v>118</x:v>
      </x:c>
      <x:c r="P176" s="277" t="s">
        <x:v>118</x:v>
      </x:c>
      <x:c r="Q176" s="277" t="s">
        <x:v>118</x:v>
      </x:c>
      <x:c r="R176" s="277" t="s">
        <x:v>118</x:v>
      </x:c>
      <x:c r="S176" s="277" t="s">
        <x:v>118</x:v>
      </x:c>
      <x:c r="T176" s="277" t="s">
        <x:v>118</x:v>
      </x:c>
      <x:c r="U176" s="277" t="s">
        <x:v>118</x:v>
      </x:c>
      <x:c r="V176" s="277" t="s">
        <x:v>118</x:v>
      </x:c>
      <x:c r="W176" s="277" t="s">
        <x:v>118</x:v>
      </x:c>
      <x:c r="X176" s="277" t="s">
        <x:v>118</x:v>
      </x:c>
      <x:c r="Y176" s="277" t="s">
        <x:v>118</x:v>
      </x:c>
      <x:c r="Z176" s="277" t="s">
        <x:v>118</x:v>
      </x:c>
      <x:c r="AA176" s="277" t="s">
        <x:v>118</x:v>
      </x:c>
      <x:c r="AB176" s="277" t="s">
        <x:v>118</x:v>
      </x:c>
      <x:c r="AC176" s="277" t="s">
        <x:v>118</x:v>
      </x:c>
      <x:c r="AD176" s="277" t="s">
        <x:v>118</x:v>
      </x:c>
      <x:c r="AE176" s="277" t="s">
        <x:v>118</x:v>
      </x:c>
      <x:c r="AF176" s="277" t="s">
        <x:v>118</x:v>
      </x:c>
      <x:c r="AG176" s="277" t="s">
        <x:v>118</x:v>
      </x:c>
      <x:c r="AH176" s="277" t="s">
        <x:v>118</x:v>
      </x:c>
      <x:c r="AI176" s="277" t="s">
        <x:v>118</x:v>
      </x:c>
      <x:c r="AJ176" s="277" t="s">
        <x:v>118</x:v>
      </x:c>
      <x:c r="AK176" s="220">
        <x:f>COUNTIF(F176:AJ176,"X")</x:f>
      </x:c>
      <x:c r="AL176" s="221"/>
      <x:c r="AM176" s="221"/>
      <x:c r="AN176" s="222"/>
      <x:c r="AO176" s="222"/>
      <x:c r="AP176" s="228"/>
      <x:c r="AQ176" s="228"/>
      <x:c r="AR176" s="228"/>
      <x:c r="AS176" s="228"/>
      <x:c r="AT176" s="230"/>
    </x:row>
    <x:row r="177" spans="1:47" ht="19.9" customHeight="1">
      <x:c r="A177" s="274" t="s">
        <x:v>2246</x:v>
      </x:c>
      <x:c r="B177" s="216"/>
      <x:c r="C177" s="275" t="s">
        <x:v>2247</x:v>
      </x:c>
      <x:c r="D177" s="274" t="s">
        <x:v>2248</x:v>
      </x:c>
      <x:c r="E177" s="276" t="s">
        <x:v>1047</x:v>
      </x:c>
      <x:c r="F177" s="277" t="s">
        <x:v>118</x:v>
      </x:c>
      <x:c r="G177" s="277" t="s">
        <x:v>118</x:v>
      </x:c>
      <x:c r="H177" s="277" t="s">
        <x:v>118</x:v>
      </x:c>
      <x:c r="I177" s="277" t="s">
        <x:v>118</x:v>
      </x:c>
      <x:c r="J177" s="277" t="s">
        <x:v>118</x:v>
      </x:c>
      <x:c r="K177" s="277" t="s">
        <x:v>118</x:v>
      </x:c>
      <x:c r="L177" s="277" t="s">
        <x:v>118</x:v>
      </x:c>
      <x:c r="M177" s="277" t="s">
        <x:v>118</x:v>
      </x:c>
      <x:c r="N177" s="277" t="s">
        <x:v>118</x:v>
      </x:c>
      <x:c r="O177" s="277" t="s">
        <x:v>118</x:v>
      </x:c>
      <x:c r="P177" s="277" t="s">
        <x:v>118</x:v>
      </x:c>
      <x:c r="Q177" s="277" t="s">
        <x:v>118</x:v>
      </x:c>
      <x:c r="R177" s="277" t="s">
        <x:v>118</x:v>
      </x:c>
      <x:c r="S177" s="277" t="s">
        <x:v>118</x:v>
      </x:c>
      <x:c r="T177" s="277" t="s">
        <x:v>118</x:v>
      </x:c>
      <x:c r="U177" s="277" t="s">
        <x:v>118</x:v>
      </x:c>
      <x:c r="V177" s="277" t="s">
        <x:v>118</x:v>
      </x:c>
      <x:c r="W177" s="277" t="s">
        <x:v>118</x:v>
      </x:c>
      <x:c r="X177" s="277" t="s">
        <x:v>118</x:v>
      </x:c>
      <x:c r="Y177" s="277" t="s">
        <x:v>118</x:v>
      </x:c>
      <x:c r="Z177" s="277" t="s">
        <x:v>118</x:v>
      </x:c>
      <x:c r="AA177" s="277" t="s">
        <x:v>118</x:v>
      </x:c>
      <x:c r="AB177" s="277" t="s">
        <x:v>118</x:v>
      </x:c>
      <x:c r="AC177" s="277" t="s">
        <x:v>118</x:v>
      </x:c>
      <x:c r="AD177" s="277" t="s">
        <x:v>118</x:v>
      </x:c>
      <x:c r="AE177" s="277" t="s">
        <x:v>118</x:v>
      </x:c>
      <x:c r="AF177" s="277" t="s">
        <x:v>118</x:v>
      </x:c>
      <x:c r="AG177" s="277" t="s">
        <x:v>118</x:v>
      </x:c>
      <x:c r="AH177" s="277" t="s">
        <x:v>118</x:v>
      </x:c>
      <x:c r="AI177" s="277" t="s">
        <x:v>118</x:v>
      </x:c>
      <x:c r="AJ177" s="277" t="s">
        <x:v>118</x:v>
      </x:c>
      <x:c r="AK177" s="220">
        <x:f>COUNTIF(F177:AJ177,"X")</x:f>
      </x:c>
      <x:c r="AL177" s="221"/>
      <x:c r="AM177" s="221"/>
      <x:c r="AN177" s="222"/>
      <x:c r="AO177" s="222"/>
      <x:c r="AP177" s="228"/>
      <x:c r="AQ177" s="228"/>
      <x:c r="AR177" s="228"/>
      <x:c r="AS177" s="228"/>
      <x:c r="AT177" s="230"/>
    </x:row>
    <x:row r="178" spans="1:47" ht="19.9" customHeight="1">
      <x:c r="A178" s="274" t="s">
        <x:v>2249</x:v>
      </x:c>
      <x:c r="B178" s="216"/>
      <x:c r="C178" s="275" t="s">
        <x:v>2250</x:v>
      </x:c>
      <x:c r="D178" s="274" t="s">
        <x:v>2251</x:v>
      </x:c>
      <x:c r="E178" s="276" t="s">
        <x:v>2252</x:v>
      </x:c>
      <x:c r="F178" s="277" t="s">
        <x:v>118</x:v>
      </x:c>
      <x:c r="G178" s="277" t="s">
        <x:v>118</x:v>
      </x:c>
      <x:c r="H178" s="277" t="s">
        <x:v>118</x:v>
      </x:c>
      <x:c r="I178" s="277" t="s">
        <x:v>118</x:v>
      </x:c>
      <x:c r="J178" s="277" t="s">
        <x:v>118</x:v>
      </x:c>
      <x:c r="K178" s="277" t="s">
        <x:v>118</x:v>
      </x:c>
      <x:c r="L178" s="277" t="s">
        <x:v>118</x:v>
      </x:c>
      <x:c r="M178" s="277" t="s">
        <x:v>118</x:v>
      </x:c>
      <x:c r="N178" s="277" t="s">
        <x:v>118</x:v>
      </x:c>
      <x:c r="O178" s="277" t="s">
        <x:v>118</x:v>
      </x:c>
      <x:c r="P178" s="277" t="s">
        <x:v>118</x:v>
      </x:c>
      <x:c r="Q178" s="277" t="s">
        <x:v>118</x:v>
      </x:c>
      <x:c r="R178" s="277" t="s">
        <x:v>118</x:v>
      </x:c>
      <x:c r="S178" s="277" t="s">
        <x:v>118</x:v>
      </x:c>
      <x:c r="T178" s="277" t="s">
        <x:v>118</x:v>
      </x:c>
      <x:c r="U178" s="277" t="s">
        <x:v>118</x:v>
      </x:c>
      <x:c r="V178" s="277" t="s">
        <x:v>118</x:v>
      </x:c>
      <x:c r="W178" s="277" t="s">
        <x:v>118</x:v>
      </x:c>
      <x:c r="X178" s="277" t="s">
        <x:v>118</x:v>
      </x:c>
      <x:c r="Y178" s="277" t="s">
        <x:v>118</x:v>
      </x:c>
      <x:c r="Z178" s="277" t="s">
        <x:v>118</x:v>
      </x:c>
      <x:c r="AA178" s="277" t="s">
        <x:v>118</x:v>
      </x:c>
      <x:c r="AB178" s="277" t="s">
        <x:v>118</x:v>
      </x:c>
      <x:c r="AC178" s="277" t="s">
        <x:v>118</x:v>
      </x:c>
      <x:c r="AD178" s="277" t="s">
        <x:v>118</x:v>
      </x:c>
      <x:c r="AE178" s="277" t="s">
        <x:v>118</x:v>
      </x:c>
      <x:c r="AF178" s="277" t="s">
        <x:v>118</x:v>
      </x:c>
      <x:c r="AG178" s="277" t="s">
        <x:v>118</x:v>
      </x:c>
      <x:c r="AH178" s="277" t="s">
        <x:v>118</x:v>
      </x:c>
      <x:c r="AI178" s="277" t="s">
        <x:v>118</x:v>
      </x:c>
      <x:c r="AJ178" s="277" t="s">
        <x:v>118</x:v>
      </x:c>
      <x:c r="AK178" s="220">
        <x:f>COUNTIF(F178:AJ178,"X")</x:f>
      </x:c>
      <x:c r="AL178" s="221"/>
      <x:c r="AM178" s="221"/>
      <x:c r="AN178" s="222"/>
      <x:c r="AO178" s="222"/>
      <x:c r="AP178" s="228"/>
      <x:c r="AQ178" s="228"/>
      <x:c r="AR178" s="228"/>
      <x:c r="AS178" s="228"/>
      <x:c r="AT178" s="230"/>
    </x:row>
    <x:row r="179" spans="1:47" ht="19.9" customHeight="1">
      <x:c r="A179" s="274" t="s">
        <x:v>2253</x:v>
      </x:c>
      <x:c r="B179" s="216"/>
      <x:c r="C179" s="275" t="s">
        <x:v>2254</x:v>
      </x:c>
      <x:c r="D179" s="274" t="s">
        <x:v>2251</x:v>
      </x:c>
      <x:c r="E179" s="276" t="s">
        <x:v>2255</x:v>
      </x:c>
      <x:c r="F179" s="277" t="s">
        <x:v>118</x:v>
      </x:c>
      <x:c r="G179" s="277" t="s">
        <x:v>118</x:v>
      </x:c>
      <x:c r="H179" s="277" t="s">
        <x:v>118</x:v>
      </x:c>
      <x:c r="I179" s="277" t="s">
        <x:v>118</x:v>
      </x:c>
      <x:c r="J179" s="277" t="s">
        <x:v>118</x:v>
      </x:c>
      <x:c r="K179" s="277" t="s">
        <x:v>118</x:v>
      </x:c>
      <x:c r="L179" s="277" t="s">
        <x:v>118</x:v>
      </x:c>
      <x:c r="M179" s="277" t="s">
        <x:v>118</x:v>
      </x:c>
      <x:c r="N179" s="277" t="s">
        <x:v>118</x:v>
      </x:c>
      <x:c r="O179" s="277" t="s">
        <x:v>118</x:v>
      </x:c>
      <x:c r="P179" s="277" t="s">
        <x:v>118</x:v>
      </x:c>
      <x:c r="Q179" s="277" t="s">
        <x:v>118</x:v>
      </x:c>
      <x:c r="R179" s="277" t="s">
        <x:v>118</x:v>
      </x:c>
      <x:c r="S179" s="277" t="s">
        <x:v>118</x:v>
      </x:c>
      <x:c r="T179" s="277" t="s">
        <x:v>118</x:v>
      </x:c>
      <x:c r="U179" s="277" t="s">
        <x:v>118</x:v>
      </x:c>
      <x:c r="V179" s="277" t="s">
        <x:v>118</x:v>
      </x:c>
      <x:c r="W179" s="277" t="s">
        <x:v>118</x:v>
      </x:c>
      <x:c r="X179" s="277" t="s">
        <x:v>118</x:v>
      </x:c>
      <x:c r="Y179" s="277" t="s">
        <x:v>118</x:v>
      </x:c>
      <x:c r="Z179" s="277" t="s">
        <x:v>118</x:v>
      </x:c>
      <x:c r="AA179" s="277" t="s">
        <x:v>118</x:v>
      </x:c>
      <x:c r="AB179" s="277" t="s">
        <x:v>118</x:v>
      </x:c>
      <x:c r="AC179" s="277" t="s">
        <x:v>118</x:v>
      </x:c>
      <x:c r="AD179" s="277" t="s">
        <x:v>118</x:v>
      </x:c>
      <x:c r="AE179" s="277" t="s">
        <x:v>118</x:v>
      </x:c>
      <x:c r="AF179" s="277" t="s">
        <x:v>118</x:v>
      </x:c>
      <x:c r="AG179" s="277" t="s">
        <x:v>118</x:v>
      </x:c>
      <x:c r="AH179" s="277" t="s">
        <x:v>118</x:v>
      </x:c>
      <x:c r="AI179" s="277" t="s">
        <x:v>118</x:v>
      </x:c>
      <x:c r="AJ179" s="277" t="s">
        <x:v>118</x:v>
      </x:c>
      <x:c r="AK179" s="220">
        <x:f>COUNTIF(F179:AJ179,"X")</x:f>
      </x:c>
      <x:c r="AL179" s="221"/>
      <x:c r="AM179" s="221"/>
      <x:c r="AN179" s="222"/>
      <x:c r="AO179" s="222"/>
      <x:c r="AP179" s="228"/>
      <x:c r="AQ179" s="228"/>
      <x:c r="AR179" s="228"/>
      <x:c r="AS179" s="228"/>
      <x:c r="AT179" s="230"/>
    </x:row>
    <x:row r="180" spans="1:47" ht="19.9" customHeight="1">
      <x:c r="A180" s="274" t="s">
        <x:v>2256</x:v>
      </x:c>
      <x:c r="B180" s="216"/>
      <x:c r="C180" s="275" t="s">
        <x:v>2257</x:v>
      </x:c>
      <x:c r="D180" s="274" t="s">
        <x:v>2251</x:v>
      </x:c>
      <x:c r="E180" s="276" t="s">
        <x:v>900</x:v>
      </x:c>
      <x:c r="F180" s="277" t="s">
        <x:v>118</x:v>
      </x:c>
      <x:c r="G180" s="277" t="s">
        <x:v>118</x:v>
      </x:c>
      <x:c r="H180" s="277" t="s">
        <x:v>118</x:v>
      </x:c>
      <x:c r="I180" s="277" t="s">
        <x:v>118</x:v>
      </x:c>
      <x:c r="J180" s="277" t="s">
        <x:v>118</x:v>
      </x:c>
      <x:c r="K180" s="277" t="s">
        <x:v>118</x:v>
      </x:c>
      <x:c r="L180" s="277" t="s">
        <x:v>118</x:v>
      </x:c>
      <x:c r="M180" s="277" t="s">
        <x:v>118</x:v>
      </x:c>
      <x:c r="N180" s="277" t="s">
        <x:v>118</x:v>
      </x:c>
      <x:c r="O180" s="277" t="s">
        <x:v>118</x:v>
      </x:c>
      <x:c r="P180" s="277" t="s">
        <x:v>118</x:v>
      </x:c>
      <x:c r="Q180" s="277" t="s">
        <x:v>118</x:v>
      </x:c>
      <x:c r="R180" s="277" t="s">
        <x:v>118</x:v>
      </x:c>
      <x:c r="S180" s="277" t="s">
        <x:v>118</x:v>
      </x:c>
      <x:c r="T180" s="277" t="s">
        <x:v>118</x:v>
      </x:c>
      <x:c r="U180" s="277" t="s">
        <x:v>118</x:v>
      </x:c>
      <x:c r="V180" s="277" t="s">
        <x:v>118</x:v>
      </x:c>
      <x:c r="W180" s="277" t="s">
        <x:v>118</x:v>
      </x:c>
      <x:c r="X180" s="277" t="s">
        <x:v>118</x:v>
      </x:c>
      <x:c r="Y180" s="277" t="s">
        <x:v>118</x:v>
      </x:c>
      <x:c r="Z180" s="277" t="s">
        <x:v>118</x:v>
      </x:c>
      <x:c r="AA180" s="277" t="s">
        <x:v>118</x:v>
      </x:c>
      <x:c r="AB180" s="277" t="s">
        <x:v>118</x:v>
      </x:c>
      <x:c r="AC180" s="277" t="s">
        <x:v>118</x:v>
      </x:c>
      <x:c r="AD180" s="277" t="s">
        <x:v>118</x:v>
      </x:c>
      <x:c r="AE180" s="277" t="s">
        <x:v>118</x:v>
      </x:c>
      <x:c r="AF180" s="277" t="s">
        <x:v>118</x:v>
      </x:c>
      <x:c r="AG180" s="277" t="s">
        <x:v>118</x:v>
      </x:c>
      <x:c r="AH180" s="277" t="s">
        <x:v>118</x:v>
      </x:c>
      <x:c r="AI180" s="277" t="s">
        <x:v>118</x:v>
      </x:c>
      <x:c r="AJ180" s="277" t="s">
        <x:v>118</x:v>
      </x:c>
      <x:c r="AK180" s="220">
        <x:f>COUNTIF(F180:AJ180,"X")</x:f>
      </x:c>
      <x:c r="AL180" s="221"/>
      <x:c r="AM180" s="221"/>
      <x:c r="AN180" s="222"/>
      <x:c r="AO180" s="222"/>
      <x:c r="AP180" s="228"/>
      <x:c r="AQ180" s="228"/>
      <x:c r="AR180" s="228"/>
      <x:c r="AS180" s="228"/>
      <x:c r="AT180" s="230"/>
    </x:row>
    <x:row r="181" spans="1:47" ht="19.9" customHeight="1">
      <x:c r="A181" s="274" t="s">
        <x:v>2258</x:v>
      </x:c>
      <x:c r="B181" s="216"/>
      <x:c r="C181" s="275" t="s">
        <x:v>2259</x:v>
      </x:c>
      <x:c r="D181" s="274" t="s">
        <x:v>2260</x:v>
      </x:c>
      <x:c r="E181" s="276" t="s">
        <x:v>1789</x:v>
      </x:c>
      <x:c r="F181" s="277" t="s">
        <x:v>118</x:v>
      </x:c>
      <x:c r="G181" s="277" t="s">
        <x:v>118</x:v>
      </x:c>
      <x:c r="H181" s="277" t="s">
        <x:v>118</x:v>
      </x:c>
      <x:c r="I181" s="277" t="s">
        <x:v>118</x:v>
      </x:c>
      <x:c r="J181" s="277" t="s">
        <x:v>118</x:v>
      </x:c>
      <x:c r="K181" s="277" t="s">
        <x:v>118</x:v>
      </x:c>
      <x:c r="L181" s="277" t="s">
        <x:v>118</x:v>
      </x:c>
      <x:c r="M181" s="277" t="s">
        <x:v>118</x:v>
      </x:c>
      <x:c r="N181" s="277" t="s">
        <x:v>118</x:v>
      </x:c>
      <x:c r="O181" s="277" t="s">
        <x:v>118</x:v>
      </x:c>
      <x:c r="P181" s="277" t="s">
        <x:v>118</x:v>
      </x:c>
      <x:c r="Q181" s="277" t="s">
        <x:v>118</x:v>
      </x:c>
      <x:c r="R181" s="277" t="s">
        <x:v>118</x:v>
      </x:c>
      <x:c r="S181" s="277" t="s">
        <x:v>118</x:v>
      </x:c>
      <x:c r="T181" s="277" t="s">
        <x:v>118</x:v>
      </x:c>
      <x:c r="U181" s="277" t="s">
        <x:v>118</x:v>
      </x:c>
      <x:c r="V181" s="277" t="s">
        <x:v>118</x:v>
      </x:c>
      <x:c r="W181" s="277" t="s">
        <x:v>118</x:v>
      </x:c>
      <x:c r="X181" s="277" t="s">
        <x:v>118</x:v>
      </x:c>
      <x:c r="Y181" s="277" t="s">
        <x:v>118</x:v>
      </x:c>
      <x:c r="Z181" s="277" t="s">
        <x:v>118</x:v>
      </x:c>
      <x:c r="AA181" s="277" t="s">
        <x:v>118</x:v>
      </x:c>
      <x:c r="AB181" s="277" t="s">
        <x:v>118</x:v>
      </x:c>
      <x:c r="AC181" s="277" t="s">
        <x:v>118</x:v>
      </x:c>
      <x:c r="AD181" s="277" t="s">
        <x:v>118</x:v>
      </x:c>
      <x:c r="AE181" s="277" t="s">
        <x:v>118</x:v>
      </x:c>
      <x:c r="AF181" s="277" t="s">
        <x:v>118</x:v>
      </x:c>
      <x:c r="AG181" s="277" t="s">
        <x:v>118</x:v>
      </x:c>
      <x:c r="AH181" s="277" t="s">
        <x:v>118</x:v>
      </x:c>
      <x:c r="AI181" s="277" t="s">
        <x:v>118</x:v>
      </x:c>
      <x:c r="AJ181" s="277" t="s">
        <x:v>118</x:v>
      </x:c>
      <x:c r="AK181" s="220">
        <x:f>COUNTIF(F181:AJ181,"X")</x:f>
      </x:c>
      <x:c r="AL181" s="221"/>
      <x:c r="AM181" s="221"/>
      <x:c r="AN181" s="222"/>
      <x:c r="AO181" s="222"/>
      <x:c r="AP181" s="228"/>
      <x:c r="AQ181" s="228"/>
      <x:c r="AR181" s="228"/>
      <x:c r="AS181" s="228"/>
      <x:c r="AT181" s="230"/>
    </x:row>
    <x:row r="182" spans="1:47" ht="19.9" customHeight="1">
      <x:c r="A182" s="274" t="s">
        <x:v>2261</x:v>
      </x:c>
      <x:c r="B182" s="216"/>
      <x:c r="C182" s="275" t="s">
        <x:v>2262</x:v>
      </x:c>
      <x:c r="D182" s="274" t="s">
        <x:v>2260</x:v>
      </x:c>
      <x:c r="E182" s="276" t="s">
        <x:v>2263</x:v>
      </x:c>
      <x:c r="F182" s="277" t="s">
        <x:v>118</x:v>
      </x:c>
      <x:c r="G182" s="277" t="s">
        <x:v>118</x:v>
      </x:c>
      <x:c r="H182" s="277" t="s">
        <x:v>118</x:v>
      </x:c>
      <x:c r="I182" s="277" t="s">
        <x:v>118</x:v>
      </x:c>
      <x:c r="J182" s="277" t="s">
        <x:v>118</x:v>
      </x:c>
      <x:c r="K182" s="277" t="s">
        <x:v>118</x:v>
      </x:c>
      <x:c r="L182" s="277" t="s">
        <x:v>118</x:v>
      </x:c>
      <x:c r="M182" s="277" t="s">
        <x:v>118</x:v>
      </x:c>
      <x:c r="N182" s="277" t="s">
        <x:v>118</x:v>
      </x:c>
      <x:c r="O182" s="277" t="s">
        <x:v>118</x:v>
      </x:c>
      <x:c r="P182" s="277" t="s">
        <x:v>118</x:v>
      </x:c>
      <x:c r="Q182" s="277" t="s">
        <x:v>118</x:v>
      </x:c>
      <x:c r="R182" s="277" t="s">
        <x:v>118</x:v>
      </x:c>
      <x:c r="S182" s="277" t="s">
        <x:v>118</x:v>
      </x:c>
      <x:c r="T182" s="277" t="s">
        <x:v>118</x:v>
      </x:c>
      <x:c r="U182" s="277" t="s">
        <x:v>118</x:v>
      </x:c>
      <x:c r="V182" s="277" t="s">
        <x:v>118</x:v>
      </x:c>
      <x:c r="W182" s="277" t="s">
        <x:v>118</x:v>
      </x:c>
      <x:c r="X182" s="277" t="s">
        <x:v>118</x:v>
      </x:c>
      <x:c r="Y182" s="277" t="s">
        <x:v>118</x:v>
      </x:c>
      <x:c r="Z182" s="277" t="s">
        <x:v>118</x:v>
      </x:c>
      <x:c r="AA182" s="277" t="s">
        <x:v>118</x:v>
      </x:c>
      <x:c r="AB182" s="277" t="s">
        <x:v>118</x:v>
      </x:c>
      <x:c r="AC182" s="277" t="s">
        <x:v>118</x:v>
      </x:c>
      <x:c r="AD182" s="277" t="s">
        <x:v>118</x:v>
      </x:c>
      <x:c r="AE182" s="277" t="s">
        <x:v>118</x:v>
      </x:c>
      <x:c r="AF182" s="277" t="s">
        <x:v>118</x:v>
      </x:c>
      <x:c r="AG182" s="277" t="s">
        <x:v>118</x:v>
      </x:c>
      <x:c r="AH182" s="277" t="s">
        <x:v>118</x:v>
      </x:c>
      <x:c r="AI182" s="277" t="s">
        <x:v>118</x:v>
      </x:c>
      <x:c r="AJ182" s="277" t="s">
        <x:v>118</x:v>
      </x:c>
      <x:c r="AK182" s="220">
        <x:f>COUNTIF(F182:AJ182,"X")</x:f>
      </x:c>
      <x:c r="AL182" s="221"/>
      <x:c r="AM182" s="221"/>
      <x:c r="AN182" s="222"/>
      <x:c r="AO182" s="222"/>
      <x:c r="AP182" s="228"/>
      <x:c r="AQ182" s="228"/>
      <x:c r="AR182" s="228"/>
      <x:c r="AS182" s="228"/>
      <x:c r="AT182" s="230"/>
    </x:row>
    <x:row r="183" spans="1:47" ht="19.9" customHeight="1">
      <x:c r="A183" s="274" t="s">
        <x:v>2264</x:v>
      </x:c>
      <x:c r="B183" s="216"/>
      <x:c r="C183" s="275" t="s">
        <x:v>2265</x:v>
      </x:c>
      <x:c r="D183" s="274" t="s">
        <x:v>1869</x:v>
      </x:c>
      <x:c r="E183" s="276" t="s">
        <x:v>2266</x:v>
      </x:c>
      <x:c r="F183" s="277" t="s">
        <x:v>118</x:v>
      </x:c>
      <x:c r="G183" s="277" t="s">
        <x:v>118</x:v>
      </x:c>
      <x:c r="H183" s="277" t="s">
        <x:v>118</x:v>
      </x:c>
      <x:c r="I183" s="277" t="s">
        <x:v>118</x:v>
      </x:c>
      <x:c r="J183" s="277" t="s">
        <x:v>118</x:v>
      </x:c>
      <x:c r="K183" s="277" t="s">
        <x:v>118</x:v>
      </x:c>
      <x:c r="L183" s="277" t="s">
        <x:v>118</x:v>
      </x:c>
      <x:c r="M183" s="277" t="s">
        <x:v>118</x:v>
      </x:c>
      <x:c r="N183" s="277" t="s">
        <x:v>118</x:v>
      </x:c>
      <x:c r="O183" s="277" t="s">
        <x:v>118</x:v>
      </x:c>
      <x:c r="P183" s="277" t="s">
        <x:v>118</x:v>
      </x:c>
      <x:c r="Q183" s="277" t="s">
        <x:v>118</x:v>
      </x:c>
      <x:c r="R183" s="277" t="s">
        <x:v>118</x:v>
      </x:c>
      <x:c r="S183" s="277" t="s">
        <x:v>118</x:v>
      </x:c>
      <x:c r="T183" s="277" t="s">
        <x:v>118</x:v>
      </x:c>
      <x:c r="U183" s="277" t="s">
        <x:v>118</x:v>
      </x:c>
      <x:c r="V183" s="277" t="s">
        <x:v>118</x:v>
      </x:c>
      <x:c r="W183" s="277" t="s">
        <x:v>118</x:v>
      </x:c>
      <x:c r="X183" s="277" t="s">
        <x:v>118</x:v>
      </x:c>
      <x:c r="Y183" s="277" t="s">
        <x:v>118</x:v>
      </x:c>
      <x:c r="Z183" s="277" t="s">
        <x:v>118</x:v>
      </x:c>
      <x:c r="AA183" s="277" t="s">
        <x:v>118</x:v>
      </x:c>
      <x:c r="AB183" s="277" t="s">
        <x:v>118</x:v>
      </x:c>
      <x:c r="AC183" s="277" t="s">
        <x:v>118</x:v>
      </x:c>
      <x:c r="AD183" s="277" t="s">
        <x:v>118</x:v>
      </x:c>
      <x:c r="AE183" s="277" t="s">
        <x:v>118</x:v>
      </x:c>
      <x:c r="AF183" s="277" t="s">
        <x:v>118</x:v>
      </x:c>
      <x:c r="AG183" s="277" t="s">
        <x:v>118</x:v>
      </x:c>
      <x:c r="AH183" s="277" t="s">
        <x:v>118</x:v>
      </x:c>
      <x:c r="AI183" s="277" t="s">
        <x:v>118</x:v>
      </x:c>
      <x:c r="AJ183" s="277" t="s">
        <x:v>118</x:v>
      </x:c>
      <x:c r="AK183" s="220">
        <x:f>COUNTIF(F183:AJ183,"X")</x:f>
      </x:c>
      <x:c r="AL183" s="221"/>
      <x:c r="AM183" s="221"/>
      <x:c r="AN183" s="222"/>
      <x:c r="AO183" s="222"/>
      <x:c r="AP183" s="228"/>
      <x:c r="AQ183" s="228"/>
      <x:c r="AR183" s="228"/>
      <x:c r="AS183" s="228"/>
      <x:c r="AT183" s="230"/>
    </x:row>
    <x:row r="184" spans="1:47" ht="19.9" customHeight="1">
      <x:c r="A184" s="274" t="s">
        <x:v>2267</x:v>
      </x:c>
      <x:c r="B184" s="216"/>
      <x:c r="C184" s="275" t="s">
        <x:v>2268</x:v>
      </x:c>
      <x:c r="D184" s="274" t="s">
        <x:v>2269</x:v>
      </x:c>
      <x:c r="E184" s="276" t="s">
        <x:v>337</x:v>
      </x:c>
      <x:c r="F184" s="277" t="s">
        <x:v>118</x:v>
      </x:c>
      <x:c r="G184" s="277" t="s">
        <x:v>118</x:v>
      </x:c>
      <x:c r="H184" s="277" t="s">
        <x:v>118</x:v>
      </x:c>
      <x:c r="I184" s="277" t="s">
        <x:v>118</x:v>
      </x:c>
      <x:c r="J184" s="277" t="s">
        <x:v>118</x:v>
      </x:c>
      <x:c r="K184" s="277" t="s">
        <x:v>118</x:v>
      </x:c>
      <x:c r="L184" s="277" t="s">
        <x:v>118</x:v>
      </x:c>
      <x:c r="M184" s="277" t="s">
        <x:v>118</x:v>
      </x:c>
      <x:c r="N184" s="277" t="s">
        <x:v>118</x:v>
      </x:c>
      <x:c r="O184" s="277" t="s">
        <x:v>118</x:v>
      </x:c>
      <x:c r="P184" s="277" t="s">
        <x:v>118</x:v>
      </x:c>
      <x:c r="Q184" s="277" t="s">
        <x:v>118</x:v>
      </x:c>
      <x:c r="R184" s="277" t="s">
        <x:v>118</x:v>
      </x:c>
      <x:c r="S184" s="277" t="s">
        <x:v>118</x:v>
      </x:c>
      <x:c r="T184" s="277" t="s">
        <x:v>118</x:v>
      </x:c>
      <x:c r="U184" s="277" t="s">
        <x:v>118</x:v>
      </x:c>
      <x:c r="V184" s="277" t="s">
        <x:v>118</x:v>
      </x:c>
      <x:c r="W184" s="277" t="s">
        <x:v>118</x:v>
      </x:c>
      <x:c r="X184" s="277" t="s">
        <x:v>118</x:v>
      </x:c>
      <x:c r="Y184" s="277" t="s">
        <x:v>118</x:v>
      </x:c>
      <x:c r="Z184" s="277" t="s">
        <x:v>118</x:v>
      </x:c>
      <x:c r="AA184" s="277" t="s">
        <x:v>118</x:v>
      </x:c>
      <x:c r="AB184" s="277" t="s">
        <x:v>118</x:v>
      </x:c>
      <x:c r="AC184" s="277" t="s">
        <x:v>118</x:v>
      </x:c>
      <x:c r="AD184" s="277" t="s">
        <x:v>118</x:v>
      </x:c>
      <x:c r="AE184" s="277" t="s">
        <x:v>118</x:v>
      </x:c>
      <x:c r="AF184" s="277" t="s">
        <x:v>118</x:v>
      </x:c>
      <x:c r="AG184" s="277" t="s">
        <x:v>118</x:v>
      </x:c>
      <x:c r="AH184" s="277" t="s">
        <x:v>118</x:v>
      </x:c>
      <x:c r="AI184" s="277" t="s">
        <x:v>118</x:v>
      </x:c>
      <x:c r="AJ184" s="277" t="s">
        <x:v>118</x:v>
      </x:c>
      <x:c r="AK184" s="220">
        <x:f>COUNTIF(F184:AJ184,"X")</x:f>
      </x:c>
      <x:c r="AL184" s="221"/>
      <x:c r="AM184" s="221"/>
      <x:c r="AN184" s="222"/>
      <x:c r="AO184" s="222"/>
      <x:c r="AP184" s="228"/>
      <x:c r="AQ184" s="228"/>
      <x:c r="AR184" s="228"/>
      <x:c r="AS184" s="228"/>
      <x:c r="AT184" s="230"/>
    </x:row>
    <x:row r="185" spans="1:47" ht="19.9" customHeight="1">
      <x:c r="A185" s="274" t="s">
        <x:v>2270</x:v>
      </x:c>
      <x:c r="B185" s="216"/>
      <x:c r="C185" s="275" t="s">
        <x:v>2271</x:v>
      </x:c>
      <x:c r="D185" s="274" t="s">
        <x:v>2272</x:v>
      </x:c>
      <x:c r="E185" s="276" t="s">
        <x:v>2273</x:v>
      </x:c>
      <x:c r="F185" s="277" t="s">
        <x:v>118</x:v>
      </x:c>
      <x:c r="G185" s="277" t="s">
        <x:v>118</x:v>
      </x:c>
      <x:c r="H185" s="277" t="s">
        <x:v>118</x:v>
      </x:c>
      <x:c r="I185" s="277" t="s">
        <x:v>118</x:v>
      </x:c>
      <x:c r="J185" s="277" t="s">
        <x:v>118</x:v>
      </x:c>
      <x:c r="K185" s="277" t="s">
        <x:v>118</x:v>
      </x:c>
      <x:c r="L185" s="277" t="s">
        <x:v>118</x:v>
      </x:c>
      <x:c r="M185" s="277" t="s">
        <x:v>118</x:v>
      </x:c>
      <x:c r="N185" s="277" t="s">
        <x:v>118</x:v>
      </x:c>
      <x:c r="O185" s="277" t="s">
        <x:v>118</x:v>
      </x:c>
      <x:c r="P185" s="277" t="s">
        <x:v>118</x:v>
      </x:c>
      <x:c r="Q185" s="277" t="s">
        <x:v>118</x:v>
      </x:c>
      <x:c r="R185" s="277" t="s">
        <x:v>118</x:v>
      </x:c>
      <x:c r="S185" s="277" t="s">
        <x:v>118</x:v>
      </x:c>
      <x:c r="T185" s="277" t="s">
        <x:v>118</x:v>
      </x:c>
      <x:c r="U185" s="277" t="s">
        <x:v>118</x:v>
      </x:c>
      <x:c r="V185" s="277" t="s">
        <x:v>118</x:v>
      </x:c>
      <x:c r="W185" s="277" t="s">
        <x:v>118</x:v>
      </x:c>
      <x:c r="X185" s="277" t="s">
        <x:v>118</x:v>
      </x:c>
      <x:c r="Y185" s="277" t="s">
        <x:v>118</x:v>
      </x:c>
      <x:c r="Z185" s="277" t="s">
        <x:v>118</x:v>
      </x:c>
      <x:c r="AA185" s="277" t="s">
        <x:v>118</x:v>
      </x:c>
      <x:c r="AB185" s="277" t="s">
        <x:v>118</x:v>
      </x:c>
      <x:c r="AC185" s="277" t="s">
        <x:v>118</x:v>
      </x:c>
      <x:c r="AD185" s="277" t="s">
        <x:v>118</x:v>
      </x:c>
      <x:c r="AE185" s="277" t="s">
        <x:v>118</x:v>
      </x:c>
      <x:c r="AF185" s="277" t="s">
        <x:v>118</x:v>
      </x:c>
      <x:c r="AG185" s="277" t="s">
        <x:v>118</x:v>
      </x:c>
      <x:c r="AH185" s="277" t="s">
        <x:v>118</x:v>
      </x:c>
      <x:c r="AI185" s="277" t="s">
        <x:v>118</x:v>
      </x:c>
      <x:c r="AJ185" s="277" t="s">
        <x:v>118</x:v>
      </x:c>
      <x:c r="AK185" s="220">
        <x:f>COUNTIF(F185:AJ185,"X")</x:f>
      </x:c>
      <x:c r="AL185" s="221"/>
      <x:c r="AM185" s="221"/>
      <x:c r="AN185" s="222"/>
      <x:c r="AO185" s="222"/>
      <x:c r="AP185" s="228"/>
      <x:c r="AQ185" s="228"/>
      <x:c r="AR185" s="228"/>
      <x:c r="AS185" s="228"/>
      <x:c r="AT185" s="235"/>
    </x:row>
    <x:row r="186" spans="1:47" ht="19.9" customHeight="1">
      <x:c r="A186" s="274" t="s">
        <x:v>2274</x:v>
      </x:c>
      <x:c r="B186" s="216"/>
      <x:c r="C186" s="275" t="s">
        <x:v>2275</x:v>
      </x:c>
      <x:c r="D186" s="274" t="s">
        <x:v>2276</x:v>
      </x:c>
      <x:c r="E186" s="276" t="s">
        <x:v>911</x:v>
      </x:c>
      <x:c r="F186" s="277" t="s">
        <x:v>118</x:v>
      </x:c>
      <x:c r="G186" s="277" t="s">
        <x:v>118</x:v>
      </x:c>
      <x:c r="H186" s="277" t="s">
        <x:v>118</x:v>
      </x:c>
      <x:c r="I186" s="277" t="s">
        <x:v>118</x:v>
      </x:c>
      <x:c r="J186" s="277" t="s">
        <x:v>118</x:v>
      </x:c>
      <x:c r="K186" s="277" t="s">
        <x:v>118</x:v>
      </x:c>
      <x:c r="L186" s="277" t="s">
        <x:v>118</x:v>
      </x:c>
      <x:c r="M186" s="277" t="s">
        <x:v>118</x:v>
      </x:c>
      <x:c r="N186" s="277" t="s">
        <x:v>118</x:v>
      </x:c>
      <x:c r="O186" s="277" t="s">
        <x:v>118</x:v>
      </x:c>
      <x:c r="P186" s="277" t="s">
        <x:v>118</x:v>
      </x:c>
      <x:c r="Q186" s="277" t="s">
        <x:v>118</x:v>
      </x:c>
      <x:c r="R186" s="277" t="s">
        <x:v>118</x:v>
      </x:c>
      <x:c r="S186" s="277" t="s">
        <x:v>118</x:v>
      </x:c>
      <x:c r="T186" s="277" t="s">
        <x:v>118</x:v>
      </x:c>
      <x:c r="U186" s="277" t="s">
        <x:v>118</x:v>
      </x:c>
      <x:c r="V186" s="277" t="s">
        <x:v>118</x:v>
      </x:c>
      <x:c r="W186" s="277" t="s">
        <x:v>118</x:v>
      </x:c>
      <x:c r="X186" s="277" t="s">
        <x:v>118</x:v>
      </x:c>
      <x:c r="Y186" s="277" t="s">
        <x:v>118</x:v>
      </x:c>
      <x:c r="Z186" s="277" t="s">
        <x:v>118</x:v>
      </x:c>
      <x:c r="AA186" s="277" t="s">
        <x:v>118</x:v>
      </x:c>
      <x:c r="AB186" s="277" t="s">
        <x:v>118</x:v>
      </x:c>
      <x:c r="AC186" s="277" t="s">
        <x:v>118</x:v>
      </x:c>
      <x:c r="AD186" s="277" t="s">
        <x:v>118</x:v>
      </x:c>
      <x:c r="AE186" s="277" t="s">
        <x:v>118</x:v>
      </x:c>
      <x:c r="AF186" s="277" t="s">
        <x:v>118</x:v>
      </x:c>
      <x:c r="AG186" s="277" t="s">
        <x:v>118</x:v>
      </x:c>
      <x:c r="AH186" s="277" t="s">
        <x:v>118</x:v>
      </x:c>
      <x:c r="AI186" s="277" t="s">
        <x:v>118</x:v>
      </x:c>
      <x:c r="AJ186" s="277" t="s">
        <x:v>118</x:v>
      </x:c>
      <x:c r="AK186" s="220">
        <x:f>COUNTIF(F186:AJ186,"X")</x:f>
      </x:c>
      <x:c r="AL186" s="221"/>
      <x:c r="AM186" s="221"/>
      <x:c r="AN186" s="222"/>
      <x:c r="AO186" s="222"/>
      <x:c r="AP186" s="228"/>
      <x:c r="AQ186" s="228"/>
      <x:c r="AR186" s="228"/>
      <x:c r="AS186" s="228"/>
      <x:c r="AT186" s="230"/>
    </x:row>
    <x:row r="187" spans="1:47" ht="19.9" customHeight="1">
      <x:c r="A187" s="274" t="s">
        <x:v>2277</x:v>
      </x:c>
      <x:c r="B187" s="216"/>
      <x:c r="C187" s="275" t="s">
        <x:v>2278</x:v>
      </x:c>
      <x:c r="D187" s="274" t="s">
        <x:v>2279</x:v>
      </x:c>
      <x:c r="E187" s="276" t="s">
        <x:v>316</x:v>
      </x:c>
      <x:c r="F187" s="277" t="s">
        <x:v>118</x:v>
      </x:c>
      <x:c r="G187" s="277" t="s">
        <x:v>118</x:v>
      </x:c>
      <x:c r="H187" s="277" t="s">
        <x:v>118</x:v>
      </x:c>
      <x:c r="I187" s="277" t="s">
        <x:v>118</x:v>
      </x:c>
      <x:c r="J187" s="277" t="s">
        <x:v>118</x:v>
      </x:c>
      <x:c r="K187" s="277" t="s">
        <x:v>118</x:v>
      </x:c>
      <x:c r="L187" s="277" t="s">
        <x:v>118</x:v>
      </x:c>
      <x:c r="M187" s="277" t="s">
        <x:v>118</x:v>
      </x:c>
      <x:c r="N187" s="277" t="s">
        <x:v>118</x:v>
      </x:c>
      <x:c r="O187" s="277" t="s">
        <x:v>118</x:v>
      </x:c>
      <x:c r="P187" s="277" t="s">
        <x:v>118</x:v>
      </x:c>
      <x:c r="Q187" s="277" t="s">
        <x:v>118</x:v>
      </x:c>
      <x:c r="R187" s="277" t="s">
        <x:v>118</x:v>
      </x:c>
      <x:c r="S187" s="277" t="s">
        <x:v>118</x:v>
      </x:c>
      <x:c r="T187" s="277" t="s">
        <x:v>118</x:v>
      </x:c>
      <x:c r="U187" s="277" t="s">
        <x:v>118</x:v>
      </x:c>
      <x:c r="V187" s="277" t="s">
        <x:v>118</x:v>
      </x:c>
      <x:c r="W187" s="277" t="s">
        <x:v>118</x:v>
      </x:c>
      <x:c r="X187" s="277" t="s">
        <x:v>118</x:v>
      </x:c>
      <x:c r="Y187" s="277" t="s">
        <x:v>118</x:v>
      </x:c>
      <x:c r="Z187" s="277" t="s">
        <x:v>118</x:v>
      </x:c>
      <x:c r="AA187" s="277" t="s">
        <x:v>118</x:v>
      </x:c>
      <x:c r="AB187" s="277" t="s">
        <x:v>118</x:v>
      </x:c>
      <x:c r="AC187" s="277" t="s">
        <x:v>118</x:v>
      </x:c>
      <x:c r="AD187" s="277" t="s">
        <x:v>118</x:v>
      </x:c>
      <x:c r="AE187" s="277" t="s">
        <x:v>118</x:v>
      </x:c>
      <x:c r="AF187" s="277" t="s">
        <x:v>118</x:v>
      </x:c>
      <x:c r="AG187" s="277" t="s">
        <x:v>118</x:v>
      </x:c>
      <x:c r="AH187" s="277" t="s">
        <x:v>118</x:v>
      </x:c>
      <x:c r="AI187" s="277" t="s">
        <x:v>118</x:v>
      </x:c>
      <x:c r="AJ187" s="277" t="s">
        <x:v>118</x:v>
      </x:c>
      <x:c r="AK187" s="220">
        <x:f>COUNTIF(F187:AJ187,"X")</x:f>
      </x:c>
      <x:c r="AL187" s="221"/>
      <x:c r="AM187" s="221"/>
      <x:c r="AN187" s="222"/>
      <x:c r="AO187" s="222"/>
      <x:c r="AP187" s="228"/>
      <x:c r="AQ187" s="228"/>
      <x:c r="AR187" s="228"/>
      <x:c r="AS187" s="228"/>
      <x:c r="AT187" s="230"/>
    </x:row>
    <x:row r="188" spans="1:47" ht="19.9" customHeight="1">
      <x:c r="A188" s="274" t="s">
        <x:v>2280</x:v>
      </x:c>
      <x:c r="B188" s="216"/>
      <x:c r="C188" s="275" t="s">
        <x:v>2281</x:v>
      </x:c>
      <x:c r="D188" s="274" t="s">
        <x:v>2282</x:v>
      </x:c>
      <x:c r="E188" s="276" t="s">
        <x:v>170</x:v>
      </x:c>
      <x:c r="F188" s="277" t="s">
        <x:v>118</x:v>
      </x:c>
      <x:c r="G188" s="277" t="s">
        <x:v>118</x:v>
      </x:c>
      <x:c r="H188" s="277" t="s">
        <x:v>118</x:v>
      </x:c>
      <x:c r="I188" s="277" t="s">
        <x:v>118</x:v>
      </x:c>
      <x:c r="J188" s="277" t="s">
        <x:v>118</x:v>
      </x:c>
      <x:c r="K188" s="277" t="s">
        <x:v>118</x:v>
      </x:c>
      <x:c r="L188" s="277" t="s">
        <x:v>118</x:v>
      </x:c>
      <x:c r="M188" s="277" t="s">
        <x:v>118</x:v>
      </x:c>
      <x:c r="N188" s="277" t="s">
        <x:v>118</x:v>
      </x:c>
      <x:c r="O188" s="277" t="s">
        <x:v>118</x:v>
      </x:c>
      <x:c r="P188" s="277" t="s">
        <x:v>118</x:v>
      </x:c>
      <x:c r="Q188" s="277" t="s">
        <x:v>118</x:v>
      </x:c>
      <x:c r="R188" s="277" t="s">
        <x:v>118</x:v>
      </x:c>
      <x:c r="S188" s="277" t="s">
        <x:v>118</x:v>
      </x:c>
      <x:c r="T188" s="277" t="s">
        <x:v>118</x:v>
      </x:c>
      <x:c r="U188" s="277" t="s">
        <x:v>118</x:v>
      </x:c>
      <x:c r="V188" s="277" t="s">
        <x:v>118</x:v>
      </x:c>
      <x:c r="W188" s="277" t="s">
        <x:v>118</x:v>
      </x:c>
      <x:c r="X188" s="277" t="s">
        <x:v>118</x:v>
      </x:c>
      <x:c r="Y188" s="277" t="s">
        <x:v>118</x:v>
      </x:c>
      <x:c r="Z188" s="277" t="s">
        <x:v>118</x:v>
      </x:c>
      <x:c r="AA188" s="277" t="s">
        <x:v>118</x:v>
      </x:c>
      <x:c r="AB188" s="277" t="s">
        <x:v>118</x:v>
      </x:c>
      <x:c r="AC188" s="277" t="s">
        <x:v>118</x:v>
      </x:c>
      <x:c r="AD188" s="277" t="s">
        <x:v>118</x:v>
      </x:c>
      <x:c r="AE188" s="277" t="s">
        <x:v>118</x:v>
      </x:c>
      <x:c r="AF188" s="277" t="s">
        <x:v>118</x:v>
      </x:c>
      <x:c r="AG188" s="277" t="s">
        <x:v>118</x:v>
      </x:c>
      <x:c r="AH188" s="277" t="s">
        <x:v>118</x:v>
      </x:c>
      <x:c r="AI188" s="277" t="s">
        <x:v>118</x:v>
      </x:c>
      <x:c r="AJ188" s="277" t="s">
        <x:v>118</x:v>
      </x:c>
      <x:c r="AK188" s="220">
        <x:f>COUNTIF(F188:AJ188,"X")</x:f>
      </x:c>
      <x:c r="AL188" s="221"/>
      <x:c r="AM188" s="221"/>
      <x:c r="AN188" s="222"/>
      <x:c r="AO188" s="222"/>
      <x:c r="AP188" s="228"/>
      <x:c r="AQ188" s="228"/>
      <x:c r="AR188" s="228"/>
      <x:c r="AS188" s="228"/>
      <x:c r="AT188" s="230"/>
    </x:row>
    <x:row r="189" spans="1:47" ht="19.9" customHeight="1">
      <x:c r="A189" s="274" t="s">
        <x:v>2283</x:v>
      </x:c>
      <x:c r="B189" s="216"/>
      <x:c r="C189" s="275" t="s">
        <x:v>2284</x:v>
      </x:c>
      <x:c r="D189" s="274" t="s">
        <x:v>2285</x:v>
      </x:c>
      <x:c r="E189" s="276" t="s">
        <x:v>2286</x:v>
      </x:c>
      <x:c r="F189" s="281" t="s">
        <x:v>118</x:v>
      </x:c>
      <x:c r="G189" s="281" t="s">
        <x:v>118</x:v>
      </x:c>
      <x:c r="H189" s="281" t="s">
        <x:v>118</x:v>
      </x:c>
      <x:c r="I189" s="281" t="s">
        <x:v>118</x:v>
      </x:c>
      <x:c r="J189" s="281" t="s">
        <x:v>118</x:v>
      </x:c>
      <x:c r="K189" s="281" t="s">
        <x:v>118</x:v>
      </x:c>
      <x:c r="L189" s="281" t="s">
        <x:v>118</x:v>
      </x:c>
      <x:c r="M189" s="281" t="s">
        <x:v>118</x:v>
      </x:c>
      <x:c r="N189" s="281" t="s">
        <x:v>118</x:v>
      </x:c>
      <x:c r="O189" s="281" t="s">
        <x:v>118</x:v>
      </x:c>
      <x:c r="P189" s="281" t="s">
        <x:v>118</x:v>
      </x:c>
      <x:c r="Q189" s="281" t="s">
        <x:v>118</x:v>
      </x:c>
      <x:c r="R189" s="281" t="s">
        <x:v>118</x:v>
      </x:c>
      <x:c r="S189" s="281" t="s">
        <x:v>118</x:v>
      </x:c>
      <x:c r="T189" s="281" t="s">
        <x:v>118</x:v>
      </x:c>
      <x:c r="U189" s="281" t="s">
        <x:v>118</x:v>
      </x:c>
      <x:c r="V189" s="281" t="s">
        <x:v>118</x:v>
      </x:c>
      <x:c r="W189" s="281" t="s">
        <x:v>118</x:v>
      </x:c>
      <x:c r="X189" s="281" t="s">
        <x:v>118</x:v>
      </x:c>
      <x:c r="Y189" s="281" t="s">
        <x:v>118</x:v>
      </x:c>
      <x:c r="Z189" s="281" t="s">
        <x:v>118</x:v>
      </x:c>
      <x:c r="AA189" s="281" t="s">
        <x:v>118</x:v>
      </x:c>
      <x:c r="AB189" s="281" t="s">
        <x:v>118</x:v>
      </x:c>
      <x:c r="AC189" s="281" t="s">
        <x:v>118</x:v>
      </x:c>
      <x:c r="AD189" s="281" t="s">
        <x:v>118</x:v>
      </x:c>
      <x:c r="AE189" s="281" t="s">
        <x:v>118</x:v>
      </x:c>
      <x:c r="AF189" s="281" t="s">
        <x:v>118</x:v>
      </x:c>
      <x:c r="AG189" s="281" t="s">
        <x:v>118</x:v>
      </x:c>
      <x:c r="AH189" s="281" t="s">
        <x:v>118</x:v>
      </x:c>
      <x:c r="AI189" s="281" t="s">
        <x:v>118</x:v>
      </x:c>
      <x:c r="AJ189" s="281" t="s">
        <x:v>118</x:v>
      </x:c>
      <x:c r="AK189" s="220">
        <x:f>COUNTIF(F189:AJ189,"X")</x:f>
      </x:c>
      <x:c r="AL189" s="221"/>
      <x:c r="AM189" s="221"/>
      <x:c r="AN189" s="222"/>
      <x:c r="AO189" s="222"/>
      <x:c r="AP189" s="228"/>
      <x:c r="AQ189" s="228"/>
      <x:c r="AR189" s="228"/>
      <x:c r="AS189" s="228"/>
      <x:c r="AT189" s="230"/>
    </x:row>
    <x:row r="190" spans="1:47" ht="19.9" customHeight="1">
      <x:c r="A190" s="274" t="s">
        <x:v>2287</x:v>
      </x:c>
      <x:c r="B190" s="216"/>
      <x:c r="C190" s="275" t="s">
        <x:v>2288</x:v>
      </x:c>
      <x:c r="D190" s="274" t="s">
        <x:v>2289</x:v>
      </x:c>
      <x:c r="E190" s="276" t="s">
        <x:v>2290</x:v>
      </x:c>
      <x:c r="F190" s="277" t="s">
        <x:v>118</x:v>
      </x:c>
      <x:c r="G190" s="277" t="s">
        <x:v>118</x:v>
      </x:c>
      <x:c r="H190" s="277" t="s">
        <x:v>118</x:v>
      </x:c>
      <x:c r="I190" s="277" t="s">
        <x:v>118</x:v>
      </x:c>
      <x:c r="J190" s="277" t="s">
        <x:v>118</x:v>
      </x:c>
      <x:c r="K190" s="277" t="s">
        <x:v>118</x:v>
      </x:c>
      <x:c r="L190" s="277" t="s">
        <x:v>118</x:v>
      </x:c>
      <x:c r="M190" s="277" t="s">
        <x:v>118</x:v>
      </x:c>
      <x:c r="N190" s="277" t="s">
        <x:v>118</x:v>
      </x:c>
      <x:c r="O190" s="277" t="s">
        <x:v>118</x:v>
      </x:c>
      <x:c r="P190" s="277" t="s">
        <x:v>118</x:v>
      </x:c>
      <x:c r="Q190" s="277" t="s">
        <x:v>118</x:v>
      </x:c>
      <x:c r="R190" s="277" t="s">
        <x:v>118</x:v>
      </x:c>
      <x:c r="S190" s="277" t="s">
        <x:v>118</x:v>
      </x:c>
      <x:c r="T190" s="277" t="s">
        <x:v>118</x:v>
      </x:c>
      <x:c r="U190" s="277" t="s">
        <x:v>118</x:v>
      </x:c>
      <x:c r="V190" s="277" t="s">
        <x:v>118</x:v>
      </x:c>
      <x:c r="W190" s="277" t="s">
        <x:v>118</x:v>
      </x:c>
      <x:c r="X190" s="277" t="s">
        <x:v>118</x:v>
      </x:c>
      <x:c r="Y190" s="277" t="s">
        <x:v>118</x:v>
      </x:c>
      <x:c r="Z190" s="277" t="s">
        <x:v>118</x:v>
      </x:c>
      <x:c r="AA190" s="277" t="s">
        <x:v>118</x:v>
      </x:c>
      <x:c r="AB190" s="277" t="s">
        <x:v>118</x:v>
      </x:c>
      <x:c r="AC190" s="277" t="s">
        <x:v>118</x:v>
      </x:c>
      <x:c r="AD190" s="277" t="s">
        <x:v>118</x:v>
      </x:c>
      <x:c r="AE190" s="277" t="s">
        <x:v>118</x:v>
      </x:c>
      <x:c r="AF190" s="277" t="s">
        <x:v>118</x:v>
      </x:c>
      <x:c r="AG190" s="277" t="s">
        <x:v>118</x:v>
      </x:c>
      <x:c r="AH190" s="277" t="s">
        <x:v>118</x:v>
      </x:c>
      <x:c r="AI190" s="277" t="s">
        <x:v>118</x:v>
      </x:c>
      <x:c r="AJ190" s="277" t="s">
        <x:v>118</x:v>
      </x:c>
      <x:c r="AK190" s="220">
        <x:f>COUNTIF(F190:AJ190,"X")</x:f>
      </x:c>
      <x:c r="AL190" s="221"/>
      <x:c r="AM190" s="221"/>
      <x:c r="AN190" s="222"/>
      <x:c r="AO190" s="222"/>
      <x:c r="AP190" s="228"/>
      <x:c r="AQ190" s="228"/>
      <x:c r="AR190" s="228"/>
      <x:c r="AS190" s="228"/>
      <x:c r="AT190" s="230"/>
    </x:row>
    <x:row r="191" spans="1:47" ht="19.9" customHeight="1">
      <x:c r="A191" s="274" t="s">
        <x:v>2291</x:v>
      </x:c>
      <x:c r="B191" s="216"/>
      <x:c r="C191" s="275" t="s">
        <x:v>2292</x:v>
      </x:c>
      <x:c r="D191" s="274" t="s">
        <x:v>166</x:v>
      </x:c>
      <x:c r="E191" s="276" t="s">
        <x:v>118</x:v>
      </x:c>
      <x:c r="F191" s="277" t="s">
        <x:v>118</x:v>
      </x:c>
      <x:c r="G191" s="277" t="s">
        <x:v>118</x:v>
      </x:c>
      <x:c r="H191" s="277" t="s">
        <x:v>118</x:v>
      </x:c>
      <x:c r="I191" s="277" t="s">
        <x:v>118</x:v>
      </x:c>
      <x:c r="J191" s="277" t="s">
        <x:v>118</x:v>
      </x:c>
      <x:c r="K191" s="277" t="s">
        <x:v>118</x:v>
      </x:c>
      <x:c r="L191" s="277" t="s">
        <x:v>118</x:v>
      </x:c>
      <x:c r="M191" s="277" t="s">
        <x:v>118</x:v>
      </x:c>
      <x:c r="N191" s="277" t="s">
        <x:v>118</x:v>
      </x:c>
      <x:c r="O191" s="277" t="s">
        <x:v>118</x:v>
      </x:c>
      <x:c r="P191" s="277" t="s">
        <x:v>118</x:v>
      </x:c>
      <x:c r="Q191" s="277" t="s">
        <x:v>118</x:v>
      </x:c>
      <x:c r="R191" s="277" t="s">
        <x:v>118</x:v>
      </x:c>
      <x:c r="S191" s="277" t="s">
        <x:v>118</x:v>
      </x:c>
      <x:c r="T191" s="277" t="s">
        <x:v>118</x:v>
      </x:c>
      <x:c r="U191" s="277" t="s">
        <x:v>118</x:v>
      </x:c>
      <x:c r="V191" s="277" t="s">
        <x:v>118</x:v>
      </x:c>
      <x:c r="W191" s="277" t="s">
        <x:v>118</x:v>
      </x:c>
      <x:c r="X191" s="277" t="s">
        <x:v>118</x:v>
      </x:c>
      <x:c r="Y191" s="277" t="s">
        <x:v>118</x:v>
      </x:c>
      <x:c r="Z191" s="277" t="s">
        <x:v>118</x:v>
      </x:c>
      <x:c r="AA191" s="277" t="s">
        <x:v>118</x:v>
      </x:c>
      <x:c r="AB191" s="277" t="s">
        <x:v>118</x:v>
      </x:c>
      <x:c r="AC191" s="277" t="s">
        <x:v>118</x:v>
      </x:c>
      <x:c r="AD191" s="277" t="s">
        <x:v>118</x:v>
      </x:c>
      <x:c r="AE191" s="277" t="s">
        <x:v>118</x:v>
      </x:c>
      <x:c r="AF191" s="277" t="s">
        <x:v>118</x:v>
      </x:c>
      <x:c r="AG191" s="277" t="s">
        <x:v>118</x:v>
      </x:c>
      <x:c r="AH191" s="277" t="s">
        <x:v>118</x:v>
      </x:c>
      <x:c r="AI191" s="277" t="s">
        <x:v>118</x:v>
      </x:c>
      <x:c r="AJ191" s="277" t="s">
        <x:v>118</x:v>
      </x:c>
      <x:c r="AK191" s="220">
        <x:f>COUNTIF(F191:AJ191,"X")</x:f>
      </x:c>
      <x:c r="AL191" s="221"/>
      <x:c r="AM191" s="221"/>
      <x:c r="AN191" s="222"/>
      <x:c r="AO191" s="222"/>
      <x:c r="AP191" s="228"/>
      <x:c r="AQ191" s="228"/>
      <x:c r="AR191" s="228"/>
      <x:c r="AS191" s="228"/>
      <x:c r="AT191" s="230"/>
    </x:row>
    <x:row r="192" spans="1:47" ht="19.9" customHeight="1">
      <x:c r="A192" s="274" t="s">
        <x:v>2293</x:v>
      </x:c>
      <x:c r="B192" s="216"/>
      <x:c r="C192" s="275" t="s">
        <x:v>2294</x:v>
      </x:c>
      <x:c r="D192" s="274" t="s">
        <x:v>496</x:v>
      </x:c>
      <x:c r="E192" s="276" t="s">
        <x:v>2295</x:v>
      </x:c>
      <x:c r="F192" s="277" t="s">
        <x:v>118</x:v>
      </x:c>
      <x:c r="G192" s="277" t="s">
        <x:v>118</x:v>
      </x:c>
      <x:c r="H192" s="277" t="s">
        <x:v>118</x:v>
      </x:c>
      <x:c r="I192" s="277" t="s">
        <x:v>118</x:v>
      </x:c>
      <x:c r="J192" s="277" t="s">
        <x:v>118</x:v>
      </x:c>
      <x:c r="K192" s="277" t="s">
        <x:v>118</x:v>
      </x:c>
      <x:c r="L192" s="277" t="s">
        <x:v>118</x:v>
      </x:c>
      <x:c r="M192" s="277" t="s">
        <x:v>118</x:v>
      </x:c>
      <x:c r="N192" s="277" t="s">
        <x:v>118</x:v>
      </x:c>
      <x:c r="O192" s="277" t="s">
        <x:v>118</x:v>
      </x:c>
      <x:c r="P192" s="277" t="s">
        <x:v>118</x:v>
      </x:c>
      <x:c r="Q192" s="277" t="s">
        <x:v>118</x:v>
      </x:c>
      <x:c r="R192" s="277" t="s">
        <x:v>118</x:v>
      </x:c>
      <x:c r="S192" s="277" t="s">
        <x:v>118</x:v>
      </x:c>
      <x:c r="T192" s="277" t="s">
        <x:v>118</x:v>
      </x:c>
      <x:c r="U192" s="277" t="s">
        <x:v>118</x:v>
      </x:c>
      <x:c r="V192" s="277" t="s">
        <x:v>118</x:v>
      </x:c>
      <x:c r="W192" s="277" t="s">
        <x:v>118</x:v>
      </x:c>
      <x:c r="X192" s="277" t="s">
        <x:v>118</x:v>
      </x:c>
      <x:c r="Y192" s="277" t="s">
        <x:v>118</x:v>
      </x:c>
      <x:c r="Z192" s="277" t="s">
        <x:v>118</x:v>
      </x:c>
      <x:c r="AA192" s="277" t="s">
        <x:v>118</x:v>
      </x:c>
      <x:c r="AB192" s="277" t="s">
        <x:v>118</x:v>
      </x:c>
      <x:c r="AC192" s="277" t="s">
        <x:v>118</x:v>
      </x:c>
      <x:c r="AD192" s="277" t="s">
        <x:v>118</x:v>
      </x:c>
      <x:c r="AE192" s="277" t="s">
        <x:v>118</x:v>
      </x:c>
      <x:c r="AF192" s="277" t="s">
        <x:v>118</x:v>
      </x:c>
      <x:c r="AG192" s="277" t="s">
        <x:v>118</x:v>
      </x:c>
      <x:c r="AH192" s="277" t="s">
        <x:v>118</x:v>
      </x:c>
      <x:c r="AI192" s="277" t="s">
        <x:v>118</x:v>
      </x:c>
      <x:c r="AJ192" s="277" t="s">
        <x:v>118</x:v>
      </x:c>
      <x:c r="AK192" s="220">
        <x:f>COUNTIF(F192:AJ192,"X")</x:f>
      </x:c>
      <x:c r="AL192" s="221"/>
      <x:c r="AM192" s="221"/>
      <x:c r="AN192" s="222"/>
      <x:c r="AO192" s="222"/>
      <x:c r="AP192" s="228"/>
      <x:c r="AQ192" s="228"/>
      <x:c r="AR192" s="228"/>
      <x:c r="AS192" s="228"/>
      <x:c r="AT192" s="233"/>
    </x:row>
    <x:row r="193" spans="1:47" ht="15" customHeight="1">
      <x:c r="A193" s="274" t="s">
        <x:v>2296</x:v>
      </x:c>
      <x:c r="B193" s="216"/>
      <x:c r="C193" s="275" t="s">
        <x:v>2297</x:v>
      </x:c>
      <x:c r="D193" s="274" t="s">
        <x:v>496</x:v>
      </x:c>
      <x:c r="E193" s="276" t="s">
        <x:v>792</x:v>
      </x:c>
      <x:c r="F193" s="277" t="s">
        <x:v>118</x:v>
      </x:c>
      <x:c r="G193" s="277" t="s">
        <x:v>118</x:v>
      </x:c>
      <x:c r="H193" s="277" t="s">
        <x:v>118</x:v>
      </x:c>
      <x:c r="I193" s="277" t="s">
        <x:v>118</x:v>
      </x:c>
      <x:c r="J193" s="277" t="s">
        <x:v>118</x:v>
      </x:c>
      <x:c r="K193" s="277" t="s">
        <x:v>118</x:v>
      </x:c>
      <x:c r="L193" s="277" t="s">
        <x:v>118</x:v>
      </x:c>
      <x:c r="M193" s="277" t="s">
        <x:v>118</x:v>
      </x:c>
      <x:c r="N193" s="277" t="s">
        <x:v>118</x:v>
      </x:c>
      <x:c r="O193" s="277" t="s">
        <x:v>118</x:v>
      </x:c>
      <x:c r="P193" s="277" t="s">
        <x:v>118</x:v>
      </x:c>
      <x:c r="Q193" s="277" t="s">
        <x:v>118</x:v>
      </x:c>
      <x:c r="R193" s="277" t="s">
        <x:v>118</x:v>
      </x:c>
      <x:c r="S193" s="277" t="s">
        <x:v>118</x:v>
      </x:c>
      <x:c r="T193" s="277" t="s">
        <x:v>118</x:v>
      </x:c>
      <x:c r="U193" s="277" t="s">
        <x:v>118</x:v>
      </x:c>
      <x:c r="V193" s="277" t="s">
        <x:v>118</x:v>
      </x:c>
      <x:c r="W193" s="277" t="s">
        <x:v>118</x:v>
      </x:c>
      <x:c r="X193" s="277" t="s">
        <x:v>118</x:v>
      </x:c>
      <x:c r="Y193" s="277" t="s">
        <x:v>118</x:v>
      </x:c>
      <x:c r="Z193" s="277" t="s">
        <x:v>118</x:v>
      </x:c>
      <x:c r="AA193" s="277" t="s">
        <x:v>118</x:v>
      </x:c>
      <x:c r="AB193" s="277" t="s">
        <x:v>118</x:v>
      </x:c>
      <x:c r="AC193" s="277" t="s">
        <x:v>118</x:v>
      </x:c>
      <x:c r="AD193" s="277" t="s">
        <x:v>118</x:v>
      </x:c>
      <x:c r="AE193" s="277" t="s">
        <x:v>118</x:v>
      </x:c>
      <x:c r="AF193" s="277" t="s">
        <x:v>118</x:v>
      </x:c>
      <x:c r="AG193" s="277" t="s">
        <x:v>118</x:v>
      </x:c>
      <x:c r="AH193" s="277" t="s">
        <x:v>118</x:v>
      </x:c>
      <x:c r="AI193" s="277" t="s">
        <x:v>118</x:v>
      </x:c>
      <x:c r="AJ193" s="277" t="s">
        <x:v>118</x:v>
      </x:c>
      <x:c r="AK193" s="220">
        <x:f>COUNTIF(F193:AJ193,"X")</x:f>
      </x:c>
      <x:c r="AL193" s="221"/>
      <x:c r="AM193" s="221"/>
      <x:c r="AN193" s="222"/>
      <x:c r="AO193" s="222"/>
      <x:c r="AP193" s="228"/>
      <x:c r="AQ193" s="228"/>
      <x:c r="AR193" s="228"/>
      <x:c r="AS193" s="228"/>
      <x:c r="AT193" s="230"/>
    </x:row>
    <x:row r="194" spans="1:47" ht="15" customHeight="1">
      <x:c r="A194" s="282" t="s">
        <x:v>2298</x:v>
      </x:c>
      <x:c r="B194" s="216"/>
      <x:c r="C194" s="283" t="s">
        <x:v>2299</x:v>
      </x:c>
      <x:c r="D194" s="282" t="s">
        <x:v>2300</x:v>
      </x:c>
      <x:c r="E194" s="282" t="s">
        <x:v>759</x:v>
      </x:c>
      <x:c r="F194" s="277" t="s">
        <x:v>118</x:v>
      </x:c>
      <x:c r="G194" s="277" t="s">
        <x:v>118</x:v>
      </x:c>
      <x:c r="H194" s="277" t="s">
        <x:v>118</x:v>
      </x:c>
      <x:c r="I194" s="277" t="s">
        <x:v>118</x:v>
      </x:c>
      <x:c r="J194" s="277" t="s">
        <x:v>118</x:v>
      </x:c>
      <x:c r="K194" s="277" t="s">
        <x:v>118</x:v>
      </x:c>
      <x:c r="L194" s="277" t="s">
        <x:v>118</x:v>
      </x:c>
      <x:c r="M194" s="277" t="s">
        <x:v>118</x:v>
      </x:c>
      <x:c r="N194" s="277" t="s">
        <x:v>118</x:v>
      </x:c>
      <x:c r="O194" s="277" t="s">
        <x:v>118</x:v>
      </x:c>
      <x:c r="P194" s="277" t="s">
        <x:v>118</x:v>
      </x:c>
      <x:c r="Q194" s="277" t="s">
        <x:v>118</x:v>
      </x:c>
      <x:c r="R194" s="277" t="s">
        <x:v>118</x:v>
      </x:c>
      <x:c r="S194" s="277" t="s">
        <x:v>118</x:v>
      </x:c>
      <x:c r="T194" s="277" t="s">
        <x:v>118</x:v>
      </x:c>
      <x:c r="U194" s="277" t="s">
        <x:v>118</x:v>
      </x:c>
      <x:c r="V194" s="277" t="s">
        <x:v>118</x:v>
      </x:c>
      <x:c r="W194" s="277" t="s">
        <x:v>118</x:v>
      </x:c>
      <x:c r="X194" s="277" t="s">
        <x:v>118</x:v>
      </x:c>
      <x:c r="Y194" s="277" t="s">
        <x:v>118</x:v>
      </x:c>
      <x:c r="Z194" s="277" t="s">
        <x:v>118</x:v>
      </x:c>
      <x:c r="AA194" s="277" t="s">
        <x:v>118</x:v>
      </x:c>
      <x:c r="AB194" s="277" t="s">
        <x:v>118</x:v>
      </x:c>
      <x:c r="AC194" s="277" t="s">
        <x:v>118</x:v>
      </x:c>
      <x:c r="AD194" s="277" t="s">
        <x:v>118</x:v>
      </x:c>
      <x:c r="AE194" s="277" t="s">
        <x:v>118</x:v>
      </x:c>
      <x:c r="AF194" s="277" t="s">
        <x:v>118</x:v>
      </x:c>
      <x:c r="AG194" s="277" t="s">
        <x:v>118</x:v>
      </x:c>
      <x:c r="AH194" s="277" t="s">
        <x:v>118</x:v>
      </x:c>
      <x:c r="AI194" s="277" t="s">
        <x:v>118</x:v>
      </x:c>
      <x:c r="AJ194" s="277" t="s">
        <x:v>118</x:v>
      </x:c>
      <x:c r="AK194" s="220">
        <x:f>COUNTIF(F194:AJ194,"X")</x:f>
      </x:c>
      <x:c r="AL194" s="221"/>
      <x:c r="AM194" s="221"/>
      <x:c r="AN194" s="222"/>
      <x:c r="AO194" s="222"/>
      <x:c r="AP194" s="228"/>
      <x:c r="AQ194" s="228"/>
      <x:c r="AR194" s="228"/>
      <x:c r="AS194" s="228"/>
      <x:c r="AT194" s="230"/>
    </x:row>
    <x:row r="195" spans="1:47" ht="15" customHeight="1">
      <x:c r="A195" s="282" t="s">
        <x:v>2301</x:v>
      </x:c>
      <x:c r="B195" s="216"/>
      <x:c r="C195" s="283" t="s">
        <x:v>2302</x:v>
      </x:c>
      <x:c r="D195" s="282" t="s">
        <x:v>2303</x:v>
      </x:c>
      <x:c r="E195" s="282" t="s">
        <x:v>2304</x:v>
      </x:c>
      <x:c r="F195" s="277" t="s">
        <x:v>118</x:v>
      </x:c>
      <x:c r="G195" s="277" t="s">
        <x:v>118</x:v>
      </x:c>
      <x:c r="H195" s="277" t="s">
        <x:v>118</x:v>
      </x:c>
      <x:c r="I195" s="277" t="s">
        <x:v>118</x:v>
      </x:c>
      <x:c r="J195" s="277" t="s">
        <x:v>118</x:v>
      </x:c>
      <x:c r="K195" s="277" t="s">
        <x:v>118</x:v>
      </x:c>
      <x:c r="L195" s="277" t="s">
        <x:v>118</x:v>
      </x:c>
      <x:c r="M195" s="277" t="s">
        <x:v>118</x:v>
      </x:c>
      <x:c r="N195" s="277" t="s">
        <x:v>118</x:v>
      </x:c>
      <x:c r="O195" s="277" t="s">
        <x:v>118</x:v>
      </x:c>
      <x:c r="P195" s="277" t="s">
        <x:v>118</x:v>
      </x:c>
      <x:c r="Q195" s="277" t="s">
        <x:v>118</x:v>
      </x:c>
      <x:c r="R195" s="277" t="s">
        <x:v>118</x:v>
      </x:c>
      <x:c r="S195" s="277" t="s">
        <x:v>118</x:v>
      </x:c>
      <x:c r="T195" s="277" t="s">
        <x:v>118</x:v>
      </x:c>
      <x:c r="U195" s="277" t="s">
        <x:v>118</x:v>
      </x:c>
      <x:c r="V195" s="277" t="s">
        <x:v>118</x:v>
      </x:c>
      <x:c r="W195" s="277" t="s">
        <x:v>118</x:v>
      </x:c>
      <x:c r="X195" s="277" t="s">
        <x:v>118</x:v>
      </x:c>
      <x:c r="Y195" s="277" t="s">
        <x:v>118</x:v>
      </x:c>
      <x:c r="Z195" s="277" t="s">
        <x:v>118</x:v>
      </x:c>
      <x:c r="AA195" s="277" t="s">
        <x:v>118</x:v>
      </x:c>
      <x:c r="AB195" s="277" t="s">
        <x:v>118</x:v>
      </x:c>
      <x:c r="AC195" s="277" t="s">
        <x:v>118</x:v>
      </x:c>
      <x:c r="AD195" s="277" t="s">
        <x:v>118</x:v>
      </x:c>
      <x:c r="AE195" s="277" t="s">
        <x:v>118</x:v>
      </x:c>
      <x:c r="AF195" s="277" t="s">
        <x:v>118</x:v>
      </x:c>
      <x:c r="AG195" s="277" t="s">
        <x:v>118</x:v>
      </x:c>
      <x:c r="AH195" s="277" t="s">
        <x:v>118</x:v>
      </x:c>
      <x:c r="AI195" s="277" t="s">
        <x:v>118</x:v>
      </x:c>
      <x:c r="AJ195" s="277" t="s">
        <x:v>118</x:v>
      </x:c>
      <x:c r="AK195" s="220">
        <x:f>COUNTIF(F195:AJ195,"X")</x:f>
      </x:c>
      <x:c r="AL195" s="221"/>
      <x:c r="AM195" s="221"/>
      <x:c r="AN195" s="222"/>
      <x:c r="AO195" s="222"/>
      <x:c r="AP195" s="228"/>
      <x:c r="AQ195" s="228"/>
      <x:c r="AR195" s="228"/>
      <x:c r="AS195" s="228"/>
      <x:c r="AT195" s="230"/>
    </x:row>
    <x:row r="196" spans="1:47" ht="15" customHeight="1">
      <x:c r="A196" s="282" t="s">
        <x:v>2305</x:v>
      </x:c>
      <x:c r="B196" s="216"/>
      <x:c r="C196" s="283" t="s">
        <x:v>2306</x:v>
      </x:c>
      <x:c r="D196" s="282" t="s">
        <x:v>506</x:v>
      </x:c>
      <x:c r="E196" s="282" t="s">
        <x:v>2307</x:v>
      </x:c>
      <x:c r="F196" s="281" t="s">
        <x:v>118</x:v>
      </x:c>
      <x:c r="G196" s="281" t="s">
        <x:v>118</x:v>
      </x:c>
      <x:c r="H196" s="281" t="s">
        <x:v>118</x:v>
      </x:c>
      <x:c r="I196" s="281" t="s">
        <x:v>118</x:v>
      </x:c>
      <x:c r="J196" s="281" t="s">
        <x:v>118</x:v>
      </x:c>
      <x:c r="K196" s="281" t="s">
        <x:v>118</x:v>
      </x:c>
      <x:c r="L196" s="281" t="s">
        <x:v>118</x:v>
      </x:c>
      <x:c r="M196" s="281" t="s">
        <x:v>118</x:v>
      </x:c>
      <x:c r="N196" s="281" t="s">
        <x:v>118</x:v>
      </x:c>
      <x:c r="O196" s="281" t="s">
        <x:v>118</x:v>
      </x:c>
      <x:c r="P196" s="281" t="s">
        <x:v>118</x:v>
      </x:c>
      <x:c r="Q196" s="281" t="s">
        <x:v>118</x:v>
      </x:c>
      <x:c r="R196" s="281" t="s">
        <x:v>118</x:v>
      </x:c>
      <x:c r="S196" s="281" t="s">
        <x:v>118</x:v>
      </x:c>
      <x:c r="T196" s="281" t="s">
        <x:v>118</x:v>
      </x:c>
      <x:c r="U196" s="281" t="s">
        <x:v>118</x:v>
      </x:c>
      <x:c r="V196" s="281" t="s">
        <x:v>118</x:v>
      </x:c>
      <x:c r="W196" s="281" t="s">
        <x:v>118</x:v>
      </x:c>
      <x:c r="X196" s="281" t="s">
        <x:v>118</x:v>
      </x:c>
      <x:c r="Y196" s="281" t="s">
        <x:v>118</x:v>
      </x:c>
      <x:c r="Z196" s="281" t="s">
        <x:v>118</x:v>
      </x:c>
      <x:c r="AA196" s="281" t="s">
        <x:v>118</x:v>
      </x:c>
      <x:c r="AB196" s="281" t="s">
        <x:v>118</x:v>
      </x:c>
      <x:c r="AC196" s="281" t="s">
        <x:v>118</x:v>
      </x:c>
      <x:c r="AD196" s="281" t="s">
        <x:v>118</x:v>
      </x:c>
      <x:c r="AE196" s="281" t="s">
        <x:v>118</x:v>
      </x:c>
      <x:c r="AF196" s="281" t="s">
        <x:v>118</x:v>
      </x:c>
      <x:c r="AG196" s="281" t="s">
        <x:v>118</x:v>
      </x:c>
      <x:c r="AH196" s="281" t="s">
        <x:v>118</x:v>
      </x:c>
      <x:c r="AI196" s="281" t="s">
        <x:v>118</x:v>
      </x:c>
      <x:c r="AJ196" s="281" t="s">
        <x:v>118</x:v>
      </x:c>
      <x:c r="AK196" s="220">
        <x:f>COUNTIF(F196:AJ196,"X")</x:f>
      </x:c>
      <x:c r="AL196" s="221"/>
      <x:c r="AM196" s="221"/>
      <x:c r="AN196" s="222"/>
      <x:c r="AO196" s="222"/>
      <x:c r="AP196" s="228"/>
      <x:c r="AQ196" s="228"/>
      <x:c r="AR196" s="228"/>
      <x:c r="AS196" s="228"/>
      <x:c r="AT196" s="230"/>
    </x:row>
    <x:row r="197" spans="1:47" ht="15" customHeight="1">
      <x:c r="A197" s="282" t="s">
        <x:v>2308</x:v>
      </x:c>
      <x:c r="B197" s="216"/>
      <x:c r="C197" s="283" t="s">
        <x:v>2309</x:v>
      </x:c>
      <x:c r="D197" s="282" t="s">
        <x:v>1303</x:v>
      </x:c>
      <x:c r="E197" s="282" t="s">
        <x:v>2310</x:v>
      </x:c>
      <x:c r="F197" s="277" t="s">
        <x:v>118</x:v>
      </x:c>
      <x:c r="G197" s="277" t="s">
        <x:v>118</x:v>
      </x:c>
      <x:c r="H197" s="277" t="s">
        <x:v>118</x:v>
      </x:c>
      <x:c r="I197" s="277" t="s">
        <x:v>118</x:v>
      </x:c>
      <x:c r="J197" s="277" t="s">
        <x:v>118</x:v>
      </x:c>
      <x:c r="K197" s="277" t="s">
        <x:v>118</x:v>
      </x:c>
      <x:c r="L197" s="277" t="s">
        <x:v>118</x:v>
      </x:c>
      <x:c r="M197" s="277" t="s">
        <x:v>118</x:v>
      </x:c>
      <x:c r="N197" s="277" t="s">
        <x:v>118</x:v>
      </x:c>
      <x:c r="O197" s="277" t="s">
        <x:v>118</x:v>
      </x:c>
      <x:c r="P197" s="277" t="s">
        <x:v>118</x:v>
      </x:c>
      <x:c r="Q197" s="277" t="s">
        <x:v>118</x:v>
      </x:c>
      <x:c r="R197" s="277" t="s">
        <x:v>118</x:v>
      </x:c>
      <x:c r="S197" s="277" t="s">
        <x:v>118</x:v>
      </x:c>
      <x:c r="T197" s="277" t="s">
        <x:v>118</x:v>
      </x:c>
      <x:c r="U197" s="277" t="s">
        <x:v>118</x:v>
      </x:c>
      <x:c r="V197" s="277" t="s">
        <x:v>118</x:v>
      </x:c>
      <x:c r="W197" s="277" t="s">
        <x:v>118</x:v>
      </x:c>
      <x:c r="X197" s="277" t="s">
        <x:v>118</x:v>
      </x:c>
      <x:c r="Y197" s="277" t="s">
        <x:v>118</x:v>
      </x:c>
      <x:c r="Z197" s="277" t="s">
        <x:v>118</x:v>
      </x:c>
      <x:c r="AA197" s="277" t="s">
        <x:v>118</x:v>
      </x:c>
      <x:c r="AB197" s="277" t="s">
        <x:v>118</x:v>
      </x:c>
      <x:c r="AC197" s="277" t="s">
        <x:v>118</x:v>
      </x:c>
      <x:c r="AD197" s="277" t="s">
        <x:v>118</x:v>
      </x:c>
      <x:c r="AE197" s="277" t="s">
        <x:v>118</x:v>
      </x:c>
      <x:c r="AF197" s="277" t="s">
        <x:v>118</x:v>
      </x:c>
      <x:c r="AG197" s="277" t="s">
        <x:v>118</x:v>
      </x:c>
      <x:c r="AH197" s="277" t="s">
        <x:v>118</x:v>
      </x:c>
      <x:c r="AI197" s="277" t="s">
        <x:v>118</x:v>
      </x:c>
      <x:c r="AJ197" s="277" t="s">
        <x:v>118</x:v>
      </x:c>
      <x:c r="AK197" s="220">
        <x:f>COUNTIF(F197:AJ197,"X")</x:f>
      </x:c>
      <x:c r="AL197" s="221"/>
      <x:c r="AM197" s="221"/>
      <x:c r="AN197" s="222"/>
      <x:c r="AO197" s="222"/>
      <x:c r="AP197" s="228"/>
      <x:c r="AQ197" s="228"/>
      <x:c r="AR197" s="228"/>
      <x:c r="AS197" s="228"/>
      <x:c r="AT197" s="230"/>
    </x:row>
    <x:row r="198" spans="1:47" ht="15" customHeight="1">
      <x:c r="A198" s="282" t="s">
        <x:v>2311</x:v>
      </x:c>
      <x:c r="B198" s="216"/>
      <x:c r="C198" s="283" t="s">
        <x:v>2312</x:v>
      </x:c>
      <x:c r="D198" s="282" t="s">
        <x:v>1303</x:v>
      </x:c>
      <x:c r="E198" s="282" t="s">
        <x:v>1689</x:v>
      </x:c>
      <x:c r="F198" s="281" t="s">
        <x:v>118</x:v>
      </x:c>
      <x:c r="G198" s="281" t="s">
        <x:v>118</x:v>
      </x:c>
      <x:c r="H198" s="281" t="s">
        <x:v>118</x:v>
      </x:c>
      <x:c r="I198" s="281" t="s">
        <x:v>118</x:v>
      </x:c>
      <x:c r="J198" s="281" t="s">
        <x:v>118</x:v>
      </x:c>
      <x:c r="K198" s="281" t="s">
        <x:v>118</x:v>
      </x:c>
      <x:c r="L198" s="281" t="s">
        <x:v>118</x:v>
      </x:c>
      <x:c r="M198" s="281" t="s">
        <x:v>118</x:v>
      </x:c>
      <x:c r="N198" s="281" t="s">
        <x:v>118</x:v>
      </x:c>
      <x:c r="O198" s="281" t="s">
        <x:v>118</x:v>
      </x:c>
      <x:c r="P198" s="281" t="s">
        <x:v>118</x:v>
      </x:c>
      <x:c r="Q198" s="281" t="s">
        <x:v>118</x:v>
      </x:c>
      <x:c r="R198" s="281" t="s">
        <x:v>118</x:v>
      </x:c>
      <x:c r="S198" s="281" t="s">
        <x:v>118</x:v>
      </x:c>
      <x:c r="T198" s="281" t="s">
        <x:v>118</x:v>
      </x:c>
      <x:c r="U198" s="281" t="s">
        <x:v>118</x:v>
      </x:c>
      <x:c r="V198" s="281" t="s">
        <x:v>118</x:v>
      </x:c>
      <x:c r="W198" s="281" t="s">
        <x:v>118</x:v>
      </x:c>
      <x:c r="X198" s="281" t="s">
        <x:v>118</x:v>
      </x:c>
      <x:c r="Y198" s="281" t="s">
        <x:v>118</x:v>
      </x:c>
      <x:c r="Z198" s="281" t="s">
        <x:v>118</x:v>
      </x:c>
      <x:c r="AA198" s="281" t="s">
        <x:v>118</x:v>
      </x:c>
      <x:c r="AB198" s="281" t="s">
        <x:v>118</x:v>
      </x:c>
      <x:c r="AC198" s="281" t="s">
        <x:v>118</x:v>
      </x:c>
      <x:c r="AD198" s="281" t="s">
        <x:v>118</x:v>
      </x:c>
      <x:c r="AE198" s="281" t="s">
        <x:v>118</x:v>
      </x:c>
      <x:c r="AF198" s="281" t="s">
        <x:v>118</x:v>
      </x:c>
      <x:c r="AG198" s="281" t="s">
        <x:v>118</x:v>
      </x:c>
      <x:c r="AH198" s="281" t="s">
        <x:v>118</x:v>
      </x:c>
      <x:c r="AI198" s="281" t="s">
        <x:v>118</x:v>
      </x:c>
      <x:c r="AJ198" s="281" t="s">
        <x:v>118</x:v>
      </x:c>
      <x:c r="AK198" s="220">
        <x:f>COUNTIF(F198:AJ198,"X")</x:f>
      </x:c>
      <x:c r="AL198" s="221"/>
      <x:c r="AM198" s="221"/>
      <x:c r="AN198" s="222"/>
      <x:c r="AO198" s="222"/>
      <x:c r="AP198" s="228"/>
      <x:c r="AQ198" s="228"/>
      <x:c r="AR198" s="228"/>
      <x:c r="AS198" s="228"/>
      <x:c r="AT198" s="230"/>
    </x:row>
    <x:row r="199" spans="1:47" ht="15" customHeight="1">
      <x:c r="A199" s="282" t="s">
        <x:v>2313</x:v>
      </x:c>
      <x:c r="B199" s="216"/>
      <x:c r="C199" s="283" t="s">
        <x:v>2314</x:v>
      </x:c>
      <x:c r="D199" s="282" t="s">
        <x:v>2315</x:v>
      </x:c>
      <x:c r="E199" s="282" t="s">
        <x:v>220</x:v>
      </x:c>
      <x:c r="F199" s="281" t="s">
        <x:v>118</x:v>
      </x:c>
      <x:c r="G199" s="281" t="s">
        <x:v>118</x:v>
      </x:c>
      <x:c r="H199" s="281" t="s">
        <x:v>118</x:v>
      </x:c>
      <x:c r="I199" s="281" t="s">
        <x:v>118</x:v>
      </x:c>
      <x:c r="J199" s="281" t="s">
        <x:v>118</x:v>
      </x:c>
      <x:c r="K199" s="281" t="s">
        <x:v>118</x:v>
      </x:c>
      <x:c r="L199" s="281" t="s">
        <x:v>118</x:v>
      </x:c>
      <x:c r="M199" s="281" t="s">
        <x:v>118</x:v>
      </x:c>
      <x:c r="N199" s="281" t="s">
        <x:v>118</x:v>
      </x:c>
      <x:c r="O199" s="281" t="s">
        <x:v>118</x:v>
      </x:c>
      <x:c r="P199" s="281" t="s">
        <x:v>118</x:v>
      </x:c>
      <x:c r="Q199" s="281" t="s">
        <x:v>118</x:v>
      </x:c>
      <x:c r="R199" s="281" t="s">
        <x:v>118</x:v>
      </x:c>
      <x:c r="S199" s="281" t="s">
        <x:v>118</x:v>
      </x:c>
      <x:c r="T199" s="281" t="s">
        <x:v>118</x:v>
      </x:c>
      <x:c r="U199" s="281" t="s">
        <x:v>118</x:v>
      </x:c>
      <x:c r="V199" s="281" t="s">
        <x:v>118</x:v>
      </x:c>
      <x:c r="W199" s="281" t="s">
        <x:v>118</x:v>
      </x:c>
      <x:c r="X199" s="281" t="s">
        <x:v>118</x:v>
      </x:c>
      <x:c r="Y199" s="281" t="s">
        <x:v>118</x:v>
      </x:c>
      <x:c r="Z199" s="281" t="s">
        <x:v>118</x:v>
      </x:c>
      <x:c r="AA199" s="281" t="s">
        <x:v>118</x:v>
      </x:c>
      <x:c r="AB199" s="281" t="s">
        <x:v>118</x:v>
      </x:c>
      <x:c r="AC199" s="281" t="s">
        <x:v>118</x:v>
      </x:c>
      <x:c r="AD199" s="281" t="s">
        <x:v>118</x:v>
      </x:c>
      <x:c r="AE199" s="281" t="s">
        <x:v>118</x:v>
      </x:c>
      <x:c r="AF199" s="281" t="s">
        <x:v>118</x:v>
      </x:c>
      <x:c r="AG199" s="281" t="s">
        <x:v>118</x:v>
      </x:c>
      <x:c r="AH199" s="281" t="s">
        <x:v>118</x:v>
      </x:c>
      <x:c r="AI199" s="281" t="s">
        <x:v>118</x:v>
      </x:c>
      <x:c r="AJ199" s="281" t="s">
        <x:v>118</x:v>
      </x:c>
      <x:c r="AK199" s="220">
        <x:f>COUNTIF(F199:AJ199,"X")</x:f>
      </x:c>
      <x:c r="AL199" s="221"/>
      <x:c r="AM199" s="221"/>
      <x:c r="AN199" s="222"/>
      <x:c r="AO199" s="222"/>
      <x:c r="AP199" s="228"/>
      <x:c r="AQ199" s="228"/>
      <x:c r="AR199" s="228"/>
      <x:c r="AS199" s="228"/>
      <x:c r="AT199" s="230"/>
    </x:row>
    <x:row r="200" spans="1:47" ht="15" customHeight="1">
      <x:c r="A200" s="282" t="s">
        <x:v>2316</x:v>
      </x:c>
      <x:c r="B200" s="216"/>
      <x:c r="C200" s="283" t="s">
        <x:v>2317</x:v>
      </x:c>
      <x:c r="D200" s="282" t="s">
        <x:v>2318</x:v>
      </x:c>
      <x:c r="E200" s="282" t="s">
        <x:v>1339</x:v>
      </x:c>
      <x:c r="F200" s="277" t="s">
        <x:v>118</x:v>
      </x:c>
      <x:c r="G200" s="277" t="s">
        <x:v>118</x:v>
      </x:c>
      <x:c r="H200" s="277" t="s">
        <x:v>118</x:v>
      </x:c>
      <x:c r="I200" s="277" t="s">
        <x:v>118</x:v>
      </x:c>
      <x:c r="J200" s="277" t="s">
        <x:v>118</x:v>
      </x:c>
      <x:c r="K200" s="277" t="s">
        <x:v>118</x:v>
      </x:c>
      <x:c r="L200" s="277" t="s">
        <x:v>118</x:v>
      </x:c>
      <x:c r="M200" s="277" t="s">
        <x:v>118</x:v>
      </x:c>
      <x:c r="N200" s="277" t="s">
        <x:v>118</x:v>
      </x:c>
      <x:c r="O200" s="277" t="s">
        <x:v>118</x:v>
      </x:c>
      <x:c r="P200" s="277" t="s">
        <x:v>118</x:v>
      </x:c>
      <x:c r="Q200" s="277" t="s">
        <x:v>118</x:v>
      </x:c>
      <x:c r="R200" s="277" t="s">
        <x:v>118</x:v>
      </x:c>
      <x:c r="S200" s="277" t="s">
        <x:v>118</x:v>
      </x:c>
      <x:c r="T200" s="277" t="s">
        <x:v>118</x:v>
      </x:c>
      <x:c r="U200" s="277" t="s">
        <x:v>118</x:v>
      </x:c>
      <x:c r="V200" s="277" t="s">
        <x:v>118</x:v>
      </x:c>
      <x:c r="W200" s="277" t="s">
        <x:v>118</x:v>
      </x:c>
      <x:c r="X200" s="277" t="s">
        <x:v>118</x:v>
      </x:c>
      <x:c r="Y200" s="277" t="s">
        <x:v>118</x:v>
      </x:c>
      <x:c r="Z200" s="277" t="s">
        <x:v>118</x:v>
      </x:c>
      <x:c r="AA200" s="277" t="s">
        <x:v>118</x:v>
      </x:c>
      <x:c r="AB200" s="277" t="s">
        <x:v>118</x:v>
      </x:c>
      <x:c r="AC200" s="277" t="s">
        <x:v>118</x:v>
      </x:c>
      <x:c r="AD200" s="277" t="s">
        <x:v>118</x:v>
      </x:c>
      <x:c r="AE200" s="277" t="s">
        <x:v>118</x:v>
      </x:c>
      <x:c r="AF200" s="277" t="s">
        <x:v>118</x:v>
      </x:c>
      <x:c r="AG200" s="277" t="s">
        <x:v>118</x:v>
      </x:c>
      <x:c r="AH200" s="277" t="s">
        <x:v>118</x:v>
      </x:c>
      <x:c r="AI200" s="277" t="s">
        <x:v>118</x:v>
      </x:c>
      <x:c r="AJ200" s="277" t="s">
        <x:v>118</x:v>
      </x:c>
      <x:c r="AK200" s="220">
        <x:f>COUNTIF(F200:AJ200,"X")</x:f>
      </x:c>
      <x:c r="AL200" s="221"/>
      <x:c r="AM200" s="221"/>
      <x:c r="AN200" s="222"/>
      <x:c r="AO200" s="222"/>
      <x:c r="AP200" s="228"/>
      <x:c r="AQ200" s="228"/>
      <x:c r="AR200" s="228"/>
      <x:c r="AS200" s="228"/>
      <x:c r="AT200" s="230"/>
    </x:row>
    <x:row r="201" spans="1:47" ht="15" customHeight="1">
      <x:c r="A201" s="282" t="s">
        <x:v>2319</x:v>
      </x:c>
      <x:c r="B201" s="216"/>
      <x:c r="C201" s="283" t="s">
        <x:v>2320</x:v>
      </x:c>
      <x:c r="D201" s="282" t="s">
        <x:v>2321</x:v>
      </x:c>
      <x:c r="E201" s="282" t="s">
        <x:v>2322</x:v>
      </x:c>
      <x:c r="F201" s="277" t="s">
        <x:v>118</x:v>
      </x:c>
      <x:c r="G201" s="277" t="s">
        <x:v>118</x:v>
      </x:c>
      <x:c r="H201" s="277" t="s">
        <x:v>118</x:v>
      </x:c>
      <x:c r="I201" s="277" t="s">
        <x:v>118</x:v>
      </x:c>
      <x:c r="J201" s="277" t="s">
        <x:v>118</x:v>
      </x:c>
      <x:c r="K201" s="277" t="s">
        <x:v>118</x:v>
      </x:c>
      <x:c r="L201" s="277" t="s">
        <x:v>118</x:v>
      </x:c>
      <x:c r="M201" s="277" t="s">
        <x:v>118</x:v>
      </x:c>
      <x:c r="N201" s="277" t="s">
        <x:v>118</x:v>
      </x:c>
      <x:c r="O201" s="277" t="s">
        <x:v>118</x:v>
      </x:c>
      <x:c r="P201" s="277" t="s">
        <x:v>118</x:v>
      </x:c>
      <x:c r="Q201" s="277" t="s">
        <x:v>118</x:v>
      </x:c>
      <x:c r="R201" s="277" t="s">
        <x:v>118</x:v>
      </x:c>
      <x:c r="S201" s="277" t="s">
        <x:v>118</x:v>
      </x:c>
      <x:c r="T201" s="277" t="s">
        <x:v>118</x:v>
      </x:c>
      <x:c r="U201" s="277" t="s">
        <x:v>118</x:v>
      </x:c>
      <x:c r="V201" s="277" t="s">
        <x:v>118</x:v>
      </x:c>
      <x:c r="W201" s="277" t="s">
        <x:v>118</x:v>
      </x:c>
      <x:c r="X201" s="277" t="s">
        <x:v>118</x:v>
      </x:c>
      <x:c r="Y201" s="277" t="s">
        <x:v>118</x:v>
      </x:c>
      <x:c r="Z201" s="277" t="s">
        <x:v>118</x:v>
      </x:c>
      <x:c r="AA201" s="277" t="s">
        <x:v>118</x:v>
      </x:c>
      <x:c r="AB201" s="277" t="s">
        <x:v>118</x:v>
      </x:c>
      <x:c r="AC201" s="277" t="s">
        <x:v>118</x:v>
      </x:c>
      <x:c r="AD201" s="277" t="s">
        <x:v>118</x:v>
      </x:c>
      <x:c r="AE201" s="277" t="s">
        <x:v>118</x:v>
      </x:c>
      <x:c r="AF201" s="277" t="s">
        <x:v>118</x:v>
      </x:c>
      <x:c r="AG201" s="277" t="s">
        <x:v>118</x:v>
      </x:c>
      <x:c r="AH201" s="277" t="s">
        <x:v>118</x:v>
      </x:c>
      <x:c r="AI201" s="277" t="s">
        <x:v>118</x:v>
      </x:c>
      <x:c r="AJ201" s="277" t="s">
        <x:v>118</x:v>
      </x:c>
      <x:c r="AK201" s="220">
        <x:f>COUNTIF(F201:AJ201,"X")</x:f>
      </x:c>
      <x:c r="AL201" s="221"/>
      <x:c r="AM201" s="221"/>
      <x:c r="AN201" s="222"/>
      <x:c r="AO201" s="222"/>
      <x:c r="AP201" s="228"/>
      <x:c r="AQ201" s="228"/>
      <x:c r="AR201" s="228"/>
      <x:c r="AS201" s="228"/>
      <x:c r="AT201" s="230"/>
    </x:row>
    <x:row r="202" spans="1:47" ht="15" customHeight="1">
      <x:c r="A202" s="282" t="s">
        <x:v>2323</x:v>
      </x:c>
      <x:c r="B202" s="216"/>
      <x:c r="C202" s="283" t="s">
        <x:v>2324</x:v>
      </x:c>
      <x:c r="D202" s="282" t="s">
        <x:v>2325</x:v>
      </x:c>
      <x:c r="E202" s="282" t="s">
        <x:v>2326</x:v>
      </x:c>
      <x:c r="F202" s="277" t="s">
        <x:v>118</x:v>
      </x:c>
      <x:c r="G202" s="277" t="s">
        <x:v>118</x:v>
      </x:c>
      <x:c r="H202" s="277" t="s">
        <x:v>118</x:v>
      </x:c>
      <x:c r="I202" s="277" t="s">
        <x:v>118</x:v>
      </x:c>
      <x:c r="J202" s="277" t="s">
        <x:v>118</x:v>
      </x:c>
      <x:c r="K202" s="277" t="s">
        <x:v>118</x:v>
      </x:c>
      <x:c r="L202" s="277" t="s">
        <x:v>118</x:v>
      </x:c>
      <x:c r="M202" s="277" t="s">
        <x:v>118</x:v>
      </x:c>
      <x:c r="N202" s="277" t="s">
        <x:v>118</x:v>
      </x:c>
      <x:c r="O202" s="277" t="s">
        <x:v>118</x:v>
      </x:c>
      <x:c r="P202" s="277" t="s">
        <x:v>118</x:v>
      </x:c>
      <x:c r="Q202" s="277" t="s">
        <x:v>118</x:v>
      </x:c>
      <x:c r="R202" s="277" t="s">
        <x:v>118</x:v>
      </x:c>
      <x:c r="S202" s="277" t="s">
        <x:v>118</x:v>
      </x:c>
      <x:c r="T202" s="277" t="s">
        <x:v>118</x:v>
      </x:c>
      <x:c r="U202" s="277" t="s">
        <x:v>118</x:v>
      </x:c>
      <x:c r="V202" s="277" t="s">
        <x:v>118</x:v>
      </x:c>
      <x:c r="W202" s="277" t="s">
        <x:v>118</x:v>
      </x:c>
      <x:c r="X202" s="277" t="s">
        <x:v>118</x:v>
      </x:c>
      <x:c r="Y202" s="277" t="s">
        <x:v>118</x:v>
      </x:c>
      <x:c r="Z202" s="277" t="s">
        <x:v>118</x:v>
      </x:c>
      <x:c r="AA202" s="277" t="s">
        <x:v>118</x:v>
      </x:c>
      <x:c r="AB202" s="277" t="s">
        <x:v>118</x:v>
      </x:c>
      <x:c r="AC202" s="277" t="s">
        <x:v>118</x:v>
      </x:c>
      <x:c r="AD202" s="277" t="s">
        <x:v>118</x:v>
      </x:c>
      <x:c r="AE202" s="277" t="s">
        <x:v>118</x:v>
      </x:c>
      <x:c r="AF202" s="277" t="s">
        <x:v>118</x:v>
      </x:c>
      <x:c r="AG202" s="277" t="s">
        <x:v>118</x:v>
      </x:c>
      <x:c r="AH202" s="277" t="s">
        <x:v>118</x:v>
      </x:c>
      <x:c r="AI202" s="277" t="s">
        <x:v>118</x:v>
      </x:c>
      <x:c r="AJ202" s="277" t="s">
        <x:v>118</x:v>
      </x:c>
      <x:c r="AK202" s="220">
        <x:f>COUNTIF(F202:AJ202,"X")</x:f>
      </x:c>
      <x:c r="AL202" s="221"/>
      <x:c r="AM202" s="221"/>
      <x:c r="AN202" s="222"/>
      <x:c r="AO202" s="222"/>
      <x:c r="AP202" s="228"/>
      <x:c r="AQ202" s="228"/>
      <x:c r="AR202" s="228"/>
      <x:c r="AS202" s="228"/>
      <x:c r="AT202" s="230"/>
    </x:row>
    <x:row r="203" spans="1:47" ht="15" customHeight="1">
      <x:c r="A203" s="282" t="s">
        <x:v>2327</x:v>
      </x:c>
      <x:c r="B203" s="216"/>
      <x:c r="C203" s="283" t="s">
        <x:v>2328</x:v>
      </x:c>
      <x:c r="D203" s="282" t="s">
        <x:v>2329</x:v>
      </x:c>
      <x:c r="E203" s="282" t="s">
        <x:v>2330</x:v>
      </x:c>
      <x:c r="F203" s="281" t="s">
        <x:v>118</x:v>
      </x:c>
      <x:c r="G203" s="281" t="s">
        <x:v>118</x:v>
      </x:c>
      <x:c r="H203" s="281" t="s">
        <x:v>118</x:v>
      </x:c>
      <x:c r="I203" s="281" t="s">
        <x:v>118</x:v>
      </x:c>
      <x:c r="J203" s="281" t="s">
        <x:v>118</x:v>
      </x:c>
      <x:c r="K203" s="281" t="s">
        <x:v>118</x:v>
      </x:c>
      <x:c r="L203" s="281" t="s">
        <x:v>118</x:v>
      </x:c>
      <x:c r="M203" s="281" t="s">
        <x:v>118</x:v>
      </x:c>
      <x:c r="N203" s="281" t="s">
        <x:v>118</x:v>
      </x:c>
      <x:c r="O203" s="281" t="s">
        <x:v>118</x:v>
      </x:c>
      <x:c r="P203" s="281" t="s">
        <x:v>118</x:v>
      </x:c>
      <x:c r="Q203" s="281" t="s">
        <x:v>118</x:v>
      </x:c>
      <x:c r="R203" s="281" t="s">
        <x:v>118</x:v>
      </x:c>
      <x:c r="S203" s="281" t="s">
        <x:v>118</x:v>
      </x:c>
      <x:c r="T203" s="281" t="s">
        <x:v>118</x:v>
      </x:c>
      <x:c r="U203" s="281" t="s">
        <x:v>118</x:v>
      </x:c>
      <x:c r="V203" s="281" t="s">
        <x:v>118</x:v>
      </x:c>
      <x:c r="W203" s="281" t="s">
        <x:v>118</x:v>
      </x:c>
      <x:c r="X203" s="281" t="s">
        <x:v>118</x:v>
      </x:c>
      <x:c r="Y203" s="281" t="s">
        <x:v>118</x:v>
      </x:c>
      <x:c r="Z203" s="281" t="s">
        <x:v>118</x:v>
      </x:c>
      <x:c r="AA203" s="281" t="s">
        <x:v>118</x:v>
      </x:c>
      <x:c r="AB203" s="281" t="s">
        <x:v>118</x:v>
      </x:c>
      <x:c r="AC203" s="281" t="s">
        <x:v>118</x:v>
      </x:c>
      <x:c r="AD203" s="281" t="s">
        <x:v>118</x:v>
      </x:c>
      <x:c r="AE203" s="281" t="s">
        <x:v>118</x:v>
      </x:c>
      <x:c r="AF203" s="281" t="s">
        <x:v>118</x:v>
      </x:c>
      <x:c r="AG203" s="281" t="s">
        <x:v>118</x:v>
      </x:c>
      <x:c r="AH203" s="281" t="s">
        <x:v>118</x:v>
      </x:c>
      <x:c r="AI203" s="281" t="s">
        <x:v>118</x:v>
      </x:c>
      <x:c r="AJ203" s="281" t="s">
        <x:v>118</x:v>
      </x:c>
      <x:c r="AK203" s="220">
        <x:f>COUNTIF(F203:AJ203,"X")</x:f>
      </x:c>
      <x:c r="AL203" s="221"/>
      <x:c r="AM203" s="221"/>
      <x:c r="AN203" s="222"/>
      <x:c r="AO203" s="222"/>
      <x:c r="AP203" s="228"/>
      <x:c r="AQ203" s="228"/>
      <x:c r="AR203" s="228"/>
      <x:c r="AS203" s="228"/>
      <x:c r="AT203" s="230"/>
    </x:row>
    <x:row r="204" spans="1:47" ht="15" customHeight="1">
      <x:c r="A204" s="282" t="s">
        <x:v>2331</x:v>
      </x:c>
      <x:c r="B204" s="216"/>
      <x:c r="C204" s="283" t="s">
        <x:v>2332</x:v>
      </x:c>
      <x:c r="D204" s="282" t="s">
        <x:v>2333</x:v>
      </x:c>
      <x:c r="E204" s="282" t="s">
        <x:v>2</x:v>
      </x:c>
      <x:c r="F204" s="281" t="s">
        <x:v>118</x:v>
      </x:c>
      <x:c r="G204" s="281" t="s">
        <x:v>118</x:v>
      </x:c>
      <x:c r="H204" s="281" t="s">
        <x:v>118</x:v>
      </x:c>
      <x:c r="I204" s="281" t="s">
        <x:v>118</x:v>
      </x:c>
      <x:c r="J204" s="281" t="s">
        <x:v>118</x:v>
      </x:c>
      <x:c r="K204" s="281" t="s">
        <x:v>118</x:v>
      </x:c>
      <x:c r="L204" s="281" t="s">
        <x:v>118</x:v>
      </x:c>
      <x:c r="M204" s="281" t="s">
        <x:v>118</x:v>
      </x:c>
      <x:c r="N204" s="281" t="s">
        <x:v>118</x:v>
      </x:c>
      <x:c r="O204" s="281" t="s">
        <x:v>118</x:v>
      </x:c>
      <x:c r="P204" s="281" t="s">
        <x:v>118</x:v>
      </x:c>
      <x:c r="Q204" s="281" t="s">
        <x:v>118</x:v>
      </x:c>
      <x:c r="R204" s="281" t="s">
        <x:v>118</x:v>
      </x:c>
      <x:c r="S204" s="281" t="s">
        <x:v>118</x:v>
      </x:c>
      <x:c r="T204" s="281" t="s">
        <x:v>118</x:v>
      </x:c>
      <x:c r="U204" s="281" t="s">
        <x:v>118</x:v>
      </x:c>
      <x:c r="V204" s="281" t="s">
        <x:v>118</x:v>
      </x:c>
      <x:c r="W204" s="281" t="s">
        <x:v>118</x:v>
      </x:c>
      <x:c r="X204" s="281" t="s">
        <x:v>118</x:v>
      </x:c>
      <x:c r="Y204" s="281" t="s">
        <x:v>118</x:v>
      </x:c>
      <x:c r="Z204" s="281" t="s">
        <x:v>118</x:v>
      </x:c>
      <x:c r="AA204" s="281" t="s">
        <x:v>118</x:v>
      </x:c>
      <x:c r="AB204" s="281" t="s">
        <x:v>118</x:v>
      </x:c>
      <x:c r="AC204" s="281" t="s">
        <x:v>118</x:v>
      </x:c>
      <x:c r="AD204" s="281" t="s">
        <x:v>118</x:v>
      </x:c>
      <x:c r="AE204" s="281" t="s">
        <x:v>118</x:v>
      </x:c>
      <x:c r="AF204" s="281" t="s">
        <x:v>118</x:v>
      </x:c>
      <x:c r="AG204" s="281" t="s">
        <x:v>118</x:v>
      </x:c>
      <x:c r="AH204" s="281" t="s">
        <x:v>118</x:v>
      </x:c>
      <x:c r="AI204" s="281" t="s">
        <x:v>118</x:v>
      </x:c>
      <x:c r="AJ204" s="281" t="s">
        <x:v>118</x:v>
      </x:c>
      <x:c r="AK204" s="220">
        <x:f>COUNTIF(F204:AJ204,"X")</x:f>
      </x:c>
      <x:c r="AL204" s="221"/>
      <x:c r="AM204" s="221"/>
      <x:c r="AN204" s="222"/>
      <x:c r="AO204" s="222"/>
      <x:c r="AP204" s="228"/>
      <x:c r="AQ204" s="228"/>
      <x:c r="AR204" s="228"/>
      <x:c r="AS204" s="228"/>
      <x:c r="AT204" s="230"/>
    </x:row>
    <x:row r="205" spans="1:47" ht="15" customHeight="1">
      <x:c r="A205" s="282" t="s">
        <x:v>2334</x:v>
      </x:c>
      <x:c r="B205" s="216"/>
      <x:c r="C205" s="283" t="s">
        <x:v>2335</x:v>
      </x:c>
      <x:c r="D205" s="282" t="s">
        <x:v>2333</x:v>
      </x:c>
      <x:c r="E205" s="282" t="s">
        <x:v>2336</x:v>
      </x:c>
      <x:c r="F205" s="281" t="s">
        <x:v>118</x:v>
      </x:c>
      <x:c r="G205" s="281" t="s">
        <x:v>118</x:v>
      </x:c>
      <x:c r="H205" s="281" t="s">
        <x:v>118</x:v>
      </x:c>
      <x:c r="I205" s="281" t="s">
        <x:v>118</x:v>
      </x:c>
      <x:c r="J205" s="281" t="s">
        <x:v>118</x:v>
      </x:c>
      <x:c r="K205" s="281" t="s">
        <x:v>118</x:v>
      </x:c>
      <x:c r="L205" s="281" t="s">
        <x:v>118</x:v>
      </x:c>
      <x:c r="M205" s="281" t="s">
        <x:v>118</x:v>
      </x:c>
      <x:c r="N205" s="281" t="s">
        <x:v>118</x:v>
      </x:c>
      <x:c r="O205" s="281" t="s">
        <x:v>118</x:v>
      </x:c>
      <x:c r="P205" s="281" t="s">
        <x:v>118</x:v>
      </x:c>
      <x:c r="Q205" s="281" t="s">
        <x:v>118</x:v>
      </x:c>
      <x:c r="R205" s="281" t="s">
        <x:v>118</x:v>
      </x:c>
      <x:c r="S205" s="281" t="s">
        <x:v>118</x:v>
      </x:c>
      <x:c r="T205" s="281" t="s">
        <x:v>118</x:v>
      </x:c>
      <x:c r="U205" s="281" t="s">
        <x:v>118</x:v>
      </x:c>
      <x:c r="V205" s="281" t="s">
        <x:v>118</x:v>
      </x:c>
      <x:c r="W205" s="281" t="s">
        <x:v>118</x:v>
      </x:c>
      <x:c r="X205" s="281" t="s">
        <x:v>118</x:v>
      </x:c>
      <x:c r="Y205" s="281" t="s">
        <x:v>118</x:v>
      </x:c>
      <x:c r="Z205" s="281" t="s">
        <x:v>118</x:v>
      </x:c>
      <x:c r="AA205" s="281" t="s">
        <x:v>118</x:v>
      </x:c>
      <x:c r="AB205" s="281" t="s">
        <x:v>118</x:v>
      </x:c>
      <x:c r="AC205" s="281" t="s">
        <x:v>118</x:v>
      </x:c>
      <x:c r="AD205" s="281" t="s">
        <x:v>118</x:v>
      </x:c>
      <x:c r="AE205" s="281" t="s">
        <x:v>118</x:v>
      </x:c>
      <x:c r="AF205" s="281" t="s">
        <x:v>118</x:v>
      </x:c>
      <x:c r="AG205" s="281" t="s">
        <x:v>118</x:v>
      </x:c>
      <x:c r="AH205" s="281" t="s">
        <x:v>118</x:v>
      </x:c>
      <x:c r="AI205" s="281" t="s">
        <x:v>118</x:v>
      </x:c>
      <x:c r="AJ205" s="281" t="s">
        <x:v>118</x:v>
      </x:c>
      <x:c r="AK205" s="220">
        <x:f>COUNTIF(F205:AJ205,"X")</x:f>
      </x:c>
      <x:c r="AL205" s="221"/>
      <x:c r="AM205" s="221"/>
      <x:c r="AN205" s="222"/>
      <x:c r="AO205" s="222"/>
      <x:c r="AP205" s="228"/>
      <x:c r="AQ205" s="228"/>
      <x:c r="AR205" s="228"/>
      <x:c r="AS205" s="228"/>
      <x:c r="AT205" s="230"/>
    </x:row>
    <x:row r="206" spans="1:47" ht="15" customHeight="1">
      <x:c r="A206" s="282" t="s">
        <x:v>2337</x:v>
      </x:c>
      <x:c r="B206" s="216"/>
      <x:c r="C206" s="283" t="s">
        <x:v>2338</x:v>
      </x:c>
      <x:c r="D206" s="282" t="s">
        <x:v>2333</x:v>
      </x:c>
      <x:c r="E206" s="282" t="s">
        <x:v>264</x:v>
      </x:c>
      <x:c r="F206" s="277" t="s">
        <x:v>118</x:v>
      </x:c>
      <x:c r="G206" s="277" t="s">
        <x:v>118</x:v>
      </x:c>
      <x:c r="H206" s="277" t="s">
        <x:v>118</x:v>
      </x:c>
      <x:c r="I206" s="277" t="s">
        <x:v>118</x:v>
      </x:c>
      <x:c r="J206" s="277" t="s">
        <x:v>118</x:v>
      </x:c>
      <x:c r="K206" s="277" t="s">
        <x:v>118</x:v>
      </x:c>
      <x:c r="L206" s="277" t="s">
        <x:v>118</x:v>
      </x:c>
      <x:c r="M206" s="277" t="s">
        <x:v>118</x:v>
      </x:c>
      <x:c r="N206" s="277" t="s">
        <x:v>118</x:v>
      </x:c>
      <x:c r="O206" s="277" t="s">
        <x:v>118</x:v>
      </x:c>
      <x:c r="P206" s="277" t="s">
        <x:v>118</x:v>
      </x:c>
      <x:c r="Q206" s="277" t="s">
        <x:v>118</x:v>
      </x:c>
      <x:c r="R206" s="277" t="s">
        <x:v>118</x:v>
      </x:c>
      <x:c r="S206" s="277" t="s">
        <x:v>118</x:v>
      </x:c>
      <x:c r="T206" s="277" t="s">
        <x:v>118</x:v>
      </x:c>
      <x:c r="U206" s="277" t="s">
        <x:v>118</x:v>
      </x:c>
      <x:c r="V206" s="277" t="s">
        <x:v>118</x:v>
      </x:c>
      <x:c r="W206" s="277" t="s">
        <x:v>118</x:v>
      </x:c>
      <x:c r="X206" s="277" t="s">
        <x:v>118</x:v>
      </x:c>
      <x:c r="Y206" s="277" t="s">
        <x:v>118</x:v>
      </x:c>
      <x:c r="Z206" s="277" t="s">
        <x:v>118</x:v>
      </x:c>
      <x:c r="AA206" s="277" t="s">
        <x:v>118</x:v>
      </x:c>
      <x:c r="AB206" s="277" t="s">
        <x:v>118</x:v>
      </x:c>
      <x:c r="AC206" s="277" t="s">
        <x:v>118</x:v>
      </x:c>
      <x:c r="AD206" s="277" t="s">
        <x:v>118</x:v>
      </x:c>
      <x:c r="AE206" s="277" t="s">
        <x:v>118</x:v>
      </x:c>
      <x:c r="AF206" s="277" t="s">
        <x:v>118</x:v>
      </x:c>
      <x:c r="AG206" s="277" t="s">
        <x:v>118</x:v>
      </x:c>
      <x:c r="AH206" s="277" t="s">
        <x:v>118</x:v>
      </x:c>
      <x:c r="AI206" s="277" t="s">
        <x:v>118</x:v>
      </x:c>
      <x:c r="AJ206" s="277" t="s">
        <x:v>118</x:v>
      </x:c>
      <x:c r="AK206" s="220">
        <x:f>COUNTIF(F206:AJ206,"X")</x:f>
      </x:c>
      <x:c r="AL206" s="221"/>
      <x:c r="AM206" s="221"/>
      <x:c r="AN206" s="222"/>
      <x:c r="AO206" s="222"/>
      <x:c r="AP206" s="228"/>
      <x:c r="AQ206" s="228"/>
      <x:c r="AR206" s="228"/>
      <x:c r="AS206" s="228"/>
      <x:c r="AT206" s="230"/>
    </x:row>
    <x:row r="207" spans="1:47" ht="15" customHeight="1">
      <x:c r="A207" s="282" t="s">
        <x:v>2339</x:v>
      </x:c>
      <x:c r="B207" s="216"/>
      <x:c r="C207" s="283" t="s">
        <x:v>2340</x:v>
      </x:c>
      <x:c r="D207" s="282" t="s">
        <x:v>1335</x:v>
      </x:c>
      <x:c r="E207" s="282" t="s">
        <x:v>209</x:v>
      </x:c>
      <x:c r="F207" s="277" t="s">
        <x:v>118</x:v>
      </x:c>
      <x:c r="G207" s="277" t="s">
        <x:v>118</x:v>
      </x:c>
      <x:c r="H207" s="277" t="s">
        <x:v>118</x:v>
      </x:c>
      <x:c r="I207" s="277" t="s">
        <x:v>118</x:v>
      </x:c>
      <x:c r="J207" s="277" t="s">
        <x:v>118</x:v>
      </x:c>
      <x:c r="K207" s="277" t="s">
        <x:v>118</x:v>
      </x:c>
      <x:c r="L207" s="277" t="s">
        <x:v>118</x:v>
      </x:c>
      <x:c r="M207" s="277" t="s">
        <x:v>118</x:v>
      </x:c>
      <x:c r="N207" s="277" t="s">
        <x:v>118</x:v>
      </x:c>
      <x:c r="O207" s="277" t="s">
        <x:v>118</x:v>
      </x:c>
      <x:c r="P207" s="277" t="s">
        <x:v>118</x:v>
      </x:c>
      <x:c r="Q207" s="277" t="s">
        <x:v>118</x:v>
      </x:c>
      <x:c r="R207" s="277" t="s">
        <x:v>118</x:v>
      </x:c>
      <x:c r="S207" s="277" t="s">
        <x:v>118</x:v>
      </x:c>
      <x:c r="T207" s="277" t="s">
        <x:v>118</x:v>
      </x:c>
      <x:c r="U207" s="277" t="s">
        <x:v>118</x:v>
      </x:c>
      <x:c r="V207" s="277" t="s">
        <x:v>118</x:v>
      </x:c>
      <x:c r="W207" s="277" t="s">
        <x:v>118</x:v>
      </x:c>
      <x:c r="X207" s="277" t="s">
        <x:v>118</x:v>
      </x:c>
      <x:c r="Y207" s="277" t="s">
        <x:v>118</x:v>
      </x:c>
      <x:c r="Z207" s="277" t="s">
        <x:v>118</x:v>
      </x:c>
      <x:c r="AA207" s="277" t="s">
        <x:v>118</x:v>
      </x:c>
      <x:c r="AB207" s="277" t="s">
        <x:v>118</x:v>
      </x:c>
      <x:c r="AC207" s="277" t="s">
        <x:v>118</x:v>
      </x:c>
      <x:c r="AD207" s="277" t="s">
        <x:v>118</x:v>
      </x:c>
      <x:c r="AE207" s="277" t="s">
        <x:v>118</x:v>
      </x:c>
      <x:c r="AF207" s="277" t="s">
        <x:v>118</x:v>
      </x:c>
      <x:c r="AG207" s="277" t="s">
        <x:v>118</x:v>
      </x:c>
      <x:c r="AH207" s="277" t="s">
        <x:v>118</x:v>
      </x:c>
      <x:c r="AI207" s="277" t="s">
        <x:v>118</x:v>
      </x:c>
      <x:c r="AJ207" s="277" t="s">
        <x:v>118</x:v>
      </x:c>
      <x:c r="AK207" s="220">
        <x:f>COUNTIF(F207:AJ207,"X")</x:f>
      </x:c>
      <x:c r="AL207" s="221"/>
      <x:c r="AM207" s="221"/>
      <x:c r="AN207" s="222"/>
      <x:c r="AO207" s="222"/>
      <x:c r="AP207" s="228"/>
      <x:c r="AQ207" s="228"/>
      <x:c r="AR207" s="228"/>
      <x:c r="AS207" s="228"/>
      <x:c r="AT207" s="230"/>
    </x:row>
    <x:row r="208" spans="1:47" ht="15" customHeight="1">
      <x:c r="A208" s="282" t="s">
        <x:v>2341</x:v>
      </x:c>
      <x:c r="B208" s="216"/>
      <x:c r="C208" s="283" t="s">
        <x:v>2342</x:v>
      </x:c>
      <x:c r="D208" s="282" t="s">
        <x:v>2343</x:v>
      </x:c>
      <x:c r="E208" s="282" t="s">
        <x:v>2344</x:v>
      </x:c>
      <x:c r="F208" s="281" t="s">
        <x:v>118</x:v>
      </x:c>
      <x:c r="G208" s="281" t="s">
        <x:v>118</x:v>
      </x:c>
      <x:c r="H208" s="281" t="s">
        <x:v>118</x:v>
      </x:c>
      <x:c r="I208" s="281" t="s">
        <x:v>118</x:v>
      </x:c>
      <x:c r="J208" s="281" t="s">
        <x:v>118</x:v>
      </x:c>
      <x:c r="K208" s="281" t="s">
        <x:v>118</x:v>
      </x:c>
      <x:c r="L208" s="281" t="s">
        <x:v>118</x:v>
      </x:c>
      <x:c r="M208" s="281" t="s">
        <x:v>118</x:v>
      </x:c>
      <x:c r="N208" s="281" t="s">
        <x:v>118</x:v>
      </x:c>
      <x:c r="O208" s="281" t="s">
        <x:v>118</x:v>
      </x:c>
      <x:c r="P208" s="281" t="s">
        <x:v>118</x:v>
      </x:c>
      <x:c r="Q208" s="281" t="s">
        <x:v>118</x:v>
      </x:c>
      <x:c r="R208" s="281" t="s">
        <x:v>118</x:v>
      </x:c>
      <x:c r="S208" s="281" t="s">
        <x:v>118</x:v>
      </x:c>
      <x:c r="T208" s="281" t="s">
        <x:v>118</x:v>
      </x:c>
      <x:c r="U208" s="281" t="s">
        <x:v>118</x:v>
      </x:c>
      <x:c r="V208" s="281" t="s">
        <x:v>118</x:v>
      </x:c>
      <x:c r="W208" s="281" t="s">
        <x:v>118</x:v>
      </x:c>
      <x:c r="X208" s="281" t="s">
        <x:v>118</x:v>
      </x:c>
      <x:c r="Y208" s="281" t="s">
        <x:v>118</x:v>
      </x:c>
      <x:c r="Z208" s="281" t="s">
        <x:v>118</x:v>
      </x:c>
      <x:c r="AA208" s="281" t="s">
        <x:v>118</x:v>
      </x:c>
      <x:c r="AB208" s="281" t="s">
        <x:v>118</x:v>
      </x:c>
      <x:c r="AC208" s="281" t="s">
        <x:v>118</x:v>
      </x:c>
      <x:c r="AD208" s="281" t="s">
        <x:v>118</x:v>
      </x:c>
      <x:c r="AE208" s="281" t="s">
        <x:v>118</x:v>
      </x:c>
      <x:c r="AF208" s="281" t="s">
        <x:v>118</x:v>
      </x:c>
      <x:c r="AG208" s="281" t="s">
        <x:v>118</x:v>
      </x:c>
      <x:c r="AH208" s="281" t="s">
        <x:v>118</x:v>
      </x:c>
      <x:c r="AI208" s="281" t="s">
        <x:v>118</x:v>
      </x:c>
      <x:c r="AJ208" s="281" t="s">
        <x:v>118</x:v>
      </x:c>
      <x:c r="AK208" s="220">
        <x:f>COUNTIF(F208:AJ208,"X")</x:f>
      </x:c>
      <x:c r="AL208" s="221"/>
      <x:c r="AM208" s="221"/>
      <x:c r="AN208" s="222"/>
      <x:c r="AO208" s="222"/>
      <x:c r="AP208" s="228"/>
      <x:c r="AQ208" s="228"/>
      <x:c r="AR208" s="228"/>
      <x:c r="AS208" s="228"/>
      <x:c r="AT208" s="230"/>
    </x:row>
    <x:row r="209" spans="1:47" ht="15" customHeight="1">
      <x:c r="A209" s="282" t="s">
        <x:v>2345</x:v>
      </x:c>
      <x:c r="B209" s="216"/>
      <x:c r="C209" s="283" t="s">
        <x:v>2346</x:v>
      </x:c>
      <x:c r="D209" s="282" t="s">
        <x:v>2347</x:v>
      </x:c>
      <x:c r="E209" s="282" t="s">
        <x:v>2348</x:v>
      </x:c>
      <x:c r="F209" s="277" t="s">
        <x:v>118</x:v>
      </x:c>
      <x:c r="G209" s="277" t="s">
        <x:v>118</x:v>
      </x:c>
      <x:c r="H209" s="277" t="s">
        <x:v>118</x:v>
      </x:c>
      <x:c r="I209" s="277" t="s">
        <x:v>118</x:v>
      </x:c>
      <x:c r="J209" s="277" t="s">
        <x:v>118</x:v>
      </x:c>
      <x:c r="K209" s="277" t="s">
        <x:v>118</x:v>
      </x:c>
      <x:c r="L209" s="277" t="s">
        <x:v>118</x:v>
      </x:c>
      <x:c r="M209" s="277" t="s">
        <x:v>118</x:v>
      </x:c>
      <x:c r="N209" s="277" t="s">
        <x:v>118</x:v>
      </x:c>
      <x:c r="O209" s="277" t="s">
        <x:v>118</x:v>
      </x:c>
      <x:c r="P209" s="277" t="s">
        <x:v>118</x:v>
      </x:c>
      <x:c r="Q209" s="277" t="s">
        <x:v>118</x:v>
      </x:c>
      <x:c r="R209" s="277" t="s">
        <x:v>118</x:v>
      </x:c>
      <x:c r="S209" s="277" t="s">
        <x:v>118</x:v>
      </x:c>
      <x:c r="T209" s="277" t="s">
        <x:v>118</x:v>
      </x:c>
      <x:c r="U209" s="277" t="s">
        <x:v>118</x:v>
      </x:c>
      <x:c r="V209" s="277" t="s">
        <x:v>118</x:v>
      </x:c>
      <x:c r="W209" s="277" t="s">
        <x:v>118</x:v>
      </x:c>
      <x:c r="X209" s="277" t="s">
        <x:v>118</x:v>
      </x:c>
      <x:c r="Y209" s="277" t="s">
        <x:v>118</x:v>
      </x:c>
      <x:c r="Z209" s="277" t="s">
        <x:v>118</x:v>
      </x:c>
      <x:c r="AA209" s="277" t="s">
        <x:v>118</x:v>
      </x:c>
      <x:c r="AB209" s="277" t="s">
        <x:v>118</x:v>
      </x:c>
      <x:c r="AC209" s="277" t="s">
        <x:v>118</x:v>
      </x:c>
      <x:c r="AD209" s="277" t="s">
        <x:v>118</x:v>
      </x:c>
      <x:c r="AE209" s="277" t="s">
        <x:v>118</x:v>
      </x:c>
      <x:c r="AF209" s="277" t="s">
        <x:v>118</x:v>
      </x:c>
      <x:c r="AG209" s="277" t="s">
        <x:v>118</x:v>
      </x:c>
      <x:c r="AH209" s="277" t="s">
        <x:v>118</x:v>
      </x:c>
      <x:c r="AI209" s="277" t="s">
        <x:v>118</x:v>
      </x:c>
      <x:c r="AJ209" s="277" t="s">
        <x:v>118</x:v>
      </x:c>
      <x:c r="AK209" s="220">
        <x:f>COUNTIF(F209:AJ209,"X")</x:f>
      </x:c>
      <x:c r="AL209" s="221"/>
      <x:c r="AM209" s="221"/>
      <x:c r="AN209" s="222"/>
      <x:c r="AO209" s="222"/>
      <x:c r="AP209" s="228"/>
      <x:c r="AQ209" s="228"/>
      <x:c r="AR209" s="228"/>
      <x:c r="AS209" s="228"/>
      <x:c r="AT209" s="230"/>
    </x:row>
    <x:row r="210" spans="1:47" ht="15" customHeight="1">
      <x:c r="A210" s="282" t="s">
        <x:v>2349</x:v>
      </x:c>
      <x:c r="B210" s="216"/>
      <x:c r="C210" s="283" t="s">
        <x:v>2350</x:v>
      </x:c>
      <x:c r="D210" s="282" t="s">
        <x:v>521</x:v>
      </x:c>
      <x:c r="E210" s="282" t="s">
        <x:v>888</x:v>
      </x:c>
      <x:c r="F210" s="277" t="s">
        <x:v>118</x:v>
      </x:c>
      <x:c r="G210" s="277" t="s">
        <x:v>118</x:v>
      </x:c>
      <x:c r="H210" s="277" t="s">
        <x:v>118</x:v>
      </x:c>
      <x:c r="I210" s="277" t="s">
        <x:v>118</x:v>
      </x:c>
      <x:c r="J210" s="277" t="s">
        <x:v>118</x:v>
      </x:c>
      <x:c r="K210" s="277" t="s">
        <x:v>118</x:v>
      </x:c>
      <x:c r="L210" s="277" t="s">
        <x:v>118</x:v>
      </x:c>
      <x:c r="M210" s="277" t="s">
        <x:v>118</x:v>
      </x:c>
      <x:c r="N210" s="277" t="s">
        <x:v>118</x:v>
      </x:c>
      <x:c r="O210" s="277" t="s">
        <x:v>118</x:v>
      </x:c>
      <x:c r="P210" s="277" t="s">
        <x:v>118</x:v>
      </x:c>
      <x:c r="Q210" s="277" t="s">
        <x:v>118</x:v>
      </x:c>
      <x:c r="R210" s="277" t="s">
        <x:v>118</x:v>
      </x:c>
      <x:c r="S210" s="277" t="s">
        <x:v>118</x:v>
      </x:c>
      <x:c r="T210" s="277" t="s">
        <x:v>118</x:v>
      </x:c>
      <x:c r="U210" s="277" t="s">
        <x:v>118</x:v>
      </x:c>
      <x:c r="V210" s="277" t="s">
        <x:v>118</x:v>
      </x:c>
      <x:c r="W210" s="277" t="s">
        <x:v>118</x:v>
      </x:c>
      <x:c r="X210" s="277" t="s">
        <x:v>118</x:v>
      </x:c>
      <x:c r="Y210" s="277" t="s">
        <x:v>118</x:v>
      </x:c>
      <x:c r="Z210" s="277" t="s">
        <x:v>118</x:v>
      </x:c>
      <x:c r="AA210" s="277" t="s">
        <x:v>118</x:v>
      </x:c>
      <x:c r="AB210" s="277" t="s">
        <x:v>118</x:v>
      </x:c>
      <x:c r="AC210" s="277" t="s">
        <x:v>118</x:v>
      </x:c>
      <x:c r="AD210" s="277" t="s">
        <x:v>118</x:v>
      </x:c>
      <x:c r="AE210" s="277" t="s">
        <x:v>118</x:v>
      </x:c>
      <x:c r="AF210" s="277" t="s">
        <x:v>118</x:v>
      </x:c>
      <x:c r="AG210" s="277" t="s">
        <x:v>118</x:v>
      </x:c>
      <x:c r="AH210" s="277" t="s">
        <x:v>118</x:v>
      </x:c>
      <x:c r="AI210" s="277" t="s">
        <x:v>118</x:v>
      </x:c>
      <x:c r="AJ210" s="277" t="s">
        <x:v>118</x:v>
      </x:c>
      <x:c r="AK210" s="220">
        <x:f>COUNTIF(F210:AJ210,"X")</x:f>
      </x:c>
      <x:c r="AL210" s="221"/>
      <x:c r="AM210" s="221"/>
      <x:c r="AN210" s="222"/>
      <x:c r="AO210" s="222"/>
      <x:c r="AP210" s="228"/>
      <x:c r="AQ210" s="228"/>
      <x:c r="AR210" s="228"/>
      <x:c r="AS210" s="228"/>
      <x:c r="AT210" s="230"/>
    </x:row>
    <x:row r="211" spans="1:47" ht="15" customHeight="1">
      <x:c r="A211" s="282" t="s">
        <x:v>2351</x:v>
      </x:c>
      <x:c r="B211" s="216"/>
      <x:c r="C211" s="283" t="s">
        <x:v>2352</x:v>
      </x:c>
      <x:c r="D211" s="282" t="s">
        <x:v>528</x:v>
      </x:c>
      <x:c r="E211" s="282" t="s">
        <x:v>2353</x:v>
      </x:c>
      <x:c r="F211" s="277" t="s">
        <x:v>118</x:v>
      </x:c>
      <x:c r="G211" s="277" t="s">
        <x:v>118</x:v>
      </x:c>
      <x:c r="H211" s="277" t="s">
        <x:v>118</x:v>
      </x:c>
      <x:c r="I211" s="277" t="s">
        <x:v>118</x:v>
      </x:c>
      <x:c r="J211" s="277" t="s">
        <x:v>118</x:v>
      </x:c>
      <x:c r="K211" s="277" t="s">
        <x:v>118</x:v>
      </x:c>
      <x:c r="L211" s="277" t="s">
        <x:v>118</x:v>
      </x:c>
      <x:c r="M211" s="277" t="s">
        <x:v>118</x:v>
      </x:c>
      <x:c r="N211" s="277" t="s">
        <x:v>118</x:v>
      </x:c>
      <x:c r="O211" s="277" t="s">
        <x:v>118</x:v>
      </x:c>
      <x:c r="P211" s="277" t="s">
        <x:v>118</x:v>
      </x:c>
      <x:c r="Q211" s="277" t="s">
        <x:v>118</x:v>
      </x:c>
      <x:c r="R211" s="277" t="s">
        <x:v>118</x:v>
      </x:c>
      <x:c r="S211" s="277" t="s">
        <x:v>118</x:v>
      </x:c>
      <x:c r="T211" s="277" t="s">
        <x:v>118</x:v>
      </x:c>
      <x:c r="U211" s="277" t="s">
        <x:v>118</x:v>
      </x:c>
      <x:c r="V211" s="277" t="s">
        <x:v>118</x:v>
      </x:c>
      <x:c r="W211" s="277" t="s">
        <x:v>118</x:v>
      </x:c>
      <x:c r="X211" s="277" t="s">
        <x:v>118</x:v>
      </x:c>
      <x:c r="Y211" s="277" t="s">
        <x:v>118</x:v>
      </x:c>
      <x:c r="Z211" s="277" t="s">
        <x:v>118</x:v>
      </x:c>
      <x:c r="AA211" s="277" t="s">
        <x:v>118</x:v>
      </x:c>
      <x:c r="AB211" s="277" t="s">
        <x:v>118</x:v>
      </x:c>
      <x:c r="AC211" s="277" t="s">
        <x:v>118</x:v>
      </x:c>
      <x:c r="AD211" s="277" t="s">
        <x:v>118</x:v>
      </x:c>
      <x:c r="AE211" s="277" t="s">
        <x:v>118</x:v>
      </x:c>
      <x:c r="AF211" s="277" t="s">
        <x:v>118</x:v>
      </x:c>
      <x:c r="AG211" s="277" t="s">
        <x:v>118</x:v>
      </x:c>
      <x:c r="AH211" s="277" t="s">
        <x:v>118</x:v>
      </x:c>
      <x:c r="AI211" s="277" t="s">
        <x:v>118</x:v>
      </x:c>
      <x:c r="AJ211" s="277" t="s">
        <x:v>118</x:v>
      </x:c>
      <x:c r="AK211" s="220">
        <x:f>COUNTIF(F211:AJ211,"X")</x:f>
      </x:c>
      <x:c r="AL211" s="221"/>
      <x:c r="AM211" s="221"/>
      <x:c r="AN211" s="222"/>
      <x:c r="AO211" s="222"/>
      <x:c r="AP211" s="228"/>
      <x:c r="AQ211" s="228"/>
      <x:c r="AR211" s="228"/>
      <x:c r="AS211" s="228"/>
      <x:c r="AT211" s="230"/>
    </x:row>
    <x:row r="212" spans="1:47" ht="15" customHeight="1">
      <x:c r="A212" s="282" t="s">
        <x:v>2354</x:v>
      </x:c>
      <x:c r="B212" s="216"/>
      <x:c r="C212" s="283" t="s">
        <x:v>2355</x:v>
      </x:c>
      <x:c r="D212" s="282" t="s">
        <x:v>528</x:v>
      </x:c>
      <x:c r="E212" s="282" t="s">
        <x:v>185</x:v>
      </x:c>
      <x:c r="F212" s="281" t="s">
        <x:v>118</x:v>
      </x:c>
      <x:c r="G212" s="281" t="s">
        <x:v>118</x:v>
      </x:c>
      <x:c r="H212" s="281" t="s">
        <x:v>118</x:v>
      </x:c>
      <x:c r="I212" s="281" t="s">
        <x:v>118</x:v>
      </x:c>
      <x:c r="J212" s="281" t="s">
        <x:v>118</x:v>
      </x:c>
      <x:c r="K212" s="281" t="s">
        <x:v>118</x:v>
      </x:c>
      <x:c r="L212" s="281" t="s">
        <x:v>118</x:v>
      </x:c>
      <x:c r="M212" s="281" t="s">
        <x:v>118</x:v>
      </x:c>
      <x:c r="N212" s="281" t="s">
        <x:v>118</x:v>
      </x:c>
      <x:c r="O212" s="281" t="s">
        <x:v>118</x:v>
      </x:c>
      <x:c r="P212" s="281" t="s">
        <x:v>118</x:v>
      </x:c>
      <x:c r="Q212" s="281" t="s">
        <x:v>118</x:v>
      </x:c>
      <x:c r="R212" s="281" t="s">
        <x:v>118</x:v>
      </x:c>
      <x:c r="S212" s="281" t="s">
        <x:v>118</x:v>
      </x:c>
      <x:c r="T212" s="281" t="s">
        <x:v>118</x:v>
      </x:c>
      <x:c r="U212" s="281" t="s">
        <x:v>118</x:v>
      </x:c>
      <x:c r="V212" s="281" t="s">
        <x:v>118</x:v>
      </x:c>
      <x:c r="W212" s="281" t="s">
        <x:v>118</x:v>
      </x:c>
      <x:c r="X212" s="281" t="s">
        <x:v>118</x:v>
      </x:c>
      <x:c r="Y212" s="281" t="s">
        <x:v>118</x:v>
      </x:c>
      <x:c r="Z212" s="281" t="s">
        <x:v>118</x:v>
      </x:c>
      <x:c r="AA212" s="281" t="s">
        <x:v>118</x:v>
      </x:c>
      <x:c r="AB212" s="281" t="s">
        <x:v>118</x:v>
      </x:c>
      <x:c r="AC212" s="281" t="s">
        <x:v>118</x:v>
      </x:c>
      <x:c r="AD212" s="281" t="s">
        <x:v>118</x:v>
      </x:c>
      <x:c r="AE212" s="281" t="s">
        <x:v>118</x:v>
      </x:c>
      <x:c r="AF212" s="281" t="s">
        <x:v>118</x:v>
      </x:c>
      <x:c r="AG212" s="281" t="s">
        <x:v>118</x:v>
      </x:c>
      <x:c r="AH212" s="281" t="s">
        <x:v>118</x:v>
      </x:c>
      <x:c r="AI212" s="281" t="s">
        <x:v>118</x:v>
      </x:c>
      <x:c r="AJ212" s="281" t="s">
        <x:v>118</x:v>
      </x:c>
      <x:c r="AK212" s="220">
        <x:f>COUNTIF(F212:AJ212,"X")</x:f>
      </x:c>
      <x:c r="AL212" s="221"/>
      <x:c r="AM212" s="221"/>
      <x:c r="AN212" s="222"/>
      <x:c r="AO212" s="222"/>
      <x:c r="AP212" s="228"/>
      <x:c r="AQ212" s="228"/>
      <x:c r="AR212" s="228"/>
      <x:c r="AS212" s="228"/>
      <x:c r="AT212" s="230"/>
    </x:row>
    <x:row r="213" spans="1:47" ht="15" customHeight="1">
      <x:c r="A213" s="282" t="s">
        <x:v>2356</x:v>
      </x:c>
      <x:c r="B213" s="216"/>
      <x:c r="C213" s="283" t="s">
        <x:v>2357</x:v>
      </x:c>
      <x:c r="D213" s="282" t="s">
        <x:v>528</x:v>
      </x:c>
      <x:c r="E213" s="282" t="s">
        <x:v>2358</x:v>
      </x:c>
      <x:c r="F213" s="281" t="s">
        <x:v>118</x:v>
      </x:c>
      <x:c r="G213" s="281" t="s">
        <x:v>118</x:v>
      </x:c>
      <x:c r="H213" s="281" t="s">
        <x:v>118</x:v>
      </x:c>
      <x:c r="I213" s="281" t="s">
        <x:v>118</x:v>
      </x:c>
      <x:c r="J213" s="281" t="s">
        <x:v>118</x:v>
      </x:c>
      <x:c r="K213" s="281" t="s">
        <x:v>118</x:v>
      </x:c>
      <x:c r="L213" s="281" t="s">
        <x:v>118</x:v>
      </x:c>
      <x:c r="M213" s="281" t="s">
        <x:v>118</x:v>
      </x:c>
      <x:c r="N213" s="281" t="s">
        <x:v>118</x:v>
      </x:c>
      <x:c r="O213" s="281" t="s">
        <x:v>118</x:v>
      </x:c>
      <x:c r="P213" s="281" t="s">
        <x:v>118</x:v>
      </x:c>
      <x:c r="Q213" s="281" t="s">
        <x:v>118</x:v>
      </x:c>
      <x:c r="R213" s="281" t="s">
        <x:v>118</x:v>
      </x:c>
      <x:c r="S213" s="281" t="s">
        <x:v>118</x:v>
      </x:c>
      <x:c r="T213" s="281" t="s">
        <x:v>118</x:v>
      </x:c>
      <x:c r="U213" s="281" t="s">
        <x:v>118</x:v>
      </x:c>
      <x:c r="V213" s="281" t="s">
        <x:v>118</x:v>
      </x:c>
      <x:c r="W213" s="281" t="s">
        <x:v>118</x:v>
      </x:c>
      <x:c r="X213" s="281" t="s">
        <x:v>118</x:v>
      </x:c>
      <x:c r="Y213" s="281" t="s">
        <x:v>118</x:v>
      </x:c>
      <x:c r="Z213" s="281" t="s">
        <x:v>118</x:v>
      </x:c>
      <x:c r="AA213" s="281" t="s">
        <x:v>118</x:v>
      </x:c>
      <x:c r="AB213" s="281" t="s">
        <x:v>118</x:v>
      </x:c>
      <x:c r="AC213" s="281" t="s">
        <x:v>118</x:v>
      </x:c>
      <x:c r="AD213" s="281" t="s">
        <x:v>118</x:v>
      </x:c>
      <x:c r="AE213" s="281" t="s">
        <x:v>118</x:v>
      </x:c>
      <x:c r="AF213" s="281" t="s">
        <x:v>118</x:v>
      </x:c>
      <x:c r="AG213" s="281" t="s">
        <x:v>118</x:v>
      </x:c>
      <x:c r="AH213" s="281" t="s">
        <x:v>118</x:v>
      </x:c>
      <x:c r="AI213" s="281" t="s">
        <x:v>118</x:v>
      </x:c>
      <x:c r="AJ213" s="281" t="s">
        <x:v>118</x:v>
      </x:c>
      <x:c r="AK213" s="220">
        <x:f>COUNTIF(F213:AJ213,"X")</x:f>
      </x:c>
      <x:c r="AL213" s="221"/>
      <x:c r="AM213" s="221"/>
      <x:c r="AN213" s="222"/>
      <x:c r="AO213" s="222"/>
      <x:c r="AP213" s="228"/>
      <x:c r="AQ213" s="228"/>
      <x:c r="AR213" s="228"/>
      <x:c r="AS213" s="228"/>
      <x:c r="AT213" s="230"/>
    </x:row>
    <x:row r="214" spans="1:47" ht="15" customHeight="1">
      <x:c r="A214" s="282" t="s">
        <x:v>2359</x:v>
      </x:c>
      <x:c r="B214" s="216"/>
      <x:c r="C214" s="283" t="s">
        <x:v>2360</x:v>
      </x:c>
      <x:c r="D214" s="282" t="s">
        <x:v>1361</x:v>
      </x:c>
      <x:c r="E214" s="282" t="s">
        <x:v>2361</x:v>
      </x:c>
      <x:c r="F214" s="277" t="s">
        <x:v>118</x:v>
      </x:c>
      <x:c r="G214" s="277" t="s">
        <x:v>118</x:v>
      </x:c>
      <x:c r="H214" s="277" t="s">
        <x:v>118</x:v>
      </x:c>
      <x:c r="I214" s="277" t="s">
        <x:v>118</x:v>
      </x:c>
      <x:c r="J214" s="277" t="s">
        <x:v>118</x:v>
      </x:c>
      <x:c r="K214" s="277" t="s">
        <x:v>118</x:v>
      </x:c>
      <x:c r="L214" s="277" t="s">
        <x:v>118</x:v>
      </x:c>
      <x:c r="M214" s="277" t="s">
        <x:v>118</x:v>
      </x:c>
      <x:c r="N214" s="277" t="s">
        <x:v>118</x:v>
      </x:c>
      <x:c r="O214" s="277" t="s">
        <x:v>118</x:v>
      </x:c>
      <x:c r="P214" s="277" t="s">
        <x:v>118</x:v>
      </x:c>
      <x:c r="Q214" s="277" t="s">
        <x:v>118</x:v>
      </x:c>
      <x:c r="R214" s="277" t="s">
        <x:v>118</x:v>
      </x:c>
      <x:c r="S214" s="277" t="s">
        <x:v>118</x:v>
      </x:c>
      <x:c r="T214" s="277" t="s">
        <x:v>118</x:v>
      </x:c>
      <x:c r="U214" s="277" t="s">
        <x:v>118</x:v>
      </x:c>
      <x:c r="V214" s="277" t="s">
        <x:v>118</x:v>
      </x:c>
      <x:c r="W214" s="277" t="s">
        <x:v>118</x:v>
      </x:c>
      <x:c r="X214" s="277" t="s">
        <x:v>118</x:v>
      </x:c>
      <x:c r="Y214" s="277" t="s">
        <x:v>118</x:v>
      </x:c>
      <x:c r="Z214" s="277" t="s">
        <x:v>118</x:v>
      </x:c>
      <x:c r="AA214" s="277" t="s">
        <x:v>118</x:v>
      </x:c>
      <x:c r="AB214" s="277" t="s">
        <x:v>118</x:v>
      </x:c>
      <x:c r="AC214" s="277" t="s">
        <x:v>118</x:v>
      </x:c>
      <x:c r="AD214" s="277" t="s">
        <x:v>118</x:v>
      </x:c>
      <x:c r="AE214" s="277" t="s">
        <x:v>118</x:v>
      </x:c>
      <x:c r="AF214" s="277" t="s">
        <x:v>118</x:v>
      </x:c>
      <x:c r="AG214" s="277" t="s">
        <x:v>118</x:v>
      </x:c>
      <x:c r="AH214" s="277" t="s">
        <x:v>118</x:v>
      </x:c>
      <x:c r="AI214" s="277" t="s">
        <x:v>118</x:v>
      </x:c>
      <x:c r="AJ214" s="277" t="s">
        <x:v>118</x:v>
      </x:c>
      <x:c r="AK214" s="220">
        <x:f>COUNTIF(F214:AJ214,"X")</x:f>
      </x:c>
      <x:c r="AL214" s="221"/>
      <x:c r="AM214" s="221"/>
      <x:c r="AN214" s="222"/>
      <x:c r="AO214" s="222"/>
      <x:c r="AP214" s="228"/>
      <x:c r="AQ214" s="228"/>
      <x:c r="AR214" s="228"/>
      <x:c r="AS214" s="228"/>
      <x:c r="AT214" s="230"/>
    </x:row>
    <x:row r="215" spans="1:47" ht="15" customHeight="1">
      <x:c r="A215" s="282" t="s">
        <x:v>2362</x:v>
      </x:c>
      <x:c r="B215" s="216"/>
      <x:c r="C215" s="283" t="s">
        <x:v>2363</x:v>
      </x:c>
      <x:c r="D215" s="282" t="s">
        <x:v>2364</x:v>
      </x:c>
      <x:c r="E215" s="282" t="s">
        <x:v>2365</x:v>
      </x:c>
      <x:c r="F215" s="281" t="s">
        <x:v>118</x:v>
      </x:c>
      <x:c r="G215" s="281" t="s">
        <x:v>118</x:v>
      </x:c>
      <x:c r="H215" s="281" t="s">
        <x:v>118</x:v>
      </x:c>
      <x:c r="I215" s="281" t="s">
        <x:v>118</x:v>
      </x:c>
      <x:c r="J215" s="281" t="s">
        <x:v>118</x:v>
      </x:c>
      <x:c r="K215" s="281" t="s">
        <x:v>118</x:v>
      </x:c>
      <x:c r="L215" s="281" t="s">
        <x:v>118</x:v>
      </x:c>
      <x:c r="M215" s="281" t="s">
        <x:v>118</x:v>
      </x:c>
      <x:c r="N215" s="281" t="s">
        <x:v>118</x:v>
      </x:c>
      <x:c r="O215" s="281" t="s">
        <x:v>118</x:v>
      </x:c>
      <x:c r="P215" s="281" t="s">
        <x:v>118</x:v>
      </x:c>
      <x:c r="Q215" s="281" t="s">
        <x:v>118</x:v>
      </x:c>
      <x:c r="R215" s="281" t="s">
        <x:v>118</x:v>
      </x:c>
      <x:c r="S215" s="281" t="s">
        <x:v>118</x:v>
      </x:c>
      <x:c r="T215" s="281" t="s">
        <x:v>118</x:v>
      </x:c>
      <x:c r="U215" s="281" t="s">
        <x:v>118</x:v>
      </x:c>
      <x:c r="V215" s="281" t="s">
        <x:v>118</x:v>
      </x:c>
      <x:c r="W215" s="281" t="s">
        <x:v>118</x:v>
      </x:c>
      <x:c r="X215" s="281" t="s">
        <x:v>118</x:v>
      </x:c>
      <x:c r="Y215" s="281" t="s">
        <x:v>118</x:v>
      </x:c>
      <x:c r="Z215" s="281" t="s">
        <x:v>118</x:v>
      </x:c>
      <x:c r="AA215" s="281" t="s">
        <x:v>118</x:v>
      </x:c>
      <x:c r="AB215" s="281" t="s">
        <x:v>118</x:v>
      </x:c>
      <x:c r="AC215" s="281" t="s">
        <x:v>118</x:v>
      </x:c>
      <x:c r="AD215" s="281" t="s">
        <x:v>118</x:v>
      </x:c>
      <x:c r="AE215" s="281" t="s">
        <x:v>118</x:v>
      </x:c>
      <x:c r="AF215" s="281" t="s">
        <x:v>118</x:v>
      </x:c>
      <x:c r="AG215" s="281" t="s">
        <x:v>118</x:v>
      </x:c>
      <x:c r="AH215" s="281" t="s">
        <x:v>118</x:v>
      </x:c>
      <x:c r="AI215" s="281" t="s">
        <x:v>118</x:v>
      </x:c>
      <x:c r="AJ215" s="281" t="s">
        <x:v>118</x:v>
      </x:c>
      <x:c r="AK215" s="220">
        <x:f>COUNTIF(F215:AJ215,"X")</x:f>
      </x:c>
      <x:c r="AL215" s="221"/>
      <x:c r="AM215" s="221"/>
      <x:c r="AN215" s="222"/>
      <x:c r="AO215" s="222"/>
      <x:c r="AP215" s="228"/>
      <x:c r="AQ215" s="228"/>
      <x:c r="AR215" s="228"/>
      <x:c r="AS215" s="228"/>
      <x:c r="AT215" s="230"/>
    </x:row>
    <x:row r="216" spans="1:47" ht="15" customHeight="1">
      <x:c r="A216" s="282" t="s">
        <x:v>2366</x:v>
      </x:c>
      <x:c r="B216" s="216"/>
      <x:c r="C216" s="283" t="s">
        <x:v>2367</x:v>
      </x:c>
      <x:c r="D216" s="282" t="s">
        <x:v>2368</x:v>
      </x:c>
      <x:c r="E216" s="282" t="s">
        <x:v>2369</x:v>
      </x:c>
      <x:c r="F216" s="277" t="s">
        <x:v>118</x:v>
      </x:c>
      <x:c r="G216" s="277" t="s">
        <x:v>118</x:v>
      </x:c>
      <x:c r="H216" s="277" t="s">
        <x:v>118</x:v>
      </x:c>
      <x:c r="I216" s="277" t="s">
        <x:v>118</x:v>
      </x:c>
      <x:c r="J216" s="277" t="s">
        <x:v>118</x:v>
      </x:c>
      <x:c r="K216" s="277" t="s">
        <x:v>118</x:v>
      </x:c>
      <x:c r="L216" s="277" t="s">
        <x:v>118</x:v>
      </x:c>
      <x:c r="M216" s="277" t="s">
        <x:v>118</x:v>
      </x:c>
      <x:c r="N216" s="277" t="s">
        <x:v>118</x:v>
      </x:c>
      <x:c r="O216" s="277" t="s">
        <x:v>118</x:v>
      </x:c>
      <x:c r="P216" s="277" t="s">
        <x:v>118</x:v>
      </x:c>
      <x:c r="Q216" s="277" t="s">
        <x:v>118</x:v>
      </x:c>
      <x:c r="R216" s="277" t="s">
        <x:v>118</x:v>
      </x:c>
      <x:c r="S216" s="277" t="s">
        <x:v>118</x:v>
      </x:c>
      <x:c r="T216" s="277" t="s">
        <x:v>118</x:v>
      </x:c>
      <x:c r="U216" s="277" t="s">
        <x:v>118</x:v>
      </x:c>
      <x:c r="V216" s="277" t="s">
        <x:v>118</x:v>
      </x:c>
      <x:c r="W216" s="277" t="s">
        <x:v>118</x:v>
      </x:c>
      <x:c r="X216" s="277" t="s">
        <x:v>118</x:v>
      </x:c>
      <x:c r="Y216" s="277" t="s">
        <x:v>118</x:v>
      </x:c>
      <x:c r="Z216" s="277" t="s">
        <x:v>118</x:v>
      </x:c>
      <x:c r="AA216" s="277" t="s">
        <x:v>118</x:v>
      </x:c>
      <x:c r="AB216" s="277" t="s">
        <x:v>118</x:v>
      </x:c>
      <x:c r="AC216" s="277" t="s">
        <x:v>118</x:v>
      </x:c>
      <x:c r="AD216" s="277" t="s">
        <x:v>118</x:v>
      </x:c>
      <x:c r="AE216" s="277" t="s">
        <x:v>118</x:v>
      </x:c>
      <x:c r="AF216" s="277" t="s">
        <x:v>118</x:v>
      </x:c>
      <x:c r="AG216" s="277" t="s">
        <x:v>118</x:v>
      </x:c>
      <x:c r="AH216" s="277" t="s">
        <x:v>118</x:v>
      </x:c>
      <x:c r="AI216" s="277" t="s">
        <x:v>118</x:v>
      </x:c>
      <x:c r="AJ216" s="277" t="s">
        <x:v>118</x:v>
      </x:c>
      <x:c r="AK216" s="220">
        <x:f>COUNTIF(F216:AJ216,"X")</x:f>
      </x:c>
      <x:c r="AL216" s="221"/>
      <x:c r="AM216" s="221"/>
      <x:c r="AN216" s="222"/>
      <x:c r="AO216" s="222"/>
      <x:c r="AP216" s="228"/>
      <x:c r="AQ216" s="228"/>
      <x:c r="AR216" s="228"/>
      <x:c r="AS216" s="228"/>
      <x:c r="AT216" s="230"/>
    </x:row>
    <x:row r="217" spans="1:47" ht="15" customHeight="1">
      <x:c r="A217" s="282" t="s">
        <x:v>2370</x:v>
      </x:c>
      <x:c r="B217" s="216"/>
      <x:c r="C217" s="283" t="s">
        <x:v>2371</x:v>
      </x:c>
      <x:c r="D217" s="282" t="s">
        <x:v>2372</x:v>
      </x:c>
      <x:c r="E217" s="282" t="s">
        <x:v>2373</x:v>
      </x:c>
      <x:c r="F217" s="277" t="s">
        <x:v>118</x:v>
      </x:c>
      <x:c r="G217" s="277" t="s">
        <x:v>118</x:v>
      </x:c>
      <x:c r="H217" s="277" t="s">
        <x:v>118</x:v>
      </x:c>
      <x:c r="I217" s="277" t="s">
        <x:v>118</x:v>
      </x:c>
      <x:c r="J217" s="277" t="s">
        <x:v>118</x:v>
      </x:c>
      <x:c r="K217" s="277" t="s">
        <x:v>118</x:v>
      </x:c>
      <x:c r="L217" s="277" t="s">
        <x:v>118</x:v>
      </x:c>
      <x:c r="M217" s="277" t="s">
        <x:v>118</x:v>
      </x:c>
      <x:c r="N217" s="277" t="s">
        <x:v>118</x:v>
      </x:c>
      <x:c r="O217" s="277" t="s">
        <x:v>118</x:v>
      </x:c>
      <x:c r="P217" s="277" t="s">
        <x:v>118</x:v>
      </x:c>
      <x:c r="Q217" s="277" t="s">
        <x:v>118</x:v>
      </x:c>
      <x:c r="R217" s="277" t="s">
        <x:v>118</x:v>
      </x:c>
      <x:c r="S217" s="277" t="s">
        <x:v>118</x:v>
      </x:c>
      <x:c r="T217" s="277" t="s">
        <x:v>118</x:v>
      </x:c>
      <x:c r="U217" s="277" t="s">
        <x:v>118</x:v>
      </x:c>
      <x:c r="V217" s="277" t="s">
        <x:v>118</x:v>
      </x:c>
      <x:c r="W217" s="277" t="s">
        <x:v>118</x:v>
      </x:c>
      <x:c r="X217" s="277" t="s">
        <x:v>118</x:v>
      </x:c>
      <x:c r="Y217" s="277" t="s">
        <x:v>118</x:v>
      </x:c>
      <x:c r="Z217" s="277" t="s">
        <x:v>118</x:v>
      </x:c>
      <x:c r="AA217" s="277" t="s">
        <x:v>118</x:v>
      </x:c>
      <x:c r="AB217" s="277" t="s">
        <x:v>118</x:v>
      </x:c>
      <x:c r="AC217" s="277" t="s">
        <x:v>118</x:v>
      </x:c>
      <x:c r="AD217" s="277" t="s">
        <x:v>118</x:v>
      </x:c>
      <x:c r="AE217" s="277" t="s">
        <x:v>118</x:v>
      </x:c>
      <x:c r="AF217" s="277" t="s">
        <x:v>118</x:v>
      </x:c>
      <x:c r="AG217" s="277" t="s">
        <x:v>118</x:v>
      </x:c>
      <x:c r="AH217" s="277" t="s">
        <x:v>118</x:v>
      </x:c>
      <x:c r="AI217" s="277" t="s">
        <x:v>118</x:v>
      </x:c>
      <x:c r="AJ217" s="277" t="s">
        <x:v>118</x:v>
      </x:c>
      <x:c r="AK217" s="220">
        <x:f>COUNTIF(F217:AJ217,"X")</x:f>
      </x:c>
      <x:c r="AL217" s="221"/>
      <x:c r="AM217" s="221"/>
      <x:c r="AN217" s="222"/>
      <x:c r="AO217" s="222"/>
      <x:c r="AP217" s="228"/>
      <x:c r="AQ217" s="228"/>
      <x:c r="AR217" s="228"/>
      <x:c r="AS217" s="228"/>
      <x:c r="AT217" s="233"/>
    </x:row>
    <x:row r="218" spans="1:47" ht="15" customHeight="1">
      <x:c r="A218" s="282" t="s">
        <x:v>2374</x:v>
      </x:c>
      <x:c r="B218" s="216"/>
      <x:c r="C218" s="283" t="s">
        <x:v>2375</x:v>
      </x:c>
      <x:c r="D218" s="282" t="s">
        <x:v>2376</x:v>
      </x:c>
      <x:c r="E218" s="282" t="s">
        <x:v>592</x:v>
      </x:c>
      <x:c r="F218" s="277" t="s">
        <x:v>118</x:v>
      </x:c>
      <x:c r="G218" s="277" t="s">
        <x:v>118</x:v>
      </x:c>
      <x:c r="H218" s="277" t="s">
        <x:v>118</x:v>
      </x:c>
      <x:c r="I218" s="277" t="s">
        <x:v>118</x:v>
      </x:c>
      <x:c r="J218" s="277" t="s">
        <x:v>118</x:v>
      </x:c>
      <x:c r="K218" s="277" t="s">
        <x:v>118</x:v>
      </x:c>
      <x:c r="L218" s="277" t="s">
        <x:v>118</x:v>
      </x:c>
      <x:c r="M218" s="277" t="s">
        <x:v>118</x:v>
      </x:c>
      <x:c r="N218" s="277" t="s">
        <x:v>118</x:v>
      </x:c>
      <x:c r="O218" s="277" t="s">
        <x:v>118</x:v>
      </x:c>
      <x:c r="P218" s="277" t="s">
        <x:v>118</x:v>
      </x:c>
      <x:c r="Q218" s="277" t="s">
        <x:v>118</x:v>
      </x:c>
      <x:c r="R218" s="277" t="s">
        <x:v>118</x:v>
      </x:c>
      <x:c r="S218" s="277" t="s">
        <x:v>118</x:v>
      </x:c>
      <x:c r="T218" s="277" t="s">
        <x:v>118</x:v>
      </x:c>
      <x:c r="U218" s="277" t="s">
        <x:v>118</x:v>
      </x:c>
      <x:c r="V218" s="277" t="s">
        <x:v>118</x:v>
      </x:c>
      <x:c r="W218" s="277" t="s">
        <x:v>118</x:v>
      </x:c>
      <x:c r="X218" s="277" t="s">
        <x:v>118</x:v>
      </x:c>
      <x:c r="Y218" s="277" t="s">
        <x:v>118</x:v>
      </x:c>
      <x:c r="Z218" s="277" t="s">
        <x:v>118</x:v>
      </x:c>
      <x:c r="AA218" s="277" t="s">
        <x:v>118</x:v>
      </x:c>
      <x:c r="AB218" s="277" t="s">
        <x:v>118</x:v>
      </x:c>
      <x:c r="AC218" s="277" t="s">
        <x:v>118</x:v>
      </x:c>
      <x:c r="AD218" s="277" t="s">
        <x:v>118</x:v>
      </x:c>
      <x:c r="AE218" s="277" t="s">
        <x:v>118</x:v>
      </x:c>
      <x:c r="AF218" s="277" t="s">
        <x:v>118</x:v>
      </x:c>
      <x:c r="AG218" s="277" t="s">
        <x:v>118</x:v>
      </x:c>
      <x:c r="AH218" s="277" t="s">
        <x:v>118</x:v>
      </x:c>
      <x:c r="AI218" s="277" t="s">
        <x:v>118</x:v>
      </x:c>
      <x:c r="AJ218" s="277" t="s">
        <x:v>118</x:v>
      </x:c>
      <x:c r="AK218" s="220">
        <x:f>COUNTIF(F218:AJ218,"X")</x:f>
      </x:c>
      <x:c r="AL218" s="221"/>
      <x:c r="AM218" s="221"/>
      <x:c r="AN218" s="222"/>
      <x:c r="AO218" s="222"/>
      <x:c r="AP218" s="228"/>
      <x:c r="AQ218" s="228"/>
      <x:c r="AR218" s="228"/>
      <x:c r="AS218" s="228"/>
      <x:c r="AT218" s="230"/>
    </x:row>
    <x:row r="219" spans="1:47" ht="15" customHeight="1">
      <x:c r="A219" s="282" t="s">
        <x:v>2377</x:v>
      </x:c>
      <x:c r="B219" s="216"/>
      <x:c r="C219" s="283" t="s">
        <x:v>2378</x:v>
      </x:c>
      <x:c r="D219" s="282" t="s">
        <x:v>2379</x:v>
      </x:c>
      <x:c r="E219" s="282" t="s">
        <x:v>2380</x:v>
      </x:c>
      <x:c r="F219" s="281" t="s">
        <x:v>118</x:v>
      </x:c>
      <x:c r="G219" s="281" t="s">
        <x:v>118</x:v>
      </x:c>
      <x:c r="H219" s="281" t="s">
        <x:v>118</x:v>
      </x:c>
      <x:c r="I219" s="281" t="s">
        <x:v>118</x:v>
      </x:c>
      <x:c r="J219" s="281" t="s">
        <x:v>118</x:v>
      </x:c>
      <x:c r="K219" s="281" t="s">
        <x:v>118</x:v>
      </x:c>
      <x:c r="L219" s="281" t="s">
        <x:v>118</x:v>
      </x:c>
      <x:c r="M219" s="281" t="s">
        <x:v>118</x:v>
      </x:c>
      <x:c r="N219" s="281" t="s">
        <x:v>118</x:v>
      </x:c>
      <x:c r="O219" s="281" t="s">
        <x:v>118</x:v>
      </x:c>
      <x:c r="P219" s="281" t="s">
        <x:v>118</x:v>
      </x:c>
      <x:c r="Q219" s="281" t="s">
        <x:v>118</x:v>
      </x:c>
      <x:c r="R219" s="281" t="s">
        <x:v>118</x:v>
      </x:c>
      <x:c r="S219" s="281" t="s">
        <x:v>118</x:v>
      </x:c>
      <x:c r="T219" s="281" t="s">
        <x:v>118</x:v>
      </x:c>
      <x:c r="U219" s="281" t="s">
        <x:v>118</x:v>
      </x:c>
      <x:c r="V219" s="281" t="s">
        <x:v>118</x:v>
      </x:c>
      <x:c r="W219" s="281" t="s">
        <x:v>118</x:v>
      </x:c>
      <x:c r="X219" s="281" t="s">
        <x:v>118</x:v>
      </x:c>
      <x:c r="Y219" s="281" t="s">
        <x:v>118</x:v>
      </x:c>
      <x:c r="Z219" s="281" t="s">
        <x:v>118</x:v>
      </x:c>
      <x:c r="AA219" s="281" t="s">
        <x:v>118</x:v>
      </x:c>
      <x:c r="AB219" s="281" t="s">
        <x:v>118</x:v>
      </x:c>
      <x:c r="AC219" s="281" t="s">
        <x:v>118</x:v>
      </x:c>
      <x:c r="AD219" s="281" t="s">
        <x:v>118</x:v>
      </x:c>
      <x:c r="AE219" s="281" t="s">
        <x:v>118</x:v>
      </x:c>
      <x:c r="AF219" s="281" t="s">
        <x:v>118</x:v>
      </x:c>
      <x:c r="AG219" s="281" t="s">
        <x:v>118</x:v>
      </x:c>
      <x:c r="AH219" s="281" t="s">
        <x:v>118</x:v>
      </x:c>
      <x:c r="AI219" s="281" t="s">
        <x:v>118</x:v>
      </x:c>
      <x:c r="AJ219" s="281" t="s">
        <x:v>118</x:v>
      </x:c>
      <x:c r="AK219" s="220">
        <x:f>COUNTIF(F219:AJ219,"X")</x:f>
      </x:c>
      <x:c r="AL219" s="221"/>
      <x:c r="AM219" s="221"/>
      <x:c r="AN219" s="222"/>
      <x:c r="AO219" s="222"/>
      <x:c r="AP219" s="228"/>
      <x:c r="AQ219" s="228"/>
      <x:c r="AR219" s="228"/>
      <x:c r="AS219" s="228"/>
      <x:c r="AT219" s="230"/>
    </x:row>
    <x:row r="220" spans="1:47" ht="15" customHeight="1">
      <x:c r="A220" s="282" t="s">
        <x:v>2381</x:v>
      </x:c>
      <x:c r="B220" s="216"/>
      <x:c r="C220" s="283" t="s">
        <x:v>2382</x:v>
      </x:c>
      <x:c r="D220" s="282" t="s">
        <x:v>2383</x:v>
      </x:c>
      <x:c r="E220" s="282" t="s">
        <x:v>627</x:v>
      </x:c>
      <x:c r="F220" s="277" t="s">
        <x:v>118</x:v>
      </x:c>
      <x:c r="G220" s="277" t="s">
        <x:v>118</x:v>
      </x:c>
      <x:c r="H220" s="277" t="s">
        <x:v>118</x:v>
      </x:c>
      <x:c r="I220" s="277" t="s">
        <x:v>118</x:v>
      </x:c>
      <x:c r="J220" s="277" t="s">
        <x:v>118</x:v>
      </x:c>
      <x:c r="K220" s="277" t="s">
        <x:v>118</x:v>
      </x:c>
      <x:c r="L220" s="277" t="s">
        <x:v>118</x:v>
      </x:c>
      <x:c r="M220" s="277" t="s">
        <x:v>118</x:v>
      </x:c>
      <x:c r="N220" s="277" t="s">
        <x:v>118</x:v>
      </x:c>
      <x:c r="O220" s="277" t="s">
        <x:v>118</x:v>
      </x:c>
      <x:c r="P220" s="277" t="s">
        <x:v>118</x:v>
      </x:c>
      <x:c r="Q220" s="277" t="s">
        <x:v>118</x:v>
      </x:c>
      <x:c r="R220" s="277" t="s">
        <x:v>118</x:v>
      </x:c>
      <x:c r="S220" s="277" t="s">
        <x:v>118</x:v>
      </x:c>
      <x:c r="T220" s="277" t="s">
        <x:v>118</x:v>
      </x:c>
      <x:c r="U220" s="277" t="s">
        <x:v>118</x:v>
      </x:c>
      <x:c r="V220" s="277" t="s">
        <x:v>118</x:v>
      </x:c>
      <x:c r="W220" s="277" t="s">
        <x:v>118</x:v>
      </x:c>
      <x:c r="X220" s="277" t="s">
        <x:v>118</x:v>
      </x:c>
      <x:c r="Y220" s="277" t="s">
        <x:v>118</x:v>
      </x:c>
      <x:c r="Z220" s="277" t="s">
        <x:v>118</x:v>
      </x:c>
      <x:c r="AA220" s="277" t="s">
        <x:v>118</x:v>
      </x:c>
      <x:c r="AB220" s="277" t="s">
        <x:v>118</x:v>
      </x:c>
      <x:c r="AC220" s="277" t="s">
        <x:v>118</x:v>
      </x:c>
      <x:c r="AD220" s="277" t="s">
        <x:v>118</x:v>
      </x:c>
      <x:c r="AE220" s="277" t="s">
        <x:v>118</x:v>
      </x:c>
      <x:c r="AF220" s="277" t="s">
        <x:v>118</x:v>
      </x:c>
      <x:c r="AG220" s="277" t="s">
        <x:v>118</x:v>
      </x:c>
      <x:c r="AH220" s="277" t="s">
        <x:v>118</x:v>
      </x:c>
      <x:c r="AI220" s="277" t="s">
        <x:v>118</x:v>
      </x:c>
      <x:c r="AJ220" s="277" t="s">
        <x:v>118</x:v>
      </x:c>
      <x:c r="AK220" s="220">
        <x:f>COUNTIF(F220:AJ220,"X")</x:f>
      </x:c>
      <x:c r="AL220" s="221"/>
      <x:c r="AM220" s="221"/>
      <x:c r="AN220" s="222"/>
      <x:c r="AO220" s="222"/>
      <x:c r="AP220" s="228"/>
      <x:c r="AQ220" s="228"/>
      <x:c r="AR220" s="228"/>
      <x:c r="AS220" s="228"/>
      <x:c r="AT220" s="230"/>
    </x:row>
    <x:row r="221" spans="1:47" ht="15" customHeight="1">
      <x:c r="A221" s="282" t="s">
        <x:v>2384</x:v>
      </x:c>
      <x:c r="B221" s="216"/>
      <x:c r="C221" s="283" t="s">
        <x:v>2385</x:v>
      </x:c>
      <x:c r="D221" s="282" t="s">
        <x:v>2383</x:v>
      </x:c>
      <x:c r="E221" s="282" t="s">
        <x:v>1042</x:v>
      </x:c>
      <x:c r="F221" s="277" t="s">
        <x:v>118</x:v>
      </x:c>
      <x:c r="G221" s="277" t="s">
        <x:v>118</x:v>
      </x:c>
      <x:c r="H221" s="277" t="s">
        <x:v>118</x:v>
      </x:c>
      <x:c r="I221" s="277" t="s">
        <x:v>118</x:v>
      </x:c>
      <x:c r="J221" s="277" t="s">
        <x:v>118</x:v>
      </x:c>
      <x:c r="K221" s="277" t="s">
        <x:v>118</x:v>
      </x:c>
      <x:c r="L221" s="277" t="s">
        <x:v>118</x:v>
      </x:c>
      <x:c r="M221" s="277" t="s">
        <x:v>118</x:v>
      </x:c>
      <x:c r="N221" s="277" t="s">
        <x:v>118</x:v>
      </x:c>
      <x:c r="O221" s="277" t="s">
        <x:v>118</x:v>
      </x:c>
      <x:c r="P221" s="277" t="s">
        <x:v>118</x:v>
      </x:c>
      <x:c r="Q221" s="277" t="s">
        <x:v>118</x:v>
      </x:c>
      <x:c r="R221" s="277" t="s">
        <x:v>118</x:v>
      </x:c>
      <x:c r="S221" s="277" t="s">
        <x:v>118</x:v>
      </x:c>
      <x:c r="T221" s="277" t="s">
        <x:v>118</x:v>
      </x:c>
      <x:c r="U221" s="277" t="s">
        <x:v>118</x:v>
      </x:c>
      <x:c r="V221" s="277" t="s">
        <x:v>118</x:v>
      </x:c>
      <x:c r="W221" s="277" t="s">
        <x:v>118</x:v>
      </x:c>
      <x:c r="X221" s="277" t="s">
        <x:v>118</x:v>
      </x:c>
      <x:c r="Y221" s="277" t="s">
        <x:v>118</x:v>
      </x:c>
      <x:c r="Z221" s="277" t="s">
        <x:v>118</x:v>
      </x:c>
      <x:c r="AA221" s="277" t="s">
        <x:v>118</x:v>
      </x:c>
      <x:c r="AB221" s="277" t="s">
        <x:v>118</x:v>
      </x:c>
      <x:c r="AC221" s="277" t="s">
        <x:v>118</x:v>
      </x:c>
      <x:c r="AD221" s="277" t="s">
        <x:v>118</x:v>
      </x:c>
      <x:c r="AE221" s="277" t="s">
        <x:v>118</x:v>
      </x:c>
      <x:c r="AF221" s="277" t="s">
        <x:v>118</x:v>
      </x:c>
      <x:c r="AG221" s="277" t="s">
        <x:v>118</x:v>
      </x:c>
      <x:c r="AH221" s="277" t="s">
        <x:v>118</x:v>
      </x:c>
      <x:c r="AI221" s="277" t="s">
        <x:v>118</x:v>
      </x:c>
      <x:c r="AJ221" s="277" t="s">
        <x:v>118</x:v>
      </x:c>
      <x:c r="AK221" s="220">
        <x:f>COUNTIF(F221:AJ221,"X")</x:f>
      </x:c>
      <x:c r="AL221" s="221"/>
      <x:c r="AM221" s="221"/>
      <x:c r="AN221" s="222"/>
      <x:c r="AO221" s="222"/>
      <x:c r="AP221" s="228"/>
      <x:c r="AQ221" s="228"/>
      <x:c r="AR221" s="228"/>
      <x:c r="AS221" s="228"/>
      <x:c r="AT221" s="230"/>
    </x:row>
    <x:row r="222" spans="1:47" ht="15" customHeight="1">
      <x:c r="A222" s="282" t="s">
        <x:v>2386</x:v>
      </x:c>
      <x:c r="B222" s="216"/>
      <x:c r="C222" s="283" t="s">
        <x:v>2387</x:v>
      </x:c>
      <x:c r="D222" s="282" t="s">
        <x:v>2383</x:v>
      </x:c>
      <x:c r="E222" s="282" t="s">
        <x:v>2388</x:v>
      </x:c>
      <x:c r="F222" s="277" t="s">
        <x:v>118</x:v>
      </x:c>
      <x:c r="G222" s="277" t="s">
        <x:v>118</x:v>
      </x:c>
      <x:c r="H222" s="277" t="s">
        <x:v>118</x:v>
      </x:c>
      <x:c r="I222" s="277" t="s">
        <x:v>118</x:v>
      </x:c>
      <x:c r="J222" s="277" t="s">
        <x:v>118</x:v>
      </x:c>
      <x:c r="K222" s="277" t="s">
        <x:v>118</x:v>
      </x:c>
      <x:c r="L222" s="277" t="s">
        <x:v>118</x:v>
      </x:c>
      <x:c r="M222" s="277" t="s">
        <x:v>118</x:v>
      </x:c>
      <x:c r="N222" s="277" t="s">
        <x:v>118</x:v>
      </x:c>
      <x:c r="O222" s="277" t="s">
        <x:v>118</x:v>
      </x:c>
      <x:c r="P222" s="277" t="s">
        <x:v>118</x:v>
      </x:c>
      <x:c r="Q222" s="277" t="s">
        <x:v>118</x:v>
      </x:c>
      <x:c r="R222" s="277" t="s">
        <x:v>118</x:v>
      </x:c>
      <x:c r="S222" s="277" t="s">
        <x:v>118</x:v>
      </x:c>
      <x:c r="T222" s="277" t="s">
        <x:v>118</x:v>
      </x:c>
      <x:c r="U222" s="277" t="s">
        <x:v>118</x:v>
      </x:c>
      <x:c r="V222" s="277" t="s">
        <x:v>118</x:v>
      </x:c>
      <x:c r="W222" s="277" t="s">
        <x:v>118</x:v>
      </x:c>
      <x:c r="X222" s="277" t="s">
        <x:v>118</x:v>
      </x:c>
      <x:c r="Y222" s="277" t="s">
        <x:v>118</x:v>
      </x:c>
      <x:c r="Z222" s="277" t="s">
        <x:v>118</x:v>
      </x:c>
      <x:c r="AA222" s="277" t="s">
        <x:v>118</x:v>
      </x:c>
      <x:c r="AB222" s="277" t="s">
        <x:v>118</x:v>
      </x:c>
      <x:c r="AC222" s="277" t="s">
        <x:v>118</x:v>
      </x:c>
      <x:c r="AD222" s="277" t="s">
        <x:v>118</x:v>
      </x:c>
      <x:c r="AE222" s="277" t="s">
        <x:v>118</x:v>
      </x:c>
      <x:c r="AF222" s="277" t="s">
        <x:v>118</x:v>
      </x:c>
      <x:c r="AG222" s="277" t="s">
        <x:v>118</x:v>
      </x:c>
      <x:c r="AH222" s="277" t="s">
        <x:v>118</x:v>
      </x:c>
      <x:c r="AI222" s="277" t="s">
        <x:v>118</x:v>
      </x:c>
      <x:c r="AJ222" s="277" t="s">
        <x:v>118</x:v>
      </x:c>
      <x:c r="AK222" s="220">
        <x:f>COUNTIF(F222:AJ222,"X")</x:f>
      </x:c>
      <x:c r="AL222" s="221"/>
      <x:c r="AM222" s="221"/>
      <x:c r="AN222" s="222"/>
      <x:c r="AO222" s="222"/>
      <x:c r="AP222" s="228"/>
      <x:c r="AQ222" s="228"/>
      <x:c r="AR222" s="228"/>
      <x:c r="AS222" s="228"/>
      <x:c r="AT222" s="230"/>
    </x:row>
    <x:row r="223" spans="1:47" ht="15" customHeight="1">
      <x:c r="A223" s="282" t="s">
        <x:v>2389</x:v>
      </x:c>
      <x:c r="B223" s="216"/>
      <x:c r="C223" s="283" t="s">
        <x:v>2390</x:v>
      </x:c>
      <x:c r="D223" s="282" t="s">
        <x:v>1379</x:v>
      </x:c>
      <x:c r="E223" s="282" t="s">
        <x:v>2391</x:v>
      </x:c>
      <x:c r="F223" s="277" t="s">
        <x:v>118</x:v>
      </x:c>
      <x:c r="G223" s="277" t="s">
        <x:v>118</x:v>
      </x:c>
      <x:c r="H223" s="277" t="s">
        <x:v>118</x:v>
      </x:c>
      <x:c r="I223" s="277" t="s">
        <x:v>118</x:v>
      </x:c>
      <x:c r="J223" s="277" t="s">
        <x:v>118</x:v>
      </x:c>
      <x:c r="K223" s="277" t="s">
        <x:v>118</x:v>
      </x:c>
      <x:c r="L223" s="277" t="s">
        <x:v>118</x:v>
      </x:c>
      <x:c r="M223" s="277" t="s">
        <x:v>118</x:v>
      </x:c>
      <x:c r="N223" s="277" t="s">
        <x:v>118</x:v>
      </x:c>
      <x:c r="O223" s="277" t="s">
        <x:v>118</x:v>
      </x:c>
      <x:c r="P223" s="277" t="s">
        <x:v>118</x:v>
      </x:c>
      <x:c r="Q223" s="277" t="s">
        <x:v>118</x:v>
      </x:c>
      <x:c r="R223" s="277" t="s">
        <x:v>118</x:v>
      </x:c>
      <x:c r="S223" s="277" t="s">
        <x:v>118</x:v>
      </x:c>
      <x:c r="T223" s="277" t="s">
        <x:v>118</x:v>
      </x:c>
      <x:c r="U223" s="277" t="s">
        <x:v>118</x:v>
      </x:c>
      <x:c r="V223" s="277" t="s">
        <x:v>118</x:v>
      </x:c>
      <x:c r="W223" s="277" t="s">
        <x:v>118</x:v>
      </x:c>
      <x:c r="X223" s="277" t="s">
        <x:v>118</x:v>
      </x:c>
      <x:c r="Y223" s="277" t="s">
        <x:v>118</x:v>
      </x:c>
      <x:c r="Z223" s="277" t="s">
        <x:v>118</x:v>
      </x:c>
      <x:c r="AA223" s="277" t="s">
        <x:v>118</x:v>
      </x:c>
      <x:c r="AB223" s="277" t="s">
        <x:v>118</x:v>
      </x:c>
      <x:c r="AC223" s="277" t="s">
        <x:v>118</x:v>
      </x:c>
      <x:c r="AD223" s="277" t="s">
        <x:v>118</x:v>
      </x:c>
      <x:c r="AE223" s="277" t="s">
        <x:v>118</x:v>
      </x:c>
      <x:c r="AF223" s="277" t="s">
        <x:v>118</x:v>
      </x:c>
      <x:c r="AG223" s="277" t="s">
        <x:v>118</x:v>
      </x:c>
      <x:c r="AH223" s="277" t="s">
        <x:v>118</x:v>
      </x:c>
      <x:c r="AI223" s="277" t="s">
        <x:v>118</x:v>
      </x:c>
      <x:c r="AJ223" s="277" t="s">
        <x:v>118</x:v>
      </x:c>
      <x:c r="AK223" s="220">
        <x:f>COUNTIF(F223:AJ223,"X")</x:f>
      </x:c>
      <x:c r="AL223" s="221"/>
      <x:c r="AM223" s="221"/>
      <x:c r="AN223" s="222"/>
      <x:c r="AO223" s="222"/>
      <x:c r="AP223" s="228"/>
      <x:c r="AQ223" s="228"/>
      <x:c r="AR223" s="228"/>
      <x:c r="AS223" s="228"/>
      <x:c r="AT223" s="230"/>
    </x:row>
    <x:row r="224" spans="1:47" ht="15" customHeight="1">
      <x:c r="A224" s="282" t="s">
        <x:v>2392</x:v>
      </x:c>
      <x:c r="B224" s="216"/>
      <x:c r="C224" s="283" t="s">
        <x:v>2393</x:v>
      </x:c>
      <x:c r="D224" s="282" t="s">
        <x:v>2394</x:v>
      </x:c>
      <x:c r="E224" s="282" t="s">
        <x:v>1617</x:v>
      </x:c>
      <x:c r="F224" s="281" t="s">
        <x:v>118</x:v>
      </x:c>
      <x:c r="G224" s="281" t="s">
        <x:v>118</x:v>
      </x:c>
      <x:c r="H224" s="281" t="s">
        <x:v>118</x:v>
      </x:c>
      <x:c r="I224" s="281" t="s">
        <x:v>118</x:v>
      </x:c>
      <x:c r="J224" s="281" t="s">
        <x:v>118</x:v>
      </x:c>
      <x:c r="K224" s="281" t="s">
        <x:v>118</x:v>
      </x:c>
      <x:c r="L224" s="281" t="s">
        <x:v>118</x:v>
      </x:c>
      <x:c r="M224" s="281" t="s">
        <x:v>118</x:v>
      </x:c>
      <x:c r="N224" s="281" t="s">
        <x:v>118</x:v>
      </x:c>
      <x:c r="O224" s="281" t="s">
        <x:v>118</x:v>
      </x:c>
      <x:c r="P224" s="281" t="s">
        <x:v>118</x:v>
      </x:c>
      <x:c r="Q224" s="281" t="s">
        <x:v>118</x:v>
      </x:c>
      <x:c r="R224" s="281" t="s">
        <x:v>118</x:v>
      </x:c>
      <x:c r="S224" s="281" t="s">
        <x:v>118</x:v>
      </x:c>
      <x:c r="T224" s="281" t="s">
        <x:v>118</x:v>
      </x:c>
      <x:c r="U224" s="281" t="s">
        <x:v>118</x:v>
      </x:c>
      <x:c r="V224" s="281" t="s">
        <x:v>118</x:v>
      </x:c>
      <x:c r="W224" s="281" t="s">
        <x:v>118</x:v>
      </x:c>
      <x:c r="X224" s="281" t="s">
        <x:v>118</x:v>
      </x:c>
      <x:c r="Y224" s="281" t="s">
        <x:v>118</x:v>
      </x:c>
      <x:c r="Z224" s="281" t="s">
        <x:v>118</x:v>
      </x:c>
      <x:c r="AA224" s="281" t="s">
        <x:v>118</x:v>
      </x:c>
      <x:c r="AB224" s="281" t="s">
        <x:v>118</x:v>
      </x:c>
      <x:c r="AC224" s="281" t="s">
        <x:v>118</x:v>
      </x:c>
      <x:c r="AD224" s="281" t="s">
        <x:v>118</x:v>
      </x:c>
      <x:c r="AE224" s="281" t="s">
        <x:v>118</x:v>
      </x:c>
      <x:c r="AF224" s="281" t="s">
        <x:v>118</x:v>
      </x:c>
      <x:c r="AG224" s="281" t="s">
        <x:v>118</x:v>
      </x:c>
      <x:c r="AH224" s="281" t="s">
        <x:v>118</x:v>
      </x:c>
      <x:c r="AI224" s="281" t="s">
        <x:v>118</x:v>
      </x:c>
      <x:c r="AJ224" s="281" t="s">
        <x:v>118</x:v>
      </x:c>
      <x:c r="AK224" s="220">
        <x:f>COUNTIF(F224:AJ224,"X")</x:f>
      </x:c>
      <x:c r="AL224" s="221"/>
      <x:c r="AM224" s="221"/>
      <x:c r="AN224" s="222"/>
      <x:c r="AO224" s="222"/>
      <x:c r="AP224" s="228"/>
      <x:c r="AQ224" s="228"/>
      <x:c r="AR224" s="228"/>
      <x:c r="AS224" s="228"/>
      <x:c r="AT224" s="230"/>
    </x:row>
    <x:row r="225" spans="1:47" ht="15" customHeight="1">
      <x:c r="A225" s="282" t="s">
        <x:v>2395</x:v>
      </x:c>
      <x:c r="B225" s="216"/>
      <x:c r="C225" s="283" t="s">
        <x:v>2396</x:v>
      </x:c>
      <x:c r="D225" s="282" t="s">
        <x:v>2397</x:v>
      </x:c>
      <x:c r="E225" s="282" t="s">
        <x:v>2398</x:v>
      </x:c>
      <x:c r="F225" s="277" t="s">
        <x:v>118</x:v>
      </x:c>
      <x:c r="G225" s="277" t="s">
        <x:v>118</x:v>
      </x:c>
      <x:c r="H225" s="277" t="s">
        <x:v>118</x:v>
      </x:c>
      <x:c r="I225" s="277" t="s">
        <x:v>118</x:v>
      </x:c>
      <x:c r="J225" s="277" t="s">
        <x:v>118</x:v>
      </x:c>
      <x:c r="K225" s="277" t="s">
        <x:v>118</x:v>
      </x:c>
      <x:c r="L225" s="277" t="s">
        <x:v>118</x:v>
      </x:c>
      <x:c r="M225" s="277" t="s">
        <x:v>118</x:v>
      </x:c>
      <x:c r="N225" s="277" t="s">
        <x:v>118</x:v>
      </x:c>
      <x:c r="O225" s="277" t="s">
        <x:v>118</x:v>
      </x:c>
      <x:c r="P225" s="277" t="s">
        <x:v>118</x:v>
      </x:c>
      <x:c r="Q225" s="277" t="s">
        <x:v>118</x:v>
      </x:c>
      <x:c r="R225" s="277" t="s">
        <x:v>118</x:v>
      </x:c>
      <x:c r="S225" s="277" t="s">
        <x:v>118</x:v>
      </x:c>
      <x:c r="T225" s="277" t="s">
        <x:v>118</x:v>
      </x:c>
      <x:c r="U225" s="277" t="s">
        <x:v>118</x:v>
      </x:c>
      <x:c r="V225" s="277" t="s">
        <x:v>118</x:v>
      </x:c>
      <x:c r="W225" s="277" t="s">
        <x:v>118</x:v>
      </x:c>
      <x:c r="X225" s="277" t="s">
        <x:v>118</x:v>
      </x:c>
      <x:c r="Y225" s="277" t="s">
        <x:v>118</x:v>
      </x:c>
      <x:c r="Z225" s="277" t="s">
        <x:v>118</x:v>
      </x:c>
      <x:c r="AA225" s="277" t="s">
        <x:v>118</x:v>
      </x:c>
      <x:c r="AB225" s="277" t="s">
        <x:v>118</x:v>
      </x:c>
      <x:c r="AC225" s="277" t="s">
        <x:v>118</x:v>
      </x:c>
      <x:c r="AD225" s="277" t="s">
        <x:v>118</x:v>
      </x:c>
      <x:c r="AE225" s="277" t="s">
        <x:v>118</x:v>
      </x:c>
      <x:c r="AF225" s="277" t="s">
        <x:v>118</x:v>
      </x:c>
      <x:c r="AG225" s="277" t="s">
        <x:v>118</x:v>
      </x:c>
      <x:c r="AH225" s="277" t="s">
        <x:v>118</x:v>
      </x:c>
      <x:c r="AI225" s="277" t="s">
        <x:v>118</x:v>
      </x:c>
      <x:c r="AJ225" s="277" t="s">
        <x:v>118</x:v>
      </x:c>
      <x:c r="AK225" s="220">
        <x:f>COUNTIF(F225:AJ225,"X")</x:f>
      </x:c>
      <x:c r="AL225" s="221"/>
      <x:c r="AM225" s="221"/>
      <x:c r="AN225" s="222"/>
      <x:c r="AO225" s="222"/>
      <x:c r="AP225" s="228"/>
      <x:c r="AQ225" s="228"/>
      <x:c r="AR225" s="228"/>
      <x:c r="AS225" s="228"/>
      <x:c r="AT225" s="230"/>
    </x:row>
    <x:row r="226" spans="1:47" ht="15" customHeight="1">
      <x:c r="A226" s="282" t="s">
        <x:v>2399</x:v>
      </x:c>
      <x:c r="B226" s="216"/>
      <x:c r="C226" s="283" t="s">
        <x:v>2400</x:v>
      </x:c>
      <x:c r="D226" s="282" t="s">
        <x:v>2401</x:v>
      </x:c>
      <x:c r="E226" s="282" t="s">
        <x:v>2310</x:v>
      </x:c>
      <x:c r="F226" s="281" t="s">
        <x:v>118</x:v>
      </x:c>
      <x:c r="G226" s="281" t="s">
        <x:v>118</x:v>
      </x:c>
      <x:c r="H226" s="281" t="s">
        <x:v>118</x:v>
      </x:c>
      <x:c r="I226" s="281" t="s">
        <x:v>118</x:v>
      </x:c>
      <x:c r="J226" s="281" t="s">
        <x:v>118</x:v>
      </x:c>
      <x:c r="K226" s="281" t="s">
        <x:v>118</x:v>
      </x:c>
      <x:c r="L226" s="281" t="s">
        <x:v>118</x:v>
      </x:c>
      <x:c r="M226" s="281" t="s">
        <x:v>118</x:v>
      </x:c>
      <x:c r="N226" s="281" t="s">
        <x:v>118</x:v>
      </x:c>
      <x:c r="O226" s="281" t="s">
        <x:v>118</x:v>
      </x:c>
      <x:c r="P226" s="281" t="s">
        <x:v>118</x:v>
      </x:c>
      <x:c r="Q226" s="281" t="s">
        <x:v>118</x:v>
      </x:c>
      <x:c r="R226" s="281" t="s">
        <x:v>118</x:v>
      </x:c>
      <x:c r="S226" s="281" t="s">
        <x:v>118</x:v>
      </x:c>
      <x:c r="T226" s="281" t="s">
        <x:v>118</x:v>
      </x:c>
      <x:c r="U226" s="281" t="s">
        <x:v>118</x:v>
      </x:c>
      <x:c r="V226" s="281" t="s">
        <x:v>118</x:v>
      </x:c>
      <x:c r="W226" s="281" t="s">
        <x:v>118</x:v>
      </x:c>
      <x:c r="X226" s="281" t="s">
        <x:v>118</x:v>
      </x:c>
      <x:c r="Y226" s="281" t="s">
        <x:v>118</x:v>
      </x:c>
      <x:c r="Z226" s="281" t="s">
        <x:v>118</x:v>
      </x:c>
      <x:c r="AA226" s="281" t="s">
        <x:v>118</x:v>
      </x:c>
      <x:c r="AB226" s="281" t="s">
        <x:v>118</x:v>
      </x:c>
      <x:c r="AC226" s="281" t="s">
        <x:v>118</x:v>
      </x:c>
      <x:c r="AD226" s="281" t="s">
        <x:v>118</x:v>
      </x:c>
      <x:c r="AE226" s="281" t="s">
        <x:v>118</x:v>
      </x:c>
      <x:c r="AF226" s="281" t="s">
        <x:v>118</x:v>
      </x:c>
      <x:c r="AG226" s="281" t="s">
        <x:v>118</x:v>
      </x:c>
      <x:c r="AH226" s="281" t="s">
        <x:v>118</x:v>
      </x:c>
      <x:c r="AI226" s="281" t="s">
        <x:v>118</x:v>
      </x:c>
      <x:c r="AJ226" s="281" t="s">
        <x:v>118</x:v>
      </x:c>
      <x:c r="AK226" s="220">
        <x:f>COUNTIF(F226:AJ226,"X")</x:f>
      </x:c>
      <x:c r="AL226" s="221"/>
      <x:c r="AM226" s="221"/>
      <x:c r="AN226" s="222"/>
      <x:c r="AO226" s="222"/>
      <x:c r="AP226" s="228"/>
      <x:c r="AQ226" s="228"/>
      <x:c r="AR226" s="228"/>
      <x:c r="AS226" s="228"/>
      <x:c r="AT226" s="230"/>
    </x:row>
    <x:row r="227" spans="1:47" ht="15" customHeight="1">
      <x:c r="A227" s="282" t="s">
        <x:v>2402</x:v>
      </x:c>
      <x:c r="B227" s="216"/>
      <x:c r="C227" s="283" t="s">
        <x:v>2403</x:v>
      </x:c>
      <x:c r="D227" s="282" t="s">
        <x:v>2404</x:v>
      </x:c>
      <x:c r="E227" s="282" t="s">
        <x:v>2405</x:v>
      </x:c>
      <x:c r="F227" s="277" t="s">
        <x:v>118</x:v>
      </x:c>
      <x:c r="G227" s="277" t="s">
        <x:v>118</x:v>
      </x:c>
      <x:c r="H227" s="277" t="s">
        <x:v>118</x:v>
      </x:c>
      <x:c r="I227" s="277" t="s">
        <x:v>118</x:v>
      </x:c>
      <x:c r="J227" s="277" t="s">
        <x:v>118</x:v>
      </x:c>
      <x:c r="K227" s="277" t="s">
        <x:v>118</x:v>
      </x:c>
      <x:c r="L227" s="277" t="s">
        <x:v>118</x:v>
      </x:c>
      <x:c r="M227" s="277" t="s">
        <x:v>118</x:v>
      </x:c>
      <x:c r="N227" s="277" t="s">
        <x:v>118</x:v>
      </x:c>
      <x:c r="O227" s="277" t="s">
        <x:v>118</x:v>
      </x:c>
      <x:c r="P227" s="277" t="s">
        <x:v>118</x:v>
      </x:c>
      <x:c r="Q227" s="277" t="s">
        <x:v>118</x:v>
      </x:c>
      <x:c r="R227" s="277" t="s">
        <x:v>118</x:v>
      </x:c>
      <x:c r="S227" s="277" t="s">
        <x:v>118</x:v>
      </x:c>
      <x:c r="T227" s="277" t="s">
        <x:v>118</x:v>
      </x:c>
      <x:c r="U227" s="277" t="s">
        <x:v>118</x:v>
      </x:c>
      <x:c r="V227" s="277" t="s">
        <x:v>118</x:v>
      </x:c>
      <x:c r="W227" s="277" t="s">
        <x:v>118</x:v>
      </x:c>
      <x:c r="X227" s="277" t="s">
        <x:v>118</x:v>
      </x:c>
      <x:c r="Y227" s="277" t="s">
        <x:v>118</x:v>
      </x:c>
      <x:c r="Z227" s="277" t="s">
        <x:v>118</x:v>
      </x:c>
      <x:c r="AA227" s="277" t="s">
        <x:v>118</x:v>
      </x:c>
      <x:c r="AB227" s="277" t="s">
        <x:v>118</x:v>
      </x:c>
      <x:c r="AC227" s="277" t="s">
        <x:v>118</x:v>
      </x:c>
      <x:c r="AD227" s="277" t="s">
        <x:v>118</x:v>
      </x:c>
      <x:c r="AE227" s="277" t="s">
        <x:v>118</x:v>
      </x:c>
      <x:c r="AF227" s="277" t="s">
        <x:v>118</x:v>
      </x:c>
      <x:c r="AG227" s="277" t="s">
        <x:v>118</x:v>
      </x:c>
      <x:c r="AH227" s="277" t="s">
        <x:v>118</x:v>
      </x:c>
      <x:c r="AI227" s="277" t="s">
        <x:v>118</x:v>
      </x:c>
      <x:c r="AJ227" s="277" t="s">
        <x:v>118</x:v>
      </x:c>
      <x:c r="AK227" s="220">
        <x:f>COUNTIF(F227:AJ227,"X")</x:f>
      </x:c>
      <x:c r="AL227" s="221"/>
      <x:c r="AM227" s="221"/>
      <x:c r="AN227" s="222"/>
      <x:c r="AO227" s="222"/>
      <x:c r="AP227" s="228"/>
      <x:c r="AQ227" s="228"/>
      <x:c r="AR227" s="228"/>
      <x:c r="AS227" s="228"/>
      <x:c r="AT227" s="230"/>
    </x:row>
    <x:row r="228" spans="1:47" ht="15" customHeight="1">
      <x:c r="A228" s="282" t="s">
        <x:v>2406</x:v>
      </x:c>
      <x:c r="B228" s="216"/>
      <x:c r="C228" s="283" t="s">
        <x:v>2407</x:v>
      </x:c>
      <x:c r="D228" s="282" t="s">
        <x:v>2408</x:v>
      </x:c>
      <x:c r="E228" s="282" t="s">
        <x:v>1001</x:v>
      </x:c>
      <x:c r="F228" s="277" t="s">
        <x:v>118</x:v>
      </x:c>
      <x:c r="G228" s="277" t="s">
        <x:v>118</x:v>
      </x:c>
      <x:c r="H228" s="277" t="s">
        <x:v>118</x:v>
      </x:c>
      <x:c r="I228" s="277" t="s">
        <x:v>118</x:v>
      </x:c>
      <x:c r="J228" s="277" t="s">
        <x:v>118</x:v>
      </x:c>
      <x:c r="K228" s="277" t="s">
        <x:v>118</x:v>
      </x:c>
      <x:c r="L228" s="277" t="s">
        <x:v>118</x:v>
      </x:c>
      <x:c r="M228" s="277" t="s">
        <x:v>118</x:v>
      </x:c>
      <x:c r="N228" s="277" t="s">
        <x:v>118</x:v>
      </x:c>
      <x:c r="O228" s="277" t="s">
        <x:v>118</x:v>
      </x:c>
      <x:c r="P228" s="277" t="s">
        <x:v>118</x:v>
      </x:c>
      <x:c r="Q228" s="277" t="s">
        <x:v>118</x:v>
      </x:c>
      <x:c r="R228" s="277" t="s">
        <x:v>118</x:v>
      </x:c>
      <x:c r="S228" s="277" t="s">
        <x:v>118</x:v>
      </x:c>
      <x:c r="T228" s="277" t="s">
        <x:v>118</x:v>
      </x:c>
      <x:c r="U228" s="277" t="s">
        <x:v>118</x:v>
      </x:c>
      <x:c r="V228" s="277" t="s">
        <x:v>118</x:v>
      </x:c>
      <x:c r="W228" s="277" t="s">
        <x:v>118</x:v>
      </x:c>
      <x:c r="X228" s="277" t="s">
        <x:v>118</x:v>
      </x:c>
      <x:c r="Y228" s="277" t="s">
        <x:v>118</x:v>
      </x:c>
      <x:c r="Z228" s="277" t="s">
        <x:v>118</x:v>
      </x:c>
      <x:c r="AA228" s="277" t="s">
        <x:v>118</x:v>
      </x:c>
      <x:c r="AB228" s="277" t="s">
        <x:v>118</x:v>
      </x:c>
      <x:c r="AC228" s="277" t="s">
        <x:v>118</x:v>
      </x:c>
      <x:c r="AD228" s="277" t="s">
        <x:v>118</x:v>
      </x:c>
      <x:c r="AE228" s="277" t="s">
        <x:v>118</x:v>
      </x:c>
      <x:c r="AF228" s="277" t="s">
        <x:v>118</x:v>
      </x:c>
      <x:c r="AG228" s="277" t="s">
        <x:v>118</x:v>
      </x:c>
      <x:c r="AH228" s="277" t="s">
        <x:v>118</x:v>
      </x:c>
      <x:c r="AI228" s="277" t="s">
        <x:v>118</x:v>
      </x:c>
      <x:c r="AJ228" s="277" t="s">
        <x:v>118</x:v>
      </x:c>
      <x:c r="AK228" s="220">
        <x:f>COUNTIF(F228:AJ228,"X")</x:f>
      </x:c>
      <x:c r="AL228" s="221"/>
      <x:c r="AM228" s="221"/>
      <x:c r="AN228" s="222"/>
      <x:c r="AO228" s="222"/>
      <x:c r="AP228" s="228"/>
      <x:c r="AQ228" s="228"/>
      <x:c r="AR228" s="228"/>
      <x:c r="AS228" s="228"/>
      <x:c r="AT228" s="230"/>
    </x:row>
    <x:row r="229" spans="1:47" ht="15" customHeight="1">
      <x:c r="A229" s="282" t="s">
        <x:v>2409</x:v>
      </x:c>
      <x:c r="B229" s="216"/>
      <x:c r="C229" s="283" t="s">
        <x:v>2410</x:v>
      </x:c>
      <x:c r="D229" s="282" t="s">
        <x:v>2411</x:v>
      </x:c>
      <x:c r="E229" s="282" t="s">
        <x:v>264</x:v>
      </x:c>
      <x:c r="F229" s="277" t="s">
        <x:v>118</x:v>
      </x:c>
      <x:c r="G229" s="277" t="s">
        <x:v>118</x:v>
      </x:c>
      <x:c r="H229" s="277" t="s">
        <x:v>118</x:v>
      </x:c>
      <x:c r="I229" s="277" t="s">
        <x:v>118</x:v>
      </x:c>
      <x:c r="J229" s="277" t="s">
        <x:v>118</x:v>
      </x:c>
      <x:c r="K229" s="277" t="s">
        <x:v>118</x:v>
      </x:c>
      <x:c r="L229" s="277" t="s">
        <x:v>118</x:v>
      </x:c>
      <x:c r="M229" s="277" t="s">
        <x:v>118</x:v>
      </x:c>
      <x:c r="N229" s="277" t="s">
        <x:v>118</x:v>
      </x:c>
      <x:c r="O229" s="277" t="s">
        <x:v>118</x:v>
      </x:c>
      <x:c r="P229" s="277" t="s">
        <x:v>118</x:v>
      </x:c>
      <x:c r="Q229" s="277" t="s">
        <x:v>118</x:v>
      </x:c>
      <x:c r="R229" s="277" t="s">
        <x:v>118</x:v>
      </x:c>
      <x:c r="S229" s="277" t="s">
        <x:v>118</x:v>
      </x:c>
      <x:c r="T229" s="277" t="s">
        <x:v>118</x:v>
      </x:c>
      <x:c r="U229" s="277" t="s">
        <x:v>118</x:v>
      </x:c>
      <x:c r="V229" s="277" t="s">
        <x:v>118</x:v>
      </x:c>
      <x:c r="W229" s="277" t="s">
        <x:v>118</x:v>
      </x:c>
      <x:c r="X229" s="277" t="s">
        <x:v>118</x:v>
      </x:c>
      <x:c r="Y229" s="277" t="s">
        <x:v>118</x:v>
      </x:c>
      <x:c r="Z229" s="277" t="s">
        <x:v>118</x:v>
      </x:c>
      <x:c r="AA229" s="277" t="s">
        <x:v>118</x:v>
      </x:c>
      <x:c r="AB229" s="277" t="s">
        <x:v>118</x:v>
      </x:c>
      <x:c r="AC229" s="277" t="s">
        <x:v>118</x:v>
      </x:c>
      <x:c r="AD229" s="277" t="s">
        <x:v>118</x:v>
      </x:c>
      <x:c r="AE229" s="277" t="s">
        <x:v>118</x:v>
      </x:c>
      <x:c r="AF229" s="277" t="s">
        <x:v>118</x:v>
      </x:c>
      <x:c r="AG229" s="277" t="s">
        <x:v>118</x:v>
      </x:c>
      <x:c r="AH229" s="277" t="s">
        <x:v>118</x:v>
      </x:c>
      <x:c r="AI229" s="277" t="s">
        <x:v>118</x:v>
      </x:c>
      <x:c r="AJ229" s="277" t="s">
        <x:v>118</x:v>
      </x:c>
      <x:c r="AK229" s="220">
        <x:f>COUNTIF(F229:AJ229,"X")</x:f>
      </x:c>
      <x:c r="AL229" s="221"/>
      <x:c r="AM229" s="221"/>
      <x:c r="AN229" s="222"/>
      <x:c r="AO229" s="222"/>
      <x:c r="AP229" s="228"/>
      <x:c r="AQ229" s="228"/>
      <x:c r="AR229" s="228"/>
      <x:c r="AS229" s="228"/>
      <x:c r="AT229" s="230"/>
    </x:row>
    <x:row r="230" spans="1:47" ht="15" customHeight="1">
      <x:c r="A230" s="282" t="s">
        <x:v>2412</x:v>
      </x:c>
      <x:c r="B230" s="216"/>
      <x:c r="C230" s="283" t="s">
        <x:v>2413</x:v>
      </x:c>
      <x:c r="D230" s="282" t="s">
        <x:v>2414</x:v>
      </x:c>
      <x:c r="E230" s="282" t="s">
        <x:v>2415</x:v>
      </x:c>
      <x:c r="F230" s="277" t="s">
        <x:v>118</x:v>
      </x:c>
      <x:c r="G230" s="277" t="s">
        <x:v>118</x:v>
      </x:c>
      <x:c r="H230" s="277" t="s">
        <x:v>118</x:v>
      </x:c>
      <x:c r="I230" s="277" t="s">
        <x:v>118</x:v>
      </x:c>
      <x:c r="J230" s="277" t="s">
        <x:v>118</x:v>
      </x:c>
      <x:c r="K230" s="277" t="s">
        <x:v>118</x:v>
      </x:c>
      <x:c r="L230" s="277" t="s">
        <x:v>118</x:v>
      </x:c>
      <x:c r="M230" s="277" t="s">
        <x:v>118</x:v>
      </x:c>
      <x:c r="N230" s="277" t="s">
        <x:v>118</x:v>
      </x:c>
      <x:c r="O230" s="277" t="s">
        <x:v>118</x:v>
      </x:c>
      <x:c r="P230" s="277" t="s">
        <x:v>118</x:v>
      </x:c>
      <x:c r="Q230" s="277" t="s">
        <x:v>118</x:v>
      </x:c>
      <x:c r="R230" s="277" t="s">
        <x:v>118</x:v>
      </x:c>
      <x:c r="S230" s="277" t="s">
        <x:v>118</x:v>
      </x:c>
      <x:c r="T230" s="277" t="s">
        <x:v>118</x:v>
      </x:c>
      <x:c r="U230" s="277" t="s">
        <x:v>118</x:v>
      </x:c>
      <x:c r="V230" s="277" t="s">
        <x:v>118</x:v>
      </x:c>
      <x:c r="W230" s="277" t="s">
        <x:v>118</x:v>
      </x:c>
      <x:c r="X230" s="277" t="s">
        <x:v>118</x:v>
      </x:c>
      <x:c r="Y230" s="277" t="s">
        <x:v>118</x:v>
      </x:c>
      <x:c r="Z230" s="277" t="s">
        <x:v>118</x:v>
      </x:c>
      <x:c r="AA230" s="277" t="s">
        <x:v>118</x:v>
      </x:c>
      <x:c r="AB230" s="277" t="s">
        <x:v>118</x:v>
      </x:c>
      <x:c r="AC230" s="277" t="s">
        <x:v>118</x:v>
      </x:c>
      <x:c r="AD230" s="277" t="s">
        <x:v>118</x:v>
      </x:c>
      <x:c r="AE230" s="277" t="s">
        <x:v>118</x:v>
      </x:c>
      <x:c r="AF230" s="277" t="s">
        <x:v>118</x:v>
      </x:c>
      <x:c r="AG230" s="277" t="s">
        <x:v>118</x:v>
      </x:c>
      <x:c r="AH230" s="277" t="s">
        <x:v>118</x:v>
      </x:c>
      <x:c r="AI230" s="277" t="s">
        <x:v>118</x:v>
      </x:c>
      <x:c r="AJ230" s="277" t="s">
        <x:v>118</x:v>
      </x:c>
      <x:c r="AK230" s="220">
        <x:f>COUNTIF(F230:AJ230,"X")</x:f>
      </x:c>
      <x:c r="AL230" s="221"/>
      <x:c r="AM230" s="221"/>
      <x:c r="AN230" s="222"/>
      <x:c r="AO230" s="222"/>
      <x:c r="AP230" s="228"/>
      <x:c r="AQ230" s="228"/>
      <x:c r="AR230" s="228"/>
      <x:c r="AS230" s="228"/>
      <x:c r="AT230" s="233"/>
    </x:row>
    <x:row r="231" spans="1:47" ht="15" customHeight="1">
      <x:c r="A231" s="282" t="s">
        <x:v>2416</x:v>
      </x:c>
      <x:c r="B231" s="216"/>
      <x:c r="C231" s="283" t="s">
        <x:v>2417</x:v>
      </x:c>
      <x:c r="D231" s="282" t="s">
        <x:v>2418</x:v>
      </x:c>
      <x:c r="E231" s="282" t="s">
        <x:v>2419</x:v>
      </x:c>
      <x:c r="F231" s="277" t="s">
        <x:v>118</x:v>
      </x:c>
      <x:c r="G231" s="277" t="s">
        <x:v>118</x:v>
      </x:c>
      <x:c r="H231" s="277" t="s">
        <x:v>118</x:v>
      </x:c>
      <x:c r="I231" s="277" t="s">
        <x:v>118</x:v>
      </x:c>
      <x:c r="J231" s="277" t="s">
        <x:v>118</x:v>
      </x:c>
      <x:c r="K231" s="277" t="s">
        <x:v>118</x:v>
      </x:c>
      <x:c r="L231" s="277" t="s">
        <x:v>118</x:v>
      </x:c>
      <x:c r="M231" s="277" t="s">
        <x:v>118</x:v>
      </x:c>
      <x:c r="N231" s="277" t="s">
        <x:v>118</x:v>
      </x:c>
      <x:c r="O231" s="277" t="s">
        <x:v>118</x:v>
      </x:c>
      <x:c r="P231" s="277" t="s">
        <x:v>118</x:v>
      </x:c>
      <x:c r="Q231" s="277" t="s">
        <x:v>118</x:v>
      </x:c>
      <x:c r="R231" s="277" t="s">
        <x:v>118</x:v>
      </x:c>
      <x:c r="S231" s="277" t="s">
        <x:v>118</x:v>
      </x:c>
      <x:c r="T231" s="277" t="s">
        <x:v>118</x:v>
      </x:c>
      <x:c r="U231" s="277" t="s">
        <x:v>118</x:v>
      </x:c>
      <x:c r="V231" s="277" t="s">
        <x:v>118</x:v>
      </x:c>
      <x:c r="W231" s="277" t="s">
        <x:v>118</x:v>
      </x:c>
      <x:c r="X231" s="277" t="s">
        <x:v>118</x:v>
      </x:c>
      <x:c r="Y231" s="277" t="s">
        <x:v>118</x:v>
      </x:c>
      <x:c r="Z231" s="277" t="s">
        <x:v>118</x:v>
      </x:c>
      <x:c r="AA231" s="277" t="s">
        <x:v>118</x:v>
      </x:c>
      <x:c r="AB231" s="277" t="s">
        <x:v>118</x:v>
      </x:c>
      <x:c r="AC231" s="277" t="s">
        <x:v>118</x:v>
      </x:c>
      <x:c r="AD231" s="277" t="s">
        <x:v>118</x:v>
      </x:c>
      <x:c r="AE231" s="277" t="s">
        <x:v>118</x:v>
      </x:c>
      <x:c r="AF231" s="277" t="s">
        <x:v>118</x:v>
      </x:c>
      <x:c r="AG231" s="277" t="s">
        <x:v>118</x:v>
      </x:c>
      <x:c r="AH231" s="277" t="s">
        <x:v>118</x:v>
      </x:c>
      <x:c r="AI231" s="277" t="s">
        <x:v>118</x:v>
      </x:c>
      <x:c r="AJ231" s="277" t="s">
        <x:v>118</x:v>
      </x:c>
      <x:c r="AK231" s="220">
        <x:f>COUNTIF(F231:AJ231,"X")</x:f>
      </x:c>
      <x:c r="AL231" s="221"/>
      <x:c r="AM231" s="221"/>
      <x:c r="AN231" s="222"/>
      <x:c r="AO231" s="222"/>
      <x:c r="AP231" s="228"/>
      <x:c r="AQ231" s="228"/>
      <x:c r="AR231" s="228"/>
      <x:c r="AS231" s="228"/>
      <x:c r="AT231" s="230"/>
    </x:row>
    <x:row r="232" spans="1:47" ht="15" customHeight="1">
      <x:c r="A232" s="282" t="s">
        <x:v>2420</x:v>
      </x:c>
      <x:c r="B232" s="216"/>
      <x:c r="C232" s="283" t="s">
        <x:v>2421</x:v>
      </x:c>
      <x:c r="D232" s="282" t="s">
        <x:v>2422</x:v>
      </x:c>
      <x:c r="E232" s="282" t="s">
        <x:v>2423</x:v>
      </x:c>
      <x:c r="F232" s="277" t="s">
        <x:v>118</x:v>
      </x:c>
      <x:c r="G232" s="277" t="s">
        <x:v>118</x:v>
      </x:c>
      <x:c r="H232" s="277" t="s">
        <x:v>118</x:v>
      </x:c>
      <x:c r="I232" s="277" t="s">
        <x:v>118</x:v>
      </x:c>
      <x:c r="J232" s="277" t="s">
        <x:v>118</x:v>
      </x:c>
      <x:c r="K232" s="277" t="s">
        <x:v>118</x:v>
      </x:c>
      <x:c r="L232" s="277" t="s">
        <x:v>118</x:v>
      </x:c>
      <x:c r="M232" s="277" t="s">
        <x:v>118</x:v>
      </x:c>
      <x:c r="N232" s="277" t="s">
        <x:v>118</x:v>
      </x:c>
      <x:c r="O232" s="277" t="s">
        <x:v>118</x:v>
      </x:c>
      <x:c r="P232" s="277" t="s">
        <x:v>118</x:v>
      </x:c>
      <x:c r="Q232" s="277" t="s">
        <x:v>118</x:v>
      </x:c>
      <x:c r="R232" s="277" t="s">
        <x:v>118</x:v>
      </x:c>
      <x:c r="S232" s="277" t="s">
        <x:v>118</x:v>
      </x:c>
      <x:c r="T232" s="277" t="s">
        <x:v>118</x:v>
      </x:c>
      <x:c r="U232" s="277" t="s">
        <x:v>118</x:v>
      </x:c>
      <x:c r="V232" s="277" t="s">
        <x:v>118</x:v>
      </x:c>
      <x:c r="W232" s="277" t="s">
        <x:v>118</x:v>
      </x:c>
      <x:c r="X232" s="277" t="s">
        <x:v>118</x:v>
      </x:c>
      <x:c r="Y232" s="277" t="s">
        <x:v>118</x:v>
      </x:c>
      <x:c r="Z232" s="277" t="s">
        <x:v>118</x:v>
      </x:c>
      <x:c r="AA232" s="277" t="s">
        <x:v>118</x:v>
      </x:c>
      <x:c r="AB232" s="277" t="s">
        <x:v>118</x:v>
      </x:c>
      <x:c r="AC232" s="277" t="s">
        <x:v>118</x:v>
      </x:c>
      <x:c r="AD232" s="277" t="s">
        <x:v>118</x:v>
      </x:c>
      <x:c r="AE232" s="277" t="s">
        <x:v>118</x:v>
      </x:c>
      <x:c r="AF232" s="277" t="s">
        <x:v>118</x:v>
      </x:c>
      <x:c r="AG232" s="277" t="s">
        <x:v>118</x:v>
      </x:c>
      <x:c r="AH232" s="277" t="s">
        <x:v>118</x:v>
      </x:c>
      <x:c r="AI232" s="277" t="s">
        <x:v>118</x:v>
      </x:c>
      <x:c r="AJ232" s="277" t="s">
        <x:v>118</x:v>
      </x:c>
      <x:c r="AK232" s="220">
        <x:f>COUNTIF(F232:AJ232,"X")</x:f>
      </x:c>
      <x:c r="AL232" s="221"/>
      <x:c r="AM232" s="221"/>
      <x:c r="AN232" s="222"/>
      <x:c r="AO232" s="222"/>
      <x:c r="AP232" s="228"/>
      <x:c r="AQ232" s="228"/>
      <x:c r="AR232" s="228"/>
      <x:c r="AS232" s="228"/>
      <x:c r="AT232" s="230"/>
    </x:row>
    <x:row r="233" spans="1:47" ht="15" customHeight="1">
      <x:c r="A233" s="282" t="s">
        <x:v>2424</x:v>
      </x:c>
      <x:c r="B233" s="216"/>
      <x:c r="C233" s="283" t="s">
        <x:v>2425</x:v>
      </x:c>
      <x:c r="D233" s="282" t="s">
        <x:v>577</x:v>
      </x:c>
      <x:c r="E233" s="282" t="s">
        <x:v>2426</x:v>
      </x:c>
      <x:c r="F233" s="281" t="s">
        <x:v>118</x:v>
      </x:c>
      <x:c r="G233" s="281" t="s">
        <x:v>118</x:v>
      </x:c>
      <x:c r="H233" s="281" t="s">
        <x:v>118</x:v>
      </x:c>
      <x:c r="I233" s="281" t="s">
        <x:v>118</x:v>
      </x:c>
      <x:c r="J233" s="281" t="s">
        <x:v>118</x:v>
      </x:c>
      <x:c r="K233" s="281" t="s">
        <x:v>118</x:v>
      </x:c>
      <x:c r="L233" s="281" t="s">
        <x:v>118</x:v>
      </x:c>
      <x:c r="M233" s="281" t="s">
        <x:v>118</x:v>
      </x:c>
      <x:c r="N233" s="281" t="s">
        <x:v>118</x:v>
      </x:c>
      <x:c r="O233" s="281" t="s">
        <x:v>118</x:v>
      </x:c>
      <x:c r="P233" s="281" t="s">
        <x:v>118</x:v>
      </x:c>
      <x:c r="Q233" s="281" t="s">
        <x:v>118</x:v>
      </x:c>
      <x:c r="R233" s="281" t="s">
        <x:v>118</x:v>
      </x:c>
      <x:c r="S233" s="281" t="s">
        <x:v>118</x:v>
      </x:c>
      <x:c r="T233" s="281" t="s">
        <x:v>118</x:v>
      </x:c>
      <x:c r="U233" s="281" t="s">
        <x:v>118</x:v>
      </x:c>
      <x:c r="V233" s="281" t="s">
        <x:v>118</x:v>
      </x:c>
      <x:c r="W233" s="281" t="s">
        <x:v>118</x:v>
      </x:c>
      <x:c r="X233" s="281" t="s">
        <x:v>118</x:v>
      </x:c>
      <x:c r="Y233" s="281" t="s">
        <x:v>118</x:v>
      </x:c>
      <x:c r="Z233" s="281" t="s">
        <x:v>118</x:v>
      </x:c>
      <x:c r="AA233" s="281" t="s">
        <x:v>118</x:v>
      </x:c>
      <x:c r="AB233" s="281" t="s">
        <x:v>118</x:v>
      </x:c>
      <x:c r="AC233" s="281" t="s">
        <x:v>118</x:v>
      </x:c>
      <x:c r="AD233" s="281" t="s">
        <x:v>118</x:v>
      </x:c>
      <x:c r="AE233" s="281" t="s">
        <x:v>118</x:v>
      </x:c>
      <x:c r="AF233" s="281" t="s">
        <x:v>118</x:v>
      </x:c>
      <x:c r="AG233" s="281" t="s">
        <x:v>118</x:v>
      </x:c>
      <x:c r="AH233" s="281" t="s">
        <x:v>118</x:v>
      </x:c>
      <x:c r="AI233" s="281" t="s">
        <x:v>118</x:v>
      </x:c>
      <x:c r="AJ233" s="281" t="s">
        <x:v>118</x:v>
      </x:c>
      <x:c r="AK233" s="220">
        <x:f>COUNTIF(F233:AJ233,"X")</x:f>
      </x:c>
      <x:c r="AL233" s="221"/>
      <x:c r="AM233" s="221"/>
      <x:c r="AN233" s="222"/>
      <x:c r="AO233" s="222"/>
      <x:c r="AP233" s="228"/>
      <x:c r="AQ233" s="228"/>
      <x:c r="AR233" s="228"/>
      <x:c r="AS233" s="228"/>
      <x:c r="AT233" s="230"/>
    </x:row>
    <x:row r="234" spans="1:47" ht="15" customHeight="1">
      <x:c r="A234" s="282" t="s">
        <x:v>2427</x:v>
      </x:c>
      <x:c r="B234" s="216"/>
      <x:c r="C234" s="283" t="s">
        <x:v>2428</x:v>
      </x:c>
      <x:c r="D234" s="282" t="s">
        <x:v>588</x:v>
      </x:c>
      <x:c r="E234" s="282" t="s">
        <x:v>2107</x:v>
      </x:c>
      <x:c r="F234" s="281" t="s">
        <x:v>118</x:v>
      </x:c>
      <x:c r="G234" s="281" t="s">
        <x:v>118</x:v>
      </x:c>
      <x:c r="H234" s="281" t="s">
        <x:v>118</x:v>
      </x:c>
      <x:c r="I234" s="281" t="s">
        <x:v>118</x:v>
      </x:c>
      <x:c r="J234" s="281" t="s">
        <x:v>118</x:v>
      </x:c>
      <x:c r="K234" s="281" t="s">
        <x:v>118</x:v>
      </x:c>
      <x:c r="L234" s="281" t="s">
        <x:v>118</x:v>
      </x:c>
      <x:c r="M234" s="281" t="s">
        <x:v>118</x:v>
      </x:c>
      <x:c r="N234" s="281" t="s">
        <x:v>118</x:v>
      </x:c>
      <x:c r="O234" s="281" t="s">
        <x:v>118</x:v>
      </x:c>
      <x:c r="P234" s="281" t="s">
        <x:v>118</x:v>
      </x:c>
      <x:c r="Q234" s="281" t="s">
        <x:v>118</x:v>
      </x:c>
      <x:c r="R234" s="281" t="s">
        <x:v>118</x:v>
      </x:c>
      <x:c r="S234" s="281" t="s">
        <x:v>118</x:v>
      </x:c>
      <x:c r="T234" s="281" t="s">
        <x:v>118</x:v>
      </x:c>
      <x:c r="U234" s="281" t="s">
        <x:v>118</x:v>
      </x:c>
      <x:c r="V234" s="281" t="s">
        <x:v>118</x:v>
      </x:c>
      <x:c r="W234" s="281" t="s">
        <x:v>118</x:v>
      </x:c>
      <x:c r="X234" s="281" t="s">
        <x:v>118</x:v>
      </x:c>
      <x:c r="Y234" s="281" t="s">
        <x:v>118</x:v>
      </x:c>
      <x:c r="Z234" s="281" t="s">
        <x:v>118</x:v>
      </x:c>
      <x:c r="AA234" s="281" t="s">
        <x:v>118</x:v>
      </x:c>
      <x:c r="AB234" s="281" t="s">
        <x:v>118</x:v>
      </x:c>
      <x:c r="AC234" s="281" t="s">
        <x:v>118</x:v>
      </x:c>
      <x:c r="AD234" s="281" t="s">
        <x:v>118</x:v>
      </x:c>
      <x:c r="AE234" s="281" t="s">
        <x:v>118</x:v>
      </x:c>
      <x:c r="AF234" s="281" t="s">
        <x:v>118</x:v>
      </x:c>
      <x:c r="AG234" s="281" t="s">
        <x:v>118</x:v>
      </x:c>
      <x:c r="AH234" s="281" t="s">
        <x:v>118</x:v>
      </x:c>
      <x:c r="AI234" s="281" t="s">
        <x:v>118</x:v>
      </x:c>
      <x:c r="AJ234" s="281" t="s">
        <x:v>118</x:v>
      </x:c>
      <x:c r="AK234" s="220">
        <x:f>COUNTIF(F234:AJ234,"X")</x:f>
      </x:c>
      <x:c r="AL234" s="221"/>
      <x:c r="AM234" s="221"/>
      <x:c r="AN234" s="222"/>
      <x:c r="AO234" s="222"/>
      <x:c r="AP234" s="228"/>
      <x:c r="AQ234" s="228"/>
      <x:c r="AR234" s="228"/>
      <x:c r="AS234" s="228"/>
      <x:c r="AT234" s="230"/>
    </x:row>
    <x:row r="235" spans="1:47" ht="15" customHeight="1">
      <x:c r="A235" s="282" t="s">
        <x:v>2429</x:v>
      </x:c>
      <x:c r="B235" s="216"/>
      <x:c r="C235" s="283" t="s">
        <x:v>2430</x:v>
      </x:c>
      <x:c r="D235" s="282" t="s">
        <x:v>588</x:v>
      </x:c>
      <x:c r="E235" s="282" t="s">
        <x:v>2431</x:v>
      </x:c>
      <x:c r="F235" s="277" t="s">
        <x:v>118</x:v>
      </x:c>
      <x:c r="G235" s="277" t="s">
        <x:v>118</x:v>
      </x:c>
      <x:c r="H235" s="277" t="s">
        <x:v>118</x:v>
      </x:c>
      <x:c r="I235" s="277" t="s">
        <x:v>118</x:v>
      </x:c>
      <x:c r="J235" s="277" t="s">
        <x:v>118</x:v>
      </x:c>
      <x:c r="K235" s="277" t="s">
        <x:v>118</x:v>
      </x:c>
      <x:c r="L235" s="277" t="s">
        <x:v>118</x:v>
      </x:c>
      <x:c r="M235" s="277" t="s">
        <x:v>118</x:v>
      </x:c>
      <x:c r="N235" s="277" t="s">
        <x:v>118</x:v>
      </x:c>
      <x:c r="O235" s="277" t="s">
        <x:v>118</x:v>
      </x:c>
      <x:c r="P235" s="277" t="s">
        <x:v>118</x:v>
      </x:c>
      <x:c r="Q235" s="277" t="s">
        <x:v>118</x:v>
      </x:c>
      <x:c r="R235" s="277" t="s">
        <x:v>118</x:v>
      </x:c>
      <x:c r="S235" s="277" t="s">
        <x:v>118</x:v>
      </x:c>
      <x:c r="T235" s="277" t="s">
        <x:v>118</x:v>
      </x:c>
      <x:c r="U235" s="277" t="s">
        <x:v>118</x:v>
      </x:c>
      <x:c r="V235" s="277" t="s">
        <x:v>118</x:v>
      </x:c>
      <x:c r="W235" s="277" t="s">
        <x:v>118</x:v>
      </x:c>
      <x:c r="X235" s="277" t="s">
        <x:v>118</x:v>
      </x:c>
      <x:c r="Y235" s="277" t="s">
        <x:v>118</x:v>
      </x:c>
      <x:c r="Z235" s="277" t="s">
        <x:v>118</x:v>
      </x:c>
      <x:c r="AA235" s="277" t="s">
        <x:v>118</x:v>
      </x:c>
      <x:c r="AB235" s="277" t="s">
        <x:v>118</x:v>
      </x:c>
      <x:c r="AC235" s="277" t="s">
        <x:v>118</x:v>
      </x:c>
      <x:c r="AD235" s="277" t="s">
        <x:v>118</x:v>
      </x:c>
      <x:c r="AE235" s="277" t="s">
        <x:v>118</x:v>
      </x:c>
      <x:c r="AF235" s="277" t="s">
        <x:v>118</x:v>
      </x:c>
      <x:c r="AG235" s="277" t="s">
        <x:v>118</x:v>
      </x:c>
      <x:c r="AH235" s="277" t="s">
        <x:v>118</x:v>
      </x:c>
      <x:c r="AI235" s="277" t="s">
        <x:v>118</x:v>
      </x:c>
      <x:c r="AJ235" s="277" t="s">
        <x:v>118</x:v>
      </x:c>
      <x:c r="AK235" s="220">
        <x:f>COUNTIF(F235:AJ235,"X")</x:f>
      </x:c>
      <x:c r="AL235" s="221"/>
      <x:c r="AM235" s="221"/>
      <x:c r="AN235" s="222"/>
      <x:c r="AO235" s="222"/>
      <x:c r="AP235" s="228"/>
      <x:c r="AQ235" s="228"/>
      <x:c r="AR235" s="228"/>
      <x:c r="AS235" s="228"/>
      <x:c r="AT235" s="230"/>
    </x:row>
    <x:row r="236" spans="1:47" ht="15" customHeight="1">
      <x:c r="A236" s="282" t="s">
        <x:v>2432</x:v>
      </x:c>
      <x:c r="B236" s="216"/>
      <x:c r="C236" s="283" t="s">
        <x:v>2433</x:v>
      </x:c>
      <x:c r="D236" s="282" t="s">
        <x:v>2434</x:v>
      </x:c>
      <x:c r="E236" s="282" t="s">
        <x:v>147</x:v>
      </x:c>
      <x:c r="F236" s="281" t="s">
        <x:v>118</x:v>
      </x:c>
      <x:c r="G236" s="281" t="s">
        <x:v>118</x:v>
      </x:c>
      <x:c r="H236" s="281" t="s">
        <x:v>118</x:v>
      </x:c>
      <x:c r="I236" s="281" t="s">
        <x:v>118</x:v>
      </x:c>
      <x:c r="J236" s="281" t="s">
        <x:v>118</x:v>
      </x:c>
      <x:c r="K236" s="281" t="s">
        <x:v>118</x:v>
      </x:c>
      <x:c r="L236" s="281" t="s">
        <x:v>118</x:v>
      </x:c>
      <x:c r="M236" s="281" t="s">
        <x:v>118</x:v>
      </x:c>
      <x:c r="N236" s="281" t="s">
        <x:v>118</x:v>
      </x:c>
      <x:c r="O236" s="281" t="s">
        <x:v>118</x:v>
      </x:c>
      <x:c r="P236" s="281" t="s">
        <x:v>118</x:v>
      </x:c>
      <x:c r="Q236" s="281" t="s">
        <x:v>118</x:v>
      </x:c>
      <x:c r="R236" s="281" t="s">
        <x:v>118</x:v>
      </x:c>
      <x:c r="S236" s="281" t="s">
        <x:v>118</x:v>
      </x:c>
      <x:c r="T236" s="281" t="s">
        <x:v>118</x:v>
      </x:c>
      <x:c r="U236" s="281" t="s">
        <x:v>118</x:v>
      </x:c>
      <x:c r="V236" s="281" t="s">
        <x:v>118</x:v>
      </x:c>
      <x:c r="W236" s="281" t="s">
        <x:v>118</x:v>
      </x:c>
      <x:c r="X236" s="281" t="s">
        <x:v>118</x:v>
      </x:c>
      <x:c r="Y236" s="281" t="s">
        <x:v>118</x:v>
      </x:c>
      <x:c r="Z236" s="281" t="s">
        <x:v>118</x:v>
      </x:c>
      <x:c r="AA236" s="281" t="s">
        <x:v>118</x:v>
      </x:c>
      <x:c r="AB236" s="281" t="s">
        <x:v>118</x:v>
      </x:c>
      <x:c r="AC236" s="281" t="s">
        <x:v>118</x:v>
      </x:c>
      <x:c r="AD236" s="281" t="s">
        <x:v>118</x:v>
      </x:c>
      <x:c r="AE236" s="281" t="s">
        <x:v>118</x:v>
      </x:c>
      <x:c r="AF236" s="281" t="s">
        <x:v>118</x:v>
      </x:c>
      <x:c r="AG236" s="281" t="s">
        <x:v>118</x:v>
      </x:c>
      <x:c r="AH236" s="281" t="s">
        <x:v>118</x:v>
      </x:c>
      <x:c r="AI236" s="281" t="s">
        <x:v>118</x:v>
      </x:c>
      <x:c r="AJ236" s="281" t="s">
        <x:v>118</x:v>
      </x:c>
      <x:c r="AK236" s="220">
        <x:f>COUNTIF(F236:AJ236,"X")</x:f>
      </x:c>
      <x:c r="AL236" s="221"/>
      <x:c r="AM236" s="221"/>
      <x:c r="AN236" s="222"/>
      <x:c r="AO236" s="222"/>
      <x:c r="AP236" s="228"/>
      <x:c r="AQ236" s="228"/>
      <x:c r="AR236" s="228"/>
      <x:c r="AS236" s="228"/>
      <x:c r="AT236" s="230"/>
    </x:row>
    <x:row r="237" spans="1:47" ht="15" customHeight="1">
      <x:c r="A237" s="282" t="s">
        <x:v>2435</x:v>
      </x:c>
      <x:c r="B237" s="216"/>
      <x:c r="C237" s="283" t="s">
        <x:v>2436</x:v>
      </x:c>
      <x:c r="D237" s="282" t="s">
        <x:v>2437</x:v>
      </x:c>
      <x:c r="E237" s="282" t="s">
        <x:v>185</x:v>
      </x:c>
      <x:c r="F237" s="281" t="s">
        <x:v>118</x:v>
      </x:c>
      <x:c r="G237" s="281" t="s">
        <x:v>118</x:v>
      </x:c>
      <x:c r="H237" s="281" t="s">
        <x:v>118</x:v>
      </x:c>
      <x:c r="I237" s="281" t="s">
        <x:v>118</x:v>
      </x:c>
      <x:c r="J237" s="281" t="s">
        <x:v>118</x:v>
      </x:c>
      <x:c r="K237" s="281" t="s">
        <x:v>118</x:v>
      </x:c>
      <x:c r="L237" s="281" t="s">
        <x:v>118</x:v>
      </x:c>
      <x:c r="M237" s="281" t="s">
        <x:v>118</x:v>
      </x:c>
      <x:c r="N237" s="281" t="s">
        <x:v>118</x:v>
      </x:c>
      <x:c r="O237" s="281" t="s">
        <x:v>118</x:v>
      </x:c>
      <x:c r="P237" s="281" t="s">
        <x:v>118</x:v>
      </x:c>
      <x:c r="Q237" s="281" t="s">
        <x:v>118</x:v>
      </x:c>
      <x:c r="R237" s="281" t="s">
        <x:v>118</x:v>
      </x:c>
      <x:c r="S237" s="281" t="s">
        <x:v>118</x:v>
      </x:c>
      <x:c r="T237" s="281" t="s">
        <x:v>118</x:v>
      </x:c>
      <x:c r="U237" s="281" t="s">
        <x:v>118</x:v>
      </x:c>
      <x:c r="V237" s="281" t="s">
        <x:v>118</x:v>
      </x:c>
      <x:c r="W237" s="281" t="s">
        <x:v>118</x:v>
      </x:c>
      <x:c r="X237" s="281" t="s">
        <x:v>118</x:v>
      </x:c>
      <x:c r="Y237" s="281" t="s">
        <x:v>118</x:v>
      </x:c>
      <x:c r="Z237" s="281" t="s">
        <x:v>118</x:v>
      </x:c>
      <x:c r="AA237" s="281" t="s">
        <x:v>118</x:v>
      </x:c>
      <x:c r="AB237" s="281" t="s">
        <x:v>118</x:v>
      </x:c>
      <x:c r="AC237" s="281" t="s">
        <x:v>118</x:v>
      </x:c>
      <x:c r="AD237" s="281" t="s">
        <x:v>118</x:v>
      </x:c>
      <x:c r="AE237" s="281" t="s">
        <x:v>118</x:v>
      </x:c>
      <x:c r="AF237" s="281" t="s">
        <x:v>118</x:v>
      </x:c>
      <x:c r="AG237" s="281" t="s">
        <x:v>118</x:v>
      </x:c>
      <x:c r="AH237" s="281" t="s">
        <x:v>118</x:v>
      </x:c>
      <x:c r="AI237" s="281" t="s">
        <x:v>118</x:v>
      </x:c>
      <x:c r="AJ237" s="281" t="s">
        <x:v>118</x:v>
      </x:c>
      <x:c r="AK237" s="220">
        <x:f>COUNTIF(F237:AJ237,"X")</x:f>
      </x:c>
      <x:c r="AL237" s="221"/>
      <x:c r="AM237" s="221"/>
      <x:c r="AN237" s="222"/>
      <x:c r="AO237" s="222"/>
      <x:c r="AP237" s="228"/>
      <x:c r="AQ237" s="228"/>
      <x:c r="AR237" s="228"/>
      <x:c r="AS237" s="228"/>
      <x:c r="AT237" s="230"/>
    </x:row>
    <x:row r="238" spans="1:47" ht="15" customHeight="1">
      <x:c r="A238" s="282" t="s">
        <x:v>2438</x:v>
      </x:c>
      <x:c r="B238" s="216"/>
      <x:c r="C238" s="283" t="s">
        <x:v>2439</x:v>
      </x:c>
      <x:c r="D238" s="282" t="s">
        <x:v>2440</x:v>
      </x:c>
      <x:c r="E238" s="282" t="s">
        <x:v>2441</x:v>
      </x:c>
      <x:c r="F238" s="277" t="s">
        <x:v>118</x:v>
      </x:c>
      <x:c r="G238" s="277" t="s">
        <x:v>118</x:v>
      </x:c>
      <x:c r="H238" s="277" t="s">
        <x:v>118</x:v>
      </x:c>
      <x:c r="I238" s="277" t="s">
        <x:v>118</x:v>
      </x:c>
      <x:c r="J238" s="277" t="s">
        <x:v>118</x:v>
      </x:c>
      <x:c r="K238" s="277" t="s">
        <x:v>118</x:v>
      </x:c>
      <x:c r="L238" s="277" t="s">
        <x:v>118</x:v>
      </x:c>
      <x:c r="M238" s="277" t="s">
        <x:v>118</x:v>
      </x:c>
      <x:c r="N238" s="277" t="s">
        <x:v>118</x:v>
      </x:c>
      <x:c r="O238" s="277" t="s">
        <x:v>118</x:v>
      </x:c>
      <x:c r="P238" s="277" t="s">
        <x:v>118</x:v>
      </x:c>
      <x:c r="Q238" s="277" t="s">
        <x:v>118</x:v>
      </x:c>
      <x:c r="R238" s="277" t="s">
        <x:v>118</x:v>
      </x:c>
      <x:c r="S238" s="277" t="s">
        <x:v>118</x:v>
      </x:c>
      <x:c r="T238" s="277" t="s">
        <x:v>118</x:v>
      </x:c>
      <x:c r="U238" s="277" t="s">
        <x:v>118</x:v>
      </x:c>
      <x:c r="V238" s="277" t="s">
        <x:v>118</x:v>
      </x:c>
      <x:c r="W238" s="277" t="s">
        <x:v>118</x:v>
      </x:c>
      <x:c r="X238" s="277" t="s">
        <x:v>118</x:v>
      </x:c>
      <x:c r="Y238" s="277" t="s">
        <x:v>118</x:v>
      </x:c>
      <x:c r="Z238" s="277" t="s">
        <x:v>118</x:v>
      </x:c>
      <x:c r="AA238" s="277" t="s">
        <x:v>118</x:v>
      </x:c>
      <x:c r="AB238" s="277" t="s">
        <x:v>118</x:v>
      </x:c>
      <x:c r="AC238" s="277" t="s">
        <x:v>118</x:v>
      </x:c>
      <x:c r="AD238" s="277" t="s">
        <x:v>118</x:v>
      </x:c>
      <x:c r="AE238" s="277" t="s">
        <x:v>118</x:v>
      </x:c>
      <x:c r="AF238" s="277" t="s">
        <x:v>118</x:v>
      </x:c>
      <x:c r="AG238" s="277" t="s">
        <x:v>118</x:v>
      </x:c>
      <x:c r="AH238" s="277" t="s">
        <x:v>118</x:v>
      </x:c>
      <x:c r="AI238" s="277" t="s">
        <x:v>118</x:v>
      </x:c>
      <x:c r="AJ238" s="277" t="s">
        <x:v>118</x:v>
      </x:c>
      <x:c r="AK238" s="220">
        <x:f>COUNTIF(F238:AJ238,"X")</x:f>
      </x:c>
      <x:c r="AL238" s="221"/>
      <x:c r="AM238" s="221"/>
      <x:c r="AN238" s="222"/>
      <x:c r="AO238" s="222"/>
      <x:c r="AP238" s="228"/>
      <x:c r="AQ238" s="228"/>
      <x:c r="AR238" s="228"/>
      <x:c r="AS238" s="228"/>
      <x:c r="AT238" s="230"/>
    </x:row>
    <x:row r="239" spans="1:47" ht="15" customHeight="1">
      <x:c r="A239" s="282" t="s">
        <x:v>2442</x:v>
      </x:c>
      <x:c r="B239" s="216"/>
      <x:c r="C239" s="283" t="s">
        <x:v>2443</x:v>
      </x:c>
      <x:c r="D239" s="282" t="s">
        <x:v>2444</x:v>
      </x:c>
      <x:c r="E239" s="282" t="s">
        <x:v>2445</x:v>
      </x:c>
      <x:c r="F239" s="277" t="s">
        <x:v>118</x:v>
      </x:c>
      <x:c r="G239" s="277" t="s">
        <x:v>118</x:v>
      </x:c>
      <x:c r="H239" s="277" t="s">
        <x:v>118</x:v>
      </x:c>
      <x:c r="I239" s="277" t="s">
        <x:v>118</x:v>
      </x:c>
      <x:c r="J239" s="277" t="s">
        <x:v>118</x:v>
      </x:c>
      <x:c r="K239" s="277" t="s">
        <x:v>118</x:v>
      </x:c>
      <x:c r="L239" s="277" t="s">
        <x:v>118</x:v>
      </x:c>
      <x:c r="M239" s="277" t="s">
        <x:v>118</x:v>
      </x:c>
      <x:c r="N239" s="277" t="s">
        <x:v>118</x:v>
      </x:c>
      <x:c r="O239" s="277" t="s">
        <x:v>118</x:v>
      </x:c>
      <x:c r="P239" s="277" t="s">
        <x:v>118</x:v>
      </x:c>
      <x:c r="Q239" s="277" t="s">
        <x:v>118</x:v>
      </x:c>
      <x:c r="R239" s="277" t="s">
        <x:v>118</x:v>
      </x:c>
      <x:c r="S239" s="277" t="s">
        <x:v>118</x:v>
      </x:c>
      <x:c r="T239" s="277" t="s">
        <x:v>118</x:v>
      </x:c>
      <x:c r="U239" s="277" t="s">
        <x:v>118</x:v>
      </x:c>
      <x:c r="V239" s="277" t="s">
        <x:v>118</x:v>
      </x:c>
      <x:c r="W239" s="277" t="s">
        <x:v>118</x:v>
      </x:c>
      <x:c r="X239" s="277" t="s">
        <x:v>118</x:v>
      </x:c>
      <x:c r="Y239" s="277" t="s">
        <x:v>118</x:v>
      </x:c>
      <x:c r="Z239" s="277" t="s">
        <x:v>118</x:v>
      </x:c>
      <x:c r="AA239" s="277" t="s">
        <x:v>118</x:v>
      </x:c>
      <x:c r="AB239" s="277" t="s">
        <x:v>118</x:v>
      </x:c>
      <x:c r="AC239" s="277" t="s">
        <x:v>118</x:v>
      </x:c>
      <x:c r="AD239" s="277" t="s">
        <x:v>118</x:v>
      </x:c>
      <x:c r="AE239" s="277" t="s">
        <x:v>118</x:v>
      </x:c>
      <x:c r="AF239" s="277" t="s">
        <x:v>118</x:v>
      </x:c>
      <x:c r="AG239" s="277" t="s">
        <x:v>118</x:v>
      </x:c>
      <x:c r="AH239" s="277" t="s">
        <x:v>118</x:v>
      </x:c>
      <x:c r="AI239" s="277" t="s">
        <x:v>118</x:v>
      </x:c>
      <x:c r="AJ239" s="277" t="s">
        <x:v>118</x:v>
      </x:c>
      <x:c r="AK239" s="220">
        <x:f>COUNTIF(F239:AJ239,"X")</x:f>
      </x:c>
      <x:c r="AL239" s="221"/>
      <x:c r="AM239" s="221"/>
      <x:c r="AN239" s="222"/>
      <x:c r="AO239" s="222"/>
      <x:c r="AP239" s="228"/>
      <x:c r="AQ239" s="228"/>
      <x:c r="AR239" s="228"/>
      <x:c r="AS239" s="228"/>
      <x:c r="AT239" s="230"/>
    </x:row>
    <x:row r="240" spans="1:47" ht="15" customHeight="1">
      <x:c r="A240" s="282" t="s">
        <x:v>2446</x:v>
      </x:c>
      <x:c r="B240" s="216"/>
      <x:c r="C240" s="283" t="s">
        <x:v>2447</x:v>
      </x:c>
      <x:c r="D240" s="282" t="s">
        <x:v>2444</x:v>
      </x:c>
      <x:c r="E240" s="282" t="s">
        <x:v>323</x:v>
      </x:c>
      <x:c r="F240" s="281" t="s">
        <x:v>118</x:v>
      </x:c>
      <x:c r="G240" s="281" t="s">
        <x:v>118</x:v>
      </x:c>
      <x:c r="H240" s="281" t="s">
        <x:v>118</x:v>
      </x:c>
      <x:c r="I240" s="281" t="s">
        <x:v>118</x:v>
      </x:c>
      <x:c r="J240" s="281" t="s">
        <x:v>118</x:v>
      </x:c>
      <x:c r="K240" s="281" t="s">
        <x:v>118</x:v>
      </x:c>
      <x:c r="L240" s="281" t="s">
        <x:v>118</x:v>
      </x:c>
      <x:c r="M240" s="281" t="s">
        <x:v>118</x:v>
      </x:c>
      <x:c r="N240" s="281" t="s">
        <x:v>118</x:v>
      </x:c>
      <x:c r="O240" s="281" t="s">
        <x:v>118</x:v>
      </x:c>
      <x:c r="P240" s="281" t="s">
        <x:v>118</x:v>
      </x:c>
      <x:c r="Q240" s="281" t="s">
        <x:v>118</x:v>
      </x:c>
      <x:c r="R240" s="281" t="s">
        <x:v>118</x:v>
      </x:c>
      <x:c r="S240" s="281" t="s">
        <x:v>118</x:v>
      </x:c>
      <x:c r="T240" s="281" t="s">
        <x:v>118</x:v>
      </x:c>
      <x:c r="U240" s="281" t="s">
        <x:v>118</x:v>
      </x:c>
      <x:c r="V240" s="281" t="s">
        <x:v>118</x:v>
      </x:c>
      <x:c r="W240" s="281" t="s">
        <x:v>118</x:v>
      </x:c>
      <x:c r="X240" s="281" t="s">
        <x:v>118</x:v>
      </x:c>
      <x:c r="Y240" s="281" t="s">
        <x:v>118</x:v>
      </x:c>
      <x:c r="Z240" s="281" t="s">
        <x:v>118</x:v>
      </x:c>
      <x:c r="AA240" s="281" t="s">
        <x:v>118</x:v>
      </x:c>
      <x:c r="AB240" s="281" t="s">
        <x:v>118</x:v>
      </x:c>
      <x:c r="AC240" s="281" t="s">
        <x:v>118</x:v>
      </x:c>
      <x:c r="AD240" s="281" t="s">
        <x:v>118</x:v>
      </x:c>
      <x:c r="AE240" s="281" t="s">
        <x:v>118</x:v>
      </x:c>
      <x:c r="AF240" s="281" t="s">
        <x:v>118</x:v>
      </x:c>
      <x:c r="AG240" s="281" t="s">
        <x:v>118</x:v>
      </x:c>
      <x:c r="AH240" s="281" t="s">
        <x:v>118</x:v>
      </x:c>
      <x:c r="AI240" s="281" t="s">
        <x:v>118</x:v>
      </x:c>
      <x:c r="AJ240" s="281" t="s">
        <x:v>118</x:v>
      </x:c>
      <x:c r="AK240" s="220">
        <x:f>COUNTIF(F240:AJ240,"X")</x:f>
      </x:c>
      <x:c r="AL240" s="221"/>
      <x:c r="AM240" s="221"/>
      <x:c r="AN240" s="222"/>
      <x:c r="AO240" s="222"/>
      <x:c r="AP240" s="228"/>
      <x:c r="AQ240" s="228"/>
      <x:c r="AR240" s="228"/>
      <x:c r="AS240" s="228"/>
      <x:c r="AT240" s="233"/>
    </x:row>
    <x:row r="241" spans="1:47" ht="15" customHeight="1">
      <x:c r="A241" s="282" t="s">
        <x:v>2448</x:v>
      </x:c>
      <x:c r="B241" s="216"/>
      <x:c r="C241" s="283" t="s">
        <x:v>2449</x:v>
      </x:c>
      <x:c r="D241" s="282" t="s">
        <x:v>2450</x:v>
      </x:c>
      <x:c r="E241" s="282" t="s">
        <x:v>2451</x:v>
      </x:c>
      <x:c r="F241" s="277" t="s">
        <x:v>118</x:v>
      </x:c>
      <x:c r="G241" s="277" t="s">
        <x:v>118</x:v>
      </x:c>
      <x:c r="H241" s="277" t="s">
        <x:v>118</x:v>
      </x:c>
      <x:c r="I241" s="277" t="s">
        <x:v>118</x:v>
      </x:c>
      <x:c r="J241" s="277" t="s">
        <x:v>118</x:v>
      </x:c>
      <x:c r="K241" s="277" t="s">
        <x:v>118</x:v>
      </x:c>
      <x:c r="L241" s="277" t="s">
        <x:v>118</x:v>
      </x:c>
      <x:c r="M241" s="277" t="s">
        <x:v>118</x:v>
      </x:c>
      <x:c r="N241" s="277" t="s">
        <x:v>118</x:v>
      </x:c>
      <x:c r="O241" s="277" t="s">
        <x:v>118</x:v>
      </x:c>
      <x:c r="P241" s="277" t="s">
        <x:v>118</x:v>
      </x:c>
      <x:c r="Q241" s="277" t="s">
        <x:v>118</x:v>
      </x:c>
      <x:c r="R241" s="277" t="s">
        <x:v>118</x:v>
      </x:c>
      <x:c r="S241" s="277" t="s">
        <x:v>118</x:v>
      </x:c>
      <x:c r="T241" s="277" t="s">
        <x:v>118</x:v>
      </x:c>
      <x:c r="U241" s="277" t="s">
        <x:v>118</x:v>
      </x:c>
      <x:c r="V241" s="277" t="s">
        <x:v>118</x:v>
      </x:c>
      <x:c r="W241" s="277" t="s">
        <x:v>118</x:v>
      </x:c>
      <x:c r="X241" s="277" t="s">
        <x:v>118</x:v>
      </x:c>
      <x:c r="Y241" s="277" t="s">
        <x:v>118</x:v>
      </x:c>
      <x:c r="Z241" s="277" t="s">
        <x:v>118</x:v>
      </x:c>
      <x:c r="AA241" s="277" t="s">
        <x:v>118</x:v>
      </x:c>
      <x:c r="AB241" s="277" t="s">
        <x:v>118</x:v>
      </x:c>
      <x:c r="AC241" s="277" t="s">
        <x:v>118</x:v>
      </x:c>
      <x:c r="AD241" s="277" t="s">
        <x:v>118</x:v>
      </x:c>
      <x:c r="AE241" s="277" t="s">
        <x:v>118</x:v>
      </x:c>
      <x:c r="AF241" s="277" t="s">
        <x:v>118</x:v>
      </x:c>
      <x:c r="AG241" s="277" t="s">
        <x:v>118</x:v>
      </x:c>
      <x:c r="AH241" s="277" t="s">
        <x:v>118</x:v>
      </x:c>
      <x:c r="AI241" s="277" t="s">
        <x:v>118</x:v>
      </x:c>
      <x:c r="AJ241" s="277" t="s">
        <x:v>118</x:v>
      </x:c>
      <x:c r="AK241" s="220">
        <x:f>COUNTIF(F241:AJ241,"X")</x:f>
      </x:c>
      <x:c r="AL241" s="221"/>
      <x:c r="AM241" s="221"/>
      <x:c r="AN241" s="222"/>
      <x:c r="AO241" s="222"/>
      <x:c r="AP241" s="228"/>
      <x:c r="AQ241" s="228"/>
      <x:c r="AR241" s="228"/>
      <x:c r="AS241" s="228"/>
      <x:c r="AT241" s="230"/>
    </x:row>
    <x:row r="242" spans="1:47" ht="15" customHeight="1">
      <x:c r="A242" s="282" t="s">
        <x:v>2452</x:v>
      </x:c>
      <x:c r="B242" s="216"/>
      <x:c r="C242" s="283" t="s">
        <x:v>2453</x:v>
      </x:c>
      <x:c r="D242" s="282" t="s">
        <x:v>2454</x:v>
      </x:c>
      <x:c r="E242" s="282" t="s">
        <x:v>2455</x:v>
      </x:c>
      <x:c r="F242" s="281" t="s">
        <x:v>118</x:v>
      </x:c>
      <x:c r="G242" s="281" t="s">
        <x:v>118</x:v>
      </x:c>
      <x:c r="H242" s="281" t="s">
        <x:v>118</x:v>
      </x:c>
      <x:c r="I242" s="281" t="s">
        <x:v>118</x:v>
      </x:c>
      <x:c r="J242" s="281" t="s">
        <x:v>118</x:v>
      </x:c>
      <x:c r="K242" s="281" t="s">
        <x:v>118</x:v>
      </x:c>
      <x:c r="L242" s="281" t="s">
        <x:v>118</x:v>
      </x:c>
      <x:c r="M242" s="281" t="s">
        <x:v>118</x:v>
      </x:c>
      <x:c r="N242" s="281" t="s">
        <x:v>118</x:v>
      </x:c>
      <x:c r="O242" s="281" t="s">
        <x:v>118</x:v>
      </x:c>
      <x:c r="P242" s="281" t="s">
        <x:v>118</x:v>
      </x:c>
      <x:c r="Q242" s="281" t="s">
        <x:v>118</x:v>
      </x:c>
      <x:c r="R242" s="281" t="s">
        <x:v>118</x:v>
      </x:c>
      <x:c r="S242" s="281" t="s">
        <x:v>118</x:v>
      </x:c>
      <x:c r="T242" s="281" t="s">
        <x:v>118</x:v>
      </x:c>
      <x:c r="U242" s="281" t="s">
        <x:v>118</x:v>
      </x:c>
      <x:c r="V242" s="281" t="s">
        <x:v>118</x:v>
      </x:c>
      <x:c r="W242" s="281" t="s">
        <x:v>118</x:v>
      </x:c>
      <x:c r="X242" s="281" t="s">
        <x:v>118</x:v>
      </x:c>
      <x:c r="Y242" s="281" t="s">
        <x:v>118</x:v>
      </x:c>
      <x:c r="Z242" s="281" t="s">
        <x:v>118</x:v>
      </x:c>
      <x:c r="AA242" s="281" t="s">
        <x:v>118</x:v>
      </x:c>
      <x:c r="AB242" s="281" t="s">
        <x:v>118</x:v>
      </x:c>
      <x:c r="AC242" s="281" t="s">
        <x:v>118</x:v>
      </x:c>
      <x:c r="AD242" s="281" t="s">
        <x:v>118</x:v>
      </x:c>
      <x:c r="AE242" s="281" t="s">
        <x:v>118</x:v>
      </x:c>
      <x:c r="AF242" s="281" t="s">
        <x:v>118</x:v>
      </x:c>
      <x:c r="AG242" s="281" t="s">
        <x:v>118</x:v>
      </x:c>
      <x:c r="AH242" s="281" t="s">
        <x:v>118</x:v>
      </x:c>
      <x:c r="AI242" s="281" t="s">
        <x:v>118</x:v>
      </x:c>
      <x:c r="AJ242" s="281" t="s">
        <x:v>118</x:v>
      </x:c>
      <x:c r="AK242" s="220">
        <x:f>COUNTIF(F242:AJ242,"X")</x:f>
      </x:c>
      <x:c r="AL242" s="221"/>
      <x:c r="AM242" s="221"/>
      <x:c r="AN242" s="222"/>
      <x:c r="AO242" s="222"/>
      <x:c r="AP242" s="228"/>
      <x:c r="AQ242" s="228"/>
      <x:c r="AR242" s="228"/>
      <x:c r="AS242" s="228"/>
      <x:c r="AT242" s="230"/>
    </x:row>
    <x:row r="243" spans="1:47" ht="15" customHeight="1">
      <x:c r="A243" s="282" t="s">
        <x:v>2456</x:v>
      </x:c>
      <x:c r="B243" s="216"/>
      <x:c r="C243" s="283" t="s">
        <x:v>2457</x:v>
      </x:c>
      <x:c r="D243" s="282" t="s">
        <x:v>2458</x:v>
      </x:c>
      <x:c r="E243" s="282" t="s">
        <x:v>1259</x:v>
      </x:c>
      <x:c r="F243" s="277" t="s">
        <x:v>118</x:v>
      </x:c>
      <x:c r="G243" s="277" t="s">
        <x:v>118</x:v>
      </x:c>
      <x:c r="H243" s="277" t="s">
        <x:v>118</x:v>
      </x:c>
      <x:c r="I243" s="277" t="s">
        <x:v>118</x:v>
      </x:c>
      <x:c r="J243" s="277" t="s">
        <x:v>118</x:v>
      </x:c>
      <x:c r="K243" s="277" t="s">
        <x:v>118</x:v>
      </x:c>
      <x:c r="L243" s="277" t="s">
        <x:v>118</x:v>
      </x:c>
      <x:c r="M243" s="277" t="s">
        <x:v>118</x:v>
      </x:c>
      <x:c r="N243" s="277" t="s">
        <x:v>118</x:v>
      </x:c>
      <x:c r="O243" s="277" t="s">
        <x:v>118</x:v>
      </x:c>
      <x:c r="P243" s="277" t="s">
        <x:v>118</x:v>
      </x:c>
      <x:c r="Q243" s="277" t="s">
        <x:v>118</x:v>
      </x:c>
      <x:c r="R243" s="277" t="s">
        <x:v>118</x:v>
      </x:c>
      <x:c r="S243" s="277" t="s">
        <x:v>118</x:v>
      </x:c>
      <x:c r="T243" s="277" t="s">
        <x:v>118</x:v>
      </x:c>
      <x:c r="U243" s="277" t="s">
        <x:v>118</x:v>
      </x:c>
      <x:c r="V243" s="277" t="s">
        <x:v>118</x:v>
      </x:c>
      <x:c r="W243" s="277" t="s">
        <x:v>118</x:v>
      </x:c>
      <x:c r="X243" s="277" t="s">
        <x:v>118</x:v>
      </x:c>
      <x:c r="Y243" s="277" t="s">
        <x:v>118</x:v>
      </x:c>
      <x:c r="Z243" s="277" t="s">
        <x:v>118</x:v>
      </x:c>
      <x:c r="AA243" s="277" t="s">
        <x:v>118</x:v>
      </x:c>
      <x:c r="AB243" s="277" t="s">
        <x:v>118</x:v>
      </x:c>
      <x:c r="AC243" s="277" t="s">
        <x:v>118</x:v>
      </x:c>
      <x:c r="AD243" s="277" t="s">
        <x:v>118</x:v>
      </x:c>
      <x:c r="AE243" s="277" t="s">
        <x:v>118</x:v>
      </x:c>
      <x:c r="AF243" s="277" t="s">
        <x:v>118</x:v>
      </x:c>
      <x:c r="AG243" s="277" t="s">
        <x:v>118</x:v>
      </x:c>
      <x:c r="AH243" s="277" t="s">
        <x:v>118</x:v>
      </x:c>
      <x:c r="AI243" s="277" t="s">
        <x:v>118</x:v>
      </x:c>
      <x:c r="AJ243" s="277" t="s">
        <x:v>118</x:v>
      </x:c>
      <x:c r="AK243" s="220">
        <x:f>COUNTIF(F243:AJ243,"X")</x:f>
      </x:c>
      <x:c r="AL243" s="221"/>
      <x:c r="AM243" s="221"/>
      <x:c r="AN243" s="222"/>
      <x:c r="AO243" s="222"/>
      <x:c r="AP243" s="228"/>
      <x:c r="AQ243" s="228"/>
      <x:c r="AR243" s="228"/>
      <x:c r="AS243" s="228"/>
      <x:c r="AT243" s="230"/>
    </x:row>
    <x:row r="244" spans="1:47" ht="15" customHeight="1">
      <x:c r="A244" s="282" t="s">
        <x:v>2459</x:v>
      </x:c>
      <x:c r="B244" s="216"/>
      <x:c r="C244" s="283" t="s">
        <x:v>2460</x:v>
      </x:c>
      <x:c r="D244" s="282" t="s">
        <x:v>2461</x:v>
      </x:c>
      <x:c r="E244" s="282" t="s">
        <x:v>2462</x:v>
      </x:c>
      <x:c r="F244" s="281" t="s">
        <x:v>118</x:v>
      </x:c>
      <x:c r="G244" s="281" t="s">
        <x:v>118</x:v>
      </x:c>
      <x:c r="H244" s="281" t="s">
        <x:v>118</x:v>
      </x:c>
      <x:c r="I244" s="281" t="s">
        <x:v>118</x:v>
      </x:c>
      <x:c r="J244" s="281" t="s">
        <x:v>118</x:v>
      </x:c>
      <x:c r="K244" s="281" t="s">
        <x:v>118</x:v>
      </x:c>
      <x:c r="L244" s="281" t="s">
        <x:v>118</x:v>
      </x:c>
      <x:c r="M244" s="281" t="s">
        <x:v>118</x:v>
      </x:c>
      <x:c r="N244" s="281" t="s">
        <x:v>118</x:v>
      </x:c>
      <x:c r="O244" s="281" t="s">
        <x:v>118</x:v>
      </x:c>
      <x:c r="P244" s="281" t="s">
        <x:v>118</x:v>
      </x:c>
      <x:c r="Q244" s="281" t="s">
        <x:v>118</x:v>
      </x:c>
      <x:c r="R244" s="281" t="s">
        <x:v>118</x:v>
      </x:c>
      <x:c r="S244" s="281" t="s">
        <x:v>118</x:v>
      </x:c>
      <x:c r="T244" s="281" t="s">
        <x:v>118</x:v>
      </x:c>
      <x:c r="U244" s="281" t="s">
        <x:v>118</x:v>
      </x:c>
      <x:c r="V244" s="281" t="s">
        <x:v>118</x:v>
      </x:c>
      <x:c r="W244" s="281" t="s">
        <x:v>118</x:v>
      </x:c>
      <x:c r="X244" s="281" t="s">
        <x:v>118</x:v>
      </x:c>
      <x:c r="Y244" s="281" t="s">
        <x:v>118</x:v>
      </x:c>
      <x:c r="Z244" s="281" t="s">
        <x:v>118</x:v>
      </x:c>
      <x:c r="AA244" s="281" t="s">
        <x:v>118</x:v>
      </x:c>
      <x:c r="AB244" s="281" t="s">
        <x:v>118</x:v>
      </x:c>
      <x:c r="AC244" s="281" t="s">
        <x:v>118</x:v>
      </x:c>
      <x:c r="AD244" s="281" t="s">
        <x:v>118</x:v>
      </x:c>
      <x:c r="AE244" s="281" t="s">
        <x:v>118</x:v>
      </x:c>
      <x:c r="AF244" s="281" t="s">
        <x:v>118</x:v>
      </x:c>
      <x:c r="AG244" s="281" t="s">
        <x:v>118</x:v>
      </x:c>
      <x:c r="AH244" s="281" t="s">
        <x:v>118</x:v>
      </x:c>
      <x:c r="AI244" s="281" t="s">
        <x:v>118</x:v>
      </x:c>
      <x:c r="AJ244" s="281" t="s">
        <x:v>118</x:v>
      </x:c>
      <x:c r="AK244" s="220">
        <x:f>COUNTIF(F244:AJ244,"X")</x:f>
      </x:c>
      <x:c r="AL244" s="221"/>
      <x:c r="AM244" s="221"/>
      <x:c r="AN244" s="222"/>
      <x:c r="AO244" s="222"/>
      <x:c r="AP244" s="228"/>
      <x:c r="AQ244" s="228"/>
      <x:c r="AR244" s="228"/>
      <x:c r="AS244" s="228"/>
      <x:c r="AT244" s="230"/>
    </x:row>
    <x:row r="245" spans="1:47" ht="15" customHeight="1">
      <x:c r="A245" s="282" t="s">
        <x:v>2463</x:v>
      </x:c>
      <x:c r="B245" s="216"/>
      <x:c r="C245" s="283" t="s">
        <x:v>2464</x:v>
      </x:c>
      <x:c r="D245" s="282" t="s">
        <x:v>1422</x:v>
      </x:c>
      <x:c r="E245" s="282" t="s">
        <x:v>1100</x:v>
      </x:c>
      <x:c r="F245" s="277" t="s">
        <x:v>118</x:v>
      </x:c>
      <x:c r="G245" s="277" t="s">
        <x:v>118</x:v>
      </x:c>
      <x:c r="H245" s="277" t="s">
        <x:v>118</x:v>
      </x:c>
      <x:c r="I245" s="277" t="s">
        <x:v>118</x:v>
      </x:c>
      <x:c r="J245" s="277" t="s">
        <x:v>118</x:v>
      </x:c>
      <x:c r="K245" s="277" t="s">
        <x:v>118</x:v>
      </x:c>
      <x:c r="L245" s="277" t="s">
        <x:v>118</x:v>
      </x:c>
      <x:c r="M245" s="277" t="s">
        <x:v>118</x:v>
      </x:c>
      <x:c r="N245" s="277" t="s">
        <x:v>118</x:v>
      </x:c>
      <x:c r="O245" s="277" t="s">
        <x:v>118</x:v>
      </x:c>
      <x:c r="P245" s="277" t="s">
        <x:v>118</x:v>
      </x:c>
      <x:c r="Q245" s="277" t="s">
        <x:v>118</x:v>
      </x:c>
      <x:c r="R245" s="277" t="s">
        <x:v>118</x:v>
      </x:c>
      <x:c r="S245" s="277" t="s">
        <x:v>118</x:v>
      </x:c>
      <x:c r="T245" s="277" t="s">
        <x:v>118</x:v>
      </x:c>
      <x:c r="U245" s="277" t="s">
        <x:v>118</x:v>
      </x:c>
      <x:c r="V245" s="277" t="s">
        <x:v>118</x:v>
      </x:c>
      <x:c r="W245" s="277" t="s">
        <x:v>118</x:v>
      </x:c>
      <x:c r="X245" s="277" t="s">
        <x:v>118</x:v>
      </x:c>
      <x:c r="Y245" s="277" t="s">
        <x:v>118</x:v>
      </x:c>
      <x:c r="Z245" s="277" t="s">
        <x:v>118</x:v>
      </x:c>
      <x:c r="AA245" s="277" t="s">
        <x:v>118</x:v>
      </x:c>
      <x:c r="AB245" s="277" t="s">
        <x:v>118</x:v>
      </x:c>
      <x:c r="AC245" s="277" t="s">
        <x:v>118</x:v>
      </x:c>
      <x:c r="AD245" s="277" t="s">
        <x:v>118</x:v>
      </x:c>
      <x:c r="AE245" s="277" t="s">
        <x:v>118</x:v>
      </x:c>
      <x:c r="AF245" s="277" t="s">
        <x:v>118</x:v>
      </x:c>
      <x:c r="AG245" s="277" t="s">
        <x:v>118</x:v>
      </x:c>
      <x:c r="AH245" s="277" t="s">
        <x:v>118</x:v>
      </x:c>
      <x:c r="AI245" s="277" t="s">
        <x:v>118</x:v>
      </x:c>
      <x:c r="AJ245" s="277" t="s">
        <x:v>118</x:v>
      </x:c>
      <x:c r="AK245" s="220">
        <x:f>COUNTIF(F245:AJ245,"X")</x:f>
      </x:c>
      <x:c r="AL245" s="221"/>
      <x:c r="AM245" s="221"/>
      <x:c r="AN245" s="222"/>
      <x:c r="AO245" s="222"/>
      <x:c r="AP245" s="228"/>
      <x:c r="AQ245" s="228"/>
      <x:c r="AR245" s="228"/>
      <x:c r="AS245" s="228"/>
      <x:c r="AT245" s="230"/>
    </x:row>
    <x:row r="246" spans="1:47" ht="15" customHeight="1">
      <x:c r="A246" s="282" t="s">
        <x:v>2465</x:v>
      </x:c>
      <x:c r="B246" s="216"/>
      <x:c r="C246" s="283" t="s">
        <x:v>2466</x:v>
      </x:c>
      <x:c r="D246" s="282" t="s">
        <x:v>623</x:v>
      </x:c>
      <x:c r="E246" s="282" t="s">
        <x:v>2467</x:v>
      </x:c>
      <x:c r="F246" s="281" t="s">
        <x:v>118</x:v>
      </x:c>
      <x:c r="G246" s="281" t="s">
        <x:v>118</x:v>
      </x:c>
      <x:c r="H246" s="281" t="s">
        <x:v>118</x:v>
      </x:c>
      <x:c r="I246" s="281" t="s">
        <x:v>118</x:v>
      </x:c>
      <x:c r="J246" s="281" t="s">
        <x:v>118</x:v>
      </x:c>
      <x:c r="K246" s="281" t="s">
        <x:v>118</x:v>
      </x:c>
      <x:c r="L246" s="281" t="s">
        <x:v>118</x:v>
      </x:c>
      <x:c r="M246" s="281" t="s">
        <x:v>118</x:v>
      </x:c>
      <x:c r="N246" s="281" t="s">
        <x:v>118</x:v>
      </x:c>
      <x:c r="O246" s="281" t="s">
        <x:v>118</x:v>
      </x:c>
      <x:c r="P246" s="281" t="s">
        <x:v>118</x:v>
      </x:c>
      <x:c r="Q246" s="281" t="s">
        <x:v>118</x:v>
      </x:c>
      <x:c r="R246" s="281" t="s">
        <x:v>118</x:v>
      </x:c>
      <x:c r="S246" s="281" t="s">
        <x:v>118</x:v>
      </x:c>
      <x:c r="T246" s="281" t="s">
        <x:v>118</x:v>
      </x:c>
      <x:c r="U246" s="281" t="s">
        <x:v>118</x:v>
      </x:c>
      <x:c r="V246" s="281" t="s">
        <x:v>118</x:v>
      </x:c>
      <x:c r="W246" s="281" t="s">
        <x:v>118</x:v>
      </x:c>
      <x:c r="X246" s="281" t="s">
        <x:v>118</x:v>
      </x:c>
      <x:c r="Y246" s="281" t="s">
        <x:v>118</x:v>
      </x:c>
      <x:c r="Z246" s="281" t="s">
        <x:v>118</x:v>
      </x:c>
      <x:c r="AA246" s="281" t="s">
        <x:v>118</x:v>
      </x:c>
      <x:c r="AB246" s="281" t="s">
        <x:v>118</x:v>
      </x:c>
      <x:c r="AC246" s="281" t="s">
        <x:v>118</x:v>
      </x:c>
      <x:c r="AD246" s="281" t="s">
        <x:v>118</x:v>
      </x:c>
      <x:c r="AE246" s="281" t="s">
        <x:v>118</x:v>
      </x:c>
      <x:c r="AF246" s="281" t="s">
        <x:v>118</x:v>
      </x:c>
      <x:c r="AG246" s="281" t="s">
        <x:v>118</x:v>
      </x:c>
      <x:c r="AH246" s="281" t="s">
        <x:v>118</x:v>
      </x:c>
      <x:c r="AI246" s="281" t="s">
        <x:v>118</x:v>
      </x:c>
      <x:c r="AJ246" s="281" t="s">
        <x:v>118</x:v>
      </x:c>
      <x:c r="AK246" s="220">
        <x:f>COUNTIF(F246:AJ246,"X")</x:f>
      </x:c>
      <x:c r="AL246" s="221"/>
      <x:c r="AM246" s="221"/>
      <x:c r="AN246" s="222"/>
      <x:c r="AO246" s="222"/>
      <x:c r="AP246" s="228"/>
      <x:c r="AQ246" s="228"/>
      <x:c r="AR246" s="228"/>
      <x:c r="AS246" s="228"/>
      <x:c r="AT246" s="230"/>
    </x:row>
    <x:row r="247" spans="1:47" ht="15" customHeight="1">
      <x:c r="A247" s="282" t="s">
        <x:v>2468</x:v>
      </x:c>
      <x:c r="B247" s="216"/>
      <x:c r="C247" s="283" t="s">
        <x:v>2469</x:v>
      </x:c>
      <x:c r="D247" s="282" t="s">
        <x:v>626</x:v>
      </x:c>
      <x:c r="E247" s="282" t="s">
        <x:v>330</x:v>
      </x:c>
      <x:c r="F247" s="281" t="s">
        <x:v>118</x:v>
      </x:c>
      <x:c r="G247" s="281" t="s">
        <x:v>118</x:v>
      </x:c>
      <x:c r="H247" s="281" t="s">
        <x:v>118</x:v>
      </x:c>
      <x:c r="I247" s="281" t="s">
        <x:v>118</x:v>
      </x:c>
      <x:c r="J247" s="281" t="s">
        <x:v>118</x:v>
      </x:c>
      <x:c r="K247" s="281" t="s">
        <x:v>118</x:v>
      </x:c>
      <x:c r="L247" s="281" t="s">
        <x:v>118</x:v>
      </x:c>
      <x:c r="M247" s="281" t="s">
        <x:v>118</x:v>
      </x:c>
      <x:c r="N247" s="281" t="s">
        <x:v>118</x:v>
      </x:c>
      <x:c r="O247" s="281" t="s">
        <x:v>118</x:v>
      </x:c>
      <x:c r="P247" s="281" t="s">
        <x:v>118</x:v>
      </x:c>
      <x:c r="Q247" s="281" t="s">
        <x:v>118</x:v>
      </x:c>
      <x:c r="R247" s="281" t="s">
        <x:v>118</x:v>
      </x:c>
      <x:c r="S247" s="281" t="s">
        <x:v>118</x:v>
      </x:c>
      <x:c r="T247" s="281" t="s">
        <x:v>118</x:v>
      </x:c>
      <x:c r="U247" s="281" t="s">
        <x:v>118</x:v>
      </x:c>
      <x:c r="V247" s="281" t="s">
        <x:v>118</x:v>
      </x:c>
      <x:c r="W247" s="281" t="s">
        <x:v>118</x:v>
      </x:c>
      <x:c r="X247" s="281" t="s">
        <x:v>118</x:v>
      </x:c>
      <x:c r="Y247" s="281" t="s">
        <x:v>118</x:v>
      </x:c>
      <x:c r="Z247" s="281" t="s">
        <x:v>118</x:v>
      </x:c>
      <x:c r="AA247" s="281" t="s">
        <x:v>118</x:v>
      </x:c>
      <x:c r="AB247" s="281" t="s">
        <x:v>118</x:v>
      </x:c>
      <x:c r="AC247" s="281" t="s">
        <x:v>118</x:v>
      </x:c>
      <x:c r="AD247" s="281" t="s">
        <x:v>118</x:v>
      </x:c>
      <x:c r="AE247" s="281" t="s">
        <x:v>118</x:v>
      </x:c>
      <x:c r="AF247" s="281" t="s">
        <x:v>118</x:v>
      </x:c>
      <x:c r="AG247" s="281" t="s">
        <x:v>118</x:v>
      </x:c>
      <x:c r="AH247" s="281" t="s">
        <x:v>118</x:v>
      </x:c>
      <x:c r="AI247" s="281" t="s">
        <x:v>118</x:v>
      </x:c>
      <x:c r="AJ247" s="281" t="s">
        <x:v>118</x:v>
      </x:c>
      <x:c r="AK247" s="220">
        <x:f>COUNTIF(F247:AJ247,"X")</x:f>
      </x:c>
      <x:c r="AL247" s="221"/>
      <x:c r="AM247" s="221"/>
      <x:c r="AN247" s="222"/>
      <x:c r="AO247" s="222"/>
      <x:c r="AP247" s="228"/>
      <x:c r="AQ247" s="228"/>
      <x:c r="AR247" s="228"/>
      <x:c r="AS247" s="228"/>
      <x:c r="AT247" s="230"/>
    </x:row>
    <x:row r="248" spans="1:47" ht="15" customHeight="1">
      <x:c r="A248" s="282" t="s">
        <x:v>2470</x:v>
      </x:c>
      <x:c r="B248" s="216"/>
      <x:c r="C248" s="283" t="s">
        <x:v>2471</x:v>
      </x:c>
      <x:c r="D248" s="282" t="s">
        <x:v>2472</x:v>
      </x:c>
      <x:c r="E248" s="282" t="s">
        <x:v>2473</x:v>
      </x:c>
      <x:c r="F248" s="281" t="s">
        <x:v>118</x:v>
      </x:c>
      <x:c r="G248" s="281" t="s">
        <x:v>118</x:v>
      </x:c>
      <x:c r="H248" s="281" t="s">
        <x:v>118</x:v>
      </x:c>
      <x:c r="I248" s="281" t="s">
        <x:v>118</x:v>
      </x:c>
      <x:c r="J248" s="281" t="s">
        <x:v>118</x:v>
      </x:c>
      <x:c r="K248" s="281" t="s">
        <x:v>118</x:v>
      </x:c>
      <x:c r="L248" s="281" t="s">
        <x:v>118</x:v>
      </x:c>
      <x:c r="M248" s="281" t="s">
        <x:v>118</x:v>
      </x:c>
      <x:c r="N248" s="281" t="s">
        <x:v>118</x:v>
      </x:c>
      <x:c r="O248" s="281" t="s">
        <x:v>118</x:v>
      </x:c>
      <x:c r="P248" s="281" t="s">
        <x:v>118</x:v>
      </x:c>
      <x:c r="Q248" s="281" t="s">
        <x:v>118</x:v>
      </x:c>
      <x:c r="R248" s="281" t="s">
        <x:v>118</x:v>
      </x:c>
      <x:c r="S248" s="281" t="s">
        <x:v>118</x:v>
      </x:c>
      <x:c r="T248" s="281" t="s">
        <x:v>118</x:v>
      </x:c>
      <x:c r="U248" s="281" t="s">
        <x:v>118</x:v>
      </x:c>
      <x:c r="V248" s="281" t="s">
        <x:v>118</x:v>
      </x:c>
      <x:c r="W248" s="281" t="s">
        <x:v>118</x:v>
      </x:c>
      <x:c r="X248" s="281" t="s">
        <x:v>118</x:v>
      </x:c>
      <x:c r="Y248" s="281" t="s">
        <x:v>118</x:v>
      </x:c>
      <x:c r="Z248" s="281" t="s">
        <x:v>118</x:v>
      </x:c>
      <x:c r="AA248" s="281" t="s">
        <x:v>118</x:v>
      </x:c>
      <x:c r="AB248" s="281" t="s">
        <x:v>118</x:v>
      </x:c>
      <x:c r="AC248" s="281" t="s">
        <x:v>118</x:v>
      </x:c>
      <x:c r="AD248" s="281" t="s">
        <x:v>118</x:v>
      </x:c>
      <x:c r="AE248" s="281" t="s">
        <x:v>118</x:v>
      </x:c>
      <x:c r="AF248" s="281" t="s">
        <x:v>118</x:v>
      </x:c>
      <x:c r="AG248" s="281" t="s">
        <x:v>118</x:v>
      </x:c>
      <x:c r="AH248" s="281" t="s">
        <x:v>118</x:v>
      </x:c>
      <x:c r="AI248" s="281" t="s">
        <x:v>118</x:v>
      </x:c>
      <x:c r="AJ248" s="281" t="s">
        <x:v>118</x:v>
      </x:c>
      <x:c r="AK248" s="220">
        <x:f>COUNTIF(F248:AJ248,"X")</x:f>
      </x:c>
      <x:c r="AL248" s="221"/>
      <x:c r="AM248" s="221"/>
      <x:c r="AN248" s="222"/>
      <x:c r="AO248" s="222"/>
      <x:c r="AP248" s="228"/>
      <x:c r="AQ248" s="228"/>
      <x:c r="AR248" s="228"/>
      <x:c r="AS248" s="228"/>
      <x:c r="AT248" s="230"/>
    </x:row>
    <x:row r="249" spans="1:47" ht="15" customHeight="1">
      <x:c r="A249" s="282" t="s">
        <x:v>2474</x:v>
      </x:c>
      <x:c r="B249" s="216"/>
      <x:c r="C249" s="283" t="s">
        <x:v>2475</x:v>
      </x:c>
      <x:c r="D249" s="282" t="s">
        <x:v>641</x:v>
      </x:c>
      <x:c r="E249" s="282" t="s">
        <x:v>2476</x:v>
      </x:c>
      <x:c r="F249" s="277" t="s">
        <x:v>118</x:v>
      </x:c>
      <x:c r="G249" s="277" t="s">
        <x:v>118</x:v>
      </x:c>
      <x:c r="H249" s="277" t="s">
        <x:v>118</x:v>
      </x:c>
      <x:c r="I249" s="277" t="s">
        <x:v>118</x:v>
      </x:c>
      <x:c r="J249" s="277" t="s">
        <x:v>118</x:v>
      </x:c>
      <x:c r="K249" s="277" t="s">
        <x:v>118</x:v>
      </x:c>
      <x:c r="L249" s="277" t="s">
        <x:v>118</x:v>
      </x:c>
      <x:c r="M249" s="277" t="s">
        <x:v>118</x:v>
      </x:c>
      <x:c r="N249" s="277" t="s">
        <x:v>118</x:v>
      </x:c>
      <x:c r="O249" s="277" t="s">
        <x:v>118</x:v>
      </x:c>
      <x:c r="P249" s="277" t="s">
        <x:v>118</x:v>
      </x:c>
      <x:c r="Q249" s="277" t="s">
        <x:v>118</x:v>
      </x:c>
      <x:c r="R249" s="277" t="s">
        <x:v>118</x:v>
      </x:c>
      <x:c r="S249" s="277" t="s">
        <x:v>118</x:v>
      </x:c>
      <x:c r="T249" s="277" t="s">
        <x:v>118</x:v>
      </x:c>
      <x:c r="U249" s="277" t="s">
        <x:v>118</x:v>
      </x:c>
      <x:c r="V249" s="277" t="s">
        <x:v>118</x:v>
      </x:c>
      <x:c r="W249" s="277" t="s">
        <x:v>118</x:v>
      </x:c>
      <x:c r="X249" s="277" t="s">
        <x:v>118</x:v>
      </x:c>
      <x:c r="Y249" s="277" t="s">
        <x:v>118</x:v>
      </x:c>
      <x:c r="Z249" s="277" t="s">
        <x:v>118</x:v>
      </x:c>
      <x:c r="AA249" s="277" t="s">
        <x:v>118</x:v>
      </x:c>
      <x:c r="AB249" s="277" t="s">
        <x:v>118</x:v>
      </x:c>
      <x:c r="AC249" s="277" t="s">
        <x:v>118</x:v>
      </x:c>
      <x:c r="AD249" s="277" t="s">
        <x:v>118</x:v>
      </x:c>
      <x:c r="AE249" s="277" t="s">
        <x:v>118</x:v>
      </x:c>
      <x:c r="AF249" s="277" t="s">
        <x:v>118</x:v>
      </x:c>
      <x:c r="AG249" s="277" t="s">
        <x:v>118</x:v>
      </x:c>
      <x:c r="AH249" s="277" t="s">
        <x:v>118</x:v>
      </x:c>
      <x:c r="AI249" s="277" t="s">
        <x:v>118</x:v>
      </x:c>
      <x:c r="AJ249" s="277" t="s">
        <x:v>118</x:v>
      </x:c>
      <x:c r="AK249" s="220">
        <x:f>COUNTIF(F249:AJ249,"X")</x:f>
      </x:c>
      <x:c r="AL249" s="221"/>
      <x:c r="AM249" s="221"/>
      <x:c r="AN249" s="222"/>
      <x:c r="AO249" s="222"/>
      <x:c r="AP249" s="228"/>
      <x:c r="AQ249" s="228"/>
      <x:c r="AR249" s="228"/>
      <x:c r="AS249" s="228"/>
      <x:c r="AT249" s="230"/>
    </x:row>
    <x:row r="250" spans="1:47" ht="15" customHeight="1">
      <x:c r="A250" s="282" t="s">
        <x:v>2477</x:v>
      </x:c>
      <x:c r="B250" s="216"/>
      <x:c r="C250" s="283" t="s">
        <x:v>2478</x:v>
      </x:c>
      <x:c r="D250" s="282" t="s">
        <x:v>644</x:v>
      </x:c>
      <x:c r="E250" s="282" t="s">
        <x:v>2479</x:v>
      </x:c>
      <x:c r="F250" s="277" t="s">
        <x:v>118</x:v>
      </x:c>
      <x:c r="G250" s="277" t="s">
        <x:v>118</x:v>
      </x:c>
      <x:c r="H250" s="277" t="s">
        <x:v>118</x:v>
      </x:c>
      <x:c r="I250" s="277" t="s">
        <x:v>118</x:v>
      </x:c>
      <x:c r="J250" s="277" t="s">
        <x:v>118</x:v>
      </x:c>
      <x:c r="K250" s="277" t="s">
        <x:v>118</x:v>
      </x:c>
      <x:c r="L250" s="277" t="s">
        <x:v>118</x:v>
      </x:c>
      <x:c r="M250" s="277" t="s">
        <x:v>118</x:v>
      </x:c>
      <x:c r="N250" s="277" t="s">
        <x:v>118</x:v>
      </x:c>
      <x:c r="O250" s="277" t="s">
        <x:v>118</x:v>
      </x:c>
      <x:c r="P250" s="277" t="s">
        <x:v>118</x:v>
      </x:c>
      <x:c r="Q250" s="277" t="s">
        <x:v>118</x:v>
      </x:c>
      <x:c r="R250" s="277" t="s">
        <x:v>118</x:v>
      </x:c>
      <x:c r="S250" s="277" t="s">
        <x:v>118</x:v>
      </x:c>
      <x:c r="T250" s="277" t="s">
        <x:v>118</x:v>
      </x:c>
      <x:c r="U250" s="277" t="s">
        <x:v>118</x:v>
      </x:c>
      <x:c r="V250" s="277" t="s">
        <x:v>118</x:v>
      </x:c>
      <x:c r="W250" s="277" t="s">
        <x:v>118</x:v>
      </x:c>
      <x:c r="X250" s="277" t="s">
        <x:v>118</x:v>
      </x:c>
      <x:c r="Y250" s="277" t="s">
        <x:v>118</x:v>
      </x:c>
      <x:c r="Z250" s="277" t="s">
        <x:v>118</x:v>
      </x:c>
      <x:c r="AA250" s="277" t="s">
        <x:v>118</x:v>
      </x:c>
      <x:c r="AB250" s="277" t="s">
        <x:v>118</x:v>
      </x:c>
      <x:c r="AC250" s="277" t="s">
        <x:v>118</x:v>
      </x:c>
      <x:c r="AD250" s="277" t="s">
        <x:v>118</x:v>
      </x:c>
      <x:c r="AE250" s="277" t="s">
        <x:v>118</x:v>
      </x:c>
      <x:c r="AF250" s="277" t="s">
        <x:v>118</x:v>
      </x:c>
      <x:c r="AG250" s="277" t="s">
        <x:v>118</x:v>
      </x:c>
      <x:c r="AH250" s="277" t="s">
        <x:v>118</x:v>
      </x:c>
      <x:c r="AI250" s="277" t="s">
        <x:v>118</x:v>
      </x:c>
      <x:c r="AJ250" s="277" t="s">
        <x:v>118</x:v>
      </x:c>
      <x:c r="AK250" s="220">
        <x:f>COUNTIF(F250:AJ250,"X")</x:f>
      </x:c>
      <x:c r="AL250" s="221"/>
      <x:c r="AM250" s="221"/>
      <x:c r="AN250" s="222"/>
      <x:c r="AO250" s="222"/>
      <x:c r="AP250" s="228"/>
      <x:c r="AQ250" s="228"/>
      <x:c r="AR250" s="228"/>
      <x:c r="AS250" s="228"/>
      <x:c r="AT250" s="230"/>
    </x:row>
    <x:row r="251" spans="1:47" ht="15" customHeight="1">
      <x:c r="A251" s="282" t="s">
        <x:v>2480</x:v>
      </x:c>
      <x:c r="B251" s="216"/>
      <x:c r="C251" s="283" t="s">
        <x:v>2481</x:v>
      </x:c>
      <x:c r="D251" s="282" t="s">
        <x:v>2482</x:v>
      </x:c>
      <x:c r="E251" s="282" t="s">
        <x:v>1051</x:v>
      </x:c>
      <x:c r="F251" s="281" t="s">
        <x:v>118</x:v>
      </x:c>
      <x:c r="G251" s="281" t="s">
        <x:v>118</x:v>
      </x:c>
      <x:c r="H251" s="281" t="s">
        <x:v>118</x:v>
      </x:c>
      <x:c r="I251" s="281" t="s">
        <x:v>118</x:v>
      </x:c>
      <x:c r="J251" s="281" t="s">
        <x:v>118</x:v>
      </x:c>
      <x:c r="K251" s="281" t="s">
        <x:v>118</x:v>
      </x:c>
      <x:c r="L251" s="281" t="s">
        <x:v>118</x:v>
      </x:c>
      <x:c r="M251" s="281" t="s">
        <x:v>118</x:v>
      </x:c>
      <x:c r="N251" s="281" t="s">
        <x:v>118</x:v>
      </x:c>
      <x:c r="O251" s="281" t="s">
        <x:v>118</x:v>
      </x:c>
      <x:c r="P251" s="281" t="s">
        <x:v>118</x:v>
      </x:c>
      <x:c r="Q251" s="281" t="s">
        <x:v>118</x:v>
      </x:c>
      <x:c r="R251" s="281" t="s">
        <x:v>118</x:v>
      </x:c>
      <x:c r="S251" s="281" t="s">
        <x:v>118</x:v>
      </x:c>
      <x:c r="T251" s="281" t="s">
        <x:v>118</x:v>
      </x:c>
      <x:c r="U251" s="281" t="s">
        <x:v>118</x:v>
      </x:c>
      <x:c r="V251" s="281" t="s">
        <x:v>118</x:v>
      </x:c>
      <x:c r="W251" s="281" t="s">
        <x:v>118</x:v>
      </x:c>
      <x:c r="X251" s="281" t="s">
        <x:v>118</x:v>
      </x:c>
      <x:c r="Y251" s="281" t="s">
        <x:v>118</x:v>
      </x:c>
      <x:c r="Z251" s="281" t="s">
        <x:v>118</x:v>
      </x:c>
      <x:c r="AA251" s="281" t="s">
        <x:v>118</x:v>
      </x:c>
      <x:c r="AB251" s="281" t="s">
        <x:v>118</x:v>
      </x:c>
      <x:c r="AC251" s="281" t="s">
        <x:v>118</x:v>
      </x:c>
      <x:c r="AD251" s="281" t="s">
        <x:v>118</x:v>
      </x:c>
      <x:c r="AE251" s="281" t="s">
        <x:v>118</x:v>
      </x:c>
      <x:c r="AF251" s="281" t="s">
        <x:v>118</x:v>
      </x:c>
      <x:c r="AG251" s="281" t="s">
        <x:v>118</x:v>
      </x:c>
      <x:c r="AH251" s="281" t="s">
        <x:v>118</x:v>
      </x:c>
      <x:c r="AI251" s="281" t="s">
        <x:v>118</x:v>
      </x:c>
      <x:c r="AJ251" s="281" t="s">
        <x:v>118</x:v>
      </x:c>
      <x:c r="AK251" s="220">
        <x:f>COUNTIF(F251:AJ251,"X")</x:f>
      </x:c>
      <x:c r="AL251" s="221"/>
      <x:c r="AM251" s="221"/>
      <x:c r="AN251" s="222"/>
      <x:c r="AO251" s="222"/>
      <x:c r="AP251" s="228"/>
      <x:c r="AQ251" s="228"/>
      <x:c r="AR251" s="228"/>
      <x:c r="AS251" s="228"/>
      <x:c r="AT251" s="230"/>
    </x:row>
    <x:row r="252" spans="1:47" ht="15" customHeight="1">
      <x:c r="A252" s="282" t="s">
        <x:v>2483</x:v>
      </x:c>
      <x:c r="B252" s="216"/>
      <x:c r="C252" s="283" t="s">
        <x:v>2484</x:v>
      </x:c>
      <x:c r="D252" s="282" t="s">
        <x:v>2485</x:v>
      </x:c>
      <x:c r="E252" s="282" t="s">
        <x:v>2486</x:v>
      </x:c>
      <x:c r="F252" s="277" t="s">
        <x:v>118</x:v>
      </x:c>
      <x:c r="G252" s="277" t="s">
        <x:v>118</x:v>
      </x:c>
      <x:c r="H252" s="277" t="s">
        <x:v>118</x:v>
      </x:c>
      <x:c r="I252" s="277" t="s">
        <x:v>118</x:v>
      </x:c>
      <x:c r="J252" s="277" t="s">
        <x:v>118</x:v>
      </x:c>
      <x:c r="K252" s="277" t="s">
        <x:v>118</x:v>
      </x:c>
      <x:c r="L252" s="277" t="s">
        <x:v>118</x:v>
      </x:c>
      <x:c r="M252" s="277" t="s">
        <x:v>118</x:v>
      </x:c>
      <x:c r="N252" s="277" t="s">
        <x:v>118</x:v>
      </x:c>
      <x:c r="O252" s="277" t="s">
        <x:v>118</x:v>
      </x:c>
      <x:c r="P252" s="277" t="s">
        <x:v>118</x:v>
      </x:c>
      <x:c r="Q252" s="277" t="s">
        <x:v>118</x:v>
      </x:c>
      <x:c r="R252" s="277" t="s">
        <x:v>118</x:v>
      </x:c>
      <x:c r="S252" s="277" t="s">
        <x:v>118</x:v>
      </x:c>
      <x:c r="T252" s="277" t="s">
        <x:v>118</x:v>
      </x:c>
      <x:c r="U252" s="277" t="s">
        <x:v>118</x:v>
      </x:c>
      <x:c r="V252" s="277" t="s">
        <x:v>118</x:v>
      </x:c>
      <x:c r="W252" s="277" t="s">
        <x:v>118</x:v>
      </x:c>
      <x:c r="X252" s="277" t="s">
        <x:v>118</x:v>
      </x:c>
      <x:c r="Y252" s="277" t="s">
        <x:v>118</x:v>
      </x:c>
      <x:c r="Z252" s="277" t="s">
        <x:v>118</x:v>
      </x:c>
      <x:c r="AA252" s="277" t="s">
        <x:v>118</x:v>
      </x:c>
      <x:c r="AB252" s="277" t="s">
        <x:v>118</x:v>
      </x:c>
      <x:c r="AC252" s="277" t="s">
        <x:v>118</x:v>
      </x:c>
      <x:c r="AD252" s="277" t="s">
        <x:v>118</x:v>
      </x:c>
      <x:c r="AE252" s="277" t="s">
        <x:v>118</x:v>
      </x:c>
      <x:c r="AF252" s="277" t="s">
        <x:v>118</x:v>
      </x:c>
      <x:c r="AG252" s="277" t="s">
        <x:v>118</x:v>
      </x:c>
      <x:c r="AH252" s="277" t="s">
        <x:v>118</x:v>
      </x:c>
      <x:c r="AI252" s="277" t="s">
        <x:v>118</x:v>
      </x:c>
      <x:c r="AJ252" s="277" t="s">
        <x:v>118</x:v>
      </x:c>
      <x:c r="AK252" s="220">
        <x:f>COUNTIF(F252:AJ252,"X")</x:f>
      </x:c>
      <x:c r="AL252" s="221"/>
      <x:c r="AM252" s="221"/>
      <x:c r="AN252" s="222"/>
      <x:c r="AO252" s="222"/>
      <x:c r="AP252" s="228"/>
      <x:c r="AQ252" s="228"/>
      <x:c r="AR252" s="228"/>
      <x:c r="AS252" s="228"/>
      <x:c r="AT252" s="230"/>
    </x:row>
    <x:row r="253" spans="1:47" ht="15" customHeight="1">
      <x:c r="A253" s="282" t="s">
        <x:v>2487</x:v>
      </x:c>
      <x:c r="B253" s="216"/>
      <x:c r="C253" s="283" t="s">
        <x:v>2488</x:v>
      </x:c>
      <x:c r="D253" s="282" t="s">
        <x:v>2489</x:v>
      </x:c>
      <x:c r="E253" s="282" t="s">
        <x:v>257</x:v>
      </x:c>
      <x:c r="F253" s="277" t="s">
        <x:v>118</x:v>
      </x:c>
      <x:c r="G253" s="277" t="s">
        <x:v>118</x:v>
      </x:c>
      <x:c r="H253" s="277" t="s">
        <x:v>118</x:v>
      </x:c>
      <x:c r="I253" s="277" t="s">
        <x:v>118</x:v>
      </x:c>
      <x:c r="J253" s="277" t="s">
        <x:v>118</x:v>
      </x:c>
      <x:c r="K253" s="277" t="s">
        <x:v>118</x:v>
      </x:c>
      <x:c r="L253" s="277" t="s">
        <x:v>118</x:v>
      </x:c>
      <x:c r="M253" s="277" t="s">
        <x:v>118</x:v>
      </x:c>
      <x:c r="N253" s="277" t="s">
        <x:v>118</x:v>
      </x:c>
      <x:c r="O253" s="277" t="s">
        <x:v>118</x:v>
      </x:c>
      <x:c r="P253" s="277" t="s">
        <x:v>118</x:v>
      </x:c>
      <x:c r="Q253" s="277" t="s">
        <x:v>118</x:v>
      </x:c>
      <x:c r="R253" s="277" t="s">
        <x:v>118</x:v>
      </x:c>
      <x:c r="S253" s="277" t="s">
        <x:v>118</x:v>
      </x:c>
      <x:c r="T253" s="277" t="s">
        <x:v>118</x:v>
      </x:c>
      <x:c r="U253" s="277" t="s">
        <x:v>118</x:v>
      </x:c>
      <x:c r="V253" s="277" t="s">
        <x:v>118</x:v>
      </x:c>
      <x:c r="W253" s="277" t="s">
        <x:v>118</x:v>
      </x:c>
      <x:c r="X253" s="277" t="s">
        <x:v>118</x:v>
      </x:c>
      <x:c r="Y253" s="277" t="s">
        <x:v>118</x:v>
      </x:c>
      <x:c r="Z253" s="277" t="s">
        <x:v>118</x:v>
      </x:c>
      <x:c r="AA253" s="277" t="s">
        <x:v>118</x:v>
      </x:c>
      <x:c r="AB253" s="277" t="s">
        <x:v>118</x:v>
      </x:c>
      <x:c r="AC253" s="277" t="s">
        <x:v>118</x:v>
      </x:c>
      <x:c r="AD253" s="277" t="s">
        <x:v>118</x:v>
      </x:c>
      <x:c r="AE253" s="277" t="s">
        <x:v>118</x:v>
      </x:c>
      <x:c r="AF253" s="277" t="s">
        <x:v>118</x:v>
      </x:c>
      <x:c r="AG253" s="277" t="s">
        <x:v>118</x:v>
      </x:c>
      <x:c r="AH253" s="277" t="s">
        <x:v>118</x:v>
      </x:c>
      <x:c r="AI253" s="277" t="s">
        <x:v>118</x:v>
      </x:c>
      <x:c r="AJ253" s="277" t="s">
        <x:v>118</x:v>
      </x:c>
      <x:c r="AK253" s="220">
        <x:f>COUNTIF(F253:AJ253,"X")</x:f>
      </x:c>
      <x:c r="AL253" s="221"/>
      <x:c r="AM253" s="221"/>
      <x:c r="AN253" s="222"/>
      <x:c r="AO253" s="222"/>
      <x:c r="AP253" s="228"/>
      <x:c r="AQ253" s="228"/>
      <x:c r="AR253" s="228"/>
      <x:c r="AS253" s="228"/>
      <x:c r="AT253" s="230"/>
    </x:row>
    <x:row r="254" spans="1:47" ht="15" customHeight="1">
      <x:c r="A254" s="282" t="s">
        <x:v>2490</x:v>
      </x:c>
      <x:c r="B254" s="216"/>
      <x:c r="C254" s="283" t="s">
        <x:v>2491</x:v>
      </x:c>
      <x:c r="D254" s="282" t="s">
        <x:v>1440</x:v>
      </x:c>
      <x:c r="E254" s="282" t="s">
        <x:v>2492</x:v>
      </x:c>
      <x:c r="F254" s="277" t="s">
        <x:v>118</x:v>
      </x:c>
      <x:c r="G254" s="277" t="s">
        <x:v>118</x:v>
      </x:c>
      <x:c r="H254" s="277" t="s">
        <x:v>118</x:v>
      </x:c>
      <x:c r="I254" s="277" t="s">
        <x:v>118</x:v>
      </x:c>
      <x:c r="J254" s="277" t="s">
        <x:v>118</x:v>
      </x:c>
      <x:c r="K254" s="277" t="s">
        <x:v>118</x:v>
      </x:c>
      <x:c r="L254" s="277" t="s">
        <x:v>118</x:v>
      </x:c>
      <x:c r="M254" s="277" t="s">
        <x:v>118</x:v>
      </x:c>
      <x:c r="N254" s="277" t="s">
        <x:v>118</x:v>
      </x:c>
      <x:c r="O254" s="277" t="s">
        <x:v>118</x:v>
      </x:c>
      <x:c r="P254" s="277" t="s">
        <x:v>118</x:v>
      </x:c>
      <x:c r="Q254" s="277" t="s">
        <x:v>118</x:v>
      </x:c>
      <x:c r="R254" s="277" t="s">
        <x:v>118</x:v>
      </x:c>
      <x:c r="S254" s="277" t="s">
        <x:v>118</x:v>
      </x:c>
      <x:c r="T254" s="277" t="s">
        <x:v>118</x:v>
      </x:c>
      <x:c r="U254" s="277" t="s">
        <x:v>118</x:v>
      </x:c>
      <x:c r="V254" s="277" t="s">
        <x:v>118</x:v>
      </x:c>
      <x:c r="W254" s="277" t="s">
        <x:v>118</x:v>
      </x:c>
      <x:c r="X254" s="277" t="s">
        <x:v>118</x:v>
      </x:c>
      <x:c r="Y254" s="277" t="s">
        <x:v>118</x:v>
      </x:c>
      <x:c r="Z254" s="277" t="s">
        <x:v>118</x:v>
      </x:c>
      <x:c r="AA254" s="277" t="s">
        <x:v>118</x:v>
      </x:c>
      <x:c r="AB254" s="277" t="s">
        <x:v>118</x:v>
      </x:c>
      <x:c r="AC254" s="277" t="s">
        <x:v>118</x:v>
      </x:c>
      <x:c r="AD254" s="277" t="s">
        <x:v>118</x:v>
      </x:c>
      <x:c r="AE254" s="277" t="s">
        <x:v>118</x:v>
      </x:c>
      <x:c r="AF254" s="277" t="s">
        <x:v>118</x:v>
      </x:c>
      <x:c r="AG254" s="277" t="s">
        <x:v>118</x:v>
      </x:c>
      <x:c r="AH254" s="277" t="s">
        <x:v>118</x:v>
      </x:c>
      <x:c r="AI254" s="277" t="s">
        <x:v>118</x:v>
      </x:c>
      <x:c r="AJ254" s="277" t="s">
        <x:v>118</x:v>
      </x:c>
      <x:c r="AK254" s="220">
        <x:f>COUNTIF(F254:AJ254,"X")</x:f>
      </x:c>
      <x:c r="AL254" s="221"/>
      <x:c r="AM254" s="221"/>
      <x:c r="AN254" s="222"/>
      <x:c r="AO254" s="222"/>
      <x:c r="AP254" s="228"/>
      <x:c r="AQ254" s="228"/>
      <x:c r="AR254" s="228"/>
      <x:c r="AS254" s="228"/>
      <x:c r="AT254" s="230"/>
    </x:row>
    <x:row r="255" spans="1:47" ht="15" customHeight="1">
      <x:c r="A255" s="282" t="s">
        <x:v>2493</x:v>
      </x:c>
      <x:c r="B255" s="216"/>
      <x:c r="C255" s="283" t="s">
        <x:v>2494</x:v>
      </x:c>
      <x:c r="D255" s="282" t="s">
        <x:v>2495</x:v>
      </x:c>
      <x:c r="E255" s="282" t="s">
        <x:v>2496</x:v>
      </x:c>
      <x:c r="F255" s="281" t="s">
        <x:v>118</x:v>
      </x:c>
      <x:c r="G255" s="281" t="s">
        <x:v>118</x:v>
      </x:c>
      <x:c r="H255" s="281" t="s">
        <x:v>118</x:v>
      </x:c>
      <x:c r="I255" s="281" t="s">
        <x:v>118</x:v>
      </x:c>
      <x:c r="J255" s="281" t="s">
        <x:v>118</x:v>
      </x:c>
      <x:c r="K255" s="281" t="s">
        <x:v>118</x:v>
      </x:c>
      <x:c r="L255" s="281" t="s">
        <x:v>118</x:v>
      </x:c>
      <x:c r="M255" s="281" t="s">
        <x:v>118</x:v>
      </x:c>
      <x:c r="N255" s="281" t="s">
        <x:v>118</x:v>
      </x:c>
      <x:c r="O255" s="281" t="s">
        <x:v>118</x:v>
      </x:c>
      <x:c r="P255" s="281" t="s">
        <x:v>118</x:v>
      </x:c>
      <x:c r="Q255" s="281" t="s">
        <x:v>118</x:v>
      </x:c>
      <x:c r="R255" s="281" t="s">
        <x:v>118</x:v>
      </x:c>
      <x:c r="S255" s="281" t="s">
        <x:v>118</x:v>
      </x:c>
      <x:c r="T255" s="281" t="s">
        <x:v>118</x:v>
      </x:c>
      <x:c r="U255" s="281" t="s">
        <x:v>118</x:v>
      </x:c>
      <x:c r="V255" s="281" t="s">
        <x:v>118</x:v>
      </x:c>
      <x:c r="W255" s="281" t="s">
        <x:v>118</x:v>
      </x:c>
      <x:c r="X255" s="281" t="s">
        <x:v>118</x:v>
      </x:c>
      <x:c r="Y255" s="281" t="s">
        <x:v>118</x:v>
      </x:c>
      <x:c r="Z255" s="281" t="s">
        <x:v>118</x:v>
      </x:c>
      <x:c r="AA255" s="281" t="s">
        <x:v>118</x:v>
      </x:c>
      <x:c r="AB255" s="281" t="s">
        <x:v>118</x:v>
      </x:c>
      <x:c r="AC255" s="281" t="s">
        <x:v>118</x:v>
      </x:c>
      <x:c r="AD255" s="281" t="s">
        <x:v>118</x:v>
      </x:c>
      <x:c r="AE255" s="281" t="s">
        <x:v>118</x:v>
      </x:c>
      <x:c r="AF255" s="281" t="s">
        <x:v>118</x:v>
      </x:c>
      <x:c r="AG255" s="281" t="s">
        <x:v>118</x:v>
      </x:c>
      <x:c r="AH255" s="281" t="s">
        <x:v>118</x:v>
      </x:c>
      <x:c r="AI255" s="281" t="s">
        <x:v>118</x:v>
      </x:c>
      <x:c r="AJ255" s="281" t="s">
        <x:v>118</x:v>
      </x:c>
      <x:c r="AK255" s="220">
        <x:f>COUNTIF(F255:AJ255,"X")</x:f>
      </x:c>
      <x:c r="AL255" s="221"/>
      <x:c r="AM255" s="221"/>
      <x:c r="AN255" s="222"/>
      <x:c r="AO255" s="222"/>
      <x:c r="AP255" s="228"/>
      <x:c r="AQ255" s="228"/>
      <x:c r="AR255" s="228"/>
      <x:c r="AS255" s="228"/>
      <x:c r="AT255" s="230"/>
    </x:row>
    <x:row r="256" spans="1:47" ht="15" customHeight="1">
      <x:c r="A256" s="282" t="s">
        <x:v>2497</x:v>
      </x:c>
      <x:c r="B256" s="216"/>
      <x:c r="C256" s="283" t="s">
        <x:v>2498</x:v>
      </x:c>
      <x:c r="D256" s="282" t="s">
        <x:v>2499</x:v>
      </x:c>
      <x:c r="E256" s="282" t="s">
        <x:v>2140</x:v>
      </x:c>
      <x:c r="F256" s="277" t="s">
        <x:v>118</x:v>
      </x:c>
      <x:c r="G256" s="277" t="s">
        <x:v>118</x:v>
      </x:c>
      <x:c r="H256" s="277" t="s">
        <x:v>118</x:v>
      </x:c>
      <x:c r="I256" s="277" t="s">
        <x:v>118</x:v>
      </x:c>
      <x:c r="J256" s="277" t="s">
        <x:v>118</x:v>
      </x:c>
      <x:c r="K256" s="277" t="s">
        <x:v>118</x:v>
      </x:c>
      <x:c r="L256" s="277" t="s">
        <x:v>118</x:v>
      </x:c>
      <x:c r="M256" s="277" t="s">
        <x:v>118</x:v>
      </x:c>
      <x:c r="N256" s="277" t="s">
        <x:v>118</x:v>
      </x:c>
      <x:c r="O256" s="277" t="s">
        <x:v>118</x:v>
      </x:c>
      <x:c r="P256" s="277" t="s">
        <x:v>118</x:v>
      </x:c>
      <x:c r="Q256" s="277" t="s">
        <x:v>118</x:v>
      </x:c>
      <x:c r="R256" s="277" t="s">
        <x:v>118</x:v>
      </x:c>
      <x:c r="S256" s="277" t="s">
        <x:v>118</x:v>
      </x:c>
      <x:c r="T256" s="277" t="s">
        <x:v>118</x:v>
      </x:c>
      <x:c r="U256" s="277" t="s">
        <x:v>118</x:v>
      </x:c>
      <x:c r="V256" s="277" t="s">
        <x:v>118</x:v>
      </x:c>
      <x:c r="W256" s="277" t="s">
        <x:v>118</x:v>
      </x:c>
      <x:c r="X256" s="277" t="s">
        <x:v>118</x:v>
      </x:c>
      <x:c r="Y256" s="277" t="s">
        <x:v>118</x:v>
      </x:c>
      <x:c r="Z256" s="277" t="s">
        <x:v>118</x:v>
      </x:c>
      <x:c r="AA256" s="277" t="s">
        <x:v>118</x:v>
      </x:c>
      <x:c r="AB256" s="277" t="s">
        <x:v>118</x:v>
      </x:c>
      <x:c r="AC256" s="277" t="s">
        <x:v>118</x:v>
      </x:c>
      <x:c r="AD256" s="277" t="s">
        <x:v>118</x:v>
      </x:c>
      <x:c r="AE256" s="277" t="s">
        <x:v>118</x:v>
      </x:c>
      <x:c r="AF256" s="277" t="s">
        <x:v>118</x:v>
      </x:c>
      <x:c r="AG256" s="277" t="s">
        <x:v>118</x:v>
      </x:c>
      <x:c r="AH256" s="277" t="s">
        <x:v>118</x:v>
      </x:c>
      <x:c r="AI256" s="277" t="s">
        <x:v>118</x:v>
      </x:c>
      <x:c r="AJ256" s="277" t="s">
        <x:v>118</x:v>
      </x:c>
      <x:c r="AK256" s="220">
        <x:f>COUNTIF(F256:AJ256,"X")</x:f>
      </x:c>
      <x:c r="AL256" s="221"/>
      <x:c r="AM256" s="221"/>
      <x:c r="AN256" s="222"/>
      <x:c r="AO256" s="222"/>
      <x:c r="AP256" s="228"/>
      <x:c r="AQ256" s="228"/>
      <x:c r="AR256" s="228"/>
      <x:c r="AS256" s="228"/>
      <x:c r="AT256" s="230"/>
    </x:row>
    <x:row r="257" spans="1:47" ht="15" customHeight="1">
      <x:c r="A257" s="282" t="s">
        <x:v>2500</x:v>
      </x:c>
      <x:c r="B257" s="216"/>
      <x:c r="C257" s="283" t="s">
        <x:v>2501</x:v>
      </x:c>
      <x:c r="D257" s="282" t="s">
        <x:v>2502</x:v>
      </x:c>
      <x:c r="E257" s="282" t="s">
        <x:v>2503</x:v>
      </x:c>
      <x:c r="F257" s="277" t="s">
        <x:v>118</x:v>
      </x:c>
      <x:c r="G257" s="277" t="s">
        <x:v>118</x:v>
      </x:c>
      <x:c r="H257" s="277" t="s">
        <x:v>118</x:v>
      </x:c>
      <x:c r="I257" s="277" t="s">
        <x:v>118</x:v>
      </x:c>
      <x:c r="J257" s="277" t="s">
        <x:v>118</x:v>
      </x:c>
      <x:c r="K257" s="277" t="s">
        <x:v>118</x:v>
      </x:c>
      <x:c r="L257" s="277" t="s">
        <x:v>118</x:v>
      </x:c>
      <x:c r="M257" s="277" t="s">
        <x:v>118</x:v>
      </x:c>
      <x:c r="N257" s="277" t="s">
        <x:v>118</x:v>
      </x:c>
      <x:c r="O257" s="277" t="s">
        <x:v>118</x:v>
      </x:c>
      <x:c r="P257" s="277" t="s">
        <x:v>118</x:v>
      </x:c>
      <x:c r="Q257" s="277" t="s">
        <x:v>118</x:v>
      </x:c>
      <x:c r="R257" s="277" t="s">
        <x:v>118</x:v>
      </x:c>
      <x:c r="S257" s="277" t="s">
        <x:v>118</x:v>
      </x:c>
      <x:c r="T257" s="277" t="s">
        <x:v>118</x:v>
      </x:c>
      <x:c r="U257" s="277" t="s">
        <x:v>118</x:v>
      </x:c>
      <x:c r="V257" s="277" t="s">
        <x:v>118</x:v>
      </x:c>
      <x:c r="W257" s="277" t="s">
        <x:v>118</x:v>
      </x:c>
      <x:c r="X257" s="277" t="s">
        <x:v>118</x:v>
      </x:c>
      <x:c r="Y257" s="277" t="s">
        <x:v>118</x:v>
      </x:c>
      <x:c r="Z257" s="277" t="s">
        <x:v>118</x:v>
      </x:c>
      <x:c r="AA257" s="277" t="s">
        <x:v>118</x:v>
      </x:c>
      <x:c r="AB257" s="277" t="s">
        <x:v>118</x:v>
      </x:c>
      <x:c r="AC257" s="277" t="s">
        <x:v>118</x:v>
      </x:c>
      <x:c r="AD257" s="277" t="s">
        <x:v>118</x:v>
      </x:c>
      <x:c r="AE257" s="277" t="s">
        <x:v>118</x:v>
      </x:c>
      <x:c r="AF257" s="277" t="s">
        <x:v>118</x:v>
      </x:c>
      <x:c r="AG257" s="277" t="s">
        <x:v>118</x:v>
      </x:c>
      <x:c r="AH257" s="277" t="s">
        <x:v>118</x:v>
      </x:c>
      <x:c r="AI257" s="277" t="s">
        <x:v>118</x:v>
      </x:c>
      <x:c r="AJ257" s="277" t="s">
        <x:v>118</x:v>
      </x:c>
      <x:c r="AK257" s="220">
        <x:f>COUNTIF(F257:AJ257,"X")</x:f>
      </x:c>
      <x:c r="AL257" s="221"/>
      <x:c r="AM257" s="221"/>
      <x:c r="AN257" s="222"/>
      <x:c r="AO257" s="222"/>
      <x:c r="AP257" s="228"/>
      <x:c r="AQ257" s="228"/>
      <x:c r="AR257" s="228"/>
      <x:c r="AS257" s="228"/>
      <x:c r="AT257" s="230"/>
    </x:row>
    <x:row r="258" spans="1:47" ht="15" customHeight="1">
      <x:c r="A258" s="282" t="s">
        <x:v>2504</x:v>
      </x:c>
      <x:c r="B258" s="216"/>
      <x:c r="C258" s="283" t="s">
        <x:v>2505</x:v>
      </x:c>
      <x:c r="D258" s="282" t="s">
        <x:v>2502</x:v>
      </x:c>
      <x:c r="E258" s="282" t="s">
        <x:v>2506</x:v>
      </x:c>
      <x:c r="F258" s="277" t="s">
        <x:v>118</x:v>
      </x:c>
      <x:c r="G258" s="277" t="s">
        <x:v>118</x:v>
      </x:c>
      <x:c r="H258" s="277" t="s">
        <x:v>118</x:v>
      </x:c>
      <x:c r="I258" s="277" t="s">
        <x:v>118</x:v>
      </x:c>
      <x:c r="J258" s="277" t="s">
        <x:v>118</x:v>
      </x:c>
      <x:c r="K258" s="277" t="s">
        <x:v>118</x:v>
      </x:c>
      <x:c r="L258" s="277" t="s">
        <x:v>118</x:v>
      </x:c>
      <x:c r="M258" s="277" t="s">
        <x:v>118</x:v>
      </x:c>
      <x:c r="N258" s="277" t="s">
        <x:v>118</x:v>
      </x:c>
      <x:c r="O258" s="277" t="s">
        <x:v>118</x:v>
      </x:c>
      <x:c r="P258" s="277" t="s">
        <x:v>118</x:v>
      </x:c>
      <x:c r="Q258" s="277" t="s">
        <x:v>118</x:v>
      </x:c>
      <x:c r="R258" s="277" t="s">
        <x:v>118</x:v>
      </x:c>
      <x:c r="S258" s="277" t="s">
        <x:v>118</x:v>
      </x:c>
      <x:c r="T258" s="277" t="s">
        <x:v>118</x:v>
      </x:c>
      <x:c r="U258" s="277" t="s">
        <x:v>118</x:v>
      </x:c>
      <x:c r="V258" s="277" t="s">
        <x:v>118</x:v>
      </x:c>
      <x:c r="W258" s="277" t="s">
        <x:v>118</x:v>
      </x:c>
      <x:c r="X258" s="277" t="s">
        <x:v>118</x:v>
      </x:c>
      <x:c r="Y258" s="277" t="s">
        <x:v>118</x:v>
      </x:c>
      <x:c r="Z258" s="277" t="s">
        <x:v>118</x:v>
      </x:c>
      <x:c r="AA258" s="277" t="s">
        <x:v>118</x:v>
      </x:c>
      <x:c r="AB258" s="277" t="s">
        <x:v>118</x:v>
      </x:c>
      <x:c r="AC258" s="277" t="s">
        <x:v>118</x:v>
      </x:c>
      <x:c r="AD258" s="277" t="s">
        <x:v>118</x:v>
      </x:c>
      <x:c r="AE258" s="277" t="s">
        <x:v>118</x:v>
      </x:c>
      <x:c r="AF258" s="277" t="s">
        <x:v>118</x:v>
      </x:c>
      <x:c r="AG258" s="277" t="s">
        <x:v>118</x:v>
      </x:c>
      <x:c r="AH258" s="277" t="s">
        <x:v>118</x:v>
      </x:c>
      <x:c r="AI258" s="277" t="s">
        <x:v>118</x:v>
      </x:c>
      <x:c r="AJ258" s="277" t="s">
        <x:v>118</x:v>
      </x:c>
      <x:c r="AK258" s="220">
        <x:f>COUNTIF(F258:AJ258,"X")</x:f>
      </x:c>
      <x:c r="AL258" s="221"/>
      <x:c r="AM258" s="221"/>
      <x:c r="AN258" s="222"/>
      <x:c r="AO258" s="222"/>
      <x:c r="AP258" s="228"/>
      <x:c r="AQ258" s="228"/>
      <x:c r="AR258" s="228"/>
      <x:c r="AS258" s="228"/>
      <x:c r="AT258" s="230"/>
    </x:row>
    <x:row r="259" spans="1:47" ht="15" customHeight="1">
      <x:c r="A259" s="282" t="s">
        <x:v>2507</x:v>
      </x:c>
      <x:c r="B259" s="216"/>
      <x:c r="C259" s="283" t="s">
        <x:v>2508</x:v>
      </x:c>
      <x:c r="D259" s="282" t="s">
        <x:v>2509</x:v>
      </x:c>
      <x:c r="E259" s="282" t="s">
        <x:v>2510</x:v>
      </x:c>
      <x:c r="F259" s="277" t="s">
        <x:v>118</x:v>
      </x:c>
      <x:c r="G259" s="277" t="s">
        <x:v>118</x:v>
      </x:c>
      <x:c r="H259" s="277" t="s">
        <x:v>118</x:v>
      </x:c>
      <x:c r="I259" s="277" t="s">
        <x:v>118</x:v>
      </x:c>
      <x:c r="J259" s="277" t="s">
        <x:v>118</x:v>
      </x:c>
      <x:c r="K259" s="277" t="s">
        <x:v>118</x:v>
      </x:c>
      <x:c r="L259" s="277" t="s">
        <x:v>118</x:v>
      </x:c>
      <x:c r="M259" s="277" t="s">
        <x:v>118</x:v>
      </x:c>
      <x:c r="N259" s="277" t="s">
        <x:v>118</x:v>
      </x:c>
      <x:c r="O259" s="277" t="s">
        <x:v>118</x:v>
      </x:c>
      <x:c r="P259" s="277" t="s">
        <x:v>118</x:v>
      </x:c>
      <x:c r="Q259" s="277" t="s">
        <x:v>118</x:v>
      </x:c>
      <x:c r="R259" s="277" t="s">
        <x:v>118</x:v>
      </x:c>
      <x:c r="S259" s="277" t="s">
        <x:v>118</x:v>
      </x:c>
      <x:c r="T259" s="277" t="s">
        <x:v>118</x:v>
      </x:c>
      <x:c r="U259" s="277" t="s">
        <x:v>118</x:v>
      </x:c>
      <x:c r="V259" s="277" t="s">
        <x:v>118</x:v>
      </x:c>
      <x:c r="W259" s="277" t="s">
        <x:v>118</x:v>
      </x:c>
      <x:c r="X259" s="277" t="s">
        <x:v>118</x:v>
      </x:c>
      <x:c r="Y259" s="277" t="s">
        <x:v>118</x:v>
      </x:c>
      <x:c r="Z259" s="277" t="s">
        <x:v>118</x:v>
      </x:c>
      <x:c r="AA259" s="277" t="s">
        <x:v>118</x:v>
      </x:c>
      <x:c r="AB259" s="277" t="s">
        <x:v>118</x:v>
      </x:c>
      <x:c r="AC259" s="277" t="s">
        <x:v>118</x:v>
      </x:c>
      <x:c r="AD259" s="277" t="s">
        <x:v>118</x:v>
      </x:c>
      <x:c r="AE259" s="277" t="s">
        <x:v>118</x:v>
      </x:c>
      <x:c r="AF259" s="277" t="s">
        <x:v>118</x:v>
      </x:c>
      <x:c r="AG259" s="277" t="s">
        <x:v>118</x:v>
      </x:c>
      <x:c r="AH259" s="277" t="s">
        <x:v>118</x:v>
      </x:c>
      <x:c r="AI259" s="277" t="s">
        <x:v>118</x:v>
      </x:c>
      <x:c r="AJ259" s="277" t="s">
        <x:v>118</x:v>
      </x:c>
      <x:c r="AK259" s="220">
        <x:f>COUNTIF(F259:AJ259,"X")</x:f>
      </x:c>
      <x:c r="AL259" s="221"/>
      <x:c r="AM259" s="221"/>
      <x:c r="AN259" s="222"/>
      <x:c r="AO259" s="222"/>
      <x:c r="AP259" s="228"/>
      <x:c r="AQ259" s="228"/>
      <x:c r="AR259" s="228"/>
      <x:c r="AS259" s="228"/>
      <x:c r="AT259" s="230"/>
    </x:row>
    <x:row r="260" spans="1:47" ht="15" customHeight="1">
      <x:c r="A260" s="282" t="s">
        <x:v>2511</x:v>
      </x:c>
      <x:c r="B260" s="216"/>
      <x:c r="C260" s="283" t="s">
        <x:v>2512</x:v>
      </x:c>
      <x:c r="D260" s="282" t="s">
        <x:v>2513</x:v>
      </x:c>
      <x:c r="E260" s="282" t="s">
        <x:v>123</x:v>
      </x:c>
      <x:c r="F260" s="277" t="s">
        <x:v>118</x:v>
      </x:c>
      <x:c r="G260" s="277" t="s">
        <x:v>118</x:v>
      </x:c>
      <x:c r="H260" s="277" t="s">
        <x:v>118</x:v>
      </x:c>
      <x:c r="I260" s="277" t="s">
        <x:v>118</x:v>
      </x:c>
      <x:c r="J260" s="277" t="s">
        <x:v>118</x:v>
      </x:c>
      <x:c r="K260" s="277" t="s">
        <x:v>118</x:v>
      </x:c>
      <x:c r="L260" s="277" t="s">
        <x:v>118</x:v>
      </x:c>
      <x:c r="M260" s="277" t="s">
        <x:v>118</x:v>
      </x:c>
      <x:c r="N260" s="277" t="s">
        <x:v>118</x:v>
      </x:c>
      <x:c r="O260" s="277" t="s">
        <x:v>118</x:v>
      </x:c>
      <x:c r="P260" s="277" t="s">
        <x:v>118</x:v>
      </x:c>
      <x:c r="Q260" s="277" t="s">
        <x:v>118</x:v>
      </x:c>
      <x:c r="R260" s="277" t="s">
        <x:v>118</x:v>
      </x:c>
      <x:c r="S260" s="277" t="s">
        <x:v>118</x:v>
      </x:c>
      <x:c r="T260" s="277" t="s">
        <x:v>118</x:v>
      </x:c>
      <x:c r="U260" s="277" t="s">
        <x:v>118</x:v>
      </x:c>
      <x:c r="V260" s="277" t="s">
        <x:v>118</x:v>
      </x:c>
      <x:c r="W260" s="277" t="s">
        <x:v>118</x:v>
      </x:c>
      <x:c r="X260" s="277" t="s">
        <x:v>118</x:v>
      </x:c>
      <x:c r="Y260" s="277" t="s">
        <x:v>118</x:v>
      </x:c>
      <x:c r="Z260" s="277" t="s">
        <x:v>118</x:v>
      </x:c>
      <x:c r="AA260" s="277" t="s">
        <x:v>118</x:v>
      </x:c>
      <x:c r="AB260" s="277" t="s">
        <x:v>118</x:v>
      </x:c>
      <x:c r="AC260" s="277" t="s">
        <x:v>118</x:v>
      </x:c>
      <x:c r="AD260" s="277" t="s">
        <x:v>118</x:v>
      </x:c>
      <x:c r="AE260" s="277" t="s">
        <x:v>118</x:v>
      </x:c>
      <x:c r="AF260" s="277" t="s">
        <x:v>118</x:v>
      </x:c>
      <x:c r="AG260" s="277" t="s">
        <x:v>118</x:v>
      </x:c>
      <x:c r="AH260" s="277" t="s">
        <x:v>118</x:v>
      </x:c>
      <x:c r="AI260" s="277" t="s">
        <x:v>118</x:v>
      </x:c>
      <x:c r="AJ260" s="277" t="s">
        <x:v>118</x:v>
      </x:c>
      <x:c r="AK260" s="220">
        <x:f>COUNTIF(F260:AJ260,"X")</x:f>
      </x:c>
      <x:c r="AL260" s="221"/>
      <x:c r="AM260" s="221"/>
      <x:c r="AN260" s="222"/>
      <x:c r="AO260" s="222"/>
      <x:c r="AP260" s="228"/>
      <x:c r="AQ260" s="228"/>
      <x:c r="AR260" s="228"/>
      <x:c r="AS260" s="228"/>
      <x:c r="AT260" s="230"/>
    </x:row>
    <x:row r="261" spans="1:47" ht="15" customHeight="1">
      <x:c r="A261" s="282" t="s">
        <x:v>2514</x:v>
      </x:c>
      <x:c r="B261" s="216"/>
      <x:c r="C261" s="283" t="s">
        <x:v>2515</x:v>
      </x:c>
      <x:c r="D261" s="282" t="s">
        <x:v>1463</x:v>
      </x:c>
      <x:c r="E261" s="282" t="s">
        <x:v>2516</x:v>
      </x:c>
      <x:c r="F261" s="281" t="s">
        <x:v>118</x:v>
      </x:c>
      <x:c r="G261" s="281" t="s">
        <x:v>118</x:v>
      </x:c>
      <x:c r="H261" s="281" t="s">
        <x:v>118</x:v>
      </x:c>
      <x:c r="I261" s="281" t="s">
        <x:v>118</x:v>
      </x:c>
      <x:c r="J261" s="281" t="s">
        <x:v>118</x:v>
      </x:c>
      <x:c r="K261" s="281" t="s">
        <x:v>118</x:v>
      </x:c>
      <x:c r="L261" s="281" t="s">
        <x:v>118</x:v>
      </x:c>
      <x:c r="M261" s="281" t="s">
        <x:v>118</x:v>
      </x:c>
      <x:c r="N261" s="281" t="s">
        <x:v>118</x:v>
      </x:c>
      <x:c r="O261" s="281" t="s">
        <x:v>118</x:v>
      </x:c>
      <x:c r="P261" s="281" t="s">
        <x:v>118</x:v>
      </x:c>
      <x:c r="Q261" s="281" t="s">
        <x:v>118</x:v>
      </x:c>
      <x:c r="R261" s="281" t="s">
        <x:v>118</x:v>
      </x:c>
      <x:c r="S261" s="281" t="s">
        <x:v>118</x:v>
      </x:c>
      <x:c r="T261" s="281" t="s">
        <x:v>118</x:v>
      </x:c>
      <x:c r="U261" s="281" t="s">
        <x:v>118</x:v>
      </x:c>
      <x:c r="V261" s="281" t="s">
        <x:v>118</x:v>
      </x:c>
      <x:c r="W261" s="281" t="s">
        <x:v>118</x:v>
      </x:c>
      <x:c r="X261" s="281" t="s">
        <x:v>118</x:v>
      </x:c>
      <x:c r="Y261" s="281" t="s">
        <x:v>118</x:v>
      </x:c>
      <x:c r="Z261" s="281" t="s">
        <x:v>118</x:v>
      </x:c>
      <x:c r="AA261" s="281" t="s">
        <x:v>118</x:v>
      </x:c>
      <x:c r="AB261" s="281" t="s">
        <x:v>118</x:v>
      </x:c>
      <x:c r="AC261" s="281" t="s">
        <x:v>118</x:v>
      </x:c>
      <x:c r="AD261" s="281" t="s">
        <x:v>118</x:v>
      </x:c>
      <x:c r="AE261" s="281" t="s">
        <x:v>118</x:v>
      </x:c>
      <x:c r="AF261" s="281" t="s">
        <x:v>118</x:v>
      </x:c>
      <x:c r="AG261" s="281" t="s">
        <x:v>118</x:v>
      </x:c>
      <x:c r="AH261" s="281" t="s">
        <x:v>118</x:v>
      </x:c>
      <x:c r="AI261" s="281" t="s">
        <x:v>118</x:v>
      </x:c>
      <x:c r="AJ261" s="281" t="s">
        <x:v>118</x:v>
      </x:c>
      <x:c r="AK261" s="220">
        <x:f>COUNTIF(F261:AJ261,"X")</x:f>
      </x:c>
      <x:c r="AL261" s="221"/>
      <x:c r="AM261" s="221"/>
      <x:c r="AN261" s="222"/>
      <x:c r="AO261" s="222"/>
      <x:c r="AP261" s="228"/>
      <x:c r="AQ261" s="228"/>
      <x:c r="AR261" s="228"/>
      <x:c r="AS261" s="228"/>
      <x:c r="AT261" s="230"/>
    </x:row>
    <x:row r="262" spans="1:47" ht="15" customHeight="1">
      <x:c r="A262" s="282" t="s">
        <x:v>2517</x:v>
      </x:c>
      <x:c r="B262" s="216"/>
      <x:c r="C262" s="283" t="s">
        <x:v>2518</x:v>
      </x:c>
      <x:c r="D262" s="282" t="s">
        <x:v>2519</x:v>
      </x:c>
      <x:c r="E262" s="282" t="s">
        <x:v>135</x:v>
      </x:c>
      <x:c r="F262" s="281" t="s">
        <x:v>118</x:v>
      </x:c>
      <x:c r="G262" s="281" t="s">
        <x:v>118</x:v>
      </x:c>
      <x:c r="H262" s="281" t="s">
        <x:v>118</x:v>
      </x:c>
      <x:c r="I262" s="281" t="s">
        <x:v>118</x:v>
      </x:c>
      <x:c r="J262" s="281" t="s">
        <x:v>118</x:v>
      </x:c>
      <x:c r="K262" s="281" t="s">
        <x:v>118</x:v>
      </x:c>
      <x:c r="L262" s="281" t="s">
        <x:v>118</x:v>
      </x:c>
      <x:c r="M262" s="281" t="s">
        <x:v>118</x:v>
      </x:c>
      <x:c r="N262" s="281" t="s">
        <x:v>118</x:v>
      </x:c>
      <x:c r="O262" s="281" t="s">
        <x:v>118</x:v>
      </x:c>
      <x:c r="P262" s="281" t="s">
        <x:v>118</x:v>
      </x:c>
      <x:c r="Q262" s="281" t="s">
        <x:v>118</x:v>
      </x:c>
      <x:c r="R262" s="281" t="s">
        <x:v>118</x:v>
      </x:c>
      <x:c r="S262" s="281" t="s">
        <x:v>118</x:v>
      </x:c>
      <x:c r="T262" s="281" t="s">
        <x:v>118</x:v>
      </x:c>
      <x:c r="U262" s="281" t="s">
        <x:v>118</x:v>
      </x:c>
      <x:c r="V262" s="281" t="s">
        <x:v>118</x:v>
      </x:c>
      <x:c r="W262" s="281" t="s">
        <x:v>118</x:v>
      </x:c>
      <x:c r="X262" s="281" t="s">
        <x:v>118</x:v>
      </x:c>
      <x:c r="Y262" s="281" t="s">
        <x:v>118</x:v>
      </x:c>
      <x:c r="Z262" s="281" t="s">
        <x:v>118</x:v>
      </x:c>
      <x:c r="AA262" s="281" t="s">
        <x:v>118</x:v>
      </x:c>
      <x:c r="AB262" s="281" t="s">
        <x:v>118</x:v>
      </x:c>
      <x:c r="AC262" s="281" t="s">
        <x:v>118</x:v>
      </x:c>
      <x:c r="AD262" s="281" t="s">
        <x:v>118</x:v>
      </x:c>
      <x:c r="AE262" s="281" t="s">
        <x:v>118</x:v>
      </x:c>
      <x:c r="AF262" s="281" t="s">
        <x:v>118</x:v>
      </x:c>
      <x:c r="AG262" s="281" t="s">
        <x:v>118</x:v>
      </x:c>
      <x:c r="AH262" s="281" t="s">
        <x:v>118</x:v>
      </x:c>
      <x:c r="AI262" s="281" t="s">
        <x:v>118</x:v>
      </x:c>
      <x:c r="AJ262" s="281" t="s">
        <x:v>118</x:v>
      </x:c>
      <x:c r="AK262" s="220">
        <x:f>COUNTIF(F262:AJ262,"X")</x:f>
      </x:c>
      <x:c r="AL262" s="221"/>
      <x:c r="AM262" s="221"/>
      <x:c r="AN262" s="222"/>
      <x:c r="AO262" s="222"/>
      <x:c r="AP262" s="228"/>
      <x:c r="AQ262" s="228"/>
      <x:c r="AR262" s="228"/>
      <x:c r="AS262" s="228"/>
      <x:c r="AT262" s="230"/>
    </x:row>
    <x:row r="263" spans="1:47" ht="15" customHeight="1">
      <x:c r="A263" s="282" t="s">
        <x:v>2520</x:v>
      </x:c>
      <x:c r="B263" s="216"/>
      <x:c r="C263" s="283" t="s">
        <x:v>2521</x:v>
      </x:c>
      <x:c r="D263" s="282" t="s">
        <x:v>2522</x:v>
      </x:c>
      <x:c r="E263" s="282" t="s">
        <x:v>2523</x:v>
      </x:c>
      <x:c r="F263" s="281" t="s">
        <x:v>118</x:v>
      </x:c>
      <x:c r="G263" s="281" t="s">
        <x:v>118</x:v>
      </x:c>
      <x:c r="H263" s="281" t="s">
        <x:v>118</x:v>
      </x:c>
      <x:c r="I263" s="281" t="s">
        <x:v>118</x:v>
      </x:c>
      <x:c r="J263" s="281" t="s">
        <x:v>118</x:v>
      </x:c>
      <x:c r="K263" s="281" t="s">
        <x:v>118</x:v>
      </x:c>
      <x:c r="L263" s="281" t="s">
        <x:v>118</x:v>
      </x:c>
      <x:c r="M263" s="281" t="s">
        <x:v>118</x:v>
      </x:c>
      <x:c r="N263" s="281" t="s">
        <x:v>118</x:v>
      </x:c>
      <x:c r="O263" s="281" t="s">
        <x:v>118</x:v>
      </x:c>
      <x:c r="P263" s="281" t="s">
        <x:v>118</x:v>
      </x:c>
      <x:c r="Q263" s="281" t="s">
        <x:v>118</x:v>
      </x:c>
      <x:c r="R263" s="281" t="s">
        <x:v>118</x:v>
      </x:c>
      <x:c r="S263" s="281" t="s">
        <x:v>118</x:v>
      </x:c>
      <x:c r="T263" s="281" t="s">
        <x:v>118</x:v>
      </x:c>
      <x:c r="U263" s="281" t="s">
        <x:v>118</x:v>
      </x:c>
      <x:c r="V263" s="281" t="s">
        <x:v>118</x:v>
      </x:c>
      <x:c r="W263" s="281" t="s">
        <x:v>118</x:v>
      </x:c>
      <x:c r="X263" s="281" t="s">
        <x:v>118</x:v>
      </x:c>
      <x:c r="Y263" s="281" t="s">
        <x:v>118</x:v>
      </x:c>
      <x:c r="Z263" s="281" t="s">
        <x:v>118</x:v>
      </x:c>
      <x:c r="AA263" s="281" t="s">
        <x:v>118</x:v>
      </x:c>
      <x:c r="AB263" s="281" t="s">
        <x:v>118</x:v>
      </x:c>
      <x:c r="AC263" s="281" t="s">
        <x:v>118</x:v>
      </x:c>
      <x:c r="AD263" s="281" t="s">
        <x:v>118</x:v>
      </x:c>
      <x:c r="AE263" s="281" t="s">
        <x:v>118</x:v>
      </x:c>
      <x:c r="AF263" s="281" t="s">
        <x:v>118</x:v>
      </x:c>
      <x:c r="AG263" s="281" t="s">
        <x:v>118</x:v>
      </x:c>
      <x:c r="AH263" s="281" t="s">
        <x:v>118</x:v>
      </x:c>
      <x:c r="AI263" s="281" t="s">
        <x:v>118</x:v>
      </x:c>
      <x:c r="AJ263" s="281" t="s">
        <x:v>118</x:v>
      </x:c>
      <x:c r="AK263" s="220">
        <x:f>COUNTIF(F263:AJ263,"X")</x:f>
      </x:c>
      <x:c r="AL263" s="221"/>
      <x:c r="AM263" s="221"/>
      <x:c r="AN263" s="222"/>
      <x:c r="AO263" s="222"/>
      <x:c r="AP263" s="228"/>
      <x:c r="AQ263" s="228"/>
      <x:c r="AR263" s="228"/>
      <x:c r="AS263" s="228"/>
      <x:c r="AT263" s="230"/>
    </x:row>
    <x:row r="264" spans="1:47" ht="15" customHeight="1">
      <x:c r="A264" s="282" t="s">
        <x:v>2524</x:v>
      </x:c>
      <x:c r="B264" s="216"/>
      <x:c r="C264" s="283" t="s">
        <x:v>2525</x:v>
      </x:c>
      <x:c r="D264" s="282" t="s">
        <x:v>2522</x:v>
      </x:c>
      <x:c r="E264" s="282" t="s">
        <x:v>2526</x:v>
      </x:c>
      <x:c r="F264" s="277" t="s">
        <x:v>118</x:v>
      </x:c>
      <x:c r="G264" s="277" t="s">
        <x:v>118</x:v>
      </x:c>
      <x:c r="H264" s="277" t="s">
        <x:v>118</x:v>
      </x:c>
      <x:c r="I264" s="277" t="s">
        <x:v>118</x:v>
      </x:c>
      <x:c r="J264" s="277" t="s">
        <x:v>118</x:v>
      </x:c>
      <x:c r="K264" s="277" t="s">
        <x:v>118</x:v>
      </x:c>
      <x:c r="L264" s="277" t="s">
        <x:v>118</x:v>
      </x:c>
      <x:c r="M264" s="277" t="s">
        <x:v>118</x:v>
      </x:c>
      <x:c r="N264" s="277" t="s">
        <x:v>118</x:v>
      </x:c>
      <x:c r="O264" s="277" t="s">
        <x:v>118</x:v>
      </x:c>
      <x:c r="P264" s="277" t="s">
        <x:v>118</x:v>
      </x:c>
      <x:c r="Q264" s="277" t="s">
        <x:v>118</x:v>
      </x:c>
      <x:c r="R264" s="277" t="s">
        <x:v>118</x:v>
      </x:c>
      <x:c r="S264" s="277" t="s">
        <x:v>118</x:v>
      </x:c>
      <x:c r="T264" s="277" t="s">
        <x:v>118</x:v>
      </x:c>
      <x:c r="U264" s="277" t="s">
        <x:v>118</x:v>
      </x:c>
      <x:c r="V264" s="277" t="s">
        <x:v>118</x:v>
      </x:c>
      <x:c r="W264" s="277" t="s">
        <x:v>118</x:v>
      </x:c>
      <x:c r="X264" s="277" t="s">
        <x:v>118</x:v>
      </x:c>
      <x:c r="Y264" s="277" t="s">
        <x:v>118</x:v>
      </x:c>
      <x:c r="Z264" s="277" t="s">
        <x:v>118</x:v>
      </x:c>
      <x:c r="AA264" s="277" t="s">
        <x:v>118</x:v>
      </x:c>
      <x:c r="AB264" s="277" t="s">
        <x:v>118</x:v>
      </x:c>
      <x:c r="AC264" s="277" t="s">
        <x:v>118</x:v>
      </x:c>
      <x:c r="AD264" s="277" t="s">
        <x:v>118</x:v>
      </x:c>
      <x:c r="AE264" s="277" t="s">
        <x:v>118</x:v>
      </x:c>
      <x:c r="AF264" s="277" t="s">
        <x:v>118</x:v>
      </x:c>
      <x:c r="AG264" s="277" t="s">
        <x:v>118</x:v>
      </x:c>
      <x:c r="AH264" s="277" t="s">
        <x:v>118</x:v>
      </x:c>
      <x:c r="AI264" s="277" t="s">
        <x:v>118</x:v>
      </x:c>
      <x:c r="AJ264" s="277" t="s">
        <x:v>118</x:v>
      </x:c>
      <x:c r="AK264" s="220">
        <x:f>COUNTIF(F264:AJ264,"X")</x:f>
      </x:c>
      <x:c r="AL264" s="221"/>
      <x:c r="AM264" s="221"/>
      <x:c r="AN264" s="222"/>
      <x:c r="AO264" s="222"/>
      <x:c r="AP264" s="228"/>
      <x:c r="AQ264" s="228"/>
      <x:c r="AR264" s="228"/>
      <x:c r="AS264" s="228"/>
      <x:c r="AT264" s="230"/>
    </x:row>
    <x:row r="265" spans="1:47" ht="15" customHeight="1">
      <x:c r="A265" s="282" t="s">
        <x:v>2527</x:v>
      </x:c>
      <x:c r="B265" s="216"/>
      <x:c r="C265" s="283" t="s">
        <x:v>2528</x:v>
      </x:c>
      <x:c r="D265" s="282" t="s">
        <x:v>2529</x:v>
      </x:c>
      <x:c r="E265" s="282" t="s">
        <x:v>2530</x:v>
      </x:c>
      <x:c r="F265" s="277" t="s">
        <x:v>118</x:v>
      </x:c>
      <x:c r="G265" s="277" t="s">
        <x:v>118</x:v>
      </x:c>
      <x:c r="H265" s="277" t="s">
        <x:v>118</x:v>
      </x:c>
      <x:c r="I265" s="277" t="s">
        <x:v>118</x:v>
      </x:c>
      <x:c r="J265" s="277" t="s">
        <x:v>118</x:v>
      </x:c>
      <x:c r="K265" s="277" t="s">
        <x:v>118</x:v>
      </x:c>
      <x:c r="L265" s="277" t="s">
        <x:v>118</x:v>
      </x:c>
      <x:c r="M265" s="277" t="s">
        <x:v>118</x:v>
      </x:c>
      <x:c r="N265" s="277" t="s">
        <x:v>118</x:v>
      </x:c>
      <x:c r="O265" s="277" t="s">
        <x:v>118</x:v>
      </x:c>
      <x:c r="P265" s="277" t="s">
        <x:v>118</x:v>
      </x:c>
      <x:c r="Q265" s="277" t="s">
        <x:v>118</x:v>
      </x:c>
      <x:c r="R265" s="277" t="s">
        <x:v>118</x:v>
      </x:c>
      <x:c r="S265" s="277" t="s">
        <x:v>118</x:v>
      </x:c>
      <x:c r="T265" s="277" t="s">
        <x:v>118</x:v>
      </x:c>
      <x:c r="U265" s="277" t="s">
        <x:v>118</x:v>
      </x:c>
      <x:c r="V265" s="277" t="s">
        <x:v>118</x:v>
      </x:c>
      <x:c r="W265" s="277" t="s">
        <x:v>118</x:v>
      </x:c>
      <x:c r="X265" s="277" t="s">
        <x:v>118</x:v>
      </x:c>
      <x:c r="Y265" s="277" t="s">
        <x:v>118</x:v>
      </x:c>
      <x:c r="Z265" s="277" t="s">
        <x:v>118</x:v>
      </x:c>
      <x:c r="AA265" s="277" t="s">
        <x:v>118</x:v>
      </x:c>
      <x:c r="AB265" s="277" t="s">
        <x:v>118</x:v>
      </x:c>
      <x:c r="AC265" s="277" t="s">
        <x:v>118</x:v>
      </x:c>
      <x:c r="AD265" s="277" t="s">
        <x:v>118</x:v>
      </x:c>
      <x:c r="AE265" s="277" t="s">
        <x:v>118</x:v>
      </x:c>
      <x:c r="AF265" s="277" t="s">
        <x:v>118</x:v>
      </x:c>
      <x:c r="AG265" s="277" t="s">
        <x:v>118</x:v>
      </x:c>
      <x:c r="AH265" s="277" t="s">
        <x:v>118</x:v>
      </x:c>
      <x:c r="AI265" s="277" t="s">
        <x:v>118</x:v>
      </x:c>
      <x:c r="AJ265" s="277" t="s">
        <x:v>118</x:v>
      </x:c>
      <x:c r="AK265" s="220">
        <x:f>COUNTIF(F265:AJ265,"X")</x:f>
      </x:c>
      <x:c r="AL265" s="221"/>
      <x:c r="AM265" s="221"/>
      <x:c r="AN265" s="222"/>
      <x:c r="AO265" s="222"/>
      <x:c r="AP265" s="228"/>
      <x:c r="AQ265" s="228"/>
      <x:c r="AR265" s="228"/>
      <x:c r="AS265" s="228"/>
      <x:c r="AT265" s="230"/>
    </x:row>
    <x:row r="266" spans="1:47" ht="15" customHeight="1">
      <x:c r="A266" s="282" t="s">
        <x:v>2531</x:v>
      </x:c>
      <x:c r="B266" s="216"/>
      <x:c r="C266" s="283" t="s">
        <x:v>2532</x:v>
      </x:c>
      <x:c r="D266" s="282" t="s">
        <x:v>1486</x:v>
      </x:c>
      <x:c r="E266" s="282" t="s">
        <x:v>2533</x:v>
      </x:c>
      <x:c r="F266" s="277" t="s">
        <x:v>118</x:v>
      </x:c>
      <x:c r="G266" s="277" t="s">
        <x:v>118</x:v>
      </x:c>
      <x:c r="H266" s="277" t="s">
        <x:v>118</x:v>
      </x:c>
      <x:c r="I266" s="277" t="s">
        <x:v>118</x:v>
      </x:c>
      <x:c r="J266" s="277" t="s">
        <x:v>118</x:v>
      </x:c>
      <x:c r="K266" s="277" t="s">
        <x:v>118</x:v>
      </x:c>
      <x:c r="L266" s="277" t="s">
        <x:v>118</x:v>
      </x:c>
      <x:c r="M266" s="277" t="s">
        <x:v>118</x:v>
      </x:c>
      <x:c r="N266" s="277" t="s">
        <x:v>118</x:v>
      </x:c>
      <x:c r="O266" s="277" t="s">
        <x:v>118</x:v>
      </x:c>
      <x:c r="P266" s="277" t="s">
        <x:v>118</x:v>
      </x:c>
      <x:c r="Q266" s="277" t="s">
        <x:v>118</x:v>
      </x:c>
      <x:c r="R266" s="277" t="s">
        <x:v>118</x:v>
      </x:c>
      <x:c r="S266" s="277" t="s">
        <x:v>118</x:v>
      </x:c>
      <x:c r="T266" s="277" t="s">
        <x:v>118</x:v>
      </x:c>
      <x:c r="U266" s="277" t="s">
        <x:v>118</x:v>
      </x:c>
      <x:c r="V266" s="277" t="s">
        <x:v>118</x:v>
      </x:c>
      <x:c r="W266" s="277" t="s">
        <x:v>118</x:v>
      </x:c>
      <x:c r="X266" s="277" t="s">
        <x:v>118</x:v>
      </x:c>
      <x:c r="Y266" s="277" t="s">
        <x:v>118</x:v>
      </x:c>
      <x:c r="Z266" s="277" t="s">
        <x:v>118</x:v>
      </x:c>
      <x:c r="AA266" s="277" t="s">
        <x:v>118</x:v>
      </x:c>
      <x:c r="AB266" s="277" t="s">
        <x:v>118</x:v>
      </x:c>
      <x:c r="AC266" s="277" t="s">
        <x:v>118</x:v>
      </x:c>
      <x:c r="AD266" s="277" t="s">
        <x:v>118</x:v>
      </x:c>
      <x:c r="AE266" s="277" t="s">
        <x:v>118</x:v>
      </x:c>
      <x:c r="AF266" s="277" t="s">
        <x:v>118</x:v>
      </x:c>
      <x:c r="AG266" s="277" t="s">
        <x:v>118</x:v>
      </x:c>
      <x:c r="AH266" s="277" t="s">
        <x:v>118</x:v>
      </x:c>
      <x:c r="AI266" s="277" t="s">
        <x:v>118</x:v>
      </x:c>
      <x:c r="AJ266" s="277" t="s">
        <x:v>118</x:v>
      </x:c>
      <x:c r="AK266" s="220">
        <x:f>COUNTIF(F266:AJ266,"X")</x:f>
      </x:c>
      <x:c r="AL266" s="221"/>
      <x:c r="AM266" s="221"/>
      <x:c r="AN266" s="222"/>
      <x:c r="AO266" s="222"/>
      <x:c r="AP266" s="228"/>
      <x:c r="AQ266" s="228"/>
      <x:c r="AR266" s="228"/>
      <x:c r="AS266" s="228"/>
      <x:c r="AT266" s="230"/>
    </x:row>
    <x:row r="267" spans="1:47" ht="15" customHeight="1">
      <x:c r="A267" s="282" t="s">
        <x:v>2534</x:v>
      </x:c>
      <x:c r="B267" s="216"/>
      <x:c r="C267" s="283" t="s">
        <x:v>2535</x:v>
      </x:c>
      <x:c r="D267" s="282" t="s">
        <x:v>2536</x:v>
      </x:c>
      <x:c r="E267" s="282" t="s">
        <x:v>2537</x:v>
      </x:c>
      <x:c r="F267" s="277" t="s">
        <x:v>118</x:v>
      </x:c>
      <x:c r="G267" s="277" t="s">
        <x:v>118</x:v>
      </x:c>
      <x:c r="H267" s="277" t="s">
        <x:v>118</x:v>
      </x:c>
      <x:c r="I267" s="277" t="s">
        <x:v>118</x:v>
      </x:c>
      <x:c r="J267" s="277" t="s">
        <x:v>118</x:v>
      </x:c>
      <x:c r="K267" s="277" t="s">
        <x:v>118</x:v>
      </x:c>
      <x:c r="L267" s="277" t="s">
        <x:v>118</x:v>
      </x:c>
      <x:c r="M267" s="277" t="s">
        <x:v>118</x:v>
      </x:c>
      <x:c r="N267" s="277" t="s">
        <x:v>118</x:v>
      </x:c>
      <x:c r="O267" s="277" t="s">
        <x:v>118</x:v>
      </x:c>
      <x:c r="P267" s="277" t="s">
        <x:v>118</x:v>
      </x:c>
      <x:c r="Q267" s="277" t="s">
        <x:v>118</x:v>
      </x:c>
      <x:c r="R267" s="277" t="s">
        <x:v>118</x:v>
      </x:c>
      <x:c r="S267" s="277" t="s">
        <x:v>118</x:v>
      </x:c>
      <x:c r="T267" s="277" t="s">
        <x:v>118</x:v>
      </x:c>
      <x:c r="U267" s="277" t="s">
        <x:v>118</x:v>
      </x:c>
      <x:c r="V267" s="277" t="s">
        <x:v>118</x:v>
      </x:c>
      <x:c r="W267" s="277" t="s">
        <x:v>118</x:v>
      </x:c>
      <x:c r="X267" s="277" t="s">
        <x:v>118</x:v>
      </x:c>
      <x:c r="Y267" s="277" t="s">
        <x:v>118</x:v>
      </x:c>
      <x:c r="Z267" s="277" t="s">
        <x:v>118</x:v>
      </x:c>
      <x:c r="AA267" s="277" t="s">
        <x:v>118</x:v>
      </x:c>
      <x:c r="AB267" s="277" t="s">
        <x:v>118</x:v>
      </x:c>
      <x:c r="AC267" s="277" t="s">
        <x:v>118</x:v>
      </x:c>
      <x:c r="AD267" s="277" t="s">
        <x:v>118</x:v>
      </x:c>
      <x:c r="AE267" s="277" t="s">
        <x:v>118</x:v>
      </x:c>
      <x:c r="AF267" s="277" t="s">
        <x:v>118</x:v>
      </x:c>
      <x:c r="AG267" s="277" t="s">
        <x:v>118</x:v>
      </x:c>
      <x:c r="AH267" s="277" t="s">
        <x:v>118</x:v>
      </x:c>
      <x:c r="AI267" s="277" t="s">
        <x:v>118</x:v>
      </x:c>
      <x:c r="AJ267" s="277" t="s">
        <x:v>118</x:v>
      </x:c>
      <x:c r="AK267" s="220">
        <x:f>COUNTIF(F267:AJ267,"X")</x:f>
      </x:c>
      <x:c r="AL267" s="221"/>
      <x:c r="AM267" s="221"/>
      <x:c r="AN267" s="222"/>
      <x:c r="AO267" s="222"/>
      <x:c r="AP267" s="228"/>
      <x:c r="AQ267" s="228"/>
      <x:c r="AR267" s="228"/>
      <x:c r="AS267" s="228"/>
      <x:c r="AT267" s="230"/>
    </x:row>
    <x:row r="268" spans="1:47" ht="15" customHeight="1">
      <x:c r="A268" s="282" t="s">
        <x:v>2538</x:v>
      </x:c>
      <x:c r="B268" s="216"/>
      <x:c r="C268" s="283" t="s">
        <x:v>2539</x:v>
      </x:c>
      <x:c r="D268" s="282" t="s">
        <x:v>680</x:v>
      </x:c>
      <x:c r="E268" s="282" t="s">
        <x:v>701</x:v>
      </x:c>
      <x:c r="F268" s="281" t="s">
        <x:v>118</x:v>
      </x:c>
      <x:c r="G268" s="281" t="s">
        <x:v>118</x:v>
      </x:c>
      <x:c r="H268" s="281" t="s">
        <x:v>118</x:v>
      </x:c>
      <x:c r="I268" s="281" t="s">
        <x:v>118</x:v>
      </x:c>
      <x:c r="J268" s="281" t="s">
        <x:v>118</x:v>
      </x:c>
      <x:c r="K268" s="281" t="s">
        <x:v>118</x:v>
      </x:c>
      <x:c r="L268" s="281" t="s">
        <x:v>118</x:v>
      </x:c>
      <x:c r="M268" s="281" t="s">
        <x:v>118</x:v>
      </x:c>
      <x:c r="N268" s="281" t="s">
        <x:v>118</x:v>
      </x:c>
      <x:c r="O268" s="281" t="s">
        <x:v>118</x:v>
      </x:c>
      <x:c r="P268" s="281" t="s">
        <x:v>118</x:v>
      </x:c>
      <x:c r="Q268" s="281" t="s">
        <x:v>118</x:v>
      </x:c>
      <x:c r="R268" s="281" t="s">
        <x:v>118</x:v>
      </x:c>
      <x:c r="S268" s="281" t="s">
        <x:v>118</x:v>
      </x:c>
      <x:c r="T268" s="281" t="s">
        <x:v>118</x:v>
      </x:c>
      <x:c r="U268" s="281" t="s">
        <x:v>118</x:v>
      </x:c>
      <x:c r="V268" s="281" t="s">
        <x:v>118</x:v>
      </x:c>
      <x:c r="W268" s="281" t="s">
        <x:v>118</x:v>
      </x:c>
      <x:c r="X268" s="281" t="s">
        <x:v>118</x:v>
      </x:c>
      <x:c r="Y268" s="281" t="s">
        <x:v>118</x:v>
      </x:c>
      <x:c r="Z268" s="281" t="s">
        <x:v>118</x:v>
      </x:c>
      <x:c r="AA268" s="281" t="s">
        <x:v>118</x:v>
      </x:c>
      <x:c r="AB268" s="281" t="s">
        <x:v>118</x:v>
      </x:c>
      <x:c r="AC268" s="281" t="s">
        <x:v>118</x:v>
      </x:c>
      <x:c r="AD268" s="281" t="s">
        <x:v>118</x:v>
      </x:c>
      <x:c r="AE268" s="281" t="s">
        <x:v>118</x:v>
      </x:c>
      <x:c r="AF268" s="281" t="s">
        <x:v>118</x:v>
      </x:c>
      <x:c r="AG268" s="281" t="s">
        <x:v>118</x:v>
      </x:c>
      <x:c r="AH268" s="281" t="s">
        <x:v>118</x:v>
      </x:c>
      <x:c r="AI268" s="281" t="s">
        <x:v>118</x:v>
      </x:c>
      <x:c r="AJ268" s="281" t="s">
        <x:v>118</x:v>
      </x:c>
      <x:c r="AK268" s="220">
        <x:f>COUNTIF(F268:AJ268,"X")</x:f>
      </x:c>
      <x:c r="AL268" s="221"/>
      <x:c r="AM268" s="221"/>
      <x:c r="AN268" s="222"/>
      <x:c r="AO268" s="222"/>
      <x:c r="AP268" s="228"/>
      <x:c r="AQ268" s="228"/>
      <x:c r="AR268" s="228"/>
      <x:c r="AS268" s="228"/>
      <x:c r="AT268" s="230"/>
    </x:row>
    <x:row r="269" spans="1:47" ht="15" customHeight="1">
      <x:c r="A269" s="282" t="s">
        <x:v>2540</x:v>
      </x:c>
      <x:c r="B269" s="216"/>
      <x:c r="C269" s="283" t="s">
        <x:v>2541</x:v>
      </x:c>
      <x:c r="D269" s="282" t="s">
        <x:v>2542</x:v>
      </x:c>
      <x:c r="E269" s="282" t="s">
        <x:v>2543</x:v>
      </x:c>
      <x:c r="F269" s="277" t="s">
        <x:v>118</x:v>
      </x:c>
      <x:c r="G269" s="277" t="s">
        <x:v>118</x:v>
      </x:c>
      <x:c r="H269" s="277" t="s">
        <x:v>118</x:v>
      </x:c>
      <x:c r="I269" s="277" t="s">
        <x:v>118</x:v>
      </x:c>
      <x:c r="J269" s="277" t="s">
        <x:v>118</x:v>
      </x:c>
      <x:c r="K269" s="277" t="s">
        <x:v>118</x:v>
      </x:c>
      <x:c r="L269" s="277" t="s">
        <x:v>118</x:v>
      </x:c>
      <x:c r="M269" s="277" t="s">
        <x:v>118</x:v>
      </x:c>
      <x:c r="N269" s="277" t="s">
        <x:v>118</x:v>
      </x:c>
      <x:c r="O269" s="277" t="s">
        <x:v>118</x:v>
      </x:c>
      <x:c r="P269" s="277" t="s">
        <x:v>118</x:v>
      </x:c>
      <x:c r="Q269" s="277" t="s">
        <x:v>118</x:v>
      </x:c>
      <x:c r="R269" s="277" t="s">
        <x:v>118</x:v>
      </x:c>
      <x:c r="S269" s="277" t="s">
        <x:v>118</x:v>
      </x:c>
      <x:c r="T269" s="277" t="s">
        <x:v>118</x:v>
      </x:c>
      <x:c r="U269" s="277" t="s">
        <x:v>118</x:v>
      </x:c>
      <x:c r="V269" s="277" t="s">
        <x:v>118</x:v>
      </x:c>
      <x:c r="W269" s="277" t="s">
        <x:v>118</x:v>
      </x:c>
      <x:c r="X269" s="277" t="s">
        <x:v>118</x:v>
      </x:c>
      <x:c r="Y269" s="277" t="s">
        <x:v>118</x:v>
      </x:c>
      <x:c r="Z269" s="277" t="s">
        <x:v>118</x:v>
      </x:c>
      <x:c r="AA269" s="277" t="s">
        <x:v>118</x:v>
      </x:c>
      <x:c r="AB269" s="277" t="s">
        <x:v>118</x:v>
      </x:c>
      <x:c r="AC269" s="277" t="s">
        <x:v>118</x:v>
      </x:c>
      <x:c r="AD269" s="277" t="s">
        <x:v>118</x:v>
      </x:c>
      <x:c r="AE269" s="277" t="s">
        <x:v>118</x:v>
      </x:c>
      <x:c r="AF269" s="277" t="s">
        <x:v>118</x:v>
      </x:c>
      <x:c r="AG269" s="277" t="s">
        <x:v>118</x:v>
      </x:c>
      <x:c r="AH269" s="277" t="s">
        <x:v>118</x:v>
      </x:c>
      <x:c r="AI269" s="277" t="s">
        <x:v>118</x:v>
      </x:c>
      <x:c r="AJ269" s="277" t="s">
        <x:v>118</x:v>
      </x:c>
      <x:c r="AK269" s="220">
        <x:f>COUNTIF(F269:AJ269,"X")</x:f>
      </x:c>
      <x:c r="AL269" s="221"/>
      <x:c r="AM269" s="221"/>
      <x:c r="AN269" s="222"/>
      <x:c r="AO269" s="222"/>
      <x:c r="AP269" s="228"/>
      <x:c r="AQ269" s="228"/>
      <x:c r="AR269" s="228"/>
      <x:c r="AS269" s="228"/>
      <x:c r="AT269" s="230"/>
    </x:row>
    <x:row r="270" spans="1:47" ht="15" customHeight="1">
      <x:c r="A270" s="282" t="s">
        <x:v>2544</x:v>
      </x:c>
      <x:c r="B270" s="216"/>
      <x:c r="C270" s="283" t="s">
        <x:v>2545</x:v>
      </x:c>
      <x:c r="D270" s="282" t="s">
        <x:v>2542</x:v>
      </x:c>
      <x:c r="E270" s="282" t="s">
        <x:v>2546</x:v>
      </x:c>
      <x:c r="F270" s="281" t="s">
        <x:v>118</x:v>
      </x:c>
      <x:c r="G270" s="281" t="s">
        <x:v>118</x:v>
      </x:c>
      <x:c r="H270" s="281" t="s">
        <x:v>118</x:v>
      </x:c>
      <x:c r="I270" s="281" t="s">
        <x:v>118</x:v>
      </x:c>
      <x:c r="J270" s="281" t="s">
        <x:v>118</x:v>
      </x:c>
      <x:c r="K270" s="281" t="s">
        <x:v>118</x:v>
      </x:c>
      <x:c r="L270" s="281" t="s">
        <x:v>118</x:v>
      </x:c>
      <x:c r="M270" s="281" t="s">
        <x:v>118</x:v>
      </x:c>
      <x:c r="N270" s="281" t="s">
        <x:v>118</x:v>
      </x:c>
      <x:c r="O270" s="281" t="s">
        <x:v>118</x:v>
      </x:c>
      <x:c r="P270" s="281" t="s">
        <x:v>118</x:v>
      </x:c>
      <x:c r="Q270" s="281" t="s">
        <x:v>118</x:v>
      </x:c>
      <x:c r="R270" s="281" t="s">
        <x:v>118</x:v>
      </x:c>
      <x:c r="S270" s="281" t="s">
        <x:v>118</x:v>
      </x:c>
      <x:c r="T270" s="281" t="s">
        <x:v>118</x:v>
      </x:c>
      <x:c r="U270" s="281" t="s">
        <x:v>118</x:v>
      </x:c>
      <x:c r="V270" s="281" t="s">
        <x:v>118</x:v>
      </x:c>
      <x:c r="W270" s="281" t="s">
        <x:v>118</x:v>
      </x:c>
      <x:c r="X270" s="281" t="s">
        <x:v>118</x:v>
      </x:c>
      <x:c r="Y270" s="281" t="s">
        <x:v>118</x:v>
      </x:c>
      <x:c r="Z270" s="281" t="s">
        <x:v>118</x:v>
      </x:c>
      <x:c r="AA270" s="281" t="s">
        <x:v>118</x:v>
      </x:c>
      <x:c r="AB270" s="281" t="s">
        <x:v>118</x:v>
      </x:c>
      <x:c r="AC270" s="281" t="s">
        <x:v>118</x:v>
      </x:c>
      <x:c r="AD270" s="281" t="s">
        <x:v>118</x:v>
      </x:c>
      <x:c r="AE270" s="281" t="s">
        <x:v>118</x:v>
      </x:c>
      <x:c r="AF270" s="281" t="s">
        <x:v>118</x:v>
      </x:c>
      <x:c r="AG270" s="281" t="s">
        <x:v>118</x:v>
      </x:c>
      <x:c r="AH270" s="281" t="s">
        <x:v>118</x:v>
      </x:c>
      <x:c r="AI270" s="281" t="s">
        <x:v>118</x:v>
      </x:c>
      <x:c r="AJ270" s="281" t="s">
        <x:v>118</x:v>
      </x:c>
      <x:c r="AK270" s="220">
        <x:f>COUNTIF(F270:AJ270,"X")</x:f>
      </x:c>
      <x:c r="AL270" s="221"/>
      <x:c r="AM270" s="221"/>
      <x:c r="AN270" s="222"/>
      <x:c r="AO270" s="222"/>
      <x:c r="AP270" s="228"/>
      <x:c r="AQ270" s="228"/>
      <x:c r="AR270" s="228"/>
      <x:c r="AS270" s="228"/>
      <x:c r="AT270" s="230"/>
    </x:row>
    <x:row r="271" spans="1:47" ht="15" customHeight="1">
      <x:c r="A271" s="282" t="s">
        <x:v>2547</x:v>
      </x:c>
      <x:c r="B271" s="216"/>
      <x:c r="C271" s="283" t="s">
        <x:v>2548</x:v>
      </x:c>
      <x:c r="D271" s="282" t="s">
        <x:v>2549</x:v>
      </x:c>
      <x:c r="E271" s="282" t="s">
        <x:v>238</x:v>
      </x:c>
      <x:c r="F271" s="277" t="s">
        <x:v>118</x:v>
      </x:c>
      <x:c r="G271" s="277" t="s">
        <x:v>118</x:v>
      </x:c>
      <x:c r="H271" s="277" t="s">
        <x:v>118</x:v>
      </x:c>
      <x:c r="I271" s="277" t="s">
        <x:v>118</x:v>
      </x:c>
      <x:c r="J271" s="277" t="s">
        <x:v>118</x:v>
      </x:c>
      <x:c r="K271" s="277" t="s">
        <x:v>118</x:v>
      </x:c>
      <x:c r="L271" s="277" t="s">
        <x:v>118</x:v>
      </x:c>
      <x:c r="M271" s="277" t="s">
        <x:v>118</x:v>
      </x:c>
      <x:c r="N271" s="277" t="s">
        <x:v>118</x:v>
      </x:c>
      <x:c r="O271" s="277" t="s">
        <x:v>118</x:v>
      </x:c>
      <x:c r="P271" s="277" t="s">
        <x:v>118</x:v>
      </x:c>
      <x:c r="Q271" s="277" t="s">
        <x:v>118</x:v>
      </x:c>
      <x:c r="R271" s="277" t="s">
        <x:v>118</x:v>
      </x:c>
      <x:c r="S271" s="277" t="s">
        <x:v>118</x:v>
      </x:c>
      <x:c r="T271" s="277" t="s">
        <x:v>118</x:v>
      </x:c>
      <x:c r="U271" s="277" t="s">
        <x:v>118</x:v>
      </x:c>
      <x:c r="V271" s="277" t="s">
        <x:v>118</x:v>
      </x:c>
      <x:c r="W271" s="277" t="s">
        <x:v>118</x:v>
      </x:c>
      <x:c r="X271" s="277" t="s">
        <x:v>118</x:v>
      </x:c>
      <x:c r="Y271" s="277" t="s">
        <x:v>118</x:v>
      </x:c>
      <x:c r="Z271" s="277" t="s">
        <x:v>118</x:v>
      </x:c>
      <x:c r="AA271" s="277" t="s">
        <x:v>118</x:v>
      </x:c>
      <x:c r="AB271" s="277" t="s">
        <x:v>118</x:v>
      </x:c>
      <x:c r="AC271" s="277" t="s">
        <x:v>118</x:v>
      </x:c>
      <x:c r="AD271" s="277" t="s">
        <x:v>118</x:v>
      </x:c>
      <x:c r="AE271" s="277" t="s">
        <x:v>118</x:v>
      </x:c>
      <x:c r="AF271" s="277" t="s">
        <x:v>118</x:v>
      </x:c>
      <x:c r="AG271" s="277" t="s">
        <x:v>118</x:v>
      </x:c>
      <x:c r="AH271" s="277" t="s">
        <x:v>118</x:v>
      </x:c>
      <x:c r="AI271" s="277" t="s">
        <x:v>118</x:v>
      </x:c>
      <x:c r="AJ271" s="277" t="s">
        <x:v>118</x:v>
      </x:c>
      <x:c r="AK271" s="220">
        <x:f>COUNTIF(F271:AJ271,"X")</x:f>
      </x:c>
      <x:c r="AL271" s="221"/>
      <x:c r="AM271" s="221"/>
      <x:c r="AN271" s="222"/>
      <x:c r="AO271" s="222"/>
      <x:c r="AP271" s="228"/>
      <x:c r="AQ271" s="228"/>
      <x:c r="AR271" s="228"/>
      <x:c r="AS271" s="228"/>
      <x:c r="AT271" s="230"/>
    </x:row>
    <x:row r="272" spans="1:47" ht="15" customHeight="1">
      <x:c r="A272" s="282" t="s">
        <x:v>2550</x:v>
      </x:c>
      <x:c r="B272" s="216"/>
      <x:c r="C272" s="283" t="s">
        <x:v>2551</x:v>
      </x:c>
      <x:c r="D272" s="282" t="s">
        <x:v>1493</x:v>
      </x:c>
      <x:c r="E272" s="282" t="s">
        <x:v>1386</x:v>
      </x:c>
      <x:c r="F272" s="277" t="s">
        <x:v>118</x:v>
      </x:c>
      <x:c r="G272" s="277" t="s">
        <x:v>118</x:v>
      </x:c>
      <x:c r="H272" s="277" t="s">
        <x:v>118</x:v>
      </x:c>
      <x:c r="I272" s="277" t="s">
        <x:v>118</x:v>
      </x:c>
      <x:c r="J272" s="277" t="s">
        <x:v>118</x:v>
      </x:c>
      <x:c r="K272" s="277" t="s">
        <x:v>118</x:v>
      </x:c>
      <x:c r="L272" s="277" t="s">
        <x:v>118</x:v>
      </x:c>
      <x:c r="M272" s="277" t="s">
        <x:v>118</x:v>
      </x:c>
      <x:c r="N272" s="277" t="s">
        <x:v>118</x:v>
      </x:c>
      <x:c r="O272" s="277" t="s">
        <x:v>118</x:v>
      </x:c>
      <x:c r="P272" s="277" t="s">
        <x:v>118</x:v>
      </x:c>
      <x:c r="Q272" s="277" t="s">
        <x:v>118</x:v>
      </x:c>
      <x:c r="R272" s="277" t="s">
        <x:v>118</x:v>
      </x:c>
      <x:c r="S272" s="277" t="s">
        <x:v>118</x:v>
      </x:c>
      <x:c r="T272" s="277" t="s">
        <x:v>118</x:v>
      </x:c>
      <x:c r="U272" s="277" t="s">
        <x:v>118</x:v>
      </x:c>
      <x:c r="V272" s="277" t="s">
        <x:v>118</x:v>
      </x:c>
      <x:c r="W272" s="277" t="s">
        <x:v>118</x:v>
      </x:c>
      <x:c r="X272" s="277" t="s">
        <x:v>118</x:v>
      </x:c>
      <x:c r="Y272" s="277" t="s">
        <x:v>118</x:v>
      </x:c>
      <x:c r="Z272" s="277" t="s">
        <x:v>118</x:v>
      </x:c>
      <x:c r="AA272" s="277" t="s">
        <x:v>118</x:v>
      </x:c>
      <x:c r="AB272" s="277" t="s">
        <x:v>118</x:v>
      </x:c>
      <x:c r="AC272" s="277" t="s">
        <x:v>118</x:v>
      </x:c>
      <x:c r="AD272" s="277" t="s">
        <x:v>118</x:v>
      </x:c>
      <x:c r="AE272" s="277" t="s">
        <x:v>118</x:v>
      </x:c>
      <x:c r="AF272" s="277" t="s">
        <x:v>118</x:v>
      </x:c>
      <x:c r="AG272" s="277" t="s">
        <x:v>118</x:v>
      </x:c>
      <x:c r="AH272" s="277" t="s">
        <x:v>118</x:v>
      </x:c>
      <x:c r="AI272" s="277" t="s">
        <x:v>118</x:v>
      </x:c>
      <x:c r="AJ272" s="277" t="s">
        <x:v>118</x:v>
      </x:c>
      <x:c r="AK272" s="220">
        <x:f>COUNTIF(F272:AJ272,"X")</x:f>
      </x:c>
      <x:c r="AL272" s="221"/>
      <x:c r="AM272" s="221"/>
      <x:c r="AN272" s="222"/>
      <x:c r="AO272" s="222"/>
      <x:c r="AP272" s="228"/>
      <x:c r="AQ272" s="228"/>
      <x:c r="AR272" s="228"/>
      <x:c r="AS272" s="228"/>
      <x:c r="AT272" s="230"/>
    </x:row>
    <x:row r="273" spans="1:47" ht="15" customHeight="1">
      <x:c r="A273" s="282" t="s">
        <x:v>2552</x:v>
      </x:c>
      <x:c r="B273" s="216"/>
      <x:c r="C273" s="283" t="s">
        <x:v>2553</x:v>
      </x:c>
      <x:c r="D273" s="282" t="s">
        <x:v>2554</x:v>
      </x:c>
      <x:c r="E273" s="282" t="s">
        <x:v>759</x:v>
      </x:c>
      <x:c r="F273" s="277" t="s">
        <x:v>118</x:v>
      </x:c>
      <x:c r="G273" s="277" t="s">
        <x:v>118</x:v>
      </x:c>
      <x:c r="H273" s="277" t="s">
        <x:v>118</x:v>
      </x:c>
      <x:c r="I273" s="277" t="s">
        <x:v>118</x:v>
      </x:c>
      <x:c r="J273" s="277" t="s">
        <x:v>118</x:v>
      </x:c>
      <x:c r="K273" s="277" t="s">
        <x:v>118</x:v>
      </x:c>
      <x:c r="L273" s="277" t="s">
        <x:v>118</x:v>
      </x:c>
      <x:c r="M273" s="277" t="s">
        <x:v>118</x:v>
      </x:c>
      <x:c r="N273" s="277" t="s">
        <x:v>118</x:v>
      </x:c>
      <x:c r="O273" s="277" t="s">
        <x:v>118</x:v>
      </x:c>
      <x:c r="P273" s="277" t="s">
        <x:v>118</x:v>
      </x:c>
      <x:c r="Q273" s="277" t="s">
        <x:v>118</x:v>
      </x:c>
      <x:c r="R273" s="277" t="s">
        <x:v>118</x:v>
      </x:c>
      <x:c r="S273" s="277" t="s">
        <x:v>118</x:v>
      </x:c>
      <x:c r="T273" s="277" t="s">
        <x:v>118</x:v>
      </x:c>
      <x:c r="U273" s="277" t="s">
        <x:v>118</x:v>
      </x:c>
      <x:c r="V273" s="277" t="s">
        <x:v>118</x:v>
      </x:c>
      <x:c r="W273" s="277" t="s">
        <x:v>118</x:v>
      </x:c>
      <x:c r="X273" s="277" t="s">
        <x:v>118</x:v>
      </x:c>
      <x:c r="Y273" s="277" t="s">
        <x:v>118</x:v>
      </x:c>
      <x:c r="Z273" s="277" t="s">
        <x:v>118</x:v>
      </x:c>
      <x:c r="AA273" s="277" t="s">
        <x:v>118</x:v>
      </x:c>
      <x:c r="AB273" s="277" t="s">
        <x:v>118</x:v>
      </x:c>
      <x:c r="AC273" s="277" t="s">
        <x:v>118</x:v>
      </x:c>
      <x:c r="AD273" s="277" t="s">
        <x:v>118</x:v>
      </x:c>
      <x:c r="AE273" s="277" t="s">
        <x:v>118</x:v>
      </x:c>
      <x:c r="AF273" s="277" t="s">
        <x:v>118</x:v>
      </x:c>
      <x:c r="AG273" s="277" t="s">
        <x:v>118</x:v>
      </x:c>
      <x:c r="AH273" s="277" t="s">
        <x:v>118</x:v>
      </x:c>
      <x:c r="AI273" s="277" t="s">
        <x:v>118</x:v>
      </x:c>
      <x:c r="AJ273" s="277" t="s">
        <x:v>118</x:v>
      </x:c>
      <x:c r="AK273" s="220">
        <x:f>COUNTIF(F273:AJ273,"X")</x:f>
      </x:c>
      <x:c r="AL273" s="221"/>
      <x:c r="AM273" s="221"/>
      <x:c r="AN273" s="222"/>
      <x:c r="AO273" s="222"/>
      <x:c r="AP273" s="228"/>
      <x:c r="AQ273" s="228"/>
      <x:c r="AR273" s="228"/>
      <x:c r="AS273" s="228"/>
      <x:c r="AT273" s="230"/>
    </x:row>
    <x:row r="274" spans="1:47" ht="15" customHeight="1">
      <x:c r="A274" s="282" t="s">
        <x:v>2555</x:v>
      </x:c>
      <x:c r="B274" s="216"/>
      <x:c r="C274" s="283" t="s">
        <x:v>2556</x:v>
      </x:c>
      <x:c r="D274" s="282" t="s">
        <x:v>1500</x:v>
      </x:c>
      <x:c r="E274" s="282" t="s">
        <x:v>1396</x:v>
      </x:c>
      <x:c r="F274" s="277" t="s">
        <x:v>118</x:v>
      </x:c>
      <x:c r="G274" s="277" t="s">
        <x:v>118</x:v>
      </x:c>
      <x:c r="H274" s="277" t="s">
        <x:v>118</x:v>
      </x:c>
      <x:c r="I274" s="277" t="s">
        <x:v>118</x:v>
      </x:c>
      <x:c r="J274" s="277" t="s">
        <x:v>118</x:v>
      </x:c>
      <x:c r="K274" s="277" t="s">
        <x:v>118</x:v>
      </x:c>
      <x:c r="L274" s="277" t="s">
        <x:v>118</x:v>
      </x:c>
      <x:c r="M274" s="277" t="s">
        <x:v>118</x:v>
      </x:c>
      <x:c r="N274" s="277" t="s">
        <x:v>118</x:v>
      </x:c>
      <x:c r="O274" s="277" t="s">
        <x:v>118</x:v>
      </x:c>
      <x:c r="P274" s="277" t="s">
        <x:v>118</x:v>
      </x:c>
      <x:c r="Q274" s="277" t="s">
        <x:v>118</x:v>
      </x:c>
      <x:c r="R274" s="277" t="s">
        <x:v>118</x:v>
      </x:c>
      <x:c r="S274" s="277" t="s">
        <x:v>118</x:v>
      </x:c>
      <x:c r="T274" s="277" t="s">
        <x:v>118</x:v>
      </x:c>
      <x:c r="U274" s="277" t="s">
        <x:v>118</x:v>
      </x:c>
      <x:c r="V274" s="277" t="s">
        <x:v>118</x:v>
      </x:c>
      <x:c r="W274" s="277" t="s">
        <x:v>118</x:v>
      </x:c>
      <x:c r="X274" s="277" t="s">
        <x:v>118</x:v>
      </x:c>
      <x:c r="Y274" s="277" t="s">
        <x:v>118</x:v>
      </x:c>
      <x:c r="Z274" s="277" t="s">
        <x:v>118</x:v>
      </x:c>
      <x:c r="AA274" s="277" t="s">
        <x:v>118</x:v>
      </x:c>
      <x:c r="AB274" s="277" t="s">
        <x:v>118</x:v>
      </x:c>
      <x:c r="AC274" s="277" t="s">
        <x:v>118</x:v>
      </x:c>
      <x:c r="AD274" s="277" t="s">
        <x:v>118</x:v>
      </x:c>
      <x:c r="AE274" s="277" t="s">
        <x:v>118</x:v>
      </x:c>
      <x:c r="AF274" s="277" t="s">
        <x:v>118</x:v>
      </x:c>
      <x:c r="AG274" s="277" t="s">
        <x:v>118</x:v>
      </x:c>
      <x:c r="AH274" s="277" t="s">
        <x:v>118</x:v>
      </x:c>
      <x:c r="AI274" s="277" t="s">
        <x:v>118</x:v>
      </x:c>
      <x:c r="AJ274" s="277" t="s">
        <x:v>118</x:v>
      </x:c>
      <x:c r="AK274" s="220">
        <x:f>COUNTIF(F274:AJ274,"X")</x:f>
      </x:c>
      <x:c r="AL274" s="221"/>
      <x:c r="AM274" s="221"/>
      <x:c r="AN274" s="222"/>
      <x:c r="AO274" s="222"/>
      <x:c r="AP274" s="228"/>
      <x:c r="AQ274" s="228"/>
      <x:c r="AR274" s="228"/>
      <x:c r="AS274" s="228"/>
      <x:c r="AT274" s="230"/>
    </x:row>
    <x:row r="275" spans="1:47" ht="15" customHeight="1">
      <x:c r="A275" s="282" t="s">
        <x:v>2557</x:v>
      </x:c>
      <x:c r="B275" s="216"/>
      <x:c r="C275" s="283" t="s">
        <x:v>2558</x:v>
      </x:c>
      <x:c r="D275" s="282" t="s">
        <x:v>2559</x:v>
      </x:c>
      <x:c r="E275" s="282" t="s">
        <x:v>2560</x:v>
      </x:c>
      <x:c r="F275" s="281" t="s">
        <x:v>118</x:v>
      </x:c>
      <x:c r="G275" s="281" t="s">
        <x:v>118</x:v>
      </x:c>
      <x:c r="H275" s="281" t="s">
        <x:v>118</x:v>
      </x:c>
      <x:c r="I275" s="281" t="s">
        <x:v>118</x:v>
      </x:c>
      <x:c r="J275" s="281" t="s">
        <x:v>118</x:v>
      </x:c>
      <x:c r="K275" s="281" t="s">
        <x:v>118</x:v>
      </x:c>
      <x:c r="L275" s="281" t="s">
        <x:v>118</x:v>
      </x:c>
      <x:c r="M275" s="281" t="s">
        <x:v>118</x:v>
      </x:c>
      <x:c r="N275" s="281" t="s">
        <x:v>118</x:v>
      </x:c>
      <x:c r="O275" s="281" t="s">
        <x:v>118</x:v>
      </x:c>
      <x:c r="P275" s="281" t="s">
        <x:v>118</x:v>
      </x:c>
      <x:c r="Q275" s="281" t="s">
        <x:v>118</x:v>
      </x:c>
      <x:c r="R275" s="281" t="s">
        <x:v>118</x:v>
      </x:c>
      <x:c r="S275" s="281" t="s">
        <x:v>118</x:v>
      </x:c>
      <x:c r="T275" s="281" t="s">
        <x:v>118</x:v>
      </x:c>
      <x:c r="U275" s="281" t="s">
        <x:v>118</x:v>
      </x:c>
      <x:c r="V275" s="281" t="s">
        <x:v>118</x:v>
      </x:c>
      <x:c r="W275" s="281" t="s">
        <x:v>118</x:v>
      </x:c>
      <x:c r="X275" s="281" t="s">
        <x:v>118</x:v>
      </x:c>
      <x:c r="Y275" s="281" t="s">
        <x:v>118</x:v>
      </x:c>
      <x:c r="Z275" s="281" t="s">
        <x:v>118</x:v>
      </x:c>
      <x:c r="AA275" s="281" t="s">
        <x:v>118</x:v>
      </x:c>
      <x:c r="AB275" s="281" t="s">
        <x:v>118</x:v>
      </x:c>
      <x:c r="AC275" s="281" t="s">
        <x:v>118</x:v>
      </x:c>
      <x:c r="AD275" s="281" t="s">
        <x:v>118</x:v>
      </x:c>
      <x:c r="AE275" s="281" t="s">
        <x:v>118</x:v>
      </x:c>
      <x:c r="AF275" s="281" t="s">
        <x:v>118</x:v>
      </x:c>
      <x:c r="AG275" s="281" t="s">
        <x:v>118</x:v>
      </x:c>
      <x:c r="AH275" s="281" t="s">
        <x:v>118</x:v>
      </x:c>
      <x:c r="AI275" s="281" t="s">
        <x:v>118</x:v>
      </x:c>
      <x:c r="AJ275" s="281" t="s">
        <x:v>118</x:v>
      </x:c>
      <x:c r="AK275" s="220">
        <x:f>COUNTIF(F275:AJ275,"X")</x:f>
      </x:c>
      <x:c r="AL275" s="221"/>
      <x:c r="AM275" s="221"/>
      <x:c r="AN275" s="222"/>
      <x:c r="AO275" s="222"/>
      <x:c r="AP275" s="228"/>
      <x:c r="AQ275" s="228"/>
      <x:c r="AR275" s="228"/>
      <x:c r="AS275" s="228"/>
      <x:c r="AT275" s="230"/>
    </x:row>
    <x:row r="276" spans="1:47" ht="15" customHeight="1">
      <x:c r="A276" s="282" t="s">
        <x:v>2561</x:v>
      </x:c>
      <x:c r="B276" s="216"/>
      <x:c r="C276" s="283" t="s">
        <x:v>2562</x:v>
      </x:c>
      <x:c r="D276" s="282" t="s">
        <x:v>2563</x:v>
      </x:c>
      <x:c r="E276" s="282" t="s">
        <x:v>1051</x:v>
      </x:c>
      <x:c r="F276" s="281" t="s">
        <x:v>118</x:v>
      </x:c>
      <x:c r="G276" s="281" t="s">
        <x:v>118</x:v>
      </x:c>
      <x:c r="H276" s="281" t="s">
        <x:v>118</x:v>
      </x:c>
      <x:c r="I276" s="281" t="s">
        <x:v>118</x:v>
      </x:c>
      <x:c r="J276" s="281" t="s">
        <x:v>118</x:v>
      </x:c>
      <x:c r="K276" s="281" t="s">
        <x:v>118</x:v>
      </x:c>
      <x:c r="L276" s="281" t="s">
        <x:v>118</x:v>
      </x:c>
      <x:c r="M276" s="281" t="s">
        <x:v>118</x:v>
      </x:c>
      <x:c r="N276" s="281" t="s">
        <x:v>118</x:v>
      </x:c>
      <x:c r="O276" s="281" t="s">
        <x:v>118</x:v>
      </x:c>
      <x:c r="P276" s="281" t="s">
        <x:v>118</x:v>
      </x:c>
      <x:c r="Q276" s="281" t="s">
        <x:v>118</x:v>
      </x:c>
      <x:c r="R276" s="281" t="s">
        <x:v>118</x:v>
      </x:c>
      <x:c r="S276" s="281" t="s">
        <x:v>118</x:v>
      </x:c>
      <x:c r="T276" s="281" t="s">
        <x:v>118</x:v>
      </x:c>
      <x:c r="U276" s="281" t="s">
        <x:v>118</x:v>
      </x:c>
      <x:c r="V276" s="281" t="s">
        <x:v>118</x:v>
      </x:c>
      <x:c r="W276" s="281" t="s">
        <x:v>118</x:v>
      </x:c>
      <x:c r="X276" s="281" t="s">
        <x:v>118</x:v>
      </x:c>
      <x:c r="Y276" s="281" t="s">
        <x:v>118</x:v>
      </x:c>
      <x:c r="Z276" s="281" t="s">
        <x:v>118</x:v>
      </x:c>
      <x:c r="AA276" s="281" t="s">
        <x:v>118</x:v>
      </x:c>
      <x:c r="AB276" s="281" t="s">
        <x:v>118</x:v>
      </x:c>
      <x:c r="AC276" s="281" t="s">
        <x:v>118</x:v>
      </x:c>
      <x:c r="AD276" s="281" t="s">
        <x:v>118</x:v>
      </x:c>
      <x:c r="AE276" s="281" t="s">
        <x:v>118</x:v>
      </x:c>
      <x:c r="AF276" s="281" t="s">
        <x:v>118</x:v>
      </x:c>
      <x:c r="AG276" s="281" t="s">
        <x:v>118</x:v>
      </x:c>
      <x:c r="AH276" s="281" t="s">
        <x:v>118</x:v>
      </x:c>
      <x:c r="AI276" s="281" t="s">
        <x:v>118</x:v>
      </x:c>
      <x:c r="AJ276" s="281" t="s">
        <x:v>118</x:v>
      </x:c>
      <x:c r="AK276" s="220">
        <x:f>COUNTIF(F276:AJ276,"X")</x:f>
      </x:c>
      <x:c r="AL276" s="221"/>
      <x:c r="AM276" s="221"/>
      <x:c r="AN276" s="222"/>
      <x:c r="AO276" s="222"/>
      <x:c r="AP276" s="228"/>
      <x:c r="AQ276" s="228"/>
      <x:c r="AR276" s="228"/>
      <x:c r="AS276" s="228"/>
      <x:c r="AT276" s="230"/>
    </x:row>
    <x:row r="277" spans="1:47" ht="15" customHeight="1">
      <x:c r="A277" s="282" t="s">
        <x:v>2564</x:v>
      </x:c>
      <x:c r="B277" s="216"/>
      <x:c r="C277" s="283" t="s">
        <x:v>2565</x:v>
      </x:c>
      <x:c r="D277" s="282" t="s">
        <x:v>2566</x:v>
      </x:c>
      <x:c r="E277" s="282" t="s">
        <x:v>2567</x:v>
      </x:c>
      <x:c r="F277" s="281" t="s">
        <x:v>118</x:v>
      </x:c>
      <x:c r="G277" s="281" t="s">
        <x:v>118</x:v>
      </x:c>
      <x:c r="H277" s="281" t="s">
        <x:v>118</x:v>
      </x:c>
      <x:c r="I277" s="281" t="s">
        <x:v>118</x:v>
      </x:c>
      <x:c r="J277" s="281" t="s">
        <x:v>118</x:v>
      </x:c>
      <x:c r="K277" s="281" t="s">
        <x:v>118</x:v>
      </x:c>
      <x:c r="L277" s="281" t="s">
        <x:v>118</x:v>
      </x:c>
      <x:c r="M277" s="281" t="s">
        <x:v>118</x:v>
      </x:c>
      <x:c r="N277" s="281" t="s">
        <x:v>118</x:v>
      </x:c>
      <x:c r="O277" s="281" t="s">
        <x:v>118</x:v>
      </x:c>
      <x:c r="P277" s="281" t="s">
        <x:v>118</x:v>
      </x:c>
      <x:c r="Q277" s="281" t="s">
        <x:v>118</x:v>
      </x:c>
      <x:c r="R277" s="281" t="s">
        <x:v>118</x:v>
      </x:c>
      <x:c r="S277" s="281" t="s">
        <x:v>118</x:v>
      </x:c>
      <x:c r="T277" s="281" t="s">
        <x:v>118</x:v>
      </x:c>
      <x:c r="U277" s="281" t="s">
        <x:v>118</x:v>
      </x:c>
      <x:c r="V277" s="281" t="s">
        <x:v>118</x:v>
      </x:c>
      <x:c r="W277" s="281" t="s">
        <x:v>118</x:v>
      </x:c>
      <x:c r="X277" s="281" t="s">
        <x:v>118</x:v>
      </x:c>
      <x:c r="Y277" s="281" t="s">
        <x:v>118</x:v>
      </x:c>
      <x:c r="Z277" s="281" t="s">
        <x:v>118</x:v>
      </x:c>
      <x:c r="AA277" s="281" t="s">
        <x:v>118</x:v>
      </x:c>
      <x:c r="AB277" s="281" t="s">
        <x:v>118</x:v>
      </x:c>
      <x:c r="AC277" s="281" t="s">
        <x:v>118</x:v>
      </x:c>
      <x:c r="AD277" s="281" t="s">
        <x:v>118</x:v>
      </x:c>
      <x:c r="AE277" s="281" t="s">
        <x:v>118</x:v>
      </x:c>
      <x:c r="AF277" s="281" t="s">
        <x:v>118</x:v>
      </x:c>
      <x:c r="AG277" s="281" t="s">
        <x:v>118</x:v>
      </x:c>
      <x:c r="AH277" s="281" t="s">
        <x:v>118</x:v>
      </x:c>
      <x:c r="AI277" s="281" t="s">
        <x:v>118</x:v>
      </x:c>
      <x:c r="AJ277" s="281" t="s">
        <x:v>118</x:v>
      </x:c>
      <x:c r="AK277" s="220">
        <x:f>COUNTIF(F277:AJ277,"X")</x:f>
      </x:c>
      <x:c r="AL277" s="221"/>
      <x:c r="AM277" s="221"/>
      <x:c r="AN277" s="222"/>
      <x:c r="AO277" s="222"/>
      <x:c r="AP277" s="228"/>
      <x:c r="AQ277" s="228"/>
      <x:c r="AR277" s="228"/>
      <x:c r="AS277" s="228"/>
      <x:c r="AT277" s="230"/>
    </x:row>
    <x:row r="278" spans="1:47" ht="15" customHeight="1">
      <x:c r="A278" s="282" t="s">
        <x:v>2568</x:v>
      </x:c>
      <x:c r="B278" s="216"/>
      <x:c r="C278" s="283" t="s">
        <x:v>2569</x:v>
      </x:c>
      <x:c r="D278" s="282" t="s">
        <x:v>2570</x:v>
      </x:c>
      <x:c r="E278" s="282" t="s">
        <x:v>1472</x:v>
      </x:c>
      <x:c r="F278" s="277" t="s">
        <x:v>118</x:v>
      </x:c>
      <x:c r="G278" s="277" t="s">
        <x:v>118</x:v>
      </x:c>
      <x:c r="H278" s="277" t="s">
        <x:v>118</x:v>
      </x:c>
      <x:c r="I278" s="277" t="s">
        <x:v>118</x:v>
      </x:c>
      <x:c r="J278" s="277" t="s">
        <x:v>118</x:v>
      </x:c>
      <x:c r="K278" s="277" t="s">
        <x:v>118</x:v>
      </x:c>
      <x:c r="L278" s="277" t="s">
        <x:v>118</x:v>
      </x:c>
      <x:c r="M278" s="277" t="s">
        <x:v>118</x:v>
      </x:c>
      <x:c r="N278" s="277" t="s">
        <x:v>118</x:v>
      </x:c>
      <x:c r="O278" s="277" t="s">
        <x:v>118</x:v>
      </x:c>
      <x:c r="P278" s="277" t="s">
        <x:v>118</x:v>
      </x:c>
      <x:c r="Q278" s="277" t="s">
        <x:v>118</x:v>
      </x:c>
      <x:c r="R278" s="277" t="s">
        <x:v>118</x:v>
      </x:c>
      <x:c r="S278" s="277" t="s">
        <x:v>118</x:v>
      </x:c>
      <x:c r="T278" s="277" t="s">
        <x:v>118</x:v>
      </x:c>
      <x:c r="U278" s="277" t="s">
        <x:v>118</x:v>
      </x:c>
      <x:c r="V278" s="277" t="s">
        <x:v>118</x:v>
      </x:c>
      <x:c r="W278" s="277" t="s">
        <x:v>118</x:v>
      </x:c>
      <x:c r="X278" s="277" t="s">
        <x:v>118</x:v>
      </x:c>
      <x:c r="Y278" s="277" t="s">
        <x:v>118</x:v>
      </x:c>
      <x:c r="Z278" s="277" t="s">
        <x:v>118</x:v>
      </x:c>
      <x:c r="AA278" s="277" t="s">
        <x:v>118</x:v>
      </x:c>
      <x:c r="AB278" s="277" t="s">
        <x:v>118</x:v>
      </x:c>
      <x:c r="AC278" s="277" t="s">
        <x:v>118</x:v>
      </x:c>
      <x:c r="AD278" s="277" t="s">
        <x:v>118</x:v>
      </x:c>
      <x:c r="AE278" s="277" t="s">
        <x:v>118</x:v>
      </x:c>
      <x:c r="AF278" s="277" t="s">
        <x:v>118</x:v>
      </x:c>
      <x:c r="AG278" s="277" t="s">
        <x:v>118</x:v>
      </x:c>
      <x:c r="AH278" s="277" t="s">
        <x:v>118</x:v>
      </x:c>
      <x:c r="AI278" s="277" t="s">
        <x:v>118</x:v>
      </x:c>
      <x:c r="AJ278" s="277" t="s">
        <x:v>118</x:v>
      </x:c>
      <x:c r="AK278" s="220">
        <x:f>COUNTIF(F278:AJ278,"X")</x:f>
      </x:c>
      <x:c r="AL278" s="221"/>
      <x:c r="AM278" s="221"/>
      <x:c r="AN278" s="222"/>
      <x:c r="AO278" s="222"/>
      <x:c r="AP278" s="228"/>
      <x:c r="AQ278" s="228"/>
      <x:c r="AR278" s="228"/>
      <x:c r="AS278" s="228"/>
      <x:c r="AT278" s="230"/>
    </x:row>
    <x:row r="279" spans="1:47" ht="15" customHeight="1">
      <x:c r="A279" s="282" t="s">
        <x:v>2571</x:v>
      </x:c>
      <x:c r="B279" s="216"/>
      <x:c r="C279" s="283" t="s">
        <x:v>2572</x:v>
      </x:c>
      <x:c r="D279" s="282" t="s">
        <x:v>2573</x:v>
      </x:c>
      <x:c r="E279" s="282" t="s">
        <x:v>759</x:v>
      </x:c>
      <x:c r="F279" s="277" t="s">
        <x:v>118</x:v>
      </x:c>
      <x:c r="G279" s="277" t="s">
        <x:v>118</x:v>
      </x:c>
      <x:c r="H279" s="277" t="s">
        <x:v>118</x:v>
      </x:c>
      <x:c r="I279" s="277" t="s">
        <x:v>118</x:v>
      </x:c>
      <x:c r="J279" s="277" t="s">
        <x:v>118</x:v>
      </x:c>
      <x:c r="K279" s="277" t="s">
        <x:v>118</x:v>
      </x:c>
      <x:c r="L279" s="277" t="s">
        <x:v>118</x:v>
      </x:c>
      <x:c r="M279" s="277" t="s">
        <x:v>118</x:v>
      </x:c>
      <x:c r="N279" s="277" t="s">
        <x:v>118</x:v>
      </x:c>
      <x:c r="O279" s="277" t="s">
        <x:v>118</x:v>
      </x:c>
      <x:c r="P279" s="277" t="s">
        <x:v>118</x:v>
      </x:c>
      <x:c r="Q279" s="277" t="s">
        <x:v>118</x:v>
      </x:c>
      <x:c r="R279" s="277" t="s">
        <x:v>118</x:v>
      </x:c>
      <x:c r="S279" s="277" t="s">
        <x:v>118</x:v>
      </x:c>
      <x:c r="T279" s="277" t="s">
        <x:v>118</x:v>
      </x:c>
      <x:c r="U279" s="277" t="s">
        <x:v>118</x:v>
      </x:c>
      <x:c r="V279" s="277" t="s">
        <x:v>118</x:v>
      </x:c>
      <x:c r="W279" s="277" t="s">
        <x:v>118</x:v>
      </x:c>
      <x:c r="X279" s="277" t="s">
        <x:v>118</x:v>
      </x:c>
      <x:c r="Y279" s="277" t="s">
        <x:v>118</x:v>
      </x:c>
      <x:c r="Z279" s="277" t="s">
        <x:v>118</x:v>
      </x:c>
      <x:c r="AA279" s="277" t="s">
        <x:v>118</x:v>
      </x:c>
      <x:c r="AB279" s="277" t="s">
        <x:v>118</x:v>
      </x:c>
      <x:c r="AC279" s="277" t="s">
        <x:v>118</x:v>
      </x:c>
      <x:c r="AD279" s="277" t="s">
        <x:v>118</x:v>
      </x:c>
      <x:c r="AE279" s="277" t="s">
        <x:v>118</x:v>
      </x:c>
      <x:c r="AF279" s="277" t="s">
        <x:v>118</x:v>
      </x:c>
      <x:c r="AG279" s="277" t="s">
        <x:v>118</x:v>
      </x:c>
      <x:c r="AH279" s="277" t="s">
        <x:v>118</x:v>
      </x:c>
      <x:c r="AI279" s="277" t="s">
        <x:v>118</x:v>
      </x:c>
      <x:c r="AJ279" s="277" t="s">
        <x:v>118</x:v>
      </x:c>
      <x:c r="AK279" s="220">
        <x:f>COUNTIF(F279:AJ279,"X")</x:f>
      </x:c>
      <x:c r="AL279" s="221"/>
      <x:c r="AM279" s="221"/>
      <x:c r="AN279" s="222"/>
      <x:c r="AO279" s="222"/>
      <x:c r="AP279" s="228"/>
      <x:c r="AQ279" s="228"/>
      <x:c r="AR279" s="228"/>
      <x:c r="AS279" s="228"/>
      <x:c r="AT279" s="230"/>
    </x:row>
    <x:row r="280" spans="1:47" ht="15" customHeight="1">
      <x:c r="A280" s="282" t="s">
        <x:v>2574</x:v>
      </x:c>
      <x:c r="B280" s="216"/>
      <x:c r="C280" s="283" t="s">
        <x:v>2575</x:v>
      </x:c>
      <x:c r="D280" s="282" t="s">
        <x:v>2573</x:v>
      </x:c>
      <x:c r="E280" s="282" t="s">
        <x:v>2576</x:v>
      </x:c>
      <x:c r="F280" s="281" t="s">
        <x:v>118</x:v>
      </x:c>
      <x:c r="G280" s="281" t="s">
        <x:v>118</x:v>
      </x:c>
      <x:c r="H280" s="281" t="s">
        <x:v>118</x:v>
      </x:c>
      <x:c r="I280" s="281" t="s">
        <x:v>118</x:v>
      </x:c>
      <x:c r="J280" s="281" t="s">
        <x:v>118</x:v>
      </x:c>
      <x:c r="K280" s="281" t="s">
        <x:v>118</x:v>
      </x:c>
      <x:c r="L280" s="281" t="s">
        <x:v>118</x:v>
      </x:c>
      <x:c r="M280" s="281" t="s">
        <x:v>118</x:v>
      </x:c>
      <x:c r="N280" s="281" t="s">
        <x:v>118</x:v>
      </x:c>
      <x:c r="O280" s="281" t="s">
        <x:v>118</x:v>
      </x:c>
      <x:c r="P280" s="281" t="s">
        <x:v>118</x:v>
      </x:c>
      <x:c r="Q280" s="281" t="s">
        <x:v>118</x:v>
      </x:c>
      <x:c r="R280" s="281" t="s">
        <x:v>118</x:v>
      </x:c>
      <x:c r="S280" s="281" t="s">
        <x:v>118</x:v>
      </x:c>
      <x:c r="T280" s="281" t="s">
        <x:v>118</x:v>
      </x:c>
      <x:c r="U280" s="281" t="s">
        <x:v>118</x:v>
      </x:c>
      <x:c r="V280" s="281" t="s">
        <x:v>118</x:v>
      </x:c>
      <x:c r="W280" s="281" t="s">
        <x:v>118</x:v>
      </x:c>
      <x:c r="X280" s="281" t="s">
        <x:v>118</x:v>
      </x:c>
      <x:c r="Y280" s="281" t="s">
        <x:v>118</x:v>
      </x:c>
      <x:c r="Z280" s="281" t="s">
        <x:v>118</x:v>
      </x:c>
      <x:c r="AA280" s="281" t="s">
        <x:v>118</x:v>
      </x:c>
      <x:c r="AB280" s="281" t="s">
        <x:v>118</x:v>
      </x:c>
      <x:c r="AC280" s="281" t="s">
        <x:v>118</x:v>
      </x:c>
      <x:c r="AD280" s="281" t="s">
        <x:v>118</x:v>
      </x:c>
      <x:c r="AE280" s="281" t="s">
        <x:v>118</x:v>
      </x:c>
      <x:c r="AF280" s="281" t="s">
        <x:v>118</x:v>
      </x:c>
      <x:c r="AG280" s="281" t="s">
        <x:v>118</x:v>
      </x:c>
      <x:c r="AH280" s="281" t="s">
        <x:v>118</x:v>
      </x:c>
      <x:c r="AI280" s="281" t="s">
        <x:v>118</x:v>
      </x:c>
      <x:c r="AJ280" s="281" t="s">
        <x:v>118</x:v>
      </x:c>
      <x:c r="AK280" s="220">
        <x:f>COUNTIF(F280:AJ280,"X")</x:f>
      </x:c>
      <x:c r="AL280" s="221"/>
      <x:c r="AM280" s="221"/>
      <x:c r="AN280" s="222"/>
      <x:c r="AO280" s="222"/>
      <x:c r="AP280" s="228"/>
      <x:c r="AQ280" s="228"/>
      <x:c r="AR280" s="228"/>
      <x:c r="AS280" s="228"/>
      <x:c r="AT280" s="230"/>
    </x:row>
    <x:row r="281" spans="1:47" ht="15" customHeight="1">
      <x:c r="A281" s="282" t="s">
        <x:v>2577</x:v>
      </x:c>
      <x:c r="B281" s="216"/>
      <x:c r="C281" s="283" t="s">
        <x:v>2578</x:v>
      </x:c>
      <x:c r="D281" s="282" t="s">
        <x:v>2573</x:v>
      </x:c>
      <x:c r="E281" s="282" t="s">
        <x:v>592</x:v>
      </x:c>
      <x:c r="F281" s="277" t="s">
        <x:v>118</x:v>
      </x:c>
      <x:c r="G281" s="277" t="s">
        <x:v>118</x:v>
      </x:c>
      <x:c r="H281" s="277" t="s">
        <x:v>118</x:v>
      </x:c>
      <x:c r="I281" s="277" t="s">
        <x:v>118</x:v>
      </x:c>
      <x:c r="J281" s="277" t="s">
        <x:v>118</x:v>
      </x:c>
      <x:c r="K281" s="277" t="s">
        <x:v>118</x:v>
      </x:c>
      <x:c r="L281" s="277" t="s">
        <x:v>118</x:v>
      </x:c>
      <x:c r="M281" s="277" t="s">
        <x:v>118</x:v>
      </x:c>
      <x:c r="N281" s="277" t="s">
        <x:v>118</x:v>
      </x:c>
      <x:c r="O281" s="277" t="s">
        <x:v>118</x:v>
      </x:c>
      <x:c r="P281" s="277" t="s">
        <x:v>118</x:v>
      </x:c>
      <x:c r="Q281" s="277" t="s">
        <x:v>118</x:v>
      </x:c>
      <x:c r="R281" s="277" t="s">
        <x:v>118</x:v>
      </x:c>
      <x:c r="S281" s="277" t="s">
        <x:v>118</x:v>
      </x:c>
      <x:c r="T281" s="277" t="s">
        <x:v>118</x:v>
      </x:c>
      <x:c r="U281" s="277" t="s">
        <x:v>118</x:v>
      </x:c>
      <x:c r="V281" s="277" t="s">
        <x:v>118</x:v>
      </x:c>
      <x:c r="W281" s="277" t="s">
        <x:v>118</x:v>
      </x:c>
      <x:c r="X281" s="277" t="s">
        <x:v>118</x:v>
      </x:c>
      <x:c r="Y281" s="277" t="s">
        <x:v>118</x:v>
      </x:c>
      <x:c r="Z281" s="277" t="s">
        <x:v>118</x:v>
      </x:c>
      <x:c r="AA281" s="277" t="s">
        <x:v>118</x:v>
      </x:c>
      <x:c r="AB281" s="277" t="s">
        <x:v>118</x:v>
      </x:c>
      <x:c r="AC281" s="277" t="s">
        <x:v>118</x:v>
      </x:c>
      <x:c r="AD281" s="277" t="s">
        <x:v>118</x:v>
      </x:c>
      <x:c r="AE281" s="277" t="s">
        <x:v>118</x:v>
      </x:c>
      <x:c r="AF281" s="277" t="s">
        <x:v>118</x:v>
      </x:c>
      <x:c r="AG281" s="277" t="s">
        <x:v>118</x:v>
      </x:c>
      <x:c r="AH281" s="277" t="s">
        <x:v>118</x:v>
      </x:c>
      <x:c r="AI281" s="277" t="s">
        <x:v>118</x:v>
      </x:c>
      <x:c r="AJ281" s="277" t="s">
        <x:v>118</x:v>
      </x:c>
      <x:c r="AK281" s="220">
        <x:f>COUNTIF(F281:AJ281,"X")</x:f>
      </x:c>
      <x:c r="AL281" s="221"/>
      <x:c r="AM281" s="221"/>
      <x:c r="AN281" s="222"/>
      <x:c r="AO281" s="222"/>
      <x:c r="AP281" s="228"/>
      <x:c r="AQ281" s="228"/>
      <x:c r="AR281" s="228"/>
      <x:c r="AS281" s="228"/>
      <x:c r="AT281" s="230"/>
    </x:row>
    <x:row r="282" spans="1:47" ht="15" customHeight="1">
      <x:c r="A282" s="282" t="s">
        <x:v>2579</x:v>
      </x:c>
      <x:c r="B282" s="216"/>
      <x:c r="C282" s="283" t="s">
        <x:v>2580</x:v>
      </x:c>
      <x:c r="D282" s="282" t="s">
        <x:v>2581</x:v>
      </x:c>
      <x:c r="E282" s="282" t="s">
        <x:v>534</x:v>
      </x:c>
      <x:c r="F282" s="277" t="s">
        <x:v>118</x:v>
      </x:c>
      <x:c r="G282" s="277" t="s">
        <x:v>118</x:v>
      </x:c>
      <x:c r="H282" s="277" t="s">
        <x:v>118</x:v>
      </x:c>
      <x:c r="I282" s="277" t="s">
        <x:v>118</x:v>
      </x:c>
      <x:c r="J282" s="277" t="s">
        <x:v>118</x:v>
      </x:c>
      <x:c r="K282" s="277" t="s">
        <x:v>118</x:v>
      </x:c>
      <x:c r="L282" s="277" t="s">
        <x:v>118</x:v>
      </x:c>
      <x:c r="M282" s="277" t="s">
        <x:v>118</x:v>
      </x:c>
      <x:c r="N282" s="277" t="s">
        <x:v>118</x:v>
      </x:c>
      <x:c r="O282" s="277" t="s">
        <x:v>118</x:v>
      </x:c>
      <x:c r="P282" s="277" t="s">
        <x:v>118</x:v>
      </x:c>
      <x:c r="Q282" s="277" t="s">
        <x:v>118</x:v>
      </x:c>
      <x:c r="R282" s="277" t="s">
        <x:v>118</x:v>
      </x:c>
      <x:c r="S282" s="277" t="s">
        <x:v>118</x:v>
      </x:c>
      <x:c r="T282" s="277" t="s">
        <x:v>118</x:v>
      </x:c>
      <x:c r="U282" s="277" t="s">
        <x:v>118</x:v>
      </x:c>
      <x:c r="V282" s="277" t="s">
        <x:v>118</x:v>
      </x:c>
      <x:c r="W282" s="277" t="s">
        <x:v>118</x:v>
      </x:c>
      <x:c r="X282" s="277" t="s">
        <x:v>118</x:v>
      </x:c>
      <x:c r="Y282" s="277" t="s">
        <x:v>118</x:v>
      </x:c>
      <x:c r="Z282" s="277" t="s">
        <x:v>118</x:v>
      </x:c>
      <x:c r="AA282" s="277" t="s">
        <x:v>118</x:v>
      </x:c>
      <x:c r="AB282" s="277" t="s">
        <x:v>118</x:v>
      </x:c>
      <x:c r="AC282" s="277" t="s">
        <x:v>118</x:v>
      </x:c>
      <x:c r="AD282" s="277" t="s">
        <x:v>118</x:v>
      </x:c>
      <x:c r="AE282" s="277" t="s">
        <x:v>118</x:v>
      </x:c>
      <x:c r="AF282" s="277" t="s">
        <x:v>118</x:v>
      </x:c>
      <x:c r="AG282" s="277" t="s">
        <x:v>118</x:v>
      </x:c>
      <x:c r="AH282" s="277" t="s">
        <x:v>118</x:v>
      </x:c>
      <x:c r="AI282" s="277" t="s">
        <x:v>118</x:v>
      </x:c>
      <x:c r="AJ282" s="277" t="s">
        <x:v>118</x:v>
      </x:c>
      <x:c r="AK282" s="220">
        <x:f>COUNTIF(F282:AJ282,"X")</x:f>
      </x:c>
      <x:c r="AL282" s="221"/>
      <x:c r="AM282" s="221"/>
      <x:c r="AN282" s="222"/>
      <x:c r="AO282" s="222"/>
      <x:c r="AP282" s="228"/>
      <x:c r="AQ282" s="228"/>
      <x:c r="AR282" s="228"/>
      <x:c r="AS282" s="228"/>
      <x:c r="AT282" s="230"/>
    </x:row>
    <x:row r="283" spans="1:47" ht="15" customHeight="1">
      <x:c r="A283" s="282" t="s">
        <x:v>2582</x:v>
      </x:c>
      <x:c r="B283" s="216"/>
      <x:c r="C283" s="283" t="s">
        <x:v>2583</x:v>
      </x:c>
      <x:c r="D283" s="282" t="s">
        <x:v>2584</x:v>
      </x:c>
      <x:c r="E283" s="282" t="s">
        <x:v>2585</x:v>
      </x:c>
      <x:c r="F283" s="277" t="s">
        <x:v>118</x:v>
      </x:c>
      <x:c r="G283" s="277" t="s">
        <x:v>118</x:v>
      </x:c>
      <x:c r="H283" s="277" t="s">
        <x:v>118</x:v>
      </x:c>
      <x:c r="I283" s="277" t="s">
        <x:v>118</x:v>
      </x:c>
      <x:c r="J283" s="277" t="s">
        <x:v>118</x:v>
      </x:c>
      <x:c r="K283" s="277" t="s">
        <x:v>118</x:v>
      </x:c>
      <x:c r="L283" s="277" t="s">
        <x:v>118</x:v>
      </x:c>
      <x:c r="M283" s="277" t="s">
        <x:v>118</x:v>
      </x:c>
      <x:c r="N283" s="277" t="s">
        <x:v>118</x:v>
      </x:c>
      <x:c r="O283" s="277" t="s">
        <x:v>118</x:v>
      </x:c>
      <x:c r="P283" s="277" t="s">
        <x:v>118</x:v>
      </x:c>
      <x:c r="Q283" s="277" t="s">
        <x:v>118</x:v>
      </x:c>
      <x:c r="R283" s="277" t="s">
        <x:v>118</x:v>
      </x:c>
      <x:c r="S283" s="277" t="s">
        <x:v>118</x:v>
      </x:c>
      <x:c r="T283" s="277" t="s">
        <x:v>118</x:v>
      </x:c>
      <x:c r="U283" s="277" t="s">
        <x:v>118</x:v>
      </x:c>
      <x:c r="V283" s="277" t="s">
        <x:v>118</x:v>
      </x:c>
      <x:c r="W283" s="277" t="s">
        <x:v>118</x:v>
      </x:c>
      <x:c r="X283" s="277" t="s">
        <x:v>118</x:v>
      </x:c>
      <x:c r="Y283" s="277" t="s">
        <x:v>118</x:v>
      </x:c>
      <x:c r="Z283" s="277" t="s">
        <x:v>118</x:v>
      </x:c>
      <x:c r="AA283" s="277" t="s">
        <x:v>118</x:v>
      </x:c>
      <x:c r="AB283" s="277" t="s">
        <x:v>118</x:v>
      </x:c>
      <x:c r="AC283" s="277" t="s">
        <x:v>118</x:v>
      </x:c>
      <x:c r="AD283" s="277" t="s">
        <x:v>118</x:v>
      </x:c>
      <x:c r="AE283" s="277" t="s">
        <x:v>118</x:v>
      </x:c>
      <x:c r="AF283" s="277" t="s">
        <x:v>118</x:v>
      </x:c>
      <x:c r="AG283" s="277" t="s">
        <x:v>118</x:v>
      </x:c>
      <x:c r="AH283" s="277" t="s">
        <x:v>118</x:v>
      </x:c>
      <x:c r="AI283" s="277" t="s">
        <x:v>118</x:v>
      </x:c>
      <x:c r="AJ283" s="277" t="s">
        <x:v>118</x:v>
      </x:c>
      <x:c r="AK283" s="220">
        <x:f>COUNTIF(F283:AJ283,"X")</x:f>
      </x:c>
      <x:c r="AL283" s="221"/>
      <x:c r="AM283" s="221"/>
      <x:c r="AN283" s="222"/>
      <x:c r="AO283" s="222"/>
      <x:c r="AP283" s="228"/>
      <x:c r="AQ283" s="228"/>
      <x:c r="AR283" s="228"/>
      <x:c r="AS283" s="228"/>
      <x:c r="AT283" s="230"/>
    </x:row>
    <x:row r="284" spans="1:47" ht="15" customHeight="1">
      <x:c r="A284" s="282" t="s">
        <x:v>2586</x:v>
      </x:c>
      <x:c r="B284" s="216"/>
      <x:c r="C284" s="283" t="s">
        <x:v>2587</x:v>
      </x:c>
      <x:c r="D284" s="282" t="s">
        <x:v>2588</x:v>
      </x:c>
      <x:c r="E284" s="282" t="s">
        <x:v>2589</x:v>
      </x:c>
      <x:c r="F284" s="281" t="s">
        <x:v>118</x:v>
      </x:c>
      <x:c r="G284" s="281" t="s">
        <x:v>118</x:v>
      </x:c>
      <x:c r="H284" s="281" t="s">
        <x:v>118</x:v>
      </x:c>
      <x:c r="I284" s="281" t="s">
        <x:v>118</x:v>
      </x:c>
      <x:c r="J284" s="281" t="s">
        <x:v>118</x:v>
      </x:c>
      <x:c r="K284" s="281" t="s">
        <x:v>118</x:v>
      </x:c>
      <x:c r="L284" s="281" t="s">
        <x:v>118</x:v>
      </x:c>
      <x:c r="M284" s="281" t="s">
        <x:v>118</x:v>
      </x:c>
      <x:c r="N284" s="281" t="s">
        <x:v>118</x:v>
      </x:c>
      <x:c r="O284" s="281" t="s">
        <x:v>118</x:v>
      </x:c>
      <x:c r="P284" s="281" t="s">
        <x:v>118</x:v>
      </x:c>
      <x:c r="Q284" s="281" t="s">
        <x:v>118</x:v>
      </x:c>
      <x:c r="R284" s="281" t="s">
        <x:v>118</x:v>
      </x:c>
      <x:c r="S284" s="281" t="s">
        <x:v>118</x:v>
      </x:c>
      <x:c r="T284" s="281" t="s">
        <x:v>118</x:v>
      </x:c>
      <x:c r="U284" s="281" t="s">
        <x:v>118</x:v>
      </x:c>
      <x:c r="V284" s="281" t="s">
        <x:v>118</x:v>
      </x:c>
      <x:c r="W284" s="281" t="s">
        <x:v>118</x:v>
      </x:c>
      <x:c r="X284" s="281" t="s">
        <x:v>118</x:v>
      </x:c>
      <x:c r="Y284" s="281" t="s">
        <x:v>118</x:v>
      </x:c>
      <x:c r="Z284" s="281" t="s">
        <x:v>118</x:v>
      </x:c>
      <x:c r="AA284" s="281" t="s">
        <x:v>118</x:v>
      </x:c>
      <x:c r="AB284" s="281" t="s">
        <x:v>118</x:v>
      </x:c>
      <x:c r="AC284" s="281" t="s">
        <x:v>118</x:v>
      </x:c>
      <x:c r="AD284" s="281" t="s">
        <x:v>118</x:v>
      </x:c>
      <x:c r="AE284" s="281" t="s">
        <x:v>118</x:v>
      </x:c>
      <x:c r="AF284" s="281" t="s">
        <x:v>118</x:v>
      </x:c>
      <x:c r="AG284" s="281" t="s">
        <x:v>118</x:v>
      </x:c>
      <x:c r="AH284" s="281" t="s">
        <x:v>118</x:v>
      </x:c>
      <x:c r="AI284" s="281" t="s">
        <x:v>118</x:v>
      </x:c>
      <x:c r="AJ284" s="281" t="s">
        <x:v>118</x:v>
      </x:c>
      <x:c r="AK284" s="220">
        <x:f>COUNTIF(F284:AJ284,"X")</x:f>
      </x:c>
      <x:c r="AL284" s="221"/>
      <x:c r="AM284" s="221"/>
      <x:c r="AN284" s="222"/>
      <x:c r="AO284" s="222"/>
      <x:c r="AP284" s="228"/>
      <x:c r="AQ284" s="228"/>
      <x:c r="AR284" s="228"/>
      <x:c r="AS284" s="228"/>
      <x:c r="AT284" s="230"/>
    </x:row>
    <x:row r="285" spans="1:47" ht="15" customHeight="1">
      <x:c r="A285" s="282" t="s">
        <x:v>2590</x:v>
      </x:c>
      <x:c r="B285" s="216"/>
      <x:c r="C285" s="283" t="s">
        <x:v>2591</x:v>
      </x:c>
      <x:c r="D285" s="282" t="s">
        <x:v>2592</x:v>
      </x:c>
      <x:c r="E285" s="282" t="s">
        <x:v>2593</x:v>
      </x:c>
      <x:c r="F285" s="281" t="s">
        <x:v>118</x:v>
      </x:c>
      <x:c r="G285" s="281" t="s">
        <x:v>118</x:v>
      </x:c>
      <x:c r="H285" s="281" t="s">
        <x:v>118</x:v>
      </x:c>
      <x:c r="I285" s="281" t="s">
        <x:v>118</x:v>
      </x:c>
      <x:c r="J285" s="281" t="s">
        <x:v>118</x:v>
      </x:c>
      <x:c r="K285" s="281" t="s">
        <x:v>118</x:v>
      </x:c>
      <x:c r="L285" s="281" t="s">
        <x:v>118</x:v>
      </x:c>
      <x:c r="M285" s="281" t="s">
        <x:v>118</x:v>
      </x:c>
      <x:c r="N285" s="281" t="s">
        <x:v>118</x:v>
      </x:c>
      <x:c r="O285" s="281" t="s">
        <x:v>118</x:v>
      </x:c>
      <x:c r="P285" s="281" t="s">
        <x:v>118</x:v>
      </x:c>
      <x:c r="Q285" s="281" t="s">
        <x:v>118</x:v>
      </x:c>
      <x:c r="R285" s="281" t="s">
        <x:v>118</x:v>
      </x:c>
      <x:c r="S285" s="281" t="s">
        <x:v>118</x:v>
      </x:c>
      <x:c r="T285" s="281" t="s">
        <x:v>118</x:v>
      </x:c>
      <x:c r="U285" s="281" t="s">
        <x:v>118</x:v>
      </x:c>
      <x:c r="V285" s="281" t="s">
        <x:v>118</x:v>
      </x:c>
      <x:c r="W285" s="281" t="s">
        <x:v>118</x:v>
      </x:c>
      <x:c r="X285" s="281" t="s">
        <x:v>118</x:v>
      </x:c>
      <x:c r="Y285" s="281" t="s">
        <x:v>118</x:v>
      </x:c>
      <x:c r="Z285" s="281" t="s">
        <x:v>118</x:v>
      </x:c>
      <x:c r="AA285" s="281" t="s">
        <x:v>118</x:v>
      </x:c>
      <x:c r="AB285" s="281" t="s">
        <x:v>118</x:v>
      </x:c>
      <x:c r="AC285" s="281" t="s">
        <x:v>118</x:v>
      </x:c>
      <x:c r="AD285" s="281" t="s">
        <x:v>118</x:v>
      </x:c>
      <x:c r="AE285" s="281" t="s">
        <x:v>118</x:v>
      </x:c>
      <x:c r="AF285" s="281" t="s">
        <x:v>118</x:v>
      </x:c>
      <x:c r="AG285" s="281" t="s">
        <x:v>118</x:v>
      </x:c>
      <x:c r="AH285" s="281" t="s">
        <x:v>118</x:v>
      </x:c>
      <x:c r="AI285" s="281" t="s">
        <x:v>118</x:v>
      </x:c>
      <x:c r="AJ285" s="281" t="s">
        <x:v>118</x:v>
      </x:c>
      <x:c r="AK285" s="220">
        <x:f>COUNTIF(F285:AJ285,"X")</x:f>
      </x:c>
      <x:c r="AL285" s="221"/>
      <x:c r="AM285" s="221"/>
      <x:c r="AN285" s="222"/>
      <x:c r="AO285" s="222"/>
      <x:c r="AP285" s="228"/>
      <x:c r="AQ285" s="228"/>
      <x:c r="AR285" s="228"/>
      <x:c r="AS285" s="228"/>
      <x:c r="AT285" s="230"/>
    </x:row>
    <x:row r="286" spans="1:47" ht="15" customHeight="1">
      <x:c r="A286" s="282" t="s">
        <x:v>2594</x:v>
      </x:c>
      <x:c r="B286" s="216"/>
      <x:c r="C286" s="283" t="s">
        <x:v>2595</x:v>
      </x:c>
      <x:c r="D286" s="282" t="s">
        <x:v>2596</x:v>
      </x:c>
      <x:c r="E286" s="282" t="s">
        <x:v>2597</x:v>
      </x:c>
      <x:c r="F286" s="277" t="s">
        <x:v>118</x:v>
      </x:c>
      <x:c r="G286" s="277" t="s">
        <x:v>118</x:v>
      </x:c>
      <x:c r="H286" s="277" t="s">
        <x:v>118</x:v>
      </x:c>
      <x:c r="I286" s="277" t="s">
        <x:v>118</x:v>
      </x:c>
      <x:c r="J286" s="277" t="s">
        <x:v>118</x:v>
      </x:c>
      <x:c r="K286" s="277" t="s">
        <x:v>118</x:v>
      </x:c>
      <x:c r="L286" s="277" t="s">
        <x:v>118</x:v>
      </x:c>
      <x:c r="M286" s="277" t="s">
        <x:v>118</x:v>
      </x:c>
      <x:c r="N286" s="277" t="s">
        <x:v>118</x:v>
      </x:c>
      <x:c r="O286" s="277" t="s">
        <x:v>118</x:v>
      </x:c>
      <x:c r="P286" s="277" t="s">
        <x:v>118</x:v>
      </x:c>
      <x:c r="Q286" s="277" t="s">
        <x:v>118</x:v>
      </x:c>
      <x:c r="R286" s="277" t="s">
        <x:v>118</x:v>
      </x:c>
      <x:c r="S286" s="277" t="s">
        <x:v>118</x:v>
      </x:c>
      <x:c r="T286" s="277" t="s">
        <x:v>118</x:v>
      </x:c>
      <x:c r="U286" s="277" t="s">
        <x:v>118</x:v>
      </x:c>
      <x:c r="V286" s="277" t="s">
        <x:v>118</x:v>
      </x:c>
      <x:c r="W286" s="277" t="s">
        <x:v>118</x:v>
      </x:c>
      <x:c r="X286" s="277" t="s">
        <x:v>118</x:v>
      </x:c>
      <x:c r="Y286" s="277" t="s">
        <x:v>118</x:v>
      </x:c>
      <x:c r="Z286" s="277" t="s">
        <x:v>118</x:v>
      </x:c>
      <x:c r="AA286" s="277" t="s">
        <x:v>118</x:v>
      </x:c>
      <x:c r="AB286" s="277" t="s">
        <x:v>118</x:v>
      </x:c>
      <x:c r="AC286" s="277" t="s">
        <x:v>118</x:v>
      </x:c>
      <x:c r="AD286" s="277" t="s">
        <x:v>118</x:v>
      </x:c>
      <x:c r="AE286" s="277" t="s">
        <x:v>118</x:v>
      </x:c>
      <x:c r="AF286" s="277" t="s">
        <x:v>118</x:v>
      </x:c>
      <x:c r="AG286" s="277" t="s">
        <x:v>118</x:v>
      </x:c>
      <x:c r="AH286" s="277" t="s">
        <x:v>118</x:v>
      </x:c>
      <x:c r="AI286" s="277" t="s">
        <x:v>118</x:v>
      </x:c>
      <x:c r="AJ286" s="277" t="s">
        <x:v>118</x:v>
      </x:c>
      <x:c r="AK286" s="220">
        <x:f>COUNTIF(F286:AJ286,"X")</x:f>
      </x:c>
      <x:c r="AL286" s="221"/>
      <x:c r="AM286" s="221"/>
      <x:c r="AN286" s="222"/>
      <x:c r="AO286" s="222"/>
      <x:c r="AP286" s="228"/>
      <x:c r="AQ286" s="228"/>
      <x:c r="AR286" s="228"/>
      <x:c r="AS286" s="228"/>
      <x:c r="AT286" s="230"/>
    </x:row>
    <x:row r="287" spans="1:47" ht="15" customHeight="1">
      <x:c r="A287" s="282" t="s">
        <x:v>2598</x:v>
      </x:c>
      <x:c r="B287" s="216"/>
      <x:c r="C287" s="283" t="s">
        <x:v>2599</x:v>
      </x:c>
      <x:c r="D287" s="282" t="s">
        <x:v>2600</x:v>
      </x:c>
      <x:c r="E287" s="282" t="s">
        <x:v>2601</x:v>
      </x:c>
      <x:c r="F287" s="281" t="s">
        <x:v>118</x:v>
      </x:c>
      <x:c r="G287" s="281" t="s">
        <x:v>118</x:v>
      </x:c>
      <x:c r="H287" s="281" t="s">
        <x:v>118</x:v>
      </x:c>
      <x:c r="I287" s="281" t="s">
        <x:v>118</x:v>
      </x:c>
      <x:c r="J287" s="281" t="s">
        <x:v>118</x:v>
      </x:c>
      <x:c r="K287" s="281" t="s">
        <x:v>118</x:v>
      </x:c>
      <x:c r="L287" s="281" t="s">
        <x:v>118</x:v>
      </x:c>
      <x:c r="M287" s="281" t="s">
        <x:v>118</x:v>
      </x:c>
      <x:c r="N287" s="281" t="s">
        <x:v>118</x:v>
      </x:c>
      <x:c r="O287" s="281" t="s">
        <x:v>118</x:v>
      </x:c>
      <x:c r="P287" s="281" t="s">
        <x:v>118</x:v>
      </x:c>
      <x:c r="Q287" s="281" t="s">
        <x:v>118</x:v>
      </x:c>
      <x:c r="R287" s="281" t="s">
        <x:v>118</x:v>
      </x:c>
      <x:c r="S287" s="281" t="s">
        <x:v>118</x:v>
      </x:c>
      <x:c r="T287" s="281" t="s">
        <x:v>118</x:v>
      </x:c>
      <x:c r="U287" s="281" t="s">
        <x:v>118</x:v>
      </x:c>
      <x:c r="V287" s="281" t="s">
        <x:v>118</x:v>
      </x:c>
      <x:c r="W287" s="281" t="s">
        <x:v>118</x:v>
      </x:c>
      <x:c r="X287" s="281" t="s">
        <x:v>118</x:v>
      </x:c>
      <x:c r="Y287" s="281" t="s">
        <x:v>118</x:v>
      </x:c>
      <x:c r="Z287" s="281" t="s">
        <x:v>118</x:v>
      </x:c>
      <x:c r="AA287" s="281" t="s">
        <x:v>118</x:v>
      </x:c>
      <x:c r="AB287" s="281" t="s">
        <x:v>118</x:v>
      </x:c>
      <x:c r="AC287" s="281" t="s">
        <x:v>118</x:v>
      </x:c>
      <x:c r="AD287" s="281" t="s">
        <x:v>118</x:v>
      </x:c>
      <x:c r="AE287" s="281" t="s">
        <x:v>118</x:v>
      </x:c>
      <x:c r="AF287" s="281" t="s">
        <x:v>118</x:v>
      </x:c>
      <x:c r="AG287" s="281" t="s">
        <x:v>118</x:v>
      </x:c>
      <x:c r="AH287" s="281" t="s">
        <x:v>118</x:v>
      </x:c>
      <x:c r="AI287" s="281" t="s">
        <x:v>118</x:v>
      </x:c>
      <x:c r="AJ287" s="281" t="s">
        <x:v>118</x:v>
      </x:c>
      <x:c r="AK287" s="220">
        <x:f>COUNTIF(F287:AJ287,"X")</x:f>
      </x:c>
      <x:c r="AL287" s="221"/>
      <x:c r="AM287" s="221"/>
      <x:c r="AN287" s="222"/>
      <x:c r="AO287" s="222"/>
      <x:c r="AP287" s="228"/>
      <x:c r="AQ287" s="228"/>
      <x:c r="AR287" s="228"/>
      <x:c r="AS287" s="228"/>
      <x:c r="AT287" s="230"/>
    </x:row>
    <x:row r="288" spans="1:47" ht="15" customHeight="1">
      <x:c r="A288" s="282" t="s">
        <x:v>2602</x:v>
      </x:c>
      <x:c r="B288" s="216"/>
      <x:c r="C288" s="283" t="s">
        <x:v>2603</x:v>
      </x:c>
      <x:c r="D288" s="282" t="s">
        <x:v>704</x:v>
      </x:c>
      <x:c r="E288" s="282" t="s">
        <x:v>151</x:v>
      </x:c>
      <x:c r="F288" s="277" t="s">
        <x:v>118</x:v>
      </x:c>
      <x:c r="G288" s="277" t="s">
        <x:v>118</x:v>
      </x:c>
      <x:c r="H288" s="277" t="s">
        <x:v>118</x:v>
      </x:c>
      <x:c r="I288" s="277" t="s">
        <x:v>118</x:v>
      </x:c>
      <x:c r="J288" s="277" t="s">
        <x:v>118</x:v>
      </x:c>
      <x:c r="K288" s="277" t="s">
        <x:v>118</x:v>
      </x:c>
      <x:c r="L288" s="277" t="s">
        <x:v>118</x:v>
      </x:c>
      <x:c r="M288" s="277" t="s">
        <x:v>118</x:v>
      </x:c>
      <x:c r="N288" s="277" t="s">
        <x:v>118</x:v>
      </x:c>
      <x:c r="O288" s="277" t="s">
        <x:v>118</x:v>
      </x:c>
      <x:c r="P288" s="277" t="s">
        <x:v>118</x:v>
      </x:c>
      <x:c r="Q288" s="277" t="s">
        <x:v>118</x:v>
      </x:c>
      <x:c r="R288" s="277" t="s">
        <x:v>118</x:v>
      </x:c>
      <x:c r="S288" s="277" t="s">
        <x:v>118</x:v>
      </x:c>
      <x:c r="T288" s="277" t="s">
        <x:v>118</x:v>
      </x:c>
      <x:c r="U288" s="277" t="s">
        <x:v>118</x:v>
      </x:c>
      <x:c r="V288" s="277" t="s">
        <x:v>118</x:v>
      </x:c>
      <x:c r="W288" s="277" t="s">
        <x:v>118</x:v>
      </x:c>
      <x:c r="X288" s="277" t="s">
        <x:v>118</x:v>
      </x:c>
      <x:c r="Y288" s="277" t="s">
        <x:v>118</x:v>
      </x:c>
      <x:c r="Z288" s="277" t="s">
        <x:v>118</x:v>
      </x:c>
      <x:c r="AA288" s="277" t="s">
        <x:v>118</x:v>
      </x:c>
      <x:c r="AB288" s="277" t="s">
        <x:v>118</x:v>
      </x:c>
      <x:c r="AC288" s="277" t="s">
        <x:v>118</x:v>
      </x:c>
      <x:c r="AD288" s="277" t="s">
        <x:v>118</x:v>
      </x:c>
      <x:c r="AE288" s="277" t="s">
        <x:v>118</x:v>
      </x:c>
      <x:c r="AF288" s="277" t="s">
        <x:v>118</x:v>
      </x:c>
      <x:c r="AG288" s="277" t="s">
        <x:v>118</x:v>
      </x:c>
      <x:c r="AH288" s="277" t="s">
        <x:v>118</x:v>
      </x:c>
      <x:c r="AI288" s="277" t="s">
        <x:v>118</x:v>
      </x:c>
      <x:c r="AJ288" s="277" t="s">
        <x:v>118</x:v>
      </x:c>
      <x:c r="AK288" s="220">
        <x:f>COUNTIF(F288:AJ288,"X")</x:f>
      </x:c>
      <x:c r="AL288" s="221"/>
      <x:c r="AM288" s="221"/>
      <x:c r="AN288" s="222"/>
      <x:c r="AO288" s="222"/>
      <x:c r="AP288" s="228"/>
      <x:c r="AQ288" s="228"/>
      <x:c r="AR288" s="228"/>
      <x:c r="AS288" s="228"/>
      <x:c r="AT288" s="230"/>
    </x:row>
    <x:row r="289" spans="1:47" ht="15" customHeight="1">
      <x:c r="A289" s="282" t="s">
        <x:v>2604</x:v>
      </x:c>
      <x:c r="B289" s="216"/>
      <x:c r="C289" s="283" t="s">
        <x:v>2605</x:v>
      </x:c>
      <x:c r="D289" s="282" t="s">
        <x:v>1514</x:v>
      </x:c>
      <x:c r="E289" s="282" t="s">
        <x:v>2606</x:v>
      </x:c>
      <x:c r="F289" s="277" t="s">
        <x:v>118</x:v>
      </x:c>
      <x:c r="G289" s="277" t="s">
        <x:v>118</x:v>
      </x:c>
      <x:c r="H289" s="277" t="s">
        <x:v>118</x:v>
      </x:c>
      <x:c r="I289" s="277" t="s">
        <x:v>118</x:v>
      </x:c>
      <x:c r="J289" s="277" t="s">
        <x:v>118</x:v>
      </x:c>
      <x:c r="K289" s="277" t="s">
        <x:v>118</x:v>
      </x:c>
      <x:c r="L289" s="277" t="s">
        <x:v>118</x:v>
      </x:c>
      <x:c r="M289" s="277" t="s">
        <x:v>118</x:v>
      </x:c>
      <x:c r="N289" s="277" t="s">
        <x:v>118</x:v>
      </x:c>
      <x:c r="O289" s="277" t="s">
        <x:v>118</x:v>
      </x:c>
      <x:c r="P289" s="277" t="s">
        <x:v>118</x:v>
      </x:c>
      <x:c r="Q289" s="277" t="s">
        <x:v>118</x:v>
      </x:c>
      <x:c r="R289" s="277" t="s">
        <x:v>118</x:v>
      </x:c>
      <x:c r="S289" s="277" t="s">
        <x:v>118</x:v>
      </x:c>
      <x:c r="T289" s="277" t="s">
        <x:v>118</x:v>
      </x:c>
      <x:c r="U289" s="277" t="s">
        <x:v>118</x:v>
      </x:c>
      <x:c r="V289" s="277" t="s">
        <x:v>118</x:v>
      </x:c>
      <x:c r="W289" s="277" t="s">
        <x:v>118</x:v>
      </x:c>
      <x:c r="X289" s="277" t="s">
        <x:v>118</x:v>
      </x:c>
      <x:c r="Y289" s="277" t="s">
        <x:v>118</x:v>
      </x:c>
      <x:c r="Z289" s="277" t="s">
        <x:v>118</x:v>
      </x:c>
      <x:c r="AA289" s="277" t="s">
        <x:v>118</x:v>
      </x:c>
      <x:c r="AB289" s="277" t="s">
        <x:v>118</x:v>
      </x:c>
      <x:c r="AC289" s="277" t="s">
        <x:v>118</x:v>
      </x:c>
      <x:c r="AD289" s="277" t="s">
        <x:v>118</x:v>
      </x:c>
      <x:c r="AE289" s="277" t="s">
        <x:v>118</x:v>
      </x:c>
      <x:c r="AF289" s="277" t="s">
        <x:v>118</x:v>
      </x:c>
      <x:c r="AG289" s="277" t="s">
        <x:v>118</x:v>
      </x:c>
      <x:c r="AH289" s="277" t="s">
        <x:v>118</x:v>
      </x:c>
      <x:c r="AI289" s="277" t="s">
        <x:v>118</x:v>
      </x:c>
      <x:c r="AJ289" s="277" t="s">
        <x:v>118</x:v>
      </x:c>
      <x:c r="AK289" s="220">
        <x:f>COUNTIF(F289:AJ289,"X")</x:f>
      </x:c>
      <x:c r="AL289" s="221"/>
      <x:c r="AM289" s="221"/>
      <x:c r="AN289" s="222"/>
      <x:c r="AO289" s="222"/>
      <x:c r="AP289" s="228"/>
      <x:c r="AQ289" s="228"/>
      <x:c r="AR289" s="228"/>
      <x:c r="AS289" s="228"/>
      <x:c r="AT289" s="230"/>
    </x:row>
    <x:row r="290" spans="1:47" ht="15" customHeight="1">
      <x:c r="A290" s="282" t="s">
        <x:v>2607</x:v>
      </x:c>
      <x:c r="B290" s="216"/>
      <x:c r="C290" s="283" t="s">
        <x:v>2608</x:v>
      </x:c>
      <x:c r="D290" s="282" t="s">
        <x:v>1528</x:v>
      </x:c>
      <x:c r="E290" s="282" t="s">
        <x:v>2609</x:v>
      </x:c>
      <x:c r="F290" s="281" t="s">
        <x:v>118</x:v>
      </x:c>
      <x:c r="G290" s="281" t="s">
        <x:v>118</x:v>
      </x:c>
      <x:c r="H290" s="281" t="s">
        <x:v>118</x:v>
      </x:c>
      <x:c r="I290" s="281" t="s">
        <x:v>118</x:v>
      </x:c>
      <x:c r="J290" s="281" t="s">
        <x:v>118</x:v>
      </x:c>
      <x:c r="K290" s="281" t="s">
        <x:v>118</x:v>
      </x:c>
      <x:c r="L290" s="281" t="s">
        <x:v>118</x:v>
      </x:c>
      <x:c r="M290" s="281" t="s">
        <x:v>118</x:v>
      </x:c>
      <x:c r="N290" s="281" t="s">
        <x:v>118</x:v>
      </x:c>
      <x:c r="O290" s="281" t="s">
        <x:v>118</x:v>
      </x:c>
      <x:c r="P290" s="281" t="s">
        <x:v>118</x:v>
      </x:c>
      <x:c r="Q290" s="281" t="s">
        <x:v>118</x:v>
      </x:c>
      <x:c r="R290" s="281" t="s">
        <x:v>118</x:v>
      </x:c>
      <x:c r="S290" s="281" t="s">
        <x:v>118</x:v>
      </x:c>
      <x:c r="T290" s="281" t="s">
        <x:v>118</x:v>
      </x:c>
      <x:c r="U290" s="281" t="s">
        <x:v>118</x:v>
      </x:c>
      <x:c r="V290" s="281" t="s">
        <x:v>118</x:v>
      </x:c>
      <x:c r="W290" s="281" t="s">
        <x:v>118</x:v>
      </x:c>
      <x:c r="X290" s="281" t="s">
        <x:v>118</x:v>
      </x:c>
      <x:c r="Y290" s="281" t="s">
        <x:v>118</x:v>
      </x:c>
      <x:c r="Z290" s="281" t="s">
        <x:v>118</x:v>
      </x:c>
      <x:c r="AA290" s="281" t="s">
        <x:v>118</x:v>
      </x:c>
      <x:c r="AB290" s="281" t="s">
        <x:v>118</x:v>
      </x:c>
      <x:c r="AC290" s="281" t="s">
        <x:v>118</x:v>
      </x:c>
      <x:c r="AD290" s="281" t="s">
        <x:v>118</x:v>
      </x:c>
      <x:c r="AE290" s="281" t="s">
        <x:v>118</x:v>
      </x:c>
      <x:c r="AF290" s="281" t="s">
        <x:v>118</x:v>
      </x:c>
      <x:c r="AG290" s="281" t="s">
        <x:v>118</x:v>
      </x:c>
      <x:c r="AH290" s="281" t="s">
        <x:v>118</x:v>
      </x:c>
      <x:c r="AI290" s="281" t="s">
        <x:v>118</x:v>
      </x:c>
      <x:c r="AJ290" s="281" t="s">
        <x:v>118</x:v>
      </x:c>
      <x:c r="AK290" s="220">
        <x:f>COUNTIF(F290:AJ290,"X")</x:f>
      </x:c>
      <x:c r="AL290" s="221"/>
      <x:c r="AM290" s="221"/>
      <x:c r="AN290" s="222"/>
      <x:c r="AO290" s="222"/>
      <x:c r="AP290" s="228"/>
      <x:c r="AQ290" s="228"/>
      <x:c r="AR290" s="228"/>
      <x:c r="AS290" s="228"/>
      <x:c r="AT290" s="233"/>
    </x:row>
    <x:row r="291" spans="1:47" ht="15" customHeight="1">
      <x:c r="A291" s="282" t="s">
        <x:v>2610</x:v>
      </x:c>
      <x:c r="B291" s="216"/>
      <x:c r="C291" s="283" t="s">
        <x:v>2611</x:v>
      </x:c>
      <x:c r="D291" s="282" t="s">
        <x:v>1528</x:v>
      </x:c>
      <x:c r="E291" s="282" t="s">
        <x:v>2455</x:v>
      </x:c>
      <x:c r="F291" s="277" t="s">
        <x:v>118</x:v>
      </x:c>
      <x:c r="G291" s="277" t="s">
        <x:v>118</x:v>
      </x:c>
      <x:c r="H291" s="277" t="s">
        <x:v>118</x:v>
      </x:c>
      <x:c r="I291" s="277" t="s">
        <x:v>118</x:v>
      </x:c>
      <x:c r="J291" s="277" t="s">
        <x:v>118</x:v>
      </x:c>
      <x:c r="K291" s="277" t="s">
        <x:v>118</x:v>
      </x:c>
      <x:c r="L291" s="277" t="s">
        <x:v>118</x:v>
      </x:c>
      <x:c r="M291" s="277" t="s">
        <x:v>118</x:v>
      </x:c>
      <x:c r="N291" s="277" t="s">
        <x:v>118</x:v>
      </x:c>
      <x:c r="O291" s="277" t="s">
        <x:v>118</x:v>
      </x:c>
      <x:c r="P291" s="277" t="s">
        <x:v>118</x:v>
      </x:c>
      <x:c r="Q291" s="277" t="s">
        <x:v>118</x:v>
      </x:c>
      <x:c r="R291" s="277" t="s">
        <x:v>118</x:v>
      </x:c>
      <x:c r="S291" s="277" t="s">
        <x:v>118</x:v>
      </x:c>
      <x:c r="T291" s="277" t="s">
        <x:v>118</x:v>
      </x:c>
      <x:c r="U291" s="277" t="s">
        <x:v>118</x:v>
      </x:c>
      <x:c r="V291" s="277" t="s">
        <x:v>118</x:v>
      </x:c>
      <x:c r="W291" s="277" t="s">
        <x:v>118</x:v>
      </x:c>
      <x:c r="X291" s="277" t="s">
        <x:v>118</x:v>
      </x:c>
      <x:c r="Y291" s="277" t="s">
        <x:v>118</x:v>
      </x:c>
      <x:c r="Z291" s="277" t="s">
        <x:v>118</x:v>
      </x:c>
      <x:c r="AA291" s="277" t="s">
        <x:v>118</x:v>
      </x:c>
      <x:c r="AB291" s="277" t="s">
        <x:v>118</x:v>
      </x:c>
      <x:c r="AC291" s="277" t="s">
        <x:v>118</x:v>
      </x:c>
      <x:c r="AD291" s="277" t="s">
        <x:v>118</x:v>
      </x:c>
      <x:c r="AE291" s="277" t="s">
        <x:v>118</x:v>
      </x:c>
      <x:c r="AF291" s="277" t="s">
        <x:v>118</x:v>
      </x:c>
      <x:c r="AG291" s="277" t="s">
        <x:v>118</x:v>
      </x:c>
      <x:c r="AH291" s="277" t="s">
        <x:v>118</x:v>
      </x:c>
      <x:c r="AI291" s="277" t="s">
        <x:v>118</x:v>
      </x:c>
      <x:c r="AJ291" s="277" t="s">
        <x:v>118</x:v>
      </x:c>
      <x:c r="AK291" s="220">
        <x:f>COUNTIF(F291:AJ291,"X")</x:f>
      </x:c>
      <x:c r="AL291" s="221"/>
      <x:c r="AM291" s="221"/>
      <x:c r="AN291" s="222"/>
      <x:c r="AO291" s="222"/>
      <x:c r="AP291" s="228"/>
      <x:c r="AQ291" s="228"/>
      <x:c r="AR291" s="228"/>
      <x:c r="AS291" s="228"/>
      <x:c r="AT291" s="230"/>
    </x:row>
    <x:row r="292" spans="1:47" ht="15" customHeight="1">
      <x:c r="A292" s="282" t="s">
        <x:v>2612</x:v>
      </x:c>
      <x:c r="B292" s="216"/>
      <x:c r="C292" s="283" t="s">
        <x:v>2613</x:v>
      </x:c>
      <x:c r="D292" s="282" t="s">
        <x:v>711</x:v>
      </x:c>
      <x:c r="E292" s="282" t="s">
        <x:v>2614</x:v>
      </x:c>
      <x:c r="F292" s="277" t="s">
        <x:v>118</x:v>
      </x:c>
      <x:c r="G292" s="277" t="s">
        <x:v>118</x:v>
      </x:c>
      <x:c r="H292" s="277" t="s">
        <x:v>118</x:v>
      </x:c>
      <x:c r="I292" s="277" t="s">
        <x:v>118</x:v>
      </x:c>
      <x:c r="J292" s="277" t="s">
        <x:v>118</x:v>
      </x:c>
      <x:c r="K292" s="277" t="s">
        <x:v>118</x:v>
      </x:c>
      <x:c r="L292" s="277" t="s">
        <x:v>118</x:v>
      </x:c>
      <x:c r="M292" s="277" t="s">
        <x:v>118</x:v>
      </x:c>
      <x:c r="N292" s="277" t="s">
        <x:v>118</x:v>
      </x:c>
      <x:c r="O292" s="277" t="s">
        <x:v>118</x:v>
      </x:c>
      <x:c r="P292" s="277" t="s">
        <x:v>118</x:v>
      </x:c>
      <x:c r="Q292" s="277" t="s">
        <x:v>118</x:v>
      </x:c>
      <x:c r="R292" s="277" t="s">
        <x:v>118</x:v>
      </x:c>
      <x:c r="S292" s="277" t="s">
        <x:v>118</x:v>
      </x:c>
      <x:c r="T292" s="277" t="s">
        <x:v>118</x:v>
      </x:c>
      <x:c r="U292" s="277" t="s">
        <x:v>118</x:v>
      </x:c>
      <x:c r="V292" s="277" t="s">
        <x:v>118</x:v>
      </x:c>
      <x:c r="W292" s="277" t="s">
        <x:v>118</x:v>
      </x:c>
      <x:c r="X292" s="277" t="s">
        <x:v>118</x:v>
      </x:c>
      <x:c r="Y292" s="277" t="s">
        <x:v>118</x:v>
      </x:c>
      <x:c r="Z292" s="277" t="s">
        <x:v>118</x:v>
      </x:c>
      <x:c r="AA292" s="277" t="s">
        <x:v>118</x:v>
      </x:c>
      <x:c r="AB292" s="277" t="s">
        <x:v>118</x:v>
      </x:c>
      <x:c r="AC292" s="277" t="s">
        <x:v>118</x:v>
      </x:c>
      <x:c r="AD292" s="277" t="s">
        <x:v>118</x:v>
      </x:c>
      <x:c r="AE292" s="277" t="s">
        <x:v>118</x:v>
      </x:c>
      <x:c r="AF292" s="277" t="s">
        <x:v>118</x:v>
      </x:c>
      <x:c r="AG292" s="277" t="s">
        <x:v>118</x:v>
      </x:c>
      <x:c r="AH292" s="277" t="s">
        <x:v>118</x:v>
      </x:c>
      <x:c r="AI292" s="277" t="s">
        <x:v>118</x:v>
      </x:c>
      <x:c r="AJ292" s="277" t="s">
        <x:v>118</x:v>
      </x:c>
      <x:c r="AK292" s="220">
        <x:f>COUNTIF(F292:AJ292,"X")</x:f>
      </x:c>
      <x:c r="AL292" s="221"/>
      <x:c r="AM292" s="221"/>
      <x:c r="AN292" s="222"/>
      <x:c r="AO292" s="222"/>
      <x:c r="AP292" s="228"/>
      <x:c r="AQ292" s="228"/>
      <x:c r="AR292" s="228"/>
      <x:c r="AS292" s="228"/>
      <x:c r="AT292" s="230"/>
    </x:row>
    <x:row r="293" spans="1:47" ht="15" customHeight="1">
      <x:c r="A293" s="282" t="s">
        <x:v>2615</x:v>
      </x:c>
      <x:c r="B293" s="216"/>
      <x:c r="C293" s="283" t="s">
        <x:v>2616</x:v>
      </x:c>
      <x:c r="D293" s="282" t="s">
        <x:v>711</x:v>
      </x:c>
      <x:c r="E293" s="282" t="s">
        <x:v>2617</x:v>
      </x:c>
      <x:c r="F293" s="281" t="s">
        <x:v>118</x:v>
      </x:c>
      <x:c r="G293" s="281" t="s">
        <x:v>118</x:v>
      </x:c>
      <x:c r="H293" s="281" t="s">
        <x:v>118</x:v>
      </x:c>
      <x:c r="I293" s="281" t="s">
        <x:v>118</x:v>
      </x:c>
      <x:c r="J293" s="281" t="s">
        <x:v>118</x:v>
      </x:c>
      <x:c r="K293" s="281" t="s">
        <x:v>118</x:v>
      </x:c>
      <x:c r="L293" s="281" t="s">
        <x:v>118</x:v>
      </x:c>
      <x:c r="M293" s="281" t="s">
        <x:v>118</x:v>
      </x:c>
      <x:c r="N293" s="281" t="s">
        <x:v>118</x:v>
      </x:c>
      <x:c r="O293" s="281" t="s">
        <x:v>118</x:v>
      </x:c>
      <x:c r="P293" s="281" t="s">
        <x:v>118</x:v>
      </x:c>
      <x:c r="Q293" s="281" t="s">
        <x:v>118</x:v>
      </x:c>
      <x:c r="R293" s="281" t="s">
        <x:v>118</x:v>
      </x:c>
      <x:c r="S293" s="281" t="s">
        <x:v>118</x:v>
      </x:c>
      <x:c r="T293" s="281" t="s">
        <x:v>118</x:v>
      </x:c>
      <x:c r="U293" s="281" t="s">
        <x:v>118</x:v>
      </x:c>
      <x:c r="V293" s="281" t="s">
        <x:v>118</x:v>
      </x:c>
      <x:c r="W293" s="281" t="s">
        <x:v>118</x:v>
      </x:c>
      <x:c r="X293" s="281" t="s">
        <x:v>118</x:v>
      </x:c>
      <x:c r="Y293" s="281" t="s">
        <x:v>118</x:v>
      </x:c>
      <x:c r="Z293" s="281" t="s">
        <x:v>118</x:v>
      </x:c>
      <x:c r="AA293" s="281" t="s">
        <x:v>118</x:v>
      </x:c>
      <x:c r="AB293" s="281" t="s">
        <x:v>118</x:v>
      </x:c>
      <x:c r="AC293" s="281" t="s">
        <x:v>118</x:v>
      </x:c>
      <x:c r="AD293" s="281" t="s">
        <x:v>118</x:v>
      </x:c>
      <x:c r="AE293" s="281" t="s">
        <x:v>118</x:v>
      </x:c>
      <x:c r="AF293" s="281" t="s">
        <x:v>118</x:v>
      </x:c>
      <x:c r="AG293" s="281" t="s">
        <x:v>118</x:v>
      </x:c>
      <x:c r="AH293" s="281" t="s">
        <x:v>118</x:v>
      </x:c>
      <x:c r="AI293" s="281" t="s">
        <x:v>118</x:v>
      </x:c>
      <x:c r="AJ293" s="281" t="s">
        <x:v>118</x:v>
      </x:c>
      <x:c r="AK293" s="220">
        <x:f>COUNTIF(F293:AJ293,"X")</x:f>
      </x:c>
      <x:c r="AL293" s="221"/>
      <x:c r="AM293" s="221"/>
      <x:c r="AN293" s="222"/>
      <x:c r="AO293" s="222"/>
      <x:c r="AP293" s="228"/>
      <x:c r="AQ293" s="228"/>
      <x:c r="AR293" s="228"/>
      <x:c r="AS293" s="228"/>
      <x:c r="AT293" s="230"/>
    </x:row>
    <x:row r="294" spans="1:47" ht="15" customHeight="1">
      <x:c r="A294" s="282" t="s">
        <x:v>2618</x:v>
      </x:c>
      <x:c r="B294" s="216"/>
      <x:c r="C294" s="283" t="s">
        <x:v>2619</x:v>
      </x:c>
      <x:c r="D294" s="282" t="s">
        <x:v>717</x:v>
      </x:c>
      <x:c r="E294" s="282" t="s">
        <x:v>2620</x:v>
      </x:c>
      <x:c r="F294" s="281" t="s">
        <x:v>118</x:v>
      </x:c>
      <x:c r="G294" s="281" t="s">
        <x:v>118</x:v>
      </x:c>
      <x:c r="H294" s="281" t="s">
        <x:v>118</x:v>
      </x:c>
      <x:c r="I294" s="281" t="s">
        <x:v>118</x:v>
      </x:c>
      <x:c r="J294" s="281" t="s">
        <x:v>118</x:v>
      </x:c>
      <x:c r="K294" s="281" t="s">
        <x:v>118</x:v>
      </x:c>
      <x:c r="L294" s="281" t="s">
        <x:v>118</x:v>
      </x:c>
      <x:c r="M294" s="281" t="s">
        <x:v>118</x:v>
      </x:c>
      <x:c r="N294" s="281" t="s">
        <x:v>118</x:v>
      </x:c>
      <x:c r="O294" s="281" t="s">
        <x:v>118</x:v>
      </x:c>
      <x:c r="P294" s="281" t="s">
        <x:v>118</x:v>
      </x:c>
      <x:c r="Q294" s="281" t="s">
        <x:v>118</x:v>
      </x:c>
      <x:c r="R294" s="281" t="s">
        <x:v>118</x:v>
      </x:c>
      <x:c r="S294" s="281" t="s">
        <x:v>118</x:v>
      </x:c>
      <x:c r="T294" s="281" t="s">
        <x:v>118</x:v>
      </x:c>
      <x:c r="U294" s="281" t="s">
        <x:v>118</x:v>
      </x:c>
      <x:c r="V294" s="281" t="s">
        <x:v>118</x:v>
      </x:c>
      <x:c r="W294" s="281" t="s">
        <x:v>118</x:v>
      </x:c>
      <x:c r="X294" s="281" t="s">
        <x:v>118</x:v>
      </x:c>
      <x:c r="Y294" s="281" t="s">
        <x:v>118</x:v>
      </x:c>
      <x:c r="Z294" s="281" t="s">
        <x:v>118</x:v>
      </x:c>
      <x:c r="AA294" s="281" t="s">
        <x:v>118</x:v>
      </x:c>
      <x:c r="AB294" s="281" t="s">
        <x:v>118</x:v>
      </x:c>
      <x:c r="AC294" s="281" t="s">
        <x:v>118</x:v>
      </x:c>
      <x:c r="AD294" s="281" t="s">
        <x:v>118</x:v>
      </x:c>
      <x:c r="AE294" s="281" t="s">
        <x:v>118</x:v>
      </x:c>
      <x:c r="AF294" s="281" t="s">
        <x:v>118</x:v>
      </x:c>
      <x:c r="AG294" s="281" t="s">
        <x:v>118</x:v>
      </x:c>
      <x:c r="AH294" s="281" t="s">
        <x:v>118</x:v>
      </x:c>
      <x:c r="AI294" s="281" t="s">
        <x:v>118</x:v>
      </x:c>
      <x:c r="AJ294" s="281" t="s">
        <x:v>118</x:v>
      </x:c>
      <x:c r="AK294" s="220">
        <x:f>COUNTIF(F294:AJ294,"X")</x:f>
      </x:c>
      <x:c r="AL294" s="221"/>
      <x:c r="AM294" s="221"/>
      <x:c r="AN294" s="222"/>
      <x:c r="AO294" s="222"/>
      <x:c r="AP294" s="228"/>
      <x:c r="AQ294" s="228"/>
      <x:c r="AR294" s="228"/>
      <x:c r="AS294" s="228"/>
      <x:c r="AT294" s="230"/>
    </x:row>
    <x:row r="295" spans="1:47" ht="15" customHeight="1">
      <x:c r="A295" s="282" t="s">
        <x:v>2621</x:v>
      </x:c>
      <x:c r="B295" s="216"/>
      <x:c r="C295" s="283" t="s">
        <x:v>2622</x:v>
      </x:c>
      <x:c r="D295" s="282" t="s">
        <x:v>717</x:v>
      </x:c>
      <x:c r="E295" s="282" t="s">
        <x:v>2623</x:v>
      </x:c>
      <x:c r="F295" s="281" t="s">
        <x:v>118</x:v>
      </x:c>
      <x:c r="G295" s="281" t="s">
        <x:v>118</x:v>
      </x:c>
      <x:c r="H295" s="281" t="s">
        <x:v>118</x:v>
      </x:c>
      <x:c r="I295" s="281" t="s">
        <x:v>118</x:v>
      </x:c>
      <x:c r="J295" s="281" t="s">
        <x:v>118</x:v>
      </x:c>
      <x:c r="K295" s="281" t="s">
        <x:v>118</x:v>
      </x:c>
      <x:c r="L295" s="281" t="s">
        <x:v>118</x:v>
      </x:c>
      <x:c r="M295" s="281" t="s">
        <x:v>118</x:v>
      </x:c>
      <x:c r="N295" s="281" t="s">
        <x:v>118</x:v>
      </x:c>
      <x:c r="O295" s="281" t="s">
        <x:v>118</x:v>
      </x:c>
      <x:c r="P295" s="281" t="s">
        <x:v>118</x:v>
      </x:c>
      <x:c r="Q295" s="281" t="s">
        <x:v>118</x:v>
      </x:c>
      <x:c r="R295" s="281" t="s">
        <x:v>118</x:v>
      </x:c>
      <x:c r="S295" s="281" t="s">
        <x:v>118</x:v>
      </x:c>
      <x:c r="T295" s="281" t="s">
        <x:v>118</x:v>
      </x:c>
      <x:c r="U295" s="281" t="s">
        <x:v>118</x:v>
      </x:c>
      <x:c r="V295" s="281" t="s">
        <x:v>118</x:v>
      </x:c>
      <x:c r="W295" s="281" t="s">
        <x:v>118</x:v>
      </x:c>
      <x:c r="X295" s="281" t="s">
        <x:v>118</x:v>
      </x:c>
      <x:c r="Y295" s="281" t="s">
        <x:v>118</x:v>
      </x:c>
      <x:c r="Z295" s="281" t="s">
        <x:v>118</x:v>
      </x:c>
      <x:c r="AA295" s="281" t="s">
        <x:v>118</x:v>
      </x:c>
      <x:c r="AB295" s="281" t="s">
        <x:v>118</x:v>
      </x:c>
      <x:c r="AC295" s="281" t="s">
        <x:v>118</x:v>
      </x:c>
      <x:c r="AD295" s="281" t="s">
        <x:v>118</x:v>
      </x:c>
      <x:c r="AE295" s="281" t="s">
        <x:v>118</x:v>
      </x:c>
      <x:c r="AF295" s="281" t="s">
        <x:v>118</x:v>
      </x:c>
      <x:c r="AG295" s="281" t="s">
        <x:v>118</x:v>
      </x:c>
      <x:c r="AH295" s="281" t="s">
        <x:v>118</x:v>
      </x:c>
      <x:c r="AI295" s="281" t="s">
        <x:v>118</x:v>
      </x:c>
      <x:c r="AJ295" s="281" t="s">
        <x:v>118</x:v>
      </x:c>
      <x:c r="AK295" s="220">
        <x:f>COUNTIF(F295:AJ295,"X")</x:f>
      </x:c>
      <x:c r="AL295" s="221"/>
      <x:c r="AM295" s="221"/>
      <x:c r="AN295" s="222"/>
      <x:c r="AO295" s="222"/>
      <x:c r="AP295" s="228"/>
      <x:c r="AQ295" s="228"/>
      <x:c r="AR295" s="228"/>
      <x:c r="AS295" s="228"/>
      <x:c r="AT295" s="230"/>
    </x:row>
    <x:row r="296" spans="1:47" ht="15" customHeight="1">
      <x:c r="A296" s="282" t="s">
        <x:v>2624</x:v>
      </x:c>
      <x:c r="B296" s="216"/>
      <x:c r="C296" s="283" t="s">
        <x:v>2625</x:v>
      </x:c>
      <x:c r="D296" s="282" t="s">
        <x:v>2626</x:v>
      </x:c>
      <x:c r="E296" s="282" t="s">
        <x:v>563</x:v>
      </x:c>
      <x:c r="F296" s="281" t="s">
        <x:v>118</x:v>
      </x:c>
      <x:c r="G296" s="281" t="s">
        <x:v>118</x:v>
      </x:c>
      <x:c r="H296" s="281" t="s">
        <x:v>118</x:v>
      </x:c>
      <x:c r="I296" s="281" t="s">
        <x:v>118</x:v>
      </x:c>
      <x:c r="J296" s="281" t="s">
        <x:v>118</x:v>
      </x:c>
      <x:c r="K296" s="281" t="s">
        <x:v>118</x:v>
      </x:c>
      <x:c r="L296" s="281" t="s">
        <x:v>118</x:v>
      </x:c>
      <x:c r="M296" s="281" t="s">
        <x:v>118</x:v>
      </x:c>
      <x:c r="N296" s="281" t="s">
        <x:v>118</x:v>
      </x:c>
      <x:c r="O296" s="281" t="s">
        <x:v>118</x:v>
      </x:c>
      <x:c r="P296" s="281" t="s">
        <x:v>118</x:v>
      </x:c>
      <x:c r="Q296" s="281" t="s">
        <x:v>118</x:v>
      </x:c>
      <x:c r="R296" s="281" t="s">
        <x:v>118</x:v>
      </x:c>
      <x:c r="S296" s="281" t="s">
        <x:v>118</x:v>
      </x:c>
      <x:c r="T296" s="281" t="s">
        <x:v>118</x:v>
      </x:c>
      <x:c r="U296" s="281" t="s">
        <x:v>118</x:v>
      </x:c>
      <x:c r="V296" s="281" t="s">
        <x:v>118</x:v>
      </x:c>
      <x:c r="W296" s="281" t="s">
        <x:v>118</x:v>
      </x:c>
      <x:c r="X296" s="281" t="s">
        <x:v>118</x:v>
      </x:c>
      <x:c r="Y296" s="281" t="s">
        <x:v>118</x:v>
      </x:c>
      <x:c r="Z296" s="281" t="s">
        <x:v>118</x:v>
      </x:c>
      <x:c r="AA296" s="281" t="s">
        <x:v>118</x:v>
      </x:c>
      <x:c r="AB296" s="281" t="s">
        <x:v>118</x:v>
      </x:c>
      <x:c r="AC296" s="281" t="s">
        <x:v>118</x:v>
      </x:c>
      <x:c r="AD296" s="281" t="s">
        <x:v>118</x:v>
      </x:c>
      <x:c r="AE296" s="281" t="s">
        <x:v>118</x:v>
      </x:c>
      <x:c r="AF296" s="281" t="s">
        <x:v>118</x:v>
      </x:c>
      <x:c r="AG296" s="281" t="s">
        <x:v>118</x:v>
      </x:c>
      <x:c r="AH296" s="281" t="s">
        <x:v>118</x:v>
      </x:c>
      <x:c r="AI296" s="281" t="s">
        <x:v>118</x:v>
      </x:c>
      <x:c r="AJ296" s="281" t="s">
        <x:v>118</x:v>
      </x:c>
      <x:c r="AK296" s="220">
        <x:f>COUNTIF(F296:AJ296,"X")</x:f>
      </x:c>
      <x:c r="AL296" s="221"/>
      <x:c r="AM296" s="221"/>
      <x:c r="AN296" s="222"/>
      <x:c r="AO296" s="222"/>
      <x:c r="AP296" s="228"/>
      <x:c r="AQ296" s="228"/>
      <x:c r="AR296" s="228"/>
      <x:c r="AS296" s="228"/>
      <x:c r="AT296" s="230"/>
    </x:row>
    <x:row r="297" spans="1:47" ht="15" customHeight="1">
      <x:c r="A297" s="282" t="s">
        <x:v>2627</x:v>
      </x:c>
      <x:c r="B297" s="216"/>
      <x:c r="C297" s="283" t="s">
        <x:v>2628</x:v>
      </x:c>
      <x:c r="D297" s="282" t="s">
        <x:v>2629</x:v>
      </x:c>
      <x:c r="E297" s="282" t="s">
        <x:v>2630</x:v>
      </x:c>
      <x:c r="F297" s="281" t="s">
        <x:v>118</x:v>
      </x:c>
      <x:c r="G297" s="281" t="s">
        <x:v>118</x:v>
      </x:c>
      <x:c r="H297" s="281" t="s">
        <x:v>118</x:v>
      </x:c>
      <x:c r="I297" s="281" t="s">
        <x:v>118</x:v>
      </x:c>
      <x:c r="J297" s="281" t="s">
        <x:v>118</x:v>
      </x:c>
      <x:c r="K297" s="281" t="s">
        <x:v>118</x:v>
      </x:c>
      <x:c r="L297" s="281" t="s">
        <x:v>118</x:v>
      </x:c>
      <x:c r="M297" s="281" t="s">
        <x:v>118</x:v>
      </x:c>
      <x:c r="N297" s="281" t="s">
        <x:v>118</x:v>
      </x:c>
      <x:c r="O297" s="281" t="s">
        <x:v>118</x:v>
      </x:c>
      <x:c r="P297" s="281" t="s">
        <x:v>118</x:v>
      </x:c>
      <x:c r="Q297" s="281" t="s">
        <x:v>118</x:v>
      </x:c>
      <x:c r="R297" s="281" t="s">
        <x:v>118</x:v>
      </x:c>
      <x:c r="S297" s="281" t="s">
        <x:v>118</x:v>
      </x:c>
      <x:c r="T297" s="281" t="s">
        <x:v>118</x:v>
      </x:c>
      <x:c r="U297" s="281" t="s">
        <x:v>118</x:v>
      </x:c>
      <x:c r="V297" s="281" t="s">
        <x:v>118</x:v>
      </x:c>
      <x:c r="W297" s="281" t="s">
        <x:v>118</x:v>
      </x:c>
      <x:c r="X297" s="281" t="s">
        <x:v>118</x:v>
      </x:c>
      <x:c r="Y297" s="281" t="s">
        <x:v>118</x:v>
      </x:c>
      <x:c r="Z297" s="281" t="s">
        <x:v>118</x:v>
      </x:c>
      <x:c r="AA297" s="281" t="s">
        <x:v>118</x:v>
      </x:c>
      <x:c r="AB297" s="281" t="s">
        <x:v>118</x:v>
      </x:c>
      <x:c r="AC297" s="281" t="s">
        <x:v>118</x:v>
      </x:c>
      <x:c r="AD297" s="281" t="s">
        <x:v>118</x:v>
      </x:c>
      <x:c r="AE297" s="281" t="s">
        <x:v>118</x:v>
      </x:c>
      <x:c r="AF297" s="281" t="s">
        <x:v>118</x:v>
      </x:c>
      <x:c r="AG297" s="281" t="s">
        <x:v>118</x:v>
      </x:c>
      <x:c r="AH297" s="281" t="s">
        <x:v>118</x:v>
      </x:c>
      <x:c r="AI297" s="281" t="s">
        <x:v>118</x:v>
      </x:c>
      <x:c r="AJ297" s="281" t="s">
        <x:v>118</x:v>
      </x:c>
      <x:c r="AK297" s="220">
        <x:f>COUNTIF(F297:AJ297,"X")</x:f>
      </x:c>
      <x:c r="AL297" s="221"/>
      <x:c r="AM297" s="221"/>
      <x:c r="AN297" s="222"/>
      <x:c r="AO297" s="222"/>
      <x:c r="AP297" s="228"/>
      <x:c r="AQ297" s="228"/>
      <x:c r="AR297" s="228"/>
      <x:c r="AS297" s="228"/>
      <x:c r="AT297" s="230"/>
    </x:row>
    <x:row r="298" spans="1:47" ht="15" customHeight="1">
      <x:c r="A298" s="282" t="s">
        <x:v>2631</x:v>
      </x:c>
      <x:c r="B298" s="216"/>
      <x:c r="C298" s="283" t="s">
        <x:v>2632</x:v>
      </x:c>
      <x:c r="D298" s="282" t="s">
        <x:v>2633</x:v>
      </x:c>
      <x:c r="E298" s="282" t="s">
        <x:v>803</x:v>
      </x:c>
      <x:c r="F298" s="281" t="s">
        <x:v>118</x:v>
      </x:c>
      <x:c r="G298" s="281" t="s">
        <x:v>118</x:v>
      </x:c>
      <x:c r="H298" s="281" t="s">
        <x:v>118</x:v>
      </x:c>
      <x:c r="I298" s="281" t="s">
        <x:v>118</x:v>
      </x:c>
      <x:c r="J298" s="281" t="s">
        <x:v>118</x:v>
      </x:c>
      <x:c r="K298" s="281" t="s">
        <x:v>118</x:v>
      </x:c>
      <x:c r="L298" s="281" t="s">
        <x:v>118</x:v>
      </x:c>
      <x:c r="M298" s="281" t="s">
        <x:v>118</x:v>
      </x:c>
      <x:c r="N298" s="281" t="s">
        <x:v>118</x:v>
      </x:c>
      <x:c r="O298" s="281" t="s">
        <x:v>118</x:v>
      </x:c>
      <x:c r="P298" s="281" t="s">
        <x:v>118</x:v>
      </x:c>
      <x:c r="Q298" s="281" t="s">
        <x:v>118</x:v>
      </x:c>
      <x:c r="R298" s="281" t="s">
        <x:v>118</x:v>
      </x:c>
      <x:c r="S298" s="281" t="s">
        <x:v>118</x:v>
      </x:c>
      <x:c r="T298" s="281" t="s">
        <x:v>118</x:v>
      </x:c>
      <x:c r="U298" s="281" t="s">
        <x:v>118</x:v>
      </x:c>
      <x:c r="V298" s="281" t="s">
        <x:v>118</x:v>
      </x:c>
      <x:c r="W298" s="281" t="s">
        <x:v>118</x:v>
      </x:c>
      <x:c r="X298" s="281" t="s">
        <x:v>118</x:v>
      </x:c>
      <x:c r="Y298" s="281" t="s">
        <x:v>118</x:v>
      </x:c>
      <x:c r="Z298" s="281" t="s">
        <x:v>118</x:v>
      </x:c>
      <x:c r="AA298" s="281" t="s">
        <x:v>118</x:v>
      </x:c>
      <x:c r="AB298" s="281" t="s">
        <x:v>118</x:v>
      </x:c>
      <x:c r="AC298" s="281" t="s">
        <x:v>118</x:v>
      </x:c>
      <x:c r="AD298" s="281" t="s">
        <x:v>118</x:v>
      </x:c>
      <x:c r="AE298" s="281" t="s">
        <x:v>118</x:v>
      </x:c>
      <x:c r="AF298" s="281" t="s">
        <x:v>118</x:v>
      </x:c>
      <x:c r="AG298" s="281" t="s">
        <x:v>118</x:v>
      </x:c>
      <x:c r="AH298" s="281" t="s">
        <x:v>118</x:v>
      </x:c>
      <x:c r="AI298" s="281" t="s">
        <x:v>118</x:v>
      </x:c>
      <x:c r="AJ298" s="281" t="s">
        <x:v>118</x:v>
      </x:c>
      <x:c r="AK298" s="220">
        <x:f>COUNTIF(F298:AJ298,"X")</x:f>
      </x:c>
      <x:c r="AL298" s="221"/>
      <x:c r="AM298" s="221"/>
      <x:c r="AN298" s="222"/>
      <x:c r="AO298" s="222"/>
      <x:c r="AP298" s="228"/>
      <x:c r="AQ298" s="228"/>
      <x:c r="AR298" s="228"/>
      <x:c r="AS298" s="228"/>
      <x:c r="AT298" s="230"/>
    </x:row>
    <x:row r="299" spans="1:47" ht="15" customHeight="1">
      <x:c r="A299" s="282" t="s">
        <x:v>2634</x:v>
      </x:c>
      <x:c r="B299" s="216"/>
      <x:c r="C299" s="283" t="s">
        <x:v>2635</x:v>
      </x:c>
      <x:c r="D299" s="282" t="s">
        <x:v>2633</x:v>
      </x:c>
      <x:c r="E299" s="282" t="s">
        <x:v>2636</x:v>
      </x:c>
      <x:c r="F299" s="281" t="s">
        <x:v>118</x:v>
      </x:c>
      <x:c r="G299" s="281" t="s">
        <x:v>118</x:v>
      </x:c>
      <x:c r="H299" s="281" t="s">
        <x:v>118</x:v>
      </x:c>
      <x:c r="I299" s="281" t="s">
        <x:v>118</x:v>
      </x:c>
      <x:c r="J299" s="281" t="s">
        <x:v>118</x:v>
      </x:c>
      <x:c r="K299" s="281" t="s">
        <x:v>118</x:v>
      </x:c>
      <x:c r="L299" s="281" t="s">
        <x:v>118</x:v>
      </x:c>
      <x:c r="M299" s="281" t="s">
        <x:v>118</x:v>
      </x:c>
      <x:c r="N299" s="281" t="s">
        <x:v>118</x:v>
      </x:c>
      <x:c r="O299" s="281" t="s">
        <x:v>118</x:v>
      </x:c>
      <x:c r="P299" s="281" t="s">
        <x:v>118</x:v>
      </x:c>
      <x:c r="Q299" s="281" t="s">
        <x:v>118</x:v>
      </x:c>
      <x:c r="R299" s="281" t="s">
        <x:v>118</x:v>
      </x:c>
      <x:c r="S299" s="281" t="s">
        <x:v>118</x:v>
      </x:c>
      <x:c r="T299" s="281" t="s">
        <x:v>118</x:v>
      </x:c>
      <x:c r="U299" s="281" t="s">
        <x:v>118</x:v>
      </x:c>
      <x:c r="V299" s="281" t="s">
        <x:v>118</x:v>
      </x:c>
      <x:c r="W299" s="281" t="s">
        <x:v>118</x:v>
      </x:c>
      <x:c r="X299" s="281" t="s">
        <x:v>118</x:v>
      </x:c>
      <x:c r="Y299" s="281" t="s">
        <x:v>118</x:v>
      </x:c>
      <x:c r="Z299" s="281" t="s">
        <x:v>118</x:v>
      </x:c>
      <x:c r="AA299" s="281" t="s">
        <x:v>118</x:v>
      </x:c>
      <x:c r="AB299" s="281" t="s">
        <x:v>118</x:v>
      </x:c>
      <x:c r="AC299" s="281" t="s">
        <x:v>118</x:v>
      </x:c>
      <x:c r="AD299" s="281" t="s">
        <x:v>118</x:v>
      </x:c>
      <x:c r="AE299" s="281" t="s">
        <x:v>118</x:v>
      </x:c>
      <x:c r="AF299" s="281" t="s">
        <x:v>118</x:v>
      </x:c>
      <x:c r="AG299" s="281" t="s">
        <x:v>118</x:v>
      </x:c>
      <x:c r="AH299" s="281" t="s">
        <x:v>118</x:v>
      </x:c>
      <x:c r="AI299" s="281" t="s">
        <x:v>118</x:v>
      </x:c>
      <x:c r="AJ299" s="281" t="s">
        <x:v>118</x:v>
      </x:c>
      <x:c r="AK299" s="220">
        <x:f>COUNTIF(F299:AJ299,"X")</x:f>
      </x:c>
      <x:c r="AL299" s="221"/>
      <x:c r="AM299" s="221"/>
      <x:c r="AN299" s="222"/>
      <x:c r="AO299" s="222"/>
      <x:c r="AP299" s="228"/>
      <x:c r="AQ299" s="228"/>
      <x:c r="AR299" s="228"/>
      <x:c r="AS299" s="228"/>
      <x:c r="AT299" s="230"/>
    </x:row>
    <x:row r="300" spans="1:47" ht="15" customHeight="1">
      <x:c r="A300" s="282" t="s">
        <x:v>2637</x:v>
      </x:c>
      <x:c r="B300" s="216"/>
      <x:c r="C300" s="283" t="s">
        <x:v>2638</x:v>
      </x:c>
      <x:c r="D300" s="282" t="s">
        <x:v>2639</x:v>
      </x:c>
      <x:c r="E300" s="282" t="s">
        <x:v>1617</x:v>
      </x:c>
      <x:c r="F300" s="281" t="s">
        <x:v>118</x:v>
      </x:c>
      <x:c r="G300" s="281" t="s">
        <x:v>118</x:v>
      </x:c>
      <x:c r="H300" s="281" t="s">
        <x:v>118</x:v>
      </x:c>
      <x:c r="I300" s="281" t="s">
        <x:v>118</x:v>
      </x:c>
      <x:c r="J300" s="281" t="s">
        <x:v>118</x:v>
      </x:c>
      <x:c r="K300" s="281" t="s">
        <x:v>118</x:v>
      </x:c>
      <x:c r="L300" s="281" t="s">
        <x:v>118</x:v>
      </x:c>
      <x:c r="M300" s="281" t="s">
        <x:v>118</x:v>
      </x:c>
      <x:c r="N300" s="281" t="s">
        <x:v>118</x:v>
      </x:c>
      <x:c r="O300" s="281" t="s">
        <x:v>118</x:v>
      </x:c>
      <x:c r="P300" s="281" t="s">
        <x:v>118</x:v>
      </x:c>
      <x:c r="Q300" s="281" t="s">
        <x:v>118</x:v>
      </x:c>
      <x:c r="R300" s="281" t="s">
        <x:v>118</x:v>
      </x:c>
      <x:c r="S300" s="281" t="s">
        <x:v>118</x:v>
      </x:c>
      <x:c r="T300" s="281" t="s">
        <x:v>118</x:v>
      </x:c>
      <x:c r="U300" s="281" t="s">
        <x:v>118</x:v>
      </x:c>
      <x:c r="V300" s="281" t="s">
        <x:v>118</x:v>
      </x:c>
      <x:c r="W300" s="281" t="s">
        <x:v>118</x:v>
      </x:c>
      <x:c r="X300" s="281" t="s">
        <x:v>118</x:v>
      </x:c>
      <x:c r="Y300" s="281" t="s">
        <x:v>118</x:v>
      </x:c>
      <x:c r="Z300" s="281" t="s">
        <x:v>118</x:v>
      </x:c>
      <x:c r="AA300" s="281" t="s">
        <x:v>118</x:v>
      </x:c>
      <x:c r="AB300" s="281" t="s">
        <x:v>118</x:v>
      </x:c>
      <x:c r="AC300" s="281" t="s">
        <x:v>118</x:v>
      </x:c>
      <x:c r="AD300" s="281" t="s">
        <x:v>118</x:v>
      </x:c>
      <x:c r="AE300" s="281" t="s">
        <x:v>118</x:v>
      </x:c>
      <x:c r="AF300" s="281" t="s">
        <x:v>118</x:v>
      </x:c>
      <x:c r="AG300" s="281" t="s">
        <x:v>118</x:v>
      </x:c>
      <x:c r="AH300" s="281" t="s">
        <x:v>118</x:v>
      </x:c>
      <x:c r="AI300" s="281" t="s">
        <x:v>118</x:v>
      </x:c>
      <x:c r="AJ300" s="281" t="s">
        <x:v>118</x:v>
      </x:c>
      <x:c r="AK300" s="220">
        <x:f>COUNTIF(F300:AJ300,"X")</x:f>
      </x:c>
      <x:c r="AL300" s="221"/>
      <x:c r="AM300" s="221"/>
      <x:c r="AN300" s="222"/>
      <x:c r="AO300" s="222"/>
      <x:c r="AP300" s="228"/>
      <x:c r="AQ300" s="228"/>
      <x:c r="AR300" s="228"/>
      <x:c r="AS300" s="228"/>
      <x:c r="AT300" s="230"/>
    </x:row>
    <x:row r="301" spans="1:47" ht="15" customHeight="1">
      <x:c r="A301" s="282" t="s">
        <x:v>2640</x:v>
      </x:c>
      <x:c r="B301" s="216"/>
      <x:c r="C301" s="283" t="s">
        <x:v>2641</x:v>
      </x:c>
      <x:c r="D301" s="282" t="s">
        <x:v>2642</x:v>
      </x:c>
      <x:c r="E301" s="282" t="s">
        <x:v>2643</x:v>
      </x:c>
      <x:c r="F301" s="281" t="s">
        <x:v>118</x:v>
      </x:c>
      <x:c r="G301" s="281" t="s">
        <x:v>118</x:v>
      </x:c>
      <x:c r="H301" s="281" t="s">
        <x:v>118</x:v>
      </x:c>
      <x:c r="I301" s="281" t="s">
        <x:v>118</x:v>
      </x:c>
      <x:c r="J301" s="281" t="s">
        <x:v>118</x:v>
      </x:c>
      <x:c r="K301" s="281" t="s">
        <x:v>118</x:v>
      </x:c>
      <x:c r="L301" s="281" t="s">
        <x:v>118</x:v>
      </x:c>
      <x:c r="M301" s="281" t="s">
        <x:v>118</x:v>
      </x:c>
      <x:c r="N301" s="281" t="s">
        <x:v>118</x:v>
      </x:c>
      <x:c r="O301" s="281" t="s">
        <x:v>118</x:v>
      </x:c>
      <x:c r="P301" s="281" t="s">
        <x:v>118</x:v>
      </x:c>
      <x:c r="Q301" s="281" t="s">
        <x:v>118</x:v>
      </x:c>
      <x:c r="R301" s="281" t="s">
        <x:v>118</x:v>
      </x:c>
      <x:c r="S301" s="281" t="s">
        <x:v>118</x:v>
      </x:c>
      <x:c r="T301" s="281" t="s">
        <x:v>118</x:v>
      </x:c>
      <x:c r="U301" s="281" t="s">
        <x:v>118</x:v>
      </x:c>
      <x:c r="V301" s="281" t="s">
        <x:v>118</x:v>
      </x:c>
      <x:c r="W301" s="281" t="s">
        <x:v>118</x:v>
      </x:c>
      <x:c r="X301" s="281" t="s">
        <x:v>118</x:v>
      </x:c>
      <x:c r="Y301" s="281" t="s">
        <x:v>118</x:v>
      </x:c>
      <x:c r="Z301" s="281" t="s">
        <x:v>118</x:v>
      </x:c>
      <x:c r="AA301" s="281" t="s">
        <x:v>118</x:v>
      </x:c>
      <x:c r="AB301" s="281" t="s">
        <x:v>118</x:v>
      </x:c>
      <x:c r="AC301" s="281" t="s">
        <x:v>118</x:v>
      </x:c>
      <x:c r="AD301" s="281" t="s">
        <x:v>118</x:v>
      </x:c>
      <x:c r="AE301" s="281" t="s">
        <x:v>118</x:v>
      </x:c>
      <x:c r="AF301" s="281" t="s">
        <x:v>118</x:v>
      </x:c>
      <x:c r="AG301" s="281" t="s">
        <x:v>118</x:v>
      </x:c>
      <x:c r="AH301" s="281" t="s">
        <x:v>118</x:v>
      </x:c>
      <x:c r="AI301" s="281" t="s">
        <x:v>118</x:v>
      </x:c>
      <x:c r="AJ301" s="281" t="s">
        <x:v>118</x:v>
      </x:c>
      <x:c r="AK301" s="220">
        <x:f>COUNTIF(F301:AJ301,"X")</x:f>
      </x:c>
      <x:c r="AL301" s="221"/>
      <x:c r="AM301" s="221"/>
      <x:c r="AN301" s="222"/>
      <x:c r="AO301" s="222"/>
      <x:c r="AP301" s="228"/>
      <x:c r="AQ301" s="228"/>
      <x:c r="AR301" s="228"/>
      <x:c r="AS301" s="228"/>
      <x:c r="AT301" s="230"/>
    </x:row>
    <x:row r="302" spans="1:47" ht="15" customHeight="1">
      <x:c r="A302" s="282" t="s">
        <x:v>2644</x:v>
      </x:c>
      <x:c r="B302" s="216"/>
      <x:c r="C302" s="283" t="s">
        <x:v>2645</x:v>
      </x:c>
      <x:c r="D302" s="282" t="s">
        <x:v>1550</x:v>
      </x:c>
      <x:c r="E302" s="282" t="s">
        <x:v>2620</x:v>
      </x:c>
      <x:c r="F302" s="281" t="s">
        <x:v>118</x:v>
      </x:c>
      <x:c r="G302" s="281" t="s">
        <x:v>118</x:v>
      </x:c>
      <x:c r="H302" s="281" t="s">
        <x:v>118</x:v>
      </x:c>
      <x:c r="I302" s="281" t="s">
        <x:v>118</x:v>
      </x:c>
      <x:c r="J302" s="281" t="s">
        <x:v>118</x:v>
      </x:c>
      <x:c r="K302" s="281" t="s">
        <x:v>118</x:v>
      </x:c>
      <x:c r="L302" s="281" t="s">
        <x:v>118</x:v>
      </x:c>
      <x:c r="M302" s="281" t="s">
        <x:v>118</x:v>
      </x:c>
      <x:c r="N302" s="281" t="s">
        <x:v>118</x:v>
      </x:c>
      <x:c r="O302" s="281" t="s">
        <x:v>118</x:v>
      </x:c>
      <x:c r="P302" s="281" t="s">
        <x:v>118</x:v>
      </x:c>
      <x:c r="Q302" s="281" t="s">
        <x:v>118</x:v>
      </x:c>
      <x:c r="R302" s="281" t="s">
        <x:v>118</x:v>
      </x:c>
      <x:c r="S302" s="281" t="s">
        <x:v>118</x:v>
      </x:c>
      <x:c r="T302" s="281" t="s">
        <x:v>118</x:v>
      </x:c>
      <x:c r="U302" s="281" t="s">
        <x:v>118</x:v>
      </x:c>
      <x:c r="V302" s="281" t="s">
        <x:v>118</x:v>
      </x:c>
      <x:c r="W302" s="281" t="s">
        <x:v>118</x:v>
      </x:c>
      <x:c r="X302" s="281" t="s">
        <x:v>118</x:v>
      </x:c>
      <x:c r="Y302" s="281" t="s">
        <x:v>118</x:v>
      </x:c>
      <x:c r="Z302" s="281" t="s">
        <x:v>118</x:v>
      </x:c>
      <x:c r="AA302" s="281" t="s">
        <x:v>118</x:v>
      </x:c>
      <x:c r="AB302" s="281" t="s">
        <x:v>118</x:v>
      </x:c>
      <x:c r="AC302" s="281" t="s">
        <x:v>118</x:v>
      </x:c>
      <x:c r="AD302" s="281" t="s">
        <x:v>118</x:v>
      </x:c>
      <x:c r="AE302" s="281" t="s">
        <x:v>118</x:v>
      </x:c>
      <x:c r="AF302" s="281" t="s">
        <x:v>118</x:v>
      </x:c>
      <x:c r="AG302" s="281" t="s">
        <x:v>118</x:v>
      </x:c>
      <x:c r="AH302" s="281" t="s">
        <x:v>118</x:v>
      </x:c>
      <x:c r="AI302" s="281" t="s">
        <x:v>118</x:v>
      </x:c>
      <x:c r="AJ302" s="281" t="s">
        <x:v>118</x:v>
      </x:c>
      <x:c r="AK302" s="220">
        <x:f>COUNTIF(F302:AJ302,"X")</x:f>
      </x:c>
      <x:c r="AL302" s="221"/>
      <x:c r="AM302" s="221"/>
      <x:c r="AN302" s="222"/>
      <x:c r="AO302" s="222"/>
      <x:c r="AP302" s="228"/>
      <x:c r="AQ302" s="228"/>
      <x:c r="AR302" s="228"/>
      <x:c r="AS302" s="228"/>
      <x:c r="AT302" s="230"/>
    </x:row>
    <x:row r="303" spans="1:47" ht="15" customHeight="1">
      <x:c r="A303" s="282" t="s">
        <x:v>2646</x:v>
      </x:c>
      <x:c r="B303" s="216"/>
      <x:c r="C303" s="283" t="s">
        <x:v>2647</x:v>
      </x:c>
      <x:c r="D303" s="282" t="s">
        <x:v>2648</x:v>
      </x:c>
      <x:c r="E303" s="282" t="s">
        <x:v>2649</x:v>
      </x:c>
      <x:c r="F303" s="281" t="s">
        <x:v>118</x:v>
      </x:c>
      <x:c r="G303" s="281" t="s">
        <x:v>118</x:v>
      </x:c>
      <x:c r="H303" s="281" t="s">
        <x:v>118</x:v>
      </x:c>
      <x:c r="I303" s="281" t="s">
        <x:v>118</x:v>
      </x:c>
      <x:c r="J303" s="281" t="s">
        <x:v>118</x:v>
      </x:c>
      <x:c r="K303" s="281" t="s">
        <x:v>118</x:v>
      </x:c>
      <x:c r="L303" s="281" t="s">
        <x:v>118</x:v>
      </x:c>
      <x:c r="M303" s="281" t="s">
        <x:v>118</x:v>
      </x:c>
      <x:c r="N303" s="281" t="s">
        <x:v>118</x:v>
      </x:c>
      <x:c r="O303" s="281" t="s">
        <x:v>118</x:v>
      </x:c>
      <x:c r="P303" s="281" t="s">
        <x:v>118</x:v>
      </x:c>
      <x:c r="Q303" s="281" t="s">
        <x:v>118</x:v>
      </x:c>
      <x:c r="R303" s="281" t="s">
        <x:v>118</x:v>
      </x:c>
      <x:c r="S303" s="281" t="s">
        <x:v>118</x:v>
      </x:c>
      <x:c r="T303" s="281" t="s">
        <x:v>118</x:v>
      </x:c>
      <x:c r="U303" s="281" t="s">
        <x:v>118</x:v>
      </x:c>
      <x:c r="V303" s="281" t="s">
        <x:v>118</x:v>
      </x:c>
      <x:c r="W303" s="281" t="s">
        <x:v>118</x:v>
      </x:c>
      <x:c r="X303" s="281" t="s">
        <x:v>118</x:v>
      </x:c>
      <x:c r="Y303" s="281" t="s">
        <x:v>118</x:v>
      </x:c>
      <x:c r="Z303" s="281" t="s">
        <x:v>118</x:v>
      </x:c>
      <x:c r="AA303" s="281" t="s">
        <x:v>118</x:v>
      </x:c>
      <x:c r="AB303" s="281" t="s">
        <x:v>118</x:v>
      </x:c>
      <x:c r="AC303" s="281" t="s">
        <x:v>118</x:v>
      </x:c>
      <x:c r="AD303" s="281" t="s">
        <x:v>118</x:v>
      </x:c>
      <x:c r="AE303" s="281" t="s">
        <x:v>118</x:v>
      </x:c>
      <x:c r="AF303" s="281" t="s">
        <x:v>118</x:v>
      </x:c>
      <x:c r="AG303" s="281" t="s">
        <x:v>118</x:v>
      </x:c>
      <x:c r="AH303" s="281" t="s">
        <x:v>118</x:v>
      </x:c>
      <x:c r="AI303" s="281" t="s">
        <x:v>118</x:v>
      </x:c>
      <x:c r="AJ303" s="281" t="s">
        <x:v>118</x:v>
      </x:c>
      <x:c r="AK303" s="220">
        <x:f>COUNTIF(F303:AJ303,"X")</x:f>
      </x:c>
      <x:c r="AL303" s="221"/>
      <x:c r="AM303" s="221"/>
      <x:c r="AN303" s="222"/>
      <x:c r="AO303" s="222"/>
      <x:c r="AP303" s="228"/>
      <x:c r="AQ303" s="228"/>
      <x:c r="AR303" s="228"/>
      <x:c r="AS303" s="228"/>
      <x:c r="AT303" s="230"/>
    </x:row>
    <x:row r="304" spans="1:47" ht="15" customHeight="1">
      <x:c r="A304" s="282" t="s">
        <x:v>2650</x:v>
      </x:c>
      <x:c r="B304" s="216"/>
      <x:c r="C304" s="283" t="s">
        <x:v>2651</x:v>
      </x:c>
      <x:c r="D304" s="282" t="s">
        <x:v>2652</x:v>
      </x:c>
      <x:c r="E304" s="282" t="s">
        <x:v>2653</x:v>
      </x:c>
      <x:c r="F304" s="281" t="s">
        <x:v>118</x:v>
      </x:c>
      <x:c r="G304" s="281" t="s">
        <x:v>118</x:v>
      </x:c>
      <x:c r="H304" s="281" t="s">
        <x:v>118</x:v>
      </x:c>
      <x:c r="I304" s="281" t="s">
        <x:v>118</x:v>
      </x:c>
      <x:c r="J304" s="281" t="s">
        <x:v>118</x:v>
      </x:c>
      <x:c r="K304" s="281" t="s">
        <x:v>118</x:v>
      </x:c>
      <x:c r="L304" s="281" t="s">
        <x:v>118</x:v>
      </x:c>
      <x:c r="M304" s="281" t="s">
        <x:v>118</x:v>
      </x:c>
      <x:c r="N304" s="281" t="s">
        <x:v>118</x:v>
      </x:c>
      <x:c r="O304" s="281" t="s">
        <x:v>118</x:v>
      </x:c>
      <x:c r="P304" s="281" t="s">
        <x:v>118</x:v>
      </x:c>
      <x:c r="Q304" s="281" t="s">
        <x:v>118</x:v>
      </x:c>
      <x:c r="R304" s="281" t="s">
        <x:v>118</x:v>
      </x:c>
      <x:c r="S304" s="281" t="s">
        <x:v>118</x:v>
      </x:c>
      <x:c r="T304" s="281" t="s">
        <x:v>118</x:v>
      </x:c>
      <x:c r="U304" s="281" t="s">
        <x:v>118</x:v>
      </x:c>
      <x:c r="V304" s="281" t="s">
        <x:v>118</x:v>
      </x:c>
      <x:c r="W304" s="281" t="s">
        <x:v>118</x:v>
      </x:c>
      <x:c r="X304" s="281" t="s">
        <x:v>118</x:v>
      </x:c>
      <x:c r="Y304" s="281" t="s">
        <x:v>118</x:v>
      </x:c>
      <x:c r="Z304" s="281" t="s">
        <x:v>118</x:v>
      </x:c>
      <x:c r="AA304" s="281" t="s">
        <x:v>118</x:v>
      </x:c>
      <x:c r="AB304" s="281" t="s">
        <x:v>118</x:v>
      </x:c>
      <x:c r="AC304" s="281" t="s">
        <x:v>118</x:v>
      </x:c>
      <x:c r="AD304" s="281" t="s">
        <x:v>118</x:v>
      </x:c>
      <x:c r="AE304" s="281" t="s">
        <x:v>118</x:v>
      </x:c>
      <x:c r="AF304" s="281" t="s">
        <x:v>118</x:v>
      </x:c>
      <x:c r="AG304" s="281" t="s">
        <x:v>118</x:v>
      </x:c>
      <x:c r="AH304" s="281" t="s">
        <x:v>118</x:v>
      </x:c>
      <x:c r="AI304" s="281" t="s">
        <x:v>118</x:v>
      </x:c>
      <x:c r="AJ304" s="281" t="s">
        <x:v>118</x:v>
      </x:c>
      <x:c r="AK304" s="220">
        <x:f>COUNTIF(F304:AJ304,"X")</x:f>
      </x:c>
      <x:c r="AL304" s="221"/>
      <x:c r="AM304" s="221"/>
      <x:c r="AN304" s="222"/>
      <x:c r="AO304" s="222"/>
      <x:c r="AP304" s="228"/>
      <x:c r="AQ304" s="228"/>
      <x:c r="AR304" s="228"/>
      <x:c r="AS304" s="228"/>
      <x:c r="AT304" s="230"/>
    </x:row>
    <x:row r="305" spans="1:47" ht="15" customHeight="1">
      <x:c r="A305" s="282" t="s">
        <x:v>2654</x:v>
      </x:c>
      <x:c r="B305" s="216"/>
      <x:c r="C305" s="283" t="s">
        <x:v>2655</x:v>
      </x:c>
      <x:c r="D305" s="282" t="s">
        <x:v>2656</x:v>
      </x:c>
      <x:c r="E305" s="282" t="s">
        <x:v>2657</x:v>
      </x:c>
      <x:c r="F305" s="281" t="s">
        <x:v>118</x:v>
      </x:c>
      <x:c r="G305" s="281" t="s">
        <x:v>118</x:v>
      </x:c>
      <x:c r="H305" s="281" t="s">
        <x:v>118</x:v>
      </x:c>
      <x:c r="I305" s="281" t="s">
        <x:v>118</x:v>
      </x:c>
      <x:c r="J305" s="281" t="s">
        <x:v>118</x:v>
      </x:c>
      <x:c r="K305" s="281" t="s">
        <x:v>118</x:v>
      </x:c>
      <x:c r="L305" s="281" t="s">
        <x:v>118</x:v>
      </x:c>
      <x:c r="M305" s="281" t="s">
        <x:v>118</x:v>
      </x:c>
      <x:c r="N305" s="281" t="s">
        <x:v>118</x:v>
      </x:c>
      <x:c r="O305" s="281" t="s">
        <x:v>118</x:v>
      </x:c>
      <x:c r="P305" s="281" t="s">
        <x:v>118</x:v>
      </x:c>
      <x:c r="Q305" s="281" t="s">
        <x:v>118</x:v>
      </x:c>
      <x:c r="R305" s="281" t="s">
        <x:v>118</x:v>
      </x:c>
      <x:c r="S305" s="281" t="s">
        <x:v>118</x:v>
      </x:c>
      <x:c r="T305" s="281" t="s">
        <x:v>118</x:v>
      </x:c>
      <x:c r="U305" s="281" t="s">
        <x:v>118</x:v>
      </x:c>
      <x:c r="V305" s="281" t="s">
        <x:v>118</x:v>
      </x:c>
      <x:c r="W305" s="281" t="s">
        <x:v>118</x:v>
      </x:c>
      <x:c r="X305" s="281" t="s">
        <x:v>118</x:v>
      </x:c>
      <x:c r="Y305" s="281" t="s">
        <x:v>118</x:v>
      </x:c>
      <x:c r="Z305" s="281" t="s">
        <x:v>118</x:v>
      </x:c>
      <x:c r="AA305" s="281" t="s">
        <x:v>118</x:v>
      </x:c>
      <x:c r="AB305" s="281" t="s">
        <x:v>118</x:v>
      </x:c>
      <x:c r="AC305" s="281" t="s">
        <x:v>118</x:v>
      </x:c>
      <x:c r="AD305" s="281" t="s">
        <x:v>118</x:v>
      </x:c>
      <x:c r="AE305" s="281" t="s">
        <x:v>118</x:v>
      </x:c>
      <x:c r="AF305" s="281" t="s">
        <x:v>118</x:v>
      </x:c>
      <x:c r="AG305" s="281" t="s">
        <x:v>118</x:v>
      </x:c>
      <x:c r="AH305" s="281" t="s">
        <x:v>118</x:v>
      </x:c>
      <x:c r="AI305" s="281" t="s">
        <x:v>118</x:v>
      </x:c>
      <x:c r="AJ305" s="281" t="s">
        <x:v>118</x:v>
      </x:c>
      <x:c r="AK305" s="220">
        <x:f>COUNTIF(F305:AJ305,"X")</x:f>
      </x:c>
      <x:c r="AL305" s="221"/>
      <x:c r="AM305" s="221"/>
      <x:c r="AN305" s="222"/>
      <x:c r="AO305" s="222"/>
      <x:c r="AP305" s="228"/>
      <x:c r="AQ305" s="228"/>
      <x:c r="AR305" s="228"/>
      <x:c r="AS305" s="228"/>
      <x:c r="AT305" s="230"/>
    </x:row>
    <x:row r="306" spans="1:47" ht="15" customHeight="1">
      <x:c r="A306" s="282" t="s">
        <x:v>2658</x:v>
      </x:c>
      <x:c r="B306" s="216"/>
      <x:c r="C306" s="283" t="s">
        <x:v>2659</x:v>
      </x:c>
      <x:c r="D306" s="282" t="s">
        <x:v>2660</x:v>
      </x:c>
      <x:c r="E306" s="282" t="s">
        <x:v>2661</x:v>
      </x:c>
      <x:c r="F306" s="281" t="s">
        <x:v>118</x:v>
      </x:c>
      <x:c r="G306" s="281" t="s">
        <x:v>118</x:v>
      </x:c>
      <x:c r="H306" s="281" t="s">
        <x:v>118</x:v>
      </x:c>
      <x:c r="I306" s="281" t="s">
        <x:v>118</x:v>
      </x:c>
      <x:c r="J306" s="281" t="s">
        <x:v>118</x:v>
      </x:c>
      <x:c r="K306" s="281" t="s">
        <x:v>118</x:v>
      </x:c>
      <x:c r="L306" s="281" t="s">
        <x:v>118</x:v>
      </x:c>
      <x:c r="M306" s="281" t="s">
        <x:v>118</x:v>
      </x:c>
      <x:c r="N306" s="281" t="s">
        <x:v>118</x:v>
      </x:c>
      <x:c r="O306" s="281" t="s">
        <x:v>118</x:v>
      </x:c>
      <x:c r="P306" s="281" t="s">
        <x:v>118</x:v>
      </x:c>
      <x:c r="Q306" s="281" t="s">
        <x:v>118</x:v>
      </x:c>
      <x:c r="R306" s="281" t="s">
        <x:v>118</x:v>
      </x:c>
      <x:c r="S306" s="281" t="s">
        <x:v>118</x:v>
      </x:c>
      <x:c r="T306" s="281" t="s">
        <x:v>118</x:v>
      </x:c>
      <x:c r="U306" s="281" t="s">
        <x:v>118</x:v>
      </x:c>
      <x:c r="V306" s="281" t="s">
        <x:v>118</x:v>
      </x:c>
      <x:c r="W306" s="281" t="s">
        <x:v>118</x:v>
      </x:c>
      <x:c r="X306" s="281" t="s">
        <x:v>118</x:v>
      </x:c>
      <x:c r="Y306" s="281" t="s">
        <x:v>118</x:v>
      </x:c>
      <x:c r="Z306" s="281" t="s">
        <x:v>118</x:v>
      </x:c>
      <x:c r="AA306" s="281" t="s">
        <x:v>118</x:v>
      </x:c>
      <x:c r="AB306" s="281" t="s">
        <x:v>118</x:v>
      </x:c>
      <x:c r="AC306" s="281" t="s">
        <x:v>118</x:v>
      </x:c>
      <x:c r="AD306" s="281" t="s">
        <x:v>118</x:v>
      </x:c>
      <x:c r="AE306" s="281" t="s">
        <x:v>118</x:v>
      </x:c>
      <x:c r="AF306" s="281" t="s">
        <x:v>118</x:v>
      </x:c>
      <x:c r="AG306" s="281" t="s">
        <x:v>118</x:v>
      </x:c>
      <x:c r="AH306" s="281" t="s">
        <x:v>118</x:v>
      </x:c>
      <x:c r="AI306" s="281" t="s">
        <x:v>118</x:v>
      </x:c>
      <x:c r="AJ306" s="281" t="s">
        <x:v>118</x:v>
      </x:c>
      <x:c r="AK306" s="220">
        <x:f>COUNTIF(F306:AJ306,"X")</x:f>
      </x:c>
      <x:c r="AL306" s="221"/>
      <x:c r="AM306" s="221"/>
      <x:c r="AN306" s="222"/>
      <x:c r="AO306" s="222"/>
      <x:c r="AP306" s="228"/>
      <x:c r="AQ306" s="228"/>
      <x:c r="AR306" s="228"/>
      <x:c r="AS306" s="228"/>
      <x:c r="AT306" s="230"/>
    </x:row>
    <x:row r="307" spans="1:47" ht="15" customHeight="1">
      <x:c r="A307" s="282" t="s">
        <x:v>2662</x:v>
      </x:c>
      <x:c r="B307" s="216"/>
      <x:c r="C307" s="283" t="s">
        <x:v>2663</x:v>
      </x:c>
      <x:c r="D307" s="282" t="s">
        <x:v>2664</x:v>
      </x:c>
      <x:c r="E307" s="282" t="s">
        <x:v>2665</x:v>
      </x:c>
      <x:c r="F307" s="281" t="s">
        <x:v>118</x:v>
      </x:c>
      <x:c r="G307" s="281" t="s">
        <x:v>118</x:v>
      </x:c>
      <x:c r="H307" s="281" t="s">
        <x:v>118</x:v>
      </x:c>
      <x:c r="I307" s="281" t="s">
        <x:v>118</x:v>
      </x:c>
      <x:c r="J307" s="281" t="s">
        <x:v>118</x:v>
      </x:c>
      <x:c r="K307" s="281" t="s">
        <x:v>118</x:v>
      </x:c>
      <x:c r="L307" s="281" t="s">
        <x:v>118</x:v>
      </x:c>
      <x:c r="M307" s="281" t="s">
        <x:v>118</x:v>
      </x:c>
      <x:c r="N307" s="281" t="s">
        <x:v>118</x:v>
      </x:c>
      <x:c r="O307" s="281" t="s">
        <x:v>118</x:v>
      </x:c>
      <x:c r="P307" s="281" t="s">
        <x:v>118</x:v>
      </x:c>
      <x:c r="Q307" s="281" t="s">
        <x:v>118</x:v>
      </x:c>
      <x:c r="R307" s="281" t="s">
        <x:v>118</x:v>
      </x:c>
      <x:c r="S307" s="281" t="s">
        <x:v>118</x:v>
      </x:c>
      <x:c r="T307" s="281" t="s">
        <x:v>118</x:v>
      </x:c>
      <x:c r="U307" s="281" t="s">
        <x:v>118</x:v>
      </x:c>
      <x:c r="V307" s="281" t="s">
        <x:v>118</x:v>
      </x:c>
      <x:c r="W307" s="281" t="s">
        <x:v>118</x:v>
      </x:c>
      <x:c r="X307" s="281" t="s">
        <x:v>118</x:v>
      </x:c>
      <x:c r="Y307" s="281" t="s">
        <x:v>118</x:v>
      </x:c>
      <x:c r="Z307" s="281" t="s">
        <x:v>118</x:v>
      </x:c>
      <x:c r="AA307" s="281" t="s">
        <x:v>118</x:v>
      </x:c>
      <x:c r="AB307" s="281" t="s">
        <x:v>118</x:v>
      </x:c>
      <x:c r="AC307" s="281" t="s">
        <x:v>118</x:v>
      </x:c>
      <x:c r="AD307" s="281" t="s">
        <x:v>118</x:v>
      </x:c>
      <x:c r="AE307" s="281" t="s">
        <x:v>118</x:v>
      </x:c>
      <x:c r="AF307" s="281" t="s">
        <x:v>118</x:v>
      </x:c>
      <x:c r="AG307" s="281" t="s">
        <x:v>118</x:v>
      </x:c>
      <x:c r="AH307" s="281" t="s">
        <x:v>118</x:v>
      </x:c>
      <x:c r="AI307" s="281" t="s">
        <x:v>118</x:v>
      </x:c>
      <x:c r="AJ307" s="281" t="s">
        <x:v>118</x:v>
      </x:c>
      <x:c r="AK307" s="220">
        <x:f>COUNTIF(F307:AJ307,"X")</x:f>
      </x:c>
      <x:c r="AL307" s="221"/>
      <x:c r="AM307" s="221"/>
      <x:c r="AN307" s="222"/>
      <x:c r="AO307" s="222"/>
      <x:c r="AP307" s="228"/>
      <x:c r="AQ307" s="228"/>
      <x:c r="AR307" s="228"/>
      <x:c r="AS307" s="228"/>
      <x:c r="AT307" s="230"/>
    </x:row>
    <x:row r="308" spans="1:47" ht="15" customHeight="1">
      <x:c r="A308" s="282" t="s">
        <x:v>2666</x:v>
      </x:c>
      <x:c r="B308" s="216"/>
      <x:c r="C308" s="283" t="s">
        <x:v>2667</x:v>
      </x:c>
      <x:c r="D308" s="282" t="s">
        <x:v>2668</x:v>
      </x:c>
      <x:c r="E308" s="282" t="s">
        <x:v>2669</x:v>
      </x:c>
      <x:c r="F308" s="281" t="s">
        <x:v>118</x:v>
      </x:c>
      <x:c r="G308" s="281" t="s">
        <x:v>118</x:v>
      </x:c>
      <x:c r="H308" s="281" t="s">
        <x:v>118</x:v>
      </x:c>
      <x:c r="I308" s="281" t="s">
        <x:v>118</x:v>
      </x:c>
      <x:c r="J308" s="281" t="s">
        <x:v>118</x:v>
      </x:c>
      <x:c r="K308" s="281" t="s">
        <x:v>118</x:v>
      </x:c>
      <x:c r="L308" s="281" t="s">
        <x:v>118</x:v>
      </x:c>
      <x:c r="M308" s="281" t="s">
        <x:v>118</x:v>
      </x:c>
      <x:c r="N308" s="281" t="s">
        <x:v>118</x:v>
      </x:c>
      <x:c r="O308" s="281" t="s">
        <x:v>118</x:v>
      </x:c>
      <x:c r="P308" s="281" t="s">
        <x:v>118</x:v>
      </x:c>
      <x:c r="Q308" s="281" t="s">
        <x:v>118</x:v>
      </x:c>
      <x:c r="R308" s="281" t="s">
        <x:v>118</x:v>
      </x:c>
      <x:c r="S308" s="281" t="s">
        <x:v>118</x:v>
      </x:c>
      <x:c r="T308" s="281" t="s">
        <x:v>118</x:v>
      </x:c>
      <x:c r="U308" s="281" t="s">
        <x:v>118</x:v>
      </x:c>
      <x:c r="V308" s="281" t="s">
        <x:v>118</x:v>
      </x:c>
      <x:c r="W308" s="281" t="s">
        <x:v>118</x:v>
      </x:c>
      <x:c r="X308" s="281" t="s">
        <x:v>118</x:v>
      </x:c>
      <x:c r="Y308" s="281" t="s">
        <x:v>118</x:v>
      </x:c>
      <x:c r="Z308" s="281" t="s">
        <x:v>118</x:v>
      </x:c>
      <x:c r="AA308" s="281" t="s">
        <x:v>118</x:v>
      </x:c>
      <x:c r="AB308" s="281" t="s">
        <x:v>118</x:v>
      </x:c>
      <x:c r="AC308" s="281" t="s">
        <x:v>118</x:v>
      </x:c>
      <x:c r="AD308" s="281" t="s">
        <x:v>118</x:v>
      </x:c>
      <x:c r="AE308" s="281" t="s">
        <x:v>118</x:v>
      </x:c>
      <x:c r="AF308" s="281" t="s">
        <x:v>118</x:v>
      </x:c>
      <x:c r="AG308" s="281" t="s">
        <x:v>118</x:v>
      </x:c>
      <x:c r="AH308" s="281" t="s">
        <x:v>118</x:v>
      </x:c>
      <x:c r="AI308" s="281" t="s">
        <x:v>118</x:v>
      </x:c>
      <x:c r="AJ308" s="281" t="s">
        <x:v>118</x:v>
      </x:c>
      <x:c r="AK308" s="220">
        <x:f>COUNTIF(F308:AJ308,"X")</x:f>
      </x:c>
      <x:c r="AL308" s="221"/>
      <x:c r="AM308" s="221"/>
      <x:c r="AN308" s="222"/>
      <x:c r="AO308" s="222"/>
      <x:c r="AP308" s="228"/>
      <x:c r="AQ308" s="228"/>
      <x:c r="AR308" s="228"/>
      <x:c r="AS308" s="228"/>
      <x:c r="AT308" s="230"/>
    </x:row>
    <x:row r="309" spans="1:47" ht="15" customHeight="1">
      <x:c r="A309" s="282" t="s">
        <x:v>2670</x:v>
      </x:c>
      <x:c r="B309" s="216"/>
      <x:c r="C309" s="283" t="s">
        <x:v>2671</x:v>
      </x:c>
      <x:c r="D309" s="282" t="s">
        <x:v>2672</x:v>
      </x:c>
      <x:c r="E309" s="282" t="s">
        <x:v>2673</x:v>
      </x:c>
      <x:c r="F309" s="281" t="s">
        <x:v>118</x:v>
      </x:c>
      <x:c r="G309" s="281" t="s">
        <x:v>118</x:v>
      </x:c>
      <x:c r="H309" s="281" t="s">
        <x:v>118</x:v>
      </x:c>
      <x:c r="I309" s="281" t="s">
        <x:v>118</x:v>
      </x:c>
      <x:c r="J309" s="281" t="s">
        <x:v>118</x:v>
      </x:c>
      <x:c r="K309" s="281" t="s">
        <x:v>118</x:v>
      </x:c>
      <x:c r="L309" s="281" t="s">
        <x:v>118</x:v>
      </x:c>
      <x:c r="M309" s="281" t="s">
        <x:v>118</x:v>
      </x:c>
      <x:c r="N309" s="281" t="s">
        <x:v>118</x:v>
      </x:c>
      <x:c r="O309" s="281" t="s">
        <x:v>118</x:v>
      </x:c>
      <x:c r="P309" s="281" t="s">
        <x:v>118</x:v>
      </x:c>
      <x:c r="Q309" s="281" t="s">
        <x:v>118</x:v>
      </x:c>
      <x:c r="R309" s="281" t="s">
        <x:v>118</x:v>
      </x:c>
      <x:c r="S309" s="281" t="s">
        <x:v>118</x:v>
      </x:c>
      <x:c r="T309" s="281" t="s">
        <x:v>118</x:v>
      </x:c>
      <x:c r="U309" s="281" t="s">
        <x:v>118</x:v>
      </x:c>
      <x:c r="V309" s="281" t="s">
        <x:v>118</x:v>
      </x:c>
      <x:c r="W309" s="281" t="s">
        <x:v>118</x:v>
      </x:c>
      <x:c r="X309" s="281" t="s">
        <x:v>118</x:v>
      </x:c>
      <x:c r="Y309" s="281" t="s">
        <x:v>118</x:v>
      </x:c>
      <x:c r="Z309" s="281" t="s">
        <x:v>118</x:v>
      </x:c>
      <x:c r="AA309" s="281" t="s">
        <x:v>118</x:v>
      </x:c>
      <x:c r="AB309" s="281" t="s">
        <x:v>118</x:v>
      </x:c>
      <x:c r="AC309" s="281" t="s">
        <x:v>118</x:v>
      </x:c>
      <x:c r="AD309" s="281" t="s">
        <x:v>118</x:v>
      </x:c>
      <x:c r="AE309" s="281" t="s">
        <x:v>118</x:v>
      </x:c>
      <x:c r="AF309" s="281" t="s">
        <x:v>118</x:v>
      </x:c>
      <x:c r="AG309" s="281" t="s">
        <x:v>118</x:v>
      </x:c>
      <x:c r="AH309" s="281" t="s">
        <x:v>118</x:v>
      </x:c>
      <x:c r="AI309" s="281" t="s">
        <x:v>118</x:v>
      </x:c>
      <x:c r="AJ309" s="281" t="s">
        <x:v>118</x:v>
      </x:c>
      <x:c r="AK309" s="220">
        <x:f>COUNTIF(F309:AJ309,"X")</x:f>
      </x:c>
      <x:c r="AL309" s="221"/>
      <x:c r="AM309" s="221"/>
      <x:c r="AN309" s="222"/>
      <x:c r="AO309" s="222"/>
      <x:c r="AP309" s="228"/>
      <x:c r="AQ309" s="228"/>
      <x:c r="AR309" s="228"/>
      <x:c r="AS309" s="228"/>
      <x:c r="AT309" s="230"/>
    </x:row>
    <x:row r="310" spans="1:47" ht="15" customHeight="1">
      <x:c r="A310" s="282" t="s">
        <x:v>2674</x:v>
      </x:c>
      <x:c r="B310" s="216"/>
      <x:c r="C310" s="283" t="s">
        <x:v>2675</x:v>
      </x:c>
      <x:c r="D310" s="282" t="s">
        <x:v>2676</x:v>
      </x:c>
      <x:c r="E310" s="282" t="s">
        <x:v>1386</x:v>
      </x:c>
      <x:c r="F310" s="281" t="s">
        <x:v>118</x:v>
      </x:c>
      <x:c r="G310" s="281" t="s">
        <x:v>118</x:v>
      </x:c>
      <x:c r="H310" s="281" t="s">
        <x:v>118</x:v>
      </x:c>
      <x:c r="I310" s="281" t="s">
        <x:v>118</x:v>
      </x:c>
      <x:c r="J310" s="281" t="s">
        <x:v>118</x:v>
      </x:c>
      <x:c r="K310" s="281" t="s">
        <x:v>118</x:v>
      </x:c>
      <x:c r="L310" s="281" t="s">
        <x:v>118</x:v>
      </x:c>
      <x:c r="M310" s="281" t="s">
        <x:v>118</x:v>
      </x:c>
      <x:c r="N310" s="281" t="s">
        <x:v>118</x:v>
      </x:c>
      <x:c r="O310" s="281" t="s">
        <x:v>118</x:v>
      </x:c>
      <x:c r="P310" s="281" t="s">
        <x:v>118</x:v>
      </x:c>
      <x:c r="Q310" s="281" t="s">
        <x:v>118</x:v>
      </x:c>
      <x:c r="R310" s="281" t="s">
        <x:v>118</x:v>
      </x:c>
      <x:c r="S310" s="281" t="s">
        <x:v>118</x:v>
      </x:c>
      <x:c r="T310" s="281" t="s">
        <x:v>118</x:v>
      </x:c>
      <x:c r="U310" s="281" t="s">
        <x:v>118</x:v>
      </x:c>
      <x:c r="V310" s="281" t="s">
        <x:v>118</x:v>
      </x:c>
      <x:c r="W310" s="281" t="s">
        <x:v>118</x:v>
      </x:c>
      <x:c r="X310" s="281" t="s">
        <x:v>118</x:v>
      </x:c>
      <x:c r="Y310" s="281" t="s">
        <x:v>118</x:v>
      </x:c>
      <x:c r="Z310" s="281" t="s">
        <x:v>118</x:v>
      </x:c>
      <x:c r="AA310" s="281" t="s">
        <x:v>118</x:v>
      </x:c>
      <x:c r="AB310" s="281" t="s">
        <x:v>118</x:v>
      </x:c>
      <x:c r="AC310" s="281" t="s">
        <x:v>118</x:v>
      </x:c>
      <x:c r="AD310" s="281" t="s">
        <x:v>118</x:v>
      </x:c>
      <x:c r="AE310" s="281" t="s">
        <x:v>118</x:v>
      </x:c>
      <x:c r="AF310" s="281" t="s">
        <x:v>118</x:v>
      </x:c>
      <x:c r="AG310" s="281" t="s">
        <x:v>118</x:v>
      </x:c>
      <x:c r="AH310" s="281" t="s">
        <x:v>118</x:v>
      </x:c>
      <x:c r="AI310" s="281" t="s">
        <x:v>118</x:v>
      </x:c>
      <x:c r="AJ310" s="281" t="s">
        <x:v>118</x:v>
      </x:c>
      <x:c r="AK310" s="220">
        <x:f>COUNTIF(F310:AJ310,"X")</x:f>
      </x:c>
      <x:c r="AL310" s="221"/>
      <x:c r="AM310" s="221"/>
      <x:c r="AN310" s="222"/>
      <x:c r="AO310" s="222"/>
      <x:c r="AP310" s="228"/>
      <x:c r="AQ310" s="228"/>
      <x:c r="AR310" s="228"/>
      <x:c r="AS310" s="228"/>
      <x:c r="AT310" s="230"/>
    </x:row>
    <x:row r="311" spans="1:47" ht="15" customHeight="1">
      <x:c r="A311" s="282" t="s">
        <x:v>2677</x:v>
      </x:c>
      <x:c r="B311" s="216"/>
      <x:c r="C311" s="283" t="s">
        <x:v>2678</x:v>
      </x:c>
      <x:c r="D311" s="282" t="s">
        <x:v>1557</x:v>
      </x:c>
      <x:c r="E311" s="282" t="s">
        <x:v>2679</x:v>
      </x:c>
      <x:c r="F311" s="281" t="s">
        <x:v>118</x:v>
      </x:c>
      <x:c r="G311" s="281" t="s">
        <x:v>118</x:v>
      </x:c>
      <x:c r="H311" s="281" t="s">
        <x:v>118</x:v>
      </x:c>
      <x:c r="I311" s="281" t="s">
        <x:v>118</x:v>
      </x:c>
      <x:c r="J311" s="281" t="s">
        <x:v>118</x:v>
      </x:c>
      <x:c r="K311" s="281" t="s">
        <x:v>118</x:v>
      </x:c>
      <x:c r="L311" s="281" t="s">
        <x:v>118</x:v>
      </x:c>
      <x:c r="M311" s="281" t="s">
        <x:v>118</x:v>
      </x:c>
      <x:c r="N311" s="281" t="s">
        <x:v>118</x:v>
      </x:c>
      <x:c r="O311" s="281" t="s">
        <x:v>118</x:v>
      </x:c>
      <x:c r="P311" s="281" t="s">
        <x:v>118</x:v>
      </x:c>
      <x:c r="Q311" s="281" t="s">
        <x:v>118</x:v>
      </x:c>
      <x:c r="R311" s="281" t="s">
        <x:v>118</x:v>
      </x:c>
      <x:c r="S311" s="281" t="s">
        <x:v>118</x:v>
      </x:c>
      <x:c r="T311" s="281" t="s">
        <x:v>118</x:v>
      </x:c>
      <x:c r="U311" s="281" t="s">
        <x:v>118</x:v>
      </x:c>
      <x:c r="V311" s="281" t="s">
        <x:v>118</x:v>
      </x:c>
      <x:c r="W311" s="281" t="s">
        <x:v>118</x:v>
      </x:c>
      <x:c r="X311" s="281" t="s">
        <x:v>118</x:v>
      </x:c>
      <x:c r="Y311" s="281" t="s">
        <x:v>118</x:v>
      </x:c>
      <x:c r="Z311" s="281" t="s">
        <x:v>118</x:v>
      </x:c>
      <x:c r="AA311" s="281" t="s">
        <x:v>118</x:v>
      </x:c>
      <x:c r="AB311" s="281" t="s">
        <x:v>118</x:v>
      </x:c>
      <x:c r="AC311" s="281" t="s">
        <x:v>118</x:v>
      </x:c>
      <x:c r="AD311" s="281" t="s">
        <x:v>118</x:v>
      </x:c>
      <x:c r="AE311" s="281" t="s">
        <x:v>118</x:v>
      </x:c>
      <x:c r="AF311" s="281" t="s">
        <x:v>118</x:v>
      </x:c>
      <x:c r="AG311" s="281" t="s">
        <x:v>118</x:v>
      </x:c>
      <x:c r="AH311" s="281" t="s">
        <x:v>118</x:v>
      </x:c>
      <x:c r="AI311" s="281" t="s">
        <x:v>118</x:v>
      </x:c>
      <x:c r="AJ311" s="281" t="s">
        <x:v>118</x:v>
      </x:c>
      <x:c r="AK311" s="220">
        <x:f>COUNTIF(F311:AJ311,"X")</x:f>
      </x:c>
      <x:c r="AL311" s="221"/>
      <x:c r="AM311" s="221"/>
      <x:c r="AN311" s="222"/>
      <x:c r="AO311" s="222"/>
      <x:c r="AP311" s="228"/>
      <x:c r="AQ311" s="228"/>
      <x:c r="AR311" s="228"/>
      <x:c r="AS311" s="228"/>
      <x:c r="AT311" s="230"/>
    </x:row>
    <x:row r="312" spans="1:47" ht="15" customHeight="1">
      <x:c r="A312" s="282" t="s">
        <x:v>2680</x:v>
      </x:c>
      <x:c r="B312" s="216"/>
      <x:c r="C312" s="283" t="s">
        <x:v>2681</x:v>
      </x:c>
      <x:c r="D312" s="282" t="s">
        <x:v>2682</x:v>
      </x:c>
      <x:c r="E312" s="282" t="s">
        <x:v>2683</x:v>
      </x:c>
      <x:c r="F312" s="281" t="s">
        <x:v>118</x:v>
      </x:c>
      <x:c r="G312" s="281" t="s">
        <x:v>118</x:v>
      </x:c>
      <x:c r="H312" s="281" t="s">
        <x:v>118</x:v>
      </x:c>
      <x:c r="I312" s="281" t="s">
        <x:v>118</x:v>
      </x:c>
      <x:c r="J312" s="281" t="s">
        <x:v>118</x:v>
      </x:c>
      <x:c r="K312" s="281" t="s">
        <x:v>118</x:v>
      </x:c>
      <x:c r="L312" s="281" t="s">
        <x:v>118</x:v>
      </x:c>
      <x:c r="M312" s="281" t="s">
        <x:v>118</x:v>
      </x:c>
      <x:c r="N312" s="281" t="s">
        <x:v>118</x:v>
      </x:c>
      <x:c r="O312" s="281" t="s">
        <x:v>118</x:v>
      </x:c>
      <x:c r="P312" s="281" t="s">
        <x:v>118</x:v>
      </x:c>
      <x:c r="Q312" s="281" t="s">
        <x:v>118</x:v>
      </x:c>
      <x:c r="R312" s="281" t="s">
        <x:v>118</x:v>
      </x:c>
      <x:c r="S312" s="281" t="s">
        <x:v>118</x:v>
      </x:c>
      <x:c r="T312" s="281" t="s">
        <x:v>118</x:v>
      </x:c>
      <x:c r="U312" s="281" t="s">
        <x:v>118</x:v>
      </x:c>
      <x:c r="V312" s="281" t="s">
        <x:v>118</x:v>
      </x:c>
      <x:c r="W312" s="281" t="s">
        <x:v>118</x:v>
      </x:c>
      <x:c r="X312" s="281" t="s">
        <x:v>118</x:v>
      </x:c>
      <x:c r="Y312" s="281" t="s">
        <x:v>118</x:v>
      </x:c>
      <x:c r="Z312" s="281" t="s">
        <x:v>118</x:v>
      </x:c>
      <x:c r="AA312" s="281" t="s">
        <x:v>118</x:v>
      </x:c>
      <x:c r="AB312" s="281" t="s">
        <x:v>118</x:v>
      </x:c>
      <x:c r="AC312" s="281" t="s">
        <x:v>118</x:v>
      </x:c>
      <x:c r="AD312" s="281" t="s">
        <x:v>118</x:v>
      </x:c>
      <x:c r="AE312" s="281" t="s">
        <x:v>118</x:v>
      </x:c>
      <x:c r="AF312" s="281" t="s">
        <x:v>118</x:v>
      </x:c>
      <x:c r="AG312" s="281" t="s">
        <x:v>118</x:v>
      </x:c>
      <x:c r="AH312" s="281" t="s">
        <x:v>118</x:v>
      </x:c>
      <x:c r="AI312" s="281" t="s">
        <x:v>118</x:v>
      </x:c>
      <x:c r="AJ312" s="281" t="s">
        <x:v>118</x:v>
      </x:c>
      <x:c r="AK312" s="220">
        <x:f>COUNTIF(F312:AJ312,"X")</x:f>
      </x:c>
      <x:c r="AL312" s="221"/>
      <x:c r="AM312" s="221"/>
      <x:c r="AN312" s="222"/>
      <x:c r="AO312" s="222"/>
      <x:c r="AP312" s="228"/>
      <x:c r="AQ312" s="228"/>
      <x:c r="AR312" s="228"/>
      <x:c r="AS312" s="228"/>
      <x:c r="AT312" s="230"/>
    </x:row>
    <x:row r="313" spans="1:47" ht="15" customHeight="1">
      <x:c r="A313" s="282" t="s">
        <x:v>2684</x:v>
      </x:c>
      <x:c r="B313" s="216"/>
      <x:c r="C313" s="283" t="s">
        <x:v>2685</x:v>
      </x:c>
      <x:c r="D313" s="282" t="s">
        <x:v>2682</x:v>
      </x:c>
      <x:c r="E313" s="282" t="s">
        <x:v>2686</x:v>
      </x:c>
      <x:c r="F313" s="281" t="s">
        <x:v>118</x:v>
      </x:c>
      <x:c r="G313" s="281" t="s">
        <x:v>118</x:v>
      </x:c>
      <x:c r="H313" s="281" t="s">
        <x:v>118</x:v>
      </x:c>
      <x:c r="I313" s="281" t="s">
        <x:v>118</x:v>
      </x:c>
      <x:c r="J313" s="281" t="s">
        <x:v>118</x:v>
      </x:c>
      <x:c r="K313" s="281" t="s">
        <x:v>118</x:v>
      </x:c>
      <x:c r="L313" s="281" t="s">
        <x:v>118</x:v>
      </x:c>
      <x:c r="M313" s="281" t="s">
        <x:v>118</x:v>
      </x:c>
      <x:c r="N313" s="281" t="s">
        <x:v>118</x:v>
      </x:c>
      <x:c r="O313" s="281" t="s">
        <x:v>118</x:v>
      </x:c>
      <x:c r="P313" s="281" t="s">
        <x:v>118</x:v>
      </x:c>
      <x:c r="Q313" s="281" t="s">
        <x:v>118</x:v>
      </x:c>
      <x:c r="R313" s="281" t="s">
        <x:v>118</x:v>
      </x:c>
      <x:c r="S313" s="281" t="s">
        <x:v>118</x:v>
      </x:c>
      <x:c r="T313" s="281" t="s">
        <x:v>118</x:v>
      </x:c>
      <x:c r="U313" s="281" t="s">
        <x:v>118</x:v>
      </x:c>
      <x:c r="V313" s="281" t="s">
        <x:v>118</x:v>
      </x:c>
      <x:c r="W313" s="281" t="s">
        <x:v>118</x:v>
      </x:c>
      <x:c r="X313" s="281" t="s">
        <x:v>118</x:v>
      </x:c>
      <x:c r="Y313" s="281" t="s">
        <x:v>118</x:v>
      </x:c>
      <x:c r="Z313" s="281" t="s">
        <x:v>118</x:v>
      </x:c>
      <x:c r="AA313" s="281" t="s">
        <x:v>118</x:v>
      </x:c>
      <x:c r="AB313" s="281" t="s">
        <x:v>118</x:v>
      </x:c>
      <x:c r="AC313" s="281" t="s">
        <x:v>118</x:v>
      </x:c>
      <x:c r="AD313" s="281" t="s">
        <x:v>118</x:v>
      </x:c>
      <x:c r="AE313" s="281" t="s">
        <x:v>118</x:v>
      </x:c>
      <x:c r="AF313" s="281" t="s">
        <x:v>118</x:v>
      </x:c>
      <x:c r="AG313" s="281" t="s">
        <x:v>118</x:v>
      </x:c>
      <x:c r="AH313" s="281" t="s">
        <x:v>118</x:v>
      </x:c>
      <x:c r="AI313" s="281" t="s">
        <x:v>118</x:v>
      </x:c>
      <x:c r="AJ313" s="281" t="s">
        <x:v>118</x:v>
      </x:c>
      <x:c r="AK313" s="220">
        <x:f>COUNTIF(F313:AJ313,"X")</x:f>
      </x:c>
      <x:c r="AL313" s="221"/>
      <x:c r="AM313" s="221"/>
      <x:c r="AN313" s="222"/>
      <x:c r="AO313" s="222"/>
      <x:c r="AP313" s="228"/>
      <x:c r="AQ313" s="228"/>
      <x:c r="AR313" s="228"/>
      <x:c r="AS313" s="228"/>
      <x:c r="AT313" s="230"/>
    </x:row>
    <x:row r="314" spans="1:47" ht="15" customHeight="1">
      <x:c r="A314" s="282" t="s">
        <x:v>2687</x:v>
      </x:c>
      <x:c r="B314" s="216"/>
      <x:c r="C314" s="283" t="s">
        <x:v>2688</x:v>
      </x:c>
      <x:c r="D314" s="282" t="s">
        <x:v>739</x:v>
      </x:c>
      <x:c r="E314" s="282" t="s">
        <x:v>2689</x:v>
      </x:c>
      <x:c r="F314" s="281" t="s">
        <x:v>118</x:v>
      </x:c>
      <x:c r="G314" s="281" t="s">
        <x:v>118</x:v>
      </x:c>
      <x:c r="H314" s="281" t="s">
        <x:v>118</x:v>
      </x:c>
      <x:c r="I314" s="281" t="s">
        <x:v>118</x:v>
      </x:c>
      <x:c r="J314" s="281" t="s">
        <x:v>118</x:v>
      </x:c>
      <x:c r="K314" s="281" t="s">
        <x:v>118</x:v>
      </x:c>
      <x:c r="L314" s="281" t="s">
        <x:v>118</x:v>
      </x:c>
      <x:c r="M314" s="281" t="s">
        <x:v>118</x:v>
      </x:c>
      <x:c r="N314" s="281" t="s">
        <x:v>118</x:v>
      </x:c>
      <x:c r="O314" s="281" t="s">
        <x:v>118</x:v>
      </x:c>
      <x:c r="P314" s="281" t="s">
        <x:v>118</x:v>
      </x:c>
      <x:c r="Q314" s="281" t="s">
        <x:v>118</x:v>
      </x:c>
      <x:c r="R314" s="281" t="s">
        <x:v>118</x:v>
      </x:c>
      <x:c r="S314" s="281" t="s">
        <x:v>118</x:v>
      </x:c>
      <x:c r="T314" s="281" t="s">
        <x:v>118</x:v>
      </x:c>
      <x:c r="U314" s="281" t="s">
        <x:v>118</x:v>
      </x:c>
      <x:c r="V314" s="281" t="s">
        <x:v>118</x:v>
      </x:c>
      <x:c r="W314" s="281" t="s">
        <x:v>118</x:v>
      </x:c>
      <x:c r="X314" s="281" t="s">
        <x:v>118</x:v>
      </x:c>
      <x:c r="Y314" s="281" t="s">
        <x:v>118</x:v>
      </x:c>
      <x:c r="Z314" s="281" t="s">
        <x:v>118</x:v>
      </x:c>
      <x:c r="AA314" s="281" t="s">
        <x:v>118</x:v>
      </x:c>
      <x:c r="AB314" s="281" t="s">
        <x:v>118</x:v>
      </x:c>
      <x:c r="AC314" s="281" t="s">
        <x:v>118</x:v>
      </x:c>
      <x:c r="AD314" s="281" t="s">
        <x:v>118</x:v>
      </x:c>
      <x:c r="AE314" s="281" t="s">
        <x:v>118</x:v>
      </x:c>
      <x:c r="AF314" s="281" t="s">
        <x:v>118</x:v>
      </x:c>
      <x:c r="AG314" s="281" t="s">
        <x:v>118</x:v>
      </x:c>
      <x:c r="AH314" s="281" t="s">
        <x:v>118</x:v>
      </x:c>
      <x:c r="AI314" s="281" t="s">
        <x:v>118</x:v>
      </x:c>
      <x:c r="AJ314" s="281" t="s">
        <x:v>118</x:v>
      </x:c>
      <x:c r="AK314" s="220">
        <x:f>COUNTIF(F314:AJ314,"X")</x:f>
      </x:c>
      <x:c r="AL314" s="221"/>
      <x:c r="AM314" s="221"/>
      <x:c r="AN314" s="222"/>
      <x:c r="AO314" s="222"/>
      <x:c r="AP314" s="228"/>
      <x:c r="AQ314" s="228"/>
      <x:c r="AR314" s="228"/>
      <x:c r="AS314" s="228"/>
      <x:c r="AT314" s="230"/>
    </x:row>
    <x:row r="315" spans="1:47" ht="15" customHeight="1">
      <x:c r="A315" s="282" t="s">
        <x:v>2690</x:v>
      </x:c>
      <x:c r="B315" s="216"/>
      <x:c r="C315" s="283" t="s">
        <x:v>2691</x:v>
      </x:c>
      <x:c r="D315" s="282" t="s">
        <x:v>739</x:v>
      </x:c>
      <x:c r="E315" s="282" t="s">
        <x:v>1313</x:v>
      </x:c>
      <x:c r="F315" s="281" t="s">
        <x:v>118</x:v>
      </x:c>
      <x:c r="G315" s="281" t="s">
        <x:v>118</x:v>
      </x:c>
      <x:c r="H315" s="281" t="s">
        <x:v>118</x:v>
      </x:c>
      <x:c r="I315" s="281" t="s">
        <x:v>118</x:v>
      </x:c>
      <x:c r="J315" s="281" t="s">
        <x:v>118</x:v>
      </x:c>
      <x:c r="K315" s="281" t="s">
        <x:v>118</x:v>
      </x:c>
      <x:c r="L315" s="281" t="s">
        <x:v>118</x:v>
      </x:c>
      <x:c r="M315" s="281" t="s">
        <x:v>118</x:v>
      </x:c>
      <x:c r="N315" s="281" t="s">
        <x:v>118</x:v>
      </x:c>
      <x:c r="O315" s="281" t="s">
        <x:v>118</x:v>
      </x:c>
      <x:c r="P315" s="281" t="s">
        <x:v>118</x:v>
      </x:c>
      <x:c r="Q315" s="281" t="s">
        <x:v>118</x:v>
      </x:c>
      <x:c r="R315" s="281" t="s">
        <x:v>118</x:v>
      </x:c>
      <x:c r="S315" s="281" t="s">
        <x:v>118</x:v>
      </x:c>
      <x:c r="T315" s="281" t="s">
        <x:v>118</x:v>
      </x:c>
      <x:c r="U315" s="281" t="s">
        <x:v>118</x:v>
      </x:c>
      <x:c r="V315" s="281" t="s">
        <x:v>118</x:v>
      </x:c>
      <x:c r="W315" s="281" t="s">
        <x:v>118</x:v>
      </x:c>
      <x:c r="X315" s="281" t="s">
        <x:v>118</x:v>
      </x:c>
      <x:c r="Y315" s="281" t="s">
        <x:v>118</x:v>
      </x:c>
      <x:c r="Z315" s="281" t="s">
        <x:v>118</x:v>
      </x:c>
      <x:c r="AA315" s="281" t="s">
        <x:v>118</x:v>
      </x:c>
      <x:c r="AB315" s="281" t="s">
        <x:v>118</x:v>
      </x:c>
      <x:c r="AC315" s="281" t="s">
        <x:v>118</x:v>
      </x:c>
      <x:c r="AD315" s="281" t="s">
        <x:v>118</x:v>
      </x:c>
      <x:c r="AE315" s="281" t="s">
        <x:v>118</x:v>
      </x:c>
      <x:c r="AF315" s="281" t="s">
        <x:v>118</x:v>
      </x:c>
      <x:c r="AG315" s="281" t="s">
        <x:v>118</x:v>
      </x:c>
      <x:c r="AH315" s="281" t="s">
        <x:v>118</x:v>
      </x:c>
      <x:c r="AI315" s="281" t="s">
        <x:v>118</x:v>
      </x:c>
      <x:c r="AJ315" s="281" t="s">
        <x:v>118</x:v>
      </x:c>
      <x:c r="AK315" s="220">
        <x:f>COUNTIF(F315:AJ315,"X")</x:f>
      </x:c>
      <x:c r="AL315" s="221"/>
      <x:c r="AM315" s="221"/>
      <x:c r="AN315" s="222"/>
      <x:c r="AO315" s="222"/>
      <x:c r="AP315" s="228"/>
      <x:c r="AQ315" s="228"/>
      <x:c r="AR315" s="228"/>
      <x:c r="AS315" s="228"/>
      <x:c r="AT315" s="230"/>
    </x:row>
    <x:row r="316" spans="1:47" ht="15" customHeight="1">
      <x:c r="A316" s="282" t="s">
        <x:v>2692</x:v>
      </x:c>
      <x:c r="B316" s="216"/>
      <x:c r="C316" s="283" t="s">
        <x:v>2693</x:v>
      </x:c>
      <x:c r="D316" s="282" t="s">
        <x:v>2694</x:v>
      </x:c>
      <x:c r="E316" s="282" t="s">
        <x:v>2</x:v>
      </x:c>
      <x:c r="F316" s="281" t="s">
        <x:v>118</x:v>
      </x:c>
      <x:c r="G316" s="281" t="s">
        <x:v>118</x:v>
      </x:c>
      <x:c r="H316" s="281" t="s">
        <x:v>118</x:v>
      </x:c>
      <x:c r="I316" s="281" t="s">
        <x:v>118</x:v>
      </x:c>
      <x:c r="J316" s="281" t="s">
        <x:v>118</x:v>
      </x:c>
      <x:c r="K316" s="281" t="s">
        <x:v>118</x:v>
      </x:c>
      <x:c r="L316" s="281" t="s">
        <x:v>118</x:v>
      </x:c>
      <x:c r="M316" s="281" t="s">
        <x:v>118</x:v>
      </x:c>
      <x:c r="N316" s="281" t="s">
        <x:v>118</x:v>
      </x:c>
      <x:c r="O316" s="281" t="s">
        <x:v>118</x:v>
      </x:c>
      <x:c r="P316" s="281" t="s">
        <x:v>118</x:v>
      </x:c>
      <x:c r="Q316" s="281" t="s">
        <x:v>118</x:v>
      </x:c>
      <x:c r="R316" s="281" t="s">
        <x:v>118</x:v>
      </x:c>
      <x:c r="S316" s="281" t="s">
        <x:v>118</x:v>
      </x:c>
      <x:c r="T316" s="281" t="s">
        <x:v>118</x:v>
      </x:c>
      <x:c r="U316" s="281" t="s">
        <x:v>118</x:v>
      </x:c>
      <x:c r="V316" s="281" t="s">
        <x:v>118</x:v>
      </x:c>
      <x:c r="W316" s="281" t="s">
        <x:v>118</x:v>
      </x:c>
      <x:c r="X316" s="281" t="s">
        <x:v>118</x:v>
      </x:c>
      <x:c r="Y316" s="281" t="s">
        <x:v>118</x:v>
      </x:c>
      <x:c r="Z316" s="281" t="s">
        <x:v>118</x:v>
      </x:c>
      <x:c r="AA316" s="281" t="s">
        <x:v>118</x:v>
      </x:c>
      <x:c r="AB316" s="281" t="s">
        <x:v>118</x:v>
      </x:c>
      <x:c r="AC316" s="281" t="s">
        <x:v>118</x:v>
      </x:c>
      <x:c r="AD316" s="281" t="s">
        <x:v>118</x:v>
      </x:c>
      <x:c r="AE316" s="281" t="s">
        <x:v>118</x:v>
      </x:c>
      <x:c r="AF316" s="281" t="s">
        <x:v>118</x:v>
      </x:c>
      <x:c r="AG316" s="281" t="s">
        <x:v>118</x:v>
      </x:c>
      <x:c r="AH316" s="281" t="s">
        <x:v>118</x:v>
      </x:c>
      <x:c r="AI316" s="281" t="s">
        <x:v>118</x:v>
      </x:c>
      <x:c r="AJ316" s="281" t="s">
        <x:v>118</x:v>
      </x:c>
      <x:c r="AK316" s="220">
        <x:f>COUNTIF(F316:AJ316,"X")</x:f>
      </x:c>
      <x:c r="AL316" s="221"/>
      <x:c r="AM316" s="221"/>
      <x:c r="AN316" s="222"/>
      <x:c r="AO316" s="222"/>
      <x:c r="AP316" s="228"/>
      <x:c r="AQ316" s="228"/>
      <x:c r="AR316" s="228"/>
      <x:c r="AS316" s="228"/>
      <x:c r="AT316" s="230"/>
    </x:row>
    <x:row r="317" spans="1:47" ht="15" customHeight="1">
      <x:c r="A317" s="282" t="s">
        <x:v>2695</x:v>
      </x:c>
      <x:c r="B317" s="216"/>
      <x:c r="C317" s="283" t="s">
        <x:v>2696</x:v>
      </x:c>
      <x:c r="D317" s="282" t="s">
        <x:v>742</x:v>
      </x:c>
      <x:c r="E317" s="282" t="s">
        <x:v>2697</x:v>
      </x:c>
      <x:c r="F317" s="281" t="s">
        <x:v>118</x:v>
      </x:c>
      <x:c r="G317" s="281" t="s">
        <x:v>118</x:v>
      </x:c>
      <x:c r="H317" s="281" t="s">
        <x:v>118</x:v>
      </x:c>
      <x:c r="I317" s="281" t="s">
        <x:v>118</x:v>
      </x:c>
      <x:c r="J317" s="281" t="s">
        <x:v>118</x:v>
      </x:c>
      <x:c r="K317" s="281" t="s">
        <x:v>118</x:v>
      </x:c>
      <x:c r="L317" s="281" t="s">
        <x:v>118</x:v>
      </x:c>
      <x:c r="M317" s="281" t="s">
        <x:v>118</x:v>
      </x:c>
      <x:c r="N317" s="281" t="s">
        <x:v>118</x:v>
      </x:c>
      <x:c r="O317" s="281" t="s">
        <x:v>118</x:v>
      </x:c>
      <x:c r="P317" s="281" t="s">
        <x:v>118</x:v>
      </x:c>
      <x:c r="Q317" s="281" t="s">
        <x:v>118</x:v>
      </x:c>
      <x:c r="R317" s="281" t="s">
        <x:v>118</x:v>
      </x:c>
      <x:c r="S317" s="281" t="s">
        <x:v>118</x:v>
      </x:c>
      <x:c r="T317" s="281" t="s">
        <x:v>118</x:v>
      </x:c>
      <x:c r="U317" s="281" t="s">
        <x:v>118</x:v>
      </x:c>
      <x:c r="V317" s="281" t="s">
        <x:v>118</x:v>
      </x:c>
      <x:c r="W317" s="281" t="s">
        <x:v>118</x:v>
      </x:c>
      <x:c r="X317" s="281" t="s">
        <x:v>118</x:v>
      </x:c>
      <x:c r="Y317" s="281" t="s">
        <x:v>118</x:v>
      </x:c>
      <x:c r="Z317" s="281" t="s">
        <x:v>118</x:v>
      </x:c>
      <x:c r="AA317" s="281" t="s">
        <x:v>118</x:v>
      </x:c>
      <x:c r="AB317" s="281" t="s">
        <x:v>118</x:v>
      </x:c>
      <x:c r="AC317" s="281" t="s">
        <x:v>118</x:v>
      </x:c>
      <x:c r="AD317" s="281" t="s">
        <x:v>118</x:v>
      </x:c>
      <x:c r="AE317" s="281" t="s">
        <x:v>118</x:v>
      </x:c>
      <x:c r="AF317" s="281" t="s">
        <x:v>118</x:v>
      </x:c>
      <x:c r="AG317" s="281" t="s">
        <x:v>118</x:v>
      </x:c>
      <x:c r="AH317" s="281" t="s">
        <x:v>118</x:v>
      </x:c>
      <x:c r="AI317" s="281" t="s">
        <x:v>118</x:v>
      </x:c>
      <x:c r="AJ317" s="281" t="s">
        <x:v>118</x:v>
      </x:c>
      <x:c r="AK317" s="220">
        <x:f>COUNTIF(F317:AJ317,"X")</x:f>
      </x:c>
      <x:c r="AL317" s="221"/>
      <x:c r="AM317" s="221"/>
      <x:c r="AN317" s="222"/>
      <x:c r="AO317" s="222"/>
      <x:c r="AP317" s="228"/>
      <x:c r="AQ317" s="228"/>
      <x:c r="AR317" s="228"/>
      <x:c r="AS317" s="228"/>
      <x:c r="AT317" s="230"/>
    </x:row>
    <x:row r="318" spans="1:47" ht="15" customHeight="1">
      <x:c r="A318" s="282" t="s">
        <x:v>2698</x:v>
      </x:c>
      <x:c r="B318" s="216"/>
      <x:c r="C318" s="283" t="s">
        <x:v>2699</x:v>
      </x:c>
      <x:c r="D318" s="282" t="s">
        <x:v>742</x:v>
      </x:c>
      <x:c r="E318" s="282" t="s">
        <x:v>538</x:v>
      </x:c>
      <x:c r="F318" s="281" t="s">
        <x:v>118</x:v>
      </x:c>
      <x:c r="G318" s="281" t="s">
        <x:v>118</x:v>
      </x:c>
      <x:c r="H318" s="281" t="s">
        <x:v>118</x:v>
      </x:c>
      <x:c r="I318" s="281" t="s">
        <x:v>118</x:v>
      </x:c>
      <x:c r="J318" s="281" t="s">
        <x:v>118</x:v>
      </x:c>
      <x:c r="K318" s="281" t="s">
        <x:v>118</x:v>
      </x:c>
      <x:c r="L318" s="281" t="s">
        <x:v>118</x:v>
      </x:c>
      <x:c r="M318" s="281" t="s">
        <x:v>118</x:v>
      </x:c>
      <x:c r="N318" s="281" t="s">
        <x:v>118</x:v>
      </x:c>
      <x:c r="O318" s="281" t="s">
        <x:v>118</x:v>
      </x:c>
      <x:c r="P318" s="281" t="s">
        <x:v>118</x:v>
      </x:c>
      <x:c r="Q318" s="281" t="s">
        <x:v>118</x:v>
      </x:c>
      <x:c r="R318" s="281" t="s">
        <x:v>118</x:v>
      </x:c>
      <x:c r="S318" s="281" t="s">
        <x:v>118</x:v>
      </x:c>
      <x:c r="T318" s="281" t="s">
        <x:v>118</x:v>
      </x:c>
      <x:c r="U318" s="281" t="s">
        <x:v>118</x:v>
      </x:c>
      <x:c r="V318" s="281" t="s">
        <x:v>118</x:v>
      </x:c>
      <x:c r="W318" s="281" t="s">
        <x:v>118</x:v>
      </x:c>
      <x:c r="X318" s="281" t="s">
        <x:v>118</x:v>
      </x:c>
      <x:c r="Y318" s="281" t="s">
        <x:v>118</x:v>
      </x:c>
      <x:c r="Z318" s="281" t="s">
        <x:v>118</x:v>
      </x:c>
      <x:c r="AA318" s="281" t="s">
        <x:v>118</x:v>
      </x:c>
      <x:c r="AB318" s="281" t="s">
        <x:v>118</x:v>
      </x:c>
      <x:c r="AC318" s="281" t="s">
        <x:v>118</x:v>
      </x:c>
      <x:c r="AD318" s="281" t="s">
        <x:v>118</x:v>
      </x:c>
      <x:c r="AE318" s="281" t="s">
        <x:v>118</x:v>
      </x:c>
      <x:c r="AF318" s="281" t="s">
        <x:v>118</x:v>
      </x:c>
      <x:c r="AG318" s="281" t="s">
        <x:v>118</x:v>
      </x:c>
      <x:c r="AH318" s="281" t="s">
        <x:v>118</x:v>
      </x:c>
      <x:c r="AI318" s="281" t="s">
        <x:v>118</x:v>
      </x:c>
      <x:c r="AJ318" s="281" t="s">
        <x:v>118</x:v>
      </x:c>
      <x:c r="AK318" s="220">
        <x:f>COUNTIF(F318:AJ318,"X")</x:f>
      </x:c>
      <x:c r="AL318" s="221"/>
      <x:c r="AM318" s="221"/>
      <x:c r="AN318" s="222"/>
      <x:c r="AO318" s="222"/>
      <x:c r="AP318" s="228"/>
      <x:c r="AQ318" s="228"/>
      <x:c r="AR318" s="228"/>
      <x:c r="AS318" s="228"/>
      <x:c r="AT318" s="230"/>
    </x:row>
    <x:row r="319" spans="1:47" ht="15" customHeight="1">
      <x:c r="A319" s="282" t="s">
        <x:v>2700</x:v>
      </x:c>
      <x:c r="B319" s="216"/>
      <x:c r="C319" s="283" t="s">
        <x:v>2701</x:v>
      </x:c>
      <x:c r="D319" s="282" t="s">
        <x:v>742</x:v>
      </x:c>
      <x:c r="E319" s="282" t="s">
        <x:v>2702</x:v>
      </x:c>
      <x:c r="F319" s="281" t="s">
        <x:v>118</x:v>
      </x:c>
      <x:c r="G319" s="281" t="s">
        <x:v>118</x:v>
      </x:c>
      <x:c r="H319" s="281" t="s">
        <x:v>118</x:v>
      </x:c>
      <x:c r="I319" s="281" t="s">
        <x:v>118</x:v>
      </x:c>
      <x:c r="J319" s="281" t="s">
        <x:v>118</x:v>
      </x:c>
      <x:c r="K319" s="281" t="s">
        <x:v>118</x:v>
      </x:c>
      <x:c r="L319" s="281" t="s">
        <x:v>118</x:v>
      </x:c>
      <x:c r="M319" s="281" t="s">
        <x:v>118</x:v>
      </x:c>
      <x:c r="N319" s="281" t="s">
        <x:v>118</x:v>
      </x:c>
      <x:c r="O319" s="281" t="s">
        <x:v>118</x:v>
      </x:c>
      <x:c r="P319" s="281" t="s">
        <x:v>118</x:v>
      </x:c>
      <x:c r="Q319" s="281" t="s">
        <x:v>118</x:v>
      </x:c>
      <x:c r="R319" s="281" t="s">
        <x:v>118</x:v>
      </x:c>
      <x:c r="S319" s="281" t="s">
        <x:v>118</x:v>
      </x:c>
      <x:c r="T319" s="281" t="s">
        <x:v>118</x:v>
      </x:c>
      <x:c r="U319" s="281" t="s">
        <x:v>118</x:v>
      </x:c>
      <x:c r="V319" s="281" t="s">
        <x:v>118</x:v>
      </x:c>
      <x:c r="W319" s="281" t="s">
        <x:v>118</x:v>
      </x:c>
      <x:c r="X319" s="281" t="s">
        <x:v>118</x:v>
      </x:c>
      <x:c r="Y319" s="281" t="s">
        <x:v>118</x:v>
      </x:c>
      <x:c r="Z319" s="281" t="s">
        <x:v>118</x:v>
      </x:c>
      <x:c r="AA319" s="281" t="s">
        <x:v>118</x:v>
      </x:c>
      <x:c r="AB319" s="281" t="s">
        <x:v>118</x:v>
      </x:c>
      <x:c r="AC319" s="281" t="s">
        <x:v>118</x:v>
      </x:c>
      <x:c r="AD319" s="281" t="s">
        <x:v>118</x:v>
      </x:c>
      <x:c r="AE319" s="281" t="s">
        <x:v>118</x:v>
      </x:c>
      <x:c r="AF319" s="281" t="s">
        <x:v>118</x:v>
      </x:c>
      <x:c r="AG319" s="281" t="s">
        <x:v>118</x:v>
      </x:c>
      <x:c r="AH319" s="281" t="s">
        <x:v>118</x:v>
      </x:c>
      <x:c r="AI319" s="281" t="s">
        <x:v>118</x:v>
      </x:c>
      <x:c r="AJ319" s="281" t="s">
        <x:v>118</x:v>
      </x:c>
      <x:c r="AK319" s="220">
        <x:f>COUNTIF(F319:AJ319,"X")</x:f>
      </x:c>
      <x:c r="AL319" s="221"/>
      <x:c r="AM319" s="221"/>
      <x:c r="AN319" s="222"/>
      <x:c r="AO319" s="222"/>
      <x:c r="AP319" s="228"/>
      <x:c r="AQ319" s="228"/>
      <x:c r="AR319" s="228"/>
      <x:c r="AS319" s="228"/>
      <x:c r="AT319" s="230"/>
    </x:row>
    <x:row r="320" spans="1:47" ht="15" customHeight="1">
      <x:c r="A320" s="282" t="s">
        <x:v>2703</x:v>
      </x:c>
      <x:c r="B320" s="216"/>
      <x:c r="C320" s="283" t="s">
        <x:v>2704</x:v>
      </x:c>
      <x:c r="D320" s="282" t="s">
        <x:v>742</x:v>
      </x:c>
      <x:c r="E320" s="282" t="s">
        <x:v>323</x:v>
      </x:c>
      <x:c r="F320" s="281" t="s">
        <x:v>118</x:v>
      </x:c>
      <x:c r="G320" s="281" t="s">
        <x:v>118</x:v>
      </x:c>
      <x:c r="H320" s="281" t="s">
        <x:v>118</x:v>
      </x:c>
      <x:c r="I320" s="281" t="s">
        <x:v>118</x:v>
      </x:c>
      <x:c r="J320" s="281" t="s">
        <x:v>118</x:v>
      </x:c>
      <x:c r="K320" s="281" t="s">
        <x:v>118</x:v>
      </x:c>
      <x:c r="L320" s="281" t="s">
        <x:v>118</x:v>
      </x:c>
      <x:c r="M320" s="281" t="s">
        <x:v>118</x:v>
      </x:c>
      <x:c r="N320" s="281" t="s">
        <x:v>118</x:v>
      </x:c>
      <x:c r="O320" s="281" t="s">
        <x:v>118</x:v>
      </x:c>
      <x:c r="P320" s="281" t="s">
        <x:v>118</x:v>
      </x:c>
      <x:c r="Q320" s="281" t="s">
        <x:v>118</x:v>
      </x:c>
      <x:c r="R320" s="281" t="s">
        <x:v>118</x:v>
      </x:c>
      <x:c r="S320" s="281" t="s">
        <x:v>118</x:v>
      </x:c>
      <x:c r="T320" s="281" t="s">
        <x:v>118</x:v>
      </x:c>
      <x:c r="U320" s="281" t="s">
        <x:v>118</x:v>
      </x:c>
      <x:c r="V320" s="281" t="s">
        <x:v>118</x:v>
      </x:c>
      <x:c r="W320" s="281" t="s">
        <x:v>118</x:v>
      </x:c>
      <x:c r="X320" s="281" t="s">
        <x:v>118</x:v>
      </x:c>
      <x:c r="Y320" s="281" t="s">
        <x:v>118</x:v>
      </x:c>
      <x:c r="Z320" s="281" t="s">
        <x:v>118</x:v>
      </x:c>
      <x:c r="AA320" s="281" t="s">
        <x:v>118</x:v>
      </x:c>
      <x:c r="AB320" s="281" t="s">
        <x:v>118</x:v>
      </x:c>
      <x:c r="AC320" s="281" t="s">
        <x:v>118</x:v>
      </x:c>
      <x:c r="AD320" s="281" t="s">
        <x:v>118</x:v>
      </x:c>
      <x:c r="AE320" s="281" t="s">
        <x:v>118</x:v>
      </x:c>
      <x:c r="AF320" s="281" t="s">
        <x:v>118</x:v>
      </x:c>
      <x:c r="AG320" s="281" t="s">
        <x:v>118</x:v>
      </x:c>
      <x:c r="AH320" s="281" t="s">
        <x:v>118</x:v>
      </x:c>
      <x:c r="AI320" s="281" t="s">
        <x:v>118</x:v>
      </x:c>
      <x:c r="AJ320" s="281" t="s">
        <x:v>118</x:v>
      </x:c>
      <x:c r="AK320" s="220">
        <x:f>COUNTIF(F320:AJ320,"X")</x:f>
      </x:c>
      <x:c r="AL320" s="221"/>
      <x:c r="AM320" s="221"/>
      <x:c r="AN320" s="222"/>
      <x:c r="AO320" s="222"/>
      <x:c r="AP320" s="228"/>
      <x:c r="AQ320" s="228"/>
      <x:c r="AR320" s="228"/>
      <x:c r="AS320" s="228"/>
      <x:c r="AT320" s="230"/>
    </x:row>
    <x:row r="321" spans="1:47" ht="15" customHeight="1">
      <x:c r="A321" s="282" t="s">
        <x:v>2705</x:v>
      </x:c>
      <x:c r="B321" s="216"/>
      <x:c r="C321" s="283" t="s">
        <x:v>2706</x:v>
      </x:c>
      <x:c r="D321" s="282" t="s">
        <x:v>2707</x:v>
      </x:c>
      <x:c r="E321" s="282" t="s">
        <x:v>327</x:v>
      </x:c>
      <x:c r="F321" s="281" t="s">
        <x:v>118</x:v>
      </x:c>
      <x:c r="G321" s="281" t="s">
        <x:v>118</x:v>
      </x:c>
      <x:c r="H321" s="281" t="s">
        <x:v>118</x:v>
      </x:c>
      <x:c r="I321" s="281" t="s">
        <x:v>118</x:v>
      </x:c>
      <x:c r="J321" s="281" t="s">
        <x:v>118</x:v>
      </x:c>
      <x:c r="K321" s="281" t="s">
        <x:v>118</x:v>
      </x:c>
      <x:c r="L321" s="281" t="s">
        <x:v>118</x:v>
      </x:c>
      <x:c r="M321" s="281" t="s">
        <x:v>118</x:v>
      </x:c>
      <x:c r="N321" s="281" t="s">
        <x:v>118</x:v>
      </x:c>
      <x:c r="O321" s="281" t="s">
        <x:v>118</x:v>
      </x:c>
      <x:c r="P321" s="281" t="s">
        <x:v>118</x:v>
      </x:c>
      <x:c r="Q321" s="281" t="s">
        <x:v>118</x:v>
      </x:c>
      <x:c r="R321" s="281" t="s">
        <x:v>118</x:v>
      </x:c>
      <x:c r="S321" s="281" t="s">
        <x:v>118</x:v>
      </x:c>
      <x:c r="T321" s="281" t="s">
        <x:v>118</x:v>
      </x:c>
      <x:c r="U321" s="281" t="s">
        <x:v>118</x:v>
      </x:c>
      <x:c r="V321" s="281" t="s">
        <x:v>118</x:v>
      </x:c>
      <x:c r="W321" s="281" t="s">
        <x:v>118</x:v>
      </x:c>
      <x:c r="X321" s="281" t="s">
        <x:v>118</x:v>
      </x:c>
      <x:c r="Y321" s="281" t="s">
        <x:v>118</x:v>
      </x:c>
      <x:c r="Z321" s="281" t="s">
        <x:v>118</x:v>
      </x:c>
      <x:c r="AA321" s="281" t="s">
        <x:v>118</x:v>
      </x:c>
      <x:c r="AB321" s="281" t="s">
        <x:v>118</x:v>
      </x:c>
      <x:c r="AC321" s="281" t="s">
        <x:v>118</x:v>
      </x:c>
      <x:c r="AD321" s="281" t="s">
        <x:v>118</x:v>
      </x:c>
      <x:c r="AE321" s="281" t="s">
        <x:v>118</x:v>
      </x:c>
      <x:c r="AF321" s="281" t="s">
        <x:v>118</x:v>
      </x:c>
      <x:c r="AG321" s="281" t="s">
        <x:v>118</x:v>
      </x:c>
      <x:c r="AH321" s="281" t="s">
        <x:v>118</x:v>
      </x:c>
      <x:c r="AI321" s="281" t="s">
        <x:v>118</x:v>
      </x:c>
      <x:c r="AJ321" s="281" t="s">
        <x:v>118</x:v>
      </x:c>
      <x:c r="AK321" s="220">
        <x:f>COUNTIF(F321:AJ321,"X")</x:f>
      </x:c>
      <x:c r="AL321" s="221"/>
      <x:c r="AM321" s="221"/>
      <x:c r="AN321" s="222"/>
      <x:c r="AO321" s="222"/>
      <x:c r="AP321" s="228"/>
      <x:c r="AQ321" s="228"/>
      <x:c r="AR321" s="228"/>
      <x:c r="AS321" s="228"/>
      <x:c r="AT321" s="230"/>
    </x:row>
    <x:row r="322" spans="1:47" ht="15" customHeight="1">
      <x:c r="A322" s="282" t="s">
        <x:v>2708</x:v>
      </x:c>
      <x:c r="B322" s="216"/>
      <x:c r="C322" s="283" t="s">
        <x:v>2709</x:v>
      </x:c>
      <x:c r="D322" s="282" t="s">
        <x:v>620</x:v>
      </x:c>
      <x:c r="E322" s="282" t="s">
        <x:v>2710</x:v>
      </x:c>
      <x:c r="F322" s="281" t="s">
        <x:v>118</x:v>
      </x:c>
      <x:c r="G322" s="281" t="s">
        <x:v>118</x:v>
      </x:c>
      <x:c r="H322" s="281" t="s">
        <x:v>118</x:v>
      </x:c>
      <x:c r="I322" s="281" t="s">
        <x:v>118</x:v>
      </x:c>
      <x:c r="J322" s="281" t="s">
        <x:v>118</x:v>
      </x:c>
      <x:c r="K322" s="281" t="s">
        <x:v>118</x:v>
      </x:c>
      <x:c r="L322" s="281" t="s">
        <x:v>118</x:v>
      </x:c>
      <x:c r="M322" s="281" t="s">
        <x:v>118</x:v>
      </x:c>
      <x:c r="N322" s="281" t="s">
        <x:v>118</x:v>
      </x:c>
      <x:c r="O322" s="281" t="s">
        <x:v>118</x:v>
      </x:c>
      <x:c r="P322" s="281" t="s">
        <x:v>118</x:v>
      </x:c>
      <x:c r="Q322" s="281" t="s">
        <x:v>118</x:v>
      </x:c>
      <x:c r="R322" s="281" t="s">
        <x:v>118</x:v>
      </x:c>
      <x:c r="S322" s="281" t="s">
        <x:v>118</x:v>
      </x:c>
      <x:c r="T322" s="281" t="s">
        <x:v>118</x:v>
      </x:c>
      <x:c r="U322" s="281" t="s">
        <x:v>118</x:v>
      </x:c>
      <x:c r="V322" s="281" t="s">
        <x:v>118</x:v>
      </x:c>
      <x:c r="W322" s="281" t="s">
        <x:v>118</x:v>
      </x:c>
      <x:c r="X322" s="281" t="s">
        <x:v>118</x:v>
      </x:c>
      <x:c r="Y322" s="281" t="s">
        <x:v>118</x:v>
      </x:c>
      <x:c r="Z322" s="281" t="s">
        <x:v>118</x:v>
      </x:c>
      <x:c r="AA322" s="281" t="s">
        <x:v>118</x:v>
      </x:c>
      <x:c r="AB322" s="281" t="s">
        <x:v>118</x:v>
      </x:c>
      <x:c r="AC322" s="281" t="s">
        <x:v>118</x:v>
      </x:c>
      <x:c r="AD322" s="281" t="s">
        <x:v>118</x:v>
      </x:c>
      <x:c r="AE322" s="281" t="s">
        <x:v>118</x:v>
      </x:c>
      <x:c r="AF322" s="281" t="s">
        <x:v>118</x:v>
      </x:c>
      <x:c r="AG322" s="281" t="s">
        <x:v>118</x:v>
      </x:c>
      <x:c r="AH322" s="281" t="s">
        <x:v>118</x:v>
      </x:c>
      <x:c r="AI322" s="281" t="s">
        <x:v>118</x:v>
      </x:c>
      <x:c r="AJ322" s="281" t="s">
        <x:v>118</x:v>
      </x:c>
      <x:c r="AK322" s="220">
        <x:f>COUNTIF(F322:AJ322,"X")</x:f>
      </x:c>
      <x:c r="AL322" s="221"/>
      <x:c r="AM322" s="221"/>
      <x:c r="AN322" s="222"/>
      <x:c r="AO322" s="222"/>
      <x:c r="AP322" s="228"/>
      <x:c r="AQ322" s="228"/>
      <x:c r="AR322" s="228"/>
      <x:c r="AS322" s="228"/>
      <x:c r="AT322" s="230"/>
    </x:row>
    <x:row r="323" spans="1:47" ht="15" customHeight="1">
      <x:c r="A323" s="282" t="s">
        <x:v>2711</x:v>
      </x:c>
      <x:c r="B323" s="216"/>
      <x:c r="C323" s="283" t="s">
        <x:v>2712</x:v>
      </x:c>
      <x:c r="D323" s="282" t="s">
        <x:v>2713</x:v>
      </x:c>
      <x:c r="E323" s="282" t="s">
        <x:v>2714</x:v>
      </x:c>
      <x:c r="F323" s="281" t="s">
        <x:v>118</x:v>
      </x:c>
      <x:c r="G323" s="281" t="s">
        <x:v>118</x:v>
      </x:c>
      <x:c r="H323" s="281" t="s">
        <x:v>118</x:v>
      </x:c>
      <x:c r="I323" s="281" t="s">
        <x:v>118</x:v>
      </x:c>
      <x:c r="J323" s="281" t="s">
        <x:v>118</x:v>
      </x:c>
      <x:c r="K323" s="281" t="s">
        <x:v>118</x:v>
      </x:c>
      <x:c r="L323" s="281" t="s">
        <x:v>118</x:v>
      </x:c>
      <x:c r="M323" s="281" t="s">
        <x:v>118</x:v>
      </x:c>
      <x:c r="N323" s="281" t="s">
        <x:v>118</x:v>
      </x:c>
      <x:c r="O323" s="281" t="s">
        <x:v>118</x:v>
      </x:c>
      <x:c r="P323" s="281" t="s">
        <x:v>118</x:v>
      </x:c>
      <x:c r="Q323" s="281" t="s">
        <x:v>118</x:v>
      </x:c>
      <x:c r="R323" s="281" t="s">
        <x:v>118</x:v>
      </x:c>
      <x:c r="S323" s="281" t="s">
        <x:v>118</x:v>
      </x:c>
      <x:c r="T323" s="281" t="s">
        <x:v>118</x:v>
      </x:c>
      <x:c r="U323" s="281" t="s">
        <x:v>118</x:v>
      </x:c>
      <x:c r="V323" s="281" t="s">
        <x:v>118</x:v>
      </x:c>
      <x:c r="W323" s="281" t="s">
        <x:v>118</x:v>
      </x:c>
      <x:c r="X323" s="281" t="s">
        <x:v>118</x:v>
      </x:c>
      <x:c r="Y323" s="281" t="s">
        <x:v>118</x:v>
      </x:c>
      <x:c r="Z323" s="281" t="s">
        <x:v>118</x:v>
      </x:c>
      <x:c r="AA323" s="281" t="s">
        <x:v>118</x:v>
      </x:c>
      <x:c r="AB323" s="281" t="s">
        <x:v>118</x:v>
      </x:c>
      <x:c r="AC323" s="281" t="s">
        <x:v>118</x:v>
      </x:c>
      <x:c r="AD323" s="281" t="s">
        <x:v>118</x:v>
      </x:c>
      <x:c r="AE323" s="281" t="s">
        <x:v>118</x:v>
      </x:c>
      <x:c r="AF323" s="281" t="s">
        <x:v>118</x:v>
      </x:c>
      <x:c r="AG323" s="281" t="s">
        <x:v>118</x:v>
      </x:c>
      <x:c r="AH323" s="281" t="s">
        <x:v>118</x:v>
      </x:c>
      <x:c r="AI323" s="281" t="s">
        <x:v>118</x:v>
      </x:c>
      <x:c r="AJ323" s="281" t="s">
        <x:v>118</x:v>
      </x:c>
      <x:c r="AK323" s="220">
        <x:f>COUNTIF(F323:AJ323,"X")</x:f>
      </x:c>
      <x:c r="AL323" s="221"/>
      <x:c r="AM323" s="221"/>
      <x:c r="AN323" s="222"/>
      <x:c r="AO323" s="222"/>
      <x:c r="AP323" s="228"/>
      <x:c r="AQ323" s="228"/>
      <x:c r="AR323" s="228"/>
      <x:c r="AS323" s="228"/>
      <x:c r="AT323" s="230"/>
    </x:row>
    <x:row r="324" spans="1:47" ht="15" customHeight="1">
      <x:c r="A324" s="282" t="s">
        <x:v>2715</x:v>
      </x:c>
      <x:c r="B324" s="216"/>
      <x:c r="C324" s="283" t="s">
        <x:v>2716</x:v>
      </x:c>
      <x:c r="D324" s="282" t="s">
        <x:v>2713</x:v>
      </x:c>
      <x:c r="E324" s="282" t="s">
        <x:v>2717</x:v>
      </x:c>
      <x:c r="F324" s="281" t="s">
        <x:v>118</x:v>
      </x:c>
      <x:c r="G324" s="281" t="s">
        <x:v>118</x:v>
      </x:c>
      <x:c r="H324" s="281" t="s">
        <x:v>118</x:v>
      </x:c>
      <x:c r="I324" s="281" t="s">
        <x:v>118</x:v>
      </x:c>
      <x:c r="J324" s="281" t="s">
        <x:v>118</x:v>
      </x:c>
      <x:c r="K324" s="281" t="s">
        <x:v>118</x:v>
      </x:c>
      <x:c r="L324" s="281" t="s">
        <x:v>118</x:v>
      </x:c>
      <x:c r="M324" s="281" t="s">
        <x:v>118</x:v>
      </x:c>
      <x:c r="N324" s="281" t="s">
        <x:v>118</x:v>
      </x:c>
      <x:c r="O324" s="281" t="s">
        <x:v>118</x:v>
      </x:c>
      <x:c r="P324" s="281" t="s">
        <x:v>118</x:v>
      </x:c>
      <x:c r="Q324" s="281" t="s">
        <x:v>118</x:v>
      </x:c>
      <x:c r="R324" s="281" t="s">
        <x:v>118</x:v>
      </x:c>
      <x:c r="S324" s="281" t="s">
        <x:v>118</x:v>
      </x:c>
      <x:c r="T324" s="281" t="s">
        <x:v>118</x:v>
      </x:c>
      <x:c r="U324" s="281" t="s">
        <x:v>118</x:v>
      </x:c>
      <x:c r="V324" s="281" t="s">
        <x:v>118</x:v>
      </x:c>
      <x:c r="W324" s="281" t="s">
        <x:v>118</x:v>
      </x:c>
      <x:c r="X324" s="281" t="s">
        <x:v>118</x:v>
      </x:c>
      <x:c r="Y324" s="281" t="s">
        <x:v>118</x:v>
      </x:c>
      <x:c r="Z324" s="281" t="s">
        <x:v>118</x:v>
      </x:c>
      <x:c r="AA324" s="281" t="s">
        <x:v>118</x:v>
      </x:c>
      <x:c r="AB324" s="281" t="s">
        <x:v>118</x:v>
      </x:c>
      <x:c r="AC324" s="281" t="s">
        <x:v>118</x:v>
      </x:c>
      <x:c r="AD324" s="281" t="s">
        <x:v>118</x:v>
      </x:c>
      <x:c r="AE324" s="281" t="s">
        <x:v>118</x:v>
      </x:c>
      <x:c r="AF324" s="281" t="s">
        <x:v>118</x:v>
      </x:c>
      <x:c r="AG324" s="281" t="s">
        <x:v>118</x:v>
      </x:c>
      <x:c r="AH324" s="281" t="s">
        <x:v>118</x:v>
      </x:c>
      <x:c r="AI324" s="281" t="s">
        <x:v>118</x:v>
      </x:c>
      <x:c r="AJ324" s="281" t="s">
        <x:v>118</x:v>
      </x:c>
      <x:c r="AK324" s="220">
        <x:f>COUNTIF(F324:AJ324,"X")</x:f>
      </x:c>
      <x:c r="AL324" s="221"/>
      <x:c r="AM324" s="221"/>
      <x:c r="AN324" s="222"/>
      <x:c r="AO324" s="222"/>
      <x:c r="AP324" s="228"/>
      <x:c r="AQ324" s="228"/>
      <x:c r="AR324" s="228"/>
      <x:c r="AS324" s="228"/>
      <x:c r="AT324" s="230"/>
    </x:row>
    <x:row r="325" spans="1:47" ht="15" customHeight="1">
      <x:c r="A325" s="282" t="s">
        <x:v>2718</x:v>
      </x:c>
      <x:c r="B325" s="216"/>
      <x:c r="C325" s="283" t="s">
        <x:v>2719</x:v>
      </x:c>
      <x:c r="D325" s="282" t="s">
        <x:v>2720</x:v>
      </x:c>
      <x:c r="E325" s="282" t="s">
        <x:v>2721</x:v>
      </x:c>
      <x:c r="F325" s="281" t="s">
        <x:v>118</x:v>
      </x:c>
      <x:c r="G325" s="281" t="s">
        <x:v>118</x:v>
      </x:c>
      <x:c r="H325" s="281" t="s">
        <x:v>118</x:v>
      </x:c>
      <x:c r="I325" s="281" t="s">
        <x:v>118</x:v>
      </x:c>
      <x:c r="J325" s="281" t="s">
        <x:v>118</x:v>
      </x:c>
      <x:c r="K325" s="281" t="s">
        <x:v>118</x:v>
      </x:c>
      <x:c r="L325" s="281" t="s">
        <x:v>118</x:v>
      </x:c>
      <x:c r="M325" s="281" t="s">
        <x:v>118</x:v>
      </x:c>
      <x:c r="N325" s="281" t="s">
        <x:v>118</x:v>
      </x:c>
      <x:c r="O325" s="281" t="s">
        <x:v>118</x:v>
      </x:c>
      <x:c r="P325" s="281" t="s">
        <x:v>118</x:v>
      </x:c>
      <x:c r="Q325" s="281" t="s">
        <x:v>118</x:v>
      </x:c>
      <x:c r="R325" s="281" t="s">
        <x:v>118</x:v>
      </x:c>
      <x:c r="S325" s="281" t="s">
        <x:v>118</x:v>
      </x:c>
      <x:c r="T325" s="281" t="s">
        <x:v>118</x:v>
      </x:c>
      <x:c r="U325" s="281" t="s">
        <x:v>118</x:v>
      </x:c>
      <x:c r="V325" s="281" t="s">
        <x:v>118</x:v>
      </x:c>
      <x:c r="W325" s="281" t="s">
        <x:v>118</x:v>
      </x:c>
      <x:c r="X325" s="281" t="s">
        <x:v>118</x:v>
      </x:c>
      <x:c r="Y325" s="281" t="s">
        <x:v>118</x:v>
      </x:c>
      <x:c r="Z325" s="281" t="s">
        <x:v>118</x:v>
      </x:c>
      <x:c r="AA325" s="281" t="s">
        <x:v>118</x:v>
      </x:c>
      <x:c r="AB325" s="281" t="s">
        <x:v>118</x:v>
      </x:c>
      <x:c r="AC325" s="281" t="s">
        <x:v>118</x:v>
      </x:c>
      <x:c r="AD325" s="281" t="s">
        <x:v>118</x:v>
      </x:c>
      <x:c r="AE325" s="281" t="s">
        <x:v>118</x:v>
      </x:c>
      <x:c r="AF325" s="281" t="s">
        <x:v>118</x:v>
      </x:c>
      <x:c r="AG325" s="281" t="s">
        <x:v>118</x:v>
      </x:c>
      <x:c r="AH325" s="281" t="s">
        <x:v>118</x:v>
      </x:c>
      <x:c r="AI325" s="281" t="s">
        <x:v>118</x:v>
      </x:c>
      <x:c r="AJ325" s="281" t="s">
        <x:v>118</x:v>
      </x:c>
      <x:c r="AK325" s="220">
        <x:f>COUNTIF(F325:AJ325,"X")</x:f>
      </x:c>
      <x:c r="AL325" s="221"/>
      <x:c r="AM325" s="221"/>
      <x:c r="AN325" s="222"/>
      <x:c r="AO325" s="222"/>
      <x:c r="AP325" s="228"/>
      <x:c r="AQ325" s="228"/>
      <x:c r="AR325" s="228"/>
      <x:c r="AS325" s="228"/>
      <x:c r="AT325" s="230"/>
    </x:row>
    <x:row r="326" spans="1:47" ht="15" customHeight="1">
      <x:c r="A326" s="282" t="s">
        <x:v>2722</x:v>
      </x:c>
      <x:c r="B326" s="216"/>
      <x:c r="C326" s="283" t="s">
        <x:v>2723</x:v>
      </x:c>
      <x:c r="D326" s="282" t="s">
        <x:v>758</x:v>
      </x:c>
      <x:c r="E326" s="282" t="s">
        <x:v>2724</x:v>
      </x:c>
      <x:c r="F326" s="281" t="s">
        <x:v>118</x:v>
      </x:c>
      <x:c r="G326" s="281" t="s">
        <x:v>118</x:v>
      </x:c>
      <x:c r="H326" s="281" t="s">
        <x:v>118</x:v>
      </x:c>
      <x:c r="I326" s="281" t="s">
        <x:v>118</x:v>
      </x:c>
      <x:c r="J326" s="281" t="s">
        <x:v>118</x:v>
      </x:c>
      <x:c r="K326" s="281" t="s">
        <x:v>118</x:v>
      </x:c>
      <x:c r="L326" s="281" t="s">
        <x:v>118</x:v>
      </x:c>
      <x:c r="M326" s="281" t="s">
        <x:v>118</x:v>
      </x:c>
      <x:c r="N326" s="281" t="s">
        <x:v>118</x:v>
      </x:c>
      <x:c r="O326" s="281" t="s">
        <x:v>118</x:v>
      </x:c>
      <x:c r="P326" s="281" t="s">
        <x:v>118</x:v>
      </x:c>
      <x:c r="Q326" s="281" t="s">
        <x:v>118</x:v>
      </x:c>
      <x:c r="R326" s="281" t="s">
        <x:v>118</x:v>
      </x:c>
      <x:c r="S326" s="281" t="s">
        <x:v>118</x:v>
      </x:c>
      <x:c r="T326" s="281" t="s">
        <x:v>118</x:v>
      </x:c>
      <x:c r="U326" s="281" t="s">
        <x:v>118</x:v>
      </x:c>
      <x:c r="V326" s="281" t="s">
        <x:v>118</x:v>
      </x:c>
      <x:c r="W326" s="281" t="s">
        <x:v>118</x:v>
      </x:c>
      <x:c r="X326" s="281" t="s">
        <x:v>118</x:v>
      </x:c>
      <x:c r="Y326" s="281" t="s">
        <x:v>118</x:v>
      </x:c>
      <x:c r="Z326" s="281" t="s">
        <x:v>118</x:v>
      </x:c>
      <x:c r="AA326" s="281" t="s">
        <x:v>118</x:v>
      </x:c>
      <x:c r="AB326" s="281" t="s">
        <x:v>118</x:v>
      </x:c>
      <x:c r="AC326" s="281" t="s">
        <x:v>118</x:v>
      </x:c>
      <x:c r="AD326" s="281" t="s">
        <x:v>118</x:v>
      </x:c>
      <x:c r="AE326" s="281" t="s">
        <x:v>118</x:v>
      </x:c>
      <x:c r="AF326" s="281" t="s">
        <x:v>118</x:v>
      </x:c>
      <x:c r="AG326" s="281" t="s">
        <x:v>118</x:v>
      </x:c>
      <x:c r="AH326" s="281" t="s">
        <x:v>118</x:v>
      </x:c>
      <x:c r="AI326" s="281" t="s">
        <x:v>118</x:v>
      </x:c>
      <x:c r="AJ326" s="281" t="s">
        <x:v>118</x:v>
      </x:c>
      <x:c r="AK326" s="220">
        <x:f>COUNTIF(F326:AJ326,"X")</x:f>
      </x:c>
      <x:c r="AL326" s="221"/>
      <x:c r="AM326" s="221"/>
      <x:c r="AN326" s="222"/>
      <x:c r="AO326" s="222"/>
      <x:c r="AP326" s="228"/>
      <x:c r="AQ326" s="228"/>
      <x:c r="AR326" s="228"/>
      <x:c r="AS326" s="228"/>
      <x:c r="AT326" s="230"/>
    </x:row>
    <x:row r="327" spans="1:47" ht="15" customHeight="1">
      <x:c r="A327" s="282" t="s">
        <x:v>2725</x:v>
      </x:c>
      <x:c r="B327" s="216"/>
      <x:c r="C327" s="283" t="s">
        <x:v>2726</x:v>
      </x:c>
      <x:c r="D327" s="282" t="s">
        <x:v>762</x:v>
      </x:c>
      <x:c r="E327" s="282" t="s">
        <x:v>2727</x:v>
      </x:c>
      <x:c r="F327" s="281" t="s">
        <x:v>118</x:v>
      </x:c>
      <x:c r="G327" s="281" t="s">
        <x:v>118</x:v>
      </x:c>
      <x:c r="H327" s="281" t="s">
        <x:v>118</x:v>
      </x:c>
      <x:c r="I327" s="281" t="s">
        <x:v>118</x:v>
      </x:c>
      <x:c r="J327" s="281" t="s">
        <x:v>118</x:v>
      </x:c>
      <x:c r="K327" s="281" t="s">
        <x:v>118</x:v>
      </x:c>
      <x:c r="L327" s="281" t="s">
        <x:v>118</x:v>
      </x:c>
      <x:c r="M327" s="281" t="s">
        <x:v>118</x:v>
      </x:c>
      <x:c r="N327" s="281" t="s">
        <x:v>118</x:v>
      </x:c>
      <x:c r="O327" s="281" t="s">
        <x:v>118</x:v>
      </x:c>
      <x:c r="P327" s="281" t="s">
        <x:v>118</x:v>
      </x:c>
      <x:c r="Q327" s="281" t="s">
        <x:v>118</x:v>
      </x:c>
      <x:c r="R327" s="281" t="s">
        <x:v>118</x:v>
      </x:c>
      <x:c r="S327" s="281" t="s">
        <x:v>118</x:v>
      </x:c>
      <x:c r="T327" s="281" t="s">
        <x:v>118</x:v>
      </x:c>
      <x:c r="U327" s="281" t="s">
        <x:v>118</x:v>
      </x:c>
      <x:c r="V327" s="281" t="s">
        <x:v>118</x:v>
      </x:c>
      <x:c r="W327" s="281" t="s">
        <x:v>118</x:v>
      </x:c>
      <x:c r="X327" s="281" t="s">
        <x:v>118</x:v>
      </x:c>
      <x:c r="Y327" s="281" t="s">
        <x:v>118</x:v>
      </x:c>
      <x:c r="Z327" s="281" t="s">
        <x:v>118</x:v>
      </x:c>
      <x:c r="AA327" s="281" t="s">
        <x:v>118</x:v>
      </x:c>
      <x:c r="AB327" s="281" t="s">
        <x:v>118</x:v>
      </x:c>
      <x:c r="AC327" s="281" t="s">
        <x:v>118</x:v>
      </x:c>
      <x:c r="AD327" s="281" t="s">
        <x:v>118</x:v>
      </x:c>
      <x:c r="AE327" s="281" t="s">
        <x:v>118</x:v>
      </x:c>
      <x:c r="AF327" s="281" t="s">
        <x:v>118</x:v>
      </x:c>
      <x:c r="AG327" s="281" t="s">
        <x:v>118</x:v>
      </x:c>
      <x:c r="AH327" s="281" t="s">
        <x:v>118</x:v>
      </x:c>
      <x:c r="AI327" s="281" t="s">
        <x:v>118</x:v>
      </x:c>
      <x:c r="AJ327" s="281" t="s">
        <x:v>118</x:v>
      </x:c>
      <x:c r="AK327" s="220">
        <x:f>COUNTIF(F327:AJ327,"X")</x:f>
      </x:c>
      <x:c r="AL327" s="221"/>
      <x:c r="AM327" s="221"/>
      <x:c r="AN327" s="222"/>
      <x:c r="AO327" s="222"/>
      <x:c r="AP327" s="228"/>
      <x:c r="AQ327" s="228"/>
      <x:c r="AR327" s="228"/>
      <x:c r="AS327" s="228"/>
      <x:c r="AT327" s="230"/>
    </x:row>
    <x:row r="328" spans="1:47" ht="15" customHeight="1">
      <x:c r="A328" s="282" t="s">
        <x:v>2728</x:v>
      </x:c>
      <x:c r="B328" s="216"/>
      <x:c r="C328" s="283" t="s">
        <x:v>2729</x:v>
      </x:c>
      <x:c r="D328" s="282" t="s">
        <x:v>2730</x:v>
      </x:c>
      <x:c r="E328" s="282" t="s">
        <x:v>2731</x:v>
      </x:c>
      <x:c r="F328" s="281" t="s">
        <x:v>118</x:v>
      </x:c>
      <x:c r="G328" s="281" t="s">
        <x:v>118</x:v>
      </x:c>
      <x:c r="H328" s="281" t="s">
        <x:v>118</x:v>
      </x:c>
      <x:c r="I328" s="281" t="s">
        <x:v>118</x:v>
      </x:c>
      <x:c r="J328" s="281" t="s">
        <x:v>118</x:v>
      </x:c>
      <x:c r="K328" s="281" t="s">
        <x:v>118</x:v>
      </x:c>
      <x:c r="L328" s="281" t="s">
        <x:v>118</x:v>
      </x:c>
      <x:c r="M328" s="281" t="s">
        <x:v>118</x:v>
      </x:c>
      <x:c r="N328" s="281" t="s">
        <x:v>118</x:v>
      </x:c>
      <x:c r="O328" s="281" t="s">
        <x:v>118</x:v>
      </x:c>
      <x:c r="P328" s="281" t="s">
        <x:v>118</x:v>
      </x:c>
      <x:c r="Q328" s="281" t="s">
        <x:v>118</x:v>
      </x:c>
      <x:c r="R328" s="281" t="s">
        <x:v>118</x:v>
      </x:c>
      <x:c r="S328" s="281" t="s">
        <x:v>118</x:v>
      </x:c>
      <x:c r="T328" s="281" t="s">
        <x:v>118</x:v>
      </x:c>
      <x:c r="U328" s="281" t="s">
        <x:v>118</x:v>
      </x:c>
      <x:c r="V328" s="281" t="s">
        <x:v>118</x:v>
      </x:c>
      <x:c r="W328" s="281" t="s">
        <x:v>118</x:v>
      </x:c>
      <x:c r="X328" s="281" t="s">
        <x:v>118</x:v>
      </x:c>
      <x:c r="Y328" s="281" t="s">
        <x:v>118</x:v>
      </x:c>
      <x:c r="Z328" s="281" t="s">
        <x:v>118</x:v>
      </x:c>
      <x:c r="AA328" s="281" t="s">
        <x:v>118</x:v>
      </x:c>
      <x:c r="AB328" s="281" t="s">
        <x:v>118</x:v>
      </x:c>
      <x:c r="AC328" s="281" t="s">
        <x:v>118</x:v>
      </x:c>
      <x:c r="AD328" s="281" t="s">
        <x:v>118</x:v>
      </x:c>
      <x:c r="AE328" s="281" t="s">
        <x:v>118</x:v>
      </x:c>
      <x:c r="AF328" s="281" t="s">
        <x:v>118</x:v>
      </x:c>
      <x:c r="AG328" s="281" t="s">
        <x:v>118</x:v>
      </x:c>
      <x:c r="AH328" s="281" t="s">
        <x:v>118</x:v>
      </x:c>
      <x:c r="AI328" s="281" t="s">
        <x:v>118</x:v>
      </x:c>
      <x:c r="AJ328" s="281" t="s">
        <x:v>118</x:v>
      </x:c>
      <x:c r="AK328" s="220">
        <x:f>COUNTIF(F328:AJ328,"X")</x:f>
      </x:c>
      <x:c r="AL328" s="221"/>
      <x:c r="AM328" s="221"/>
      <x:c r="AN328" s="222"/>
      <x:c r="AO328" s="222"/>
      <x:c r="AP328" s="228"/>
      <x:c r="AQ328" s="228"/>
      <x:c r="AR328" s="228"/>
      <x:c r="AS328" s="228"/>
      <x:c r="AT328" s="230"/>
    </x:row>
    <x:row r="329" spans="1:47" ht="15" customHeight="1">
      <x:c r="A329" s="282" t="s">
        <x:v>2732</x:v>
      </x:c>
      <x:c r="B329" s="216"/>
      <x:c r="C329" s="283" t="s">
        <x:v>2733</x:v>
      </x:c>
      <x:c r="D329" s="282" t="s">
        <x:v>2734</x:v>
      </x:c>
      <x:c r="E329" s="282" t="s">
        <x:v>2735</x:v>
      </x:c>
      <x:c r="F329" s="281" t="s">
        <x:v>118</x:v>
      </x:c>
      <x:c r="G329" s="281" t="s">
        <x:v>118</x:v>
      </x:c>
      <x:c r="H329" s="281" t="s">
        <x:v>118</x:v>
      </x:c>
      <x:c r="I329" s="281" t="s">
        <x:v>118</x:v>
      </x:c>
      <x:c r="J329" s="281" t="s">
        <x:v>118</x:v>
      </x:c>
      <x:c r="K329" s="281" t="s">
        <x:v>118</x:v>
      </x:c>
      <x:c r="L329" s="281" t="s">
        <x:v>118</x:v>
      </x:c>
      <x:c r="M329" s="281" t="s">
        <x:v>118</x:v>
      </x:c>
      <x:c r="N329" s="281" t="s">
        <x:v>118</x:v>
      </x:c>
      <x:c r="O329" s="281" t="s">
        <x:v>118</x:v>
      </x:c>
      <x:c r="P329" s="281" t="s">
        <x:v>118</x:v>
      </x:c>
      <x:c r="Q329" s="281" t="s">
        <x:v>118</x:v>
      </x:c>
      <x:c r="R329" s="281" t="s">
        <x:v>118</x:v>
      </x:c>
      <x:c r="S329" s="281" t="s">
        <x:v>118</x:v>
      </x:c>
      <x:c r="T329" s="281" t="s">
        <x:v>118</x:v>
      </x:c>
      <x:c r="U329" s="281" t="s">
        <x:v>118</x:v>
      </x:c>
      <x:c r="V329" s="281" t="s">
        <x:v>118</x:v>
      </x:c>
      <x:c r="W329" s="281" t="s">
        <x:v>118</x:v>
      </x:c>
      <x:c r="X329" s="281" t="s">
        <x:v>118</x:v>
      </x:c>
      <x:c r="Y329" s="281" t="s">
        <x:v>118</x:v>
      </x:c>
      <x:c r="Z329" s="281" t="s">
        <x:v>118</x:v>
      </x:c>
      <x:c r="AA329" s="281" t="s">
        <x:v>118</x:v>
      </x:c>
      <x:c r="AB329" s="281" t="s">
        <x:v>118</x:v>
      </x:c>
      <x:c r="AC329" s="281" t="s">
        <x:v>118</x:v>
      </x:c>
      <x:c r="AD329" s="281" t="s">
        <x:v>118</x:v>
      </x:c>
      <x:c r="AE329" s="281" t="s">
        <x:v>118</x:v>
      </x:c>
      <x:c r="AF329" s="281" t="s">
        <x:v>118</x:v>
      </x:c>
      <x:c r="AG329" s="281" t="s">
        <x:v>118</x:v>
      </x:c>
      <x:c r="AH329" s="281" t="s">
        <x:v>118</x:v>
      </x:c>
      <x:c r="AI329" s="281" t="s">
        <x:v>118</x:v>
      </x:c>
      <x:c r="AJ329" s="281" t="s">
        <x:v>118</x:v>
      </x:c>
      <x:c r="AK329" s="220">
        <x:f>COUNTIF(F329:AJ329,"X")</x:f>
      </x:c>
      <x:c r="AL329" s="221"/>
      <x:c r="AM329" s="221"/>
      <x:c r="AN329" s="222"/>
      <x:c r="AO329" s="222"/>
      <x:c r="AP329" s="228"/>
      <x:c r="AQ329" s="228"/>
      <x:c r="AR329" s="228"/>
      <x:c r="AS329" s="228"/>
      <x:c r="AT329" s="230"/>
    </x:row>
    <x:row r="330" spans="1:47" ht="15" customHeight="1">
      <x:c r="A330" s="282" t="s">
        <x:v>2736</x:v>
      </x:c>
      <x:c r="B330" s="216"/>
      <x:c r="C330" s="283" t="s">
        <x:v>2737</x:v>
      </x:c>
      <x:c r="D330" s="282" t="s">
        <x:v>2738</x:v>
      </x:c>
      <x:c r="E330" s="282" t="s">
        <x:v>2739</x:v>
      </x:c>
      <x:c r="F330" s="281" t="s">
        <x:v>118</x:v>
      </x:c>
      <x:c r="G330" s="281" t="s">
        <x:v>118</x:v>
      </x:c>
      <x:c r="H330" s="281" t="s">
        <x:v>118</x:v>
      </x:c>
      <x:c r="I330" s="281" t="s">
        <x:v>118</x:v>
      </x:c>
      <x:c r="J330" s="281" t="s">
        <x:v>118</x:v>
      </x:c>
      <x:c r="K330" s="281" t="s">
        <x:v>118</x:v>
      </x:c>
      <x:c r="L330" s="281" t="s">
        <x:v>118</x:v>
      </x:c>
      <x:c r="M330" s="281" t="s">
        <x:v>118</x:v>
      </x:c>
      <x:c r="N330" s="281" t="s">
        <x:v>118</x:v>
      </x:c>
      <x:c r="O330" s="281" t="s">
        <x:v>118</x:v>
      </x:c>
      <x:c r="P330" s="281" t="s">
        <x:v>118</x:v>
      </x:c>
      <x:c r="Q330" s="281" t="s">
        <x:v>118</x:v>
      </x:c>
      <x:c r="R330" s="281" t="s">
        <x:v>118</x:v>
      </x:c>
      <x:c r="S330" s="281" t="s">
        <x:v>118</x:v>
      </x:c>
      <x:c r="T330" s="281" t="s">
        <x:v>118</x:v>
      </x:c>
      <x:c r="U330" s="281" t="s">
        <x:v>118</x:v>
      </x:c>
      <x:c r="V330" s="281" t="s">
        <x:v>118</x:v>
      </x:c>
      <x:c r="W330" s="281" t="s">
        <x:v>118</x:v>
      </x:c>
      <x:c r="X330" s="281" t="s">
        <x:v>118</x:v>
      </x:c>
      <x:c r="Y330" s="281" t="s">
        <x:v>118</x:v>
      </x:c>
      <x:c r="Z330" s="281" t="s">
        <x:v>118</x:v>
      </x:c>
      <x:c r="AA330" s="281" t="s">
        <x:v>118</x:v>
      </x:c>
      <x:c r="AB330" s="281" t="s">
        <x:v>118</x:v>
      </x:c>
      <x:c r="AC330" s="281" t="s">
        <x:v>118</x:v>
      </x:c>
      <x:c r="AD330" s="281" t="s">
        <x:v>118</x:v>
      </x:c>
      <x:c r="AE330" s="281" t="s">
        <x:v>118</x:v>
      </x:c>
      <x:c r="AF330" s="281" t="s">
        <x:v>118</x:v>
      </x:c>
      <x:c r="AG330" s="281" t="s">
        <x:v>118</x:v>
      </x:c>
      <x:c r="AH330" s="281" t="s">
        <x:v>118</x:v>
      </x:c>
      <x:c r="AI330" s="281" t="s">
        <x:v>118</x:v>
      </x:c>
      <x:c r="AJ330" s="281" t="s">
        <x:v>118</x:v>
      </x:c>
      <x:c r="AK330" s="220">
        <x:f>COUNTIF(F330:AJ330,"X")</x:f>
      </x:c>
      <x:c r="AL330" s="221"/>
      <x:c r="AM330" s="221"/>
      <x:c r="AN330" s="222"/>
      <x:c r="AO330" s="222"/>
      <x:c r="AP330" s="228"/>
      <x:c r="AQ330" s="228"/>
      <x:c r="AR330" s="228"/>
      <x:c r="AS330" s="228"/>
      <x:c r="AT330" s="230"/>
    </x:row>
    <x:row r="331" spans="1:47" ht="15" customHeight="1">
      <x:c r="A331" s="282" t="s">
        <x:v>2740</x:v>
      </x:c>
      <x:c r="B331" s="216"/>
      <x:c r="C331" s="283" t="s">
        <x:v>2741</x:v>
      </x:c>
      <x:c r="D331" s="282" t="s">
        <x:v>2742</x:v>
      </x:c>
      <x:c r="E331" s="282" t="s">
        <x:v>2743</x:v>
      </x:c>
      <x:c r="F331" s="281" t="s">
        <x:v>118</x:v>
      </x:c>
      <x:c r="G331" s="281" t="s">
        <x:v>118</x:v>
      </x:c>
      <x:c r="H331" s="281" t="s">
        <x:v>118</x:v>
      </x:c>
      <x:c r="I331" s="281" t="s">
        <x:v>118</x:v>
      </x:c>
      <x:c r="J331" s="281" t="s">
        <x:v>118</x:v>
      </x:c>
      <x:c r="K331" s="281" t="s">
        <x:v>118</x:v>
      </x:c>
      <x:c r="L331" s="281" t="s">
        <x:v>118</x:v>
      </x:c>
      <x:c r="M331" s="281" t="s">
        <x:v>118</x:v>
      </x:c>
      <x:c r="N331" s="281" t="s">
        <x:v>118</x:v>
      </x:c>
      <x:c r="O331" s="281" t="s">
        <x:v>118</x:v>
      </x:c>
      <x:c r="P331" s="281" t="s">
        <x:v>118</x:v>
      </x:c>
      <x:c r="Q331" s="281" t="s">
        <x:v>118</x:v>
      </x:c>
      <x:c r="R331" s="281" t="s">
        <x:v>118</x:v>
      </x:c>
      <x:c r="S331" s="281" t="s">
        <x:v>118</x:v>
      </x:c>
      <x:c r="T331" s="281" t="s">
        <x:v>118</x:v>
      </x:c>
      <x:c r="U331" s="281" t="s">
        <x:v>118</x:v>
      </x:c>
      <x:c r="V331" s="281" t="s">
        <x:v>118</x:v>
      </x:c>
      <x:c r="W331" s="281" t="s">
        <x:v>118</x:v>
      </x:c>
      <x:c r="X331" s="281" t="s">
        <x:v>118</x:v>
      </x:c>
      <x:c r="Y331" s="281" t="s">
        <x:v>118</x:v>
      </x:c>
      <x:c r="Z331" s="281" t="s">
        <x:v>118</x:v>
      </x:c>
      <x:c r="AA331" s="281" t="s">
        <x:v>118</x:v>
      </x:c>
      <x:c r="AB331" s="281" t="s">
        <x:v>118</x:v>
      </x:c>
      <x:c r="AC331" s="281" t="s">
        <x:v>118</x:v>
      </x:c>
      <x:c r="AD331" s="281" t="s">
        <x:v>118</x:v>
      </x:c>
      <x:c r="AE331" s="281" t="s">
        <x:v>118</x:v>
      </x:c>
      <x:c r="AF331" s="281" t="s">
        <x:v>118</x:v>
      </x:c>
      <x:c r="AG331" s="281" t="s">
        <x:v>118</x:v>
      </x:c>
      <x:c r="AH331" s="281" t="s">
        <x:v>118</x:v>
      </x:c>
      <x:c r="AI331" s="281" t="s">
        <x:v>118</x:v>
      </x:c>
      <x:c r="AJ331" s="281" t="s">
        <x:v>118</x:v>
      </x:c>
      <x:c r="AK331" s="220">
        <x:f>COUNTIF(F331:AJ331,"X")</x:f>
      </x:c>
      <x:c r="AL331" s="221"/>
      <x:c r="AM331" s="221"/>
      <x:c r="AN331" s="222"/>
      <x:c r="AO331" s="222"/>
      <x:c r="AP331" s="228"/>
      <x:c r="AQ331" s="228"/>
      <x:c r="AR331" s="228"/>
      <x:c r="AS331" s="228"/>
      <x:c r="AT331" s="230"/>
    </x:row>
    <x:row r="332" spans="1:47" ht="15" customHeight="1">
      <x:c r="A332" s="282" t="s">
        <x:v>2744</x:v>
      </x:c>
      <x:c r="B332" s="216"/>
      <x:c r="C332" s="283" t="s">
        <x:v>2745</x:v>
      </x:c>
      <x:c r="D332" s="282" t="s">
        <x:v>2746</x:v>
      </x:c>
      <x:c r="E332" s="282" t="s">
        <x:v>1877</x:v>
      </x:c>
      <x:c r="F332" s="281" t="s">
        <x:v>118</x:v>
      </x:c>
      <x:c r="G332" s="281" t="s">
        <x:v>118</x:v>
      </x:c>
      <x:c r="H332" s="281" t="s">
        <x:v>118</x:v>
      </x:c>
      <x:c r="I332" s="281" t="s">
        <x:v>118</x:v>
      </x:c>
      <x:c r="J332" s="281" t="s">
        <x:v>118</x:v>
      </x:c>
      <x:c r="K332" s="281" t="s">
        <x:v>118</x:v>
      </x:c>
      <x:c r="L332" s="281" t="s">
        <x:v>118</x:v>
      </x:c>
      <x:c r="M332" s="281" t="s">
        <x:v>118</x:v>
      </x:c>
      <x:c r="N332" s="281" t="s">
        <x:v>118</x:v>
      </x:c>
      <x:c r="O332" s="281" t="s">
        <x:v>118</x:v>
      </x:c>
      <x:c r="P332" s="281" t="s">
        <x:v>118</x:v>
      </x:c>
      <x:c r="Q332" s="281" t="s">
        <x:v>118</x:v>
      </x:c>
      <x:c r="R332" s="281" t="s">
        <x:v>118</x:v>
      </x:c>
      <x:c r="S332" s="281" t="s">
        <x:v>118</x:v>
      </x:c>
      <x:c r="T332" s="281" t="s">
        <x:v>118</x:v>
      </x:c>
      <x:c r="U332" s="281" t="s">
        <x:v>118</x:v>
      </x:c>
      <x:c r="V332" s="281" t="s">
        <x:v>118</x:v>
      </x:c>
      <x:c r="W332" s="281" t="s">
        <x:v>118</x:v>
      </x:c>
      <x:c r="X332" s="281" t="s">
        <x:v>118</x:v>
      </x:c>
      <x:c r="Y332" s="281" t="s">
        <x:v>118</x:v>
      </x:c>
      <x:c r="Z332" s="281" t="s">
        <x:v>118</x:v>
      </x:c>
      <x:c r="AA332" s="281" t="s">
        <x:v>118</x:v>
      </x:c>
      <x:c r="AB332" s="281" t="s">
        <x:v>118</x:v>
      </x:c>
      <x:c r="AC332" s="281" t="s">
        <x:v>118</x:v>
      </x:c>
      <x:c r="AD332" s="281" t="s">
        <x:v>118</x:v>
      </x:c>
      <x:c r="AE332" s="281" t="s">
        <x:v>118</x:v>
      </x:c>
      <x:c r="AF332" s="281" t="s">
        <x:v>118</x:v>
      </x:c>
      <x:c r="AG332" s="281" t="s">
        <x:v>118</x:v>
      </x:c>
      <x:c r="AH332" s="281" t="s">
        <x:v>118</x:v>
      </x:c>
      <x:c r="AI332" s="281" t="s">
        <x:v>118</x:v>
      </x:c>
      <x:c r="AJ332" s="281" t="s">
        <x:v>118</x:v>
      </x:c>
      <x:c r="AK332" s="220">
        <x:f>COUNTIF(F332:AJ332,"X")</x:f>
      </x:c>
      <x:c r="AL332" s="221"/>
      <x:c r="AM332" s="221"/>
      <x:c r="AN332" s="222"/>
      <x:c r="AO332" s="222"/>
      <x:c r="AP332" s="228"/>
      <x:c r="AQ332" s="228"/>
      <x:c r="AR332" s="228"/>
      <x:c r="AS332" s="228"/>
      <x:c r="AT332" s="230"/>
    </x:row>
    <x:row r="333" spans="1:47" ht="15" customHeight="1">
      <x:c r="A333" s="282" t="s">
        <x:v>2747</x:v>
      </x:c>
      <x:c r="B333" s="216"/>
      <x:c r="C333" s="283" t="s">
        <x:v>2748</x:v>
      </x:c>
      <x:c r="D333" s="282" t="s">
        <x:v>2749</x:v>
      </x:c>
      <x:c r="E333" s="282" t="s">
        <x:v>185</x:v>
      </x:c>
      <x:c r="F333" s="281" t="s">
        <x:v>118</x:v>
      </x:c>
      <x:c r="G333" s="281" t="s">
        <x:v>118</x:v>
      </x:c>
      <x:c r="H333" s="281" t="s">
        <x:v>118</x:v>
      </x:c>
      <x:c r="I333" s="281" t="s">
        <x:v>118</x:v>
      </x:c>
      <x:c r="J333" s="281" t="s">
        <x:v>118</x:v>
      </x:c>
      <x:c r="K333" s="281" t="s">
        <x:v>118</x:v>
      </x:c>
      <x:c r="L333" s="281" t="s">
        <x:v>118</x:v>
      </x:c>
      <x:c r="M333" s="281" t="s">
        <x:v>118</x:v>
      </x:c>
      <x:c r="N333" s="281" t="s">
        <x:v>118</x:v>
      </x:c>
      <x:c r="O333" s="281" t="s">
        <x:v>118</x:v>
      </x:c>
      <x:c r="P333" s="281" t="s">
        <x:v>118</x:v>
      </x:c>
      <x:c r="Q333" s="281" t="s">
        <x:v>118</x:v>
      </x:c>
      <x:c r="R333" s="281" t="s">
        <x:v>118</x:v>
      </x:c>
      <x:c r="S333" s="281" t="s">
        <x:v>118</x:v>
      </x:c>
      <x:c r="T333" s="281" t="s">
        <x:v>118</x:v>
      </x:c>
      <x:c r="U333" s="281" t="s">
        <x:v>118</x:v>
      </x:c>
      <x:c r="V333" s="281" t="s">
        <x:v>118</x:v>
      </x:c>
      <x:c r="W333" s="281" t="s">
        <x:v>118</x:v>
      </x:c>
      <x:c r="X333" s="281" t="s">
        <x:v>118</x:v>
      </x:c>
      <x:c r="Y333" s="281" t="s">
        <x:v>118</x:v>
      </x:c>
      <x:c r="Z333" s="281" t="s">
        <x:v>118</x:v>
      </x:c>
      <x:c r="AA333" s="281" t="s">
        <x:v>118</x:v>
      </x:c>
      <x:c r="AB333" s="281" t="s">
        <x:v>118</x:v>
      </x:c>
      <x:c r="AC333" s="281" t="s">
        <x:v>118</x:v>
      </x:c>
      <x:c r="AD333" s="281" t="s">
        <x:v>118</x:v>
      </x:c>
      <x:c r="AE333" s="281" t="s">
        <x:v>118</x:v>
      </x:c>
      <x:c r="AF333" s="281" t="s">
        <x:v>118</x:v>
      </x:c>
      <x:c r="AG333" s="281" t="s">
        <x:v>118</x:v>
      </x:c>
      <x:c r="AH333" s="281" t="s">
        <x:v>118</x:v>
      </x:c>
      <x:c r="AI333" s="281" t="s">
        <x:v>118</x:v>
      </x:c>
      <x:c r="AJ333" s="281" t="s">
        <x:v>118</x:v>
      </x:c>
      <x:c r="AK333" s="220">
        <x:f>COUNTIF(F333:AJ333,"X")</x:f>
      </x:c>
      <x:c r="AL333" s="221"/>
      <x:c r="AM333" s="221"/>
      <x:c r="AN333" s="222"/>
      <x:c r="AO333" s="222"/>
      <x:c r="AP333" s="228"/>
      <x:c r="AQ333" s="228"/>
      <x:c r="AR333" s="228"/>
      <x:c r="AS333" s="228"/>
      <x:c r="AT333" s="230"/>
    </x:row>
    <x:row r="334" spans="1:47" ht="15" customHeight="1">
      <x:c r="A334" s="282" t="s">
        <x:v>2750</x:v>
      </x:c>
      <x:c r="B334" s="216"/>
      <x:c r="C334" s="283" t="s">
        <x:v>2751</x:v>
      </x:c>
      <x:c r="D334" s="282" t="s">
        <x:v>1646</x:v>
      </x:c>
      <x:c r="E334" s="282" t="s">
        <x:v>1617</x:v>
      </x:c>
      <x:c r="F334" s="281" t="s">
        <x:v>118</x:v>
      </x:c>
      <x:c r="G334" s="281" t="s">
        <x:v>118</x:v>
      </x:c>
      <x:c r="H334" s="281" t="s">
        <x:v>118</x:v>
      </x:c>
      <x:c r="I334" s="281" t="s">
        <x:v>118</x:v>
      </x:c>
      <x:c r="J334" s="281" t="s">
        <x:v>118</x:v>
      </x:c>
      <x:c r="K334" s="281" t="s">
        <x:v>118</x:v>
      </x:c>
      <x:c r="L334" s="281" t="s">
        <x:v>118</x:v>
      </x:c>
      <x:c r="M334" s="281" t="s">
        <x:v>118</x:v>
      </x:c>
      <x:c r="N334" s="281" t="s">
        <x:v>118</x:v>
      </x:c>
      <x:c r="O334" s="281" t="s">
        <x:v>118</x:v>
      </x:c>
      <x:c r="P334" s="281" t="s">
        <x:v>118</x:v>
      </x:c>
      <x:c r="Q334" s="281" t="s">
        <x:v>118</x:v>
      </x:c>
      <x:c r="R334" s="281" t="s">
        <x:v>118</x:v>
      </x:c>
      <x:c r="S334" s="281" t="s">
        <x:v>118</x:v>
      </x:c>
      <x:c r="T334" s="281" t="s">
        <x:v>118</x:v>
      </x:c>
      <x:c r="U334" s="281" t="s">
        <x:v>118</x:v>
      </x:c>
      <x:c r="V334" s="281" t="s">
        <x:v>118</x:v>
      </x:c>
      <x:c r="W334" s="281" t="s">
        <x:v>118</x:v>
      </x:c>
      <x:c r="X334" s="281" t="s">
        <x:v>118</x:v>
      </x:c>
      <x:c r="Y334" s="281" t="s">
        <x:v>118</x:v>
      </x:c>
      <x:c r="Z334" s="281" t="s">
        <x:v>118</x:v>
      </x:c>
      <x:c r="AA334" s="281" t="s">
        <x:v>118</x:v>
      </x:c>
      <x:c r="AB334" s="281" t="s">
        <x:v>118</x:v>
      </x:c>
      <x:c r="AC334" s="281" t="s">
        <x:v>118</x:v>
      </x:c>
      <x:c r="AD334" s="281" t="s">
        <x:v>118</x:v>
      </x:c>
      <x:c r="AE334" s="281" t="s">
        <x:v>118</x:v>
      </x:c>
      <x:c r="AF334" s="281" t="s">
        <x:v>118</x:v>
      </x:c>
      <x:c r="AG334" s="281" t="s">
        <x:v>118</x:v>
      </x:c>
      <x:c r="AH334" s="281" t="s">
        <x:v>118</x:v>
      </x:c>
      <x:c r="AI334" s="281" t="s">
        <x:v>118</x:v>
      </x:c>
      <x:c r="AJ334" s="281" t="s">
        <x:v>118</x:v>
      </x:c>
      <x:c r="AK334" s="220">
        <x:f>COUNTIF(F334:AJ334,"X")</x:f>
      </x:c>
      <x:c r="AL334" s="221"/>
      <x:c r="AM334" s="221"/>
      <x:c r="AN334" s="222"/>
      <x:c r="AO334" s="222"/>
      <x:c r="AP334" s="228"/>
      <x:c r="AQ334" s="228"/>
      <x:c r="AR334" s="228"/>
      <x:c r="AS334" s="228"/>
      <x:c r="AT334" s="230"/>
    </x:row>
    <x:row r="335" spans="1:47" ht="15" customHeight="1">
      <x:c r="A335" s="282" t="s">
        <x:v>2752</x:v>
      </x:c>
      <x:c r="B335" s="216"/>
      <x:c r="C335" s="283" t="s">
        <x:v>2753</x:v>
      </x:c>
      <x:c r="D335" s="282" t="s">
        <x:v>2754</x:v>
      </x:c>
      <x:c r="E335" s="282" t="s">
        <x:v>2755</x:v>
      </x:c>
      <x:c r="F335" s="281" t="s">
        <x:v>118</x:v>
      </x:c>
      <x:c r="G335" s="281" t="s">
        <x:v>118</x:v>
      </x:c>
      <x:c r="H335" s="281" t="s">
        <x:v>118</x:v>
      </x:c>
      <x:c r="I335" s="281" t="s">
        <x:v>118</x:v>
      </x:c>
      <x:c r="J335" s="281" t="s">
        <x:v>118</x:v>
      </x:c>
      <x:c r="K335" s="281" t="s">
        <x:v>118</x:v>
      </x:c>
      <x:c r="L335" s="281" t="s">
        <x:v>118</x:v>
      </x:c>
      <x:c r="M335" s="281" t="s">
        <x:v>118</x:v>
      </x:c>
      <x:c r="N335" s="281" t="s">
        <x:v>118</x:v>
      </x:c>
      <x:c r="O335" s="281" t="s">
        <x:v>118</x:v>
      </x:c>
      <x:c r="P335" s="281" t="s">
        <x:v>118</x:v>
      </x:c>
      <x:c r="Q335" s="281" t="s">
        <x:v>118</x:v>
      </x:c>
      <x:c r="R335" s="281" t="s">
        <x:v>118</x:v>
      </x:c>
      <x:c r="S335" s="281" t="s">
        <x:v>118</x:v>
      </x:c>
      <x:c r="T335" s="281" t="s">
        <x:v>118</x:v>
      </x:c>
      <x:c r="U335" s="281" t="s">
        <x:v>118</x:v>
      </x:c>
      <x:c r="V335" s="281" t="s">
        <x:v>118</x:v>
      </x:c>
      <x:c r="W335" s="281" t="s">
        <x:v>118</x:v>
      </x:c>
      <x:c r="X335" s="281" t="s">
        <x:v>118</x:v>
      </x:c>
      <x:c r="Y335" s="281" t="s">
        <x:v>118</x:v>
      </x:c>
      <x:c r="Z335" s="281" t="s">
        <x:v>118</x:v>
      </x:c>
      <x:c r="AA335" s="281" t="s">
        <x:v>118</x:v>
      </x:c>
      <x:c r="AB335" s="281" t="s">
        <x:v>118</x:v>
      </x:c>
      <x:c r="AC335" s="281" t="s">
        <x:v>118</x:v>
      </x:c>
      <x:c r="AD335" s="281" t="s">
        <x:v>118</x:v>
      </x:c>
      <x:c r="AE335" s="281" t="s">
        <x:v>118</x:v>
      </x:c>
      <x:c r="AF335" s="281" t="s">
        <x:v>118</x:v>
      </x:c>
      <x:c r="AG335" s="281" t="s">
        <x:v>118</x:v>
      </x:c>
      <x:c r="AH335" s="281" t="s">
        <x:v>118</x:v>
      </x:c>
      <x:c r="AI335" s="281" t="s">
        <x:v>118</x:v>
      </x:c>
      <x:c r="AJ335" s="281" t="s">
        <x:v>118</x:v>
      </x:c>
      <x:c r="AK335" s="220">
        <x:f>COUNTIF(F335:AJ335,"X")</x:f>
      </x:c>
      <x:c r="AL335" s="221"/>
      <x:c r="AM335" s="221"/>
      <x:c r="AN335" s="222"/>
      <x:c r="AO335" s="222"/>
      <x:c r="AP335" s="228"/>
      <x:c r="AQ335" s="228"/>
      <x:c r="AR335" s="228"/>
      <x:c r="AS335" s="228"/>
      <x:c r="AT335" s="230"/>
    </x:row>
    <x:row r="336" spans="1:47" ht="15" customHeight="1">
      <x:c r="A336" s="282" t="s">
        <x:v>2756</x:v>
      </x:c>
      <x:c r="B336" s="216"/>
      <x:c r="C336" s="283" t="s">
        <x:v>2757</x:v>
      </x:c>
      <x:c r="D336" s="282" t="s">
        <x:v>2758</x:v>
      </x:c>
      <x:c r="E336" s="282" t="s">
        <x:v>2759</x:v>
      </x:c>
      <x:c r="F336" s="281" t="s">
        <x:v>118</x:v>
      </x:c>
      <x:c r="G336" s="281" t="s">
        <x:v>118</x:v>
      </x:c>
      <x:c r="H336" s="281" t="s">
        <x:v>118</x:v>
      </x:c>
      <x:c r="I336" s="281" t="s">
        <x:v>118</x:v>
      </x:c>
      <x:c r="J336" s="281" t="s">
        <x:v>118</x:v>
      </x:c>
      <x:c r="K336" s="281" t="s">
        <x:v>118</x:v>
      </x:c>
      <x:c r="L336" s="281" t="s">
        <x:v>118</x:v>
      </x:c>
      <x:c r="M336" s="281" t="s">
        <x:v>118</x:v>
      </x:c>
      <x:c r="N336" s="281" t="s">
        <x:v>118</x:v>
      </x:c>
      <x:c r="O336" s="281" t="s">
        <x:v>118</x:v>
      </x:c>
      <x:c r="P336" s="281" t="s">
        <x:v>118</x:v>
      </x:c>
      <x:c r="Q336" s="281" t="s">
        <x:v>118</x:v>
      </x:c>
      <x:c r="R336" s="281" t="s">
        <x:v>118</x:v>
      </x:c>
      <x:c r="S336" s="281" t="s">
        <x:v>118</x:v>
      </x:c>
      <x:c r="T336" s="281" t="s">
        <x:v>118</x:v>
      </x:c>
      <x:c r="U336" s="281" t="s">
        <x:v>118</x:v>
      </x:c>
      <x:c r="V336" s="281" t="s">
        <x:v>118</x:v>
      </x:c>
      <x:c r="W336" s="281" t="s">
        <x:v>118</x:v>
      </x:c>
      <x:c r="X336" s="281" t="s">
        <x:v>118</x:v>
      </x:c>
      <x:c r="Y336" s="281" t="s">
        <x:v>118</x:v>
      </x:c>
      <x:c r="Z336" s="281" t="s">
        <x:v>118</x:v>
      </x:c>
      <x:c r="AA336" s="281" t="s">
        <x:v>118</x:v>
      </x:c>
      <x:c r="AB336" s="281" t="s">
        <x:v>118</x:v>
      </x:c>
      <x:c r="AC336" s="281" t="s">
        <x:v>118</x:v>
      </x:c>
      <x:c r="AD336" s="281" t="s">
        <x:v>118</x:v>
      </x:c>
      <x:c r="AE336" s="281" t="s">
        <x:v>118</x:v>
      </x:c>
      <x:c r="AF336" s="281" t="s">
        <x:v>118</x:v>
      </x:c>
      <x:c r="AG336" s="281" t="s">
        <x:v>118</x:v>
      </x:c>
      <x:c r="AH336" s="281" t="s">
        <x:v>118</x:v>
      </x:c>
      <x:c r="AI336" s="281" t="s">
        <x:v>118</x:v>
      </x:c>
      <x:c r="AJ336" s="281" t="s">
        <x:v>118</x:v>
      </x:c>
      <x:c r="AK336" s="220">
        <x:f>COUNTIF(F336:AJ336,"X")</x:f>
      </x:c>
      <x:c r="AL336" s="221"/>
      <x:c r="AM336" s="221"/>
      <x:c r="AN336" s="222"/>
      <x:c r="AO336" s="222"/>
      <x:c r="AP336" s="228"/>
      <x:c r="AQ336" s="228"/>
      <x:c r="AR336" s="228"/>
      <x:c r="AS336" s="228"/>
      <x:c r="AT336" s="230"/>
    </x:row>
    <x:row r="337" spans="1:47" ht="15" customHeight="1">
      <x:c r="A337" s="282" t="s">
        <x:v>2760</x:v>
      </x:c>
      <x:c r="B337" s="216"/>
      <x:c r="C337" s="283" t="s">
        <x:v>2761</x:v>
      </x:c>
      <x:c r="D337" s="282" t="s">
        <x:v>773</x:v>
      </x:c>
      <x:c r="E337" s="282" t="s">
        <x:v>374</x:v>
      </x:c>
      <x:c r="F337" s="281" t="s">
        <x:v>118</x:v>
      </x:c>
      <x:c r="G337" s="281" t="s">
        <x:v>118</x:v>
      </x:c>
      <x:c r="H337" s="281" t="s">
        <x:v>118</x:v>
      </x:c>
      <x:c r="I337" s="281" t="s">
        <x:v>118</x:v>
      </x:c>
      <x:c r="J337" s="281" t="s">
        <x:v>118</x:v>
      </x:c>
      <x:c r="K337" s="281" t="s">
        <x:v>118</x:v>
      </x:c>
      <x:c r="L337" s="281" t="s">
        <x:v>118</x:v>
      </x:c>
      <x:c r="M337" s="281" t="s">
        <x:v>118</x:v>
      </x:c>
      <x:c r="N337" s="281" t="s">
        <x:v>118</x:v>
      </x:c>
      <x:c r="O337" s="281" t="s">
        <x:v>118</x:v>
      </x:c>
      <x:c r="P337" s="281" t="s">
        <x:v>118</x:v>
      </x:c>
      <x:c r="Q337" s="281" t="s">
        <x:v>118</x:v>
      </x:c>
      <x:c r="R337" s="281" t="s">
        <x:v>118</x:v>
      </x:c>
      <x:c r="S337" s="281" t="s">
        <x:v>118</x:v>
      </x:c>
      <x:c r="T337" s="281" t="s">
        <x:v>118</x:v>
      </x:c>
      <x:c r="U337" s="281" t="s">
        <x:v>118</x:v>
      </x:c>
      <x:c r="V337" s="281" t="s">
        <x:v>118</x:v>
      </x:c>
      <x:c r="W337" s="281" t="s">
        <x:v>118</x:v>
      </x:c>
      <x:c r="X337" s="281" t="s">
        <x:v>118</x:v>
      </x:c>
      <x:c r="Y337" s="281" t="s">
        <x:v>118</x:v>
      </x:c>
      <x:c r="Z337" s="281" t="s">
        <x:v>118</x:v>
      </x:c>
      <x:c r="AA337" s="281" t="s">
        <x:v>118</x:v>
      </x:c>
      <x:c r="AB337" s="281" t="s">
        <x:v>118</x:v>
      </x:c>
      <x:c r="AC337" s="281" t="s">
        <x:v>118</x:v>
      </x:c>
      <x:c r="AD337" s="281" t="s">
        <x:v>118</x:v>
      </x:c>
      <x:c r="AE337" s="281" t="s">
        <x:v>118</x:v>
      </x:c>
      <x:c r="AF337" s="281" t="s">
        <x:v>118</x:v>
      </x:c>
      <x:c r="AG337" s="281" t="s">
        <x:v>118</x:v>
      </x:c>
      <x:c r="AH337" s="281" t="s">
        <x:v>118</x:v>
      </x:c>
      <x:c r="AI337" s="281" t="s">
        <x:v>118</x:v>
      </x:c>
      <x:c r="AJ337" s="281" t="s">
        <x:v>118</x:v>
      </x:c>
      <x:c r="AK337" s="220">
        <x:f>COUNTIF(F337:AJ337,"X")</x:f>
      </x:c>
      <x:c r="AL337" s="221"/>
      <x:c r="AM337" s="221"/>
      <x:c r="AN337" s="222"/>
      <x:c r="AO337" s="222"/>
      <x:c r="AP337" s="228"/>
      <x:c r="AQ337" s="228"/>
      <x:c r="AR337" s="228"/>
      <x:c r="AS337" s="228"/>
      <x:c r="AT337" s="230"/>
    </x:row>
    <x:row r="338" spans="1:47" ht="15" customHeight="1">
      <x:c r="A338" s="282" t="s">
        <x:v>2762</x:v>
      </x:c>
      <x:c r="B338" s="216"/>
      <x:c r="C338" s="283" t="s">
        <x:v>2763</x:v>
      </x:c>
      <x:c r="D338" s="282" t="s">
        <x:v>773</x:v>
      </x:c>
      <x:c r="E338" s="282" t="s">
        <x:v>2764</x:v>
      </x:c>
      <x:c r="F338" s="281" t="s">
        <x:v>118</x:v>
      </x:c>
      <x:c r="G338" s="281" t="s">
        <x:v>118</x:v>
      </x:c>
      <x:c r="H338" s="281" t="s">
        <x:v>118</x:v>
      </x:c>
      <x:c r="I338" s="281" t="s">
        <x:v>118</x:v>
      </x:c>
      <x:c r="J338" s="281" t="s">
        <x:v>118</x:v>
      </x:c>
      <x:c r="K338" s="281" t="s">
        <x:v>118</x:v>
      </x:c>
      <x:c r="L338" s="281" t="s">
        <x:v>118</x:v>
      </x:c>
      <x:c r="M338" s="281" t="s">
        <x:v>118</x:v>
      </x:c>
      <x:c r="N338" s="281" t="s">
        <x:v>118</x:v>
      </x:c>
      <x:c r="O338" s="281" t="s">
        <x:v>118</x:v>
      </x:c>
      <x:c r="P338" s="281" t="s">
        <x:v>118</x:v>
      </x:c>
      <x:c r="Q338" s="281" t="s">
        <x:v>118</x:v>
      </x:c>
      <x:c r="R338" s="281" t="s">
        <x:v>118</x:v>
      </x:c>
      <x:c r="S338" s="281" t="s">
        <x:v>118</x:v>
      </x:c>
      <x:c r="T338" s="281" t="s">
        <x:v>118</x:v>
      </x:c>
      <x:c r="U338" s="281" t="s">
        <x:v>118</x:v>
      </x:c>
      <x:c r="V338" s="281" t="s">
        <x:v>118</x:v>
      </x:c>
      <x:c r="W338" s="281" t="s">
        <x:v>118</x:v>
      </x:c>
      <x:c r="X338" s="281" t="s">
        <x:v>118</x:v>
      </x:c>
      <x:c r="Y338" s="281" t="s">
        <x:v>118</x:v>
      </x:c>
      <x:c r="Z338" s="281" t="s">
        <x:v>118</x:v>
      </x:c>
      <x:c r="AA338" s="281" t="s">
        <x:v>118</x:v>
      </x:c>
      <x:c r="AB338" s="281" t="s">
        <x:v>118</x:v>
      </x:c>
      <x:c r="AC338" s="281" t="s">
        <x:v>118</x:v>
      </x:c>
      <x:c r="AD338" s="281" t="s">
        <x:v>118</x:v>
      </x:c>
      <x:c r="AE338" s="281" t="s">
        <x:v>118</x:v>
      </x:c>
      <x:c r="AF338" s="281" t="s">
        <x:v>118</x:v>
      </x:c>
      <x:c r="AG338" s="281" t="s">
        <x:v>118</x:v>
      </x:c>
      <x:c r="AH338" s="281" t="s">
        <x:v>118</x:v>
      </x:c>
      <x:c r="AI338" s="281" t="s">
        <x:v>118</x:v>
      </x:c>
      <x:c r="AJ338" s="281" t="s">
        <x:v>118</x:v>
      </x:c>
      <x:c r="AK338" s="220">
        <x:f>COUNTIF(F338:AJ338,"X")</x:f>
      </x:c>
      <x:c r="AL338" s="221"/>
      <x:c r="AM338" s="221"/>
      <x:c r="AN338" s="222"/>
      <x:c r="AO338" s="222"/>
      <x:c r="AP338" s="228"/>
      <x:c r="AQ338" s="228"/>
      <x:c r="AR338" s="228"/>
      <x:c r="AS338" s="228"/>
      <x:c r="AT338" s="230"/>
    </x:row>
    <x:row r="339" spans="1:47" ht="15" customHeight="1">
      <x:c r="A339" s="282" t="s">
        <x:v>2765</x:v>
      </x:c>
      <x:c r="B339" s="216"/>
      <x:c r="C339" s="283" t="s">
        <x:v>2766</x:v>
      </x:c>
      <x:c r="D339" s="282" t="s">
        <x:v>2767</x:v>
      </x:c>
      <x:c r="E339" s="282" t="s">
        <x:v>2768</x:v>
      </x:c>
      <x:c r="F339" s="281" t="s">
        <x:v>118</x:v>
      </x:c>
      <x:c r="G339" s="281" t="s">
        <x:v>118</x:v>
      </x:c>
      <x:c r="H339" s="281" t="s">
        <x:v>118</x:v>
      </x:c>
      <x:c r="I339" s="281" t="s">
        <x:v>118</x:v>
      </x:c>
      <x:c r="J339" s="281" t="s">
        <x:v>118</x:v>
      </x:c>
      <x:c r="K339" s="281" t="s">
        <x:v>118</x:v>
      </x:c>
      <x:c r="L339" s="281" t="s">
        <x:v>118</x:v>
      </x:c>
      <x:c r="M339" s="281" t="s">
        <x:v>118</x:v>
      </x:c>
      <x:c r="N339" s="281" t="s">
        <x:v>118</x:v>
      </x:c>
      <x:c r="O339" s="281" t="s">
        <x:v>118</x:v>
      </x:c>
      <x:c r="P339" s="281" t="s">
        <x:v>118</x:v>
      </x:c>
      <x:c r="Q339" s="281" t="s">
        <x:v>118</x:v>
      </x:c>
      <x:c r="R339" s="281" t="s">
        <x:v>118</x:v>
      </x:c>
      <x:c r="S339" s="281" t="s">
        <x:v>118</x:v>
      </x:c>
      <x:c r="T339" s="281" t="s">
        <x:v>118</x:v>
      </x:c>
      <x:c r="U339" s="281" t="s">
        <x:v>118</x:v>
      </x:c>
      <x:c r="V339" s="281" t="s">
        <x:v>118</x:v>
      </x:c>
      <x:c r="W339" s="281" t="s">
        <x:v>118</x:v>
      </x:c>
      <x:c r="X339" s="281" t="s">
        <x:v>118</x:v>
      </x:c>
      <x:c r="Y339" s="281" t="s">
        <x:v>118</x:v>
      </x:c>
      <x:c r="Z339" s="281" t="s">
        <x:v>118</x:v>
      </x:c>
      <x:c r="AA339" s="281" t="s">
        <x:v>118</x:v>
      </x:c>
      <x:c r="AB339" s="281" t="s">
        <x:v>118</x:v>
      </x:c>
      <x:c r="AC339" s="281" t="s">
        <x:v>118</x:v>
      </x:c>
      <x:c r="AD339" s="281" t="s">
        <x:v>118</x:v>
      </x:c>
      <x:c r="AE339" s="281" t="s">
        <x:v>118</x:v>
      </x:c>
      <x:c r="AF339" s="281" t="s">
        <x:v>118</x:v>
      </x:c>
      <x:c r="AG339" s="281" t="s">
        <x:v>118</x:v>
      </x:c>
      <x:c r="AH339" s="281" t="s">
        <x:v>118</x:v>
      </x:c>
      <x:c r="AI339" s="281" t="s">
        <x:v>118</x:v>
      </x:c>
      <x:c r="AJ339" s="281" t="s">
        <x:v>118</x:v>
      </x:c>
      <x:c r="AK339" s="220">
        <x:f>COUNTIF(F339:AJ339,"X")</x:f>
      </x:c>
      <x:c r="AL339" s="221"/>
      <x:c r="AM339" s="221"/>
      <x:c r="AN339" s="222"/>
      <x:c r="AO339" s="222"/>
      <x:c r="AP339" s="228"/>
      <x:c r="AQ339" s="228"/>
      <x:c r="AR339" s="228"/>
      <x:c r="AS339" s="228"/>
      <x:c r="AT339" s="230"/>
    </x:row>
    <x:row r="340" spans="1:47" ht="15" customHeight="1">
      <x:c r="A340" s="282" t="s">
        <x:v>2769</x:v>
      </x:c>
      <x:c r="B340" s="216"/>
      <x:c r="C340" s="283" t="s">
        <x:v>2770</x:v>
      </x:c>
      <x:c r="D340" s="282" t="s">
        <x:v>2771</x:v>
      </x:c>
      <x:c r="E340" s="282" t="s">
        <x:v>1271</x:v>
      </x:c>
      <x:c r="F340" s="281" t="s">
        <x:v>118</x:v>
      </x:c>
      <x:c r="G340" s="281" t="s">
        <x:v>118</x:v>
      </x:c>
      <x:c r="H340" s="281" t="s">
        <x:v>118</x:v>
      </x:c>
      <x:c r="I340" s="281" t="s">
        <x:v>118</x:v>
      </x:c>
      <x:c r="J340" s="281" t="s">
        <x:v>118</x:v>
      </x:c>
      <x:c r="K340" s="281" t="s">
        <x:v>118</x:v>
      </x:c>
      <x:c r="L340" s="281" t="s">
        <x:v>118</x:v>
      </x:c>
      <x:c r="M340" s="281" t="s">
        <x:v>118</x:v>
      </x:c>
      <x:c r="N340" s="281" t="s">
        <x:v>118</x:v>
      </x:c>
      <x:c r="O340" s="281" t="s">
        <x:v>118</x:v>
      </x:c>
      <x:c r="P340" s="281" t="s">
        <x:v>118</x:v>
      </x:c>
      <x:c r="Q340" s="281" t="s">
        <x:v>118</x:v>
      </x:c>
      <x:c r="R340" s="281" t="s">
        <x:v>118</x:v>
      </x:c>
      <x:c r="S340" s="281" t="s">
        <x:v>118</x:v>
      </x:c>
      <x:c r="T340" s="281" t="s">
        <x:v>118</x:v>
      </x:c>
      <x:c r="U340" s="281" t="s">
        <x:v>118</x:v>
      </x:c>
      <x:c r="V340" s="281" t="s">
        <x:v>118</x:v>
      </x:c>
      <x:c r="W340" s="281" t="s">
        <x:v>118</x:v>
      </x:c>
      <x:c r="X340" s="281" t="s">
        <x:v>118</x:v>
      </x:c>
      <x:c r="Y340" s="281" t="s">
        <x:v>118</x:v>
      </x:c>
      <x:c r="Z340" s="281" t="s">
        <x:v>118</x:v>
      </x:c>
      <x:c r="AA340" s="281" t="s">
        <x:v>118</x:v>
      </x:c>
      <x:c r="AB340" s="281" t="s">
        <x:v>118</x:v>
      </x:c>
      <x:c r="AC340" s="281" t="s">
        <x:v>118</x:v>
      </x:c>
      <x:c r="AD340" s="281" t="s">
        <x:v>118</x:v>
      </x:c>
      <x:c r="AE340" s="281" t="s">
        <x:v>118</x:v>
      </x:c>
      <x:c r="AF340" s="281" t="s">
        <x:v>118</x:v>
      </x:c>
      <x:c r="AG340" s="281" t="s">
        <x:v>118</x:v>
      </x:c>
      <x:c r="AH340" s="281" t="s">
        <x:v>118</x:v>
      </x:c>
      <x:c r="AI340" s="281" t="s">
        <x:v>118</x:v>
      </x:c>
      <x:c r="AJ340" s="281" t="s">
        <x:v>118</x:v>
      </x:c>
      <x:c r="AK340" s="220">
        <x:f>COUNTIF(F340:AJ340,"X")</x:f>
      </x:c>
      <x:c r="AL340" s="221"/>
      <x:c r="AM340" s="221"/>
      <x:c r="AN340" s="222"/>
      <x:c r="AO340" s="222"/>
      <x:c r="AP340" s="228"/>
      <x:c r="AQ340" s="228"/>
      <x:c r="AR340" s="228"/>
      <x:c r="AS340" s="228"/>
      <x:c r="AT340" s="230"/>
    </x:row>
    <x:row r="341" spans="1:47" ht="15" customHeight="1">
      <x:c r="A341" s="282" t="s">
        <x:v>2772</x:v>
      </x:c>
      <x:c r="B341" s="216"/>
      <x:c r="C341" s="283" t="s">
        <x:v>2773</x:v>
      </x:c>
      <x:c r="D341" s="282" t="s">
        <x:v>2774</x:v>
      </x:c>
      <x:c r="E341" s="282" t="s">
        <x:v>216</x:v>
      </x:c>
      <x:c r="F341" s="281" t="s">
        <x:v>118</x:v>
      </x:c>
      <x:c r="G341" s="281" t="s">
        <x:v>118</x:v>
      </x:c>
      <x:c r="H341" s="281" t="s">
        <x:v>118</x:v>
      </x:c>
      <x:c r="I341" s="281" t="s">
        <x:v>118</x:v>
      </x:c>
      <x:c r="J341" s="281" t="s">
        <x:v>118</x:v>
      </x:c>
      <x:c r="K341" s="281" t="s">
        <x:v>118</x:v>
      </x:c>
      <x:c r="L341" s="281" t="s">
        <x:v>118</x:v>
      </x:c>
      <x:c r="M341" s="281" t="s">
        <x:v>118</x:v>
      </x:c>
      <x:c r="N341" s="281" t="s">
        <x:v>118</x:v>
      </x:c>
      <x:c r="O341" s="281" t="s">
        <x:v>118</x:v>
      </x:c>
      <x:c r="P341" s="281" t="s">
        <x:v>118</x:v>
      </x:c>
      <x:c r="Q341" s="281" t="s">
        <x:v>118</x:v>
      </x:c>
      <x:c r="R341" s="281" t="s">
        <x:v>118</x:v>
      </x:c>
      <x:c r="S341" s="281" t="s">
        <x:v>118</x:v>
      </x:c>
      <x:c r="T341" s="281" t="s">
        <x:v>118</x:v>
      </x:c>
      <x:c r="U341" s="281" t="s">
        <x:v>118</x:v>
      </x:c>
      <x:c r="V341" s="281" t="s">
        <x:v>118</x:v>
      </x:c>
      <x:c r="W341" s="281" t="s">
        <x:v>118</x:v>
      </x:c>
      <x:c r="X341" s="281" t="s">
        <x:v>118</x:v>
      </x:c>
      <x:c r="Y341" s="281" t="s">
        <x:v>118</x:v>
      </x:c>
      <x:c r="Z341" s="281" t="s">
        <x:v>118</x:v>
      </x:c>
      <x:c r="AA341" s="281" t="s">
        <x:v>118</x:v>
      </x:c>
      <x:c r="AB341" s="281" t="s">
        <x:v>118</x:v>
      </x:c>
      <x:c r="AC341" s="281" t="s">
        <x:v>118</x:v>
      </x:c>
      <x:c r="AD341" s="281" t="s">
        <x:v>118</x:v>
      </x:c>
      <x:c r="AE341" s="281" t="s">
        <x:v>118</x:v>
      </x:c>
      <x:c r="AF341" s="281" t="s">
        <x:v>118</x:v>
      </x:c>
      <x:c r="AG341" s="281" t="s">
        <x:v>118</x:v>
      </x:c>
      <x:c r="AH341" s="281" t="s">
        <x:v>118</x:v>
      </x:c>
      <x:c r="AI341" s="281" t="s">
        <x:v>118</x:v>
      </x:c>
      <x:c r="AJ341" s="281" t="s">
        <x:v>118</x:v>
      </x:c>
      <x:c r="AK341" s="220">
        <x:f>COUNTIF(F341:AJ341,"X")</x:f>
      </x:c>
      <x:c r="AL341" s="221"/>
      <x:c r="AM341" s="221"/>
      <x:c r="AN341" s="222"/>
      <x:c r="AO341" s="222"/>
      <x:c r="AP341" s="228"/>
      <x:c r="AQ341" s="228"/>
      <x:c r="AR341" s="228"/>
      <x:c r="AS341" s="228"/>
      <x:c r="AT341" s="230"/>
    </x:row>
    <x:row r="342" spans="1:47" ht="15" customHeight="1">
      <x:c r="A342" s="282" t="s">
        <x:v>2775</x:v>
      </x:c>
      <x:c r="B342" s="216"/>
      <x:c r="C342" s="283" t="s">
        <x:v>2776</x:v>
      </x:c>
      <x:c r="D342" s="282" t="s">
        <x:v>783</x:v>
      </x:c>
      <x:c r="E342" s="282" t="s">
        <x:v>2777</x:v>
      </x:c>
      <x:c r="F342" s="281" t="s">
        <x:v>118</x:v>
      </x:c>
      <x:c r="G342" s="281" t="s">
        <x:v>118</x:v>
      </x:c>
      <x:c r="H342" s="281" t="s">
        <x:v>118</x:v>
      </x:c>
      <x:c r="I342" s="281" t="s">
        <x:v>118</x:v>
      </x:c>
      <x:c r="J342" s="281" t="s">
        <x:v>118</x:v>
      </x:c>
      <x:c r="K342" s="281" t="s">
        <x:v>118</x:v>
      </x:c>
      <x:c r="L342" s="281" t="s">
        <x:v>118</x:v>
      </x:c>
      <x:c r="M342" s="281" t="s">
        <x:v>118</x:v>
      </x:c>
      <x:c r="N342" s="281" t="s">
        <x:v>118</x:v>
      </x:c>
      <x:c r="O342" s="281" t="s">
        <x:v>118</x:v>
      </x:c>
      <x:c r="P342" s="281" t="s">
        <x:v>118</x:v>
      </x:c>
      <x:c r="Q342" s="281" t="s">
        <x:v>118</x:v>
      </x:c>
      <x:c r="R342" s="281" t="s">
        <x:v>118</x:v>
      </x:c>
      <x:c r="S342" s="281" t="s">
        <x:v>118</x:v>
      </x:c>
      <x:c r="T342" s="281" t="s">
        <x:v>118</x:v>
      </x:c>
      <x:c r="U342" s="281" t="s">
        <x:v>118</x:v>
      </x:c>
      <x:c r="V342" s="281" t="s">
        <x:v>118</x:v>
      </x:c>
      <x:c r="W342" s="281" t="s">
        <x:v>118</x:v>
      </x:c>
      <x:c r="X342" s="281" t="s">
        <x:v>118</x:v>
      </x:c>
      <x:c r="Y342" s="281" t="s">
        <x:v>118</x:v>
      </x:c>
      <x:c r="Z342" s="281" t="s">
        <x:v>118</x:v>
      </x:c>
      <x:c r="AA342" s="281" t="s">
        <x:v>118</x:v>
      </x:c>
      <x:c r="AB342" s="281" t="s">
        <x:v>118</x:v>
      </x:c>
      <x:c r="AC342" s="281" t="s">
        <x:v>118</x:v>
      </x:c>
      <x:c r="AD342" s="281" t="s">
        <x:v>118</x:v>
      </x:c>
      <x:c r="AE342" s="281" t="s">
        <x:v>118</x:v>
      </x:c>
      <x:c r="AF342" s="281" t="s">
        <x:v>118</x:v>
      </x:c>
      <x:c r="AG342" s="281" t="s">
        <x:v>118</x:v>
      </x:c>
      <x:c r="AH342" s="281" t="s">
        <x:v>118</x:v>
      </x:c>
      <x:c r="AI342" s="281" t="s">
        <x:v>118</x:v>
      </x:c>
      <x:c r="AJ342" s="281" t="s">
        <x:v>118</x:v>
      </x:c>
      <x:c r="AK342" s="220">
        <x:f>COUNTIF(F342:AJ342,"X")</x:f>
      </x:c>
      <x:c r="AL342" s="221"/>
      <x:c r="AM342" s="221"/>
      <x:c r="AN342" s="222"/>
      <x:c r="AO342" s="222"/>
      <x:c r="AP342" s="228"/>
      <x:c r="AQ342" s="228"/>
      <x:c r="AR342" s="228"/>
      <x:c r="AS342" s="228"/>
      <x:c r="AT342" s="230"/>
    </x:row>
    <x:row r="343" spans="1:47" ht="15" customHeight="1">
      <x:c r="A343" s="282" t="s">
        <x:v>2778</x:v>
      </x:c>
      <x:c r="B343" s="216"/>
      <x:c r="C343" s="283" t="s">
        <x:v>2779</x:v>
      </x:c>
      <x:c r="D343" s="282" t="s">
        <x:v>2780</x:v>
      </x:c>
      <x:c r="E343" s="282" t="s">
        <x:v>2781</x:v>
      </x:c>
      <x:c r="F343" s="281" t="s">
        <x:v>118</x:v>
      </x:c>
      <x:c r="G343" s="281" t="s">
        <x:v>118</x:v>
      </x:c>
      <x:c r="H343" s="281" t="s">
        <x:v>118</x:v>
      </x:c>
      <x:c r="I343" s="281" t="s">
        <x:v>118</x:v>
      </x:c>
      <x:c r="J343" s="281" t="s">
        <x:v>118</x:v>
      </x:c>
      <x:c r="K343" s="281" t="s">
        <x:v>118</x:v>
      </x:c>
      <x:c r="L343" s="281" t="s">
        <x:v>118</x:v>
      </x:c>
      <x:c r="M343" s="281" t="s">
        <x:v>118</x:v>
      </x:c>
      <x:c r="N343" s="281" t="s">
        <x:v>118</x:v>
      </x:c>
      <x:c r="O343" s="281" t="s">
        <x:v>118</x:v>
      </x:c>
      <x:c r="P343" s="281" t="s">
        <x:v>118</x:v>
      </x:c>
      <x:c r="Q343" s="281" t="s">
        <x:v>118</x:v>
      </x:c>
      <x:c r="R343" s="281" t="s">
        <x:v>118</x:v>
      </x:c>
      <x:c r="S343" s="281" t="s">
        <x:v>118</x:v>
      </x:c>
      <x:c r="T343" s="281" t="s">
        <x:v>118</x:v>
      </x:c>
      <x:c r="U343" s="281" t="s">
        <x:v>118</x:v>
      </x:c>
      <x:c r="V343" s="281" t="s">
        <x:v>118</x:v>
      </x:c>
      <x:c r="W343" s="281" t="s">
        <x:v>118</x:v>
      </x:c>
      <x:c r="X343" s="281" t="s">
        <x:v>118</x:v>
      </x:c>
      <x:c r="Y343" s="281" t="s">
        <x:v>118</x:v>
      </x:c>
      <x:c r="Z343" s="281" t="s">
        <x:v>118</x:v>
      </x:c>
      <x:c r="AA343" s="281" t="s">
        <x:v>118</x:v>
      </x:c>
      <x:c r="AB343" s="281" t="s">
        <x:v>118</x:v>
      </x:c>
      <x:c r="AC343" s="281" t="s">
        <x:v>118</x:v>
      </x:c>
      <x:c r="AD343" s="281" t="s">
        <x:v>118</x:v>
      </x:c>
      <x:c r="AE343" s="281" t="s">
        <x:v>118</x:v>
      </x:c>
      <x:c r="AF343" s="281" t="s">
        <x:v>118</x:v>
      </x:c>
      <x:c r="AG343" s="281" t="s">
        <x:v>118</x:v>
      </x:c>
      <x:c r="AH343" s="281" t="s">
        <x:v>118</x:v>
      </x:c>
      <x:c r="AI343" s="281" t="s">
        <x:v>118</x:v>
      </x:c>
      <x:c r="AJ343" s="281" t="s">
        <x:v>118</x:v>
      </x:c>
      <x:c r="AK343" s="220">
        <x:f>COUNTIF(F343:AJ343,"X")</x:f>
      </x:c>
      <x:c r="AL343" s="221"/>
      <x:c r="AM343" s="221"/>
      <x:c r="AN343" s="222"/>
      <x:c r="AO343" s="222"/>
      <x:c r="AP343" s="228"/>
      <x:c r="AQ343" s="228"/>
      <x:c r="AR343" s="228"/>
      <x:c r="AS343" s="228"/>
      <x:c r="AT343" s="230"/>
    </x:row>
    <x:row r="344" spans="1:47" ht="15" customHeight="1">
      <x:c r="A344" s="282" t="s">
        <x:v>2782</x:v>
      </x:c>
      <x:c r="B344" s="216"/>
      <x:c r="C344" s="283" t="s">
        <x:v>2783</x:v>
      </x:c>
      <x:c r="D344" s="282" t="s">
        <x:v>806</x:v>
      </x:c>
      <x:c r="E344" s="282" t="s">
        <x:v>1793</x:v>
      </x:c>
      <x:c r="F344" s="281" t="s">
        <x:v>118</x:v>
      </x:c>
      <x:c r="G344" s="281" t="s">
        <x:v>118</x:v>
      </x:c>
      <x:c r="H344" s="281" t="s">
        <x:v>118</x:v>
      </x:c>
      <x:c r="I344" s="281" t="s">
        <x:v>118</x:v>
      </x:c>
      <x:c r="J344" s="281" t="s">
        <x:v>118</x:v>
      </x:c>
      <x:c r="K344" s="281" t="s">
        <x:v>118</x:v>
      </x:c>
      <x:c r="L344" s="281" t="s">
        <x:v>118</x:v>
      </x:c>
      <x:c r="M344" s="281" t="s">
        <x:v>118</x:v>
      </x:c>
      <x:c r="N344" s="281" t="s">
        <x:v>118</x:v>
      </x:c>
      <x:c r="O344" s="281" t="s">
        <x:v>118</x:v>
      </x:c>
      <x:c r="P344" s="281" t="s">
        <x:v>118</x:v>
      </x:c>
      <x:c r="Q344" s="281" t="s">
        <x:v>118</x:v>
      </x:c>
      <x:c r="R344" s="281" t="s">
        <x:v>118</x:v>
      </x:c>
      <x:c r="S344" s="281" t="s">
        <x:v>118</x:v>
      </x:c>
      <x:c r="T344" s="281" t="s">
        <x:v>118</x:v>
      </x:c>
      <x:c r="U344" s="281" t="s">
        <x:v>118</x:v>
      </x:c>
      <x:c r="V344" s="281" t="s">
        <x:v>118</x:v>
      </x:c>
      <x:c r="W344" s="281" t="s">
        <x:v>118</x:v>
      </x:c>
      <x:c r="X344" s="281" t="s">
        <x:v>118</x:v>
      </x:c>
      <x:c r="Y344" s="281" t="s">
        <x:v>118</x:v>
      </x:c>
      <x:c r="Z344" s="281" t="s">
        <x:v>118</x:v>
      </x:c>
      <x:c r="AA344" s="281" t="s">
        <x:v>118</x:v>
      </x:c>
      <x:c r="AB344" s="281" t="s">
        <x:v>118</x:v>
      </x:c>
      <x:c r="AC344" s="281" t="s">
        <x:v>118</x:v>
      </x:c>
      <x:c r="AD344" s="281" t="s">
        <x:v>118</x:v>
      </x:c>
      <x:c r="AE344" s="281" t="s">
        <x:v>118</x:v>
      </x:c>
      <x:c r="AF344" s="281" t="s">
        <x:v>118</x:v>
      </x:c>
      <x:c r="AG344" s="281" t="s">
        <x:v>118</x:v>
      </x:c>
      <x:c r="AH344" s="281" t="s">
        <x:v>118</x:v>
      </x:c>
      <x:c r="AI344" s="281" t="s">
        <x:v>118</x:v>
      </x:c>
      <x:c r="AJ344" s="281" t="s">
        <x:v>118</x:v>
      </x:c>
      <x:c r="AK344" s="220">
        <x:f>COUNTIF(F344:AJ344,"X")</x:f>
      </x:c>
      <x:c r="AL344" s="221"/>
      <x:c r="AM344" s="221"/>
      <x:c r="AN344" s="222"/>
      <x:c r="AO344" s="222"/>
      <x:c r="AP344" s="228"/>
      <x:c r="AQ344" s="228"/>
      <x:c r="AR344" s="228"/>
      <x:c r="AS344" s="228"/>
      <x:c r="AT344" s="230"/>
    </x:row>
    <x:row r="345" spans="1:47" ht="15" customHeight="1">
      <x:c r="A345" s="282" t="s">
        <x:v>2784</x:v>
      </x:c>
      <x:c r="B345" s="216"/>
      <x:c r="C345" s="283" t="s">
        <x:v>2785</x:v>
      </x:c>
      <x:c r="D345" s="282" t="s">
        <x:v>2786</x:v>
      </x:c>
      <x:c r="E345" s="282" t="s">
        <x:v>123</x:v>
      </x:c>
      <x:c r="F345" s="281" t="s">
        <x:v>118</x:v>
      </x:c>
      <x:c r="G345" s="281" t="s">
        <x:v>118</x:v>
      </x:c>
      <x:c r="H345" s="281" t="s">
        <x:v>118</x:v>
      </x:c>
      <x:c r="I345" s="281" t="s">
        <x:v>118</x:v>
      </x:c>
      <x:c r="J345" s="281" t="s">
        <x:v>118</x:v>
      </x:c>
      <x:c r="K345" s="281" t="s">
        <x:v>118</x:v>
      </x:c>
      <x:c r="L345" s="281" t="s">
        <x:v>118</x:v>
      </x:c>
      <x:c r="M345" s="281" t="s">
        <x:v>118</x:v>
      </x:c>
      <x:c r="N345" s="281" t="s">
        <x:v>118</x:v>
      </x:c>
      <x:c r="O345" s="281" t="s">
        <x:v>118</x:v>
      </x:c>
      <x:c r="P345" s="281" t="s">
        <x:v>118</x:v>
      </x:c>
      <x:c r="Q345" s="281" t="s">
        <x:v>118</x:v>
      </x:c>
      <x:c r="R345" s="281" t="s">
        <x:v>118</x:v>
      </x:c>
      <x:c r="S345" s="281" t="s">
        <x:v>118</x:v>
      </x:c>
      <x:c r="T345" s="281" t="s">
        <x:v>118</x:v>
      </x:c>
      <x:c r="U345" s="281" t="s">
        <x:v>118</x:v>
      </x:c>
      <x:c r="V345" s="281" t="s">
        <x:v>118</x:v>
      </x:c>
      <x:c r="W345" s="281" t="s">
        <x:v>118</x:v>
      </x:c>
      <x:c r="X345" s="281" t="s">
        <x:v>118</x:v>
      </x:c>
      <x:c r="Y345" s="281" t="s">
        <x:v>118</x:v>
      </x:c>
      <x:c r="Z345" s="281" t="s">
        <x:v>118</x:v>
      </x:c>
      <x:c r="AA345" s="281" t="s">
        <x:v>118</x:v>
      </x:c>
      <x:c r="AB345" s="281" t="s">
        <x:v>118</x:v>
      </x:c>
      <x:c r="AC345" s="281" t="s">
        <x:v>118</x:v>
      </x:c>
      <x:c r="AD345" s="281" t="s">
        <x:v>118</x:v>
      </x:c>
      <x:c r="AE345" s="281" t="s">
        <x:v>118</x:v>
      </x:c>
      <x:c r="AF345" s="281" t="s">
        <x:v>118</x:v>
      </x:c>
      <x:c r="AG345" s="281" t="s">
        <x:v>118</x:v>
      </x:c>
      <x:c r="AH345" s="281" t="s">
        <x:v>118</x:v>
      </x:c>
      <x:c r="AI345" s="281" t="s">
        <x:v>118</x:v>
      </x:c>
      <x:c r="AJ345" s="281" t="s">
        <x:v>118</x:v>
      </x:c>
      <x:c r="AK345" s="220">
        <x:f>COUNTIF(F345:AJ345,"X")</x:f>
      </x:c>
      <x:c r="AL345" s="221"/>
      <x:c r="AM345" s="221"/>
      <x:c r="AN345" s="222"/>
      <x:c r="AO345" s="222"/>
      <x:c r="AP345" s="228"/>
      <x:c r="AQ345" s="228"/>
      <x:c r="AR345" s="228"/>
      <x:c r="AS345" s="228"/>
      <x:c r="AT345" s="230"/>
    </x:row>
    <x:row r="346" spans="1:47" ht="15" customHeight="1">
      <x:c r="A346" s="282" t="s">
        <x:v>2787</x:v>
      </x:c>
      <x:c r="B346" s="216"/>
      <x:c r="C346" s="283" t="s">
        <x:v>2788</x:v>
      </x:c>
      <x:c r="D346" s="282" t="s">
        <x:v>1671</x:v>
      </x:c>
      <x:c r="E346" s="282" t="s">
        <x:v>2789</x:v>
      </x:c>
      <x:c r="F346" s="281" t="s">
        <x:v>118</x:v>
      </x:c>
      <x:c r="G346" s="281" t="s">
        <x:v>118</x:v>
      </x:c>
      <x:c r="H346" s="281" t="s">
        <x:v>118</x:v>
      </x:c>
      <x:c r="I346" s="281" t="s">
        <x:v>118</x:v>
      </x:c>
      <x:c r="J346" s="281" t="s">
        <x:v>118</x:v>
      </x:c>
      <x:c r="K346" s="281" t="s">
        <x:v>118</x:v>
      </x:c>
      <x:c r="L346" s="281" t="s">
        <x:v>118</x:v>
      </x:c>
      <x:c r="M346" s="281" t="s">
        <x:v>118</x:v>
      </x:c>
      <x:c r="N346" s="281" t="s">
        <x:v>118</x:v>
      </x:c>
      <x:c r="O346" s="281" t="s">
        <x:v>118</x:v>
      </x:c>
      <x:c r="P346" s="281" t="s">
        <x:v>118</x:v>
      </x:c>
      <x:c r="Q346" s="281" t="s">
        <x:v>118</x:v>
      </x:c>
      <x:c r="R346" s="281" t="s">
        <x:v>118</x:v>
      </x:c>
      <x:c r="S346" s="281" t="s">
        <x:v>118</x:v>
      </x:c>
      <x:c r="T346" s="281" t="s">
        <x:v>118</x:v>
      </x:c>
      <x:c r="U346" s="281" t="s">
        <x:v>118</x:v>
      </x:c>
      <x:c r="V346" s="281" t="s">
        <x:v>118</x:v>
      </x:c>
      <x:c r="W346" s="281" t="s">
        <x:v>118</x:v>
      </x:c>
      <x:c r="X346" s="281" t="s">
        <x:v>118</x:v>
      </x:c>
      <x:c r="Y346" s="281" t="s">
        <x:v>118</x:v>
      </x:c>
      <x:c r="Z346" s="281" t="s">
        <x:v>118</x:v>
      </x:c>
      <x:c r="AA346" s="281" t="s">
        <x:v>118</x:v>
      </x:c>
      <x:c r="AB346" s="281" t="s">
        <x:v>118</x:v>
      </x:c>
      <x:c r="AC346" s="281" t="s">
        <x:v>118</x:v>
      </x:c>
      <x:c r="AD346" s="281" t="s">
        <x:v>118</x:v>
      </x:c>
      <x:c r="AE346" s="281" t="s">
        <x:v>118</x:v>
      </x:c>
      <x:c r="AF346" s="281" t="s">
        <x:v>118</x:v>
      </x:c>
      <x:c r="AG346" s="281" t="s">
        <x:v>118</x:v>
      </x:c>
      <x:c r="AH346" s="281" t="s">
        <x:v>118</x:v>
      </x:c>
      <x:c r="AI346" s="281" t="s">
        <x:v>118</x:v>
      </x:c>
      <x:c r="AJ346" s="281" t="s">
        <x:v>118</x:v>
      </x:c>
      <x:c r="AK346" s="220">
        <x:f>COUNTIF(F346:AJ346,"X")</x:f>
      </x:c>
      <x:c r="AL346" s="221"/>
      <x:c r="AM346" s="221"/>
      <x:c r="AN346" s="222"/>
      <x:c r="AO346" s="222"/>
      <x:c r="AP346" s="228"/>
      <x:c r="AQ346" s="228"/>
      <x:c r="AR346" s="228"/>
      <x:c r="AS346" s="228"/>
      <x:c r="AT346" s="230"/>
    </x:row>
    <x:row r="347" spans="1:47" ht="15" customHeight="1">
      <x:c r="A347" s="282" t="s">
        <x:v>2790</x:v>
      </x:c>
      <x:c r="B347" s="216"/>
      <x:c r="C347" s="283" t="s">
        <x:v>2791</x:v>
      </x:c>
      <x:c r="D347" s="282" t="s">
        <x:v>802</x:v>
      </x:c>
      <x:c r="E347" s="282" t="s">
        <x:v>2510</x:v>
      </x:c>
      <x:c r="F347" s="281" t="s">
        <x:v>118</x:v>
      </x:c>
      <x:c r="G347" s="281" t="s">
        <x:v>118</x:v>
      </x:c>
      <x:c r="H347" s="281" t="s">
        <x:v>118</x:v>
      </x:c>
      <x:c r="I347" s="281" t="s">
        <x:v>118</x:v>
      </x:c>
      <x:c r="J347" s="281" t="s">
        <x:v>118</x:v>
      </x:c>
      <x:c r="K347" s="281" t="s">
        <x:v>118</x:v>
      </x:c>
      <x:c r="L347" s="281" t="s">
        <x:v>118</x:v>
      </x:c>
      <x:c r="M347" s="281" t="s">
        <x:v>118</x:v>
      </x:c>
      <x:c r="N347" s="281" t="s">
        <x:v>118</x:v>
      </x:c>
      <x:c r="O347" s="281" t="s">
        <x:v>118</x:v>
      </x:c>
      <x:c r="P347" s="281" t="s">
        <x:v>118</x:v>
      </x:c>
      <x:c r="Q347" s="281" t="s">
        <x:v>118</x:v>
      </x:c>
      <x:c r="R347" s="281" t="s">
        <x:v>118</x:v>
      </x:c>
      <x:c r="S347" s="281" t="s">
        <x:v>118</x:v>
      </x:c>
      <x:c r="T347" s="281" t="s">
        <x:v>118</x:v>
      </x:c>
      <x:c r="U347" s="281" t="s">
        <x:v>118</x:v>
      </x:c>
      <x:c r="V347" s="281" t="s">
        <x:v>118</x:v>
      </x:c>
      <x:c r="W347" s="281" t="s">
        <x:v>118</x:v>
      </x:c>
      <x:c r="X347" s="281" t="s">
        <x:v>118</x:v>
      </x:c>
      <x:c r="Y347" s="281" t="s">
        <x:v>118</x:v>
      </x:c>
      <x:c r="Z347" s="281" t="s">
        <x:v>118</x:v>
      </x:c>
      <x:c r="AA347" s="281" t="s">
        <x:v>118</x:v>
      </x:c>
      <x:c r="AB347" s="281" t="s">
        <x:v>118</x:v>
      </x:c>
      <x:c r="AC347" s="281" t="s">
        <x:v>118</x:v>
      </x:c>
      <x:c r="AD347" s="281" t="s">
        <x:v>118</x:v>
      </x:c>
      <x:c r="AE347" s="281" t="s">
        <x:v>118</x:v>
      </x:c>
      <x:c r="AF347" s="281" t="s">
        <x:v>118</x:v>
      </x:c>
      <x:c r="AG347" s="281" t="s">
        <x:v>118</x:v>
      </x:c>
      <x:c r="AH347" s="281" t="s">
        <x:v>118</x:v>
      </x:c>
      <x:c r="AI347" s="281" t="s">
        <x:v>118</x:v>
      </x:c>
      <x:c r="AJ347" s="281" t="s">
        <x:v>118</x:v>
      </x:c>
      <x:c r="AK347" s="220">
        <x:f>COUNTIF(F347:AJ347,"X")</x:f>
      </x:c>
      <x:c r="AL347" s="221"/>
      <x:c r="AM347" s="221"/>
      <x:c r="AN347" s="222"/>
      <x:c r="AO347" s="222"/>
      <x:c r="AP347" s="228"/>
      <x:c r="AQ347" s="228"/>
      <x:c r="AR347" s="228"/>
      <x:c r="AS347" s="228"/>
      <x:c r="AT347" s="230"/>
    </x:row>
    <x:row r="348" spans="1:47" ht="15" customHeight="1">
      <x:c r="A348" s="282" t="s">
        <x:v>2792</x:v>
      </x:c>
      <x:c r="B348" s="216"/>
      <x:c r="C348" s="283" t="s">
        <x:v>2793</x:v>
      </x:c>
      <x:c r="D348" s="282" t="s">
        <x:v>802</x:v>
      </x:c>
      <x:c r="E348" s="282" t="s">
        <x:v>2794</x:v>
      </x:c>
      <x:c r="F348" s="281" t="s">
        <x:v>118</x:v>
      </x:c>
      <x:c r="G348" s="281" t="s">
        <x:v>118</x:v>
      </x:c>
      <x:c r="H348" s="281" t="s">
        <x:v>118</x:v>
      </x:c>
      <x:c r="I348" s="281" t="s">
        <x:v>118</x:v>
      </x:c>
      <x:c r="J348" s="281" t="s">
        <x:v>118</x:v>
      </x:c>
      <x:c r="K348" s="281" t="s">
        <x:v>118</x:v>
      </x:c>
      <x:c r="L348" s="281" t="s">
        <x:v>118</x:v>
      </x:c>
      <x:c r="M348" s="281" t="s">
        <x:v>118</x:v>
      </x:c>
      <x:c r="N348" s="281" t="s">
        <x:v>118</x:v>
      </x:c>
      <x:c r="O348" s="281" t="s">
        <x:v>118</x:v>
      </x:c>
      <x:c r="P348" s="281" t="s">
        <x:v>118</x:v>
      </x:c>
      <x:c r="Q348" s="281" t="s">
        <x:v>118</x:v>
      </x:c>
      <x:c r="R348" s="281" t="s">
        <x:v>118</x:v>
      </x:c>
      <x:c r="S348" s="281" t="s">
        <x:v>118</x:v>
      </x:c>
      <x:c r="T348" s="281" t="s">
        <x:v>118</x:v>
      </x:c>
      <x:c r="U348" s="281" t="s">
        <x:v>118</x:v>
      </x:c>
      <x:c r="V348" s="281" t="s">
        <x:v>118</x:v>
      </x:c>
      <x:c r="W348" s="281" t="s">
        <x:v>118</x:v>
      </x:c>
      <x:c r="X348" s="281" t="s">
        <x:v>118</x:v>
      </x:c>
      <x:c r="Y348" s="281" t="s">
        <x:v>118</x:v>
      </x:c>
      <x:c r="Z348" s="281" t="s">
        <x:v>118</x:v>
      </x:c>
      <x:c r="AA348" s="281" t="s">
        <x:v>118</x:v>
      </x:c>
      <x:c r="AB348" s="281" t="s">
        <x:v>118</x:v>
      </x:c>
      <x:c r="AC348" s="281" t="s">
        <x:v>118</x:v>
      </x:c>
      <x:c r="AD348" s="281" t="s">
        <x:v>118</x:v>
      </x:c>
      <x:c r="AE348" s="281" t="s">
        <x:v>118</x:v>
      </x:c>
      <x:c r="AF348" s="281" t="s">
        <x:v>118</x:v>
      </x:c>
      <x:c r="AG348" s="281" t="s">
        <x:v>118</x:v>
      </x:c>
      <x:c r="AH348" s="281" t="s">
        <x:v>118</x:v>
      </x:c>
      <x:c r="AI348" s="281" t="s">
        <x:v>118</x:v>
      </x:c>
      <x:c r="AJ348" s="281" t="s">
        <x:v>118</x:v>
      </x:c>
      <x:c r="AK348" s="220">
        <x:f>COUNTIF(F348:AJ348,"X")</x:f>
      </x:c>
      <x:c r="AL348" s="221"/>
      <x:c r="AM348" s="221"/>
      <x:c r="AN348" s="222"/>
      <x:c r="AO348" s="222"/>
      <x:c r="AP348" s="228"/>
      <x:c r="AQ348" s="228"/>
      <x:c r="AR348" s="228"/>
      <x:c r="AS348" s="228"/>
      <x:c r="AT348" s="230"/>
    </x:row>
    <x:row r="349" spans="1:47" ht="15" customHeight="1">
      <x:c r="A349" s="282" t="s">
        <x:v>2795</x:v>
      </x:c>
      <x:c r="B349" s="216"/>
      <x:c r="C349" s="283" t="s">
        <x:v>2796</x:v>
      </x:c>
      <x:c r="D349" s="282" t="s">
        <x:v>802</x:v>
      </x:c>
      <x:c r="E349" s="282" t="s">
        <x:v>2797</x:v>
      </x:c>
      <x:c r="F349" s="281" t="s">
        <x:v>118</x:v>
      </x:c>
      <x:c r="G349" s="281" t="s">
        <x:v>118</x:v>
      </x:c>
      <x:c r="H349" s="281" t="s">
        <x:v>118</x:v>
      </x:c>
      <x:c r="I349" s="281" t="s">
        <x:v>118</x:v>
      </x:c>
      <x:c r="J349" s="281" t="s">
        <x:v>118</x:v>
      </x:c>
      <x:c r="K349" s="281" t="s">
        <x:v>118</x:v>
      </x:c>
      <x:c r="L349" s="281" t="s">
        <x:v>118</x:v>
      </x:c>
      <x:c r="M349" s="281" t="s">
        <x:v>118</x:v>
      </x:c>
      <x:c r="N349" s="281" t="s">
        <x:v>118</x:v>
      </x:c>
      <x:c r="O349" s="281" t="s">
        <x:v>118</x:v>
      </x:c>
      <x:c r="P349" s="281" t="s">
        <x:v>118</x:v>
      </x:c>
      <x:c r="Q349" s="281" t="s">
        <x:v>118</x:v>
      </x:c>
      <x:c r="R349" s="281" t="s">
        <x:v>118</x:v>
      </x:c>
      <x:c r="S349" s="281" t="s">
        <x:v>118</x:v>
      </x:c>
      <x:c r="T349" s="281" t="s">
        <x:v>118</x:v>
      </x:c>
      <x:c r="U349" s="281" t="s">
        <x:v>118</x:v>
      </x:c>
      <x:c r="V349" s="281" t="s">
        <x:v>118</x:v>
      </x:c>
      <x:c r="W349" s="281" t="s">
        <x:v>118</x:v>
      </x:c>
      <x:c r="X349" s="281" t="s">
        <x:v>118</x:v>
      </x:c>
      <x:c r="Y349" s="281" t="s">
        <x:v>118</x:v>
      </x:c>
      <x:c r="Z349" s="281" t="s">
        <x:v>118</x:v>
      </x:c>
      <x:c r="AA349" s="281" t="s">
        <x:v>118</x:v>
      </x:c>
      <x:c r="AB349" s="281" t="s">
        <x:v>118</x:v>
      </x:c>
      <x:c r="AC349" s="281" t="s">
        <x:v>118</x:v>
      </x:c>
      <x:c r="AD349" s="281" t="s">
        <x:v>118</x:v>
      </x:c>
      <x:c r="AE349" s="281" t="s">
        <x:v>118</x:v>
      </x:c>
      <x:c r="AF349" s="281" t="s">
        <x:v>118</x:v>
      </x:c>
      <x:c r="AG349" s="281" t="s">
        <x:v>118</x:v>
      </x:c>
      <x:c r="AH349" s="281" t="s">
        <x:v>118</x:v>
      </x:c>
      <x:c r="AI349" s="281" t="s">
        <x:v>118</x:v>
      </x:c>
      <x:c r="AJ349" s="281" t="s">
        <x:v>118</x:v>
      </x:c>
      <x:c r="AK349" s="220">
        <x:f>COUNTIF(F349:AJ349,"X")</x:f>
      </x:c>
      <x:c r="AL349" s="221"/>
      <x:c r="AM349" s="221"/>
      <x:c r="AN349" s="222"/>
      <x:c r="AO349" s="222"/>
      <x:c r="AP349" s="228"/>
      <x:c r="AQ349" s="228"/>
      <x:c r="AR349" s="228"/>
      <x:c r="AS349" s="228"/>
      <x:c r="AT349" s="230"/>
    </x:row>
    <x:row r="350" spans="1:47" ht="15" customHeight="1">
      <x:c r="A350" s="282" t="s">
        <x:v>2798</x:v>
      </x:c>
      <x:c r="B350" s="216"/>
      <x:c r="C350" s="283" t="s">
        <x:v>2799</x:v>
      </x:c>
      <x:c r="D350" s="282" t="s">
        <x:v>802</x:v>
      </x:c>
      <x:c r="E350" s="282" t="s">
        <x:v>2800</x:v>
      </x:c>
      <x:c r="F350" s="281" t="s">
        <x:v>118</x:v>
      </x:c>
      <x:c r="G350" s="281" t="s">
        <x:v>118</x:v>
      </x:c>
      <x:c r="H350" s="281" t="s">
        <x:v>118</x:v>
      </x:c>
      <x:c r="I350" s="281" t="s">
        <x:v>118</x:v>
      </x:c>
      <x:c r="J350" s="281" t="s">
        <x:v>118</x:v>
      </x:c>
      <x:c r="K350" s="281" t="s">
        <x:v>118</x:v>
      </x:c>
      <x:c r="L350" s="281" t="s">
        <x:v>118</x:v>
      </x:c>
      <x:c r="M350" s="281" t="s">
        <x:v>118</x:v>
      </x:c>
      <x:c r="N350" s="281" t="s">
        <x:v>118</x:v>
      </x:c>
      <x:c r="O350" s="281" t="s">
        <x:v>118</x:v>
      </x:c>
      <x:c r="P350" s="281" t="s">
        <x:v>118</x:v>
      </x:c>
      <x:c r="Q350" s="281" t="s">
        <x:v>118</x:v>
      </x:c>
      <x:c r="R350" s="281" t="s">
        <x:v>118</x:v>
      </x:c>
      <x:c r="S350" s="281" t="s">
        <x:v>118</x:v>
      </x:c>
      <x:c r="T350" s="281" t="s">
        <x:v>118</x:v>
      </x:c>
      <x:c r="U350" s="281" t="s">
        <x:v>118</x:v>
      </x:c>
      <x:c r="V350" s="281" t="s">
        <x:v>118</x:v>
      </x:c>
      <x:c r="W350" s="281" t="s">
        <x:v>118</x:v>
      </x:c>
      <x:c r="X350" s="281" t="s">
        <x:v>118</x:v>
      </x:c>
      <x:c r="Y350" s="281" t="s">
        <x:v>118</x:v>
      </x:c>
      <x:c r="Z350" s="281" t="s">
        <x:v>118</x:v>
      </x:c>
      <x:c r="AA350" s="281" t="s">
        <x:v>118</x:v>
      </x:c>
      <x:c r="AB350" s="281" t="s">
        <x:v>118</x:v>
      </x:c>
      <x:c r="AC350" s="281" t="s">
        <x:v>118</x:v>
      </x:c>
      <x:c r="AD350" s="281" t="s">
        <x:v>118</x:v>
      </x:c>
      <x:c r="AE350" s="281" t="s">
        <x:v>118</x:v>
      </x:c>
      <x:c r="AF350" s="281" t="s">
        <x:v>118</x:v>
      </x:c>
      <x:c r="AG350" s="281" t="s">
        <x:v>118</x:v>
      </x:c>
      <x:c r="AH350" s="281" t="s">
        <x:v>118</x:v>
      </x:c>
      <x:c r="AI350" s="281" t="s">
        <x:v>118</x:v>
      </x:c>
      <x:c r="AJ350" s="281" t="s">
        <x:v>118</x:v>
      </x:c>
      <x:c r="AK350" s="220">
        <x:f>COUNTIF(F350:AJ350,"X")</x:f>
      </x:c>
      <x:c r="AL350" s="221"/>
      <x:c r="AM350" s="221"/>
      <x:c r="AN350" s="222"/>
      <x:c r="AO350" s="222"/>
      <x:c r="AP350" s="228"/>
      <x:c r="AQ350" s="228"/>
      <x:c r="AR350" s="228"/>
      <x:c r="AS350" s="228"/>
      <x:c r="AT350" s="230"/>
    </x:row>
    <x:row r="351" spans="1:47" ht="15" customHeight="1">
      <x:c r="A351" s="284" t="s">
        <x:v>2801</x:v>
      </x:c>
      <x:c r="B351" s="216"/>
      <x:c r="C351" s="284" t="s">
        <x:v>2802</x:v>
      </x:c>
      <x:c r="D351" s="284" t="s">
        <x:v>802</x:v>
      </x:c>
      <x:c r="E351" s="284" t="s">
        <x:v>2803</x:v>
      </x:c>
      <x:c r="F351" s="281" t="s">
        <x:v>118</x:v>
      </x:c>
      <x:c r="G351" s="281" t="s">
        <x:v>118</x:v>
      </x:c>
      <x:c r="H351" s="281" t="s">
        <x:v>118</x:v>
      </x:c>
      <x:c r="I351" s="281" t="s">
        <x:v>118</x:v>
      </x:c>
      <x:c r="J351" s="281" t="s">
        <x:v>118</x:v>
      </x:c>
      <x:c r="K351" s="281" t="s">
        <x:v>118</x:v>
      </x:c>
      <x:c r="L351" s="281" t="s">
        <x:v>118</x:v>
      </x:c>
      <x:c r="M351" s="281" t="s">
        <x:v>118</x:v>
      </x:c>
      <x:c r="N351" s="281" t="s">
        <x:v>118</x:v>
      </x:c>
      <x:c r="O351" s="281" t="s">
        <x:v>118</x:v>
      </x:c>
      <x:c r="P351" s="281" t="s">
        <x:v>118</x:v>
      </x:c>
      <x:c r="Q351" s="281" t="s">
        <x:v>118</x:v>
      </x:c>
      <x:c r="R351" s="281" t="s">
        <x:v>118</x:v>
      </x:c>
      <x:c r="S351" s="281" t="s">
        <x:v>118</x:v>
      </x:c>
      <x:c r="T351" s="281" t="s">
        <x:v>118</x:v>
      </x:c>
      <x:c r="U351" s="281" t="s">
        <x:v>118</x:v>
      </x:c>
      <x:c r="V351" s="281" t="s">
        <x:v>118</x:v>
      </x:c>
      <x:c r="W351" s="281" t="s">
        <x:v>118</x:v>
      </x:c>
      <x:c r="X351" s="281" t="s">
        <x:v>118</x:v>
      </x:c>
      <x:c r="Y351" s="281" t="s">
        <x:v>118</x:v>
      </x:c>
      <x:c r="Z351" s="281" t="s">
        <x:v>118</x:v>
      </x:c>
      <x:c r="AA351" s="281" t="s">
        <x:v>118</x:v>
      </x:c>
      <x:c r="AB351" s="281" t="s">
        <x:v>118</x:v>
      </x:c>
      <x:c r="AC351" s="281" t="s">
        <x:v>118</x:v>
      </x:c>
      <x:c r="AD351" s="281" t="s">
        <x:v>118</x:v>
      </x:c>
      <x:c r="AE351" s="281" t="s">
        <x:v>118</x:v>
      </x:c>
      <x:c r="AF351" s="281" t="s">
        <x:v>118</x:v>
      </x:c>
      <x:c r="AG351" s="281" t="s">
        <x:v>118</x:v>
      </x:c>
      <x:c r="AH351" s="281" t="s">
        <x:v>118</x:v>
      </x:c>
      <x:c r="AI351" s="281" t="s">
        <x:v>118</x:v>
      </x:c>
      <x:c r="AJ351" s="281" t="s">
        <x:v>118</x:v>
      </x:c>
      <x:c r="AK351" s="220">
        <x:f>COUNTIF(F351:AJ351,"X")</x:f>
      </x:c>
      <x:c r="AL351" s="221"/>
      <x:c r="AM351" s="221"/>
      <x:c r="AN351" s="222"/>
      <x:c r="AO351" s="222"/>
      <x:c r="AP351" s="228"/>
      <x:c r="AQ351" s="228"/>
      <x:c r="AR351" s="228"/>
      <x:c r="AS351" s="228"/>
      <x:c r="AT351" s="228"/>
    </x:row>
    <x:row r="352" spans="1:47" ht="15" customHeight="1">
      <x:c r="A352" s="284" t="s">
        <x:v>2804</x:v>
      </x:c>
      <x:c r="B352" s="216"/>
      <x:c r="C352" s="284" t="s">
        <x:v>2805</x:v>
      </x:c>
      <x:c r="D352" s="284" t="s">
        <x:v>802</x:v>
      </x:c>
      <x:c r="E352" s="284" t="s">
        <x:v>2806</x:v>
      </x:c>
      <x:c r="F352" s="281" t="s">
        <x:v>118</x:v>
      </x:c>
      <x:c r="G352" s="281" t="s">
        <x:v>118</x:v>
      </x:c>
      <x:c r="H352" s="281" t="s">
        <x:v>118</x:v>
      </x:c>
      <x:c r="I352" s="281" t="s">
        <x:v>118</x:v>
      </x:c>
      <x:c r="J352" s="281" t="s">
        <x:v>118</x:v>
      </x:c>
      <x:c r="K352" s="281" t="s">
        <x:v>118</x:v>
      </x:c>
      <x:c r="L352" s="281" t="s">
        <x:v>118</x:v>
      </x:c>
      <x:c r="M352" s="281" t="s">
        <x:v>118</x:v>
      </x:c>
      <x:c r="N352" s="281" t="s">
        <x:v>118</x:v>
      </x:c>
      <x:c r="O352" s="281" t="s">
        <x:v>118</x:v>
      </x:c>
      <x:c r="P352" s="281" t="s">
        <x:v>118</x:v>
      </x:c>
      <x:c r="Q352" s="281" t="s">
        <x:v>118</x:v>
      </x:c>
      <x:c r="R352" s="281" t="s">
        <x:v>118</x:v>
      </x:c>
      <x:c r="S352" s="281" t="s">
        <x:v>118</x:v>
      </x:c>
      <x:c r="T352" s="281" t="s">
        <x:v>118</x:v>
      </x:c>
      <x:c r="U352" s="281" t="s">
        <x:v>118</x:v>
      </x:c>
      <x:c r="V352" s="281" t="s">
        <x:v>118</x:v>
      </x:c>
      <x:c r="W352" s="281" t="s">
        <x:v>118</x:v>
      </x:c>
      <x:c r="X352" s="281" t="s">
        <x:v>118</x:v>
      </x:c>
      <x:c r="Y352" s="281" t="s">
        <x:v>118</x:v>
      </x:c>
      <x:c r="Z352" s="281" t="s">
        <x:v>118</x:v>
      </x:c>
      <x:c r="AA352" s="281" t="s">
        <x:v>118</x:v>
      </x:c>
      <x:c r="AB352" s="281" t="s">
        <x:v>118</x:v>
      </x:c>
      <x:c r="AC352" s="281" t="s">
        <x:v>118</x:v>
      </x:c>
      <x:c r="AD352" s="281" t="s">
        <x:v>118</x:v>
      </x:c>
      <x:c r="AE352" s="281" t="s">
        <x:v>118</x:v>
      </x:c>
      <x:c r="AF352" s="281" t="s">
        <x:v>118</x:v>
      </x:c>
      <x:c r="AG352" s="281" t="s">
        <x:v>118</x:v>
      </x:c>
      <x:c r="AH352" s="281" t="s">
        <x:v>118</x:v>
      </x:c>
      <x:c r="AI352" s="281" t="s">
        <x:v>118</x:v>
      </x:c>
      <x:c r="AJ352" s="281" t="s">
        <x:v>118</x:v>
      </x:c>
      <x:c r="AK352" s="220">
        <x:f>COUNTIF(F352:AJ352,"X")</x:f>
      </x:c>
      <x:c r="AL352" s="221"/>
      <x:c r="AM352" s="221"/>
      <x:c r="AN352" s="222"/>
      <x:c r="AO352" s="222"/>
      <x:c r="AP352" s="228"/>
      <x:c r="AQ352" s="228"/>
      <x:c r="AR352" s="228"/>
      <x:c r="AS352" s="228"/>
      <x:c r="AT352" s="228"/>
    </x:row>
    <x:row r="353" spans="1:47" ht="15" customHeight="1">
      <x:c r="A353" s="284" t="s">
        <x:v>2807</x:v>
      </x:c>
      <x:c r="B353" s="216"/>
      <x:c r="C353" s="284" t="s">
        <x:v>2808</x:v>
      </x:c>
      <x:c r="D353" s="284" t="s">
        <x:v>2809</x:v>
      </x:c>
      <x:c r="E353" s="284" t="s">
        <x:v>755</x:v>
      </x:c>
      <x:c r="F353" s="281" t="s">
        <x:v>118</x:v>
      </x:c>
      <x:c r="G353" s="281" t="s">
        <x:v>118</x:v>
      </x:c>
      <x:c r="H353" s="281" t="s">
        <x:v>118</x:v>
      </x:c>
      <x:c r="I353" s="281" t="s">
        <x:v>118</x:v>
      </x:c>
      <x:c r="J353" s="281" t="s">
        <x:v>118</x:v>
      </x:c>
      <x:c r="K353" s="281" t="s">
        <x:v>118</x:v>
      </x:c>
      <x:c r="L353" s="281" t="s">
        <x:v>118</x:v>
      </x:c>
      <x:c r="M353" s="281" t="s">
        <x:v>118</x:v>
      </x:c>
      <x:c r="N353" s="281" t="s">
        <x:v>118</x:v>
      </x:c>
      <x:c r="O353" s="281" t="s">
        <x:v>118</x:v>
      </x:c>
      <x:c r="P353" s="281" t="s">
        <x:v>118</x:v>
      </x:c>
      <x:c r="Q353" s="281" t="s">
        <x:v>118</x:v>
      </x:c>
      <x:c r="R353" s="281" t="s">
        <x:v>118</x:v>
      </x:c>
      <x:c r="S353" s="281" t="s">
        <x:v>118</x:v>
      </x:c>
      <x:c r="T353" s="281" t="s">
        <x:v>118</x:v>
      </x:c>
      <x:c r="U353" s="281" t="s">
        <x:v>118</x:v>
      </x:c>
      <x:c r="V353" s="281" t="s">
        <x:v>118</x:v>
      </x:c>
      <x:c r="W353" s="281" t="s">
        <x:v>118</x:v>
      </x:c>
      <x:c r="X353" s="281" t="s">
        <x:v>118</x:v>
      </x:c>
      <x:c r="Y353" s="281" t="s">
        <x:v>118</x:v>
      </x:c>
      <x:c r="Z353" s="281" t="s">
        <x:v>118</x:v>
      </x:c>
      <x:c r="AA353" s="281" t="s">
        <x:v>118</x:v>
      </x:c>
      <x:c r="AB353" s="281" t="s">
        <x:v>118</x:v>
      </x:c>
      <x:c r="AC353" s="281" t="s">
        <x:v>118</x:v>
      </x:c>
      <x:c r="AD353" s="281" t="s">
        <x:v>118</x:v>
      </x:c>
      <x:c r="AE353" s="281" t="s">
        <x:v>118</x:v>
      </x:c>
      <x:c r="AF353" s="281" t="s">
        <x:v>118</x:v>
      </x:c>
      <x:c r="AG353" s="281" t="s">
        <x:v>118</x:v>
      </x:c>
      <x:c r="AH353" s="281" t="s">
        <x:v>118</x:v>
      </x:c>
      <x:c r="AI353" s="281" t="s">
        <x:v>118</x:v>
      </x:c>
      <x:c r="AJ353" s="281" t="s">
        <x:v>118</x:v>
      </x:c>
      <x:c r="AK353" s="220">
        <x:f>COUNTIF(F353:AJ353,"X")</x:f>
      </x:c>
      <x:c r="AL353" s="221"/>
      <x:c r="AM353" s="221"/>
      <x:c r="AN353" s="222"/>
      <x:c r="AO353" s="222"/>
      <x:c r="AP353" s="228"/>
      <x:c r="AQ353" s="228"/>
      <x:c r="AR353" s="228"/>
      <x:c r="AS353" s="228"/>
      <x:c r="AT353" s="228"/>
    </x:row>
    <x:row r="354" spans="1:47" ht="15" customHeight="1">
      <x:c r="A354" s="285" t="s">
        <x:v>2810</x:v>
      </x:c>
      <x:c r="B354" s="216"/>
      <x:c r="C354" s="285" t="s">
        <x:v>2811</x:v>
      </x:c>
      <x:c r="D354" s="285" t="s">
        <x:v>2812</x:v>
      </x:c>
      <x:c r="E354" s="285" t="s">
        <x:v>2813</x:v>
      </x:c>
      <x:c r="F354" s="286" t="s">
        <x:v>118</x:v>
      </x:c>
      <x:c r="G354" s="286" t="s">
        <x:v>118</x:v>
      </x:c>
      <x:c r="H354" s="286" t="s">
        <x:v>118</x:v>
      </x:c>
      <x:c r="I354" s="286" t="s">
        <x:v>118</x:v>
      </x:c>
      <x:c r="J354" s="286" t="s">
        <x:v>118</x:v>
      </x:c>
      <x:c r="K354" s="286" t="s">
        <x:v>118</x:v>
      </x:c>
      <x:c r="L354" s="286" t="s">
        <x:v>118</x:v>
      </x:c>
      <x:c r="M354" s="286" t="s">
        <x:v>118</x:v>
      </x:c>
      <x:c r="N354" s="286" t="s">
        <x:v>118</x:v>
      </x:c>
      <x:c r="O354" s="286" t="s">
        <x:v>118</x:v>
      </x:c>
      <x:c r="P354" s="286" t="s">
        <x:v>118</x:v>
      </x:c>
      <x:c r="Q354" s="286" t="s">
        <x:v>118</x:v>
      </x:c>
      <x:c r="R354" s="286" t="s">
        <x:v>118</x:v>
      </x:c>
      <x:c r="S354" s="286" t="s">
        <x:v>118</x:v>
      </x:c>
      <x:c r="T354" s="286" t="s">
        <x:v>118</x:v>
      </x:c>
      <x:c r="U354" s="286" t="s">
        <x:v>118</x:v>
      </x:c>
      <x:c r="V354" s="286" t="s">
        <x:v>118</x:v>
      </x:c>
      <x:c r="W354" s="286" t="s">
        <x:v>118</x:v>
      </x:c>
      <x:c r="X354" s="286" t="s">
        <x:v>118</x:v>
      </x:c>
      <x:c r="Y354" s="286" t="s">
        <x:v>118</x:v>
      </x:c>
      <x:c r="Z354" s="286" t="s">
        <x:v>118</x:v>
      </x:c>
      <x:c r="AA354" s="286" t="s">
        <x:v>118</x:v>
      </x:c>
      <x:c r="AB354" s="286" t="s">
        <x:v>118</x:v>
      </x:c>
      <x:c r="AC354" s="286" t="s">
        <x:v>118</x:v>
      </x:c>
      <x:c r="AD354" s="286" t="s">
        <x:v>118</x:v>
      </x:c>
      <x:c r="AE354" s="286" t="s">
        <x:v>118</x:v>
      </x:c>
      <x:c r="AF354" s="286" t="s">
        <x:v>118</x:v>
      </x:c>
      <x:c r="AG354" s="286" t="s">
        <x:v>118</x:v>
      </x:c>
      <x:c r="AH354" s="286" t="s">
        <x:v>118</x:v>
      </x:c>
      <x:c r="AI354" s="286" t="s">
        <x:v>118</x:v>
      </x:c>
      <x:c r="AJ354" s="286" t="s">
        <x:v>118</x:v>
      </x:c>
      <x:c r="AK354" s="220">
        <x:f>COUNTIF(F354:AJ354,"X")</x:f>
      </x:c>
      <x:c r="AL354" s="221"/>
      <x:c r="AM354" s="221"/>
      <x:c r="AN354" s="123"/>
      <x:c r="AO354" s="123"/>
    </x:row>
    <x:row r="355" spans="1:47" ht="15" customHeight="1">
      <x:c r="A355" s="285" t="s">
        <x:v>2814</x:v>
      </x:c>
      <x:c r="B355" s="216"/>
      <x:c r="C355" s="285" t="s">
        <x:v>2815</x:v>
      </x:c>
      <x:c r="D355" s="285" t="s">
        <x:v>2816</x:v>
      </x:c>
      <x:c r="E355" s="285" t="s">
        <x:v>486</x:v>
      </x:c>
      <x:c r="F355" s="286" t="s">
        <x:v>118</x:v>
      </x:c>
      <x:c r="G355" s="286" t="s">
        <x:v>118</x:v>
      </x:c>
      <x:c r="H355" s="286" t="s">
        <x:v>118</x:v>
      </x:c>
      <x:c r="I355" s="286" t="s">
        <x:v>118</x:v>
      </x:c>
      <x:c r="J355" s="286" t="s">
        <x:v>118</x:v>
      </x:c>
      <x:c r="K355" s="286" t="s">
        <x:v>118</x:v>
      </x:c>
      <x:c r="L355" s="286" t="s">
        <x:v>118</x:v>
      </x:c>
      <x:c r="M355" s="286" t="s">
        <x:v>118</x:v>
      </x:c>
      <x:c r="N355" s="286" t="s">
        <x:v>118</x:v>
      </x:c>
      <x:c r="O355" s="286" t="s">
        <x:v>118</x:v>
      </x:c>
      <x:c r="P355" s="286" t="s">
        <x:v>118</x:v>
      </x:c>
      <x:c r="Q355" s="286" t="s">
        <x:v>118</x:v>
      </x:c>
      <x:c r="R355" s="286" t="s">
        <x:v>118</x:v>
      </x:c>
      <x:c r="S355" s="286" t="s">
        <x:v>118</x:v>
      </x:c>
      <x:c r="T355" s="286" t="s">
        <x:v>118</x:v>
      </x:c>
      <x:c r="U355" s="286" t="s">
        <x:v>118</x:v>
      </x:c>
      <x:c r="V355" s="286" t="s">
        <x:v>118</x:v>
      </x:c>
      <x:c r="W355" s="286" t="s">
        <x:v>118</x:v>
      </x:c>
      <x:c r="X355" s="286" t="s">
        <x:v>118</x:v>
      </x:c>
      <x:c r="Y355" s="286" t="s">
        <x:v>118</x:v>
      </x:c>
      <x:c r="Z355" s="286" t="s">
        <x:v>118</x:v>
      </x:c>
      <x:c r="AA355" s="286" t="s">
        <x:v>118</x:v>
      </x:c>
      <x:c r="AB355" s="286" t="s">
        <x:v>118</x:v>
      </x:c>
      <x:c r="AC355" s="286" t="s">
        <x:v>118</x:v>
      </x:c>
      <x:c r="AD355" s="286" t="s">
        <x:v>118</x:v>
      </x:c>
      <x:c r="AE355" s="286" t="s">
        <x:v>118</x:v>
      </x:c>
      <x:c r="AF355" s="286" t="s">
        <x:v>118</x:v>
      </x:c>
      <x:c r="AG355" s="286" t="s">
        <x:v>118</x:v>
      </x:c>
      <x:c r="AH355" s="286" t="s">
        <x:v>118</x:v>
      </x:c>
      <x:c r="AI355" s="286" t="s">
        <x:v>118</x:v>
      </x:c>
      <x:c r="AJ355" s="286" t="s">
        <x:v>118</x:v>
      </x:c>
      <x:c r="AK355" s="220">
        <x:f>COUNTIF(F355:AJ355,"X")</x:f>
      </x:c>
      <x:c r="AL355" s="221"/>
      <x:c r="AM355" s="221"/>
      <x:c r="AN355" s="123"/>
      <x:c r="AO355" s="123"/>
    </x:row>
    <x:row r="356" spans="1:47" ht="15" customHeight="1">
      <x:c r="A356" s="285" t="s">
        <x:v>2817</x:v>
      </x:c>
      <x:c r="B356" s="216"/>
      <x:c r="C356" s="285" t="s">
        <x:v>2818</x:v>
      </x:c>
      <x:c r="D356" s="285" t="s">
        <x:v>1685</x:v>
      </x:c>
      <x:c r="E356" s="285" t="s">
        <x:v>1223</x:v>
      </x:c>
      <x:c r="F356" s="286" t="s">
        <x:v>118</x:v>
      </x:c>
      <x:c r="G356" s="286" t="s">
        <x:v>118</x:v>
      </x:c>
      <x:c r="H356" s="286" t="s">
        <x:v>118</x:v>
      </x:c>
      <x:c r="I356" s="286" t="s">
        <x:v>118</x:v>
      </x:c>
      <x:c r="J356" s="286" t="s">
        <x:v>118</x:v>
      </x:c>
      <x:c r="K356" s="286" t="s">
        <x:v>118</x:v>
      </x:c>
      <x:c r="L356" s="286" t="s">
        <x:v>118</x:v>
      </x:c>
      <x:c r="M356" s="286" t="s">
        <x:v>118</x:v>
      </x:c>
      <x:c r="N356" s="286" t="s">
        <x:v>118</x:v>
      </x:c>
      <x:c r="O356" s="286" t="s">
        <x:v>118</x:v>
      </x:c>
      <x:c r="P356" s="286" t="s">
        <x:v>118</x:v>
      </x:c>
      <x:c r="Q356" s="286" t="s">
        <x:v>118</x:v>
      </x:c>
      <x:c r="R356" s="286" t="s">
        <x:v>118</x:v>
      </x:c>
      <x:c r="S356" s="286" t="s">
        <x:v>118</x:v>
      </x:c>
      <x:c r="T356" s="286" t="s">
        <x:v>118</x:v>
      </x:c>
      <x:c r="U356" s="286" t="s">
        <x:v>118</x:v>
      </x:c>
      <x:c r="V356" s="286" t="s">
        <x:v>118</x:v>
      </x:c>
      <x:c r="W356" s="286" t="s">
        <x:v>118</x:v>
      </x:c>
      <x:c r="X356" s="286" t="s">
        <x:v>118</x:v>
      </x:c>
      <x:c r="Y356" s="286" t="s">
        <x:v>118</x:v>
      </x:c>
      <x:c r="Z356" s="286" t="s">
        <x:v>118</x:v>
      </x:c>
      <x:c r="AA356" s="286" t="s">
        <x:v>118</x:v>
      </x:c>
      <x:c r="AB356" s="286" t="s">
        <x:v>118</x:v>
      </x:c>
      <x:c r="AC356" s="286" t="s">
        <x:v>118</x:v>
      </x:c>
      <x:c r="AD356" s="286" t="s">
        <x:v>118</x:v>
      </x:c>
      <x:c r="AE356" s="286" t="s">
        <x:v>118</x:v>
      </x:c>
      <x:c r="AF356" s="286" t="s">
        <x:v>118</x:v>
      </x:c>
      <x:c r="AG356" s="286" t="s">
        <x:v>118</x:v>
      </x:c>
      <x:c r="AH356" s="286" t="s">
        <x:v>118</x:v>
      </x:c>
      <x:c r="AI356" s="286" t="s">
        <x:v>118</x:v>
      </x:c>
      <x:c r="AJ356" s="286" t="s">
        <x:v>118</x:v>
      </x:c>
      <x:c r="AK356" s="220">
        <x:f>COUNTIF(F356:AJ356,"X")</x:f>
      </x:c>
      <x:c r="AL356" s="221"/>
      <x:c r="AM356" s="221"/>
      <x:c r="AN356" s="123"/>
      <x:c r="AO356" s="123"/>
    </x:row>
    <x:row r="357" spans="1:47" ht="15" customHeight="1">
      <x:c r="A357" s="285" t="s">
        <x:v>2819</x:v>
      </x:c>
      <x:c r="B357" s="216"/>
      <x:c r="C357" s="285" t="s">
        <x:v>2820</x:v>
      </x:c>
      <x:c r="D357" s="285" t="s">
        <x:v>1685</x:v>
      </x:c>
      <x:c r="E357" s="285" t="s">
        <x:v>2821</x:v>
      </x:c>
      <x:c r="F357" s="286" t="s">
        <x:v>118</x:v>
      </x:c>
      <x:c r="G357" s="286" t="s">
        <x:v>118</x:v>
      </x:c>
      <x:c r="H357" s="286" t="s">
        <x:v>118</x:v>
      </x:c>
      <x:c r="I357" s="286" t="s">
        <x:v>118</x:v>
      </x:c>
      <x:c r="J357" s="286" t="s">
        <x:v>118</x:v>
      </x:c>
      <x:c r="K357" s="286" t="s">
        <x:v>118</x:v>
      </x:c>
      <x:c r="L357" s="286" t="s">
        <x:v>118</x:v>
      </x:c>
      <x:c r="M357" s="286" t="s">
        <x:v>118</x:v>
      </x:c>
      <x:c r="N357" s="286" t="s">
        <x:v>118</x:v>
      </x:c>
      <x:c r="O357" s="286" t="s">
        <x:v>118</x:v>
      </x:c>
      <x:c r="P357" s="286" t="s">
        <x:v>118</x:v>
      </x:c>
      <x:c r="Q357" s="286" t="s">
        <x:v>118</x:v>
      </x:c>
      <x:c r="R357" s="286" t="s">
        <x:v>118</x:v>
      </x:c>
      <x:c r="S357" s="286" t="s">
        <x:v>118</x:v>
      </x:c>
      <x:c r="T357" s="286" t="s">
        <x:v>118</x:v>
      </x:c>
      <x:c r="U357" s="286" t="s">
        <x:v>118</x:v>
      </x:c>
      <x:c r="V357" s="286" t="s">
        <x:v>118</x:v>
      </x:c>
      <x:c r="W357" s="286" t="s">
        <x:v>118</x:v>
      </x:c>
      <x:c r="X357" s="286" t="s">
        <x:v>118</x:v>
      </x:c>
      <x:c r="Y357" s="286" t="s">
        <x:v>118</x:v>
      </x:c>
      <x:c r="Z357" s="286" t="s">
        <x:v>118</x:v>
      </x:c>
      <x:c r="AA357" s="286" t="s">
        <x:v>118</x:v>
      </x:c>
      <x:c r="AB357" s="286" t="s">
        <x:v>118</x:v>
      </x:c>
      <x:c r="AC357" s="286" t="s">
        <x:v>118</x:v>
      </x:c>
      <x:c r="AD357" s="286" t="s">
        <x:v>118</x:v>
      </x:c>
      <x:c r="AE357" s="286" t="s">
        <x:v>118</x:v>
      </x:c>
      <x:c r="AF357" s="286" t="s">
        <x:v>118</x:v>
      </x:c>
      <x:c r="AG357" s="286" t="s">
        <x:v>118</x:v>
      </x:c>
      <x:c r="AH357" s="286" t="s">
        <x:v>118</x:v>
      </x:c>
      <x:c r="AI357" s="286" t="s">
        <x:v>118</x:v>
      </x:c>
      <x:c r="AJ357" s="286" t="s">
        <x:v>118</x:v>
      </x:c>
      <x:c r="AK357" s="220">
        <x:f>COUNTIF(F357:AJ357,"X")</x:f>
      </x:c>
      <x:c r="AL357" s="221"/>
      <x:c r="AM357" s="221"/>
      <x:c r="AN357" s="123"/>
      <x:c r="AO357" s="123"/>
    </x:row>
    <x:row r="358" spans="1:47" ht="15" customHeight="1">
      <x:c r="A358" s="285" t="s">
        <x:v>2822</x:v>
      </x:c>
      <x:c r="B358" s="216"/>
      <x:c r="C358" s="285" t="s">
        <x:v>2823</x:v>
      </x:c>
      <x:c r="D358" s="285" t="s">
        <x:v>1685</x:v>
      </x:c>
      <x:c r="E358" s="285" t="s">
        <x:v>239</x:v>
      </x:c>
      <x:c r="F358" s="286" t="s">
        <x:v>118</x:v>
      </x:c>
      <x:c r="G358" s="286" t="s">
        <x:v>118</x:v>
      </x:c>
      <x:c r="H358" s="286" t="s">
        <x:v>118</x:v>
      </x:c>
      <x:c r="I358" s="286" t="s">
        <x:v>118</x:v>
      </x:c>
      <x:c r="J358" s="286" t="s">
        <x:v>118</x:v>
      </x:c>
      <x:c r="K358" s="286" t="s">
        <x:v>118</x:v>
      </x:c>
      <x:c r="L358" s="286" t="s">
        <x:v>118</x:v>
      </x:c>
      <x:c r="M358" s="286" t="s">
        <x:v>118</x:v>
      </x:c>
      <x:c r="N358" s="286" t="s">
        <x:v>118</x:v>
      </x:c>
      <x:c r="O358" s="286" t="s">
        <x:v>118</x:v>
      </x:c>
      <x:c r="P358" s="286" t="s">
        <x:v>118</x:v>
      </x:c>
      <x:c r="Q358" s="286" t="s">
        <x:v>118</x:v>
      </x:c>
      <x:c r="R358" s="286" t="s">
        <x:v>118</x:v>
      </x:c>
      <x:c r="S358" s="286" t="s">
        <x:v>118</x:v>
      </x:c>
      <x:c r="T358" s="286" t="s">
        <x:v>118</x:v>
      </x:c>
      <x:c r="U358" s="286" t="s">
        <x:v>118</x:v>
      </x:c>
      <x:c r="V358" s="286" t="s">
        <x:v>118</x:v>
      </x:c>
      <x:c r="W358" s="286" t="s">
        <x:v>118</x:v>
      </x:c>
      <x:c r="X358" s="286" t="s">
        <x:v>118</x:v>
      </x:c>
      <x:c r="Y358" s="286" t="s">
        <x:v>118</x:v>
      </x:c>
      <x:c r="Z358" s="286" t="s">
        <x:v>118</x:v>
      </x:c>
      <x:c r="AA358" s="286" t="s">
        <x:v>118</x:v>
      </x:c>
      <x:c r="AB358" s="286" t="s">
        <x:v>118</x:v>
      </x:c>
      <x:c r="AC358" s="286" t="s">
        <x:v>118</x:v>
      </x:c>
      <x:c r="AD358" s="286" t="s">
        <x:v>118</x:v>
      </x:c>
      <x:c r="AE358" s="286" t="s">
        <x:v>118</x:v>
      </x:c>
      <x:c r="AF358" s="286" t="s">
        <x:v>118</x:v>
      </x:c>
      <x:c r="AG358" s="286" t="s">
        <x:v>118</x:v>
      </x:c>
      <x:c r="AH358" s="286" t="s">
        <x:v>118</x:v>
      </x:c>
      <x:c r="AI358" s="286" t="s">
        <x:v>118</x:v>
      </x:c>
      <x:c r="AJ358" s="286" t="s">
        <x:v>118</x:v>
      </x:c>
      <x:c r="AK358" s="220">
        <x:f>COUNTIF(F358:AJ358,"X")</x:f>
      </x:c>
      <x:c r="AL358" s="221"/>
      <x:c r="AM358" s="221"/>
      <x:c r="AN358" s="123"/>
      <x:c r="AO358" s="123"/>
    </x:row>
    <x:row r="359" spans="1:47" ht="15" customHeight="1">
      <x:c r="A359" s="285" t="s">
        <x:v>2824</x:v>
      </x:c>
      <x:c r="B359" s="216"/>
      <x:c r="C359" s="285" t="s">
        <x:v>2825</x:v>
      </x:c>
      <x:c r="D359" s="285" t="s">
        <x:v>2826</x:v>
      </x:c>
      <x:c r="E359" s="285" t="s">
        <x:v>1448</x:v>
      </x:c>
      <x:c r="F359" s="286" t="s">
        <x:v>118</x:v>
      </x:c>
      <x:c r="G359" s="286" t="s">
        <x:v>118</x:v>
      </x:c>
      <x:c r="H359" s="286" t="s">
        <x:v>118</x:v>
      </x:c>
      <x:c r="I359" s="286" t="s">
        <x:v>118</x:v>
      </x:c>
      <x:c r="J359" s="286" t="s">
        <x:v>118</x:v>
      </x:c>
      <x:c r="K359" s="286" t="s">
        <x:v>118</x:v>
      </x:c>
      <x:c r="L359" s="286" t="s">
        <x:v>118</x:v>
      </x:c>
      <x:c r="M359" s="286" t="s">
        <x:v>118</x:v>
      </x:c>
      <x:c r="N359" s="286" t="s">
        <x:v>118</x:v>
      </x:c>
      <x:c r="O359" s="286" t="s">
        <x:v>118</x:v>
      </x:c>
      <x:c r="P359" s="286" t="s">
        <x:v>118</x:v>
      </x:c>
      <x:c r="Q359" s="286" t="s">
        <x:v>118</x:v>
      </x:c>
      <x:c r="R359" s="286" t="s">
        <x:v>118</x:v>
      </x:c>
      <x:c r="S359" s="286" t="s">
        <x:v>118</x:v>
      </x:c>
      <x:c r="T359" s="286" t="s">
        <x:v>118</x:v>
      </x:c>
      <x:c r="U359" s="286" t="s">
        <x:v>118</x:v>
      </x:c>
      <x:c r="V359" s="286" t="s">
        <x:v>118</x:v>
      </x:c>
      <x:c r="W359" s="286" t="s">
        <x:v>118</x:v>
      </x:c>
      <x:c r="X359" s="286" t="s">
        <x:v>118</x:v>
      </x:c>
      <x:c r="Y359" s="286" t="s">
        <x:v>118</x:v>
      </x:c>
      <x:c r="Z359" s="286" t="s">
        <x:v>118</x:v>
      </x:c>
      <x:c r="AA359" s="286" t="s">
        <x:v>118</x:v>
      </x:c>
      <x:c r="AB359" s="286" t="s">
        <x:v>118</x:v>
      </x:c>
      <x:c r="AC359" s="286" t="s">
        <x:v>118</x:v>
      </x:c>
      <x:c r="AD359" s="286" t="s">
        <x:v>118</x:v>
      </x:c>
      <x:c r="AE359" s="286" t="s">
        <x:v>118</x:v>
      </x:c>
      <x:c r="AF359" s="286" t="s">
        <x:v>118</x:v>
      </x:c>
      <x:c r="AG359" s="286" t="s">
        <x:v>118</x:v>
      </x:c>
      <x:c r="AH359" s="286" t="s">
        <x:v>118</x:v>
      </x:c>
      <x:c r="AI359" s="286" t="s">
        <x:v>118</x:v>
      </x:c>
      <x:c r="AJ359" s="286" t="s">
        <x:v>118</x:v>
      </x:c>
      <x:c r="AK359" s="220">
        <x:f>COUNTIF(F359:AJ359,"X")</x:f>
      </x:c>
      <x:c r="AL359" s="221"/>
      <x:c r="AM359" s="221"/>
      <x:c r="AN359" s="123"/>
      <x:c r="AO359" s="123"/>
    </x:row>
    <x:row r="360" spans="1:47" ht="15" customHeight="1">
      <x:c r="A360" s="285" t="s">
        <x:v>2827</x:v>
      </x:c>
      <x:c r="B360" s="216"/>
      <x:c r="C360" s="285" t="s">
        <x:v>2828</x:v>
      </x:c>
      <x:c r="D360" s="285" t="s">
        <x:v>2829</x:v>
      </x:c>
      <x:c r="E360" s="285" t="s">
        <x:v>2830</x:v>
      </x:c>
      <x:c r="F360" s="286" t="s">
        <x:v>118</x:v>
      </x:c>
      <x:c r="G360" s="286" t="s">
        <x:v>118</x:v>
      </x:c>
      <x:c r="H360" s="286" t="s">
        <x:v>118</x:v>
      </x:c>
      <x:c r="I360" s="286" t="s">
        <x:v>118</x:v>
      </x:c>
      <x:c r="J360" s="286" t="s">
        <x:v>118</x:v>
      </x:c>
      <x:c r="K360" s="286" t="s">
        <x:v>118</x:v>
      </x:c>
      <x:c r="L360" s="286" t="s">
        <x:v>118</x:v>
      </x:c>
      <x:c r="M360" s="286" t="s">
        <x:v>118</x:v>
      </x:c>
      <x:c r="N360" s="286" t="s">
        <x:v>118</x:v>
      </x:c>
      <x:c r="O360" s="286" t="s">
        <x:v>118</x:v>
      </x:c>
      <x:c r="P360" s="286" t="s">
        <x:v>118</x:v>
      </x:c>
      <x:c r="Q360" s="286" t="s">
        <x:v>118</x:v>
      </x:c>
      <x:c r="R360" s="286" t="s">
        <x:v>118</x:v>
      </x:c>
      <x:c r="S360" s="286" t="s">
        <x:v>118</x:v>
      </x:c>
      <x:c r="T360" s="286" t="s">
        <x:v>118</x:v>
      </x:c>
      <x:c r="U360" s="286" t="s">
        <x:v>118</x:v>
      </x:c>
      <x:c r="V360" s="286" t="s">
        <x:v>118</x:v>
      </x:c>
      <x:c r="W360" s="286" t="s">
        <x:v>118</x:v>
      </x:c>
      <x:c r="X360" s="286" t="s">
        <x:v>118</x:v>
      </x:c>
      <x:c r="Y360" s="286" t="s">
        <x:v>118</x:v>
      </x:c>
      <x:c r="Z360" s="286" t="s">
        <x:v>118</x:v>
      </x:c>
      <x:c r="AA360" s="286" t="s">
        <x:v>118</x:v>
      </x:c>
      <x:c r="AB360" s="286" t="s">
        <x:v>118</x:v>
      </x:c>
      <x:c r="AC360" s="286" t="s">
        <x:v>118</x:v>
      </x:c>
      <x:c r="AD360" s="286" t="s">
        <x:v>118</x:v>
      </x:c>
      <x:c r="AE360" s="286" t="s">
        <x:v>118</x:v>
      </x:c>
      <x:c r="AF360" s="286" t="s">
        <x:v>118</x:v>
      </x:c>
      <x:c r="AG360" s="286" t="s">
        <x:v>118</x:v>
      </x:c>
      <x:c r="AH360" s="286" t="s">
        <x:v>118</x:v>
      </x:c>
      <x:c r="AI360" s="286" t="s">
        <x:v>118</x:v>
      </x:c>
      <x:c r="AJ360" s="286" t="s">
        <x:v>118</x:v>
      </x:c>
      <x:c r="AK360" s="220">
        <x:f>COUNTIF(F360:AJ360,"X")</x:f>
      </x:c>
      <x:c r="AL360" s="221"/>
      <x:c r="AM360" s="221"/>
      <x:c r="AN360" s="123"/>
      <x:c r="AO360" s="123"/>
    </x:row>
    <x:row r="361" spans="1:47" ht="15" customHeight="1">
      <x:c r="A361" s="285" t="s">
        <x:v>2831</x:v>
      </x:c>
      <x:c r="B361" s="216"/>
      <x:c r="C361" s="285" t="s">
        <x:v>2832</x:v>
      </x:c>
      <x:c r="D361" s="285" t="s">
        <x:v>2833</x:v>
      </x:c>
      <x:c r="E361" s="285" t="s">
        <x:v>2834</x:v>
      </x:c>
      <x:c r="F361" s="286" t="s">
        <x:v>118</x:v>
      </x:c>
      <x:c r="G361" s="286" t="s">
        <x:v>118</x:v>
      </x:c>
      <x:c r="H361" s="286" t="s">
        <x:v>118</x:v>
      </x:c>
      <x:c r="I361" s="286" t="s">
        <x:v>118</x:v>
      </x:c>
      <x:c r="J361" s="286" t="s">
        <x:v>118</x:v>
      </x:c>
      <x:c r="K361" s="286" t="s">
        <x:v>118</x:v>
      </x:c>
      <x:c r="L361" s="286" t="s">
        <x:v>118</x:v>
      </x:c>
      <x:c r="M361" s="286" t="s">
        <x:v>118</x:v>
      </x:c>
      <x:c r="N361" s="286" t="s">
        <x:v>118</x:v>
      </x:c>
      <x:c r="O361" s="286" t="s">
        <x:v>118</x:v>
      </x:c>
      <x:c r="P361" s="286" t="s">
        <x:v>118</x:v>
      </x:c>
      <x:c r="Q361" s="286" t="s">
        <x:v>118</x:v>
      </x:c>
      <x:c r="R361" s="286" t="s">
        <x:v>118</x:v>
      </x:c>
      <x:c r="S361" s="286" t="s">
        <x:v>118</x:v>
      </x:c>
      <x:c r="T361" s="286" t="s">
        <x:v>118</x:v>
      </x:c>
      <x:c r="U361" s="286" t="s">
        <x:v>118</x:v>
      </x:c>
      <x:c r="V361" s="286" t="s">
        <x:v>118</x:v>
      </x:c>
      <x:c r="W361" s="286" t="s">
        <x:v>118</x:v>
      </x:c>
      <x:c r="X361" s="286" t="s">
        <x:v>118</x:v>
      </x:c>
      <x:c r="Y361" s="286" t="s">
        <x:v>118</x:v>
      </x:c>
      <x:c r="Z361" s="286" t="s">
        <x:v>118</x:v>
      </x:c>
      <x:c r="AA361" s="286" t="s">
        <x:v>118</x:v>
      </x:c>
      <x:c r="AB361" s="286" t="s">
        <x:v>118</x:v>
      </x:c>
      <x:c r="AC361" s="286" t="s">
        <x:v>118</x:v>
      </x:c>
      <x:c r="AD361" s="286" t="s">
        <x:v>118</x:v>
      </x:c>
      <x:c r="AE361" s="286" t="s">
        <x:v>118</x:v>
      </x:c>
      <x:c r="AF361" s="286" t="s">
        <x:v>118</x:v>
      </x:c>
      <x:c r="AG361" s="286" t="s">
        <x:v>118</x:v>
      </x:c>
      <x:c r="AH361" s="286" t="s">
        <x:v>118</x:v>
      </x:c>
      <x:c r="AI361" s="286" t="s">
        <x:v>118</x:v>
      </x:c>
      <x:c r="AJ361" s="286" t="s">
        <x:v>118</x:v>
      </x:c>
      <x:c r="AK361" s="220">
        <x:f>COUNTIF(F361:AJ361,"X")</x:f>
      </x:c>
      <x:c r="AL361" s="221"/>
      <x:c r="AM361" s="221"/>
      <x:c r="AN361" s="123"/>
      <x:c r="AO361" s="123"/>
    </x:row>
    <x:row r="362" spans="1:47" ht="15" customHeight="1">
      <x:c r="A362" s="285" t="s">
        <x:v>2835</x:v>
      </x:c>
      <x:c r="B362" s="216"/>
      <x:c r="C362" s="285" t="s">
        <x:v>2836</x:v>
      </x:c>
      <x:c r="D362" s="285" t="s">
        <x:v>812</x:v>
      </x:c>
      <x:c r="E362" s="285" t="s">
        <x:v>2837</x:v>
      </x:c>
      <x:c r="F362" s="286" t="s">
        <x:v>118</x:v>
      </x:c>
      <x:c r="G362" s="286" t="s">
        <x:v>118</x:v>
      </x:c>
      <x:c r="H362" s="286" t="s">
        <x:v>118</x:v>
      </x:c>
      <x:c r="I362" s="286" t="s">
        <x:v>118</x:v>
      </x:c>
      <x:c r="J362" s="286" t="s">
        <x:v>118</x:v>
      </x:c>
      <x:c r="K362" s="286" t="s">
        <x:v>118</x:v>
      </x:c>
      <x:c r="L362" s="286" t="s">
        <x:v>118</x:v>
      </x:c>
      <x:c r="M362" s="286" t="s">
        <x:v>118</x:v>
      </x:c>
      <x:c r="N362" s="286" t="s">
        <x:v>118</x:v>
      </x:c>
      <x:c r="O362" s="286" t="s">
        <x:v>118</x:v>
      </x:c>
      <x:c r="P362" s="286" t="s">
        <x:v>118</x:v>
      </x:c>
      <x:c r="Q362" s="286" t="s">
        <x:v>118</x:v>
      </x:c>
      <x:c r="R362" s="286" t="s">
        <x:v>118</x:v>
      </x:c>
      <x:c r="S362" s="286" t="s">
        <x:v>118</x:v>
      </x:c>
      <x:c r="T362" s="286" t="s">
        <x:v>118</x:v>
      </x:c>
      <x:c r="U362" s="286" t="s">
        <x:v>118</x:v>
      </x:c>
      <x:c r="V362" s="286" t="s">
        <x:v>118</x:v>
      </x:c>
      <x:c r="W362" s="286" t="s">
        <x:v>118</x:v>
      </x:c>
      <x:c r="X362" s="286" t="s">
        <x:v>118</x:v>
      </x:c>
      <x:c r="Y362" s="286" t="s">
        <x:v>118</x:v>
      </x:c>
      <x:c r="Z362" s="286" t="s">
        <x:v>118</x:v>
      </x:c>
      <x:c r="AA362" s="286" t="s">
        <x:v>118</x:v>
      </x:c>
      <x:c r="AB362" s="286" t="s">
        <x:v>118</x:v>
      </x:c>
      <x:c r="AC362" s="286" t="s">
        <x:v>118</x:v>
      </x:c>
      <x:c r="AD362" s="286" t="s">
        <x:v>118</x:v>
      </x:c>
      <x:c r="AE362" s="286" t="s">
        <x:v>118</x:v>
      </x:c>
      <x:c r="AF362" s="286" t="s">
        <x:v>118</x:v>
      </x:c>
      <x:c r="AG362" s="286" t="s">
        <x:v>118</x:v>
      </x:c>
      <x:c r="AH362" s="286" t="s">
        <x:v>118</x:v>
      </x:c>
      <x:c r="AI362" s="286" t="s">
        <x:v>118</x:v>
      </x:c>
      <x:c r="AJ362" s="286" t="s">
        <x:v>118</x:v>
      </x:c>
      <x:c r="AK362" s="220">
        <x:f>COUNTIF(F362:AJ362,"X")</x:f>
      </x:c>
      <x:c r="AL362" s="221"/>
      <x:c r="AM362" s="221"/>
      <x:c r="AN362" s="123"/>
      <x:c r="AO362" s="123"/>
    </x:row>
    <x:row r="363" spans="1:47" ht="15" customHeight="1">
      <x:c r="A363" s="285" t="s">
        <x:v>2838</x:v>
      </x:c>
      <x:c r="B363" s="216"/>
      <x:c r="C363" s="285" t="s">
        <x:v>2839</x:v>
      </x:c>
      <x:c r="D363" s="285" t="s">
        <x:v>812</x:v>
      </x:c>
      <x:c r="E363" s="285" t="s">
        <x:v>2840</x:v>
      </x:c>
      <x:c r="F363" s="286" t="s">
        <x:v>118</x:v>
      </x:c>
      <x:c r="G363" s="286" t="s">
        <x:v>118</x:v>
      </x:c>
      <x:c r="H363" s="286" t="s">
        <x:v>118</x:v>
      </x:c>
      <x:c r="I363" s="286" t="s">
        <x:v>118</x:v>
      </x:c>
      <x:c r="J363" s="286" t="s">
        <x:v>118</x:v>
      </x:c>
      <x:c r="K363" s="286" t="s">
        <x:v>118</x:v>
      </x:c>
      <x:c r="L363" s="286" t="s">
        <x:v>118</x:v>
      </x:c>
      <x:c r="M363" s="286" t="s">
        <x:v>118</x:v>
      </x:c>
      <x:c r="N363" s="286" t="s">
        <x:v>118</x:v>
      </x:c>
      <x:c r="O363" s="286" t="s">
        <x:v>118</x:v>
      </x:c>
      <x:c r="P363" s="286" t="s">
        <x:v>118</x:v>
      </x:c>
      <x:c r="Q363" s="286" t="s">
        <x:v>118</x:v>
      </x:c>
      <x:c r="R363" s="286" t="s">
        <x:v>118</x:v>
      </x:c>
      <x:c r="S363" s="286" t="s">
        <x:v>118</x:v>
      </x:c>
      <x:c r="T363" s="286" t="s">
        <x:v>118</x:v>
      </x:c>
      <x:c r="U363" s="286" t="s">
        <x:v>118</x:v>
      </x:c>
      <x:c r="V363" s="286" t="s">
        <x:v>118</x:v>
      </x:c>
      <x:c r="W363" s="286" t="s">
        <x:v>118</x:v>
      </x:c>
      <x:c r="X363" s="286" t="s">
        <x:v>118</x:v>
      </x:c>
      <x:c r="Y363" s="286" t="s">
        <x:v>118</x:v>
      </x:c>
      <x:c r="Z363" s="286" t="s">
        <x:v>118</x:v>
      </x:c>
      <x:c r="AA363" s="286" t="s">
        <x:v>118</x:v>
      </x:c>
      <x:c r="AB363" s="286" t="s">
        <x:v>118</x:v>
      </x:c>
      <x:c r="AC363" s="286" t="s">
        <x:v>118</x:v>
      </x:c>
      <x:c r="AD363" s="286" t="s">
        <x:v>118</x:v>
      </x:c>
      <x:c r="AE363" s="286" t="s">
        <x:v>118</x:v>
      </x:c>
      <x:c r="AF363" s="286" t="s">
        <x:v>118</x:v>
      </x:c>
      <x:c r="AG363" s="286" t="s">
        <x:v>118</x:v>
      </x:c>
      <x:c r="AH363" s="286" t="s">
        <x:v>118</x:v>
      </x:c>
      <x:c r="AI363" s="286" t="s">
        <x:v>118</x:v>
      </x:c>
      <x:c r="AJ363" s="286" t="s">
        <x:v>118</x:v>
      </x:c>
      <x:c r="AK363" s="220">
        <x:f>COUNTIF(F363:AJ363,"X")</x:f>
      </x:c>
      <x:c r="AL363" s="221"/>
      <x:c r="AM363" s="221"/>
      <x:c r="AN363" s="123"/>
      <x:c r="AO363" s="123"/>
    </x:row>
    <x:row r="364" spans="1:47" ht="15" customHeight="1">
      <x:c r="A364" s="285" t="s">
        <x:v>2841</x:v>
      </x:c>
      <x:c r="B364" s="216"/>
      <x:c r="C364" s="285" t="s">
        <x:v>2842</x:v>
      </x:c>
      <x:c r="D364" s="285" t="s">
        <x:v>812</x:v>
      </x:c>
      <x:c r="E364" s="285" t="s">
        <x:v>2843</x:v>
      </x:c>
      <x:c r="F364" s="286" t="s">
        <x:v>118</x:v>
      </x:c>
      <x:c r="G364" s="286" t="s">
        <x:v>118</x:v>
      </x:c>
      <x:c r="H364" s="286" t="s">
        <x:v>118</x:v>
      </x:c>
      <x:c r="I364" s="286" t="s">
        <x:v>118</x:v>
      </x:c>
      <x:c r="J364" s="286" t="s">
        <x:v>118</x:v>
      </x:c>
      <x:c r="K364" s="286" t="s">
        <x:v>118</x:v>
      </x:c>
      <x:c r="L364" s="286" t="s">
        <x:v>118</x:v>
      </x:c>
      <x:c r="M364" s="286" t="s">
        <x:v>118</x:v>
      </x:c>
      <x:c r="N364" s="286" t="s">
        <x:v>118</x:v>
      </x:c>
      <x:c r="O364" s="286" t="s">
        <x:v>118</x:v>
      </x:c>
      <x:c r="P364" s="286" t="s">
        <x:v>118</x:v>
      </x:c>
      <x:c r="Q364" s="286" t="s">
        <x:v>118</x:v>
      </x:c>
      <x:c r="R364" s="286" t="s">
        <x:v>118</x:v>
      </x:c>
      <x:c r="S364" s="286" t="s">
        <x:v>118</x:v>
      </x:c>
      <x:c r="T364" s="286" t="s">
        <x:v>118</x:v>
      </x:c>
      <x:c r="U364" s="286" t="s">
        <x:v>118</x:v>
      </x:c>
      <x:c r="V364" s="286" t="s">
        <x:v>118</x:v>
      </x:c>
      <x:c r="W364" s="286" t="s">
        <x:v>118</x:v>
      </x:c>
      <x:c r="X364" s="286" t="s">
        <x:v>118</x:v>
      </x:c>
      <x:c r="Y364" s="286" t="s">
        <x:v>118</x:v>
      </x:c>
      <x:c r="Z364" s="286" t="s">
        <x:v>118</x:v>
      </x:c>
      <x:c r="AA364" s="286" t="s">
        <x:v>118</x:v>
      </x:c>
      <x:c r="AB364" s="286" t="s">
        <x:v>118</x:v>
      </x:c>
      <x:c r="AC364" s="286" t="s">
        <x:v>118</x:v>
      </x:c>
      <x:c r="AD364" s="286" t="s">
        <x:v>118</x:v>
      </x:c>
      <x:c r="AE364" s="286" t="s">
        <x:v>118</x:v>
      </x:c>
      <x:c r="AF364" s="286" t="s">
        <x:v>118</x:v>
      </x:c>
      <x:c r="AG364" s="286" t="s">
        <x:v>118</x:v>
      </x:c>
      <x:c r="AH364" s="286" t="s">
        <x:v>118</x:v>
      </x:c>
      <x:c r="AI364" s="286" t="s">
        <x:v>118</x:v>
      </x:c>
      <x:c r="AJ364" s="286" t="s">
        <x:v>118</x:v>
      </x:c>
      <x:c r="AK364" s="220">
        <x:f>COUNTIF(F364:AJ364,"X")</x:f>
      </x:c>
      <x:c r="AL364" s="221"/>
      <x:c r="AM364" s="221"/>
      <x:c r="AN364" s="123"/>
      <x:c r="AO364" s="123"/>
    </x:row>
    <x:row r="365" spans="1:47" ht="15" customHeight="1">
      <x:c r="A365" s="285" t="s">
        <x:v>2844</x:v>
      </x:c>
      <x:c r="B365" s="216"/>
      <x:c r="C365" s="285" t="s">
        <x:v>2845</x:v>
      </x:c>
      <x:c r="D365" s="285" t="s">
        <x:v>812</x:v>
      </x:c>
      <x:c r="E365" s="285" t="s">
        <x:v>2846</x:v>
      </x:c>
      <x:c r="F365" s="286" t="s">
        <x:v>118</x:v>
      </x:c>
      <x:c r="G365" s="286" t="s">
        <x:v>118</x:v>
      </x:c>
      <x:c r="H365" s="286" t="s">
        <x:v>118</x:v>
      </x:c>
      <x:c r="I365" s="286" t="s">
        <x:v>118</x:v>
      </x:c>
      <x:c r="J365" s="286" t="s">
        <x:v>118</x:v>
      </x:c>
      <x:c r="K365" s="286" t="s">
        <x:v>118</x:v>
      </x:c>
      <x:c r="L365" s="286" t="s">
        <x:v>118</x:v>
      </x:c>
      <x:c r="M365" s="286" t="s">
        <x:v>118</x:v>
      </x:c>
      <x:c r="N365" s="286" t="s">
        <x:v>118</x:v>
      </x:c>
      <x:c r="O365" s="286" t="s">
        <x:v>118</x:v>
      </x:c>
      <x:c r="P365" s="286" t="s">
        <x:v>118</x:v>
      </x:c>
      <x:c r="Q365" s="286" t="s">
        <x:v>118</x:v>
      </x:c>
      <x:c r="R365" s="286" t="s">
        <x:v>118</x:v>
      </x:c>
      <x:c r="S365" s="286" t="s">
        <x:v>118</x:v>
      </x:c>
      <x:c r="T365" s="286" t="s">
        <x:v>118</x:v>
      </x:c>
      <x:c r="U365" s="286" t="s">
        <x:v>118</x:v>
      </x:c>
      <x:c r="V365" s="286" t="s">
        <x:v>118</x:v>
      </x:c>
      <x:c r="W365" s="286" t="s">
        <x:v>118</x:v>
      </x:c>
      <x:c r="X365" s="286" t="s">
        <x:v>118</x:v>
      </x:c>
      <x:c r="Y365" s="286" t="s">
        <x:v>118</x:v>
      </x:c>
      <x:c r="Z365" s="286" t="s">
        <x:v>118</x:v>
      </x:c>
      <x:c r="AA365" s="286" t="s">
        <x:v>118</x:v>
      </x:c>
      <x:c r="AB365" s="286" t="s">
        <x:v>118</x:v>
      </x:c>
      <x:c r="AC365" s="286" t="s">
        <x:v>118</x:v>
      </x:c>
      <x:c r="AD365" s="286" t="s">
        <x:v>118</x:v>
      </x:c>
      <x:c r="AE365" s="286" t="s">
        <x:v>118</x:v>
      </x:c>
      <x:c r="AF365" s="286" t="s">
        <x:v>118</x:v>
      </x:c>
      <x:c r="AG365" s="286" t="s">
        <x:v>118</x:v>
      </x:c>
      <x:c r="AH365" s="286" t="s">
        <x:v>118</x:v>
      </x:c>
      <x:c r="AI365" s="286" t="s">
        <x:v>118</x:v>
      </x:c>
      <x:c r="AJ365" s="286" t="s">
        <x:v>118</x:v>
      </x:c>
      <x:c r="AK365" s="220">
        <x:f>COUNTIF(F365:AJ365,"X")</x:f>
      </x:c>
      <x:c r="AL365" s="221"/>
      <x:c r="AM365" s="221"/>
      <x:c r="AN365" s="123"/>
      <x:c r="AO365" s="123"/>
    </x:row>
    <x:row r="366" spans="1:47" ht="15" customHeight="1">
      <x:c r="A366" s="285" t="s">
        <x:v>2847</x:v>
      </x:c>
      <x:c r="B366" s="216"/>
      <x:c r="C366" s="285" t="s">
        <x:v>2848</x:v>
      </x:c>
      <x:c r="D366" s="285" t="s">
        <x:v>812</x:v>
      </x:c>
      <x:c r="E366" s="285" t="s">
        <x:v>1877</x:v>
      </x:c>
      <x:c r="F366" s="286" t="s">
        <x:v>118</x:v>
      </x:c>
      <x:c r="G366" s="286" t="s">
        <x:v>118</x:v>
      </x:c>
      <x:c r="H366" s="286" t="s">
        <x:v>118</x:v>
      </x:c>
      <x:c r="I366" s="286" t="s">
        <x:v>118</x:v>
      </x:c>
      <x:c r="J366" s="286" t="s">
        <x:v>118</x:v>
      </x:c>
      <x:c r="K366" s="286" t="s">
        <x:v>118</x:v>
      </x:c>
      <x:c r="L366" s="286" t="s">
        <x:v>118</x:v>
      </x:c>
      <x:c r="M366" s="286" t="s">
        <x:v>118</x:v>
      </x:c>
      <x:c r="N366" s="286" t="s">
        <x:v>118</x:v>
      </x:c>
      <x:c r="O366" s="286" t="s">
        <x:v>118</x:v>
      </x:c>
      <x:c r="P366" s="286" t="s">
        <x:v>118</x:v>
      </x:c>
      <x:c r="Q366" s="286" t="s">
        <x:v>118</x:v>
      </x:c>
      <x:c r="R366" s="286" t="s">
        <x:v>118</x:v>
      </x:c>
      <x:c r="S366" s="286" t="s">
        <x:v>118</x:v>
      </x:c>
      <x:c r="T366" s="286" t="s">
        <x:v>118</x:v>
      </x:c>
      <x:c r="U366" s="286" t="s">
        <x:v>118</x:v>
      </x:c>
      <x:c r="V366" s="286" t="s">
        <x:v>118</x:v>
      </x:c>
      <x:c r="W366" s="286" t="s">
        <x:v>118</x:v>
      </x:c>
      <x:c r="X366" s="286" t="s">
        <x:v>118</x:v>
      </x:c>
      <x:c r="Y366" s="286" t="s">
        <x:v>118</x:v>
      </x:c>
      <x:c r="Z366" s="286" t="s">
        <x:v>118</x:v>
      </x:c>
      <x:c r="AA366" s="286" t="s">
        <x:v>118</x:v>
      </x:c>
      <x:c r="AB366" s="286" t="s">
        <x:v>118</x:v>
      </x:c>
      <x:c r="AC366" s="286" t="s">
        <x:v>118</x:v>
      </x:c>
      <x:c r="AD366" s="286" t="s">
        <x:v>118</x:v>
      </x:c>
      <x:c r="AE366" s="286" t="s">
        <x:v>118</x:v>
      </x:c>
      <x:c r="AF366" s="286" t="s">
        <x:v>118</x:v>
      </x:c>
      <x:c r="AG366" s="286" t="s">
        <x:v>118</x:v>
      </x:c>
      <x:c r="AH366" s="286" t="s">
        <x:v>118</x:v>
      </x:c>
      <x:c r="AI366" s="286" t="s">
        <x:v>118</x:v>
      </x:c>
      <x:c r="AJ366" s="286" t="s">
        <x:v>118</x:v>
      </x:c>
      <x:c r="AK366" s="220">
        <x:f>COUNTIF(F366:AJ366,"X")</x:f>
      </x:c>
      <x:c r="AL366" s="221"/>
      <x:c r="AM366" s="221"/>
      <x:c r="AN366" s="123"/>
      <x:c r="AO366" s="123"/>
    </x:row>
    <x:row r="367" spans="1:47" ht="15" customHeight="1">
      <x:c r="A367" s="285" t="s">
        <x:v>2849</x:v>
      </x:c>
      <x:c r="B367" s="216"/>
      <x:c r="C367" s="285" t="s">
        <x:v>2850</x:v>
      </x:c>
      <x:c r="D367" s="285" t="s">
        <x:v>2851</x:v>
      </x:c>
      <x:c r="E367" s="285" t="s">
        <x:v>677</x:v>
      </x:c>
      <x:c r="F367" s="286" t="s">
        <x:v>118</x:v>
      </x:c>
      <x:c r="G367" s="286" t="s">
        <x:v>118</x:v>
      </x:c>
      <x:c r="H367" s="286" t="s">
        <x:v>118</x:v>
      </x:c>
      <x:c r="I367" s="286" t="s">
        <x:v>118</x:v>
      </x:c>
      <x:c r="J367" s="286" t="s">
        <x:v>118</x:v>
      </x:c>
      <x:c r="K367" s="286" t="s">
        <x:v>118</x:v>
      </x:c>
      <x:c r="L367" s="286" t="s">
        <x:v>118</x:v>
      </x:c>
      <x:c r="M367" s="286" t="s">
        <x:v>118</x:v>
      </x:c>
      <x:c r="N367" s="286" t="s">
        <x:v>118</x:v>
      </x:c>
      <x:c r="O367" s="286" t="s">
        <x:v>118</x:v>
      </x:c>
      <x:c r="P367" s="286" t="s">
        <x:v>118</x:v>
      </x:c>
      <x:c r="Q367" s="286" t="s">
        <x:v>118</x:v>
      </x:c>
      <x:c r="R367" s="286" t="s">
        <x:v>118</x:v>
      </x:c>
      <x:c r="S367" s="286" t="s">
        <x:v>118</x:v>
      </x:c>
      <x:c r="T367" s="286" t="s">
        <x:v>118</x:v>
      </x:c>
      <x:c r="U367" s="286" t="s">
        <x:v>118</x:v>
      </x:c>
      <x:c r="V367" s="286" t="s">
        <x:v>118</x:v>
      </x:c>
      <x:c r="W367" s="286" t="s">
        <x:v>118</x:v>
      </x:c>
      <x:c r="X367" s="286" t="s">
        <x:v>118</x:v>
      </x:c>
      <x:c r="Y367" s="286" t="s">
        <x:v>118</x:v>
      </x:c>
      <x:c r="Z367" s="286" t="s">
        <x:v>118</x:v>
      </x:c>
      <x:c r="AA367" s="286" t="s">
        <x:v>118</x:v>
      </x:c>
      <x:c r="AB367" s="286" t="s">
        <x:v>118</x:v>
      </x:c>
      <x:c r="AC367" s="286" t="s">
        <x:v>118</x:v>
      </x:c>
      <x:c r="AD367" s="286" t="s">
        <x:v>118</x:v>
      </x:c>
      <x:c r="AE367" s="286" t="s">
        <x:v>118</x:v>
      </x:c>
      <x:c r="AF367" s="286" t="s">
        <x:v>118</x:v>
      </x:c>
      <x:c r="AG367" s="286" t="s">
        <x:v>118</x:v>
      </x:c>
      <x:c r="AH367" s="286" t="s">
        <x:v>118</x:v>
      </x:c>
      <x:c r="AI367" s="286" t="s">
        <x:v>118</x:v>
      </x:c>
      <x:c r="AJ367" s="286" t="s">
        <x:v>118</x:v>
      </x:c>
      <x:c r="AK367" s="220">
        <x:f>COUNTIF(F367:AJ367,"X")</x:f>
      </x:c>
      <x:c r="AL367" s="221"/>
      <x:c r="AM367" s="221"/>
      <x:c r="AN367" s="123"/>
      <x:c r="AO367" s="123"/>
    </x:row>
    <x:row r="368" spans="1:47" ht="15" customHeight="1">
      <x:c r="A368" s="285" t="s">
        <x:v>2852</x:v>
      </x:c>
      <x:c r="B368" s="216"/>
      <x:c r="C368" s="285" t="s">
        <x:v>2853</x:v>
      </x:c>
      <x:c r="D368" s="285" t="s">
        <x:v>2854</x:v>
      </x:c>
      <x:c r="E368" s="285" t="s">
        <x:v>2855</x:v>
      </x:c>
      <x:c r="F368" s="286" t="s">
        <x:v>118</x:v>
      </x:c>
      <x:c r="G368" s="286" t="s">
        <x:v>118</x:v>
      </x:c>
      <x:c r="H368" s="286" t="s">
        <x:v>118</x:v>
      </x:c>
      <x:c r="I368" s="286" t="s">
        <x:v>118</x:v>
      </x:c>
      <x:c r="J368" s="286" t="s">
        <x:v>118</x:v>
      </x:c>
      <x:c r="K368" s="286" t="s">
        <x:v>118</x:v>
      </x:c>
      <x:c r="L368" s="286" t="s">
        <x:v>118</x:v>
      </x:c>
      <x:c r="M368" s="286" t="s">
        <x:v>118</x:v>
      </x:c>
      <x:c r="N368" s="286" t="s">
        <x:v>118</x:v>
      </x:c>
      <x:c r="O368" s="286" t="s">
        <x:v>118</x:v>
      </x:c>
      <x:c r="P368" s="286" t="s">
        <x:v>118</x:v>
      </x:c>
      <x:c r="Q368" s="286" t="s">
        <x:v>118</x:v>
      </x:c>
      <x:c r="R368" s="286" t="s">
        <x:v>118</x:v>
      </x:c>
      <x:c r="S368" s="286" t="s">
        <x:v>118</x:v>
      </x:c>
      <x:c r="T368" s="286" t="s">
        <x:v>118</x:v>
      </x:c>
      <x:c r="U368" s="286" t="s">
        <x:v>118</x:v>
      </x:c>
      <x:c r="V368" s="286" t="s">
        <x:v>118</x:v>
      </x:c>
      <x:c r="W368" s="286" t="s">
        <x:v>118</x:v>
      </x:c>
      <x:c r="X368" s="286" t="s">
        <x:v>118</x:v>
      </x:c>
      <x:c r="Y368" s="286" t="s">
        <x:v>118</x:v>
      </x:c>
      <x:c r="Z368" s="286" t="s">
        <x:v>118</x:v>
      </x:c>
      <x:c r="AA368" s="286" t="s">
        <x:v>118</x:v>
      </x:c>
      <x:c r="AB368" s="286" t="s">
        <x:v>118</x:v>
      </x:c>
      <x:c r="AC368" s="286" t="s">
        <x:v>118</x:v>
      </x:c>
      <x:c r="AD368" s="286" t="s">
        <x:v>118</x:v>
      </x:c>
      <x:c r="AE368" s="286" t="s">
        <x:v>118</x:v>
      </x:c>
      <x:c r="AF368" s="286" t="s">
        <x:v>118</x:v>
      </x:c>
      <x:c r="AG368" s="286" t="s">
        <x:v>118</x:v>
      </x:c>
      <x:c r="AH368" s="286" t="s">
        <x:v>118</x:v>
      </x:c>
      <x:c r="AI368" s="286" t="s">
        <x:v>118</x:v>
      </x:c>
      <x:c r="AJ368" s="286" t="s">
        <x:v>118</x:v>
      </x:c>
      <x:c r="AK368" s="220">
        <x:f>COUNTIF(F368:AJ368,"X")</x:f>
      </x:c>
      <x:c r="AL368" s="221"/>
      <x:c r="AM368" s="221"/>
      <x:c r="AN368" s="123"/>
      <x:c r="AO368" s="123"/>
    </x:row>
    <x:row r="369" spans="1:47" ht="15" customHeight="1">
      <x:c r="A369" s="285" t="s">
        <x:v>2856</x:v>
      </x:c>
      <x:c r="B369" s="216"/>
      <x:c r="C369" s="285" t="s">
        <x:v>2857</x:v>
      </x:c>
      <x:c r="D369" s="285" t="s">
        <x:v>2858</x:v>
      </x:c>
      <x:c r="E369" s="285" t="s">
        <x:v>2859</x:v>
      </x:c>
      <x:c r="F369" s="286" t="s">
        <x:v>118</x:v>
      </x:c>
      <x:c r="G369" s="286" t="s">
        <x:v>118</x:v>
      </x:c>
      <x:c r="H369" s="286" t="s">
        <x:v>118</x:v>
      </x:c>
      <x:c r="I369" s="286" t="s">
        <x:v>118</x:v>
      </x:c>
      <x:c r="J369" s="286" t="s">
        <x:v>118</x:v>
      </x:c>
      <x:c r="K369" s="286" t="s">
        <x:v>118</x:v>
      </x:c>
      <x:c r="L369" s="286" t="s">
        <x:v>118</x:v>
      </x:c>
      <x:c r="M369" s="286" t="s">
        <x:v>118</x:v>
      </x:c>
      <x:c r="N369" s="286" t="s">
        <x:v>118</x:v>
      </x:c>
      <x:c r="O369" s="286" t="s">
        <x:v>118</x:v>
      </x:c>
      <x:c r="P369" s="286" t="s">
        <x:v>118</x:v>
      </x:c>
      <x:c r="Q369" s="286" t="s">
        <x:v>118</x:v>
      </x:c>
      <x:c r="R369" s="286" t="s">
        <x:v>118</x:v>
      </x:c>
      <x:c r="S369" s="286" t="s">
        <x:v>118</x:v>
      </x:c>
      <x:c r="T369" s="286" t="s">
        <x:v>118</x:v>
      </x:c>
      <x:c r="U369" s="286" t="s">
        <x:v>118</x:v>
      </x:c>
      <x:c r="V369" s="286" t="s">
        <x:v>118</x:v>
      </x:c>
      <x:c r="W369" s="286" t="s">
        <x:v>118</x:v>
      </x:c>
      <x:c r="X369" s="286" t="s">
        <x:v>118</x:v>
      </x:c>
      <x:c r="Y369" s="286" t="s">
        <x:v>118</x:v>
      </x:c>
      <x:c r="Z369" s="286" t="s">
        <x:v>118</x:v>
      </x:c>
      <x:c r="AA369" s="286" t="s">
        <x:v>118</x:v>
      </x:c>
      <x:c r="AB369" s="286" t="s">
        <x:v>118</x:v>
      </x:c>
      <x:c r="AC369" s="286" t="s">
        <x:v>118</x:v>
      </x:c>
      <x:c r="AD369" s="286" t="s">
        <x:v>118</x:v>
      </x:c>
      <x:c r="AE369" s="286" t="s">
        <x:v>118</x:v>
      </x:c>
      <x:c r="AF369" s="286" t="s">
        <x:v>118</x:v>
      </x:c>
      <x:c r="AG369" s="286" t="s">
        <x:v>118</x:v>
      </x:c>
      <x:c r="AH369" s="286" t="s">
        <x:v>118</x:v>
      </x:c>
      <x:c r="AI369" s="286" t="s">
        <x:v>118</x:v>
      </x:c>
      <x:c r="AJ369" s="286" t="s">
        <x:v>118</x:v>
      </x:c>
      <x:c r="AK369" s="220">
        <x:f>COUNTIF(F369:AJ369,"X")</x:f>
      </x:c>
      <x:c r="AL369" s="221"/>
      <x:c r="AM369" s="221"/>
      <x:c r="AN369" s="123"/>
      <x:c r="AO369" s="123"/>
    </x:row>
    <x:row r="370" spans="1:47" ht="15" customHeight="1">
      <x:c r="A370" s="285" t="s">
        <x:v>2860</x:v>
      </x:c>
      <x:c r="B370" s="216"/>
      <x:c r="C370" s="285" t="s">
        <x:v>2861</x:v>
      </x:c>
      <x:c r="D370" s="285" t="s">
        <x:v>2862</x:v>
      </x:c>
      <x:c r="E370" s="285" t="s">
        <x:v>2863</x:v>
      </x:c>
      <x:c r="F370" s="286" t="s">
        <x:v>118</x:v>
      </x:c>
      <x:c r="G370" s="286" t="s">
        <x:v>118</x:v>
      </x:c>
      <x:c r="H370" s="286" t="s">
        <x:v>118</x:v>
      </x:c>
      <x:c r="I370" s="286" t="s">
        <x:v>118</x:v>
      </x:c>
      <x:c r="J370" s="286" t="s">
        <x:v>118</x:v>
      </x:c>
      <x:c r="K370" s="286" t="s">
        <x:v>118</x:v>
      </x:c>
      <x:c r="L370" s="286" t="s">
        <x:v>118</x:v>
      </x:c>
      <x:c r="M370" s="286" t="s">
        <x:v>118</x:v>
      </x:c>
      <x:c r="N370" s="286" t="s">
        <x:v>118</x:v>
      </x:c>
      <x:c r="O370" s="286" t="s">
        <x:v>118</x:v>
      </x:c>
      <x:c r="P370" s="286" t="s">
        <x:v>118</x:v>
      </x:c>
      <x:c r="Q370" s="286" t="s">
        <x:v>118</x:v>
      </x:c>
      <x:c r="R370" s="286" t="s">
        <x:v>118</x:v>
      </x:c>
      <x:c r="S370" s="286" t="s">
        <x:v>118</x:v>
      </x:c>
      <x:c r="T370" s="286" t="s">
        <x:v>118</x:v>
      </x:c>
      <x:c r="U370" s="286" t="s">
        <x:v>118</x:v>
      </x:c>
      <x:c r="V370" s="286" t="s">
        <x:v>118</x:v>
      </x:c>
      <x:c r="W370" s="286" t="s">
        <x:v>118</x:v>
      </x:c>
      <x:c r="X370" s="286" t="s">
        <x:v>118</x:v>
      </x:c>
      <x:c r="Y370" s="286" t="s">
        <x:v>118</x:v>
      </x:c>
      <x:c r="Z370" s="286" t="s">
        <x:v>118</x:v>
      </x:c>
      <x:c r="AA370" s="286" t="s">
        <x:v>118</x:v>
      </x:c>
      <x:c r="AB370" s="286" t="s">
        <x:v>118</x:v>
      </x:c>
      <x:c r="AC370" s="286" t="s">
        <x:v>118</x:v>
      </x:c>
      <x:c r="AD370" s="286" t="s">
        <x:v>118</x:v>
      </x:c>
      <x:c r="AE370" s="286" t="s">
        <x:v>118</x:v>
      </x:c>
      <x:c r="AF370" s="286" t="s">
        <x:v>118</x:v>
      </x:c>
      <x:c r="AG370" s="286" t="s">
        <x:v>118</x:v>
      </x:c>
      <x:c r="AH370" s="286" t="s">
        <x:v>118</x:v>
      </x:c>
      <x:c r="AI370" s="286" t="s">
        <x:v>118</x:v>
      </x:c>
      <x:c r="AJ370" s="286" t="s">
        <x:v>118</x:v>
      </x:c>
      <x:c r="AK370" s="220">
        <x:f>COUNTIF(F370:AJ370,"X")</x:f>
      </x:c>
      <x:c r="AL370" s="221"/>
      <x:c r="AM370" s="221"/>
      <x:c r="AN370" s="123"/>
      <x:c r="AO370" s="123"/>
    </x:row>
    <x:row r="371" spans="1:47" ht="15" customHeight="1">
      <x:c r="A371" s="69"/>
      <x:c r="B371" s="216"/>
      <x:c r="C371" s="121"/>
      <x:c r="D371" s="121"/>
      <x:c r="E371" s="121"/>
      <x:c r="F371" s="241"/>
      <x:c r="G371" s="241"/>
      <x:c r="H371" s="241"/>
      <x:c r="I371" s="241"/>
      <x:c r="J371" s="241"/>
      <x:c r="K371" s="241"/>
      <x:c r="L371" s="241"/>
      <x:c r="M371" s="241"/>
      <x:c r="N371" s="241"/>
      <x:c r="O371" s="241"/>
      <x:c r="P371" s="241"/>
      <x:c r="Q371" s="241"/>
      <x:c r="R371" s="241"/>
      <x:c r="S371" s="241"/>
      <x:c r="T371" s="241"/>
      <x:c r="U371" s="241"/>
      <x:c r="V371" s="241"/>
      <x:c r="W371" s="241"/>
      <x:c r="X371" s="241"/>
      <x:c r="Y371" s="241"/>
      <x:c r="Z371" s="241"/>
      <x:c r="AA371" s="241"/>
      <x:c r="AB371" s="241"/>
      <x:c r="AC371" s="241"/>
      <x:c r="AD371" s="241"/>
      <x:c r="AE371" s="241"/>
      <x:c r="AF371" s="241"/>
      <x:c r="AG371" s="241"/>
      <x:c r="AH371" s="241"/>
      <x:c r="AI371" s="241"/>
      <x:c r="AJ371" s="241"/>
      <x:c r="AK371" s="220"/>
      <x:c r="AL371" s="221"/>
      <x:c r="AM371" s="221"/>
      <x:c r="AN371" s="123"/>
      <x:c r="AO371" s="123"/>
    </x:row>
    <x:row r="372" spans="1:47" ht="15" customHeight="1">
      <x:c r="A372" s="69"/>
      <x:c r="B372" s="216"/>
      <x:c r="C372" s="121"/>
      <x:c r="D372" s="121"/>
      <x:c r="E372" s="121"/>
      <x:c r="F372" s="241"/>
      <x:c r="G372" s="241"/>
      <x:c r="H372" s="241"/>
      <x:c r="I372" s="241"/>
      <x:c r="J372" s="241"/>
      <x:c r="K372" s="241"/>
      <x:c r="L372" s="241"/>
      <x:c r="M372" s="241"/>
      <x:c r="N372" s="241"/>
      <x:c r="O372" s="241"/>
      <x:c r="P372" s="241"/>
      <x:c r="Q372" s="241"/>
      <x:c r="R372" s="241"/>
      <x:c r="S372" s="241"/>
      <x:c r="T372" s="241"/>
      <x:c r="U372" s="241"/>
      <x:c r="V372" s="241"/>
      <x:c r="W372" s="241"/>
      <x:c r="X372" s="241"/>
      <x:c r="Y372" s="241"/>
      <x:c r="Z372" s="241"/>
      <x:c r="AA372" s="241"/>
      <x:c r="AB372" s="241"/>
      <x:c r="AC372" s="241"/>
      <x:c r="AD372" s="241"/>
      <x:c r="AE372" s="241"/>
      <x:c r="AF372" s="241"/>
      <x:c r="AG372" s="241"/>
      <x:c r="AH372" s="241"/>
      <x:c r="AI372" s="241"/>
      <x:c r="AJ372" s="241"/>
      <x:c r="AK372" s="220"/>
      <x:c r="AL372" s="221"/>
      <x:c r="AM372" s="221"/>
      <x:c r="AN372" s="123"/>
      <x:c r="AO372" s="123"/>
    </x:row>
    <x:row r="373" spans="1:47" ht="15" customHeight="1">
      <x:c r="A373" s="69"/>
      <x:c r="B373" s="216"/>
      <x:c r="C373" s="121"/>
      <x:c r="D373" s="121"/>
      <x:c r="E373" s="121"/>
      <x:c r="F373" s="241"/>
      <x:c r="G373" s="241"/>
      <x:c r="H373" s="241"/>
      <x:c r="I373" s="241"/>
      <x:c r="J373" s="241"/>
      <x:c r="K373" s="241"/>
      <x:c r="L373" s="241"/>
      <x:c r="M373" s="241"/>
      <x:c r="N373" s="241"/>
      <x:c r="O373" s="241"/>
      <x:c r="P373" s="241"/>
      <x:c r="Q373" s="241"/>
      <x:c r="R373" s="241"/>
      <x:c r="S373" s="241"/>
      <x:c r="T373" s="241"/>
      <x:c r="U373" s="241"/>
      <x:c r="V373" s="241"/>
      <x:c r="W373" s="241"/>
      <x:c r="X373" s="241"/>
      <x:c r="Y373" s="241"/>
      <x:c r="Z373" s="241"/>
      <x:c r="AA373" s="241"/>
      <x:c r="AB373" s="241"/>
      <x:c r="AC373" s="241"/>
      <x:c r="AD373" s="241"/>
      <x:c r="AE373" s="241"/>
      <x:c r="AF373" s="241"/>
      <x:c r="AG373" s="241"/>
      <x:c r="AH373" s="241"/>
      <x:c r="AI373" s="241"/>
      <x:c r="AJ373" s="241"/>
      <x:c r="AK373" s="220"/>
      <x:c r="AL373" s="221"/>
      <x:c r="AM373" s="221"/>
      <x:c r="AN373" s="123"/>
      <x:c r="AO373" s="123"/>
    </x:row>
    <x:row r="374" spans="1:47" ht="15" customHeight="1">
      <x:c r="A374" s="69"/>
      <x:c r="B374" s="216"/>
      <x:c r="C374" s="121"/>
      <x:c r="D374" s="121"/>
      <x:c r="E374" s="121"/>
      <x:c r="F374" s="241"/>
      <x:c r="G374" s="241"/>
      <x:c r="H374" s="241"/>
      <x:c r="I374" s="241"/>
      <x:c r="J374" s="241"/>
      <x:c r="K374" s="241"/>
      <x:c r="L374" s="241"/>
      <x:c r="M374" s="241"/>
      <x:c r="N374" s="241"/>
      <x:c r="O374" s="241"/>
      <x:c r="P374" s="241"/>
      <x:c r="Q374" s="241"/>
      <x:c r="R374" s="241"/>
      <x:c r="S374" s="241"/>
      <x:c r="T374" s="241"/>
      <x:c r="U374" s="241"/>
      <x:c r="V374" s="241"/>
      <x:c r="W374" s="241"/>
      <x:c r="X374" s="241"/>
      <x:c r="Y374" s="241"/>
      <x:c r="Z374" s="241"/>
      <x:c r="AA374" s="241"/>
      <x:c r="AB374" s="241"/>
      <x:c r="AC374" s="241"/>
      <x:c r="AD374" s="241"/>
      <x:c r="AE374" s="241"/>
      <x:c r="AF374" s="241"/>
      <x:c r="AG374" s="241"/>
      <x:c r="AH374" s="241"/>
      <x:c r="AI374" s="241"/>
      <x:c r="AJ374" s="241"/>
      <x:c r="AK374" s="220"/>
      <x:c r="AL374" s="221"/>
      <x:c r="AM374" s="221"/>
      <x:c r="AN374" s="123"/>
      <x:c r="AO374" s="123"/>
    </x:row>
    <x:row r="375" spans="1:47" ht="15" customHeight="1">
      <x:c r="A375" s="69"/>
      <x:c r="B375" s="216"/>
      <x:c r="C375" s="121"/>
      <x:c r="D375" s="121"/>
      <x:c r="E375" s="121"/>
      <x:c r="F375" s="241"/>
      <x:c r="G375" s="241"/>
      <x:c r="H375" s="241"/>
      <x:c r="I375" s="241"/>
      <x:c r="J375" s="241"/>
      <x:c r="K375" s="241"/>
      <x:c r="L375" s="241"/>
      <x:c r="M375" s="241"/>
      <x:c r="N375" s="241"/>
      <x:c r="O375" s="241"/>
      <x:c r="P375" s="241"/>
      <x:c r="Q375" s="241"/>
      <x:c r="R375" s="241"/>
      <x:c r="S375" s="241"/>
      <x:c r="T375" s="241"/>
      <x:c r="U375" s="241"/>
      <x:c r="V375" s="241"/>
      <x:c r="W375" s="241"/>
      <x:c r="X375" s="241"/>
      <x:c r="Y375" s="241"/>
      <x:c r="Z375" s="241"/>
      <x:c r="AA375" s="241"/>
      <x:c r="AB375" s="241"/>
      <x:c r="AC375" s="241"/>
      <x:c r="AD375" s="241"/>
      <x:c r="AE375" s="241"/>
      <x:c r="AF375" s="241"/>
      <x:c r="AG375" s="241"/>
      <x:c r="AH375" s="241"/>
      <x:c r="AI375" s="241"/>
      <x:c r="AJ375" s="241"/>
      <x:c r="AK375" s="220"/>
      <x:c r="AL375" s="221"/>
      <x:c r="AM375" s="221"/>
      <x:c r="AN375" s="123"/>
      <x:c r="AO375" s="123"/>
    </x:row>
    <x:row r="376" spans="1:47" ht="15" customHeight="1">
      <x:c r="A376" s="69"/>
      <x:c r="B376" s="216"/>
      <x:c r="C376" s="121"/>
      <x:c r="D376" s="121"/>
      <x:c r="E376" s="121"/>
      <x:c r="F376" s="241"/>
      <x:c r="G376" s="241"/>
      <x:c r="H376" s="241"/>
      <x:c r="I376" s="241"/>
      <x:c r="J376" s="241"/>
      <x:c r="K376" s="241"/>
      <x:c r="L376" s="241"/>
      <x:c r="M376" s="241"/>
      <x:c r="N376" s="241"/>
      <x:c r="O376" s="241"/>
      <x:c r="P376" s="241"/>
      <x:c r="Q376" s="241"/>
      <x:c r="R376" s="241"/>
      <x:c r="S376" s="241"/>
      <x:c r="T376" s="241"/>
      <x:c r="U376" s="241"/>
      <x:c r="V376" s="241"/>
      <x:c r="W376" s="241"/>
      <x:c r="X376" s="241"/>
      <x:c r="Y376" s="241"/>
      <x:c r="Z376" s="241"/>
      <x:c r="AA376" s="241"/>
      <x:c r="AB376" s="241"/>
      <x:c r="AC376" s="241"/>
      <x:c r="AD376" s="241"/>
      <x:c r="AE376" s="241"/>
      <x:c r="AF376" s="241"/>
      <x:c r="AG376" s="241"/>
      <x:c r="AH376" s="241"/>
      <x:c r="AI376" s="241"/>
      <x:c r="AJ376" s="241"/>
      <x:c r="AK376" s="220"/>
      <x:c r="AL376" s="221"/>
      <x:c r="AM376" s="221"/>
      <x:c r="AN376" s="123"/>
      <x:c r="AO376" s="123"/>
    </x:row>
    <x:row r="377" spans="1:47" ht="15" customHeight="1">
      <x:c r="A377" s="69"/>
      <x:c r="B377" s="216"/>
      <x:c r="C377" s="121"/>
      <x:c r="D377" s="121"/>
      <x:c r="E377" s="121"/>
      <x:c r="F377" s="241"/>
      <x:c r="G377" s="241"/>
      <x:c r="H377" s="241"/>
      <x:c r="I377" s="241"/>
      <x:c r="J377" s="241"/>
      <x:c r="K377" s="241"/>
      <x:c r="L377" s="241"/>
      <x:c r="M377" s="241"/>
      <x:c r="N377" s="241"/>
      <x:c r="O377" s="241"/>
      <x:c r="P377" s="241"/>
      <x:c r="Q377" s="241"/>
      <x:c r="R377" s="241"/>
      <x:c r="S377" s="241"/>
      <x:c r="T377" s="241"/>
      <x:c r="U377" s="241"/>
      <x:c r="V377" s="241"/>
      <x:c r="W377" s="241"/>
      <x:c r="X377" s="241"/>
      <x:c r="Y377" s="241"/>
      <x:c r="Z377" s="241"/>
      <x:c r="AA377" s="241"/>
      <x:c r="AB377" s="241"/>
      <x:c r="AC377" s="241"/>
      <x:c r="AD377" s="241"/>
      <x:c r="AE377" s="241"/>
      <x:c r="AF377" s="241"/>
      <x:c r="AG377" s="241"/>
      <x:c r="AH377" s="241"/>
      <x:c r="AI377" s="241"/>
      <x:c r="AJ377" s="241"/>
      <x:c r="AK377" s="220"/>
      <x:c r="AL377" s="221"/>
      <x:c r="AM377" s="221"/>
      <x:c r="AN377" s="123"/>
      <x:c r="AO377" s="123"/>
    </x:row>
    <x:row r="378" spans="1:47" ht="15" customHeight="1">
      <x:c r="A378" s="69"/>
      <x:c r="B378" s="216"/>
      <x:c r="C378" s="121"/>
      <x:c r="D378" s="121"/>
      <x:c r="E378" s="121"/>
      <x:c r="F378" s="241"/>
      <x:c r="G378" s="241"/>
      <x:c r="H378" s="241"/>
      <x:c r="I378" s="241"/>
      <x:c r="J378" s="241"/>
      <x:c r="K378" s="241"/>
      <x:c r="L378" s="241"/>
      <x:c r="M378" s="241"/>
      <x:c r="N378" s="241"/>
      <x:c r="O378" s="241"/>
      <x:c r="P378" s="241"/>
      <x:c r="Q378" s="241"/>
      <x:c r="R378" s="241"/>
      <x:c r="S378" s="241"/>
      <x:c r="T378" s="241"/>
      <x:c r="U378" s="241"/>
      <x:c r="V378" s="241"/>
      <x:c r="W378" s="241"/>
      <x:c r="X378" s="241"/>
      <x:c r="Y378" s="241"/>
      <x:c r="Z378" s="241"/>
      <x:c r="AA378" s="241"/>
      <x:c r="AB378" s="241"/>
      <x:c r="AC378" s="241"/>
      <x:c r="AD378" s="241"/>
      <x:c r="AE378" s="241"/>
      <x:c r="AF378" s="241"/>
      <x:c r="AG378" s="241"/>
      <x:c r="AH378" s="241"/>
      <x:c r="AI378" s="241"/>
      <x:c r="AJ378" s="241"/>
      <x:c r="AK378" s="220"/>
      <x:c r="AL378" s="221"/>
      <x:c r="AM378" s="221"/>
      <x:c r="AN378" s="123"/>
      <x:c r="AO378" s="123"/>
    </x:row>
    <x:row r="379" spans="1:47" ht="15" customHeight="1">
      <x:c r="A379" s="69"/>
      <x:c r="B379" s="216"/>
      <x:c r="C379" s="121"/>
      <x:c r="D379" s="121"/>
      <x:c r="E379" s="121"/>
      <x:c r="F379" s="241"/>
      <x:c r="G379" s="241"/>
      <x:c r="H379" s="241"/>
      <x:c r="I379" s="241"/>
      <x:c r="J379" s="241"/>
      <x:c r="K379" s="241"/>
      <x:c r="L379" s="241"/>
      <x:c r="M379" s="241"/>
      <x:c r="N379" s="241"/>
      <x:c r="O379" s="241"/>
      <x:c r="P379" s="241"/>
      <x:c r="Q379" s="241"/>
      <x:c r="R379" s="241"/>
      <x:c r="S379" s="241"/>
      <x:c r="T379" s="241"/>
      <x:c r="U379" s="241"/>
      <x:c r="V379" s="241"/>
      <x:c r="W379" s="241"/>
      <x:c r="X379" s="241"/>
      <x:c r="Y379" s="241"/>
      <x:c r="Z379" s="241"/>
      <x:c r="AA379" s="241"/>
      <x:c r="AB379" s="241"/>
      <x:c r="AC379" s="241"/>
      <x:c r="AD379" s="241"/>
      <x:c r="AE379" s="241"/>
      <x:c r="AF379" s="241"/>
      <x:c r="AG379" s="241"/>
      <x:c r="AH379" s="241"/>
      <x:c r="AI379" s="241"/>
      <x:c r="AJ379" s="241"/>
      <x:c r="AK379" s="220"/>
      <x:c r="AL379" s="221"/>
      <x:c r="AM379" s="221"/>
      <x:c r="AN379" s="123"/>
      <x:c r="AO379" s="123"/>
    </x:row>
    <x:row r="380" spans="1:47" ht="15" customHeight="1">
      <x:c r="A380" s="69"/>
      <x:c r="B380" s="216"/>
      <x:c r="C380" s="121"/>
      <x:c r="D380" s="121"/>
      <x:c r="E380" s="121"/>
      <x:c r="F380" s="241"/>
      <x:c r="G380" s="241"/>
      <x:c r="H380" s="241"/>
      <x:c r="I380" s="241"/>
      <x:c r="J380" s="241"/>
      <x:c r="K380" s="241"/>
      <x:c r="L380" s="241"/>
      <x:c r="M380" s="241"/>
      <x:c r="N380" s="241"/>
      <x:c r="O380" s="241"/>
      <x:c r="P380" s="241"/>
      <x:c r="Q380" s="241"/>
      <x:c r="R380" s="241"/>
      <x:c r="S380" s="241"/>
      <x:c r="T380" s="241"/>
      <x:c r="U380" s="241"/>
      <x:c r="V380" s="241"/>
      <x:c r="W380" s="241"/>
      <x:c r="X380" s="241"/>
      <x:c r="Y380" s="241"/>
      <x:c r="Z380" s="241"/>
      <x:c r="AA380" s="241"/>
      <x:c r="AB380" s="241"/>
      <x:c r="AC380" s="241"/>
      <x:c r="AD380" s="241"/>
      <x:c r="AE380" s="241"/>
      <x:c r="AF380" s="241"/>
      <x:c r="AG380" s="241"/>
      <x:c r="AH380" s="241"/>
      <x:c r="AI380" s="241"/>
      <x:c r="AJ380" s="241"/>
      <x:c r="AK380" s="220"/>
      <x:c r="AL380" s="221"/>
      <x:c r="AM380" s="221"/>
      <x:c r="AN380" s="123"/>
      <x:c r="AO380" s="123"/>
    </x:row>
    <x:row r="381" spans="1:47" ht="15" customHeight="1">
      <x:c r="A381" s="69"/>
      <x:c r="B381" s="216"/>
      <x:c r="C381" s="121"/>
      <x:c r="D381" s="121"/>
      <x:c r="E381" s="121"/>
      <x:c r="F381" s="241"/>
      <x:c r="G381" s="241"/>
      <x:c r="H381" s="241"/>
      <x:c r="I381" s="241"/>
      <x:c r="J381" s="241"/>
      <x:c r="K381" s="241"/>
      <x:c r="L381" s="241"/>
      <x:c r="M381" s="241"/>
      <x:c r="N381" s="241"/>
      <x:c r="O381" s="241"/>
      <x:c r="P381" s="241"/>
      <x:c r="Q381" s="241"/>
      <x:c r="R381" s="241"/>
      <x:c r="S381" s="241"/>
      <x:c r="T381" s="241"/>
      <x:c r="U381" s="241"/>
      <x:c r="V381" s="241"/>
      <x:c r="W381" s="241"/>
      <x:c r="X381" s="241"/>
      <x:c r="Y381" s="241"/>
      <x:c r="Z381" s="241"/>
      <x:c r="AA381" s="241"/>
      <x:c r="AB381" s="241"/>
      <x:c r="AC381" s="241"/>
      <x:c r="AD381" s="241"/>
      <x:c r="AE381" s="241"/>
      <x:c r="AF381" s="241"/>
      <x:c r="AG381" s="241"/>
      <x:c r="AH381" s="241"/>
      <x:c r="AI381" s="241"/>
      <x:c r="AJ381" s="241"/>
      <x:c r="AK381" s="220"/>
      <x:c r="AL381" s="221"/>
      <x:c r="AM381" s="221"/>
      <x:c r="AN381" s="123"/>
      <x:c r="AO381" s="123"/>
    </x:row>
    <x:row r="382" spans="1:47" ht="15" customHeight="1">
      <x:c r="A382" s="69"/>
      <x:c r="B382" s="216"/>
      <x:c r="C382" s="121"/>
      <x:c r="D382" s="121"/>
      <x:c r="E382" s="121"/>
      <x:c r="F382" s="241"/>
      <x:c r="G382" s="241"/>
      <x:c r="H382" s="241"/>
      <x:c r="I382" s="241"/>
      <x:c r="J382" s="241"/>
      <x:c r="K382" s="241"/>
      <x:c r="L382" s="241"/>
      <x:c r="M382" s="241"/>
      <x:c r="N382" s="241"/>
      <x:c r="O382" s="241"/>
      <x:c r="P382" s="241"/>
      <x:c r="Q382" s="241"/>
      <x:c r="R382" s="241"/>
      <x:c r="S382" s="241"/>
      <x:c r="T382" s="241"/>
      <x:c r="U382" s="241"/>
      <x:c r="V382" s="241"/>
      <x:c r="W382" s="241"/>
      <x:c r="X382" s="241"/>
      <x:c r="Y382" s="241"/>
      <x:c r="Z382" s="241"/>
      <x:c r="AA382" s="241"/>
      <x:c r="AB382" s="241"/>
      <x:c r="AC382" s="241"/>
      <x:c r="AD382" s="241"/>
      <x:c r="AE382" s="241"/>
      <x:c r="AF382" s="241"/>
      <x:c r="AG382" s="241"/>
      <x:c r="AH382" s="241"/>
      <x:c r="AI382" s="241"/>
      <x:c r="AJ382" s="241"/>
      <x:c r="AK382" s="220"/>
      <x:c r="AL382" s="221"/>
      <x:c r="AM382" s="221"/>
      <x:c r="AN382" s="123"/>
      <x:c r="AO382" s="123"/>
    </x:row>
    <x:row r="383" spans="1:47" ht="15" customHeight="1">
      <x:c r="A383" s="69"/>
      <x:c r="B383" s="216"/>
      <x:c r="C383" s="121"/>
      <x:c r="D383" s="121"/>
      <x:c r="E383" s="121"/>
      <x:c r="F383" s="241"/>
      <x:c r="G383" s="241"/>
      <x:c r="H383" s="241"/>
      <x:c r="I383" s="241"/>
      <x:c r="J383" s="241"/>
      <x:c r="K383" s="241"/>
      <x:c r="L383" s="241"/>
      <x:c r="M383" s="241"/>
      <x:c r="N383" s="241"/>
      <x:c r="O383" s="241"/>
      <x:c r="P383" s="241"/>
      <x:c r="Q383" s="241"/>
      <x:c r="R383" s="241"/>
      <x:c r="S383" s="241"/>
      <x:c r="T383" s="241"/>
      <x:c r="U383" s="241"/>
      <x:c r="V383" s="241"/>
      <x:c r="W383" s="241"/>
      <x:c r="X383" s="241"/>
      <x:c r="Y383" s="241"/>
      <x:c r="Z383" s="241"/>
      <x:c r="AA383" s="241"/>
      <x:c r="AB383" s="241"/>
      <x:c r="AC383" s="241"/>
      <x:c r="AD383" s="241"/>
      <x:c r="AE383" s="241"/>
      <x:c r="AF383" s="241"/>
      <x:c r="AG383" s="241"/>
      <x:c r="AH383" s="241"/>
      <x:c r="AI383" s="241"/>
      <x:c r="AJ383" s="241"/>
      <x:c r="AK383" s="220"/>
      <x:c r="AL383" s="221"/>
      <x:c r="AM383" s="221"/>
      <x:c r="AN383" s="123"/>
      <x:c r="AO383" s="123"/>
    </x:row>
    <x:row r="384" spans="1:47" ht="15" customHeight="1">
      <x:c r="A384" s="69"/>
      <x:c r="B384" s="216"/>
      <x:c r="C384" s="121"/>
      <x:c r="D384" s="121"/>
      <x:c r="E384" s="121"/>
      <x:c r="F384" s="241"/>
      <x:c r="G384" s="241"/>
      <x:c r="H384" s="241"/>
      <x:c r="I384" s="241"/>
      <x:c r="J384" s="241"/>
      <x:c r="K384" s="241"/>
      <x:c r="L384" s="241"/>
      <x:c r="M384" s="241"/>
      <x:c r="N384" s="241"/>
      <x:c r="O384" s="241"/>
      <x:c r="P384" s="241"/>
      <x:c r="Q384" s="241"/>
      <x:c r="R384" s="241"/>
      <x:c r="S384" s="241"/>
      <x:c r="T384" s="241"/>
      <x:c r="U384" s="241"/>
      <x:c r="V384" s="241"/>
      <x:c r="W384" s="241"/>
      <x:c r="X384" s="241"/>
      <x:c r="Y384" s="241"/>
      <x:c r="Z384" s="241"/>
      <x:c r="AA384" s="241"/>
      <x:c r="AB384" s="241"/>
      <x:c r="AC384" s="241"/>
      <x:c r="AD384" s="241"/>
      <x:c r="AE384" s="241"/>
      <x:c r="AF384" s="241"/>
      <x:c r="AG384" s="241"/>
      <x:c r="AH384" s="241"/>
      <x:c r="AI384" s="241"/>
      <x:c r="AJ384" s="241"/>
      <x:c r="AK384" s="220"/>
      <x:c r="AL384" s="221"/>
      <x:c r="AM384" s="221"/>
      <x:c r="AN384" s="123"/>
      <x:c r="AO384" s="123"/>
    </x:row>
    <x:row r="385" spans="1:47" ht="15" customHeight="1">
      <x:c r="A385" s="69"/>
      <x:c r="B385" s="216"/>
      <x:c r="C385" s="121"/>
      <x:c r="D385" s="121"/>
      <x:c r="E385" s="121"/>
      <x:c r="F385" s="241"/>
      <x:c r="G385" s="241"/>
      <x:c r="H385" s="241"/>
      <x:c r="I385" s="241"/>
      <x:c r="J385" s="241"/>
      <x:c r="K385" s="241"/>
      <x:c r="L385" s="241"/>
      <x:c r="M385" s="241"/>
      <x:c r="N385" s="241"/>
      <x:c r="O385" s="241"/>
      <x:c r="P385" s="241"/>
      <x:c r="Q385" s="241"/>
      <x:c r="R385" s="241"/>
      <x:c r="S385" s="241"/>
      <x:c r="T385" s="241"/>
      <x:c r="U385" s="241"/>
      <x:c r="V385" s="241"/>
      <x:c r="W385" s="241"/>
      <x:c r="X385" s="241"/>
      <x:c r="Y385" s="241"/>
      <x:c r="Z385" s="241"/>
      <x:c r="AA385" s="241"/>
      <x:c r="AB385" s="241"/>
      <x:c r="AC385" s="241"/>
      <x:c r="AD385" s="241"/>
      <x:c r="AE385" s="241"/>
      <x:c r="AF385" s="241"/>
      <x:c r="AG385" s="241"/>
      <x:c r="AH385" s="241"/>
      <x:c r="AI385" s="241"/>
      <x:c r="AJ385" s="241"/>
      <x:c r="AK385" s="220"/>
      <x:c r="AL385" s="221"/>
      <x:c r="AM385" s="221"/>
      <x:c r="AN385" s="123"/>
      <x:c r="AO385" s="123"/>
    </x:row>
    <x:row r="386" spans="1:47" ht="15" customHeight="1">
      <x:c r="A386" s="69"/>
      <x:c r="B386" s="216"/>
      <x:c r="C386" s="121"/>
      <x:c r="D386" s="121"/>
      <x:c r="E386" s="121"/>
      <x:c r="F386" s="241"/>
      <x:c r="G386" s="241"/>
      <x:c r="H386" s="241"/>
      <x:c r="I386" s="241"/>
      <x:c r="J386" s="241"/>
      <x:c r="K386" s="241"/>
      <x:c r="L386" s="241"/>
      <x:c r="M386" s="241"/>
      <x:c r="N386" s="241"/>
      <x:c r="O386" s="241"/>
      <x:c r="P386" s="241"/>
      <x:c r="Q386" s="241"/>
      <x:c r="R386" s="241"/>
      <x:c r="S386" s="241"/>
      <x:c r="T386" s="241"/>
      <x:c r="U386" s="241"/>
      <x:c r="V386" s="241"/>
      <x:c r="W386" s="241"/>
      <x:c r="X386" s="241"/>
      <x:c r="Y386" s="241"/>
      <x:c r="Z386" s="241"/>
      <x:c r="AA386" s="241"/>
      <x:c r="AB386" s="241"/>
      <x:c r="AC386" s="241"/>
      <x:c r="AD386" s="241"/>
      <x:c r="AE386" s="241"/>
      <x:c r="AF386" s="241"/>
      <x:c r="AG386" s="241"/>
      <x:c r="AH386" s="241"/>
      <x:c r="AI386" s="241"/>
      <x:c r="AJ386" s="241"/>
      <x:c r="AK386" s="220"/>
      <x:c r="AL386" s="221"/>
      <x:c r="AM386" s="221"/>
      <x:c r="AN386" s="123"/>
      <x:c r="AO386" s="123"/>
    </x:row>
    <x:row r="387" spans="1:47" ht="15" customHeight="1">
      <x:c r="A387" s="69"/>
      <x:c r="B387" s="216"/>
      <x:c r="C387" s="121"/>
      <x:c r="D387" s="121"/>
      <x:c r="E387" s="121"/>
      <x:c r="F387" s="241"/>
      <x:c r="G387" s="241"/>
      <x:c r="H387" s="241"/>
      <x:c r="I387" s="241"/>
      <x:c r="J387" s="241"/>
      <x:c r="K387" s="241"/>
      <x:c r="L387" s="241"/>
      <x:c r="M387" s="241"/>
      <x:c r="N387" s="241"/>
      <x:c r="O387" s="241"/>
      <x:c r="P387" s="241"/>
      <x:c r="Q387" s="241"/>
      <x:c r="R387" s="241"/>
      <x:c r="S387" s="241"/>
      <x:c r="T387" s="241"/>
      <x:c r="U387" s="241"/>
      <x:c r="V387" s="241"/>
      <x:c r="W387" s="241"/>
      <x:c r="X387" s="241"/>
      <x:c r="Y387" s="241"/>
      <x:c r="Z387" s="241"/>
      <x:c r="AA387" s="241"/>
      <x:c r="AB387" s="241"/>
      <x:c r="AC387" s="241"/>
      <x:c r="AD387" s="241"/>
      <x:c r="AE387" s="241"/>
      <x:c r="AF387" s="241"/>
      <x:c r="AG387" s="241"/>
      <x:c r="AH387" s="241"/>
      <x:c r="AI387" s="241"/>
      <x:c r="AJ387" s="241"/>
      <x:c r="AK387" s="220"/>
      <x:c r="AL387" s="221"/>
      <x:c r="AM387" s="221"/>
      <x:c r="AN387" s="123"/>
      <x:c r="AO387" s="123"/>
    </x:row>
    <x:row r="388" spans="1:47" ht="15" customHeight="1">
      <x:c r="A388" s="69"/>
      <x:c r="B388" s="216"/>
      <x:c r="C388" s="121"/>
      <x:c r="D388" s="121"/>
      <x:c r="E388" s="121"/>
      <x:c r="F388" s="241"/>
      <x:c r="G388" s="241"/>
      <x:c r="H388" s="241"/>
      <x:c r="I388" s="241"/>
      <x:c r="J388" s="241"/>
      <x:c r="K388" s="241"/>
      <x:c r="L388" s="241"/>
      <x:c r="M388" s="241"/>
      <x:c r="N388" s="241"/>
      <x:c r="O388" s="241"/>
      <x:c r="P388" s="241"/>
      <x:c r="Q388" s="241"/>
      <x:c r="R388" s="241"/>
      <x:c r="S388" s="241"/>
      <x:c r="T388" s="241"/>
      <x:c r="U388" s="241"/>
      <x:c r="V388" s="241"/>
      <x:c r="W388" s="241"/>
      <x:c r="X388" s="241"/>
      <x:c r="Y388" s="241"/>
      <x:c r="Z388" s="241"/>
      <x:c r="AA388" s="241"/>
      <x:c r="AB388" s="241"/>
      <x:c r="AC388" s="241"/>
      <x:c r="AD388" s="241"/>
      <x:c r="AE388" s="241"/>
      <x:c r="AF388" s="241"/>
      <x:c r="AG388" s="241"/>
      <x:c r="AH388" s="241"/>
      <x:c r="AI388" s="241"/>
      <x:c r="AJ388" s="241"/>
      <x:c r="AK388" s="220"/>
      <x:c r="AL388" s="221"/>
      <x:c r="AM388" s="221"/>
      <x:c r="AN388" s="123"/>
      <x:c r="AO388" s="123"/>
    </x:row>
    <x:row r="389" spans="1:47" ht="15" customHeight="1">
      <x:c r="A389" s="69"/>
      <x:c r="B389" s="216"/>
      <x:c r="C389" s="121"/>
      <x:c r="D389" s="121"/>
      <x:c r="E389" s="121"/>
      <x:c r="F389" s="241"/>
      <x:c r="G389" s="241"/>
      <x:c r="H389" s="241"/>
      <x:c r="I389" s="241"/>
      <x:c r="J389" s="241"/>
      <x:c r="K389" s="241"/>
      <x:c r="L389" s="241"/>
      <x:c r="M389" s="241"/>
      <x:c r="N389" s="241"/>
      <x:c r="O389" s="241"/>
      <x:c r="P389" s="241"/>
      <x:c r="Q389" s="241"/>
      <x:c r="R389" s="241"/>
      <x:c r="S389" s="241"/>
      <x:c r="T389" s="241"/>
      <x:c r="U389" s="241"/>
      <x:c r="V389" s="241"/>
      <x:c r="W389" s="241"/>
      <x:c r="X389" s="241"/>
      <x:c r="Y389" s="241"/>
      <x:c r="Z389" s="241"/>
      <x:c r="AA389" s="241"/>
      <x:c r="AB389" s="241"/>
      <x:c r="AC389" s="241"/>
      <x:c r="AD389" s="241"/>
      <x:c r="AE389" s="241"/>
      <x:c r="AF389" s="241"/>
      <x:c r="AG389" s="241"/>
      <x:c r="AH389" s="241"/>
      <x:c r="AI389" s="241"/>
      <x:c r="AJ389" s="241"/>
      <x:c r="AK389" s="220"/>
      <x:c r="AL389" s="221"/>
      <x:c r="AM389" s="221"/>
      <x:c r="AN389" s="123"/>
      <x:c r="AO389" s="123"/>
    </x:row>
    <x:row r="390" spans="1:47" ht="15" customHeight="1">
      <x:c r="A390" s="69"/>
      <x:c r="B390" s="216"/>
      <x:c r="C390" s="121"/>
      <x:c r="D390" s="121"/>
      <x:c r="E390" s="121"/>
      <x:c r="F390" s="241"/>
      <x:c r="G390" s="241"/>
      <x:c r="H390" s="241"/>
      <x:c r="I390" s="241"/>
      <x:c r="J390" s="241"/>
      <x:c r="K390" s="241"/>
      <x:c r="L390" s="241"/>
      <x:c r="M390" s="241"/>
      <x:c r="N390" s="241"/>
      <x:c r="O390" s="241"/>
      <x:c r="P390" s="241"/>
      <x:c r="Q390" s="241"/>
      <x:c r="R390" s="241"/>
      <x:c r="S390" s="241"/>
      <x:c r="T390" s="241"/>
      <x:c r="U390" s="241"/>
      <x:c r="V390" s="241"/>
      <x:c r="W390" s="241"/>
      <x:c r="X390" s="241"/>
      <x:c r="Y390" s="241"/>
      <x:c r="Z390" s="241"/>
      <x:c r="AA390" s="241"/>
      <x:c r="AB390" s="241"/>
      <x:c r="AC390" s="241"/>
      <x:c r="AD390" s="241"/>
      <x:c r="AE390" s="241"/>
      <x:c r="AF390" s="241"/>
      <x:c r="AG390" s="241"/>
      <x:c r="AH390" s="241"/>
      <x:c r="AI390" s="241"/>
      <x:c r="AJ390" s="241"/>
      <x:c r="AK390" s="220"/>
      <x:c r="AL390" s="221"/>
      <x:c r="AM390" s="221"/>
      <x:c r="AN390" s="123"/>
      <x:c r="AO390" s="123"/>
    </x:row>
    <x:row r="391" spans="1:47" ht="15" customHeight="1">
      <x:c r="A391" s="69"/>
      <x:c r="B391" s="216"/>
      <x:c r="C391" s="121"/>
      <x:c r="D391" s="121"/>
      <x:c r="E391" s="121"/>
      <x:c r="F391" s="241"/>
      <x:c r="G391" s="241"/>
      <x:c r="H391" s="241"/>
      <x:c r="I391" s="241"/>
      <x:c r="J391" s="241"/>
      <x:c r="K391" s="241"/>
      <x:c r="L391" s="241"/>
      <x:c r="M391" s="241"/>
      <x:c r="N391" s="241"/>
      <x:c r="O391" s="241"/>
      <x:c r="P391" s="241"/>
      <x:c r="Q391" s="241"/>
      <x:c r="R391" s="241"/>
      <x:c r="S391" s="241"/>
      <x:c r="T391" s="241"/>
      <x:c r="U391" s="241"/>
      <x:c r="V391" s="241"/>
      <x:c r="W391" s="241"/>
      <x:c r="X391" s="241"/>
      <x:c r="Y391" s="241"/>
      <x:c r="Z391" s="241"/>
      <x:c r="AA391" s="241"/>
      <x:c r="AB391" s="241"/>
      <x:c r="AC391" s="241"/>
      <x:c r="AD391" s="241"/>
      <x:c r="AE391" s="241"/>
      <x:c r="AF391" s="241"/>
      <x:c r="AG391" s="241"/>
      <x:c r="AH391" s="241"/>
      <x:c r="AI391" s="241"/>
      <x:c r="AJ391" s="241"/>
      <x:c r="AK391" s="220"/>
      <x:c r="AL391" s="221"/>
      <x:c r="AM391" s="221"/>
      <x:c r="AN391" s="123"/>
      <x:c r="AO391" s="123"/>
    </x:row>
    <x:row r="392" spans="1:47" ht="15" customHeight="1">
      <x:c r="A392" s="69"/>
      <x:c r="B392" s="216"/>
      <x:c r="C392" s="121"/>
      <x:c r="D392" s="121"/>
      <x:c r="E392" s="121"/>
      <x:c r="F392" s="241"/>
      <x:c r="G392" s="241"/>
      <x:c r="H392" s="241"/>
      <x:c r="I392" s="241"/>
      <x:c r="J392" s="241"/>
      <x:c r="K392" s="241"/>
      <x:c r="L392" s="241"/>
      <x:c r="M392" s="241"/>
      <x:c r="N392" s="241"/>
      <x:c r="O392" s="241"/>
      <x:c r="P392" s="241"/>
      <x:c r="Q392" s="241"/>
      <x:c r="R392" s="241"/>
      <x:c r="S392" s="241"/>
      <x:c r="T392" s="241"/>
      <x:c r="U392" s="241"/>
      <x:c r="V392" s="241"/>
      <x:c r="W392" s="241"/>
      <x:c r="X392" s="241"/>
      <x:c r="Y392" s="241"/>
      <x:c r="Z392" s="241"/>
      <x:c r="AA392" s="241"/>
      <x:c r="AB392" s="241"/>
      <x:c r="AC392" s="241"/>
      <x:c r="AD392" s="241"/>
      <x:c r="AE392" s="241"/>
      <x:c r="AF392" s="241"/>
      <x:c r="AG392" s="241"/>
      <x:c r="AH392" s="241"/>
      <x:c r="AI392" s="241"/>
      <x:c r="AJ392" s="241"/>
      <x:c r="AK392" s="220"/>
      <x:c r="AL392" s="221"/>
      <x:c r="AM392" s="221"/>
      <x:c r="AN392" s="123"/>
      <x:c r="AO392" s="123"/>
    </x:row>
    <x:row r="393" spans="1:47" ht="15" customHeight="1">
      <x:c r="A393" s="69"/>
      <x:c r="B393" s="216"/>
      <x:c r="C393" s="121"/>
      <x:c r="D393" s="121"/>
      <x:c r="E393" s="121"/>
      <x:c r="F393" s="241"/>
      <x:c r="G393" s="241"/>
      <x:c r="H393" s="241"/>
      <x:c r="I393" s="241"/>
      <x:c r="J393" s="241"/>
      <x:c r="K393" s="241"/>
      <x:c r="L393" s="241"/>
      <x:c r="M393" s="241"/>
      <x:c r="N393" s="241"/>
      <x:c r="O393" s="241"/>
      <x:c r="P393" s="241"/>
      <x:c r="Q393" s="241"/>
      <x:c r="R393" s="241"/>
      <x:c r="S393" s="241"/>
      <x:c r="T393" s="241"/>
      <x:c r="U393" s="241"/>
      <x:c r="V393" s="241"/>
      <x:c r="W393" s="241"/>
      <x:c r="X393" s="241"/>
      <x:c r="Y393" s="241"/>
      <x:c r="Z393" s="241"/>
      <x:c r="AA393" s="241"/>
      <x:c r="AB393" s="241"/>
      <x:c r="AC393" s="241"/>
      <x:c r="AD393" s="241"/>
      <x:c r="AE393" s="241"/>
      <x:c r="AF393" s="241"/>
      <x:c r="AG393" s="241"/>
      <x:c r="AH393" s="241"/>
      <x:c r="AI393" s="241"/>
      <x:c r="AJ393" s="241"/>
      <x:c r="AK393" s="220"/>
      <x:c r="AL393" s="221"/>
      <x:c r="AM393" s="221"/>
      <x:c r="AN393" s="123"/>
      <x:c r="AO393" s="123"/>
    </x:row>
    <x:row r="394" spans="1:47" ht="15" customHeight="1">
      <x:c r="A394" s="69"/>
      <x:c r="B394" s="216"/>
      <x:c r="C394" s="121"/>
      <x:c r="D394" s="121"/>
      <x:c r="E394" s="121"/>
      <x:c r="F394" s="241"/>
      <x:c r="G394" s="241"/>
      <x:c r="H394" s="241"/>
      <x:c r="I394" s="241"/>
      <x:c r="J394" s="241"/>
      <x:c r="K394" s="241"/>
      <x:c r="L394" s="241"/>
      <x:c r="M394" s="241"/>
      <x:c r="N394" s="241"/>
      <x:c r="O394" s="241"/>
      <x:c r="P394" s="241"/>
      <x:c r="Q394" s="241"/>
      <x:c r="R394" s="241"/>
      <x:c r="S394" s="241"/>
      <x:c r="T394" s="241"/>
      <x:c r="U394" s="241"/>
      <x:c r="V394" s="241"/>
      <x:c r="W394" s="241"/>
      <x:c r="X394" s="241"/>
      <x:c r="Y394" s="241"/>
      <x:c r="Z394" s="241"/>
      <x:c r="AA394" s="241"/>
      <x:c r="AB394" s="241"/>
      <x:c r="AC394" s="241"/>
      <x:c r="AD394" s="241"/>
      <x:c r="AE394" s="241"/>
      <x:c r="AF394" s="241"/>
      <x:c r="AG394" s="241"/>
      <x:c r="AH394" s="241"/>
      <x:c r="AI394" s="241"/>
      <x:c r="AJ394" s="241"/>
      <x:c r="AK394" s="220"/>
      <x:c r="AL394" s="221"/>
      <x:c r="AM394" s="221"/>
      <x:c r="AN394" s="123"/>
      <x:c r="AO394" s="123"/>
    </x:row>
    <x:row r="395" spans="1:47" ht="15" customHeight="1">
      <x:c r="A395" s="69"/>
      <x:c r="B395" s="216"/>
      <x:c r="C395" s="121"/>
      <x:c r="D395" s="121"/>
      <x:c r="E395" s="121"/>
      <x:c r="F395" s="241"/>
      <x:c r="G395" s="241"/>
      <x:c r="H395" s="241"/>
      <x:c r="I395" s="241"/>
      <x:c r="J395" s="241"/>
      <x:c r="K395" s="241"/>
      <x:c r="L395" s="241"/>
      <x:c r="M395" s="241"/>
      <x:c r="N395" s="241"/>
      <x:c r="O395" s="241"/>
      <x:c r="P395" s="241"/>
      <x:c r="Q395" s="241"/>
      <x:c r="R395" s="241"/>
      <x:c r="S395" s="241"/>
      <x:c r="T395" s="241"/>
      <x:c r="U395" s="241"/>
      <x:c r="V395" s="241"/>
      <x:c r="W395" s="241"/>
      <x:c r="X395" s="241"/>
      <x:c r="Y395" s="241"/>
      <x:c r="Z395" s="241"/>
      <x:c r="AA395" s="241"/>
      <x:c r="AB395" s="241"/>
      <x:c r="AC395" s="241"/>
      <x:c r="AD395" s="241"/>
      <x:c r="AE395" s="241"/>
      <x:c r="AF395" s="241"/>
      <x:c r="AG395" s="241"/>
      <x:c r="AH395" s="241"/>
      <x:c r="AI395" s="241"/>
      <x:c r="AJ395" s="241"/>
      <x:c r="AK395" s="220"/>
      <x:c r="AL395" s="221"/>
      <x:c r="AM395" s="221"/>
      <x:c r="AN395" s="123"/>
      <x:c r="AO395" s="123"/>
    </x:row>
    <x:row r="396" spans="1:47" ht="15" customHeight="1">
      <x:c r="A396" s="69"/>
      <x:c r="B396" s="216"/>
      <x:c r="C396" s="121"/>
      <x:c r="D396" s="121"/>
      <x:c r="E396" s="121"/>
      <x:c r="F396" s="241"/>
      <x:c r="G396" s="241"/>
      <x:c r="H396" s="241"/>
      <x:c r="I396" s="241"/>
      <x:c r="J396" s="241"/>
      <x:c r="K396" s="241"/>
      <x:c r="L396" s="241"/>
      <x:c r="M396" s="241"/>
      <x:c r="N396" s="241"/>
      <x:c r="O396" s="241"/>
      <x:c r="P396" s="241"/>
      <x:c r="Q396" s="241"/>
      <x:c r="R396" s="241"/>
      <x:c r="S396" s="241"/>
      <x:c r="T396" s="241"/>
      <x:c r="U396" s="241"/>
      <x:c r="V396" s="241"/>
      <x:c r="W396" s="241"/>
      <x:c r="X396" s="241"/>
      <x:c r="Y396" s="241"/>
      <x:c r="Z396" s="241"/>
      <x:c r="AA396" s="241"/>
      <x:c r="AB396" s="241"/>
      <x:c r="AC396" s="241"/>
      <x:c r="AD396" s="241"/>
      <x:c r="AE396" s="241"/>
      <x:c r="AF396" s="241"/>
      <x:c r="AG396" s="241"/>
      <x:c r="AH396" s="241"/>
      <x:c r="AI396" s="241"/>
      <x:c r="AJ396" s="241"/>
      <x:c r="AK396" s="220"/>
      <x:c r="AL396" s="221"/>
      <x:c r="AM396" s="221"/>
      <x:c r="AN396" s="123"/>
      <x:c r="AO396" s="123"/>
    </x:row>
    <x:row r="397" spans="1:47" ht="15" customHeight="1">
      <x:c r="A397" s="69"/>
      <x:c r="B397" s="216"/>
      <x:c r="C397" s="121"/>
      <x:c r="D397" s="121"/>
      <x:c r="E397" s="121"/>
      <x:c r="F397" s="241"/>
      <x:c r="G397" s="241"/>
      <x:c r="H397" s="241"/>
      <x:c r="I397" s="241"/>
      <x:c r="J397" s="241"/>
      <x:c r="K397" s="241"/>
      <x:c r="L397" s="241"/>
      <x:c r="M397" s="241"/>
      <x:c r="N397" s="241"/>
      <x:c r="O397" s="241"/>
      <x:c r="P397" s="241"/>
      <x:c r="Q397" s="241"/>
      <x:c r="R397" s="241"/>
      <x:c r="S397" s="241"/>
      <x:c r="T397" s="241"/>
      <x:c r="U397" s="241"/>
      <x:c r="V397" s="241"/>
      <x:c r="W397" s="241"/>
      <x:c r="X397" s="241"/>
      <x:c r="Y397" s="241"/>
      <x:c r="Z397" s="241"/>
      <x:c r="AA397" s="241"/>
      <x:c r="AB397" s="241"/>
      <x:c r="AC397" s="241"/>
      <x:c r="AD397" s="241"/>
      <x:c r="AE397" s="241"/>
      <x:c r="AF397" s="241"/>
      <x:c r="AG397" s="241"/>
      <x:c r="AH397" s="241"/>
      <x:c r="AI397" s="241"/>
      <x:c r="AJ397" s="241"/>
      <x:c r="AK397" s="220"/>
      <x:c r="AL397" s="221"/>
      <x:c r="AM397" s="221"/>
      <x:c r="AN397" s="123"/>
      <x:c r="AO397" s="123"/>
    </x:row>
    <x:row r="398" spans="1:47" ht="15" customHeight="1">
      <x:c r="A398" s="69"/>
      <x:c r="B398" s="216"/>
      <x:c r="C398" s="121"/>
      <x:c r="D398" s="121"/>
      <x:c r="E398" s="121"/>
      <x:c r="F398" s="241"/>
      <x:c r="G398" s="241"/>
      <x:c r="H398" s="241"/>
      <x:c r="I398" s="241"/>
      <x:c r="J398" s="241"/>
      <x:c r="K398" s="241"/>
      <x:c r="L398" s="241"/>
      <x:c r="M398" s="241"/>
      <x:c r="N398" s="241"/>
      <x:c r="O398" s="241"/>
      <x:c r="P398" s="241"/>
      <x:c r="Q398" s="241"/>
      <x:c r="R398" s="241"/>
      <x:c r="S398" s="241"/>
      <x:c r="T398" s="241"/>
      <x:c r="U398" s="241"/>
      <x:c r="V398" s="241"/>
      <x:c r="W398" s="241"/>
      <x:c r="X398" s="241"/>
      <x:c r="Y398" s="241"/>
      <x:c r="Z398" s="241"/>
      <x:c r="AA398" s="241"/>
      <x:c r="AB398" s="241"/>
      <x:c r="AC398" s="241"/>
      <x:c r="AD398" s="241"/>
      <x:c r="AE398" s="241"/>
      <x:c r="AF398" s="241"/>
      <x:c r="AG398" s="241"/>
      <x:c r="AH398" s="241"/>
      <x:c r="AI398" s="241"/>
      <x:c r="AJ398" s="241"/>
      <x:c r="AK398" s="220"/>
      <x:c r="AL398" s="221"/>
      <x:c r="AM398" s="221"/>
      <x:c r="AN398" s="123"/>
      <x:c r="AO398" s="123"/>
    </x:row>
    <x:row r="399" spans="1:47" ht="15" customHeight="1">
      <x:c r="A399" s="69"/>
      <x:c r="B399" s="216"/>
      <x:c r="C399" s="121"/>
      <x:c r="D399" s="121"/>
      <x:c r="E399" s="121"/>
      <x:c r="F399" s="241"/>
      <x:c r="G399" s="241"/>
      <x:c r="H399" s="241"/>
      <x:c r="I399" s="241"/>
      <x:c r="J399" s="241"/>
      <x:c r="K399" s="241"/>
      <x:c r="L399" s="241"/>
      <x:c r="M399" s="241"/>
      <x:c r="N399" s="241"/>
      <x:c r="O399" s="241"/>
      <x:c r="P399" s="241"/>
      <x:c r="Q399" s="241"/>
      <x:c r="R399" s="241"/>
      <x:c r="S399" s="241"/>
      <x:c r="T399" s="241"/>
      <x:c r="U399" s="241"/>
      <x:c r="V399" s="241"/>
      <x:c r="W399" s="241"/>
      <x:c r="X399" s="241"/>
      <x:c r="Y399" s="241"/>
      <x:c r="Z399" s="241"/>
      <x:c r="AA399" s="241"/>
      <x:c r="AB399" s="241"/>
      <x:c r="AC399" s="241"/>
      <x:c r="AD399" s="241"/>
      <x:c r="AE399" s="241"/>
      <x:c r="AF399" s="241"/>
      <x:c r="AG399" s="241"/>
      <x:c r="AH399" s="241"/>
      <x:c r="AI399" s="241"/>
      <x:c r="AJ399" s="241"/>
      <x:c r="AK399" s="220"/>
      <x:c r="AL399" s="221"/>
      <x:c r="AM399" s="221"/>
      <x:c r="AN399" s="123"/>
      <x:c r="AO399" s="123"/>
    </x:row>
    <x:row r="400" spans="1:47" ht="15" customHeight="1">
      <x:c r="A400" s="69"/>
      <x:c r="B400" s="216"/>
      <x:c r="C400" s="121"/>
      <x:c r="D400" s="121"/>
      <x:c r="E400" s="121"/>
      <x:c r="F400" s="241"/>
      <x:c r="G400" s="241"/>
      <x:c r="H400" s="241"/>
      <x:c r="I400" s="241"/>
      <x:c r="J400" s="241"/>
      <x:c r="K400" s="241"/>
      <x:c r="L400" s="241"/>
      <x:c r="M400" s="241"/>
      <x:c r="N400" s="241"/>
      <x:c r="O400" s="241"/>
      <x:c r="P400" s="241"/>
      <x:c r="Q400" s="241"/>
      <x:c r="R400" s="241"/>
      <x:c r="S400" s="241"/>
      <x:c r="T400" s="241"/>
      <x:c r="U400" s="241"/>
      <x:c r="V400" s="241"/>
      <x:c r="W400" s="241"/>
      <x:c r="X400" s="241"/>
      <x:c r="Y400" s="241"/>
      <x:c r="Z400" s="241"/>
      <x:c r="AA400" s="241"/>
      <x:c r="AB400" s="241"/>
      <x:c r="AC400" s="241"/>
      <x:c r="AD400" s="241"/>
      <x:c r="AE400" s="241"/>
      <x:c r="AF400" s="241"/>
      <x:c r="AG400" s="241"/>
      <x:c r="AH400" s="241"/>
      <x:c r="AI400" s="241"/>
      <x:c r="AJ400" s="241"/>
      <x:c r="AK400" s="220"/>
      <x:c r="AL400" s="221"/>
      <x:c r="AM400" s="221"/>
      <x:c r="AN400" s="123"/>
      <x:c r="AO400" s="123"/>
    </x:row>
    <x:row r="401" spans="1:47" ht="15" customHeight="1">
      <x:c r="A401" s="69"/>
      <x:c r="B401" s="216"/>
      <x:c r="C401" s="121"/>
      <x:c r="D401" s="121"/>
      <x:c r="E401" s="121"/>
      <x:c r="F401" s="241"/>
      <x:c r="G401" s="241"/>
      <x:c r="H401" s="241"/>
      <x:c r="I401" s="241"/>
      <x:c r="J401" s="241"/>
      <x:c r="K401" s="241"/>
      <x:c r="L401" s="241"/>
      <x:c r="M401" s="241"/>
      <x:c r="N401" s="241"/>
      <x:c r="O401" s="241"/>
      <x:c r="P401" s="241"/>
      <x:c r="Q401" s="241"/>
      <x:c r="R401" s="241"/>
      <x:c r="S401" s="241"/>
      <x:c r="T401" s="241"/>
      <x:c r="U401" s="241"/>
      <x:c r="V401" s="241"/>
      <x:c r="W401" s="241"/>
      <x:c r="X401" s="241"/>
      <x:c r="Y401" s="241"/>
      <x:c r="Z401" s="241"/>
      <x:c r="AA401" s="241"/>
      <x:c r="AB401" s="241"/>
      <x:c r="AC401" s="241"/>
      <x:c r="AD401" s="241"/>
      <x:c r="AE401" s="241"/>
      <x:c r="AF401" s="241"/>
      <x:c r="AG401" s="241"/>
      <x:c r="AH401" s="241"/>
      <x:c r="AI401" s="241"/>
      <x:c r="AJ401" s="241"/>
      <x:c r="AK401" s="220"/>
      <x:c r="AL401" s="221"/>
      <x:c r="AM401" s="221"/>
      <x:c r="AN401" s="123"/>
      <x:c r="AO401" s="123"/>
    </x:row>
    <x:row r="402" spans="1:47" ht="15" customHeight="1">
      <x:c r="A402" s="69"/>
      <x:c r="B402" s="216"/>
      <x:c r="C402" s="121"/>
      <x:c r="D402" s="121"/>
      <x:c r="E402" s="121"/>
      <x:c r="F402" s="241"/>
      <x:c r="G402" s="241"/>
      <x:c r="H402" s="241"/>
      <x:c r="I402" s="241"/>
      <x:c r="J402" s="241"/>
      <x:c r="K402" s="241"/>
      <x:c r="L402" s="241"/>
      <x:c r="M402" s="241"/>
      <x:c r="N402" s="241"/>
      <x:c r="O402" s="241"/>
      <x:c r="P402" s="241"/>
      <x:c r="Q402" s="241"/>
      <x:c r="R402" s="241"/>
      <x:c r="S402" s="241"/>
      <x:c r="T402" s="241"/>
      <x:c r="U402" s="241"/>
      <x:c r="V402" s="241"/>
      <x:c r="W402" s="241"/>
      <x:c r="X402" s="241"/>
      <x:c r="Y402" s="241"/>
      <x:c r="Z402" s="241"/>
      <x:c r="AA402" s="241"/>
      <x:c r="AB402" s="241"/>
      <x:c r="AC402" s="241"/>
      <x:c r="AD402" s="241"/>
      <x:c r="AE402" s="241"/>
      <x:c r="AF402" s="241"/>
      <x:c r="AG402" s="241"/>
      <x:c r="AH402" s="241"/>
      <x:c r="AI402" s="241"/>
      <x:c r="AJ402" s="241"/>
      <x:c r="AK402" s="220"/>
      <x:c r="AL402" s="221"/>
      <x:c r="AM402" s="221"/>
      <x:c r="AN402" s="123"/>
      <x:c r="AO402" s="123"/>
    </x:row>
    <x:row r="403" spans="1:47" ht="15" customHeight="1">
      <x:c r="A403" s="69"/>
      <x:c r="B403" s="216"/>
      <x:c r="C403" s="121"/>
      <x:c r="D403" s="121"/>
      <x:c r="E403" s="121"/>
      <x:c r="F403" s="241"/>
      <x:c r="G403" s="241"/>
      <x:c r="H403" s="241"/>
      <x:c r="I403" s="241"/>
      <x:c r="J403" s="241"/>
      <x:c r="K403" s="241"/>
      <x:c r="L403" s="241"/>
      <x:c r="M403" s="241"/>
      <x:c r="N403" s="241"/>
      <x:c r="O403" s="241"/>
      <x:c r="P403" s="241"/>
      <x:c r="Q403" s="241"/>
      <x:c r="R403" s="241"/>
      <x:c r="S403" s="241"/>
      <x:c r="T403" s="241"/>
      <x:c r="U403" s="241"/>
      <x:c r="V403" s="241"/>
      <x:c r="W403" s="241"/>
      <x:c r="X403" s="241"/>
      <x:c r="Y403" s="241"/>
      <x:c r="Z403" s="241"/>
      <x:c r="AA403" s="241"/>
      <x:c r="AB403" s="241"/>
      <x:c r="AC403" s="241"/>
      <x:c r="AD403" s="241"/>
      <x:c r="AE403" s="241"/>
      <x:c r="AF403" s="241"/>
      <x:c r="AG403" s="241"/>
      <x:c r="AH403" s="241"/>
      <x:c r="AI403" s="241"/>
      <x:c r="AJ403" s="241"/>
      <x:c r="AK403" s="220"/>
      <x:c r="AL403" s="221"/>
      <x:c r="AM403" s="221"/>
      <x:c r="AN403" s="123"/>
      <x:c r="AO403" s="123"/>
    </x:row>
    <x:row r="404" spans="1:47" ht="15" customHeight="1">
      <x:c r="A404" s="69"/>
      <x:c r="B404" s="216"/>
      <x:c r="C404" s="121"/>
      <x:c r="D404" s="121"/>
      <x:c r="E404" s="121"/>
      <x:c r="F404" s="241"/>
      <x:c r="G404" s="241"/>
      <x:c r="H404" s="241"/>
      <x:c r="I404" s="241"/>
      <x:c r="J404" s="241"/>
      <x:c r="K404" s="241"/>
      <x:c r="L404" s="241"/>
      <x:c r="M404" s="241"/>
      <x:c r="N404" s="241"/>
      <x:c r="O404" s="241"/>
      <x:c r="P404" s="241"/>
      <x:c r="Q404" s="241"/>
      <x:c r="R404" s="241"/>
      <x:c r="S404" s="241"/>
      <x:c r="T404" s="241"/>
      <x:c r="U404" s="241"/>
      <x:c r="V404" s="241"/>
      <x:c r="W404" s="241"/>
      <x:c r="X404" s="241"/>
      <x:c r="Y404" s="241"/>
      <x:c r="Z404" s="241"/>
      <x:c r="AA404" s="241"/>
      <x:c r="AB404" s="241"/>
      <x:c r="AC404" s="241"/>
      <x:c r="AD404" s="241"/>
      <x:c r="AE404" s="241"/>
      <x:c r="AF404" s="241"/>
      <x:c r="AG404" s="241"/>
      <x:c r="AH404" s="241"/>
      <x:c r="AI404" s="241"/>
      <x:c r="AJ404" s="241"/>
      <x:c r="AK404" s="220"/>
      <x:c r="AL404" s="221"/>
      <x:c r="AM404" s="221"/>
      <x:c r="AN404" s="123"/>
      <x:c r="AO404" s="123"/>
    </x:row>
    <x:row r="405" spans="1:47" ht="15" customHeight="1">
      <x:c r="A405" s="69"/>
      <x:c r="B405" s="216"/>
      <x:c r="C405" s="121"/>
      <x:c r="D405" s="121"/>
      <x:c r="E405" s="121"/>
      <x:c r="F405" s="241"/>
      <x:c r="G405" s="241"/>
      <x:c r="H405" s="241"/>
      <x:c r="I405" s="241"/>
      <x:c r="J405" s="241"/>
      <x:c r="K405" s="241"/>
      <x:c r="L405" s="241"/>
      <x:c r="M405" s="241"/>
      <x:c r="N405" s="241"/>
      <x:c r="O405" s="241"/>
      <x:c r="P405" s="241"/>
      <x:c r="Q405" s="241"/>
      <x:c r="R405" s="241"/>
      <x:c r="S405" s="241"/>
      <x:c r="T405" s="241"/>
      <x:c r="U405" s="241"/>
      <x:c r="V405" s="241"/>
      <x:c r="W405" s="241"/>
      <x:c r="X405" s="241"/>
      <x:c r="Y405" s="241"/>
      <x:c r="Z405" s="241"/>
      <x:c r="AA405" s="241"/>
      <x:c r="AB405" s="241"/>
      <x:c r="AC405" s="241"/>
      <x:c r="AD405" s="241"/>
      <x:c r="AE405" s="241"/>
      <x:c r="AF405" s="241"/>
      <x:c r="AG405" s="241"/>
      <x:c r="AH405" s="241"/>
      <x:c r="AI405" s="241"/>
      <x:c r="AJ405" s="241"/>
      <x:c r="AK405" s="220"/>
      <x:c r="AL405" s="221"/>
      <x:c r="AM405" s="221"/>
      <x:c r="AN405" s="123"/>
      <x:c r="AO405" s="123"/>
    </x:row>
    <x:row r="406" spans="1:47" ht="15" customHeight="1">
      <x:c r="A406" s="69"/>
      <x:c r="B406" s="216"/>
      <x:c r="C406" s="121"/>
      <x:c r="D406" s="121"/>
      <x:c r="E406" s="121"/>
      <x:c r="F406" s="121"/>
      <x:c r="G406" s="121"/>
      <x:c r="H406" s="121"/>
      <x:c r="I406" s="121"/>
      <x:c r="J406" s="121"/>
      <x:c r="K406" s="121"/>
      <x:c r="L406" s="121"/>
      <x:c r="M406" s="121"/>
      <x:c r="N406" s="121"/>
      <x:c r="O406" s="121"/>
      <x:c r="P406" s="121"/>
      <x:c r="Q406" s="121"/>
      <x:c r="R406" s="121"/>
      <x:c r="S406" s="121"/>
      <x:c r="T406" s="121"/>
      <x:c r="U406" s="121"/>
      <x:c r="V406" s="121"/>
      <x:c r="W406" s="121"/>
      <x:c r="X406" s="121"/>
      <x:c r="Y406" s="121"/>
      <x:c r="Z406" s="121"/>
      <x:c r="AA406" s="121"/>
      <x:c r="AB406" s="121"/>
      <x:c r="AC406" s="121"/>
      <x:c r="AD406" s="121"/>
      <x:c r="AE406" s="121"/>
      <x:c r="AF406" s="121"/>
      <x:c r="AG406" s="121"/>
      <x:c r="AH406" s="121"/>
      <x:c r="AI406" s="121"/>
      <x:c r="AJ406" s="121"/>
      <x:c r="AK406" s="220"/>
      <x:c r="AL406" s="221"/>
      <x:c r="AM406" s="221"/>
      <x:c r="AN406" s="121"/>
      <x:c r="AO406" s="121"/>
    </x:row>
    <x:row r="407" spans="1:47" ht="15" customHeight="1">
      <x:c r="A407" s="69"/>
      <x:c r="B407" s="216"/>
      <x:c r="C407" s="121"/>
      <x:c r="D407" s="121"/>
      <x:c r="E407" s="121"/>
      <x:c r="F407" s="121"/>
      <x:c r="G407" s="121"/>
      <x:c r="H407" s="121"/>
      <x:c r="I407" s="121"/>
      <x:c r="J407" s="121"/>
      <x:c r="K407" s="121"/>
      <x:c r="L407" s="121"/>
      <x:c r="M407" s="121"/>
      <x:c r="N407" s="121"/>
      <x:c r="O407" s="121"/>
      <x:c r="P407" s="121"/>
      <x:c r="Q407" s="121"/>
      <x:c r="R407" s="121"/>
      <x:c r="S407" s="121"/>
      <x:c r="T407" s="121"/>
      <x:c r="U407" s="121"/>
      <x:c r="V407" s="121"/>
      <x:c r="W407" s="121"/>
      <x:c r="X407" s="121"/>
      <x:c r="Y407" s="121"/>
      <x:c r="Z407" s="121"/>
      <x:c r="AA407" s="121"/>
      <x:c r="AB407" s="121"/>
      <x:c r="AC407" s="121"/>
      <x:c r="AD407" s="121"/>
      <x:c r="AE407" s="121"/>
      <x:c r="AF407" s="121"/>
      <x:c r="AG407" s="121"/>
      <x:c r="AH407" s="121"/>
      <x:c r="AI407" s="121"/>
      <x:c r="AJ407" s="121"/>
      <x:c r="AK407" s="220"/>
      <x:c r="AL407" s="221"/>
      <x:c r="AM407" s="221"/>
      <x:c r="AN407" s="121"/>
      <x:c r="AO407" s="121"/>
    </x:row>
    <x:row r="408" spans="1:47" ht="15" customHeight="1">
      <x:c r="A408" s="69"/>
      <x:c r="B408" s="216"/>
      <x:c r="C408" s="121"/>
      <x:c r="D408" s="121"/>
      <x:c r="E408" s="121"/>
      <x:c r="F408" s="121"/>
      <x:c r="G408" s="121"/>
      <x:c r="H408" s="121"/>
      <x:c r="I408" s="121"/>
      <x:c r="J408" s="121"/>
      <x:c r="K408" s="121"/>
      <x:c r="L408" s="121"/>
      <x:c r="M408" s="121"/>
      <x:c r="N408" s="121"/>
      <x:c r="O408" s="121"/>
      <x:c r="P408" s="121"/>
      <x:c r="Q408" s="121"/>
      <x:c r="R408" s="121"/>
      <x:c r="S408" s="121"/>
      <x:c r="T408" s="121"/>
      <x:c r="U408" s="121"/>
      <x:c r="V408" s="121"/>
      <x:c r="W408" s="121"/>
      <x:c r="X408" s="121"/>
      <x:c r="Y408" s="121"/>
      <x:c r="Z408" s="121"/>
      <x:c r="AA408" s="121"/>
      <x:c r="AB408" s="121"/>
      <x:c r="AC408" s="121"/>
      <x:c r="AD408" s="121"/>
      <x:c r="AE408" s="121"/>
      <x:c r="AF408" s="121"/>
      <x:c r="AG408" s="121"/>
      <x:c r="AH408" s="121"/>
      <x:c r="AI408" s="121"/>
      <x:c r="AJ408" s="121"/>
      <x:c r="AK408" s="220"/>
      <x:c r="AL408" s="221"/>
      <x:c r="AM408" s="221"/>
      <x:c r="AN408" s="121"/>
      <x:c r="AO408" s="121"/>
    </x:row>
    <x:row r="409" spans="1:47" ht="15" customHeight="1">
      <x:c r="A409" s="69"/>
      <x:c r="B409" s="216"/>
      <x:c r="C409" s="121"/>
      <x:c r="D409" s="121"/>
      <x:c r="E409" s="121"/>
      <x:c r="F409" s="121"/>
      <x:c r="G409" s="121"/>
      <x:c r="H409" s="121"/>
      <x:c r="I409" s="121"/>
      <x:c r="J409" s="121"/>
      <x:c r="K409" s="121"/>
      <x:c r="L409" s="121"/>
      <x:c r="M409" s="121"/>
      <x:c r="N409" s="121"/>
      <x:c r="O409" s="121"/>
      <x:c r="P409" s="121"/>
      <x:c r="Q409" s="121"/>
      <x:c r="R409" s="121"/>
      <x:c r="S409" s="121"/>
      <x:c r="T409" s="121"/>
      <x:c r="U409" s="121"/>
      <x:c r="V409" s="121"/>
      <x:c r="W409" s="121"/>
      <x:c r="X409" s="121"/>
      <x:c r="Y409" s="121"/>
      <x:c r="Z409" s="121"/>
      <x:c r="AA409" s="121"/>
      <x:c r="AB409" s="121"/>
      <x:c r="AC409" s="121"/>
      <x:c r="AD409" s="121"/>
      <x:c r="AE409" s="121"/>
      <x:c r="AF409" s="121"/>
      <x:c r="AG409" s="121"/>
      <x:c r="AH409" s="121"/>
      <x:c r="AI409" s="121"/>
      <x:c r="AJ409" s="121"/>
      <x:c r="AK409" s="220"/>
      <x:c r="AL409" s="221"/>
      <x:c r="AM409" s="221"/>
      <x:c r="AN409" s="121"/>
      <x:c r="AO409" s="121"/>
    </x:row>
    <x:row r="410" spans="1:47" ht="15" customHeight="1">
      <x:c r="A410" s="69"/>
      <x:c r="B410" s="216"/>
      <x:c r="C410" s="121"/>
      <x:c r="D410" s="121"/>
      <x:c r="E410" s="121"/>
      <x:c r="F410" s="121"/>
      <x:c r="G410" s="121"/>
      <x:c r="H410" s="121"/>
      <x:c r="I410" s="121"/>
      <x:c r="J410" s="121"/>
      <x:c r="K410" s="121"/>
      <x:c r="L410" s="121"/>
      <x:c r="M410" s="121"/>
      <x:c r="N410" s="121"/>
      <x:c r="O410" s="121"/>
      <x:c r="P410" s="121"/>
      <x:c r="Q410" s="121"/>
      <x:c r="R410" s="121"/>
      <x:c r="S410" s="121"/>
      <x:c r="T410" s="121"/>
      <x:c r="U410" s="121"/>
      <x:c r="V410" s="121"/>
      <x:c r="W410" s="121"/>
      <x:c r="X410" s="121"/>
      <x:c r="Y410" s="121"/>
      <x:c r="Z410" s="121"/>
      <x:c r="AA410" s="121"/>
      <x:c r="AB410" s="121"/>
      <x:c r="AC410" s="121"/>
      <x:c r="AD410" s="121"/>
      <x:c r="AE410" s="121"/>
      <x:c r="AF410" s="121"/>
      <x:c r="AG410" s="121"/>
      <x:c r="AH410" s="121"/>
      <x:c r="AI410" s="121"/>
      <x:c r="AJ410" s="121"/>
      <x:c r="AK410" s="220"/>
      <x:c r="AL410" s="221"/>
      <x:c r="AM410" s="221"/>
      <x:c r="AN410" s="121"/>
      <x:c r="AO410" s="121"/>
    </x:row>
    <x:row r="411" spans="1:47" ht="15" customHeight="1">
      <x:c r="A411" s="69"/>
      <x:c r="B411" s="216"/>
      <x:c r="C411" s="121"/>
      <x:c r="D411" s="121"/>
      <x:c r="E411" s="121"/>
      <x:c r="F411" s="121"/>
      <x:c r="G411" s="121"/>
      <x:c r="H411" s="121"/>
      <x:c r="I411" s="121"/>
      <x:c r="J411" s="121"/>
      <x:c r="K411" s="121"/>
      <x:c r="L411" s="121"/>
      <x:c r="M411" s="121"/>
      <x:c r="N411" s="121"/>
      <x:c r="O411" s="121"/>
      <x:c r="P411" s="121"/>
      <x:c r="Q411" s="121"/>
      <x:c r="R411" s="121"/>
      <x:c r="S411" s="121"/>
      <x:c r="T411" s="121"/>
      <x:c r="U411" s="121"/>
      <x:c r="V411" s="121"/>
      <x:c r="W411" s="121"/>
      <x:c r="X411" s="121"/>
      <x:c r="Y411" s="121"/>
      <x:c r="Z411" s="121"/>
      <x:c r="AA411" s="121"/>
      <x:c r="AB411" s="121"/>
      <x:c r="AC411" s="121"/>
      <x:c r="AD411" s="121"/>
      <x:c r="AE411" s="121"/>
      <x:c r="AF411" s="121"/>
      <x:c r="AG411" s="121"/>
      <x:c r="AH411" s="121"/>
      <x:c r="AI411" s="121"/>
      <x:c r="AJ411" s="121"/>
      <x:c r="AK411" s="220"/>
      <x:c r="AL411" s="221"/>
      <x:c r="AM411" s="221"/>
      <x:c r="AN411" s="121"/>
      <x:c r="AO411" s="121"/>
    </x:row>
    <x:row r="412" spans="1:47" ht="15" customHeight="1">
      <x:c r="A412" s="69"/>
      <x:c r="B412" s="216"/>
      <x:c r="C412" s="121"/>
      <x:c r="D412" s="121"/>
      <x:c r="E412" s="121"/>
      <x:c r="F412" s="121"/>
      <x:c r="G412" s="121"/>
      <x:c r="H412" s="121"/>
      <x:c r="I412" s="121"/>
      <x:c r="J412" s="121"/>
      <x:c r="K412" s="121"/>
      <x:c r="L412" s="121"/>
      <x:c r="M412" s="121"/>
      <x:c r="N412" s="121"/>
      <x:c r="O412" s="121"/>
      <x:c r="P412" s="121"/>
      <x:c r="Q412" s="121"/>
      <x:c r="R412" s="121"/>
      <x:c r="S412" s="121"/>
      <x:c r="T412" s="121"/>
      <x:c r="U412" s="121"/>
      <x:c r="V412" s="121"/>
      <x:c r="W412" s="121"/>
      <x:c r="X412" s="121"/>
      <x:c r="Y412" s="121"/>
      <x:c r="Z412" s="121"/>
      <x:c r="AA412" s="121"/>
      <x:c r="AB412" s="121"/>
      <x:c r="AC412" s="121"/>
      <x:c r="AD412" s="121"/>
      <x:c r="AE412" s="121"/>
      <x:c r="AF412" s="121"/>
      <x:c r="AG412" s="121"/>
      <x:c r="AH412" s="121"/>
      <x:c r="AI412" s="121"/>
      <x:c r="AJ412" s="121"/>
      <x:c r="AK412" s="220"/>
      <x:c r="AL412" s="221"/>
      <x:c r="AM412" s="221"/>
      <x:c r="AN412" s="121"/>
      <x:c r="AO412" s="121"/>
    </x:row>
    <x:row r="413" spans="1:47" ht="15" customHeight="1">
      <x:c r="A413" s="69"/>
      <x:c r="B413" s="216"/>
      <x:c r="C413" s="121"/>
      <x:c r="D413" s="121"/>
      <x:c r="E413" s="121"/>
      <x:c r="F413" s="121"/>
      <x:c r="G413" s="121"/>
      <x:c r="H413" s="121"/>
      <x:c r="I413" s="121"/>
      <x:c r="J413" s="121"/>
      <x:c r="K413" s="121"/>
      <x:c r="L413" s="121"/>
      <x:c r="M413" s="121"/>
      <x:c r="N413" s="121"/>
      <x:c r="O413" s="121"/>
      <x:c r="P413" s="121"/>
      <x:c r="Q413" s="121"/>
      <x:c r="R413" s="121"/>
      <x:c r="S413" s="121"/>
      <x:c r="T413" s="121"/>
      <x:c r="U413" s="121"/>
      <x:c r="V413" s="121"/>
      <x:c r="W413" s="121"/>
      <x:c r="X413" s="121"/>
      <x:c r="Y413" s="121"/>
      <x:c r="Z413" s="121"/>
      <x:c r="AA413" s="121"/>
      <x:c r="AB413" s="121"/>
      <x:c r="AC413" s="121"/>
      <x:c r="AD413" s="121"/>
      <x:c r="AE413" s="121"/>
      <x:c r="AF413" s="121"/>
      <x:c r="AG413" s="121"/>
      <x:c r="AH413" s="121"/>
      <x:c r="AI413" s="121"/>
      <x:c r="AJ413" s="121"/>
      <x:c r="AK413" s="220"/>
      <x:c r="AL413" s="221"/>
      <x:c r="AM413" s="221"/>
      <x:c r="AN413" s="121"/>
      <x:c r="AO413" s="121"/>
    </x:row>
    <x:row r="414" spans="1:47" ht="15" customHeight="1">
      <x:c r="A414" s="69"/>
      <x:c r="B414" s="216"/>
      <x:c r="C414" s="121"/>
      <x:c r="D414" s="121"/>
      <x:c r="E414" s="121"/>
      <x:c r="F414" s="121"/>
      <x:c r="G414" s="121"/>
      <x:c r="H414" s="121"/>
      <x:c r="I414" s="121"/>
      <x:c r="J414" s="121"/>
      <x:c r="K414" s="121"/>
      <x:c r="L414" s="121"/>
      <x:c r="M414" s="121"/>
      <x:c r="N414" s="121"/>
      <x:c r="O414" s="121"/>
      <x:c r="P414" s="121"/>
      <x:c r="Q414" s="121"/>
      <x:c r="R414" s="121"/>
      <x:c r="S414" s="121"/>
      <x:c r="T414" s="121"/>
      <x:c r="U414" s="121"/>
      <x:c r="V414" s="121"/>
      <x:c r="W414" s="121"/>
      <x:c r="X414" s="121"/>
      <x:c r="Y414" s="121"/>
      <x:c r="Z414" s="121"/>
      <x:c r="AA414" s="121"/>
      <x:c r="AB414" s="121"/>
      <x:c r="AC414" s="121"/>
      <x:c r="AD414" s="121"/>
      <x:c r="AE414" s="121"/>
      <x:c r="AF414" s="121"/>
      <x:c r="AG414" s="121"/>
      <x:c r="AH414" s="121"/>
      <x:c r="AI414" s="121"/>
      <x:c r="AJ414" s="121"/>
      <x:c r="AK414" s="220"/>
      <x:c r="AL414" s="221"/>
      <x:c r="AM414" s="221"/>
      <x:c r="AN414" s="121"/>
      <x:c r="AO414" s="121"/>
    </x:row>
    <x:row r="415" spans="1:47" ht="15" customHeight="1">
      <x:c r="A415" s="69"/>
      <x:c r="B415" s="216"/>
      <x:c r="C415" s="121"/>
      <x:c r="D415" s="121"/>
      <x:c r="E415" s="121"/>
      <x:c r="F415" s="121"/>
      <x:c r="G415" s="121"/>
      <x:c r="H415" s="121"/>
      <x:c r="I415" s="121"/>
      <x:c r="J415" s="121"/>
      <x:c r="K415" s="121"/>
      <x:c r="L415" s="121"/>
      <x:c r="M415" s="121"/>
      <x:c r="N415" s="121"/>
      <x:c r="O415" s="121"/>
      <x:c r="P415" s="121"/>
      <x:c r="Q415" s="121"/>
      <x:c r="R415" s="121"/>
      <x:c r="S415" s="121"/>
      <x:c r="T415" s="121"/>
      <x:c r="U415" s="121"/>
      <x:c r="V415" s="121"/>
      <x:c r="W415" s="121"/>
      <x:c r="X415" s="121"/>
      <x:c r="Y415" s="121"/>
      <x:c r="Z415" s="121"/>
      <x:c r="AA415" s="121"/>
      <x:c r="AB415" s="121"/>
      <x:c r="AC415" s="121"/>
      <x:c r="AD415" s="121"/>
      <x:c r="AE415" s="121"/>
      <x:c r="AF415" s="121"/>
      <x:c r="AG415" s="121"/>
      <x:c r="AH415" s="121"/>
      <x:c r="AI415" s="121"/>
      <x:c r="AJ415" s="121"/>
      <x:c r="AK415" s="220"/>
      <x:c r="AL415" s="221"/>
      <x:c r="AM415" s="221"/>
      <x:c r="AN415" s="121"/>
      <x:c r="AO415" s="121"/>
    </x:row>
    <x:row r="416" spans="1:47" ht="15" customHeight="1">
      <x:c r="A416" s="69"/>
      <x:c r="B416" s="216"/>
      <x:c r="C416" s="121"/>
      <x:c r="D416" s="121"/>
      <x:c r="E416" s="121"/>
      <x:c r="F416" s="121"/>
      <x:c r="G416" s="121"/>
      <x:c r="H416" s="121"/>
      <x:c r="I416" s="121"/>
      <x:c r="J416" s="121"/>
      <x:c r="K416" s="121"/>
      <x:c r="L416" s="121"/>
      <x:c r="M416" s="121"/>
      <x:c r="N416" s="121"/>
      <x:c r="O416" s="121"/>
      <x:c r="P416" s="121"/>
      <x:c r="Q416" s="121"/>
      <x:c r="R416" s="121"/>
      <x:c r="S416" s="121"/>
      <x:c r="T416" s="121"/>
      <x:c r="U416" s="121"/>
      <x:c r="V416" s="121"/>
      <x:c r="W416" s="121"/>
      <x:c r="X416" s="121"/>
      <x:c r="Y416" s="121"/>
      <x:c r="Z416" s="121"/>
      <x:c r="AA416" s="121"/>
      <x:c r="AB416" s="121"/>
      <x:c r="AC416" s="121"/>
      <x:c r="AD416" s="121"/>
      <x:c r="AE416" s="121"/>
      <x:c r="AF416" s="121"/>
      <x:c r="AG416" s="121"/>
      <x:c r="AH416" s="121"/>
      <x:c r="AI416" s="121"/>
      <x:c r="AJ416" s="121"/>
      <x:c r="AK416" s="220"/>
      <x:c r="AL416" s="221"/>
      <x:c r="AM416" s="221"/>
      <x:c r="AN416" s="121"/>
      <x:c r="AO416" s="121"/>
    </x:row>
    <x:row r="417" spans="1:47" ht="15" customHeight="1">
      <x:c r="A417" s="69"/>
      <x:c r="B417" s="216"/>
      <x:c r="C417" s="121"/>
      <x:c r="D417" s="121"/>
      <x:c r="E417" s="121"/>
      <x:c r="F417" s="121"/>
      <x:c r="G417" s="121"/>
      <x:c r="H417" s="121"/>
      <x:c r="I417" s="121"/>
      <x:c r="J417" s="121"/>
      <x:c r="K417" s="121"/>
      <x:c r="L417" s="121"/>
      <x:c r="M417" s="121"/>
      <x:c r="N417" s="121"/>
      <x:c r="O417" s="121"/>
      <x:c r="P417" s="121"/>
      <x:c r="Q417" s="121"/>
      <x:c r="R417" s="121"/>
      <x:c r="S417" s="121"/>
      <x:c r="T417" s="121"/>
      <x:c r="U417" s="121"/>
      <x:c r="V417" s="121"/>
      <x:c r="W417" s="121"/>
      <x:c r="X417" s="121"/>
      <x:c r="Y417" s="121"/>
      <x:c r="Z417" s="121"/>
      <x:c r="AA417" s="121"/>
      <x:c r="AB417" s="121"/>
      <x:c r="AC417" s="121"/>
      <x:c r="AD417" s="121"/>
      <x:c r="AE417" s="121"/>
      <x:c r="AF417" s="121"/>
      <x:c r="AG417" s="121"/>
      <x:c r="AH417" s="121"/>
      <x:c r="AI417" s="121"/>
      <x:c r="AJ417" s="121"/>
      <x:c r="AK417" s="220"/>
      <x:c r="AL417" s="221"/>
      <x:c r="AM417" s="221"/>
      <x:c r="AN417" s="121"/>
      <x:c r="AO417" s="121"/>
    </x:row>
    <x:row r="418" spans="1:47" ht="15" customHeight="1">
      <x:c r="A418" s="69"/>
      <x:c r="B418" s="216"/>
      <x:c r="C418" s="121"/>
      <x:c r="D418" s="121"/>
      <x:c r="E418" s="121"/>
      <x:c r="F418" s="121"/>
      <x:c r="G418" s="121"/>
      <x:c r="H418" s="121"/>
      <x:c r="I418" s="121"/>
      <x:c r="J418" s="121"/>
      <x:c r="K418" s="121"/>
      <x:c r="L418" s="121"/>
      <x:c r="M418" s="121"/>
      <x:c r="N418" s="121"/>
      <x:c r="O418" s="121"/>
      <x:c r="P418" s="121"/>
      <x:c r="Q418" s="121"/>
      <x:c r="R418" s="121"/>
      <x:c r="S418" s="121"/>
      <x:c r="T418" s="121"/>
      <x:c r="U418" s="121"/>
      <x:c r="V418" s="121"/>
      <x:c r="W418" s="121"/>
      <x:c r="X418" s="121"/>
      <x:c r="Y418" s="121"/>
      <x:c r="Z418" s="121"/>
      <x:c r="AA418" s="121"/>
      <x:c r="AB418" s="121"/>
      <x:c r="AC418" s="121"/>
      <x:c r="AD418" s="121"/>
      <x:c r="AE418" s="121"/>
      <x:c r="AF418" s="121"/>
      <x:c r="AG418" s="121"/>
      <x:c r="AH418" s="121"/>
      <x:c r="AI418" s="121"/>
      <x:c r="AJ418" s="121"/>
      <x:c r="AK418" s="220"/>
      <x:c r="AL418" s="221"/>
      <x:c r="AM418" s="221"/>
      <x:c r="AN418" s="121"/>
      <x:c r="AO418" s="121"/>
    </x:row>
    <x:row r="419" spans="1:47" ht="15" customHeight="1">
      <x:c r="A419" s="69"/>
      <x:c r="B419" s="216"/>
      <x:c r="C419" s="121"/>
      <x:c r="D419" s="121"/>
      <x:c r="E419" s="121"/>
      <x:c r="F419" s="121"/>
      <x:c r="G419" s="121"/>
      <x:c r="H419" s="121"/>
      <x:c r="I419" s="121"/>
      <x:c r="J419" s="121"/>
      <x:c r="K419" s="121"/>
      <x:c r="L419" s="121"/>
      <x:c r="M419" s="121"/>
      <x:c r="N419" s="121"/>
      <x:c r="O419" s="121"/>
      <x:c r="P419" s="121"/>
      <x:c r="Q419" s="121"/>
      <x:c r="R419" s="121"/>
      <x:c r="S419" s="121"/>
      <x:c r="T419" s="121"/>
      <x:c r="U419" s="121"/>
      <x:c r="V419" s="121"/>
      <x:c r="W419" s="121"/>
      <x:c r="X419" s="121"/>
      <x:c r="Y419" s="121"/>
      <x:c r="Z419" s="121"/>
      <x:c r="AA419" s="121"/>
      <x:c r="AB419" s="121"/>
      <x:c r="AC419" s="121"/>
      <x:c r="AD419" s="121"/>
      <x:c r="AE419" s="121"/>
      <x:c r="AF419" s="121"/>
      <x:c r="AG419" s="121"/>
      <x:c r="AH419" s="121"/>
      <x:c r="AI419" s="121"/>
      <x:c r="AJ419" s="121"/>
      <x:c r="AK419" s="220"/>
      <x:c r="AL419" s="221"/>
      <x:c r="AM419" s="221"/>
      <x:c r="AN419" s="121"/>
      <x:c r="AO419" s="121"/>
    </x:row>
    <x:row r="420" spans="1:47" ht="15" customHeight="1">
      <x:c r="A420" s="69"/>
      <x:c r="B420" s="216"/>
      <x:c r="C420" s="121"/>
      <x:c r="D420" s="121"/>
      <x:c r="E420" s="121"/>
      <x:c r="F420" s="121"/>
      <x:c r="G420" s="121"/>
      <x:c r="H420" s="121"/>
      <x:c r="I420" s="121"/>
      <x:c r="J420" s="121"/>
      <x:c r="K420" s="121"/>
      <x:c r="L420" s="121"/>
      <x:c r="M420" s="121"/>
      <x:c r="N420" s="121"/>
      <x:c r="O420" s="121"/>
      <x:c r="P420" s="121"/>
      <x:c r="Q420" s="121"/>
      <x:c r="R420" s="121"/>
      <x:c r="S420" s="121"/>
      <x:c r="T420" s="121"/>
      <x:c r="U420" s="121"/>
      <x:c r="V420" s="121"/>
      <x:c r="W420" s="121"/>
      <x:c r="X420" s="121"/>
      <x:c r="Y420" s="121"/>
      <x:c r="Z420" s="121"/>
      <x:c r="AA420" s="121"/>
      <x:c r="AB420" s="121"/>
      <x:c r="AC420" s="121"/>
      <x:c r="AD420" s="121"/>
      <x:c r="AE420" s="121"/>
      <x:c r="AF420" s="121"/>
      <x:c r="AG420" s="121"/>
      <x:c r="AH420" s="121"/>
      <x:c r="AI420" s="121"/>
      <x:c r="AJ420" s="121"/>
      <x:c r="AK420" s="220"/>
      <x:c r="AL420" s="221"/>
      <x:c r="AM420" s="221"/>
      <x:c r="AN420" s="121"/>
      <x:c r="AO420" s="121"/>
    </x:row>
    <x:row r="421" spans="1:47" ht="15" customHeight="1">
      <x:c r="A421" s="69"/>
      <x:c r="B421" s="216"/>
      <x:c r="C421" s="121"/>
      <x:c r="D421" s="121"/>
      <x:c r="E421" s="121"/>
      <x:c r="F421" s="121"/>
      <x:c r="G421" s="121"/>
      <x:c r="H421" s="121"/>
      <x:c r="I421" s="121"/>
      <x:c r="J421" s="121"/>
      <x:c r="K421" s="121"/>
      <x:c r="L421" s="121"/>
      <x:c r="M421" s="121"/>
      <x:c r="N421" s="121"/>
      <x:c r="O421" s="121"/>
      <x:c r="P421" s="121"/>
      <x:c r="Q421" s="121"/>
      <x:c r="R421" s="121"/>
      <x:c r="S421" s="121"/>
      <x:c r="T421" s="121"/>
      <x:c r="U421" s="121"/>
      <x:c r="V421" s="121"/>
      <x:c r="W421" s="121"/>
      <x:c r="X421" s="121"/>
      <x:c r="Y421" s="121"/>
      <x:c r="Z421" s="121"/>
      <x:c r="AA421" s="121"/>
      <x:c r="AB421" s="121"/>
      <x:c r="AC421" s="121"/>
      <x:c r="AD421" s="121"/>
      <x:c r="AE421" s="121"/>
      <x:c r="AF421" s="121"/>
      <x:c r="AG421" s="121"/>
      <x:c r="AH421" s="121"/>
      <x:c r="AI421" s="121"/>
      <x:c r="AJ421" s="121"/>
      <x:c r="AK421" s="220"/>
      <x:c r="AL421" s="221"/>
      <x:c r="AM421" s="221"/>
      <x:c r="AN421" s="121"/>
      <x:c r="AO421" s="121"/>
    </x:row>
    <x:row r="422" spans="1:47" ht="15" customHeight="1">
      <x:c r="A422" s="69"/>
      <x:c r="B422" s="216"/>
      <x:c r="C422" s="121"/>
      <x:c r="D422" s="121"/>
      <x:c r="E422" s="121"/>
      <x:c r="F422" s="121"/>
      <x:c r="G422" s="121"/>
      <x:c r="H422" s="121"/>
      <x:c r="I422" s="121"/>
      <x:c r="J422" s="121"/>
      <x:c r="K422" s="121"/>
      <x:c r="L422" s="121"/>
      <x:c r="M422" s="121"/>
      <x:c r="N422" s="121"/>
      <x:c r="O422" s="121"/>
      <x:c r="P422" s="121"/>
      <x:c r="Q422" s="121"/>
      <x:c r="R422" s="121"/>
      <x:c r="S422" s="121"/>
      <x:c r="T422" s="121"/>
      <x:c r="U422" s="121"/>
      <x:c r="V422" s="121"/>
      <x:c r="W422" s="121"/>
      <x:c r="X422" s="121"/>
      <x:c r="Y422" s="121"/>
      <x:c r="Z422" s="121"/>
      <x:c r="AA422" s="121"/>
      <x:c r="AB422" s="121"/>
      <x:c r="AC422" s="121"/>
      <x:c r="AD422" s="121"/>
      <x:c r="AE422" s="121"/>
      <x:c r="AF422" s="121"/>
      <x:c r="AG422" s="121"/>
      <x:c r="AH422" s="121"/>
      <x:c r="AI422" s="121"/>
      <x:c r="AJ422" s="121"/>
      <x:c r="AK422" s="220"/>
      <x:c r="AL422" s="221"/>
      <x:c r="AM422" s="221"/>
      <x:c r="AN422" s="121"/>
      <x:c r="AO422" s="121"/>
    </x:row>
    <x:row r="423" spans="1:47" ht="15" customHeight="1">
      <x:c r="A423" s="69"/>
      <x:c r="B423" s="216"/>
      <x:c r="C423" s="121"/>
      <x:c r="D423" s="121"/>
      <x:c r="E423" s="121"/>
      <x:c r="F423" s="121"/>
      <x:c r="G423" s="121"/>
      <x:c r="H423" s="121"/>
      <x:c r="I423" s="121"/>
      <x:c r="J423" s="121"/>
      <x:c r="K423" s="121"/>
      <x:c r="L423" s="121"/>
      <x:c r="M423" s="121"/>
      <x:c r="N423" s="121"/>
      <x:c r="O423" s="121"/>
      <x:c r="P423" s="121"/>
      <x:c r="Q423" s="121"/>
      <x:c r="R423" s="121"/>
      <x:c r="S423" s="121"/>
      <x:c r="T423" s="121"/>
      <x:c r="U423" s="121"/>
      <x:c r="V423" s="121"/>
      <x:c r="W423" s="121"/>
      <x:c r="X423" s="121"/>
      <x:c r="Y423" s="121"/>
      <x:c r="Z423" s="121"/>
      <x:c r="AA423" s="121"/>
      <x:c r="AB423" s="121"/>
      <x:c r="AC423" s="121"/>
      <x:c r="AD423" s="121"/>
      <x:c r="AE423" s="121"/>
      <x:c r="AF423" s="121"/>
      <x:c r="AG423" s="121"/>
      <x:c r="AH423" s="121"/>
      <x:c r="AI423" s="121"/>
      <x:c r="AJ423" s="121"/>
      <x:c r="AK423" s="220"/>
      <x:c r="AL423" s="221"/>
      <x:c r="AM423" s="221"/>
      <x:c r="AN423" s="121"/>
      <x:c r="AO423" s="121"/>
    </x:row>
    <x:row r="424" spans="1:47" ht="15" customHeight="1">
      <x:c r="A424" s="69"/>
      <x:c r="B424" s="216"/>
      <x:c r="C424" s="121"/>
      <x:c r="D424" s="121"/>
      <x:c r="E424" s="121"/>
      <x:c r="F424" s="121"/>
      <x:c r="G424" s="121"/>
      <x:c r="H424" s="121"/>
      <x:c r="I424" s="121"/>
      <x:c r="J424" s="121"/>
      <x:c r="K424" s="121"/>
      <x:c r="L424" s="121"/>
      <x:c r="M424" s="121"/>
      <x:c r="N424" s="121"/>
      <x:c r="O424" s="121"/>
      <x:c r="P424" s="121"/>
      <x:c r="Q424" s="121"/>
      <x:c r="R424" s="121"/>
      <x:c r="S424" s="121"/>
      <x:c r="T424" s="121"/>
      <x:c r="U424" s="121"/>
      <x:c r="V424" s="121"/>
      <x:c r="W424" s="121"/>
      <x:c r="X424" s="121"/>
      <x:c r="Y424" s="121"/>
      <x:c r="Z424" s="121"/>
      <x:c r="AA424" s="121"/>
      <x:c r="AB424" s="121"/>
      <x:c r="AC424" s="121"/>
      <x:c r="AD424" s="121"/>
      <x:c r="AE424" s="121"/>
      <x:c r="AF424" s="121"/>
      <x:c r="AG424" s="121"/>
      <x:c r="AH424" s="121"/>
      <x:c r="AI424" s="121"/>
      <x:c r="AJ424" s="121"/>
      <x:c r="AK424" s="220"/>
      <x:c r="AL424" s="221"/>
      <x:c r="AM424" s="221"/>
      <x:c r="AN424" s="121"/>
      <x:c r="AO424" s="121"/>
    </x:row>
  </x:sheetData>
  <x:autoFilter ref="A5:AO424"/>
  <x:mergeCells count="38">
    <x:mergeCell ref="B1:AK2"/>
    <x:mergeCell ref="B3:E3"/>
    <x:mergeCell ref="F3:F4"/>
    <x:mergeCell ref="G3:G4"/>
    <x:mergeCell ref="H3:H4"/>
    <x:mergeCell ref="I3:I4"/>
    <x:mergeCell ref="J3:J4"/>
    <x:mergeCell ref="K3:K4"/>
    <x:mergeCell ref="L3:L4"/>
    <x:mergeCell ref="M3:M4"/>
    <x:mergeCell ref="N3:N4"/>
    <x:mergeCell ref="O3:O4"/>
    <x:mergeCell ref="P3:P4"/>
    <x:mergeCell ref="Q3:Q4"/>
    <x:mergeCell ref="R3:R4"/>
    <x:mergeCell ref="S3:S4"/>
    <x:mergeCell ref="T3:T4"/>
    <x:mergeCell ref="U3:U4"/>
    <x:mergeCell ref="V3:V4"/>
    <x:mergeCell ref="W3:W4"/>
    <x:mergeCell ref="X3:X4"/>
    <x:mergeCell ref="Y3:Y4"/>
    <x:mergeCell ref="Z3:Z4"/>
    <x:mergeCell ref="AA3:AA4"/>
    <x:mergeCell ref="AB3:AB4"/>
    <x:mergeCell ref="AC3:AC4"/>
    <x:mergeCell ref="AD3:AD4"/>
    <x:mergeCell ref="AE3:AE4"/>
    <x:mergeCell ref="AF3:AF4"/>
    <x:mergeCell ref="AG3:AG4"/>
    <x:mergeCell ref="AH3:AH4"/>
    <x:mergeCell ref="AI3:AI4"/>
    <x:mergeCell ref="AJ3:AJ4"/>
    <x:mergeCell ref="AK3:AK4"/>
    <x:mergeCell ref="AL3:AL4"/>
    <x:mergeCell ref="AM3:AM4"/>
    <x:mergeCell ref="AN3:AO3"/>
    <x:mergeCell ref="D4:E4"/>
  </x:mergeCells>
  <x:conditionalFormatting sqref="F3:AJ3">
    <x:cfRule type="expression" dxfId="0" priority="1" stopIfTrue="1" operator="equal">
      <x:formula>F$5&gt;=6</x:formula>
    </x:cfRule>
  </x:conditionalFormatting>
  <x:conditionalFormatting sqref="F3:AJ4">
    <x:cfRule type="expression" dxfId="0" priority="2" stopIfTrue="1" operator="equal">
      <x:formula>F$5&gt;=6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AO2:AO2">
      <x:formula1>$AQ$6:$AQ$17</x:formula1>
      <x:formula2/>
    </x:dataValidation>
  </x:dataValidations>
  <x:printOptions horizontalCentered="0" verticalCentered="0" headings="0" gridLines="0"/>
  <x:pageMargins left="0.70866141732283472" right="0.11811023622047245" top="0.35433070866141736" bottom="0.35433070866141736" header="0.31496062992125984" footer="0.31496062992125984"/>
  <x:pageSetup paperSize="9" scale="95" pageOrder="downThenOver" orientation="landscape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26</vt:i4>
      </vt:variant>
    </vt:vector>
  </ap:HeadingPairs>
  <ap:TitlesOfParts>
    <vt:vector baseType="lpstr" size="33">
      <vt:lpstr>Kampüs1</vt:lpstr>
      <vt:lpstr>Kampüs2</vt:lpstr>
      <vt:lpstr>Kampüs3</vt:lpstr>
      <vt:lpstr>Puantaj</vt:lpstr>
      <vt:lpstr>BORDRO</vt:lpstr>
      <vt:lpstr>Banka Lis.</vt:lpstr>
      <vt:lpstr>MUH SGK RAPORU</vt:lpstr>
      <vt:lpstr>Puantaj!_xlnm._FilterDatabase</vt:lpstr>
      <vt:lpstr>Puantaj!Print_Area</vt:lpstr>
      <vt:lpstr>Puantaj!Print_Titles</vt:lpstr>
      <vt:lpstr>BORDRO!_xlnm._FilterDatabase</vt:lpstr>
      <vt:lpstr>BORDRO!DENE</vt:lpstr>
      <vt:lpstr>BORDRO!Print_Area</vt:lpstr>
      <vt:lpstr>BORDRO!Print_Titles</vt:lpstr>
      <vt:lpstr>Banka Lis.!_xlnm._FilterDatabase</vt:lpstr>
      <vt:lpstr>Banka Lis.!Sözleşmeli</vt:lpstr>
      <vt:lpstr>Banka Lis.!Print_Area</vt:lpstr>
      <vt:lpstr>Banka Lis.!Print_Titles</vt:lpstr>
      <vt:lpstr>MUH SGK RAPORU!_xlnm._FilterDatabase</vt:lpstr>
      <vt:lpstr>MUH SGK RAPORU!Print_Area</vt:lpstr>
      <vt:lpstr>MUH SGK RAPORU!Print_Titles</vt:lpstr>
      <vt:lpstr>Kampüs1!_xlnm._FilterDatabase</vt:lpstr>
      <vt:lpstr>Kampüs1!Print_Area</vt:lpstr>
      <vt:lpstr>Kampüs1!Print_Titles</vt:lpstr>
      <vt:lpstr>Kampüs2!_xlnm._FilterDatabase</vt:lpstr>
      <vt:lpstr>Kampüs2!Print_Area</vt:lpstr>
      <vt:lpstr>Kampüs2!Print_Titles</vt:lpstr>
      <vt:lpstr>Kampüs3!_xlnm._FilterDatabase</vt:lpstr>
      <vt:lpstr>Kampüs3!Print_Area</vt:lpstr>
      <vt:lpstr>Kampüs3!Print_Titles</vt:lpstr>
      <vt:lpstr>DENE</vt:lpstr>
      <vt:lpstr>dflt2</vt:lpstr>
      <vt:lpstr>Öğrenci</vt:lpstr>
    </vt:vector>
  </ap:TitlesOfParts>
  <ap:Company>a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aşkın</dc:creator>
  <lastModifiedBy>Mehmet Oğuzhan</lastModifiedBy>
  <lastPrinted>2025-02-20T11:32:01.0000000Z</lastPrinted>
  <dcterms:created xsi:type="dcterms:W3CDTF">2001-07-30T08:33:08.0000000Z</dcterms:created>
  <dcterms:modified xsi:type="dcterms:W3CDTF">2026-02-26T20:53:27.0000000Z</dcterms:modified>
</coreProperties>
</file>