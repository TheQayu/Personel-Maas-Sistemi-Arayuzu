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hme\source\repos\Personel-Maas-Sistemi-Arayuzu\denemelikimid\"/>
    </mc:Choice>
  </mc:AlternateContent>
  <xr:revisionPtr revIDLastSave="0" documentId="8_{E7437550-0DAD-4EDC-9514-6106FD79910D}" xr6:coauthVersionLast="47" xr6:coauthVersionMax="47" xr10:uidLastSave="{00000000-0000-0000-0000-000000000000}"/>
  <bookViews>
    <workbookView xWindow="1464" yWindow="1464" windowWidth="17280" windowHeight="8880" tabRatio="888" activeTab="4" xr2:uid="{A5E8DD51-6C11-4425-B8E2-4C65B0B9B9CD}"/>
  </bookViews>
  <sheets>
    <sheet name="Puantaj" sheetId="93" r:id="rId1"/>
    <sheet name="BORDRO" sheetId="80" r:id="rId2"/>
    <sheet name="Banka Lis." sheetId="53" r:id="rId3"/>
    <sheet name="MUH SGK RAPORU" sheetId="89" r:id="rId4"/>
    <sheet name="HALKBANK" sheetId="94" r:id="rId5"/>
  </sheets>
  <externalReferences>
    <externalReference r:id="rId6"/>
    <externalReference r:id="rId7"/>
  </externalReferences>
  <definedNames>
    <definedName name="_xlnm._FilterDatabase" localSheetId="2" hidden="1">'Banka Lis.'!$B$4:$H$194</definedName>
    <definedName name="_xlnm._FilterDatabase" localSheetId="1" hidden="1">BORDRO!$F$4:$G$4</definedName>
    <definedName name="_xlnm._FilterDatabase" localSheetId="4" hidden="1">HALKBANK!$A$12:$F$201</definedName>
    <definedName name="_xlnm._FilterDatabase" localSheetId="3" hidden="1">'MUH SGK RAPORU'!$A$1:$AJ$54</definedName>
    <definedName name="_xlnm._FilterDatabase" localSheetId="0" hidden="1">Puantaj!$A$5:$AO$196</definedName>
    <definedName name="DENE" localSheetId="1">'[2]tahakkuk müzekkeresi_1'!#REF!</definedName>
    <definedName name="DENE">'[2]tahakkuk müzekkeresi_1'!#REF!</definedName>
    <definedName name="dflt2">[1]Sayfa1!$G$21</definedName>
    <definedName name="Öğrenci">'Banka Lis.'!#REF!</definedName>
    <definedName name="Sözleşmeli" comment="ÖĞRENCİ" localSheetId="2">'Banka Lis.'!#REF!</definedName>
    <definedName name="_xlnm.Print_Area" localSheetId="2">'Banka Lis.'!$A$1:$H$199</definedName>
    <definedName name="_xlnm.Print_Area" localSheetId="1">BORDRO!$A$1:$T$201</definedName>
    <definedName name="_xlnm.Print_Area" localSheetId="4">HALKBANK!$A$1:$F$206</definedName>
    <definedName name="_xlnm.Print_Area" localSheetId="0">Puantaj!$B$1:$AK$200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3" i="94" l="1"/>
  <c r="A205" i="94"/>
  <c r="B205" i="94"/>
  <c r="A206" i="94"/>
  <c r="B206" i="94"/>
  <c r="J2" i="89"/>
  <c r="K2" i="89"/>
  <c r="L2" i="89"/>
  <c r="J3" i="89"/>
  <c r="K3" i="89"/>
  <c r="L3" i="89"/>
  <c r="J4" i="89"/>
  <c r="K4" i="89"/>
  <c r="L4" i="89"/>
  <c r="J5" i="89"/>
  <c r="K5" i="89"/>
  <c r="L5" i="89"/>
  <c r="J6" i="89"/>
  <c r="K6" i="89"/>
  <c r="L6" i="89"/>
  <c r="J7" i="89"/>
  <c r="K7" i="89"/>
  <c r="L7" i="89"/>
  <c r="J8" i="89"/>
  <c r="K8" i="89"/>
  <c r="L8" i="89"/>
  <c r="J9" i="89"/>
  <c r="K9" i="89"/>
  <c r="L9" i="89"/>
  <c r="J10" i="89"/>
  <c r="K10" i="89"/>
  <c r="L10" i="89"/>
  <c r="J11" i="89"/>
  <c r="K11" i="89"/>
  <c r="L11" i="89"/>
  <c r="J12" i="89"/>
  <c r="K12" i="89"/>
  <c r="L12" i="89"/>
  <c r="J13" i="89"/>
  <c r="K13" i="89"/>
  <c r="L13" i="89"/>
  <c r="J14" i="89"/>
  <c r="K14" i="89"/>
  <c r="L14" i="89"/>
  <c r="J15" i="89"/>
  <c r="K15" i="89"/>
  <c r="L15" i="89"/>
  <c r="J16" i="89"/>
  <c r="K16" i="89"/>
  <c r="L16" i="89"/>
  <c r="J17" i="89"/>
  <c r="K17" i="89"/>
  <c r="L17" i="89"/>
  <c r="J18" i="89"/>
  <c r="K18" i="89"/>
  <c r="L18" i="89"/>
  <c r="J19" i="89"/>
  <c r="K19" i="89"/>
  <c r="L19" i="89"/>
  <c r="J20" i="89"/>
  <c r="K20" i="89"/>
  <c r="L20" i="89"/>
  <c r="J21" i="89"/>
  <c r="K21" i="89"/>
  <c r="L21" i="89"/>
  <c r="J22" i="89"/>
  <c r="K22" i="89"/>
  <c r="L22" i="89"/>
  <c r="J23" i="89"/>
  <c r="K23" i="89"/>
  <c r="L23" i="89"/>
  <c r="J24" i="89"/>
  <c r="K24" i="89"/>
  <c r="L24" i="89"/>
  <c r="J25" i="89"/>
  <c r="K25" i="89"/>
  <c r="L25" i="89"/>
  <c r="J26" i="89"/>
  <c r="K26" i="89"/>
  <c r="L26" i="89"/>
  <c r="J27" i="89"/>
  <c r="K27" i="89"/>
  <c r="L27" i="89"/>
  <c r="J28" i="89"/>
  <c r="K28" i="89"/>
  <c r="L28" i="89"/>
  <c r="J29" i="89"/>
  <c r="K29" i="89"/>
  <c r="L29" i="89"/>
  <c r="J30" i="89"/>
  <c r="K30" i="89"/>
  <c r="L30" i="89"/>
  <c r="J31" i="89"/>
  <c r="K31" i="89"/>
  <c r="L31" i="89"/>
  <c r="J32" i="89"/>
  <c r="K32" i="89"/>
  <c r="L32" i="89"/>
  <c r="J33" i="89"/>
  <c r="K33" i="89"/>
  <c r="L33" i="89"/>
  <c r="J34" i="89"/>
  <c r="K34" i="89"/>
  <c r="L34" i="89"/>
  <c r="J35" i="89"/>
  <c r="K35" i="89"/>
  <c r="L35" i="89"/>
  <c r="J36" i="89"/>
  <c r="K36" i="89"/>
  <c r="L36" i="89"/>
  <c r="J37" i="89"/>
  <c r="K37" i="89"/>
  <c r="L37" i="89"/>
  <c r="J38" i="89"/>
  <c r="K38" i="89"/>
  <c r="L38" i="89"/>
  <c r="J39" i="89"/>
  <c r="K39" i="89"/>
  <c r="L39" i="89"/>
  <c r="J40" i="89"/>
  <c r="K40" i="89"/>
  <c r="L40" i="89"/>
  <c r="J41" i="89"/>
  <c r="K41" i="89"/>
  <c r="L41" i="89"/>
  <c r="J42" i="89"/>
  <c r="K42" i="89"/>
  <c r="L42" i="89"/>
  <c r="J43" i="89"/>
  <c r="K43" i="89"/>
  <c r="L43" i="89"/>
  <c r="J44" i="89"/>
  <c r="K44" i="89"/>
  <c r="L44" i="89"/>
  <c r="J45" i="89"/>
  <c r="K45" i="89"/>
  <c r="L45" i="89"/>
  <c r="J46" i="89"/>
  <c r="K46" i="89"/>
  <c r="L46" i="89"/>
  <c r="J47" i="89"/>
  <c r="K47" i="89"/>
  <c r="L47" i="89"/>
  <c r="J48" i="89"/>
  <c r="K48" i="89"/>
  <c r="L48" i="89"/>
  <c r="J49" i="89"/>
  <c r="K49" i="89"/>
  <c r="L49" i="89"/>
  <c r="J50" i="89"/>
  <c r="K50" i="89"/>
  <c r="L50" i="89"/>
  <c r="J51" i="89"/>
  <c r="K51" i="89"/>
  <c r="L51" i="89"/>
  <c r="J52" i="89"/>
  <c r="K52" i="89"/>
  <c r="L52" i="89"/>
  <c r="J53" i="89"/>
  <c r="K53" i="89"/>
  <c r="L53" i="89"/>
  <c r="J54" i="89"/>
  <c r="K54" i="89"/>
  <c r="L54" i="89"/>
  <c r="J55" i="89"/>
  <c r="K55" i="89"/>
  <c r="L55" i="89"/>
  <c r="J56" i="89"/>
  <c r="K56" i="89"/>
  <c r="L56" i="89"/>
  <c r="J57" i="89"/>
  <c r="K57" i="89"/>
  <c r="L57" i="89"/>
  <c r="J58" i="89"/>
  <c r="K58" i="89"/>
  <c r="L58" i="89"/>
  <c r="J59" i="89"/>
  <c r="K59" i="89"/>
  <c r="L59" i="89"/>
  <c r="J60" i="89"/>
  <c r="K60" i="89"/>
  <c r="L60" i="89"/>
  <c r="J61" i="89"/>
  <c r="K61" i="89"/>
  <c r="L61" i="89"/>
  <c r="J62" i="89"/>
  <c r="K62" i="89"/>
  <c r="L62" i="89"/>
  <c r="J63" i="89"/>
  <c r="K63" i="89"/>
  <c r="L63" i="89"/>
  <c r="J64" i="89"/>
  <c r="K64" i="89"/>
  <c r="L64" i="89"/>
  <c r="J65" i="89"/>
  <c r="K65" i="89"/>
  <c r="L65" i="89"/>
  <c r="J66" i="89"/>
  <c r="K66" i="89"/>
  <c r="L66" i="89"/>
  <c r="J67" i="89"/>
  <c r="K67" i="89"/>
  <c r="L67" i="89"/>
  <c r="J68" i="89"/>
  <c r="K68" i="89"/>
  <c r="L68" i="89"/>
  <c r="J69" i="89"/>
  <c r="K69" i="89"/>
  <c r="L69" i="89"/>
  <c r="J70" i="89"/>
  <c r="K70" i="89"/>
  <c r="L70" i="89"/>
  <c r="J71" i="89"/>
  <c r="K71" i="89"/>
  <c r="L71" i="89"/>
  <c r="J72" i="89"/>
  <c r="K72" i="89"/>
  <c r="L72" i="89"/>
  <c r="J73" i="89"/>
  <c r="K73" i="89"/>
  <c r="L73" i="89"/>
  <c r="J74" i="89"/>
  <c r="K74" i="89"/>
  <c r="L74" i="89"/>
  <c r="J75" i="89"/>
  <c r="K75" i="89"/>
  <c r="L75" i="89"/>
  <c r="J76" i="89"/>
  <c r="K76" i="89"/>
  <c r="L76" i="89"/>
  <c r="J77" i="89"/>
  <c r="K77" i="89"/>
  <c r="L77" i="89"/>
  <c r="J78" i="89"/>
  <c r="K78" i="89"/>
  <c r="L78" i="89"/>
  <c r="J79" i="89"/>
  <c r="K79" i="89"/>
  <c r="L79" i="89"/>
  <c r="J80" i="89"/>
  <c r="K80" i="89"/>
  <c r="L80" i="89"/>
  <c r="J81" i="89"/>
  <c r="K81" i="89"/>
  <c r="L81" i="89"/>
  <c r="J82" i="89"/>
  <c r="K82" i="89"/>
  <c r="L82" i="89"/>
  <c r="J83" i="89"/>
  <c r="K83" i="89"/>
  <c r="L83" i="89"/>
  <c r="J84" i="89"/>
  <c r="K84" i="89"/>
  <c r="L84" i="89"/>
  <c r="J85" i="89"/>
  <c r="K85" i="89"/>
  <c r="L85" i="89"/>
  <c r="J86" i="89"/>
  <c r="K86" i="89"/>
  <c r="L86" i="89"/>
  <c r="J87" i="89"/>
  <c r="K87" i="89"/>
  <c r="L87" i="89"/>
  <c r="J88" i="89"/>
  <c r="K88" i="89"/>
  <c r="L88" i="89"/>
  <c r="J89" i="89"/>
  <c r="K89" i="89"/>
  <c r="L89" i="89"/>
  <c r="J90" i="89"/>
  <c r="K90" i="89"/>
  <c r="L90" i="89"/>
  <c r="J91" i="89"/>
  <c r="K91" i="89"/>
  <c r="L91" i="89"/>
  <c r="J92" i="89"/>
  <c r="K92" i="89"/>
  <c r="L92" i="89"/>
  <c r="J93" i="89"/>
  <c r="K93" i="89"/>
  <c r="L93" i="89"/>
  <c r="J94" i="89"/>
  <c r="K94" i="89"/>
  <c r="L94" i="89"/>
  <c r="J95" i="89"/>
  <c r="K95" i="89"/>
  <c r="L95" i="89"/>
  <c r="J96" i="89"/>
  <c r="K96" i="89"/>
  <c r="L96" i="89"/>
  <c r="J97" i="89"/>
  <c r="K97" i="89"/>
  <c r="L97" i="89"/>
  <c r="J98" i="89"/>
  <c r="K98" i="89"/>
  <c r="L98" i="89"/>
  <c r="J99" i="89"/>
  <c r="K99" i="89"/>
  <c r="L99" i="89"/>
  <c r="J100" i="89"/>
  <c r="K100" i="89"/>
  <c r="L100" i="89"/>
  <c r="J101" i="89"/>
  <c r="K101" i="89"/>
  <c r="L101" i="89"/>
  <c r="J102" i="89"/>
  <c r="K102" i="89"/>
  <c r="L102" i="89"/>
  <c r="J103" i="89"/>
  <c r="K103" i="89"/>
  <c r="L103" i="89"/>
  <c r="J104" i="89"/>
  <c r="K104" i="89"/>
  <c r="L104" i="89"/>
  <c r="J105" i="89"/>
  <c r="K105" i="89"/>
  <c r="L105" i="89"/>
  <c r="J106" i="89"/>
  <c r="K106" i="89"/>
  <c r="L106" i="89"/>
  <c r="J107" i="89"/>
  <c r="K107" i="89"/>
  <c r="L107" i="89"/>
  <c r="J108" i="89"/>
  <c r="K108" i="89"/>
  <c r="L108" i="89"/>
  <c r="J109" i="89"/>
  <c r="K109" i="89"/>
  <c r="L109" i="89"/>
  <c r="J110" i="89"/>
  <c r="K110" i="89"/>
  <c r="L110" i="89"/>
  <c r="J111" i="89"/>
  <c r="K111" i="89"/>
  <c r="L111" i="89"/>
  <c r="J112" i="89"/>
  <c r="K112" i="89"/>
  <c r="L112" i="89"/>
  <c r="J113" i="89"/>
  <c r="K113" i="89"/>
  <c r="L113" i="89"/>
  <c r="J114" i="89"/>
  <c r="K114" i="89"/>
  <c r="L114" i="89"/>
  <c r="J115" i="89"/>
  <c r="K115" i="89"/>
  <c r="L115" i="89"/>
  <c r="J116" i="89"/>
  <c r="K116" i="89"/>
  <c r="L116" i="89"/>
  <c r="J117" i="89"/>
  <c r="K117" i="89"/>
  <c r="L117" i="89"/>
  <c r="J118" i="89"/>
  <c r="K118" i="89"/>
  <c r="L118" i="89"/>
  <c r="J119" i="89"/>
  <c r="K119" i="89"/>
  <c r="L119" i="89"/>
  <c r="J120" i="89"/>
  <c r="K120" i="89"/>
  <c r="L120" i="89"/>
  <c r="J121" i="89"/>
  <c r="K121" i="89"/>
  <c r="L121" i="89"/>
  <c r="J122" i="89"/>
  <c r="K122" i="89"/>
  <c r="L122" i="89"/>
  <c r="J123" i="89"/>
  <c r="K123" i="89"/>
  <c r="L123" i="89"/>
  <c r="J124" i="89"/>
  <c r="K124" i="89"/>
  <c r="L124" i="89"/>
  <c r="J125" i="89"/>
  <c r="K125" i="89"/>
  <c r="L125" i="89"/>
  <c r="J126" i="89"/>
  <c r="K126" i="89"/>
  <c r="L126" i="89"/>
  <c r="J127" i="89"/>
  <c r="K127" i="89"/>
  <c r="L127" i="89"/>
  <c r="J128" i="89"/>
  <c r="K128" i="89"/>
  <c r="L128" i="89"/>
  <c r="J129" i="89"/>
  <c r="K129" i="89"/>
  <c r="L129" i="89"/>
  <c r="J130" i="89"/>
  <c r="K130" i="89"/>
  <c r="L130" i="89"/>
  <c r="J131" i="89"/>
  <c r="K131" i="89"/>
  <c r="L131" i="89"/>
  <c r="J132" i="89"/>
  <c r="K132" i="89"/>
  <c r="L132" i="89"/>
  <c r="J133" i="89"/>
  <c r="K133" i="89"/>
  <c r="L133" i="89"/>
  <c r="J134" i="89"/>
  <c r="K134" i="89"/>
  <c r="L134" i="89"/>
  <c r="J135" i="89"/>
  <c r="K135" i="89"/>
  <c r="L135" i="89"/>
  <c r="J136" i="89"/>
  <c r="K136" i="89"/>
  <c r="L136" i="89"/>
  <c r="J137" i="89"/>
  <c r="K137" i="89"/>
  <c r="L137" i="89"/>
  <c r="J138" i="89"/>
  <c r="K138" i="89"/>
  <c r="L138" i="89"/>
  <c r="J139" i="89"/>
  <c r="K139" i="89"/>
  <c r="L139" i="89"/>
  <c r="J140" i="89"/>
  <c r="K140" i="89"/>
  <c r="L140" i="89"/>
  <c r="J141" i="89"/>
  <c r="K141" i="89"/>
  <c r="L141" i="89"/>
  <c r="J142" i="89"/>
  <c r="K142" i="89"/>
  <c r="L142" i="89"/>
  <c r="J143" i="89"/>
  <c r="K143" i="89"/>
  <c r="L143" i="89"/>
  <c r="J144" i="89"/>
  <c r="K144" i="89"/>
  <c r="L144" i="89"/>
  <c r="J145" i="89"/>
  <c r="K145" i="89"/>
  <c r="L145" i="89"/>
  <c r="J146" i="89"/>
  <c r="K146" i="89"/>
  <c r="L146" i="89"/>
  <c r="J147" i="89"/>
  <c r="K147" i="89"/>
  <c r="L147" i="89"/>
  <c r="J148" i="89"/>
  <c r="K148" i="89"/>
  <c r="L148" i="89"/>
  <c r="J149" i="89"/>
  <c r="K149" i="89"/>
  <c r="L149" i="89"/>
  <c r="J150" i="89"/>
  <c r="K150" i="89"/>
  <c r="L150" i="89"/>
  <c r="J151" i="89"/>
  <c r="K151" i="89"/>
  <c r="L151" i="89"/>
  <c r="J152" i="89"/>
  <c r="K152" i="89"/>
  <c r="L152" i="89"/>
  <c r="J153" i="89"/>
  <c r="K153" i="89"/>
  <c r="L153" i="89"/>
  <c r="J154" i="89"/>
  <c r="K154" i="89"/>
  <c r="L154" i="89"/>
  <c r="J155" i="89"/>
  <c r="K155" i="89"/>
  <c r="L155" i="89"/>
  <c r="J156" i="89"/>
  <c r="K156" i="89"/>
  <c r="L156" i="89"/>
  <c r="J157" i="89"/>
  <c r="K157" i="89"/>
  <c r="L157" i="89"/>
  <c r="J158" i="89"/>
  <c r="K158" i="89"/>
  <c r="L158" i="89"/>
  <c r="J159" i="89"/>
  <c r="K159" i="89"/>
  <c r="L159" i="89"/>
  <c r="J160" i="89"/>
  <c r="K160" i="89"/>
  <c r="L160" i="89"/>
  <c r="J161" i="89"/>
  <c r="K161" i="89"/>
  <c r="L161" i="89"/>
  <c r="J162" i="89"/>
  <c r="K162" i="89"/>
  <c r="L162" i="89"/>
  <c r="J163" i="89"/>
  <c r="K163" i="89"/>
  <c r="L163" i="89"/>
  <c r="J164" i="89"/>
  <c r="K164" i="89"/>
  <c r="L164" i="89"/>
  <c r="J165" i="89"/>
  <c r="K165" i="89"/>
  <c r="L165" i="89"/>
  <c r="J166" i="89"/>
  <c r="K166" i="89"/>
  <c r="L166" i="89"/>
  <c r="J167" i="89"/>
  <c r="K167" i="89"/>
  <c r="L167" i="89"/>
  <c r="J168" i="89"/>
  <c r="K168" i="89"/>
  <c r="L168" i="89"/>
  <c r="J169" i="89"/>
  <c r="K169" i="89"/>
  <c r="L169" i="89"/>
  <c r="J170" i="89"/>
  <c r="K170" i="89"/>
  <c r="L170" i="89"/>
  <c r="J171" i="89"/>
  <c r="K171" i="89"/>
  <c r="L171" i="89"/>
  <c r="J172" i="89"/>
  <c r="K172" i="89"/>
  <c r="L172" i="89"/>
  <c r="J173" i="89"/>
  <c r="K173" i="89"/>
  <c r="L173" i="89"/>
  <c r="J174" i="89"/>
  <c r="K174" i="89"/>
  <c r="L174" i="89"/>
  <c r="J175" i="89"/>
  <c r="K175" i="89"/>
  <c r="L175" i="89"/>
  <c r="J176" i="89"/>
  <c r="K176" i="89"/>
  <c r="L176" i="89"/>
  <c r="J177" i="89"/>
  <c r="K177" i="89"/>
  <c r="L177" i="89"/>
  <c r="J178" i="89"/>
  <c r="K178" i="89"/>
  <c r="L178" i="89"/>
  <c r="J179" i="89"/>
  <c r="K179" i="89"/>
  <c r="L179" i="89"/>
  <c r="J180" i="89"/>
  <c r="K180" i="89"/>
  <c r="L180" i="89"/>
  <c r="J181" i="89"/>
  <c r="K181" i="89"/>
  <c r="L181" i="89"/>
  <c r="J182" i="89"/>
  <c r="K182" i="89"/>
  <c r="L182" i="89"/>
  <c r="J183" i="89"/>
  <c r="K183" i="89"/>
  <c r="L183" i="89"/>
  <c r="J184" i="89"/>
  <c r="K184" i="89"/>
  <c r="L184" i="89"/>
  <c r="J185" i="89"/>
  <c r="K185" i="89"/>
  <c r="L185" i="89"/>
  <c r="J186" i="89"/>
  <c r="K186" i="89"/>
  <c r="L186" i="89"/>
  <c r="J187" i="89"/>
  <c r="K187" i="89"/>
  <c r="L187" i="89"/>
  <c r="J188" i="89"/>
  <c r="K188" i="89"/>
  <c r="L188" i="89"/>
  <c r="J189" i="89"/>
  <c r="K189" i="89"/>
  <c r="L189" i="89"/>
  <c r="J190" i="89"/>
  <c r="K190" i="89"/>
  <c r="L190" i="89"/>
  <c r="J191" i="89"/>
  <c r="K191" i="89"/>
  <c r="L191" i="89"/>
  <c r="M191" i="89"/>
  <c r="O191" i="89"/>
  <c r="V191" i="89"/>
  <c r="AD191" i="89"/>
  <c r="AF191" i="89"/>
  <c r="AG191" i="89"/>
  <c r="AH191" i="89"/>
  <c r="AI191" i="89"/>
  <c r="AJ191" i="89"/>
  <c r="J192" i="89"/>
  <c r="K192" i="89"/>
  <c r="L192" i="89"/>
  <c r="M192" i="89"/>
  <c r="O192" i="89"/>
  <c r="V192" i="89"/>
  <c r="AD192" i="89"/>
  <c r="AF192" i="89"/>
  <c r="AG192" i="89"/>
  <c r="AH192" i="89"/>
  <c r="AI192" i="89"/>
  <c r="AJ192" i="89"/>
  <c r="J193" i="89"/>
  <c r="K193" i="89"/>
  <c r="L193" i="89"/>
  <c r="M193" i="89"/>
  <c r="O193" i="89"/>
  <c r="V193" i="89"/>
  <c r="AD193" i="89"/>
  <c r="AF193" i="89"/>
  <c r="AG193" i="89"/>
  <c r="AH193" i="89"/>
  <c r="AI193" i="89"/>
  <c r="AJ193" i="89"/>
  <c r="J194" i="89"/>
  <c r="K194" i="89"/>
  <c r="L194" i="89"/>
  <c r="M194" i="89"/>
  <c r="O194" i="89"/>
  <c r="V194" i="89"/>
  <c r="AD194" i="89"/>
  <c r="AF194" i="89"/>
  <c r="AG194" i="89"/>
  <c r="AH194" i="89"/>
  <c r="AI194" i="89"/>
  <c r="AJ194" i="89"/>
  <c r="J195" i="89"/>
  <c r="K195" i="89"/>
  <c r="L195" i="89"/>
  <c r="M195" i="89"/>
  <c r="O195" i="89"/>
  <c r="V195" i="89"/>
  <c r="AD195" i="89"/>
  <c r="AF195" i="89"/>
  <c r="AG195" i="89"/>
  <c r="AH195" i="89"/>
  <c r="AI195" i="89"/>
  <c r="AJ195" i="89"/>
  <c r="J196" i="89"/>
  <c r="K196" i="89"/>
  <c r="L196" i="89"/>
  <c r="M196" i="89"/>
  <c r="O196" i="89"/>
  <c r="V196" i="89"/>
  <c r="AD196" i="89"/>
  <c r="AF196" i="89"/>
  <c r="AG196" i="89"/>
  <c r="AH196" i="89"/>
  <c r="AI196" i="89"/>
  <c r="AJ196" i="89"/>
  <c r="J197" i="89"/>
  <c r="K197" i="89"/>
  <c r="L197" i="89"/>
  <c r="M197" i="89"/>
  <c r="O197" i="89"/>
  <c r="V197" i="89"/>
  <c r="AD197" i="89"/>
  <c r="AF197" i="89"/>
  <c r="AG197" i="89"/>
  <c r="AH197" i="89"/>
  <c r="AI197" i="89"/>
  <c r="AJ197" i="89"/>
  <c r="J198" i="89"/>
  <c r="K198" i="89"/>
  <c r="L198" i="89"/>
  <c r="M198" i="89"/>
  <c r="O198" i="89"/>
  <c r="V198" i="89"/>
  <c r="AD198" i="89"/>
  <c r="AF198" i="89"/>
  <c r="AG198" i="89"/>
  <c r="AH198" i="89"/>
  <c r="AI198" i="89"/>
  <c r="AJ198" i="89"/>
  <c r="J199" i="89"/>
  <c r="K199" i="89"/>
  <c r="L199" i="89"/>
  <c r="M199" i="89"/>
  <c r="O199" i="89"/>
  <c r="V199" i="89"/>
  <c r="AD199" i="89"/>
  <c r="AF199" i="89"/>
  <c r="AG199" i="89"/>
  <c r="AH199" i="89"/>
  <c r="AI199" i="89"/>
  <c r="AJ199" i="89"/>
  <c r="J200" i="89"/>
  <c r="K200" i="89"/>
  <c r="L200" i="89"/>
  <c r="M200" i="89"/>
  <c r="O200" i="89"/>
  <c r="V200" i="89"/>
  <c r="AD200" i="89"/>
  <c r="AF200" i="89"/>
  <c r="AG200" i="89"/>
  <c r="AH200" i="89"/>
  <c r="AI200" i="89"/>
  <c r="AJ200" i="89"/>
  <c r="J201" i="89"/>
  <c r="K201" i="89"/>
  <c r="L201" i="89"/>
  <c r="M201" i="89"/>
  <c r="O201" i="89"/>
  <c r="V201" i="89"/>
  <c r="AD201" i="89"/>
  <c r="AF201" i="89"/>
  <c r="AG201" i="89"/>
  <c r="AH201" i="89"/>
  <c r="AI201" i="89"/>
  <c r="AJ201" i="89"/>
  <c r="J202" i="89"/>
  <c r="K202" i="89"/>
  <c r="L202" i="89"/>
  <c r="M202" i="89"/>
  <c r="O202" i="89"/>
  <c r="V202" i="89"/>
  <c r="AD202" i="89"/>
  <c r="AF202" i="89"/>
  <c r="AG202" i="89"/>
  <c r="AH202" i="89"/>
  <c r="AI202" i="89"/>
  <c r="AJ202" i="89"/>
  <c r="J203" i="89"/>
  <c r="K203" i="89"/>
  <c r="L203" i="89"/>
  <c r="M203" i="89"/>
  <c r="O203" i="89"/>
  <c r="V203" i="89"/>
  <c r="AD203" i="89"/>
  <c r="AF203" i="89"/>
  <c r="AG203" i="89"/>
  <c r="AH203" i="89"/>
  <c r="AI203" i="89"/>
  <c r="AJ203" i="89"/>
  <c r="J204" i="89"/>
  <c r="K204" i="89"/>
  <c r="L204" i="89"/>
  <c r="M204" i="89"/>
  <c r="O204" i="89"/>
  <c r="V204" i="89"/>
  <c r="AD204" i="89"/>
  <c r="AF204" i="89"/>
  <c r="AG204" i="89"/>
  <c r="AH204" i="89"/>
  <c r="AI204" i="89"/>
  <c r="AJ204" i="89"/>
  <c r="J205" i="89"/>
  <c r="K205" i="89"/>
  <c r="L205" i="89"/>
  <c r="M205" i="89"/>
  <c r="O205" i="89"/>
  <c r="V205" i="89"/>
  <c r="AD205" i="89"/>
  <c r="AF205" i="89"/>
  <c r="AG205" i="89"/>
  <c r="AH205" i="89"/>
  <c r="AI205" i="89"/>
  <c r="AJ205" i="89"/>
  <c r="J206" i="89"/>
  <c r="K206" i="89"/>
  <c r="L206" i="89"/>
  <c r="M206" i="89"/>
  <c r="O206" i="89"/>
  <c r="V206" i="89"/>
  <c r="AD206" i="89"/>
  <c r="AF206" i="89"/>
  <c r="AG206" i="89"/>
  <c r="AH206" i="89"/>
  <c r="AI206" i="89"/>
  <c r="AJ206" i="89"/>
  <c r="J207" i="89"/>
  <c r="K207" i="89"/>
  <c r="L207" i="89"/>
  <c r="M207" i="89"/>
  <c r="O207" i="89"/>
  <c r="V207" i="89"/>
  <c r="AD207" i="89"/>
  <c r="AF207" i="89"/>
  <c r="AG207" i="89"/>
  <c r="AH207" i="89"/>
  <c r="AI207" i="89"/>
  <c r="AJ207" i="89"/>
  <c r="J208" i="89"/>
  <c r="K208" i="89"/>
  <c r="L208" i="89"/>
  <c r="M208" i="89"/>
  <c r="O208" i="89"/>
  <c r="V208" i="89"/>
  <c r="AD208" i="89"/>
  <c r="AF208" i="89"/>
  <c r="AG208" i="89"/>
  <c r="AH208" i="89"/>
  <c r="AI208" i="89"/>
  <c r="AJ208" i="89"/>
  <c r="J209" i="89"/>
  <c r="K209" i="89"/>
  <c r="L209" i="89"/>
  <c r="M209" i="89"/>
  <c r="O209" i="89"/>
  <c r="V209" i="89"/>
  <c r="AD209" i="89"/>
  <c r="AF209" i="89"/>
  <c r="AG209" i="89"/>
  <c r="AH209" i="89"/>
  <c r="AI209" i="89"/>
  <c r="AJ209" i="89"/>
  <c r="J210" i="89"/>
  <c r="K210" i="89"/>
  <c r="L210" i="89"/>
  <c r="M210" i="89"/>
  <c r="O210" i="89"/>
  <c r="V210" i="89"/>
  <c r="AD210" i="89"/>
  <c r="AF210" i="89"/>
  <c r="AG210" i="89"/>
  <c r="AH210" i="89"/>
  <c r="AI210" i="89"/>
  <c r="AJ210" i="89"/>
  <c r="J211" i="89"/>
  <c r="K211" i="89"/>
  <c r="L211" i="89"/>
  <c r="M211" i="89"/>
  <c r="O211" i="89"/>
  <c r="V211" i="89"/>
  <c r="AD211" i="89"/>
  <c r="AF211" i="89"/>
  <c r="AG211" i="89"/>
  <c r="AH211" i="89"/>
  <c r="AI211" i="89"/>
  <c r="AJ211" i="89"/>
  <c r="J212" i="89"/>
  <c r="K212" i="89"/>
  <c r="L212" i="89"/>
  <c r="M212" i="89"/>
  <c r="O212" i="89"/>
  <c r="V212" i="89"/>
  <c r="AD212" i="89"/>
  <c r="AF212" i="89"/>
  <c r="AG212" i="89"/>
  <c r="AH212" i="89"/>
  <c r="AI212" i="89"/>
  <c r="AJ212" i="89"/>
  <c r="J213" i="89"/>
  <c r="K213" i="89"/>
  <c r="L213" i="89"/>
  <c r="M213" i="89"/>
  <c r="O213" i="89"/>
  <c r="V213" i="89"/>
  <c r="AD213" i="89"/>
  <c r="AF213" i="89"/>
  <c r="AG213" i="89"/>
  <c r="AH213" i="89"/>
  <c r="AI213" i="89"/>
  <c r="AJ213" i="89"/>
  <c r="J214" i="89"/>
  <c r="K214" i="89"/>
  <c r="L214" i="89"/>
  <c r="M214" i="89"/>
  <c r="O214" i="89"/>
  <c r="V214" i="89"/>
  <c r="AD214" i="89"/>
  <c r="AF214" i="89"/>
  <c r="AG214" i="89"/>
  <c r="AH214" i="89"/>
  <c r="AI214" i="89"/>
  <c r="AJ214" i="89"/>
  <c r="J215" i="89"/>
  <c r="K215" i="89"/>
  <c r="L215" i="89"/>
  <c r="M215" i="89"/>
  <c r="O215" i="89"/>
  <c r="V215" i="89"/>
  <c r="AD215" i="89"/>
  <c r="AF215" i="89"/>
  <c r="AG215" i="89"/>
  <c r="AH215" i="89"/>
  <c r="AI215" i="89"/>
  <c r="AJ215" i="89"/>
  <c r="J216" i="89"/>
  <c r="K216" i="89"/>
  <c r="L216" i="89"/>
  <c r="M216" i="89"/>
  <c r="O216" i="89"/>
  <c r="V216" i="89"/>
  <c r="AD216" i="89"/>
  <c r="AF216" i="89"/>
  <c r="AG216" i="89"/>
  <c r="AH216" i="89"/>
  <c r="AI216" i="89"/>
  <c r="AJ216" i="89"/>
  <c r="J217" i="89"/>
  <c r="K217" i="89"/>
  <c r="L217" i="89"/>
  <c r="M217" i="89"/>
  <c r="O217" i="89"/>
  <c r="V217" i="89"/>
  <c r="AD217" i="89"/>
  <c r="AF217" i="89"/>
  <c r="AG217" i="89"/>
  <c r="AH217" i="89"/>
  <c r="AI217" i="89"/>
  <c r="AJ217" i="89"/>
  <c r="J218" i="89"/>
  <c r="K218" i="89"/>
  <c r="L218" i="89"/>
  <c r="M218" i="89"/>
  <c r="O218" i="89"/>
  <c r="V218" i="89"/>
  <c r="AD218" i="89"/>
  <c r="AF218" i="89"/>
  <c r="AG218" i="89"/>
  <c r="AH218" i="89"/>
  <c r="AI218" i="89"/>
  <c r="AJ218" i="89"/>
  <c r="J219" i="89"/>
  <c r="K219" i="89"/>
  <c r="L219" i="89"/>
  <c r="M219" i="89"/>
  <c r="O219" i="89"/>
  <c r="V219" i="89"/>
  <c r="AD219" i="89"/>
  <c r="AF219" i="89"/>
  <c r="AG219" i="89"/>
  <c r="AH219" i="89"/>
  <c r="AI219" i="89"/>
  <c r="AJ219" i="89"/>
  <c r="J220" i="89"/>
  <c r="K220" i="89"/>
  <c r="L220" i="89"/>
  <c r="M220" i="89"/>
  <c r="O220" i="89"/>
  <c r="V220" i="89"/>
  <c r="AD220" i="89"/>
  <c r="AF220" i="89"/>
  <c r="AG220" i="89"/>
  <c r="AH220" i="89"/>
  <c r="AI220" i="89"/>
  <c r="AJ220" i="89"/>
  <c r="J221" i="89"/>
  <c r="K221" i="89"/>
  <c r="L221" i="89"/>
  <c r="M221" i="89"/>
  <c r="O221" i="89"/>
  <c r="V221" i="89"/>
  <c r="AD221" i="89"/>
  <c r="AF221" i="89"/>
  <c r="AG221" i="89"/>
  <c r="AH221" i="89"/>
  <c r="AI221" i="89"/>
  <c r="AJ221" i="89"/>
  <c r="J222" i="89"/>
  <c r="K222" i="89"/>
  <c r="L222" i="89"/>
  <c r="M222" i="89"/>
  <c r="O222" i="89"/>
  <c r="V222" i="89"/>
  <c r="AD222" i="89"/>
  <c r="AF222" i="89"/>
  <c r="AG222" i="89"/>
  <c r="AH222" i="89"/>
  <c r="AI222" i="89"/>
  <c r="AJ222" i="89"/>
  <c r="J223" i="89"/>
  <c r="K223" i="89"/>
  <c r="L223" i="89"/>
  <c r="M223" i="89"/>
  <c r="O223" i="89"/>
  <c r="V223" i="89"/>
  <c r="AD223" i="89"/>
  <c r="AF223" i="89"/>
  <c r="AG223" i="89"/>
  <c r="AH223" i="89"/>
  <c r="AI223" i="89"/>
  <c r="AJ223" i="89"/>
  <c r="J224" i="89"/>
  <c r="K224" i="89"/>
  <c r="L224" i="89"/>
  <c r="M224" i="89"/>
  <c r="O224" i="89"/>
  <c r="V224" i="89"/>
  <c r="AD224" i="89"/>
  <c r="AF224" i="89"/>
  <c r="AG224" i="89"/>
  <c r="AH224" i="89"/>
  <c r="AI224" i="89"/>
  <c r="AJ224" i="89"/>
  <c r="J225" i="89"/>
  <c r="K225" i="89"/>
  <c r="L225" i="89"/>
  <c r="M225" i="89"/>
  <c r="O225" i="89"/>
  <c r="V225" i="89"/>
  <c r="AD225" i="89"/>
  <c r="AF225" i="89"/>
  <c r="AG225" i="89"/>
  <c r="AH225" i="89"/>
  <c r="AI225" i="89"/>
  <c r="AJ225" i="89"/>
  <c r="J226" i="89"/>
  <c r="K226" i="89"/>
  <c r="L226" i="89"/>
  <c r="M226" i="89"/>
  <c r="O226" i="89"/>
  <c r="V226" i="89"/>
  <c r="AD226" i="89"/>
  <c r="AF226" i="89"/>
  <c r="AG226" i="89"/>
  <c r="AH226" i="89"/>
  <c r="AI226" i="89"/>
  <c r="AJ226" i="89"/>
  <c r="J227" i="89"/>
  <c r="K227" i="89"/>
  <c r="L227" i="89"/>
  <c r="M227" i="89"/>
  <c r="O227" i="89"/>
  <c r="V227" i="89"/>
  <c r="AD227" i="89"/>
  <c r="AF227" i="89"/>
  <c r="AG227" i="89"/>
  <c r="AH227" i="89"/>
  <c r="AI227" i="89"/>
  <c r="AJ227" i="89"/>
  <c r="J228" i="89"/>
  <c r="K228" i="89"/>
  <c r="L228" i="89"/>
  <c r="M228" i="89"/>
  <c r="O228" i="89"/>
  <c r="V228" i="89"/>
  <c r="AD228" i="89"/>
  <c r="AF228" i="89"/>
  <c r="AG228" i="89"/>
  <c r="AH228" i="89"/>
  <c r="AI228" i="89"/>
  <c r="AJ228" i="89"/>
  <c r="J229" i="89"/>
  <c r="K229" i="89"/>
  <c r="L229" i="89"/>
  <c r="M229" i="89"/>
  <c r="O229" i="89"/>
  <c r="V229" i="89"/>
  <c r="AD229" i="89"/>
  <c r="AF229" i="89"/>
  <c r="AG229" i="89"/>
  <c r="AH229" i="89"/>
  <c r="AI229" i="89"/>
  <c r="AJ229" i="89"/>
  <c r="J230" i="89"/>
  <c r="K230" i="89"/>
  <c r="L230" i="89"/>
  <c r="M230" i="89"/>
  <c r="O230" i="89"/>
  <c r="V230" i="89"/>
  <c r="AD230" i="89"/>
  <c r="AF230" i="89"/>
  <c r="AG230" i="89"/>
  <c r="AH230" i="89"/>
  <c r="AI230" i="89"/>
  <c r="AJ230" i="89"/>
  <c r="J231" i="89"/>
  <c r="K231" i="89"/>
  <c r="L231" i="89"/>
  <c r="M231" i="89"/>
  <c r="O231" i="89"/>
  <c r="V231" i="89"/>
  <c r="AD231" i="89"/>
  <c r="AF231" i="89"/>
  <c r="AG231" i="89"/>
  <c r="AH231" i="89"/>
  <c r="AI231" i="89"/>
  <c r="AJ231" i="89"/>
  <c r="J232" i="89"/>
  <c r="K232" i="89"/>
  <c r="L232" i="89"/>
  <c r="M232" i="89"/>
  <c r="O232" i="89"/>
  <c r="V232" i="89"/>
  <c r="AD232" i="89"/>
  <c r="AF232" i="89"/>
  <c r="AG232" i="89"/>
  <c r="AH232" i="89"/>
  <c r="AI232" i="89"/>
  <c r="AJ232" i="89"/>
  <c r="J233" i="89"/>
  <c r="K233" i="89"/>
  <c r="L233" i="89"/>
  <c r="M233" i="89"/>
  <c r="O233" i="89"/>
  <c r="V233" i="89"/>
  <c r="AD233" i="89"/>
  <c r="AF233" i="89"/>
  <c r="AG233" i="89"/>
  <c r="AH233" i="89"/>
  <c r="AI233" i="89"/>
  <c r="AJ233" i="89"/>
  <c r="J234" i="89"/>
  <c r="K234" i="89"/>
  <c r="L234" i="89"/>
  <c r="M234" i="89"/>
  <c r="O234" i="89"/>
  <c r="V234" i="89"/>
  <c r="AD234" i="89"/>
  <c r="AF234" i="89"/>
  <c r="AG234" i="89"/>
  <c r="AH234" i="89"/>
  <c r="AI234" i="89"/>
  <c r="AJ234" i="89"/>
  <c r="J235" i="89"/>
  <c r="K235" i="89"/>
  <c r="L235" i="89"/>
  <c r="M235" i="89"/>
  <c r="O235" i="89"/>
  <c r="V235" i="89"/>
  <c r="AD235" i="89"/>
  <c r="AF235" i="89"/>
  <c r="AG235" i="89"/>
  <c r="AH235" i="89"/>
  <c r="AI235" i="89"/>
  <c r="AJ235" i="89"/>
  <c r="J236" i="89"/>
  <c r="K236" i="89"/>
  <c r="L236" i="89"/>
  <c r="M236" i="89"/>
  <c r="O236" i="89"/>
  <c r="V236" i="89"/>
  <c r="AD236" i="89"/>
  <c r="AF236" i="89"/>
  <c r="AG236" i="89"/>
  <c r="AH236" i="89"/>
  <c r="AI236" i="89"/>
  <c r="AJ236" i="89"/>
  <c r="J237" i="89"/>
  <c r="K237" i="89"/>
  <c r="L237" i="89"/>
  <c r="M237" i="89"/>
  <c r="O237" i="89"/>
  <c r="V237" i="89"/>
  <c r="AD237" i="89"/>
  <c r="AF237" i="89"/>
  <c r="AG237" i="89"/>
  <c r="AH237" i="89"/>
  <c r="AI237" i="89"/>
  <c r="AJ237" i="89"/>
  <c r="J238" i="89"/>
  <c r="K238" i="89"/>
  <c r="L238" i="89"/>
  <c r="M238" i="89"/>
  <c r="O238" i="89"/>
  <c r="V238" i="89"/>
  <c r="AD238" i="89"/>
  <c r="AF238" i="89"/>
  <c r="AG238" i="89"/>
  <c r="AH238" i="89"/>
  <c r="AI238" i="89"/>
  <c r="AJ238" i="89"/>
  <c r="J239" i="89"/>
  <c r="K239" i="89"/>
  <c r="L239" i="89"/>
  <c r="M239" i="89"/>
  <c r="O239" i="89"/>
  <c r="V239" i="89"/>
  <c r="AD239" i="89"/>
  <c r="AF239" i="89"/>
  <c r="AG239" i="89"/>
  <c r="AH239" i="89"/>
  <c r="AI239" i="89"/>
  <c r="AJ239" i="89"/>
  <c r="J240" i="89"/>
  <c r="K240" i="89"/>
  <c r="L240" i="89"/>
  <c r="M240" i="89"/>
  <c r="O240" i="89"/>
  <c r="V240" i="89"/>
  <c r="AD240" i="89"/>
  <c r="AF240" i="89"/>
  <c r="AG240" i="89"/>
  <c r="AH240" i="89"/>
  <c r="AI240" i="89"/>
  <c r="AJ240" i="89"/>
  <c r="J241" i="89"/>
  <c r="K241" i="89"/>
  <c r="L241" i="89"/>
  <c r="M241" i="89"/>
  <c r="O241" i="89"/>
  <c r="V241" i="89"/>
  <c r="AD241" i="89"/>
  <c r="AF241" i="89"/>
  <c r="AG241" i="89"/>
  <c r="AH241" i="89"/>
  <c r="AI241" i="89"/>
  <c r="AJ241" i="89"/>
  <c r="J242" i="89"/>
  <c r="K242" i="89"/>
  <c r="L242" i="89"/>
  <c r="M242" i="89"/>
  <c r="O242" i="89"/>
  <c r="V242" i="89"/>
  <c r="AD242" i="89"/>
  <c r="AF242" i="89"/>
  <c r="AG242" i="89"/>
  <c r="AH242" i="89"/>
  <c r="AI242" i="89"/>
  <c r="AJ242" i="89"/>
  <c r="J243" i="89"/>
  <c r="K243" i="89"/>
  <c r="L243" i="89"/>
  <c r="M243" i="89"/>
  <c r="O243" i="89"/>
  <c r="V243" i="89"/>
  <c r="AD243" i="89"/>
  <c r="AF243" i="89"/>
  <c r="AG243" i="89"/>
  <c r="AH243" i="89"/>
  <c r="AI243" i="89"/>
  <c r="AJ243" i="89"/>
  <c r="J244" i="89"/>
  <c r="K244" i="89"/>
  <c r="L244" i="89"/>
  <c r="M244" i="89"/>
  <c r="O244" i="89"/>
  <c r="V244" i="89"/>
  <c r="AD244" i="89"/>
  <c r="AF244" i="89"/>
  <c r="AG244" i="89"/>
  <c r="AH244" i="89"/>
  <c r="AI244" i="89"/>
  <c r="AJ244" i="89"/>
  <c r="J245" i="89"/>
  <c r="K245" i="89"/>
  <c r="L245" i="89"/>
  <c r="M245" i="89"/>
  <c r="O245" i="89"/>
  <c r="V245" i="89"/>
  <c r="AD245" i="89"/>
  <c r="AF245" i="89"/>
  <c r="AG245" i="89"/>
  <c r="AH245" i="89"/>
  <c r="AI245" i="89"/>
  <c r="AJ245" i="89"/>
  <c r="J246" i="89"/>
  <c r="K246" i="89"/>
  <c r="L246" i="89"/>
  <c r="M246" i="89"/>
  <c r="O246" i="89"/>
  <c r="V246" i="89"/>
  <c r="AD246" i="89"/>
  <c r="AF246" i="89"/>
  <c r="AG246" i="89"/>
  <c r="AH246" i="89"/>
  <c r="AI246" i="89"/>
  <c r="AJ246" i="89"/>
  <c r="J247" i="89"/>
  <c r="K247" i="89"/>
  <c r="L247" i="89"/>
  <c r="M247" i="89"/>
  <c r="O247" i="89"/>
  <c r="V247" i="89"/>
  <c r="AD247" i="89"/>
  <c r="AF247" i="89"/>
  <c r="AG247" i="89"/>
  <c r="AH247" i="89"/>
  <c r="AI247" i="89"/>
  <c r="AJ247" i="89"/>
  <c r="J248" i="89"/>
  <c r="K248" i="89"/>
  <c r="L248" i="89"/>
  <c r="M248" i="89"/>
  <c r="O248" i="89"/>
  <c r="V248" i="89"/>
  <c r="AD248" i="89"/>
  <c r="AF248" i="89"/>
  <c r="AG248" i="89"/>
  <c r="AH248" i="89"/>
  <c r="AI248" i="89"/>
  <c r="AJ248" i="89"/>
  <c r="J249" i="89"/>
  <c r="K249" i="89"/>
  <c r="L249" i="89"/>
  <c r="M249" i="89"/>
  <c r="O249" i="89"/>
  <c r="V249" i="89"/>
  <c r="AD249" i="89"/>
  <c r="AF249" i="89"/>
  <c r="AG249" i="89"/>
  <c r="AH249" i="89"/>
  <c r="AI249" i="89"/>
  <c r="AJ249" i="89"/>
  <c r="J250" i="89"/>
  <c r="K250" i="89"/>
  <c r="L250" i="89"/>
  <c r="M250" i="89"/>
  <c r="O250" i="89"/>
  <c r="V250" i="89"/>
  <c r="AD250" i="89"/>
  <c r="AF250" i="89"/>
  <c r="AG250" i="89"/>
  <c r="AH250" i="89"/>
  <c r="AI250" i="89"/>
  <c r="AJ250" i="89"/>
  <c r="J251" i="89"/>
  <c r="K251" i="89"/>
  <c r="L251" i="89"/>
  <c r="M251" i="89"/>
  <c r="O251" i="89"/>
  <c r="V251" i="89"/>
  <c r="AD251" i="89"/>
  <c r="AF251" i="89"/>
  <c r="AG251" i="89"/>
  <c r="AH251" i="89"/>
  <c r="AI251" i="89"/>
  <c r="AJ251" i="89"/>
  <c r="J252" i="89"/>
  <c r="K252" i="89"/>
  <c r="L252" i="89"/>
  <c r="M252" i="89"/>
  <c r="O252" i="89"/>
  <c r="V252" i="89"/>
  <c r="AD252" i="89"/>
  <c r="AF252" i="89"/>
  <c r="AG252" i="89"/>
  <c r="AH252" i="89"/>
  <c r="AI252" i="89"/>
  <c r="AJ252" i="89"/>
  <c r="J253" i="89"/>
  <c r="K253" i="89"/>
  <c r="L253" i="89"/>
  <c r="M253" i="89"/>
  <c r="O253" i="89"/>
  <c r="V253" i="89"/>
  <c r="AD253" i="89"/>
  <c r="AF253" i="89"/>
  <c r="AG253" i="89"/>
  <c r="AH253" i="89"/>
  <c r="AI253" i="89"/>
  <c r="AJ253" i="89"/>
  <c r="J254" i="89"/>
  <c r="K254" i="89"/>
  <c r="L254" i="89"/>
  <c r="M254" i="89"/>
  <c r="O254" i="89"/>
  <c r="V254" i="89"/>
  <c r="AD254" i="89"/>
  <c r="AF254" i="89"/>
  <c r="AG254" i="89"/>
  <c r="AH254" i="89"/>
  <c r="AI254" i="89"/>
  <c r="AJ254" i="89"/>
  <c r="J255" i="89"/>
  <c r="K255" i="89"/>
  <c r="L255" i="89"/>
  <c r="M255" i="89"/>
  <c r="O255" i="89"/>
  <c r="V255" i="89"/>
  <c r="AD255" i="89"/>
  <c r="AF255" i="89"/>
  <c r="AG255" i="89"/>
  <c r="AH255" i="89"/>
  <c r="AI255" i="89"/>
  <c r="AJ255" i="89"/>
  <c r="J256" i="89"/>
  <c r="K256" i="89"/>
  <c r="L256" i="89"/>
  <c r="M256" i="89"/>
  <c r="O256" i="89"/>
  <c r="V256" i="89"/>
  <c r="AD256" i="89"/>
  <c r="AF256" i="89"/>
  <c r="AG256" i="89"/>
  <c r="AH256" i="89"/>
  <c r="AI256" i="89"/>
  <c r="AJ256" i="89"/>
  <c r="J257" i="89"/>
  <c r="K257" i="89"/>
  <c r="L257" i="89"/>
  <c r="M257" i="89"/>
  <c r="O257" i="89"/>
  <c r="V257" i="89"/>
  <c r="AD257" i="89"/>
  <c r="AF257" i="89"/>
  <c r="AG257" i="89"/>
  <c r="AH257" i="89"/>
  <c r="AI257" i="89"/>
  <c r="AJ257" i="89"/>
  <c r="J258" i="89"/>
  <c r="K258" i="89"/>
  <c r="L258" i="89"/>
  <c r="M258" i="89"/>
  <c r="O258" i="89"/>
  <c r="V258" i="89"/>
  <c r="AD258" i="89"/>
  <c r="AF258" i="89"/>
  <c r="AG258" i="89"/>
  <c r="AH258" i="89"/>
  <c r="AI258" i="89"/>
  <c r="AJ258" i="89"/>
  <c r="J259" i="89"/>
  <c r="K259" i="89"/>
  <c r="L259" i="89"/>
  <c r="M259" i="89"/>
  <c r="O259" i="89"/>
  <c r="V259" i="89"/>
  <c r="AD259" i="89"/>
  <c r="AF259" i="89"/>
  <c r="AG259" i="89"/>
  <c r="AH259" i="89"/>
  <c r="AI259" i="89"/>
  <c r="AJ259" i="89"/>
  <c r="J260" i="89"/>
  <c r="K260" i="89"/>
  <c r="L260" i="89"/>
  <c r="M260" i="89"/>
  <c r="O260" i="89"/>
  <c r="V260" i="89"/>
  <c r="AD260" i="89"/>
  <c r="AF260" i="89"/>
  <c r="AG260" i="89"/>
  <c r="AH260" i="89"/>
  <c r="AI260" i="89"/>
  <c r="AJ260" i="89"/>
  <c r="J261" i="89"/>
  <c r="K261" i="89"/>
  <c r="L261" i="89"/>
  <c r="M261" i="89"/>
  <c r="O261" i="89"/>
  <c r="V261" i="89"/>
  <c r="AD261" i="89"/>
  <c r="AF261" i="89"/>
  <c r="AG261" i="89"/>
  <c r="AH261" i="89"/>
  <c r="AI261" i="89"/>
  <c r="AJ261" i="89"/>
  <c r="J262" i="89"/>
  <c r="K262" i="89"/>
  <c r="L262" i="89"/>
  <c r="M262" i="89"/>
  <c r="O262" i="89"/>
  <c r="V262" i="89"/>
  <c r="AD262" i="89"/>
  <c r="AF262" i="89"/>
  <c r="AG262" i="89"/>
  <c r="AH262" i="89"/>
  <c r="AI262" i="89"/>
  <c r="AJ262" i="89"/>
  <c r="J263" i="89"/>
  <c r="K263" i="89"/>
  <c r="L263" i="89"/>
  <c r="M263" i="89"/>
  <c r="O263" i="89"/>
  <c r="V263" i="89"/>
  <c r="AD263" i="89"/>
  <c r="AF263" i="89"/>
  <c r="AG263" i="89"/>
  <c r="AH263" i="89"/>
  <c r="AI263" i="89"/>
  <c r="AJ263" i="89"/>
  <c r="J264" i="89"/>
  <c r="K264" i="89"/>
  <c r="L264" i="89"/>
  <c r="M264" i="89"/>
  <c r="O264" i="89"/>
  <c r="V264" i="89"/>
  <c r="AD264" i="89"/>
  <c r="AF264" i="89"/>
  <c r="AG264" i="89"/>
  <c r="AH264" i="89"/>
  <c r="AI264" i="89"/>
  <c r="AJ264" i="89"/>
  <c r="J265" i="89"/>
  <c r="K265" i="89"/>
  <c r="L265" i="89"/>
  <c r="M265" i="89"/>
  <c r="O265" i="89"/>
  <c r="V265" i="89"/>
  <c r="AD265" i="89"/>
  <c r="AF265" i="89"/>
  <c r="AG265" i="89"/>
  <c r="AH265" i="89"/>
  <c r="AI265" i="89"/>
  <c r="AJ265" i="89"/>
  <c r="J266" i="89"/>
  <c r="K266" i="89"/>
  <c r="L266" i="89"/>
  <c r="M266" i="89"/>
  <c r="O266" i="89"/>
  <c r="V266" i="89"/>
  <c r="AD266" i="89"/>
  <c r="AF266" i="89"/>
  <c r="AG266" i="89"/>
  <c r="AH266" i="89"/>
  <c r="AI266" i="89"/>
  <c r="AJ266" i="89"/>
  <c r="J267" i="89"/>
  <c r="K267" i="89"/>
  <c r="L267" i="89"/>
  <c r="M267" i="89"/>
  <c r="O267" i="89"/>
  <c r="V267" i="89"/>
  <c r="AD267" i="89"/>
  <c r="AF267" i="89"/>
  <c r="AG267" i="89"/>
  <c r="AH267" i="89"/>
  <c r="AI267" i="89"/>
  <c r="AJ267" i="89"/>
  <c r="J268" i="89"/>
  <c r="K268" i="89"/>
  <c r="L268" i="89"/>
  <c r="M268" i="89"/>
  <c r="O268" i="89"/>
  <c r="V268" i="89"/>
  <c r="AD268" i="89"/>
  <c r="AF268" i="89"/>
  <c r="AG268" i="89"/>
  <c r="AH268" i="89"/>
  <c r="AI268" i="89"/>
  <c r="AJ268" i="89"/>
  <c r="J269" i="89"/>
  <c r="K269" i="89"/>
  <c r="L269" i="89"/>
  <c r="M269" i="89"/>
  <c r="O269" i="89"/>
  <c r="V269" i="89"/>
  <c r="AD269" i="89"/>
  <c r="AF269" i="89"/>
  <c r="AG269" i="89"/>
  <c r="AH269" i="89"/>
  <c r="AI269" i="89"/>
  <c r="AJ269" i="89"/>
  <c r="J270" i="89"/>
  <c r="K270" i="89"/>
  <c r="L270" i="89"/>
  <c r="M270" i="89"/>
  <c r="O270" i="89"/>
  <c r="V270" i="89"/>
  <c r="AD270" i="89"/>
  <c r="AF270" i="89"/>
  <c r="AG270" i="89"/>
  <c r="AH270" i="89"/>
  <c r="AI270" i="89"/>
  <c r="AJ270" i="89"/>
  <c r="J271" i="89"/>
  <c r="K271" i="89"/>
  <c r="L271" i="89"/>
  <c r="M271" i="89"/>
  <c r="O271" i="89"/>
  <c r="V271" i="89"/>
  <c r="AD271" i="89"/>
  <c r="AF271" i="89"/>
  <c r="AG271" i="89"/>
  <c r="AH271" i="89"/>
  <c r="AI271" i="89"/>
  <c r="AJ271" i="89"/>
  <c r="J272" i="89"/>
  <c r="K272" i="89"/>
  <c r="L272" i="89"/>
  <c r="M272" i="89"/>
  <c r="O272" i="89"/>
  <c r="V272" i="89"/>
  <c r="AD272" i="89"/>
  <c r="AF272" i="89"/>
  <c r="AG272" i="89"/>
  <c r="AH272" i="89"/>
  <c r="AI272" i="89"/>
  <c r="AJ272" i="89"/>
  <c r="J273" i="89"/>
  <c r="K273" i="89"/>
  <c r="L273" i="89"/>
  <c r="M273" i="89"/>
  <c r="O273" i="89"/>
  <c r="V273" i="89"/>
  <c r="AD273" i="89"/>
  <c r="AF273" i="89"/>
  <c r="AG273" i="89"/>
  <c r="AH273" i="89"/>
  <c r="AI273" i="89"/>
  <c r="AJ273" i="89"/>
  <c r="J274" i="89"/>
  <c r="K274" i="89"/>
  <c r="L274" i="89"/>
  <c r="M274" i="89"/>
  <c r="O274" i="89"/>
  <c r="V274" i="89"/>
  <c r="AD274" i="89"/>
  <c r="AF274" i="89"/>
  <c r="AG274" i="89"/>
  <c r="AH274" i="89"/>
  <c r="AI274" i="89"/>
  <c r="AJ274" i="89"/>
  <c r="J275" i="89"/>
  <c r="K275" i="89"/>
  <c r="L275" i="89"/>
  <c r="M275" i="89"/>
  <c r="O275" i="89"/>
  <c r="V275" i="89"/>
  <c r="AD275" i="89"/>
  <c r="AF275" i="89"/>
  <c r="AG275" i="89"/>
  <c r="AH275" i="89"/>
  <c r="AI275" i="89"/>
  <c r="AJ275" i="89"/>
  <c r="J276" i="89"/>
  <c r="K276" i="89"/>
  <c r="L276" i="89"/>
  <c r="M276" i="89"/>
  <c r="O276" i="89"/>
  <c r="V276" i="89"/>
  <c r="AD276" i="89"/>
  <c r="AF276" i="89"/>
  <c r="AG276" i="89"/>
  <c r="AH276" i="89"/>
  <c r="AI276" i="89"/>
  <c r="AJ276" i="89"/>
  <c r="J277" i="89"/>
  <c r="K277" i="89"/>
  <c r="L277" i="89"/>
  <c r="M277" i="89"/>
  <c r="O277" i="89"/>
  <c r="V277" i="89"/>
  <c r="AD277" i="89"/>
  <c r="AF277" i="89"/>
  <c r="AG277" i="89"/>
  <c r="AH277" i="89"/>
  <c r="AI277" i="89"/>
  <c r="AJ277" i="89"/>
  <c r="J278" i="89"/>
  <c r="K278" i="89"/>
  <c r="L278" i="89"/>
  <c r="M278" i="89"/>
  <c r="O278" i="89"/>
  <c r="V278" i="89"/>
  <c r="AD278" i="89"/>
  <c r="AF278" i="89"/>
  <c r="AG278" i="89"/>
  <c r="AH278" i="89"/>
  <c r="AI278" i="89"/>
  <c r="AJ278" i="89"/>
  <c r="J279" i="89"/>
  <c r="K279" i="89"/>
  <c r="L279" i="89"/>
  <c r="M279" i="89"/>
  <c r="O279" i="89"/>
  <c r="V279" i="89"/>
  <c r="AD279" i="89"/>
  <c r="AF279" i="89"/>
  <c r="AG279" i="89"/>
  <c r="AH279" i="89"/>
  <c r="AI279" i="89"/>
  <c r="AJ279" i="89"/>
  <c r="J280" i="89"/>
  <c r="K280" i="89"/>
  <c r="L280" i="89"/>
  <c r="M280" i="89"/>
  <c r="O280" i="89"/>
  <c r="V280" i="89"/>
  <c r="AD280" i="89"/>
  <c r="AF280" i="89"/>
  <c r="AG280" i="89"/>
  <c r="AH280" i="89"/>
  <c r="AI280" i="89"/>
  <c r="AJ280" i="89"/>
  <c r="J281" i="89"/>
  <c r="K281" i="89"/>
  <c r="L281" i="89"/>
  <c r="M281" i="89"/>
  <c r="O281" i="89"/>
  <c r="V281" i="89"/>
  <c r="AD281" i="89"/>
  <c r="AF281" i="89"/>
  <c r="AG281" i="89"/>
  <c r="AH281" i="89"/>
  <c r="AI281" i="89"/>
  <c r="AJ281" i="89"/>
  <c r="J282" i="89"/>
  <c r="K282" i="89"/>
  <c r="L282" i="89"/>
  <c r="M282" i="89"/>
  <c r="O282" i="89"/>
  <c r="V282" i="89"/>
  <c r="AD282" i="89"/>
  <c r="AF282" i="89"/>
  <c r="AG282" i="89"/>
  <c r="AH282" i="89"/>
  <c r="AI282" i="89"/>
  <c r="AJ282" i="89"/>
  <c r="J283" i="89"/>
  <c r="K283" i="89"/>
  <c r="L283" i="89"/>
  <c r="M283" i="89"/>
  <c r="O283" i="89"/>
  <c r="V283" i="89"/>
  <c r="AD283" i="89"/>
  <c r="AF283" i="89"/>
  <c r="AG283" i="89"/>
  <c r="AH283" i="89"/>
  <c r="AI283" i="89"/>
  <c r="AJ283" i="89"/>
  <c r="J284" i="89"/>
  <c r="K284" i="89"/>
  <c r="L284" i="89"/>
  <c r="M284" i="89"/>
  <c r="O284" i="89"/>
  <c r="V284" i="89"/>
  <c r="AD284" i="89"/>
  <c r="AF284" i="89"/>
  <c r="AG284" i="89"/>
  <c r="AH284" i="89"/>
  <c r="AI284" i="89"/>
  <c r="AJ284" i="89"/>
  <c r="J285" i="89"/>
  <c r="K285" i="89"/>
  <c r="L285" i="89"/>
  <c r="M285" i="89"/>
  <c r="O285" i="89"/>
  <c r="V285" i="89"/>
  <c r="AD285" i="89"/>
  <c r="AF285" i="89"/>
  <c r="AG285" i="89"/>
  <c r="AH285" i="89"/>
  <c r="AI285" i="89"/>
  <c r="AJ285" i="89"/>
  <c r="J286" i="89"/>
  <c r="K286" i="89"/>
  <c r="L286" i="89"/>
  <c r="M286" i="89"/>
  <c r="O286" i="89"/>
  <c r="V286" i="89"/>
  <c r="AD286" i="89"/>
  <c r="AF286" i="89"/>
  <c r="AG286" i="89"/>
  <c r="AH286" i="89"/>
  <c r="AI286" i="89"/>
  <c r="AJ286" i="89"/>
  <c r="J287" i="89"/>
  <c r="K287" i="89"/>
  <c r="L287" i="89"/>
  <c r="M287" i="89"/>
  <c r="O287" i="89"/>
  <c r="V287" i="89"/>
  <c r="AD287" i="89"/>
  <c r="AF287" i="89"/>
  <c r="AG287" i="89"/>
  <c r="AH287" i="89"/>
  <c r="AI287" i="89"/>
  <c r="AJ287" i="89"/>
  <c r="J288" i="89"/>
  <c r="K288" i="89"/>
  <c r="L288" i="89"/>
  <c r="M288" i="89"/>
  <c r="O288" i="89"/>
  <c r="V288" i="89"/>
  <c r="AD288" i="89"/>
  <c r="AF288" i="89"/>
  <c r="AG288" i="89"/>
  <c r="AH288" i="89"/>
  <c r="AI288" i="89"/>
  <c r="AJ288" i="89"/>
  <c r="J289" i="89"/>
  <c r="K289" i="89"/>
  <c r="L289" i="89"/>
  <c r="M289" i="89"/>
  <c r="O289" i="89"/>
  <c r="V289" i="89"/>
  <c r="AD289" i="89"/>
  <c r="AF289" i="89"/>
  <c r="AG289" i="89"/>
  <c r="AH289" i="89"/>
  <c r="AI289" i="89"/>
  <c r="AJ289" i="89"/>
  <c r="J290" i="89"/>
  <c r="K290" i="89"/>
  <c r="L290" i="89"/>
  <c r="M290" i="89"/>
  <c r="O290" i="89"/>
  <c r="V290" i="89"/>
  <c r="AD290" i="89"/>
  <c r="AF290" i="89"/>
  <c r="AG290" i="89"/>
  <c r="AH290" i="89"/>
  <c r="AI290" i="89"/>
  <c r="AJ290" i="89"/>
  <c r="J291" i="89"/>
  <c r="K291" i="89"/>
  <c r="L291" i="89"/>
  <c r="M291" i="89"/>
  <c r="O291" i="89"/>
  <c r="V291" i="89"/>
  <c r="AD291" i="89"/>
  <c r="AF291" i="89"/>
  <c r="AG291" i="89"/>
  <c r="AH291" i="89"/>
  <c r="AI291" i="89"/>
  <c r="AJ291" i="89"/>
  <c r="J292" i="89"/>
  <c r="K292" i="89"/>
  <c r="L292" i="89"/>
  <c r="M292" i="89"/>
  <c r="O292" i="89"/>
  <c r="V292" i="89"/>
  <c r="AD292" i="89"/>
  <c r="AF292" i="89"/>
  <c r="AG292" i="89"/>
  <c r="AH292" i="89"/>
  <c r="AI292" i="89"/>
  <c r="AJ292" i="89"/>
  <c r="J293" i="89"/>
  <c r="K293" i="89"/>
  <c r="L293" i="89"/>
  <c r="M293" i="89"/>
  <c r="O293" i="89"/>
  <c r="V293" i="89"/>
  <c r="AD293" i="89"/>
  <c r="AF293" i="89"/>
  <c r="AG293" i="89"/>
  <c r="AH293" i="89"/>
  <c r="AI293" i="89"/>
  <c r="AJ293" i="89"/>
  <c r="J294" i="89"/>
  <c r="K294" i="89"/>
  <c r="L294" i="89"/>
  <c r="M294" i="89"/>
  <c r="O294" i="89"/>
  <c r="V294" i="89"/>
  <c r="AD294" i="89"/>
  <c r="AF294" i="89"/>
  <c r="AG294" i="89"/>
  <c r="AH294" i="89"/>
  <c r="AI294" i="89"/>
  <c r="AJ294" i="89"/>
  <c r="J295" i="89"/>
  <c r="K295" i="89"/>
  <c r="L295" i="89"/>
  <c r="M295" i="89"/>
  <c r="O295" i="89"/>
  <c r="V295" i="89"/>
  <c r="AD295" i="89"/>
  <c r="AF295" i="89"/>
  <c r="AG295" i="89"/>
  <c r="AH295" i="89"/>
  <c r="AI295" i="89"/>
  <c r="AJ295" i="89"/>
  <c r="J296" i="89"/>
  <c r="K296" i="89"/>
  <c r="L296" i="89"/>
  <c r="M296" i="89"/>
  <c r="O296" i="89"/>
  <c r="V296" i="89"/>
  <c r="AD296" i="89"/>
  <c r="AF296" i="89"/>
  <c r="AG296" i="89"/>
  <c r="AH296" i="89"/>
  <c r="AI296" i="89"/>
  <c r="AJ296" i="89"/>
  <c r="J297" i="89"/>
  <c r="K297" i="89"/>
  <c r="L297" i="89"/>
  <c r="M297" i="89"/>
  <c r="O297" i="89"/>
  <c r="V297" i="89"/>
  <c r="AD297" i="89"/>
  <c r="AF297" i="89"/>
  <c r="AG297" i="89"/>
  <c r="AH297" i="89"/>
  <c r="AI297" i="89"/>
  <c r="AJ297" i="89"/>
  <c r="J298" i="89"/>
  <c r="K298" i="89"/>
  <c r="L298" i="89"/>
  <c r="M298" i="89"/>
  <c r="O298" i="89"/>
  <c r="V298" i="89"/>
  <c r="AD298" i="89"/>
  <c r="AF298" i="89"/>
  <c r="AG298" i="89"/>
  <c r="AH298" i="89"/>
  <c r="AI298" i="89"/>
  <c r="AJ298" i="89"/>
  <c r="J299" i="89"/>
  <c r="K299" i="89"/>
  <c r="L299" i="89"/>
  <c r="M299" i="89"/>
  <c r="O299" i="89"/>
  <c r="V299" i="89"/>
  <c r="AD299" i="89"/>
  <c r="AF299" i="89"/>
  <c r="AG299" i="89"/>
  <c r="AH299" i="89"/>
  <c r="AI299" i="89"/>
  <c r="AJ299" i="89"/>
  <c r="J300" i="89"/>
  <c r="K300" i="89"/>
  <c r="L300" i="89"/>
  <c r="M300" i="89"/>
  <c r="O300" i="89"/>
  <c r="V300" i="89"/>
  <c r="AD300" i="89"/>
  <c r="AF300" i="89"/>
  <c r="AG300" i="89"/>
  <c r="AH300" i="89"/>
  <c r="AI300" i="89"/>
  <c r="AJ300" i="89"/>
  <c r="J301" i="89"/>
  <c r="K301" i="89"/>
  <c r="L301" i="89"/>
  <c r="M301" i="89"/>
  <c r="O301" i="89"/>
  <c r="V301" i="89"/>
  <c r="AD301" i="89"/>
  <c r="AF301" i="89"/>
  <c r="AG301" i="89"/>
  <c r="AH301" i="89"/>
  <c r="AI301" i="89"/>
  <c r="AJ301" i="89"/>
  <c r="J302" i="89"/>
  <c r="K302" i="89"/>
  <c r="L302" i="89"/>
  <c r="M302" i="89"/>
  <c r="O302" i="89"/>
  <c r="V302" i="89"/>
  <c r="AD302" i="89"/>
  <c r="AF302" i="89"/>
  <c r="AG302" i="89"/>
  <c r="AH302" i="89"/>
  <c r="AI302" i="89"/>
  <c r="AJ302" i="89"/>
  <c r="J303" i="89"/>
  <c r="K303" i="89"/>
  <c r="L303" i="89"/>
  <c r="M303" i="89"/>
  <c r="O303" i="89"/>
  <c r="V303" i="89"/>
  <c r="AD303" i="89"/>
  <c r="AF303" i="89"/>
  <c r="AG303" i="89"/>
  <c r="AH303" i="89"/>
  <c r="AI303" i="89"/>
  <c r="AJ303" i="89"/>
  <c r="J304" i="89"/>
  <c r="K304" i="89"/>
  <c r="L304" i="89"/>
  <c r="M304" i="89"/>
  <c r="O304" i="89"/>
  <c r="V304" i="89"/>
  <c r="AD304" i="89"/>
  <c r="AF304" i="89"/>
  <c r="AG304" i="89"/>
  <c r="AH304" i="89"/>
  <c r="AI304" i="89"/>
  <c r="AJ304" i="89"/>
  <c r="J305" i="89"/>
  <c r="K305" i="89"/>
  <c r="L305" i="89"/>
  <c r="M305" i="89"/>
  <c r="O305" i="89"/>
  <c r="V305" i="89"/>
  <c r="AD305" i="89"/>
  <c r="AF305" i="89"/>
  <c r="AG305" i="89"/>
  <c r="AH305" i="89"/>
  <c r="AI305" i="89"/>
  <c r="AJ305" i="89"/>
  <c r="J306" i="89"/>
  <c r="K306" i="89"/>
  <c r="L306" i="89"/>
  <c r="M306" i="89"/>
  <c r="O306" i="89"/>
  <c r="V306" i="89"/>
  <c r="AD306" i="89"/>
  <c r="AF306" i="89"/>
  <c r="AG306" i="89"/>
  <c r="AH306" i="89"/>
  <c r="AI306" i="89"/>
  <c r="AJ306" i="89"/>
  <c r="J307" i="89"/>
  <c r="K307" i="89"/>
  <c r="L307" i="89"/>
  <c r="M307" i="89"/>
  <c r="O307" i="89"/>
  <c r="V307" i="89"/>
  <c r="AD307" i="89"/>
  <c r="AF307" i="89"/>
  <c r="AG307" i="89"/>
  <c r="AH307" i="89"/>
  <c r="AI307" i="89"/>
  <c r="AJ307" i="89"/>
  <c r="J308" i="89"/>
  <c r="K308" i="89"/>
  <c r="L308" i="89"/>
  <c r="M308" i="89"/>
  <c r="O308" i="89"/>
  <c r="V308" i="89"/>
  <c r="AD308" i="89"/>
  <c r="AF308" i="89"/>
  <c r="AG308" i="89"/>
  <c r="AH308" i="89"/>
  <c r="AI308" i="89"/>
  <c r="AJ308" i="89"/>
  <c r="J309" i="89"/>
  <c r="K309" i="89"/>
  <c r="L309" i="89"/>
  <c r="M309" i="89"/>
  <c r="O309" i="89"/>
  <c r="V309" i="89"/>
  <c r="AD309" i="89"/>
  <c r="AF309" i="89"/>
  <c r="AG309" i="89"/>
  <c r="AH309" i="89"/>
  <c r="AI309" i="89"/>
  <c r="AJ309" i="89"/>
  <c r="J310" i="89"/>
  <c r="K310" i="89"/>
  <c r="L310" i="89"/>
  <c r="M310" i="89"/>
  <c r="O310" i="89"/>
  <c r="V310" i="89"/>
  <c r="AD310" i="89"/>
  <c r="AF310" i="89"/>
  <c r="AG310" i="89"/>
  <c r="AH310" i="89"/>
  <c r="AI310" i="89"/>
  <c r="AJ310" i="89"/>
  <c r="J311" i="89"/>
  <c r="K311" i="89"/>
  <c r="L311" i="89"/>
  <c r="M311" i="89"/>
  <c r="O311" i="89"/>
  <c r="V311" i="89"/>
  <c r="AD311" i="89"/>
  <c r="AF311" i="89"/>
  <c r="AG311" i="89"/>
  <c r="AH311" i="89"/>
  <c r="AI311" i="89"/>
  <c r="AJ311" i="89"/>
  <c r="J312" i="89"/>
  <c r="K312" i="89"/>
  <c r="L312" i="89"/>
  <c r="M312" i="89"/>
  <c r="O312" i="89"/>
  <c r="V312" i="89"/>
  <c r="AD312" i="89"/>
  <c r="AF312" i="89"/>
  <c r="AG312" i="89"/>
  <c r="AH312" i="89"/>
  <c r="AI312" i="89"/>
  <c r="AJ312" i="89"/>
  <c r="J313" i="89"/>
  <c r="K313" i="89"/>
  <c r="L313" i="89"/>
  <c r="M313" i="89"/>
  <c r="O313" i="89"/>
  <c r="V313" i="89"/>
  <c r="AD313" i="89"/>
  <c r="AF313" i="89"/>
  <c r="AG313" i="89"/>
  <c r="AH313" i="89"/>
  <c r="AI313" i="89"/>
  <c r="AJ313" i="89"/>
  <c r="J314" i="89"/>
  <c r="K314" i="89"/>
  <c r="L314" i="89"/>
  <c r="M314" i="89"/>
  <c r="O314" i="89"/>
  <c r="V314" i="89"/>
  <c r="AD314" i="89"/>
  <c r="AF314" i="89"/>
  <c r="AG314" i="89"/>
  <c r="AH314" i="89"/>
  <c r="AI314" i="89"/>
  <c r="AJ314" i="89"/>
  <c r="J315" i="89"/>
  <c r="K315" i="89"/>
  <c r="L315" i="89"/>
  <c r="M315" i="89"/>
  <c r="O315" i="89"/>
  <c r="V315" i="89"/>
  <c r="AD315" i="89"/>
  <c r="AF315" i="89"/>
  <c r="AG315" i="89"/>
  <c r="AH315" i="89"/>
  <c r="AI315" i="89"/>
  <c r="AJ315" i="89"/>
  <c r="J316" i="89"/>
  <c r="K316" i="89"/>
  <c r="L316" i="89"/>
  <c r="M316" i="89"/>
  <c r="O316" i="89"/>
  <c r="V316" i="89"/>
  <c r="AD316" i="89"/>
  <c r="AF316" i="89"/>
  <c r="AG316" i="89"/>
  <c r="AH316" i="89"/>
  <c r="AI316" i="89"/>
  <c r="AJ316" i="89"/>
  <c r="J317" i="89"/>
  <c r="K317" i="89"/>
  <c r="L317" i="89"/>
  <c r="M317" i="89"/>
  <c r="O317" i="89"/>
  <c r="V317" i="89"/>
  <c r="AD317" i="89"/>
  <c r="AF317" i="89"/>
  <c r="AG317" i="89"/>
  <c r="AH317" i="89"/>
  <c r="AI317" i="89"/>
  <c r="AJ317" i="89"/>
  <c r="J318" i="89"/>
  <c r="K318" i="89"/>
  <c r="L318" i="89"/>
  <c r="M318" i="89"/>
  <c r="O318" i="89"/>
  <c r="V318" i="89"/>
  <c r="AD318" i="89"/>
  <c r="AF318" i="89"/>
  <c r="AG318" i="89"/>
  <c r="AH318" i="89"/>
  <c r="AI318" i="89"/>
  <c r="AJ318" i="89"/>
  <c r="J319" i="89"/>
  <c r="K319" i="89"/>
  <c r="L319" i="89"/>
  <c r="M319" i="89"/>
  <c r="O319" i="89"/>
  <c r="V319" i="89"/>
  <c r="AD319" i="89"/>
  <c r="AF319" i="89"/>
  <c r="AG319" i="89"/>
  <c r="AH319" i="89"/>
  <c r="AI319" i="89"/>
  <c r="AJ319" i="89"/>
  <c r="J320" i="89"/>
  <c r="K320" i="89"/>
  <c r="L320" i="89"/>
  <c r="M320" i="89"/>
  <c r="O320" i="89"/>
  <c r="V320" i="89"/>
  <c r="AD320" i="89"/>
  <c r="AF320" i="89"/>
  <c r="AG320" i="89"/>
  <c r="AH320" i="89"/>
  <c r="AI320" i="89"/>
  <c r="AJ320" i="89"/>
  <c r="J321" i="89"/>
  <c r="K321" i="89"/>
  <c r="L321" i="89"/>
  <c r="M321" i="89"/>
  <c r="O321" i="89"/>
  <c r="V321" i="89"/>
  <c r="AD321" i="89"/>
  <c r="AF321" i="89"/>
  <c r="AG321" i="89"/>
  <c r="AH321" i="89"/>
  <c r="AI321" i="89"/>
  <c r="AJ321" i="89"/>
  <c r="J322" i="89"/>
  <c r="K322" i="89"/>
  <c r="L322" i="89"/>
  <c r="M322" i="89"/>
  <c r="O322" i="89"/>
  <c r="V322" i="89"/>
  <c r="AD322" i="89"/>
  <c r="AF322" i="89"/>
  <c r="AG322" i="89"/>
  <c r="AH322" i="89"/>
  <c r="AI322" i="89"/>
  <c r="AJ322" i="89"/>
  <c r="J323" i="89"/>
  <c r="K323" i="89"/>
  <c r="L323" i="89"/>
  <c r="M323" i="89"/>
  <c r="O323" i="89"/>
  <c r="V323" i="89"/>
  <c r="AD323" i="89"/>
  <c r="AF323" i="89"/>
  <c r="AG323" i="89"/>
  <c r="AH323" i="89"/>
  <c r="AI323" i="89"/>
  <c r="AJ323" i="89"/>
  <c r="J324" i="89"/>
  <c r="K324" i="89"/>
  <c r="L324" i="89"/>
  <c r="M324" i="89"/>
  <c r="O324" i="89"/>
  <c r="V324" i="89"/>
  <c r="AD324" i="89"/>
  <c r="AF324" i="89"/>
  <c r="AG324" i="89"/>
  <c r="AH324" i="89"/>
  <c r="AI324" i="89"/>
  <c r="AJ324" i="89"/>
  <c r="J325" i="89"/>
  <c r="K325" i="89"/>
  <c r="L325" i="89"/>
  <c r="M325" i="89"/>
  <c r="O325" i="89"/>
  <c r="V325" i="89"/>
  <c r="AD325" i="89"/>
  <c r="AF325" i="89"/>
  <c r="AG325" i="89"/>
  <c r="AH325" i="89"/>
  <c r="AI325" i="89"/>
  <c r="AJ325" i="89"/>
  <c r="J326" i="89"/>
  <c r="K326" i="89"/>
  <c r="L326" i="89"/>
  <c r="M326" i="89"/>
  <c r="O326" i="89"/>
  <c r="V326" i="89"/>
  <c r="AD326" i="89"/>
  <c r="AF326" i="89"/>
  <c r="AG326" i="89"/>
  <c r="AH326" i="89"/>
  <c r="AI326" i="89"/>
  <c r="AJ326" i="89"/>
  <c r="J327" i="89"/>
  <c r="K327" i="89"/>
  <c r="L327" i="89"/>
  <c r="M327" i="89"/>
  <c r="O327" i="89"/>
  <c r="V327" i="89"/>
  <c r="AD327" i="89"/>
  <c r="AF327" i="89"/>
  <c r="AG327" i="89"/>
  <c r="AH327" i="89"/>
  <c r="AI327" i="89"/>
  <c r="AJ327" i="89"/>
  <c r="J328" i="89"/>
  <c r="K328" i="89"/>
  <c r="L328" i="89"/>
  <c r="M328" i="89"/>
  <c r="O328" i="89"/>
  <c r="V328" i="89"/>
  <c r="AD328" i="89"/>
  <c r="AF328" i="89"/>
  <c r="AG328" i="89"/>
  <c r="AH328" i="89"/>
  <c r="AI328" i="89"/>
  <c r="AJ328" i="89"/>
  <c r="J329" i="89"/>
  <c r="K329" i="89"/>
  <c r="L329" i="89"/>
  <c r="M329" i="89"/>
  <c r="O329" i="89"/>
  <c r="V329" i="89"/>
  <c r="AD329" i="89"/>
  <c r="AF329" i="89"/>
  <c r="AG329" i="89"/>
  <c r="AH329" i="89"/>
  <c r="AI329" i="89"/>
  <c r="AJ329" i="89"/>
  <c r="J330" i="89"/>
  <c r="K330" i="89"/>
  <c r="L330" i="89"/>
  <c r="M330" i="89"/>
  <c r="O330" i="89"/>
  <c r="V330" i="89"/>
  <c r="AD330" i="89"/>
  <c r="AF330" i="89"/>
  <c r="AG330" i="89"/>
  <c r="AH330" i="89"/>
  <c r="AI330" i="89"/>
  <c r="AJ330" i="89"/>
  <c r="J331" i="89"/>
  <c r="K331" i="89"/>
  <c r="L331" i="89"/>
  <c r="M331" i="89"/>
  <c r="O331" i="89"/>
  <c r="V331" i="89"/>
  <c r="AD331" i="89"/>
  <c r="AF331" i="89"/>
  <c r="AG331" i="89"/>
  <c r="AH331" i="89"/>
  <c r="AI331" i="89"/>
  <c r="AJ331" i="89"/>
  <c r="J332" i="89"/>
  <c r="K332" i="89"/>
  <c r="L332" i="89"/>
  <c r="M332" i="89"/>
  <c r="O332" i="89"/>
  <c r="V332" i="89"/>
  <c r="AD332" i="89"/>
  <c r="AF332" i="89"/>
  <c r="AG332" i="89"/>
  <c r="AH332" i="89"/>
  <c r="AI332" i="89"/>
  <c r="AJ332" i="89"/>
  <c r="J333" i="89"/>
  <c r="K333" i="89"/>
  <c r="L333" i="89"/>
  <c r="M333" i="89"/>
  <c r="O333" i="89"/>
  <c r="V333" i="89"/>
  <c r="AD333" i="89"/>
  <c r="AF333" i="89"/>
  <c r="AG333" i="89"/>
  <c r="AH333" i="89"/>
  <c r="AI333" i="89"/>
  <c r="AJ333" i="89"/>
  <c r="J334" i="89"/>
  <c r="K334" i="89"/>
  <c r="L334" i="89"/>
  <c r="M334" i="89"/>
  <c r="O334" i="89"/>
  <c r="V334" i="89"/>
  <c r="AD334" i="89"/>
  <c r="AF334" i="89"/>
  <c r="AG334" i="89"/>
  <c r="AH334" i="89"/>
  <c r="AI334" i="89"/>
  <c r="AJ334" i="89"/>
  <c r="J335" i="89"/>
  <c r="K335" i="89"/>
  <c r="L335" i="89"/>
  <c r="M335" i="89"/>
  <c r="O335" i="89"/>
  <c r="V335" i="89"/>
  <c r="AD335" i="89"/>
  <c r="AF335" i="89"/>
  <c r="AG335" i="89"/>
  <c r="AH335" i="89"/>
  <c r="AI335" i="89"/>
  <c r="AJ335" i="89"/>
  <c r="J336" i="89"/>
  <c r="K336" i="89"/>
  <c r="L336" i="89"/>
  <c r="M336" i="89"/>
  <c r="O336" i="89"/>
  <c r="V336" i="89"/>
  <c r="AD336" i="89"/>
  <c r="AF336" i="89"/>
  <c r="AG336" i="89"/>
  <c r="AH336" i="89"/>
  <c r="AI336" i="89"/>
  <c r="AJ336" i="89"/>
  <c r="J337" i="89"/>
  <c r="K337" i="89"/>
  <c r="L337" i="89"/>
  <c r="M337" i="89"/>
  <c r="O337" i="89"/>
  <c r="V337" i="89"/>
  <c r="AD337" i="89"/>
  <c r="AF337" i="89"/>
  <c r="AG337" i="89"/>
  <c r="AH337" i="89"/>
  <c r="AI337" i="89"/>
  <c r="AJ337" i="89"/>
  <c r="J338" i="89"/>
  <c r="K338" i="89"/>
  <c r="L338" i="89"/>
  <c r="M338" i="89"/>
  <c r="O338" i="89"/>
  <c r="V338" i="89"/>
  <c r="AD338" i="89"/>
  <c r="AF338" i="89"/>
  <c r="AG338" i="89"/>
  <c r="AH338" i="89"/>
  <c r="AI338" i="89"/>
  <c r="AJ338" i="89"/>
  <c r="J339" i="89"/>
  <c r="K339" i="89"/>
  <c r="L339" i="89"/>
  <c r="M339" i="89"/>
  <c r="O339" i="89"/>
  <c r="V339" i="89"/>
  <c r="AD339" i="89"/>
  <c r="AF339" i="89"/>
  <c r="AG339" i="89"/>
  <c r="AH339" i="89"/>
  <c r="AI339" i="89"/>
  <c r="AJ339" i="89"/>
  <c r="J340" i="89"/>
  <c r="K340" i="89"/>
  <c r="L340" i="89"/>
  <c r="M340" i="89"/>
  <c r="O340" i="89"/>
  <c r="V340" i="89"/>
  <c r="AD340" i="89"/>
  <c r="AF340" i="89"/>
  <c r="AG340" i="89"/>
  <c r="AH340" i="89"/>
  <c r="AI340" i="89"/>
  <c r="AJ340" i="89"/>
  <c r="J341" i="89"/>
  <c r="K341" i="89"/>
  <c r="L341" i="89"/>
  <c r="M341" i="89"/>
  <c r="O341" i="89"/>
  <c r="V341" i="89"/>
  <c r="AD341" i="89"/>
  <c r="AF341" i="89"/>
  <c r="AG341" i="89"/>
  <c r="AH341" i="89"/>
  <c r="AI341" i="89"/>
  <c r="AJ341" i="89"/>
  <c r="J342" i="89"/>
  <c r="K342" i="89"/>
  <c r="L342" i="89"/>
  <c r="M342" i="89"/>
  <c r="O342" i="89"/>
  <c r="V342" i="89"/>
  <c r="AD342" i="89"/>
  <c r="AF342" i="89"/>
  <c r="AG342" i="89"/>
  <c r="AH342" i="89"/>
  <c r="AI342" i="89"/>
  <c r="AJ342" i="89"/>
  <c r="J343" i="89"/>
  <c r="K343" i="89"/>
  <c r="L343" i="89"/>
  <c r="M343" i="89"/>
  <c r="O343" i="89"/>
  <c r="V343" i="89"/>
  <c r="AD343" i="89"/>
  <c r="AF343" i="89"/>
  <c r="AG343" i="89"/>
  <c r="AH343" i="89"/>
  <c r="AI343" i="89"/>
  <c r="AJ343" i="89"/>
  <c r="J344" i="89"/>
  <c r="K344" i="89"/>
  <c r="L344" i="89"/>
  <c r="M344" i="89"/>
  <c r="O344" i="89"/>
  <c r="V344" i="89"/>
  <c r="AD344" i="89"/>
  <c r="AF344" i="89"/>
  <c r="AG344" i="89"/>
  <c r="AH344" i="89"/>
  <c r="AI344" i="89"/>
  <c r="AJ344" i="89"/>
  <c r="J345" i="89"/>
  <c r="K345" i="89"/>
  <c r="L345" i="89"/>
  <c r="M345" i="89"/>
  <c r="O345" i="89"/>
  <c r="V345" i="89"/>
  <c r="AD345" i="89"/>
  <c r="AF345" i="89"/>
  <c r="AG345" i="89"/>
  <c r="AH345" i="89"/>
  <c r="AI345" i="89"/>
  <c r="AJ345" i="89"/>
  <c r="J346" i="89"/>
  <c r="K346" i="89"/>
  <c r="L346" i="89"/>
  <c r="M346" i="89"/>
  <c r="O346" i="89"/>
  <c r="V346" i="89"/>
  <c r="AD346" i="89"/>
  <c r="AF346" i="89"/>
  <c r="AG346" i="89"/>
  <c r="AH346" i="89"/>
  <c r="AI346" i="89"/>
  <c r="AJ346" i="89"/>
  <c r="J347" i="89"/>
  <c r="K347" i="89"/>
  <c r="L347" i="89"/>
  <c r="M347" i="89"/>
  <c r="O347" i="89"/>
  <c r="V347" i="89"/>
  <c r="AD347" i="89"/>
  <c r="AF347" i="89"/>
  <c r="AG347" i="89"/>
  <c r="AH347" i="89"/>
  <c r="AI347" i="89"/>
  <c r="AJ347" i="89"/>
  <c r="J348" i="89"/>
  <c r="K348" i="89"/>
  <c r="L348" i="89"/>
  <c r="M348" i="89"/>
  <c r="O348" i="89"/>
  <c r="V348" i="89"/>
  <c r="AD348" i="89"/>
  <c r="AF348" i="89"/>
  <c r="AG348" i="89"/>
  <c r="AH348" i="89"/>
  <c r="AI348" i="89"/>
  <c r="AJ348" i="89"/>
  <c r="J349" i="89"/>
  <c r="K349" i="89"/>
  <c r="L349" i="89"/>
  <c r="M349" i="89"/>
  <c r="O349" i="89"/>
  <c r="V349" i="89"/>
  <c r="AD349" i="89"/>
  <c r="AF349" i="89"/>
  <c r="AG349" i="89"/>
  <c r="AH349" i="89"/>
  <c r="AI349" i="89"/>
  <c r="AJ349" i="89"/>
  <c r="J350" i="89"/>
  <c r="K350" i="89"/>
  <c r="L350" i="89"/>
  <c r="M350" i="89"/>
  <c r="O350" i="89"/>
  <c r="V350" i="89"/>
  <c r="AD350" i="89"/>
  <c r="AF350" i="89"/>
  <c r="AG350" i="89"/>
  <c r="AH350" i="89"/>
  <c r="AI350" i="89"/>
  <c r="AJ350" i="89"/>
  <c r="J351" i="89"/>
  <c r="K351" i="89"/>
  <c r="L351" i="89"/>
  <c r="M351" i="89"/>
  <c r="O351" i="89"/>
  <c r="V351" i="89"/>
  <c r="AD351" i="89"/>
  <c r="AF351" i="89"/>
  <c r="AG351" i="89"/>
  <c r="AH351" i="89"/>
  <c r="AI351" i="89"/>
  <c r="AJ351" i="89"/>
  <c r="J352" i="89"/>
  <c r="K352" i="89"/>
  <c r="L352" i="89"/>
  <c r="M352" i="89"/>
  <c r="O352" i="89"/>
  <c r="V352" i="89"/>
  <c r="AD352" i="89"/>
  <c r="AF352" i="89"/>
  <c r="AG352" i="89"/>
  <c r="AH352" i="89"/>
  <c r="AI352" i="89"/>
  <c r="AJ352" i="89"/>
  <c r="J353" i="89"/>
  <c r="K353" i="89"/>
  <c r="L353" i="89"/>
  <c r="M353" i="89"/>
  <c r="O353" i="89"/>
  <c r="V353" i="89"/>
  <c r="AD353" i="89"/>
  <c r="AF353" i="89"/>
  <c r="AG353" i="89"/>
  <c r="AH353" i="89"/>
  <c r="AI353" i="89"/>
  <c r="AJ353" i="89"/>
  <c r="J354" i="89"/>
  <c r="K354" i="89"/>
  <c r="L354" i="89"/>
  <c r="M354" i="89"/>
  <c r="O354" i="89"/>
  <c r="V354" i="89"/>
  <c r="AD354" i="89"/>
  <c r="AF354" i="89"/>
  <c r="AG354" i="89"/>
  <c r="AH354" i="89"/>
  <c r="AI354" i="89"/>
  <c r="AJ354" i="89"/>
  <c r="J355" i="89"/>
  <c r="K355" i="89"/>
  <c r="L355" i="89"/>
  <c r="M355" i="89"/>
  <c r="O355" i="89"/>
  <c r="V355" i="89"/>
  <c r="AD355" i="89"/>
  <c r="AF355" i="89"/>
  <c r="AG355" i="89"/>
  <c r="AH355" i="89"/>
  <c r="AI355" i="89"/>
  <c r="AJ355" i="89"/>
  <c r="J356" i="89"/>
  <c r="K356" i="89"/>
  <c r="L356" i="89"/>
  <c r="M356" i="89"/>
  <c r="O356" i="89"/>
  <c r="V356" i="89"/>
  <c r="AD356" i="89"/>
  <c r="AF356" i="89"/>
  <c r="AG356" i="89"/>
  <c r="AH356" i="89"/>
  <c r="AI356" i="89"/>
  <c r="AJ356" i="89"/>
  <c r="J357" i="89"/>
  <c r="K357" i="89"/>
  <c r="L357" i="89"/>
  <c r="M357" i="89"/>
  <c r="O357" i="89"/>
  <c r="V357" i="89"/>
  <c r="AD357" i="89"/>
  <c r="AF357" i="89"/>
  <c r="AG357" i="89"/>
  <c r="AH357" i="89"/>
  <c r="AI357" i="89"/>
  <c r="AJ357" i="89"/>
  <c r="J358" i="89"/>
  <c r="K358" i="89"/>
  <c r="L358" i="89"/>
  <c r="M358" i="89"/>
  <c r="O358" i="89"/>
  <c r="V358" i="89"/>
  <c r="AD358" i="89"/>
  <c r="AF358" i="89"/>
  <c r="AG358" i="89"/>
  <c r="AH358" i="89"/>
  <c r="AI358" i="89"/>
  <c r="AJ358" i="89"/>
  <c r="J359" i="89"/>
  <c r="K359" i="89"/>
  <c r="L359" i="89"/>
  <c r="M359" i="89"/>
  <c r="O359" i="89"/>
  <c r="V359" i="89"/>
  <c r="AD359" i="89"/>
  <c r="AF359" i="89"/>
  <c r="AG359" i="89"/>
  <c r="AH359" i="89"/>
  <c r="AI359" i="89"/>
  <c r="AJ359" i="89"/>
  <c r="J360" i="89"/>
  <c r="K360" i="89"/>
  <c r="L360" i="89"/>
  <c r="M360" i="89"/>
  <c r="O360" i="89"/>
  <c r="V360" i="89"/>
  <c r="AD360" i="89"/>
  <c r="AF360" i="89"/>
  <c r="AG360" i="89"/>
  <c r="AH360" i="89"/>
  <c r="AI360" i="89"/>
  <c r="AJ360" i="89"/>
  <c r="J361" i="89"/>
  <c r="K361" i="89"/>
  <c r="L361" i="89"/>
  <c r="M361" i="89"/>
  <c r="O361" i="89"/>
  <c r="V361" i="89"/>
  <c r="AD361" i="89"/>
  <c r="AF361" i="89"/>
  <c r="AG361" i="89"/>
  <c r="AH361" i="89"/>
  <c r="AI361" i="89"/>
  <c r="AJ361" i="89"/>
  <c r="J362" i="89"/>
  <c r="K362" i="89"/>
  <c r="L362" i="89"/>
  <c r="M362" i="89"/>
  <c r="O362" i="89"/>
  <c r="V362" i="89"/>
  <c r="AD362" i="89"/>
  <c r="AF362" i="89"/>
  <c r="AG362" i="89"/>
  <c r="AH362" i="89"/>
  <c r="AI362" i="89"/>
  <c r="AJ362" i="89"/>
  <c r="J363" i="89"/>
  <c r="K363" i="89"/>
  <c r="L363" i="89"/>
  <c r="M363" i="89"/>
  <c r="O363" i="89"/>
  <c r="V363" i="89"/>
  <c r="AD363" i="89"/>
  <c r="AF363" i="89"/>
  <c r="AG363" i="89"/>
  <c r="AH363" i="89"/>
  <c r="AI363" i="89"/>
  <c r="AJ363" i="89"/>
  <c r="J364" i="89"/>
  <c r="K364" i="89"/>
  <c r="L364" i="89"/>
  <c r="M364" i="89"/>
  <c r="O364" i="89"/>
  <c r="V364" i="89"/>
  <c r="AD364" i="89"/>
  <c r="AF364" i="89"/>
  <c r="AG364" i="89"/>
  <c r="AH364" i="89"/>
  <c r="AI364" i="89"/>
  <c r="AJ364" i="89"/>
  <c r="J365" i="89"/>
  <c r="K365" i="89"/>
  <c r="L365" i="89"/>
  <c r="M365" i="89"/>
  <c r="O365" i="89"/>
  <c r="V365" i="89"/>
  <c r="AD365" i="89"/>
  <c r="AF365" i="89"/>
  <c r="AG365" i="89"/>
  <c r="AH365" i="89"/>
  <c r="AI365" i="89"/>
  <c r="AJ365" i="89"/>
  <c r="J366" i="89"/>
  <c r="K366" i="89"/>
  <c r="L366" i="89"/>
  <c r="M366" i="89"/>
  <c r="O366" i="89"/>
  <c r="V366" i="89"/>
  <c r="AD366" i="89"/>
  <c r="AF366" i="89"/>
  <c r="AG366" i="89"/>
  <c r="AH366" i="89"/>
  <c r="AI366" i="89"/>
  <c r="AJ366" i="89"/>
  <c r="J367" i="89"/>
  <c r="K367" i="89"/>
  <c r="L367" i="89"/>
  <c r="M367" i="89"/>
  <c r="O367" i="89"/>
  <c r="V367" i="89"/>
  <c r="AD367" i="89"/>
  <c r="AF367" i="89"/>
  <c r="AG367" i="89"/>
  <c r="AH367" i="89"/>
  <c r="AI367" i="89"/>
  <c r="AJ367" i="89"/>
  <c r="J368" i="89"/>
  <c r="K368" i="89"/>
  <c r="L368" i="89"/>
  <c r="M368" i="89"/>
  <c r="O368" i="89"/>
  <c r="V368" i="89"/>
  <c r="AD368" i="89"/>
  <c r="AF368" i="89"/>
  <c r="AG368" i="89"/>
  <c r="AH368" i="89"/>
  <c r="AI368" i="89"/>
  <c r="AJ368" i="89"/>
  <c r="J369" i="89"/>
  <c r="K369" i="89"/>
  <c r="L369" i="89"/>
  <c r="M369" i="89"/>
  <c r="O369" i="89"/>
  <c r="V369" i="89"/>
  <c r="AD369" i="89"/>
  <c r="AF369" i="89"/>
  <c r="AG369" i="89"/>
  <c r="AH369" i="89"/>
  <c r="AI369" i="89"/>
  <c r="AJ369" i="89"/>
  <c r="J370" i="89"/>
  <c r="K370" i="89"/>
  <c r="L370" i="89"/>
  <c r="M370" i="89"/>
  <c r="O370" i="89"/>
  <c r="V370" i="89"/>
  <c r="AD370" i="89"/>
  <c r="AF370" i="89"/>
  <c r="AG370" i="89"/>
  <c r="AH370" i="89"/>
  <c r="AI370" i="89"/>
  <c r="AJ370" i="89"/>
  <c r="J371" i="89"/>
  <c r="K371" i="89"/>
  <c r="L371" i="89"/>
  <c r="M371" i="89"/>
  <c r="O371" i="89"/>
  <c r="V371" i="89"/>
  <c r="AD371" i="89"/>
  <c r="AF371" i="89"/>
  <c r="AG371" i="89"/>
  <c r="AH371" i="89"/>
  <c r="AI371" i="89"/>
  <c r="AJ371" i="89"/>
  <c r="J372" i="89"/>
  <c r="K372" i="89"/>
  <c r="L372" i="89"/>
  <c r="M372" i="89"/>
  <c r="O372" i="89"/>
  <c r="V372" i="89"/>
  <c r="AD372" i="89"/>
  <c r="AF372" i="89"/>
  <c r="AG372" i="89"/>
  <c r="AH372" i="89"/>
  <c r="AI372" i="89"/>
  <c r="AJ372" i="89"/>
  <c r="J373" i="89"/>
  <c r="K373" i="89"/>
  <c r="L373" i="89"/>
  <c r="M373" i="89"/>
  <c r="O373" i="89"/>
  <c r="V373" i="89"/>
  <c r="AD373" i="89"/>
  <c r="AF373" i="89"/>
  <c r="AG373" i="89"/>
  <c r="AH373" i="89"/>
  <c r="AI373" i="89"/>
  <c r="AJ373" i="89"/>
  <c r="J374" i="89"/>
  <c r="K374" i="89"/>
  <c r="L374" i="89"/>
  <c r="M374" i="89"/>
  <c r="O374" i="89"/>
  <c r="V374" i="89"/>
  <c r="AD374" i="89"/>
  <c r="AF374" i="89"/>
  <c r="AG374" i="89"/>
  <c r="AH374" i="89"/>
  <c r="AI374" i="89"/>
  <c r="AJ374" i="89"/>
  <c r="J375" i="89"/>
  <c r="K375" i="89"/>
  <c r="L375" i="89"/>
  <c r="M375" i="89"/>
  <c r="O375" i="89"/>
  <c r="V375" i="89"/>
  <c r="AD375" i="89"/>
  <c r="AF375" i="89"/>
  <c r="AG375" i="89"/>
  <c r="AH375" i="89"/>
  <c r="AI375" i="89"/>
  <c r="AJ375" i="89"/>
  <c r="J376" i="89"/>
  <c r="K376" i="89"/>
  <c r="L376" i="89"/>
  <c r="M376" i="89"/>
  <c r="O376" i="89"/>
  <c r="V376" i="89"/>
  <c r="AD376" i="89"/>
  <c r="AF376" i="89"/>
  <c r="AG376" i="89"/>
  <c r="AH376" i="89"/>
  <c r="AI376" i="89"/>
  <c r="AJ376" i="89"/>
  <c r="J377" i="89"/>
  <c r="K377" i="89"/>
  <c r="L377" i="89"/>
  <c r="M377" i="89"/>
  <c r="O377" i="89"/>
  <c r="V377" i="89"/>
  <c r="AD377" i="89"/>
  <c r="AF377" i="89"/>
  <c r="AG377" i="89"/>
  <c r="AH377" i="89"/>
  <c r="AI377" i="89"/>
  <c r="AJ377" i="89"/>
  <c r="J378" i="89"/>
  <c r="K378" i="89"/>
  <c r="L378" i="89"/>
  <c r="M378" i="89"/>
  <c r="O378" i="89"/>
  <c r="V378" i="89"/>
  <c r="AD378" i="89"/>
  <c r="AF378" i="89"/>
  <c r="AG378" i="89"/>
  <c r="AH378" i="89"/>
  <c r="AI378" i="89"/>
  <c r="AJ378" i="89"/>
  <c r="J379" i="89"/>
  <c r="K379" i="89"/>
  <c r="L379" i="89"/>
  <c r="M379" i="89"/>
  <c r="O379" i="89"/>
  <c r="V379" i="89"/>
  <c r="AD379" i="89"/>
  <c r="AF379" i="89"/>
  <c r="AG379" i="89"/>
  <c r="AH379" i="89"/>
  <c r="AI379" i="89"/>
  <c r="AJ379" i="89"/>
  <c r="J380" i="89"/>
  <c r="K380" i="89"/>
  <c r="L380" i="89"/>
  <c r="M380" i="89"/>
  <c r="O380" i="89"/>
  <c r="V380" i="89"/>
  <c r="AD380" i="89"/>
  <c r="AF380" i="89"/>
  <c r="AG380" i="89"/>
  <c r="AH380" i="89"/>
  <c r="AI380" i="89"/>
  <c r="AJ380" i="89"/>
  <c r="J381" i="89"/>
  <c r="K381" i="89"/>
  <c r="L381" i="89"/>
  <c r="M381" i="89"/>
  <c r="O381" i="89"/>
  <c r="V381" i="89"/>
  <c r="AD381" i="89"/>
  <c r="AF381" i="89"/>
  <c r="AG381" i="89"/>
  <c r="AH381" i="89"/>
  <c r="AI381" i="89"/>
  <c r="AJ381" i="89"/>
  <c r="J382" i="89"/>
  <c r="K382" i="89"/>
  <c r="L382" i="89"/>
  <c r="M382" i="89"/>
  <c r="O382" i="89"/>
  <c r="V382" i="89"/>
  <c r="AD382" i="89"/>
  <c r="AF382" i="89"/>
  <c r="AG382" i="89"/>
  <c r="AH382" i="89"/>
  <c r="AI382" i="89"/>
  <c r="AJ382" i="89"/>
  <c r="J383" i="89"/>
  <c r="K383" i="89"/>
  <c r="L383" i="89"/>
  <c r="M383" i="89"/>
  <c r="O383" i="89"/>
  <c r="V383" i="89"/>
  <c r="AD383" i="89"/>
  <c r="AF383" i="89"/>
  <c r="AG383" i="89"/>
  <c r="AH383" i="89"/>
  <c r="AI383" i="89"/>
  <c r="AJ383" i="89"/>
  <c r="J384" i="89"/>
  <c r="K384" i="89"/>
  <c r="L384" i="89"/>
  <c r="M384" i="89"/>
  <c r="O384" i="89"/>
  <c r="V384" i="89"/>
  <c r="AD384" i="89"/>
  <c r="AF384" i="89"/>
  <c r="AG384" i="89"/>
  <c r="AH384" i="89"/>
  <c r="AI384" i="89"/>
  <c r="AJ384" i="89"/>
  <c r="J385" i="89"/>
  <c r="K385" i="89"/>
  <c r="L385" i="89"/>
  <c r="M385" i="89"/>
  <c r="O385" i="89"/>
  <c r="V385" i="89"/>
  <c r="AD385" i="89"/>
  <c r="AF385" i="89"/>
  <c r="AG385" i="89"/>
  <c r="AH385" i="89"/>
  <c r="AI385" i="89"/>
  <c r="AJ385" i="89"/>
  <c r="J386" i="89"/>
  <c r="K386" i="89"/>
  <c r="L386" i="89"/>
  <c r="M386" i="89"/>
  <c r="O386" i="89"/>
  <c r="V386" i="89"/>
  <c r="AD386" i="89"/>
  <c r="AF386" i="89"/>
  <c r="AG386" i="89"/>
  <c r="AH386" i="89"/>
  <c r="AI386" i="89"/>
  <c r="AJ386" i="89"/>
  <c r="J387" i="89"/>
  <c r="K387" i="89"/>
  <c r="L387" i="89"/>
  <c r="M387" i="89"/>
  <c r="O387" i="89"/>
  <c r="V387" i="89"/>
  <c r="AD387" i="89"/>
  <c r="AF387" i="89"/>
  <c r="AG387" i="89"/>
  <c r="AH387" i="89"/>
  <c r="AI387" i="89"/>
  <c r="AJ387" i="89"/>
  <c r="J388" i="89"/>
  <c r="K388" i="89"/>
  <c r="L388" i="89"/>
  <c r="M388" i="89"/>
  <c r="O388" i="89"/>
  <c r="V388" i="89"/>
  <c r="AD388" i="89"/>
  <c r="AF388" i="89"/>
  <c r="AG388" i="89"/>
  <c r="AH388" i="89"/>
  <c r="AI388" i="89"/>
  <c r="AJ388" i="89"/>
  <c r="J389" i="89"/>
  <c r="K389" i="89"/>
  <c r="L389" i="89"/>
  <c r="M389" i="89"/>
  <c r="O389" i="89"/>
  <c r="V389" i="89"/>
  <c r="AD389" i="89"/>
  <c r="AF389" i="89"/>
  <c r="AG389" i="89"/>
  <c r="AH389" i="89"/>
  <c r="AI389" i="89"/>
  <c r="AJ389" i="89"/>
  <c r="J390" i="89"/>
  <c r="K390" i="89"/>
  <c r="L390" i="89"/>
  <c r="M390" i="89"/>
  <c r="O390" i="89"/>
  <c r="V390" i="89"/>
  <c r="AD390" i="89"/>
  <c r="AF390" i="89"/>
  <c r="AG390" i="89"/>
  <c r="AH390" i="89"/>
  <c r="AI390" i="89"/>
  <c r="AJ390" i="89"/>
  <c r="J391" i="89"/>
  <c r="K391" i="89"/>
  <c r="L391" i="89"/>
  <c r="M391" i="89"/>
  <c r="O391" i="89"/>
  <c r="V391" i="89"/>
  <c r="AD391" i="89"/>
  <c r="AF391" i="89"/>
  <c r="AG391" i="89"/>
  <c r="AH391" i="89"/>
  <c r="AI391" i="89"/>
  <c r="AJ391" i="89"/>
  <c r="J392" i="89"/>
  <c r="K392" i="89"/>
  <c r="L392" i="89"/>
  <c r="M392" i="89"/>
  <c r="O392" i="89"/>
  <c r="V392" i="89"/>
  <c r="AD392" i="89"/>
  <c r="AF392" i="89"/>
  <c r="AG392" i="89"/>
  <c r="AH392" i="89"/>
  <c r="AI392" i="89"/>
  <c r="AJ392" i="89"/>
  <c r="J393" i="89"/>
  <c r="K393" i="89"/>
  <c r="L393" i="89"/>
  <c r="M393" i="89"/>
  <c r="O393" i="89"/>
  <c r="V393" i="89"/>
  <c r="AD393" i="89"/>
  <c r="AF393" i="89"/>
  <c r="AG393" i="89"/>
  <c r="AH393" i="89"/>
  <c r="AI393" i="89"/>
  <c r="AJ393" i="89"/>
  <c r="J394" i="89"/>
  <c r="K394" i="89"/>
  <c r="L394" i="89"/>
  <c r="M394" i="89"/>
  <c r="O394" i="89"/>
  <c r="V394" i="89"/>
  <c r="AD394" i="89"/>
  <c r="AF394" i="89"/>
  <c r="AG394" i="89"/>
  <c r="AH394" i="89"/>
  <c r="AI394" i="89"/>
  <c r="AJ394" i="89"/>
  <c r="J395" i="89"/>
  <c r="K395" i="89"/>
  <c r="L395" i="89"/>
  <c r="M395" i="89"/>
  <c r="O395" i="89"/>
  <c r="V395" i="89"/>
  <c r="AD395" i="89"/>
  <c r="AF395" i="89"/>
  <c r="AG395" i="89"/>
  <c r="AH395" i="89"/>
  <c r="AI395" i="89"/>
  <c r="AJ395" i="89"/>
  <c r="J396" i="89"/>
  <c r="K396" i="89"/>
  <c r="L396" i="89"/>
  <c r="M396" i="89"/>
  <c r="O396" i="89"/>
  <c r="V396" i="89"/>
  <c r="AD396" i="89"/>
  <c r="AF396" i="89"/>
  <c r="AG396" i="89"/>
  <c r="AH396" i="89"/>
  <c r="AI396" i="89"/>
  <c r="AJ396" i="89"/>
  <c r="J397" i="89"/>
  <c r="K397" i="89"/>
  <c r="L397" i="89"/>
  <c r="M397" i="89"/>
  <c r="O397" i="89"/>
  <c r="V397" i="89"/>
  <c r="AD397" i="89"/>
  <c r="AF397" i="89"/>
  <c r="AG397" i="89"/>
  <c r="AH397" i="89"/>
  <c r="AI397" i="89"/>
  <c r="AJ397" i="89"/>
  <c r="J398" i="89"/>
  <c r="K398" i="89"/>
  <c r="L398" i="89"/>
  <c r="M398" i="89"/>
  <c r="O398" i="89"/>
  <c r="V398" i="89"/>
  <c r="AD398" i="89"/>
  <c r="AF398" i="89"/>
  <c r="AG398" i="89"/>
  <c r="AH398" i="89"/>
  <c r="AI398" i="89"/>
  <c r="AJ398" i="89"/>
  <c r="J399" i="89"/>
  <c r="K399" i="89"/>
  <c r="L399" i="89"/>
  <c r="M399" i="89"/>
  <c r="O399" i="89"/>
  <c r="V399" i="89"/>
  <c r="AD399" i="89"/>
  <c r="AF399" i="89"/>
  <c r="AG399" i="89"/>
  <c r="AH399" i="89"/>
  <c r="AI399" i="89"/>
  <c r="AJ399" i="89"/>
  <c r="J400" i="89"/>
  <c r="K400" i="89"/>
  <c r="L400" i="89"/>
  <c r="M400" i="89"/>
  <c r="O400" i="89"/>
  <c r="V400" i="89"/>
  <c r="AD400" i="89"/>
  <c r="AF400" i="89"/>
  <c r="AG400" i="89"/>
  <c r="AH400" i="89"/>
  <c r="AI400" i="89"/>
  <c r="J401" i="89"/>
  <c r="K401" i="89"/>
  <c r="L401" i="89"/>
  <c r="M401" i="89"/>
  <c r="O401" i="89"/>
  <c r="V401" i="89"/>
  <c r="AD401" i="89"/>
  <c r="AF401" i="89"/>
  <c r="AG401" i="89"/>
  <c r="AH401" i="89"/>
  <c r="AI401" i="89"/>
  <c r="J402" i="89"/>
  <c r="K402" i="89"/>
  <c r="L402" i="89"/>
  <c r="M402" i="89"/>
  <c r="O402" i="89"/>
  <c r="V402" i="89"/>
  <c r="AD402" i="89"/>
  <c r="AF402" i="89"/>
  <c r="AG402" i="89"/>
  <c r="AH402" i="89"/>
  <c r="AI402" i="89"/>
  <c r="J403" i="89"/>
  <c r="K403" i="89"/>
  <c r="L403" i="89"/>
  <c r="M403" i="89"/>
  <c r="O403" i="89"/>
  <c r="V403" i="89"/>
  <c r="AD403" i="89"/>
  <c r="AF403" i="89"/>
  <c r="AG403" i="89"/>
  <c r="AH403" i="89"/>
  <c r="AI403" i="89"/>
  <c r="J404" i="89"/>
  <c r="K404" i="89"/>
  <c r="L404" i="89"/>
  <c r="M404" i="89"/>
  <c r="O404" i="89"/>
  <c r="V404" i="89"/>
  <c r="AD404" i="89"/>
  <c r="AF404" i="89"/>
  <c r="AG404" i="89"/>
  <c r="AH404" i="89"/>
  <c r="AI404" i="89"/>
  <c r="J405" i="89"/>
  <c r="K405" i="89"/>
  <c r="L405" i="89"/>
  <c r="M405" i="89"/>
  <c r="O405" i="89"/>
  <c r="V405" i="89"/>
  <c r="AD405" i="89"/>
  <c r="AF405" i="89"/>
  <c r="AG405" i="89"/>
  <c r="AH405" i="89"/>
  <c r="AI405" i="89"/>
  <c r="J406" i="89"/>
  <c r="K406" i="89"/>
  <c r="L406" i="89"/>
  <c r="M406" i="89"/>
  <c r="O406" i="89"/>
  <c r="V406" i="89"/>
  <c r="AD406" i="89"/>
  <c r="AF406" i="89"/>
  <c r="AG406" i="89"/>
  <c r="AH406" i="89"/>
  <c r="AI406" i="89"/>
  <c r="J407" i="89"/>
  <c r="K407" i="89"/>
  <c r="L407" i="89"/>
  <c r="M407" i="89"/>
  <c r="O407" i="89"/>
  <c r="V407" i="89"/>
  <c r="AD407" i="89"/>
  <c r="AF407" i="89"/>
  <c r="AG407" i="89"/>
  <c r="AH407" i="89"/>
  <c r="AI407" i="89"/>
  <c r="J408" i="89"/>
  <c r="K408" i="89"/>
  <c r="L408" i="89"/>
  <c r="M408" i="89"/>
  <c r="O408" i="89"/>
  <c r="V408" i="89"/>
  <c r="AD408" i="89"/>
  <c r="AF408" i="89"/>
  <c r="AG408" i="89"/>
  <c r="AH408" i="89"/>
  <c r="AI408" i="89"/>
  <c r="J409" i="89"/>
  <c r="K409" i="89"/>
  <c r="L409" i="89"/>
  <c r="M409" i="89"/>
  <c r="O409" i="89"/>
  <c r="V409" i="89"/>
  <c r="AD409" i="89"/>
  <c r="AF409" i="89"/>
  <c r="AG409" i="89"/>
  <c r="AH409" i="89"/>
  <c r="AI409" i="89"/>
  <c r="J410" i="89"/>
  <c r="K410" i="89"/>
  <c r="L410" i="89"/>
  <c r="M410" i="89"/>
  <c r="O410" i="89"/>
  <c r="V410" i="89"/>
  <c r="AD410" i="89"/>
  <c r="AF410" i="89"/>
  <c r="AG410" i="89"/>
  <c r="AH410" i="89"/>
  <c r="AI410" i="89"/>
  <c r="J411" i="89"/>
  <c r="K411" i="89"/>
  <c r="L411" i="89"/>
  <c r="M411" i="89"/>
  <c r="O411" i="89"/>
  <c r="V411" i="89"/>
  <c r="AD411" i="89"/>
  <c r="AF411" i="89"/>
  <c r="AG411" i="89"/>
  <c r="AH411" i="89"/>
  <c r="AI411" i="89"/>
  <c r="J412" i="89"/>
  <c r="K412" i="89"/>
  <c r="L412" i="89"/>
  <c r="M412" i="89"/>
  <c r="O412" i="89"/>
  <c r="V412" i="89"/>
  <c r="AD412" i="89"/>
  <c r="AF412" i="89"/>
  <c r="AG412" i="89"/>
  <c r="AH412" i="89"/>
  <c r="AI412" i="89"/>
  <c r="J413" i="89"/>
  <c r="K413" i="89"/>
  <c r="L413" i="89"/>
  <c r="M413" i="89"/>
  <c r="O413" i="89"/>
  <c r="V413" i="89"/>
  <c r="AD413" i="89"/>
  <c r="AF413" i="89"/>
  <c r="AG413" i="89"/>
  <c r="AH413" i="89"/>
  <c r="AI413" i="89"/>
  <c r="J414" i="89"/>
  <c r="K414" i="89"/>
  <c r="L414" i="89"/>
  <c r="M414" i="89"/>
  <c r="O414" i="89"/>
  <c r="V414" i="89"/>
  <c r="AD414" i="89"/>
  <c r="AF414" i="89"/>
  <c r="AG414" i="89"/>
  <c r="AH414" i="89"/>
  <c r="AI414" i="89"/>
  <c r="J415" i="89"/>
  <c r="K415" i="89"/>
  <c r="L415" i="89"/>
  <c r="M415" i="89"/>
  <c r="O415" i="89"/>
  <c r="V415" i="89"/>
  <c r="AD415" i="89"/>
  <c r="AF415" i="89"/>
  <c r="AG415" i="89"/>
  <c r="AH415" i="89"/>
  <c r="AI415" i="89"/>
  <c r="J416" i="89"/>
  <c r="K416" i="89"/>
  <c r="L416" i="89"/>
  <c r="M416" i="89"/>
  <c r="O416" i="89"/>
  <c r="V416" i="89"/>
  <c r="AD416" i="89"/>
  <c r="AF416" i="89"/>
  <c r="AG416" i="89"/>
  <c r="AH416" i="89"/>
  <c r="AI416" i="89"/>
  <c r="J417" i="89"/>
  <c r="K417" i="89"/>
  <c r="L417" i="89"/>
  <c r="M417" i="89"/>
  <c r="O417" i="89"/>
  <c r="V417" i="89"/>
  <c r="AD417" i="89"/>
  <c r="AF417" i="89"/>
  <c r="AG417" i="89"/>
  <c r="AH417" i="89"/>
  <c r="AI417" i="89"/>
  <c r="J418" i="89"/>
  <c r="K418" i="89"/>
  <c r="L418" i="89"/>
  <c r="M418" i="89"/>
  <c r="O418" i="89"/>
  <c r="V418" i="89"/>
  <c r="AD418" i="89"/>
  <c r="AF418" i="89"/>
  <c r="AG418" i="89"/>
  <c r="AH418" i="89"/>
  <c r="AI418" i="89"/>
  <c r="J419" i="89"/>
  <c r="K419" i="89"/>
  <c r="L419" i="89"/>
  <c r="M419" i="89"/>
  <c r="O419" i="89"/>
  <c r="V419" i="89"/>
  <c r="AD419" i="89"/>
  <c r="AF419" i="89"/>
  <c r="AG419" i="89"/>
  <c r="AH419" i="89"/>
  <c r="AI419" i="89"/>
  <c r="J420" i="89"/>
  <c r="K420" i="89"/>
  <c r="L420" i="89"/>
  <c r="M420" i="89"/>
  <c r="O420" i="89"/>
  <c r="V420" i="89"/>
  <c r="AD420" i="89"/>
  <c r="AF420" i="89"/>
  <c r="AG420" i="89"/>
  <c r="AH420" i="89"/>
  <c r="AI420" i="89"/>
  <c r="AJ421" i="89"/>
  <c r="C5" i="53"/>
  <c r="B13" i="94" s="1"/>
  <c r="E5" i="53"/>
  <c r="E13" i="94" s="1"/>
  <c r="F5" i="53"/>
  <c r="F13" i="94" s="1"/>
  <c r="G5" i="53"/>
  <c r="D13" i="94" s="1"/>
  <c r="C6" i="53"/>
  <c r="B14" i="94" s="1"/>
  <c r="E6" i="53"/>
  <c r="E14" i="94" s="1"/>
  <c r="F6" i="53"/>
  <c r="F14" i="94" s="1"/>
  <c r="G6" i="53"/>
  <c r="D14" i="94" s="1"/>
  <c r="C7" i="53"/>
  <c r="B15" i="94" s="1"/>
  <c r="E7" i="53"/>
  <c r="E15" i="94" s="1"/>
  <c r="F7" i="53"/>
  <c r="F15" i="94" s="1"/>
  <c r="G7" i="53"/>
  <c r="D15" i="94" s="1"/>
  <c r="C8" i="53"/>
  <c r="B16" i="94" s="1"/>
  <c r="E8" i="53"/>
  <c r="E16" i="94" s="1"/>
  <c r="F8" i="53"/>
  <c r="F16" i="94" s="1"/>
  <c r="G8" i="53"/>
  <c r="D16" i="94" s="1"/>
  <c r="C9" i="53"/>
  <c r="B17" i="94" s="1"/>
  <c r="E9" i="53"/>
  <c r="E17" i="94" s="1"/>
  <c r="F9" i="53"/>
  <c r="F17" i="94" s="1"/>
  <c r="G9" i="53"/>
  <c r="D17" i="94" s="1"/>
  <c r="C10" i="53"/>
  <c r="B18" i="94" s="1"/>
  <c r="E10" i="53"/>
  <c r="E18" i="94" s="1"/>
  <c r="F10" i="53"/>
  <c r="F18" i="94" s="1"/>
  <c r="G10" i="53"/>
  <c r="D18" i="94" s="1"/>
  <c r="C11" i="53"/>
  <c r="B19" i="94" s="1"/>
  <c r="E11" i="53"/>
  <c r="E19" i="94" s="1"/>
  <c r="F11" i="53"/>
  <c r="F19" i="94" s="1"/>
  <c r="G11" i="53"/>
  <c r="D19" i="94" s="1"/>
  <c r="C12" i="53"/>
  <c r="B20" i="94" s="1"/>
  <c r="E12" i="53"/>
  <c r="E20" i="94" s="1"/>
  <c r="F12" i="53"/>
  <c r="F20" i="94" s="1"/>
  <c r="G12" i="53"/>
  <c r="D20" i="94" s="1"/>
  <c r="C13" i="53"/>
  <c r="B21" i="94" s="1"/>
  <c r="E13" i="53"/>
  <c r="E21" i="94" s="1"/>
  <c r="F13" i="53"/>
  <c r="F21" i="94" s="1"/>
  <c r="G13" i="53"/>
  <c r="D21" i="94" s="1"/>
  <c r="C14" i="53"/>
  <c r="B22" i="94" s="1"/>
  <c r="E14" i="53"/>
  <c r="E22" i="94" s="1"/>
  <c r="F14" i="53"/>
  <c r="F22" i="94" s="1"/>
  <c r="G14" i="53"/>
  <c r="D22" i="94" s="1"/>
  <c r="C15" i="53"/>
  <c r="B23" i="94" s="1"/>
  <c r="E15" i="53"/>
  <c r="E23" i="94" s="1"/>
  <c r="F15" i="53"/>
  <c r="F23" i="94" s="1"/>
  <c r="G15" i="53"/>
  <c r="D23" i="94" s="1"/>
  <c r="C16" i="53"/>
  <c r="B24" i="94" s="1"/>
  <c r="E16" i="53"/>
  <c r="E24" i="94" s="1"/>
  <c r="F16" i="53"/>
  <c r="F24" i="94" s="1"/>
  <c r="G16" i="53"/>
  <c r="D24" i="94" s="1"/>
  <c r="C17" i="53"/>
  <c r="B25" i="94" s="1"/>
  <c r="E17" i="53"/>
  <c r="E25" i="94" s="1"/>
  <c r="F17" i="53"/>
  <c r="F25" i="94" s="1"/>
  <c r="G17" i="53"/>
  <c r="D25" i="94" s="1"/>
  <c r="C18" i="53"/>
  <c r="B26" i="94" s="1"/>
  <c r="E18" i="53"/>
  <c r="E26" i="94" s="1"/>
  <c r="F18" i="53"/>
  <c r="F26" i="94" s="1"/>
  <c r="G18" i="53"/>
  <c r="D26" i="94" s="1"/>
  <c r="C19" i="53"/>
  <c r="B27" i="94" s="1"/>
  <c r="E19" i="53"/>
  <c r="E27" i="94" s="1"/>
  <c r="F19" i="53"/>
  <c r="F27" i="94" s="1"/>
  <c r="G19" i="53"/>
  <c r="D27" i="94" s="1"/>
  <c r="C20" i="53"/>
  <c r="B28" i="94" s="1"/>
  <c r="E20" i="53"/>
  <c r="E28" i="94" s="1"/>
  <c r="F20" i="53"/>
  <c r="F28" i="94" s="1"/>
  <c r="G20" i="53"/>
  <c r="D28" i="94" s="1"/>
  <c r="C21" i="53"/>
  <c r="B29" i="94" s="1"/>
  <c r="E21" i="53"/>
  <c r="E29" i="94" s="1"/>
  <c r="F21" i="53"/>
  <c r="F29" i="94" s="1"/>
  <c r="G21" i="53"/>
  <c r="D29" i="94" s="1"/>
  <c r="C22" i="53"/>
  <c r="B30" i="94" s="1"/>
  <c r="E22" i="53"/>
  <c r="E30" i="94" s="1"/>
  <c r="F22" i="53"/>
  <c r="F30" i="94" s="1"/>
  <c r="G22" i="53"/>
  <c r="D30" i="94" s="1"/>
  <c r="C23" i="53"/>
  <c r="B31" i="94" s="1"/>
  <c r="E23" i="53"/>
  <c r="E31" i="94" s="1"/>
  <c r="F23" i="53"/>
  <c r="F31" i="94" s="1"/>
  <c r="G23" i="53"/>
  <c r="D31" i="94" s="1"/>
  <c r="C24" i="53"/>
  <c r="B32" i="94" s="1"/>
  <c r="E24" i="53"/>
  <c r="E32" i="94" s="1"/>
  <c r="F24" i="53"/>
  <c r="F32" i="94" s="1"/>
  <c r="G24" i="53"/>
  <c r="D32" i="94" s="1"/>
  <c r="C25" i="53"/>
  <c r="B33" i="94" s="1"/>
  <c r="E25" i="53"/>
  <c r="E33" i="94" s="1"/>
  <c r="F25" i="53"/>
  <c r="F33" i="94" s="1"/>
  <c r="G25" i="53"/>
  <c r="D33" i="94" s="1"/>
  <c r="C26" i="53"/>
  <c r="B34" i="94" s="1"/>
  <c r="E26" i="53"/>
  <c r="E34" i="94" s="1"/>
  <c r="F26" i="53"/>
  <c r="F34" i="94" s="1"/>
  <c r="G26" i="53"/>
  <c r="D34" i="94" s="1"/>
  <c r="C27" i="53"/>
  <c r="B35" i="94" s="1"/>
  <c r="E27" i="53"/>
  <c r="E35" i="94" s="1"/>
  <c r="F27" i="53"/>
  <c r="F35" i="94" s="1"/>
  <c r="G27" i="53"/>
  <c r="D35" i="94" s="1"/>
  <c r="C28" i="53"/>
  <c r="B36" i="94" s="1"/>
  <c r="E28" i="53"/>
  <c r="E36" i="94" s="1"/>
  <c r="F28" i="53"/>
  <c r="F36" i="94" s="1"/>
  <c r="G28" i="53"/>
  <c r="D36" i="94" s="1"/>
  <c r="C29" i="53"/>
  <c r="B37" i="94" s="1"/>
  <c r="E29" i="53"/>
  <c r="E37" i="94" s="1"/>
  <c r="F29" i="53"/>
  <c r="F37" i="94" s="1"/>
  <c r="G29" i="53"/>
  <c r="D37" i="94" s="1"/>
  <c r="C30" i="53"/>
  <c r="B38" i="94" s="1"/>
  <c r="E30" i="53"/>
  <c r="E38" i="94" s="1"/>
  <c r="F30" i="53"/>
  <c r="F38" i="94" s="1"/>
  <c r="G30" i="53"/>
  <c r="D38" i="94" s="1"/>
  <c r="C31" i="53"/>
  <c r="B39" i="94" s="1"/>
  <c r="E31" i="53"/>
  <c r="E39" i="94" s="1"/>
  <c r="F31" i="53"/>
  <c r="F39" i="94" s="1"/>
  <c r="G31" i="53"/>
  <c r="D39" i="94" s="1"/>
  <c r="C32" i="53"/>
  <c r="B40" i="94" s="1"/>
  <c r="E32" i="53"/>
  <c r="E40" i="94" s="1"/>
  <c r="F32" i="53"/>
  <c r="F40" i="94" s="1"/>
  <c r="G32" i="53"/>
  <c r="D40" i="94" s="1"/>
  <c r="C33" i="53"/>
  <c r="B41" i="94" s="1"/>
  <c r="E33" i="53"/>
  <c r="E41" i="94" s="1"/>
  <c r="F33" i="53"/>
  <c r="F41" i="94" s="1"/>
  <c r="G33" i="53"/>
  <c r="D41" i="94" s="1"/>
  <c r="C34" i="53"/>
  <c r="B42" i="94" s="1"/>
  <c r="E34" i="53"/>
  <c r="E42" i="94" s="1"/>
  <c r="F34" i="53"/>
  <c r="F42" i="94" s="1"/>
  <c r="G34" i="53"/>
  <c r="D42" i="94" s="1"/>
  <c r="C35" i="53"/>
  <c r="B43" i="94" s="1"/>
  <c r="E35" i="53"/>
  <c r="E43" i="94" s="1"/>
  <c r="F35" i="53"/>
  <c r="F43" i="94" s="1"/>
  <c r="G35" i="53"/>
  <c r="D43" i="94" s="1"/>
  <c r="C36" i="53"/>
  <c r="B44" i="94" s="1"/>
  <c r="E36" i="53"/>
  <c r="E44" i="94" s="1"/>
  <c r="F36" i="53"/>
  <c r="F44" i="94" s="1"/>
  <c r="G36" i="53"/>
  <c r="D44" i="94" s="1"/>
  <c r="C37" i="53"/>
  <c r="B45" i="94" s="1"/>
  <c r="E37" i="53"/>
  <c r="E45" i="94" s="1"/>
  <c r="F37" i="53"/>
  <c r="F45" i="94" s="1"/>
  <c r="G37" i="53"/>
  <c r="D45" i="94" s="1"/>
  <c r="C38" i="53"/>
  <c r="B46" i="94" s="1"/>
  <c r="E38" i="53"/>
  <c r="E46" i="94" s="1"/>
  <c r="F38" i="53"/>
  <c r="F46" i="94" s="1"/>
  <c r="G38" i="53"/>
  <c r="D46" i="94" s="1"/>
  <c r="C39" i="53"/>
  <c r="B47" i="94" s="1"/>
  <c r="E39" i="53"/>
  <c r="E47" i="94" s="1"/>
  <c r="F39" i="53"/>
  <c r="F47" i="94" s="1"/>
  <c r="G39" i="53"/>
  <c r="D47" i="94" s="1"/>
  <c r="C40" i="53"/>
  <c r="B48" i="94" s="1"/>
  <c r="E40" i="53"/>
  <c r="E48" i="94" s="1"/>
  <c r="F40" i="53"/>
  <c r="F48" i="94" s="1"/>
  <c r="G40" i="53"/>
  <c r="D48" i="94" s="1"/>
  <c r="C41" i="53"/>
  <c r="B49" i="94" s="1"/>
  <c r="E41" i="53"/>
  <c r="E49" i="94" s="1"/>
  <c r="F41" i="53"/>
  <c r="F49" i="94" s="1"/>
  <c r="G41" i="53"/>
  <c r="D49" i="94" s="1"/>
  <c r="C42" i="53"/>
  <c r="B50" i="94" s="1"/>
  <c r="E42" i="53"/>
  <c r="E50" i="94" s="1"/>
  <c r="F42" i="53"/>
  <c r="F50" i="94" s="1"/>
  <c r="G42" i="53"/>
  <c r="D50" i="94" s="1"/>
  <c r="C43" i="53"/>
  <c r="B51" i="94" s="1"/>
  <c r="E43" i="53"/>
  <c r="E51" i="94" s="1"/>
  <c r="F43" i="53"/>
  <c r="F51" i="94" s="1"/>
  <c r="G43" i="53"/>
  <c r="D51" i="94" s="1"/>
  <c r="C44" i="53"/>
  <c r="B52" i="94" s="1"/>
  <c r="E44" i="53"/>
  <c r="E52" i="94" s="1"/>
  <c r="F44" i="53"/>
  <c r="F52" i="94" s="1"/>
  <c r="G44" i="53"/>
  <c r="D52" i="94" s="1"/>
  <c r="C45" i="53"/>
  <c r="B53" i="94" s="1"/>
  <c r="E45" i="53"/>
  <c r="E53" i="94" s="1"/>
  <c r="F45" i="53"/>
  <c r="F53" i="94" s="1"/>
  <c r="G45" i="53"/>
  <c r="D53" i="94" s="1"/>
  <c r="C46" i="53"/>
  <c r="B54" i="94" s="1"/>
  <c r="E46" i="53"/>
  <c r="E54" i="94" s="1"/>
  <c r="F46" i="53"/>
  <c r="F54" i="94" s="1"/>
  <c r="G46" i="53"/>
  <c r="D54" i="94" s="1"/>
  <c r="C47" i="53"/>
  <c r="B55" i="94" s="1"/>
  <c r="E47" i="53"/>
  <c r="E55" i="94" s="1"/>
  <c r="F47" i="53"/>
  <c r="F55" i="94" s="1"/>
  <c r="G47" i="53"/>
  <c r="D55" i="94" s="1"/>
  <c r="C48" i="53"/>
  <c r="B56" i="94" s="1"/>
  <c r="E48" i="53"/>
  <c r="E56" i="94" s="1"/>
  <c r="F48" i="53"/>
  <c r="F56" i="94" s="1"/>
  <c r="G48" i="53"/>
  <c r="D56" i="94" s="1"/>
  <c r="C49" i="53"/>
  <c r="B57" i="94" s="1"/>
  <c r="E49" i="53"/>
  <c r="E57" i="94" s="1"/>
  <c r="F49" i="53"/>
  <c r="F57" i="94" s="1"/>
  <c r="G49" i="53"/>
  <c r="D57" i="94" s="1"/>
  <c r="C50" i="53"/>
  <c r="B58" i="94" s="1"/>
  <c r="E50" i="53"/>
  <c r="E58" i="94" s="1"/>
  <c r="F50" i="53"/>
  <c r="F58" i="94" s="1"/>
  <c r="G50" i="53"/>
  <c r="D58" i="94" s="1"/>
  <c r="C51" i="53"/>
  <c r="B59" i="94" s="1"/>
  <c r="E51" i="53"/>
  <c r="E59" i="94" s="1"/>
  <c r="F51" i="53"/>
  <c r="F59" i="94" s="1"/>
  <c r="G51" i="53"/>
  <c r="D59" i="94" s="1"/>
  <c r="C52" i="53"/>
  <c r="B60" i="94" s="1"/>
  <c r="E52" i="53"/>
  <c r="E60" i="94" s="1"/>
  <c r="F52" i="53"/>
  <c r="F60" i="94" s="1"/>
  <c r="G52" i="53"/>
  <c r="D60" i="94" s="1"/>
  <c r="C53" i="53"/>
  <c r="B61" i="94" s="1"/>
  <c r="E53" i="53"/>
  <c r="E61" i="94" s="1"/>
  <c r="F53" i="53"/>
  <c r="F61" i="94" s="1"/>
  <c r="G53" i="53"/>
  <c r="D61" i="94" s="1"/>
  <c r="C54" i="53"/>
  <c r="B62" i="94" s="1"/>
  <c r="E54" i="53"/>
  <c r="E62" i="94" s="1"/>
  <c r="F54" i="53"/>
  <c r="F62" i="94" s="1"/>
  <c r="G54" i="53"/>
  <c r="D62" i="94" s="1"/>
  <c r="C55" i="53"/>
  <c r="B63" i="94" s="1"/>
  <c r="E55" i="53"/>
  <c r="E63" i="94" s="1"/>
  <c r="F55" i="53"/>
  <c r="F63" i="94" s="1"/>
  <c r="G55" i="53"/>
  <c r="D63" i="94" s="1"/>
  <c r="C56" i="53"/>
  <c r="B64" i="94" s="1"/>
  <c r="E56" i="53"/>
  <c r="E64" i="94" s="1"/>
  <c r="F56" i="53"/>
  <c r="F64" i="94" s="1"/>
  <c r="G56" i="53"/>
  <c r="D64" i="94" s="1"/>
  <c r="C57" i="53"/>
  <c r="B65" i="94" s="1"/>
  <c r="E57" i="53"/>
  <c r="E65" i="94" s="1"/>
  <c r="F57" i="53"/>
  <c r="F65" i="94" s="1"/>
  <c r="G57" i="53"/>
  <c r="D65" i="94" s="1"/>
  <c r="C58" i="53"/>
  <c r="B66" i="94" s="1"/>
  <c r="E58" i="53"/>
  <c r="E66" i="94" s="1"/>
  <c r="F58" i="53"/>
  <c r="F66" i="94" s="1"/>
  <c r="G58" i="53"/>
  <c r="D66" i="94" s="1"/>
  <c r="C59" i="53"/>
  <c r="B67" i="94" s="1"/>
  <c r="E59" i="53"/>
  <c r="E67" i="94" s="1"/>
  <c r="F59" i="53"/>
  <c r="F67" i="94" s="1"/>
  <c r="G59" i="53"/>
  <c r="D67" i="94" s="1"/>
  <c r="C60" i="53"/>
  <c r="B68" i="94" s="1"/>
  <c r="E60" i="53"/>
  <c r="E68" i="94" s="1"/>
  <c r="F60" i="53"/>
  <c r="F68" i="94" s="1"/>
  <c r="G60" i="53"/>
  <c r="D68" i="94" s="1"/>
  <c r="C61" i="53"/>
  <c r="B69" i="94" s="1"/>
  <c r="E61" i="53"/>
  <c r="E69" i="94" s="1"/>
  <c r="F61" i="53"/>
  <c r="F69" i="94" s="1"/>
  <c r="G61" i="53"/>
  <c r="D69" i="94" s="1"/>
  <c r="C62" i="53"/>
  <c r="B70" i="94" s="1"/>
  <c r="E62" i="53"/>
  <c r="E70" i="94" s="1"/>
  <c r="F62" i="53"/>
  <c r="F70" i="94" s="1"/>
  <c r="G62" i="53"/>
  <c r="D70" i="94" s="1"/>
  <c r="C63" i="53"/>
  <c r="B71" i="94" s="1"/>
  <c r="E63" i="53"/>
  <c r="E71" i="94" s="1"/>
  <c r="F63" i="53"/>
  <c r="F71" i="94" s="1"/>
  <c r="G63" i="53"/>
  <c r="D71" i="94" s="1"/>
  <c r="C64" i="53"/>
  <c r="B72" i="94" s="1"/>
  <c r="E64" i="53"/>
  <c r="E72" i="94" s="1"/>
  <c r="F64" i="53"/>
  <c r="F72" i="94" s="1"/>
  <c r="G64" i="53"/>
  <c r="D72" i="94" s="1"/>
  <c r="C65" i="53"/>
  <c r="B73" i="94" s="1"/>
  <c r="E65" i="53"/>
  <c r="E73" i="94" s="1"/>
  <c r="F65" i="53"/>
  <c r="F73" i="94" s="1"/>
  <c r="G65" i="53"/>
  <c r="D73" i="94" s="1"/>
  <c r="C66" i="53"/>
  <c r="B74" i="94" s="1"/>
  <c r="E66" i="53"/>
  <c r="E74" i="94" s="1"/>
  <c r="F66" i="53"/>
  <c r="F74" i="94" s="1"/>
  <c r="G66" i="53"/>
  <c r="D74" i="94" s="1"/>
  <c r="C67" i="53"/>
  <c r="B75" i="94" s="1"/>
  <c r="E67" i="53"/>
  <c r="E75" i="94" s="1"/>
  <c r="F67" i="53"/>
  <c r="F75" i="94" s="1"/>
  <c r="G67" i="53"/>
  <c r="D75" i="94" s="1"/>
  <c r="C68" i="53"/>
  <c r="B76" i="94" s="1"/>
  <c r="E68" i="53"/>
  <c r="E76" i="94" s="1"/>
  <c r="F68" i="53"/>
  <c r="F76" i="94" s="1"/>
  <c r="G68" i="53"/>
  <c r="D76" i="94" s="1"/>
  <c r="C69" i="53"/>
  <c r="B77" i="94" s="1"/>
  <c r="E69" i="53"/>
  <c r="E77" i="94" s="1"/>
  <c r="F69" i="53"/>
  <c r="F77" i="94" s="1"/>
  <c r="G69" i="53"/>
  <c r="D77" i="94" s="1"/>
  <c r="C70" i="53"/>
  <c r="B78" i="94" s="1"/>
  <c r="E70" i="53"/>
  <c r="E78" i="94" s="1"/>
  <c r="F70" i="53"/>
  <c r="F78" i="94" s="1"/>
  <c r="G70" i="53"/>
  <c r="D78" i="94" s="1"/>
  <c r="C71" i="53"/>
  <c r="B79" i="94" s="1"/>
  <c r="E71" i="53"/>
  <c r="E79" i="94" s="1"/>
  <c r="F71" i="53"/>
  <c r="F79" i="94" s="1"/>
  <c r="G71" i="53"/>
  <c r="D79" i="94" s="1"/>
  <c r="C72" i="53"/>
  <c r="B80" i="94" s="1"/>
  <c r="E72" i="53"/>
  <c r="E80" i="94" s="1"/>
  <c r="F72" i="53"/>
  <c r="F80" i="94" s="1"/>
  <c r="G72" i="53"/>
  <c r="D80" i="94" s="1"/>
  <c r="C73" i="53"/>
  <c r="B81" i="94" s="1"/>
  <c r="E73" i="53"/>
  <c r="E81" i="94" s="1"/>
  <c r="F73" i="53"/>
  <c r="F81" i="94" s="1"/>
  <c r="G73" i="53"/>
  <c r="D81" i="94" s="1"/>
  <c r="C74" i="53"/>
  <c r="B82" i="94" s="1"/>
  <c r="E74" i="53"/>
  <c r="E82" i="94" s="1"/>
  <c r="F74" i="53"/>
  <c r="F82" i="94" s="1"/>
  <c r="G74" i="53"/>
  <c r="D82" i="94" s="1"/>
  <c r="C75" i="53"/>
  <c r="B83" i="94" s="1"/>
  <c r="E75" i="53"/>
  <c r="E83" i="94" s="1"/>
  <c r="F75" i="53"/>
  <c r="F83" i="94" s="1"/>
  <c r="G75" i="53"/>
  <c r="D83" i="94" s="1"/>
  <c r="C76" i="53"/>
  <c r="B84" i="94" s="1"/>
  <c r="E76" i="53"/>
  <c r="E84" i="94" s="1"/>
  <c r="F76" i="53"/>
  <c r="F84" i="94" s="1"/>
  <c r="G76" i="53"/>
  <c r="D84" i="94" s="1"/>
  <c r="C77" i="53"/>
  <c r="B85" i="94" s="1"/>
  <c r="E77" i="53"/>
  <c r="E85" i="94" s="1"/>
  <c r="F77" i="53"/>
  <c r="F85" i="94" s="1"/>
  <c r="G77" i="53"/>
  <c r="D85" i="94" s="1"/>
  <c r="C78" i="53"/>
  <c r="B86" i="94" s="1"/>
  <c r="E78" i="53"/>
  <c r="E86" i="94" s="1"/>
  <c r="F78" i="53"/>
  <c r="F86" i="94" s="1"/>
  <c r="G78" i="53"/>
  <c r="D86" i="94" s="1"/>
  <c r="C79" i="53"/>
  <c r="B87" i="94" s="1"/>
  <c r="E79" i="53"/>
  <c r="E87" i="94" s="1"/>
  <c r="F79" i="53"/>
  <c r="F87" i="94" s="1"/>
  <c r="G79" i="53"/>
  <c r="D87" i="94" s="1"/>
  <c r="C80" i="53"/>
  <c r="B88" i="94" s="1"/>
  <c r="E80" i="53"/>
  <c r="E88" i="94" s="1"/>
  <c r="F80" i="53"/>
  <c r="F88" i="94" s="1"/>
  <c r="G80" i="53"/>
  <c r="D88" i="94" s="1"/>
  <c r="C81" i="53"/>
  <c r="B89" i="94" s="1"/>
  <c r="E81" i="53"/>
  <c r="E89" i="94" s="1"/>
  <c r="F81" i="53"/>
  <c r="F89" i="94" s="1"/>
  <c r="G81" i="53"/>
  <c r="D89" i="94" s="1"/>
  <c r="C82" i="53"/>
  <c r="B90" i="94" s="1"/>
  <c r="E82" i="53"/>
  <c r="E90" i="94" s="1"/>
  <c r="F82" i="53"/>
  <c r="F90" i="94" s="1"/>
  <c r="G82" i="53"/>
  <c r="D90" i="94" s="1"/>
  <c r="C83" i="53"/>
  <c r="B91" i="94" s="1"/>
  <c r="E83" i="53"/>
  <c r="E91" i="94" s="1"/>
  <c r="F83" i="53"/>
  <c r="F91" i="94" s="1"/>
  <c r="G83" i="53"/>
  <c r="D91" i="94" s="1"/>
  <c r="C84" i="53"/>
  <c r="B92" i="94" s="1"/>
  <c r="E84" i="53"/>
  <c r="E92" i="94" s="1"/>
  <c r="F84" i="53"/>
  <c r="F92" i="94" s="1"/>
  <c r="G84" i="53"/>
  <c r="D92" i="94" s="1"/>
  <c r="C85" i="53"/>
  <c r="B93" i="94" s="1"/>
  <c r="E85" i="53"/>
  <c r="E93" i="94" s="1"/>
  <c r="F85" i="53"/>
  <c r="F93" i="94" s="1"/>
  <c r="G85" i="53"/>
  <c r="D93" i="94" s="1"/>
  <c r="C86" i="53"/>
  <c r="B94" i="94" s="1"/>
  <c r="E86" i="53"/>
  <c r="E94" i="94" s="1"/>
  <c r="F86" i="53"/>
  <c r="F94" i="94" s="1"/>
  <c r="G86" i="53"/>
  <c r="D94" i="94" s="1"/>
  <c r="C87" i="53"/>
  <c r="B95" i="94" s="1"/>
  <c r="E87" i="53"/>
  <c r="E95" i="94" s="1"/>
  <c r="F87" i="53"/>
  <c r="F95" i="94" s="1"/>
  <c r="G87" i="53"/>
  <c r="D95" i="94" s="1"/>
  <c r="C88" i="53"/>
  <c r="B96" i="94" s="1"/>
  <c r="E88" i="53"/>
  <c r="E96" i="94" s="1"/>
  <c r="F88" i="53"/>
  <c r="F96" i="94" s="1"/>
  <c r="G88" i="53"/>
  <c r="D96" i="94" s="1"/>
  <c r="C89" i="53"/>
  <c r="B97" i="94" s="1"/>
  <c r="E89" i="53"/>
  <c r="E97" i="94" s="1"/>
  <c r="F89" i="53"/>
  <c r="F97" i="94" s="1"/>
  <c r="G89" i="53"/>
  <c r="D97" i="94" s="1"/>
  <c r="C90" i="53"/>
  <c r="B98" i="94" s="1"/>
  <c r="E90" i="53"/>
  <c r="E98" i="94" s="1"/>
  <c r="F90" i="53"/>
  <c r="F98" i="94" s="1"/>
  <c r="G90" i="53"/>
  <c r="D98" i="94" s="1"/>
  <c r="C91" i="53"/>
  <c r="B99" i="94" s="1"/>
  <c r="E91" i="53"/>
  <c r="E99" i="94" s="1"/>
  <c r="F91" i="53"/>
  <c r="F99" i="94" s="1"/>
  <c r="G91" i="53"/>
  <c r="D99" i="94" s="1"/>
  <c r="C92" i="53"/>
  <c r="B100" i="94" s="1"/>
  <c r="E92" i="53"/>
  <c r="E100" i="94" s="1"/>
  <c r="F92" i="53"/>
  <c r="F100" i="94" s="1"/>
  <c r="G92" i="53"/>
  <c r="D100" i="94" s="1"/>
  <c r="C93" i="53"/>
  <c r="B101" i="94" s="1"/>
  <c r="E93" i="53"/>
  <c r="E101" i="94" s="1"/>
  <c r="F93" i="53"/>
  <c r="F101" i="94" s="1"/>
  <c r="G93" i="53"/>
  <c r="D101" i="94" s="1"/>
  <c r="C94" i="53"/>
  <c r="B102" i="94" s="1"/>
  <c r="E94" i="53"/>
  <c r="E102" i="94" s="1"/>
  <c r="F94" i="53"/>
  <c r="F102" i="94" s="1"/>
  <c r="G94" i="53"/>
  <c r="D102" i="94" s="1"/>
  <c r="C95" i="53"/>
  <c r="B103" i="94" s="1"/>
  <c r="E95" i="53"/>
  <c r="E103" i="94" s="1"/>
  <c r="F95" i="53"/>
  <c r="F103" i="94" s="1"/>
  <c r="G95" i="53"/>
  <c r="D103" i="94" s="1"/>
  <c r="C96" i="53"/>
  <c r="B104" i="94" s="1"/>
  <c r="E96" i="53"/>
  <c r="E104" i="94" s="1"/>
  <c r="F96" i="53"/>
  <c r="F104" i="94" s="1"/>
  <c r="G96" i="53"/>
  <c r="D104" i="94" s="1"/>
  <c r="C97" i="53"/>
  <c r="B105" i="94" s="1"/>
  <c r="E97" i="53"/>
  <c r="E105" i="94" s="1"/>
  <c r="F97" i="53"/>
  <c r="F105" i="94" s="1"/>
  <c r="G97" i="53"/>
  <c r="D105" i="94" s="1"/>
  <c r="C98" i="53"/>
  <c r="B106" i="94" s="1"/>
  <c r="E98" i="53"/>
  <c r="E106" i="94" s="1"/>
  <c r="F98" i="53"/>
  <c r="F106" i="94" s="1"/>
  <c r="G98" i="53"/>
  <c r="D106" i="94" s="1"/>
  <c r="C99" i="53"/>
  <c r="B107" i="94" s="1"/>
  <c r="E99" i="53"/>
  <c r="E107" i="94" s="1"/>
  <c r="F99" i="53"/>
  <c r="F107" i="94" s="1"/>
  <c r="G99" i="53"/>
  <c r="D107" i="94" s="1"/>
  <c r="C100" i="53"/>
  <c r="B108" i="94" s="1"/>
  <c r="E100" i="53"/>
  <c r="E108" i="94" s="1"/>
  <c r="F100" i="53"/>
  <c r="F108" i="94" s="1"/>
  <c r="G100" i="53"/>
  <c r="D108" i="94" s="1"/>
  <c r="C101" i="53"/>
  <c r="B109" i="94" s="1"/>
  <c r="E101" i="53"/>
  <c r="E109" i="94" s="1"/>
  <c r="F101" i="53"/>
  <c r="F109" i="94" s="1"/>
  <c r="G101" i="53"/>
  <c r="D109" i="94" s="1"/>
  <c r="C102" i="53"/>
  <c r="B110" i="94" s="1"/>
  <c r="E102" i="53"/>
  <c r="E110" i="94" s="1"/>
  <c r="F102" i="53"/>
  <c r="F110" i="94" s="1"/>
  <c r="G102" i="53"/>
  <c r="D110" i="94" s="1"/>
  <c r="C103" i="53"/>
  <c r="B111" i="94" s="1"/>
  <c r="E103" i="53"/>
  <c r="E111" i="94" s="1"/>
  <c r="F103" i="53"/>
  <c r="F111" i="94" s="1"/>
  <c r="G103" i="53"/>
  <c r="D111" i="94" s="1"/>
  <c r="C104" i="53"/>
  <c r="B112" i="94" s="1"/>
  <c r="E104" i="53"/>
  <c r="E112" i="94" s="1"/>
  <c r="F104" i="53"/>
  <c r="F112" i="94" s="1"/>
  <c r="G104" i="53"/>
  <c r="D112" i="94" s="1"/>
  <c r="C105" i="53"/>
  <c r="B113" i="94" s="1"/>
  <c r="E105" i="53"/>
  <c r="E113" i="94" s="1"/>
  <c r="F105" i="53"/>
  <c r="F113" i="94" s="1"/>
  <c r="G105" i="53"/>
  <c r="D113" i="94" s="1"/>
  <c r="C106" i="53"/>
  <c r="B114" i="94" s="1"/>
  <c r="E106" i="53"/>
  <c r="E114" i="94" s="1"/>
  <c r="F106" i="53"/>
  <c r="F114" i="94" s="1"/>
  <c r="G106" i="53"/>
  <c r="D114" i="94" s="1"/>
  <c r="C107" i="53"/>
  <c r="B115" i="94" s="1"/>
  <c r="E107" i="53"/>
  <c r="E115" i="94" s="1"/>
  <c r="F107" i="53"/>
  <c r="F115" i="94" s="1"/>
  <c r="G107" i="53"/>
  <c r="D115" i="94" s="1"/>
  <c r="C108" i="53"/>
  <c r="B116" i="94" s="1"/>
  <c r="E108" i="53"/>
  <c r="E116" i="94" s="1"/>
  <c r="F108" i="53"/>
  <c r="F116" i="94" s="1"/>
  <c r="G108" i="53"/>
  <c r="D116" i="94" s="1"/>
  <c r="C109" i="53"/>
  <c r="B117" i="94" s="1"/>
  <c r="E109" i="53"/>
  <c r="E117" i="94" s="1"/>
  <c r="F109" i="53"/>
  <c r="F117" i="94" s="1"/>
  <c r="G109" i="53"/>
  <c r="D117" i="94" s="1"/>
  <c r="C110" i="53"/>
  <c r="B118" i="94" s="1"/>
  <c r="E110" i="53"/>
  <c r="E118" i="94" s="1"/>
  <c r="F110" i="53"/>
  <c r="F118" i="94" s="1"/>
  <c r="G110" i="53"/>
  <c r="D118" i="94" s="1"/>
  <c r="C111" i="53"/>
  <c r="B119" i="94" s="1"/>
  <c r="E111" i="53"/>
  <c r="E119" i="94" s="1"/>
  <c r="F111" i="53"/>
  <c r="F119" i="94" s="1"/>
  <c r="G111" i="53"/>
  <c r="D119" i="94" s="1"/>
  <c r="C112" i="53"/>
  <c r="B120" i="94" s="1"/>
  <c r="E112" i="53"/>
  <c r="E120" i="94" s="1"/>
  <c r="F112" i="53"/>
  <c r="F120" i="94" s="1"/>
  <c r="G112" i="53"/>
  <c r="D120" i="94" s="1"/>
  <c r="C113" i="53"/>
  <c r="B121" i="94" s="1"/>
  <c r="E113" i="53"/>
  <c r="E121" i="94" s="1"/>
  <c r="F113" i="53"/>
  <c r="F121" i="94" s="1"/>
  <c r="G113" i="53"/>
  <c r="D121" i="94" s="1"/>
  <c r="C114" i="53"/>
  <c r="B122" i="94" s="1"/>
  <c r="E114" i="53"/>
  <c r="E122" i="94" s="1"/>
  <c r="F114" i="53"/>
  <c r="F122" i="94" s="1"/>
  <c r="G114" i="53"/>
  <c r="D122" i="94" s="1"/>
  <c r="C115" i="53"/>
  <c r="B123" i="94" s="1"/>
  <c r="E115" i="53"/>
  <c r="E123" i="94" s="1"/>
  <c r="F115" i="53"/>
  <c r="F123" i="94" s="1"/>
  <c r="G115" i="53"/>
  <c r="D123" i="94" s="1"/>
  <c r="C116" i="53"/>
  <c r="B124" i="94" s="1"/>
  <c r="E116" i="53"/>
  <c r="E124" i="94" s="1"/>
  <c r="F116" i="53"/>
  <c r="F124" i="94" s="1"/>
  <c r="G116" i="53"/>
  <c r="D124" i="94" s="1"/>
  <c r="C117" i="53"/>
  <c r="B125" i="94" s="1"/>
  <c r="E117" i="53"/>
  <c r="E125" i="94" s="1"/>
  <c r="F117" i="53"/>
  <c r="F125" i="94" s="1"/>
  <c r="G117" i="53"/>
  <c r="D125" i="94" s="1"/>
  <c r="C118" i="53"/>
  <c r="B126" i="94" s="1"/>
  <c r="E118" i="53"/>
  <c r="E126" i="94" s="1"/>
  <c r="F118" i="53"/>
  <c r="F126" i="94" s="1"/>
  <c r="G118" i="53"/>
  <c r="D126" i="94" s="1"/>
  <c r="C119" i="53"/>
  <c r="B127" i="94" s="1"/>
  <c r="E119" i="53"/>
  <c r="E127" i="94" s="1"/>
  <c r="F119" i="53"/>
  <c r="F127" i="94" s="1"/>
  <c r="G119" i="53"/>
  <c r="D127" i="94" s="1"/>
  <c r="C120" i="53"/>
  <c r="B128" i="94" s="1"/>
  <c r="E120" i="53"/>
  <c r="E128" i="94" s="1"/>
  <c r="F120" i="53"/>
  <c r="F128" i="94" s="1"/>
  <c r="G120" i="53"/>
  <c r="D128" i="94" s="1"/>
  <c r="C121" i="53"/>
  <c r="B129" i="94" s="1"/>
  <c r="E121" i="53"/>
  <c r="E129" i="94" s="1"/>
  <c r="F121" i="53"/>
  <c r="F129" i="94" s="1"/>
  <c r="G121" i="53"/>
  <c r="D129" i="94" s="1"/>
  <c r="C122" i="53"/>
  <c r="B130" i="94" s="1"/>
  <c r="E122" i="53"/>
  <c r="E130" i="94" s="1"/>
  <c r="F122" i="53"/>
  <c r="F130" i="94" s="1"/>
  <c r="G122" i="53"/>
  <c r="D130" i="94" s="1"/>
  <c r="C123" i="53"/>
  <c r="B131" i="94" s="1"/>
  <c r="E123" i="53"/>
  <c r="E131" i="94" s="1"/>
  <c r="F123" i="53"/>
  <c r="F131" i="94" s="1"/>
  <c r="G123" i="53"/>
  <c r="D131" i="94" s="1"/>
  <c r="C124" i="53"/>
  <c r="B132" i="94" s="1"/>
  <c r="E124" i="53"/>
  <c r="E132" i="94" s="1"/>
  <c r="F124" i="53"/>
  <c r="F132" i="94" s="1"/>
  <c r="G124" i="53"/>
  <c r="D132" i="94" s="1"/>
  <c r="C125" i="53"/>
  <c r="B133" i="94" s="1"/>
  <c r="E125" i="53"/>
  <c r="E133" i="94" s="1"/>
  <c r="F125" i="53"/>
  <c r="F133" i="94" s="1"/>
  <c r="G125" i="53"/>
  <c r="D133" i="94" s="1"/>
  <c r="C126" i="53"/>
  <c r="B134" i="94" s="1"/>
  <c r="E126" i="53"/>
  <c r="E134" i="94" s="1"/>
  <c r="F126" i="53"/>
  <c r="F134" i="94" s="1"/>
  <c r="G126" i="53"/>
  <c r="D134" i="94" s="1"/>
  <c r="C127" i="53"/>
  <c r="B135" i="94" s="1"/>
  <c r="E127" i="53"/>
  <c r="E135" i="94" s="1"/>
  <c r="F127" i="53"/>
  <c r="F135" i="94" s="1"/>
  <c r="G127" i="53"/>
  <c r="D135" i="94" s="1"/>
  <c r="C128" i="53"/>
  <c r="B136" i="94" s="1"/>
  <c r="E128" i="53"/>
  <c r="E136" i="94" s="1"/>
  <c r="F128" i="53"/>
  <c r="F136" i="94" s="1"/>
  <c r="G128" i="53"/>
  <c r="D136" i="94" s="1"/>
  <c r="C129" i="53"/>
  <c r="B137" i="94" s="1"/>
  <c r="E129" i="53"/>
  <c r="E137" i="94" s="1"/>
  <c r="F129" i="53"/>
  <c r="F137" i="94" s="1"/>
  <c r="G129" i="53"/>
  <c r="D137" i="94" s="1"/>
  <c r="C130" i="53"/>
  <c r="B138" i="94" s="1"/>
  <c r="E130" i="53"/>
  <c r="E138" i="94" s="1"/>
  <c r="F130" i="53"/>
  <c r="F138" i="94" s="1"/>
  <c r="G130" i="53"/>
  <c r="D138" i="94" s="1"/>
  <c r="C131" i="53"/>
  <c r="B139" i="94" s="1"/>
  <c r="E131" i="53"/>
  <c r="E139" i="94" s="1"/>
  <c r="F131" i="53"/>
  <c r="F139" i="94" s="1"/>
  <c r="G131" i="53"/>
  <c r="D139" i="94" s="1"/>
  <c r="C132" i="53"/>
  <c r="B140" i="94" s="1"/>
  <c r="E132" i="53"/>
  <c r="E140" i="94" s="1"/>
  <c r="F132" i="53"/>
  <c r="F140" i="94" s="1"/>
  <c r="G132" i="53"/>
  <c r="D140" i="94" s="1"/>
  <c r="C133" i="53"/>
  <c r="B141" i="94" s="1"/>
  <c r="E133" i="53"/>
  <c r="E141" i="94" s="1"/>
  <c r="F133" i="53"/>
  <c r="F141" i="94" s="1"/>
  <c r="G133" i="53"/>
  <c r="D141" i="94" s="1"/>
  <c r="C134" i="53"/>
  <c r="B142" i="94" s="1"/>
  <c r="E134" i="53"/>
  <c r="E142" i="94" s="1"/>
  <c r="F134" i="53"/>
  <c r="F142" i="94" s="1"/>
  <c r="G134" i="53"/>
  <c r="D142" i="94" s="1"/>
  <c r="C135" i="53"/>
  <c r="B143" i="94" s="1"/>
  <c r="E135" i="53"/>
  <c r="E143" i="94" s="1"/>
  <c r="F135" i="53"/>
  <c r="F143" i="94" s="1"/>
  <c r="G135" i="53"/>
  <c r="D143" i="94" s="1"/>
  <c r="C136" i="53"/>
  <c r="B144" i="94" s="1"/>
  <c r="E136" i="53"/>
  <c r="E144" i="94" s="1"/>
  <c r="F136" i="53"/>
  <c r="F144" i="94" s="1"/>
  <c r="G136" i="53"/>
  <c r="D144" i="94" s="1"/>
  <c r="C137" i="53"/>
  <c r="B145" i="94" s="1"/>
  <c r="E137" i="53"/>
  <c r="E145" i="94" s="1"/>
  <c r="F137" i="53"/>
  <c r="F145" i="94" s="1"/>
  <c r="G137" i="53"/>
  <c r="D145" i="94" s="1"/>
  <c r="C138" i="53"/>
  <c r="B146" i="94" s="1"/>
  <c r="E138" i="53"/>
  <c r="E146" i="94" s="1"/>
  <c r="F138" i="53"/>
  <c r="F146" i="94" s="1"/>
  <c r="G138" i="53"/>
  <c r="D146" i="94" s="1"/>
  <c r="C139" i="53"/>
  <c r="B147" i="94" s="1"/>
  <c r="E139" i="53"/>
  <c r="E147" i="94" s="1"/>
  <c r="F139" i="53"/>
  <c r="F147" i="94" s="1"/>
  <c r="G139" i="53"/>
  <c r="D147" i="94" s="1"/>
  <c r="C140" i="53"/>
  <c r="B148" i="94" s="1"/>
  <c r="E140" i="53"/>
  <c r="E148" i="94" s="1"/>
  <c r="F140" i="53"/>
  <c r="F148" i="94" s="1"/>
  <c r="G140" i="53"/>
  <c r="D148" i="94" s="1"/>
  <c r="C141" i="53"/>
  <c r="B149" i="94" s="1"/>
  <c r="E141" i="53"/>
  <c r="E149" i="94" s="1"/>
  <c r="F141" i="53"/>
  <c r="F149" i="94" s="1"/>
  <c r="G141" i="53"/>
  <c r="D149" i="94" s="1"/>
  <c r="C142" i="53"/>
  <c r="B150" i="94" s="1"/>
  <c r="E142" i="53"/>
  <c r="E150" i="94" s="1"/>
  <c r="F142" i="53"/>
  <c r="F150" i="94" s="1"/>
  <c r="G142" i="53"/>
  <c r="D150" i="94" s="1"/>
  <c r="C143" i="53"/>
  <c r="B151" i="94" s="1"/>
  <c r="E143" i="53"/>
  <c r="E151" i="94" s="1"/>
  <c r="F143" i="53"/>
  <c r="F151" i="94" s="1"/>
  <c r="G143" i="53"/>
  <c r="D151" i="94" s="1"/>
  <c r="C144" i="53"/>
  <c r="B152" i="94" s="1"/>
  <c r="E144" i="53"/>
  <c r="E152" i="94" s="1"/>
  <c r="F144" i="53"/>
  <c r="F152" i="94" s="1"/>
  <c r="G144" i="53"/>
  <c r="D152" i="94" s="1"/>
  <c r="C145" i="53"/>
  <c r="B153" i="94" s="1"/>
  <c r="E145" i="53"/>
  <c r="E153" i="94" s="1"/>
  <c r="F145" i="53"/>
  <c r="F153" i="94" s="1"/>
  <c r="G145" i="53"/>
  <c r="D153" i="94" s="1"/>
  <c r="C146" i="53"/>
  <c r="B154" i="94" s="1"/>
  <c r="E146" i="53"/>
  <c r="E154" i="94" s="1"/>
  <c r="F146" i="53"/>
  <c r="F154" i="94" s="1"/>
  <c r="G146" i="53"/>
  <c r="D154" i="94" s="1"/>
  <c r="C147" i="53"/>
  <c r="B155" i="94" s="1"/>
  <c r="E147" i="53"/>
  <c r="E155" i="94" s="1"/>
  <c r="F147" i="53"/>
  <c r="F155" i="94" s="1"/>
  <c r="G147" i="53"/>
  <c r="D155" i="94" s="1"/>
  <c r="C148" i="53"/>
  <c r="B156" i="94" s="1"/>
  <c r="E148" i="53"/>
  <c r="E156" i="94" s="1"/>
  <c r="F148" i="53"/>
  <c r="F156" i="94" s="1"/>
  <c r="G148" i="53"/>
  <c r="D156" i="94" s="1"/>
  <c r="C149" i="53"/>
  <c r="B157" i="94" s="1"/>
  <c r="E149" i="53"/>
  <c r="E157" i="94" s="1"/>
  <c r="F149" i="53"/>
  <c r="F157" i="94" s="1"/>
  <c r="G149" i="53"/>
  <c r="D157" i="94" s="1"/>
  <c r="C150" i="53"/>
  <c r="B158" i="94" s="1"/>
  <c r="E150" i="53"/>
  <c r="E158" i="94" s="1"/>
  <c r="F150" i="53"/>
  <c r="F158" i="94" s="1"/>
  <c r="G150" i="53"/>
  <c r="D158" i="94" s="1"/>
  <c r="C151" i="53"/>
  <c r="B159" i="94" s="1"/>
  <c r="E151" i="53"/>
  <c r="E159" i="94" s="1"/>
  <c r="F151" i="53"/>
  <c r="F159" i="94" s="1"/>
  <c r="G151" i="53"/>
  <c r="D159" i="94" s="1"/>
  <c r="C152" i="53"/>
  <c r="B160" i="94" s="1"/>
  <c r="E152" i="53"/>
  <c r="E160" i="94" s="1"/>
  <c r="F152" i="53"/>
  <c r="F160" i="94" s="1"/>
  <c r="G152" i="53"/>
  <c r="D160" i="94" s="1"/>
  <c r="C153" i="53"/>
  <c r="B161" i="94" s="1"/>
  <c r="E153" i="53"/>
  <c r="E161" i="94" s="1"/>
  <c r="F153" i="53"/>
  <c r="F161" i="94" s="1"/>
  <c r="G153" i="53"/>
  <c r="D161" i="94" s="1"/>
  <c r="C154" i="53"/>
  <c r="B162" i="94" s="1"/>
  <c r="E154" i="53"/>
  <c r="E162" i="94" s="1"/>
  <c r="F154" i="53"/>
  <c r="F162" i="94" s="1"/>
  <c r="G154" i="53"/>
  <c r="D162" i="94" s="1"/>
  <c r="C155" i="53"/>
  <c r="B163" i="94" s="1"/>
  <c r="E155" i="53"/>
  <c r="E163" i="94" s="1"/>
  <c r="F155" i="53"/>
  <c r="F163" i="94" s="1"/>
  <c r="G155" i="53"/>
  <c r="D163" i="94" s="1"/>
  <c r="C156" i="53"/>
  <c r="B164" i="94" s="1"/>
  <c r="E156" i="53"/>
  <c r="E164" i="94" s="1"/>
  <c r="F156" i="53"/>
  <c r="F164" i="94" s="1"/>
  <c r="G156" i="53"/>
  <c r="D164" i="94" s="1"/>
  <c r="C157" i="53"/>
  <c r="B165" i="94" s="1"/>
  <c r="E157" i="53"/>
  <c r="E165" i="94" s="1"/>
  <c r="F157" i="53"/>
  <c r="F165" i="94" s="1"/>
  <c r="G157" i="53"/>
  <c r="D165" i="94" s="1"/>
  <c r="C158" i="53"/>
  <c r="B166" i="94" s="1"/>
  <c r="E158" i="53"/>
  <c r="E166" i="94" s="1"/>
  <c r="F158" i="53"/>
  <c r="F166" i="94" s="1"/>
  <c r="G158" i="53"/>
  <c r="D166" i="94" s="1"/>
  <c r="C159" i="53"/>
  <c r="B167" i="94" s="1"/>
  <c r="E159" i="53"/>
  <c r="E167" i="94" s="1"/>
  <c r="F159" i="53"/>
  <c r="F167" i="94" s="1"/>
  <c r="G159" i="53"/>
  <c r="D167" i="94" s="1"/>
  <c r="C160" i="53"/>
  <c r="B168" i="94" s="1"/>
  <c r="E160" i="53"/>
  <c r="E168" i="94" s="1"/>
  <c r="F160" i="53"/>
  <c r="F168" i="94" s="1"/>
  <c r="G160" i="53"/>
  <c r="D168" i="94" s="1"/>
  <c r="C161" i="53"/>
  <c r="B169" i="94" s="1"/>
  <c r="E161" i="53"/>
  <c r="E169" i="94" s="1"/>
  <c r="F161" i="53"/>
  <c r="F169" i="94" s="1"/>
  <c r="G161" i="53"/>
  <c r="D169" i="94" s="1"/>
  <c r="C162" i="53"/>
  <c r="B170" i="94" s="1"/>
  <c r="E162" i="53"/>
  <c r="E170" i="94" s="1"/>
  <c r="F162" i="53"/>
  <c r="F170" i="94" s="1"/>
  <c r="G162" i="53"/>
  <c r="D170" i="94" s="1"/>
  <c r="C163" i="53"/>
  <c r="B171" i="94" s="1"/>
  <c r="E163" i="53"/>
  <c r="E171" i="94" s="1"/>
  <c r="F163" i="53"/>
  <c r="F171" i="94" s="1"/>
  <c r="G163" i="53"/>
  <c r="D171" i="94" s="1"/>
  <c r="C164" i="53"/>
  <c r="B172" i="94" s="1"/>
  <c r="E164" i="53"/>
  <c r="E172" i="94" s="1"/>
  <c r="F164" i="53"/>
  <c r="F172" i="94" s="1"/>
  <c r="G164" i="53"/>
  <c r="D172" i="94" s="1"/>
  <c r="C165" i="53"/>
  <c r="B173" i="94" s="1"/>
  <c r="E165" i="53"/>
  <c r="E173" i="94" s="1"/>
  <c r="F165" i="53"/>
  <c r="F173" i="94" s="1"/>
  <c r="G165" i="53"/>
  <c r="D173" i="94" s="1"/>
  <c r="C166" i="53"/>
  <c r="B174" i="94" s="1"/>
  <c r="E166" i="53"/>
  <c r="E174" i="94" s="1"/>
  <c r="F166" i="53"/>
  <c r="F174" i="94" s="1"/>
  <c r="G166" i="53"/>
  <c r="D174" i="94" s="1"/>
  <c r="C167" i="53"/>
  <c r="B175" i="94" s="1"/>
  <c r="E167" i="53"/>
  <c r="E175" i="94" s="1"/>
  <c r="F167" i="53"/>
  <c r="F175" i="94" s="1"/>
  <c r="G167" i="53"/>
  <c r="D175" i="94" s="1"/>
  <c r="C168" i="53"/>
  <c r="B176" i="94" s="1"/>
  <c r="E168" i="53"/>
  <c r="E176" i="94" s="1"/>
  <c r="F168" i="53"/>
  <c r="F176" i="94" s="1"/>
  <c r="G168" i="53"/>
  <c r="D176" i="94" s="1"/>
  <c r="C169" i="53"/>
  <c r="B177" i="94" s="1"/>
  <c r="E169" i="53"/>
  <c r="E177" i="94" s="1"/>
  <c r="F169" i="53"/>
  <c r="F177" i="94" s="1"/>
  <c r="G169" i="53"/>
  <c r="D177" i="94" s="1"/>
  <c r="C170" i="53"/>
  <c r="B178" i="94" s="1"/>
  <c r="E170" i="53"/>
  <c r="E178" i="94" s="1"/>
  <c r="F170" i="53"/>
  <c r="F178" i="94" s="1"/>
  <c r="G170" i="53"/>
  <c r="D178" i="94" s="1"/>
  <c r="C171" i="53"/>
  <c r="B179" i="94" s="1"/>
  <c r="E171" i="53"/>
  <c r="E179" i="94" s="1"/>
  <c r="F171" i="53"/>
  <c r="F179" i="94" s="1"/>
  <c r="G171" i="53"/>
  <c r="D179" i="94" s="1"/>
  <c r="C172" i="53"/>
  <c r="B180" i="94" s="1"/>
  <c r="E172" i="53"/>
  <c r="E180" i="94" s="1"/>
  <c r="F172" i="53"/>
  <c r="F180" i="94" s="1"/>
  <c r="G172" i="53"/>
  <c r="D180" i="94" s="1"/>
  <c r="C173" i="53"/>
  <c r="B181" i="94" s="1"/>
  <c r="E173" i="53"/>
  <c r="E181" i="94" s="1"/>
  <c r="F173" i="53"/>
  <c r="F181" i="94" s="1"/>
  <c r="G173" i="53"/>
  <c r="D181" i="94" s="1"/>
  <c r="C174" i="53"/>
  <c r="B182" i="94" s="1"/>
  <c r="E174" i="53"/>
  <c r="E182" i="94" s="1"/>
  <c r="F174" i="53"/>
  <c r="F182" i="94" s="1"/>
  <c r="G174" i="53"/>
  <c r="D182" i="94" s="1"/>
  <c r="C175" i="53"/>
  <c r="B183" i="94" s="1"/>
  <c r="E175" i="53"/>
  <c r="E183" i="94" s="1"/>
  <c r="F175" i="53"/>
  <c r="F183" i="94" s="1"/>
  <c r="G175" i="53"/>
  <c r="D183" i="94" s="1"/>
  <c r="C176" i="53"/>
  <c r="B184" i="94" s="1"/>
  <c r="E176" i="53"/>
  <c r="E184" i="94" s="1"/>
  <c r="F176" i="53"/>
  <c r="F184" i="94" s="1"/>
  <c r="G176" i="53"/>
  <c r="D184" i="94" s="1"/>
  <c r="C177" i="53"/>
  <c r="B185" i="94" s="1"/>
  <c r="E177" i="53"/>
  <c r="E185" i="94" s="1"/>
  <c r="F177" i="53"/>
  <c r="F185" i="94" s="1"/>
  <c r="G177" i="53"/>
  <c r="D185" i="94" s="1"/>
  <c r="C178" i="53"/>
  <c r="B186" i="94" s="1"/>
  <c r="E178" i="53"/>
  <c r="E186" i="94" s="1"/>
  <c r="F178" i="53"/>
  <c r="F186" i="94" s="1"/>
  <c r="G178" i="53"/>
  <c r="D186" i="94" s="1"/>
  <c r="C179" i="53"/>
  <c r="B187" i="94" s="1"/>
  <c r="E179" i="53"/>
  <c r="E187" i="94" s="1"/>
  <c r="F179" i="53"/>
  <c r="F187" i="94" s="1"/>
  <c r="G179" i="53"/>
  <c r="D187" i="94" s="1"/>
  <c r="C180" i="53"/>
  <c r="B188" i="94" s="1"/>
  <c r="E180" i="53"/>
  <c r="E188" i="94" s="1"/>
  <c r="F180" i="53"/>
  <c r="F188" i="94" s="1"/>
  <c r="G180" i="53"/>
  <c r="D188" i="94" s="1"/>
  <c r="C181" i="53"/>
  <c r="B189" i="94" s="1"/>
  <c r="E181" i="53"/>
  <c r="E189" i="94" s="1"/>
  <c r="F181" i="53"/>
  <c r="F189" i="94" s="1"/>
  <c r="G181" i="53"/>
  <c r="D189" i="94" s="1"/>
  <c r="C182" i="53"/>
  <c r="B190" i="94" s="1"/>
  <c r="E182" i="53"/>
  <c r="E190" i="94" s="1"/>
  <c r="F182" i="53"/>
  <c r="F190" i="94" s="1"/>
  <c r="G182" i="53"/>
  <c r="D190" i="94" s="1"/>
  <c r="C183" i="53"/>
  <c r="B191" i="94" s="1"/>
  <c r="E183" i="53"/>
  <c r="E191" i="94" s="1"/>
  <c r="F183" i="53"/>
  <c r="F191" i="94" s="1"/>
  <c r="G183" i="53"/>
  <c r="D191" i="94" s="1"/>
  <c r="C184" i="53"/>
  <c r="B192" i="94" s="1"/>
  <c r="E184" i="53"/>
  <c r="E192" i="94" s="1"/>
  <c r="F184" i="53"/>
  <c r="F192" i="94" s="1"/>
  <c r="G184" i="53"/>
  <c r="D192" i="94" s="1"/>
  <c r="C185" i="53"/>
  <c r="B193" i="94" s="1"/>
  <c r="E185" i="53"/>
  <c r="E193" i="94" s="1"/>
  <c r="F185" i="53"/>
  <c r="F193" i="94" s="1"/>
  <c r="G185" i="53"/>
  <c r="D193" i="94" s="1"/>
  <c r="C186" i="53"/>
  <c r="B194" i="94" s="1"/>
  <c r="E186" i="53"/>
  <c r="E194" i="94" s="1"/>
  <c r="F186" i="53"/>
  <c r="F194" i="94" s="1"/>
  <c r="G186" i="53"/>
  <c r="D194" i="94" s="1"/>
  <c r="C187" i="53"/>
  <c r="B195" i="94" s="1"/>
  <c r="E187" i="53"/>
  <c r="E195" i="94" s="1"/>
  <c r="F187" i="53"/>
  <c r="F195" i="94" s="1"/>
  <c r="G187" i="53"/>
  <c r="D195" i="94" s="1"/>
  <c r="C188" i="53"/>
  <c r="B196" i="94" s="1"/>
  <c r="E188" i="53"/>
  <c r="E196" i="94" s="1"/>
  <c r="F188" i="53"/>
  <c r="F196" i="94" s="1"/>
  <c r="G188" i="53"/>
  <c r="D196" i="94" s="1"/>
  <c r="C189" i="53"/>
  <c r="B197" i="94" s="1"/>
  <c r="E189" i="53"/>
  <c r="E197" i="94" s="1"/>
  <c r="F189" i="53"/>
  <c r="F197" i="94" s="1"/>
  <c r="G189" i="53"/>
  <c r="D197" i="94" s="1"/>
  <c r="C190" i="53"/>
  <c r="B198" i="94" s="1"/>
  <c r="E190" i="53"/>
  <c r="E198" i="94" s="1"/>
  <c r="F190" i="53"/>
  <c r="F198" i="94" s="1"/>
  <c r="G190" i="53"/>
  <c r="D198" i="94" s="1"/>
  <c r="C191" i="53"/>
  <c r="B199" i="94" s="1"/>
  <c r="E191" i="53"/>
  <c r="E199" i="94" s="1"/>
  <c r="F191" i="53"/>
  <c r="F199" i="94" s="1"/>
  <c r="G191" i="53"/>
  <c r="D199" i="94" s="1"/>
  <c r="C192" i="53"/>
  <c r="B200" i="94" s="1"/>
  <c r="E192" i="53"/>
  <c r="E200" i="94" s="1"/>
  <c r="F192" i="53"/>
  <c r="F200" i="94" s="1"/>
  <c r="G192" i="53"/>
  <c r="D200" i="94" s="1"/>
  <c r="C193" i="53"/>
  <c r="B201" i="94" s="1"/>
  <c r="E193" i="53"/>
  <c r="E201" i="94" s="1"/>
  <c r="F193" i="53"/>
  <c r="F201" i="94" s="1"/>
  <c r="G193" i="53"/>
  <c r="D201" i="94" s="1"/>
  <c r="A6" i="80"/>
  <c r="B6" i="80"/>
  <c r="C6" i="80"/>
  <c r="D6" i="80"/>
  <c r="E6" i="80"/>
  <c r="A7" i="80"/>
  <c r="B7" i="80"/>
  <c r="C7" i="80"/>
  <c r="D7" i="80"/>
  <c r="E7" i="80"/>
  <c r="A8" i="80"/>
  <c r="B8" i="80"/>
  <c r="C8" i="80"/>
  <c r="D8" i="80"/>
  <c r="E8" i="80"/>
  <c r="A9" i="80"/>
  <c r="B9" i="80"/>
  <c r="C9" i="80"/>
  <c r="D9" i="80"/>
  <c r="E9" i="80"/>
  <c r="A10" i="80"/>
  <c r="B10" i="80"/>
  <c r="C10" i="80"/>
  <c r="D10" i="80"/>
  <c r="E10" i="80"/>
  <c r="A11" i="80"/>
  <c r="B11" i="80"/>
  <c r="C11" i="80"/>
  <c r="D11" i="80"/>
  <c r="E11" i="80"/>
  <c r="A12" i="80"/>
  <c r="B12" i="80"/>
  <c r="C12" i="80"/>
  <c r="D12" i="80"/>
  <c r="E12" i="80"/>
  <c r="A13" i="80"/>
  <c r="B13" i="80"/>
  <c r="C13" i="80"/>
  <c r="D13" i="80"/>
  <c r="E13" i="80"/>
  <c r="A14" i="80"/>
  <c r="B14" i="80"/>
  <c r="C14" i="80"/>
  <c r="D14" i="80"/>
  <c r="E14" i="80"/>
  <c r="A15" i="80"/>
  <c r="B15" i="80"/>
  <c r="C15" i="80"/>
  <c r="D15" i="80"/>
  <c r="E15" i="80"/>
  <c r="A16" i="80"/>
  <c r="B16" i="80"/>
  <c r="C16" i="80"/>
  <c r="D16" i="80"/>
  <c r="E16" i="80"/>
  <c r="A17" i="80"/>
  <c r="B17" i="80"/>
  <c r="C17" i="80"/>
  <c r="D17" i="80"/>
  <c r="E17" i="80"/>
  <c r="A18" i="80"/>
  <c r="B18" i="80"/>
  <c r="C18" i="80"/>
  <c r="D18" i="80"/>
  <c r="E18" i="80"/>
  <c r="A19" i="80"/>
  <c r="B19" i="80"/>
  <c r="C19" i="80"/>
  <c r="D19" i="80"/>
  <c r="E19" i="80"/>
  <c r="A20" i="80"/>
  <c r="B20" i="80"/>
  <c r="C20" i="80"/>
  <c r="D20" i="80"/>
  <c r="E20" i="80"/>
  <c r="A21" i="80"/>
  <c r="B21" i="80"/>
  <c r="C21" i="80"/>
  <c r="D21" i="80"/>
  <c r="E21" i="80"/>
  <c r="A22" i="80"/>
  <c r="B22" i="80"/>
  <c r="C22" i="80"/>
  <c r="D22" i="80"/>
  <c r="E22" i="80"/>
  <c r="A23" i="80"/>
  <c r="B23" i="80"/>
  <c r="C23" i="80"/>
  <c r="D23" i="80"/>
  <c r="E23" i="80"/>
  <c r="A24" i="80"/>
  <c r="B24" i="80"/>
  <c r="C24" i="80"/>
  <c r="D24" i="80"/>
  <c r="E24" i="80"/>
  <c r="A25" i="80"/>
  <c r="B25" i="80"/>
  <c r="C25" i="80"/>
  <c r="D25" i="80"/>
  <c r="E25" i="80"/>
  <c r="A26" i="80"/>
  <c r="B26" i="80"/>
  <c r="C26" i="80"/>
  <c r="D26" i="80"/>
  <c r="E26" i="80"/>
  <c r="A27" i="80"/>
  <c r="B27" i="80"/>
  <c r="C27" i="80"/>
  <c r="D27" i="80"/>
  <c r="E27" i="80"/>
  <c r="A28" i="80"/>
  <c r="B28" i="80"/>
  <c r="C28" i="80"/>
  <c r="D28" i="80"/>
  <c r="E28" i="80"/>
  <c r="A29" i="80"/>
  <c r="B29" i="80"/>
  <c r="C29" i="80"/>
  <c r="D29" i="80"/>
  <c r="E29" i="80"/>
  <c r="A30" i="80"/>
  <c r="B30" i="80"/>
  <c r="C30" i="80"/>
  <c r="D30" i="80"/>
  <c r="E30" i="80"/>
  <c r="A31" i="80"/>
  <c r="B31" i="80"/>
  <c r="C31" i="80"/>
  <c r="D31" i="80"/>
  <c r="E31" i="80"/>
  <c r="A32" i="80"/>
  <c r="B32" i="80"/>
  <c r="C32" i="80"/>
  <c r="D32" i="80"/>
  <c r="E32" i="80"/>
  <c r="A33" i="80"/>
  <c r="B33" i="80"/>
  <c r="C33" i="80"/>
  <c r="D33" i="80"/>
  <c r="E33" i="80"/>
  <c r="A34" i="80"/>
  <c r="B34" i="80"/>
  <c r="C34" i="80"/>
  <c r="D34" i="80"/>
  <c r="E34" i="80"/>
  <c r="A35" i="80"/>
  <c r="B35" i="80"/>
  <c r="C35" i="80"/>
  <c r="D35" i="80"/>
  <c r="E35" i="80"/>
  <c r="A36" i="80"/>
  <c r="B36" i="80"/>
  <c r="C36" i="80"/>
  <c r="D36" i="80"/>
  <c r="E36" i="80"/>
  <c r="A37" i="80"/>
  <c r="B37" i="80"/>
  <c r="C37" i="80"/>
  <c r="D37" i="80"/>
  <c r="E37" i="80"/>
  <c r="A38" i="80"/>
  <c r="B38" i="80"/>
  <c r="C38" i="80"/>
  <c r="D38" i="80"/>
  <c r="E38" i="80"/>
  <c r="A39" i="80"/>
  <c r="B39" i="80"/>
  <c r="C39" i="80"/>
  <c r="D39" i="80"/>
  <c r="E39" i="80"/>
  <c r="A40" i="80"/>
  <c r="B40" i="80"/>
  <c r="C40" i="80"/>
  <c r="D40" i="80"/>
  <c r="E40" i="80"/>
  <c r="A41" i="80"/>
  <c r="B41" i="80"/>
  <c r="C41" i="80"/>
  <c r="D41" i="80"/>
  <c r="E41" i="80"/>
  <c r="A42" i="80"/>
  <c r="B42" i="80"/>
  <c r="C42" i="80"/>
  <c r="D42" i="80"/>
  <c r="E42" i="80"/>
  <c r="A43" i="80"/>
  <c r="B43" i="80"/>
  <c r="C43" i="80"/>
  <c r="D43" i="80"/>
  <c r="E43" i="80"/>
  <c r="A44" i="80"/>
  <c r="B44" i="80"/>
  <c r="C44" i="80"/>
  <c r="D44" i="80"/>
  <c r="E44" i="80"/>
  <c r="A45" i="80"/>
  <c r="B45" i="80"/>
  <c r="C45" i="80"/>
  <c r="D45" i="80"/>
  <c r="E45" i="80"/>
  <c r="A46" i="80"/>
  <c r="B46" i="80"/>
  <c r="C46" i="80"/>
  <c r="D46" i="80"/>
  <c r="E46" i="80"/>
  <c r="A47" i="80"/>
  <c r="B47" i="80"/>
  <c r="C47" i="80"/>
  <c r="D47" i="80"/>
  <c r="E47" i="80"/>
  <c r="A48" i="80"/>
  <c r="B48" i="80"/>
  <c r="C48" i="80"/>
  <c r="D48" i="80"/>
  <c r="E48" i="80"/>
  <c r="A49" i="80"/>
  <c r="B49" i="80"/>
  <c r="C49" i="80"/>
  <c r="D49" i="80"/>
  <c r="E49" i="80"/>
  <c r="A50" i="80"/>
  <c r="B50" i="80"/>
  <c r="C50" i="80"/>
  <c r="D50" i="80"/>
  <c r="E50" i="80"/>
  <c r="A51" i="80"/>
  <c r="B51" i="80"/>
  <c r="C51" i="80"/>
  <c r="D51" i="80"/>
  <c r="E51" i="80"/>
  <c r="A52" i="80"/>
  <c r="B52" i="80"/>
  <c r="C52" i="80"/>
  <c r="D52" i="80"/>
  <c r="E52" i="80"/>
  <c r="A53" i="80"/>
  <c r="B53" i="80"/>
  <c r="C53" i="80"/>
  <c r="D53" i="80"/>
  <c r="E53" i="80"/>
  <c r="A54" i="80"/>
  <c r="B54" i="80"/>
  <c r="C54" i="80"/>
  <c r="D54" i="80"/>
  <c r="E54" i="80"/>
  <c r="A55" i="80"/>
  <c r="B55" i="80"/>
  <c r="C55" i="80"/>
  <c r="D55" i="80"/>
  <c r="E55" i="80"/>
  <c r="A56" i="80"/>
  <c r="B56" i="80"/>
  <c r="C56" i="80"/>
  <c r="D56" i="80"/>
  <c r="E56" i="80"/>
  <c r="A57" i="80"/>
  <c r="B57" i="80"/>
  <c r="C57" i="80"/>
  <c r="D57" i="80"/>
  <c r="E57" i="80"/>
  <c r="A58" i="80"/>
  <c r="B58" i="80"/>
  <c r="C58" i="80"/>
  <c r="D58" i="80"/>
  <c r="E58" i="80"/>
  <c r="A59" i="80"/>
  <c r="B59" i="80"/>
  <c r="C59" i="80"/>
  <c r="D59" i="80"/>
  <c r="E59" i="80"/>
  <c r="A60" i="80"/>
  <c r="B60" i="80"/>
  <c r="C60" i="80"/>
  <c r="D60" i="80"/>
  <c r="E60" i="80"/>
  <c r="A61" i="80"/>
  <c r="B61" i="80"/>
  <c r="C61" i="80"/>
  <c r="D61" i="80"/>
  <c r="E61" i="80"/>
  <c r="A62" i="80"/>
  <c r="B62" i="80"/>
  <c r="C62" i="80"/>
  <c r="D62" i="80"/>
  <c r="E62" i="80"/>
  <c r="A63" i="80"/>
  <c r="B63" i="80"/>
  <c r="C63" i="80"/>
  <c r="D63" i="80"/>
  <c r="E63" i="80"/>
  <c r="A64" i="80"/>
  <c r="B64" i="80"/>
  <c r="C64" i="80"/>
  <c r="D64" i="80"/>
  <c r="E64" i="80"/>
  <c r="A65" i="80"/>
  <c r="B65" i="80"/>
  <c r="C65" i="80"/>
  <c r="D65" i="80"/>
  <c r="E65" i="80"/>
  <c r="A66" i="80"/>
  <c r="B66" i="80"/>
  <c r="C66" i="80"/>
  <c r="D66" i="80"/>
  <c r="E66" i="80"/>
  <c r="A67" i="80"/>
  <c r="B67" i="80"/>
  <c r="C67" i="80"/>
  <c r="D67" i="80"/>
  <c r="E67" i="80"/>
  <c r="A68" i="80"/>
  <c r="B68" i="80"/>
  <c r="C68" i="80"/>
  <c r="D68" i="80"/>
  <c r="E68" i="80"/>
  <c r="A69" i="80"/>
  <c r="B69" i="80"/>
  <c r="C69" i="80"/>
  <c r="D69" i="80"/>
  <c r="E69" i="80"/>
  <c r="A70" i="80"/>
  <c r="B70" i="80"/>
  <c r="C70" i="80"/>
  <c r="D70" i="80"/>
  <c r="E70" i="80"/>
  <c r="A71" i="80"/>
  <c r="B71" i="80"/>
  <c r="C71" i="80"/>
  <c r="D71" i="80"/>
  <c r="E71" i="80"/>
  <c r="A72" i="80"/>
  <c r="B72" i="80"/>
  <c r="C72" i="80"/>
  <c r="D72" i="80"/>
  <c r="E72" i="80"/>
  <c r="A73" i="80"/>
  <c r="B73" i="80"/>
  <c r="C73" i="80"/>
  <c r="D73" i="80"/>
  <c r="E73" i="80"/>
  <c r="A74" i="80"/>
  <c r="B74" i="80"/>
  <c r="C74" i="80"/>
  <c r="D74" i="80"/>
  <c r="E74" i="80"/>
  <c r="A75" i="80"/>
  <c r="B75" i="80"/>
  <c r="C75" i="80"/>
  <c r="D75" i="80"/>
  <c r="E75" i="80"/>
  <c r="A76" i="80"/>
  <c r="B76" i="80"/>
  <c r="C76" i="80"/>
  <c r="D76" i="80"/>
  <c r="E76" i="80"/>
  <c r="A77" i="80"/>
  <c r="B77" i="80"/>
  <c r="C77" i="80"/>
  <c r="D77" i="80"/>
  <c r="E77" i="80"/>
  <c r="A78" i="80"/>
  <c r="B78" i="80"/>
  <c r="C78" i="80"/>
  <c r="D78" i="80"/>
  <c r="E78" i="80"/>
  <c r="A79" i="80"/>
  <c r="B79" i="80"/>
  <c r="C79" i="80"/>
  <c r="D79" i="80"/>
  <c r="E79" i="80"/>
  <c r="A80" i="80"/>
  <c r="B80" i="80"/>
  <c r="C80" i="80"/>
  <c r="D80" i="80"/>
  <c r="E80" i="80"/>
  <c r="A81" i="80"/>
  <c r="B81" i="80"/>
  <c r="C81" i="80"/>
  <c r="D81" i="80"/>
  <c r="E81" i="80"/>
  <c r="A82" i="80"/>
  <c r="B82" i="80"/>
  <c r="C82" i="80"/>
  <c r="D82" i="80"/>
  <c r="E82" i="80"/>
  <c r="A83" i="80"/>
  <c r="B83" i="80"/>
  <c r="C83" i="80"/>
  <c r="D83" i="80"/>
  <c r="E83" i="80"/>
  <c r="A84" i="80"/>
  <c r="B84" i="80"/>
  <c r="C84" i="80"/>
  <c r="D84" i="80"/>
  <c r="E84" i="80"/>
  <c r="A85" i="80"/>
  <c r="B85" i="80"/>
  <c r="C85" i="80"/>
  <c r="D85" i="80"/>
  <c r="E85" i="80"/>
  <c r="A86" i="80"/>
  <c r="B86" i="80"/>
  <c r="C86" i="80"/>
  <c r="D86" i="80"/>
  <c r="E86" i="80"/>
  <c r="A87" i="80"/>
  <c r="B87" i="80"/>
  <c r="C87" i="80"/>
  <c r="D87" i="80"/>
  <c r="E87" i="80"/>
  <c r="A88" i="80"/>
  <c r="B88" i="80"/>
  <c r="C88" i="80"/>
  <c r="D88" i="80"/>
  <c r="E88" i="80"/>
  <c r="A89" i="80"/>
  <c r="B89" i="80"/>
  <c r="C89" i="80"/>
  <c r="D89" i="80"/>
  <c r="E89" i="80"/>
  <c r="A90" i="80"/>
  <c r="B90" i="80"/>
  <c r="C90" i="80"/>
  <c r="D90" i="80"/>
  <c r="E90" i="80"/>
  <c r="A91" i="80"/>
  <c r="B91" i="80"/>
  <c r="C91" i="80"/>
  <c r="D91" i="80"/>
  <c r="E91" i="80"/>
  <c r="A92" i="80"/>
  <c r="B92" i="80"/>
  <c r="C92" i="80"/>
  <c r="D92" i="80"/>
  <c r="E92" i="80"/>
  <c r="A93" i="80"/>
  <c r="B93" i="80"/>
  <c r="C93" i="80"/>
  <c r="D93" i="80"/>
  <c r="E93" i="80"/>
  <c r="A94" i="80"/>
  <c r="B94" i="80"/>
  <c r="C94" i="80"/>
  <c r="D94" i="80"/>
  <c r="E94" i="80"/>
  <c r="A95" i="80"/>
  <c r="B95" i="80"/>
  <c r="C95" i="80"/>
  <c r="D95" i="80"/>
  <c r="E95" i="80"/>
  <c r="A96" i="80"/>
  <c r="B96" i="80"/>
  <c r="C96" i="80"/>
  <c r="D96" i="80"/>
  <c r="E96" i="80"/>
  <c r="A97" i="80"/>
  <c r="B97" i="80"/>
  <c r="C97" i="80"/>
  <c r="D97" i="80"/>
  <c r="E97" i="80"/>
  <c r="A98" i="80"/>
  <c r="B98" i="80"/>
  <c r="C98" i="80"/>
  <c r="D98" i="80"/>
  <c r="E98" i="80"/>
  <c r="A99" i="80"/>
  <c r="B99" i="80"/>
  <c r="C99" i="80"/>
  <c r="D99" i="80"/>
  <c r="E99" i="80"/>
  <c r="A100" i="80"/>
  <c r="B100" i="80"/>
  <c r="C100" i="80"/>
  <c r="D100" i="80"/>
  <c r="E100" i="80"/>
  <c r="A101" i="80"/>
  <c r="B101" i="80"/>
  <c r="C101" i="80"/>
  <c r="D101" i="80"/>
  <c r="E101" i="80"/>
  <c r="A102" i="80"/>
  <c r="B102" i="80"/>
  <c r="C102" i="80"/>
  <c r="D102" i="80"/>
  <c r="E102" i="80"/>
  <c r="A103" i="80"/>
  <c r="B103" i="80"/>
  <c r="C103" i="80"/>
  <c r="D103" i="80"/>
  <c r="E103" i="80"/>
  <c r="A104" i="80"/>
  <c r="B104" i="80"/>
  <c r="C104" i="80"/>
  <c r="D104" i="80"/>
  <c r="E104" i="80"/>
  <c r="A105" i="80"/>
  <c r="B105" i="80"/>
  <c r="C105" i="80"/>
  <c r="D105" i="80"/>
  <c r="E105" i="80"/>
  <c r="A106" i="80"/>
  <c r="B106" i="80"/>
  <c r="C106" i="80"/>
  <c r="D106" i="80"/>
  <c r="E106" i="80"/>
  <c r="A107" i="80"/>
  <c r="B107" i="80"/>
  <c r="C107" i="80"/>
  <c r="D107" i="80"/>
  <c r="E107" i="80"/>
  <c r="A108" i="80"/>
  <c r="B108" i="80"/>
  <c r="C108" i="80"/>
  <c r="D108" i="80"/>
  <c r="E108" i="80"/>
  <c r="A109" i="80"/>
  <c r="B109" i="80"/>
  <c r="C109" i="80"/>
  <c r="D109" i="80"/>
  <c r="E109" i="80"/>
  <c r="A110" i="80"/>
  <c r="B110" i="80"/>
  <c r="C110" i="80"/>
  <c r="D110" i="80"/>
  <c r="E110" i="80"/>
  <c r="A111" i="80"/>
  <c r="B111" i="80"/>
  <c r="C111" i="80"/>
  <c r="D111" i="80"/>
  <c r="E111" i="80"/>
  <c r="A112" i="80"/>
  <c r="B112" i="80"/>
  <c r="C112" i="80"/>
  <c r="D112" i="80"/>
  <c r="E112" i="80"/>
  <c r="A113" i="80"/>
  <c r="B113" i="80"/>
  <c r="C113" i="80"/>
  <c r="D113" i="80"/>
  <c r="E113" i="80"/>
  <c r="A114" i="80"/>
  <c r="B114" i="80"/>
  <c r="C114" i="80"/>
  <c r="D114" i="80"/>
  <c r="E114" i="80"/>
  <c r="A115" i="80"/>
  <c r="B115" i="80"/>
  <c r="C115" i="80"/>
  <c r="D115" i="80"/>
  <c r="E115" i="80"/>
  <c r="A116" i="80"/>
  <c r="B116" i="80"/>
  <c r="C116" i="80"/>
  <c r="D116" i="80"/>
  <c r="E116" i="80"/>
  <c r="A117" i="80"/>
  <c r="B117" i="80"/>
  <c r="C117" i="80"/>
  <c r="D117" i="80"/>
  <c r="E117" i="80"/>
  <c r="A118" i="80"/>
  <c r="B118" i="80"/>
  <c r="C118" i="80"/>
  <c r="D118" i="80"/>
  <c r="E118" i="80"/>
  <c r="A119" i="80"/>
  <c r="B119" i="80"/>
  <c r="C119" i="80"/>
  <c r="D119" i="80"/>
  <c r="E119" i="80"/>
  <c r="A120" i="80"/>
  <c r="B120" i="80"/>
  <c r="C120" i="80"/>
  <c r="D120" i="80"/>
  <c r="E120" i="80"/>
  <c r="A121" i="80"/>
  <c r="B121" i="80"/>
  <c r="C121" i="80"/>
  <c r="D121" i="80"/>
  <c r="E121" i="80"/>
  <c r="A122" i="80"/>
  <c r="B122" i="80"/>
  <c r="C122" i="80"/>
  <c r="D122" i="80"/>
  <c r="E122" i="80"/>
  <c r="A123" i="80"/>
  <c r="B123" i="80"/>
  <c r="C123" i="80"/>
  <c r="D123" i="80"/>
  <c r="E123" i="80"/>
  <c r="A124" i="80"/>
  <c r="B124" i="80"/>
  <c r="C124" i="80"/>
  <c r="D124" i="80"/>
  <c r="E124" i="80"/>
  <c r="A125" i="80"/>
  <c r="B125" i="80"/>
  <c r="C125" i="80"/>
  <c r="D125" i="80"/>
  <c r="E125" i="80"/>
  <c r="A126" i="80"/>
  <c r="B126" i="80"/>
  <c r="C126" i="80"/>
  <c r="D126" i="80"/>
  <c r="E126" i="80"/>
  <c r="A127" i="80"/>
  <c r="B127" i="80"/>
  <c r="C127" i="80"/>
  <c r="D127" i="80"/>
  <c r="E127" i="80"/>
  <c r="A128" i="80"/>
  <c r="B128" i="80"/>
  <c r="C128" i="80"/>
  <c r="D128" i="80"/>
  <c r="E128" i="80"/>
  <c r="A129" i="80"/>
  <c r="B129" i="80"/>
  <c r="C129" i="80"/>
  <c r="D129" i="80"/>
  <c r="E129" i="80"/>
  <c r="A130" i="80"/>
  <c r="B130" i="80"/>
  <c r="C130" i="80"/>
  <c r="D130" i="80"/>
  <c r="E130" i="80"/>
  <c r="A131" i="80"/>
  <c r="B131" i="80"/>
  <c r="C131" i="80"/>
  <c r="D131" i="80"/>
  <c r="E131" i="80"/>
  <c r="A132" i="80"/>
  <c r="B132" i="80"/>
  <c r="C132" i="80"/>
  <c r="D132" i="80"/>
  <c r="E132" i="80"/>
  <c r="A133" i="80"/>
  <c r="B133" i="80"/>
  <c r="C133" i="80"/>
  <c r="D133" i="80"/>
  <c r="E133" i="80"/>
  <c r="A134" i="80"/>
  <c r="B134" i="80"/>
  <c r="C134" i="80"/>
  <c r="D134" i="80"/>
  <c r="E134" i="80"/>
  <c r="A135" i="80"/>
  <c r="B135" i="80"/>
  <c r="C135" i="80"/>
  <c r="D135" i="80"/>
  <c r="E135" i="80"/>
  <c r="A136" i="80"/>
  <c r="B136" i="80"/>
  <c r="C136" i="80"/>
  <c r="D136" i="80"/>
  <c r="E136" i="80"/>
  <c r="A137" i="80"/>
  <c r="B137" i="80"/>
  <c r="C137" i="80"/>
  <c r="D137" i="80"/>
  <c r="E137" i="80"/>
  <c r="A138" i="80"/>
  <c r="B138" i="80"/>
  <c r="C138" i="80"/>
  <c r="D138" i="80"/>
  <c r="E138" i="80"/>
  <c r="A139" i="80"/>
  <c r="B139" i="80"/>
  <c r="C139" i="80"/>
  <c r="D139" i="80"/>
  <c r="E139" i="80"/>
  <c r="A140" i="80"/>
  <c r="B140" i="80"/>
  <c r="C140" i="80"/>
  <c r="D140" i="80"/>
  <c r="E140" i="80"/>
  <c r="A141" i="80"/>
  <c r="B141" i="80"/>
  <c r="C141" i="80"/>
  <c r="D141" i="80"/>
  <c r="E141" i="80"/>
  <c r="A142" i="80"/>
  <c r="B142" i="80"/>
  <c r="C142" i="80"/>
  <c r="D142" i="80"/>
  <c r="E142" i="80"/>
  <c r="A143" i="80"/>
  <c r="B143" i="80"/>
  <c r="C143" i="80"/>
  <c r="D143" i="80"/>
  <c r="E143" i="80"/>
  <c r="A144" i="80"/>
  <c r="B144" i="80"/>
  <c r="C144" i="80"/>
  <c r="D144" i="80"/>
  <c r="E144" i="80"/>
  <c r="A145" i="80"/>
  <c r="B145" i="80"/>
  <c r="C145" i="80"/>
  <c r="D145" i="80"/>
  <c r="E145" i="80"/>
  <c r="A146" i="80"/>
  <c r="B146" i="80"/>
  <c r="C146" i="80"/>
  <c r="D146" i="80"/>
  <c r="E146" i="80"/>
  <c r="A147" i="80"/>
  <c r="B147" i="80"/>
  <c r="C147" i="80"/>
  <c r="D147" i="80"/>
  <c r="E147" i="80"/>
  <c r="A148" i="80"/>
  <c r="B148" i="80"/>
  <c r="C148" i="80"/>
  <c r="D148" i="80"/>
  <c r="E148" i="80"/>
  <c r="A149" i="80"/>
  <c r="B149" i="80"/>
  <c r="C149" i="80"/>
  <c r="D149" i="80"/>
  <c r="E149" i="80"/>
  <c r="A150" i="80"/>
  <c r="B150" i="80"/>
  <c r="C150" i="80"/>
  <c r="D150" i="80"/>
  <c r="E150" i="80"/>
  <c r="A151" i="80"/>
  <c r="B151" i="80"/>
  <c r="C151" i="80"/>
  <c r="D151" i="80"/>
  <c r="E151" i="80"/>
  <c r="A152" i="80"/>
  <c r="B152" i="80"/>
  <c r="C152" i="80"/>
  <c r="D152" i="80"/>
  <c r="E152" i="80"/>
  <c r="A153" i="80"/>
  <c r="B153" i="80"/>
  <c r="C153" i="80"/>
  <c r="D153" i="80"/>
  <c r="E153" i="80"/>
  <c r="A154" i="80"/>
  <c r="B154" i="80"/>
  <c r="C154" i="80"/>
  <c r="D154" i="80"/>
  <c r="E154" i="80"/>
  <c r="A155" i="80"/>
  <c r="B155" i="80"/>
  <c r="C155" i="80"/>
  <c r="D155" i="80"/>
  <c r="E155" i="80"/>
  <c r="A156" i="80"/>
  <c r="B156" i="80"/>
  <c r="C156" i="80"/>
  <c r="D156" i="80"/>
  <c r="E156" i="80"/>
  <c r="A157" i="80"/>
  <c r="B157" i="80"/>
  <c r="C157" i="80"/>
  <c r="D157" i="80"/>
  <c r="E157" i="80"/>
  <c r="A158" i="80"/>
  <c r="B158" i="80"/>
  <c r="C158" i="80"/>
  <c r="D158" i="80"/>
  <c r="E158" i="80"/>
  <c r="A159" i="80"/>
  <c r="B159" i="80"/>
  <c r="C159" i="80"/>
  <c r="D159" i="80"/>
  <c r="E159" i="80"/>
  <c r="A160" i="80"/>
  <c r="B160" i="80"/>
  <c r="C160" i="80"/>
  <c r="D160" i="80"/>
  <c r="E160" i="80"/>
  <c r="A161" i="80"/>
  <c r="B161" i="80"/>
  <c r="C161" i="80"/>
  <c r="D161" i="80"/>
  <c r="E161" i="80"/>
  <c r="A162" i="80"/>
  <c r="B162" i="80"/>
  <c r="C162" i="80"/>
  <c r="D162" i="80"/>
  <c r="E162" i="80"/>
  <c r="A163" i="80"/>
  <c r="B163" i="80"/>
  <c r="C163" i="80"/>
  <c r="D163" i="80"/>
  <c r="E163" i="80"/>
  <c r="A164" i="80"/>
  <c r="B164" i="80"/>
  <c r="C164" i="80"/>
  <c r="D164" i="80"/>
  <c r="E164" i="80"/>
  <c r="A165" i="80"/>
  <c r="B165" i="80"/>
  <c r="C165" i="80"/>
  <c r="D165" i="80"/>
  <c r="E165" i="80"/>
  <c r="A166" i="80"/>
  <c r="B166" i="80"/>
  <c r="C166" i="80"/>
  <c r="D166" i="80"/>
  <c r="E166" i="80"/>
  <c r="A167" i="80"/>
  <c r="B167" i="80"/>
  <c r="C167" i="80"/>
  <c r="D167" i="80"/>
  <c r="E167" i="80"/>
  <c r="A168" i="80"/>
  <c r="B168" i="80"/>
  <c r="C168" i="80"/>
  <c r="D168" i="80"/>
  <c r="E168" i="80"/>
  <c r="A169" i="80"/>
  <c r="B169" i="80"/>
  <c r="C169" i="80"/>
  <c r="D169" i="80"/>
  <c r="E169" i="80"/>
  <c r="A170" i="80"/>
  <c r="B170" i="80"/>
  <c r="C170" i="80"/>
  <c r="D170" i="80"/>
  <c r="E170" i="80"/>
  <c r="A171" i="80"/>
  <c r="B171" i="80"/>
  <c r="C171" i="80"/>
  <c r="D171" i="80"/>
  <c r="E171" i="80"/>
  <c r="A172" i="80"/>
  <c r="B172" i="80"/>
  <c r="C172" i="80"/>
  <c r="D172" i="80"/>
  <c r="E172" i="80"/>
  <c r="A173" i="80"/>
  <c r="B173" i="80"/>
  <c r="C173" i="80"/>
  <c r="D173" i="80"/>
  <c r="E173" i="80"/>
  <c r="A174" i="80"/>
  <c r="B174" i="80"/>
  <c r="C174" i="80"/>
  <c r="D174" i="80"/>
  <c r="E174" i="80"/>
  <c r="A175" i="80"/>
  <c r="B175" i="80"/>
  <c r="C175" i="80"/>
  <c r="D175" i="80"/>
  <c r="E175" i="80"/>
  <c r="A176" i="80"/>
  <c r="B176" i="80"/>
  <c r="C176" i="80"/>
  <c r="D176" i="80"/>
  <c r="E176" i="80"/>
  <c r="A177" i="80"/>
  <c r="B177" i="80"/>
  <c r="C177" i="80"/>
  <c r="D177" i="80"/>
  <c r="E177" i="80"/>
  <c r="A178" i="80"/>
  <c r="B178" i="80"/>
  <c r="C178" i="80"/>
  <c r="D178" i="80"/>
  <c r="E178" i="80"/>
  <c r="A179" i="80"/>
  <c r="B179" i="80"/>
  <c r="C179" i="80"/>
  <c r="D179" i="80"/>
  <c r="E179" i="80"/>
  <c r="A180" i="80"/>
  <c r="B180" i="80"/>
  <c r="C180" i="80"/>
  <c r="D180" i="80"/>
  <c r="E180" i="80"/>
  <c r="A181" i="80"/>
  <c r="B181" i="80"/>
  <c r="C181" i="80"/>
  <c r="D181" i="80"/>
  <c r="E181" i="80"/>
  <c r="A182" i="80"/>
  <c r="B182" i="80"/>
  <c r="C182" i="80"/>
  <c r="D182" i="80"/>
  <c r="E182" i="80"/>
  <c r="A183" i="80"/>
  <c r="B183" i="80"/>
  <c r="C183" i="80"/>
  <c r="D183" i="80"/>
  <c r="E183" i="80"/>
  <c r="A184" i="80"/>
  <c r="B184" i="80"/>
  <c r="C184" i="80"/>
  <c r="D184" i="80"/>
  <c r="E184" i="80"/>
  <c r="A185" i="80"/>
  <c r="B185" i="80"/>
  <c r="C185" i="80"/>
  <c r="D185" i="80"/>
  <c r="E185" i="80"/>
  <c r="A186" i="80"/>
  <c r="B186" i="80"/>
  <c r="C186" i="80"/>
  <c r="D186" i="80"/>
  <c r="E186" i="80"/>
  <c r="A187" i="80"/>
  <c r="B187" i="80"/>
  <c r="C187" i="80"/>
  <c r="D187" i="80"/>
  <c r="E187" i="80"/>
  <c r="A188" i="80"/>
  <c r="B188" i="80"/>
  <c r="C188" i="80"/>
  <c r="D188" i="80"/>
  <c r="E188" i="80"/>
  <c r="A189" i="80"/>
  <c r="B189" i="80"/>
  <c r="C189" i="80"/>
  <c r="D189" i="80"/>
  <c r="E189" i="80"/>
  <c r="A190" i="80"/>
  <c r="B190" i="80"/>
  <c r="C190" i="80"/>
  <c r="D190" i="80"/>
  <c r="E190" i="80"/>
  <c r="A191" i="80"/>
  <c r="B191" i="80"/>
  <c r="C191" i="80"/>
  <c r="D191" i="80"/>
  <c r="E191" i="80"/>
  <c r="A192" i="80"/>
  <c r="B192" i="80"/>
  <c r="C192" i="80"/>
  <c r="D192" i="80"/>
  <c r="E192" i="80"/>
  <c r="A193" i="80"/>
  <c r="B193" i="80"/>
  <c r="C193" i="80"/>
  <c r="D193" i="80"/>
  <c r="E193" i="80"/>
  <c r="A194" i="80"/>
  <c r="B194" i="80"/>
  <c r="C194" i="80"/>
  <c r="D194" i="80"/>
  <c r="E194" i="80"/>
  <c r="R195" i="80"/>
  <c r="F3" i="93"/>
  <c r="AK6" i="93"/>
  <c r="AL6" i="93"/>
  <c r="AM6" i="93"/>
  <c r="AS6" i="93"/>
  <c r="AT6" i="93"/>
  <c r="AK7" i="93"/>
  <c r="F7" i="80" s="1"/>
  <c r="AL7" i="93"/>
  <c r="AM7" i="93"/>
  <c r="AS7" i="93"/>
  <c r="AK8" i="93"/>
  <c r="F8" i="80" s="1"/>
  <c r="AL8" i="93"/>
  <c r="AM8" i="93"/>
  <c r="AS8" i="93"/>
  <c r="AK9" i="93"/>
  <c r="F9" i="80" s="1"/>
  <c r="AL9" i="93"/>
  <c r="AM9" i="93"/>
  <c r="AS9" i="93"/>
  <c r="AK10" i="93"/>
  <c r="F10" i="80" s="1"/>
  <c r="AL10" i="93"/>
  <c r="AM10" i="93"/>
  <c r="AS10" i="93"/>
  <c r="AK11" i="93"/>
  <c r="F11" i="80" s="1"/>
  <c r="AL11" i="93"/>
  <c r="AM11" i="93"/>
  <c r="AS11" i="93"/>
  <c r="AK12" i="93"/>
  <c r="F12" i="80" s="1"/>
  <c r="AL12" i="93"/>
  <c r="AM12" i="93"/>
  <c r="AS12" i="93"/>
  <c r="AK13" i="93"/>
  <c r="F13" i="80" s="1"/>
  <c r="AL13" i="93"/>
  <c r="AM13" i="93"/>
  <c r="AS13" i="93"/>
  <c r="AK14" i="93"/>
  <c r="F14" i="80" s="1"/>
  <c r="AL14" i="93"/>
  <c r="AM14" i="93"/>
  <c r="AS14" i="93"/>
  <c r="AK15" i="93"/>
  <c r="F15" i="80" s="1"/>
  <c r="AL15" i="93"/>
  <c r="AM15" i="93"/>
  <c r="AS15" i="93"/>
  <c r="AK16" i="93"/>
  <c r="F16" i="80" s="1"/>
  <c r="AL16" i="93"/>
  <c r="AM16" i="93"/>
  <c r="AS16" i="93"/>
  <c r="AK17" i="93"/>
  <c r="F17" i="80" s="1"/>
  <c r="AL17" i="93"/>
  <c r="AM17" i="93"/>
  <c r="AS17" i="93"/>
  <c r="AK18" i="93"/>
  <c r="F18" i="80" s="1"/>
  <c r="AL18" i="93"/>
  <c r="AM18" i="93"/>
  <c r="AK19" i="93"/>
  <c r="F19" i="80" s="1"/>
  <c r="AL19" i="93"/>
  <c r="AM19" i="93"/>
  <c r="AK20" i="93"/>
  <c r="F20" i="80" s="1"/>
  <c r="AL20" i="93"/>
  <c r="AM20" i="93"/>
  <c r="AK21" i="93"/>
  <c r="F21" i="80" s="1"/>
  <c r="AL21" i="93"/>
  <c r="AM21" i="93"/>
  <c r="AK22" i="93"/>
  <c r="F22" i="80" s="1"/>
  <c r="AL22" i="93"/>
  <c r="AM22" i="93"/>
  <c r="AK23" i="93"/>
  <c r="F23" i="80" s="1"/>
  <c r="AL23" i="93"/>
  <c r="AM23" i="93"/>
  <c r="AK24" i="93"/>
  <c r="F24" i="80" s="1"/>
  <c r="AL24" i="93"/>
  <c r="AM24" i="93"/>
  <c r="AK25" i="93"/>
  <c r="F25" i="80" s="1"/>
  <c r="AL25" i="93"/>
  <c r="AM25" i="93"/>
  <c r="AK26" i="93"/>
  <c r="F26" i="80" s="1"/>
  <c r="AL26" i="93"/>
  <c r="AM26" i="93"/>
  <c r="AK27" i="93"/>
  <c r="F27" i="80" s="1"/>
  <c r="AL27" i="93"/>
  <c r="AM27" i="93"/>
  <c r="AK28" i="93"/>
  <c r="F28" i="80" s="1"/>
  <c r="AL28" i="93"/>
  <c r="AM28" i="93"/>
  <c r="AK29" i="93"/>
  <c r="F29" i="80" s="1"/>
  <c r="AL29" i="93"/>
  <c r="AM29" i="93"/>
  <c r="AK30" i="93"/>
  <c r="F30" i="80" s="1"/>
  <c r="AL30" i="93"/>
  <c r="AM30" i="93"/>
  <c r="AK31" i="93"/>
  <c r="F31" i="80" s="1"/>
  <c r="AL31" i="93"/>
  <c r="AM31" i="93"/>
  <c r="AK32" i="93"/>
  <c r="F32" i="80" s="1"/>
  <c r="AL32" i="93"/>
  <c r="AM32" i="93"/>
  <c r="AK33" i="93"/>
  <c r="F33" i="80" s="1"/>
  <c r="AL33" i="93"/>
  <c r="AM33" i="93"/>
  <c r="AK34" i="93"/>
  <c r="F34" i="80" s="1"/>
  <c r="AL34" i="93"/>
  <c r="AM34" i="93"/>
  <c r="AK35" i="93"/>
  <c r="F35" i="80" s="1"/>
  <c r="AL35" i="93"/>
  <c r="AM35" i="93"/>
  <c r="AK36" i="93"/>
  <c r="F36" i="80" s="1"/>
  <c r="AL36" i="93"/>
  <c r="AM36" i="93"/>
  <c r="AK37" i="93"/>
  <c r="F37" i="80" s="1"/>
  <c r="AL37" i="93"/>
  <c r="AM37" i="93"/>
  <c r="AK38" i="93"/>
  <c r="F38" i="80" s="1"/>
  <c r="AL38" i="93"/>
  <c r="AM38" i="93"/>
  <c r="AK39" i="93"/>
  <c r="F39" i="80" s="1"/>
  <c r="AL39" i="93"/>
  <c r="AM39" i="93"/>
  <c r="AK40" i="93"/>
  <c r="F40" i="80" s="1"/>
  <c r="AL40" i="93"/>
  <c r="AM40" i="93"/>
  <c r="AK41" i="93"/>
  <c r="F41" i="80" s="1"/>
  <c r="AL41" i="93"/>
  <c r="AM41" i="93"/>
  <c r="AK42" i="93"/>
  <c r="F42" i="80" s="1"/>
  <c r="AL42" i="93"/>
  <c r="AM42" i="93"/>
  <c r="AK43" i="93"/>
  <c r="F43" i="80" s="1"/>
  <c r="AL43" i="93"/>
  <c r="AM43" i="93"/>
  <c r="AK44" i="93"/>
  <c r="F44" i="80" s="1"/>
  <c r="AL44" i="93"/>
  <c r="AM44" i="93"/>
  <c r="AK45" i="93"/>
  <c r="F45" i="80" s="1"/>
  <c r="AL45" i="93"/>
  <c r="AM45" i="93"/>
  <c r="AK46" i="93"/>
  <c r="F46" i="80" s="1"/>
  <c r="AL46" i="93"/>
  <c r="AM46" i="93"/>
  <c r="AK47" i="93"/>
  <c r="F47" i="80" s="1"/>
  <c r="AL47" i="93"/>
  <c r="AM47" i="93"/>
  <c r="AK48" i="93"/>
  <c r="F48" i="80" s="1"/>
  <c r="AL48" i="93"/>
  <c r="AM48" i="93"/>
  <c r="AK49" i="93"/>
  <c r="F49" i="80" s="1"/>
  <c r="AL49" i="93"/>
  <c r="AM49" i="93"/>
  <c r="AK50" i="93"/>
  <c r="F50" i="80" s="1"/>
  <c r="AL50" i="93"/>
  <c r="AM50" i="93"/>
  <c r="AK51" i="93"/>
  <c r="F51" i="80" s="1"/>
  <c r="AL51" i="93"/>
  <c r="AM51" i="93"/>
  <c r="AK52" i="93"/>
  <c r="F52" i="80" s="1"/>
  <c r="AL52" i="93"/>
  <c r="AM52" i="93"/>
  <c r="AK53" i="93"/>
  <c r="F53" i="80" s="1"/>
  <c r="AL53" i="93"/>
  <c r="AM53" i="93"/>
  <c r="AK54" i="93"/>
  <c r="F54" i="80" s="1"/>
  <c r="AL54" i="93"/>
  <c r="AM54" i="93"/>
  <c r="AK55" i="93"/>
  <c r="F55" i="80" s="1"/>
  <c r="AL55" i="93"/>
  <c r="AM55" i="93"/>
  <c r="AK56" i="93"/>
  <c r="F56" i="80" s="1"/>
  <c r="AL56" i="93"/>
  <c r="AM56" i="93"/>
  <c r="AK57" i="93"/>
  <c r="F57" i="80" s="1"/>
  <c r="AL57" i="93"/>
  <c r="AM57" i="93"/>
  <c r="AK58" i="93"/>
  <c r="F58" i="80" s="1"/>
  <c r="AL58" i="93"/>
  <c r="AM58" i="93"/>
  <c r="AK59" i="93"/>
  <c r="F59" i="80" s="1"/>
  <c r="AL59" i="93"/>
  <c r="AM59" i="93"/>
  <c r="AK60" i="93"/>
  <c r="F60" i="80" s="1"/>
  <c r="AL60" i="93"/>
  <c r="AM60" i="93"/>
  <c r="AK61" i="93"/>
  <c r="F61" i="80" s="1"/>
  <c r="AL61" i="93"/>
  <c r="AM61" i="93"/>
  <c r="AK62" i="93"/>
  <c r="F62" i="80" s="1"/>
  <c r="AL62" i="93"/>
  <c r="AM62" i="93"/>
  <c r="AK63" i="93"/>
  <c r="F63" i="80" s="1"/>
  <c r="AL63" i="93"/>
  <c r="AM63" i="93"/>
  <c r="AK64" i="93"/>
  <c r="F64" i="80" s="1"/>
  <c r="AL64" i="93"/>
  <c r="AM64" i="93"/>
  <c r="AK65" i="93"/>
  <c r="F65" i="80" s="1"/>
  <c r="AL65" i="93"/>
  <c r="AM65" i="93"/>
  <c r="AK66" i="93"/>
  <c r="F66" i="80" s="1"/>
  <c r="AL66" i="93"/>
  <c r="AM66" i="93"/>
  <c r="AK67" i="93"/>
  <c r="F67" i="80" s="1"/>
  <c r="AL67" i="93"/>
  <c r="AM67" i="93"/>
  <c r="AK68" i="93"/>
  <c r="F68" i="80" s="1"/>
  <c r="AL68" i="93"/>
  <c r="AM68" i="93"/>
  <c r="AK69" i="93"/>
  <c r="F69" i="80" s="1"/>
  <c r="AL69" i="93"/>
  <c r="AM69" i="93"/>
  <c r="AK70" i="93"/>
  <c r="F70" i="80" s="1"/>
  <c r="AL70" i="93"/>
  <c r="AM70" i="93"/>
  <c r="AK71" i="93"/>
  <c r="F71" i="80" s="1"/>
  <c r="AL71" i="93"/>
  <c r="AM71" i="93"/>
  <c r="AK72" i="93"/>
  <c r="F72" i="80" s="1"/>
  <c r="AL72" i="93"/>
  <c r="AM72" i="93"/>
  <c r="AK73" i="93"/>
  <c r="F73" i="80" s="1"/>
  <c r="AL73" i="93"/>
  <c r="AM73" i="93"/>
  <c r="AK74" i="93"/>
  <c r="F74" i="80" s="1"/>
  <c r="AL74" i="93"/>
  <c r="AM74" i="93"/>
  <c r="AK75" i="93"/>
  <c r="F75" i="80" s="1"/>
  <c r="AL75" i="93"/>
  <c r="AM75" i="93"/>
  <c r="AK76" i="93"/>
  <c r="F76" i="80" s="1"/>
  <c r="AL76" i="93"/>
  <c r="AM76" i="93"/>
  <c r="AK77" i="93"/>
  <c r="F77" i="80" s="1"/>
  <c r="AL77" i="93"/>
  <c r="AM77" i="93"/>
  <c r="AK78" i="93"/>
  <c r="F78" i="80" s="1"/>
  <c r="AL78" i="93"/>
  <c r="AM78" i="93"/>
  <c r="AK79" i="93"/>
  <c r="F79" i="80" s="1"/>
  <c r="AL79" i="93"/>
  <c r="AM79" i="93"/>
  <c r="AK80" i="93"/>
  <c r="F80" i="80" s="1"/>
  <c r="AL80" i="93"/>
  <c r="AM80" i="93"/>
  <c r="AK81" i="93"/>
  <c r="F81" i="80" s="1"/>
  <c r="AL81" i="93"/>
  <c r="AM81" i="93"/>
  <c r="AK82" i="93"/>
  <c r="F82" i="80" s="1"/>
  <c r="AL82" i="93"/>
  <c r="AM82" i="93"/>
  <c r="AK83" i="93"/>
  <c r="F83" i="80" s="1"/>
  <c r="AL83" i="93"/>
  <c r="AM83" i="93"/>
  <c r="AK84" i="93"/>
  <c r="F84" i="80" s="1"/>
  <c r="AL84" i="93"/>
  <c r="AM84" i="93"/>
  <c r="AK85" i="93"/>
  <c r="F85" i="80" s="1"/>
  <c r="AL85" i="93"/>
  <c r="AM85" i="93"/>
  <c r="AK86" i="93"/>
  <c r="F86" i="80" s="1"/>
  <c r="AL86" i="93"/>
  <c r="AM86" i="93"/>
  <c r="AK87" i="93"/>
  <c r="F87" i="80" s="1"/>
  <c r="AL87" i="93"/>
  <c r="AM87" i="93"/>
  <c r="AK88" i="93"/>
  <c r="F88" i="80" s="1"/>
  <c r="AL88" i="93"/>
  <c r="AM88" i="93"/>
  <c r="AK89" i="93"/>
  <c r="F89" i="80" s="1"/>
  <c r="AL89" i="93"/>
  <c r="AM89" i="93"/>
  <c r="AK90" i="93"/>
  <c r="F90" i="80" s="1"/>
  <c r="AL90" i="93"/>
  <c r="AM90" i="93"/>
  <c r="AK91" i="93"/>
  <c r="F91" i="80" s="1"/>
  <c r="AL91" i="93"/>
  <c r="AM91" i="93"/>
  <c r="AK92" i="93"/>
  <c r="F92" i="80" s="1"/>
  <c r="AL92" i="93"/>
  <c r="AM92" i="93"/>
  <c r="AK93" i="93"/>
  <c r="F93" i="80" s="1"/>
  <c r="AL93" i="93"/>
  <c r="AM93" i="93"/>
  <c r="AK94" i="93"/>
  <c r="F94" i="80" s="1"/>
  <c r="AL94" i="93"/>
  <c r="AM94" i="93"/>
  <c r="AK95" i="93"/>
  <c r="F95" i="80" s="1"/>
  <c r="AL95" i="93"/>
  <c r="AM95" i="93"/>
  <c r="AK96" i="93"/>
  <c r="F96" i="80" s="1"/>
  <c r="AL96" i="93"/>
  <c r="AM96" i="93"/>
  <c r="AK97" i="93"/>
  <c r="F97" i="80" s="1"/>
  <c r="AL97" i="93"/>
  <c r="AM97" i="93"/>
  <c r="AK98" i="93"/>
  <c r="F98" i="80" s="1"/>
  <c r="AL98" i="93"/>
  <c r="AM98" i="93"/>
  <c r="AK99" i="93"/>
  <c r="F99" i="80" s="1"/>
  <c r="AL99" i="93"/>
  <c r="AM99" i="93"/>
  <c r="AK100" i="93"/>
  <c r="F100" i="80" s="1"/>
  <c r="AL100" i="93"/>
  <c r="AM100" i="93"/>
  <c r="AK101" i="93"/>
  <c r="F101" i="80" s="1"/>
  <c r="AL101" i="93"/>
  <c r="AM101" i="93"/>
  <c r="AK102" i="93"/>
  <c r="F102" i="80" s="1"/>
  <c r="AL102" i="93"/>
  <c r="AM102" i="93"/>
  <c r="AK103" i="93"/>
  <c r="F103" i="80" s="1"/>
  <c r="AL103" i="93"/>
  <c r="AM103" i="93"/>
  <c r="AK104" i="93"/>
  <c r="F104" i="80" s="1"/>
  <c r="AL104" i="93"/>
  <c r="AM104" i="93"/>
  <c r="AK105" i="93"/>
  <c r="F105" i="80" s="1"/>
  <c r="AL105" i="93"/>
  <c r="AM105" i="93"/>
  <c r="AK106" i="93"/>
  <c r="F106" i="80" s="1"/>
  <c r="AL106" i="93"/>
  <c r="AM106" i="93"/>
  <c r="AK107" i="93"/>
  <c r="F107" i="80" s="1"/>
  <c r="AL107" i="93"/>
  <c r="AM107" i="93"/>
  <c r="AK108" i="93"/>
  <c r="F108" i="80" s="1"/>
  <c r="AL108" i="93"/>
  <c r="AM108" i="93"/>
  <c r="AK109" i="93"/>
  <c r="F109" i="80" s="1"/>
  <c r="AL109" i="93"/>
  <c r="AM109" i="93"/>
  <c r="AK110" i="93"/>
  <c r="F110" i="80" s="1"/>
  <c r="AL110" i="93"/>
  <c r="AM110" i="93"/>
  <c r="AK111" i="93"/>
  <c r="F111" i="80" s="1"/>
  <c r="AL111" i="93"/>
  <c r="AM111" i="93"/>
  <c r="AK112" i="93"/>
  <c r="F112" i="80" s="1"/>
  <c r="AL112" i="93"/>
  <c r="AM112" i="93"/>
  <c r="AK113" i="93"/>
  <c r="F113" i="80" s="1"/>
  <c r="AL113" i="93"/>
  <c r="AM113" i="93"/>
  <c r="AK114" i="93"/>
  <c r="F114" i="80" s="1"/>
  <c r="AL114" i="93"/>
  <c r="AM114" i="93"/>
  <c r="AK115" i="93"/>
  <c r="F115" i="80" s="1"/>
  <c r="AL115" i="93"/>
  <c r="AM115" i="93"/>
  <c r="AK116" i="93"/>
  <c r="F116" i="80" s="1"/>
  <c r="AL116" i="93"/>
  <c r="AM116" i="93"/>
  <c r="AK117" i="93"/>
  <c r="F117" i="80" s="1"/>
  <c r="AL117" i="93"/>
  <c r="AM117" i="93"/>
  <c r="AK118" i="93"/>
  <c r="F118" i="80" s="1"/>
  <c r="AL118" i="93"/>
  <c r="AM118" i="93"/>
  <c r="AK119" i="93"/>
  <c r="F119" i="80" s="1"/>
  <c r="AL119" i="93"/>
  <c r="AM119" i="93"/>
  <c r="AK120" i="93"/>
  <c r="F120" i="80" s="1"/>
  <c r="AL120" i="93"/>
  <c r="AM120" i="93"/>
  <c r="AK121" i="93"/>
  <c r="F121" i="80" s="1"/>
  <c r="AL121" i="93"/>
  <c r="AM121" i="93"/>
  <c r="AK122" i="93"/>
  <c r="F122" i="80" s="1"/>
  <c r="AL122" i="93"/>
  <c r="AM122" i="93"/>
  <c r="AK123" i="93"/>
  <c r="F123" i="80" s="1"/>
  <c r="AL123" i="93"/>
  <c r="AM123" i="93"/>
  <c r="AK124" i="93"/>
  <c r="F124" i="80" s="1"/>
  <c r="AL124" i="93"/>
  <c r="AM124" i="93"/>
  <c r="AK125" i="93"/>
  <c r="F125" i="80" s="1"/>
  <c r="AL125" i="93"/>
  <c r="AM125" i="93"/>
  <c r="AK126" i="93"/>
  <c r="F126" i="80" s="1"/>
  <c r="AL126" i="93"/>
  <c r="AM126" i="93"/>
  <c r="AK127" i="93"/>
  <c r="F127" i="80" s="1"/>
  <c r="AL127" i="93"/>
  <c r="AM127" i="93"/>
  <c r="AK128" i="93"/>
  <c r="F128" i="80" s="1"/>
  <c r="AL128" i="93"/>
  <c r="AM128" i="93"/>
  <c r="AK129" i="93"/>
  <c r="F129" i="80" s="1"/>
  <c r="AL129" i="93"/>
  <c r="AM129" i="93"/>
  <c r="AK130" i="93"/>
  <c r="F130" i="80" s="1"/>
  <c r="AL130" i="93"/>
  <c r="AM130" i="93"/>
  <c r="AK131" i="93"/>
  <c r="F131" i="80" s="1"/>
  <c r="AL131" i="93"/>
  <c r="AM131" i="93"/>
  <c r="AK132" i="93"/>
  <c r="F132" i="80" s="1"/>
  <c r="AL132" i="93"/>
  <c r="AM132" i="93"/>
  <c r="AK133" i="93"/>
  <c r="F133" i="80" s="1"/>
  <c r="AL133" i="93"/>
  <c r="AM133" i="93"/>
  <c r="AK134" i="93"/>
  <c r="F134" i="80" s="1"/>
  <c r="AL134" i="93"/>
  <c r="AM134" i="93"/>
  <c r="AK135" i="93"/>
  <c r="F135" i="80" s="1"/>
  <c r="AL135" i="93"/>
  <c r="AM135" i="93"/>
  <c r="AK136" i="93"/>
  <c r="F136" i="80" s="1"/>
  <c r="AL136" i="93"/>
  <c r="AM136" i="93"/>
  <c r="AK137" i="93"/>
  <c r="F137" i="80" s="1"/>
  <c r="AL137" i="93"/>
  <c r="AM137" i="93"/>
  <c r="AK138" i="93"/>
  <c r="F138" i="80" s="1"/>
  <c r="AL138" i="93"/>
  <c r="AM138" i="93"/>
  <c r="AK139" i="93"/>
  <c r="F139" i="80" s="1"/>
  <c r="AL139" i="93"/>
  <c r="AM139" i="93"/>
  <c r="AK140" i="93"/>
  <c r="F140" i="80" s="1"/>
  <c r="AL140" i="93"/>
  <c r="AM140" i="93"/>
  <c r="AK141" i="93"/>
  <c r="F141" i="80" s="1"/>
  <c r="AL141" i="93"/>
  <c r="AM141" i="93"/>
  <c r="AK142" i="93"/>
  <c r="F142" i="80" s="1"/>
  <c r="AL142" i="93"/>
  <c r="AM142" i="93"/>
  <c r="AK143" i="93"/>
  <c r="F143" i="80" s="1"/>
  <c r="AL143" i="93"/>
  <c r="AM143" i="93"/>
  <c r="AK144" i="93"/>
  <c r="F144" i="80" s="1"/>
  <c r="AL144" i="93"/>
  <c r="AM144" i="93"/>
  <c r="AK145" i="93"/>
  <c r="F145" i="80" s="1"/>
  <c r="AL145" i="93"/>
  <c r="AM145" i="93"/>
  <c r="AK146" i="93"/>
  <c r="F146" i="80" s="1"/>
  <c r="AL146" i="93"/>
  <c r="AM146" i="93"/>
  <c r="AK147" i="93"/>
  <c r="F147" i="80" s="1"/>
  <c r="AL147" i="93"/>
  <c r="AM147" i="93"/>
  <c r="AK148" i="93"/>
  <c r="F148" i="80" s="1"/>
  <c r="AL148" i="93"/>
  <c r="AM148" i="93"/>
  <c r="AK149" i="93"/>
  <c r="F149" i="80" s="1"/>
  <c r="AL149" i="93"/>
  <c r="AM149" i="93"/>
  <c r="AK150" i="93"/>
  <c r="F150" i="80" s="1"/>
  <c r="AL150" i="93"/>
  <c r="AM150" i="93"/>
  <c r="AK151" i="93"/>
  <c r="F151" i="80" s="1"/>
  <c r="AL151" i="93"/>
  <c r="AM151" i="93"/>
  <c r="AK152" i="93"/>
  <c r="F152" i="80" s="1"/>
  <c r="AL152" i="93"/>
  <c r="AM152" i="93"/>
  <c r="AK153" i="93"/>
  <c r="F153" i="80" s="1"/>
  <c r="AL153" i="93"/>
  <c r="AM153" i="93"/>
  <c r="AK154" i="93"/>
  <c r="F154" i="80" s="1"/>
  <c r="AL154" i="93"/>
  <c r="AM154" i="93"/>
  <c r="AK155" i="93"/>
  <c r="F155" i="80" s="1"/>
  <c r="AL155" i="93"/>
  <c r="AM155" i="93"/>
  <c r="AK156" i="93"/>
  <c r="F156" i="80" s="1"/>
  <c r="AL156" i="93"/>
  <c r="AM156" i="93"/>
  <c r="AK157" i="93"/>
  <c r="F157" i="80" s="1"/>
  <c r="AL157" i="93"/>
  <c r="AM157" i="93"/>
  <c r="AK158" i="93"/>
  <c r="F158" i="80" s="1"/>
  <c r="AL158" i="93"/>
  <c r="AM158" i="93"/>
  <c r="AK159" i="93"/>
  <c r="F159" i="80" s="1"/>
  <c r="AL159" i="93"/>
  <c r="AM159" i="93"/>
  <c r="AK160" i="93"/>
  <c r="F160" i="80" s="1"/>
  <c r="AL160" i="93"/>
  <c r="AM160" i="93"/>
  <c r="AK161" i="93"/>
  <c r="F161" i="80" s="1"/>
  <c r="AL161" i="93"/>
  <c r="AM161" i="93"/>
  <c r="AK162" i="93"/>
  <c r="F162" i="80" s="1"/>
  <c r="AL162" i="93"/>
  <c r="AM162" i="93"/>
  <c r="AK163" i="93"/>
  <c r="F163" i="80" s="1"/>
  <c r="AL163" i="93"/>
  <c r="AM163" i="93"/>
  <c r="AK164" i="93"/>
  <c r="F164" i="80" s="1"/>
  <c r="AL164" i="93"/>
  <c r="AM164" i="93"/>
  <c r="AK165" i="93"/>
  <c r="F165" i="80" s="1"/>
  <c r="AL165" i="93"/>
  <c r="AM165" i="93"/>
  <c r="AK166" i="93"/>
  <c r="F166" i="80" s="1"/>
  <c r="AL166" i="93"/>
  <c r="AM166" i="93"/>
  <c r="AK167" i="93"/>
  <c r="F167" i="80" s="1"/>
  <c r="AL167" i="93"/>
  <c r="AM167" i="93"/>
  <c r="AK168" i="93"/>
  <c r="F168" i="80" s="1"/>
  <c r="AL168" i="93"/>
  <c r="AM168" i="93"/>
  <c r="AK169" i="93"/>
  <c r="F169" i="80" s="1"/>
  <c r="AL169" i="93"/>
  <c r="AM169" i="93"/>
  <c r="AK170" i="93"/>
  <c r="F170" i="80" s="1"/>
  <c r="AL170" i="93"/>
  <c r="AM170" i="93"/>
  <c r="AK171" i="93"/>
  <c r="F171" i="80" s="1"/>
  <c r="AL171" i="93"/>
  <c r="AM171" i="93"/>
  <c r="AK172" i="93"/>
  <c r="F172" i="80" s="1"/>
  <c r="AL172" i="93"/>
  <c r="AM172" i="93"/>
  <c r="AK173" i="93"/>
  <c r="F173" i="80" s="1"/>
  <c r="AL173" i="93"/>
  <c r="AM173" i="93"/>
  <c r="AK174" i="93"/>
  <c r="F174" i="80" s="1"/>
  <c r="AL174" i="93"/>
  <c r="AM174" i="93"/>
  <c r="AK175" i="93"/>
  <c r="F175" i="80" s="1"/>
  <c r="AL175" i="93"/>
  <c r="AM175" i="93"/>
  <c r="AK176" i="93"/>
  <c r="F176" i="80" s="1"/>
  <c r="AL176" i="93"/>
  <c r="AM176" i="93"/>
  <c r="AK177" i="93"/>
  <c r="F177" i="80" s="1"/>
  <c r="AL177" i="93"/>
  <c r="AM177" i="93"/>
  <c r="AK178" i="93"/>
  <c r="F178" i="80" s="1"/>
  <c r="AL178" i="93"/>
  <c r="AM178" i="93"/>
  <c r="AK179" i="93"/>
  <c r="F179" i="80" s="1"/>
  <c r="AL179" i="93"/>
  <c r="AM179" i="93"/>
  <c r="AK180" i="93"/>
  <c r="F180" i="80" s="1"/>
  <c r="AL180" i="93"/>
  <c r="AM180" i="93"/>
  <c r="AK181" i="93"/>
  <c r="F181" i="80" s="1"/>
  <c r="AL181" i="93"/>
  <c r="AM181" i="93"/>
  <c r="AK182" i="93"/>
  <c r="F182" i="80" s="1"/>
  <c r="AL182" i="93"/>
  <c r="AM182" i="93"/>
  <c r="AK183" i="93"/>
  <c r="F183" i="80" s="1"/>
  <c r="AL183" i="93"/>
  <c r="AM183" i="93"/>
  <c r="AK184" i="93"/>
  <c r="F184" i="80" s="1"/>
  <c r="AL184" i="93"/>
  <c r="AM184" i="93"/>
  <c r="AK185" i="93"/>
  <c r="F185" i="80" s="1"/>
  <c r="AL185" i="93"/>
  <c r="AM185" i="93"/>
  <c r="AK186" i="93"/>
  <c r="F186" i="80" s="1"/>
  <c r="AL186" i="93"/>
  <c r="AM186" i="93"/>
  <c r="AK187" i="93"/>
  <c r="F187" i="80" s="1"/>
  <c r="AL187" i="93"/>
  <c r="AM187" i="93"/>
  <c r="AK188" i="93"/>
  <c r="F188" i="80" s="1"/>
  <c r="AL188" i="93"/>
  <c r="AM188" i="93"/>
  <c r="AK189" i="93"/>
  <c r="F189" i="80" s="1"/>
  <c r="AL189" i="93"/>
  <c r="AM189" i="93"/>
  <c r="AK190" i="93"/>
  <c r="F190" i="80" s="1"/>
  <c r="AL190" i="93"/>
  <c r="AM190" i="93"/>
  <c r="AK191" i="93"/>
  <c r="F191" i="80" s="1"/>
  <c r="AL191" i="93"/>
  <c r="AM191" i="93"/>
  <c r="AK192" i="93"/>
  <c r="F192" i="80" s="1"/>
  <c r="AL192" i="93"/>
  <c r="AM192" i="93"/>
  <c r="AK193" i="93"/>
  <c r="F193" i="80" s="1"/>
  <c r="AL193" i="93"/>
  <c r="AM193" i="93"/>
  <c r="AK194" i="93"/>
  <c r="F194" i="80" s="1"/>
  <c r="AL194" i="93"/>
  <c r="AM194" i="93"/>
  <c r="AK195" i="93"/>
  <c r="G3" i="93" l="1"/>
  <c r="F5" i="93"/>
  <c r="F6" i="80"/>
  <c r="AT4" i="93"/>
  <c r="G7" i="80"/>
  <c r="M3" i="89"/>
  <c r="V3" i="89" s="1"/>
  <c r="M4" i="89"/>
  <c r="V4" i="89" s="1"/>
  <c r="G8" i="80"/>
  <c r="M5" i="89"/>
  <c r="V5" i="89" s="1"/>
  <c r="G9" i="80"/>
  <c r="M6" i="89"/>
  <c r="V6" i="89" s="1"/>
  <c r="G10" i="80"/>
  <c r="M7" i="89"/>
  <c r="V7" i="89" s="1"/>
  <c r="G11" i="80"/>
  <c r="M8" i="89"/>
  <c r="V8" i="89" s="1"/>
  <c r="G12" i="80"/>
  <c r="M9" i="89"/>
  <c r="V9" i="89" s="1"/>
  <c r="G13" i="80"/>
  <c r="M10" i="89"/>
  <c r="V10" i="89" s="1"/>
  <c r="G14" i="80"/>
  <c r="M11" i="89"/>
  <c r="V11" i="89" s="1"/>
  <c r="G15" i="80"/>
  <c r="M12" i="89"/>
  <c r="V12" i="89" s="1"/>
  <c r="G16" i="80"/>
  <c r="M13" i="89"/>
  <c r="V13" i="89" s="1"/>
  <c r="G17" i="80"/>
  <c r="M14" i="89"/>
  <c r="V14" i="89" s="1"/>
  <c r="G18" i="80"/>
  <c r="M15" i="89"/>
  <c r="V15" i="89" s="1"/>
  <c r="G19" i="80"/>
  <c r="M16" i="89"/>
  <c r="V16" i="89" s="1"/>
  <c r="G20" i="80"/>
  <c r="M17" i="89"/>
  <c r="V17" i="89" s="1"/>
  <c r="G21" i="80"/>
  <c r="M18" i="89"/>
  <c r="V18" i="89" s="1"/>
  <c r="G22" i="80"/>
  <c r="M19" i="89"/>
  <c r="V19" i="89" s="1"/>
  <c r="G23" i="80"/>
  <c r="M20" i="89"/>
  <c r="V20" i="89" s="1"/>
  <c r="G24" i="80"/>
  <c r="M21" i="89"/>
  <c r="V21" i="89" s="1"/>
  <c r="G25" i="80"/>
  <c r="M22" i="89"/>
  <c r="V22" i="89" s="1"/>
  <c r="G26" i="80"/>
  <c r="M23" i="89"/>
  <c r="V23" i="89" s="1"/>
  <c r="G27" i="80"/>
  <c r="M24" i="89"/>
  <c r="V24" i="89" s="1"/>
  <c r="G28" i="80"/>
  <c r="M25" i="89"/>
  <c r="V25" i="89" s="1"/>
  <c r="G29" i="80"/>
  <c r="M26" i="89"/>
  <c r="V26" i="89" s="1"/>
  <c r="G30" i="80"/>
  <c r="M27" i="89"/>
  <c r="V27" i="89" s="1"/>
  <c r="G31" i="80"/>
  <c r="M28" i="89"/>
  <c r="V28" i="89" s="1"/>
  <c r="G32" i="80"/>
  <c r="M29" i="89"/>
  <c r="V29" i="89" s="1"/>
  <c r="G33" i="80"/>
  <c r="M30" i="89"/>
  <c r="V30" i="89" s="1"/>
  <c r="G34" i="80"/>
  <c r="M31" i="89"/>
  <c r="V31" i="89" s="1"/>
  <c r="G35" i="80"/>
  <c r="M32" i="89"/>
  <c r="V32" i="89" s="1"/>
  <c r="G36" i="80"/>
  <c r="M33" i="89"/>
  <c r="V33" i="89" s="1"/>
  <c r="G37" i="80"/>
  <c r="M34" i="89"/>
  <c r="V34" i="89" s="1"/>
  <c r="G38" i="80"/>
  <c r="M35" i="89"/>
  <c r="V35" i="89" s="1"/>
  <c r="G39" i="80"/>
  <c r="M36" i="89"/>
  <c r="V36" i="89" s="1"/>
  <c r="G40" i="80"/>
  <c r="M37" i="89"/>
  <c r="V37" i="89" s="1"/>
  <c r="G41" i="80"/>
  <c r="M38" i="89"/>
  <c r="V38" i="89" s="1"/>
  <c r="G42" i="80"/>
  <c r="M39" i="89"/>
  <c r="V39" i="89" s="1"/>
  <c r="G43" i="80"/>
  <c r="M40" i="89"/>
  <c r="V40" i="89" s="1"/>
  <c r="G44" i="80"/>
  <c r="M41" i="89"/>
  <c r="V41" i="89" s="1"/>
  <c r="G45" i="80"/>
  <c r="M42" i="89"/>
  <c r="V42" i="89" s="1"/>
  <c r="G46" i="80"/>
  <c r="M43" i="89"/>
  <c r="V43" i="89" s="1"/>
  <c r="G47" i="80"/>
  <c r="M44" i="89"/>
  <c r="V44" i="89" s="1"/>
  <c r="G48" i="80"/>
  <c r="M45" i="89"/>
  <c r="V45" i="89" s="1"/>
  <c r="G49" i="80"/>
  <c r="M46" i="89"/>
  <c r="V46" i="89" s="1"/>
  <c r="G50" i="80"/>
  <c r="M47" i="89"/>
  <c r="V47" i="89" s="1"/>
  <c r="G51" i="80"/>
  <c r="M48" i="89"/>
  <c r="V48" i="89" s="1"/>
  <c r="G52" i="80"/>
  <c r="M49" i="89"/>
  <c r="V49" i="89" s="1"/>
  <c r="G53" i="80"/>
  <c r="M50" i="89"/>
  <c r="V50" i="89" s="1"/>
  <c r="G54" i="80"/>
  <c r="M51" i="89"/>
  <c r="V51" i="89" s="1"/>
  <c r="G55" i="80"/>
  <c r="M52" i="89"/>
  <c r="V52" i="89" s="1"/>
  <c r="G56" i="80"/>
  <c r="M53" i="89"/>
  <c r="V53" i="89" s="1"/>
  <c r="G57" i="80"/>
  <c r="M54" i="89"/>
  <c r="V54" i="89" s="1"/>
  <c r="G58" i="80"/>
  <c r="M55" i="89"/>
  <c r="V55" i="89" s="1"/>
  <c r="G59" i="80"/>
  <c r="M56" i="89"/>
  <c r="V56" i="89" s="1"/>
  <c r="G60" i="80"/>
  <c r="M57" i="89"/>
  <c r="V57" i="89" s="1"/>
  <c r="G61" i="80"/>
  <c r="M58" i="89"/>
  <c r="V58" i="89" s="1"/>
  <c r="G62" i="80"/>
  <c r="M59" i="89"/>
  <c r="V59" i="89" s="1"/>
  <c r="G63" i="80"/>
  <c r="M60" i="89"/>
  <c r="V60" i="89" s="1"/>
  <c r="G64" i="80"/>
  <c r="M61" i="89"/>
  <c r="V61" i="89" s="1"/>
  <c r="G65" i="80"/>
  <c r="M62" i="89"/>
  <c r="G66" i="80"/>
  <c r="M63" i="89"/>
  <c r="V63" i="89" s="1"/>
  <c r="G67" i="80"/>
  <c r="M64" i="89"/>
  <c r="V64" i="89" s="1"/>
  <c r="G68" i="80"/>
  <c r="M65" i="89"/>
  <c r="V65" i="89" s="1"/>
  <c r="G69" i="80"/>
  <c r="M66" i="89"/>
  <c r="V66" i="89" s="1"/>
  <c r="G70" i="80"/>
  <c r="M67" i="89"/>
  <c r="V67" i="89" s="1"/>
  <c r="G71" i="80"/>
  <c r="M68" i="89"/>
  <c r="V68" i="89" s="1"/>
  <c r="G72" i="80"/>
  <c r="M69" i="89"/>
  <c r="V69" i="89" s="1"/>
  <c r="G73" i="80"/>
  <c r="M70" i="89"/>
  <c r="V70" i="89" s="1"/>
  <c r="G74" i="80"/>
  <c r="M71" i="89"/>
  <c r="V71" i="89" s="1"/>
  <c r="G75" i="80"/>
  <c r="M72" i="89"/>
  <c r="V72" i="89" s="1"/>
  <c r="G76" i="80"/>
  <c r="M73" i="89"/>
  <c r="V73" i="89" s="1"/>
  <c r="G77" i="80"/>
  <c r="M74" i="89"/>
  <c r="V74" i="89" s="1"/>
  <c r="G78" i="80"/>
  <c r="M75" i="89"/>
  <c r="V75" i="89" s="1"/>
  <c r="G79" i="80"/>
  <c r="M76" i="89"/>
  <c r="V76" i="89" s="1"/>
  <c r="G80" i="80"/>
  <c r="M77" i="89"/>
  <c r="V77" i="89" s="1"/>
  <c r="G81" i="80"/>
  <c r="M78" i="89"/>
  <c r="V78" i="89" s="1"/>
  <c r="G82" i="80"/>
  <c r="M79" i="89"/>
  <c r="V79" i="89" s="1"/>
  <c r="G83" i="80"/>
  <c r="M80" i="89"/>
  <c r="V80" i="89" s="1"/>
  <c r="G84" i="80"/>
  <c r="M81" i="89"/>
  <c r="V81" i="89" s="1"/>
  <c r="G85" i="80"/>
  <c r="M82" i="89"/>
  <c r="V82" i="89" s="1"/>
  <c r="G86" i="80"/>
  <c r="M83" i="89"/>
  <c r="V83" i="89" s="1"/>
  <c r="G87" i="80"/>
  <c r="M84" i="89"/>
  <c r="V84" i="89" s="1"/>
  <c r="G88" i="80"/>
  <c r="M85" i="89"/>
  <c r="V85" i="89" s="1"/>
  <c r="G89" i="80"/>
  <c r="M86" i="89"/>
  <c r="V86" i="89" s="1"/>
  <c r="G90" i="80"/>
  <c r="M87" i="89"/>
  <c r="V87" i="89" s="1"/>
  <c r="G91" i="80"/>
  <c r="M88" i="89"/>
  <c r="V88" i="89" s="1"/>
  <c r="G92" i="80"/>
  <c r="M89" i="89"/>
  <c r="V89" i="89" s="1"/>
  <c r="G93" i="80"/>
  <c r="M90" i="89"/>
  <c r="V90" i="89" s="1"/>
  <c r="G94" i="80"/>
  <c r="M91" i="89"/>
  <c r="V91" i="89" s="1"/>
  <c r="G95" i="80"/>
  <c r="M92" i="89"/>
  <c r="V92" i="89" s="1"/>
  <c r="G96" i="80"/>
  <c r="M93" i="89"/>
  <c r="V93" i="89" s="1"/>
  <c r="G97" i="80"/>
  <c r="M94" i="89"/>
  <c r="V94" i="89" s="1"/>
  <c r="G98" i="80"/>
  <c r="M95" i="89"/>
  <c r="V95" i="89" s="1"/>
  <c r="G99" i="80"/>
  <c r="M96" i="89"/>
  <c r="V96" i="89" s="1"/>
  <c r="G100" i="80"/>
  <c r="M97" i="89"/>
  <c r="V97" i="89" s="1"/>
  <c r="G101" i="80"/>
  <c r="M98" i="89"/>
  <c r="V98" i="89" s="1"/>
  <c r="G102" i="80"/>
  <c r="M99" i="89"/>
  <c r="V99" i="89" s="1"/>
  <c r="G103" i="80"/>
  <c r="M100" i="89"/>
  <c r="V100" i="89" s="1"/>
  <c r="G104" i="80"/>
  <c r="M101" i="89"/>
  <c r="V101" i="89" s="1"/>
  <c r="G105" i="80"/>
  <c r="M102" i="89"/>
  <c r="V102" i="89" s="1"/>
  <c r="G106" i="80"/>
  <c r="M103" i="89"/>
  <c r="V103" i="89" s="1"/>
  <c r="G107" i="80"/>
  <c r="M104" i="89"/>
  <c r="V104" i="89" s="1"/>
  <c r="G108" i="80"/>
  <c r="M105" i="89"/>
  <c r="V105" i="89" s="1"/>
  <c r="G109" i="80"/>
  <c r="M106" i="89"/>
  <c r="V106" i="89" s="1"/>
  <c r="G110" i="80"/>
  <c r="M107" i="89"/>
  <c r="V107" i="89" s="1"/>
  <c r="G111" i="80"/>
  <c r="M108" i="89"/>
  <c r="V108" i="89" s="1"/>
  <c r="G112" i="80"/>
  <c r="M109" i="89"/>
  <c r="V109" i="89" s="1"/>
  <c r="G113" i="80"/>
  <c r="M110" i="89"/>
  <c r="V110" i="89" s="1"/>
  <c r="G114" i="80"/>
  <c r="M111" i="89"/>
  <c r="V111" i="89" s="1"/>
  <c r="G115" i="80"/>
  <c r="M112" i="89"/>
  <c r="V112" i="89" s="1"/>
  <c r="G116" i="80"/>
  <c r="M113" i="89"/>
  <c r="V113" i="89" s="1"/>
  <c r="G117" i="80"/>
  <c r="M114" i="89"/>
  <c r="V114" i="89" s="1"/>
  <c r="G118" i="80"/>
  <c r="M115" i="89"/>
  <c r="V115" i="89" s="1"/>
  <c r="G119" i="80"/>
  <c r="M116" i="89"/>
  <c r="V116" i="89" s="1"/>
  <c r="G120" i="80"/>
  <c r="M117" i="89"/>
  <c r="V117" i="89" s="1"/>
  <c r="G121" i="80"/>
  <c r="M118" i="89"/>
  <c r="V118" i="89" s="1"/>
  <c r="G122" i="80"/>
  <c r="M119" i="89"/>
  <c r="V119" i="89" s="1"/>
  <c r="G123" i="80"/>
  <c r="M120" i="89"/>
  <c r="V120" i="89" s="1"/>
  <c r="G124" i="80"/>
  <c r="M121" i="89"/>
  <c r="V121" i="89" s="1"/>
  <c r="G125" i="80"/>
  <c r="M122" i="89"/>
  <c r="V122" i="89" s="1"/>
  <c r="G126" i="80"/>
  <c r="M123" i="89"/>
  <c r="V123" i="89" s="1"/>
  <c r="G127" i="80"/>
  <c r="M124" i="89"/>
  <c r="V124" i="89" s="1"/>
  <c r="G128" i="80"/>
  <c r="M125" i="89"/>
  <c r="V125" i="89" s="1"/>
  <c r="G129" i="80"/>
  <c r="M126" i="89"/>
  <c r="V126" i="89" s="1"/>
  <c r="G130" i="80"/>
  <c r="M127" i="89"/>
  <c r="V127" i="89" s="1"/>
  <c r="G131" i="80"/>
  <c r="M128" i="89"/>
  <c r="V128" i="89" s="1"/>
  <c r="G132" i="80"/>
  <c r="M129" i="89"/>
  <c r="V129" i="89" s="1"/>
  <c r="G133" i="80"/>
  <c r="M130" i="89"/>
  <c r="V130" i="89" s="1"/>
  <c r="G134" i="80"/>
  <c r="M131" i="89"/>
  <c r="V131" i="89" s="1"/>
  <c r="G135" i="80"/>
  <c r="M132" i="89"/>
  <c r="V132" i="89" s="1"/>
  <c r="G136" i="80"/>
  <c r="M133" i="89"/>
  <c r="V133" i="89" s="1"/>
  <c r="G137" i="80"/>
  <c r="M134" i="89"/>
  <c r="V134" i="89" s="1"/>
  <c r="G138" i="80"/>
  <c r="M135" i="89"/>
  <c r="V135" i="89" s="1"/>
  <c r="G139" i="80"/>
  <c r="M136" i="89"/>
  <c r="V136" i="89" s="1"/>
  <c r="G140" i="80"/>
  <c r="M137" i="89"/>
  <c r="V137" i="89" s="1"/>
  <c r="G141" i="80"/>
  <c r="M138" i="89"/>
  <c r="V138" i="89" s="1"/>
  <c r="G142" i="80"/>
  <c r="M139" i="89"/>
  <c r="V139" i="89" s="1"/>
  <c r="G143" i="80"/>
  <c r="M140" i="89"/>
  <c r="V140" i="89" s="1"/>
  <c r="G144" i="80"/>
  <c r="M141" i="89"/>
  <c r="V141" i="89" s="1"/>
  <c r="G145" i="80"/>
  <c r="M142" i="89"/>
  <c r="V142" i="89" s="1"/>
  <c r="G146" i="80"/>
  <c r="M143" i="89"/>
  <c r="V143" i="89" s="1"/>
  <c r="G147" i="80"/>
  <c r="M144" i="89"/>
  <c r="V144" i="89" s="1"/>
  <c r="G148" i="80"/>
  <c r="M145" i="89"/>
  <c r="V145" i="89" s="1"/>
  <c r="G149" i="80"/>
  <c r="M146" i="89"/>
  <c r="V146" i="89" s="1"/>
  <c r="G150" i="80"/>
  <c r="M147" i="89"/>
  <c r="V147" i="89" s="1"/>
  <c r="G151" i="80"/>
  <c r="M148" i="89"/>
  <c r="V148" i="89" s="1"/>
  <c r="G152" i="80"/>
  <c r="M149" i="89"/>
  <c r="V149" i="89" s="1"/>
  <c r="G153" i="80"/>
  <c r="M150" i="89"/>
  <c r="V150" i="89" s="1"/>
  <c r="G154" i="80"/>
  <c r="M151" i="89"/>
  <c r="V151" i="89" s="1"/>
  <c r="G155" i="80"/>
  <c r="G156" i="80"/>
  <c r="M152" i="89"/>
  <c r="V152" i="89" s="1"/>
  <c r="G157" i="80"/>
  <c r="M153" i="89"/>
  <c r="V153" i="89" s="1"/>
  <c r="M154" i="89"/>
  <c r="V154" i="89" s="1"/>
  <c r="G158" i="80"/>
  <c r="G159" i="80"/>
  <c r="M155" i="89"/>
  <c r="V155" i="89" s="1"/>
  <c r="M156" i="89"/>
  <c r="V156" i="89" s="1"/>
  <c r="G160" i="80"/>
  <c r="M157" i="89"/>
  <c r="V157" i="89" s="1"/>
  <c r="G161" i="80"/>
  <c r="M158" i="89"/>
  <c r="V158" i="89" s="1"/>
  <c r="G162" i="80"/>
  <c r="M159" i="89"/>
  <c r="V159" i="89" s="1"/>
  <c r="G163" i="80"/>
  <c r="M160" i="89"/>
  <c r="V160" i="89" s="1"/>
  <c r="G164" i="80"/>
  <c r="M161" i="89"/>
  <c r="V161" i="89" s="1"/>
  <c r="G165" i="80"/>
  <c r="M162" i="89"/>
  <c r="V162" i="89" s="1"/>
  <c r="G166" i="80"/>
  <c r="G167" i="80"/>
  <c r="M163" i="89"/>
  <c r="V163" i="89" s="1"/>
  <c r="M164" i="89"/>
  <c r="V164" i="89" s="1"/>
  <c r="G168" i="80"/>
  <c r="M165" i="89"/>
  <c r="V165" i="89" s="1"/>
  <c r="G169" i="80"/>
  <c r="G170" i="80"/>
  <c r="M166" i="89"/>
  <c r="V166" i="89" s="1"/>
  <c r="M167" i="89"/>
  <c r="V167" i="89" s="1"/>
  <c r="G171" i="80"/>
  <c r="G172" i="80"/>
  <c r="M168" i="89"/>
  <c r="V168" i="89" s="1"/>
  <c r="M169" i="89"/>
  <c r="V169" i="89" s="1"/>
  <c r="G173" i="80"/>
  <c r="M170" i="89"/>
  <c r="V170" i="89" s="1"/>
  <c r="G174" i="80"/>
  <c r="G175" i="80"/>
  <c r="M171" i="89"/>
  <c r="V171" i="89" s="1"/>
  <c r="G176" i="80"/>
  <c r="M172" i="89"/>
  <c r="V172" i="89" s="1"/>
  <c r="G177" i="80"/>
  <c r="M173" i="89"/>
  <c r="V173" i="89" s="1"/>
  <c r="G178" i="80"/>
  <c r="M174" i="89"/>
  <c r="V174" i="89" s="1"/>
  <c r="M175" i="89"/>
  <c r="V175" i="89" s="1"/>
  <c r="G179" i="80"/>
  <c r="G180" i="80"/>
  <c r="M176" i="89"/>
  <c r="V176" i="89" s="1"/>
  <c r="G181" i="80"/>
  <c r="M177" i="89"/>
  <c r="V177" i="89" s="1"/>
  <c r="G182" i="80"/>
  <c r="M178" i="89"/>
  <c r="V178" i="89" s="1"/>
  <c r="G183" i="80"/>
  <c r="M179" i="89"/>
  <c r="V179" i="89" s="1"/>
  <c r="G184" i="80"/>
  <c r="M180" i="89"/>
  <c r="V180" i="89" s="1"/>
  <c r="M181" i="89"/>
  <c r="V181" i="89" s="1"/>
  <c r="G185" i="80"/>
  <c r="M182" i="89"/>
  <c r="V182" i="89" s="1"/>
  <c r="G186" i="80"/>
  <c r="G187" i="80"/>
  <c r="M183" i="89"/>
  <c r="V183" i="89" s="1"/>
  <c r="G188" i="80"/>
  <c r="M184" i="89"/>
  <c r="V184" i="89" s="1"/>
  <c r="G189" i="80"/>
  <c r="M185" i="89"/>
  <c r="V185" i="89" s="1"/>
  <c r="M186" i="89"/>
  <c r="V186" i="89" s="1"/>
  <c r="G190" i="80"/>
  <c r="M187" i="89"/>
  <c r="V187" i="89" s="1"/>
  <c r="G191" i="80"/>
  <c r="G192" i="80"/>
  <c r="M188" i="89"/>
  <c r="V188" i="89" s="1"/>
  <c r="G193" i="80"/>
  <c r="M189" i="89"/>
  <c r="V189" i="89" s="1"/>
  <c r="G194" i="80"/>
  <c r="M190" i="89"/>
  <c r="V190" i="89" s="1"/>
  <c r="G5" i="93" l="1"/>
  <c r="H3" i="93"/>
  <c r="M2" i="89"/>
  <c r="F195" i="80"/>
  <c r="G6" i="80"/>
  <c r="O3" i="89"/>
  <c r="O7" i="80"/>
  <c r="AI3" i="89" s="1"/>
  <c r="H7" i="80"/>
  <c r="J7" i="80"/>
  <c r="N7" i="80"/>
  <c r="P7" i="80" s="1"/>
  <c r="AJ3" i="89" s="1"/>
  <c r="H8" i="80"/>
  <c r="Q8" i="80" s="1"/>
  <c r="S8" i="80" s="1"/>
  <c r="O8" i="80"/>
  <c r="AI4" i="89" s="1"/>
  <c r="J8" i="80"/>
  <c r="O4" i="89"/>
  <c r="N8" i="80"/>
  <c r="P8" i="80" s="1"/>
  <c r="AJ4" i="89" s="1"/>
  <c r="I8" i="80"/>
  <c r="T8" i="80" s="1"/>
  <c r="D7" i="53" s="1"/>
  <c r="C15" i="94" s="1"/>
  <c r="O5" i="89"/>
  <c r="O9" i="80"/>
  <c r="AI5" i="89" s="1"/>
  <c r="N9" i="80"/>
  <c r="P9" i="80" s="1"/>
  <c r="AJ5" i="89" s="1"/>
  <c r="J9" i="80"/>
  <c r="H9" i="80"/>
  <c r="O6" i="89"/>
  <c r="O10" i="80"/>
  <c r="AI6" i="89" s="1"/>
  <c r="N10" i="80"/>
  <c r="P10" i="80" s="1"/>
  <c r="AJ6" i="89" s="1"/>
  <c r="J10" i="80"/>
  <c r="H10" i="80"/>
  <c r="O7" i="89"/>
  <c r="O11" i="80"/>
  <c r="AI7" i="89" s="1"/>
  <c r="N11" i="80"/>
  <c r="P11" i="80" s="1"/>
  <c r="AJ7" i="89" s="1"/>
  <c r="J11" i="80"/>
  <c r="H11" i="80"/>
  <c r="O8" i="89"/>
  <c r="O12" i="80"/>
  <c r="AI8" i="89" s="1"/>
  <c r="N12" i="80"/>
  <c r="P12" i="80" s="1"/>
  <c r="AJ8" i="89" s="1"/>
  <c r="J12" i="80"/>
  <c r="H12" i="80"/>
  <c r="O9" i="89"/>
  <c r="O13" i="80"/>
  <c r="AI9" i="89" s="1"/>
  <c r="N13" i="80"/>
  <c r="P13" i="80" s="1"/>
  <c r="AJ9" i="89" s="1"/>
  <c r="J13" i="80"/>
  <c r="H13" i="80"/>
  <c r="O10" i="89"/>
  <c r="O14" i="80"/>
  <c r="AI10" i="89" s="1"/>
  <c r="N14" i="80"/>
  <c r="P14" i="80" s="1"/>
  <c r="AJ10" i="89" s="1"/>
  <c r="J14" i="80"/>
  <c r="H14" i="80"/>
  <c r="O11" i="89"/>
  <c r="O15" i="80"/>
  <c r="AI11" i="89" s="1"/>
  <c r="N15" i="80"/>
  <c r="P15" i="80" s="1"/>
  <c r="AJ11" i="89" s="1"/>
  <c r="J15" i="80"/>
  <c r="H15" i="80"/>
  <c r="O12" i="89"/>
  <c r="O16" i="80"/>
  <c r="AI12" i="89" s="1"/>
  <c r="N16" i="80"/>
  <c r="P16" i="80" s="1"/>
  <c r="AJ12" i="89" s="1"/>
  <c r="J16" i="80"/>
  <c r="H16" i="80"/>
  <c r="O13" i="89"/>
  <c r="O17" i="80"/>
  <c r="AI13" i="89" s="1"/>
  <c r="N17" i="80"/>
  <c r="P17" i="80" s="1"/>
  <c r="AJ13" i="89" s="1"/>
  <c r="J17" i="80"/>
  <c r="H17" i="80"/>
  <c r="O14" i="89"/>
  <c r="O18" i="80"/>
  <c r="AI14" i="89" s="1"/>
  <c r="N18" i="80"/>
  <c r="P18" i="80" s="1"/>
  <c r="AJ14" i="89" s="1"/>
  <c r="J18" i="80"/>
  <c r="H18" i="80"/>
  <c r="O15" i="89"/>
  <c r="O19" i="80"/>
  <c r="AI15" i="89" s="1"/>
  <c r="N19" i="80"/>
  <c r="P19" i="80" s="1"/>
  <c r="AJ15" i="89" s="1"/>
  <c r="J19" i="80"/>
  <c r="H19" i="80"/>
  <c r="O16" i="89"/>
  <c r="O20" i="80"/>
  <c r="AI16" i="89" s="1"/>
  <c r="N20" i="80"/>
  <c r="P20" i="80" s="1"/>
  <c r="AJ16" i="89" s="1"/>
  <c r="J20" i="80"/>
  <c r="H20" i="80"/>
  <c r="O17" i="89"/>
  <c r="O21" i="80"/>
  <c r="AI17" i="89" s="1"/>
  <c r="N21" i="80"/>
  <c r="P21" i="80" s="1"/>
  <c r="AJ17" i="89" s="1"/>
  <c r="J21" i="80"/>
  <c r="H21" i="80"/>
  <c r="O18" i="89"/>
  <c r="O22" i="80"/>
  <c r="AI18" i="89" s="1"/>
  <c r="N22" i="80"/>
  <c r="P22" i="80" s="1"/>
  <c r="AJ18" i="89" s="1"/>
  <c r="J22" i="80"/>
  <c r="H22" i="80"/>
  <c r="O19" i="89"/>
  <c r="O23" i="80"/>
  <c r="AI19" i="89" s="1"/>
  <c r="N23" i="80"/>
  <c r="P23" i="80" s="1"/>
  <c r="AJ19" i="89" s="1"/>
  <c r="J23" i="80"/>
  <c r="H23" i="80"/>
  <c r="O20" i="89"/>
  <c r="O24" i="80"/>
  <c r="AI20" i="89" s="1"/>
  <c r="N24" i="80"/>
  <c r="P24" i="80" s="1"/>
  <c r="AJ20" i="89" s="1"/>
  <c r="J24" i="80"/>
  <c r="H24" i="80"/>
  <c r="O21" i="89"/>
  <c r="O25" i="80"/>
  <c r="AI21" i="89" s="1"/>
  <c r="N25" i="80"/>
  <c r="P25" i="80" s="1"/>
  <c r="AJ21" i="89" s="1"/>
  <c r="J25" i="80"/>
  <c r="H25" i="80"/>
  <c r="O22" i="89"/>
  <c r="O26" i="80"/>
  <c r="AI22" i="89" s="1"/>
  <c r="N26" i="80"/>
  <c r="P26" i="80" s="1"/>
  <c r="AJ22" i="89" s="1"/>
  <c r="J26" i="80"/>
  <c r="H26" i="80"/>
  <c r="O23" i="89"/>
  <c r="O27" i="80"/>
  <c r="AI23" i="89" s="1"/>
  <c r="N27" i="80"/>
  <c r="P27" i="80" s="1"/>
  <c r="AJ23" i="89" s="1"/>
  <c r="J27" i="80"/>
  <c r="H27" i="80"/>
  <c r="O24" i="89"/>
  <c r="O28" i="80"/>
  <c r="AI24" i="89" s="1"/>
  <c r="N28" i="80"/>
  <c r="P28" i="80" s="1"/>
  <c r="AJ24" i="89" s="1"/>
  <c r="J28" i="80"/>
  <c r="H28" i="80"/>
  <c r="O25" i="89"/>
  <c r="O29" i="80"/>
  <c r="AI25" i="89" s="1"/>
  <c r="N29" i="80"/>
  <c r="P29" i="80" s="1"/>
  <c r="AJ25" i="89" s="1"/>
  <c r="J29" i="80"/>
  <c r="H29" i="80"/>
  <c r="O26" i="89"/>
  <c r="O30" i="80"/>
  <c r="AI26" i="89" s="1"/>
  <c r="N30" i="80"/>
  <c r="P30" i="80" s="1"/>
  <c r="AJ26" i="89" s="1"/>
  <c r="J30" i="80"/>
  <c r="H30" i="80"/>
  <c r="O27" i="89"/>
  <c r="O31" i="80"/>
  <c r="AI27" i="89" s="1"/>
  <c r="N31" i="80"/>
  <c r="P31" i="80" s="1"/>
  <c r="AJ27" i="89" s="1"/>
  <c r="J31" i="80"/>
  <c r="H31" i="80"/>
  <c r="O28" i="89"/>
  <c r="O32" i="80"/>
  <c r="AI28" i="89" s="1"/>
  <c r="N32" i="80"/>
  <c r="P32" i="80" s="1"/>
  <c r="AJ28" i="89" s="1"/>
  <c r="J32" i="80"/>
  <c r="H32" i="80"/>
  <c r="O29" i="89"/>
  <c r="O33" i="80"/>
  <c r="AI29" i="89" s="1"/>
  <c r="N33" i="80"/>
  <c r="P33" i="80" s="1"/>
  <c r="AJ29" i="89" s="1"/>
  <c r="J33" i="80"/>
  <c r="H33" i="80"/>
  <c r="O30" i="89"/>
  <c r="O34" i="80"/>
  <c r="AI30" i="89" s="1"/>
  <c r="N34" i="80"/>
  <c r="P34" i="80" s="1"/>
  <c r="AJ30" i="89" s="1"/>
  <c r="J34" i="80"/>
  <c r="H34" i="80"/>
  <c r="O31" i="89"/>
  <c r="O35" i="80"/>
  <c r="AI31" i="89" s="1"/>
  <c r="N35" i="80"/>
  <c r="P35" i="80" s="1"/>
  <c r="AJ31" i="89" s="1"/>
  <c r="J35" i="80"/>
  <c r="H35" i="80"/>
  <c r="O32" i="89"/>
  <c r="O36" i="80"/>
  <c r="AI32" i="89" s="1"/>
  <c r="N36" i="80"/>
  <c r="P36" i="80" s="1"/>
  <c r="AJ32" i="89" s="1"/>
  <c r="J36" i="80"/>
  <c r="H36" i="80"/>
  <c r="O33" i="89"/>
  <c r="O37" i="80"/>
  <c r="AI33" i="89" s="1"/>
  <c r="N37" i="80"/>
  <c r="P37" i="80" s="1"/>
  <c r="AJ33" i="89" s="1"/>
  <c r="J37" i="80"/>
  <c r="H37" i="80"/>
  <c r="O34" i="89"/>
  <c r="O38" i="80"/>
  <c r="AI34" i="89" s="1"/>
  <c r="N38" i="80"/>
  <c r="P38" i="80" s="1"/>
  <c r="AJ34" i="89" s="1"/>
  <c r="J38" i="80"/>
  <c r="H38" i="80"/>
  <c r="O35" i="89"/>
  <c r="O39" i="80"/>
  <c r="AI35" i="89" s="1"/>
  <c r="N39" i="80"/>
  <c r="P39" i="80" s="1"/>
  <c r="AJ35" i="89" s="1"/>
  <c r="J39" i="80"/>
  <c r="H39" i="80"/>
  <c r="O36" i="89"/>
  <c r="O40" i="80"/>
  <c r="AI36" i="89" s="1"/>
  <c r="N40" i="80"/>
  <c r="P40" i="80" s="1"/>
  <c r="AJ36" i="89" s="1"/>
  <c r="J40" i="80"/>
  <c r="H40" i="80"/>
  <c r="O37" i="89"/>
  <c r="O41" i="80"/>
  <c r="AI37" i="89" s="1"/>
  <c r="N41" i="80"/>
  <c r="P41" i="80" s="1"/>
  <c r="AJ37" i="89" s="1"/>
  <c r="J41" i="80"/>
  <c r="H41" i="80"/>
  <c r="O38" i="89"/>
  <c r="O42" i="80"/>
  <c r="AI38" i="89" s="1"/>
  <c r="N42" i="80"/>
  <c r="P42" i="80" s="1"/>
  <c r="AJ38" i="89" s="1"/>
  <c r="J42" i="80"/>
  <c r="H42" i="80"/>
  <c r="O39" i="89"/>
  <c r="O43" i="80"/>
  <c r="AI39" i="89" s="1"/>
  <c r="N43" i="80"/>
  <c r="P43" i="80" s="1"/>
  <c r="AJ39" i="89" s="1"/>
  <c r="J43" i="80"/>
  <c r="H43" i="80"/>
  <c r="O40" i="89"/>
  <c r="O44" i="80"/>
  <c r="AI40" i="89" s="1"/>
  <c r="N44" i="80"/>
  <c r="P44" i="80" s="1"/>
  <c r="AJ40" i="89" s="1"/>
  <c r="J44" i="80"/>
  <c r="H44" i="80"/>
  <c r="O41" i="89"/>
  <c r="O45" i="80"/>
  <c r="AI41" i="89" s="1"/>
  <c r="N45" i="80"/>
  <c r="P45" i="80" s="1"/>
  <c r="AJ41" i="89" s="1"/>
  <c r="J45" i="80"/>
  <c r="H45" i="80"/>
  <c r="O42" i="89"/>
  <c r="O46" i="80"/>
  <c r="AI42" i="89" s="1"/>
  <c r="N46" i="80"/>
  <c r="P46" i="80" s="1"/>
  <c r="AJ42" i="89" s="1"/>
  <c r="J46" i="80"/>
  <c r="H46" i="80"/>
  <c r="O43" i="89"/>
  <c r="O47" i="80"/>
  <c r="AI43" i="89" s="1"/>
  <c r="N47" i="80"/>
  <c r="P47" i="80" s="1"/>
  <c r="AJ43" i="89" s="1"/>
  <c r="J47" i="80"/>
  <c r="H47" i="80"/>
  <c r="O44" i="89"/>
  <c r="O48" i="80"/>
  <c r="AI44" i="89" s="1"/>
  <c r="N48" i="80"/>
  <c r="P48" i="80" s="1"/>
  <c r="AJ44" i="89" s="1"/>
  <c r="J48" i="80"/>
  <c r="H48" i="80"/>
  <c r="O45" i="89"/>
  <c r="O49" i="80"/>
  <c r="AI45" i="89" s="1"/>
  <c r="N49" i="80"/>
  <c r="P49" i="80" s="1"/>
  <c r="AJ45" i="89" s="1"/>
  <c r="J49" i="80"/>
  <c r="H49" i="80"/>
  <c r="O46" i="89"/>
  <c r="O50" i="80"/>
  <c r="AI46" i="89" s="1"/>
  <c r="N50" i="80"/>
  <c r="P50" i="80" s="1"/>
  <c r="AJ46" i="89" s="1"/>
  <c r="J50" i="80"/>
  <c r="H50" i="80"/>
  <c r="O47" i="89"/>
  <c r="O51" i="80"/>
  <c r="AI47" i="89" s="1"/>
  <c r="N51" i="80"/>
  <c r="P51" i="80" s="1"/>
  <c r="AJ47" i="89" s="1"/>
  <c r="J51" i="80"/>
  <c r="H51" i="80"/>
  <c r="O48" i="89"/>
  <c r="O52" i="80"/>
  <c r="AI48" i="89" s="1"/>
  <c r="N52" i="80"/>
  <c r="P52" i="80" s="1"/>
  <c r="AJ48" i="89" s="1"/>
  <c r="J52" i="80"/>
  <c r="H52" i="80"/>
  <c r="O49" i="89"/>
  <c r="O53" i="80"/>
  <c r="AI49" i="89" s="1"/>
  <c r="N53" i="80"/>
  <c r="P53" i="80" s="1"/>
  <c r="AJ49" i="89" s="1"/>
  <c r="J53" i="80"/>
  <c r="H53" i="80"/>
  <c r="O50" i="89"/>
  <c r="O54" i="80"/>
  <c r="AI50" i="89" s="1"/>
  <c r="N54" i="80"/>
  <c r="P54" i="80" s="1"/>
  <c r="AJ50" i="89" s="1"/>
  <c r="J54" i="80"/>
  <c r="H54" i="80"/>
  <c r="O51" i="89"/>
  <c r="O55" i="80"/>
  <c r="AI51" i="89" s="1"/>
  <c r="N55" i="80"/>
  <c r="P55" i="80" s="1"/>
  <c r="AJ51" i="89" s="1"/>
  <c r="J55" i="80"/>
  <c r="H55" i="80"/>
  <c r="O52" i="89"/>
  <c r="O56" i="80"/>
  <c r="AI52" i="89" s="1"/>
  <c r="N56" i="80"/>
  <c r="P56" i="80" s="1"/>
  <c r="AJ52" i="89" s="1"/>
  <c r="J56" i="80"/>
  <c r="H56" i="80"/>
  <c r="O53" i="89"/>
  <c r="O57" i="80"/>
  <c r="AI53" i="89" s="1"/>
  <c r="N57" i="80"/>
  <c r="P57" i="80" s="1"/>
  <c r="AJ53" i="89" s="1"/>
  <c r="J57" i="80"/>
  <c r="H57" i="80"/>
  <c r="O54" i="89"/>
  <c r="O58" i="80"/>
  <c r="AI54" i="89" s="1"/>
  <c r="N58" i="80"/>
  <c r="P58" i="80" s="1"/>
  <c r="AJ54" i="89" s="1"/>
  <c r="J58" i="80"/>
  <c r="H58" i="80"/>
  <c r="O55" i="89"/>
  <c r="O59" i="80"/>
  <c r="AI55" i="89" s="1"/>
  <c r="N59" i="80"/>
  <c r="P59" i="80" s="1"/>
  <c r="AJ55" i="89" s="1"/>
  <c r="J59" i="80"/>
  <c r="H59" i="80"/>
  <c r="O56" i="89"/>
  <c r="O60" i="80"/>
  <c r="AI56" i="89" s="1"/>
  <c r="N60" i="80"/>
  <c r="P60" i="80" s="1"/>
  <c r="AJ56" i="89" s="1"/>
  <c r="J60" i="80"/>
  <c r="H60" i="80"/>
  <c r="O57" i="89"/>
  <c r="O61" i="80"/>
  <c r="AI57" i="89" s="1"/>
  <c r="N61" i="80"/>
  <c r="P61" i="80" s="1"/>
  <c r="AJ57" i="89" s="1"/>
  <c r="J61" i="80"/>
  <c r="H61" i="80"/>
  <c r="O58" i="89"/>
  <c r="O62" i="80"/>
  <c r="AI58" i="89" s="1"/>
  <c r="N62" i="80"/>
  <c r="P62" i="80" s="1"/>
  <c r="AJ58" i="89" s="1"/>
  <c r="J62" i="80"/>
  <c r="H62" i="80"/>
  <c r="O59" i="89"/>
  <c r="O63" i="80"/>
  <c r="AI59" i="89" s="1"/>
  <c r="N63" i="80"/>
  <c r="P63" i="80" s="1"/>
  <c r="AJ59" i="89" s="1"/>
  <c r="J63" i="80"/>
  <c r="H63" i="80"/>
  <c r="O60" i="89"/>
  <c r="O64" i="80"/>
  <c r="AI60" i="89" s="1"/>
  <c r="N64" i="80"/>
  <c r="P64" i="80" s="1"/>
  <c r="AJ60" i="89" s="1"/>
  <c r="J64" i="80"/>
  <c r="H64" i="80"/>
  <c r="O61" i="89"/>
  <c r="O65" i="80"/>
  <c r="AI61" i="89" s="1"/>
  <c r="N65" i="80"/>
  <c r="P65" i="80" s="1"/>
  <c r="AJ61" i="89" s="1"/>
  <c r="J65" i="80"/>
  <c r="H65" i="80"/>
  <c r="O62" i="89"/>
  <c r="O66" i="80"/>
  <c r="AI62" i="89" s="1"/>
  <c r="N66" i="80"/>
  <c r="P66" i="80" s="1"/>
  <c r="AJ62" i="89" s="1"/>
  <c r="J66" i="80"/>
  <c r="H66" i="80"/>
  <c r="O63" i="89"/>
  <c r="O67" i="80"/>
  <c r="AI63" i="89" s="1"/>
  <c r="N67" i="80"/>
  <c r="P67" i="80" s="1"/>
  <c r="AJ63" i="89" s="1"/>
  <c r="J67" i="80"/>
  <c r="H67" i="80"/>
  <c r="O64" i="89"/>
  <c r="O68" i="80"/>
  <c r="AI64" i="89" s="1"/>
  <c r="N68" i="80"/>
  <c r="P68" i="80" s="1"/>
  <c r="AJ64" i="89" s="1"/>
  <c r="J68" i="80"/>
  <c r="H68" i="80"/>
  <c r="O65" i="89"/>
  <c r="O69" i="80"/>
  <c r="AI65" i="89" s="1"/>
  <c r="N69" i="80"/>
  <c r="P69" i="80" s="1"/>
  <c r="AJ65" i="89" s="1"/>
  <c r="J69" i="80"/>
  <c r="H69" i="80"/>
  <c r="O66" i="89"/>
  <c r="O70" i="80"/>
  <c r="AI66" i="89" s="1"/>
  <c r="N70" i="80"/>
  <c r="P70" i="80" s="1"/>
  <c r="AJ66" i="89" s="1"/>
  <c r="J70" i="80"/>
  <c r="H70" i="80"/>
  <c r="O67" i="89"/>
  <c r="O71" i="80"/>
  <c r="AI67" i="89" s="1"/>
  <c r="N71" i="80"/>
  <c r="P71" i="80" s="1"/>
  <c r="AJ67" i="89" s="1"/>
  <c r="J71" i="80"/>
  <c r="H71" i="80"/>
  <c r="O68" i="89"/>
  <c r="O72" i="80"/>
  <c r="AI68" i="89" s="1"/>
  <c r="N72" i="80"/>
  <c r="P72" i="80" s="1"/>
  <c r="AJ68" i="89" s="1"/>
  <c r="J72" i="80"/>
  <c r="H72" i="80"/>
  <c r="O69" i="89"/>
  <c r="O73" i="80"/>
  <c r="AI69" i="89" s="1"/>
  <c r="N73" i="80"/>
  <c r="P73" i="80" s="1"/>
  <c r="AJ69" i="89" s="1"/>
  <c r="J73" i="80"/>
  <c r="H73" i="80"/>
  <c r="O70" i="89"/>
  <c r="O74" i="80"/>
  <c r="AI70" i="89" s="1"/>
  <c r="N74" i="80"/>
  <c r="P74" i="80" s="1"/>
  <c r="AJ70" i="89" s="1"/>
  <c r="J74" i="80"/>
  <c r="H74" i="80"/>
  <c r="O71" i="89"/>
  <c r="O75" i="80"/>
  <c r="AI71" i="89" s="1"/>
  <c r="N75" i="80"/>
  <c r="P75" i="80" s="1"/>
  <c r="AJ71" i="89" s="1"/>
  <c r="J75" i="80"/>
  <c r="H75" i="80"/>
  <c r="O72" i="89"/>
  <c r="O76" i="80"/>
  <c r="AI72" i="89" s="1"/>
  <c r="N76" i="80"/>
  <c r="P76" i="80" s="1"/>
  <c r="AJ72" i="89" s="1"/>
  <c r="J76" i="80"/>
  <c r="I76" i="80"/>
  <c r="T76" i="80" s="1"/>
  <c r="D75" i="53" s="1"/>
  <c r="C83" i="94" s="1"/>
  <c r="H76" i="80"/>
  <c r="Q76" i="80" s="1"/>
  <c r="S76" i="80" s="1"/>
  <c r="O73" i="89"/>
  <c r="O77" i="80"/>
  <c r="AI73" i="89" s="1"/>
  <c r="N77" i="80"/>
  <c r="P77" i="80" s="1"/>
  <c r="AJ73" i="89" s="1"/>
  <c r="J77" i="80"/>
  <c r="H77" i="80"/>
  <c r="O74" i="89"/>
  <c r="O78" i="80"/>
  <c r="AI74" i="89" s="1"/>
  <c r="N78" i="80"/>
  <c r="P78" i="80" s="1"/>
  <c r="J78" i="80"/>
  <c r="H78" i="80"/>
  <c r="O75" i="89"/>
  <c r="O79" i="80"/>
  <c r="AI75" i="89" s="1"/>
  <c r="N79" i="80"/>
  <c r="P79" i="80" s="1"/>
  <c r="J79" i="80"/>
  <c r="H79" i="80"/>
  <c r="O76" i="89"/>
  <c r="O80" i="80"/>
  <c r="AI76" i="89" s="1"/>
  <c r="N80" i="80"/>
  <c r="P80" i="80" s="1"/>
  <c r="J80" i="80"/>
  <c r="H80" i="80"/>
  <c r="O77" i="89"/>
  <c r="O81" i="80"/>
  <c r="AI77" i="89" s="1"/>
  <c r="N81" i="80"/>
  <c r="P81" i="80" s="1"/>
  <c r="J81" i="80"/>
  <c r="H81" i="80"/>
  <c r="O78" i="89"/>
  <c r="O82" i="80"/>
  <c r="AI78" i="89" s="1"/>
  <c r="N82" i="80"/>
  <c r="P82" i="80" s="1"/>
  <c r="J82" i="80"/>
  <c r="H82" i="80"/>
  <c r="O79" i="89"/>
  <c r="O83" i="80"/>
  <c r="AI79" i="89" s="1"/>
  <c r="N83" i="80"/>
  <c r="P83" i="80" s="1"/>
  <c r="J83" i="80"/>
  <c r="H83" i="80"/>
  <c r="O80" i="89"/>
  <c r="O84" i="80"/>
  <c r="AI80" i="89" s="1"/>
  <c r="N84" i="80"/>
  <c r="P84" i="80" s="1"/>
  <c r="J84" i="80"/>
  <c r="H84" i="80"/>
  <c r="O81" i="89"/>
  <c r="O85" i="80"/>
  <c r="AI81" i="89" s="1"/>
  <c r="N85" i="80"/>
  <c r="P85" i="80" s="1"/>
  <c r="J85" i="80"/>
  <c r="H85" i="80"/>
  <c r="O82" i="89"/>
  <c r="O86" i="80"/>
  <c r="AI82" i="89" s="1"/>
  <c r="N86" i="80"/>
  <c r="P86" i="80" s="1"/>
  <c r="J86" i="80"/>
  <c r="H86" i="80"/>
  <c r="O83" i="89"/>
  <c r="O87" i="80"/>
  <c r="AI83" i="89" s="1"/>
  <c r="N87" i="80"/>
  <c r="P87" i="80" s="1"/>
  <c r="J87" i="80"/>
  <c r="H87" i="80"/>
  <c r="O84" i="89"/>
  <c r="O88" i="80"/>
  <c r="AI84" i="89" s="1"/>
  <c r="N88" i="80"/>
  <c r="P88" i="80" s="1"/>
  <c r="J88" i="80"/>
  <c r="H88" i="80"/>
  <c r="O85" i="89"/>
  <c r="O89" i="80"/>
  <c r="AI85" i="89" s="1"/>
  <c r="N89" i="80"/>
  <c r="P89" i="80" s="1"/>
  <c r="J89" i="80"/>
  <c r="H89" i="80"/>
  <c r="O86" i="89"/>
  <c r="O90" i="80"/>
  <c r="AI86" i="89" s="1"/>
  <c r="N90" i="80"/>
  <c r="P90" i="80" s="1"/>
  <c r="J90" i="80"/>
  <c r="H90" i="80"/>
  <c r="O87" i="89"/>
  <c r="O91" i="80"/>
  <c r="AI87" i="89" s="1"/>
  <c r="N91" i="80"/>
  <c r="P91" i="80" s="1"/>
  <c r="J91" i="80"/>
  <c r="H91" i="80"/>
  <c r="O88" i="89"/>
  <c r="O92" i="80"/>
  <c r="AI88" i="89" s="1"/>
  <c r="N92" i="80"/>
  <c r="P92" i="80" s="1"/>
  <c r="J92" i="80"/>
  <c r="H92" i="80"/>
  <c r="O89" i="89"/>
  <c r="O93" i="80"/>
  <c r="AI89" i="89" s="1"/>
  <c r="N93" i="80"/>
  <c r="P93" i="80" s="1"/>
  <c r="J93" i="80"/>
  <c r="H93" i="80"/>
  <c r="O90" i="89"/>
  <c r="O94" i="80"/>
  <c r="AI90" i="89" s="1"/>
  <c r="N94" i="80"/>
  <c r="P94" i="80" s="1"/>
  <c r="J94" i="80"/>
  <c r="H94" i="80"/>
  <c r="O91" i="89"/>
  <c r="O95" i="80"/>
  <c r="AI91" i="89" s="1"/>
  <c r="N95" i="80"/>
  <c r="P95" i="80" s="1"/>
  <c r="J95" i="80"/>
  <c r="H95" i="80"/>
  <c r="O92" i="89"/>
  <c r="O96" i="80"/>
  <c r="AI92" i="89" s="1"/>
  <c r="N96" i="80"/>
  <c r="J96" i="80"/>
  <c r="H96" i="80"/>
  <c r="O93" i="89"/>
  <c r="O97" i="80"/>
  <c r="AI93" i="89" s="1"/>
  <c r="N97" i="80"/>
  <c r="P97" i="80" s="1"/>
  <c r="J97" i="80"/>
  <c r="H97" i="80"/>
  <c r="O94" i="89"/>
  <c r="O98" i="80"/>
  <c r="AI94" i="89" s="1"/>
  <c r="N98" i="80"/>
  <c r="P98" i="80" s="1"/>
  <c r="J98" i="80"/>
  <c r="H98" i="80"/>
  <c r="O95" i="89"/>
  <c r="O99" i="80"/>
  <c r="AI95" i="89" s="1"/>
  <c r="N99" i="80"/>
  <c r="P99" i="80" s="1"/>
  <c r="AJ95" i="89" s="1"/>
  <c r="J99" i="80"/>
  <c r="H99" i="80"/>
  <c r="O96" i="89"/>
  <c r="O100" i="80"/>
  <c r="AI96" i="89" s="1"/>
  <c r="N100" i="80"/>
  <c r="P100" i="80" s="1"/>
  <c r="AJ96" i="89" s="1"/>
  <c r="J100" i="80"/>
  <c r="H100" i="80"/>
  <c r="O97" i="89"/>
  <c r="O101" i="80"/>
  <c r="AI97" i="89" s="1"/>
  <c r="N101" i="80"/>
  <c r="P101" i="80" s="1"/>
  <c r="AJ97" i="89" s="1"/>
  <c r="J101" i="80"/>
  <c r="I101" i="80"/>
  <c r="T101" i="80" s="1"/>
  <c r="D100" i="53" s="1"/>
  <c r="C108" i="94" s="1"/>
  <c r="H101" i="80"/>
  <c r="Q101" i="80" s="1"/>
  <c r="S101" i="80" s="1"/>
  <c r="O98" i="89"/>
  <c r="O102" i="80"/>
  <c r="AI98" i="89" s="1"/>
  <c r="N102" i="80"/>
  <c r="P102" i="80" s="1"/>
  <c r="AJ98" i="89" s="1"/>
  <c r="J102" i="80"/>
  <c r="H102" i="80"/>
  <c r="O99" i="89"/>
  <c r="O103" i="80"/>
  <c r="AI99" i="89" s="1"/>
  <c r="N103" i="80"/>
  <c r="P103" i="80" s="1"/>
  <c r="AJ99" i="89" s="1"/>
  <c r="J103" i="80"/>
  <c r="H103" i="80"/>
  <c r="O100" i="89"/>
  <c r="O104" i="80"/>
  <c r="AI100" i="89" s="1"/>
  <c r="N104" i="80"/>
  <c r="P104" i="80" s="1"/>
  <c r="AJ100" i="89" s="1"/>
  <c r="J104" i="80"/>
  <c r="H104" i="80"/>
  <c r="O101" i="89"/>
  <c r="O105" i="80"/>
  <c r="AI101" i="89" s="1"/>
  <c r="N105" i="80"/>
  <c r="P105" i="80" s="1"/>
  <c r="AJ101" i="89" s="1"/>
  <c r="J105" i="80"/>
  <c r="H105" i="80"/>
  <c r="O102" i="89"/>
  <c r="O106" i="80"/>
  <c r="AI102" i="89" s="1"/>
  <c r="N106" i="80"/>
  <c r="P106" i="80" s="1"/>
  <c r="AJ102" i="89" s="1"/>
  <c r="J106" i="80"/>
  <c r="H106" i="80"/>
  <c r="O103" i="89"/>
  <c r="O107" i="80"/>
  <c r="AI103" i="89" s="1"/>
  <c r="N107" i="80"/>
  <c r="P107" i="80" s="1"/>
  <c r="AJ103" i="89" s="1"/>
  <c r="J107" i="80"/>
  <c r="H107" i="80"/>
  <c r="O104" i="89"/>
  <c r="O108" i="80"/>
  <c r="AI104" i="89" s="1"/>
  <c r="N108" i="80"/>
  <c r="P108" i="80" s="1"/>
  <c r="AJ104" i="89" s="1"/>
  <c r="J108" i="80"/>
  <c r="H108" i="80"/>
  <c r="O105" i="89"/>
  <c r="O109" i="80"/>
  <c r="AI105" i="89" s="1"/>
  <c r="N109" i="80"/>
  <c r="P109" i="80" s="1"/>
  <c r="AJ105" i="89" s="1"/>
  <c r="J109" i="80"/>
  <c r="H109" i="80"/>
  <c r="O106" i="89"/>
  <c r="O110" i="80"/>
  <c r="AI106" i="89" s="1"/>
  <c r="N110" i="80"/>
  <c r="P110" i="80" s="1"/>
  <c r="AJ106" i="89" s="1"/>
  <c r="J110" i="80"/>
  <c r="H110" i="80"/>
  <c r="O107" i="89"/>
  <c r="O111" i="80"/>
  <c r="AI107" i="89" s="1"/>
  <c r="N111" i="80"/>
  <c r="P111" i="80" s="1"/>
  <c r="AJ107" i="89" s="1"/>
  <c r="J111" i="80"/>
  <c r="H111" i="80"/>
  <c r="O108" i="89"/>
  <c r="O112" i="80"/>
  <c r="AI108" i="89" s="1"/>
  <c r="N112" i="80"/>
  <c r="P112" i="80" s="1"/>
  <c r="AJ108" i="89" s="1"/>
  <c r="J112" i="80"/>
  <c r="H112" i="80"/>
  <c r="O109" i="89"/>
  <c r="O113" i="80"/>
  <c r="AI109" i="89" s="1"/>
  <c r="N113" i="80"/>
  <c r="P113" i="80" s="1"/>
  <c r="AJ109" i="89" s="1"/>
  <c r="J113" i="80"/>
  <c r="H113" i="80"/>
  <c r="O110" i="89"/>
  <c r="O114" i="80"/>
  <c r="AI110" i="89" s="1"/>
  <c r="N114" i="80"/>
  <c r="P114" i="80" s="1"/>
  <c r="AJ110" i="89" s="1"/>
  <c r="J114" i="80"/>
  <c r="H114" i="80"/>
  <c r="O111" i="89"/>
  <c r="O115" i="80"/>
  <c r="AI111" i="89" s="1"/>
  <c r="N115" i="80"/>
  <c r="P115" i="80" s="1"/>
  <c r="AJ111" i="89" s="1"/>
  <c r="J115" i="80"/>
  <c r="H115" i="80"/>
  <c r="O112" i="89"/>
  <c r="O116" i="80"/>
  <c r="AI112" i="89" s="1"/>
  <c r="N116" i="80"/>
  <c r="P116" i="80" s="1"/>
  <c r="AJ112" i="89" s="1"/>
  <c r="J116" i="80"/>
  <c r="H116" i="80"/>
  <c r="O113" i="89"/>
  <c r="O117" i="80"/>
  <c r="AI113" i="89" s="1"/>
  <c r="N117" i="80"/>
  <c r="P117" i="80" s="1"/>
  <c r="AJ113" i="89" s="1"/>
  <c r="J117" i="80"/>
  <c r="H117" i="80"/>
  <c r="O114" i="89"/>
  <c r="O118" i="80"/>
  <c r="AI114" i="89" s="1"/>
  <c r="N118" i="80"/>
  <c r="P118" i="80" s="1"/>
  <c r="AJ114" i="89" s="1"/>
  <c r="J118" i="80"/>
  <c r="H118" i="80"/>
  <c r="O115" i="89"/>
  <c r="O119" i="80"/>
  <c r="AI115" i="89" s="1"/>
  <c r="N119" i="80"/>
  <c r="P119" i="80" s="1"/>
  <c r="AJ115" i="89" s="1"/>
  <c r="J119" i="80"/>
  <c r="H119" i="80"/>
  <c r="O116" i="89"/>
  <c r="O120" i="80"/>
  <c r="AI116" i="89" s="1"/>
  <c r="N120" i="80"/>
  <c r="P120" i="80" s="1"/>
  <c r="AJ116" i="89" s="1"/>
  <c r="J120" i="80"/>
  <c r="H120" i="80"/>
  <c r="O117" i="89"/>
  <c r="O121" i="80"/>
  <c r="AI117" i="89" s="1"/>
  <c r="N121" i="80"/>
  <c r="P121" i="80" s="1"/>
  <c r="AJ117" i="89" s="1"/>
  <c r="J121" i="80"/>
  <c r="H121" i="80"/>
  <c r="O118" i="89"/>
  <c r="O122" i="80"/>
  <c r="AI118" i="89" s="1"/>
  <c r="N122" i="80"/>
  <c r="P122" i="80" s="1"/>
  <c r="AJ118" i="89" s="1"/>
  <c r="J122" i="80"/>
  <c r="H122" i="80"/>
  <c r="O119" i="89"/>
  <c r="O123" i="80"/>
  <c r="AI119" i="89" s="1"/>
  <c r="N123" i="80"/>
  <c r="P123" i="80" s="1"/>
  <c r="AJ119" i="89" s="1"/>
  <c r="J123" i="80"/>
  <c r="I123" i="80"/>
  <c r="H123" i="80"/>
  <c r="Q123" i="80" s="1"/>
  <c r="S123" i="80" s="1"/>
  <c r="O120" i="89"/>
  <c r="O124" i="80"/>
  <c r="AI120" i="89" s="1"/>
  <c r="N124" i="80"/>
  <c r="P124" i="80" s="1"/>
  <c r="AJ120" i="89" s="1"/>
  <c r="J124" i="80"/>
  <c r="H124" i="80"/>
  <c r="O121" i="89"/>
  <c r="O125" i="80"/>
  <c r="AI121" i="89" s="1"/>
  <c r="N125" i="80"/>
  <c r="P125" i="80" s="1"/>
  <c r="AJ121" i="89" s="1"/>
  <c r="J125" i="80"/>
  <c r="H125" i="80"/>
  <c r="O122" i="89"/>
  <c r="O126" i="80"/>
  <c r="AI122" i="89" s="1"/>
  <c r="N126" i="80"/>
  <c r="P126" i="80" s="1"/>
  <c r="AJ122" i="89" s="1"/>
  <c r="J126" i="80"/>
  <c r="H126" i="80"/>
  <c r="O123" i="89"/>
  <c r="O127" i="80"/>
  <c r="AI123" i="89" s="1"/>
  <c r="N127" i="80"/>
  <c r="P127" i="80" s="1"/>
  <c r="AJ123" i="89" s="1"/>
  <c r="J127" i="80"/>
  <c r="H127" i="80"/>
  <c r="O124" i="89"/>
  <c r="O128" i="80"/>
  <c r="AI124" i="89" s="1"/>
  <c r="N128" i="80"/>
  <c r="P128" i="80" s="1"/>
  <c r="AJ124" i="89" s="1"/>
  <c r="J128" i="80"/>
  <c r="H128" i="80"/>
  <c r="O125" i="89"/>
  <c r="O129" i="80"/>
  <c r="AI125" i="89" s="1"/>
  <c r="N129" i="80"/>
  <c r="P129" i="80" s="1"/>
  <c r="AJ125" i="89" s="1"/>
  <c r="J129" i="80"/>
  <c r="H129" i="80"/>
  <c r="O126" i="89"/>
  <c r="O130" i="80"/>
  <c r="AI126" i="89" s="1"/>
  <c r="N130" i="80"/>
  <c r="P130" i="80" s="1"/>
  <c r="AJ126" i="89" s="1"/>
  <c r="J130" i="80"/>
  <c r="H130" i="80"/>
  <c r="O127" i="89"/>
  <c r="O131" i="80"/>
  <c r="AI127" i="89" s="1"/>
  <c r="N131" i="80"/>
  <c r="P131" i="80" s="1"/>
  <c r="AJ127" i="89" s="1"/>
  <c r="J131" i="80"/>
  <c r="H131" i="80"/>
  <c r="O128" i="89"/>
  <c r="O132" i="80"/>
  <c r="AI128" i="89" s="1"/>
  <c r="N132" i="80"/>
  <c r="P132" i="80" s="1"/>
  <c r="AJ128" i="89" s="1"/>
  <c r="J132" i="80"/>
  <c r="H132" i="80"/>
  <c r="O129" i="89"/>
  <c r="O133" i="80"/>
  <c r="AI129" i="89" s="1"/>
  <c r="N133" i="80"/>
  <c r="P133" i="80" s="1"/>
  <c r="AJ129" i="89" s="1"/>
  <c r="J133" i="80"/>
  <c r="H133" i="80"/>
  <c r="O130" i="89"/>
  <c r="O134" i="80"/>
  <c r="AI130" i="89" s="1"/>
  <c r="N134" i="80"/>
  <c r="P134" i="80" s="1"/>
  <c r="AJ130" i="89" s="1"/>
  <c r="J134" i="80"/>
  <c r="H134" i="80"/>
  <c r="O131" i="89"/>
  <c r="O135" i="80"/>
  <c r="AI131" i="89" s="1"/>
  <c r="N135" i="80"/>
  <c r="P135" i="80" s="1"/>
  <c r="AJ131" i="89" s="1"/>
  <c r="J135" i="80"/>
  <c r="H135" i="80"/>
  <c r="O132" i="89"/>
  <c r="O136" i="80"/>
  <c r="AI132" i="89" s="1"/>
  <c r="N136" i="80"/>
  <c r="P136" i="80" s="1"/>
  <c r="AJ132" i="89" s="1"/>
  <c r="J136" i="80"/>
  <c r="H136" i="80"/>
  <c r="O133" i="89"/>
  <c r="O137" i="80"/>
  <c r="AI133" i="89" s="1"/>
  <c r="N137" i="80"/>
  <c r="P137" i="80" s="1"/>
  <c r="AJ133" i="89" s="1"/>
  <c r="J137" i="80"/>
  <c r="H137" i="80"/>
  <c r="O134" i="89"/>
  <c r="O138" i="80"/>
  <c r="AI134" i="89" s="1"/>
  <c r="N138" i="80"/>
  <c r="P138" i="80" s="1"/>
  <c r="AJ134" i="89" s="1"/>
  <c r="J138" i="80"/>
  <c r="H138" i="80"/>
  <c r="O135" i="89"/>
  <c r="O139" i="80"/>
  <c r="AI135" i="89" s="1"/>
  <c r="N139" i="80"/>
  <c r="P139" i="80" s="1"/>
  <c r="AJ135" i="89" s="1"/>
  <c r="J139" i="80"/>
  <c r="H139" i="80"/>
  <c r="O136" i="89"/>
  <c r="O140" i="80"/>
  <c r="AI136" i="89" s="1"/>
  <c r="N140" i="80"/>
  <c r="P140" i="80" s="1"/>
  <c r="AJ136" i="89" s="1"/>
  <c r="J140" i="80"/>
  <c r="H140" i="80"/>
  <c r="O137" i="89"/>
  <c r="O141" i="80"/>
  <c r="AI137" i="89" s="1"/>
  <c r="N141" i="80"/>
  <c r="P141" i="80" s="1"/>
  <c r="AJ137" i="89" s="1"/>
  <c r="J141" i="80"/>
  <c r="H141" i="80"/>
  <c r="O138" i="89"/>
  <c r="O142" i="80"/>
  <c r="AI138" i="89" s="1"/>
  <c r="N142" i="80"/>
  <c r="P142" i="80" s="1"/>
  <c r="AJ138" i="89" s="1"/>
  <c r="J142" i="80"/>
  <c r="H142" i="80"/>
  <c r="O139" i="89"/>
  <c r="O143" i="80"/>
  <c r="AI139" i="89" s="1"/>
  <c r="N143" i="80"/>
  <c r="P143" i="80" s="1"/>
  <c r="AJ139" i="89" s="1"/>
  <c r="J143" i="80"/>
  <c r="H143" i="80"/>
  <c r="O140" i="89"/>
  <c r="O144" i="80"/>
  <c r="AI140" i="89" s="1"/>
  <c r="N144" i="80"/>
  <c r="P144" i="80" s="1"/>
  <c r="AJ140" i="89" s="1"/>
  <c r="J144" i="80"/>
  <c r="H144" i="80"/>
  <c r="O141" i="89"/>
  <c r="O145" i="80"/>
  <c r="AI141" i="89" s="1"/>
  <c r="N145" i="80"/>
  <c r="P145" i="80" s="1"/>
  <c r="AJ141" i="89" s="1"/>
  <c r="J145" i="80"/>
  <c r="H145" i="80"/>
  <c r="O142" i="89"/>
  <c r="O146" i="80"/>
  <c r="AI142" i="89" s="1"/>
  <c r="N146" i="80"/>
  <c r="P146" i="80" s="1"/>
  <c r="AJ142" i="89" s="1"/>
  <c r="J146" i="80"/>
  <c r="H146" i="80"/>
  <c r="O143" i="89"/>
  <c r="O147" i="80"/>
  <c r="AI143" i="89" s="1"/>
  <c r="N147" i="80"/>
  <c r="P147" i="80" s="1"/>
  <c r="AJ143" i="89" s="1"/>
  <c r="J147" i="80"/>
  <c r="H147" i="80"/>
  <c r="O144" i="89"/>
  <c r="O148" i="80"/>
  <c r="AI144" i="89" s="1"/>
  <c r="N148" i="80"/>
  <c r="P148" i="80" s="1"/>
  <c r="AJ144" i="89" s="1"/>
  <c r="J148" i="80"/>
  <c r="H148" i="80"/>
  <c r="O145" i="89"/>
  <c r="O149" i="80"/>
  <c r="AI145" i="89" s="1"/>
  <c r="N149" i="80"/>
  <c r="P149" i="80" s="1"/>
  <c r="AJ145" i="89" s="1"/>
  <c r="J149" i="80"/>
  <c r="H149" i="80"/>
  <c r="O146" i="89"/>
  <c r="O150" i="80"/>
  <c r="AI146" i="89" s="1"/>
  <c r="N150" i="80"/>
  <c r="P150" i="80" s="1"/>
  <c r="AJ146" i="89" s="1"/>
  <c r="J150" i="80"/>
  <c r="H150" i="80"/>
  <c r="O147" i="89"/>
  <c r="O151" i="80"/>
  <c r="AI147" i="89" s="1"/>
  <c r="N151" i="80"/>
  <c r="P151" i="80" s="1"/>
  <c r="AJ147" i="89" s="1"/>
  <c r="J151" i="80"/>
  <c r="H151" i="80"/>
  <c r="O148" i="89"/>
  <c r="O152" i="80"/>
  <c r="AI148" i="89" s="1"/>
  <c r="N152" i="80"/>
  <c r="P152" i="80" s="1"/>
  <c r="AJ148" i="89" s="1"/>
  <c r="J152" i="80"/>
  <c r="H152" i="80"/>
  <c r="O149" i="89"/>
  <c r="O153" i="80"/>
  <c r="AI149" i="89" s="1"/>
  <c r="N153" i="80"/>
  <c r="P153" i="80" s="1"/>
  <c r="AJ149" i="89" s="1"/>
  <c r="J153" i="80"/>
  <c r="H153" i="80"/>
  <c r="O150" i="89"/>
  <c r="O154" i="80"/>
  <c r="AI150" i="89" s="1"/>
  <c r="N154" i="80"/>
  <c r="P154" i="80" s="1"/>
  <c r="AJ150" i="89" s="1"/>
  <c r="J154" i="80"/>
  <c r="H154" i="80"/>
  <c r="O155" i="80"/>
  <c r="AI151" i="89" s="1"/>
  <c r="H155" i="80"/>
  <c r="Q155" i="80" s="1"/>
  <c r="S155" i="80" s="1"/>
  <c r="O151" i="89"/>
  <c r="N155" i="80"/>
  <c r="P155" i="80" s="1"/>
  <c r="AJ151" i="89" s="1"/>
  <c r="J155" i="80"/>
  <c r="I155" i="80"/>
  <c r="T155" i="80" s="1"/>
  <c r="D154" i="53" s="1"/>
  <c r="C162" i="94" s="1"/>
  <c r="O152" i="89"/>
  <c r="N156" i="80"/>
  <c r="J156" i="80"/>
  <c r="H156" i="80"/>
  <c r="Q156" i="80" s="1"/>
  <c r="S156" i="80" s="1"/>
  <c r="O156" i="80"/>
  <c r="AI152" i="89" s="1"/>
  <c r="I156" i="80"/>
  <c r="T156" i="80" s="1"/>
  <c r="D155" i="53" s="1"/>
  <c r="C163" i="94" s="1"/>
  <c r="O153" i="89"/>
  <c r="O157" i="80"/>
  <c r="AI153" i="89" s="1"/>
  <c r="H157" i="80"/>
  <c r="N157" i="80"/>
  <c r="P157" i="80" s="1"/>
  <c r="AJ153" i="89" s="1"/>
  <c r="J157" i="80"/>
  <c r="O158" i="80"/>
  <c r="AI154" i="89" s="1"/>
  <c r="J158" i="80"/>
  <c r="H158" i="80"/>
  <c r="Q158" i="80" s="1"/>
  <c r="S158" i="80" s="1"/>
  <c r="O154" i="89"/>
  <c r="N158" i="80"/>
  <c r="P158" i="80" s="1"/>
  <c r="AJ154" i="89" s="1"/>
  <c r="I158" i="80"/>
  <c r="T158" i="80" s="1"/>
  <c r="D157" i="53" s="1"/>
  <c r="C165" i="94" s="1"/>
  <c r="O155" i="89"/>
  <c r="N159" i="80"/>
  <c r="J159" i="80"/>
  <c r="H159" i="80"/>
  <c r="Q159" i="80" s="1"/>
  <c r="S159" i="80" s="1"/>
  <c r="O159" i="80"/>
  <c r="AI155" i="89" s="1"/>
  <c r="I159" i="80"/>
  <c r="T159" i="80" s="1"/>
  <c r="D158" i="53" s="1"/>
  <c r="C166" i="94" s="1"/>
  <c r="O160" i="80"/>
  <c r="AI156" i="89" s="1"/>
  <c r="J160" i="80"/>
  <c r="H160" i="80"/>
  <c r="Q160" i="80" s="1"/>
  <c r="S160" i="80" s="1"/>
  <c r="O156" i="89"/>
  <c r="N160" i="80"/>
  <c r="P160" i="80" s="1"/>
  <c r="AJ156" i="89" s="1"/>
  <c r="I160" i="80"/>
  <c r="T160" i="80" s="1"/>
  <c r="D159" i="53" s="1"/>
  <c r="C167" i="94" s="1"/>
  <c r="O161" i="80"/>
  <c r="AI157" i="89" s="1"/>
  <c r="H161" i="80"/>
  <c r="Q161" i="80" s="1"/>
  <c r="S161" i="80" s="1"/>
  <c r="O157" i="89"/>
  <c r="N161" i="80"/>
  <c r="P161" i="80" s="1"/>
  <c r="AJ157" i="89" s="1"/>
  <c r="J161" i="80"/>
  <c r="I161" i="80"/>
  <c r="T161" i="80" s="1"/>
  <c r="D160" i="53" s="1"/>
  <c r="C168" i="94" s="1"/>
  <c r="N162" i="80"/>
  <c r="J162" i="80"/>
  <c r="H162" i="80"/>
  <c r="Q162" i="80" s="1"/>
  <c r="S162" i="80" s="1"/>
  <c r="O158" i="89"/>
  <c r="O162" i="80"/>
  <c r="AI158" i="89" s="1"/>
  <c r="I162" i="80"/>
  <c r="T162" i="80" s="1"/>
  <c r="D161" i="53" s="1"/>
  <c r="C169" i="94" s="1"/>
  <c r="O159" i="89"/>
  <c r="O163" i="80"/>
  <c r="AI159" i="89" s="1"/>
  <c r="N163" i="80"/>
  <c r="P163" i="80" s="1"/>
  <c r="AJ159" i="89" s="1"/>
  <c r="J163" i="80"/>
  <c r="H163" i="80"/>
  <c r="N164" i="80"/>
  <c r="J164" i="80"/>
  <c r="H164" i="80"/>
  <c r="Q164" i="80" s="1"/>
  <c r="S164" i="80" s="1"/>
  <c r="O160" i="89"/>
  <c r="O164" i="80"/>
  <c r="AI160" i="89" s="1"/>
  <c r="I164" i="80"/>
  <c r="T164" i="80" s="1"/>
  <c r="D163" i="53" s="1"/>
  <c r="C171" i="94" s="1"/>
  <c r="N165" i="80"/>
  <c r="J165" i="80"/>
  <c r="H165" i="80"/>
  <c r="Q165" i="80" s="1"/>
  <c r="S165" i="80" s="1"/>
  <c r="O161" i="89"/>
  <c r="O165" i="80"/>
  <c r="AI161" i="89" s="1"/>
  <c r="I165" i="80"/>
  <c r="T165" i="80" s="1"/>
  <c r="D164" i="53" s="1"/>
  <c r="C172" i="94" s="1"/>
  <c r="N166" i="80"/>
  <c r="J166" i="80"/>
  <c r="H166" i="80"/>
  <c r="Q166" i="80" s="1"/>
  <c r="S166" i="80" s="1"/>
  <c r="O162" i="89"/>
  <c r="O166" i="80"/>
  <c r="AI162" i="89" s="1"/>
  <c r="I166" i="80"/>
  <c r="T166" i="80" s="1"/>
  <c r="D165" i="53" s="1"/>
  <c r="C173" i="94" s="1"/>
  <c r="O163" i="89"/>
  <c r="N167" i="80"/>
  <c r="J167" i="80"/>
  <c r="H167" i="80"/>
  <c r="Q167" i="80" s="1"/>
  <c r="S167" i="80" s="1"/>
  <c r="O167" i="80"/>
  <c r="AI163" i="89" s="1"/>
  <c r="I167" i="80"/>
  <c r="T167" i="80" s="1"/>
  <c r="D166" i="53" s="1"/>
  <c r="C174" i="94" s="1"/>
  <c r="O168" i="80"/>
  <c r="AI164" i="89" s="1"/>
  <c r="N168" i="80"/>
  <c r="P168" i="80" s="1"/>
  <c r="AJ164" i="89" s="1"/>
  <c r="J168" i="80"/>
  <c r="H168" i="80"/>
  <c r="Q168" i="80" s="1"/>
  <c r="S168" i="80" s="1"/>
  <c r="O164" i="89"/>
  <c r="I168" i="80"/>
  <c r="T168" i="80" s="1"/>
  <c r="D167" i="53" s="1"/>
  <c r="C175" i="94" s="1"/>
  <c r="N169" i="80"/>
  <c r="J169" i="80"/>
  <c r="H169" i="80"/>
  <c r="Q169" i="80" s="1"/>
  <c r="S169" i="80" s="1"/>
  <c r="O169" i="80"/>
  <c r="AI165" i="89" s="1"/>
  <c r="O165" i="89"/>
  <c r="I169" i="80"/>
  <c r="T169" i="80" s="1"/>
  <c r="D168" i="53" s="1"/>
  <c r="C176" i="94" s="1"/>
  <c r="O166" i="89"/>
  <c r="H170" i="80"/>
  <c r="Q170" i="80" s="1"/>
  <c r="S170" i="80" s="1"/>
  <c r="I170" i="80"/>
  <c r="T170" i="80" s="1"/>
  <c r="D169" i="53" s="1"/>
  <c r="C177" i="94" s="1"/>
  <c r="N170" i="80"/>
  <c r="O170" i="80"/>
  <c r="AI166" i="89" s="1"/>
  <c r="J170" i="80"/>
  <c r="O167" i="89"/>
  <c r="N171" i="80"/>
  <c r="O171" i="80"/>
  <c r="AI167" i="89" s="1"/>
  <c r="J171" i="80"/>
  <c r="H171" i="80"/>
  <c r="O168" i="89"/>
  <c r="N172" i="80"/>
  <c r="H172" i="80"/>
  <c r="O172" i="80"/>
  <c r="AI168" i="89" s="1"/>
  <c r="J172" i="80"/>
  <c r="N173" i="80"/>
  <c r="J173" i="80"/>
  <c r="O169" i="89"/>
  <c r="O173" i="80"/>
  <c r="AI169" i="89" s="1"/>
  <c r="H173" i="80"/>
  <c r="O174" i="80"/>
  <c r="AI170" i="89" s="1"/>
  <c r="N174" i="80"/>
  <c r="P174" i="80" s="1"/>
  <c r="AJ170" i="89" s="1"/>
  <c r="J174" i="80"/>
  <c r="O170" i="89"/>
  <c r="H174" i="80"/>
  <c r="O171" i="89"/>
  <c r="J175" i="80"/>
  <c r="N175" i="80"/>
  <c r="P175" i="80" s="1"/>
  <c r="AJ171" i="89" s="1"/>
  <c r="O175" i="80"/>
  <c r="AI171" i="89" s="1"/>
  <c r="H175" i="80"/>
  <c r="J176" i="80"/>
  <c r="O172" i="89"/>
  <c r="O176" i="80"/>
  <c r="AI172" i="89" s="1"/>
  <c r="N176" i="80"/>
  <c r="P176" i="80" s="1"/>
  <c r="AJ172" i="89" s="1"/>
  <c r="H176" i="80"/>
  <c r="O173" i="89"/>
  <c r="N177" i="80"/>
  <c r="O177" i="80"/>
  <c r="AI173" i="89" s="1"/>
  <c r="J177" i="80"/>
  <c r="H177" i="80"/>
  <c r="O174" i="89"/>
  <c r="H178" i="80"/>
  <c r="N178" i="80"/>
  <c r="O178" i="80"/>
  <c r="AI174" i="89" s="1"/>
  <c r="J178" i="80"/>
  <c r="H179" i="80"/>
  <c r="Q179" i="80" s="1"/>
  <c r="S179" i="80" s="1"/>
  <c r="O175" i="89"/>
  <c r="O179" i="80"/>
  <c r="AI175" i="89" s="1"/>
  <c r="I179" i="80"/>
  <c r="T179" i="80" s="1"/>
  <c r="D178" i="53" s="1"/>
  <c r="C186" i="94" s="1"/>
  <c r="N179" i="80"/>
  <c r="P179" i="80" s="1"/>
  <c r="AJ175" i="89" s="1"/>
  <c r="J179" i="80"/>
  <c r="O180" i="80"/>
  <c r="AI176" i="89" s="1"/>
  <c r="O176" i="89"/>
  <c r="N180" i="80"/>
  <c r="P180" i="80" s="1"/>
  <c r="AJ176" i="89" s="1"/>
  <c r="H180" i="80"/>
  <c r="Q180" i="80" s="1"/>
  <c r="S180" i="80" s="1"/>
  <c r="I180" i="80"/>
  <c r="T180" i="80" s="1"/>
  <c r="D179" i="53" s="1"/>
  <c r="C187" i="94" s="1"/>
  <c r="J180" i="80"/>
  <c r="O177" i="89"/>
  <c r="N181" i="80"/>
  <c r="O181" i="80"/>
  <c r="AI177" i="89" s="1"/>
  <c r="J181" i="80"/>
  <c r="H181" i="80"/>
  <c r="O178" i="89"/>
  <c r="J182" i="80"/>
  <c r="N182" i="80"/>
  <c r="O182" i="80"/>
  <c r="AI178" i="89" s="1"/>
  <c r="H182" i="80"/>
  <c r="O179" i="89"/>
  <c r="N183" i="80"/>
  <c r="P183" i="80" s="1"/>
  <c r="AJ179" i="89" s="1"/>
  <c r="O183" i="80"/>
  <c r="AI179" i="89" s="1"/>
  <c r="J183" i="80"/>
  <c r="H183" i="80"/>
  <c r="O180" i="89"/>
  <c r="J184" i="80"/>
  <c r="O184" i="80"/>
  <c r="AI180" i="89" s="1"/>
  <c r="N184" i="80"/>
  <c r="P184" i="80" s="1"/>
  <c r="AJ180" i="89" s="1"/>
  <c r="H184" i="80"/>
  <c r="N185" i="80"/>
  <c r="J185" i="80"/>
  <c r="O181" i="89"/>
  <c r="O185" i="80"/>
  <c r="AI181" i="89" s="1"/>
  <c r="H185" i="80"/>
  <c r="O186" i="80"/>
  <c r="AI182" i="89" s="1"/>
  <c r="H186" i="80"/>
  <c r="Q186" i="80" s="1"/>
  <c r="S186" i="80" s="1"/>
  <c r="I186" i="80"/>
  <c r="T186" i="80" s="1"/>
  <c r="D185" i="53" s="1"/>
  <c r="C193" i="94" s="1"/>
  <c r="N186" i="80"/>
  <c r="P186" i="80" s="1"/>
  <c r="AJ182" i="89" s="1"/>
  <c r="O182" i="89"/>
  <c r="J186" i="80"/>
  <c r="O187" i="80"/>
  <c r="AI183" i="89" s="1"/>
  <c r="O183" i="89"/>
  <c r="N187" i="80"/>
  <c r="P187" i="80" s="1"/>
  <c r="AJ183" i="89" s="1"/>
  <c r="J187" i="80"/>
  <c r="H187" i="80"/>
  <c r="O184" i="89"/>
  <c r="N188" i="80"/>
  <c r="O188" i="80"/>
  <c r="AI184" i="89" s="1"/>
  <c r="H188" i="80"/>
  <c r="J188" i="80"/>
  <c r="O185" i="89"/>
  <c r="O189" i="80"/>
  <c r="AI185" i="89" s="1"/>
  <c r="H189" i="80"/>
  <c r="N189" i="80"/>
  <c r="P189" i="80" s="1"/>
  <c r="AJ185" i="89" s="1"/>
  <c r="J189" i="80"/>
  <c r="O190" i="80"/>
  <c r="AI186" i="89" s="1"/>
  <c r="O186" i="89"/>
  <c r="N190" i="80"/>
  <c r="P190" i="80" s="1"/>
  <c r="AJ186" i="89" s="1"/>
  <c r="J190" i="80"/>
  <c r="H190" i="80"/>
  <c r="Q190" i="80" s="1"/>
  <c r="S190" i="80" s="1"/>
  <c r="I190" i="80"/>
  <c r="H191" i="80"/>
  <c r="Q191" i="80" s="1"/>
  <c r="S191" i="80" s="1"/>
  <c r="O187" i="89"/>
  <c r="N191" i="80"/>
  <c r="O191" i="80"/>
  <c r="AI187" i="89" s="1"/>
  <c r="I191" i="80"/>
  <c r="T191" i="80" s="1"/>
  <c r="D190" i="53" s="1"/>
  <c r="C198" i="94" s="1"/>
  <c r="J191" i="80"/>
  <c r="N192" i="80"/>
  <c r="O188" i="89"/>
  <c r="O192" i="80"/>
  <c r="AI188" i="89" s="1"/>
  <c r="H192" i="80"/>
  <c r="J192" i="80"/>
  <c r="O189" i="89"/>
  <c r="J193" i="80"/>
  <c r="N193" i="80"/>
  <c r="O193" i="80"/>
  <c r="AI189" i="89" s="1"/>
  <c r="H193" i="80"/>
  <c r="O190" i="89"/>
  <c r="O194" i="80"/>
  <c r="AI190" i="89" s="1"/>
  <c r="N194" i="80"/>
  <c r="P194" i="80" s="1"/>
  <c r="AJ190" i="89" s="1"/>
  <c r="H194" i="80"/>
  <c r="J194" i="80"/>
  <c r="H5" i="93" l="1"/>
  <c r="I3" i="93"/>
  <c r="M421" i="89"/>
  <c r="V421" i="89" s="1"/>
  <c r="V2" i="89"/>
  <c r="J6" i="80"/>
  <c r="O2" i="89"/>
  <c r="G195" i="80"/>
  <c r="O421" i="89" s="1"/>
  <c r="H6" i="80"/>
  <c r="O6" i="80"/>
  <c r="AI2" i="89" s="1"/>
  <c r="AI421" i="89" s="1"/>
  <c r="I6" i="80"/>
  <c r="N6" i="80"/>
  <c r="P6" i="80" s="1"/>
  <c r="K7" i="80"/>
  <c r="AD3" i="89"/>
  <c r="L7" i="80"/>
  <c r="AG3" i="89" s="1"/>
  <c r="AD4" i="89"/>
  <c r="K8" i="80"/>
  <c r="L8" i="80" s="1"/>
  <c r="AG4" i="89" s="1"/>
  <c r="AD5" i="89"/>
  <c r="K9" i="80"/>
  <c r="L9" i="80" s="1"/>
  <c r="AG5" i="89" s="1"/>
  <c r="AD6" i="89"/>
  <c r="K10" i="80"/>
  <c r="L10" i="80" s="1"/>
  <c r="AG6" i="89" s="1"/>
  <c r="AD7" i="89"/>
  <c r="K11" i="80"/>
  <c r="L11" i="80" s="1"/>
  <c r="AG7" i="89" s="1"/>
  <c r="AD8" i="89"/>
  <c r="K12" i="80"/>
  <c r="L12" i="80" s="1"/>
  <c r="AG8" i="89" s="1"/>
  <c r="AD9" i="89"/>
  <c r="K13" i="80"/>
  <c r="L13" i="80" s="1"/>
  <c r="AG9" i="89" s="1"/>
  <c r="AD10" i="89"/>
  <c r="K14" i="80"/>
  <c r="L14" i="80" s="1"/>
  <c r="AG10" i="89" s="1"/>
  <c r="AD11" i="89"/>
  <c r="K15" i="80"/>
  <c r="L15" i="80" s="1"/>
  <c r="AG11" i="89" s="1"/>
  <c r="AD12" i="89"/>
  <c r="K16" i="80"/>
  <c r="L16" i="80" s="1"/>
  <c r="AG12" i="89" s="1"/>
  <c r="AD13" i="89"/>
  <c r="K17" i="80"/>
  <c r="L17" i="80" s="1"/>
  <c r="AG13" i="89" s="1"/>
  <c r="AD14" i="89"/>
  <c r="K18" i="80"/>
  <c r="L18" i="80" s="1"/>
  <c r="AG14" i="89" s="1"/>
  <c r="AD15" i="89"/>
  <c r="K19" i="80"/>
  <c r="L19" i="80" s="1"/>
  <c r="AG15" i="89" s="1"/>
  <c r="AD16" i="89"/>
  <c r="K20" i="80"/>
  <c r="L20" i="80" s="1"/>
  <c r="AG16" i="89" s="1"/>
  <c r="AD17" i="89"/>
  <c r="L21" i="80"/>
  <c r="AG17" i="89" s="1"/>
  <c r="K21" i="80"/>
  <c r="AD18" i="89"/>
  <c r="L22" i="80"/>
  <c r="AG18" i="89" s="1"/>
  <c r="K22" i="80"/>
  <c r="AD19" i="89"/>
  <c r="K23" i="80"/>
  <c r="L23" i="80" s="1"/>
  <c r="AG19" i="89" s="1"/>
  <c r="AD20" i="89"/>
  <c r="K24" i="80"/>
  <c r="L24" i="80" s="1"/>
  <c r="AG20" i="89" s="1"/>
  <c r="AD21" i="89"/>
  <c r="K25" i="80"/>
  <c r="L25" i="80" s="1"/>
  <c r="AG21" i="89" s="1"/>
  <c r="AD22" i="89"/>
  <c r="L26" i="80"/>
  <c r="AG22" i="89" s="1"/>
  <c r="K26" i="80"/>
  <c r="AD23" i="89"/>
  <c r="K27" i="80"/>
  <c r="L27" i="80" s="1"/>
  <c r="AG23" i="89" s="1"/>
  <c r="AD24" i="89"/>
  <c r="K28" i="80"/>
  <c r="L28" i="80" s="1"/>
  <c r="AG24" i="89" s="1"/>
  <c r="AD25" i="89"/>
  <c r="K29" i="80"/>
  <c r="L29" i="80" s="1"/>
  <c r="AG25" i="89" s="1"/>
  <c r="AD26" i="89"/>
  <c r="K30" i="80"/>
  <c r="L30" i="80" s="1"/>
  <c r="AG26" i="89" s="1"/>
  <c r="AD27" i="89"/>
  <c r="K31" i="80"/>
  <c r="L31" i="80" s="1"/>
  <c r="AG27" i="89" s="1"/>
  <c r="AD28" i="89"/>
  <c r="K32" i="80"/>
  <c r="L32" i="80" s="1"/>
  <c r="AG28" i="89" s="1"/>
  <c r="AD29" i="89"/>
  <c r="L33" i="80"/>
  <c r="AG29" i="89" s="1"/>
  <c r="K33" i="80"/>
  <c r="AD30" i="89"/>
  <c r="K34" i="80"/>
  <c r="L34" i="80" s="1"/>
  <c r="AG30" i="89" s="1"/>
  <c r="AD31" i="89"/>
  <c r="K35" i="80"/>
  <c r="L35" i="80" s="1"/>
  <c r="AG31" i="89" s="1"/>
  <c r="AD32" i="89"/>
  <c r="K36" i="80"/>
  <c r="L36" i="80" s="1"/>
  <c r="AG32" i="89" s="1"/>
  <c r="AD33" i="89"/>
  <c r="L37" i="80"/>
  <c r="AG33" i="89" s="1"/>
  <c r="K37" i="80"/>
  <c r="AD34" i="89"/>
  <c r="L38" i="80"/>
  <c r="AG34" i="89" s="1"/>
  <c r="K38" i="80"/>
  <c r="AD35" i="89"/>
  <c r="K39" i="80"/>
  <c r="L39" i="80" s="1"/>
  <c r="AG35" i="89" s="1"/>
  <c r="AD36" i="89"/>
  <c r="L40" i="80"/>
  <c r="AG36" i="89" s="1"/>
  <c r="K40" i="80"/>
  <c r="AD37" i="89"/>
  <c r="K41" i="80"/>
  <c r="L41" i="80" s="1"/>
  <c r="AG37" i="89" s="1"/>
  <c r="AD38" i="89"/>
  <c r="K42" i="80"/>
  <c r="L42" i="80" s="1"/>
  <c r="AG38" i="89" s="1"/>
  <c r="AD39" i="89"/>
  <c r="K43" i="80"/>
  <c r="L43" i="80" s="1"/>
  <c r="AG39" i="89" s="1"/>
  <c r="AD40" i="89"/>
  <c r="K44" i="80"/>
  <c r="L44" i="80" s="1"/>
  <c r="AG40" i="89" s="1"/>
  <c r="AD41" i="89"/>
  <c r="K45" i="80"/>
  <c r="L45" i="80" s="1"/>
  <c r="AG41" i="89" s="1"/>
  <c r="AD42" i="89"/>
  <c r="L46" i="80"/>
  <c r="AG42" i="89" s="1"/>
  <c r="K46" i="80"/>
  <c r="AD43" i="89"/>
  <c r="K47" i="80"/>
  <c r="L47" i="80" s="1"/>
  <c r="AG43" i="89" s="1"/>
  <c r="AD44" i="89"/>
  <c r="K48" i="80"/>
  <c r="L48" i="80" s="1"/>
  <c r="AG44" i="89" s="1"/>
  <c r="AD45" i="89"/>
  <c r="K49" i="80"/>
  <c r="L49" i="80" s="1"/>
  <c r="AG45" i="89" s="1"/>
  <c r="AD46" i="89"/>
  <c r="K50" i="80"/>
  <c r="L50" i="80" s="1"/>
  <c r="AG46" i="89" s="1"/>
  <c r="AD47" i="89"/>
  <c r="K51" i="80"/>
  <c r="L51" i="80" s="1"/>
  <c r="AG47" i="89" s="1"/>
  <c r="AD48" i="89"/>
  <c r="L52" i="80"/>
  <c r="AG48" i="89" s="1"/>
  <c r="K52" i="80"/>
  <c r="AD49" i="89"/>
  <c r="K53" i="80"/>
  <c r="L53" i="80" s="1"/>
  <c r="AG49" i="89" s="1"/>
  <c r="AD50" i="89"/>
  <c r="K54" i="80"/>
  <c r="L54" i="80" s="1"/>
  <c r="AG50" i="89" s="1"/>
  <c r="AD51" i="89"/>
  <c r="K55" i="80"/>
  <c r="L55" i="80" s="1"/>
  <c r="AG51" i="89" s="1"/>
  <c r="AD52" i="89"/>
  <c r="L56" i="80"/>
  <c r="AG52" i="89" s="1"/>
  <c r="K56" i="80"/>
  <c r="AD53" i="89"/>
  <c r="K57" i="80"/>
  <c r="L57" i="80" s="1"/>
  <c r="AG53" i="89" s="1"/>
  <c r="AD54" i="89"/>
  <c r="K58" i="80"/>
  <c r="L58" i="80" s="1"/>
  <c r="AG54" i="89" s="1"/>
  <c r="AD55" i="89"/>
  <c r="K59" i="80"/>
  <c r="L59" i="80" s="1"/>
  <c r="AG55" i="89" s="1"/>
  <c r="AD56" i="89"/>
  <c r="L60" i="80"/>
  <c r="AG56" i="89" s="1"/>
  <c r="K60" i="80"/>
  <c r="AD57" i="89"/>
  <c r="K61" i="80"/>
  <c r="L61" i="80" s="1"/>
  <c r="AG57" i="89" s="1"/>
  <c r="AD58" i="89"/>
  <c r="K62" i="80"/>
  <c r="L62" i="80" s="1"/>
  <c r="AG58" i="89" s="1"/>
  <c r="AD59" i="89"/>
  <c r="K63" i="80"/>
  <c r="L63" i="80" s="1"/>
  <c r="AG59" i="89" s="1"/>
  <c r="AD60" i="89"/>
  <c r="K64" i="80"/>
  <c r="L64" i="80" s="1"/>
  <c r="AG60" i="89" s="1"/>
  <c r="AD61" i="89"/>
  <c r="K65" i="80"/>
  <c r="L65" i="80" s="1"/>
  <c r="AG61" i="89" s="1"/>
  <c r="AD62" i="89"/>
  <c r="K66" i="80"/>
  <c r="L66" i="80" s="1"/>
  <c r="AG62" i="89" s="1"/>
  <c r="AD63" i="89"/>
  <c r="K67" i="80"/>
  <c r="L67" i="80" s="1"/>
  <c r="AG63" i="89" s="1"/>
  <c r="AD64" i="89"/>
  <c r="K68" i="80"/>
  <c r="L68" i="80" s="1"/>
  <c r="AG64" i="89" s="1"/>
  <c r="AD65" i="89"/>
  <c r="K69" i="80"/>
  <c r="L69" i="80" s="1"/>
  <c r="AG65" i="89" s="1"/>
  <c r="AD66" i="89"/>
  <c r="K70" i="80"/>
  <c r="L70" i="80" s="1"/>
  <c r="AG66" i="89" s="1"/>
  <c r="AD67" i="89"/>
  <c r="K71" i="80"/>
  <c r="L71" i="80" s="1"/>
  <c r="AG67" i="89" s="1"/>
  <c r="AD68" i="89"/>
  <c r="K72" i="80"/>
  <c r="L72" i="80" s="1"/>
  <c r="AG68" i="89" s="1"/>
  <c r="AD69" i="89"/>
  <c r="K73" i="80"/>
  <c r="L73" i="80" s="1"/>
  <c r="AG69" i="89" s="1"/>
  <c r="AD70" i="89"/>
  <c r="K74" i="80"/>
  <c r="L74" i="80" s="1"/>
  <c r="AG70" i="89" s="1"/>
  <c r="AD71" i="89"/>
  <c r="K75" i="80"/>
  <c r="L75" i="80" s="1"/>
  <c r="AG71" i="89" s="1"/>
  <c r="AD72" i="89"/>
  <c r="K76" i="80"/>
  <c r="L76" i="80" s="1"/>
  <c r="AG72" i="89" s="1"/>
  <c r="AD73" i="89"/>
  <c r="K77" i="80"/>
  <c r="L77" i="80" s="1"/>
  <c r="AG73" i="89" s="1"/>
  <c r="AJ400" i="89"/>
  <c r="AJ74" i="89"/>
  <c r="AD74" i="89"/>
  <c r="K78" i="80"/>
  <c r="L78" i="80" s="1"/>
  <c r="AG74" i="89" s="1"/>
  <c r="AJ401" i="89"/>
  <c r="AJ75" i="89"/>
  <c r="AD75" i="89"/>
  <c r="K79" i="80"/>
  <c r="L79" i="80" s="1"/>
  <c r="AG75" i="89" s="1"/>
  <c r="AJ402" i="89"/>
  <c r="AJ76" i="89"/>
  <c r="AD76" i="89"/>
  <c r="K80" i="80"/>
  <c r="L80" i="80" s="1"/>
  <c r="AG76" i="89" s="1"/>
  <c r="AJ403" i="89"/>
  <c r="AJ77" i="89"/>
  <c r="AD77" i="89"/>
  <c r="K81" i="80"/>
  <c r="L81" i="80" s="1"/>
  <c r="AG77" i="89" s="1"/>
  <c r="AJ404" i="89"/>
  <c r="AJ78" i="89"/>
  <c r="AD78" i="89"/>
  <c r="K82" i="80"/>
  <c r="L82" i="80" s="1"/>
  <c r="AG78" i="89" s="1"/>
  <c r="AJ405" i="89"/>
  <c r="AJ79" i="89"/>
  <c r="AD79" i="89"/>
  <c r="K83" i="80"/>
  <c r="L83" i="80" s="1"/>
  <c r="AG79" i="89" s="1"/>
  <c r="AJ406" i="89"/>
  <c r="AJ80" i="89"/>
  <c r="AD80" i="89"/>
  <c r="K84" i="80"/>
  <c r="L84" i="80" s="1"/>
  <c r="AG80" i="89" s="1"/>
  <c r="AJ407" i="89"/>
  <c r="AJ81" i="89"/>
  <c r="AD81" i="89"/>
  <c r="K85" i="80"/>
  <c r="L85" i="80" s="1"/>
  <c r="AG81" i="89" s="1"/>
  <c r="AJ408" i="89"/>
  <c r="AJ82" i="89"/>
  <c r="AD82" i="89"/>
  <c r="K86" i="80"/>
  <c r="L86" i="80" s="1"/>
  <c r="AG82" i="89" s="1"/>
  <c r="AJ409" i="89"/>
  <c r="AJ83" i="89"/>
  <c r="AD83" i="89"/>
  <c r="K87" i="80"/>
  <c r="L87" i="80" s="1"/>
  <c r="AG83" i="89" s="1"/>
  <c r="AJ410" i="89"/>
  <c r="AJ84" i="89"/>
  <c r="AD84" i="89"/>
  <c r="K88" i="80"/>
  <c r="L88" i="80" s="1"/>
  <c r="AG84" i="89" s="1"/>
  <c r="AJ411" i="89"/>
  <c r="AJ85" i="89"/>
  <c r="AD85" i="89"/>
  <c r="K89" i="80"/>
  <c r="L89" i="80" s="1"/>
  <c r="AG85" i="89" s="1"/>
  <c r="AJ412" i="89"/>
  <c r="AJ86" i="89"/>
  <c r="AD86" i="89"/>
  <c r="K90" i="80"/>
  <c r="L90" i="80" s="1"/>
  <c r="AG86" i="89" s="1"/>
  <c r="AJ413" i="89"/>
  <c r="AJ87" i="89"/>
  <c r="AD87" i="89"/>
  <c r="K91" i="80"/>
  <c r="L91" i="80" s="1"/>
  <c r="AG87" i="89" s="1"/>
  <c r="AJ414" i="89"/>
  <c r="AJ88" i="89"/>
  <c r="AD88" i="89"/>
  <c r="K92" i="80"/>
  <c r="L92" i="80" s="1"/>
  <c r="AG88" i="89" s="1"/>
  <c r="AJ415" i="89"/>
  <c r="AJ89" i="89"/>
  <c r="AD89" i="89"/>
  <c r="K93" i="80"/>
  <c r="L93" i="80" s="1"/>
  <c r="AG89" i="89" s="1"/>
  <c r="AJ416" i="89"/>
  <c r="AJ90" i="89"/>
  <c r="AD90" i="89"/>
  <c r="K94" i="80"/>
  <c r="L94" i="80" s="1"/>
  <c r="AG90" i="89" s="1"/>
  <c r="AJ417" i="89"/>
  <c r="AJ91" i="89"/>
  <c r="AD91" i="89"/>
  <c r="K95" i="80"/>
  <c r="L95" i="80" s="1"/>
  <c r="AG91" i="89" s="1"/>
  <c r="AD92" i="89"/>
  <c r="K96" i="80"/>
  <c r="L96" i="80" s="1"/>
  <c r="AG92" i="89" s="1"/>
  <c r="AJ419" i="89"/>
  <c r="AJ93" i="89"/>
  <c r="AD93" i="89"/>
  <c r="K97" i="80"/>
  <c r="L97" i="80" s="1"/>
  <c r="AG93" i="89" s="1"/>
  <c r="AJ420" i="89"/>
  <c r="AJ94" i="89"/>
  <c r="AD94" i="89"/>
  <c r="K98" i="80"/>
  <c r="L98" i="80" s="1"/>
  <c r="AG94" i="89" s="1"/>
  <c r="AD95" i="89"/>
  <c r="K99" i="80"/>
  <c r="L99" i="80" s="1"/>
  <c r="AG95" i="89" s="1"/>
  <c r="AD96" i="89"/>
  <c r="K100" i="80"/>
  <c r="L100" i="80" s="1"/>
  <c r="AG96" i="89" s="1"/>
  <c r="AD97" i="89"/>
  <c r="K101" i="80"/>
  <c r="L101" i="80" s="1"/>
  <c r="AG97" i="89" s="1"/>
  <c r="AD98" i="89"/>
  <c r="K102" i="80"/>
  <c r="L102" i="80" s="1"/>
  <c r="AG98" i="89" s="1"/>
  <c r="AD99" i="89"/>
  <c r="K103" i="80"/>
  <c r="L103" i="80" s="1"/>
  <c r="AG99" i="89" s="1"/>
  <c r="AD100" i="89"/>
  <c r="K104" i="80"/>
  <c r="L104" i="80" s="1"/>
  <c r="AG100" i="89" s="1"/>
  <c r="AD101" i="89"/>
  <c r="K105" i="80"/>
  <c r="L105" i="80" s="1"/>
  <c r="AG101" i="89" s="1"/>
  <c r="AD102" i="89"/>
  <c r="K106" i="80"/>
  <c r="L106" i="80" s="1"/>
  <c r="AG102" i="89" s="1"/>
  <c r="AD103" i="89"/>
  <c r="K107" i="80"/>
  <c r="L107" i="80" s="1"/>
  <c r="AG103" i="89" s="1"/>
  <c r="AD104" i="89"/>
  <c r="K108" i="80"/>
  <c r="L108" i="80" s="1"/>
  <c r="AG104" i="89" s="1"/>
  <c r="AD105" i="89"/>
  <c r="K109" i="80"/>
  <c r="L109" i="80" s="1"/>
  <c r="AG105" i="89" s="1"/>
  <c r="AD106" i="89"/>
  <c r="K110" i="80"/>
  <c r="L110" i="80" s="1"/>
  <c r="AG106" i="89" s="1"/>
  <c r="AD107" i="89"/>
  <c r="K111" i="80"/>
  <c r="L111" i="80" s="1"/>
  <c r="AG107" i="89" s="1"/>
  <c r="AD108" i="89"/>
  <c r="K112" i="80"/>
  <c r="L112" i="80" s="1"/>
  <c r="AG108" i="89" s="1"/>
  <c r="AD109" i="89"/>
  <c r="K113" i="80"/>
  <c r="L113" i="80" s="1"/>
  <c r="AG109" i="89" s="1"/>
  <c r="AD110" i="89"/>
  <c r="K114" i="80"/>
  <c r="L114" i="80" s="1"/>
  <c r="AG110" i="89" s="1"/>
  <c r="AD111" i="89"/>
  <c r="K115" i="80"/>
  <c r="L115" i="80" s="1"/>
  <c r="AG111" i="89" s="1"/>
  <c r="AD112" i="89"/>
  <c r="K116" i="80"/>
  <c r="L116" i="80" s="1"/>
  <c r="AG112" i="89" s="1"/>
  <c r="AD113" i="89"/>
  <c r="K117" i="80"/>
  <c r="L117" i="80" s="1"/>
  <c r="AG113" i="89" s="1"/>
  <c r="AD114" i="89"/>
  <c r="K118" i="80"/>
  <c r="L118" i="80" s="1"/>
  <c r="AG114" i="89" s="1"/>
  <c r="AD115" i="89"/>
  <c r="K119" i="80"/>
  <c r="L119" i="80" s="1"/>
  <c r="AG115" i="89" s="1"/>
  <c r="AD116" i="89"/>
  <c r="K120" i="80"/>
  <c r="L120" i="80" s="1"/>
  <c r="AG116" i="89" s="1"/>
  <c r="AD117" i="89"/>
  <c r="K121" i="80"/>
  <c r="L121" i="80" s="1"/>
  <c r="AG117" i="89" s="1"/>
  <c r="AD118" i="89"/>
  <c r="K122" i="80"/>
  <c r="L122" i="80" s="1"/>
  <c r="AG118" i="89" s="1"/>
  <c r="AD119" i="89"/>
  <c r="K123" i="80"/>
  <c r="L123" i="80" s="1"/>
  <c r="AG119" i="89" s="1"/>
  <c r="AD120" i="89"/>
  <c r="K124" i="80"/>
  <c r="L124" i="80" s="1"/>
  <c r="AG120" i="89" s="1"/>
  <c r="AD121" i="89"/>
  <c r="K125" i="80"/>
  <c r="L125" i="80" s="1"/>
  <c r="AG121" i="89" s="1"/>
  <c r="AD122" i="89"/>
  <c r="K126" i="80"/>
  <c r="L126" i="80" s="1"/>
  <c r="AG122" i="89" s="1"/>
  <c r="AD123" i="89"/>
  <c r="K127" i="80"/>
  <c r="L127" i="80" s="1"/>
  <c r="AG123" i="89" s="1"/>
  <c r="AD124" i="89"/>
  <c r="K128" i="80"/>
  <c r="L128" i="80" s="1"/>
  <c r="AG124" i="89" s="1"/>
  <c r="AD125" i="89"/>
  <c r="K129" i="80"/>
  <c r="L129" i="80" s="1"/>
  <c r="AG125" i="89" s="1"/>
  <c r="AD126" i="89"/>
  <c r="K130" i="80"/>
  <c r="L130" i="80" s="1"/>
  <c r="AG126" i="89" s="1"/>
  <c r="AD127" i="89"/>
  <c r="K131" i="80"/>
  <c r="L131" i="80" s="1"/>
  <c r="AG127" i="89" s="1"/>
  <c r="AD128" i="89"/>
  <c r="K132" i="80"/>
  <c r="L132" i="80" s="1"/>
  <c r="AG128" i="89" s="1"/>
  <c r="AD129" i="89"/>
  <c r="K133" i="80"/>
  <c r="L133" i="80" s="1"/>
  <c r="AG129" i="89" s="1"/>
  <c r="AD130" i="89"/>
  <c r="K134" i="80"/>
  <c r="L134" i="80" s="1"/>
  <c r="AG130" i="89" s="1"/>
  <c r="AD131" i="89"/>
  <c r="K135" i="80"/>
  <c r="L135" i="80" s="1"/>
  <c r="AG131" i="89" s="1"/>
  <c r="AD132" i="89"/>
  <c r="K136" i="80"/>
  <c r="L136" i="80" s="1"/>
  <c r="AG132" i="89" s="1"/>
  <c r="AD133" i="89"/>
  <c r="K137" i="80"/>
  <c r="L137" i="80" s="1"/>
  <c r="AG133" i="89" s="1"/>
  <c r="AD134" i="89"/>
  <c r="K138" i="80"/>
  <c r="L138" i="80" s="1"/>
  <c r="AG134" i="89" s="1"/>
  <c r="AD135" i="89"/>
  <c r="K139" i="80"/>
  <c r="L139" i="80" s="1"/>
  <c r="AG135" i="89" s="1"/>
  <c r="AD136" i="89"/>
  <c r="K140" i="80"/>
  <c r="L140" i="80" s="1"/>
  <c r="AG136" i="89" s="1"/>
  <c r="AD137" i="89"/>
  <c r="K141" i="80"/>
  <c r="L141" i="80" s="1"/>
  <c r="AG137" i="89" s="1"/>
  <c r="AD138" i="89"/>
  <c r="K142" i="80"/>
  <c r="L142" i="80" s="1"/>
  <c r="AG138" i="89" s="1"/>
  <c r="AD139" i="89"/>
  <c r="K143" i="80"/>
  <c r="L143" i="80" s="1"/>
  <c r="AG139" i="89" s="1"/>
  <c r="AD140" i="89"/>
  <c r="K144" i="80"/>
  <c r="L144" i="80" s="1"/>
  <c r="AG140" i="89" s="1"/>
  <c r="AD141" i="89"/>
  <c r="K145" i="80"/>
  <c r="L145" i="80" s="1"/>
  <c r="AG141" i="89" s="1"/>
  <c r="AD142" i="89"/>
  <c r="K146" i="80"/>
  <c r="L146" i="80" s="1"/>
  <c r="AG142" i="89" s="1"/>
  <c r="AD143" i="89"/>
  <c r="K147" i="80"/>
  <c r="L147" i="80" s="1"/>
  <c r="AG143" i="89" s="1"/>
  <c r="AD144" i="89"/>
  <c r="K148" i="80"/>
  <c r="L148" i="80" s="1"/>
  <c r="AG144" i="89" s="1"/>
  <c r="AD145" i="89"/>
  <c r="K149" i="80"/>
  <c r="L149" i="80" s="1"/>
  <c r="AG145" i="89" s="1"/>
  <c r="AD146" i="89"/>
  <c r="K150" i="80"/>
  <c r="L150" i="80" s="1"/>
  <c r="AG146" i="89" s="1"/>
  <c r="AD147" i="89"/>
  <c r="K151" i="80"/>
  <c r="L151" i="80" s="1"/>
  <c r="AG147" i="89" s="1"/>
  <c r="AD148" i="89"/>
  <c r="K152" i="80"/>
  <c r="L152" i="80" s="1"/>
  <c r="AG148" i="89" s="1"/>
  <c r="AD149" i="89"/>
  <c r="K153" i="80"/>
  <c r="L153" i="80" s="1"/>
  <c r="AG149" i="89" s="1"/>
  <c r="AD150" i="89"/>
  <c r="K154" i="80"/>
  <c r="L154" i="80" s="1"/>
  <c r="AG150" i="89" s="1"/>
  <c r="K155" i="80"/>
  <c r="AD151" i="89"/>
  <c r="L155" i="80"/>
  <c r="AG151" i="89" s="1"/>
  <c r="K156" i="80"/>
  <c r="AD152" i="89"/>
  <c r="L156" i="80"/>
  <c r="AG152" i="89" s="1"/>
  <c r="AD153" i="89"/>
  <c r="K157" i="80"/>
  <c r="L157" i="80"/>
  <c r="AG153" i="89" s="1"/>
  <c r="AD154" i="89"/>
  <c r="K158" i="80"/>
  <c r="L158" i="80" s="1"/>
  <c r="AG154" i="89" s="1"/>
  <c r="K159" i="80"/>
  <c r="AD155" i="89"/>
  <c r="L159" i="80"/>
  <c r="AG155" i="89" s="1"/>
  <c r="AD156" i="89"/>
  <c r="K160" i="80"/>
  <c r="L160" i="80" s="1"/>
  <c r="AG156" i="89" s="1"/>
  <c r="K161" i="80"/>
  <c r="AD157" i="89"/>
  <c r="L161" i="80"/>
  <c r="AG157" i="89" s="1"/>
  <c r="AD158" i="89"/>
  <c r="K162" i="80"/>
  <c r="L162" i="80"/>
  <c r="AG158" i="89" s="1"/>
  <c r="AD159" i="89"/>
  <c r="K163" i="80"/>
  <c r="L163" i="80" s="1"/>
  <c r="AG159" i="89" s="1"/>
  <c r="AD160" i="89"/>
  <c r="K164" i="80"/>
  <c r="L164" i="80"/>
  <c r="AG160" i="89" s="1"/>
  <c r="AD161" i="89"/>
  <c r="K165" i="80"/>
  <c r="L165" i="80"/>
  <c r="AG161" i="89" s="1"/>
  <c r="AD162" i="89"/>
  <c r="K166" i="80"/>
  <c r="L166" i="80"/>
  <c r="AG162" i="89" s="1"/>
  <c r="K167" i="80"/>
  <c r="AD163" i="89"/>
  <c r="L167" i="80"/>
  <c r="AG163" i="89" s="1"/>
  <c r="AD164" i="89"/>
  <c r="K168" i="80"/>
  <c r="L168" i="80"/>
  <c r="AG164" i="89" s="1"/>
  <c r="K169" i="80"/>
  <c r="AD165" i="89"/>
  <c r="L169" i="80"/>
  <c r="AG165" i="89" s="1"/>
  <c r="AD166" i="89"/>
  <c r="K170" i="80"/>
  <c r="L170" i="80"/>
  <c r="AG166" i="89" s="1"/>
  <c r="K171" i="80"/>
  <c r="L171" i="80" s="1"/>
  <c r="AG167" i="89" s="1"/>
  <c r="AD167" i="89"/>
  <c r="AD168" i="89"/>
  <c r="K172" i="80"/>
  <c r="L172" i="80" s="1"/>
  <c r="AG168" i="89" s="1"/>
  <c r="K173" i="80"/>
  <c r="L173" i="80"/>
  <c r="AG169" i="89" s="1"/>
  <c r="AD169" i="89"/>
  <c r="AD170" i="89"/>
  <c r="K174" i="80"/>
  <c r="L174" i="80" s="1"/>
  <c r="AG170" i="89" s="1"/>
  <c r="K175" i="80"/>
  <c r="L175" i="80" s="1"/>
  <c r="AG171" i="89" s="1"/>
  <c r="AD171" i="89"/>
  <c r="AD172" i="89"/>
  <c r="K176" i="80"/>
  <c r="L176" i="80"/>
  <c r="AG172" i="89" s="1"/>
  <c r="AD173" i="89"/>
  <c r="K177" i="80"/>
  <c r="L177" i="80" s="1"/>
  <c r="AG173" i="89" s="1"/>
  <c r="AD174" i="89"/>
  <c r="K178" i="80"/>
  <c r="L178" i="80"/>
  <c r="AG174" i="89" s="1"/>
  <c r="K179" i="80"/>
  <c r="L179" i="80"/>
  <c r="AG175" i="89" s="1"/>
  <c r="AD175" i="89"/>
  <c r="K180" i="80"/>
  <c r="AD176" i="89"/>
  <c r="L180" i="80"/>
  <c r="AG176" i="89" s="1"/>
  <c r="AD177" i="89"/>
  <c r="K181" i="80"/>
  <c r="L181" i="80" s="1"/>
  <c r="AG177" i="89" s="1"/>
  <c r="K182" i="80"/>
  <c r="L182" i="80" s="1"/>
  <c r="AG178" i="89" s="1"/>
  <c r="AD178" i="89"/>
  <c r="K183" i="80"/>
  <c r="L183" i="80" s="1"/>
  <c r="AG179" i="89" s="1"/>
  <c r="AD179" i="89"/>
  <c r="K184" i="80"/>
  <c r="L184" i="80" s="1"/>
  <c r="AG180" i="89" s="1"/>
  <c r="AD180" i="89"/>
  <c r="AD181" i="89"/>
  <c r="K185" i="80"/>
  <c r="L185" i="80"/>
  <c r="AG181" i="89" s="1"/>
  <c r="K186" i="80"/>
  <c r="L186" i="80"/>
  <c r="AG182" i="89" s="1"/>
  <c r="AD182" i="89"/>
  <c r="AD183" i="89"/>
  <c r="K187" i="80"/>
  <c r="L187" i="80" s="1"/>
  <c r="AG183" i="89" s="1"/>
  <c r="AD184" i="89"/>
  <c r="K188" i="80"/>
  <c r="L188" i="80" s="1"/>
  <c r="AG184" i="89" s="1"/>
  <c r="AD185" i="89"/>
  <c r="K189" i="80"/>
  <c r="L189" i="80"/>
  <c r="AG185" i="89" s="1"/>
  <c r="K190" i="80"/>
  <c r="L190" i="80"/>
  <c r="AG186" i="89" s="1"/>
  <c r="AD186" i="89"/>
  <c r="AD187" i="89"/>
  <c r="K191" i="80"/>
  <c r="L191" i="80" s="1"/>
  <c r="AG187" i="89" s="1"/>
  <c r="AD188" i="89"/>
  <c r="K192" i="80"/>
  <c r="L192" i="80" s="1"/>
  <c r="AG188" i="89" s="1"/>
  <c r="K193" i="80"/>
  <c r="L193" i="80"/>
  <c r="AG189" i="89" s="1"/>
  <c r="AD189" i="89"/>
  <c r="AD190" i="89"/>
  <c r="K194" i="80"/>
  <c r="L194" i="80" s="1"/>
  <c r="AG190" i="89" s="1"/>
  <c r="T123" i="80"/>
  <c r="D122" i="53" s="1"/>
  <c r="C130" i="94" s="1"/>
  <c r="P178" i="80"/>
  <c r="AJ174" i="89" s="1"/>
  <c r="P96" i="80"/>
  <c r="P181" i="80"/>
  <c r="AJ177" i="89" s="1"/>
  <c r="T190" i="80"/>
  <c r="D189" i="53" s="1"/>
  <c r="C197" i="94" s="1"/>
  <c r="P191" i="80"/>
  <c r="AJ187" i="89" s="1"/>
  <c r="P185" i="80"/>
  <c r="AJ181" i="89" s="1"/>
  <c r="P188" i="80"/>
  <c r="AJ184" i="89" s="1"/>
  <c r="P177" i="80"/>
  <c r="AJ173" i="89" s="1"/>
  <c r="P156" i="80"/>
  <c r="AJ152" i="89" s="1"/>
  <c r="P159" i="80"/>
  <c r="AJ155" i="89" s="1"/>
  <c r="P162" i="80"/>
  <c r="AJ158" i="89" s="1"/>
  <c r="P164" i="80"/>
  <c r="AJ160" i="89" s="1"/>
  <c r="P165" i="80"/>
  <c r="AJ161" i="89" s="1"/>
  <c r="P166" i="80"/>
  <c r="AJ162" i="89" s="1"/>
  <c r="P167" i="80"/>
  <c r="AJ163" i="89" s="1"/>
  <c r="P169" i="80"/>
  <c r="AJ165" i="89" s="1"/>
  <c r="P170" i="80"/>
  <c r="AJ166" i="89" s="1"/>
  <c r="P171" i="80"/>
  <c r="AJ167" i="89" s="1"/>
  <c r="P172" i="80"/>
  <c r="AJ168" i="89" s="1"/>
  <c r="P173" i="80"/>
  <c r="AJ169" i="89" s="1"/>
  <c r="P182" i="80"/>
  <c r="AJ178" i="89" s="1"/>
  <c r="P192" i="80"/>
  <c r="AJ188" i="89" s="1"/>
  <c r="P193" i="80"/>
  <c r="AJ189" i="89" s="1"/>
  <c r="Q7" i="80"/>
  <c r="S7" i="80" s="1"/>
  <c r="I7" i="80"/>
  <c r="T7" i="80" s="1"/>
  <c r="D6" i="53" s="1"/>
  <c r="C14" i="94" s="1"/>
  <c r="Q9" i="80"/>
  <c r="S9" i="80" s="1"/>
  <c r="I9" i="80"/>
  <c r="T9" i="80" s="1"/>
  <c r="D8" i="53" s="1"/>
  <c r="C16" i="94" s="1"/>
  <c r="Q10" i="80"/>
  <c r="S10" i="80" s="1"/>
  <c r="I10" i="80"/>
  <c r="T10" i="80" s="1"/>
  <c r="D9" i="53" s="1"/>
  <c r="C17" i="94" s="1"/>
  <c r="Q11" i="80"/>
  <c r="S11" i="80" s="1"/>
  <c r="I11" i="80"/>
  <c r="T11" i="80" s="1"/>
  <c r="D10" i="53" s="1"/>
  <c r="C18" i="94" s="1"/>
  <c r="Q12" i="80"/>
  <c r="S12" i="80" s="1"/>
  <c r="I12" i="80"/>
  <c r="T12" i="80" s="1"/>
  <c r="D11" i="53" s="1"/>
  <c r="C19" i="94" s="1"/>
  <c r="Q13" i="80"/>
  <c r="S13" i="80" s="1"/>
  <c r="I13" i="80"/>
  <c r="T13" i="80" s="1"/>
  <c r="D12" i="53" s="1"/>
  <c r="C20" i="94" s="1"/>
  <c r="Q14" i="80"/>
  <c r="S14" i="80" s="1"/>
  <c r="I14" i="80"/>
  <c r="T14" i="80" s="1"/>
  <c r="D13" i="53" s="1"/>
  <c r="C21" i="94" s="1"/>
  <c r="Q15" i="80"/>
  <c r="S15" i="80" s="1"/>
  <c r="I15" i="80"/>
  <c r="T15" i="80" s="1"/>
  <c r="D14" i="53" s="1"/>
  <c r="C22" i="94" s="1"/>
  <c r="Q16" i="80"/>
  <c r="S16" i="80" s="1"/>
  <c r="I16" i="80"/>
  <c r="T16" i="80" s="1"/>
  <c r="D15" i="53" s="1"/>
  <c r="C23" i="94" s="1"/>
  <c r="Q17" i="80"/>
  <c r="S17" i="80" s="1"/>
  <c r="I17" i="80"/>
  <c r="T17" i="80" s="1"/>
  <c r="D16" i="53" s="1"/>
  <c r="C24" i="94" s="1"/>
  <c r="Q18" i="80"/>
  <c r="S18" i="80" s="1"/>
  <c r="I18" i="80"/>
  <c r="T18" i="80" s="1"/>
  <c r="D17" i="53" s="1"/>
  <c r="C25" i="94" s="1"/>
  <c r="Q19" i="80"/>
  <c r="S19" i="80" s="1"/>
  <c r="I19" i="80"/>
  <c r="T19" i="80" s="1"/>
  <c r="D18" i="53" s="1"/>
  <c r="C26" i="94" s="1"/>
  <c r="Q20" i="80"/>
  <c r="S20" i="80" s="1"/>
  <c r="I20" i="80"/>
  <c r="T20" i="80" s="1"/>
  <c r="D19" i="53" s="1"/>
  <c r="C27" i="94" s="1"/>
  <c r="Q21" i="80"/>
  <c r="S21" i="80" s="1"/>
  <c r="I21" i="80"/>
  <c r="T21" i="80" s="1"/>
  <c r="D20" i="53" s="1"/>
  <c r="C28" i="94" s="1"/>
  <c r="Q22" i="80"/>
  <c r="S22" i="80" s="1"/>
  <c r="I22" i="80"/>
  <c r="T22" i="80" s="1"/>
  <c r="D21" i="53" s="1"/>
  <c r="C29" i="94" s="1"/>
  <c r="Q23" i="80"/>
  <c r="S23" i="80" s="1"/>
  <c r="I23" i="80"/>
  <c r="T23" i="80" s="1"/>
  <c r="D22" i="53" s="1"/>
  <c r="C30" i="94" s="1"/>
  <c r="Q24" i="80"/>
  <c r="S24" i="80" s="1"/>
  <c r="I24" i="80"/>
  <c r="T24" i="80" s="1"/>
  <c r="D23" i="53" s="1"/>
  <c r="C31" i="94" s="1"/>
  <c r="Q25" i="80"/>
  <c r="S25" i="80" s="1"/>
  <c r="I25" i="80"/>
  <c r="T25" i="80" s="1"/>
  <c r="D24" i="53" s="1"/>
  <c r="C32" i="94" s="1"/>
  <c r="Q26" i="80"/>
  <c r="S26" i="80" s="1"/>
  <c r="I26" i="80"/>
  <c r="T26" i="80" s="1"/>
  <c r="D25" i="53" s="1"/>
  <c r="C33" i="94" s="1"/>
  <c r="Q27" i="80"/>
  <c r="S27" i="80" s="1"/>
  <c r="I27" i="80"/>
  <c r="T27" i="80" s="1"/>
  <c r="D26" i="53" s="1"/>
  <c r="C34" i="94" s="1"/>
  <c r="Q28" i="80"/>
  <c r="S28" i="80" s="1"/>
  <c r="I28" i="80"/>
  <c r="T28" i="80" s="1"/>
  <c r="D27" i="53" s="1"/>
  <c r="C35" i="94" s="1"/>
  <c r="Q29" i="80"/>
  <c r="S29" i="80" s="1"/>
  <c r="I29" i="80"/>
  <c r="T29" i="80" s="1"/>
  <c r="D28" i="53" s="1"/>
  <c r="C36" i="94" s="1"/>
  <c r="Q30" i="80"/>
  <c r="S30" i="80" s="1"/>
  <c r="I30" i="80"/>
  <c r="T30" i="80" s="1"/>
  <c r="D29" i="53" s="1"/>
  <c r="C37" i="94" s="1"/>
  <c r="Q31" i="80"/>
  <c r="S31" i="80" s="1"/>
  <c r="I31" i="80"/>
  <c r="T31" i="80" s="1"/>
  <c r="D30" i="53" s="1"/>
  <c r="C38" i="94" s="1"/>
  <c r="Q32" i="80"/>
  <c r="S32" i="80" s="1"/>
  <c r="I32" i="80"/>
  <c r="T32" i="80" s="1"/>
  <c r="D31" i="53" s="1"/>
  <c r="C39" i="94" s="1"/>
  <c r="Q33" i="80"/>
  <c r="S33" i="80" s="1"/>
  <c r="I33" i="80"/>
  <c r="T33" i="80" s="1"/>
  <c r="D32" i="53" s="1"/>
  <c r="C40" i="94" s="1"/>
  <c r="Q34" i="80"/>
  <c r="S34" i="80" s="1"/>
  <c r="I34" i="80"/>
  <c r="T34" i="80" s="1"/>
  <c r="D33" i="53" s="1"/>
  <c r="C41" i="94" s="1"/>
  <c r="Q35" i="80"/>
  <c r="S35" i="80" s="1"/>
  <c r="I35" i="80"/>
  <c r="T35" i="80" s="1"/>
  <c r="D34" i="53" s="1"/>
  <c r="C42" i="94" s="1"/>
  <c r="Q36" i="80"/>
  <c r="S36" i="80" s="1"/>
  <c r="I36" i="80"/>
  <c r="T36" i="80" s="1"/>
  <c r="D35" i="53" s="1"/>
  <c r="C43" i="94" s="1"/>
  <c r="Q37" i="80"/>
  <c r="S37" i="80" s="1"/>
  <c r="I37" i="80"/>
  <c r="T37" i="80" s="1"/>
  <c r="D36" i="53" s="1"/>
  <c r="C44" i="94" s="1"/>
  <c r="Q38" i="80"/>
  <c r="S38" i="80" s="1"/>
  <c r="I38" i="80"/>
  <c r="T38" i="80" s="1"/>
  <c r="D37" i="53" s="1"/>
  <c r="C45" i="94" s="1"/>
  <c r="Q39" i="80"/>
  <c r="S39" i="80" s="1"/>
  <c r="I39" i="80"/>
  <c r="T39" i="80" s="1"/>
  <c r="D38" i="53" s="1"/>
  <c r="C46" i="94" s="1"/>
  <c r="Q40" i="80"/>
  <c r="S40" i="80" s="1"/>
  <c r="I40" i="80"/>
  <c r="T40" i="80" s="1"/>
  <c r="D39" i="53" s="1"/>
  <c r="C47" i="94" s="1"/>
  <c r="Q41" i="80"/>
  <c r="S41" i="80" s="1"/>
  <c r="I41" i="80"/>
  <c r="T41" i="80" s="1"/>
  <c r="D40" i="53" s="1"/>
  <c r="C48" i="94" s="1"/>
  <c r="Q42" i="80"/>
  <c r="S42" i="80" s="1"/>
  <c r="I42" i="80"/>
  <c r="T42" i="80" s="1"/>
  <c r="D41" i="53" s="1"/>
  <c r="C49" i="94" s="1"/>
  <c r="Q43" i="80"/>
  <c r="S43" i="80" s="1"/>
  <c r="I43" i="80"/>
  <c r="T43" i="80" s="1"/>
  <c r="D42" i="53" s="1"/>
  <c r="C50" i="94" s="1"/>
  <c r="Q44" i="80"/>
  <c r="S44" i="80" s="1"/>
  <c r="I44" i="80"/>
  <c r="T44" i="80" s="1"/>
  <c r="D43" i="53" s="1"/>
  <c r="C51" i="94" s="1"/>
  <c r="Q45" i="80"/>
  <c r="S45" i="80" s="1"/>
  <c r="I45" i="80"/>
  <c r="T45" i="80" s="1"/>
  <c r="D44" i="53" s="1"/>
  <c r="C52" i="94" s="1"/>
  <c r="Q46" i="80"/>
  <c r="S46" i="80" s="1"/>
  <c r="I46" i="80"/>
  <c r="T46" i="80" s="1"/>
  <c r="D45" i="53" s="1"/>
  <c r="C53" i="94" s="1"/>
  <c r="Q47" i="80"/>
  <c r="S47" i="80" s="1"/>
  <c r="I47" i="80"/>
  <c r="T47" i="80" s="1"/>
  <c r="D46" i="53" s="1"/>
  <c r="C54" i="94" s="1"/>
  <c r="Q48" i="80"/>
  <c r="S48" i="80" s="1"/>
  <c r="I48" i="80"/>
  <c r="T48" i="80" s="1"/>
  <c r="D47" i="53" s="1"/>
  <c r="C55" i="94" s="1"/>
  <c r="Q49" i="80"/>
  <c r="S49" i="80" s="1"/>
  <c r="I49" i="80"/>
  <c r="T49" i="80" s="1"/>
  <c r="D48" i="53" s="1"/>
  <c r="C56" i="94" s="1"/>
  <c r="Q50" i="80"/>
  <c r="S50" i="80" s="1"/>
  <c r="I50" i="80"/>
  <c r="T50" i="80" s="1"/>
  <c r="D49" i="53" s="1"/>
  <c r="C57" i="94" s="1"/>
  <c r="Q51" i="80"/>
  <c r="S51" i="80" s="1"/>
  <c r="I51" i="80"/>
  <c r="T51" i="80" s="1"/>
  <c r="D50" i="53" s="1"/>
  <c r="C58" i="94" s="1"/>
  <c r="Q52" i="80"/>
  <c r="S52" i="80" s="1"/>
  <c r="I52" i="80"/>
  <c r="T52" i="80" s="1"/>
  <c r="D51" i="53" s="1"/>
  <c r="C59" i="94" s="1"/>
  <c r="Q53" i="80"/>
  <c r="S53" i="80" s="1"/>
  <c r="I53" i="80"/>
  <c r="T53" i="80" s="1"/>
  <c r="D52" i="53" s="1"/>
  <c r="C60" i="94" s="1"/>
  <c r="Q54" i="80"/>
  <c r="S54" i="80" s="1"/>
  <c r="I54" i="80"/>
  <c r="T54" i="80" s="1"/>
  <c r="D53" i="53" s="1"/>
  <c r="C61" i="94" s="1"/>
  <c r="Q55" i="80"/>
  <c r="S55" i="80" s="1"/>
  <c r="I55" i="80"/>
  <c r="T55" i="80" s="1"/>
  <c r="D54" i="53" s="1"/>
  <c r="C62" i="94" s="1"/>
  <c r="Q56" i="80"/>
  <c r="S56" i="80" s="1"/>
  <c r="I56" i="80"/>
  <c r="T56" i="80" s="1"/>
  <c r="D55" i="53" s="1"/>
  <c r="C63" i="94" s="1"/>
  <c r="Q57" i="80"/>
  <c r="S57" i="80" s="1"/>
  <c r="I57" i="80"/>
  <c r="T57" i="80" s="1"/>
  <c r="D56" i="53" s="1"/>
  <c r="C64" i="94" s="1"/>
  <c r="Q58" i="80"/>
  <c r="S58" i="80" s="1"/>
  <c r="I58" i="80"/>
  <c r="T58" i="80" s="1"/>
  <c r="D57" i="53" s="1"/>
  <c r="C65" i="94" s="1"/>
  <c r="Q59" i="80"/>
  <c r="S59" i="80" s="1"/>
  <c r="I59" i="80"/>
  <c r="T59" i="80" s="1"/>
  <c r="D58" i="53" s="1"/>
  <c r="C66" i="94" s="1"/>
  <c r="Q60" i="80"/>
  <c r="S60" i="80" s="1"/>
  <c r="I60" i="80"/>
  <c r="T60" i="80" s="1"/>
  <c r="D59" i="53" s="1"/>
  <c r="C67" i="94" s="1"/>
  <c r="Q61" i="80"/>
  <c r="S61" i="80" s="1"/>
  <c r="I61" i="80"/>
  <c r="T61" i="80" s="1"/>
  <c r="D60" i="53" s="1"/>
  <c r="C68" i="94" s="1"/>
  <c r="Q62" i="80"/>
  <c r="S62" i="80" s="1"/>
  <c r="I62" i="80"/>
  <c r="T62" i="80" s="1"/>
  <c r="D61" i="53" s="1"/>
  <c r="C69" i="94" s="1"/>
  <c r="Q63" i="80"/>
  <c r="S63" i="80" s="1"/>
  <c r="I63" i="80"/>
  <c r="T63" i="80" s="1"/>
  <c r="D62" i="53" s="1"/>
  <c r="C70" i="94" s="1"/>
  <c r="Q64" i="80"/>
  <c r="S64" i="80" s="1"/>
  <c r="I64" i="80"/>
  <c r="T64" i="80" s="1"/>
  <c r="D63" i="53" s="1"/>
  <c r="C71" i="94" s="1"/>
  <c r="Q65" i="80"/>
  <c r="S65" i="80" s="1"/>
  <c r="I65" i="80"/>
  <c r="T65" i="80" s="1"/>
  <c r="D64" i="53" s="1"/>
  <c r="C72" i="94" s="1"/>
  <c r="Q66" i="80"/>
  <c r="S66" i="80" s="1"/>
  <c r="I66" i="80"/>
  <c r="T66" i="80" s="1"/>
  <c r="D65" i="53" s="1"/>
  <c r="C73" i="94" s="1"/>
  <c r="Q67" i="80"/>
  <c r="S67" i="80" s="1"/>
  <c r="I67" i="80"/>
  <c r="T67" i="80" s="1"/>
  <c r="D66" i="53" s="1"/>
  <c r="C74" i="94" s="1"/>
  <c r="Q68" i="80"/>
  <c r="S68" i="80" s="1"/>
  <c r="I68" i="80"/>
  <c r="T68" i="80" s="1"/>
  <c r="D67" i="53" s="1"/>
  <c r="C75" i="94" s="1"/>
  <c r="Q69" i="80"/>
  <c r="S69" i="80" s="1"/>
  <c r="I69" i="80"/>
  <c r="T69" i="80" s="1"/>
  <c r="D68" i="53" s="1"/>
  <c r="C76" i="94" s="1"/>
  <c r="Q70" i="80"/>
  <c r="S70" i="80" s="1"/>
  <c r="I70" i="80"/>
  <c r="T70" i="80" s="1"/>
  <c r="D69" i="53" s="1"/>
  <c r="C77" i="94" s="1"/>
  <c r="Q71" i="80"/>
  <c r="S71" i="80" s="1"/>
  <c r="I71" i="80"/>
  <c r="T71" i="80" s="1"/>
  <c r="D70" i="53" s="1"/>
  <c r="C78" i="94" s="1"/>
  <c r="Q72" i="80"/>
  <c r="S72" i="80" s="1"/>
  <c r="I72" i="80"/>
  <c r="T72" i="80" s="1"/>
  <c r="D71" i="53" s="1"/>
  <c r="C79" i="94" s="1"/>
  <c r="Q73" i="80"/>
  <c r="S73" i="80" s="1"/>
  <c r="I73" i="80"/>
  <c r="T73" i="80" s="1"/>
  <c r="D72" i="53" s="1"/>
  <c r="C80" i="94" s="1"/>
  <c r="Q74" i="80"/>
  <c r="S74" i="80" s="1"/>
  <c r="I74" i="80"/>
  <c r="T74" i="80" s="1"/>
  <c r="D73" i="53" s="1"/>
  <c r="C81" i="94" s="1"/>
  <c r="Q75" i="80"/>
  <c r="S75" i="80" s="1"/>
  <c r="I75" i="80"/>
  <c r="T75" i="80" s="1"/>
  <c r="D74" i="53" s="1"/>
  <c r="C82" i="94" s="1"/>
  <c r="Q77" i="80"/>
  <c r="S77" i="80" s="1"/>
  <c r="I77" i="80"/>
  <c r="T77" i="80" s="1"/>
  <c r="D76" i="53" s="1"/>
  <c r="C84" i="94" s="1"/>
  <c r="Q78" i="80"/>
  <c r="S78" i="80" s="1"/>
  <c r="I78" i="80"/>
  <c r="T78" i="80" s="1"/>
  <c r="D77" i="53" s="1"/>
  <c r="C85" i="94" s="1"/>
  <c r="Q79" i="80"/>
  <c r="S79" i="80" s="1"/>
  <c r="I79" i="80"/>
  <c r="T79" i="80" s="1"/>
  <c r="D78" i="53" s="1"/>
  <c r="C86" i="94" s="1"/>
  <c r="Q80" i="80"/>
  <c r="S80" i="80" s="1"/>
  <c r="I80" i="80"/>
  <c r="T80" i="80" s="1"/>
  <c r="D79" i="53" s="1"/>
  <c r="C87" i="94" s="1"/>
  <c r="Q81" i="80"/>
  <c r="S81" i="80" s="1"/>
  <c r="I81" i="80"/>
  <c r="T81" i="80" s="1"/>
  <c r="D80" i="53" s="1"/>
  <c r="C88" i="94" s="1"/>
  <c r="Q82" i="80"/>
  <c r="S82" i="80" s="1"/>
  <c r="I82" i="80"/>
  <c r="T82" i="80" s="1"/>
  <c r="D81" i="53" s="1"/>
  <c r="C89" i="94" s="1"/>
  <c r="Q83" i="80"/>
  <c r="S83" i="80" s="1"/>
  <c r="I83" i="80"/>
  <c r="T83" i="80" s="1"/>
  <c r="D82" i="53" s="1"/>
  <c r="C90" i="94" s="1"/>
  <c r="Q84" i="80"/>
  <c r="S84" i="80" s="1"/>
  <c r="I84" i="80"/>
  <c r="T84" i="80" s="1"/>
  <c r="D83" i="53" s="1"/>
  <c r="C91" i="94" s="1"/>
  <c r="Q85" i="80"/>
  <c r="S85" i="80" s="1"/>
  <c r="I85" i="80"/>
  <c r="T85" i="80" s="1"/>
  <c r="D84" i="53" s="1"/>
  <c r="C92" i="94" s="1"/>
  <c r="Q86" i="80"/>
  <c r="S86" i="80" s="1"/>
  <c r="I86" i="80"/>
  <c r="T86" i="80" s="1"/>
  <c r="D85" i="53" s="1"/>
  <c r="C93" i="94" s="1"/>
  <c r="Q87" i="80"/>
  <c r="S87" i="80" s="1"/>
  <c r="I87" i="80"/>
  <c r="T87" i="80" s="1"/>
  <c r="D86" i="53" s="1"/>
  <c r="C94" i="94" s="1"/>
  <c r="Q88" i="80"/>
  <c r="S88" i="80" s="1"/>
  <c r="I88" i="80"/>
  <c r="T88" i="80" s="1"/>
  <c r="D87" i="53" s="1"/>
  <c r="C95" i="94" s="1"/>
  <c r="Q89" i="80"/>
  <c r="S89" i="80" s="1"/>
  <c r="I89" i="80"/>
  <c r="T89" i="80" s="1"/>
  <c r="D88" i="53" s="1"/>
  <c r="C96" i="94" s="1"/>
  <c r="Q90" i="80"/>
  <c r="S90" i="80" s="1"/>
  <c r="I90" i="80"/>
  <c r="T90" i="80" s="1"/>
  <c r="D89" i="53" s="1"/>
  <c r="C97" i="94" s="1"/>
  <c r="Q91" i="80"/>
  <c r="S91" i="80" s="1"/>
  <c r="I91" i="80"/>
  <c r="T91" i="80" s="1"/>
  <c r="D90" i="53" s="1"/>
  <c r="C98" i="94" s="1"/>
  <c r="Q92" i="80"/>
  <c r="S92" i="80" s="1"/>
  <c r="I92" i="80"/>
  <c r="T92" i="80" s="1"/>
  <c r="D91" i="53" s="1"/>
  <c r="C99" i="94" s="1"/>
  <c r="Q93" i="80"/>
  <c r="S93" i="80" s="1"/>
  <c r="I93" i="80"/>
  <c r="T93" i="80" s="1"/>
  <c r="D92" i="53" s="1"/>
  <c r="C100" i="94" s="1"/>
  <c r="Q94" i="80"/>
  <c r="S94" i="80" s="1"/>
  <c r="I94" i="80"/>
  <c r="T94" i="80" s="1"/>
  <c r="D93" i="53" s="1"/>
  <c r="C101" i="94" s="1"/>
  <c r="Q95" i="80"/>
  <c r="S95" i="80" s="1"/>
  <c r="I95" i="80"/>
  <c r="T95" i="80" s="1"/>
  <c r="D94" i="53" s="1"/>
  <c r="C102" i="94" s="1"/>
  <c r="Q96" i="80"/>
  <c r="S96" i="80" s="1"/>
  <c r="I96" i="80"/>
  <c r="T96" i="80" s="1"/>
  <c r="D95" i="53" s="1"/>
  <c r="C103" i="94" s="1"/>
  <c r="Q97" i="80"/>
  <c r="S97" i="80" s="1"/>
  <c r="I97" i="80"/>
  <c r="T97" i="80" s="1"/>
  <c r="D96" i="53" s="1"/>
  <c r="C104" i="94" s="1"/>
  <c r="Q98" i="80"/>
  <c r="S98" i="80" s="1"/>
  <c r="I98" i="80"/>
  <c r="T98" i="80" s="1"/>
  <c r="D97" i="53" s="1"/>
  <c r="C105" i="94" s="1"/>
  <c r="Q99" i="80"/>
  <c r="S99" i="80" s="1"/>
  <c r="I99" i="80"/>
  <c r="T99" i="80" s="1"/>
  <c r="D98" i="53" s="1"/>
  <c r="C106" i="94" s="1"/>
  <c r="Q100" i="80"/>
  <c r="S100" i="80" s="1"/>
  <c r="I100" i="80"/>
  <c r="T100" i="80" s="1"/>
  <c r="D99" i="53" s="1"/>
  <c r="C107" i="94" s="1"/>
  <c r="Q102" i="80"/>
  <c r="S102" i="80" s="1"/>
  <c r="I102" i="80"/>
  <c r="T102" i="80" s="1"/>
  <c r="D101" i="53" s="1"/>
  <c r="C109" i="94" s="1"/>
  <c r="Q103" i="80"/>
  <c r="S103" i="80" s="1"/>
  <c r="I103" i="80"/>
  <c r="T103" i="80" s="1"/>
  <c r="D102" i="53" s="1"/>
  <c r="C110" i="94" s="1"/>
  <c r="Q104" i="80"/>
  <c r="S104" i="80" s="1"/>
  <c r="I104" i="80"/>
  <c r="T104" i="80" s="1"/>
  <c r="D103" i="53" s="1"/>
  <c r="C111" i="94" s="1"/>
  <c r="Q105" i="80"/>
  <c r="S105" i="80" s="1"/>
  <c r="I105" i="80"/>
  <c r="T105" i="80" s="1"/>
  <c r="D104" i="53" s="1"/>
  <c r="C112" i="94" s="1"/>
  <c r="Q106" i="80"/>
  <c r="S106" i="80" s="1"/>
  <c r="I106" i="80"/>
  <c r="T106" i="80" s="1"/>
  <c r="D105" i="53" s="1"/>
  <c r="C113" i="94" s="1"/>
  <c r="Q107" i="80"/>
  <c r="S107" i="80" s="1"/>
  <c r="I107" i="80"/>
  <c r="T107" i="80" s="1"/>
  <c r="D106" i="53" s="1"/>
  <c r="C114" i="94" s="1"/>
  <c r="Q108" i="80"/>
  <c r="S108" i="80" s="1"/>
  <c r="I108" i="80"/>
  <c r="T108" i="80" s="1"/>
  <c r="D107" i="53" s="1"/>
  <c r="C115" i="94" s="1"/>
  <c r="Q109" i="80"/>
  <c r="S109" i="80" s="1"/>
  <c r="I109" i="80"/>
  <c r="T109" i="80" s="1"/>
  <c r="D108" i="53" s="1"/>
  <c r="C116" i="94" s="1"/>
  <c r="Q110" i="80"/>
  <c r="S110" i="80" s="1"/>
  <c r="I110" i="80"/>
  <c r="T110" i="80" s="1"/>
  <c r="D109" i="53" s="1"/>
  <c r="C117" i="94" s="1"/>
  <c r="Q111" i="80"/>
  <c r="S111" i="80" s="1"/>
  <c r="I111" i="80"/>
  <c r="T111" i="80" s="1"/>
  <c r="D110" i="53" s="1"/>
  <c r="C118" i="94" s="1"/>
  <c r="Q112" i="80"/>
  <c r="S112" i="80" s="1"/>
  <c r="I112" i="80"/>
  <c r="T112" i="80" s="1"/>
  <c r="D111" i="53" s="1"/>
  <c r="C119" i="94" s="1"/>
  <c r="Q113" i="80"/>
  <c r="S113" i="80" s="1"/>
  <c r="I113" i="80"/>
  <c r="T113" i="80" s="1"/>
  <c r="D112" i="53" s="1"/>
  <c r="C120" i="94" s="1"/>
  <c r="Q114" i="80"/>
  <c r="S114" i="80" s="1"/>
  <c r="I114" i="80"/>
  <c r="T114" i="80" s="1"/>
  <c r="D113" i="53" s="1"/>
  <c r="C121" i="94" s="1"/>
  <c r="Q115" i="80"/>
  <c r="S115" i="80" s="1"/>
  <c r="I115" i="80"/>
  <c r="T115" i="80" s="1"/>
  <c r="D114" i="53" s="1"/>
  <c r="C122" i="94" s="1"/>
  <c r="Q116" i="80"/>
  <c r="S116" i="80" s="1"/>
  <c r="I116" i="80"/>
  <c r="T116" i="80" s="1"/>
  <c r="D115" i="53" s="1"/>
  <c r="C123" i="94" s="1"/>
  <c r="Q117" i="80"/>
  <c r="S117" i="80" s="1"/>
  <c r="I117" i="80"/>
  <c r="T117" i="80" s="1"/>
  <c r="D116" i="53" s="1"/>
  <c r="C124" i="94" s="1"/>
  <c r="Q118" i="80"/>
  <c r="S118" i="80" s="1"/>
  <c r="I118" i="80"/>
  <c r="T118" i="80" s="1"/>
  <c r="D117" i="53" s="1"/>
  <c r="C125" i="94" s="1"/>
  <c r="Q119" i="80"/>
  <c r="S119" i="80" s="1"/>
  <c r="I119" i="80"/>
  <c r="T119" i="80" s="1"/>
  <c r="D118" i="53" s="1"/>
  <c r="C126" i="94" s="1"/>
  <c r="Q120" i="80"/>
  <c r="S120" i="80" s="1"/>
  <c r="I120" i="80"/>
  <c r="T120" i="80" s="1"/>
  <c r="D119" i="53" s="1"/>
  <c r="C127" i="94" s="1"/>
  <c r="Q121" i="80"/>
  <c r="S121" i="80" s="1"/>
  <c r="I121" i="80"/>
  <c r="T121" i="80" s="1"/>
  <c r="D120" i="53" s="1"/>
  <c r="C128" i="94" s="1"/>
  <c r="Q122" i="80"/>
  <c r="S122" i="80" s="1"/>
  <c r="I122" i="80"/>
  <c r="T122" i="80" s="1"/>
  <c r="D121" i="53" s="1"/>
  <c r="C129" i="94" s="1"/>
  <c r="Q124" i="80"/>
  <c r="S124" i="80" s="1"/>
  <c r="I124" i="80"/>
  <c r="T124" i="80" s="1"/>
  <c r="D123" i="53" s="1"/>
  <c r="C131" i="94" s="1"/>
  <c r="Q125" i="80"/>
  <c r="S125" i="80" s="1"/>
  <c r="I125" i="80"/>
  <c r="T125" i="80" s="1"/>
  <c r="D124" i="53" s="1"/>
  <c r="C132" i="94" s="1"/>
  <c r="Q126" i="80"/>
  <c r="S126" i="80" s="1"/>
  <c r="I126" i="80"/>
  <c r="T126" i="80" s="1"/>
  <c r="D125" i="53" s="1"/>
  <c r="C133" i="94" s="1"/>
  <c r="Q127" i="80"/>
  <c r="S127" i="80" s="1"/>
  <c r="I127" i="80"/>
  <c r="T127" i="80" s="1"/>
  <c r="D126" i="53" s="1"/>
  <c r="C134" i="94" s="1"/>
  <c r="Q128" i="80"/>
  <c r="S128" i="80" s="1"/>
  <c r="I128" i="80"/>
  <c r="T128" i="80" s="1"/>
  <c r="D127" i="53" s="1"/>
  <c r="C135" i="94" s="1"/>
  <c r="Q129" i="80"/>
  <c r="S129" i="80" s="1"/>
  <c r="I129" i="80"/>
  <c r="T129" i="80" s="1"/>
  <c r="D128" i="53" s="1"/>
  <c r="C136" i="94" s="1"/>
  <c r="Q130" i="80"/>
  <c r="S130" i="80" s="1"/>
  <c r="I130" i="80"/>
  <c r="T130" i="80" s="1"/>
  <c r="D129" i="53" s="1"/>
  <c r="C137" i="94" s="1"/>
  <c r="Q131" i="80"/>
  <c r="S131" i="80" s="1"/>
  <c r="I131" i="80"/>
  <c r="T131" i="80" s="1"/>
  <c r="D130" i="53" s="1"/>
  <c r="C138" i="94" s="1"/>
  <c r="Q132" i="80"/>
  <c r="S132" i="80" s="1"/>
  <c r="I132" i="80"/>
  <c r="T132" i="80" s="1"/>
  <c r="D131" i="53" s="1"/>
  <c r="C139" i="94" s="1"/>
  <c r="Q133" i="80"/>
  <c r="S133" i="80" s="1"/>
  <c r="I133" i="80"/>
  <c r="T133" i="80" s="1"/>
  <c r="D132" i="53" s="1"/>
  <c r="C140" i="94" s="1"/>
  <c r="Q134" i="80"/>
  <c r="S134" i="80" s="1"/>
  <c r="I134" i="80"/>
  <c r="T134" i="80" s="1"/>
  <c r="D133" i="53" s="1"/>
  <c r="C141" i="94" s="1"/>
  <c r="Q135" i="80"/>
  <c r="S135" i="80" s="1"/>
  <c r="I135" i="80"/>
  <c r="T135" i="80" s="1"/>
  <c r="D134" i="53" s="1"/>
  <c r="C142" i="94" s="1"/>
  <c r="Q136" i="80"/>
  <c r="S136" i="80" s="1"/>
  <c r="I136" i="80"/>
  <c r="T136" i="80" s="1"/>
  <c r="D135" i="53" s="1"/>
  <c r="C143" i="94" s="1"/>
  <c r="Q137" i="80"/>
  <c r="S137" i="80" s="1"/>
  <c r="I137" i="80"/>
  <c r="T137" i="80" s="1"/>
  <c r="D136" i="53" s="1"/>
  <c r="C144" i="94" s="1"/>
  <c r="Q138" i="80"/>
  <c r="S138" i="80" s="1"/>
  <c r="I138" i="80"/>
  <c r="T138" i="80" s="1"/>
  <c r="D137" i="53" s="1"/>
  <c r="C145" i="94" s="1"/>
  <c r="Q139" i="80"/>
  <c r="S139" i="80" s="1"/>
  <c r="I139" i="80"/>
  <c r="T139" i="80" s="1"/>
  <c r="D138" i="53" s="1"/>
  <c r="C146" i="94" s="1"/>
  <c r="Q140" i="80"/>
  <c r="S140" i="80" s="1"/>
  <c r="I140" i="80"/>
  <c r="T140" i="80" s="1"/>
  <c r="D139" i="53" s="1"/>
  <c r="C147" i="94" s="1"/>
  <c r="Q141" i="80"/>
  <c r="S141" i="80" s="1"/>
  <c r="I141" i="80"/>
  <c r="T141" i="80" s="1"/>
  <c r="D140" i="53" s="1"/>
  <c r="C148" i="94" s="1"/>
  <c r="Q142" i="80"/>
  <c r="S142" i="80" s="1"/>
  <c r="I142" i="80"/>
  <c r="T142" i="80" s="1"/>
  <c r="D141" i="53" s="1"/>
  <c r="C149" i="94" s="1"/>
  <c r="Q143" i="80"/>
  <c r="S143" i="80" s="1"/>
  <c r="I143" i="80"/>
  <c r="T143" i="80" s="1"/>
  <c r="D142" i="53" s="1"/>
  <c r="C150" i="94" s="1"/>
  <c r="Q144" i="80"/>
  <c r="S144" i="80" s="1"/>
  <c r="I144" i="80"/>
  <c r="T144" i="80" s="1"/>
  <c r="D143" i="53" s="1"/>
  <c r="C151" i="94" s="1"/>
  <c r="Q145" i="80"/>
  <c r="S145" i="80" s="1"/>
  <c r="I145" i="80"/>
  <c r="T145" i="80" s="1"/>
  <c r="D144" i="53" s="1"/>
  <c r="C152" i="94" s="1"/>
  <c r="Q146" i="80"/>
  <c r="S146" i="80" s="1"/>
  <c r="I146" i="80"/>
  <c r="T146" i="80" s="1"/>
  <c r="D145" i="53" s="1"/>
  <c r="C153" i="94" s="1"/>
  <c r="Q147" i="80"/>
  <c r="S147" i="80" s="1"/>
  <c r="I147" i="80"/>
  <c r="T147" i="80" s="1"/>
  <c r="D146" i="53" s="1"/>
  <c r="C154" i="94" s="1"/>
  <c r="Q148" i="80"/>
  <c r="S148" i="80" s="1"/>
  <c r="I148" i="80"/>
  <c r="T148" i="80" s="1"/>
  <c r="D147" i="53" s="1"/>
  <c r="C155" i="94" s="1"/>
  <c r="Q149" i="80"/>
  <c r="S149" i="80" s="1"/>
  <c r="I149" i="80"/>
  <c r="T149" i="80" s="1"/>
  <c r="D148" i="53" s="1"/>
  <c r="C156" i="94" s="1"/>
  <c r="Q150" i="80"/>
  <c r="S150" i="80" s="1"/>
  <c r="I150" i="80"/>
  <c r="T150" i="80" s="1"/>
  <c r="D149" i="53" s="1"/>
  <c r="C157" i="94" s="1"/>
  <c r="Q151" i="80"/>
  <c r="S151" i="80" s="1"/>
  <c r="I151" i="80"/>
  <c r="T151" i="80" s="1"/>
  <c r="D150" i="53" s="1"/>
  <c r="C158" i="94" s="1"/>
  <c r="Q152" i="80"/>
  <c r="S152" i="80" s="1"/>
  <c r="I152" i="80"/>
  <c r="T152" i="80" s="1"/>
  <c r="D151" i="53" s="1"/>
  <c r="C159" i="94" s="1"/>
  <c r="Q153" i="80"/>
  <c r="S153" i="80" s="1"/>
  <c r="I153" i="80"/>
  <c r="T153" i="80" s="1"/>
  <c r="D152" i="53" s="1"/>
  <c r="C160" i="94" s="1"/>
  <c r="Q154" i="80"/>
  <c r="S154" i="80" s="1"/>
  <c r="I154" i="80"/>
  <c r="T154" i="80" s="1"/>
  <c r="D153" i="53" s="1"/>
  <c r="C161" i="94" s="1"/>
  <c r="Q157" i="80"/>
  <c r="S157" i="80" s="1"/>
  <c r="I157" i="80"/>
  <c r="T157" i="80" s="1"/>
  <c r="D156" i="53" s="1"/>
  <c r="C164" i="94" s="1"/>
  <c r="Q163" i="80"/>
  <c r="S163" i="80" s="1"/>
  <c r="I163" i="80"/>
  <c r="T163" i="80" s="1"/>
  <c r="D162" i="53" s="1"/>
  <c r="C170" i="94" s="1"/>
  <c r="Q171" i="80"/>
  <c r="S171" i="80" s="1"/>
  <c r="I171" i="80"/>
  <c r="T171" i="80" s="1"/>
  <c r="D170" i="53" s="1"/>
  <c r="C178" i="94" s="1"/>
  <c r="Q172" i="80"/>
  <c r="S172" i="80" s="1"/>
  <c r="I172" i="80"/>
  <c r="T172" i="80" s="1"/>
  <c r="D171" i="53" s="1"/>
  <c r="C179" i="94" s="1"/>
  <c r="Q173" i="80"/>
  <c r="S173" i="80" s="1"/>
  <c r="I173" i="80"/>
  <c r="T173" i="80" s="1"/>
  <c r="D172" i="53" s="1"/>
  <c r="C180" i="94" s="1"/>
  <c r="Q174" i="80"/>
  <c r="S174" i="80" s="1"/>
  <c r="I174" i="80"/>
  <c r="T174" i="80" s="1"/>
  <c r="D173" i="53" s="1"/>
  <c r="C181" i="94" s="1"/>
  <c r="Q175" i="80"/>
  <c r="S175" i="80" s="1"/>
  <c r="I175" i="80"/>
  <c r="T175" i="80" s="1"/>
  <c r="D174" i="53" s="1"/>
  <c r="C182" i="94" s="1"/>
  <c r="Q176" i="80"/>
  <c r="S176" i="80" s="1"/>
  <c r="I176" i="80"/>
  <c r="T176" i="80" s="1"/>
  <c r="D175" i="53" s="1"/>
  <c r="C183" i="94" s="1"/>
  <c r="Q177" i="80"/>
  <c r="S177" i="80" s="1"/>
  <c r="I177" i="80"/>
  <c r="T177" i="80" s="1"/>
  <c r="D176" i="53" s="1"/>
  <c r="C184" i="94" s="1"/>
  <c r="Q178" i="80"/>
  <c r="S178" i="80" s="1"/>
  <c r="I178" i="80"/>
  <c r="T178" i="80" s="1"/>
  <c r="D177" i="53" s="1"/>
  <c r="C185" i="94" s="1"/>
  <c r="Q181" i="80"/>
  <c r="S181" i="80" s="1"/>
  <c r="I181" i="80"/>
  <c r="T181" i="80" s="1"/>
  <c r="D180" i="53" s="1"/>
  <c r="C188" i="94" s="1"/>
  <c r="Q182" i="80"/>
  <c r="S182" i="80" s="1"/>
  <c r="I182" i="80"/>
  <c r="T182" i="80" s="1"/>
  <c r="D181" i="53" s="1"/>
  <c r="C189" i="94" s="1"/>
  <c r="Q183" i="80"/>
  <c r="S183" i="80" s="1"/>
  <c r="I183" i="80"/>
  <c r="T183" i="80" s="1"/>
  <c r="D182" i="53" s="1"/>
  <c r="C190" i="94" s="1"/>
  <c r="Q184" i="80"/>
  <c r="S184" i="80" s="1"/>
  <c r="I184" i="80"/>
  <c r="T184" i="80" s="1"/>
  <c r="D183" i="53" s="1"/>
  <c r="C191" i="94" s="1"/>
  <c r="Q185" i="80"/>
  <c r="S185" i="80" s="1"/>
  <c r="I185" i="80"/>
  <c r="T185" i="80" s="1"/>
  <c r="D184" i="53" s="1"/>
  <c r="C192" i="94" s="1"/>
  <c r="Q187" i="80"/>
  <c r="S187" i="80" s="1"/>
  <c r="I187" i="80"/>
  <c r="T187" i="80" s="1"/>
  <c r="D186" i="53" s="1"/>
  <c r="C194" i="94" s="1"/>
  <c r="Q188" i="80"/>
  <c r="S188" i="80" s="1"/>
  <c r="I188" i="80"/>
  <c r="T188" i="80" s="1"/>
  <c r="D187" i="53" s="1"/>
  <c r="C195" i="94" s="1"/>
  <c r="Q189" i="80"/>
  <c r="S189" i="80" s="1"/>
  <c r="I189" i="80"/>
  <c r="T189" i="80" s="1"/>
  <c r="D188" i="53" s="1"/>
  <c r="C196" i="94" s="1"/>
  <c r="Q192" i="80"/>
  <c r="S192" i="80" s="1"/>
  <c r="I192" i="80"/>
  <c r="T192" i="80" s="1"/>
  <c r="D191" i="53" s="1"/>
  <c r="C199" i="94" s="1"/>
  <c r="Q193" i="80"/>
  <c r="S193" i="80" s="1"/>
  <c r="I193" i="80"/>
  <c r="T193" i="80" s="1"/>
  <c r="D192" i="53" s="1"/>
  <c r="C200" i="94" s="1"/>
  <c r="Q194" i="80"/>
  <c r="S194" i="80" s="1"/>
  <c r="I194" i="80"/>
  <c r="T194" i="80" s="1"/>
  <c r="D193" i="53" s="1"/>
  <c r="C201" i="94" s="1"/>
  <c r="J3" i="93" l="1"/>
  <c r="I5" i="93"/>
  <c r="AD2" i="89"/>
  <c r="AD421" i="89" s="1"/>
  <c r="K6" i="80"/>
  <c r="L6" i="80" s="1"/>
  <c r="J195" i="80"/>
  <c r="H195" i="80"/>
  <c r="Q6" i="80"/>
  <c r="I195" i="80"/>
  <c r="AJ2" i="89"/>
  <c r="P195" i="80"/>
  <c r="AF3" i="89"/>
  <c r="M7" i="80"/>
  <c r="AH3" i="89" s="1"/>
  <c r="M8" i="80"/>
  <c r="AH4" i="89" s="1"/>
  <c r="AF4" i="89"/>
  <c r="AF5" i="89"/>
  <c r="M9" i="80"/>
  <c r="AH5" i="89" s="1"/>
  <c r="AF6" i="89"/>
  <c r="M10" i="80"/>
  <c r="AH6" i="89" s="1"/>
  <c r="AF7" i="89"/>
  <c r="M11" i="80"/>
  <c r="AH7" i="89" s="1"/>
  <c r="AF8" i="89"/>
  <c r="M12" i="80"/>
  <c r="AH8" i="89" s="1"/>
  <c r="AF9" i="89"/>
  <c r="M13" i="80"/>
  <c r="AH9" i="89" s="1"/>
  <c r="AF10" i="89"/>
  <c r="M14" i="80"/>
  <c r="AH10" i="89" s="1"/>
  <c r="AF11" i="89"/>
  <c r="M15" i="80"/>
  <c r="AH11" i="89" s="1"/>
  <c r="AF12" i="89"/>
  <c r="M16" i="80"/>
  <c r="AH12" i="89" s="1"/>
  <c r="AF13" i="89"/>
  <c r="M17" i="80"/>
  <c r="AH13" i="89" s="1"/>
  <c r="AF14" i="89"/>
  <c r="M18" i="80"/>
  <c r="AH14" i="89" s="1"/>
  <c r="AF15" i="89"/>
  <c r="M19" i="80"/>
  <c r="AH15" i="89" s="1"/>
  <c r="AF16" i="89"/>
  <c r="M20" i="80"/>
  <c r="AH16" i="89" s="1"/>
  <c r="AF17" i="89"/>
  <c r="M21" i="80"/>
  <c r="AH17" i="89" s="1"/>
  <c r="AF18" i="89"/>
  <c r="M22" i="80"/>
  <c r="AH18" i="89" s="1"/>
  <c r="AF19" i="89"/>
  <c r="M23" i="80"/>
  <c r="AH19" i="89" s="1"/>
  <c r="AF20" i="89"/>
  <c r="M24" i="80"/>
  <c r="AH20" i="89" s="1"/>
  <c r="AF21" i="89"/>
  <c r="M25" i="80"/>
  <c r="AH21" i="89" s="1"/>
  <c r="AF22" i="89"/>
  <c r="M26" i="80"/>
  <c r="AH22" i="89" s="1"/>
  <c r="AF23" i="89"/>
  <c r="M27" i="80"/>
  <c r="AH23" i="89" s="1"/>
  <c r="AF24" i="89"/>
  <c r="M28" i="80"/>
  <c r="AH24" i="89" s="1"/>
  <c r="AF25" i="89"/>
  <c r="M29" i="80"/>
  <c r="AH25" i="89" s="1"/>
  <c r="AF26" i="89"/>
  <c r="M30" i="80"/>
  <c r="AH26" i="89" s="1"/>
  <c r="AF27" i="89"/>
  <c r="M31" i="80"/>
  <c r="AH27" i="89" s="1"/>
  <c r="AF28" i="89"/>
  <c r="M32" i="80"/>
  <c r="AH28" i="89" s="1"/>
  <c r="AF29" i="89"/>
  <c r="M33" i="80"/>
  <c r="AH29" i="89" s="1"/>
  <c r="AF30" i="89"/>
  <c r="M34" i="80"/>
  <c r="AH30" i="89" s="1"/>
  <c r="AF31" i="89"/>
  <c r="M35" i="80"/>
  <c r="AH31" i="89" s="1"/>
  <c r="AF32" i="89"/>
  <c r="M36" i="80"/>
  <c r="AH32" i="89" s="1"/>
  <c r="AF33" i="89"/>
  <c r="M37" i="80"/>
  <c r="AH33" i="89" s="1"/>
  <c r="AF34" i="89"/>
  <c r="M38" i="80"/>
  <c r="AH34" i="89" s="1"/>
  <c r="AF35" i="89"/>
  <c r="M39" i="80"/>
  <c r="AH35" i="89" s="1"/>
  <c r="AF36" i="89"/>
  <c r="M40" i="80"/>
  <c r="AH36" i="89" s="1"/>
  <c r="AF37" i="89"/>
  <c r="M41" i="80"/>
  <c r="AH37" i="89" s="1"/>
  <c r="AF38" i="89"/>
  <c r="M42" i="80"/>
  <c r="AH38" i="89" s="1"/>
  <c r="AF39" i="89"/>
  <c r="M43" i="80"/>
  <c r="AH39" i="89" s="1"/>
  <c r="AF40" i="89"/>
  <c r="M44" i="80"/>
  <c r="AH40" i="89" s="1"/>
  <c r="AF41" i="89"/>
  <c r="M45" i="80"/>
  <c r="AH41" i="89" s="1"/>
  <c r="AF42" i="89"/>
  <c r="M46" i="80"/>
  <c r="AH42" i="89" s="1"/>
  <c r="AF43" i="89"/>
  <c r="M47" i="80"/>
  <c r="AH43" i="89" s="1"/>
  <c r="AF44" i="89"/>
  <c r="M48" i="80"/>
  <c r="AH44" i="89" s="1"/>
  <c r="AF45" i="89"/>
  <c r="M49" i="80"/>
  <c r="AH45" i="89" s="1"/>
  <c r="AF46" i="89"/>
  <c r="M50" i="80"/>
  <c r="AH46" i="89" s="1"/>
  <c r="AF47" i="89"/>
  <c r="M51" i="80"/>
  <c r="AH47" i="89" s="1"/>
  <c r="AF48" i="89"/>
  <c r="M52" i="80"/>
  <c r="AH48" i="89" s="1"/>
  <c r="AF49" i="89"/>
  <c r="M53" i="80"/>
  <c r="AH49" i="89" s="1"/>
  <c r="AF50" i="89"/>
  <c r="M54" i="80"/>
  <c r="AH50" i="89" s="1"/>
  <c r="AF51" i="89"/>
  <c r="M55" i="80"/>
  <c r="AH51" i="89" s="1"/>
  <c r="AF52" i="89"/>
  <c r="M56" i="80"/>
  <c r="AH52" i="89" s="1"/>
  <c r="AF53" i="89"/>
  <c r="M57" i="80"/>
  <c r="AH53" i="89" s="1"/>
  <c r="AF54" i="89"/>
  <c r="M58" i="80"/>
  <c r="AH54" i="89" s="1"/>
  <c r="AF55" i="89"/>
  <c r="M59" i="80"/>
  <c r="AH55" i="89" s="1"/>
  <c r="AF56" i="89"/>
  <c r="M60" i="80"/>
  <c r="AH56" i="89" s="1"/>
  <c r="AF57" i="89"/>
  <c r="M61" i="80"/>
  <c r="AH57" i="89" s="1"/>
  <c r="AF58" i="89"/>
  <c r="M62" i="80"/>
  <c r="AH58" i="89" s="1"/>
  <c r="AF59" i="89"/>
  <c r="M63" i="80"/>
  <c r="AH59" i="89" s="1"/>
  <c r="AF60" i="89"/>
  <c r="M64" i="80"/>
  <c r="AH60" i="89" s="1"/>
  <c r="AF61" i="89"/>
  <c r="M65" i="80"/>
  <c r="AH61" i="89" s="1"/>
  <c r="AF62" i="89"/>
  <c r="M66" i="80"/>
  <c r="AH62" i="89" s="1"/>
  <c r="AF63" i="89"/>
  <c r="M67" i="80"/>
  <c r="AH63" i="89" s="1"/>
  <c r="AF64" i="89"/>
  <c r="M68" i="80"/>
  <c r="AH64" i="89" s="1"/>
  <c r="AF65" i="89"/>
  <c r="M69" i="80"/>
  <c r="AH65" i="89" s="1"/>
  <c r="AF66" i="89"/>
  <c r="M70" i="80"/>
  <c r="AH66" i="89" s="1"/>
  <c r="AF67" i="89"/>
  <c r="M71" i="80"/>
  <c r="AH67" i="89" s="1"/>
  <c r="AF68" i="89"/>
  <c r="M72" i="80"/>
  <c r="AH68" i="89" s="1"/>
  <c r="AF69" i="89"/>
  <c r="M73" i="80"/>
  <c r="AH69" i="89" s="1"/>
  <c r="AF70" i="89"/>
  <c r="M74" i="80"/>
  <c r="AH70" i="89" s="1"/>
  <c r="AF71" i="89"/>
  <c r="M75" i="80"/>
  <c r="AH71" i="89" s="1"/>
  <c r="AF72" i="89"/>
  <c r="M76" i="80"/>
  <c r="AH72" i="89" s="1"/>
  <c r="AF73" i="89"/>
  <c r="M77" i="80"/>
  <c r="AH73" i="89" s="1"/>
  <c r="AF74" i="89"/>
  <c r="M78" i="80"/>
  <c r="AH74" i="89" s="1"/>
  <c r="AF75" i="89"/>
  <c r="M79" i="80"/>
  <c r="AH75" i="89" s="1"/>
  <c r="AF76" i="89"/>
  <c r="M80" i="80"/>
  <c r="AH76" i="89" s="1"/>
  <c r="AF77" i="89"/>
  <c r="M81" i="80"/>
  <c r="AH77" i="89" s="1"/>
  <c r="AF78" i="89"/>
  <c r="M82" i="80"/>
  <c r="AH78" i="89" s="1"/>
  <c r="AF79" i="89"/>
  <c r="M83" i="80"/>
  <c r="AH79" i="89" s="1"/>
  <c r="AF80" i="89"/>
  <c r="M84" i="80"/>
  <c r="AH80" i="89" s="1"/>
  <c r="AF81" i="89"/>
  <c r="M85" i="80"/>
  <c r="AH81" i="89" s="1"/>
  <c r="AF82" i="89"/>
  <c r="M86" i="80"/>
  <c r="AH82" i="89" s="1"/>
  <c r="AF83" i="89"/>
  <c r="M87" i="80"/>
  <c r="AH83" i="89" s="1"/>
  <c r="AF84" i="89"/>
  <c r="M88" i="80"/>
  <c r="AH84" i="89" s="1"/>
  <c r="AF85" i="89"/>
  <c r="M89" i="80"/>
  <c r="AH85" i="89" s="1"/>
  <c r="AF86" i="89"/>
  <c r="M90" i="80"/>
  <c r="AH86" i="89" s="1"/>
  <c r="AF87" i="89"/>
  <c r="M91" i="80"/>
  <c r="AH87" i="89" s="1"/>
  <c r="AF88" i="89"/>
  <c r="M92" i="80"/>
  <c r="AH88" i="89" s="1"/>
  <c r="AF89" i="89"/>
  <c r="M93" i="80"/>
  <c r="AH89" i="89" s="1"/>
  <c r="AF90" i="89"/>
  <c r="M94" i="80"/>
  <c r="AH90" i="89" s="1"/>
  <c r="AF91" i="89"/>
  <c r="M95" i="80"/>
  <c r="AH91" i="89" s="1"/>
  <c r="AF92" i="89"/>
  <c r="M96" i="80"/>
  <c r="AH92" i="89" s="1"/>
  <c r="AF93" i="89"/>
  <c r="M97" i="80"/>
  <c r="AH93" i="89" s="1"/>
  <c r="AF94" i="89"/>
  <c r="M98" i="80"/>
  <c r="AH94" i="89" s="1"/>
  <c r="AF95" i="89"/>
  <c r="M99" i="80"/>
  <c r="AH95" i="89" s="1"/>
  <c r="AF96" i="89"/>
  <c r="M100" i="80"/>
  <c r="AH96" i="89" s="1"/>
  <c r="AF97" i="89"/>
  <c r="M101" i="80"/>
  <c r="AH97" i="89" s="1"/>
  <c r="AF98" i="89"/>
  <c r="M102" i="80"/>
  <c r="AH98" i="89" s="1"/>
  <c r="AF99" i="89"/>
  <c r="M103" i="80"/>
  <c r="AH99" i="89" s="1"/>
  <c r="AF100" i="89"/>
  <c r="M104" i="80"/>
  <c r="AH100" i="89" s="1"/>
  <c r="AF101" i="89"/>
  <c r="M105" i="80"/>
  <c r="AH101" i="89" s="1"/>
  <c r="AF102" i="89"/>
  <c r="M106" i="80"/>
  <c r="AH102" i="89" s="1"/>
  <c r="AF103" i="89"/>
  <c r="M107" i="80"/>
  <c r="AH103" i="89" s="1"/>
  <c r="AF104" i="89"/>
  <c r="M108" i="80"/>
  <c r="AH104" i="89" s="1"/>
  <c r="AF105" i="89"/>
  <c r="M109" i="80"/>
  <c r="AH105" i="89" s="1"/>
  <c r="AF106" i="89"/>
  <c r="M110" i="80"/>
  <c r="AH106" i="89" s="1"/>
  <c r="AF107" i="89"/>
  <c r="M111" i="80"/>
  <c r="AH107" i="89" s="1"/>
  <c r="AF108" i="89"/>
  <c r="M112" i="80"/>
  <c r="AH108" i="89" s="1"/>
  <c r="AF109" i="89"/>
  <c r="M113" i="80"/>
  <c r="AH109" i="89" s="1"/>
  <c r="AF110" i="89"/>
  <c r="M114" i="80"/>
  <c r="AH110" i="89" s="1"/>
  <c r="AF111" i="89"/>
  <c r="M115" i="80"/>
  <c r="AH111" i="89" s="1"/>
  <c r="AF112" i="89"/>
  <c r="M116" i="80"/>
  <c r="AH112" i="89" s="1"/>
  <c r="AF113" i="89"/>
  <c r="M117" i="80"/>
  <c r="AH113" i="89" s="1"/>
  <c r="AF114" i="89"/>
  <c r="M118" i="80"/>
  <c r="AH114" i="89" s="1"/>
  <c r="AF115" i="89"/>
  <c r="M119" i="80"/>
  <c r="AH115" i="89" s="1"/>
  <c r="AF116" i="89"/>
  <c r="M120" i="80"/>
  <c r="AH116" i="89" s="1"/>
  <c r="AF117" i="89"/>
  <c r="M121" i="80"/>
  <c r="AH117" i="89" s="1"/>
  <c r="AF118" i="89"/>
  <c r="M122" i="80"/>
  <c r="AH118" i="89" s="1"/>
  <c r="AF119" i="89"/>
  <c r="M123" i="80"/>
  <c r="AH119" i="89" s="1"/>
  <c r="AF120" i="89"/>
  <c r="M124" i="80"/>
  <c r="AH120" i="89" s="1"/>
  <c r="AF121" i="89"/>
  <c r="M125" i="80"/>
  <c r="AH121" i="89" s="1"/>
  <c r="AF122" i="89"/>
  <c r="M126" i="80"/>
  <c r="AH122" i="89" s="1"/>
  <c r="AF123" i="89"/>
  <c r="M127" i="80"/>
  <c r="AH123" i="89" s="1"/>
  <c r="AF124" i="89"/>
  <c r="M128" i="80"/>
  <c r="AH124" i="89" s="1"/>
  <c r="AF125" i="89"/>
  <c r="M129" i="80"/>
  <c r="AH125" i="89" s="1"/>
  <c r="AF126" i="89"/>
  <c r="M130" i="80"/>
  <c r="AH126" i="89" s="1"/>
  <c r="AF127" i="89"/>
  <c r="M131" i="80"/>
  <c r="AH127" i="89" s="1"/>
  <c r="AF128" i="89"/>
  <c r="M132" i="80"/>
  <c r="AH128" i="89" s="1"/>
  <c r="AF129" i="89"/>
  <c r="M133" i="80"/>
  <c r="AH129" i="89" s="1"/>
  <c r="AF130" i="89"/>
  <c r="M134" i="80"/>
  <c r="AH130" i="89" s="1"/>
  <c r="AF131" i="89"/>
  <c r="M135" i="80"/>
  <c r="AH131" i="89" s="1"/>
  <c r="AF132" i="89"/>
  <c r="M136" i="80"/>
  <c r="AH132" i="89" s="1"/>
  <c r="AF133" i="89"/>
  <c r="M137" i="80"/>
  <c r="AH133" i="89" s="1"/>
  <c r="AF134" i="89"/>
  <c r="M138" i="80"/>
  <c r="AH134" i="89" s="1"/>
  <c r="AF135" i="89"/>
  <c r="M139" i="80"/>
  <c r="AH135" i="89" s="1"/>
  <c r="AF136" i="89"/>
  <c r="M140" i="80"/>
  <c r="AH136" i="89" s="1"/>
  <c r="AF137" i="89"/>
  <c r="M141" i="80"/>
  <c r="AH137" i="89" s="1"/>
  <c r="AF138" i="89"/>
  <c r="M142" i="80"/>
  <c r="AH138" i="89" s="1"/>
  <c r="AF139" i="89"/>
  <c r="M143" i="80"/>
  <c r="AH139" i="89" s="1"/>
  <c r="AF140" i="89"/>
  <c r="M144" i="80"/>
  <c r="AH140" i="89" s="1"/>
  <c r="AF141" i="89"/>
  <c r="M145" i="80"/>
  <c r="AH141" i="89" s="1"/>
  <c r="AF142" i="89"/>
  <c r="M146" i="80"/>
  <c r="AH142" i="89" s="1"/>
  <c r="AF143" i="89"/>
  <c r="M147" i="80"/>
  <c r="AH143" i="89" s="1"/>
  <c r="AF144" i="89"/>
  <c r="M148" i="80"/>
  <c r="AH144" i="89" s="1"/>
  <c r="AF145" i="89"/>
  <c r="M149" i="80"/>
  <c r="AH145" i="89" s="1"/>
  <c r="AF146" i="89"/>
  <c r="M150" i="80"/>
  <c r="AH146" i="89" s="1"/>
  <c r="AF147" i="89"/>
  <c r="M151" i="80"/>
  <c r="AH147" i="89" s="1"/>
  <c r="AF148" i="89"/>
  <c r="M152" i="80"/>
  <c r="AH148" i="89" s="1"/>
  <c r="AF149" i="89"/>
  <c r="M153" i="80"/>
  <c r="AH149" i="89" s="1"/>
  <c r="AF150" i="89"/>
  <c r="M154" i="80"/>
  <c r="AH150" i="89" s="1"/>
  <c r="AF151" i="89"/>
  <c r="M155" i="80"/>
  <c r="AH151" i="89" s="1"/>
  <c r="AF152" i="89"/>
  <c r="M156" i="80"/>
  <c r="AH152" i="89" s="1"/>
  <c r="AF153" i="89"/>
  <c r="M157" i="80"/>
  <c r="AH153" i="89" s="1"/>
  <c r="AF154" i="89"/>
  <c r="M158" i="80"/>
  <c r="AH154" i="89" s="1"/>
  <c r="AF155" i="89"/>
  <c r="M159" i="80"/>
  <c r="AH155" i="89" s="1"/>
  <c r="M160" i="80"/>
  <c r="AH156" i="89" s="1"/>
  <c r="AF156" i="89"/>
  <c r="AF157" i="89"/>
  <c r="M161" i="80"/>
  <c r="AH157" i="89" s="1"/>
  <c r="AF158" i="89"/>
  <c r="M162" i="80"/>
  <c r="AH158" i="89" s="1"/>
  <c r="AF159" i="89"/>
  <c r="M163" i="80"/>
  <c r="AH159" i="89" s="1"/>
  <c r="AF160" i="89"/>
  <c r="M164" i="80"/>
  <c r="AH160" i="89" s="1"/>
  <c r="AF161" i="89"/>
  <c r="M165" i="80"/>
  <c r="AH161" i="89" s="1"/>
  <c r="AF162" i="89"/>
  <c r="M166" i="80"/>
  <c r="AH162" i="89" s="1"/>
  <c r="AF163" i="89"/>
  <c r="M167" i="80"/>
  <c r="AH163" i="89" s="1"/>
  <c r="AF164" i="89"/>
  <c r="M168" i="80"/>
  <c r="AH164" i="89" s="1"/>
  <c r="M169" i="80"/>
  <c r="AH165" i="89" s="1"/>
  <c r="AF165" i="89"/>
  <c r="AF166" i="89"/>
  <c r="M170" i="80"/>
  <c r="AH166" i="89" s="1"/>
  <c r="AF167" i="89"/>
  <c r="M171" i="80"/>
  <c r="AH167" i="89" s="1"/>
  <c r="M172" i="80"/>
  <c r="AH168" i="89" s="1"/>
  <c r="AF168" i="89"/>
  <c r="AF169" i="89"/>
  <c r="M173" i="80"/>
  <c r="AH169" i="89" s="1"/>
  <c r="AF170" i="89"/>
  <c r="M174" i="80"/>
  <c r="AH170" i="89" s="1"/>
  <c r="M175" i="80"/>
  <c r="AH171" i="89" s="1"/>
  <c r="AF171" i="89"/>
  <c r="M176" i="80"/>
  <c r="AH172" i="89" s="1"/>
  <c r="AF172" i="89"/>
  <c r="M177" i="80"/>
  <c r="AH173" i="89" s="1"/>
  <c r="AF173" i="89"/>
  <c r="AF174" i="89"/>
  <c r="M178" i="80"/>
  <c r="AH174" i="89" s="1"/>
  <c r="M179" i="80"/>
  <c r="AH175" i="89" s="1"/>
  <c r="AF175" i="89"/>
  <c r="AF176" i="89"/>
  <c r="M180" i="80"/>
  <c r="AH176" i="89" s="1"/>
  <c r="M181" i="80"/>
  <c r="AH177" i="89" s="1"/>
  <c r="AF177" i="89"/>
  <c r="M182" i="80"/>
  <c r="AH178" i="89" s="1"/>
  <c r="AF178" i="89"/>
  <c r="AF179" i="89"/>
  <c r="M183" i="80"/>
  <c r="AH179" i="89" s="1"/>
  <c r="AF180" i="89"/>
  <c r="M184" i="80"/>
  <c r="AH180" i="89" s="1"/>
  <c r="M185" i="80"/>
  <c r="AH181" i="89" s="1"/>
  <c r="AF181" i="89"/>
  <c r="M186" i="80"/>
  <c r="AH182" i="89" s="1"/>
  <c r="AF182" i="89"/>
  <c r="M187" i="80"/>
  <c r="AH183" i="89" s="1"/>
  <c r="AF183" i="89"/>
  <c r="M188" i="80"/>
  <c r="AH184" i="89" s="1"/>
  <c r="AF184" i="89"/>
  <c r="M189" i="80"/>
  <c r="AH185" i="89" s="1"/>
  <c r="AF185" i="89"/>
  <c r="AF186" i="89"/>
  <c r="M190" i="80"/>
  <c r="AH186" i="89" s="1"/>
  <c r="M191" i="80"/>
  <c r="AH187" i="89" s="1"/>
  <c r="AF187" i="89"/>
  <c r="M192" i="80"/>
  <c r="AH188" i="89" s="1"/>
  <c r="AF188" i="89"/>
  <c r="AF189" i="89"/>
  <c r="M193" i="80"/>
  <c r="AH189" i="89" s="1"/>
  <c r="M194" i="80"/>
  <c r="AH190" i="89" s="1"/>
  <c r="AF190" i="89"/>
  <c r="AJ92" i="89"/>
  <c r="AJ418" i="89"/>
  <c r="K3" i="93" l="1"/>
  <c r="J5" i="93"/>
  <c r="L195" i="80"/>
  <c r="AG2" i="89"/>
  <c r="AG421" i="89" s="1"/>
  <c r="M6" i="80"/>
  <c r="AF2" i="89"/>
  <c r="AF421" i="89" s="1"/>
  <c r="S6" i="80"/>
  <c r="Q195" i="80"/>
  <c r="K5" i="93" l="1"/>
  <c r="L3" i="93"/>
  <c r="AH2" i="89"/>
  <c r="AH421" i="89" s="1"/>
  <c r="M195" i="80"/>
  <c r="T6" i="80"/>
  <c r="S195" i="80"/>
  <c r="L5" i="93" l="1"/>
  <c r="M3" i="93"/>
  <c r="D5" i="53"/>
  <c r="T195" i="80"/>
  <c r="M5" i="93" l="1"/>
  <c r="N3" i="93"/>
  <c r="D194" i="53"/>
  <c r="C13" i="94"/>
  <c r="F8" i="94" s="1"/>
  <c r="O3" i="93" l="1"/>
  <c r="N5" i="93"/>
  <c r="O5" i="93" l="1"/>
  <c r="P3" i="93"/>
  <c r="Q3" i="93" l="1"/>
  <c r="P5" i="93"/>
  <c r="Q5" i="93" l="1"/>
  <c r="R3" i="93"/>
  <c r="S3" i="93" l="1"/>
  <c r="R5" i="93"/>
  <c r="T3" i="93" l="1"/>
  <c r="S5" i="93"/>
  <c r="U3" i="93" l="1"/>
  <c r="T5" i="93"/>
  <c r="V3" i="93" l="1"/>
  <c r="U5" i="93"/>
  <c r="W3" i="93" l="1"/>
  <c r="V5" i="93"/>
  <c r="X3" i="93" l="1"/>
  <c r="W5" i="93"/>
  <c r="Y3" i="93" l="1"/>
  <c r="X5" i="93"/>
  <c r="Y5" i="93" l="1"/>
  <c r="Z3" i="93"/>
  <c r="Z5" i="93" l="1"/>
  <c r="AA3" i="93"/>
  <c r="AB3" i="93" l="1"/>
  <c r="AA5" i="93"/>
  <c r="AC3" i="93" l="1"/>
  <c r="AB5" i="93"/>
  <c r="AD3" i="93" l="1"/>
  <c r="AC5" i="93"/>
  <c r="AE3" i="93" l="1"/>
  <c r="AD5" i="93"/>
  <c r="AF3" i="93" l="1"/>
  <c r="AE5" i="93"/>
  <c r="AF5" i="93" l="1"/>
  <c r="AG3" i="93"/>
  <c r="AH3" i="93" l="1"/>
  <c r="AG5" i="93"/>
  <c r="AI3" i="93" l="1"/>
  <c r="AH5" i="93"/>
  <c r="AJ3" i="93" l="1"/>
  <c r="AJ5" i="93" s="1"/>
  <c r="AI5" i="93"/>
</calcChain>
</file>

<file path=xl/sharedStrings.xml><?xml version="1.0" encoding="utf-8"?>
<sst xmlns="http://schemas.openxmlformats.org/spreadsheetml/2006/main" count="7775" uniqueCount="842">
  <si>
    <t>Şube Kodu</t>
  </si>
  <si>
    <t>TOPLAM</t>
  </si>
  <si>
    <t>S. N.</t>
  </si>
  <si>
    <t>T.C. KİMLİK
 NUMARASI</t>
  </si>
  <si>
    <t>KESİNTİLER</t>
  </si>
  <si>
    <t>Ödenmesi 
Gereken  
Net Tutar</t>
  </si>
  <si>
    <t>S.N.</t>
  </si>
  <si>
    <t>Dönemi:</t>
  </si>
  <si>
    <t>GENEL TOPLAM</t>
  </si>
  <si>
    <t>IBAN Numarası</t>
  </si>
  <si>
    <t>SOYADI</t>
  </si>
  <si>
    <t xml:space="preserve">Adı  </t>
  </si>
  <si>
    <t>Soyadı</t>
  </si>
  <si>
    <t>ADI</t>
  </si>
  <si>
    <t>GÖREV
YERİ</t>
  </si>
  <si>
    <t>Adı</t>
  </si>
  <si>
    <t>Hazırlayan</t>
  </si>
  <si>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</si>
  <si>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</si>
  <si>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</si>
  <si>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</si>
  <si>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</si>
  <si>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</si>
  <si>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</si>
  <si>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Ait İşveren Numarası</t>
  </si>
  <si>
    <t>SSK Sicil</t>
  </si>
  <si>
    <t>SG NO (TC Kimlik No)</t>
  </si>
  <si>
    <t>Prim Ödeme Günü</t>
  </si>
  <si>
    <t>Uzaktan Çalışma Gün</t>
  </si>
  <si>
    <t>Hak Edilen Ücret</t>
  </si>
  <si>
    <t>Prim,İkramiye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</si>
  <si>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</si>
  <si>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</si>
  <si>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</si>
  <si>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</si>
  <si>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</si>
  <si>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</si>
  <si>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</si>
  <si>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</si>
  <si>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Süresinde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</si>
  <si>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</si>
  <si>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</si>
  <si>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</si>
  <si>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</si>
  <si>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</si>
  <si>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</si>
  <si>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Hesaplanan Gelir Vergisi</t>
  </si>
  <si>
    <t>Asgari Ücret İstisna Gelir Vergisi Tutarı</t>
  </si>
  <si>
    <t>Gelir Vergisi Kesintisi</t>
  </si>
  <si>
    <t>Asgari Ücret İstisna Damga Vergisi Tutarı</t>
  </si>
  <si>
    <t>Damga Vergisi Kesintisi</t>
  </si>
  <si>
    <t>A</t>
  </si>
  <si>
    <t>00000</t>
  </si>
  <si>
    <t>01</t>
  </si>
  <si>
    <t>000</t>
  </si>
  <si>
    <t>GELİR VERGİSİ İSTİSNA UYGULAMA</t>
  </si>
  <si>
    <t>DAMGA VERGİSİ İSTİSNA UYGULAMA</t>
  </si>
  <si>
    <t>Gelir 
Vergisi Kesintisi</t>
  </si>
  <si>
    <t>Damga 
Vergisi
Kesintisi</t>
  </si>
  <si>
    <t xml:space="preserve">Banka Adı </t>
  </si>
  <si>
    <t>AYLIK TOPLAM ÇALIŞILAN GÜN SAYISI</t>
  </si>
  <si>
    <t>KATILIMCI BİLGİLERİ</t>
  </si>
  <si>
    <t>SIRA</t>
  </si>
  <si>
    <t>TC</t>
  </si>
  <si>
    <t>AD SOYAD</t>
  </si>
  <si>
    <t>ÇALIŞTIĞI GÜNLER</t>
  </si>
  <si>
    <t>RAPORLU VEYA GELİNMEYEN GÜNLER</t>
  </si>
  <si>
    <t>İşe Giriş Tarihi</t>
  </si>
  <si>
    <t>İşten Çıkışı Tarihi</t>
  </si>
  <si>
    <t>Toplam 
Kesinti
(SGK kesintisi ve Varsa Diğer)</t>
  </si>
  <si>
    <t>Şube Müdürü</t>
  </si>
  <si>
    <t>Sosyal Güvenlik Primi 
Devlet Ödemesi
(%5,5)</t>
  </si>
  <si>
    <t>Genel Sağ.Sig.Prm Dev.%4,5 +
Kısa Vad.Sig.K Dev.%1  
Toplam= %5,5</t>
  </si>
  <si>
    <t xml:space="preserve">İŞKUR GENÇLİK PROG CEP HARÇLIĞI TUTARI 
</t>
  </si>
  <si>
    <t>Tahakkuk Toplamı</t>
  </si>
  <si>
    <t>Gelir Vergisi Matrahı</t>
  </si>
  <si>
    <t>GV İstisna Tutarı</t>
  </si>
  <si>
    <t>Hesaplanan Damga Vergisi</t>
  </si>
  <si>
    <t>DV İstisna Tutarı</t>
  </si>
  <si>
    <t>İcra Kesintisi</t>
  </si>
  <si>
    <t>YIL</t>
  </si>
  <si>
    <t>AY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</si>
  <si>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</si>
  <si>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</si>
  <si>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</si>
  <si>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</si>
  <si>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</si>
  <si>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</si>
  <si>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</si>
  <si>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</si>
  <si>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</si>
  <si>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</si>
  <si>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</si>
  <si>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</si>
  <si>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AYLAR</t>
  </si>
  <si>
    <t>SON GÜN</t>
  </si>
  <si>
    <t>İLK GÜN</t>
  </si>
  <si>
    <t>IBAN</t>
  </si>
  <si>
    <t>YILLIK İZİN DURUMU          
İzin Takip İçindir
(7 gün )</t>
  </si>
  <si>
    <t>9901.04</t>
  </si>
  <si>
    <t>Bursa UludağÜniversitesi Üniveristesi Genel Sekreterlik Özel Kalem</t>
  </si>
  <si>
    <t>HALKBANK</t>
  </si>
  <si>
    <t>TUTAR</t>
  </si>
  <si>
    <t>AÇIKLAMA</t>
  </si>
  <si>
    <r>
      <t xml:space="preserve">  </t>
    </r>
    <r>
      <rPr>
        <sz val="11"/>
        <color indexed="8"/>
        <rFont val="Calibri"/>
        <family val="2"/>
        <charset val="162"/>
      </rPr>
      <t xml:space="preserve">Geldiği günler : </t>
    </r>
    <r>
      <rPr>
        <b/>
        <sz val="11"/>
        <color indexed="8"/>
        <rFont val="Calibri"/>
        <family val="2"/>
        <charset val="162"/>
      </rPr>
      <t xml:space="preserve">X
</t>
    </r>
    <r>
      <rPr>
        <sz val="11"/>
        <color indexed="8"/>
        <rFont val="Calibri"/>
        <family val="2"/>
        <charset val="162"/>
      </rPr>
      <t>Eğitim günü</t>
    </r>
    <r>
      <rPr>
        <b/>
        <sz val="11"/>
        <color indexed="8"/>
        <rFont val="Calibri"/>
        <family val="2"/>
        <charset val="162"/>
      </rPr>
      <t>:E</t>
    </r>
    <r>
      <rPr>
        <sz val="11"/>
        <color indexed="8"/>
        <rFont val="Calibri"/>
        <family val="2"/>
        <charset val="162"/>
      </rPr>
      <t xml:space="preserve">
Gelmediği Günler : </t>
    </r>
    <r>
      <rPr>
        <b/>
        <sz val="11"/>
        <color indexed="8"/>
        <rFont val="Calibri"/>
        <family val="2"/>
        <charset val="162"/>
      </rPr>
      <t>T</t>
    </r>
    <r>
      <rPr>
        <sz val="11"/>
        <color indexed="8"/>
        <rFont val="Calibri"/>
        <family val="2"/>
        <charset val="162"/>
      </rPr>
      <t xml:space="preserve">
Raporlu Günler : </t>
    </r>
    <r>
      <rPr>
        <b/>
        <sz val="11"/>
        <color indexed="8"/>
        <rFont val="Calibri"/>
        <family val="2"/>
        <charset val="162"/>
      </rPr>
      <t xml:space="preserve">R
</t>
    </r>
    <r>
      <rPr>
        <sz val="11"/>
        <color indexed="8"/>
        <rFont val="Calibri"/>
        <family val="2"/>
        <charset val="162"/>
      </rPr>
      <t xml:space="preserve">İzinli </t>
    </r>
    <r>
      <rPr>
        <b/>
        <sz val="11"/>
        <color indexed="8"/>
        <rFont val="Calibri"/>
        <family val="2"/>
        <charset val="162"/>
      </rPr>
      <t>: İ</t>
    </r>
    <r>
      <rPr>
        <sz val="11"/>
        <color indexed="8"/>
        <rFont val="Calibri"/>
        <family val="2"/>
        <charset val="162"/>
      </rPr>
      <t xml:space="preserve"> </t>
    </r>
  </si>
  <si>
    <t>016</t>
  </si>
  <si>
    <t>Hayır</t>
  </si>
  <si>
    <t>22985652920</t>
  </si>
  <si>
    <t>10264855810</t>
  </si>
  <si>
    <t>11230293988</t>
  </si>
  <si>
    <t>10271762804</t>
  </si>
  <si>
    <t>10067475932</t>
  </si>
  <si>
    <t>13333175444</t>
  </si>
  <si>
    <t>34411910856</t>
  </si>
  <si>
    <t>11069535280</t>
  </si>
  <si>
    <t>10420954296</t>
  </si>
  <si>
    <t>11039638348</t>
  </si>
  <si>
    <t>18397728780</t>
  </si>
  <si>
    <t>31885265086</t>
  </si>
  <si>
    <t>16364821786</t>
  </si>
  <si>
    <t>10307955460</t>
  </si>
  <si>
    <t>37796134572</t>
  </si>
  <si>
    <t>20425647000</t>
  </si>
  <si>
    <t>10211811296</t>
  </si>
  <si>
    <t>38158642018</t>
  </si>
  <si>
    <t>10391956060</t>
  </si>
  <si>
    <t>10075858284</t>
  </si>
  <si>
    <t>38815458440</t>
  </si>
  <si>
    <t>22682146630</t>
  </si>
  <si>
    <t>10048324686</t>
  </si>
  <si>
    <t>60583295750</t>
  </si>
  <si>
    <t>15829750838</t>
  </si>
  <si>
    <t>12029296494</t>
  </si>
  <si>
    <t>11559114636</t>
  </si>
  <si>
    <t>16765732636</t>
  </si>
  <si>
    <t>10169157156</t>
  </si>
  <si>
    <t>22309168236</t>
  </si>
  <si>
    <t>15725667650</t>
  </si>
  <si>
    <t>15709804262</t>
  </si>
  <si>
    <t>10841685564</t>
  </si>
  <si>
    <t>11102488016</t>
  </si>
  <si>
    <t>45631014194</t>
  </si>
  <si>
    <t>64426278672</t>
  </si>
  <si>
    <t>11158958198</t>
  </si>
  <si>
    <t>10438965994</t>
  </si>
  <si>
    <t>10634557832</t>
  </si>
  <si>
    <t>10257029938</t>
  </si>
  <si>
    <t>10067993948</t>
  </si>
  <si>
    <t>16240785980</t>
  </si>
  <si>
    <t>12202274516</t>
  </si>
  <si>
    <t>13784186020</t>
  </si>
  <si>
    <t>36073704224</t>
  </si>
  <si>
    <t>12019646278</t>
  </si>
  <si>
    <t>41449479170</t>
  </si>
  <si>
    <t>19793201204</t>
  </si>
  <si>
    <t>19156656290</t>
  </si>
  <si>
    <t>10877603754</t>
  </si>
  <si>
    <t>10100154114</t>
  </si>
  <si>
    <t>12538250994</t>
  </si>
  <si>
    <t>60862510536</t>
  </si>
  <si>
    <t>11056947294</t>
  </si>
  <si>
    <t>10630966102</t>
  </si>
  <si>
    <t>60736357120</t>
  </si>
  <si>
    <t>31795253678</t>
  </si>
  <si>
    <t>13613592022</t>
  </si>
  <si>
    <t>42379294314</t>
  </si>
  <si>
    <t>10267937780</t>
  </si>
  <si>
    <t>10559226820</t>
  </si>
  <si>
    <t>10129854538</t>
  </si>
  <si>
    <t>31750012616</t>
  </si>
  <si>
    <t>11758988366</t>
  </si>
  <si>
    <t>10041124610</t>
  </si>
  <si>
    <t>26104431304</t>
  </si>
  <si>
    <t>13939155444</t>
  </si>
  <si>
    <t>11635943068</t>
  </si>
  <si>
    <t>17333252242</t>
  </si>
  <si>
    <t>10861953766</t>
  </si>
  <si>
    <t>10385934418</t>
  </si>
  <si>
    <t>10291959826</t>
  </si>
  <si>
    <t>22394387604</t>
  </si>
  <si>
    <t>10439263020</t>
  </si>
  <si>
    <t>10735312002</t>
  </si>
  <si>
    <t>19358635796</t>
  </si>
  <si>
    <t>15041423268</t>
  </si>
  <si>
    <t>17603851854</t>
  </si>
  <si>
    <t>10462601820</t>
  </si>
  <si>
    <t>10200136744</t>
  </si>
  <si>
    <t>10997539452</t>
  </si>
  <si>
    <t>10538293270</t>
  </si>
  <si>
    <t>32380614546</t>
  </si>
  <si>
    <t>22130159632</t>
  </si>
  <si>
    <t>10087841144</t>
  </si>
  <si>
    <t>19592207926</t>
  </si>
  <si>
    <t>12742219862</t>
  </si>
  <si>
    <t>16492488158</t>
  </si>
  <si>
    <t>11895077008</t>
  </si>
  <si>
    <t>15268800910</t>
  </si>
  <si>
    <t>10293044216</t>
  </si>
  <si>
    <t>26759027716</t>
  </si>
  <si>
    <t>53959062896</t>
  </si>
  <si>
    <t>11042896742</t>
  </si>
  <si>
    <t>10717479006</t>
  </si>
  <si>
    <t>15632524862</t>
  </si>
  <si>
    <t>13963824422</t>
  </si>
  <si>
    <t>10679380396</t>
  </si>
  <si>
    <t>17327701480</t>
  </si>
  <si>
    <t>10517493820</t>
  </si>
  <si>
    <t>10976678554</t>
  </si>
  <si>
    <t>15766862922</t>
  </si>
  <si>
    <t>10412675680</t>
  </si>
  <si>
    <t>10112713040</t>
  </si>
  <si>
    <t>10267469656</t>
  </si>
  <si>
    <t>53509519344</t>
  </si>
  <si>
    <t>51844559292</t>
  </si>
  <si>
    <t>11273332552</t>
  </si>
  <si>
    <t>28885323830</t>
  </si>
  <si>
    <t>28033142924</t>
  </si>
  <si>
    <t>15230987106</t>
  </si>
  <si>
    <t>10571458124</t>
  </si>
  <si>
    <t>34438180034</t>
  </si>
  <si>
    <t>23368084802</t>
  </si>
  <si>
    <t>10069201706</t>
  </si>
  <si>
    <t>10804913444</t>
  </si>
  <si>
    <t>13763788092</t>
  </si>
  <si>
    <t>10456830816</t>
  </si>
  <si>
    <t>34918660636</t>
  </si>
  <si>
    <t>32752953624</t>
  </si>
  <si>
    <t>19852021132</t>
  </si>
  <si>
    <t>10498595988</t>
  </si>
  <si>
    <t>11015801254</t>
  </si>
  <si>
    <t>43654206572</t>
  </si>
  <si>
    <t>10451501322</t>
  </si>
  <si>
    <t>12511913564</t>
  </si>
  <si>
    <t>14613052462</t>
  </si>
  <si>
    <t>20317547234</t>
  </si>
  <si>
    <t>10256534488</t>
  </si>
  <si>
    <t>10135362348</t>
  </si>
  <si>
    <t>10039820036</t>
  </si>
  <si>
    <t>43234882790</t>
  </si>
  <si>
    <t>25301005400</t>
  </si>
  <si>
    <t>10334932038</t>
  </si>
  <si>
    <t>18557277776</t>
  </si>
  <si>
    <t>10756439870</t>
  </si>
  <si>
    <t>24173691452</t>
  </si>
  <si>
    <t>10043115746</t>
  </si>
  <si>
    <t>15499100896</t>
  </si>
  <si>
    <t>42403579936</t>
  </si>
  <si>
    <t>12899996340</t>
  </si>
  <si>
    <t>62986356106</t>
  </si>
  <si>
    <t>35677395432</t>
  </si>
  <si>
    <t>12340900278</t>
  </si>
  <si>
    <t>10618964960</t>
  </si>
  <si>
    <t>38317050524</t>
  </si>
  <si>
    <t>31480811602</t>
  </si>
  <si>
    <t>10484695074</t>
  </si>
  <si>
    <t>40969927062</t>
  </si>
  <si>
    <t>10649230522</t>
  </si>
  <si>
    <t>20078478310</t>
  </si>
  <si>
    <t>10111237400</t>
  </si>
  <si>
    <t>15844611640</t>
  </si>
  <si>
    <t>10231640142</t>
  </si>
  <si>
    <t>59284104980</t>
  </si>
  <si>
    <t>11446687748</t>
  </si>
  <si>
    <t>11872933396</t>
  </si>
  <si>
    <t>11587944526</t>
  </si>
  <si>
    <t>46162706664</t>
  </si>
  <si>
    <t>37468064794</t>
  </si>
  <si>
    <t>10139214124</t>
  </si>
  <si>
    <t>28069506882</t>
  </si>
  <si>
    <t>56965637782</t>
  </si>
  <si>
    <t>10044124310</t>
  </si>
  <si>
    <t>10099823732</t>
  </si>
  <si>
    <t>71035053262</t>
  </si>
  <si>
    <t>59413337814</t>
  </si>
  <si>
    <t>15296140996</t>
  </si>
  <si>
    <t>12507116610</t>
  </si>
  <si>
    <t>16252658296</t>
  </si>
  <si>
    <t>22685042762</t>
  </si>
  <si>
    <t>33574013466</t>
  </si>
  <si>
    <t>17923740340</t>
  </si>
  <si>
    <t>38440624326</t>
  </si>
  <si>
    <t>12855005062</t>
  </si>
  <si>
    <t>12517226354</t>
  </si>
  <si>
    <t>26182732720</t>
  </si>
  <si>
    <t>17620702016</t>
  </si>
  <si>
    <t>10196736362</t>
  </si>
  <si>
    <t>11168576870</t>
  </si>
  <si>
    <t>14771083360</t>
  </si>
  <si>
    <t>29677892268</t>
  </si>
  <si>
    <t>19117690486</t>
  </si>
  <si>
    <t>10486978632</t>
  </si>
  <si>
    <t>10412895460</t>
  </si>
  <si>
    <t>10339935744</t>
  </si>
  <si>
    <t>10276740210</t>
  </si>
  <si>
    <t>ABDURRAHMAN CENGİZ</t>
  </si>
  <si>
    <t>AYDOĞDU</t>
  </si>
  <si>
    <t>AHMET EMİRHAN</t>
  </si>
  <si>
    <t>ELDEMİR</t>
  </si>
  <si>
    <t>AHMET SAMED</t>
  </si>
  <si>
    <t>KARABULUT</t>
  </si>
  <si>
    <t>AHMET</t>
  </si>
  <si>
    <t>ŞEN</t>
  </si>
  <si>
    <t>AHMET YASİN</t>
  </si>
  <si>
    <t>KURT</t>
  </si>
  <si>
    <t>AKİF YAVUZ</t>
  </si>
  <si>
    <t>ZENGİN</t>
  </si>
  <si>
    <t>ALEYNA</t>
  </si>
  <si>
    <t>ÇAKAR</t>
  </si>
  <si>
    <t>ALİGAFFAR</t>
  </si>
  <si>
    <t>AYDIN</t>
  </si>
  <si>
    <t>ARİF</t>
  </si>
  <si>
    <t>TURAN</t>
  </si>
  <si>
    <t>ASLAN ERAY</t>
  </si>
  <si>
    <t>KARAVAŞ</t>
  </si>
  <si>
    <t>ASLI</t>
  </si>
  <si>
    <t>BEKTAŞ</t>
  </si>
  <si>
    <t>AYBERK</t>
  </si>
  <si>
    <t>EREN</t>
  </si>
  <si>
    <t>KILIÇ</t>
  </si>
  <si>
    <t>AYÇA</t>
  </si>
  <si>
    <t>YAZICI</t>
  </si>
  <si>
    <t>AYŞE</t>
  </si>
  <si>
    <t>KADIOĞULLARI</t>
  </si>
  <si>
    <t>KÜÇÜKALİ</t>
  </si>
  <si>
    <t>AYŞE NUR</t>
  </si>
  <si>
    <t>TÜRKYILMAZ</t>
  </si>
  <si>
    <t>AYŞENUR TUĞBA</t>
  </si>
  <si>
    <t>KILIÇARSLAN</t>
  </si>
  <si>
    <t>AYŞENUR</t>
  </si>
  <si>
    <t>YILDIRIM</t>
  </si>
  <si>
    <t>AZİZE NUR</t>
  </si>
  <si>
    <t>TUTUM</t>
  </si>
  <si>
    <t>AZRA</t>
  </si>
  <si>
    <t>ÖZGÜL</t>
  </si>
  <si>
    <t>BEGÜM</t>
  </si>
  <si>
    <t>YALÇIN</t>
  </si>
  <si>
    <t>BERAT</t>
  </si>
  <si>
    <t>ÇAM</t>
  </si>
  <si>
    <t>BETÜL</t>
  </si>
  <si>
    <t>ÖZTÜRK</t>
  </si>
  <si>
    <t>UYAR</t>
  </si>
  <si>
    <t>BİLAL EMİR</t>
  </si>
  <si>
    <t>GÖK</t>
  </si>
  <si>
    <t>BİLAL</t>
  </si>
  <si>
    <t>GÜNGÖR</t>
  </si>
  <si>
    <t>BUSE</t>
  </si>
  <si>
    <t>ALACA</t>
  </si>
  <si>
    <t>PAMUK</t>
  </si>
  <si>
    <t>CAFER</t>
  </si>
  <si>
    <t>SOYLU</t>
  </si>
  <si>
    <t>CANER</t>
  </si>
  <si>
    <t>YILDIZ</t>
  </si>
  <si>
    <t>CEMAL AFŞİN</t>
  </si>
  <si>
    <t>CEMRE</t>
  </si>
  <si>
    <t>GÜRŞEN</t>
  </si>
  <si>
    <t>CEREN</t>
  </si>
  <si>
    <t>ÇAĞLAYAN EFE</t>
  </si>
  <si>
    <t>KOYUNCU</t>
  </si>
  <si>
    <t>DİCLE</t>
  </si>
  <si>
    <t>GEYİK</t>
  </si>
  <si>
    <t>ECEM</t>
  </si>
  <si>
    <t>BULUT</t>
  </si>
  <si>
    <t>EFE</t>
  </si>
  <si>
    <t>FEVZİOĞLU</t>
  </si>
  <si>
    <t>ŞAHİN</t>
  </si>
  <si>
    <t>EGEMEN</t>
  </si>
  <si>
    <t>KÜÇÜKLER</t>
  </si>
  <si>
    <t>EKREM</t>
  </si>
  <si>
    <t>TERZİOĞLU</t>
  </si>
  <si>
    <t>ELİF</t>
  </si>
  <si>
    <t>MİSK</t>
  </si>
  <si>
    <t>ELİF NAZ</t>
  </si>
  <si>
    <t>KÖKSAL</t>
  </si>
  <si>
    <t>ELİFE KEVSER</t>
  </si>
  <si>
    <t>ÖZTEK</t>
  </si>
  <si>
    <t>EMİNE BEYZA</t>
  </si>
  <si>
    <t>SÖYLER</t>
  </si>
  <si>
    <t>EMİNE</t>
  </si>
  <si>
    <t>ÇAKIR</t>
  </si>
  <si>
    <t>EMİR</t>
  </si>
  <si>
    <t>AN</t>
  </si>
  <si>
    <t>DAŞTAN</t>
  </si>
  <si>
    <t>EMİRCAN</t>
  </si>
  <si>
    <t>DAL</t>
  </si>
  <si>
    <t>EMİRHAN</t>
  </si>
  <si>
    <t>BURULDAY</t>
  </si>
  <si>
    <t>ÇELİK</t>
  </si>
  <si>
    <t>EMRE</t>
  </si>
  <si>
    <t>FIRAT</t>
  </si>
  <si>
    <t>KOCAHALİLOĞULLARI</t>
  </si>
  <si>
    <t>YILMAZ</t>
  </si>
  <si>
    <t>ENES</t>
  </si>
  <si>
    <t>DURAN</t>
  </si>
  <si>
    <t>ÖZCAN</t>
  </si>
  <si>
    <t>ENİSE</t>
  </si>
  <si>
    <t>ENNUR</t>
  </si>
  <si>
    <t>ÜNAL</t>
  </si>
  <si>
    <t>BEYDİLLİ</t>
  </si>
  <si>
    <t>BOYLU</t>
  </si>
  <si>
    <t>ERTUĞRUL</t>
  </si>
  <si>
    <t>YILDIRAN</t>
  </si>
  <si>
    <t>ESRA BENAN</t>
  </si>
  <si>
    <t>ÇETİN</t>
  </si>
  <si>
    <t>EYLÜL</t>
  </si>
  <si>
    <t>AKCAOĞLU</t>
  </si>
  <si>
    <t>EZGİ</t>
  </si>
  <si>
    <t>BÜYÜKKAYA</t>
  </si>
  <si>
    <t>EZGİNAZ</t>
  </si>
  <si>
    <t>GÜNDEDE</t>
  </si>
  <si>
    <t>FATMA YAREN</t>
  </si>
  <si>
    <t>ERDOĞAN</t>
  </si>
  <si>
    <t>FEYZA</t>
  </si>
  <si>
    <t>KARACA</t>
  </si>
  <si>
    <t>FİLİZ</t>
  </si>
  <si>
    <t>ÇİNİ</t>
  </si>
  <si>
    <t>FURKAN</t>
  </si>
  <si>
    <t>AKAN</t>
  </si>
  <si>
    <t>FURKAN SELİM</t>
  </si>
  <si>
    <t>GİZEM</t>
  </si>
  <si>
    <t>MOLLA</t>
  </si>
  <si>
    <t>GÖKAY</t>
  </si>
  <si>
    <t>ÖZEL</t>
  </si>
  <si>
    <t>GÖRKEM</t>
  </si>
  <si>
    <t>KOÇ</t>
  </si>
  <si>
    <t>GÜLSEHER</t>
  </si>
  <si>
    <t>TAŞĞIN</t>
  </si>
  <si>
    <t>GÜLSÜM</t>
  </si>
  <si>
    <t>ÖZKAN</t>
  </si>
  <si>
    <t>GÜLTEN</t>
  </si>
  <si>
    <t>EZDAŞ</t>
  </si>
  <si>
    <t>GÜZEL</t>
  </si>
  <si>
    <t>ÖZDEMİR</t>
  </si>
  <si>
    <t>HAMZA</t>
  </si>
  <si>
    <t>FİDAN</t>
  </si>
  <si>
    <t>HASAN</t>
  </si>
  <si>
    <t>HATİCE MELİSA</t>
  </si>
  <si>
    <t>YÜKSEK</t>
  </si>
  <si>
    <t>HATİCE</t>
  </si>
  <si>
    <t>SARI</t>
  </si>
  <si>
    <t>HAZAL</t>
  </si>
  <si>
    <t>TAŞDEMİR</t>
  </si>
  <si>
    <t>ULUDOĞAN</t>
  </si>
  <si>
    <t>HELİN</t>
  </si>
  <si>
    <t>ARSLAN</t>
  </si>
  <si>
    <t>HİLAL</t>
  </si>
  <si>
    <t>HİLAL BEHİYE</t>
  </si>
  <si>
    <t>İLAYDA</t>
  </si>
  <si>
    <t>MAY</t>
  </si>
  <si>
    <t>İLKER</t>
  </si>
  <si>
    <t>İLKNUR</t>
  </si>
  <si>
    <t>İMAMUESEN</t>
  </si>
  <si>
    <t>ARTIŞ</t>
  </si>
  <si>
    <t>İPEK</t>
  </si>
  <si>
    <t>CİHANTİMUR</t>
  </si>
  <si>
    <t>İSLAM SADRETTİN</t>
  </si>
  <si>
    <t>ÖZDOĞAN</t>
  </si>
  <si>
    <t>İSMAİL</t>
  </si>
  <si>
    <t>NACAR</t>
  </si>
  <si>
    <t>KADİR HÜSEYİN</t>
  </si>
  <si>
    <t>TUNCER</t>
  </si>
  <si>
    <t>KADRİYE</t>
  </si>
  <si>
    <t>AKTAŞ</t>
  </si>
  <si>
    <t>KADRİYE GÜNGÖR</t>
  </si>
  <si>
    <t>KERİM</t>
  </si>
  <si>
    <t>CEBECİ</t>
  </si>
  <si>
    <t>KÜBRA</t>
  </si>
  <si>
    <t>GEDİK</t>
  </si>
  <si>
    <t>ULUDERE</t>
  </si>
  <si>
    <t>LÜTFİYE</t>
  </si>
  <si>
    <t>MEDİNE</t>
  </si>
  <si>
    <t>SAKARYA</t>
  </si>
  <si>
    <t>MELİS</t>
  </si>
  <si>
    <t>KARADENİZ</t>
  </si>
  <si>
    <t>METİN</t>
  </si>
  <si>
    <t>MELİSA</t>
  </si>
  <si>
    <t>KUMLU</t>
  </si>
  <si>
    <t>OKUYUCU</t>
  </si>
  <si>
    <t>MERVE CEREN</t>
  </si>
  <si>
    <t>İNCE</t>
  </si>
  <si>
    <t>MERVE</t>
  </si>
  <si>
    <t>EZBERCİ</t>
  </si>
  <si>
    <t>POLAT</t>
  </si>
  <si>
    <t>MİNE</t>
  </si>
  <si>
    <t>AYHAN</t>
  </si>
  <si>
    <t>MİRAY</t>
  </si>
  <si>
    <t>MUHAMMED AHMET</t>
  </si>
  <si>
    <t>ASLAN</t>
  </si>
  <si>
    <t>MUHAMMED BAKİ</t>
  </si>
  <si>
    <t>ORAR</t>
  </si>
  <si>
    <t>MUHAMMED İSMAİL</t>
  </si>
  <si>
    <t>MUHAMMED YASİN</t>
  </si>
  <si>
    <t>MUHAMMET ALİ</t>
  </si>
  <si>
    <t>KARAMAN</t>
  </si>
  <si>
    <t>MUHAMMET TAHA</t>
  </si>
  <si>
    <t>ÖZAY</t>
  </si>
  <si>
    <t>MUHSİN</t>
  </si>
  <si>
    <t>MURAT CAN</t>
  </si>
  <si>
    <t>DEĞRİ</t>
  </si>
  <si>
    <t>MUSA</t>
  </si>
  <si>
    <t>ÇEÇEN</t>
  </si>
  <si>
    <t>SÜRME</t>
  </si>
  <si>
    <t>MUSTAFA ALİ</t>
  </si>
  <si>
    <t>MUSTAFA</t>
  </si>
  <si>
    <t>GÖKTAŞ</t>
  </si>
  <si>
    <t>ORHAN</t>
  </si>
  <si>
    <t>MUSTAFA YUSUF</t>
  </si>
  <si>
    <t>HASIRCI</t>
  </si>
  <si>
    <t>MÜSLÜM</t>
  </si>
  <si>
    <t>GÖNDER</t>
  </si>
  <si>
    <t>NATİA SELVİ</t>
  </si>
  <si>
    <t>GÖG</t>
  </si>
  <si>
    <t>NAZIM</t>
  </si>
  <si>
    <t>SEYDEL</t>
  </si>
  <si>
    <t>NERGİS</t>
  </si>
  <si>
    <t>NESİBE</t>
  </si>
  <si>
    <t>KARAGÖZ</t>
  </si>
  <si>
    <t>SUNA</t>
  </si>
  <si>
    <t>NİSA</t>
  </si>
  <si>
    <t>NİSANUR</t>
  </si>
  <si>
    <t>BİLGİN</t>
  </si>
  <si>
    <t>PAYAS</t>
  </si>
  <si>
    <t>DURU</t>
  </si>
  <si>
    <t>NUMAN</t>
  </si>
  <si>
    <t>EBCİ</t>
  </si>
  <si>
    <t>NURAY</t>
  </si>
  <si>
    <t>NURCAN</t>
  </si>
  <si>
    <t>NURSEL</t>
  </si>
  <si>
    <t>OĞUZHAN</t>
  </si>
  <si>
    <t>GÖNÜLAL</t>
  </si>
  <si>
    <t>ÖMER FARUK</t>
  </si>
  <si>
    <t>ÖYKÜ</t>
  </si>
  <si>
    <t>AKINGÜÇ</t>
  </si>
  <si>
    <t>ÖZLEM HİRA</t>
  </si>
  <si>
    <t>KUŞELİ</t>
  </si>
  <si>
    <t>ÖZNUR</t>
  </si>
  <si>
    <t>TOĞRUL</t>
  </si>
  <si>
    <t>PELİNSU</t>
  </si>
  <si>
    <t>ASLANTAŞ</t>
  </si>
  <si>
    <t>RABİA ŞEVVAL</t>
  </si>
  <si>
    <t>KONYALI</t>
  </si>
  <si>
    <t>RAHİME DİLARA</t>
  </si>
  <si>
    <t>BAŞ</t>
  </si>
  <si>
    <t>RESUL</t>
  </si>
  <si>
    <t>ARASLI</t>
  </si>
  <si>
    <t>RUKİYE</t>
  </si>
  <si>
    <t>TERUT</t>
  </si>
  <si>
    <t>RÜMEYSA NUR</t>
  </si>
  <si>
    <t>DÜZYURT</t>
  </si>
  <si>
    <t>RÜYA</t>
  </si>
  <si>
    <t>KARATAŞ</t>
  </si>
  <si>
    <t>SAMED</t>
  </si>
  <si>
    <t>ÇİNAZ</t>
  </si>
  <si>
    <t>SEBAHAT</t>
  </si>
  <si>
    <t>KALKAN</t>
  </si>
  <si>
    <t>SELİM</t>
  </si>
  <si>
    <t>MEYDAN</t>
  </si>
  <si>
    <t>SELVİ</t>
  </si>
  <si>
    <t>SEMİH</t>
  </si>
  <si>
    <t>OSMANLAR</t>
  </si>
  <si>
    <t>SENA</t>
  </si>
  <si>
    <t>KURTULUŞ</t>
  </si>
  <si>
    <t>SENA NAREN</t>
  </si>
  <si>
    <t>BİNGÖL</t>
  </si>
  <si>
    <t>SENEM NUR</t>
  </si>
  <si>
    <t>SEVDANUR</t>
  </si>
  <si>
    <t>NİŞ</t>
  </si>
  <si>
    <t>SILA</t>
  </si>
  <si>
    <t>SUDE</t>
  </si>
  <si>
    <t>AK</t>
  </si>
  <si>
    <t>ŞEVVAL BÜŞRA</t>
  </si>
  <si>
    <t>ALTUNDAĞ</t>
  </si>
  <si>
    <t>ŞEVVAL</t>
  </si>
  <si>
    <t>ŞUHEDA</t>
  </si>
  <si>
    <t>TEMUR</t>
  </si>
  <si>
    <t>ŞÜKRAN</t>
  </si>
  <si>
    <t>YANIK</t>
  </si>
  <si>
    <t>TAN KUTAY</t>
  </si>
  <si>
    <t>DEMİRCİ</t>
  </si>
  <si>
    <t>TARIK</t>
  </si>
  <si>
    <t>KAYA</t>
  </si>
  <si>
    <t>TUANA</t>
  </si>
  <si>
    <t>TUBANUR</t>
  </si>
  <si>
    <t>GÖLCÜ</t>
  </si>
  <si>
    <t>UĞUR KEMAL</t>
  </si>
  <si>
    <t>DURNA</t>
  </si>
  <si>
    <t>YAĞMUR</t>
  </si>
  <si>
    <t>BAŞER</t>
  </si>
  <si>
    <t>GEÇİCİ</t>
  </si>
  <si>
    <t>ILGIN</t>
  </si>
  <si>
    <t>YAREN</t>
  </si>
  <si>
    <t>YASİN</t>
  </si>
  <si>
    <t>KURTTEKİN</t>
  </si>
  <si>
    <t>YİĞİT ALP</t>
  </si>
  <si>
    <t>ÖZMEN</t>
  </si>
  <si>
    <t>YUNUS EFDAL</t>
  </si>
  <si>
    <t>YUNUS EMRE</t>
  </si>
  <si>
    <t>TOGAÇ</t>
  </si>
  <si>
    <t>YUSUF</t>
  </si>
  <si>
    <t>KESKİN</t>
  </si>
  <si>
    <t>YİĞİT</t>
  </si>
  <si>
    <t>ZELİHA</t>
  </si>
  <si>
    <t>ZEYNEP</t>
  </si>
  <si>
    <t>AKÇAM</t>
  </si>
  <si>
    <t>DEMİRAYAK</t>
  </si>
  <si>
    <t>TR290001002151713143585001</t>
  </si>
  <si>
    <t>TR270020500009943979400001</t>
  </si>
  <si>
    <t>TR370001009010555427505003</t>
  </si>
  <si>
    <t>TR550006701000000037357882</t>
  </si>
  <si>
    <t>TR040001009010348991905001</t>
  </si>
  <si>
    <t>TR250001009010259614605003</t>
  </si>
  <si>
    <t>TR580001009010556440305002</t>
  </si>
  <si>
    <t>TR960001200122900001249734</t>
  </si>
  <si>
    <t>TR530004600007888000653780</t>
  </si>
  <si>
    <t>TR070001009010550885705001</t>
  </si>
  <si>
    <t>TR080001001914961839085005</t>
  </si>
  <si>
    <t>TR520001009010110010105001</t>
  </si>
  <si>
    <t>TR830001009010018214505001</t>
  </si>
  <si>
    <t>TR340006701000000012356801</t>
  </si>
  <si>
    <t>TR650001009010552580105001</t>
  </si>
  <si>
    <t>TR310004601245888000103590</t>
  </si>
  <si>
    <t>TR860001009010458311205001</t>
  </si>
  <si>
    <t>TR800006200068700006892740</t>
  </si>
  <si>
    <t>TR260006701000000078559930</t>
  </si>
  <si>
    <t>TR780004600563888000363339</t>
  </si>
  <si>
    <t>TR830001009010204648505001</t>
  </si>
  <si>
    <t>TR350006200151700006611592</t>
  </si>
  <si>
    <t>TR390001009010263272305001</t>
  </si>
  <si>
    <t>TR930006400000180300609819</t>
  </si>
  <si>
    <t>TR480004600094888000220489</t>
  </si>
  <si>
    <t>TR350001009010260552505001</t>
  </si>
  <si>
    <t>TR290001009010067788405001</t>
  </si>
  <si>
    <t>TR750001200929900001140213</t>
  </si>
  <si>
    <t>TR220006701000000033603703</t>
  </si>
  <si>
    <t>TR740001009010956764805002</t>
  </si>
  <si>
    <t>TR450006701000000075954168</t>
  </si>
  <si>
    <t>TR560001009010131877705001</t>
  </si>
  <si>
    <t>TR040001200132900001130998</t>
  </si>
  <si>
    <t>TR770004600431888000211459</t>
  </si>
  <si>
    <t>TR630006701000000035553441</t>
  </si>
  <si>
    <t>TR830001009010538106805002</t>
  </si>
  <si>
    <t>TR450001009010302805505001</t>
  </si>
  <si>
    <t>TR870001009010757059005002</t>
  </si>
  <si>
    <t>TR630001009010757356305002</t>
  </si>
  <si>
    <t>TR070001009010559917805002</t>
  </si>
  <si>
    <t>TR370001009010017861805002</t>
  </si>
  <si>
    <t>TR260015700000000112863418</t>
  </si>
  <si>
    <t>TR670006701000000035540856</t>
  </si>
  <si>
    <t>TR900001009010028993005001</t>
  </si>
  <si>
    <t>TR360001000147908562985001</t>
  </si>
  <si>
    <t>TR060004600558888000145859</t>
  </si>
  <si>
    <t>TR780001500158007319484193</t>
  </si>
  <si>
    <t>TR020006701000000036153320</t>
  </si>
  <si>
    <t>TR350001009010801249905001</t>
  </si>
  <si>
    <t>TR480006200066700006611631</t>
  </si>
  <si>
    <t>TR460006200011500006532462</t>
  </si>
  <si>
    <t>TR340001009010200250205007</t>
  </si>
  <si>
    <t>TR790001009010548106505004</t>
  </si>
  <si>
    <t>TR940020500009705379400001</t>
  </si>
  <si>
    <t>TR660001009010757732605002</t>
  </si>
  <si>
    <t>TR740001002062972681045001</t>
  </si>
  <si>
    <t>TR340006200053200006628854</t>
  </si>
  <si>
    <t>TR660006200072700006821497</t>
  </si>
  <si>
    <t>TR300001000080964695985001</t>
  </si>
  <si>
    <t>TR720001500158007321365131</t>
  </si>
  <si>
    <t>TR380015700000000120277688</t>
  </si>
  <si>
    <t>TR660001009010580321005003</t>
  </si>
  <si>
    <t>TR630006400000122031228199</t>
  </si>
  <si>
    <t>TR370006701000000041998977</t>
  </si>
  <si>
    <t>TR720006200154400006657157</t>
  </si>
  <si>
    <t>TR690001002327797078855001</t>
  </si>
  <si>
    <t>TR220020500009090660800001</t>
  </si>
  <si>
    <t>TR590001009010553924105002</t>
  </si>
  <si>
    <t>TR220001009010547170305001</t>
  </si>
  <si>
    <t>TR380006701000000035426142</t>
  </si>
  <si>
    <t>TR080001001799658409218002</t>
  </si>
  <si>
    <t>TR930001009010270142705001</t>
  </si>
  <si>
    <t>TR930001009010733466005003</t>
  </si>
  <si>
    <t>TR220006200110600006610583</t>
  </si>
  <si>
    <t>TR970006701000000033718656</t>
  </si>
  <si>
    <t>TR710006200087500006886336</t>
  </si>
  <si>
    <t>TR210001009010313958505002</t>
  </si>
  <si>
    <t>TR320006701000000057778154</t>
  </si>
  <si>
    <t>TR590003200000000105798117</t>
  </si>
  <si>
    <t>TR370001000045839124175002</t>
  </si>
  <si>
    <t>TR380006400000143890345392</t>
  </si>
  <si>
    <t>TR130006400000162100962203</t>
  </si>
  <si>
    <t>TR800001009010736881205002</t>
  </si>
  <si>
    <t>TR110001500158007333870305</t>
  </si>
  <si>
    <t>TR140001009010678015705001</t>
  </si>
  <si>
    <t>TR260001009010548541805001</t>
  </si>
  <si>
    <t>TR410001200929100001060549</t>
  </si>
  <si>
    <t>TR870020500009930087800001</t>
  </si>
  <si>
    <t>TR670001009010631869805001</t>
  </si>
  <si>
    <t>TR310001009010744229505001</t>
  </si>
  <si>
    <t>TR910001009010283041805001</t>
  </si>
  <si>
    <t>TR700001009010551737505002</t>
  </si>
  <si>
    <t>TR420006200113100006648025</t>
  </si>
  <si>
    <t>TR150001001799744550895002</t>
  </si>
  <si>
    <t>TR300006200053800006623367</t>
  </si>
  <si>
    <t>TR540006701000000033658902</t>
  </si>
  <si>
    <t>TR270001009010734535405001</t>
  </si>
  <si>
    <t>TR090001009010612007305001</t>
  </si>
  <si>
    <t>TR440001000301704869035001</t>
  </si>
  <si>
    <t>TR350001002715876598195001</t>
  </si>
  <si>
    <t>TR510001009010745849005001</t>
  </si>
  <si>
    <t>TR750006701000000040002130</t>
  </si>
  <si>
    <t>TR110001009010190699405001</t>
  </si>
  <si>
    <t>TR520001009010533686705001</t>
  </si>
  <si>
    <t>TR280006400000115010287058</t>
  </si>
  <si>
    <t>TR560001009010185848505001</t>
  </si>
  <si>
    <t>TR400001009010250435305001</t>
  </si>
  <si>
    <t>TR350001009010283358605002</t>
  </si>
  <si>
    <t>TR110006400000122201242199</t>
  </si>
  <si>
    <t>TR340001009010961953705001</t>
  </si>
  <si>
    <t>TR480006701000000079126402</t>
  </si>
  <si>
    <t>TR140006701000000055070723</t>
  </si>
  <si>
    <t>TR390020500009169649500001</t>
  </si>
  <si>
    <t>TR090001009010152275805001</t>
  </si>
  <si>
    <t>TR950004600498888000207494</t>
  </si>
  <si>
    <t>TR190001000125833796085001</t>
  </si>
  <si>
    <t>TR230006701000000012870808</t>
  </si>
  <si>
    <t>TR430003200000000146674690</t>
  </si>
  <si>
    <t>TR090001004030807029785009</t>
  </si>
  <si>
    <t>TR210006400000182300591065</t>
  </si>
  <si>
    <t>TR910001009011002452005001</t>
  </si>
  <si>
    <t>TR810001200132900001130388</t>
  </si>
  <si>
    <t>TR540006400000114201689158</t>
  </si>
  <si>
    <t>TR430001500158007303954347</t>
  </si>
  <si>
    <t>TR830001009010554091005001</t>
  </si>
  <si>
    <t>TR360001001799900530355002</t>
  </si>
  <si>
    <t>TR570001200132900001130820</t>
  </si>
  <si>
    <t>TR180006200122400006627913</t>
  </si>
  <si>
    <t>TR420006701000000040095553</t>
  </si>
  <si>
    <t>TR470001009010439732605001</t>
  </si>
  <si>
    <t>TR170004600562888000127419</t>
  </si>
  <si>
    <t>TR300001500158007314780169</t>
  </si>
  <si>
    <t>TR130001200158900001113143</t>
  </si>
  <si>
    <t>TR870001002329917285095001</t>
  </si>
  <si>
    <t>TR470001001799836907185005</t>
  </si>
  <si>
    <t>TR050006400000122190381314</t>
  </si>
  <si>
    <t>TR440004600431888000217388</t>
  </si>
  <si>
    <t>TR140001009010379575805001</t>
  </si>
  <si>
    <t>TR150006400000124030829840</t>
  </si>
  <si>
    <t>TR660006200068700006888433</t>
  </si>
  <si>
    <t>TR760001000002949148035001</t>
  </si>
  <si>
    <t>TR030001009010039148705001</t>
  </si>
  <si>
    <t>TR480006200068700006612889</t>
  </si>
  <si>
    <t>TR340001009010259023805001</t>
  </si>
  <si>
    <t>TR790001009010728935409002</t>
  </si>
  <si>
    <t>TR290001200132900001131421</t>
  </si>
  <si>
    <t>TR470001200122800001111135</t>
  </si>
  <si>
    <t>TR810001001914710654405001</t>
  </si>
  <si>
    <t>TR090001009010994867705002</t>
  </si>
  <si>
    <t>TR250006200068700006892081</t>
  </si>
  <si>
    <t>TR480006701000000038357108</t>
  </si>
  <si>
    <t>TR070001009010758562705001</t>
  </si>
  <si>
    <t>TR500001500158007326228428</t>
  </si>
  <si>
    <t>TR080001000054867052065001</t>
  </si>
  <si>
    <t>TR320001009010279401605001</t>
  </si>
  <si>
    <t>TR860001000472882357485002</t>
  </si>
  <si>
    <t>TR050001009010282804905001</t>
  </si>
  <si>
    <t>TR630001009010379269705002</t>
  </si>
  <si>
    <t>TR460001200132900001125295</t>
  </si>
  <si>
    <t>TR260006200121500006880790</t>
  </si>
  <si>
    <t>TR260004601179888000096019</t>
  </si>
  <si>
    <t>TR250011100000000155535775</t>
  </si>
  <si>
    <t>TR900004600461888000136102</t>
  </si>
  <si>
    <t>TR590001009010383813805001</t>
  </si>
  <si>
    <t>TR110006200033600006886231</t>
  </si>
  <si>
    <t>TR280001009010376999205001</t>
  </si>
  <si>
    <t>TR110001009010640954005001</t>
  </si>
  <si>
    <t>TR660006400000122031272959</t>
  </si>
  <si>
    <t>TR710001500158007318444867</t>
  </si>
  <si>
    <t>TR760001200132900001131448</t>
  </si>
  <si>
    <t>TR950001000112972964205001</t>
  </si>
  <si>
    <t>TR030001000932919356335001</t>
  </si>
  <si>
    <t>TR770015700000000096040566</t>
  </si>
  <si>
    <t>TR200001009010435783305001</t>
  </si>
  <si>
    <t>TR570006701000000033750610</t>
  </si>
  <si>
    <t>TR100006200145400006647374</t>
  </si>
  <si>
    <t>TR240001009010957551505002</t>
  </si>
  <si>
    <t>11</t>
  </si>
  <si>
    <t>BAL</t>
  </si>
  <si>
    <t>NİZAMETTİN GÖKTUG</t>
  </si>
  <si>
    <t>10591948872</t>
  </si>
  <si>
    <t>SAĞIR</t>
  </si>
  <si>
    <t>TR430006200126600006645295</t>
  </si>
  <si>
    <t>BURSA ULUDAĞ ÜNİVERSİTESİ GENEL SEKRETERLİK ÖZEL KALEM 13376 PORTAL NOLU KAMPÜS 1  İŞKUR GENÇLİK PROGRAMI KATILIMCI GÜN ÇİZELGESİ</t>
  </si>
  <si>
    <t>Tansu KARAKÖK</t>
  </si>
  <si>
    <t xml:space="preserve"> Tekin ÇİMEN</t>
  </si>
  <si>
    <t>Mehmet AYDEMİR</t>
  </si>
  <si>
    <t xml:space="preserve">        Şef </t>
  </si>
  <si>
    <t xml:space="preserve">   Genel Sekreter</t>
  </si>
  <si>
    <t>Tekin ÇİMEN</t>
  </si>
  <si>
    <t>Genel Sekreter</t>
  </si>
  <si>
    <t>BURSA ULUDAĞ ÜNİVERİSTESİ İŞKUR GENÇLİK PROGRAMI 13376 PORTAL NOLU KAMPÜS 1 BANKA LİSTESİ</t>
  </si>
  <si>
    <t>BURSA ULUDAĞ ÜNİVERSİTESİ GENEL SEKRETERLİK ÖZEL KALEM 13376 PORTAL NOLU KAMPÜS 1 İŞKUR GENÇLİK PROGRAMI ÖDEME BORDROSU</t>
  </si>
  <si>
    <t>Ödeme/Kesinti Tarihi (YYYYAAGG)</t>
  </si>
  <si>
    <t>Firma Müşteri No</t>
  </si>
  <si>
    <t>Firma Şube Kodu*</t>
  </si>
  <si>
    <t>Firma Hesap No / IBAN</t>
  </si>
  <si>
    <t>TR040001200132900004000258</t>
  </si>
  <si>
    <t>Dosya Açıklaması</t>
  </si>
  <si>
    <t xml:space="preserve">İŞKUR Gençlik Programı Katılımcı </t>
  </si>
  <si>
    <t>Ödeme/Kesinti (Lütfen Seçiniz)</t>
  </si>
  <si>
    <t>Ödeme</t>
  </si>
  <si>
    <t>Ödeme Türü (Lütfen Seçiniz)</t>
  </si>
  <si>
    <t>Ödeme/Kesinti Yapılacak</t>
  </si>
  <si>
    <t>Ödeme Açıklama (Ödeme Türü Diğer ise)</t>
  </si>
  <si>
    <t>Toplam Tutar</t>
  </si>
  <si>
    <t>Ödeme Dönemi</t>
  </si>
  <si>
    <t>Toplam Personel</t>
  </si>
  <si>
    <t>*: Hesap No kullanılacak ise zorunludur. IBAN kullanımında yazılmamalıdır.</t>
  </si>
  <si>
    <t>Personel Şube*</t>
  </si>
  <si>
    <t>Personel Hesap No / IBAN</t>
  </si>
  <si>
    <t>Tutar</t>
  </si>
  <si>
    <t>1329</t>
  </si>
  <si>
    <t>TCKN</t>
  </si>
  <si>
    <t xml:space="preserve">Personel Adı </t>
  </si>
  <si>
    <t>2025 Kasım Ayı 13376 Kampüs 1</t>
  </si>
  <si>
    <t>TR560001009010276446500001</t>
  </si>
  <si>
    <t>TR860001001799959944335001</t>
  </si>
  <si>
    <t>12</t>
  </si>
  <si>
    <t>Dönemi : 01.12.2025- 31.12.2025</t>
  </si>
  <si>
    <t>31.12.2025</t>
  </si>
  <si>
    <t>TR070001009010773423105001</t>
  </si>
  <si>
    <t>TR860004600563888000416642</t>
  </si>
  <si>
    <t>TR400001009010721263605001</t>
  </si>
  <si>
    <t>TR340001004002828302515004</t>
  </si>
  <si>
    <t>MAHMUT</t>
  </si>
  <si>
    <t>ÖZGAN</t>
  </si>
  <si>
    <t>48730397168</t>
  </si>
  <si>
    <t>26</t>
  </si>
  <si>
    <t>X</t>
  </si>
  <si>
    <t xml:space="preserve"> </t>
  </si>
  <si>
    <t>31</t>
  </si>
  <si>
    <t>R</t>
  </si>
  <si>
    <t>İ</t>
  </si>
  <si>
    <t>TR070001009010961041905002</t>
  </si>
  <si>
    <t>TR100001000447799255645001</t>
  </si>
  <si>
    <t>TR220001001799835814175002</t>
  </si>
  <si>
    <t>Genel Sekreterlik Özel kalem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</si>
</sst>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\ &quot;TL&quot;_-;\-* #,##0\ &quot;TL&quot;_-;_-* &quot;-&quot;\ &quot;TL&quot;_-;_-@_-"/>
    <numFmt numFmtId="177" formatCode="_-* #,##0\ _T_L_-;\-* #,##0\ _T_L_-;_-* &quot;-&quot;\ _T_L_-;_-@_-"/>
    <numFmt numFmtId="178" formatCode="_-* #,##0.00\ &quot;TL&quot;_-;\-* #,##0.00\ &quot;TL&quot;_-;_-* &quot;-&quot;??\ &quot;TL&quot;_-;_-@_-"/>
    <numFmt numFmtId="179" formatCode="_-* #,##0.00\ _T_L_-;\-* #,##0.00\ _T_L_-;_-* &quot;-&quot;??\ _T_L_-;_-@_-"/>
    <numFmt numFmtId="195" formatCode="dd/mm/yyyy;@"/>
    <numFmt numFmtId="209" formatCode="[$-41F]mmmm\ yy;@"/>
    <numFmt numFmtId="211" formatCode="[$-F800]dddd\,\ mmmm\ dd\,\ yyyy"/>
  </numFmts>
  <fonts count="62" x14ac:knownFonts="1">
    <font>
      <sz val="10"/>
      <name val="Arial Tur"/>
      <charset val="162"/>
    </font>
    <font>
      <sz val="10"/>
      <name val="Arial Tur"/>
      <charset val="162"/>
    </font>
    <font>
      <sz val="10"/>
      <color indexed="8"/>
      <name val="Arial"/>
      <family val="2"/>
      <charset val="162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9"/>
      <name val="Arial Tur"/>
      <charset val="162"/>
    </font>
    <font>
      <sz val="8"/>
      <name val="Arial Tur"/>
      <charset val="162"/>
    </font>
    <font>
      <b/>
      <sz val="10"/>
      <name val="Arial Tur"/>
      <charset val="162"/>
    </font>
    <font>
      <sz val="7"/>
      <name val="Arial Tur"/>
      <charset val="162"/>
    </font>
    <font>
      <sz val="7"/>
      <name val="Arial"/>
      <family val="2"/>
      <charset val="162"/>
    </font>
    <font>
      <sz val="10"/>
      <name val="Arial Tur"/>
      <charset val="162"/>
    </font>
    <font>
      <b/>
      <sz val="12"/>
      <name val="Arial Tur"/>
      <charset val="162"/>
    </font>
    <font>
      <b/>
      <sz val="7"/>
      <name val="Arial Tur"/>
      <charset val="162"/>
    </font>
    <font>
      <b/>
      <sz val="11"/>
      <name val="Calibri"/>
      <family val="2"/>
      <charset val="162"/>
    </font>
    <font>
      <b/>
      <sz val="9"/>
      <name val="Arial Tur"/>
      <charset val="162"/>
    </font>
    <font>
      <b/>
      <sz val="8"/>
      <name val="Arial Tur"/>
      <charset val="162"/>
    </font>
    <font>
      <b/>
      <sz val="11"/>
      <name val="Arial Tur"/>
      <charset val="162"/>
    </font>
    <font>
      <sz val="10"/>
      <name val="Times New Roman"/>
      <family val="1"/>
      <charset val="162"/>
    </font>
    <font>
      <sz val="10"/>
      <color indexed="8"/>
      <name val="Times New Roman"/>
      <family val="1"/>
      <charset val="162"/>
    </font>
    <font>
      <sz val="11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1"/>
      <name val="Times New Roman"/>
      <family val="1"/>
      <charset val="16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mbria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color rgb="FFFF0000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sz val="11"/>
      <color rgb="FF00B0F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000000"/>
      <name val="Times New Roman"/>
      <family val="1"/>
      <charset val="162"/>
    </font>
    <font>
      <sz val="10"/>
      <color theme="1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11"/>
      <color rgb="FF000000"/>
      <name val="Arial"/>
      <family val="2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1"/>
      <color theme="1" tint="0.1499984740745262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4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56">
    <xf numFmtId="0" fontId="0" fillId="2" borderId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3" fontId="2" fillId="0" borderId="1" applyFill="0" applyBorder="0" applyAlignment="0"/>
    <xf numFmtId="0" fontId="28" fillId="0" borderId="36" applyNumberFormat="0" applyFill="0" applyAlignment="0" applyProtection="0"/>
    <xf numFmtId="0" fontId="29" fillId="0" borderId="37" applyNumberFormat="0" applyFill="0" applyAlignment="0" applyProtection="0"/>
    <xf numFmtId="0" fontId="30" fillId="0" borderId="38" applyNumberFormat="0" applyFill="0" applyAlignment="0" applyProtection="0"/>
    <xf numFmtId="0" fontId="31" fillId="0" borderId="39" applyNumberFormat="0" applyFill="0" applyAlignment="0" applyProtection="0"/>
    <xf numFmtId="0" fontId="31" fillId="0" borderId="0" applyNumberForma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2" fillId="21" borderId="40" applyNumberFormat="0" applyAlignment="0" applyProtection="0"/>
    <xf numFmtId="0" fontId="33" fillId="22" borderId="41" applyNumberFormat="0" applyAlignment="0" applyProtection="0"/>
    <xf numFmtId="0" fontId="34" fillId="21" borderId="41" applyNumberFormat="0" applyAlignment="0" applyProtection="0"/>
    <xf numFmtId="0" fontId="35" fillId="23" borderId="42" applyNumberFormat="0" applyAlignment="0" applyProtection="0"/>
    <xf numFmtId="0" fontId="36" fillId="24" borderId="0" applyNumberFormat="0" applyBorder="0" applyAlignment="0" applyProtection="0"/>
    <xf numFmtId="0" fontId="37" fillId="25" borderId="0" applyNumberFormat="0" applyBorder="0" applyAlignment="0" applyProtection="0"/>
    <xf numFmtId="0" fontId="11" fillId="0" borderId="0"/>
    <xf numFmtId="0" fontId="3" fillId="0" borderId="0"/>
    <xf numFmtId="0" fontId="24" fillId="0" borderId="0"/>
    <xf numFmtId="0" fontId="1" fillId="0" borderId="0"/>
    <xf numFmtId="0" fontId="11" fillId="0" borderId="0"/>
    <xf numFmtId="0" fontId="24" fillId="26" borderId="43" applyNumberFormat="0" applyFont="0" applyAlignment="0" applyProtection="0"/>
    <xf numFmtId="0" fontId="38" fillId="27" borderId="0" applyNumberFormat="0" applyBorder="0" applyAlignment="0" applyProtection="0"/>
    <xf numFmtId="178" fontId="11" fillId="0" borderId="0" applyFont="0" applyFill="0" applyBorder="0" applyAlignment="0" applyProtection="0"/>
    <xf numFmtId="0" fontId="39" fillId="0" borderId="44" applyNumberFormat="0" applyFill="0" applyAlignment="0" applyProtection="0"/>
    <xf numFmtId="0" fontId="40" fillId="0" borderId="0" applyNumberFormat="0" applyFill="0" applyBorder="0" applyAlignment="0" applyProtection="0"/>
    <xf numFmtId="179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</cellStyleXfs>
  <cellXfs count="260">
    <xf numFmtId="0" fontId="0" fillId="2" borderId="0" xfId="0"/>
    <xf numFmtId="0" fontId="0" fillId="0" borderId="0" xfId="0" applyFill="1"/>
    <xf numFmtId="4" fontId="6" fillId="0" borderId="2" xfId="40" applyNumberFormat="1" applyFont="1" applyFill="1" applyBorder="1" applyAlignment="1">
      <alignment vertical="center"/>
    </xf>
    <xf numFmtId="179" fontId="10" fillId="0" borderId="2" xfId="47" applyFont="1" applyFill="1" applyBorder="1" applyAlignment="1">
      <alignment vertical="center" wrapText="1"/>
    </xf>
    <xf numFmtId="0" fontId="11" fillId="0" borderId="0" xfId="40" applyFont="1" applyFill="1" applyAlignment="1">
      <alignment horizontal="center" vertical="center"/>
    </xf>
    <xf numFmtId="0" fontId="11" fillId="0" borderId="0" xfId="40" applyFont="1" applyFill="1" applyAlignment="1">
      <alignment vertical="center"/>
    </xf>
    <xf numFmtId="49" fontId="12" fillId="0" borderId="0" xfId="40" applyNumberFormat="1" applyFont="1" applyFill="1" applyAlignment="1">
      <alignment horizontal="left" vertical="center"/>
    </xf>
    <xf numFmtId="14" fontId="11" fillId="0" borderId="0" xfId="40" applyNumberFormat="1" applyFont="1" applyFill="1" applyAlignment="1">
      <alignment vertical="center"/>
    </xf>
    <xf numFmtId="0" fontId="8" fillId="0" borderId="0" xfId="40" applyFont="1" applyFill="1" applyAlignment="1">
      <alignment horizontal="center" vertical="center"/>
    </xf>
    <xf numFmtId="4" fontId="6" fillId="0" borderId="2" xfId="40" applyNumberFormat="1" applyFont="1" applyFill="1" applyBorder="1" applyAlignment="1" applyProtection="1">
      <alignment vertical="center"/>
    </xf>
    <xf numFmtId="0" fontId="11" fillId="0" borderId="2" xfId="40" applyFont="1" applyFill="1" applyBorder="1" applyAlignment="1">
      <alignment horizontal="center" vertical="center"/>
    </xf>
    <xf numFmtId="0" fontId="41" fillId="0" borderId="3" xfId="40" applyFont="1" applyFill="1" applyBorder="1" applyAlignment="1">
      <alignment horizontal="left" vertical="center"/>
    </xf>
    <xf numFmtId="0" fontId="41" fillId="0" borderId="2" xfId="40" applyFont="1" applyFill="1" applyBorder="1" applyAlignment="1">
      <alignment horizontal="center" vertical="center" wrapText="1"/>
    </xf>
    <xf numFmtId="0" fontId="41" fillId="0" borderId="2" xfId="40" applyNumberFormat="1" applyFont="1" applyFill="1" applyBorder="1" applyAlignment="1">
      <alignment horizontal="center" vertical="center"/>
    </xf>
    <xf numFmtId="4" fontId="42" fillId="0" borderId="2" xfId="40" applyNumberFormat="1" applyFont="1" applyFill="1" applyBorder="1" applyAlignment="1">
      <alignment horizontal="right" vertical="center"/>
    </xf>
    <xf numFmtId="0" fontId="41" fillId="0" borderId="0" xfId="40" applyFont="1" applyFill="1" applyAlignment="1">
      <alignment horizontal="left" vertical="center"/>
    </xf>
    <xf numFmtId="0" fontId="41" fillId="0" borderId="0" xfId="0" applyFont="1" applyFill="1" applyAlignment="1">
      <alignment vertical="center"/>
    </xf>
    <xf numFmtId="0" fontId="41" fillId="0" borderId="0" xfId="37" applyFont="1" applyFill="1" applyAlignment="1" applyProtection="1">
      <alignment horizontal="center" vertical="center"/>
      <protection locked="0"/>
    </xf>
    <xf numFmtId="0" fontId="43" fillId="0" borderId="0" xfId="37" applyFont="1" applyFill="1" applyAlignment="1">
      <alignment horizontal="center" vertical="center"/>
    </xf>
    <xf numFmtId="0" fontId="43" fillId="0" borderId="2" xfId="40" applyFont="1" applyFill="1" applyBorder="1" applyAlignment="1">
      <alignment horizontal="center" vertical="center" wrapText="1"/>
    </xf>
    <xf numFmtId="4" fontId="9" fillId="0" borderId="4" xfId="40" applyNumberFormat="1" applyFont="1" applyFill="1" applyBorder="1" applyAlignment="1">
      <alignment vertical="center"/>
    </xf>
    <xf numFmtId="0" fontId="44" fillId="0" borderId="0" xfId="0" applyFont="1" applyFill="1" applyAlignment="1">
      <alignment horizontal="center" vertical="center" wrapText="1"/>
    </xf>
    <xf numFmtId="0" fontId="44" fillId="0" borderId="0" xfId="0" applyFont="1" applyFill="1" applyAlignment="1">
      <alignment horizontal="center" vertical="center"/>
    </xf>
    <xf numFmtId="49" fontId="44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/>
    <xf numFmtId="0" fontId="13" fillId="0" borderId="2" xfId="41" applyFont="1" applyFill="1" applyBorder="1" applyAlignment="1">
      <alignment horizontal="center" vertical="center" wrapText="1"/>
    </xf>
    <xf numFmtId="195" fontId="8" fillId="0" borderId="0" xfId="40" applyNumberFormat="1" applyFont="1" applyFill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9" fillId="0" borderId="0" xfId="40" applyFont="1" applyFill="1" applyBorder="1" applyAlignment="1">
      <alignment horizontal="center" vertical="center" wrapText="1"/>
    </xf>
    <xf numFmtId="4" fontId="6" fillId="0" borderId="0" xfId="40" applyNumberFormat="1" applyFont="1" applyFill="1" applyBorder="1" applyAlignment="1" applyProtection="1">
      <alignment vertical="center"/>
    </xf>
    <xf numFmtId="4" fontId="9" fillId="0" borderId="0" xfId="40" applyNumberFormat="1" applyFont="1" applyFill="1" applyBorder="1" applyAlignment="1">
      <alignment vertical="center"/>
    </xf>
    <xf numFmtId="4" fontId="4" fillId="0" borderId="2" xfId="49" applyNumberFormat="1" applyFont="1" applyFill="1" applyBorder="1" applyAlignment="1">
      <alignment horizontal="center" vertical="center" wrapText="1"/>
    </xf>
    <xf numFmtId="0" fontId="41" fillId="0" borderId="0" xfId="40" applyFont="1" applyFill="1" applyAlignment="1">
      <alignment horizontal="center" vertical="center"/>
    </xf>
    <xf numFmtId="3" fontId="5" fillId="34" borderId="4" xfId="47" applyNumberFormat="1" applyFont="1" applyFill="1" applyBorder="1" applyAlignment="1">
      <alignment horizontal="center" vertical="center" wrapText="1"/>
    </xf>
    <xf numFmtId="3" fontId="9" fillId="0" borderId="4" xfId="4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5" fillId="0" borderId="0" xfId="0" applyFont="1" applyFill="1"/>
    <xf numFmtId="0" fontId="41" fillId="0" borderId="2" xfId="0" applyFont="1" applyFill="1" applyBorder="1" applyAlignment="1" applyProtection="1">
      <alignment vertical="center" wrapText="1"/>
    </xf>
    <xf numFmtId="0" fontId="41" fillId="0" borderId="2" xfId="0" applyFont="1" applyFill="1" applyBorder="1" applyAlignment="1" applyProtection="1">
      <alignment horizontal="center" vertical="center" wrapText="1"/>
    </xf>
    <xf numFmtId="49" fontId="42" fillId="0" borderId="2" xfId="40" applyNumberFormat="1" applyFont="1" applyFill="1" applyBorder="1" applyAlignment="1">
      <alignment horizontal="center" vertical="center" wrapText="1"/>
    </xf>
    <xf numFmtId="0" fontId="41" fillId="0" borderId="5" xfId="40" applyFont="1" applyFill="1" applyBorder="1" applyAlignment="1">
      <alignment horizontal="right" vertical="center"/>
    </xf>
    <xf numFmtId="0" fontId="41" fillId="0" borderId="6" xfId="41" applyFont="1" applyFill="1" applyBorder="1" applyAlignment="1">
      <alignment horizontal="left" vertical="center"/>
    </xf>
    <xf numFmtId="0" fontId="41" fillId="0" borderId="7" xfId="40" applyFont="1" applyFill="1" applyBorder="1" applyAlignment="1">
      <alignment horizontal="left" vertical="center"/>
    </xf>
    <xf numFmtId="0" fontId="41" fillId="0" borderId="8" xfId="40" applyFont="1" applyFill="1" applyBorder="1" applyAlignment="1">
      <alignment horizontal="left" vertical="center"/>
    </xf>
    <xf numFmtId="1" fontId="44" fillId="0" borderId="0" xfId="0" applyNumberFormat="1" applyFont="1" applyFill="1" applyAlignment="1">
      <alignment horizontal="center" vertical="center" wrapText="1"/>
    </xf>
    <xf numFmtId="1" fontId="0" fillId="0" borderId="0" xfId="0" applyNumberFormat="1" applyFill="1"/>
    <xf numFmtId="49" fontId="44" fillId="0" borderId="0" xfId="0" applyNumberFormat="1" applyFont="1" applyFill="1" applyAlignment="1">
      <alignment horizontal="right" vertical="center" wrapText="1"/>
    </xf>
    <xf numFmtId="1" fontId="44" fillId="0" borderId="0" xfId="0" applyNumberFormat="1" applyFont="1" applyFill="1" applyAlignment="1">
      <alignment horizontal="right" vertical="center" wrapText="1"/>
    </xf>
    <xf numFmtId="49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right"/>
    </xf>
    <xf numFmtId="0" fontId="41" fillId="0" borderId="0" xfId="40" quotePrefix="1" applyFont="1" applyFill="1" applyAlignment="1">
      <alignment horizontal="left" vertical="center"/>
    </xf>
    <xf numFmtId="4" fontId="11" fillId="0" borderId="0" xfId="40" applyNumberFormat="1" applyFont="1" applyFill="1" applyAlignment="1">
      <alignment vertical="center"/>
    </xf>
    <xf numFmtId="0" fontId="7" fillId="0" borderId="2" xfId="41" applyFont="1" applyFill="1" applyBorder="1" applyAlignment="1">
      <alignment horizontal="center" vertical="center" wrapText="1"/>
    </xf>
    <xf numFmtId="0" fontId="13" fillId="0" borderId="3" xfId="41" applyFont="1" applyFill="1" applyBorder="1" applyAlignment="1">
      <alignment horizontal="center" vertical="center" wrapText="1"/>
    </xf>
    <xf numFmtId="4" fontId="16" fillId="0" borderId="9" xfId="41" applyNumberFormat="1" applyFont="1" applyFill="1" applyBorder="1" applyAlignment="1">
      <alignment horizontal="center" vertical="center" wrapText="1"/>
    </xf>
    <xf numFmtId="4" fontId="9" fillId="0" borderId="10" xfId="40" applyNumberFormat="1" applyFont="1" applyFill="1" applyBorder="1" applyAlignment="1">
      <alignment horizontal="center" vertical="center" wrapText="1"/>
    </xf>
    <xf numFmtId="4" fontId="6" fillId="0" borderId="4" xfId="40" applyNumberFormat="1" applyFont="1" applyFill="1" applyBorder="1" applyAlignment="1">
      <alignment vertical="center"/>
    </xf>
    <xf numFmtId="4" fontId="6" fillId="0" borderId="2" xfId="41" applyNumberFormat="1" applyFont="1" applyFill="1" applyBorder="1" applyAlignment="1">
      <alignment vertical="center"/>
    </xf>
    <xf numFmtId="4" fontId="6" fillId="0" borderId="2" xfId="40" applyNumberFormat="1" applyFont="1" applyFill="1" applyBorder="1" applyAlignment="1">
      <alignment horizontal="center" vertical="center"/>
    </xf>
    <xf numFmtId="4" fontId="11" fillId="0" borderId="0" xfId="40" applyNumberFormat="1" applyFont="1" applyFill="1" applyAlignment="1">
      <alignment horizontal="center" vertical="center"/>
    </xf>
    <xf numFmtId="4" fontId="9" fillId="0" borderId="4" xfId="40" applyNumberFormat="1" applyFont="1" applyFill="1" applyBorder="1" applyAlignment="1">
      <alignment horizontal="center" vertical="center"/>
    </xf>
    <xf numFmtId="14" fontId="11" fillId="0" borderId="0" xfId="40" applyNumberFormat="1" applyFont="1" applyFill="1" applyAlignment="1">
      <alignment horizontal="center" vertical="center"/>
    </xf>
    <xf numFmtId="0" fontId="45" fillId="0" borderId="2" xfId="0" applyFont="1" applyFill="1" applyBorder="1"/>
    <xf numFmtId="0" fontId="46" fillId="0" borderId="2" xfId="0" applyFont="1" applyFill="1" applyBorder="1" applyAlignment="1" applyProtection="1">
      <alignment horizontal="center" vertical="center" wrapText="1"/>
    </xf>
    <xf numFmtId="0" fontId="18" fillId="0" borderId="2" xfId="0" applyFont="1" applyFill="1" applyBorder="1"/>
    <xf numFmtId="0" fontId="47" fillId="0" borderId="2" xfId="0" applyFont="1" applyFill="1" applyBorder="1"/>
    <xf numFmtId="49" fontId="47" fillId="0" borderId="2" xfId="0" applyNumberFormat="1" applyFont="1" applyFill="1" applyBorder="1"/>
    <xf numFmtId="1" fontId="18" fillId="0" borderId="2" xfId="0" applyNumberFormat="1" applyFont="1" applyFill="1" applyBorder="1"/>
    <xf numFmtId="3" fontId="18" fillId="35" borderId="2" xfId="0" applyNumberFormat="1" applyFont="1" applyFill="1" applyBorder="1"/>
    <xf numFmtId="49" fontId="47" fillId="35" borderId="2" xfId="0" applyNumberFormat="1" applyFont="1" applyFill="1" applyBorder="1" applyAlignment="1">
      <alignment horizontal="right"/>
    </xf>
    <xf numFmtId="49" fontId="18" fillId="0" borderId="2" xfId="0" applyNumberFormat="1" applyFont="1" applyFill="1" applyBorder="1" applyAlignment="1">
      <alignment horizontal="right"/>
    </xf>
    <xf numFmtId="1" fontId="18" fillId="0" borderId="2" xfId="0" applyNumberFormat="1" applyFont="1" applyFill="1" applyBorder="1" applyAlignment="1">
      <alignment horizontal="right"/>
    </xf>
    <xf numFmtId="1" fontId="18" fillId="35" borderId="2" xfId="0" applyNumberFormat="1" applyFont="1" applyFill="1" applyBorder="1"/>
    <xf numFmtId="1" fontId="47" fillId="35" borderId="2" xfId="0" applyNumberFormat="1" applyFont="1" applyFill="1" applyBorder="1"/>
    <xf numFmtId="49" fontId="47" fillId="0" borderId="2" xfId="0" applyNumberFormat="1" applyFont="1" applyFill="1" applyBorder="1" applyAlignment="1">
      <alignment horizontal="center"/>
    </xf>
    <xf numFmtId="4" fontId="18" fillId="0" borderId="2" xfId="0" applyNumberFormat="1" applyFont="1" applyFill="1" applyBorder="1"/>
    <xf numFmtId="4" fontId="48" fillId="0" borderId="2" xfId="0" applyNumberFormat="1" applyFont="1" applyFill="1" applyBorder="1" applyAlignment="1">
      <alignment wrapText="1"/>
    </xf>
    <xf numFmtId="0" fontId="18" fillId="0" borderId="2" xfId="0" applyFont="1" applyFill="1" applyBorder="1" applyAlignment="1">
      <alignment vertical="center"/>
    </xf>
    <xf numFmtId="0" fontId="18" fillId="0" borderId="0" xfId="0" applyFont="1" applyFill="1"/>
    <xf numFmtId="4" fontId="19" fillId="0" borderId="2" xfId="0" applyNumberFormat="1" applyFont="1" applyFill="1" applyBorder="1" applyAlignment="1" applyProtection="1">
      <alignment vertical="center" wrapText="1"/>
    </xf>
    <xf numFmtId="4" fontId="19" fillId="0" borderId="2" xfId="0" applyNumberFormat="1" applyFont="1" applyFill="1" applyBorder="1" applyAlignment="1" applyProtection="1">
      <alignment vertical="top" wrapText="1"/>
    </xf>
    <xf numFmtId="0" fontId="49" fillId="36" borderId="2" xfId="0" applyFont="1" applyFill="1" applyBorder="1"/>
    <xf numFmtId="0" fontId="0" fillId="37" borderId="2" xfId="0" applyFont="1" applyFill="1" applyBorder="1"/>
    <xf numFmtId="0" fontId="0" fillId="37" borderId="0" xfId="0" applyFont="1" applyFill="1" applyBorder="1"/>
    <xf numFmtId="0" fontId="45" fillId="37" borderId="0" xfId="0" applyFont="1" applyFill="1"/>
    <xf numFmtId="209" fontId="50" fillId="37" borderId="2" xfId="0" applyNumberFormat="1" applyFont="1" applyFill="1" applyBorder="1" applyAlignment="1" applyProtection="1">
      <alignment horizontal="center" vertical="center"/>
      <protection hidden="1"/>
    </xf>
    <xf numFmtId="14" fontId="45" fillId="37" borderId="2" xfId="0" applyNumberFormat="1" applyFont="1" applyFill="1" applyBorder="1"/>
    <xf numFmtId="0" fontId="0" fillId="37" borderId="2" xfId="0" applyFill="1" applyBorder="1"/>
    <xf numFmtId="0" fontId="51" fillId="37" borderId="0" xfId="0" applyFont="1" applyFill="1" applyBorder="1" applyAlignment="1">
      <alignment vertical="center"/>
    </xf>
    <xf numFmtId="0" fontId="45" fillId="37" borderId="0" xfId="0" applyFont="1" applyFill="1" applyBorder="1"/>
    <xf numFmtId="0" fontId="41" fillId="37" borderId="2" xfId="0" applyFont="1" applyFill="1" applyBorder="1"/>
    <xf numFmtId="0" fontId="39" fillId="37" borderId="2" xfId="0" applyFont="1" applyFill="1" applyBorder="1" applyAlignment="1">
      <alignment horizontal="center" vertical="center"/>
    </xf>
    <xf numFmtId="49" fontId="41" fillId="0" borderId="2" xfId="40" applyNumberFormat="1" applyFont="1" applyFill="1" applyBorder="1" applyAlignment="1">
      <alignment vertical="center"/>
    </xf>
    <xf numFmtId="0" fontId="42" fillId="37" borderId="2" xfId="0" applyFont="1" applyFill="1" applyBorder="1" applyAlignment="1">
      <alignment horizontal="center" vertical="center"/>
    </xf>
    <xf numFmtId="0" fontId="52" fillId="37" borderId="2" xfId="0" applyFont="1" applyFill="1" applyBorder="1" applyAlignment="1">
      <alignment horizontal="center" vertical="center"/>
    </xf>
    <xf numFmtId="211" fontId="44" fillId="37" borderId="2" xfId="0" quotePrefix="1" applyNumberFormat="1" applyFont="1" applyFill="1" applyBorder="1" applyAlignment="1">
      <alignment horizontal="center"/>
    </xf>
    <xf numFmtId="0" fontId="39" fillId="0" borderId="11" xfId="0" applyFont="1" applyFill="1" applyBorder="1"/>
    <xf numFmtId="0" fontId="39" fillId="0" borderId="12" xfId="0" applyFont="1" applyFill="1" applyBorder="1" applyAlignment="1">
      <alignment horizontal="center"/>
    </xf>
    <xf numFmtId="0" fontId="39" fillId="0" borderId="13" xfId="0" applyFont="1" applyFill="1" applyBorder="1" applyAlignment="1">
      <alignment horizontal="center"/>
    </xf>
    <xf numFmtId="0" fontId="24" fillId="38" borderId="14" xfId="0" quotePrefix="1" applyNumberFormat="1" applyFont="1" applyFill="1" applyBorder="1" applyAlignment="1">
      <alignment horizontal="center" shrinkToFit="1"/>
    </xf>
    <xf numFmtId="0" fontId="52" fillId="0" borderId="15" xfId="0" applyFont="1" applyFill="1" applyBorder="1" applyAlignment="1">
      <alignment horizontal="center" vertical="center" wrapText="1"/>
    </xf>
    <xf numFmtId="0" fontId="52" fillId="0" borderId="3" xfId="0" applyFont="1" applyFill="1" applyBorder="1" applyAlignment="1">
      <alignment horizontal="center" vertical="center" wrapText="1"/>
    </xf>
    <xf numFmtId="0" fontId="24" fillId="39" borderId="2" xfId="0" applyFont="1" applyFill="1" applyBorder="1" applyAlignment="1">
      <alignment vertical="center"/>
    </xf>
    <xf numFmtId="0" fontId="39" fillId="37" borderId="2" xfId="0" applyFont="1" applyFill="1" applyBorder="1"/>
    <xf numFmtId="0" fontId="39" fillId="37" borderId="2" xfId="0" quotePrefix="1" applyFont="1" applyFill="1" applyBorder="1" applyAlignment="1">
      <alignment horizontal="center"/>
    </xf>
    <xf numFmtId="0" fontId="39" fillId="37" borderId="2" xfId="0" applyFont="1" applyFill="1" applyBorder="1" applyAlignment="1">
      <alignment horizontal="center"/>
    </xf>
    <xf numFmtId="195" fontId="24" fillId="37" borderId="2" xfId="0" applyNumberFormat="1" applyFont="1" applyFill="1" applyBorder="1" applyAlignment="1">
      <alignment vertical="center"/>
    </xf>
    <xf numFmtId="0" fontId="24" fillId="37" borderId="2" xfId="0" applyFont="1" applyFill="1" applyBorder="1"/>
    <xf numFmtId="0" fontId="24" fillId="0" borderId="0" xfId="0" applyFont="1" applyFill="1" applyAlignment="1"/>
    <xf numFmtId="0" fontId="39" fillId="40" borderId="0" xfId="0" applyFont="1" applyFill="1" applyBorder="1"/>
    <xf numFmtId="0" fontId="39" fillId="41" borderId="0" xfId="0" applyFont="1" applyFill="1" applyAlignment="1">
      <alignment horizontal="center"/>
    </xf>
    <xf numFmtId="0" fontId="24" fillId="0" borderId="0" xfId="0" applyFont="1" applyFill="1"/>
    <xf numFmtId="0" fontId="24" fillId="0" borderId="7" xfId="0" applyFont="1" applyFill="1" applyBorder="1" applyAlignment="1"/>
    <xf numFmtId="0" fontId="24" fillId="0" borderId="0" xfId="0" applyFont="1" applyFill="1" applyBorder="1"/>
    <xf numFmtId="0" fontId="24" fillId="0" borderId="0" xfId="0" applyFont="1" applyFill="1" applyBorder="1" applyAlignment="1">
      <alignment vertical="center" wrapText="1"/>
    </xf>
    <xf numFmtId="0" fontId="24" fillId="0" borderId="14" xfId="0" applyFont="1" applyFill="1" applyBorder="1" applyAlignment="1">
      <alignment vertical="center" wrapText="1"/>
    </xf>
    <xf numFmtId="0" fontId="39" fillId="41" borderId="2" xfId="0" applyFont="1" applyFill="1" applyBorder="1" applyAlignment="1">
      <alignment horizontal="center"/>
    </xf>
    <xf numFmtId="0" fontId="24" fillId="37" borderId="0" xfId="0" applyFont="1" applyFill="1"/>
    <xf numFmtId="14" fontId="24" fillId="37" borderId="2" xfId="0" applyNumberFormat="1" applyFont="1" applyFill="1" applyBorder="1"/>
    <xf numFmtId="0" fontId="18" fillId="37" borderId="2" xfId="0" applyFont="1" applyFill="1" applyBorder="1"/>
    <xf numFmtId="0" fontId="22" fillId="37" borderId="2" xfId="0" applyFont="1" applyFill="1" applyBorder="1"/>
    <xf numFmtId="0" fontId="53" fillId="37" borderId="2" xfId="0" applyNumberFormat="1" applyFont="1" applyFill="1" applyBorder="1" applyAlignment="1">
      <alignment vertical="top" wrapText="1" readingOrder="1"/>
    </xf>
    <xf numFmtId="0" fontId="18" fillId="35" borderId="2" xfId="0" applyFont="1" applyFill="1" applyBorder="1"/>
    <xf numFmtId="14" fontId="18" fillId="37" borderId="2" xfId="0" applyNumberFormat="1" applyFont="1" applyFill="1" applyBorder="1"/>
    <xf numFmtId="0" fontId="39" fillId="0" borderId="0" xfId="0" applyFont="1" applyFill="1" applyAlignment="1">
      <alignment vertical="center"/>
    </xf>
    <xf numFmtId="0" fontId="41" fillId="0" borderId="0" xfId="0" applyFont="1" applyFill="1" applyAlignment="1">
      <alignment horizontal="center" vertical="center"/>
    </xf>
    <xf numFmtId="0" fontId="41" fillId="0" borderId="0" xfId="41" applyFont="1" applyFill="1" applyAlignment="1">
      <alignment horizontal="left" vertical="center"/>
    </xf>
    <xf numFmtId="0" fontId="41" fillId="0" borderId="0" xfId="41" applyFont="1" applyFill="1" applyAlignment="1">
      <alignment horizontal="center" vertical="center"/>
    </xf>
    <xf numFmtId="0" fontId="51" fillId="0" borderId="0" xfId="0" applyFont="1" applyFill="1"/>
    <xf numFmtId="195" fontId="41" fillId="0" borderId="0" xfId="41" applyNumberFormat="1" applyFont="1" applyFill="1" applyAlignment="1">
      <alignment horizontal="center" vertical="center"/>
    </xf>
    <xf numFmtId="0" fontId="0" fillId="0" borderId="0" xfId="41" applyFont="1" applyFill="1" applyAlignment="1">
      <alignment vertical="center"/>
    </xf>
    <xf numFmtId="0" fontId="11" fillId="37" borderId="0" xfId="41" applyFont="1" applyFill="1" applyAlignment="1">
      <alignment vertical="center"/>
    </xf>
    <xf numFmtId="0" fontId="11" fillId="0" borderId="0" xfId="41" applyFont="1" applyFill="1" applyAlignment="1">
      <alignment vertical="center"/>
    </xf>
    <xf numFmtId="4" fontId="0" fillId="0" borderId="0" xfId="41" applyNumberFormat="1" applyFont="1" applyFill="1" applyAlignment="1">
      <alignment vertical="center"/>
    </xf>
    <xf numFmtId="0" fontId="11" fillId="0" borderId="0" xfId="41" applyFont="1" applyFill="1" applyAlignment="1">
      <alignment horizontal="center" vertical="center"/>
    </xf>
    <xf numFmtId="4" fontId="11" fillId="0" borderId="0" xfId="41" applyNumberFormat="1" applyFont="1" applyFill="1" applyAlignment="1">
      <alignment vertical="center"/>
    </xf>
    <xf numFmtId="4" fontId="11" fillId="0" borderId="0" xfId="41" applyNumberFormat="1" applyFont="1" applyFill="1" applyAlignment="1">
      <alignment horizontal="center" vertical="center"/>
    </xf>
    <xf numFmtId="195" fontId="8" fillId="0" borderId="0" xfId="41" applyNumberFormat="1" applyFont="1" applyFill="1" applyAlignment="1">
      <alignment horizontal="center" vertical="center"/>
    </xf>
    <xf numFmtId="14" fontId="11" fillId="0" borderId="0" xfId="41" applyNumberFormat="1" applyFont="1" applyFill="1" applyAlignment="1">
      <alignment vertical="center"/>
    </xf>
    <xf numFmtId="14" fontId="11" fillId="0" borderId="0" xfId="41" applyNumberFormat="1" applyFont="1" applyFill="1" applyAlignment="1">
      <alignment horizontal="center" vertical="center"/>
    </xf>
    <xf numFmtId="0" fontId="8" fillId="0" borderId="0" xfId="41" applyFont="1" applyFill="1" applyAlignment="1">
      <alignment horizontal="center" vertical="center"/>
    </xf>
    <xf numFmtId="0" fontId="0" fillId="0" borderId="0" xfId="41" applyFont="1" applyFill="1" applyAlignment="1">
      <alignment horizontal="center" vertical="center"/>
    </xf>
    <xf numFmtId="195" fontId="24" fillId="0" borderId="5" xfId="40" applyNumberFormat="1" applyFont="1" applyFill="1" applyBorder="1" applyAlignment="1">
      <alignment horizontal="right" vertical="center"/>
    </xf>
    <xf numFmtId="49" fontId="24" fillId="0" borderId="4" xfId="41" applyNumberFormat="1" applyFont="1" applyFill="1" applyBorder="1" applyAlignment="1">
      <alignment horizontal="left" vertical="center"/>
    </xf>
    <xf numFmtId="0" fontId="51" fillId="0" borderId="3" xfId="0" applyFont="1" applyFill="1" applyBorder="1" applyAlignment="1">
      <alignment horizontal="center"/>
    </xf>
    <xf numFmtId="0" fontId="39" fillId="0" borderId="2" xfId="0" applyFont="1" applyFill="1" applyBorder="1"/>
    <xf numFmtId="0" fontId="54" fillId="0" borderId="45" xfId="0" applyNumberFormat="1" applyFont="1" applyFill="1" applyBorder="1" applyAlignment="1" applyProtection="1">
      <alignment horizontal="left" vertical="center"/>
      <protection locked="0"/>
    </xf>
    <xf numFmtId="0" fontId="0" fillId="37" borderId="0" xfId="0" quotePrefix="1" applyNumberFormat="1" applyFill="1" applyBorder="1" applyAlignment="1" applyProtection="1">
      <alignment horizontal="right" vertical="center"/>
    </xf>
    <xf numFmtId="0" fontId="0" fillId="37" borderId="0" xfId="0" applyFill="1" applyAlignment="1" applyProtection="1">
      <alignment horizontal="left" vertical="center"/>
    </xf>
    <xf numFmtId="0" fontId="0" fillId="37" borderId="0" xfId="0" quotePrefix="1" applyNumberFormat="1" applyFill="1" applyBorder="1" applyAlignment="1" applyProtection="1">
      <alignment horizontal="left" vertical="center"/>
    </xf>
    <xf numFmtId="49" fontId="54" fillId="0" borderId="45" xfId="0" applyNumberFormat="1" applyFont="1" applyFill="1" applyBorder="1" applyAlignment="1" applyProtection="1">
      <alignment horizontal="left" vertical="center"/>
      <protection locked="0"/>
    </xf>
    <xf numFmtId="0" fontId="55" fillId="42" borderId="0" xfId="0" applyFont="1" applyFill="1" applyBorder="1" applyAlignment="1" applyProtection="1">
      <alignment horizontal="center" vertical="center"/>
    </xf>
    <xf numFmtId="4" fontId="55" fillId="42" borderId="0" xfId="0" applyNumberFormat="1" applyFont="1" applyFill="1" applyBorder="1" applyAlignment="1" applyProtection="1">
      <alignment horizontal="right" vertical="center"/>
    </xf>
    <xf numFmtId="3" fontId="55" fillId="42" borderId="0" xfId="0" applyNumberFormat="1" applyFont="1" applyFill="1" applyBorder="1" applyAlignment="1" applyProtection="1">
      <alignment horizontal="right" vertical="center"/>
    </xf>
    <xf numFmtId="0" fontId="56" fillId="37" borderId="0" xfId="0" quotePrefix="1" applyNumberFormat="1" applyFont="1" applyFill="1" applyBorder="1" applyAlignment="1" applyProtection="1">
      <alignment horizontal="left" vertical="center"/>
    </xf>
    <xf numFmtId="2" fontId="55" fillId="43" borderId="46" xfId="0" applyNumberFormat="1" applyFont="1" applyFill="1" applyBorder="1" applyAlignment="1">
      <alignment horizontal="center" vertical="center"/>
    </xf>
    <xf numFmtId="0" fontId="23" fillId="37" borderId="2" xfId="0" applyFont="1" applyFill="1" applyBorder="1" applyProtection="1">
      <protection locked="0" hidden="1"/>
    </xf>
    <xf numFmtId="0" fontId="41" fillId="37" borderId="2" xfId="0" applyFont="1" applyFill="1" applyBorder="1" applyAlignment="1" applyProtection="1">
      <alignment horizontal="center" wrapText="1"/>
      <protection locked="0"/>
    </xf>
    <xf numFmtId="4" fontId="41" fillId="37" borderId="2" xfId="41" applyNumberFormat="1" applyFont="1" applyFill="1" applyBorder="1" applyAlignment="1" applyProtection="1">
      <alignment horizontal="right"/>
      <protection locked="0"/>
    </xf>
    <xf numFmtId="0" fontId="57" fillId="37" borderId="2" xfId="0" applyNumberFormat="1" applyFont="1" applyFill="1" applyBorder="1" applyAlignment="1" applyProtection="1">
      <alignment horizontal="right" vertical="top" wrapText="1" readingOrder="1"/>
      <protection locked="0"/>
    </xf>
    <xf numFmtId="0" fontId="0" fillId="37" borderId="0" xfId="0" applyFill="1"/>
    <xf numFmtId="49" fontId="54" fillId="37" borderId="2" xfId="0" applyNumberFormat="1" applyFont="1" applyFill="1" applyBorder="1" applyAlignment="1" applyProtection="1">
      <alignment horizontal="left"/>
      <protection locked="0"/>
    </xf>
    <xf numFmtId="0" fontId="0" fillId="37" borderId="0" xfId="0" applyFill="1" applyBorder="1"/>
    <xf numFmtId="0" fontId="41" fillId="37" borderId="0" xfId="0" applyFont="1" applyFill="1" applyBorder="1" applyAlignment="1" applyProtection="1">
      <alignment horizontal="center" wrapText="1"/>
      <protection locked="0"/>
    </xf>
    <xf numFmtId="4" fontId="41" fillId="37" borderId="0" xfId="41" applyNumberFormat="1" applyFont="1" applyFill="1" applyBorder="1" applyAlignment="1" applyProtection="1">
      <alignment horizontal="right"/>
      <protection locked="0"/>
    </xf>
    <xf numFmtId="0" fontId="57" fillId="37" borderId="0" xfId="0" applyNumberFormat="1" applyFont="1" applyFill="1" applyBorder="1" applyAlignment="1" applyProtection="1">
      <alignment horizontal="right" vertical="top" wrapText="1" readingOrder="1"/>
      <protection locked="0"/>
    </xf>
    <xf numFmtId="0" fontId="23" fillId="37" borderId="0" xfId="0" applyFont="1" applyFill="1" applyBorder="1" applyProtection="1">
      <protection locked="0" hidden="1"/>
    </xf>
    <xf numFmtId="0" fontId="0" fillId="37" borderId="0" xfId="0" applyFill="1" applyBorder="1" applyAlignment="1" applyProtection="1">
      <alignment horizontal="left" vertical="center"/>
    </xf>
    <xf numFmtId="0" fontId="0" fillId="44" borderId="2" xfId="0" applyFill="1" applyBorder="1"/>
    <xf numFmtId="0" fontId="53" fillId="37" borderId="2" xfId="0" applyNumberFormat="1" applyFont="1" applyFill="1" applyBorder="1" applyAlignment="1">
      <alignment horizontal="center" vertical="top" wrapText="1" readingOrder="1"/>
    </xf>
    <xf numFmtId="0" fontId="22" fillId="37" borderId="2" xfId="0" applyNumberFormat="1" applyFont="1" applyFill="1" applyBorder="1" applyAlignment="1">
      <alignment horizontal="center" vertical="top" wrapText="1" readingOrder="1"/>
    </xf>
    <xf numFmtId="0" fontId="22" fillId="37" borderId="2" xfId="0" applyNumberFormat="1" applyFont="1" applyFill="1" applyBorder="1" applyAlignment="1">
      <alignment vertical="top" wrapText="1"/>
    </xf>
    <xf numFmtId="0" fontId="22" fillId="37" borderId="2" xfId="0" applyNumberFormat="1" applyFont="1" applyFill="1" applyBorder="1" applyAlignment="1">
      <alignment vertical="top" wrapText="1" readingOrder="1"/>
    </xf>
    <xf numFmtId="0" fontId="0" fillId="37" borderId="16" xfId="0" applyFont="1" applyFill="1" applyBorder="1" applyAlignment="1">
      <alignment horizontal="left" vertical="center"/>
    </xf>
    <xf numFmtId="0" fontId="58" fillId="37" borderId="2" xfId="0" applyNumberFormat="1" applyFont="1" applyFill="1" applyBorder="1" applyAlignment="1">
      <alignment vertical="top" wrapText="1" readingOrder="1"/>
    </xf>
    <xf numFmtId="0" fontId="58" fillId="37" borderId="2" xfId="0" applyNumberFormat="1" applyFont="1" applyFill="1" applyBorder="1" applyAlignment="1">
      <alignment horizontal="center" vertical="top" wrapText="1" readingOrder="1"/>
    </xf>
    <xf numFmtId="0" fontId="58" fillId="37" borderId="2" xfId="0" applyNumberFormat="1" applyFont="1" applyFill="1" applyBorder="1" applyAlignment="1">
      <alignment vertical="top" wrapText="1"/>
    </xf>
    <xf numFmtId="0" fontId="41" fillId="45" borderId="2" xfId="0" applyFont="1" applyFill="1" applyBorder="1" applyAlignment="1" applyProtection="1">
      <alignment horizontal="center" wrapText="1"/>
      <protection locked="0"/>
    </xf>
    <xf numFmtId="0" fontId="59" fillId="37" borderId="2" xfId="0" quotePrefix="1" applyFont="1" applyFill="1" applyBorder="1" applyAlignment="1">
      <alignment horizontal="center"/>
    </xf>
    <xf numFmtId="0" fontId="59" fillId="37" borderId="2" xfId="0" applyFont="1" applyFill="1" applyBorder="1" applyAlignment="1">
      <alignment horizontal="center"/>
    </xf>
    <xf numFmtId="0" fontId="53" fillId="37" borderId="17" xfId="0" applyNumberFormat="1" applyFont="1" applyFill="1" applyBorder="1" applyAlignment="1">
      <alignment vertical="top" wrapText="1" readingOrder="1"/>
    </xf>
    <xf numFmtId="0" fontId="39" fillId="37" borderId="17" xfId="0" applyFont="1" applyFill="1" applyBorder="1"/>
    <xf numFmtId="0" fontId="53" fillId="37" borderId="17" xfId="0" applyNumberFormat="1" applyFont="1" applyFill="1" applyBorder="1" applyAlignment="1">
      <alignment horizontal="center" vertical="top" wrapText="1" readingOrder="1"/>
    </xf>
    <xf numFmtId="0" fontId="22" fillId="37" borderId="17" xfId="0" applyNumberFormat="1" applyFont="1" applyFill="1" applyBorder="1" applyAlignment="1">
      <alignment vertical="top" wrapText="1"/>
    </xf>
    <xf numFmtId="0" fontId="39" fillId="37" borderId="17" xfId="0" applyFont="1" applyFill="1" applyBorder="1" applyAlignment="1">
      <alignment horizontal="center" vertical="center"/>
    </xf>
    <xf numFmtId="0" fontId="39" fillId="37" borderId="17" xfId="0" quotePrefix="1" applyFont="1" applyFill="1" applyBorder="1" applyAlignment="1">
      <alignment horizontal="center"/>
    </xf>
    <xf numFmtId="0" fontId="39" fillId="37" borderId="17" xfId="0" applyFont="1" applyFill="1" applyBorder="1" applyAlignment="1">
      <alignment horizontal="center"/>
    </xf>
    <xf numFmtId="14" fontId="18" fillId="37" borderId="17" xfId="0" applyNumberFormat="1" applyFont="1" applyFill="1" applyBorder="1"/>
    <xf numFmtId="195" fontId="24" fillId="37" borderId="17" xfId="0" applyNumberFormat="1" applyFont="1" applyFill="1" applyBorder="1" applyAlignment="1">
      <alignment vertical="center"/>
    </xf>
    <xf numFmtId="0" fontId="0" fillId="37" borderId="17" xfId="0" applyFont="1" applyFill="1" applyBorder="1"/>
    <xf numFmtId="0" fontId="58" fillId="0" borderId="2" xfId="0" applyFont="1" applyFill="1" applyBorder="1"/>
    <xf numFmtId="14" fontId="58" fillId="0" borderId="2" xfId="0" applyNumberFormat="1" applyFont="1" applyFill="1" applyBorder="1"/>
    <xf numFmtId="0" fontId="18" fillId="37" borderId="2" xfId="0" applyNumberFormat="1" applyFont="1" applyFill="1" applyBorder="1" applyAlignment="1">
      <alignment horizontal="center" vertical="top" wrapText="1" readingOrder="1"/>
    </xf>
    <xf numFmtId="0" fontId="8" fillId="0" borderId="2" xfId="41" applyFont="1" applyBorder="1"/>
    <xf numFmtId="0" fontId="60" fillId="37" borderId="2" xfId="0" applyFont="1" applyFill="1" applyBorder="1" applyAlignment="1">
      <alignment horizontal="center" vertical="center"/>
    </xf>
    <xf numFmtId="0" fontId="39" fillId="36" borderId="2" xfId="0" applyFont="1" applyFill="1" applyBorder="1" applyAlignment="1">
      <alignment horizontal="center" vertical="center"/>
    </xf>
    <xf numFmtId="0" fontId="39" fillId="46" borderId="2" xfId="0" applyFont="1" applyFill="1" applyBorder="1" applyAlignment="1">
      <alignment horizontal="center" vertical="center"/>
    </xf>
    <xf numFmtId="14" fontId="61" fillId="0" borderId="0" xfId="0" applyNumberFormat="1" applyFont="1" applyFill="1" applyAlignment="1">
      <alignment horizontal="center"/>
    </xf>
    <xf numFmtId="0" fontId="61" fillId="0" borderId="0" xfId="0" applyFont="1" applyFill="1" applyAlignment="1">
      <alignment horizontal="center"/>
    </xf>
    <xf numFmtId="0" fontId="39" fillId="0" borderId="2" xfId="0" applyFont="1" applyFill="1" applyBorder="1" applyAlignment="1">
      <alignment horizontal="center"/>
    </xf>
    <xf numFmtId="211" fontId="24" fillId="38" borderId="19" xfId="0" quotePrefix="1" applyNumberFormat="1" applyFont="1" applyFill="1" applyBorder="1" applyAlignment="1">
      <alignment horizontal="center" textRotation="90" shrinkToFit="1"/>
    </xf>
    <xf numFmtId="211" fontId="24" fillId="38" borderId="20" xfId="0" quotePrefix="1" applyNumberFormat="1" applyFont="1" applyFill="1" applyBorder="1" applyAlignment="1">
      <alignment horizontal="center" textRotation="90" shrinkToFit="1"/>
    </xf>
    <xf numFmtId="211" fontId="24" fillId="38" borderId="23" xfId="0" quotePrefix="1" applyNumberFormat="1" applyFont="1" applyFill="1" applyBorder="1" applyAlignment="1">
      <alignment horizontal="center" textRotation="90" shrinkToFit="1"/>
    </xf>
    <xf numFmtId="211" fontId="24" fillId="38" borderId="24" xfId="0" quotePrefix="1" applyNumberFormat="1" applyFont="1" applyFill="1" applyBorder="1" applyAlignment="1">
      <alignment horizontal="center" textRotation="90" shrinkToFit="1"/>
    </xf>
    <xf numFmtId="0" fontId="39" fillId="0" borderId="2" xfId="0" applyFont="1" applyFill="1" applyBorder="1" applyAlignment="1">
      <alignment horizontal="center" vertical="center"/>
    </xf>
    <xf numFmtId="0" fontId="52" fillId="0" borderId="17" xfId="0" applyFont="1" applyFill="1" applyBorder="1" applyAlignment="1">
      <alignment horizontal="center" vertical="center" wrapText="1"/>
    </xf>
    <xf numFmtId="0" fontId="52" fillId="0" borderId="16" xfId="0" applyFont="1" applyFill="1" applyBorder="1" applyAlignment="1">
      <alignment horizontal="center" vertical="center" wrapText="1"/>
    </xf>
    <xf numFmtId="0" fontId="52" fillId="0" borderId="18" xfId="0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wrapText="1"/>
    </xf>
    <xf numFmtId="0" fontId="39" fillId="0" borderId="0" xfId="0" applyFont="1" applyFill="1" applyBorder="1" applyAlignment="1">
      <alignment horizontal="center" vertical="center"/>
    </xf>
    <xf numFmtId="211" fontId="24" fillId="38" borderId="21" xfId="0" quotePrefix="1" applyNumberFormat="1" applyFont="1" applyFill="1" applyBorder="1" applyAlignment="1">
      <alignment horizontal="center" textRotation="90" shrinkToFit="1"/>
    </xf>
    <xf numFmtId="211" fontId="24" fillId="38" borderId="22" xfId="0" quotePrefix="1" applyNumberFormat="1" applyFont="1" applyFill="1" applyBorder="1" applyAlignment="1">
      <alignment horizontal="center" textRotation="90" shrinkToFit="1"/>
    </xf>
    <xf numFmtId="0" fontId="0" fillId="0" borderId="0" xfId="41" applyFont="1" applyFill="1" applyAlignment="1">
      <alignment horizontal="center" vertical="center"/>
    </xf>
    <xf numFmtId="0" fontId="11" fillId="0" borderId="0" xfId="41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7" fillId="0" borderId="35" xfId="41" applyFont="1" applyFill="1" applyBorder="1" applyAlignment="1">
      <alignment horizontal="center" vertical="center" wrapText="1"/>
    </xf>
    <xf numFmtId="0" fontId="7" fillId="0" borderId="17" xfId="40" applyFont="1" applyFill="1" applyBorder="1" applyAlignment="1">
      <alignment horizontal="center" vertical="center"/>
    </xf>
    <xf numFmtId="0" fontId="7" fillId="0" borderId="11" xfId="40" applyFont="1" applyFill="1" applyBorder="1" applyAlignment="1">
      <alignment horizontal="center" vertical="center"/>
    </xf>
    <xf numFmtId="0" fontId="7" fillId="0" borderId="16" xfId="40" applyFont="1" applyFill="1" applyBorder="1" applyAlignment="1">
      <alignment horizontal="center" vertical="center"/>
    </xf>
    <xf numFmtId="0" fontId="15" fillId="0" borderId="2" xfId="41" applyFont="1" applyFill="1" applyBorder="1" applyAlignment="1">
      <alignment horizontal="center" vertical="center" wrapText="1"/>
    </xf>
    <xf numFmtId="0" fontId="15" fillId="0" borderId="3" xfId="41" applyFont="1" applyFill="1" applyBorder="1" applyAlignment="1">
      <alignment horizontal="center" vertical="center" wrapText="1"/>
    </xf>
    <xf numFmtId="0" fontId="7" fillId="0" borderId="31" xfId="40" applyFont="1" applyFill="1" applyBorder="1" applyAlignment="1">
      <alignment horizontal="center" vertical="center" wrapText="1"/>
    </xf>
    <xf numFmtId="0" fontId="7" fillId="0" borderId="28" xfId="40" applyFont="1" applyFill="1" applyBorder="1" applyAlignment="1">
      <alignment horizontal="center" vertical="center" wrapText="1"/>
    </xf>
    <xf numFmtId="0" fontId="6" fillId="0" borderId="3" xfId="41" applyFont="1" applyFill="1" applyBorder="1" applyAlignment="1">
      <alignment horizontal="center" vertical="center" wrapText="1"/>
    </xf>
    <xf numFmtId="0" fontId="11" fillId="0" borderId="32" xfId="40" applyFont="1" applyFill="1" applyBorder="1" applyAlignment="1">
      <alignment horizontal="center" vertical="center" wrapText="1"/>
    </xf>
    <xf numFmtId="0" fontId="11" fillId="0" borderId="33" xfId="40" applyFont="1" applyFill="1" applyBorder="1" applyAlignment="1">
      <alignment horizontal="center" vertical="center" wrapText="1"/>
    </xf>
    <xf numFmtId="0" fontId="11" fillId="0" borderId="34" xfId="40" applyFont="1" applyFill="1" applyBorder="1" applyAlignment="1">
      <alignment horizontal="center" vertical="center" wrapText="1"/>
    </xf>
    <xf numFmtId="0" fontId="17" fillId="0" borderId="0" xfId="41" applyFont="1" applyFill="1" applyBorder="1" applyAlignment="1">
      <alignment horizontal="center" vertical="center"/>
    </xf>
    <xf numFmtId="0" fontId="0" fillId="0" borderId="25" xfId="40" applyFont="1" applyFill="1" applyBorder="1" applyAlignment="1">
      <alignment horizontal="center" vertical="center"/>
    </xf>
    <xf numFmtId="0" fontId="11" fillId="0" borderId="25" xfId="40" applyFont="1" applyFill="1" applyBorder="1" applyAlignment="1">
      <alignment horizontal="center" vertical="center"/>
    </xf>
    <xf numFmtId="0" fontId="11" fillId="0" borderId="26" xfId="40" applyFont="1" applyFill="1" applyBorder="1" applyAlignment="1">
      <alignment horizontal="center" vertical="center" wrapText="1"/>
    </xf>
    <xf numFmtId="0" fontId="11" fillId="0" borderId="27" xfId="40" applyFont="1" applyFill="1" applyBorder="1" applyAlignment="1">
      <alignment horizontal="center" vertical="center" wrapText="1"/>
    </xf>
    <xf numFmtId="0" fontId="11" fillId="0" borderId="28" xfId="40" applyFont="1" applyFill="1" applyBorder="1" applyAlignment="1">
      <alignment horizontal="center" vertical="center" wrapText="1"/>
    </xf>
    <xf numFmtId="0" fontId="7" fillId="0" borderId="29" xfId="40" applyFont="1" applyFill="1" applyBorder="1" applyAlignment="1">
      <alignment horizontal="center" vertical="center" wrapText="1"/>
    </xf>
    <xf numFmtId="0" fontId="7" fillId="0" borderId="30" xfId="40" applyFont="1" applyFill="1" applyBorder="1" applyAlignment="1">
      <alignment horizontal="center" vertical="center" wrapText="1"/>
    </xf>
    <xf numFmtId="0" fontId="8" fillId="0" borderId="2" xfId="40" applyFont="1" applyFill="1" applyBorder="1" applyAlignment="1" applyProtection="1">
      <alignment horizontal="center" vertical="center"/>
      <protection locked="0"/>
    </xf>
    <xf numFmtId="0" fontId="43" fillId="0" borderId="17" xfId="40" applyFont="1" applyFill="1" applyBorder="1" applyAlignment="1">
      <alignment horizontal="center" vertical="center" wrapText="1"/>
    </xf>
    <xf numFmtId="0" fontId="43" fillId="0" borderId="11" xfId="40" applyFont="1" applyFill="1" applyBorder="1" applyAlignment="1">
      <alignment horizontal="center" vertical="center" wrapText="1"/>
    </xf>
    <xf numFmtId="0" fontId="43" fillId="0" borderId="16" xfId="40" applyFont="1" applyFill="1" applyBorder="1" applyAlignment="1">
      <alignment horizontal="center" vertical="center" wrapText="1"/>
    </xf>
    <xf numFmtId="0" fontId="7" fillId="34" borderId="17" xfId="40" applyFont="1" applyFill="1" applyBorder="1" applyAlignment="1">
      <alignment horizontal="center" vertical="center" wrapText="1"/>
    </xf>
    <xf numFmtId="0" fontId="7" fillId="34" borderId="11" xfId="40" applyFont="1" applyFill="1" applyBorder="1" applyAlignment="1">
      <alignment horizontal="center" vertical="center" wrapText="1"/>
    </xf>
    <xf numFmtId="0" fontId="7" fillId="34" borderId="16" xfId="40" applyFont="1" applyFill="1" applyBorder="1" applyAlignment="1">
      <alignment horizontal="center" vertical="center" wrapText="1"/>
    </xf>
    <xf numFmtId="0" fontId="7" fillId="0" borderId="18" xfId="41" applyFont="1" applyFill="1" applyBorder="1" applyAlignment="1">
      <alignment horizontal="center" vertical="center" wrapText="1"/>
    </xf>
    <xf numFmtId="0" fontId="7" fillId="0" borderId="12" xfId="41" applyFont="1" applyFill="1" applyBorder="1" applyAlignment="1">
      <alignment horizontal="center" vertical="center" wrapText="1"/>
    </xf>
    <xf numFmtId="0" fontId="7" fillId="0" borderId="6" xfId="41" applyFont="1" applyFill="1" applyBorder="1" applyAlignment="1">
      <alignment horizontal="center" vertical="center" wrapText="1"/>
    </xf>
    <xf numFmtId="0" fontId="7" fillId="0" borderId="21" xfId="40" applyFont="1" applyFill="1" applyBorder="1" applyAlignment="1">
      <alignment horizontal="center" vertical="center" wrapText="1"/>
    </xf>
    <xf numFmtId="0" fontId="7" fillId="0" borderId="14" xfId="40" applyFont="1" applyFill="1" applyBorder="1" applyAlignment="1">
      <alignment horizontal="center" vertical="center" wrapText="1"/>
    </xf>
    <xf numFmtId="0" fontId="7" fillId="0" borderId="8" xfId="40" applyFont="1" applyFill="1" applyBorder="1" applyAlignment="1">
      <alignment horizontal="center" vertical="center" wrapText="1"/>
    </xf>
    <xf numFmtId="0" fontId="7" fillId="0" borderId="18" xfId="40" applyFont="1" applyFill="1" applyBorder="1" applyAlignment="1">
      <alignment horizontal="center" vertical="center" wrapText="1"/>
    </xf>
    <xf numFmtId="0" fontId="7" fillId="0" borderId="12" xfId="40" applyFont="1" applyFill="1" applyBorder="1" applyAlignment="1">
      <alignment horizontal="center" vertical="center" wrapText="1"/>
    </xf>
    <xf numFmtId="0" fontId="7" fillId="0" borderId="6" xfId="40" applyFont="1" applyFill="1" applyBorder="1" applyAlignment="1">
      <alignment horizontal="center" vertical="center" wrapText="1"/>
    </xf>
    <xf numFmtId="0" fontId="14" fillId="0" borderId="0" xfId="41" applyFont="1" applyFill="1" applyBorder="1" applyAlignment="1">
      <alignment horizontal="center" vertical="center"/>
    </xf>
    <xf numFmtId="0" fontId="42" fillId="0" borderId="0" xfId="41" applyFont="1" applyFill="1" applyBorder="1" applyAlignment="1">
      <alignment horizontal="center" vertical="center"/>
    </xf>
    <xf numFmtId="0" fontId="41" fillId="0" borderId="2" xfId="40" applyFont="1" applyFill="1" applyBorder="1" applyAlignment="1">
      <alignment horizontal="left" vertical="center"/>
    </xf>
    <xf numFmtId="0" fontId="41" fillId="0" borderId="0" xfId="0" applyFont="1" applyFill="1" applyAlignment="1">
      <alignment horizontal="center" vertical="center"/>
    </xf>
    <xf numFmtId="0" fontId="55" fillId="43" borderId="47" xfId="0" applyFont="1" applyFill="1" applyBorder="1" applyAlignment="1" applyProtection="1">
      <alignment horizontal="left" vertical="center"/>
    </xf>
    <xf numFmtId="0" fontId="55" fillId="43" borderId="48" xfId="0" applyFont="1" applyFill="1" applyBorder="1" applyAlignment="1" applyProtection="1">
      <alignment horizontal="left" vertical="center"/>
    </xf>
    <xf numFmtId="0" fontId="23" fillId="37" borderId="0" xfId="0" applyFont="1" applyFill="1" applyBorder="1" applyAlignment="1" applyProtection="1">
      <alignment horizontal="center"/>
      <protection locked="0" hidden="1"/>
    </xf>
    <xf numFmtId="0" fontId="55" fillId="43" borderId="0" xfId="0" applyFont="1" applyFill="1" applyBorder="1" applyAlignment="1" applyProtection="1">
      <alignment horizontal="left" vertical="center"/>
    </xf>
  </cellXfs>
  <cellStyles count="56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Açıklama Metni" xfId="19" builtinId="53" customBuiltin="1"/>
    <cellStyle name="Ana Başlık 2" xfId="20" xr:uid="{4757191C-CA20-4B47-BE8F-29BEA5605827}"/>
    <cellStyle name="askın" xfId="21" xr:uid="{33754E23-DFBE-472C-8DB2-F839C04735CB}"/>
    <cellStyle name="Bağlı Hücre" xfId="22" builtinId="24" customBuiltin="1"/>
    <cellStyle name="Başlık 1" xfId="23" builtinId="16" customBuiltin="1"/>
    <cellStyle name="Başlık 2" xfId="24" builtinId="17" customBuiltin="1"/>
    <cellStyle name="Başlık 3" xfId="25" builtinId="18" customBuiltin="1"/>
    <cellStyle name="Başlık 4" xfId="26" builtinId="19" customBuiltin="1"/>
    <cellStyle name="Comma [0]_BOS_NAKİT" xfId="27" xr:uid="{E2D390CF-C419-4D6F-AE03-F82EBD2BBAD0}"/>
    <cellStyle name="Comma_BOS_NAKİT" xfId="28" xr:uid="{CD9EACA4-D8C4-40F5-9F69-58F34F016226}"/>
    <cellStyle name="Currency [0]_BOS_NAKİT" xfId="29" xr:uid="{CDE05672-037B-4590-9F03-9C011C9F765D}"/>
    <cellStyle name="Currency_BOS_NAKİT" xfId="30" xr:uid="{39FC9051-50E4-492D-8D61-1E776590C558}"/>
    <cellStyle name="Çıkış" xfId="31" builtinId="21" customBuiltin="1"/>
    <cellStyle name="Giriş" xfId="32" builtinId="20" customBuiltin="1"/>
    <cellStyle name="Hesaplama" xfId="33" builtinId="22" customBuiltin="1"/>
    <cellStyle name="İşaretli Hücre" xfId="34" builtinId="23" customBuiltin="1"/>
    <cellStyle name="İyi" xfId="35" builtinId="26" customBuiltin="1"/>
    <cellStyle name="Kötü" xfId="36" builtinId="27" customBuiltin="1"/>
    <cellStyle name="Normal" xfId="0" builtinId="0"/>
    <cellStyle name="Normal 2" xfId="37" xr:uid="{0A2701D9-549D-4396-ABB8-DD87BDC2C7B8}"/>
    <cellStyle name="Normal 2 2" xfId="38" xr:uid="{CF0E370F-24A4-43EB-903B-CC4C39A44428}"/>
    <cellStyle name="Normal 3" xfId="39" xr:uid="{F93D3363-B7F3-4A4A-9226-6AB80CC9BA8A}"/>
    <cellStyle name="Normal_Kısmı Zamanlı USTA ÖĞRETİCİLER 2008-ERGİN YEDEK" xfId="40" xr:uid="{DF02E742-8D4B-4E07-9F16-E9D0B28826B7}"/>
    <cellStyle name="Normal_Kısmı Zamanlı USTA ÖĞRETİCİLER 2008-ERGİN YEDEK 2" xfId="41" xr:uid="{63BF51ED-4F22-4DC2-8482-9B595EF37155}"/>
    <cellStyle name="Not 2" xfId="42" xr:uid="{8F6D7C1D-CAAB-434C-AAD6-715D0881655D}"/>
    <cellStyle name="Nötr" xfId="43" builtinId="28" customBuiltin="1"/>
    <cellStyle name="ParaBirimi 2" xfId="44" xr:uid="{431213C2-1F9D-47C5-8881-78A37BCF0507}"/>
    <cellStyle name="Toplam" xfId="45" builtinId="25" customBuiltin="1"/>
    <cellStyle name="Uyarı Metni" xfId="46" builtinId="11" customBuiltin="1"/>
    <cellStyle name="Virgül" xfId="47" builtinId="3"/>
    <cellStyle name="Virgül [0]_Arşiv" xfId="48" xr:uid="{FD580184-3DA2-4FE3-B921-847961AA454E}"/>
    <cellStyle name="Virgül 2" xfId="49" xr:uid="{6782B253-37EE-4560-BB66-A3AA7A9026E3}"/>
    <cellStyle name="Vurgu1" xfId="50" builtinId="29" customBuiltin="1"/>
    <cellStyle name="Vurgu2" xfId="51" builtinId="33" customBuiltin="1"/>
    <cellStyle name="Vurgu3" xfId="52" builtinId="37" customBuiltin="1"/>
    <cellStyle name="Vurgu4" xfId="53" builtinId="41" customBuiltin="1"/>
    <cellStyle name="Vurgu5" xfId="54" builtinId="45" customBuiltin="1"/>
    <cellStyle name="Vurgu6" xfId="55" builtinId="49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EE2F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EBF8FF"/>
      <rgbColor rgb="00FFFF00"/>
      <rgbColor rgb="0000FFFF"/>
      <rgbColor rgb="00800080"/>
      <rgbColor rgb="00800000"/>
      <rgbColor rgb="00008080"/>
      <rgbColor rgb="000000FF"/>
      <rgbColor rgb="0000CCFF"/>
      <rgbColor rgb="00E1FFFF"/>
      <rgbColor rgb="00E1FFE1"/>
      <rgbColor rgb="00FFFFE5"/>
      <rgbColor rgb="00D9E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617220</xdr:colOff>
      <xdr:row>0</xdr:row>
      <xdr:rowOff>68580</xdr:rowOff>
    </xdr:from>
    <xdr:to>
      <xdr:col>5</xdr:col>
      <xdr:colOff>1127760</xdr:colOff>
      <xdr:row>5</xdr:row>
      <xdr:rowOff>0</xdr:rowOff>
    </xdr:to>
    <xdr:pic>
      <xdr:nvPicPr>
        <xdr:cNvPr id="5226" name="Picture 1">
          <a:extLst>
            <a:ext uri="{FF2B5EF4-FFF2-40B4-BE49-F238E27FC236}">
              <a16:creationId xmlns:a16="http://schemas.microsoft.com/office/drawing/2014/main" id="{1B90CD9C-8347-89F9-AF44-C54D6FA10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3" t="7848" r="4349" b="25887"/>
        <a:stretch>
          <a:fillRect/>
        </a:stretch>
      </xdr:blipFill>
      <xdr:spPr bwMode="auto">
        <a:xfrm>
          <a:off x="5745480" y="68580"/>
          <a:ext cx="33756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artvin\Payla&#351;&#305;m%20Dosyas&#305;\Users\mustafa.erkeles\Desktop\MUH%20SGK\may&#305;s%20bahar%20sonnn%202020%20t&#252;m%20maa&#351;%20ve%20sigorta%20kesenek%20bes\nisan%20%20FAZLA%20&#199;ALI&#350;MA\fazla%20&#231;al&#305;&#351;malar\martmaas\&#246;zl&#252;k%20bil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uhasebat.gov.tr/Documents%20and%20Settings/Administrator/Local%20Settings/Temporary%20Internet%20Files/Content.IE5/VLJMCPFO/Son/DS&#304;MY%20Ekl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şlık"/>
      <sheetName val="tahakkuk müzekkeresi_1"/>
      <sheetName val="SAİ_yeni_2"/>
      <sheetName val="Env_Bilanço Defteri_5"/>
      <sheetName val="5_1"/>
      <sheetName val="5_2"/>
      <sheetName val="5_3"/>
      <sheetName val="5_4"/>
      <sheetName val="5_5"/>
      <sheetName val="5_6"/>
      <sheetName val="5_7"/>
      <sheetName val="5_8"/>
      <sheetName val="5_9"/>
      <sheetName val="5_10"/>
      <sheetName val="5_11"/>
      <sheetName val="5_12"/>
      <sheetName val="Günlük Kasa Defteri_6"/>
      <sheetName val="vezne alındısı_7"/>
      <sheetName val="sayman mutemedi alındısı_8"/>
      <sheetName val="banka kredi alındısı_9"/>
      <sheetName val="mahsup alındısı_10"/>
      <sheetName val="menkul kıymetler alındısı_11"/>
      <sheetName val="teslimat müzekkeresi_1_12"/>
      <sheetName val="teslimat müzekkeresi_2_12"/>
      <sheetName val="gönderme emri_13"/>
      <sheetName val="Ayniyat Alındısı_yeni_14"/>
      <sheetName val="ambar stok cıkıs fısı_15"/>
      <sheetName val="Stok_HAr_Def_16"/>
      <sheetName val="DipKoçanı_yeni_17"/>
      <sheetName val="Duran_Var_18"/>
      <sheetName val="İhtiyaç Pusulası_19"/>
      <sheetName val="Maliyet Pusulası_20"/>
      <sheetName val="Sipariş Pusulası_21"/>
      <sheetName val="İmalat Def._22"/>
      <sheetName val="Aylık Mizan_23"/>
      <sheetName val="Döner Ser.Aylık Has.Bild._24"/>
      <sheetName val="Döner Ser.Yıllık Has.Bild._25"/>
      <sheetName val="kesin mizan_26"/>
      <sheetName val="faaliyet raporu_27"/>
      <sheetName val="faaliyet raporu II_27"/>
      <sheetName val="faaliyet raporuIII_27_1"/>
      <sheetName val="faaliyet raporuIII_27_2"/>
      <sheetName val="faaliyet raporuIII_27_3"/>
      <sheetName val="faaliyet raporuIII_27_4"/>
      <sheetName val="faaliyet raporu IV_27"/>
      <sheetName val="faaliyet raporu V_27"/>
      <sheetName val="faaliyet raporu VI_27"/>
      <sheetName val="Fon_Ak_Tab"/>
      <sheetName val="Nakit "/>
      <sheetName val="Say.İl.Cet_28"/>
      <sheetName val="kayıt bıldırımı_29"/>
      <sheetName val="döner ser.hesap kartı_30"/>
      <sheetName val="kadro defteri_31"/>
      <sheetName val="kadro ve aylık kartı_32"/>
      <sheetName val="dava defteri_33"/>
      <sheetName val="alındı kayıt defteri_34"/>
      <sheetName val="Arşiv Defteri_35"/>
      <sheetName val="Devir Cetveli_36"/>
      <sheetName val="Devir Cetveli_36_1"/>
      <sheetName val="Devir Cetveli_36_2"/>
      <sheetName val="Devir Cetveli_36_3"/>
      <sheetName val="Devir Cetveli_36_4"/>
      <sheetName val="Devir Cetveli_36_5"/>
      <sheetName val="Devir Cetveli_36_6"/>
      <sheetName val="Devir Cetveli_36_7"/>
      <sheetName val="Devir Cetveli_36_8"/>
      <sheetName val="Devir Cetveli_36_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9B0A-B6A5-430A-A408-D4410250058C}">
  <sheetPr>
    <pageSetUpPr fitToPage="1"/>
  </sheetPr>
  <dimension ref="A1:AU201"/>
  <sheetViews>
    <sheetView zoomScale="115" zoomScaleNormal="115" workbookViewId="0">
      <pane ySplit="4" topLeftCell="A183" activePane="bottomLeft" state="frozen"/>
      <selection pane="bottomLeft" activeCell="A186" sqref="A186"/>
    </sheetView>
  </sheetViews>
  <sheetFormatPr defaultColWidth="9.109375" defaultRowHeight="13.5" customHeight="1" x14ac:dyDescent="0.2"/>
  <cols>
    <col min="1" max="1" width="31.109375" style="36" bestFit="1" customWidth="1"/>
    <col min="2" max="2" width="5" style="36" bestFit="1" customWidth="1"/>
    <col min="3" max="3" width="12" style="36" bestFit="1" customWidth="1"/>
    <col min="4" max="4" width="26.5546875" style="36" customWidth="1"/>
    <col min="5" max="5" width="14.33203125" style="36" customWidth="1"/>
    <col min="6" max="35" width="2.88671875" style="36" customWidth="1"/>
    <col min="36" max="36" width="3.33203125" style="36" customWidth="1"/>
    <col min="37" max="37" width="7.33203125" style="36" customWidth="1"/>
    <col min="38" max="38" width="10.44140625" style="36" customWidth="1"/>
    <col min="39" max="39" width="20.6640625" style="36" customWidth="1"/>
    <col min="40" max="40" width="13.109375" style="36" customWidth="1"/>
    <col min="41" max="41" width="11.44140625" style="36" customWidth="1"/>
    <col min="42" max="42" width="4.33203125" style="36" customWidth="1"/>
    <col min="43" max="43" width="13.109375" style="36" hidden="1" customWidth="1"/>
    <col min="44" max="44" width="0" style="36" hidden="1" customWidth="1"/>
    <col min="45" max="45" width="0.44140625" style="36" hidden="1" customWidth="1"/>
    <col min="46" max="46" width="9.109375" style="36"/>
    <col min="47" max="47" width="19.33203125" style="36" bestFit="1" customWidth="1"/>
    <col min="48" max="16384" width="9.109375" style="36"/>
  </cols>
  <sheetData>
    <row r="1" spans="1:47" ht="13.5" customHeight="1" x14ac:dyDescent="0.3">
      <c r="B1" s="210" t="s">
        <v>787</v>
      </c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108"/>
      <c r="AM1" s="108"/>
      <c r="AN1" s="109" t="s">
        <v>80</v>
      </c>
      <c r="AO1" s="110">
        <v>2025</v>
      </c>
      <c r="AP1" s="111"/>
      <c r="AQ1" s="111"/>
      <c r="AR1" s="111"/>
      <c r="AS1" s="111"/>
      <c r="AT1" s="111"/>
    </row>
    <row r="2" spans="1:47" ht="13.5" customHeight="1" thickBot="1" x14ac:dyDescent="0.35"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112"/>
      <c r="AM2" s="112"/>
      <c r="AN2" s="109" t="s">
        <v>81</v>
      </c>
      <c r="AO2" s="110" t="s">
        <v>93</v>
      </c>
      <c r="AP2" s="113"/>
      <c r="AQ2" s="113"/>
      <c r="AR2" s="111"/>
      <c r="AS2" s="111"/>
      <c r="AT2" s="111"/>
    </row>
    <row r="3" spans="1:47" ht="13.5" customHeight="1" x14ac:dyDescent="0.3">
      <c r="B3" s="204" t="s">
        <v>61</v>
      </c>
      <c r="C3" s="204"/>
      <c r="D3" s="204"/>
      <c r="E3" s="204"/>
      <c r="F3" s="211">
        <f>VLOOKUP($AO$2,$AQ$4:$AS$17,2,0)</f>
        <v>45992</v>
      </c>
      <c r="G3" s="200">
        <f>IF(MONTH(F3)=MONTH(F3+1),F3+1,"")</f>
        <v>45993</v>
      </c>
      <c r="H3" s="200">
        <f t="shared" ref="H3:AJ3" si="0">IF(MONTH(G3)=MONTH(G3+1),G3+1,"")</f>
        <v>45994</v>
      </c>
      <c r="I3" s="200">
        <f t="shared" si="0"/>
        <v>45995</v>
      </c>
      <c r="J3" s="200">
        <f t="shared" si="0"/>
        <v>45996</v>
      </c>
      <c r="K3" s="200">
        <f t="shared" si="0"/>
        <v>45997</v>
      </c>
      <c r="L3" s="200">
        <f t="shared" si="0"/>
        <v>45998</v>
      </c>
      <c r="M3" s="200">
        <f t="shared" si="0"/>
        <v>45999</v>
      </c>
      <c r="N3" s="200">
        <f t="shared" si="0"/>
        <v>46000</v>
      </c>
      <c r="O3" s="200">
        <f t="shared" si="0"/>
        <v>46001</v>
      </c>
      <c r="P3" s="200">
        <f t="shared" si="0"/>
        <v>46002</v>
      </c>
      <c r="Q3" s="200">
        <f t="shared" si="0"/>
        <v>46003</v>
      </c>
      <c r="R3" s="200">
        <f t="shared" si="0"/>
        <v>46004</v>
      </c>
      <c r="S3" s="200">
        <f t="shared" si="0"/>
        <v>46005</v>
      </c>
      <c r="T3" s="200">
        <f t="shared" si="0"/>
        <v>46006</v>
      </c>
      <c r="U3" s="200">
        <f t="shared" si="0"/>
        <v>46007</v>
      </c>
      <c r="V3" s="200">
        <f t="shared" si="0"/>
        <v>46008</v>
      </c>
      <c r="W3" s="200">
        <f t="shared" si="0"/>
        <v>46009</v>
      </c>
      <c r="X3" s="200">
        <f t="shared" si="0"/>
        <v>46010</v>
      </c>
      <c r="Y3" s="200">
        <f t="shared" si="0"/>
        <v>46011</v>
      </c>
      <c r="Z3" s="200">
        <f t="shared" si="0"/>
        <v>46012</v>
      </c>
      <c r="AA3" s="200">
        <f t="shared" si="0"/>
        <v>46013</v>
      </c>
      <c r="AB3" s="200">
        <f t="shared" si="0"/>
        <v>46014</v>
      </c>
      <c r="AC3" s="200">
        <f t="shared" si="0"/>
        <v>46015</v>
      </c>
      <c r="AD3" s="200">
        <f t="shared" si="0"/>
        <v>46016</v>
      </c>
      <c r="AE3" s="200">
        <f t="shared" si="0"/>
        <v>46017</v>
      </c>
      <c r="AF3" s="200">
        <f t="shared" si="0"/>
        <v>46018</v>
      </c>
      <c r="AG3" s="200">
        <f t="shared" si="0"/>
        <v>46019</v>
      </c>
      <c r="AH3" s="200">
        <f t="shared" si="0"/>
        <v>46020</v>
      </c>
      <c r="AI3" s="200">
        <f t="shared" si="0"/>
        <v>46021</v>
      </c>
      <c r="AJ3" s="202">
        <f t="shared" si="0"/>
        <v>46022</v>
      </c>
      <c r="AK3" s="205" t="s">
        <v>65</v>
      </c>
      <c r="AL3" s="205" t="s">
        <v>66</v>
      </c>
      <c r="AM3" s="207" t="s">
        <v>98</v>
      </c>
      <c r="AN3" s="209" t="s">
        <v>104</v>
      </c>
      <c r="AO3" s="209"/>
      <c r="AP3" s="114"/>
      <c r="AQ3" s="113"/>
      <c r="AR3" s="111"/>
      <c r="AS3" s="111"/>
      <c r="AT3" s="111"/>
    </row>
    <row r="4" spans="1:47" ht="105.75" customHeight="1" thickBot="1" x14ac:dyDescent="0.35">
      <c r="A4" s="144" t="s">
        <v>97</v>
      </c>
      <c r="B4" s="145" t="s">
        <v>62</v>
      </c>
      <c r="C4" s="145" t="s">
        <v>63</v>
      </c>
      <c r="D4" s="199" t="s">
        <v>64</v>
      </c>
      <c r="E4" s="199"/>
      <c r="F4" s="212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3"/>
      <c r="AK4" s="206"/>
      <c r="AL4" s="206"/>
      <c r="AM4" s="208"/>
      <c r="AN4" s="102" t="s">
        <v>67</v>
      </c>
      <c r="AO4" s="102" t="s">
        <v>68</v>
      </c>
      <c r="AP4" s="115"/>
      <c r="AQ4" s="116" t="s">
        <v>94</v>
      </c>
      <c r="AR4" s="116" t="s">
        <v>96</v>
      </c>
      <c r="AS4" s="116" t="s">
        <v>95</v>
      </c>
      <c r="AT4" s="111">
        <f>SUM(AK6:AK194)</f>
        <v>2240</v>
      </c>
      <c r="AU4" s="95"/>
    </row>
    <row r="5" spans="1:47" ht="13.5" customHeight="1" x14ac:dyDescent="0.3">
      <c r="A5" s="62"/>
      <c r="B5" s="145"/>
      <c r="C5" s="96"/>
      <c r="D5" s="97"/>
      <c r="E5" s="98"/>
      <c r="F5" s="99">
        <f t="shared" ref="F5:AJ5" si="1">WEEKDAY(F3,2)</f>
        <v>1</v>
      </c>
      <c r="G5" s="99">
        <f t="shared" si="1"/>
        <v>2</v>
      </c>
      <c r="H5" s="99">
        <f t="shared" si="1"/>
        <v>3</v>
      </c>
      <c r="I5" s="99">
        <f t="shared" si="1"/>
        <v>4</v>
      </c>
      <c r="J5" s="99">
        <f t="shared" si="1"/>
        <v>5</v>
      </c>
      <c r="K5" s="99">
        <f t="shared" si="1"/>
        <v>6</v>
      </c>
      <c r="L5" s="99">
        <f t="shared" si="1"/>
        <v>7</v>
      </c>
      <c r="M5" s="99">
        <f t="shared" si="1"/>
        <v>1</v>
      </c>
      <c r="N5" s="99">
        <f t="shared" si="1"/>
        <v>2</v>
      </c>
      <c r="O5" s="99">
        <f t="shared" si="1"/>
        <v>3</v>
      </c>
      <c r="P5" s="99">
        <f t="shared" si="1"/>
        <v>4</v>
      </c>
      <c r="Q5" s="99">
        <f t="shared" si="1"/>
        <v>5</v>
      </c>
      <c r="R5" s="99">
        <f t="shared" si="1"/>
        <v>6</v>
      </c>
      <c r="S5" s="99">
        <f t="shared" si="1"/>
        <v>7</v>
      </c>
      <c r="T5" s="99">
        <f t="shared" si="1"/>
        <v>1</v>
      </c>
      <c r="U5" s="99">
        <f t="shared" si="1"/>
        <v>2</v>
      </c>
      <c r="V5" s="99">
        <f t="shared" si="1"/>
        <v>3</v>
      </c>
      <c r="W5" s="99">
        <f t="shared" si="1"/>
        <v>4</v>
      </c>
      <c r="X5" s="99">
        <f t="shared" si="1"/>
        <v>5</v>
      </c>
      <c r="Y5" s="99">
        <f t="shared" si="1"/>
        <v>6</v>
      </c>
      <c r="Z5" s="99">
        <f t="shared" si="1"/>
        <v>7</v>
      </c>
      <c r="AA5" s="99">
        <f t="shared" si="1"/>
        <v>1</v>
      </c>
      <c r="AB5" s="99">
        <f t="shared" si="1"/>
        <v>2</v>
      </c>
      <c r="AC5" s="99">
        <f t="shared" si="1"/>
        <v>3</v>
      </c>
      <c r="AD5" s="99">
        <f t="shared" si="1"/>
        <v>4</v>
      </c>
      <c r="AE5" s="99">
        <f t="shared" si="1"/>
        <v>5</v>
      </c>
      <c r="AF5" s="99">
        <f t="shared" si="1"/>
        <v>6</v>
      </c>
      <c r="AG5" s="99">
        <f t="shared" si="1"/>
        <v>7</v>
      </c>
      <c r="AH5" s="99">
        <f t="shared" si="1"/>
        <v>1</v>
      </c>
      <c r="AI5" s="99">
        <f t="shared" si="1"/>
        <v>2</v>
      </c>
      <c r="AJ5" s="99">
        <f t="shared" si="1"/>
        <v>3</v>
      </c>
      <c r="AK5" s="100"/>
      <c r="AL5" s="101"/>
      <c r="AM5" s="101"/>
      <c r="AN5" s="102"/>
      <c r="AO5" s="102"/>
      <c r="AP5" s="114"/>
      <c r="AQ5" s="116"/>
      <c r="AR5" s="116"/>
      <c r="AS5" s="116"/>
      <c r="AT5" s="111"/>
    </row>
    <row r="6" spans="1:47" ht="13.5" customHeight="1" x14ac:dyDescent="0.3">
      <c r="A6" s="121" t="s">
        <v>604</v>
      </c>
      <c r="B6" s="103">
        <v>1</v>
      </c>
      <c r="C6" s="169" t="s">
        <v>107</v>
      </c>
      <c r="D6" s="121" t="s">
        <v>294</v>
      </c>
      <c r="E6" s="171" t="s">
        <v>295</v>
      </c>
      <c r="F6" s="91"/>
      <c r="G6" s="91"/>
      <c r="H6" s="91" t="s">
        <v>833</v>
      </c>
      <c r="I6" s="91" t="s">
        <v>833</v>
      </c>
      <c r="J6" s="91" t="s">
        <v>833</v>
      </c>
      <c r="K6" s="91"/>
      <c r="L6" s="91"/>
      <c r="M6" s="91"/>
      <c r="N6" s="91"/>
      <c r="O6" s="91" t="s">
        <v>833</v>
      </c>
      <c r="P6" s="91" t="s">
        <v>833</v>
      </c>
      <c r="Q6" s="91" t="s">
        <v>833</v>
      </c>
      <c r="R6" s="91"/>
      <c r="S6" s="91"/>
      <c r="T6" s="91"/>
      <c r="U6" s="91"/>
      <c r="V6" s="91" t="s">
        <v>833</v>
      </c>
      <c r="W6" s="91" t="s">
        <v>833</v>
      </c>
      <c r="X6" s="91" t="s">
        <v>833</v>
      </c>
      <c r="Y6" s="91"/>
      <c r="Z6" s="91"/>
      <c r="AA6" s="91"/>
      <c r="AB6" s="91"/>
      <c r="AC6" s="91" t="s">
        <v>833</v>
      </c>
      <c r="AD6" s="91" t="s">
        <v>833</v>
      </c>
      <c r="AE6" s="91" t="s">
        <v>833</v>
      </c>
      <c r="AF6" s="91"/>
      <c r="AG6" s="91"/>
      <c r="AH6" s="91"/>
      <c r="AI6" s="91"/>
      <c r="AJ6" s="91" t="s">
        <v>833</v>
      </c>
      <c r="AK6" s="104">
        <f t="shared" ref="AK6:AK21" si="2">+COUNTIF(F6:AJ6,"X")+COUNTIF(F6:AJ6,"E")</f>
        <v>13</v>
      </c>
      <c r="AL6" s="105">
        <f t="shared" ref="AL6:AL21" si="3">+COUNTIF(F6:AJ6,"R")+COUNTIF(F6:AJ6,"T")+COUNTIF(F6:AJ6,"İ")</f>
        <v>0</v>
      </c>
      <c r="AM6" s="105">
        <f t="shared" ref="AM6:AM21" si="4">+COUNTIF(F6:AJ6,"İ")</f>
        <v>0</v>
      </c>
      <c r="AN6" s="123">
        <v>45985</v>
      </c>
      <c r="AO6" s="106"/>
      <c r="AP6" s="117"/>
      <c r="AQ6" s="85" t="s">
        <v>82</v>
      </c>
      <c r="AR6" s="118">
        <v>45658</v>
      </c>
      <c r="AS6" s="118">
        <f>EOMONTH(AR6,0)</f>
        <v>45688</v>
      </c>
      <c r="AT6" s="104">
        <f>+COUNTIF(F6:AJ194,"X")+COUNTIF(F6:AJ193,"E")</f>
        <v>2240</v>
      </c>
    </row>
    <row r="7" spans="1:47" ht="13.5" customHeight="1" x14ac:dyDescent="0.3">
      <c r="A7" s="121" t="s">
        <v>605</v>
      </c>
      <c r="B7" s="103">
        <v>2</v>
      </c>
      <c r="C7" s="169" t="s">
        <v>108</v>
      </c>
      <c r="D7" s="121" t="s">
        <v>296</v>
      </c>
      <c r="E7" s="171" t="s">
        <v>297</v>
      </c>
      <c r="F7" s="91" t="s">
        <v>833</v>
      </c>
      <c r="G7" s="91"/>
      <c r="H7" s="193" t="s">
        <v>833</v>
      </c>
      <c r="I7" s="91"/>
      <c r="J7" s="93"/>
      <c r="K7" s="91"/>
      <c r="L7" s="91"/>
      <c r="M7" s="91" t="s">
        <v>833</v>
      </c>
      <c r="N7" s="91"/>
      <c r="O7" s="91"/>
      <c r="P7" s="93"/>
      <c r="Q7" s="91"/>
      <c r="R7" s="91"/>
      <c r="S7" s="91"/>
      <c r="T7" s="91" t="s">
        <v>833</v>
      </c>
      <c r="U7" s="91"/>
      <c r="V7" s="91"/>
      <c r="W7" s="91"/>
      <c r="X7" s="91"/>
      <c r="Y7" s="91"/>
      <c r="Z7" s="91"/>
      <c r="AA7" s="91" t="s">
        <v>833</v>
      </c>
      <c r="AB7" s="91"/>
      <c r="AC7" s="91"/>
      <c r="AD7" s="91"/>
      <c r="AE7" s="93"/>
      <c r="AF7" s="91"/>
      <c r="AG7" s="91"/>
      <c r="AH7" s="91" t="s">
        <v>833</v>
      </c>
      <c r="AI7" s="91"/>
      <c r="AJ7" s="91"/>
      <c r="AK7" s="104">
        <f>+COUNTIF(F7:AJ7,"X")+COUNTIF(F7:AJ7,"E")</f>
        <v>6</v>
      </c>
      <c r="AL7" s="105">
        <f t="shared" si="3"/>
        <v>0</v>
      </c>
      <c r="AM7" s="105">
        <f t="shared" si="4"/>
        <v>0</v>
      </c>
      <c r="AN7" s="123">
        <v>45985</v>
      </c>
      <c r="AO7" s="106"/>
      <c r="AP7" s="84"/>
      <c r="AQ7" s="85" t="s">
        <v>83</v>
      </c>
      <c r="AR7" s="86">
        <v>45689</v>
      </c>
      <c r="AS7" s="86">
        <f t="shared" ref="AS7:AS17" si="5">EOMONTH(AR7,0)</f>
        <v>45716</v>
      </c>
      <c r="AT7" s="82"/>
    </row>
    <row r="8" spans="1:47" ht="13.5" customHeight="1" x14ac:dyDescent="0.3">
      <c r="A8" s="121" t="s">
        <v>606</v>
      </c>
      <c r="B8" s="103">
        <v>3</v>
      </c>
      <c r="C8" s="169" t="s">
        <v>109</v>
      </c>
      <c r="D8" s="121" t="s">
        <v>298</v>
      </c>
      <c r="E8" s="171" t="s">
        <v>299</v>
      </c>
      <c r="F8" s="91"/>
      <c r="G8" s="91"/>
      <c r="H8" s="91" t="s">
        <v>833</v>
      </c>
      <c r="I8" s="91" t="s">
        <v>833</v>
      </c>
      <c r="J8" s="91" t="s">
        <v>833</v>
      </c>
      <c r="K8" s="91"/>
      <c r="L8" s="91"/>
      <c r="M8" s="91"/>
      <c r="N8" s="91"/>
      <c r="O8" s="91" t="s">
        <v>833</v>
      </c>
      <c r="P8" s="91" t="s">
        <v>833</v>
      </c>
      <c r="Q8" s="91" t="s">
        <v>833</v>
      </c>
      <c r="R8" s="91"/>
      <c r="S8" s="91"/>
      <c r="T8" s="91"/>
      <c r="U8" s="91"/>
      <c r="V8" s="91" t="s">
        <v>833</v>
      </c>
      <c r="W8" s="91" t="s">
        <v>833</v>
      </c>
      <c r="X8" s="91" t="s">
        <v>833</v>
      </c>
      <c r="Y8" s="91"/>
      <c r="Z8" s="91"/>
      <c r="AA8" s="91"/>
      <c r="AB8" s="91"/>
      <c r="AC8" s="91" t="s">
        <v>833</v>
      </c>
      <c r="AD8" s="91" t="s">
        <v>833</v>
      </c>
      <c r="AE8" s="91" t="s">
        <v>833</v>
      </c>
      <c r="AF8" s="91"/>
      <c r="AG8" s="91"/>
      <c r="AH8" s="91" t="s">
        <v>833</v>
      </c>
      <c r="AI8" s="91" t="s">
        <v>833</v>
      </c>
      <c r="AJ8" s="91"/>
      <c r="AK8" s="104">
        <f>+COUNTIF(F8:AJ8,"X")+COUNTIF(F8:AJ8,"E")</f>
        <v>14</v>
      </c>
      <c r="AL8" s="105">
        <f t="shared" si="3"/>
        <v>0</v>
      </c>
      <c r="AM8" s="105">
        <f t="shared" si="4"/>
        <v>0</v>
      </c>
      <c r="AN8" s="123">
        <v>45985</v>
      </c>
      <c r="AO8" s="106"/>
      <c r="AP8" s="84"/>
      <c r="AQ8" s="85" t="s">
        <v>84</v>
      </c>
      <c r="AR8" s="86">
        <v>45717</v>
      </c>
      <c r="AS8" s="86">
        <f t="shared" si="5"/>
        <v>45747</v>
      </c>
      <c r="AT8" s="82"/>
    </row>
    <row r="9" spans="1:47" ht="13.5" customHeight="1" x14ac:dyDescent="0.3">
      <c r="A9" s="121" t="s">
        <v>607</v>
      </c>
      <c r="B9" s="103">
        <v>4</v>
      </c>
      <c r="C9" s="169" t="s">
        <v>110</v>
      </c>
      <c r="D9" s="121" t="s">
        <v>300</v>
      </c>
      <c r="E9" s="171" t="s">
        <v>301</v>
      </c>
      <c r="F9" s="91"/>
      <c r="G9" s="91"/>
      <c r="H9" s="91" t="s">
        <v>833</v>
      </c>
      <c r="I9" s="91"/>
      <c r="J9" s="91" t="s">
        <v>833</v>
      </c>
      <c r="K9" s="91" t="s">
        <v>833</v>
      </c>
      <c r="L9" s="91"/>
      <c r="M9" s="91"/>
      <c r="N9" s="91"/>
      <c r="O9" s="91" t="s">
        <v>833</v>
      </c>
      <c r="P9" s="91"/>
      <c r="Q9" s="91" t="s">
        <v>833</v>
      </c>
      <c r="R9" s="91" t="s">
        <v>833</v>
      </c>
      <c r="S9" s="91"/>
      <c r="T9" s="91"/>
      <c r="U9" s="91"/>
      <c r="V9" s="91" t="s">
        <v>833</v>
      </c>
      <c r="W9" s="91"/>
      <c r="X9" s="91" t="s">
        <v>833</v>
      </c>
      <c r="Y9" s="91" t="s">
        <v>833</v>
      </c>
      <c r="Z9" s="91"/>
      <c r="AA9" s="91"/>
      <c r="AB9" s="91"/>
      <c r="AC9" s="91" t="s">
        <v>833</v>
      </c>
      <c r="AD9" s="91"/>
      <c r="AE9" s="91" t="s">
        <v>833</v>
      </c>
      <c r="AF9" s="91" t="s">
        <v>833</v>
      </c>
      <c r="AG9" s="91"/>
      <c r="AH9" s="91"/>
      <c r="AI9" s="91"/>
      <c r="AJ9" s="91" t="s">
        <v>833</v>
      </c>
      <c r="AK9" s="104">
        <f t="shared" si="2"/>
        <v>13</v>
      </c>
      <c r="AL9" s="105">
        <f t="shared" si="3"/>
        <v>0</v>
      </c>
      <c r="AM9" s="105">
        <f t="shared" si="4"/>
        <v>0</v>
      </c>
      <c r="AN9" s="123">
        <v>45985</v>
      </c>
      <c r="AO9" s="106"/>
      <c r="AP9" s="84"/>
      <c r="AQ9" s="85" t="s">
        <v>85</v>
      </c>
      <c r="AR9" s="86">
        <v>45748</v>
      </c>
      <c r="AS9" s="86">
        <f t="shared" si="5"/>
        <v>45777</v>
      </c>
      <c r="AT9" s="82"/>
    </row>
    <row r="10" spans="1:47" ht="13.5" customHeight="1" x14ac:dyDescent="0.3">
      <c r="A10" s="121" t="s">
        <v>608</v>
      </c>
      <c r="B10" s="103">
        <v>5</v>
      </c>
      <c r="C10" s="169" t="s">
        <v>111</v>
      </c>
      <c r="D10" s="121" t="s">
        <v>302</v>
      </c>
      <c r="E10" s="171" t="s">
        <v>303</v>
      </c>
      <c r="F10" s="91" t="s">
        <v>833</v>
      </c>
      <c r="G10" s="91"/>
      <c r="H10" s="91"/>
      <c r="I10" s="91" t="s">
        <v>833</v>
      </c>
      <c r="J10" s="91" t="s">
        <v>833</v>
      </c>
      <c r="K10" s="91"/>
      <c r="L10" s="91"/>
      <c r="M10" s="91" t="s">
        <v>833</v>
      </c>
      <c r="N10" s="91"/>
      <c r="O10" s="91"/>
      <c r="P10" s="91" t="s">
        <v>833</v>
      </c>
      <c r="Q10" s="91" t="s">
        <v>833</v>
      </c>
      <c r="R10" s="91"/>
      <c r="S10" s="91"/>
      <c r="T10" s="91" t="s">
        <v>833</v>
      </c>
      <c r="U10" s="91"/>
      <c r="V10" s="91"/>
      <c r="W10" s="91" t="s">
        <v>833</v>
      </c>
      <c r="X10" s="91" t="s">
        <v>833</v>
      </c>
      <c r="Y10" s="91"/>
      <c r="Z10" s="91"/>
      <c r="AA10" s="91" t="s">
        <v>833</v>
      </c>
      <c r="AB10" s="91"/>
      <c r="AC10" s="91"/>
      <c r="AD10" s="91" t="s">
        <v>833</v>
      </c>
      <c r="AE10" s="91" t="s">
        <v>833</v>
      </c>
      <c r="AF10" s="91"/>
      <c r="AG10" s="91"/>
      <c r="AH10" s="91" t="s">
        <v>833</v>
      </c>
      <c r="AI10" s="91" t="s">
        <v>833</v>
      </c>
      <c r="AJ10" s="91"/>
      <c r="AK10" s="104">
        <f t="shared" si="2"/>
        <v>14</v>
      </c>
      <c r="AL10" s="105">
        <f t="shared" si="3"/>
        <v>0</v>
      </c>
      <c r="AM10" s="105">
        <f t="shared" si="4"/>
        <v>0</v>
      </c>
      <c r="AN10" s="123">
        <v>45985</v>
      </c>
      <c r="AO10" s="106"/>
      <c r="AP10" s="84"/>
      <c r="AQ10" s="85" t="s">
        <v>86</v>
      </c>
      <c r="AR10" s="86">
        <v>45778</v>
      </c>
      <c r="AS10" s="86">
        <f t="shared" si="5"/>
        <v>45808</v>
      </c>
      <c r="AT10" s="82"/>
    </row>
    <row r="11" spans="1:47" ht="13.5" customHeight="1" x14ac:dyDescent="0.3">
      <c r="A11" s="121" t="s">
        <v>838</v>
      </c>
      <c r="B11" s="103">
        <v>6</v>
      </c>
      <c r="C11" s="169" t="s">
        <v>112</v>
      </c>
      <c r="D11" s="121" t="s">
        <v>304</v>
      </c>
      <c r="E11" s="171" t="s">
        <v>305</v>
      </c>
      <c r="F11" s="91" t="s">
        <v>833</v>
      </c>
      <c r="G11" s="91"/>
      <c r="H11" s="91"/>
      <c r="I11" s="91"/>
      <c r="J11" s="91"/>
      <c r="K11" s="91"/>
      <c r="L11" s="91"/>
      <c r="M11" s="196" t="s">
        <v>836</v>
      </c>
      <c r="N11" s="91"/>
      <c r="O11" s="91"/>
      <c r="P11" s="91"/>
      <c r="Q11" s="91"/>
      <c r="R11" s="91"/>
      <c r="S11" s="91"/>
      <c r="T11" s="91" t="s">
        <v>833</v>
      </c>
      <c r="U11" s="91"/>
      <c r="V11" s="91"/>
      <c r="W11" s="91"/>
      <c r="X11" s="91"/>
      <c r="Y11" s="91"/>
      <c r="Z11" s="91"/>
      <c r="AA11" s="91" t="s">
        <v>833</v>
      </c>
      <c r="AB11" s="91"/>
      <c r="AC11" s="91"/>
      <c r="AD11" s="91"/>
      <c r="AE11" s="91"/>
      <c r="AF11" s="91"/>
      <c r="AG11" s="91"/>
      <c r="AH11" s="91" t="s">
        <v>833</v>
      </c>
      <c r="AI11" s="91"/>
      <c r="AJ11" s="91"/>
      <c r="AK11" s="104">
        <f t="shared" si="2"/>
        <v>4</v>
      </c>
      <c r="AL11" s="105">
        <f t="shared" si="3"/>
        <v>1</v>
      </c>
      <c r="AM11" s="105">
        <f t="shared" si="4"/>
        <v>0</v>
      </c>
      <c r="AN11" s="123">
        <v>45985</v>
      </c>
      <c r="AO11" s="106"/>
      <c r="AP11" s="84"/>
      <c r="AQ11" s="85" t="s">
        <v>87</v>
      </c>
      <c r="AR11" s="86">
        <v>45809</v>
      </c>
      <c r="AS11" s="86">
        <f t="shared" si="5"/>
        <v>45838</v>
      </c>
      <c r="AT11" s="82"/>
    </row>
    <row r="12" spans="1:47" ht="13.5" customHeight="1" x14ac:dyDescent="0.3">
      <c r="A12" s="121" t="s">
        <v>609</v>
      </c>
      <c r="B12" s="103">
        <v>7</v>
      </c>
      <c r="C12" s="169" t="s">
        <v>113</v>
      </c>
      <c r="D12" s="121" t="s">
        <v>306</v>
      </c>
      <c r="E12" s="171" t="s">
        <v>307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104">
        <f t="shared" si="2"/>
        <v>0</v>
      </c>
      <c r="AL12" s="105">
        <f t="shared" si="3"/>
        <v>0</v>
      </c>
      <c r="AM12" s="105">
        <f t="shared" si="4"/>
        <v>0</v>
      </c>
      <c r="AN12" s="123">
        <v>45985</v>
      </c>
      <c r="AO12" s="106">
        <v>46022</v>
      </c>
      <c r="AP12" s="84"/>
      <c r="AQ12" s="85" t="s">
        <v>88</v>
      </c>
      <c r="AR12" s="86">
        <v>45839</v>
      </c>
      <c r="AS12" s="86">
        <f t="shared" si="5"/>
        <v>45869</v>
      </c>
      <c r="AT12" s="82"/>
    </row>
    <row r="13" spans="1:47" ht="13.5" customHeight="1" x14ac:dyDescent="0.3">
      <c r="A13" s="121" t="s">
        <v>610</v>
      </c>
      <c r="B13" s="103">
        <v>8</v>
      </c>
      <c r="C13" s="169" t="s">
        <v>114</v>
      </c>
      <c r="D13" s="121" t="s">
        <v>308</v>
      </c>
      <c r="E13" s="171" t="s">
        <v>309</v>
      </c>
      <c r="F13" s="91"/>
      <c r="G13" s="91"/>
      <c r="H13" s="91"/>
      <c r="I13" s="91"/>
      <c r="J13" s="91" t="s">
        <v>833</v>
      </c>
      <c r="K13" s="91" t="s">
        <v>833</v>
      </c>
      <c r="L13" s="91" t="s">
        <v>833</v>
      </c>
      <c r="M13" s="91"/>
      <c r="N13" s="91"/>
      <c r="O13" s="91"/>
      <c r="P13" s="91"/>
      <c r="Q13" s="91" t="s">
        <v>833</v>
      </c>
      <c r="R13" s="91" t="s">
        <v>833</v>
      </c>
      <c r="S13" s="91" t="s">
        <v>833</v>
      </c>
      <c r="T13" s="91"/>
      <c r="U13" s="91"/>
      <c r="V13" s="91"/>
      <c r="W13" s="91"/>
      <c r="X13" s="91" t="s">
        <v>833</v>
      </c>
      <c r="Y13" s="91" t="s">
        <v>833</v>
      </c>
      <c r="Z13" s="91" t="s">
        <v>833</v>
      </c>
      <c r="AA13" s="91"/>
      <c r="AB13" s="91"/>
      <c r="AC13" s="91"/>
      <c r="AD13" s="91"/>
      <c r="AE13" s="91" t="s">
        <v>833</v>
      </c>
      <c r="AF13" s="91" t="s">
        <v>833</v>
      </c>
      <c r="AG13" s="91" t="s">
        <v>833</v>
      </c>
      <c r="AH13" s="91"/>
      <c r="AI13" s="91"/>
      <c r="AJ13" s="91"/>
      <c r="AK13" s="104">
        <f t="shared" si="2"/>
        <v>12</v>
      </c>
      <c r="AL13" s="105">
        <f t="shared" si="3"/>
        <v>0</v>
      </c>
      <c r="AM13" s="105">
        <f t="shared" si="4"/>
        <v>0</v>
      </c>
      <c r="AN13" s="123">
        <v>45985</v>
      </c>
      <c r="AO13" s="106"/>
      <c r="AP13" s="84"/>
      <c r="AQ13" s="85" t="s">
        <v>89</v>
      </c>
      <c r="AR13" s="86">
        <v>45870</v>
      </c>
      <c r="AS13" s="86">
        <f t="shared" si="5"/>
        <v>45900</v>
      </c>
      <c r="AT13" s="82"/>
    </row>
    <row r="14" spans="1:47" ht="13.5" customHeight="1" x14ac:dyDescent="0.3">
      <c r="A14" s="121" t="s">
        <v>611</v>
      </c>
      <c r="B14" s="103">
        <v>9</v>
      </c>
      <c r="C14" s="169" t="s">
        <v>115</v>
      </c>
      <c r="D14" s="121" t="s">
        <v>310</v>
      </c>
      <c r="E14" s="171" t="s">
        <v>311</v>
      </c>
      <c r="F14" s="91"/>
      <c r="G14" s="91" t="s">
        <v>833</v>
      </c>
      <c r="H14" s="91" t="s">
        <v>833</v>
      </c>
      <c r="I14" s="91"/>
      <c r="J14" s="91" t="s">
        <v>833</v>
      </c>
      <c r="K14" s="91"/>
      <c r="L14" s="91"/>
      <c r="M14" s="91"/>
      <c r="N14" s="91" t="s">
        <v>833</v>
      </c>
      <c r="O14" s="91" t="s">
        <v>833</v>
      </c>
      <c r="P14" s="91"/>
      <c r="Q14" s="91" t="s">
        <v>833</v>
      </c>
      <c r="R14" s="91"/>
      <c r="S14" s="91"/>
      <c r="T14" s="91"/>
      <c r="U14" s="91" t="s">
        <v>833</v>
      </c>
      <c r="V14" s="91" t="s">
        <v>833</v>
      </c>
      <c r="W14" s="91"/>
      <c r="X14" s="91" t="s">
        <v>833</v>
      </c>
      <c r="Y14" s="91"/>
      <c r="Z14" s="91"/>
      <c r="AA14" s="91"/>
      <c r="AB14" s="91" t="s">
        <v>833</v>
      </c>
      <c r="AC14" s="91" t="s">
        <v>833</v>
      </c>
      <c r="AD14" s="91"/>
      <c r="AE14" s="91" t="s">
        <v>833</v>
      </c>
      <c r="AF14" s="91"/>
      <c r="AG14" s="91"/>
      <c r="AH14" s="91"/>
      <c r="AI14" s="91" t="s">
        <v>833</v>
      </c>
      <c r="AJ14" s="91" t="s">
        <v>833</v>
      </c>
      <c r="AK14" s="104">
        <f t="shared" si="2"/>
        <v>14</v>
      </c>
      <c r="AL14" s="105">
        <f t="shared" si="3"/>
        <v>0</v>
      </c>
      <c r="AM14" s="105">
        <f t="shared" si="4"/>
        <v>0</v>
      </c>
      <c r="AN14" s="123">
        <v>45985</v>
      </c>
      <c r="AO14" s="106"/>
      <c r="AP14" s="84"/>
      <c r="AQ14" s="85" t="s">
        <v>90</v>
      </c>
      <c r="AR14" s="86">
        <v>45901</v>
      </c>
      <c r="AS14" s="86">
        <f t="shared" si="5"/>
        <v>45930</v>
      </c>
      <c r="AT14" s="82"/>
    </row>
    <row r="15" spans="1:47" ht="13.5" customHeight="1" x14ac:dyDescent="0.3">
      <c r="A15" s="121" t="s">
        <v>612</v>
      </c>
      <c r="B15" s="103">
        <v>10</v>
      </c>
      <c r="C15" s="169" t="s">
        <v>116</v>
      </c>
      <c r="D15" s="121" t="s">
        <v>312</v>
      </c>
      <c r="E15" s="171" t="s">
        <v>313</v>
      </c>
      <c r="F15" s="91"/>
      <c r="G15" s="91"/>
      <c r="H15" s="91" t="s">
        <v>833</v>
      </c>
      <c r="I15" s="91" t="s">
        <v>833</v>
      </c>
      <c r="J15" s="91" t="s">
        <v>833</v>
      </c>
      <c r="K15" s="91"/>
      <c r="L15" s="91"/>
      <c r="M15" s="91" t="s">
        <v>833</v>
      </c>
      <c r="N15" s="91"/>
      <c r="O15" s="91"/>
      <c r="P15" s="91" t="s">
        <v>833</v>
      </c>
      <c r="Q15" s="91" t="s">
        <v>833</v>
      </c>
      <c r="R15" s="91"/>
      <c r="S15" s="91"/>
      <c r="T15" s="91" t="s">
        <v>833</v>
      </c>
      <c r="U15" s="91" t="s">
        <v>833</v>
      </c>
      <c r="V15" s="91" t="s">
        <v>833</v>
      </c>
      <c r="W15" s="91"/>
      <c r="X15" s="91"/>
      <c r="Y15" s="91"/>
      <c r="Z15" s="91"/>
      <c r="AA15" s="91"/>
      <c r="AB15" s="91" t="s">
        <v>833</v>
      </c>
      <c r="AC15" s="91" t="s">
        <v>833</v>
      </c>
      <c r="AD15" s="91" t="s">
        <v>833</v>
      </c>
      <c r="AE15" s="91"/>
      <c r="AF15" s="91"/>
      <c r="AG15" s="91"/>
      <c r="AH15" s="91" t="s">
        <v>833</v>
      </c>
      <c r="AI15" s="91" t="s">
        <v>833</v>
      </c>
      <c r="AJ15" s="91" t="s">
        <v>833</v>
      </c>
      <c r="AK15" s="104">
        <f t="shared" si="2"/>
        <v>15</v>
      </c>
      <c r="AL15" s="105">
        <f t="shared" si="3"/>
        <v>0</v>
      </c>
      <c r="AM15" s="105">
        <f t="shared" si="4"/>
        <v>0</v>
      </c>
      <c r="AN15" s="123">
        <v>45985</v>
      </c>
      <c r="AO15" s="106"/>
      <c r="AP15" s="84"/>
      <c r="AQ15" s="85" t="s">
        <v>91</v>
      </c>
      <c r="AR15" s="86">
        <v>45931</v>
      </c>
      <c r="AS15" s="86">
        <f t="shared" si="5"/>
        <v>45961</v>
      </c>
      <c r="AT15" s="82"/>
    </row>
    <row r="16" spans="1:47" ht="13.5" customHeight="1" x14ac:dyDescent="0.3">
      <c r="A16" s="121" t="s">
        <v>613</v>
      </c>
      <c r="B16" s="103">
        <v>11</v>
      </c>
      <c r="C16" s="169" t="s">
        <v>117</v>
      </c>
      <c r="D16" s="121" t="s">
        <v>314</v>
      </c>
      <c r="E16" s="171" t="s">
        <v>315</v>
      </c>
      <c r="F16" s="91"/>
      <c r="G16" s="91"/>
      <c r="H16" s="91"/>
      <c r="I16" s="91"/>
      <c r="J16" s="91" t="s">
        <v>833</v>
      </c>
      <c r="K16" s="91"/>
      <c r="L16" s="91"/>
      <c r="M16" s="91"/>
      <c r="N16" s="91"/>
      <c r="O16" s="91"/>
      <c r="P16" s="91"/>
      <c r="Q16" s="91" t="s">
        <v>833</v>
      </c>
      <c r="R16" s="91"/>
      <c r="S16" s="91"/>
      <c r="T16" s="91"/>
      <c r="U16" s="91"/>
      <c r="V16" s="91"/>
      <c r="W16" s="91"/>
      <c r="X16" s="91" t="s">
        <v>833</v>
      </c>
      <c r="Y16" s="91"/>
      <c r="Z16" s="91"/>
      <c r="AA16" s="91"/>
      <c r="AB16" s="91"/>
      <c r="AC16" s="91"/>
      <c r="AD16" s="91"/>
      <c r="AE16" s="91" t="s">
        <v>833</v>
      </c>
      <c r="AF16" s="91"/>
      <c r="AG16" s="91"/>
      <c r="AH16" s="91"/>
      <c r="AI16" s="91"/>
      <c r="AJ16" s="91" t="s">
        <v>833</v>
      </c>
      <c r="AK16" s="104">
        <f t="shared" si="2"/>
        <v>5</v>
      </c>
      <c r="AL16" s="105">
        <f t="shared" si="3"/>
        <v>0</v>
      </c>
      <c r="AM16" s="105">
        <f t="shared" si="4"/>
        <v>0</v>
      </c>
      <c r="AN16" s="123">
        <v>45985</v>
      </c>
      <c r="AO16" s="106"/>
      <c r="AP16" s="84"/>
      <c r="AQ16" s="85" t="s">
        <v>92</v>
      </c>
      <c r="AR16" s="86">
        <v>45962</v>
      </c>
      <c r="AS16" s="86">
        <f t="shared" si="5"/>
        <v>45991</v>
      </c>
      <c r="AT16" s="82"/>
    </row>
    <row r="17" spans="1:46" ht="13.5" customHeight="1" x14ac:dyDescent="0.3">
      <c r="A17" s="121" t="s">
        <v>614</v>
      </c>
      <c r="B17" s="103">
        <v>12</v>
      </c>
      <c r="C17" s="169" t="s">
        <v>118</v>
      </c>
      <c r="D17" s="121" t="s">
        <v>316</v>
      </c>
      <c r="E17" s="171" t="s">
        <v>317</v>
      </c>
      <c r="F17" s="91" t="s">
        <v>833</v>
      </c>
      <c r="G17" s="91"/>
      <c r="H17" s="91"/>
      <c r="I17" s="91" t="s">
        <v>833</v>
      </c>
      <c r="J17" s="91" t="s">
        <v>833</v>
      </c>
      <c r="K17" s="91"/>
      <c r="L17" s="91"/>
      <c r="M17" s="91" t="s">
        <v>833</v>
      </c>
      <c r="N17" s="91"/>
      <c r="O17" s="91"/>
      <c r="P17" s="91" t="s">
        <v>833</v>
      </c>
      <c r="Q17" s="91" t="s">
        <v>833</v>
      </c>
      <c r="R17" s="91"/>
      <c r="S17" s="91"/>
      <c r="T17" s="91" t="s">
        <v>833</v>
      </c>
      <c r="U17" s="91"/>
      <c r="V17" s="91"/>
      <c r="W17" s="91" t="s">
        <v>833</v>
      </c>
      <c r="X17" s="91" t="s">
        <v>833</v>
      </c>
      <c r="Y17" s="91"/>
      <c r="Z17" s="91"/>
      <c r="AA17" s="91" t="s">
        <v>833</v>
      </c>
      <c r="AB17" s="91"/>
      <c r="AC17" s="91"/>
      <c r="AD17" s="91" t="s">
        <v>833</v>
      </c>
      <c r="AE17" s="91" t="s">
        <v>833</v>
      </c>
      <c r="AF17" s="91"/>
      <c r="AG17" s="91"/>
      <c r="AH17" s="91"/>
      <c r="AI17" s="91"/>
      <c r="AJ17" s="91"/>
      <c r="AK17" s="104">
        <f t="shared" si="2"/>
        <v>12</v>
      </c>
      <c r="AL17" s="105">
        <f t="shared" si="3"/>
        <v>0</v>
      </c>
      <c r="AM17" s="105">
        <f t="shared" si="4"/>
        <v>0</v>
      </c>
      <c r="AN17" s="123">
        <v>45985</v>
      </c>
      <c r="AO17" s="106"/>
      <c r="AP17" s="84"/>
      <c r="AQ17" s="85" t="s">
        <v>93</v>
      </c>
      <c r="AR17" s="86">
        <v>45992</v>
      </c>
      <c r="AS17" s="86">
        <f t="shared" si="5"/>
        <v>46022</v>
      </c>
      <c r="AT17" s="82"/>
    </row>
    <row r="18" spans="1:46" ht="13.5" customHeight="1" x14ac:dyDescent="0.3">
      <c r="A18" s="121" t="s">
        <v>826</v>
      </c>
      <c r="B18" s="103">
        <v>13</v>
      </c>
      <c r="C18" s="169" t="s">
        <v>119</v>
      </c>
      <c r="D18" s="121" t="s">
        <v>316</v>
      </c>
      <c r="E18" s="171" t="s">
        <v>318</v>
      </c>
      <c r="F18" s="91" t="s">
        <v>833</v>
      </c>
      <c r="G18" s="91"/>
      <c r="H18" s="91"/>
      <c r="I18" s="91"/>
      <c r="J18" s="91"/>
      <c r="K18" s="91" t="s">
        <v>833</v>
      </c>
      <c r="L18" s="91" t="s">
        <v>833</v>
      </c>
      <c r="M18" s="91" t="s">
        <v>833</v>
      </c>
      <c r="N18" s="91"/>
      <c r="O18" s="91"/>
      <c r="P18" s="91"/>
      <c r="Q18" s="91"/>
      <c r="R18" s="91" t="s">
        <v>833</v>
      </c>
      <c r="S18" s="91" t="s">
        <v>833</v>
      </c>
      <c r="T18" s="91" t="s">
        <v>833</v>
      </c>
      <c r="U18" s="91"/>
      <c r="V18" s="91"/>
      <c r="W18" s="91"/>
      <c r="X18" s="91"/>
      <c r="Y18" s="91" t="s">
        <v>833</v>
      </c>
      <c r="Z18" s="91" t="s">
        <v>833</v>
      </c>
      <c r="AA18" s="91" t="s">
        <v>833</v>
      </c>
      <c r="AB18" s="91"/>
      <c r="AC18" s="91"/>
      <c r="AD18" s="91"/>
      <c r="AE18" s="91"/>
      <c r="AF18" s="91" t="s">
        <v>833</v>
      </c>
      <c r="AG18" s="91" t="s">
        <v>833</v>
      </c>
      <c r="AH18" s="91" t="s">
        <v>833</v>
      </c>
      <c r="AI18" s="91"/>
      <c r="AJ18" s="91"/>
      <c r="AK18" s="104">
        <f t="shared" si="2"/>
        <v>13</v>
      </c>
      <c r="AL18" s="105">
        <f t="shared" si="3"/>
        <v>0</v>
      </c>
      <c r="AM18" s="105">
        <f t="shared" si="4"/>
        <v>0</v>
      </c>
      <c r="AN18" s="123">
        <v>45985</v>
      </c>
      <c r="AO18" s="106"/>
      <c r="AP18" s="84"/>
      <c r="AQ18" s="88"/>
      <c r="AR18" s="84"/>
      <c r="AS18" s="84"/>
      <c r="AT18" s="82"/>
    </row>
    <row r="19" spans="1:46" ht="13.5" customHeight="1" x14ac:dyDescent="0.3">
      <c r="A19" s="121" t="s">
        <v>615</v>
      </c>
      <c r="B19" s="103">
        <v>14</v>
      </c>
      <c r="C19" s="169" t="s">
        <v>120</v>
      </c>
      <c r="D19" s="121" t="s">
        <v>319</v>
      </c>
      <c r="E19" s="171" t="s">
        <v>320</v>
      </c>
      <c r="F19" s="91" t="s">
        <v>833</v>
      </c>
      <c r="G19" s="91"/>
      <c r="H19" s="91" t="s">
        <v>833</v>
      </c>
      <c r="I19" s="91"/>
      <c r="J19" s="91" t="s">
        <v>833</v>
      </c>
      <c r="K19" s="91"/>
      <c r="L19" s="91"/>
      <c r="M19" s="91" t="s">
        <v>833</v>
      </c>
      <c r="N19" s="91"/>
      <c r="O19" s="91" t="s">
        <v>833</v>
      </c>
      <c r="P19" s="91"/>
      <c r="Q19" s="91" t="s">
        <v>833</v>
      </c>
      <c r="R19" s="91"/>
      <c r="S19" s="91"/>
      <c r="T19" s="91" t="s">
        <v>833</v>
      </c>
      <c r="U19" s="91"/>
      <c r="V19" s="91" t="s">
        <v>833</v>
      </c>
      <c r="W19" s="91"/>
      <c r="X19" s="91" t="s">
        <v>833</v>
      </c>
      <c r="Y19" s="91"/>
      <c r="Z19" s="91"/>
      <c r="AA19" s="91" t="s">
        <v>833</v>
      </c>
      <c r="AB19" s="91"/>
      <c r="AC19" s="91" t="s">
        <v>833</v>
      </c>
      <c r="AD19" s="91"/>
      <c r="AE19" s="195" t="s">
        <v>837</v>
      </c>
      <c r="AF19" s="91"/>
      <c r="AG19" s="91"/>
      <c r="AH19" s="91" t="s">
        <v>833</v>
      </c>
      <c r="AI19" s="91"/>
      <c r="AJ19" s="91" t="s">
        <v>833</v>
      </c>
      <c r="AK19" s="104">
        <f t="shared" si="2"/>
        <v>13</v>
      </c>
      <c r="AL19" s="105">
        <f t="shared" si="3"/>
        <v>1</v>
      </c>
      <c r="AM19" s="105">
        <f t="shared" si="4"/>
        <v>1</v>
      </c>
      <c r="AN19" s="123">
        <v>45985</v>
      </c>
      <c r="AO19" s="106"/>
      <c r="AP19" s="84"/>
      <c r="AQ19" s="89"/>
      <c r="AR19" s="84"/>
      <c r="AS19" s="84"/>
      <c r="AT19" s="82"/>
    </row>
    <row r="20" spans="1:46" ht="13.5" customHeight="1" x14ac:dyDescent="0.3">
      <c r="A20" s="121" t="s">
        <v>616</v>
      </c>
      <c r="B20" s="103">
        <v>15</v>
      </c>
      <c r="C20" s="169" t="s">
        <v>121</v>
      </c>
      <c r="D20" s="121" t="s">
        <v>321</v>
      </c>
      <c r="E20" s="171" t="s">
        <v>322</v>
      </c>
      <c r="F20" s="91" t="s">
        <v>833</v>
      </c>
      <c r="G20" s="91" t="s">
        <v>833</v>
      </c>
      <c r="H20" s="91" t="s">
        <v>833</v>
      </c>
      <c r="I20" s="91"/>
      <c r="J20" s="91"/>
      <c r="K20" s="91"/>
      <c r="L20" s="91"/>
      <c r="M20" s="91" t="s">
        <v>833</v>
      </c>
      <c r="N20" s="91" t="s">
        <v>833</v>
      </c>
      <c r="O20" s="91" t="s">
        <v>833</v>
      </c>
      <c r="P20" s="91"/>
      <c r="Q20" s="91"/>
      <c r="R20" s="91"/>
      <c r="S20" s="91"/>
      <c r="T20" s="91" t="s">
        <v>833</v>
      </c>
      <c r="U20" s="91" t="s">
        <v>833</v>
      </c>
      <c r="V20" s="91" t="s">
        <v>833</v>
      </c>
      <c r="W20" s="91"/>
      <c r="X20" s="91"/>
      <c r="Y20" s="91"/>
      <c r="Z20" s="91"/>
      <c r="AA20" s="91" t="s">
        <v>833</v>
      </c>
      <c r="AB20" s="91" t="s">
        <v>833</v>
      </c>
      <c r="AC20" s="91" t="s">
        <v>833</v>
      </c>
      <c r="AD20" s="91"/>
      <c r="AE20" s="91"/>
      <c r="AF20" s="91"/>
      <c r="AG20" s="91"/>
      <c r="AH20" s="195" t="s">
        <v>837</v>
      </c>
      <c r="AI20" s="195" t="s">
        <v>837</v>
      </c>
      <c r="AJ20" s="91" t="s">
        <v>833</v>
      </c>
      <c r="AK20" s="104">
        <f t="shared" si="2"/>
        <v>13</v>
      </c>
      <c r="AL20" s="105">
        <f t="shared" si="3"/>
        <v>2</v>
      </c>
      <c r="AM20" s="105">
        <f t="shared" si="4"/>
        <v>2</v>
      </c>
      <c r="AN20" s="123">
        <v>45985</v>
      </c>
      <c r="AO20" s="106"/>
      <c r="AP20" s="84"/>
      <c r="AQ20" s="84"/>
      <c r="AR20" s="84"/>
      <c r="AS20" s="84"/>
      <c r="AT20" s="82"/>
    </row>
    <row r="21" spans="1:46" ht="13.5" customHeight="1" x14ac:dyDescent="0.3">
      <c r="A21" s="121" t="s">
        <v>617</v>
      </c>
      <c r="B21" s="103">
        <v>16</v>
      </c>
      <c r="C21" s="169" t="s">
        <v>122</v>
      </c>
      <c r="D21" s="121" t="s">
        <v>321</v>
      </c>
      <c r="E21" s="171" t="s">
        <v>323</v>
      </c>
      <c r="F21" s="91"/>
      <c r="G21" s="91"/>
      <c r="H21" s="91" t="s">
        <v>833</v>
      </c>
      <c r="I21" s="91" t="s">
        <v>833</v>
      </c>
      <c r="J21" s="91" t="s">
        <v>833</v>
      </c>
      <c r="K21" s="91"/>
      <c r="L21" s="91"/>
      <c r="M21" s="91"/>
      <c r="N21" s="91"/>
      <c r="O21" s="91" t="s">
        <v>833</v>
      </c>
      <c r="P21" s="91" t="s">
        <v>833</v>
      </c>
      <c r="Q21" s="91" t="s">
        <v>833</v>
      </c>
      <c r="R21" s="91"/>
      <c r="S21" s="91"/>
      <c r="T21" s="91"/>
      <c r="U21" s="91"/>
      <c r="V21" s="91" t="s">
        <v>833</v>
      </c>
      <c r="W21" s="91" t="s">
        <v>833</v>
      </c>
      <c r="X21" s="91" t="s">
        <v>833</v>
      </c>
      <c r="Y21" s="91"/>
      <c r="Z21" s="91"/>
      <c r="AA21" s="91"/>
      <c r="AB21" s="91"/>
      <c r="AC21" s="91" t="s">
        <v>833</v>
      </c>
      <c r="AD21" s="91" t="s">
        <v>833</v>
      </c>
      <c r="AE21" s="91" t="s">
        <v>833</v>
      </c>
      <c r="AF21" s="91"/>
      <c r="AG21" s="91"/>
      <c r="AH21" s="91"/>
      <c r="AI21" s="91"/>
      <c r="AJ21" s="91"/>
      <c r="AK21" s="104">
        <f t="shared" si="2"/>
        <v>12</v>
      </c>
      <c r="AL21" s="105">
        <f t="shared" si="3"/>
        <v>0</v>
      </c>
      <c r="AM21" s="105">
        <f t="shared" si="4"/>
        <v>0</v>
      </c>
      <c r="AN21" s="123">
        <v>45985</v>
      </c>
      <c r="AO21" s="106"/>
      <c r="AP21" s="84"/>
      <c r="AQ21" s="84"/>
      <c r="AR21" s="84"/>
      <c r="AS21" s="84"/>
      <c r="AT21" s="82"/>
    </row>
    <row r="22" spans="1:46" ht="13.5" customHeight="1" x14ac:dyDescent="0.3">
      <c r="A22" s="121" t="s">
        <v>618</v>
      </c>
      <c r="B22" s="103">
        <v>17</v>
      </c>
      <c r="C22" s="169" t="s">
        <v>123</v>
      </c>
      <c r="D22" s="121" t="s">
        <v>324</v>
      </c>
      <c r="E22" s="171" t="s">
        <v>325</v>
      </c>
      <c r="F22" s="91"/>
      <c r="G22" s="91" t="s">
        <v>833</v>
      </c>
      <c r="H22" s="91" t="s">
        <v>833</v>
      </c>
      <c r="I22" s="91"/>
      <c r="J22" s="91" t="s">
        <v>833</v>
      </c>
      <c r="K22" s="91"/>
      <c r="L22" s="91"/>
      <c r="M22" s="91"/>
      <c r="N22" s="91" t="s">
        <v>833</v>
      </c>
      <c r="O22" s="91" t="s">
        <v>833</v>
      </c>
      <c r="P22" s="91"/>
      <c r="Q22" s="91" t="s">
        <v>833</v>
      </c>
      <c r="R22" s="91"/>
      <c r="S22" s="91"/>
      <c r="T22" s="91"/>
      <c r="U22" s="91" t="s">
        <v>833</v>
      </c>
      <c r="V22" s="91" t="s">
        <v>833</v>
      </c>
      <c r="W22" s="91"/>
      <c r="X22" s="91" t="s">
        <v>833</v>
      </c>
      <c r="Y22" s="91"/>
      <c r="Z22" s="91"/>
      <c r="AA22" s="91"/>
      <c r="AB22" s="91" t="s">
        <v>833</v>
      </c>
      <c r="AC22" s="91" t="s">
        <v>833</v>
      </c>
      <c r="AD22" s="91"/>
      <c r="AE22" s="91" t="s">
        <v>833</v>
      </c>
      <c r="AF22" s="91"/>
      <c r="AG22" s="91"/>
      <c r="AH22" s="91"/>
      <c r="AI22" s="91" t="s">
        <v>833</v>
      </c>
      <c r="AJ22" s="91" t="s">
        <v>833</v>
      </c>
      <c r="AK22" s="104">
        <f t="shared" ref="AK22:AK53" si="6">+COUNTIF(F22:AJ22,"X")+COUNTIF(F22:AJ22,"E")</f>
        <v>14</v>
      </c>
      <c r="AL22" s="105">
        <f t="shared" ref="AL22:AL53" si="7">+COUNTIF(F22:AJ22,"R")+COUNTIF(F22:AJ22,"T")+COUNTIF(F22:AJ22,"İ")</f>
        <v>0</v>
      </c>
      <c r="AM22" s="105">
        <f t="shared" ref="AM22:AM53" si="8">+COUNTIF(F22:AJ22,"İ")</f>
        <v>0</v>
      </c>
      <c r="AN22" s="123">
        <v>45985</v>
      </c>
      <c r="AO22" s="106"/>
      <c r="AP22" s="84"/>
      <c r="AQ22" s="84"/>
      <c r="AR22" s="84"/>
      <c r="AS22" s="84"/>
      <c r="AT22" s="82"/>
    </row>
    <row r="23" spans="1:46" ht="13.5" customHeight="1" x14ac:dyDescent="0.3">
      <c r="A23" s="121" t="s">
        <v>820</v>
      </c>
      <c r="B23" s="103">
        <v>18</v>
      </c>
      <c r="C23" s="169" t="s">
        <v>124</v>
      </c>
      <c r="D23" s="121" t="s">
        <v>326</v>
      </c>
      <c r="E23" s="171" t="s">
        <v>327</v>
      </c>
      <c r="F23" s="91"/>
      <c r="G23" s="91"/>
      <c r="H23" s="91" t="s">
        <v>833</v>
      </c>
      <c r="I23" s="91" t="s">
        <v>833</v>
      </c>
      <c r="J23" s="91" t="s">
        <v>833</v>
      </c>
      <c r="K23" s="91"/>
      <c r="L23" s="91"/>
      <c r="M23" s="91"/>
      <c r="N23" s="91"/>
      <c r="O23" s="91" t="s">
        <v>833</v>
      </c>
      <c r="P23" s="91" t="s">
        <v>833</v>
      </c>
      <c r="Q23" s="91" t="s">
        <v>833</v>
      </c>
      <c r="R23" s="91"/>
      <c r="S23" s="91"/>
      <c r="T23" s="91"/>
      <c r="U23" s="91"/>
      <c r="V23" s="91" t="s">
        <v>833</v>
      </c>
      <c r="W23" s="91" t="s">
        <v>833</v>
      </c>
      <c r="X23" s="91" t="s">
        <v>833</v>
      </c>
      <c r="Y23" s="91"/>
      <c r="Z23" s="91"/>
      <c r="AA23" s="91"/>
      <c r="AB23" s="91"/>
      <c r="AC23" s="91" t="s">
        <v>833</v>
      </c>
      <c r="AD23" s="91" t="s">
        <v>833</v>
      </c>
      <c r="AE23" s="91" t="s">
        <v>833</v>
      </c>
      <c r="AF23" s="91"/>
      <c r="AG23" s="91"/>
      <c r="AH23" s="91"/>
      <c r="AI23" s="91"/>
      <c r="AJ23" s="91" t="s">
        <v>833</v>
      </c>
      <c r="AK23" s="104">
        <f t="shared" si="6"/>
        <v>13</v>
      </c>
      <c r="AL23" s="105">
        <f t="shared" si="7"/>
        <v>0</v>
      </c>
      <c r="AM23" s="105">
        <f t="shared" si="8"/>
        <v>0</v>
      </c>
      <c r="AN23" s="123">
        <v>45985</v>
      </c>
      <c r="AO23" s="106"/>
      <c r="AP23" s="84"/>
      <c r="AQ23" s="84"/>
      <c r="AR23" s="84"/>
      <c r="AS23" s="84"/>
      <c r="AT23" s="82"/>
    </row>
    <row r="24" spans="1:46" ht="13.5" customHeight="1" x14ac:dyDescent="0.3">
      <c r="A24" s="121" t="s">
        <v>619</v>
      </c>
      <c r="B24" s="103">
        <v>19</v>
      </c>
      <c r="C24" s="169" t="s">
        <v>125</v>
      </c>
      <c r="D24" s="121" t="s">
        <v>328</v>
      </c>
      <c r="E24" s="171" t="s">
        <v>329</v>
      </c>
      <c r="F24" s="91" t="s">
        <v>833</v>
      </c>
      <c r="G24" s="91" t="s">
        <v>833</v>
      </c>
      <c r="H24" s="91"/>
      <c r="I24" s="91" t="s">
        <v>833</v>
      </c>
      <c r="J24" s="91"/>
      <c r="K24" s="91"/>
      <c r="L24" s="91"/>
      <c r="M24" s="91" t="s">
        <v>833</v>
      </c>
      <c r="N24" s="91" t="s">
        <v>833</v>
      </c>
      <c r="O24" s="91"/>
      <c r="P24" s="91" t="s">
        <v>833</v>
      </c>
      <c r="Q24" s="91"/>
      <c r="R24" s="91"/>
      <c r="S24" s="91"/>
      <c r="T24" s="91" t="s">
        <v>833</v>
      </c>
      <c r="U24" s="91" t="s">
        <v>833</v>
      </c>
      <c r="V24" s="91"/>
      <c r="W24" s="91" t="s">
        <v>833</v>
      </c>
      <c r="X24" s="91"/>
      <c r="Y24" s="91"/>
      <c r="Z24" s="91"/>
      <c r="AA24" s="91" t="s">
        <v>833</v>
      </c>
      <c r="AB24" s="91" t="s">
        <v>833</v>
      </c>
      <c r="AC24" s="91"/>
      <c r="AD24" s="91" t="s">
        <v>833</v>
      </c>
      <c r="AE24" s="91"/>
      <c r="AF24" s="91"/>
      <c r="AG24" s="91"/>
      <c r="AH24" s="91" t="s">
        <v>833</v>
      </c>
      <c r="AI24" s="91" t="s">
        <v>833</v>
      </c>
      <c r="AJ24" s="91"/>
      <c r="AK24" s="104">
        <f t="shared" si="6"/>
        <v>14</v>
      </c>
      <c r="AL24" s="105">
        <f t="shared" si="7"/>
        <v>0</v>
      </c>
      <c r="AM24" s="105">
        <f t="shared" si="8"/>
        <v>0</v>
      </c>
      <c r="AN24" s="123">
        <v>45985</v>
      </c>
      <c r="AO24" s="106"/>
      <c r="AP24" s="84"/>
      <c r="AQ24" s="84"/>
      <c r="AR24" s="84"/>
      <c r="AS24" s="84"/>
      <c r="AT24" s="82"/>
    </row>
    <row r="25" spans="1:46" ht="13.5" customHeight="1" x14ac:dyDescent="0.3">
      <c r="A25" s="121" t="s">
        <v>620</v>
      </c>
      <c r="B25" s="103">
        <v>20</v>
      </c>
      <c r="C25" s="169" t="s">
        <v>126</v>
      </c>
      <c r="D25" s="121" t="s">
        <v>330</v>
      </c>
      <c r="E25" s="171" t="s">
        <v>331</v>
      </c>
      <c r="F25" s="91"/>
      <c r="G25" s="91" t="s">
        <v>833</v>
      </c>
      <c r="H25" s="91"/>
      <c r="I25" s="91"/>
      <c r="J25" s="91" t="s">
        <v>833</v>
      </c>
      <c r="K25" s="91"/>
      <c r="L25" s="91"/>
      <c r="M25" s="91"/>
      <c r="N25" s="195" t="s">
        <v>837</v>
      </c>
      <c r="O25" s="91"/>
      <c r="P25" s="91"/>
      <c r="Q25" s="91" t="s">
        <v>833</v>
      </c>
      <c r="R25" s="91"/>
      <c r="S25" s="91"/>
      <c r="T25" s="91" t="s">
        <v>833</v>
      </c>
      <c r="U25" s="91" t="s">
        <v>833</v>
      </c>
      <c r="V25" s="91" t="s">
        <v>833</v>
      </c>
      <c r="W25" s="91"/>
      <c r="X25" s="91"/>
      <c r="Y25" s="91"/>
      <c r="Z25" s="91"/>
      <c r="AA25" s="91"/>
      <c r="AB25" s="195" t="s">
        <v>837</v>
      </c>
      <c r="AC25" s="91"/>
      <c r="AD25" s="91"/>
      <c r="AE25" s="91" t="s">
        <v>833</v>
      </c>
      <c r="AF25" s="91"/>
      <c r="AG25" s="91"/>
      <c r="AH25" s="91"/>
      <c r="AI25" s="195" t="s">
        <v>837</v>
      </c>
      <c r="AJ25" s="91"/>
      <c r="AK25" s="104">
        <f t="shared" si="6"/>
        <v>7</v>
      </c>
      <c r="AL25" s="105">
        <f t="shared" si="7"/>
        <v>3</v>
      </c>
      <c r="AM25" s="105">
        <f t="shared" si="8"/>
        <v>3</v>
      </c>
      <c r="AN25" s="123">
        <v>45985</v>
      </c>
      <c r="AO25" s="106"/>
      <c r="AP25" s="84"/>
      <c r="AQ25" s="84"/>
      <c r="AR25" s="84"/>
      <c r="AS25" s="84"/>
      <c r="AT25" s="82"/>
    </row>
    <row r="26" spans="1:46" ht="13.5" customHeight="1" x14ac:dyDescent="0.3">
      <c r="A26" s="121" t="s">
        <v>621</v>
      </c>
      <c r="B26" s="103">
        <v>21</v>
      </c>
      <c r="C26" s="169" t="s">
        <v>127</v>
      </c>
      <c r="D26" s="121" t="s">
        <v>332</v>
      </c>
      <c r="E26" s="171" t="s">
        <v>333</v>
      </c>
      <c r="F26" s="91" t="s">
        <v>833</v>
      </c>
      <c r="G26" s="91" t="s">
        <v>833</v>
      </c>
      <c r="H26" s="91"/>
      <c r="I26" s="91"/>
      <c r="J26" s="91" t="s">
        <v>833</v>
      </c>
      <c r="K26" s="91"/>
      <c r="L26" s="91"/>
      <c r="M26" s="91" t="s">
        <v>833</v>
      </c>
      <c r="N26" s="91" t="s">
        <v>833</v>
      </c>
      <c r="O26" s="91"/>
      <c r="P26" s="91"/>
      <c r="Q26" s="91" t="s">
        <v>833</v>
      </c>
      <c r="R26" s="91"/>
      <c r="S26" s="91"/>
      <c r="T26" s="91" t="s">
        <v>833</v>
      </c>
      <c r="U26" s="91" t="s">
        <v>833</v>
      </c>
      <c r="V26" s="91"/>
      <c r="W26" s="91"/>
      <c r="X26" s="91" t="s">
        <v>833</v>
      </c>
      <c r="Y26" s="91"/>
      <c r="Z26" s="91"/>
      <c r="AA26" s="91" t="s">
        <v>833</v>
      </c>
      <c r="AB26" s="91" t="s">
        <v>833</v>
      </c>
      <c r="AC26" s="91"/>
      <c r="AD26" s="91"/>
      <c r="AE26" s="91" t="s">
        <v>833</v>
      </c>
      <c r="AF26" s="91"/>
      <c r="AG26" s="91"/>
      <c r="AH26" s="91" t="s">
        <v>833</v>
      </c>
      <c r="AI26" s="91" t="s">
        <v>833</v>
      </c>
      <c r="AJ26" s="91"/>
      <c r="AK26" s="104">
        <f t="shared" si="6"/>
        <v>14</v>
      </c>
      <c r="AL26" s="105">
        <f t="shared" si="7"/>
        <v>0</v>
      </c>
      <c r="AM26" s="105">
        <f t="shared" si="8"/>
        <v>0</v>
      </c>
      <c r="AN26" s="123">
        <v>45985</v>
      </c>
      <c r="AO26" s="106"/>
      <c r="AP26" s="84"/>
      <c r="AQ26" s="84"/>
      <c r="AR26" s="84"/>
      <c r="AS26" s="84"/>
      <c r="AT26" s="82"/>
    </row>
    <row r="27" spans="1:46" ht="13.5" customHeight="1" x14ac:dyDescent="0.3">
      <c r="A27" s="121" t="s">
        <v>622</v>
      </c>
      <c r="B27" s="103">
        <v>22</v>
      </c>
      <c r="C27" s="169" t="s">
        <v>128</v>
      </c>
      <c r="D27" s="121" t="s">
        <v>334</v>
      </c>
      <c r="E27" s="171" t="s">
        <v>335</v>
      </c>
      <c r="F27" s="91" t="s">
        <v>833</v>
      </c>
      <c r="G27" s="91" t="s">
        <v>833</v>
      </c>
      <c r="H27" s="91"/>
      <c r="I27" s="91"/>
      <c r="J27" s="91" t="s">
        <v>833</v>
      </c>
      <c r="K27" s="91"/>
      <c r="L27" s="91"/>
      <c r="M27" s="91" t="s">
        <v>833</v>
      </c>
      <c r="N27" s="91" t="s">
        <v>833</v>
      </c>
      <c r="O27" s="91"/>
      <c r="P27" s="91"/>
      <c r="Q27" s="195" t="s">
        <v>837</v>
      </c>
      <c r="R27" s="91"/>
      <c r="S27" s="91"/>
      <c r="T27" s="91" t="s">
        <v>833</v>
      </c>
      <c r="U27" s="91" t="s">
        <v>833</v>
      </c>
      <c r="V27" s="91"/>
      <c r="W27" s="91"/>
      <c r="X27" s="91" t="s">
        <v>833</v>
      </c>
      <c r="Y27" s="91"/>
      <c r="Z27" s="91"/>
      <c r="AA27" s="91" t="s">
        <v>833</v>
      </c>
      <c r="AB27" s="91" t="s">
        <v>833</v>
      </c>
      <c r="AC27" s="91"/>
      <c r="AD27" s="91"/>
      <c r="AE27" s="91" t="s">
        <v>833</v>
      </c>
      <c r="AF27" s="91"/>
      <c r="AG27" s="91"/>
      <c r="AH27" s="91" t="s">
        <v>833</v>
      </c>
      <c r="AI27" s="91" t="s">
        <v>833</v>
      </c>
      <c r="AJ27" s="91"/>
      <c r="AK27" s="104">
        <f t="shared" si="6"/>
        <v>13</v>
      </c>
      <c r="AL27" s="105">
        <f t="shared" si="7"/>
        <v>1</v>
      </c>
      <c r="AM27" s="105">
        <f t="shared" si="8"/>
        <v>1</v>
      </c>
      <c r="AN27" s="123">
        <v>45985</v>
      </c>
      <c r="AO27" s="106"/>
      <c r="AP27" s="84"/>
      <c r="AQ27" s="84"/>
      <c r="AR27" s="84"/>
      <c r="AS27" s="84"/>
      <c r="AT27" s="82"/>
    </row>
    <row r="28" spans="1:46" ht="13.5" customHeight="1" x14ac:dyDescent="0.3">
      <c r="A28" s="121" t="s">
        <v>623</v>
      </c>
      <c r="B28" s="103">
        <v>23</v>
      </c>
      <c r="C28" s="169" t="s">
        <v>129</v>
      </c>
      <c r="D28" s="121" t="s">
        <v>336</v>
      </c>
      <c r="E28" s="171" t="s">
        <v>337</v>
      </c>
      <c r="F28" s="91"/>
      <c r="G28" s="91" t="s">
        <v>833</v>
      </c>
      <c r="H28" s="91" t="s">
        <v>833</v>
      </c>
      <c r="I28" s="91" t="s">
        <v>833</v>
      </c>
      <c r="J28" s="91"/>
      <c r="K28" s="91"/>
      <c r="L28" s="91"/>
      <c r="M28" s="91"/>
      <c r="N28" s="91" t="s">
        <v>833</v>
      </c>
      <c r="O28" s="91" t="s">
        <v>833</v>
      </c>
      <c r="P28" s="91" t="s">
        <v>833</v>
      </c>
      <c r="Q28" s="91"/>
      <c r="R28" s="91"/>
      <c r="S28" s="91"/>
      <c r="T28" s="91"/>
      <c r="U28" s="91" t="s">
        <v>833</v>
      </c>
      <c r="V28" s="91" t="s">
        <v>833</v>
      </c>
      <c r="W28" s="91" t="s">
        <v>833</v>
      </c>
      <c r="X28" s="91"/>
      <c r="Y28" s="91"/>
      <c r="Z28" s="91"/>
      <c r="AA28" s="91"/>
      <c r="AB28" s="91" t="s">
        <v>833</v>
      </c>
      <c r="AC28" s="91" t="s">
        <v>833</v>
      </c>
      <c r="AD28" s="91" t="s">
        <v>833</v>
      </c>
      <c r="AE28" s="91"/>
      <c r="AF28" s="91"/>
      <c r="AG28" s="91"/>
      <c r="AH28" s="91"/>
      <c r="AI28" s="91"/>
      <c r="AJ28" s="91"/>
      <c r="AK28" s="104">
        <f t="shared" si="6"/>
        <v>12</v>
      </c>
      <c r="AL28" s="105">
        <f t="shared" si="7"/>
        <v>0</v>
      </c>
      <c r="AM28" s="105">
        <f t="shared" si="8"/>
        <v>0</v>
      </c>
      <c r="AN28" s="123">
        <v>45985</v>
      </c>
      <c r="AO28" s="106"/>
      <c r="AP28" s="84"/>
      <c r="AQ28" s="84"/>
      <c r="AR28" s="84"/>
      <c r="AS28" s="84"/>
      <c r="AT28" s="82"/>
    </row>
    <row r="29" spans="1:46" ht="13.5" customHeight="1" x14ac:dyDescent="0.3">
      <c r="A29" s="121" t="s">
        <v>624</v>
      </c>
      <c r="B29" s="103">
        <v>24</v>
      </c>
      <c r="C29" s="169" t="s">
        <v>130</v>
      </c>
      <c r="D29" s="121" t="s">
        <v>338</v>
      </c>
      <c r="E29" s="171" t="s">
        <v>339</v>
      </c>
      <c r="F29" s="91"/>
      <c r="G29" s="91"/>
      <c r="H29" s="91" t="s">
        <v>833</v>
      </c>
      <c r="I29" s="91"/>
      <c r="J29" s="91" t="s">
        <v>833</v>
      </c>
      <c r="K29" s="91" t="s">
        <v>833</v>
      </c>
      <c r="L29" s="91"/>
      <c r="M29" s="91"/>
      <c r="N29" s="91"/>
      <c r="O29" s="91" t="s">
        <v>833</v>
      </c>
      <c r="P29" s="91"/>
      <c r="Q29" s="91" t="s">
        <v>833</v>
      </c>
      <c r="R29" s="91" t="s">
        <v>833</v>
      </c>
      <c r="S29" s="91"/>
      <c r="T29" s="91"/>
      <c r="U29" s="91"/>
      <c r="V29" s="91" t="s">
        <v>833</v>
      </c>
      <c r="W29" s="91"/>
      <c r="X29" s="91" t="s">
        <v>833</v>
      </c>
      <c r="Y29" s="91" t="s">
        <v>833</v>
      </c>
      <c r="Z29" s="91"/>
      <c r="AA29" s="91"/>
      <c r="AB29" s="91"/>
      <c r="AC29" s="91" t="s">
        <v>833</v>
      </c>
      <c r="AD29" s="91"/>
      <c r="AE29" s="91" t="s">
        <v>833</v>
      </c>
      <c r="AF29" s="91" t="s">
        <v>833</v>
      </c>
      <c r="AG29" s="91"/>
      <c r="AH29" s="91"/>
      <c r="AI29" s="91"/>
      <c r="AJ29" s="91" t="s">
        <v>833</v>
      </c>
      <c r="AK29" s="104">
        <f t="shared" si="6"/>
        <v>13</v>
      </c>
      <c r="AL29" s="105">
        <f t="shared" si="7"/>
        <v>0</v>
      </c>
      <c r="AM29" s="105">
        <f t="shared" si="8"/>
        <v>0</v>
      </c>
      <c r="AN29" s="123">
        <v>45985</v>
      </c>
      <c r="AO29" s="106"/>
      <c r="AP29" s="84"/>
      <c r="AQ29" s="84"/>
      <c r="AR29" s="84"/>
      <c r="AS29" s="84"/>
      <c r="AT29" s="82"/>
    </row>
    <row r="30" spans="1:46" ht="13.5" customHeight="1" x14ac:dyDescent="0.3">
      <c r="A30" s="121" t="s">
        <v>625</v>
      </c>
      <c r="B30" s="103">
        <v>25</v>
      </c>
      <c r="C30" s="169" t="s">
        <v>131</v>
      </c>
      <c r="D30" s="121" t="s">
        <v>338</v>
      </c>
      <c r="E30" s="171" t="s">
        <v>340</v>
      </c>
      <c r="F30" s="91"/>
      <c r="G30" s="91"/>
      <c r="H30" s="91" t="s">
        <v>833</v>
      </c>
      <c r="I30" s="91"/>
      <c r="J30" s="91" t="s">
        <v>833</v>
      </c>
      <c r="K30" s="91"/>
      <c r="L30" s="91"/>
      <c r="M30" s="91"/>
      <c r="N30" s="91"/>
      <c r="O30" s="91" t="s">
        <v>833</v>
      </c>
      <c r="P30" s="91"/>
      <c r="Q30" s="91" t="s">
        <v>833</v>
      </c>
      <c r="R30" s="91"/>
      <c r="S30" s="91"/>
      <c r="T30" s="91"/>
      <c r="U30" s="91" t="s">
        <v>833</v>
      </c>
      <c r="V30" s="91" t="s">
        <v>833</v>
      </c>
      <c r="W30" s="91"/>
      <c r="X30" s="91" t="s">
        <v>833</v>
      </c>
      <c r="Y30" s="91"/>
      <c r="Z30" s="91"/>
      <c r="AA30" s="91"/>
      <c r="AB30" s="91" t="s">
        <v>833</v>
      </c>
      <c r="AC30" s="91" t="s">
        <v>833</v>
      </c>
      <c r="AD30" s="91"/>
      <c r="AE30" s="91" t="s">
        <v>833</v>
      </c>
      <c r="AF30" s="91"/>
      <c r="AG30" s="91"/>
      <c r="AH30" s="91"/>
      <c r="AI30" s="91" t="s">
        <v>833</v>
      </c>
      <c r="AJ30" s="91" t="s">
        <v>833</v>
      </c>
      <c r="AK30" s="104">
        <f t="shared" si="6"/>
        <v>12</v>
      </c>
      <c r="AL30" s="105">
        <f t="shared" si="7"/>
        <v>0</v>
      </c>
      <c r="AM30" s="105">
        <f t="shared" si="8"/>
        <v>0</v>
      </c>
      <c r="AN30" s="123">
        <v>45985</v>
      </c>
      <c r="AO30" s="106"/>
      <c r="AP30" s="84"/>
      <c r="AQ30" s="84"/>
      <c r="AR30" s="84"/>
      <c r="AS30" s="84"/>
      <c r="AT30" s="82"/>
    </row>
    <row r="31" spans="1:46" ht="13.5" customHeight="1" x14ac:dyDescent="0.3">
      <c r="A31" s="121" t="s">
        <v>626</v>
      </c>
      <c r="B31" s="103">
        <v>27</v>
      </c>
      <c r="C31" s="169" t="s">
        <v>132</v>
      </c>
      <c r="D31" s="121" t="s">
        <v>341</v>
      </c>
      <c r="E31" s="171" t="s">
        <v>342</v>
      </c>
      <c r="F31" s="91" t="s">
        <v>833</v>
      </c>
      <c r="G31" s="91" t="s">
        <v>833</v>
      </c>
      <c r="H31" s="91" t="s">
        <v>833</v>
      </c>
      <c r="I31" s="91"/>
      <c r="J31" s="91"/>
      <c r="K31" s="91"/>
      <c r="L31" s="91"/>
      <c r="M31" s="91" t="s">
        <v>833</v>
      </c>
      <c r="N31" s="91" t="s">
        <v>833</v>
      </c>
      <c r="O31" s="91" t="s">
        <v>833</v>
      </c>
      <c r="P31" s="91"/>
      <c r="Q31" s="91"/>
      <c r="R31" s="91"/>
      <c r="S31" s="91"/>
      <c r="T31" s="91"/>
      <c r="U31" s="91"/>
      <c r="V31" s="91" t="s">
        <v>833</v>
      </c>
      <c r="W31" s="91" t="s">
        <v>833</v>
      </c>
      <c r="X31" s="91" t="s">
        <v>833</v>
      </c>
      <c r="Y31" s="91"/>
      <c r="Z31" s="91"/>
      <c r="AA31" s="91"/>
      <c r="AB31" s="91"/>
      <c r="AC31" s="91" t="s">
        <v>833</v>
      </c>
      <c r="AD31" s="91" t="s">
        <v>833</v>
      </c>
      <c r="AE31" s="91" t="s">
        <v>833</v>
      </c>
      <c r="AF31" s="91"/>
      <c r="AG31" s="91"/>
      <c r="AH31" s="91" t="s">
        <v>833</v>
      </c>
      <c r="AI31" s="91" t="s">
        <v>833</v>
      </c>
      <c r="AJ31" s="91" t="s">
        <v>833</v>
      </c>
      <c r="AK31" s="104">
        <f t="shared" si="6"/>
        <v>15</v>
      </c>
      <c r="AL31" s="105">
        <f t="shared" si="7"/>
        <v>0</v>
      </c>
      <c r="AM31" s="105">
        <f t="shared" si="8"/>
        <v>0</v>
      </c>
      <c r="AN31" s="123">
        <v>45985</v>
      </c>
      <c r="AO31" s="106"/>
      <c r="AP31" s="84"/>
      <c r="AQ31" s="84"/>
      <c r="AR31" s="84"/>
      <c r="AS31" s="84"/>
      <c r="AT31" s="82"/>
    </row>
    <row r="32" spans="1:46" ht="13.5" customHeight="1" x14ac:dyDescent="0.3">
      <c r="A32" s="121" t="s">
        <v>627</v>
      </c>
      <c r="B32" s="103">
        <v>26</v>
      </c>
      <c r="C32" s="169" t="s">
        <v>133</v>
      </c>
      <c r="D32" s="121" t="s">
        <v>343</v>
      </c>
      <c r="E32" s="171" t="s">
        <v>344</v>
      </c>
      <c r="F32" s="91"/>
      <c r="G32" s="91" t="s">
        <v>833</v>
      </c>
      <c r="H32" s="91"/>
      <c r="I32" s="91"/>
      <c r="J32" s="91"/>
      <c r="K32" s="91"/>
      <c r="L32" s="91"/>
      <c r="M32" s="91"/>
      <c r="N32" s="91"/>
      <c r="O32" s="91"/>
      <c r="P32" s="91"/>
      <c r="Q32" s="195" t="s">
        <v>837</v>
      </c>
      <c r="R32" s="91"/>
      <c r="S32" s="91"/>
      <c r="T32" s="91"/>
      <c r="U32" s="91"/>
      <c r="V32" s="91"/>
      <c r="W32" s="91"/>
      <c r="X32" s="91"/>
      <c r="Y32" s="91"/>
      <c r="Z32" s="195" t="s">
        <v>837</v>
      </c>
      <c r="AA32" s="91"/>
      <c r="AB32" s="91"/>
      <c r="AC32" s="91"/>
      <c r="AD32" s="91"/>
      <c r="AE32" s="91"/>
      <c r="AF32" s="91"/>
      <c r="AG32" s="195" t="s">
        <v>837</v>
      </c>
      <c r="AH32" s="91"/>
      <c r="AI32" s="91"/>
      <c r="AJ32" s="91"/>
      <c r="AK32" s="104">
        <f t="shared" si="6"/>
        <v>1</v>
      </c>
      <c r="AL32" s="105">
        <f t="shared" si="7"/>
        <v>3</v>
      </c>
      <c r="AM32" s="105">
        <f t="shared" si="8"/>
        <v>3</v>
      </c>
      <c r="AN32" s="123">
        <v>45985</v>
      </c>
      <c r="AO32" s="106"/>
      <c r="AP32" s="84"/>
      <c r="AQ32" s="84"/>
      <c r="AR32" s="84"/>
      <c r="AS32" s="84"/>
      <c r="AT32" s="82"/>
    </row>
    <row r="33" spans="1:46" ht="13.5" customHeight="1" x14ac:dyDescent="0.3">
      <c r="A33" s="121" t="s">
        <v>821</v>
      </c>
      <c r="B33" s="103">
        <v>28</v>
      </c>
      <c r="C33" s="169" t="s">
        <v>134</v>
      </c>
      <c r="D33" s="121" t="s">
        <v>345</v>
      </c>
      <c r="E33" s="171" t="s">
        <v>346</v>
      </c>
      <c r="F33" s="91" t="s">
        <v>833</v>
      </c>
      <c r="G33" s="91" t="s">
        <v>833</v>
      </c>
      <c r="H33" s="91"/>
      <c r="I33" s="91" t="s">
        <v>833</v>
      </c>
      <c r="J33" s="91"/>
      <c r="K33" s="91"/>
      <c r="L33" s="91"/>
      <c r="M33" s="91" t="s">
        <v>833</v>
      </c>
      <c r="N33" s="91" t="s">
        <v>833</v>
      </c>
      <c r="O33" s="91"/>
      <c r="P33" s="91" t="s">
        <v>833</v>
      </c>
      <c r="Q33" s="91"/>
      <c r="R33" s="91"/>
      <c r="S33" s="91"/>
      <c r="T33" s="91" t="s">
        <v>833</v>
      </c>
      <c r="U33" s="91" t="s">
        <v>833</v>
      </c>
      <c r="V33" s="91"/>
      <c r="W33" s="91" t="s">
        <v>833</v>
      </c>
      <c r="X33" s="91"/>
      <c r="Y33" s="91"/>
      <c r="Z33" s="91"/>
      <c r="AA33" s="91" t="s">
        <v>833</v>
      </c>
      <c r="AB33" s="91" t="s">
        <v>833</v>
      </c>
      <c r="AC33" s="91"/>
      <c r="AD33" s="91" t="s">
        <v>833</v>
      </c>
      <c r="AE33" s="91"/>
      <c r="AF33" s="91"/>
      <c r="AG33" s="91"/>
      <c r="AH33" s="91" t="s">
        <v>833</v>
      </c>
      <c r="AI33" s="91" t="s">
        <v>833</v>
      </c>
      <c r="AJ33" s="91"/>
      <c r="AK33" s="104">
        <f t="shared" si="6"/>
        <v>14</v>
      </c>
      <c r="AL33" s="105">
        <f t="shared" si="7"/>
        <v>0</v>
      </c>
      <c r="AM33" s="105">
        <f t="shared" si="8"/>
        <v>0</v>
      </c>
      <c r="AN33" s="123">
        <v>45985</v>
      </c>
      <c r="AO33" s="106"/>
      <c r="AP33" s="84"/>
      <c r="AQ33" s="84"/>
      <c r="AR33" s="84"/>
      <c r="AS33" s="84"/>
      <c r="AT33" s="82"/>
    </row>
    <row r="34" spans="1:46" ht="13.5" customHeight="1" x14ac:dyDescent="0.3">
      <c r="A34" s="121" t="s">
        <v>628</v>
      </c>
      <c r="B34" s="103">
        <v>29</v>
      </c>
      <c r="C34" s="169" t="s">
        <v>135</v>
      </c>
      <c r="D34" s="121" t="s">
        <v>345</v>
      </c>
      <c r="E34" s="171" t="s">
        <v>347</v>
      </c>
      <c r="F34" s="91" t="s">
        <v>833</v>
      </c>
      <c r="G34" s="91"/>
      <c r="H34" s="91"/>
      <c r="I34" s="91"/>
      <c r="J34" s="91"/>
      <c r="K34" s="91"/>
      <c r="L34" s="91"/>
      <c r="M34" s="91" t="s">
        <v>833</v>
      </c>
      <c r="N34" s="91"/>
      <c r="O34" s="91"/>
      <c r="P34" s="91"/>
      <c r="Q34" s="91"/>
      <c r="R34" s="91"/>
      <c r="S34" s="91"/>
      <c r="T34" s="91" t="s">
        <v>833</v>
      </c>
      <c r="U34" s="91"/>
      <c r="V34" s="91"/>
      <c r="W34" s="91"/>
      <c r="X34" s="91"/>
      <c r="Y34" s="91"/>
      <c r="Z34" s="91"/>
      <c r="AA34" s="91" t="s">
        <v>833</v>
      </c>
      <c r="AB34" s="91"/>
      <c r="AC34" s="91"/>
      <c r="AD34" s="91"/>
      <c r="AE34" s="91"/>
      <c r="AF34" s="91"/>
      <c r="AG34" s="91"/>
      <c r="AH34" s="91"/>
      <c r="AI34" s="91"/>
      <c r="AJ34" s="91"/>
      <c r="AK34" s="104">
        <f t="shared" si="6"/>
        <v>4</v>
      </c>
      <c r="AL34" s="105">
        <f t="shared" si="7"/>
        <v>0</v>
      </c>
      <c r="AM34" s="105">
        <f t="shared" si="8"/>
        <v>0</v>
      </c>
      <c r="AN34" s="123">
        <v>45985</v>
      </c>
      <c r="AO34" s="106">
        <v>46022</v>
      </c>
      <c r="AP34" s="84"/>
      <c r="AQ34" s="84"/>
      <c r="AR34" s="84"/>
      <c r="AS34" s="84"/>
      <c r="AT34" s="82"/>
    </row>
    <row r="35" spans="1:46" ht="13.5" customHeight="1" x14ac:dyDescent="0.3">
      <c r="A35" s="121" t="s">
        <v>629</v>
      </c>
      <c r="B35" s="103">
        <v>30</v>
      </c>
      <c r="C35" s="169" t="s">
        <v>136</v>
      </c>
      <c r="D35" s="121" t="s">
        <v>348</v>
      </c>
      <c r="E35" s="171" t="s">
        <v>349</v>
      </c>
      <c r="F35" s="91" t="s">
        <v>833</v>
      </c>
      <c r="G35" s="91" t="s">
        <v>833</v>
      </c>
      <c r="H35" s="91"/>
      <c r="I35" s="91"/>
      <c r="J35" s="91" t="s">
        <v>833</v>
      </c>
      <c r="K35" s="91"/>
      <c r="L35" s="91"/>
      <c r="M35" s="91" t="s">
        <v>833</v>
      </c>
      <c r="N35" s="91" t="s">
        <v>833</v>
      </c>
      <c r="O35" s="91"/>
      <c r="P35" s="91"/>
      <c r="Q35" s="91" t="s">
        <v>833</v>
      </c>
      <c r="R35" s="91"/>
      <c r="S35" s="91"/>
      <c r="T35" s="91" t="s">
        <v>833</v>
      </c>
      <c r="U35" s="91" t="s">
        <v>833</v>
      </c>
      <c r="V35" s="91"/>
      <c r="W35" s="91"/>
      <c r="X35" s="91" t="s">
        <v>833</v>
      </c>
      <c r="Y35" s="91"/>
      <c r="Z35" s="91"/>
      <c r="AA35" s="91" t="s">
        <v>833</v>
      </c>
      <c r="AB35" s="91" t="s">
        <v>833</v>
      </c>
      <c r="AC35" s="91"/>
      <c r="AD35" s="91"/>
      <c r="AE35" s="91" t="s">
        <v>833</v>
      </c>
      <c r="AF35" s="91"/>
      <c r="AG35" s="91"/>
      <c r="AH35" s="91" t="s">
        <v>833</v>
      </c>
      <c r="AI35" s="91" t="s">
        <v>833</v>
      </c>
      <c r="AJ35" s="91"/>
      <c r="AK35" s="104">
        <f t="shared" si="6"/>
        <v>14</v>
      </c>
      <c r="AL35" s="105">
        <f t="shared" si="7"/>
        <v>0</v>
      </c>
      <c r="AM35" s="105">
        <f t="shared" si="8"/>
        <v>0</v>
      </c>
      <c r="AN35" s="123">
        <v>45985</v>
      </c>
      <c r="AO35" s="106"/>
      <c r="AP35" s="84"/>
      <c r="AQ35" s="84"/>
      <c r="AR35" s="84"/>
      <c r="AS35" s="84"/>
      <c r="AT35" s="82"/>
    </row>
    <row r="36" spans="1:46" ht="13.5" customHeight="1" x14ac:dyDescent="0.3">
      <c r="A36" s="121" t="s">
        <v>630</v>
      </c>
      <c r="B36" s="103">
        <v>31</v>
      </c>
      <c r="C36" s="169" t="s">
        <v>137</v>
      </c>
      <c r="D36" s="121" t="s">
        <v>350</v>
      </c>
      <c r="E36" s="171" t="s">
        <v>351</v>
      </c>
      <c r="F36" s="91" t="s">
        <v>833</v>
      </c>
      <c r="G36" s="91"/>
      <c r="H36" s="91"/>
      <c r="I36" s="91"/>
      <c r="J36" s="91"/>
      <c r="K36" s="91" t="s">
        <v>833</v>
      </c>
      <c r="L36" s="91" t="s">
        <v>833</v>
      </c>
      <c r="M36" s="91" t="s">
        <v>833</v>
      </c>
      <c r="N36" s="91"/>
      <c r="O36" s="91"/>
      <c r="P36" s="91"/>
      <c r="Q36" s="91"/>
      <c r="R36" s="91" t="s">
        <v>833</v>
      </c>
      <c r="S36" s="91" t="s">
        <v>833</v>
      </c>
      <c r="T36" s="91" t="s">
        <v>833</v>
      </c>
      <c r="U36" s="91"/>
      <c r="V36" s="91"/>
      <c r="W36" s="91"/>
      <c r="X36" s="91"/>
      <c r="Y36" s="91" t="s">
        <v>833</v>
      </c>
      <c r="Z36" s="91" t="s">
        <v>833</v>
      </c>
      <c r="AA36" s="91" t="s">
        <v>833</v>
      </c>
      <c r="AB36" s="91"/>
      <c r="AC36" s="91" t="s">
        <v>833</v>
      </c>
      <c r="AD36" s="91"/>
      <c r="AE36" s="91"/>
      <c r="AF36" s="91"/>
      <c r="AG36" s="91" t="s">
        <v>833</v>
      </c>
      <c r="AH36" s="91" t="s">
        <v>833</v>
      </c>
      <c r="AI36" s="91"/>
      <c r="AJ36" s="91" t="s">
        <v>833</v>
      </c>
      <c r="AK36" s="104">
        <f t="shared" si="6"/>
        <v>14</v>
      </c>
      <c r="AL36" s="105">
        <f t="shared" si="7"/>
        <v>0</v>
      </c>
      <c r="AM36" s="105">
        <f t="shared" si="8"/>
        <v>0</v>
      </c>
      <c r="AN36" s="123">
        <v>45985</v>
      </c>
      <c r="AO36" s="106"/>
      <c r="AP36" s="84"/>
      <c r="AQ36" s="84"/>
      <c r="AR36" s="84"/>
      <c r="AS36" s="84"/>
      <c r="AT36" s="82"/>
    </row>
    <row r="37" spans="1:46" ht="13.5" customHeight="1" x14ac:dyDescent="0.3">
      <c r="A37" s="121" t="s">
        <v>631</v>
      </c>
      <c r="B37" s="103">
        <v>32</v>
      </c>
      <c r="C37" s="169" t="s">
        <v>138</v>
      </c>
      <c r="D37" s="121" t="s">
        <v>352</v>
      </c>
      <c r="E37" s="171" t="s">
        <v>325</v>
      </c>
      <c r="F37" s="91"/>
      <c r="G37" s="91" t="s">
        <v>833</v>
      </c>
      <c r="H37" s="91" t="s">
        <v>833</v>
      </c>
      <c r="I37" s="91"/>
      <c r="J37" s="91" t="s">
        <v>833</v>
      </c>
      <c r="K37" s="91"/>
      <c r="L37" s="91"/>
      <c r="M37" s="91"/>
      <c r="N37" s="91" t="s">
        <v>833</v>
      </c>
      <c r="O37" s="91"/>
      <c r="P37" s="91"/>
      <c r="Q37" s="91" t="s">
        <v>833</v>
      </c>
      <c r="R37" s="91"/>
      <c r="S37" s="91"/>
      <c r="T37" s="91"/>
      <c r="U37" s="91" t="s">
        <v>833</v>
      </c>
      <c r="V37" s="91" t="s">
        <v>833</v>
      </c>
      <c r="W37" s="91"/>
      <c r="X37" s="91" t="s">
        <v>833</v>
      </c>
      <c r="Y37" s="91"/>
      <c r="Z37" s="91"/>
      <c r="AA37" s="91"/>
      <c r="AB37" s="91" t="s">
        <v>833</v>
      </c>
      <c r="AC37" s="91"/>
      <c r="AD37" s="91"/>
      <c r="AE37" s="91" t="s">
        <v>833</v>
      </c>
      <c r="AF37" s="91"/>
      <c r="AG37" s="91"/>
      <c r="AH37" s="91"/>
      <c r="AI37" s="91" t="s">
        <v>833</v>
      </c>
      <c r="AJ37" s="91" t="s">
        <v>833</v>
      </c>
      <c r="AK37" s="104">
        <f t="shared" si="6"/>
        <v>12</v>
      </c>
      <c r="AL37" s="105">
        <f t="shared" si="7"/>
        <v>0</v>
      </c>
      <c r="AM37" s="105">
        <f t="shared" si="8"/>
        <v>0</v>
      </c>
      <c r="AN37" s="123">
        <v>45985</v>
      </c>
      <c r="AO37" s="106"/>
      <c r="AP37" s="84"/>
      <c r="AQ37" s="84"/>
      <c r="AR37" s="84"/>
      <c r="AS37" s="84"/>
      <c r="AT37" s="82"/>
    </row>
    <row r="38" spans="1:46" ht="13.5" customHeight="1" x14ac:dyDescent="0.3">
      <c r="A38" s="121" t="s">
        <v>632</v>
      </c>
      <c r="B38" s="103">
        <v>33</v>
      </c>
      <c r="C38" s="169" t="s">
        <v>139</v>
      </c>
      <c r="D38" s="121" t="s">
        <v>353</v>
      </c>
      <c r="E38" s="171" t="s">
        <v>354</v>
      </c>
      <c r="F38" s="91"/>
      <c r="G38" s="91" t="s">
        <v>833</v>
      </c>
      <c r="H38" s="91" t="s">
        <v>833</v>
      </c>
      <c r="I38" s="91" t="s">
        <v>833</v>
      </c>
      <c r="J38" s="91"/>
      <c r="K38" s="91"/>
      <c r="L38" s="91"/>
      <c r="M38" s="91"/>
      <c r="N38" s="91" t="s">
        <v>833</v>
      </c>
      <c r="O38" s="91" t="s">
        <v>833</v>
      </c>
      <c r="P38" s="91" t="s">
        <v>833</v>
      </c>
      <c r="Q38" s="91"/>
      <c r="R38" s="91"/>
      <c r="S38" s="91"/>
      <c r="T38" s="91"/>
      <c r="U38" s="91" t="s">
        <v>833</v>
      </c>
      <c r="V38" s="91" t="s">
        <v>833</v>
      </c>
      <c r="W38" s="91" t="s">
        <v>833</v>
      </c>
      <c r="X38" s="91"/>
      <c r="Y38" s="91"/>
      <c r="Z38" s="91"/>
      <c r="AA38" s="91"/>
      <c r="AB38" s="91" t="s">
        <v>833</v>
      </c>
      <c r="AC38" s="91" t="s">
        <v>833</v>
      </c>
      <c r="AD38" s="91" t="s">
        <v>833</v>
      </c>
      <c r="AE38" s="91"/>
      <c r="AF38" s="91"/>
      <c r="AG38" s="91"/>
      <c r="AH38" s="91"/>
      <c r="AI38" s="91" t="s">
        <v>833</v>
      </c>
      <c r="AJ38" s="91" t="s">
        <v>833</v>
      </c>
      <c r="AK38" s="104">
        <f t="shared" si="6"/>
        <v>14</v>
      </c>
      <c r="AL38" s="105">
        <f t="shared" si="7"/>
        <v>0</v>
      </c>
      <c r="AM38" s="105">
        <f t="shared" si="8"/>
        <v>0</v>
      </c>
      <c r="AN38" s="123">
        <v>45985</v>
      </c>
      <c r="AO38" s="106"/>
      <c r="AP38" s="84"/>
      <c r="AQ38" s="84"/>
      <c r="AR38" s="84"/>
      <c r="AS38" s="84"/>
      <c r="AT38" s="82"/>
    </row>
    <row r="39" spans="1:46" ht="13.5" customHeight="1" x14ac:dyDescent="0.3">
      <c r="A39" s="121" t="s">
        <v>633</v>
      </c>
      <c r="B39" s="103">
        <v>34</v>
      </c>
      <c r="C39" s="169" t="s">
        <v>140</v>
      </c>
      <c r="D39" s="121" t="s">
        <v>355</v>
      </c>
      <c r="E39" s="171" t="s">
        <v>329</v>
      </c>
      <c r="F39" s="91" t="s">
        <v>833</v>
      </c>
      <c r="G39" s="91"/>
      <c r="H39" s="91"/>
      <c r="I39" s="91"/>
      <c r="J39" s="91" t="s">
        <v>833</v>
      </c>
      <c r="K39" s="91" t="s">
        <v>833</v>
      </c>
      <c r="L39" s="91"/>
      <c r="M39" s="91" t="s">
        <v>833</v>
      </c>
      <c r="N39" s="91"/>
      <c r="O39" s="91"/>
      <c r="P39" s="91"/>
      <c r="Q39" s="91" t="s">
        <v>833</v>
      </c>
      <c r="R39" s="91" t="s">
        <v>833</v>
      </c>
      <c r="S39" s="91"/>
      <c r="T39" s="91" t="s">
        <v>833</v>
      </c>
      <c r="U39" s="91"/>
      <c r="V39" s="91"/>
      <c r="W39" s="91"/>
      <c r="X39" s="91" t="s">
        <v>833</v>
      </c>
      <c r="Y39" s="91" t="s">
        <v>833</v>
      </c>
      <c r="Z39" s="91"/>
      <c r="AA39" s="91" t="s">
        <v>833</v>
      </c>
      <c r="AB39" s="91"/>
      <c r="AC39" s="91"/>
      <c r="AD39" s="91"/>
      <c r="AE39" s="91" t="s">
        <v>833</v>
      </c>
      <c r="AF39" s="91" t="s">
        <v>833</v>
      </c>
      <c r="AG39" s="91"/>
      <c r="AH39" s="91" t="s">
        <v>833</v>
      </c>
      <c r="AI39" s="91"/>
      <c r="AJ39" s="91"/>
      <c r="AK39" s="104">
        <f t="shared" si="6"/>
        <v>13</v>
      </c>
      <c r="AL39" s="105">
        <f t="shared" si="7"/>
        <v>0</v>
      </c>
      <c r="AM39" s="105">
        <f t="shared" si="8"/>
        <v>0</v>
      </c>
      <c r="AN39" s="123">
        <v>45985</v>
      </c>
      <c r="AO39" s="106"/>
      <c r="AP39" s="84"/>
      <c r="AQ39" s="84"/>
      <c r="AR39" s="84"/>
      <c r="AS39" s="84"/>
      <c r="AT39" s="82"/>
    </row>
    <row r="40" spans="1:46" ht="13.5" customHeight="1" x14ac:dyDescent="0.3">
      <c r="A40" s="121" t="s">
        <v>634</v>
      </c>
      <c r="B40" s="103">
        <v>35</v>
      </c>
      <c r="C40" s="169" t="s">
        <v>141</v>
      </c>
      <c r="D40" s="121" t="s">
        <v>356</v>
      </c>
      <c r="E40" s="171" t="s">
        <v>357</v>
      </c>
      <c r="F40" s="91"/>
      <c r="G40" s="91"/>
      <c r="H40" s="91"/>
      <c r="I40" s="91" t="s">
        <v>833</v>
      </c>
      <c r="J40" s="91"/>
      <c r="K40" s="91" t="s">
        <v>833</v>
      </c>
      <c r="L40" s="91" t="s">
        <v>833</v>
      </c>
      <c r="M40" s="91"/>
      <c r="N40" s="91"/>
      <c r="O40" s="91"/>
      <c r="P40" s="91" t="s">
        <v>833</v>
      </c>
      <c r="Q40" s="91"/>
      <c r="R40" s="91" t="s">
        <v>833</v>
      </c>
      <c r="S40" s="91" t="s">
        <v>833</v>
      </c>
      <c r="T40" s="91"/>
      <c r="U40" s="91"/>
      <c r="V40" s="91"/>
      <c r="W40" s="91" t="s">
        <v>833</v>
      </c>
      <c r="X40" s="91"/>
      <c r="Y40" s="91" t="s">
        <v>833</v>
      </c>
      <c r="Z40" s="91" t="s">
        <v>833</v>
      </c>
      <c r="AA40" s="91"/>
      <c r="AB40" s="91"/>
      <c r="AC40" s="91"/>
      <c r="AD40" s="91" t="s">
        <v>833</v>
      </c>
      <c r="AE40" s="91"/>
      <c r="AF40" s="91" t="s">
        <v>833</v>
      </c>
      <c r="AG40" s="91" t="s">
        <v>833</v>
      </c>
      <c r="AH40" s="91"/>
      <c r="AI40" s="91"/>
      <c r="AJ40" s="91"/>
      <c r="AK40" s="104">
        <f t="shared" si="6"/>
        <v>12</v>
      </c>
      <c r="AL40" s="105">
        <f t="shared" si="7"/>
        <v>0</v>
      </c>
      <c r="AM40" s="105">
        <f t="shared" si="8"/>
        <v>0</v>
      </c>
      <c r="AN40" s="123">
        <v>45985</v>
      </c>
      <c r="AO40" s="106"/>
      <c r="AP40" s="84"/>
      <c r="AQ40" s="84"/>
      <c r="AR40" s="84"/>
      <c r="AS40" s="84"/>
      <c r="AT40" s="82"/>
    </row>
    <row r="41" spans="1:46" ht="13.5" customHeight="1" x14ac:dyDescent="0.3">
      <c r="A41" s="121" t="s">
        <v>635</v>
      </c>
      <c r="B41" s="103">
        <v>36</v>
      </c>
      <c r="C41" s="169" t="s">
        <v>142</v>
      </c>
      <c r="D41" s="121" t="s">
        <v>358</v>
      </c>
      <c r="E41" s="171" t="s">
        <v>359</v>
      </c>
      <c r="F41" s="91" t="s">
        <v>833</v>
      </c>
      <c r="G41" s="91"/>
      <c r="H41" s="91"/>
      <c r="I41" s="91" t="s">
        <v>833</v>
      </c>
      <c r="J41" s="91" t="s">
        <v>833</v>
      </c>
      <c r="K41" s="91"/>
      <c r="L41" s="91"/>
      <c r="M41" s="91" t="s">
        <v>833</v>
      </c>
      <c r="N41" s="91"/>
      <c r="O41" s="91"/>
      <c r="P41" s="91" t="s">
        <v>833</v>
      </c>
      <c r="Q41" s="91" t="s">
        <v>833</v>
      </c>
      <c r="R41" s="91"/>
      <c r="S41" s="91"/>
      <c r="T41" s="91" t="s">
        <v>833</v>
      </c>
      <c r="U41" s="91"/>
      <c r="V41" s="91"/>
      <c r="W41" s="91" t="s">
        <v>833</v>
      </c>
      <c r="X41" s="91" t="s">
        <v>833</v>
      </c>
      <c r="Y41" s="91"/>
      <c r="Z41" s="91"/>
      <c r="AA41" s="91" t="s">
        <v>833</v>
      </c>
      <c r="AB41" s="91"/>
      <c r="AC41" s="91"/>
      <c r="AD41" s="91" t="s">
        <v>833</v>
      </c>
      <c r="AE41" s="91" t="s">
        <v>833</v>
      </c>
      <c r="AF41" s="91"/>
      <c r="AG41" s="91"/>
      <c r="AH41" s="91" t="s">
        <v>833</v>
      </c>
      <c r="AI41" s="91"/>
      <c r="AJ41" s="91"/>
      <c r="AK41" s="104">
        <f t="shared" si="6"/>
        <v>13</v>
      </c>
      <c r="AL41" s="105">
        <f t="shared" si="7"/>
        <v>0</v>
      </c>
      <c r="AM41" s="105">
        <f t="shared" si="8"/>
        <v>0</v>
      </c>
      <c r="AN41" s="123">
        <v>45985</v>
      </c>
      <c r="AO41" s="106"/>
      <c r="AP41" s="84"/>
      <c r="AQ41" s="84"/>
      <c r="AR41" s="84"/>
      <c r="AS41" s="84"/>
      <c r="AT41" s="82"/>
    </row>
    <row r="42" spans="1:46" ht="13.5" customHeight="1" x14ac:dyDescent="0.3">
      <c r="A42" s="121" t="s">
        <v>636</v>
      </c>
      <c r="B42" s="103">
        <v>37</v>
      </c>
      <c r="C42" s="169" t="s">
        <v>143</v>
      </c>
      <c r="D42" s="121" t="s">
        <v>360</v>
      </c>
      <c r="E42" s="171" t="s">
        <v>361</v>
      </c>
      <c r="F42" s="91"/>
      <c r="G42" s="91"/>
      <c r="H42" s="91" t="s">
        <v>833</v>
      </c>
      <c r="I42" s="91"/>
      <c r="J42" s="91" t="s">
        <v>833</v>
      </c>
      <c r="K42" s="91" t="s">
        <v>833</v>
      </c>
      <c r="L42" s="91"/>
      <c r="M42" s="91"/>
      <c r="N42" s="91"/>
      <c r="O42" s="91" t="s">
        <v>833</v>
      </c>
      <c r="P42" s="91"/>
      <c r="Q42" s="91" t="s">
        <v>833</v>
      </c>
      <c r="R42" s="91" t="s">
        <v>833</v>
      </c>
      <c r="S42" s="91"/>
      <c r="T42" s="91"/>
      <c r="U42" s="91"/>
      <c r="V42" s="91" t="s">
        <v>833</v>
      </c>
      <c r="W42" s="91"/>
      <c r="X42" s="91" t="s">
        <v>833</v>
      </c>
      <c r="Y42" s="91" t="s">
        <v>833</v>
      </c>
      <c r="Z42" s="91"/>
      <c r="AA42" s="91"/>
      <c r="AB42" s="91"/>
      <c r="AC42" s="91" t="s">
        <v>833</v>
      </c>
      <c r="AD42" s="91"/>
      <c r="AE42" s="91" t="s">
        <v>833</v>
      </c>
      <c r="AF42" s="91" t="s">
        <v>833</v>
      </c>
      <c r="AG42" s="91"/>
      <c r="AH42" s="91"/>
      <c r="AI42" s="91"/>
      <c r="AJ42" s="91" t="s">
        <v>833</v>
      </c>
      <c r="AK42" s="104">
        <f t="shared" si="6"/>
        <v>13</v>
      </c>
      <c r="AL42" s="105">
        <f t="shared" si="7"/>
        <v>0</v>
      </c>
      <c r="AM42" s="105">
        <f t="shared" si="8"/>
        <v>0</v>
      </c>
      <c r="AN42" s="123">
        <v>45985</v>
      </c>
      <c r="AO42" s="106"/>
      <c r="AP42" s="84"/>
      <c r="AQ42" s="84"/>
      <c r="AR42" s="84"/>
      <c r="AS42" s="84"/>
      <c r="AT42" s="82"/>
    </row>
    <row r="43" spans="1:46" ht="13.5" customHeight="1" x14ac:dyDescent="0.3">
      <c r="A43" s="121" t="s">
        <v>637</v>
      </c>
      <c r="B43" s="103">
        <v>38</v>
      </c>
      <c r="C43" s="169" t="s">
        <v>144</v>
      </c>
      <c r="D43" s="121" t="s">
        <v>362</v>
      </c>
      <c r="E43" s="171" t="s">
        <v>363</v>
      </c>
      <c r="F43" s="91" t="s">
        <v>833</v>
      </c>
      <c r="G43" s="91"/>
      <c r="H43" s="91" t="s">
        <v>833</v>
      </c>
      <c r="I43" s="91"/>
      <c r="J43" s="91" t="s">
        <v>833</v>
      </c>
      <c r="K43" s="91"/>
      <c r="L43" s="91"/>
      <c r="M43" s="91" t="s">
        <v>833</v>
      </c>
      <c r="N43" s="91"/>
      <c r="O43" s="91" t="s">
        <v>833</v>
      </c>
      <c r="P43" s="91"/>
      <c r="Q43" s="91" t="s">
        <v>833</v>
      </c>
      <c r="R43" s="91"/>
      <c r="S43" s="91"/>
      <c r="T43" s="91" t="s">
        <v>833</v>
      </c>
      <c r="U43" s="91"/>
      <c r="V43" s="91" t="s">
        <v>833</v>
      </c>
      <c r="W43" s="91"/>
      <c r="X43" s="91" t="s">
        <v>833</v>
      </c>
      <c r="Y43" s="91"/>
      <c r="Z43" s="91"/>
      <c r="AA43" s="91" t="s">
        <v>833</v>
      </c>
      <c r="AB43" s="91"/>
      <c r="AC43" s="91" t="s">
        <v>833</v>
      </c>
      <c r="AD43" s="91"/>
      <c r="AE43" s="91" t="s">
        <v>833</v>
      </c>
      <c r="AF43" s="91"/>
      <c r="AG43" s="91"/>
      <c r="AH43" s="91" t="s">
        <v>833</v>
      </c>
      <c r="AI43" s="91"/>
      <c r="AJ43" s="91" t="s">
        <v>833</v>
      </c>
      <c r="AK43" s="104">
        <f t="shared" si="6"/>
        <v>14</v>
      </c>
      <c r="AL43" s="105">
        <f t="shared" si="7"/>
        <v>0</v>
      </c>
      <c r="AM43" s="105">
        <f t="shared" si="8"/>
        <v>0</v>
      </c>
      <c r="AN43" s="123">
        <v>45985</v>
      </c>
      <c r="AO43" s="106"/>
      <c r="AP43" s="84"/>
      <c r="AQ43" s="84"/>
      <c r="AR43" s="84"/>
      <c r="AS43" s="84"/>
      <c r="AT43" s="82"/>
    </row>
    <row r="44" spans="1:46" ht="13.5" customHeight="1" x14ac:dyDescent="0.3">
      <c r="A44" s="121" t="s">
        <v>638</v>
      </c>
      <c r="B44" s="103">
        <v>39</v>
      </c>
      <c r="C44" s="169" t="s">
        <v>145</v>
      </c>
      <c r="D44" s="121" t="s">
        <v>362</v>
      </c>
      <c r="E44" s="171" t="s">
        <v>364</v>
      </c>
      <c r="F44" s="91" t="s">
        <v>833</v>
      </c>
      <c r="G44" s="91"/>
      <c r="H44" s="91" t="s">
        <v>833</v>
      </c>
      <c r="I44" s="91"/>
      <c r="J44" s="91" t="s">
        <v>833</v>
      </c>
      <c r="K44" s="91"/>
      <c r="L44" s="91"/>
      <c r="M44" s="91" t="s">
        <v>833</v>
      </c>
      <c r="N44" s="91"/>
      <c r="O44" s="91" t="s">
        <v>833</v>
      </c>
      <c r="P44" s="91"/>
      <c r="Q44" s="91" t="s">
        <v>833</v>
      </c>
      <c r="R44" s="91"/>
      <c r="S44" s="91"/>
      <c r="T44" s="91" t="s">
        <v>833</v>
      </c>
      <c r="U44" s="91"/>
      <c r="V44" s="91" t="s">
        <v>833</v>
      </c>
      <c r="W44" s="91"/>
      <c r="X44" s="91" t="s">
        <v>833</v>
      </c>
      <c r="Y44" s="91"/>
      <c r="Z44" s="91"/>
      <c r="AA44" s="91" t="s">
        <v>833</v>
      </c>
      <c r="AB44" s="91"/>
      <c r="AC44" s="91" t="s">
        <v>833</v>
      </c>
      <c r="AD44" s="91"/>
      <c r="AE44" s="91" t="s">
        <v>833</v>
      </c>
      <c r="AF44" s="91"/>
      <c r="AG44" s="91"/>
      <c r="AH44" s="91" t="s">
        <v>833</v>
      </c>
      <c r="AI44" s="91"/>
      <c r="AJ44" s="91" t="s">
        <v>833</v>
      </c>
      <c r="AK44" s="104">
        <f t="shared" si="6"/>
        <v>14</v>
      </c>
      <c r="AL44" s="105">
        <f t="shared" si="7"/>
        <v>0</v>
      </c>
      <c r="AM44" s="105">
        <f t="shared" si="8"/>
        <v>0</v>
      </c>
      <c r="AN44" s="123">
        <v>45985</v>
      </c>
      <c r="AO44" s="106"/>
      <c r="AP44" s="84"/>
      <c r="AQ44" s="84"/>
      <c r="AR44" s="84"/>
      <c r="AS44" s="84"/>
      <c r="AT44" s="82"/>
    </row>
    <row r="45" spans="1:46" ht="13.5" customHeight="1" x14ac:dyDescent="0.3">
      <c r="A45" s="121" t="s">
        <v>639</v>
      </c>
      <c r="B45" s="103">
        <v>40</v>
      </c>
      <c r="C45" s="169" t="s">
        <v>146</v>
      </c>
      <c r="D45" s="121" t="s">
        <v>365</v>
      </c>
      <c r="E45" s="171" t="s">
        <v>366</v>
      </c>
      <c r="F45" s="91"/>
      <c r="G45" s="91"/>
      <c r="H45" s="91"/>
      <c r="I45" s="91" t="s">
        <v>833</v>
      </c>
      <c r="J45" s="91" t="s">
        <v>833</v>
      </c>
      <c r="K45" s="91"/>
      <c r="L45" s="91"/>
      <c r="M45" s="91"/>
      <c r="N45" s="91"/>
      <c r="O45" s="91"/>
      <c r="P45" s="91" t="s">
        <v>833</v>
      </c>
      <c r="Q45" s="91" t="s">
        <v>833</v>
      </c>
      <c r="R45" s="91"/>
      <c r="S45" s="91"/>
      <c r="T45" s="91"/>
      <c r="U45" s="91"/>
      <c r="V45" s="91"/>
      <c r="W45" s="91" t="s">
        <v>833</v>
      </c>
      <c r="X45" s="91" t="s">
        <v>833</v>
      </c>
      <c r="Y45" s="91"/>
      <c r="Z45" s="91"/>
      <c r="AA45" s="91"/>
      <c r="AB45" s="91"/>
      <c r="AC45" s="91"/>
      <c r="AD45" s="91" t="s">
        <v>833</v>
      </c>
      <c r="AE45" s="91" t="s">
        <v>833</v>
      </c>
      <c r="AF45" s="91"/>
      <c r="AG45" s="91"/>
      <c r="AH45" s="91"/>
      <c r="AI45" s="91"/>
      <c r="AJ45" s="91"/>
      <c r="AK45" s="104">
        <f t="shared" si="6"/>
        <v>8</v>
      </c>
      <c r="AL45" s="105">
        <f t="shared" si="7"/>
        <v>0</v>
      </c>
      <c r="AM45" s="105">
        <f t="shared" si="8"/>
        <v>0</v>
      </c>
      <c r="AN45" s="123">
        <v>45985</v>
      </c>
      <c r="AO45" s="106"/>
      <c r="AP45" s="84"/>
      <c r="AQ45" s="84"/>
      <c r="AR45" s="84"/>
      <c r="AS45" s="84"/>
      <c r="AT45" s="82"/>
    </row>
    <row r="46" spans="1:46" ht="13.5" customHeight="1" x14ac:dyDescent="0.3">
      <c r="A46" s="121" t="s">
        <v>640</v>
      </c>
      <c r="B46" s="103">
        <v>41</v>
      </c>
      <c r="C46" s="169" t="s">
        <v>147</v>
      </c>
      <c r="D46" s="121" t="s">
        <v>367</v>
      </c>
      <c r="E46" s="171" t="s">
        <v>368</v>
      </c>
      <c r="F46" s="91"/>
      <c r="G46" s="91"/>
      <c r="H46" s="91"/>
      <c r="I46" s="91" t="s">
        <v>833</v>
      </c>
      <c r="J46" s="91" t="s">
        <v>833</v>
      </c>
      <c r="K46" s="91" t="s">
        <v>833</v>
      </c>
      <c r="L46" s="91"/>
      <c r="M46" s="91"/>
      <c r="N46" s="91"/>
      <c r="O46" s="91"/>
      <c r="P46" s="91" t="s">
        <v>833</v>
      </c>
      <c r="Q46" s="91" t="s">
        <v>833</v>
      </c>
      <c r="R46" s="91" t="s">
        <v>833</v>
      </c>
      <c r="S46" s="91"/>
      <c r="T46" s="91"/>
      <c r="U46" s="91"/>
      <c r="V46" s="91"/>
      <c r="W46" s="91" t="s">
        <v>833</v>
      </c>
      <c r="X46" s="91" t="s">
        <v>833</v>
      </c>
      <c r="Y46" s="91" t="s">
        <v>833</v>
      </c>
      <c r="Z46" s="91"/>
      <c r="AA46" s="91"/>
      <c r="AB46" s="91"/>
      <c r="AC46" s="91"/>
      <c r="AD46" s="91" t="s">
        <v>833</v>
      </c>
      <c r="AE46" s="91" t="s">
        <v>833</v>
      </c>
      <c r="AF46" s="91" t="s">
        <v>833</v>
      </c>
      <c r="AG46" s="91"/>
      <c r="AH46" s="91"/>
      <c r="AI46" s="91"/>
      <c r="AJ46" s="91"/>
      <c r="AK46" s="104">
        <f t="shared" si="6"/>
        <v>12</v>
      </c>
      <c r="AL46" s="105">
        <f t="shared" si="7"/>
        <v>0</v>
      </c>
      <c r="AM46" s="105">
        <f t="shared" si="8"/>
        <v>0</v>
      </c>
      <c r="AN46" s="123">
        <v>45985</v>
      </c>
      <c r="AO46" s="106"/>
      <c r="AP46" s="84"/>
      <c r="AQ46" s="84"/>
      <c r="AR46" s="84"/>
      <c r="AS46" s="84"/>
      <c r="AT46" s="82"/>
    </row>
    <row r="47" spans="1:46" ht="13.5" customHeight="1" x14ac:dyDescent="0.3">
      <c r="A47" s="121" t="s">
        <v>615</v>
      </c>
      <c r="B47" s="103">
        <v>42</v>
      </c>
      <c r="C47" s="169" t="s">
        <v>148</v>
      </c>
      <c r="D47" s="121" t="s">
        <v>369</v>
      </c>
      <c r="E47" s="171" t="s">
        <v>370</v>
      </c>
      <c r="F47" s="91"/>
      <c r="G47" s="91" t="s">
        <v>833</v>
      </c>
      <c r="H47" s="91"/>
      <c r="I47" s="91" t="s">
        <v>833</v>
      </c>
      <c r="J47" s="91" t="s">
        <v>833</v>
      </c>
      <c r="K47" s="91"/>
      <c r="L47" s="91"/>
      <c r="M47" s="91"/>
      <c r="N47" s="91" t="s">
        <v>833</v>
      </c>
      <c r="O47" s="91"/>
      <c r="P47" s="91" t="s">
        <v>833</v>
      </c>
      <c r="Q47" s="91" t="s">
        <v>833</v>
      </c>
      <c r="R47" s="91"/>
      <c r="S47" s="91"/>
      <c r="T47" s="91"/>
      <c r="U47" s="91" t="s">
        <v>833</v>
      </c>
      <c r="V47" s="91"/>
      <c r="W47" s="91" t="s">
        <v>833</v>
      </c>
      <c r="X47" s="91" t="s">
        <v>833</v>
      </c>
      <c r="Y47" s="91"/>
      <c r="Z47" s="91"/>
      <c r="AA47" s="91"/>
      <c r="AB47" s="91" t="s">
        <v>833</v>
      </c>
      <c r="AC47" s="91"/>
      <c r="AD47" s="91" t="s">
        <v>833</v>
      </c>
      <c r="AE47" s="91" t="s">
        <v>833</v>
      </c>
      <c r="AF47" s="91"/>
      <c r="AG47" s="91"/>
      <c r="AH47" s="91"/>
      <c r="AI47" s="91" t="s">
        <v>833</v>
      </c>
      <c r="AJ47" s="91"/>
      <c r="AK47" s="104">
        <f t="shared" si="6"/>
        <v>13</v>
      </c>
      <c r="AL47" s="105">
        <f t="shared" si="7"/>
        <v>0</v>
      </c>
      <c r="AM47" s="105">
        <f t="shared" si="8"/>
        <v>0</v>
      </c>
      <c r="AN47" s="123">
        <v>45985</v>
      </c>
      <c r="AO47" s="106"/>
      <c r="AP47" s="84"/>
      <c r="AQ47" s="84"/>
      <c r="AR47" s="84"/>
      <c r="AS47" s="84"/>
      <c r="AT47" s="82"/>
    </row>
    <row r="48" spans="1:46" ht="13.5" customHeight="1" x14ac:dyDescent="0.3">
      <c r="A48" s="121" t="s">
        <v>641</v>
      </c>
      <c r="B48" s="103">
        <v>43</v>
      </c>
      <c r="C48" s="169" t="s">
        <v>149</v>
      </c>
      <c r="D48" s="121" t="s">
        <v>371</v>
      </c>
      <c r="E48" s="171" t="s">
        <v>372</v>
      </c>
      <c r="F48" s="91" t="s">
        <v>833</v>
      </c>
      <c r="G48" s="91"/>
      <c r="H48" s="91" t="s">
        <v>833</v>
      </c>
      <c r="I48" s="91"/>
      <c r="J48" s="91" t="s">
        <v>833</v>
      </c>
      <c r="K48" s="91"/>
      <c r="L48" s="91"/>
      <c r="M48" s="91" t="s">
        <v>833</v>
      </c>
      <c r="N48" s="91"/>
      <c r="O48" s="91" t="s">
        <v>833</v>
      </c>
      <c r="P48" s="91"/>
      <c r="Q48" s="91" t="s">
        <v>833</v>
      </c>
      <c r="R48" s="91"/>
      <c r="S48" s="91"/>
      <c r="T48" s="91" t="s">
        <v>833</v>
      </c>
      <c r="U48" s="91"/>
      <c r="V48" s="91" t="s">
        <v>833</v>
      </c>
      <c r="W48" s="91"/>
      <c r="X48" s="91" t="s">
        <v>833</v>
      </c>
      <c r="Y48" s="91"/>
      <c r="Z48" s="91"/>
      <c r="AA48" s="91" t="s">
        <v>833</v>
      </c>
      <c r="AB48" s="91"/>
      <c r="AC48" s="91" t="s">
        <v>833</v>
      </c>
      <c r="AD48" s="91"/>
      <c r="AE48" s="91" t="s">
        <v>833</v>
      </c>
      <c r="AF48" s="91"/>
      <c r="AG48" s="91"/>
      <c r="AH48" s="91" t="s">
        <v>833</v>
      </c>
      <c r="AI48" s="91"/>
      <c r="AJ48" s="195" t="s">
        <v>837</v>
      </c>
      <c r="AK48" s="104">
        <f t="shared" si="6"/>
        <v>13</v>
      </c>
      <c r="AL48" s="105">
        <f t="shared" si="7"/>
        <v>1</v>
      </c>
      <c r="AM48" s="105">
        <f t="shared" si="8"/>
        <v>1</v>
      </c>
      <c r="AN48" s="123">
        <v>45985</v>
      </c>
      <c r="AO48" s="106"/>
      <c r="AP48" s="84"/>
      <c r="AQ48" s="84"/>
      <c r="AR48" s="84"/>
      <c r="AS48" s="84"/>
      <c r="AT48" s="82"/>
    </row>
    <row r="49" spans="1:46" ht="13.5" customHeight="1" x14ac:dyDescent="0.3">
      <c r="A49" s="121" t="s">
        <v>642</v>
      </c>
      <c r="B49" s="103">
        <v>44</v>
      </c>
      <c r="C49" s="169" t="s">
        <v>150</v>
      </c>
      <c r="D49" s="121" t="s">
        <v>373</v>
      </c>
      <c r="E49" s="171" t="s">
        <v>374</v>
      </c>
      <c r="F49" s="91"/>
      <c r="G49" s="91"/>
      <c r="H49" s="91"/>
      <c r="I49" s="91"/>
      <c r="J49" s="91"/>
      <c r="K49" s="91"/>
      <c r="L49" s="91"/>
      <c r="M49" s="91" t="s">
        <v>833</v>
      </c>
      <c r="N49" s="91"/>
      <c r="O49" s="91"/>
      <c r="P49" s="91"/>
      <c r="Q49" s="91"/>
      <c r="R49" s="91" t="s">
        <v>833</v>
      </c>
      <c r="S49" s="91" t="s">
        <v>833</v>
      </c>
      <c r="T49" s="91" t="s">
        <v>833</v>
      </c>
      <c r="U49" s="91"/>
      <c r="V49" s="91"/>
      <c r="W49" s="91"/>
      <c r="X49" s="91"/>
      <c r="Y49" s="91" t="s">
        <v>833</v>
      </c>
      <c r="Z49" s="91" t="s">
        <v>833</v>
      </c>
      <c r="AA49" s="91" t="s">
        <v>833</v>
      </c>
      <c r="AB49" s="91"/>
      <c r="AC49" s="91"/>
      <c r="AD49" s="91"/>
      <c r="AE49" s="91"/>
      <c r="AF49" s="91" t="s">
        <v>833</v>
      </c>
      <c r="AG49" s="91" t="s">
        <v>833</v>
      </c>
      <c r="AH49" s="91" t="s">
        <v>833</v>
      </c>
      <c r="AI49" s="91"/>
      <c r="AJ49" s="91"/>
      <c r="AK49" s="104">
        <f t="shared" si="6"/>
        <v>10</v>
      </c>
      <c r="AL49" s="105">
        <f t="shared" si="7"/>
        <v>0</v>
      </c>
      <c r="AM49" s="105">
        <f t="shared" si="8"/>
        <v>0</v>
      </c>
      <c r="AN49" s="123">
        <v>45985</v>
      </c>
      <c r="AO49" s="106"/>
      <c r="AP49" s="84"/>
      <c r="AQ49" s="84"/>
      <c r="AR49" s="84"/>
      <c r="AS49" s="84"/>
      <c r="AT49" s="82"/>
    </row>
    <row r="50" spans="1:46" ht="13.5" customHeight="1" x14ac:dyDescent="0.3">
      <c r="A50" s="121" t="s">
        <v>643</v>
      </c>
      <c r="B50" s="103">
        <v>45</v>
      </c>
      <c r="C50" s="169" t="s">
        <v>151</v>
      </c>
      <c r="D50" s="121" t="s">
        <v>375</v>
      </c>
      <c r="E50" s="171" t="s">
        <v>376</v>
      </c>
      <c r="F50" s="91" t="s">
        <v>833</v>
      </c>
      <c r="G50" s="91"/>
      <c r="H50" s="91" t="s">
        <v>833</v>
      </c>
      <c r="I50" s="91" t="s">
        <v>833</v>
      </c>
      <c r="J50" s="91"/>
      <c r="K50" s="91"/>
      <c r="L50" s="91"/>
      <c r="M50" s="91" t="s">
        <v>833</v>
      </c>
      <c r="N50" s="91"/>
      <c r="O50" s="91" t="s">
        <v>833</v>
      </c>
      <c r="P50" s="91" t="s">
        <v>833</v>
      </c>
      <c r="Q50" s="91"/>
      <c r="R50" s="91"/>
      <c r="S50" s="91"/>
      <c r="T50" s="91" t="s">
        <v>833</v>
      </c>
      <c r="U50" s="91"/>
      <c r="V50" s="91" t="s">
        <v>833</v>
      </c>
      <c r="W50" s="91" t="s">
        <v>833</v>
      </c>
      <c r="X50" s="91"/>
      <c r="Y50" s="91"/>
      <c r="Z50" s="91"/>
      <c r="AA50" s="91" t="s">
        <v>833</v>
      </c>
      <c r="AB50" s="91"/>
      <c r="AC50" s="91" t="s">
        <v>833</v>
      </c>
      <c r="AD50" s="91" t="s">
        <v>833</v>
      </c>
      <c r="AE50" s="91"/>
      <c r="AF50" s="91"/>
      <c r="AG50" s="91"/>
      <c r="AH50" s="91" t="s">
        <v>833</v>
      </c>
      <c r="AI50" s="91"/>
      <c r="AJ50" s="91" t="s">
        <v>833</v>
      </c>
      <c r="AK50" s="104">
        <f t="shared" si="6"/>
        <v>14</v>
      </c>
      <c r="AL50" s="105">
        <f t="shared" si="7"/>
        <v>0</v>
      </c>
      <c r="AM50" s="105">
        <f t="shared" si="8"/>
        <v>0</v>
      </c>
      <c r="AN50" s="123">
        <v>45985</v>
      </c>
      <c r="AO50" s="106"/>
      <c r="AP50" s="84"/>
      <c r="AQ50" s="84"/>
      <c r="AR50" s="84"/>
      <c r="AS50" s="84"/>
      <c r="AT50" s="82"/>
    </row>
    <row r="51" spans="1:46" ht="13.5" customHeight="1" x14ac:dyDescent="0.3">
      <c r="A51" s="121" t="s">
        <v>644</v>
      </c>
      <c r="B51" s="103">
        <v>46</v>
      </c>
      <c r="C51" s="169" t="s">
        <v>152</v>
      </c>
      <c r="D51" s="121" t="s">
        <v>377</v>
      </c>
      <c r="E51" s="171" t="s">
        <v>378</v>
      </c>
      <c r="F51" s="91"/>
      <c r="G51" s="91" t="s">
        <v>833</v>
      </c>
      <c r="H51" s="91" t="s">
        <v>833</v>
      </c>
      <c r="I51" s="91" t="s">
        <v>833</v>
      </c>
      <c r="J51" s="91"/>
      <c r="K51" s="91"/>
      <c r="L51" s="91"/>
      <c r="M51" s="91"/>
      <c r="N51" s="91"/>
      <c r="O51" s="195" t="s">
        <v>837</v>
      </c>
      <c r="P51" s="91"/>
      <c r="Q51" s="91"/>
      <c r="R51" s="91"/>
      <c r="S51" s="91"/>
      <c r="T51" s="91"/>
      <c r="U51" s="91" t="s">
        <v>833</v>
      </c>
      <c r="V51" s="91" t="s">
        <v>833</v>
      </c>
      <c r="W51" s="91" t="s">
        <v>833</v>
      </c>
      <c r="X51" s="91"/>
      <c r="Y51" s="91"/>
      <c r="Z51" s="91"/>
      <c r="AA51" s="91"/>
      <c r="AB51" s="91" t="s">
        <v>833</v>
      </c>
      <c r="AC51" s="91" t="s">
        <v>833</v>
      </c>
      <c r="AD51" s="91" t="s">
        <v>833</v>
      </c>
      <c r="AE51" s="91"/>
      <c r="AF51" s="91"/>
      <c r="AG51" s="91"/>
      <c r="AH51" s="91"/>
      <c r="AI51" s="91" t="s">
        <v>833</v>
      </c>
      <c r="AJ51" s="91" t="s">
        <v>833</v>
      </c>
      <c r="AK51" s="104">
        <f t="shared" si="6"/>
        <v>11</v>
      </c>
      <c r="AL51" s="105">
        <f t="shared" si="7"/>
        <v>1</v>
      </c>
      <c r="AM51" s="105">
        <f t="shared" si="8"/>
        <v>1</v>
      </c>
      <c r="AN51" s="123">
        <v>45985</v>
      </c>
      <c r="AO51" s="106"/>
      <c r="AP51" s="84"/>
      <c r="AQ51" s="84"/>
      <c r="AR51" s="84"/>
      <c r="AS51" s="84"/>
      <c r="AT51" s="82"/>
    </row>
    <row r="52" spans="1:46" ht="13.5" customHeight="1" x14ac:dyDescent="0.3">
      <c r="A52" s="121" t="s">
        <v>645</v>
      </c>
      <c r="B52" s="103">
        <v>47</v>
      </c>
      <c r="C52" s="169" t="s">
        <v>153</v>
      </c>
      <c r="D52" s="121" t="s">
        <v>379</v>
      </c>
      <c r="E52" s="171" t="s">
        <v>380</v>
      </c>
      <c r="F52" s="91"/>
      <c r="G52" s="91"/>
      <c r="H52" s="91"/>
      <c r="I52" s="91" t="s">
        <v>833</v>
      </c>
      <c r="J52" s="91" t="s">
        <v>833</v>
      </c>
      <c r="K52" s="91" t="s">
        <v>833</v>
      </c>
      <c r="L52" s="91"/>
      <c r="M52" s="91"/>
      <c r="N52" s="91"/>
      <c r="O52" s="91"/>
      <c r="P52" s="91" t="s">
        <v>833</v>
      </c>
      <c r="Q52" s="91" t="s">
        <v>833</v>
      </c>
      <c r="R52" s="91" t="s">
        <v>833</v>
      </c>
      <c r="S52" s="91"/>
      <c r="T52" s="91"/>
      <c r="U52" s="91"/>
      <c r="V52" s="91"/>
      <c r="W52" s="91" t="s">
        <v>833</v>
      </c>
      <c r="X52" s="91" t="s">
        <v>833</v>
      </c>
      <c r="Y52" s="91" t="s">
        <v>833</v>
      </c>
      <c r="Z52" s="91"/>
      <c r="AA52" s="91"/>
      <c r="AB52" s="91"/>
      <c r="AC52" s="91"/>
      <c r="AD52" s="91" t="s">
        <v>833</v>
      </c>
      <c r="AE52" s="91" t="s">
        <v>833</v>
      </c>
      <c r="AF52" s="91" t="s">
        <v>833</v>
      </c>
      <c r="AG52" s="91"/>
      <c r="AH52" s="91"/>
      <c r="AI52" s="91"/>
      <c r="AJ52" s="91"/>
      <c r="AK52" s="104">
        <f t="shared" si="6"/>
        <v>12</v>
      </c>
      <c r="AL52" s="105">
        <f t="shared" si="7"/>
        <v>0</v>
      </c>
      <c r="AM52" s="105">
        <f t="shared" si="8"/>
        <v>0</v>
      </c>
      <c r="AN52" s="123">
        <v>45985</v>
      </c>
      <c r="AO52" s="106"/>
      <c r="AP52" s="84"/>
      <c r="AQ52" s="84"/>
      <c r="AR52" s="84"/>
      <c r="AS52" s="84"/>
      <c r="AT52" s="82"/>
    </row>
    <row r="53" spans="1:46" ht="13.5" customHeight="1" x14ac:dyDescent="0.3">
      <c r="A53" s="121" t="s">
        <v>646</v>
      </c>
      <c r="B53" s="103">
        <v>48</v>
      </c>
      <c r="C53" s="169" t="s">
        <v>154</v>
      </c>
      <c r="D53" s="121" t="s">
        <v>379</v>
      </c>
      <c r="E53" s="171" t="s">
        <v>381</v>
      </c>
      <c r="F53" s="91"/>
      <c r="G53" s="91" t="s">
        <v>833</v>
      </c>
      <c r="H53" s="91"/>
      <c r="I53" s="91"/>
      <c r="J53" s="91"/>
      <c r="K53" s="91"/>
      <c r="L53" s="91"/>
      <c r="M53" s="91"/>
      <c r="N53" s="91" t="s">
        <v>833</v>
      </c>
      <c r="O53" s="91"/>
      <c r="P53" s="91"/>
      <c r="Q53" s="91"/>
      <c r="R53" s="91"/>
      <c r="S53" s="91"/>
      <c r="T53" s="91" t="s">
        <v>833</v>
      </c>
      <c r="U53" s="91" t="s">
        <v>833</v>
      </c>
      <c r="V53" s="91" t="s">
        <v>833</v>
      </c>
      <c r="W53" s="91"/>
      <c r="X53" s="91"/>
      <c r="Y53" s="91"/>
      <c r="Z53" s="91"/>
      <c r="AA53" s="91"/>
      <c r="AB53" s="91" t="s">
        <v>833</v>
      </c>
      <c r="AC53" s="91"/>
      <c r="AD53" s="91"/>
      <c r="AE53" s="91"/>
      <c r="AF53" s="91"/>
      <c r="AG53" s="91"/>
      <c r="AH53" s="91"/>
      <c r="AI53" s="91" t="s">
        <v>833</v>
      </c>
      <c r="AJ53" s="91"/>
      <c r="AK53" s="104">
        <f t="shared" si="6"/>
        <v>7</v>
      </c>
      <c r="AL53" s="105">
        <f t="shared" si="7"/>
        <v>0</v>
      </c>
      <c r="AM53" s="105">
        <f t="shared" si="8"/>
        <v>0</v>
      </c>
      <c r="AN53" s="123">
        <v>45985</v>
      </c>
      <c r="AO53" s="106"/>
      <c r="AP53" s="84"/>
      <c r="AQ53" s="84"/>
      <c r="AR53" s="84"/>
      <c r="AS53" s="84"/>
      <c r="AT53" s="82"/>
    </row>
    <row r="54" spans="1:46" ht="13.5" customHeight="1" x14ac:dyDescent="0.3">
      <c r="A54" s="121" t="s">
        <v>647</v>
      </c>
      <c r="B54" s="103">
        <v>49</v>
      </c>
      <c r="C54" s="169" t="s">
        <v>155</v>
      </c>
      <c r="D54" s="121" t="s">
        <v>382</v>
      </c>
      <c r="E54" s="171" t="s">
        <v>383</v>
      </c>
      <c r="F54" s="91" t="s">
        <v>833</v>
      </c>
      <c r="G54" s="91"/>
      <c r="H54" s="91"/>
      <c r="I54" s="91" t="s">
        <v>833</v>
      </c>
      <c r="J54" s="91" t="s">
        <v>833</v>
      </c>
      <c r="K54" s="91"/>
      <c r="L54" s="91"/>
      <c r="M54" s="91" t="s">
        <v>833</v>
      </c>
      <c r="N54" s="91"/>
      <c r="O54" s="91"/>
      <c r="P54" s="91" t="s">
        <v>833</v>
      </c>
      <c r="Q54" s="91" t="s">
        <v>833</v>
      </c>
      <c r="R54" s="91"/>
      <c r="S54" s="91"/>
      <c r="T54" s="91" t="s">
        <v>833</v>
      </c>
      <c r="U54" s="91"/>
      <c r="V54" s="91"/>
      <c r="W54" s="91" t="s">
        <v>833</v>
      </c>
      <c r="X54" s="91" t="s">
        <v>833</v>
      </c>
      <c r="Y54" s="91"/>
      <c r="Z54" s="91"/>
      <c r="AA54" s="91" t="s">
        <v>833</v>
      </c>
      <c r="AB54" s="91"/>
      <c r="AC54" s="91"/>
      <c r="AD54" s="91" t="s">
        <v>833</v>
      </c>
      <c r="AE54" s="91" t="s">
        <v>833</v>
      </c>
      <c r="AF54" s="91"/>
      <c r="AG54" s="91"/>
      <c r="AH54" s="91"/>
      <c r="AI54" s="91"/>
      <c r="AJ54" s="91"/>
      <c r="AK54" s="104">
        <f t="shared" ref="AK54:AK85" si="9">+COUNTIF(F54:AJ54,"X")+COUNTIF(F54:AJ54,"E")</f>
        <v>12</v>
      </c>
      <c r="AL54" s="105">
        <f t="shared" ref="AL54:AL85" si="10">+COUNTIF(F54:AJ54,"R")+COUNTIF(F54:AJ54,"T")+COUNTIF(F54:AJ54,"İ")</f>
        <v>0</v>
      </c>
      <c r="AM54" s="105">
        <f t="shared" ref="AM54:AM85" si="11">+COUNTIF(F54:AJ54,"İ")</f>
        <v>0</v>
      </c>
      <c r="AN54" s="123">
        <v>45985</v>
      </c>
      <c r="AO54" s="106"/>
      <c r="AP54" s="84"/>
      <c r="AQ54" s="84"/>
      <c r="AR54" s="84"/>
      <c r="AS54" s="84"/>
      <c r="AT54" s="82"/>
    </row>
    <row r="55" spans="1:46" ht="13.5" customHeight="1" x14ac:dyDescent="0.3">
      <c r="A55" s="121" t="s">
        <v>648</v>
      </c>
      <c r="B55" s="103">
        <v>50</v>
      </c>
      <c r="C55" s="169" t="s">
        <v>156</v>
      </c>
      <c r="D55" s="121" t="s">
        <v>384</v>
      </c>
      <c r="E55" s="171" t="s">
        <v>385</v>
      </c>
      <c r="F55" s="91"/>
      <c r="G55" s="91" t="s">
        <v>833</v>
      </c>
      <c r="H55" s="91" t="s">
        <v>833</v>
      </c>
      <c r="I55" s="91" t="s">
        <v>833</v>
      </c>
      <c r="J55" s="91"/>
      <c r="K55" s="91"/>
      <c r="L55" s="91"/>
      <c r="M55" s="91"/>
      <c r="N55" s="91" t="s">
        <v>833</v>
      </c>
      <c r="O55" s="91" t="s">
        <v>833</v>
      </c>
      <c r="P55" s="91" t="s">
        <v>833</v>
      </c>
      <c r="Q55" s="91"/>
      <c r="R55" s="91"/>
      <c r="S55" s="91"/>
      <c r="T55" s="91"/>
      <c r="U55" s="91" t="s">
        <v>833</v>
      </c>
      <c r="V55" s="91" t="s">
        <v>833</v>
      </c>
      <c r="W55" s="91" t="s">
        <v>833</v>
      </c>
      <c r="X55" s="91"/>
      <c r="Y55" s="91"/>
      <c r="Z55" s="91"/>
      <c r="AA55" s="91"/>
      <c r="AB55" s="91" t="s">
        <v>833</v>
      </c>
      <c r="AC55" s="91" t="s">
        <v>833</v>
      </c>
      <c r="AD55" s="91" t="s">
        <v>833</v>
      </c>
      <c r="AE55" s="91"/>
      <c r="AF55" s="91"/>
      <c r="AG55" s="91"/>
      <c r="AH55" s="91"/>
      <c r="AI55" s="91" t="s">
        <v>833</v>
      </c>
      <c r="AJ55" s="91" t="s">
        <v>833</v>
      </c>
      <c r="AK55" s="104">
        <f t="shared" si="9"/>
        <v>14</v>
      </c>
      <c r="AL55" s="105">
        <f t="shared" si="10"/>
        <v>0</v>
      </c>
      <c r="AM55" s="105">
        <f t="shared" si="11"/>
        <v>0</v>
      </c>
      <c r="AN55" s="123">
        <v>45985</v>
      </c>
      <c r="AO55" s="106"/>
      <c r="AP55" s="84"/>
      <c r="AQ55" s="84"/>
      <c r="AR55" s="84"/>
      <c r="AS55" s="84"/>
      <c r="AT55" s="82"/>
    </row>
    <row r="56" spans="1:46" ht="13.5" customHeight="1" x14ac:dyDescent="0.3">
      <c r="A56" s="121" t="s">
        <v>649</v>
      </c>
      <c r="B56" s="103">
        <v>51</v>
      </c>
      <c r="C56" s="169" t="s">
        <v>157</v>
      </c>
      <c r="D56" s="121" t="s">
        <v>384</v>
      </c>
      <c r="E56" s="171" t="s">
        <v>386</v>
      </c>
      <c r="F56" s="91"/>
      <c r="G56" s="91"/>
      <c r="H56" s="91" t="s">
        <v>833</v>
      </c>
      <c r="I56" s="91" t="s">
        <v>833</v>
      </c>
      <c r="J56" s="91" t="s">
        <v>833</v>
      </c>
      <c r="K56" s="91"/>
      <c r="L56" s="91"/>
      <c r="M56" s="91"/>
      <c r="N56" s="91"/>
      <c r="O56" s="91" t="s">
        <v>833</v>
      </c>
      <c r="P56" s="91" t="s">
        <v>833</v>
      </c>
      <c r="Q56" s="91" t="s">
        <v>833</v>
      </c>
      <c r="R56" s="91"/>
      <c r="S56" s="91"/>
      <c r="T56" s="91"/>
      <c r="U56" s="91"/>
      <c r="V56" s="91" t="s">
        <v>833</v>
      </c>
      <c r="W56" s="91" t="s">
        <v>833</v>
      </c>
      <c r="X56" s="91" t="s">
        <v>833</v>
      </c>
      <c r="Y56" s="91"/>
      <c r="Z56" s="91"/>
      <c r="AA56" s="91"/>
      <c r="AB56" s="91"/>
      <c r="AC56" s="91" t="s">
        <v>833</v>
      </c>
      <c r="AD56" s="91" t="s">
        <v>833</v>
      </c>
      <c r="AE56" s="91" t="s">
        <v>833</v>
      </c>
      <c r="AF56" s="91"/>
      <c r="AG56" s="91"/>
      <c r="AH56" s="91"/>
      <c r="AI56" s="91"/>
      <c r="AJ56" s="91" t="s">
        <v>833</v>
      </c>
      <c r="AK56" s="104">
        <f t="shared" si="9"/>
        <v>13</v>
      </c>
      <c r="AL56" s="105">
        <f t="shared" si="10"/>
        <v>0</v>
      </c>
      <c r="AM56" s="105">
        <f t="shared" si="11"/>
        <v>0</v>
      </c>
      <c r="AN56" s="123">
        <v>45985</v>
      </c>
      <c r="AO56" s="106"/>
      <c r="AP56" s="84"/>
      <c r="AQ56" s="84"/>
      <c r="AR56" s="84"/>
      <c r="AS56" s="84"/>
      <c r="AT56" s="82"/>
    </row>
    <row r="57" spans="1:46" ht="13.5" customHeight="1" x14ac:dyDescent="0.3">
      <c r="A57" s="121" t="s">
        <v>650</v>
      </c>
      <c r="B57" s="103">
        <v>52</v>
      </c>
      <c r="C57" s="169" t="s">
        <v>158</v>
      </c>
      <c r="D57" s="121" t="s">
        <v>384</v>
      </c>
      <c r="E57" s="171" t="s">
        <v>329</v>
      </c>
      <c r="F57" s="91"/>
      <c r="G57" s="91"/>
      <c r="H57" s="91" t="s">
        <v>833</v>
      </c>
      <c r="I57" s="91" t="s">
        <v>833</v>
      </c>
      <c r="J57" s="91" t="s">
        <v>833</v>
      </c>
      <c r="K57" s="91"/>
      <c r="L57" s="91"/>
      <c r="M57" s="91"/>
      <c r="N57" s="91"/>
      <c r="O57" s="91" t="s">
        <v>833</v>
      </c>
      <c r="P57" s="91" t="s">
        <v>833</v>
      </c>
      <c r="Q57" s="91" t="s">
        <v>833</v>
      </c>
      <c r="R57" s="91"/>
      <c r="S57" s="91"/>
      <c r="T57" s="91"/>
      <c r="U57" s="91"/>
      <c r="V57" s="91" t="s">
        <v>833</v>
      </c>
      <c r="W57" s="91" t="s">
        <v>833</v>
      </c>
      <c r="X57" s="91" t="s">
        <v>833</v>
      </c>
      <c r="Y57" s="91"/>
      <c r="Z57" s="91"/>
      <c r="AA57" s="91"/>
      <c r="AB57" s="91"/>
      <c r="AC57" s="91" t="s">
        <v>833</v>
      </c>
      <c r="AD57" s="91" t="s">
        <v>833</v>
      </c>
      <c r="AE57" s="91" t="s">
        <v>833</v>
      </c>
      <c r="AF57" s="91"/>
      <c r="AG57" s="91"/>
      <c r="AH57" s="91"/>
      <c r="AI57" s="91"/>
      <c r="AJ57" s="91" t="s">
        <v>833</v>
      </c>
      <c r="AK57" s="104">
        <f t="shared" si="9"/>
        <v>13</v>
      </c>
      <c r="AL57" s="105">
        <f t="shared" si="10"/>
        <v>0</v>
      </c>
      <c r="AM57" s="105">
        <f t="shared" si="11"/>
        <v>0</v>
      </c>
      <c r="AN57" s="123">
        <v>45985</v>
      </c>
      <c r="AO57" s="106"/>
      <c r="AP57" s="84"/>
      <c r="AQ57" s="84"/>
      <c r="AR57" s="84"/>
      <c r="AS57" s="84"/>
      <c r="AT57" s="82"/>
    </row>
    <row r="58" spans="1:46" ht="13.5" customHeight="1" x14ac:dyDescent="0.3">
      <c r="A58" s="121" t="s">
        <v>651</v>
      </c>
      <c r="B58" s="103">
        <v>53</v>
      </c>
      <c r="C58" s="169" t="s">
        <v>159</v>
      </c>
      <c r="D58" s="121" t="s">
        <v>384</v>
      </c>
      <c r="E58" s="171" t="s">
        <v>351</v>
      </c>
      <c r="F58" s="91"/>
      <c r="G58" s="91" t="s">
        <v>833</v>
      </c>
      <c r="H58" s="91" t="s">
        <v>833</v>
      </c>
      <c r="I58" s="91" t="s">
        <v>833</v>
      </c>
      <c r="J58" s="91"/>
      <c r="K58" s="91"/>
      <c r="L58" s="91"/>
      <c r="M58" s="91"/>
      <c r="N58" s="91" t="s">
        <v>833</v>
      </c>
      <c r="O58" s="91" t="s">
        <v>833</v>
      </c>
      <c r="P58" s="91" t="s">
        <v>833</v>
      </c>
      <c r="Q58" s="91"/>
      <c r="R58" s="91"/>
      <c r="S58" s="91"/>
      <c r="T58" s="91"/>
      <c r="U58" s="91" t="s">
        <v>833</v>
      </c>
      <c r="V58" s="91" t="s">
        <v>833</v>
      </c>
      <c r="W58" s="91" t="s">
        <v>833</v>
      </c>
      <c r="X58" s="91"/>
      <c r="Y58" s="91"/>
      <c r="Z58" s="91"/>
      <c r="AA58" s="91"/>
      <c r="AB58" s="91" t="s">
        <v>833</v>
      </c>
      <c r="AC58" s="91" t="s">
        <v>833</v>
      </c>
      <c r="AD58" s="91" t="s">
        <v>833</v>
      </c>
      <c r="AE58" s="91"/>
      <c r="AF58" s="91"/>
      <c r="AG58" s="91"/>
      <c r="AH58" s="91"/>
      <c r="AI58" s="91" t="s">
        <v>833</v>
      </c>
      <c r="AJ58" s="91" t="s">
        <v>833</v>
      </c>
      <c r="AK58" s="104">
        <f t="shared" si="9"/>
        <v>14</v>
      </c>
      <c r="AL58" s="105">
        <f t="shared" si="10"/>
        <v>0</v>
      </c>
      <c r="AM58" s="105">
        <f t="shared" si="11"/>
        <v>0</v>
      </c>
      <c r="AN58" s="123">
        <v>45985</v>
      </c>
      <c r="AO58" s="106"/>
      <c r="AP58" s="84"/>
      <c r="AQ58" s="84"/>
      <c r="AR58" s="84"/>
      <c r="AS58" s="84"/>
      <c r="AT58" s="82"/>
    </row>
    <row r="59" spans="1:46" ht="13.5" customHeight="1" x14ac:dyDescent="0.3">
      <c r="A59" s="121" t="s">
        <v>652</v>
      </c>
      <c r="B59" s="103">
        <v>54</v>
      </c>
      <c r="C59" s="169" t="s">
        <v>160</v>
      </c>
      <c r="D59" s="121" t="s">
        <v>387</v>
      </c>
      <c r="E59" s="171" t="s">
        <v>388</v>
      </c>
      <c r="F59" s="91" t="s">
        <v>833</v>
      </c>
      <c r="G59" s="91" t="s">
        <v>833</v>
      </c>
      <c r="H59" s="91"/>
      <c r="I59" s="91"/>
      <c r="J59" s="91" t="s">
        <v>833</v>
      </c>
      <c r="K59" s="91" t="s">
        <v>833</v>
      </c>
      <c r="L59" s="91" t="s">
        <v>833</v>
      </c>
      <c r="M59" s="91"/>
      <c r="N59" s="91"/>
      <c r="O59" s="91"/>
      <c r="P59" s="91"/>
      <c r="Q59" s="91" t="s">
        <v>833</v>
      </c>
      <c r="R59" s="91"/>
      <c r="S59" s="91"/>
      <c r="T59" s="91"/>
      <c r="U59" s="91" t="s">
        <v>833</v>
      </c>
      <c r="V59" s="91"/>
      <c r="W59" s="91" t="s">
        <v>833</v>
      </c>
      <c r="X59" s="91" t="s">
        <v>833</v>
      </c>
      <c r="Y59" s="91"/>
      <c r="Z59" s="91"/>
      <c r="AA59" s="91"/>
      <c r="AB59" s="91" t="s">
        <v>833</v>
      </c>
      <c r="AC59" s="91"/>
      <c r="AD59" s="91" t="s">
        <v>833</v>
      </c>
      <c r="AE59" s="91" t="s">
        <v>833</v>
      </c>
      <c r="AF59" s="91"/>
      <c r="AG59" s="91"/>
      <c r="AH59" s="91" t="s">
        <v>833</v>
      </c>
      <c r="AI59" s="91" t="s">
        <v>833</v>
      </c>
      <c r="AJ59" s="91"/>
      <c r="AK59" s="104">
        <f t="shared" si="9"/>
        <v>14</v>
      </c>
      <c r="AL59" s="105">
        <f t="shared" si="10"/>
        <v>0</v>
      </c>
      <c r="AM59" s="105">
        <f t="shared" si="11"/>
        <v>0</v>
      </c>
      <c r="AN59" s="123">
        <v>45985</v>
      </c>
      <c r="AO59" s="106"/>
      <c r="AP59" s="84"/>
      <c r="AQ59" s="84"/>
      <c r="AR59" s="84"/>
      <c r="AS59" s="84"/>
      <c r="AT59" s="82"/>
    </row>
    <row r="60" spans="1:46" ht="27.6" x14ac:dyDescent="0.3">
      <c r="A60" s="121" t="s">
        <v>653</v>
      </c>
      <c r="B60" s="103">
        <v>55</v>
      </c>
      <c r="C60" s="169" t="s">
        <v>161</v>
      </c>
      <c r="D60" s="121" t="s">
        <v>387</v>
      </c>
      <c r="E60" s="171" t="s">
        <v>389</v>
      </c>
      <c r="F60" s="91" t="s">
        <v>833</v>
      </c>
      <c r="G60" s="91"/>
      <c r="H60" s="91" t="s">
        <v>833</v>
      </c>
      <c r="I60" s="91"/>
      <c r="J60" s="91" t="s">
        <v>833</v>
      </c>
      <c r="K60" s="91"/>
      <c r="L60" s="91"/>
      <c r="M60" s="91" t="s">
        <v>833</v>
      </c>
      <c r="N60" s="91"/>
      <c r="O60" s="91" t="s">
        <v>833</v>
      </c>
      <c r="P60" s="91"/>
      <c r="Q60" s="91" t="s">
        <v>833</v>
      </c>
      <c r="R60" s="91"/>
      <c r="S60" s="91"/>
      <c r="T60" s="91" t="s">
        <v>833</v>
      </c>
      <c r="U60" s="91"/>
      <c r="V60" s="91" t="s">
        <v>833</v>
      </c>
      <c r="W60" s="91"/>
      <c r="X60" s="91" t="s">
        <v>833</v>
      </c>
      <c r="Y60" s="91"/>
      <c r="Z60" s="91"/>
      <c r="AA60" s="91" t="s">
        <v>833</v>
      </c>
      <c r="AB60" s="91"/>
      <c r="AC60" s="91" t="s">
        <v>833</v>
      </c>
      <c r="AD60" s="91"/>
      <c r="AE60" s="91" t="s">
        <v>833</v>
      </c>
      <c r="AF60" s="91"/>
      <c r="AG60" s="91"/>
      <c r="AH60" s="91" t="s">
        <v>833</v>
      </c>
      <c r="AI60" s="91"/>
      <c r="AJ60" s="91" t="s">
        <v>833</v>
      </c>
      <c r="AK60" s="104">
        <f t="shared" si="9"/>
        <v>14</v>
      </c>
      <c r="AL60" s="105">
        <f t="shared" si="10"/>
        <v>0</v>
      </c>
      <c r="AM60" s="105">
        <f t="shared" si="11"/>
        <v>0</v>
      </c>
      <c r="AN60" s="123">
        <v>45985</v>
      </c>
      <c r="AO60" s="106"/>
      <c r="AP60" s="84"/>
      <c r="AQ60" s="84"/>
      <c r="AR60" s="84"/>
      <c r="AS60" s="84"/>
      <c r="AT60" s="82"/>
    </row>
    <row r="61" spans="1:46" ht="13.5" customHeight="1" x14ac:dyDescent="0.3">
      <c r="A61" s="121" t="s">
        <v>654</v>
      </c>
      <c r="B61" s="103">
        <v>56</v>
      </c>
      <c r="C61" s="169" t="s">
        <v>162</v>
      </c>
      <c r="D61" s="121" t="s">
        <v>387</v>
      </c>
      <c r="E61" s="171" t="s">
        <v>390</v>
      </c>
      <c r="F61" s="91"/>
      <c r="G61" s="91"/>
      <c r="H61" s="91"/>
      <c r="I61" s="91"/>
      <c r="J61" s="195" t="s">
        <v>837</v>
      </c>
      <c r="K61" s="195" t="s">
        <v>837</v>
      </c>
      <c r="L61" s="91"/>
      <c r="M61" s="91"/>
      <c r="N61" s="91"/>
      <c r="O61" s="91"/>
      <c r="P61" s="91"/>
      <c r="Q61" s="195" t="s">
        <v>837</v>
      </c>
      <c r="R61" s="91" t="s">
        <v>833</v>
      </c>
      <c r="S61" s="91"/>
      <c r="T61" s="91"/>
      <c r="U61" s="91"/>
      <c r="V61" s="91"/>
      <c r="W61" s="91"/>
      <c r="X61" s="91" t="s">
        <v>833</v>
      </c>
      <c r="Y61" s="91" t="s">
        <v>833</v>
      </c>
      <c r="Z61" s="91"/>
      <c r="AA61" s="91"/>
      <c r="AB61" s="91"/>
      <c r="AC61" s="91"/>
      <c r="AD61" s="91"/>
      <c r="AE61" s="91" t="s">
        <v>833</v>
      </c>
      <c r="AF61" s="91" t="s">
        <v>833</v>
      </c>
      <c r="AG61" s="91"/>
      <c r="AH61" s="91"/>
      <c r="AI61" s="91"/>
      <c r="AJ61" s="91"/>
      <c r="AK61" s="104">
        <f t="shared" si="9"/>
        <v>5</v>
      </c>
      <c r="AL61" s="105">
        <f t="shared" si="10"/>
        <v>3</v>
      </c>
      <c r="AM61" s="105">
        <f t="shared" si="11"/>
        <v>3</v>
      </c>
      <c r="AN61" s="123">
        <v>45985</v>
      </c>
      <c r="AO61" s="106"/>
      <c r="AP61" s="84"/>
      <c r="AQ61" s="84"/>
      <c r="AR61" s="84"/>
      <c r="AS61" s="84"/>
      <c r="AT61" s="82"/>
    </row>
    <row r="62" spans="1:46" ht="13.5" customHeight="1" x14ac:dyDescent="0.3">
      <c r="A62" s="121" t="s">
        <v>655</v>
      </c>
      <c r="B62" s="103">
        <v>57</v>
      </c>
      <c r="C62" s="169" t="s">
        <v>163</v>
      </c>
      <c r="D62" s="121" t="s">
        <v>391</v>
      </c>
      <c r="E62" s="171" t="s">
        <v>392</v>
      </c>
      <c r="F62" s="91" t="s">
        <v>833</v>
      </c>
      <c r="G62" s="91"/>
      <c r="H62" s="91"/>
      <c r="I62" s="91" t="s">
        <v>833</v>
      </c>
      <c r="J62" s="91" t="s">
        <v>833</v>
      </c>
      <c r="K62" s="91"/>
      <c r="L62" s="91"/>
      <c r="M62" s="91" t="s">
        <v>833</v>
      </c>
      <c r="N62" s="91"/>
      <c r="O62" s="91"/>
      <c r="P62" s="91" t="s">
        <v>833</v>
      </c>
      <c r="Q62" s="91" t="s">
        <v>833</v>
      </c>
      <c r="R62" s="91"/>
      <c r="S62" s="91"/>
      <c r="T62" s="91" t="s">
        <v>833</v>
      </c>
      <c r="U62" s="91"/>
      <c r="V62" s="91"/>
      <c r="W62" s="91" t="s">
        <v>833</v>
      </c>
      <c r="X62" s="91" t="s">
        <v>833</v>
      </c>
      <c r="Y62" s="91"/>
      <c r="Z62" s="91"/>
      <c r="AA62" s="91" t="s">
        <v>833</v>
      </c>
      <c r="AB62" s="91"/>
      <c r="AC62" s="91"/>
      <c r="AD62" s="91" t="s">
        <v>833</v>
      </c>
      <c r="AE62" s="91" t="s">
        <v>833</v>
      </c>
      <c r="AF62" s="91"/>
      <c r="AG62" s="91"/>
      <c r="AH62" s="91"/>
      <c r="AI62" s="91"/>
      <c r="AJ62" s="91"/>
      <c r="AK62" s="104">
        <f t="shared" si="9"/>
        <v>12</v>
      </c>
      <c r="AL62" s="105">
        <f t="shared" si="10"/>
        <v>0</v>
      </c>
      <c r="AM62" s="105">
        <f t="shared" si="11"/>
        <v>0</v>
      </c>
      <c r="AN62" s="123">
        <v>45985</v>
      </c>
      <c r="AO62" s="106"/>
      <c r="AP62" s="84"/>
      <c r="AQ62" s="84"/>
      <c r="AR62" s="84"/>
      <c r="AS62" s="84"/>
      <c r="AT62" s="82"/>
    </row>
    <row r="63" spans="1:46" ht="13.5" customHeight="1" x14ac:dyDescent="0.3">
      <c r="A63" s="121" t="s">
        <v>656</v>
      </c>
      <c r="B63" s="103">
        <v>58</v>
      </c>
      <c r="C63" s="169" t="s">
        <v>164</v>
      </c>
      <c r="D63" s="121" t="s">
        <v>391</v>
      </c>
      <c r="E63" s="171" t="s">
        <v>393</v>
      </c>
      <c r="F63" s="91"/>
      <c r="G63" s="91"/>
      <c r="H63" s="91"/>
      <c r="I63" s="91" t="s">
        <v>833</v>
      </c>
      <c r="J63" s="91" t="s">
        <v>833</v>
      </c>
      <c r="K63" s="91" t="s">
        <v>833</v>
      </c>
      <c r="L63" s="91"/>
      <c r="M63" s="91"/>
      <c r="N63" s="91"/>
      <c r="O63" s="91"/>
      <c r="P63" s="91" t="s">
        <v>833</v>
      </c>
      <c r="Q63" s="91" t="s">
        <v>833</v>
      </c>
      <c r="R63" s="91" t="s">
        <v>833</v>
      </c>
      <c r="S63" s="91"/>
      <c r="T63" s="91"/>
      <c r="U63" s="91"/>
      <c r="V63" s="91"/>
      <c r="W63" s="91" t="s">
        <v>833</v>
      </c>
      <c r="X63" s="91" t="s">
        <v>833</v>
      </c>
      <c r="Y63" s="91" t="s">
        <v>833</v>
      </c>
      <c r="Z63" s="91"/>
      <c r="AA63" s="91"/>
      <c r="AB63" s="91"/>
      <c r="AC63" s="91"/>
      <c r="AD63" s="91" t="s">
        <v>833</v>
      </c>
      <c r="AE63" s="91" t="s">
        <v>833</v>
      </c>
      <c r="AF63" s="91" t="s">
        <v>833</v>
      </c>
      <c r="AG63" s="91"/>
      <c r="AH63" s="91"/>
      <c r="AI63" s="91"/>
      <c r="AJ63" s="91"/>
      <c r="AK63" s="104">
        <f t="shared" si="9"/>
        <v>12</v>
      </c>
      <c r="AL63" s="105">
        <f t="shared" si="10"/>
        <v>0</v>
      </c>
      <c r="AM63" s="105">
        <f t="shared" si="11"/>
        <v>0</v>
      </c>
      <c r="AN63" s="123">
        <v>45985</v>
      </c>
      <c r="AO63" s="106"/>
      <c r="AP63" s="84"/>
      <c r="AQ63" s="84"/>
      <c r="AR63" s="84"/>
      <c r="AS63" s="84"/>
      <c r="AT63" s="82"/>
    </row>
    <row r="64" spans="1:46" ht="13.5" customHeight="1" x14ac:dyDescent="0.3">
      <c r="A64" s="121" t="s">
        <v>657</v>
      </c>
      <c r="B64" s="103">
        <v>59</v>
      </c>
      <c r="C64" s="169" t="s">
        <v>165</v>
      </c>
      <c r="D64" s="121" t="s">
        <v>394</v>
      </c>
      <c r="E64" s="171" t="s">
        <v>342</v>
      </c>
      <c r="F64" s="91"/>
      <c r="G64" s="91"/>
      <c r="H64" s="91" t="s">
        <v>833</v>
      </c>
      <c r="I64" s="91"/>
      <c r="J64" s="91"/>
      <c r="K64" s="91"/>
      <c r="L64" s="91"/>
      <c r="M64" s="91" t="s">
        <v>833</v>
      </c>
      <c r="N64" s="91" t="s">
        <v>833</v>
      </c>
      <c r="O64" s="195" t="s">
        <v>837</v>
      </c>
      <c r="P64" s="91"/>
      <c r="Q64" s="91"/>
      <c r="R64" s="91"/>
      <c r="S64" s="91"/>
      <c r="T64" s="91" t="s">
        <v>833</v>
      </c>
      <c r="U64" s="91" t="s">
        <v>833</v>
      </c>
      <c r="V64" s="91" t="s">
        <v>833</v>
      </c>
      <c r="W64" s="91"/>
      <c r="X64" s="91"/>
      <c r="Y64" s="91"/>
      <c r="Z64" s="91"/>
      <c r="AA64" s="91" t="s">
        <v>833</v>
      </c>
      <c r="AB64" s="91" t="s">
        <v>833</v>
      </c>
      <c r="AC64" s="91" t="s">
        <v>833</v>
      </c>
      <c r="AD64" s="91"/>
      <c r="AE64" s="91"/>
      <c r="AF64" s="91"/>
      <c r="AG64" s="91"/>
      <c r="AH64" s="91" t="s">
        <v>833</v>
      </c>
      <c r="AI64" s="91" t="s">
        <v>833</v>
      </c>
      <c r="AJ64" s="91" t="s">
        <v>833</v>
      </c>
      <c r="AK64" s="104">
        <f t="shared" si="9"/>
        <v>12</v>
      </c>
      <c r="AL64" s="105">
        <f t="shared" si="10"/>
        <v>1</v>
      </c>
      <c r="AM64" s="105">
        <f t="shared" si="11"/>
        <v>1</v>
      </c>
      <c r="AN64" s="123">
        <v>45985</v>
      </c>
      <c r="AO64" s="106"/>
      <c r="AP64" s="84"/>
      <c r="AQ64" s="84"/>
      <c r="AR64" s="84"/>
      <c r="AS64" s="84"/>
      <c r="AT64" s="82"/>
    </row>
    <row r="65" spans="1:46" ht="13.5" customHeight="1" x14ac:dyDescent="0.3">
      <c r="A65" s="121" t="s">
        <v>658</v>
      </c>
      <c r="B65" s="103">
        <v>60</v>
      </c>
      <c r="C65" s="169" t="s">
        <v>166</v>
      </c>
      <c r="D65" s="121" t="s">
        <v>395</v>
      </c>
      <c r="E65" s="171" t="s">
        <v>396</v>
      </c>
      <c r="F65" s="91" t="s">
        <v>833</v>
      </c>
      <c r="G65" s="91"/>
      <c r="H65" s="91" t="s">
        <v>833</v>
      </c>
      <c r="I65" s="91"/>
      <c r="J65" s="91" t="s">
        <v>833</v>
      </c>
      <c r="K65" s="91"/>
      <c r="L65" s="91"/>
      <c r="M65" s="91" t="s">
        <v>833</v>
      </c>
      <c r="N65" s="91"/>
      <c r="O65" s="91" t="s">
        <v>833</v>
      </c>
      <c r="P65" s="91"/>
      <c r="Q65" s="91" t="s">
        <v>833</v>
      </c>
      <c r="R65" s="91"/>
      <c r="S65" s="91"/>
      <c r="T65" s="91" t="s">
        <v>833</v>
      </c>
      <c r="U65" s="91"/>
      <c r="V65" s="91" t="s">
        <v>833</v>
      </c>
      <c r="W65" s="91"/>
      <c r="X65" s="91" t="s">
        <v>833</v>
      </c>
      <c r="Y65" s="91"/>
      <c r="Z65" s="91"/>
      <c r="AA65" s="91" t="s">
        <v>833</v>
      </c>
      <c r="AB65" s="91"/>
      <c r="AC65" s="91" t="s">
        <v>833</v>
      </c>
      <c r="AD65" s="91"/>
      <c r="AE65" s="91" t="s">
        <v>833</v>
      </c>
      <c r="AF65" s="91"/>
      <c r="AG65" s="91"/>
      <c r="AH65" s="91" t="s">
        <v>833</v>
      </c>
      <c r="AI65" s="91"/>
      <c r="AJ65" s="91" t="s">
        <v>833</v>
      </c>
      <c r="AK65" s="104">
        <f t="shared" si="9"/>
        <v>14</v>
      </c>
      <c r="AL65" s="105">
        <f t="shared" si="10"/>
        <v>0</v>
      </c>
      <c r="AM65" s="105">
        <f t="shared" si="11"/>
        <v>0</v>
      </c>
      <c r="AN65" s="123">
        <v>45985</v>
      </c>
      <c r="AO65" s="106"/>
      <c r="AP65" s="84"/>
      <c r="AQ65" s="84"/>
      <c r="AR65" s="84"/>
      <c r="AS65" s="84"/>
      <c r="AT65" s="82"/>
    </row>
    <row r="66" spans="1:46" ht="13.5" customHeight="1" x14ac:dyDescent="0.3">
      <c r="A66" s="174" t="s">
        <v>659</v>
      </c>
      <c r="B66" s="103">
        <v>61</v>
      </c>
      <c r="C66" s="175" t="s">
        <v>167</v>
      </c>
      <c r="D66" s="174" t="s">
        <v>317</v>
      </c>
      <c r="E66" s="176" t="s">
        <v>397</v>
      </c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104">
        <f t="shared" si="9"/>
        <v>0</v>
      </c>
      <c r="AL66" s="105">
        <f t="shared" si="10"/>
        <v>0</v>
      </c>
      <c r="AM66" s="105">
        <f t="shared" si="11"/>
        <v>0</v>
      </c>
      <c r="AN66" s="123">
        <v>45985</v>
      </c>
      <c r="AO66" s="106">
        <v>46003</v>
      </c>
      <c r="AP66" s="84"/>
      <c r="AQ66" s="84"/>
      <c r="AR66" s="84"/>
      <c r="AS66" s="84"/>
      <c r="AT66" s="82"/>
    </row>
    <row r="67" spans="1:46" ht="13.5" customHeight="1" x14ac:dyDescent="0.3">
      <c r="A67" s="121" t="s">
        <v>660</v>
      </c>
      <c r="B67" s="103">
        <v>62</v>
      </c>
      <c r="C67" s="169" t="s">
        <v>168</v>
      </c>
      <c r="D67" s="121" t="s">
        <v>317</v>
      </c>
      <c r="E67" s="171" t="s">
        <v>398</v>
      </c>
      <c r="F67" s="91" t="s">
        <v>833</v>
      </c>
      <c r="G67" s="91"/>
      <c r="H67" s="91"/>
      <c r="I67" s="91" t="s">
        <v>833</v>
      </c>
      <c r="J67" s="91" t="s">
        <v>833</v>
      </c>
      <c r="K67" s="91"/>
      <c r="L67" s="91"/>
      <c r="M67" s="91"/>
      <c r="N67" s="91"/>
      <c r="O67" s="91" t="s">
        <v>833</v>
      </c>
      <c r="P67" s="91" t="s">
        <v>833</v>
      </c>
      <c r="Q67" s="91" t="s">
        <v>833</v>
      </c>
      <c r="R67" s="91"/>
      <c r="S67" s="91"/>
      <c r="T67" s="91"/>
      <c r="U67" s="91" t="s">
        <v>833</v>
      </c>
      <c r="V67" s="91" t="s">
        <v>833</v>
      </c>
      <c r="W67" s="91"/>
      <c r="X67" s="91" t="s">
        <v>833</v>
      </c>
      <c r="Y67" s="91"/>
      <c r="Z67" s="91"/>
      <c r="AA67" s="91"/>
      <c r="AB67" s="91" t="s">
        <v>833</v>
      </c>
      <c r="AC67" s="91" t="s">
        <v>833</v>
      </c>
      <c r="AD67" s="91"/>
      <c r="AE67" s="124" t="s">
        <v>833</v>
      </c>
      <c r="AF67" s="91"/>
      <c r="AG67" s="91"/>
      <c r="AH67" s="91" t="s">
        <v>833</v>
      </c>
      <c r="AI67" s="91"/>
      <c r="AJ67" s="91"/>
      <c r="AK67" s="104">
        <f t="shared" si="9"/>
        <v>13</v>
      </c>
      <c r="AL67" s="105">
        <f t="shared" si="10"/>
        <v>0</v>
      </c>
      <c r="AM67" s="105">
        <f t="shared" si="11"/>
        <v>0</v>
      </c>
      <c r="AN67" s="123">
        <v>45985</v>
      </c>
      <c r="AO67" s="106"/>
      <c r="AP67" s="84"/>
      <c r="AQ67" s="84"/>
      <c r="AR67" s="84"/>
      <c r="AS67" s="84"/>
      <c r="AT67" s="82"/>
    </row>
    <row r="68" spans="1:46" ht="13.5" customHeight="1" x14ac:dyDescent="0.3">
      <c r="A68" s="121" t="s">
        <v>786</v>
      </c>
      <c r="B68" s="103">
        <v>63</v>
      </c>
      <c r="C68" s="169" t="s">
        <v>784</v>
      </c>
      <c r="D68" s="121" t="s">
        <v>317</v>
      </c>
      <c r="E68" s="171" t="s">
        <v>785</v>
      </c>
      <c r="F68" s="91"/>
      <c r="G68" s="91" t="s">
        <v>833</v>
      </c>
      <c r="H68" s="91" t="s">
        <v>833</v>
      </c>
      <c r="I68" s="91"/>
      <c r="J68" s="91" t="s">
        <v>833</v>
      </c>
      <c r="K68" s="91"/>
      <c r="L68" s="91"/>
      <c r="M68" s="91"/>
      <c r="N68" s="91" t="s">
        <v>833</v>
      </c>
      <c r="O68" s="91" t="s">
        <v>833</v>
      </c>
      <c r="P68" s="91"/>
      <c r="Q68" s="91" t="s">
        <v>833</v>
      </c>
      <c r="R68" s="91"/>
      <c r="S68" s="91"/>
      <c r="T68" s="91"/>
      <c r="U68" s="91" t="s">
        <v>833</v>
      </c>
      <c r="V68" s="91" t="s">
        <v>833</v>
      </c>
      <c r="W68" s="91"/>
      <c r="X68" s="91" t="s">
        <v>833</v>
      </c>
      <c r="Y68" s="91"/>
      <c r="Z68" s="91"/>
      <c r="AA68" s="91"/>
      <c r="AB68" s="91" t="s">
        <v>833</v>
      </c>
      <c r="AC68" s="91" t="s">
        <v>833</v>
      </c>
      <c r="AD68" s="91"/>
      <c r="AE68" s="91" t="s">
        <v>833</v>
      </c>
      <c r="AF68" s="91"/>
      <c r="AG68" s="91"/>
      <c r="AH68" s="91"/>
      <c r="AI68" s="91" t="s">
        <v>833</v>
      </c>
      <c r="AJ68" s="91" t="s">
        <v>833</v>
      </c>
      <c r="AK68" s="104">
        <f t="shared" si="9"/>
        <v>14</v>
      </c>
      <c r="AL68" s="105">
        <f t="shared" si="10"/>
        <v>0</v>
      </c>
      <c r="AM68" s="105">
        <f t="shared" si="11"/>
        <v>0</v>
      </c>
      <c r="AN68" s="123">
        <v>45989</v>
      </c>
      <c r="AO68" s="106"/>
      <c r="AP68" s="84"/>
      <c r="AQ68" s="84"/>
      <c r="AR68" s="84"/>
      <c r="AS68" s="84"/>
      <c r="AT68" s="82"/>
    </row>
    <row r="69" spans="1:46" ht="13.5" customHeight="1" x14ac:dyDescent="0.3">
      <c r="A69" s="121" t="s">
        <v>661</v>
      </c>
      <c r="B69" s="103">
        <v>64</v>
      </c>
      <c r="C69" s="169" t="s">
        <v>169</v>
      </c>
      <c r="D69" s="121" t="s">
        <v>399</v>
      </c>
      <c r="E69" s="171" t="s">
        <v>400</v>
      </c>
      <c r="F69" s="91"/>
      <c r="G69" s="91" t="s">
        <v>833</v>
      </c>
      <c r="H69" s="91" t="s">
        <v>833</v>
      </c>
      <c r="I69" s="91"/>
      <c r="J69" s="91" t="s">
        <v>833</v>
      </c>
      <c r="K69" s="91"/>
      <c r="L69" s="91"/>
      <c r="M69" s="91" t="s">
        <v>833</v>
      </c>
      <c r="N69" s="91" t="s">
        <v>833</v>
      </c>
      <c r="O69" s="91"/>
      <c r="P69" s="91"/>
      <c r="Q69" s="91" t="s">
        <v>833</v>
      </c>
      <c r="R69" s="91"/>
      <c r="S69" s="91"/>
      <c r="T69" s="91" t="s">
        <v>833</v>
      </c>
      <c r="U69" s="91" t="s">
        <v>833</v>
      </c>
      <c r="V69" s="91"/>
      <c r="W69" s="91"/>
      <c r="X69" s="91" t="s">
        <v>833</v>
      </c>
      <c r="Y69" s="91"/>
      <c r="Z69" s="91"/>
      <c r="AA69" s="91" t="s">
        <v>833</v>
      </c>
      <c r="AB69" s="91" t="s">
        <v>833</v>
      </c>
      <c r="AC69" s="91"/>
      <c r="AD69" s="91"/>
      <c r="AE69" s="91" t="s">
        <v>833</v>
      </c>
      <c r="AF69" s="91"/>
      <c r="AG69" s="91"/>
      <c r="AH69" s="91" t="s">
        <v>833</v>
      </c>
      <c r="AI69" s="91" t="s">
        <v>833</v>
      </c>
      <c r="AJ69" s="91"/>
      <c r="AK69" s="104">
        <f t="shared" si="9"/>
        <v>14</v>
      </c>
      <c r="AL69" s="105">
        <f t="shared" si="10"/>
        <v>0</v>
      </c>
      <c r="AM69" s="105">
        <f t="shared" si="11"/>
        <v>0</v>
      </c>
      <c r="AN69" s="123">
        <v>45985</v>
      </c>
      <c r="AO69" s="106"/>
      <c r="AP69" s="84"/>
      <c r="AQ69" s="84"/>
      <c r="AR69" s="84"/>
      <c r="AS69" s="84"/>
      <c r="AT69" s="82"/>
    </row>
    <row r="70" spans="1:46" ht="13.5" customHeight="1" x14ac:dyDescent="0.3">
      <c r="A70" s="121" t="s">
        <v>662</v>
      </c>
      <c r="B70" s="103">
        <v>65</v>
      </c>
      <c r="C70" s="169" t="s">
        <v>170</v>
      </c>
      <c r="D70" s="121" t="s">
        <v>401</v>
      </c>
      <c r="E70" s="171" t="s">
        <v>402</v>
      </c>
      <c r="F70" s="91" t="s">
        <v>833</v>
      </c>
      <c r="G70" s="91" t="s">
        <v>833</v>
      </c>
      <c r="H70" s="91"/>
      <c r="I70" s="91"/>
      <c r="J70" s="91" t="s">
        <v>833</v>
      </c>
      <c r="K70" s="91"/>
      <c r="L70" s="91"/>
      <c r="M70" s="91" t="s">
        <v>833</v>
      </c>
      <c r="N70" s="91" t="s">
        <v>833</v>
      </c>
      <c r="O70" s="91"/>
      <c r="P70" s="91"/>
      <c r="Q70" s="91" t="s">
        <v>833</v>
      </c>
      <c r="R70" s="91"/>
      <c r="S70" s="91"/>
      <c r="T70" s="91" t="s">
        <v>833</v>
      </c>
      <c r="U70" s="91"/>
      <c r="V70" s="91"/>
      <c r="W70" s="91"/>
      <c r="X70" s="91" t="s">
        <v>833</v>
      </c>
      <c r="Y70" s="91"/>
      <c r="Z70" s="91"/>
      <c r="AA70" s="91" t="s">
        <v>833</v>
      </c>
      <c r="AB70" s="91" t="s">
        <v>833</v>
      </c>
      <c r="AC70" s="91"/>
      <c r="AD70" s="91"/>
      <c r="AE70" s="91" t="s">
        <v>833</v>
      </c>
      <c r="AF70" s="91"/>
      <c r="AG70" s="91"/>
      <c r="AH70" s="91" t="s">
        <v>833</v>
      </c>
      <c r="AI70" s="91" t="s">
        <v>833</v>
      </c>
      <c r="AJ70" s="91"/>
      <c r="AK70" s="104">
        <f t="shared" si="9"/>
        <v>13</v>
      </c>
      <c r="AL70" s="105">
        <f t="shared" si="10"/>
        <v>0</v>
      </c>
      <c r="AM70" s="105">
        <f t="shared" si="11"/>
        <v>0</v>
      </c>
      <c r="AN70" s="123">
        <v>45985</v>
      </c>
      <c r="AO70" s="106"/>
      <c r="AP70" s="84"/>
      <c r="AQ70" s="84"/>
      <c r="AR70" s="84"/>
      <c r="AS70" s="84"/>
      <c r="AT70" s="82"/>
    </row>
    <row r="71" spans="1:46" ht="13.5" customHeight="1" x14ac:dyDescent="0.3">
      <c r="A71" s="121" t="s">
        <v>663</v>
      </c>
      <c r="B71" s="103">
        <v>66</v>
      </c>
      <c r="C71" s="169" t="s">
        <v>171</v>
      </c>
      <c r="D71" s="121" t="s">
        <v>403</v>
      </c>
      <c r="E71" s="171" t="s">
        <v>404</v>
      </c>
      <c r="F71" s="91"/>
      <c r="G71" s="91"/>
      <c r="H71" s="91" t="s">
        <v>833</v>
      </c>
      <c r="I71" s="91" t="s">
        <v>833</v>
      </c>
      <c r="J71" s="91" t="s">
        <v>833</v>
      </c>
      <c r="K71" s="91"/>
      <c r="L71" s="91"/>
      <c r="M71" s="91"/>
      <c r="N71" s="91"/>
      <c r="O71" s="91" t="s">
        <v>833</v>
      </c>
      <c r="P71" s="91" t="s">
        <v>833</v>
      </c>
      <c r="Q71" s="91" t="s">
        <v>833</v>
      </c>
      <c r="R71" s="91"/>
      <c r="S71" s="91"/>
      <c r="T71" s="91"/>
      <c r="U71" s="91"/>
      <c r="V71" s="91" t="s">
        <v>833</v>
      </c>
      <c r="W71" s="91" t="s">
        <v>833</v>
      </c>
      <c r="X71" s="91" t="s">
        <v>833</v>
      </c>
      <c r="Y71" s="91"/>
      <c r="Z71" s="91"/>
      <c r="AA71" s="91"/>
      <c r="AB71" s="91"/>
      <c r="AC71" s="91" t="s">
        <v>833</v>
      </c>
      <c r="AD71" s="91" t="s">
        <v>833</v>
      </c>
      <c r="AE71" s="91" t="s">
        <v>833</v>
      </c>
      <c r="AF71" s="91"/>
      <c r="AG71" s="91"/>
      <c r="AH71" s="91"/>
      <c r="AI71" s="91"/>
      <c r="AJ71" s="91"/>
      <c r="AK71" s="104">
        <f t="shared" si="9"/>
        <v>12</v>
      </c>
      <c r="AL71" s="105">
        <f t="shared" si="10"/>
        <v>0</v>
      </c>
      <c r="AM71" s="105">
        <f t="shared" si="11"/>
        <v>0</v>
      </c>
      <c r="AN71" s="123">
        <v>45985</v>
      </c>
      <c r="AO71" s="106"/>
      <c r="AP71" s="84"/>
      <c r="AQ71" s="84"/>
      <c r="AR71" s="84"/>
      <c r="AS71" s="84"/>
      <c r="AT71" s="82"/>
    </row>
    <row r="72" spans="1:46" ht="13.5" customHeight="1" x14ac:dyDescent="0.3">
      <c r="A72" s="121" t="s">
        <v>664</v>
      </c>
      <c r="B72" s="103">
        <v>67</v>
      </c>
      <c r="C72" s="169" t="s">
        <v>172</v>
      </c>
      <c r="D72" s="121" t="s">
        <v>405</v>
      </c>
      <c r="E72" s="171" t="s">
        <v>406</v>
      </c>
      <c r="F72" s="91" t="s">
        <v>833</v>
      </c>
      <c r="G72" s="91"/>
      <c r="H72" s="91"/>
      <c r="I72" s="91"/>
      <c r="J72" s="91" t="s">
        <v>833</v>
      </c>
      <c r="K72" s="91"/>
      <c r="L72" s="91"/>
      <c r="M72" s="91" t="s">
        <v>833</v>
      </c>
      <c r="N72" s="91"/>
      <c r="O72" s="91"/>
      <c r="P72" s="91"/>
      <c r="Q72" s="91" t="s">
        <v>833</v>
      </c>
      <c r="R72" s="91"/>
      <c r="S72" s="91"/>
      <c r="T72" s="91" t="s">
        <v>833</v>
      </c>
      <c r="U72" s="91"/>
      <c r="V72" s="91"/>
      <c r="W72" s="91"/>
      <c r="X72" s="91" t="s">
        <v>833</v>
      </c>
      <c r="Y72" s="91"/>
      <c r="Z72" s="91"/>
      <c r="AA72" s="91" t="s">
        <v>833</v>
      </c>
      <c r="AB72" s="91"/>
      <c r="AC72" s="91"/>
      <c r="AD72" s="91"/>
      <c r="AE72" s="91" t="s">
        <v>833</v>
      </c>
      <c r="AF72" s="91"/>
      <c r="AG72" s="91"/>
      <c r="AH72" s="91" t="s">
        <v>833</v>
      </c>
      <c r="AI72" s="91"/>
      <c r="AJ72" s="91"/>
      <c r="AK72" s="104">
        <f t="shared" si="9"/>
        <v>9</v>
      </c>
      <c r="AL72" s="105">
        <f t="shared" si="10"/>
        <v>0</v>
      </c>
      <c r="AM72" s="105">
        <f t="shared" si="11"/>
        <v>0</v>
      </c>
      <c r="AN72" s="123">
        <v>45985</v>
      </c>
      <c r="AO72" s="106"/>
      <c r="AP72" s="84"/>
      <c r="AQ72" s="84"/>
      <c r="AR72" s="84"/>
      <c r="AS72" s="84"/>
      <c r="AT72" s="82"/>
    </row>
    <row r="73" spans="1:46" ht="13.5" customHeight="1" x14ac:dyDescent="0.3">
      <c r="A73" s="121" t="s">
        <v>665</v>
      </c>
      <c r="B73" s="103">
        <v>68</v>
      </c>
      <c r="C73" s="169" t="s">
        <v>173</v>
      </c>
      <c r="D73" s="121" t="s">
        <v>407</v>
      </c>
      <c r="E73" s="171" t="s">
        <v>408</v>
      </c>
      <c r="F73" s="91"/>
      <c r="G73" s="91"/>
      <c r="H73" s="91" t="s">
        <v>833</v>
      </c>
      <c r="I73" s="91"/>
      <c r="J73" s="91" t="s">
        <v>833</v>
      </c>
      <c r="K73" s="91"/>
      <c r="L73" s="91"/>
      <c r="M73" s="91"/>
      <c r="N73" s="91" t="s">
        <v>833</v>
      </c>
      <c r="O73" s="91" t="s">
        <v>833</v>
      </c>
      <c r="P73" s="91"/>
      <c r="Q73" s="91" t="s">
        <v>833</v>
      </c>
      <c r="R73" s="91"/>
      <c r="S73" s="91"/>
      <c r="T73" s="91"/>
      <c r="U73" s="91" t="s">
        <v>833</v>
      </c>
      <c r="V73" s="91" t="s">
        <v>833</v>
      </c>
      <c r="W73" s="91"/>
      <c r="X73" s="91" t="s">
        <v>833</v>
      </c>
      <c r="Y73" s="91"/>
      <c r="Z73" s="91"/>
      <c r="AA73" s="91"/>
      <c r="AB73" s="91"/>
      <c r="AC73" s="91" t="s">
        <v>833</v>
      </c>
      <c r="AD73" s="91"/>
      <c r="AE73" s="91" t="s">
        <v>833</v>
      </c>
      <c r="AF73" s="91"/>
      <c r="AG73" s="91"/>
      <c r="AH73" s="91"/>
      <c r="AI73" s="91" t="s">
        <v>833</v>
      </c>
      <c r="AJ73" s="91"/>
      <c r="AK73" s="104">
        <f t="shared" si="9"/>
        <v>11</v>
      </c>
      <c r="AL73" s="105">
        <f t="shared" si="10"/>
        <v>0</v>
      </c>
      <c r="AM73" s="105">
        <f t="shared" si="11"/>
        <v>0</v>
      </c>
      <c r="AN73" s="123">
        <v>45985</v>
      </c>
      <c r="AO73" s="106"/>
      <c r="AP73" s="84"/>
      <c r="AQ73" s="84"/>
      <c r="AR73" s="84"/>
      <c r="AS73" s="84"/>
      <c r="AT73" s="82"/>
    </row>
    <row r="74" spans="1:46" ht="13.5" customHeight="1" x14ac:dyDescent="0.3">
      <c r="A74" s="121" t="s">
        <v>666</v>
      </c>
      <c r="B74" s="103">
        <v>69</v>
      </c>
      <c r="C74" s="169" t="s">
        <v>174</v>
      </c>
      <c r="D74" s="121" t="s">
        <v>409</v>
      </c>
      <c r="E74" s="171" t="s">
        <v>410</v>
      </c>
      <c r="F74" s="91" t="s">
        <v>833</v>
      </c>
      <c r="G74" s="91"/>
      <c r="H74" s="91" t="s">
        <v>833</v>
      </c>
      <c r="I74" s="91"/>
      <c r="J74" s="91" t="s">
        <v>833</v>
      </c>
      <c r="K74" s="91"/>
      <c r="L74" s="91"/>
      <c r="M74" s="91" t="s">
        <v>833</v>
      </c>
      <c r="N74" s="91"/>
      <c r="O74" s="91" t="s">
        <v>833</v>
      </c>
      <c r="P74" s="91"/>
      <c r="Q74" s="91" t="s">
        <v>833</v>
      </c>
      <c r="R74" s="91"/>
      <c r="S74" s="91"/>
      <c r="T74" s="91" t="s">
        <v>833</v>
      </c>
      <c r="U74" s="91"/>
      <c r="V74" s="91" t="s">
        <v>833</v>
      </c>
      <c r="W74" s="91"/>
      <c r="X74" s="91" t="s">
        <v>833</v>
      </c>
      <c r="Y74" s="91"/>
      <c r="Z74" s="91"/>
      <c r="AA74" s="91" t="s">
        <v>833</v>
      </c>
      <c r="AB74" s="91"/>
      <c r="AC74" s="91" t="s">
        <v>833</v>
      </c>
      <c r="AD74" s="91"/>
      <c r="AE74" s="91" t="s">
        <v>833</v>
      </c>
      <c r="AF74" s="91"/>
      <c r="AG74" s="91"/>
      <c r="AH74" s="91" t="s">
        <v>833</v>
      </c>
      <c r="AI74" s="91"/>
      <c r="AJ74" s="91" t="s">
        <v>833</v>
      </c>
      <c r="AK74" s="104">
        <f t="shared" si="9"/>
        <v>14</v>
      </c>
      <c r="AL74" s="105">
        <f t="shared" si="10"/>
        <v>0</v>
      </c>
      <c r="AM74" s="105">
        <f t="shared" si="11"/>
        <v>0</v>
      </c>
      <c r="AN74" s="123">
        <v>45985</v>
      </c>
      <c r="AO74" s="106"/>
      <c r="AP74" s="84"/>
      <c r="AQ74" s="84"/>
      <c r="AR74" s="84"/>
      <c r="AS74" s="84"/>
      <c r="AT74" s="82"/>
    </row>
    <row r="75" spans="1:46" ht="13.5" customHeight="1" x14ac:dyDescent="0.3">
      <c r="A75" s="121" t="s">
        <v>667</v>
      </c>
      <c r="B75" s="103">
        <v>70</v>
      </c>
      <c r="C75" s="169" t="s">
        <v>175</v>
      </c>
      <c r="D75" s="121" t="s">
        <v>411</v>
      </c>
      <c r="E75" s="171" t="s">
        <v>412</v>
      </c>
      <c r="F75" s="91"/>
      <c r="G75" s="91" t="s">
        <v>833</v>
      </c>
      <c r="H75" s="91" t="s">
        <v>833</v>
      </c>
      <c r="I75" s="91" t="s">
        <v>833</v>
      </c>
      <c r="J75" s="91"/>
      <c r="K75" s="91"/>
      <c r="L75" s="91"/>
      <c r="M75" s="91"/>
      <c r="N75" s="91" t="s">
        <v>833</v>
      </c>
      <c r="O75" s="91" t="s">
        <v>833</v>
      </c>
      <c r="P75" s="91" t="s">
        <v>833</v>
      </c>
      <c r="Q75" s="91"/>
      <c r="R75" s="91"/>
      <c r="S75" s="91"/>
      <c r="T75" s="91"/>
      <c r="U75" s="91" t="s">
        <v>833</v>
      </c>
      <c r="V75" s="91" t="s">
        <v>833</v>
      </c>
      <c r="W75" s="91" t="s">
        <v>833</v>
      </c>
      <c r="X75" s="91"/>
      <c r="Y75" s="91"/>
      <c r="Z75" s="91"/>
      <c r="AA75" s="91"/>
      <c r="AB75" s="91" t="s">
        <v>833</v>
      </c>
      <c r="AC75" s="91" t="s">
        <v>833</v>
      </c>
      <c r="AD75" s="91" t="s">
        <v>833</v>
      </c>
      <c r="AE75" s="91"/>
      <c r="AF75" s="91"/>
      <c r="AG75" s="91"/>
      <c r="AH75" s="91"/>
      <c r="AI75" s="91"/>
      <c r="AJ75" s="91"/>
      <c r="AK75" s="104">
        <f t="shared" si="9"/>
        <v>12</v>
      </c>
      <c r="AL75" s="105">
        <f t="shared" si="10"/>
        <v>0</v>
      </c>
      <c r="AM75" s="105">
        <f t="shared" si="11"/>
        <v>0</v>
      </c>
      <c r="AN75" s="123">
        <v>45985</v>
      </c>
      <c r="AO75" s="106"/>
      <c r="AP75" s="84"/>
      <c r="AQ75" s="84"/>
      <c r="AR75" s="84"/>
      <c r="AS75" s="84"/>
      <c r="AT75" s="83"/>
    </row>
    <row r="76" spans="1:46" ht="13.5" customHeight="1" x14ac:dyDescent="0.3">
      <c r="A76" s="121" t="s">
        <v>668</v>
      </c>
      <c r="B76" s="103">
        <v>71</v>
      </c>
      <c r="C76" s="169" t="s">
        <v>176</v>
      </c>
      <c r="D76" s="121" t="s">
        <v>413</v>
      </c>
      <c r="E76" s="171" t="s">
        <v>414</v>
      </c>
      <c r="F76" s="91"/>
      <c r="G76" s="91" t="s">
        <v>833</v>
      </c>
      <c r="H76" s="91" t="s">
        <v>833</v>
      </c>
      <c r="I76" s="91"/>
      <c r="J76" s="91" t="s">
        <v>833</v>
      </c>
      <c r="K76" s="91"/>
      <c r="L76" s="91"/>
      <c r="M76" s="91"/>
      <c r="N76" s="91" t="s">
        <v>833</v>
      </c>
      <c r="O76" s="91" t="s">
        <v>833</v>
      </c>
      <c r="P76" s="91"/>
      <c r="Q76" s="91" t="s">
        <v>833</v>
      </c>
      <c r="R76" s="91"/>
      <c r="S76" s="91"/>
      <c r="T76" s="91"/>
      <c r="U76" s="91" t="s">
        <v>833</v>
      </c>
      <c r="V76" s="91" t="s">
        <v>833</v>
      </c>
      <c r="W76" s="91"/>
      <c r="X76" s="91" t="s">
        <v>833</v>
      </c>
      <c r="Y76" s="91"/>
      <c r="Z76" s="91"/>
      <c r="AA76" s="91"/>
      <c r="AB76" s="91" t="s">
        <v>833</v>
      </c>
      <c r="AC76" s="91" t="s">
        <v>833</v>
      </c>
      <c r="AD76" s="91"/>
      <c r="AE76" s="91" t="s">
        <v>833</v>
      </c>
      <c r="AF76" s="91"/>
      <c r="AG76" s="91"/>
      <c r="AH76" s="91"/>
      <c r="AI76" s="91" t="s">
        <v>833</v>
      </c>
      <c r="AJ76" s="91" t="s">
        <v>833</v>
      </c>
      <c r="AK76" s="104">
        <f t="shared" si="9"/>
        <v>14</v>
      </c>
      <c r="AL76" s="105">
        <f t="shared" si="10"/>
        <v>0</v>
      </c>
      <c r="AM76" s="105">
        <f t="shared" si="11"/>
        <v>0</v>
      </c>
      <c r="AN76" s="123">
        <v>45985</v>
      </c>
      <c r="AO76" s="106"/>
      <c r="AP76" s="84"/>
      <c r="AQ76" s="84"/>
      <c r="AR76" s="84"/>
      <c r="AS76" s="84"/>
      <c r="AT76" s="82"/>
    </row>
    <row r="77" spans="1:46" ht="13.5" customHeight="1" x14ac:dyDescent="0.3">
      <c r="A77" s="121" t="s">
        <v>669</v>
      </c>
      <c r="B77" s="103">
        <v>72</v>
      </c>
      <c r="C77" s="169" t="s">
        <v>177</v>
      </c>
      <c r="D77" s="121" t="s">
        <v>415</v>
      </c>
      <c r="E77" s="171" t="s">
        <v>416</v>
      </c>
      <c r="F77" s="91" t="s">
        <v>833</v>
      </c>
      <c r="G77" s="91"/>
      <c r="H77" s="91"/>
      <c r="I77" s="91"/>
      <c r="J77" s="91" t="s">
        <v>833</v>
      </c>
      <c r="K77" s="91"/>
      <c r="L77" s="91"/>
      <c r="M77" s="91" t="s">
        <v>833</v>
      </c>
      <c r="N77" s="91"/>
      <c r="O77" s="91"/>
      <c r="P77" s="91"/>
      <c r="Q77" s="91" t="s">
        <v>833</v>
      </c>
      <c r="R77" s="91"/>
      <c r="S77" s="91"/>
      <c r="T77" s="91" t="s">
        <v>833</v>
      </c>
      <c r="U77" s="91"/>
      <c r="V77" s="91"/>
      <c r="W77" s="91"/>
      <c r="X77" s="91" t="s">
        <v>833</v>
      </c>
      <c r="Y77" s="91"/>
      <c r="Z77" s="91"/>
      <c r="AA77" s="91" t="s">
        <v>833</v>
      </c>
      <c r="AB77" s="91"/>
      <c r="AC77" s="91"/>
      <c r="AD77" s="91"/>
      <c r="AE77" s="91" t="s">
        <v>833</v>
      </c>
      <c r="AF77" s="91"/>
      <c r="AG77" s="91"/>
      <c r="AH77" s="91" t="s">
        <v>833</v>
      </c>
      <c r="AI77" s="91"/>
      <c r="AJ77" s="91"/>
      <c r="AK77" s="104">
        <f t="shared" si="9"/>
        <v>9</v>
      </c>
      <c r="AL77" s="105">
        <f t="shared" si="10"/>
        <v>0</v>
      </c>
      <c r="AM77" s="105">
        <f t="shared" si="11"/>
        <v>0</v>
      </c>
      <c r="AN77" s="123">
        <v>45985</v>
      </c>
      <c r="AO77" s="106"/>
      <c r="AP77" s="84"/>
      <c r="AQ77" s="84"/>
      <c r="AR77" s="84"/>
      <c r="AS77" s="84"/>
      <c r="AT77" s="82"/>
    </row>
    <row r="78" spans="1:46" ht="13.5" customHeight="1" x14ac:dyDescent="0.3">
      <c r="A78" s="121" t="s">
        <v>670</v>
      </c>
      <c r="B78" s="103">
        <v>73</v>
      </c>
      <c r="C78" s="169" t="s">
        <v>178</v>
      </c>
      <c r="D78" s="121" t="s">
        <v>417</v>
      </c>
      <c r="E78" s="171" t="s">
        <v>392</v>
      </c>
      <c r="F78" s="91"/>
      <c r="G78" s="91" t="s">
        <v>833</v>
      </c>
      <c r="H78" s="91"/>
      <c r="I78" s="91" t="s">
        <v>833</v>
      </c>
      <c r="J78" s="91"/>
      <c r="K78" s="91" t="s">
        <v>833</v>
      </c>
      <c r="L78" s="91"/>
      <c r="M78" s="91"/>
      <c r="N78" s="91" t="s">
        <v>833</v>
      </c>
      <c r="O78" s="91"/>
      <c r="P78" s="91" t="s">
        <v>833</v>
      </c>
      <c r="Q78" s="91"/>
      <c r="R78" s="91"/>
      <c r="S78" s="91" t="s">
        <v>833</v>
      </c>
      <c r="T78" s="91"/>
      <c r="U78" s="91" t="s">
        <v>833</v>
      </c>
      <c r="V78" s="91"/>
      <c r="W78" s="91" t="s">
        <v>833</v>
      </c>
      <c r="X78" s="91"/>
      <c r="Y78" s="91"/>
      <c r="Z78" s="91" t="s">
        <v>833</v>
      </c>
      <c r="AA78" s="91"/>
      <c r="AB78" s="91" t="s">
        <v>833</v>
      </c>
      <c r="AC78" s="91"/>
      <c r="AD78" s="91" t="s">
        <v>833</v>
      </c>
      <c r="AE78" s="91"/>
      <c r="AF78" s="91"/>
      <c r="AG78" s="91" t="s">
        <v>833</v>
      </c>
      <c r="AH78" s="91"/>
      <c r="AI78" s="91" t="s">
        <v>833</v>
      </c>
      <c r="AJ78" s="91"/>
      <c r="AK78" s="104">
        <f t="shared" si="9"/>
        <v>13</v>
      </c>
      <c r="AL78" s="105">
        <f t="shared" si="10"/>
        <v>0</v>
      </c>
      <c r="AM78" s="105">
        <f t="shared" si="11"/>
        <v>0</v>
      </c>
      <c r="AN78" s="123">
        <v>45985</v>
      </c>
      <c r="AO78" s="106"/>
      <c r="AP78" s="84"/>
      <c r="AQ78" s="84"/>
      <c r="AR78" s="84"/>
      <c r="AS78" s="84"/>
      <c r="AT78" s="82"/>
    </row>
    <row r="79" spans="1:46" ht="13.5" customHeight="1" x14ac:dyDescent="0.3">
      <c r="A79" s="121" t="s">
        <v>671</v>
      </c>
      <c r="B79" s="103">
        <v>74</v>
      </c>
      <c r="C79" s="169" t="s">
        <v>179</v>
      </c>
      <c r="D79" s="121" t="s">
        <v>418</v>
      </c>
      <c r="E79" s="171" t="s">
        <v>419</v>
      </c>
      <c r="F79" s="91"/>
      <c r="G79" s="91" t="s">
        <v>833</v>
      </c>
      <c r="H79" s="91"/>
      <c r="I79" s="91" t="s">
        <v>833</v>
      </c>
      <c r="J79" s="91" t="s">
        <v>833</v>
      </c>
      <c r="K79" s="91"/>
      <c r="L79" s="91"/>
      <c r="M79" s="91"/>
      <c r="N79" s="91" t="s">
        <v>833</v>
      </c>
      <c r="O79" s="91"/>
      <c r="P79" s="91" t="s">
        <v>833</v>
      </c>
      <c r="Q79" s="91" t="s">
        <v>833</v>
      </c>
      <c r="R79" s="91"/>
      <c r="S79" s="91"/>
      <c r="T79" s="91"/>
      <c r="U79" s="91" t="s">
        <v>833</v>
      </c>
      <c r="V79" s="91"/>
      <c r="W79" s="91" t="s">
        <v>833</v>
      </c>
      <c r="X79" s="91" t="s">
        <v>833</v>
      </c>
      <c r="Y79" s="91"/>
      <c r="Z79" s="91"/>
      <c r="AA79" s="91"/>
      <c r="AB79" s="91" t="s">
        <v>833</v>
      </c>
      <c r="AC79" s="91"/>
      <c r="AD79" s="91" t="s">
        <v>833</v>
      </c>
      <c r="AE79" s="91" t="s">
        <v>833</v>
      </c>
      <c r="AF79" s="91"/>
      <c r="AG79" s="91"/>
      <c r="AH79" s="91"/>
      <c r="AI79" s="91"/>
      <c r="AJ79" s="91"/>
      <c r="AK79" s="104">
        <f t="shared" si="9"/>
        <v>12</v>
      </c>
      <c r="AL79" s="105">
        <f t="shared" si="10"/>
        <v>0</v>
      </c>
      <c r="AM79" s="105">
        <f t="shared" si="11"/>
        <v>0</v>
      </c>
      <c r="AN79" s="123">
        <v>45985</v>
      </c>
      <c r="AO79" s="106"/>
      <c r="AP79" s="84"/>
      <c r="AQ79" s="84"/>
      <c r="AR79" s="84"/>
      <c r="AS79" s="84"/>
      <c r="AT79" s="82"/>
    </row>
    <row r="80" spans="1:46" ht="13.5" customHeight="1" x14ac:dyDescent="0.3">
      <c r="A80" s="121" t="s">
        <v>672</v>
      </c>
      <c r="B80" s="103">
        <v>75</v>
      </c>
      <c r="C80" s="169" t="s">
        <v>180</v>
      </c>
      <c r="D80" s="121" t="s">
        <v>420</v>
      </c>
      <c r="E80" s="171" t="s">
        <v>421</v>
      </c>
      <c r="F80" s="91"/>
      <c r="G80" s="91"/>
      <c r="H80" s="91" t="s">
        <v>833</v>
      </c>
      <c r="I80" s="91"/>
      <c r="J80" s="91"/>
      <c r="K80" s="91" t="s">
        <v>833</v>
      </c>
      <c r="L80" s="91" t="s">
        <v>833</v>
      </c>
      <c r="M80" s="91"/>
      <c r="N80" s="91"/>
      <c r="O80" s="91" t="s">
        <v>833</v>
      </c>
      <c r="P80" s="91"/>
      <c r="Q80" s="91"/>
      <c r="R80" s="91" t="s">
        <v>833</v>
      </c>
      <c r="S80" s="91" t="s">
        <v>833</v>
      </c>
      <c r="T80" s="91"/>
      <c r="U80" s="91"/>
      <c r="V80" s="91" t="s">
        <v>833</v>
      </c>
      <c r="W80" s="91"/>
      <c r="X80" s="91"/>
      <c r="Y80" s="91" t="s">
        <v>833</v>
      </c>
      <c r="Z80" s="91" t="s">
        <v>833</v>
      </c>
      <c r="AA80" s="91"/>
      <c r="AB80" s="91"/>
      <c r="AC80" s="91" t="s">
        <v>833</v>
      </c>
      <c r="AD80" s="91"/>
      <c r="AE80" s="91"/>
      <c r="AF80" s="91" t="s">
        <v>833</v>
      </c>
      <c r="AG80" s="91" t="s">
        <v>833</v>
      </c>
      <c r="AH80" s="91"/>
      <c r="AI80" s="91"/>
      <c r="AJ80" s="91" t="s">
        <v>833</v>
      </c>
      <c r="AK80" s="104">
        <f t="shared" si="9"/>
        <v>13</v>
      </c>
      <c r="AL80" s="105">
        <f t="shared" si="10"/>
        <v>0</v>
      </c>
      <c r="AM80" s="105">
        <f t="shared" si="11"/>
        <v>0</v>
      </c>
      <c r="AN80" s="123">
        <v>45985</v>
      </c>
      <c r="AO80" s="106"/>
      <c r="AP80" s="84"/>
      <c r="AQ80" s="84"/>
      <c r="AR80" s="84"/>
      <c r="AS80" s="84"/>
      <c r="AT80" s="82"/>
    </row>
    <row r="81" spans="1:46" ht="13.5" customHeight="1" x14ac:dyDescent="0.3">
      <c r="A81" s="121" t="s">
        <v>673</v>
      </c>
      <c r="B81" s="103">
        <v>76</v>
      </c>
      <c r="C81" s="169" t="s">
        <v>181</v>
      </c>
      <c r="D81" s="121" t="s">
        <v>422</v>
      </c>
      <c r="E81" s="171" t="s">
        <v>423</v>
      </c>
      <c r="F81" s="91"/>
      <c r="G81" s="91"/>
      <c r="H81" s="91"/>
      <c r="I81" s="91" t="s">
        <v>833</v>
      </c>
      <c r="J81" s="91"/>
      <c r="K81" s="91"/>
      <c r="L81" s="91"/>
      <c r="M81" s="91"/>
      <c r="N81" s="91"/>
      <c r="O81" s="91"/>
      <c r="P81" s="91" t="s">
        <v>833</v>
      </c>
      <c r="Q81" s="91"/>
      <c r="R81" s="91"/>
      <c r="S81" s="91"/>
      <c r="T81" s="91"/>
      <c r="U81" s="91"/>
      <c r="V81" s="91"/>
      <c r="W81" s="91" t="s">
        <v>833</v>
      </c>
      <c r="X81" s="91"/>
      <c r="Y81" s="91"/>
      <c r="Z81" s="91"/>
      <c r="AA81" s="91"/>
      <c r="AB81" s="91"/>
      <c r="AC81" s="91"/>
      <c r="AD81" s="91" t="s">
        <v>833</v>
      </c>
      <c r="AE81" s="91"/>
      <c r="AF81" s="91"/>
      <c r="AG81" s="91"/>
      <c r="AH81" s="91"/>
      <c r="AI81" s="91"/>
      <c r="AJ81" s="91"/>
      <c r="AK81" s="104">
        <f t="shared" si="9"/>
        <v>4</v>
      </c>
      <c r="AL81" s="105">
        <f t="shared" si="10"/>
        <v>0</v>
      </c>
      <c r="AM81" s="105">
        <f t="shared" si="11"/>
        <v>0</v>
      </c>
      <c r="AN81" s="123">
        <v>45985</v>
      </c>
      <c r="AO81" s="106"/>
      <c r="AP81" s="84"/>
      <c r="AQ81" s="84"/>
      <c r="AR81" s="84"/>
      <c r="AS81" s="84"/>
      <c r="AT81" s="82"/>
    </row>
    <row r="82" spans="1:46" ht="13.5" customHeight="1" x14ac:dyDescent="0.3">
      <c r="A82" s="121" t="s">
        <v>674</v>
      </c>
      <c r="B82" s="103">
        <v>77</v>
      </c>
      <c r="C82" s="169" t="s">
        <v>182</v>
      </c>
      <c r="D82" s="121" t="s">
        <v>424</v>
      </c>
      <c r="E82" s="171" t="s">
        <v>425</v>
      </c>
      <c r="F82" s="91" t="s">
        <v>833</v>
      </c>
      <c r="G82" s="91"/>
      <c r="H82" s="91"/>
      <c r="I82" s="91" t="s">
        <v>833</v>
      </c>
      <c r="J82" s="91" t="s">
        <v>833</v>
      </c>
      <c r="K82" s="91"/>
      <c r="L82" s="91"/>
      <c r="M82" s="91" t="s">
        <v>833</v>
      </c>
      <c r="N82" s="91"/>
      <c r="O82" s="91"/>
      <c r="P82" s="91" t="s">
        <v>833</v>
      </c>
      <c r="Q82" s="91" t="s">
        <v>833</v>
      </c>
      <c r="R82" s="91"/>
      <c r="S82" s="91"/>
      <c r="T82" s="91" t="s">
        <v>833</v>
      </c>
      <c r="U82" s="91"/>
      <c r="V82" s="91"/>
      <c r="W82" s="91" t="s">
        <v>833</v>
      </c>
      <c r="X82" s="91" t="s">
        <v>833</v>
      </c>
      <c r="Y82" s="91"/>
      <c r="Z82" s="91"/>
      <c r="AA82" s="91" t="s">
        <v>833</v>
      </c>
      <c r="AB82" s="91"/>
      <c r="AC82" s="91"/>
      <c r="AD82" s="91" t="s">
        <v>833</v>
      </c>
      <c r="AE82" s="91" t="s">
        <v>833</v>
      </c>
      <c r="AF82" s="91"/>
      <c r="AG82" s="91"/>
      <c r="AH82" s="91" t="s">
        <v>833</v>
      </c>
      <c r="AI82" s="91"/>
      <c r="AJ82" s="91"/>
      <c r="AK82" s="104">
        <f t="shared" si="9"/>
        <v>13</v>
      </c>
      <c r="AL82" s="105">
        <f t="shared" si="10"/>
        <v>0</v>
      </c>
      <c r="AM82" s="105">
        <f t="shared" si="11"/>
        <v>0</v>
      </c>
      <c r="AN82" s="123">
        <v>45985</v>
      </c>
      <c r="AO82" s="106"/>
      <c r="AP82" s="84"/>
      <c r="AQ82" s="84"/>
      <c r="AR82" s="84"/>
      <c r="AS82" s="84"/>
      <c r="AT82" s="82"/>
    </row>
    <row r="83" spans="1:46" ht="13.5" customHeight="1" x14ac:dyDescent="0.3">
      <c r="A83" s="121" t="s">
        <v>675</v>
      </c>
      <c r="B83" s="103">
        <v>78</v>
      </c>
      <c r="C83" s="169" t="s">
        <v>183</v>
      </c>
      <c r="D83" s="121" t="s">
        <v>426</v>
      </c>
      <c r="E83" s="171" t="s">
        <v>427</v>
      </c>
      <c r="F83" s="91"/>
      <c r="G83" s="91"/>
      <c r="H83" s="91" t="s">
        <v>833</v>
      </c>
      <c r="I83" s="91"/>
      <c r="J83" s="91" t="s">
        <v>833</v>
      </c>
      <c r="K83" s="91" t="s">
        <v>833</v>
      </c>
      <c r="L83" s="91"/>
      <c r="M83" s="91"/>
      <c r="N83" s="91"/>
      <c r="O83" s="91" t="s">
        <v>833</v>
      </c>
      <c r="P83" s="91"/>
      <c r="Q83" s="91" t="s">
        <v>833</v>
      </c>
      <c r="R83" s="91" t="s">
        <v>833</v>
      </c>
      <c r="S83" s="91"/>
      <c r="T83" s="91"/>
      <c r="U83" s="91"/>
      <c r="V83" s="91" t="s">
        <v>833</v>
      </c>
      <c r="W83" s="91"/>
      <c r="X83" s="91" t="s">
        <v>833</v>
      </c>
      <c r="Y83" s="91" t="s">
        <v>833</v>
      </c>
      <c r="Z83" s="91"/>
      <c r="AA83" s="91"/>
      <c r="AB83" s="91"/>
      <c r="AC83" s="196" t="s">
        <v>836</v>
      </c>
      <c r="AD83" s="91"/>
      <c r="AE83" s="196" t="s">
        <v>836</v>
      </c>
      <c r="AF83" s="196" t="s">
        <v>836</v>
      </c>
      <c r="AG83" s="91"/>
      <c r="AH83" s="91"/>
      <c r="AI83" s="91"/>
      <c r="AJ83" s="91" t="s">
        <v>833</v>
      </c>
      <c r="AK83" s="104">
        <f t="shared" si="9"/>
        <v>10</v>
      </c>
      <c r="AL83" s="105">
        <f t="shared" si="10"/>
        <v>3</v>
      </c>
      <c r="AM83" s="105">
        <f t="shared" si="11"/>
        <v>0</v>
      </c>
      <c r="AN83" s="123">
        <v>45985</v>
      </c>
      <c r="AO83" s="106"/>
      <c r="AP83" s="84"/>
      <c r="AQ83" s="84"/>
      <c r="AR83" s="84"/>
      <c r="AS83" s="84"/>
      <c r="AT83" s="82"/>
    </row>
    <row r="84" spans="1:46" ht="13.5" customHeight="1" x14ac:dyDescent="0.3">
      <c r="A84" s="121" t="s">
        <v>676</v>
      </c>
      <c r="B84" s="103">
        <v>79</v>
      </c>
      <c r="C84" s="169" t="s">
        <v>184</v>
      </c>
      <c r="D84" s="121" t="s">
        <v>428</v>
      </c>
      <c r="E84" s="171" t="s">
        <v>429</v>
      </c>
      <c r="F84" s="91"/>
      <c r="G84" s="91"/>
      <c r="H84" s="91"/>
      <c r="I84" s="91"/>
      <c r="J84" s="91" t="s">
        <v>833</v>
      </c>
      <c r="K84" s="91" t="s">
        <v>833</v>
      </c>
      <c r="L84" s="91" t="s">
        <v>833</v>
      </c>
      <c r="M84" s="91"/>
      <c r="N84" s="91"/>
      <c r="O84" s="91"/>
      <c r="P84" s="91"/>
      <c r="Q84" s="91" t="s">
        <v>833</v>
      </c>
      <c r="R84" s="91" t="s">
        <v>833</v>
      </c>
      <c r="S84" s="91" t="s">
        <v>833</v>
      </c>
      <c r="T84" s="91"/>
      <c r="U84" s="91"/>
      <c r="V84" s="91"/>
      <c r="W84" s="91"/>
      <c r="X84" s="91" t="s">
        <v>833</v>
      </c>
      <c r="Y84" s="91" t="s">
        <v>833</v>
      </c>
      <c r="Z84" s="91" t="s">
        <v>833</v>
      </c>
      <c r="AA84" s="91"/>
      <c r="AB84" s="91"/>
      <c r="AC84" s="91"/>
      <c r="AD84" s="91"/>
      <c r="AE84" s="91" t="s">
        <v>833</v>
      </c>
      <c r="AF84" s="91" t="s">
        <v>833</v>
      </c>
      <c r="AG84" s="91" t="s">
        <v>833</v>
      </c>
      <c r="AH84" s="91"/>
      <c r="AI84" s="91"/>
      <c r="AJ84" s="91"/>
      <c r="AK84" s="104">
        <f t="shared" si="9"/>
        <v>12</v>
      </c>
      <c r="AL84" s="105">
        <f t="shared" si="10"/>
        <v>0</v>
      </c>
      <c r="AM84" s="105">
        <f t="shared" si="11"/>
        <v>0</v>
      </c>
      <c r="AN84" s="123">
        <v>45985</v>
      </c>
      <c r="AO84" s="106"/>
      <c r="AP84" s="84"/>
      <c r="AQ84" s="84"/>
      <c r="AR84" s="84"/>
      <c r="AS84" s="84"/>
      <c r="AT84" s="82"/>
    </row>
    <row r="85" spans="1:46" ht="13.5" customHeight="1" x14ac:dyDescent="0.3">
      <c r="A85" s="121" t="s">
        <v>677</v>
      </c>
      <c r="B85" s="103">
        <v>80</v>
      </c>
      <c r="C85" s="169" t="s">
        <v>185</v>
      </c>
      <c r="D85" s="121" t="s">
        <v>430</v>
      </c>
      <c r="E85" s="171" t="s">
        <v>431</v>
      </c>
      <c r="F85" s="91" t="s">
        <v>833</v>
      </c>
      <c r="G85" s="91" t="s">
        <v>833</v>
      </c>
      <c r="H85" s="91" t="s">
        <v>833</v>
      </c>
      <c r="I85" s="91"/>
      <c r="J85" s="91"/>
      <c r="K85" s="91"/>
      <c r="L85" s="91"/>
      <c r="M85" s="91" t="s">
        <v>833</v>
      </c>
      <c r="N85" s="91" t="s">
        <v>833</v>
      </c>
      <c r="O85" s="91" t="s">
        <v>833</v>
      </c>
      <c r="P85" s="91"/>
      <c r="Q85" s="91"/>
      <c r="R85" s="91"/>
      <c r="S85" s="91"/>
      <c r="T85" s="91" t="s">
        <v>833</v>
      </c>
      <c r="U85" s="91" t="s">
        <v>833</v>
      </c>
      <c r="V85" s="91" t="s">
        <v>833</v>
      </c>
      <c r="W85" s="91"/>
      <c r="X85" s="91"/>
      <c r="Y85" s="91"/>
      <c r="Z85" s="91"/>
      <c r="AA85" s="91" t="s">
        <v>833</v>
      </c>
      <c r="AB85" s="91" t="s">
        <v>833</v>
      </c>
      <c r="AC85" s="91" t="s">
        <v>833</v>
      </c>
      <c r="AD85" s="91"/>
      <c r="AE85" s="91"/>
      <c r="AF85" s="91"/>
      <c r="AG85" s="91"/>
      <c r="AH85" s="91" t="s">
        <v>833</v>
      </c>
      <c r="AI85" s="91" t="s">
        <v>833</v>
      </c>
      <c r="AJ85" s="91" t="s">
        <v>833</v>
      </c>
      <c r="AK85" s="104">
        <f t="shared" si="9"/>
        <v>15</v>
      </c>
      <c r="AL85" s="105">
        <f t="shared" si="10"/>
        <v>0</v>
      </c>
      <c r="AM85" s="105">
        <f t="shared" si="11"/>
        <v>0</v>
      </c>
      <c r="AN85" s="123">
        <v>45985</v>
      </c>
      <c r="AO85" s="106"/>
      <c r="AP85" s="84"/>
      <c r="AQ85" s="84"/>
      <c r="AR85" s="84"/>
      <c r="AS85" s="84"/>
      <c r="AT85" s="82"/>
    </row>
    <row r="86" spans="1:46" ht="13.5" customHeight="1" x14ac:dyDescent="0.3">
      <c r="A86" s="121" t="s">
        <v>678</v>
      </c>
      <c r="B86" s="103">
        <v>81</v>
      </c>
      <c r="C86" s="169" t="s">
        <v>186</v>
      </c>
      <c r="D86" s="121" t="s">
        <v>432</v>
      </c>
      <c r="E86" s="171" t="s">
        <v>433</v>
      </c>
      <c r="F86" s="91"/>
      <c r="G86" s="91"/>
      <c r="H86" s="91"/>
      <c r="I86" s="91"/>
      <c r="J86" s="91" t="s">
        <v>833</v>
      </c>
      <c r="K86" s="91" t="s">
        <v>833</v>
      </c>
      <c r="L86" s="91" t="s">
        <v>833</v>
      </c>
      <c r="M86" s="91"/>
      <c r="N86" s="91"/>
      <c r="O86" s="91"/>
      <c r="P86" s="91"/>
      <c r="Q86" s="91" t="s">
        <v>833</v>
      </c>
      <c r="R86" s="91" t="s">
        <v>833</v>
      </c>
      <c r="S86" s="91" t="s">
        <v>833</v>
      </c>
      <c r="T86" s="91"/>
      <c r="U86" s="91"/>
      <c r="V86" s="91"/>
      <c r="W86" s="91"/>
      <c r="X86" s="91" t="s">
        <v>833</v>
      </c>
      <c r="Y86" s="91" t="s">
        <v>833</v>
      </c>
      <c r="Z86" s="91" t="s">
        <v>833</v>
      </c>
      <c r="AA86" s="91"/>
      <c r="AB86" s="91"/>
      <c r="AC86" s="91"/>
      <c r="AD86" s="91"/>
      <c r="AE86" s="91" t="s">
        <v>833</v>
      </c>
      <c r="AF86" s="91" t="s">
        <v>833</v>
      </c>
      <c r="AG86" s="91" t="s">
        <v>833</v>
      </c>
      <c r="AH86" s="91"/>
      <c r="AI86" s="91"/>
      <c r="AJ86" s="91"/>
      <c r="AK86" s="104">
        <f t="shared" ref="AK86:AK117" si="12">+COUNTIF(F86:AJ86,"X")+COUNTIF(F86:AJ86,"E")</f>
        <v>12</v>
      </c>
      <c r="AL86" s="105">
        <f t="shared" ref="AL86:AL117" si="13">+COUNTIF(F86:AJ86,"R")+COUNTIF(F86:AJ86,"T")+COUNTIF(F86:AJ86,"İ")</f>
        <v>0</v>
      </c>
      <c r="AM86" s="105">
        <f t="shared" ref="AM86:AM117" si="14">+COUNTIF(F86:AJ86,"İ")</f>
        <v>0</v>
      </c>
      <c r="AN86" s="123">
        <v>45985</v>
      </c>
      <c r="AO86" s="106"/>
      <c r="AP86" s="84"/>
      <c r="AQ86" s="84"/>
      <c r="AR86" s="84"/>
      <c r="AS86" s="84"/>
      <c r="AT86" s="82"/>
    </row>
    <row r="87" spans="1:46" ht="13.5" customHeight="1" x14ac:dyDescent="0.3">
      <c r="A87" s="121" t="s">
        <v>679</v>
      </c>
      <c r="B87" s="103">
        <v>82</v>
      </c>
      <c r="C87" s="169" t="s">
        <v>187</v>
      </c>
      <c r="D87" s="121" t="s">
        <v>434</v>
      </c>
      <c r="E87" s="171" t="s">
        <v>372</v>
      </c>
      <c r="F87" s="91"/>
      <c r="G87" s="91"/>
      <c r="H87" s="91" t="s">
        <v>833</v>
      </c>
      <c r="I87" s="91"/>
      <c r="J87" s="91"/>
      <c r="K87" s="91" t="s">
        <v>833</v>
      </c>
      <c r="L87" s="91" t="s">
        <v>833</v>
      </c>
      <c r="M87" s="91"/>
      <c r="N87" s="91"/>
      <c r="O87" s="91" t="s">
        <v>833</v>
      </c>
      <c r="P87" s="91"/>
      <c r="Q87" s="91"/>
      <c r="R87" s="91" t="s">
        <v>833</v>
      </c>
      <c r="S87" s="91" t="s">
        <v>833</v>
      </c>
      <c r="T87" s="91"/>
      <c r="U87" s="91"/>
      <c r="V87" s="91" t="s">
        <v>833</v>
      </c>
      <c r="W87" s="91"/>
      <c r="X87" s="91"/>
      <c r="Y87" s="91" t="s">
        <v>833</v>
      </c>
      <c r="Z87" s="91" t="s">
        <v>833</v>
      </c>
      <c r="AA87" s="91"/>
      <c r="AB87" s="91"/>
      <c r="AC87" s="91" t="s">
        <v>833</v>
      </c>
      <c r="AD87" s="91"/>
      <c r="AE87" s="91"/>
      <c r="AF87" s="91" t="s">
        <v>833</v>
      </c>
      <c r="AG87" s="91" t="s">
        <v>833</v>
      </c>
      <c r="AH87" s="91"/>
      <c r="AI87" s="91"/>
      <c r="AJ87" s="91" t="s">
        <v>833</v>
      </c>
      <c r="AK87" s="104">
        <f t="shared" si="12"/>
        <v>13</v>
      </c>
      <c r="AL87" s="105">
        <f t="shared" si="13"/>
        <v>0</v>
      </c>
      <c r="AM87" s="105">
        <f t="shared" si="14"/>
        <v>0</v>
      </c>
      <c r="AN87" s="123">
        <v>45985</v>
      </c>
      <c r="AO87" s="106"/>
      <c r="AP87" s="84"/>
      <c r="AQ87" s="84"/>
      <c r="AR87" s="84"/>
      <c r="AS87" s="84"/>
      <c r="AT87" s="82"/>
    </row>
    <row r="88" spans="1:46" ht="13.5" customHeight="1" x14ac:dyDescent="0.3">
      <c r="A88" s="121" t="s">
        <v>680</v>
      </c>
      <c r="B88" s="103">
        <v>83</v>
      </c>
      <c r="C88" s="169" t="s">
        <v>188</v>
      </c>
      <c r="D88" s="121" t="s">
        <v>435</v>
      </c>
      <c r="E88" s="171" t="s">
        <v>436</v>
      </c>
      <c r="F88" s="91"/>
      <c r="G88" s="91"/>
      <c r="H88" s="91" t="s">
        <v>833</v>
      </c>
      <c r="I88" s="91" t="s">
        <v>833</v>
      </c>
      <c r="J88" s="91" t="s">
        <v>833</v>
      </c>
      <c r="K88" s="91"/>
      <c r="L88" s="91"/>
      <c r="M88" s="91"/>
      <c r="N88" s="91"/>
      <c r="O88" s="91" t="s">
        <v>833</v>
      </c>
      <c r="P88" s="91" t="s">
        <v>833</v>
      </c>
      <c r="Q88" s="91" t="s">
        <v>833</v>
      </c>
      <c r="R88" s="91"/>
      <c r="S88" s="91"/>
      <c r="T88" s="91"/>
      <c r="U88" s="91"/>
      <c r="V88" s="91" t="s">
        <v>833</v>
      </c>
      <c r="W88" s="91" t="s">
        <v>833</v>
      </c>
      <c r="X88" s="91" t="s">
        <v>833</v>
      </c>
      <c r="Y88" s="91"/>
      <c r="Z88" s="91"/>
      <c r="AA88" s="91"/>
      <c r="AB88" s="91"/>
      <c r="AC88" s="91" t="s">
        <v>833</v>
      </c>
      <c r="AD88" s="91" t="s">
        <v>833</v>
      </c>
      <c r="AE88" s="91" t="s">
        <v>833</v>
      </c>
      <c r="AF88" s="91"/>
      <c r="AG88" s="91"/>
      <c r="AH88" s="91"/>
      <c r="AI88" s="91"/>
      <c r="AJ88" s="91"/>
      <c r="AK88" s="104">
        <f t="shared" si="12"/>
        <v>12</v>
      </c>
      <c r="AL88" s="105">
        <f t="shared" si="13"/>
        <v>0</v>
      </c>
      <c r="AM88" s="105">
        <f t="shared" si="14"/>
        <v>0</v>
      </c>
      <c r="AN88" s="123">
        <v>45985</v>
      </c>
      <c r="AO88" s="106"/>
      <c r="AP88" s="84"/>
      <c r="AQ88" s="84"/>
      <c r="AR88" s="84"/>
      <c r="AS88" s="84"/>
      <c r="AT88" s="82"/>
    </row>
    <row r="89" spans="1:46" ht="13.5" customHeight="1" x14ac:dyDescent="0.3">
      <c r="A89" s="121" t="s">
        <v>839</v>
      </c>
      <c r="B89" s="103">
        <v>84</v>
      </c>
      <c r="C89" s="169" t="s">
        <v>189</v>
      </c>
      <c r="D89" s="121" t="s">
        <v>437</v>
      </c>
      <c r="E89" s="171" t="s">
        <v>438</v>
      </c>
      <c r="F89" s="91"/>
      <c r="G89" s="91"/>
      <c r="H89" s="91" t="s">
        <v>833</v>
      </c>
      <c r="I89" s="91"/>
      <c r="J89" s="91"/>
      <c r="K89" s="91"/>
      <c r="L89" s="91"/>
      <c r="M89" s="91" t="s">
        <v>833</v>
      </c>
      <c r="N89" s="91" t="s">
        <v>833</v>
      </c>
      <c r="O89" s="195" t="s">
        <v>837</v>
      </c>
      <c r="P89" s="91"/>
      <c r="Q89" s="91"/>
      <c r="R89" s="91"/>
      <c r="S89" s="91"/>
      <c r="T89" s="91" t="s">
        <v>833</v>
      </c>
      <c r="U89" s="91" t="s">
        <v>833</v>
      </c>
      <c r="V89" s="91" t="s">
        <v>833</v>
      </c>
      <c r="W89" s="91"/>
      <c r="X89" s="91"/>
      <c r="Y89" s="91"/>
      <c r="Z89" s="91"/>
      <c r="AA89" s="91" t="s">
        <v>833</v>
      </c>
      <c r="AB89" s="91" t="s">
        <v>833</v>
      </c>
      <c r="AC89" s="91" t="s">
        <v>833</v>
      </c>
      <c r="AD89" s="91"/>
      <c r="AE89" s="91"/>
      <c r="AF89" s="91"/>
      <c r="AG89" s="91"/>
      <c r="AH89" s="91" t="s">
        <v>833</v>
      </c>
      <c r="AI89" s="91" t="s">
        <v>833</v>
      </c>
      <c r="AJ89" s="91" t="s">
        <v>833</v>
      </c>
      <c r="AK89" s="104">
        <f t="shared" si="12"/>
        <v>12</v>
      </c>
      <c r="AL89" s="105">
        <f t="shared" si="13"/>
        <v>1</v>
      </c>
      <c r="AM89" s="105">
        <f t="shared" si="14"/>
        <v>1</v>
      </c>
      <c r="AN89" s="123">
        <v>45985</v>
      </c>
      <c r="AO89" s="106"/>
      <c r="AP89" s="84"/>
      <c r="AQ89" s="84"/>
      <c r="AR89" s="84"/>
      <c r="AS89" s="84"/>
      <c r="AT89" s="82"/>
    </row>
    <row r="90" spans="1:46" ht="13.5" customHeight="1" x14ac:dyDescent="0.3">
      <c r="A90" s="121" t="s">
        <v>681</v>
      </c>
      <c r="B90" s="103">
        <v>85</v>
      </c>
      <c r="C90" s="169" t="s">
        <v>190</v>
      </c>
      <c r="D90" s="121" t="s">
        <v>439</v>
      </c>
      <c r="E90" s="171" t="s">
        <v>440</v>
      </c>
      <c r="F90" s="91"/>
      <c r="G90" s="91"/>
      <c r="H90" s="91" t="s">
        <v>833</v>
      </c>
      <c r="I90" s="91" t="s">
        <v>833</v>
      </c>
      <c r="J90" s="91" t="s">
        <v>833</v>
      </c>
      <c r="K90" s="91"/>
      <c r="L90" s="91"/>
      <c r="M90" s="91"/>
      <c r="N90" s="91"/>
      <c r="O90" s="91" t="s">
        <v>833</v>
      </c>
      <c r="P90" s="91" t="s">
        <v>833</v>
      </c>
      <c r="Q90" s="91" t="s">
        <v>833</v>
      </c>
      <c r="R90" s="91"/>
      <c r="S90" s="91"/>
      <c r="T90" s="91"/>
      <c r="U90" s="91"/>
      <c r="V90" s="91" t="s">
        <v>833</v>
      </c>
      <c r="W90" s="91" t="s">
        <v>833</v>
      </c>
      <c r="X90" s="91" t="s">
        <v>833</v>
      </c>
      <c r="Y90" s="91"/>
      <c r="Z90" s="91"/>
      <c r="AA90" s="91"/>
      <c r="AB90" s="91"/>
      <c r="AC90" s="91" t="s">
        <v>833</v>
      </c>
      <c r="AD90" s="91" t="s">
        <v>833</v>
      </c>
      <c r="AE90" s="91" t="s">
        <v>833</v>
      </c>
      <c r="AF90" s="91"/>
      <c r="AG90" s="91"/>
      <c r="AH90" s="91"/>
      <c r="AI90" s="91"/>
      <c r="AJ90" s="195" t="s">
        <v>837</v>
      </c>
      <c r="AK90" s="104">
        <f t="shared" si="12"/>
        <v>12</v>
      </c>
      <c r="AL90" s="105">
        <f t="shared" si="13"/>
        <v>1</v>
      </c>
      <c r="AM90" s="105">
        <f t="shared" si="14"/>
        <v>1</v>
      </c>
      <c r="AN90" s="123">
        <v>45985</v>
      </c>
      <c r="AO90" s="106"/>
      <c r="AP90" s="84"/>
      <c r="AQ90" s="84"/>
      <c r="AR90" s="84"/>
      <c r="AS90" s="84"/>
      <c r="AT90" s="82"/>
    </row>
    <row r="91" spans="1:46" ht="13.5" customHeight="1" x14ac:dyDescent="0.3">
      <c r="A91" s="121" t="s">
        <v>682</v>
      </c>
      <c r="B91" s="103">
        <v>86</v>
      </c>
      <c r="C91" s="169" t="s">
        <v>191</v>
      </c>
      <c r="D91" s="121" t="s">
        <v>439</v>
      </c>
      <c r="E91" s="171" t="s">
        <v>441</v>
      </c>
      <c r="F91" s="91"/>
      <c r="G91" s="91"/>
      <c r="H91" s="91"/>
      <c r="I91" s="91" t="s">
        <v>833</v>
      </c>
      <c r="J91" s="91" t="s">
        <v>833</v>
      </c>
      <c r="K91" s="91"/>
      <c r="L91" s="91"/>
      <c r="M91" s="91"/>
      <c r="N91" s="91"/>
      <c r="O91" s="91"/>
      <c r="P91" s="91" t="s">
        <v>833</v>
      </c>
      <c r="Q91" s="91" t="s">
        <v>833</v>
      </c>
      <c r="R91" s="91"/>
      <c r="S91" s="91"/>
      <c r="T91" s="91"/>
      <c r="U91" s="91"/>
      <c r="V91" s="91"/>
      <c r="W91" s="91" t="s">
        <v>833</v>
      </c>
      <c r="X91" s="91" t="s">
        <v>833</v>
      </c>
      <c r="Y91" s="91"/>
      <c r="Z91" s="91"/>
      <c r="AA91" s="91"/>
      <c r="AB91" s="91"/>
      <c r="AC91" s="91"/>
      <c r="AD91" s="91" t="s">
        <v>833</v>
      </c>
      <c r="AE91" s="91" t="s">
        <v>833</v>
      </c>
      <c r="AF91" s="91"/>
      <c r="AG91" s="91"/>
      <c r="AH91" s="91"/>
      <c r="AI91" s="91"/>
      <c r="AJ91" s="91"/>
      <c r="AK91" s="104">
        <f t="shared" si="12"/>
        <v>8</v>
      </c>
      <c r="AL91" s="105">
        <f t="shared" si="13"/>
        <v>0</v>
      </c>
      <c r="AM91" s="105">
        <f t="shared" si="14"/>
        <v>0</v>
      </c>
      <c r="AN91" s="123">
        <v>45985</v>
      </c>
      <c r="AO91" s="106"/>
      <c r="AP91" s="84"/>
      <c r="AQ91" s="84"/>
      <c r="AR91" s="84"/>
      <c r="AS91" s="84"/>
      <c r="AT91" s="82"/>
    </row>
    <row r="92" spans="1:46" ht="13.5" customHeight="1" x14ac:dyDescent="0.3">
      <c r="A92" s="121" t="s">
        <v>683</v>
      </c>
      <c r="B92" s="103">
        <v>87</v>
      </c>
      <c r="C92" s="169" t="s">
        <v>192</v>
      </c>
      <c r="D92" s="121" t="s">
        <v>442</v>
      </c>
      <c r="E92" s="171" t="s">
        <v>443</v>
      </c>
      <c r="F92" s="91"/>
      <c r="G92" s="91"/>
      <c r="H92" s="91"/>
      <c r="I92" s="91"/>
      <c r="J92" s="91" t="s">
        <v>833</v>
      </c>
      <c r="K92" s="91" t="s">
        <v>833</v>
      </c>
      <c r="L92" s="91" t="s">
        <v>833</v>
      </c>
      <c r="M92" s="91"/>
      <c r="N92" s="91"/>
      <c r="O92" s="91"/>
      <c r="P92" s="91"/>
      <c r="Q92" s="91" t="s">
        <v>833</v>
      </c>
      <c r="R92" s="91" t="s">
        <v>833</v>
      </c>
      <c r="S92" s="91" t="s">
        <v>833</v>
      </c>
      <c r="T92" s="91"/>
      <c r="U92" s="91"/>
      <c r="V92" s="91"/>
      <c r="W92" s="91"/>
      <c r="X92" s="91" t="s">
        <v>833</v>
      </c>
      <c r="Y92" s="91" t="s">
        <v>833</v>
      </c>
      <c r="Z92" s="91" t="s">
        <v>833</v>
      </c>
      <c r="AA92" s="91"/>
      <c r="AB92" s="91"/>
      <c r="AC92" s="91"/>
      <c r="AD92" s="91"/>
      <c r="AE92" s="91" t="s">
        <v>833</v>
      </c>
      <c r="AF92" s="91" t="s">
        <v>833</v>
      </c>
      <c r="AG92" s="91" t="s">
        <v>833</v>
      </c>
      <c r="AH92" s="91"/>
      <c r="AI92" s="91"/>
      <c r="AJ92" s="91"/>
      <c r="AK92" s="104">
        <f t="shared" si="12"/>
        <v>12</v>
      </c>
      <c r="AL92" s="105">
        <f t="shared" si="13"/>
        <v>0</v>
      </c>
      <c r="AM92" s="105">
        <f t="shared" si="14"/>
        <v>0</v>
      </c>
      <c r="AN92" s="123">
        <v>45985</v>
      </c>
      <c r="AO92" s="106"/>
      <c r="AP92" s="84"/>
      <c r="AQ92" s="84"/>
      <c r="AR92" s="84"/>
      <c r="AS92" s="84"/>
      <c r="AT92" s="82"/>
    </row>
    <row r="93" spans="1:46" ht="13.5" customHeight="1" x14ac:dyDescent="0.3">
      <c r="A93" s="121" t="s">
        <v>684</v>
      </c>
      <c r="B93" s="103">
        <v>88</v>
      </c>
      <c r="C93" s="169" t="s">
        <v>193</v>
      </c>
      <c r="D93" s="121" t="s">
        <v>444</v>
      </c>
      <c r="E93" s="171" t="s">
        <v>309</v>
      </c>
      <c r="F93" s="91" t="s">
        <v>833</v>
      </c>
      <c r="G93" s="91" t="s">
        <v>833</v>
      </c>
      <c r="H93" s="91" t="s">
        <v>833</v>
      </c>
      <c r="I93" s="91"/>
      <c r="J93" s="91"/>
      <c r="K93" s="91"/>
      <c r="L93" s="91"/>
      <c r="M93" s="91" t="s">
        <v>833</v>
      </c>
      <c r="N93" s="91" t="s">
        <v>833</v>
      </c>
      <c r="O93" s="91" t="s">
        <v>833</v>
      </c>
      <c r="P93" s="91"/>
      <c r="Q93" s="91"/>
      <c r="R93" s="91"/>
      <c r="S93" s="91"/>
      <c r="T93" s="91" t="s">
        <v>833</v>
      </c>
      <c r="U93" s="91" t="s">
        <v>833</v>
      </c>
      <c r="V93" s="91" t="s">
        <v>833</v>
      </c>
      <c r="W93" s="91"/>
      <c r="X93" s="91"/>
      <c r="Y93" s="91"/>
      <c r="Z93" s="91"/>
      <c r="AA93" s="91" t="s">
        <v>833</v>
      </c>
      <c r="AB93" s="91" t="s">
        <v>833</v>
      </c>
      <c r="AC93" s="91" t="s">
        <v>833</v>
      </c>
      <c r="AD93" s="91"/>
      <c r="AE93" s="91"/>
      <c r="AF93" s="91"/>
      <c r="AG93" s="91"/>
      <c r="AH93" s="91" t="s">
        <v>833</v>
      </c>
      <c r="AI93" s="91" t="s">
        <v>833</v>
      </c>
      <c r="AJ93" s="91" t="s">
        <v>833</v>
      </c>
      <c r="AK93" s="104">
        <f t="shared" si="12"/>
        <v>15</v>
      </c>
      <c r="AL93" s="105">
        <f t="shared" si="13"/>
        <v>0</v>
      </c>
      <c r="AM93" s="105">
        <f t="shared" si="14"/>
        <v>0</v>
      </c>
      <c r="AN93" s="123">
        <v>45985</v>
      </c>
      <c r="AO93" s="106"/>
      <c r="AP93" s="84"/>
      <c r="AQ93" s="84"/>
      <c r="AR93" s="84"/>
      <c r="AS93" s="84"/>
      <c r="AT93" s="82"/>
    </row>
    <row r="94" spans="1:46" ht="13.5" customHeight="1" x14ac:dyDescent="0.3">
      <c r="A94" s="173" t="s">
        <v>685</v>
      </c>
      <c r="B94" s="103">
        <v>89</v>
      </c>
      <c r="C94" s="169" t="s">
        <v>194</v>
      </c>
      <c r="D94" s="121" t="s">
        <v>445</v>
      </c>
      <c r="E94" s="171" t="s">
        <v>390</v>
      </c>
      <c r="F94" s="91"/>
      <c r="G94" s="91" t="s">
        <v>833</v>
      </c>
      <c r="H94" s="91" t="s">
        <v>833</v>
      </c>
      <c r="I94" s="91"/>
      <c r="J94" s="91"/>
      <c r="K94" s="91"/>
      <c r="L94" s="91" t="s">
        <v>833</v>
      </c>
      <c r="M94" s="91"/>
      <c r="N94" s="91" t="s">
        <v>833</v>
      </c>
      <c r="O94" s="91" t="s">
        <v>833</v>
      </c>
      <c r="P94" s="91"/>
      <c r="Q94" s="91"/>
      <c r="R94" s="91"/>
      <c r="S94" s="91" t="s">
        <v>833</v>
      </c>
      <c r="T94" s="91"/>
      <c r="U94" s="91" t="s">
        <v>833</v>
      </c>
      <c r="V94" s="91" t="s">
        <v>833</v>
      </c>
      <c r="W94" s="91"/>
      <c r="X94" s="91"/>
      <c r="Y94" s="91"/>
      <c r="Z94" s="195" t="s">
        <v>837</v>
      </c>
      <c r="AA94" s="91"/>
      <c r="AB94" s="91" t="s">
        <v>833</v>
      </c>
      <c r="AC94" s="91" t="s">
        <v>833</v>
      </c>
      <c r="AD94" s="91"/>
      <c r="AE94" s="91"/>
      <c r="AF94" s="91"/>
      <c r="AG94" s="91" t="s">
        <v>833</v>
      </c>
      <c r="AH94" s="91"/>
      <c r="AI94" s="91" t="s">
        <v>833</v>
      </c>
      <c r="AJ94" s="91" t="s">
        <v>833</v>
      </c>
      <c r="AK94" s="104">
        <f t="shared" si="12"/>
        <v>13</v>
      </c>
      <c r="AL94" s="105">
        <f t="shared" si="13"/>
        <v>1</v>
      </c>
      <c r="AM94" s="105">
        <f t="shared" si="14"/>
        <v>1</v>
      </c>
      <c r="AN94" s="123">
        <v>45985</v>
      </c>
      <c r="AO94" s="106"/>
      <c r="AP94" s="84"/>
      <c r="AQ94" s="84"/>
      <c r="AR94" s="84"/>
      <c r="AS94" s="84"/>
      <c r="AT94" s="82"/>
    </row>
    <row r="95" spans="1:46" ht="13.5" customHeight="1" x14ac:dyDescent="0.3">
      <c r="A95" s="121" t="s">
        <v>686</v>
      </c>
      <c r="B95" s="103">
        <v>90</v>
      </c>
      <c r="C95" s="169" t="s">
        <v>195</v>
      </c>
      <c r="D95" s="121" t="s">
        <v>446</v>
      </c>
      <c r="E95" s="171" t="s">
        <v>447</v>
      </c>
      <c r="F95" s="91"/>
      <c r="G95" s="91"/>
      <c r="H95" s="91"/>
      <c r="I95" s="91"/>
      <c r="J95" s="195" t="s">
        <v>837</v>
      </c>
      <c r="K95" s="195" t="s">
        <v>837</v>
      </c>
      <c r="L95" s="195" t="s">
        <v>837</v>
      </c>
      <c r="M95" s="91"/>
      <c r="N95" s="91"/>
      <c r="O95" s="91"/>
      <c r="P95" s="91"/>
      <c r="Q95" s="91" t="s">
        <v>833</v>
      </c>
      <c r="R95" s="91" t="s">
        <v>833</v>
      </c>
      <c r="S95" s="91" t="s">
        <v>833</v>
      </c>
      <c r="T95" s="91"/>
      <c r="U95" s="91"/>
      <c r="V95" s="91"/>
      <c r="W95" s="91"/>
      <c r="X95" s="91" t="s">
        <v>833</v>
      </c>
      <c r="Y95" s="91" t="s">
        <v>833</v>
      </c>
      <c r="Z95" s="91" t="s">
        <v>833</v>
      </c>
      <c r="AA95" s="91"/>
      <c r="AB95" s="91"/>
      <c r="AC95" s="91"/>
      <c r="AD95" s="91"/>
      <c r="AE95" s="91" t="s">
        <v>833</v>
      </c>
      <c r="AF95" s="91" t="s">
        <v>833</v>
      </c>
      <c r="AG95" s="91" t="s">
        <v>833</v>
      </c>
      <c r="AH95" s="91"/>
      <c r="AI95" s="91"/>
      <c r="AJ95" s="91"/>
      <c r="AK95" s="104">
        <f t="shared" si="12"/>
        <v>9</v>
      </c>
      <c r="AL95" s="105">
        <f t="shared" si="13"/>
        <v>3</v>
      </c>
      <c r="AM95" s="105">
        <f t="shared" si="14"/>
        <v>3</v>
      </c>
      <c r="AN95" s="123">
        <v>45985</v>
      </c>
      <c r="AO95" s="106"/>
      <c r="AP95" s="84"/>
      <c r="AQ95" s="84"/>
      <c r="AR95" s="84"/>
      <c r="AS95" s="84"/>
      <c r="AT95" s="82"/>
    </row>
    <row r="96" spans="1:46" ht="13.5" customHeight="1" x14ac:dyDescent="0.3">
      <c r="A96" s="121" t="s">
        <v>687</v>
      </c>
      <c r="B96" s="103">
        <v>91</v>
      </c>
      <c r="C96" s="169" t="s">
        <v>196</v>
      </c>
      <c r="D96" s="121" t="s">
        <v>448</v>
      </c>
      <c r="E96" s="171" t="s">
        <v>390</v>
      </c>
      <c r="F96" s="91"/>
      <c r="G96" s="91" t="s">
        <v>833</v>
      </c>
      <c r="H96" s="91"/>
      <c r="I96" s="91"/>
      <c r="J96" s="91"/>
      <c r="K96" s="91"/>
      <c r="L96" s="91"/>
      <c r="M96" s="91"/>
      <c r="N96" s="91" t="s">
        <v>833</v>
      </c>
      <c r="O96" s="91"/>
      <c r="P96" s="91"/>
      <c r="Q96" s="91"/>
      <c r="R96" s="91"/>
      <c r="S96" s="91"/>
      <c r="T96" s="91"/>
      <c r="U96" s="91" t="s">
        <v>833</v>
      </c>
      <c r="V96" s="91"/>
      <c r="W96" s="91"/>
      <c r="X96" s="91"/>
      <c r="Y96" s="91"/>
      <c r="Z96" s="91"/>
      <c r="AA96" s="91"/>
      <c r="AB96" s="91" t="s">
        <v>833</v>
      </c>
      <c r="AC96" s="91"/>
      <c r="AD96" s="91"/>
      <c r="AE96" s="91"/>
      <c r="AF96" s="91"/>
      <c r="AG96" s="91"/>
      <c r="AH96" s="91"/>
      <c r="AI96" s="91" t="s">
        <v>833</v>
      </c>
      <c r="AJ96" s="91"/>
      <c r="AK96" s="104">
        <f t="shared" si="12"/>
        <v>5</v>
      </c>
      <c r="AL96" s="105">
        <f t="shared" si="13"/>
        <v>0</v>
      </c>
      <c r="AM96" s="105">
        <f t="shared" si="14"/>
        <v>0</v>
      </c>
      <c r="AN96" s="123">
        <v>45985</v>
      </c>
      <c r="AO96" s="106"/>
      <c r="AP96" s="84"/>
      <c r="AQ96" s="84"/>
      <c r="AR96" s="84"/>
      <c r="AS96" s="84"/>
      <c r="AT96" s="82"/>
    </row>
    <row r="97" spans="1:46" ht="13.5" customHeight="1" x14ac:dyDescent="0.3">
      <c r="A97" s="121" t="s">
        <v>688</v>
      </c>
      <c r="B97" s="103">
        <v>92</v>
      </c>
      <c r="C97" s="169" t="s">
        <v>197</v>
      </c>
      <c r="D97" s="121" t="s">
        <v>449</v>
      </c>
      <c r="E97" s="171" t="s">
        <v>318</v>
      </c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 t="s">
        <v>833</v>
      </c>
      <c r="Q97" s="91"/>
      <c r="R97" s="91"/>
      <c r="S97" s="91"/>
      <c r="T97" s="91"/>
      <c r="U97" s="91"/>
      <c r="V97" s="91"/>
      <c r="W97" s="91" t="s">
        <v>833</v>
      </c>
      <c r="X97" s="91"/>
      <c r="Y97" s="91"/>
      <c r="Z97" s="91"/>
      <c r="AA97" s="91"/>
      <c r="AB97" s="91"/>
      <c r="AC97" s="91"/>
      <c r="AD97" s="91" t="s">
        <v>833</v>
      </c>
      <c r="AE97" s="91"/>
      <c r="AF97" s="91"/>
      <c r="AG97" s="91"/>
      <c r="AH97" s="91"/>
      <c r="AI97" s="91"/>
      <c r="AJ97" s="91"/>
      <c r="AK97" s="104">
        <f t="shared" si="12"/>
        <v>3</v>
      </c>
      <c r="AL97" s="105">
        <f t="shared" si="13"/>
        <v>0</v>
      </c>
      <c r="AM97" s="105">
        <f t="shared" si="14"/>
        <v>0</v>
      </c>
      <c r="AN97" s="123">
        <v>45985</v>
      </c>
      <c r="AO97" s="106"/>
      <c r="AP97" s="84"/>
      <c r="AQ97" s="84"/>
      <c r="AR97" s="84"/>
      <c r="AS97" s="84"/>
      <c r="AT97" s="82"/>
    </row>
    <row r="98" spans="1:46" ht="13.5" customHeight="1" x14ac:dyDescent="0.3">
      <c r="A98" s="121" t="s">
        <v>689</v>
      </c>
      <c r="B98" s="103">
        <v>93</v>
      </c>
      <c r="C98" s="169" t="s">
        <v>198</v>
      </c>
      <c r="D98" s="121" t="s">
        <v>450</v>
      </c>
      <c r="E98" s="171" t="s">
        <v>451</v>
      </c>
      <c r="F98" s="91"/>
      <c r="G98" s="91" t="s">
        <v>833</v>
      </c>
      <c r="H98" s="91"/>
      <c r="I98" s="91" t="s">
        <v>833</v>
      </c>
      <c r="J98" s="91" t="s">
        <v>833</v>
      </c>
      <c r="K98" s="91"/>
      <c r="L98" s="91"/>
      <c r="M98" s="91" t="s">
        <v>833</v>
      </c>
      <c r="N98" s="91" t="s">
        <v>833</v>
      </c>
      <c r="O98" s="91"/>
      <c r="P98" s="91"/>
      <c r="Q98" s="91" t="s">
        <v>833</v>
      </c>
      <c r="R98" s="91"/>
      <c r="S98" s="91"/>
      <c r="T98" s="91" t="s">
        <v>833</v>
      </c>
      <c r="U98" s="91" t="s">
        <v>833</v>
      </c>
      <c r="V98" s="91"/>
      <c r="W98" s="91"/>
      <c r="X98" s="91" t="s">
        <v>833</v>
      </c>
      <c r="Y98" s="91"/>
      <c r="Z98" s="91"/>
      <c r="AA98" s="91" t="s">
        <v>833</v>
      </c>
      <c r="AB98" s="91" t="s">
        <v>833</v>
      </c>
      <c r="AC98" s="91"/>
      <c r="AD98" s="91"/>
      <c r="AE98" s="91" t="s">
        <v>833</v>
      </c>
      <c r="AF98" s="91"/>
      <c r="AG98" s="91"/>
      <c r="AH98" s="91" t="s">
        <v>833</v>
      </c>
      <c r="AI98" s="91" t="s">
        <v>833</v>
      </c>
      <c r="AJ98" s="91"/>
      <c r="AK98" s="104">
        <f t="shared" si="12"/>
        <v>14</v>
      </c>
      <c r="AL98" s="105">
        <f t="shared" si="13"/>
        <v>0</v>
      </c>
      <c r="AM98" s="105">
        <f t="shared" si="14"/>
        <v>0</v>
      </c>
      <c r="AN98" s="123">
        <v>45985</v>
      </c>
      <c r="AO98" s="106"/>
      <c r="AP98" s="84"/>
      <c r="AQ98" s="84"/>
      <c r="AR98" s="84"/>
      <c r="AS98" s="84"/>
      <c r="AT98" s="82"/>
    </row>
    <row r="99" spans="1:46" ht="13.5" customHeight="1" x14ac:dyDescent="0.3">
      <c r="A99" s="121" t="s">
        <v>690</v>
      </c>
      <c r="B99" s="103">
        <v>94</v>
      </c>
      <c r="C99" s="169" t="s">
        <v>199</v>
      </c>
      <c r="D99" s="121" t="s">
        <v>452</v>
      </c>
      <c r="E99" s="171" t="s">
        <v>453</v>
      </c>
      <c r="F99" s="91"/>
      <c r="G99" s="91" t="s">
        <v>833</v>
      </c>
      <c r="H99" s="91"/>
      <c r="I99" s="91" t="s">
        <v>833</v>
      </c>
      <c r="J99" s="91" t="s">
        <v>833</v>
      </c>
      <c r="K99" s="91"/>
      <c r="L99" s="91"/>
      <c r="M99" s="91"/>
      <c r="N99" s="91" t="s">
        <v>833</v>
      </c>
      <c r="O99" s="91"/>
      <c r="P99" s="91" t="s">
        <v>833</v>
      </c>
      <c r="Q99" s="91" t="s">
        <v>833</v>
      </c>
      <c r="R99" s="91"/>
      <c r="S99" s="91"/>
      <c r="T99" s="91"/>
      <c r="U99" s="91" t="s">
        <v>833</v>
      </c>
      <c r="V99" s="91"/>
      <c r="W99" s="91" t="s">
        <v>833</v>
      </c>
      <c r="X99" s="91" t="s">
        <v>833</v>
      </c>
      <c r="Y99" s="91"/>
      <c r="Z99" s="91"/>
      <c r="AA99" s="91"/>
      <c r="AB99" s="91" t="s">
        <v>833</v>
      </c>
      <c r="AC99" s="91"/>
      <c r="AD99" s="91" t="s">
        <v>833</v>
      </c>
      <c r="AE99" s="91" t="s">
        <v>833</v>
      </c>
      <c r="AF99" s="91"/>
      <c r="AG99" s="91"/>
      <c r="AH99" s="91"/>
      <c r="AI99" s="91" t="s">
        <v>833</v>
      </c>
      <c r="AJ99" s="91" t="s">
        <v>833</v>
      </c>
      <c r="AK99" s="104">
        <f t="shared" si="12"/>
        <v>14</v>
      </c>
      <c r="AL99" s="105">
        <f t="shared" si="13"/>
        <v>0</v>
      </c>
      <c r="AM99" s="105">
        <f t="shared" si="14"/>
        <v>0</v>
      </c>
      <c r="AN99" s="123">
        <v>45985</v>
      </c>
      <c r="AO99" s="106"/>
      <c r="AP99" s="84"/>
      <c r="AQ99" s="84"/>
      <c r="AR99" s="84"/>
      <c r="AS99" s="84"/>
      <c r="AT99" s="82"/>
    </row>
    <row r="100" spans="1:46" ht="13.5" customHeight="1" x14ac:dyDescent="0.3">
      <c r="A100" s="121" t="s">
        <v>691</v>
      </c>
      <c r="B100" s="103">
        <v>95</v>
      </c>
      <c r="C100" s="169" t="s">
        <v>200</v>
      </c>
      <c r="D100" s="121" t="s">
        <v>454</v>
      </c>
      <c r="E100" s="171" t="s">
        <v>455</v>
      </c>
      <c r="F100" s="91"/>
      <c r="G100" s="91" t="s">
        <v>833</v>
      </c>
      <c r="H100" s="91" t="s">
        <v>833</v>
      </c>
      <c r="I100" s="91" t="s">
        <v>833</v>
      </c>
      <c r="J100" s="91"/>
      <c r="K100" s="91"/>
      <c r="L100" s="91"/>
      <c r="M100" s="91"/>
      <c r="N100" s="91" t="s">
        <v>833</v>
      </c>
      <c r="O100" s="91" t="s">
        <v>833</v>
      </c>
      <c r="P100" s="91" t="s">
        <v>833</v>
      </c>
      <c r="Q100" s="91"/>
      <c r="R100" s="91"/>
      <c r="S100" s="91"/>
      <c r="T100" s="91"/>
      <c r="U100" s="91" t="s">
        <v>833</v>
      </c>
      <c r="V100" s="91" t="s">
        <v>833</v>
      </c>
      <c r="W100" s="91" t="s">
        <v>833</v>
      </c>
      <c r="X100" s="91"/>
      <c r="Y100" s="91"/>
      <c r="Z100" s="91"/>
      <c r="AA100" s="91"/>
      <c r="AB100" s="91" t="s">
        <v>833</v>
      </c>
      <c r="AC100" s="91" t="s">
        <v>833</v>
      </c>
      <c r="AD100" s="91" t="s">
        <v>833</v>
      </c>
      <c r="AE100" s="91"/>
      <c r="AF100" s="91"/>
      <c r="AG100" s="91"/>
      <c r="AH100" s="91"/>
      <c r="AI100" s="91" t="s">
        <v>833</v>
      </c>
      <c r="AJ100" s="91" t="s">
        <v>833</v>
      </c>
      <c r="AK100" s="104">
        <f t="shared" si="12"/>
        <v>14</v>
      </c>
      <c r="AL100" s="105">
        <f t="shared" si="13"/>
        <v>0</v>
      </c>
      <c r="AM100" s="105">
        <f t="shared" si="14"/>
        <v>0</v>
      </c>
      <c r="AN100" s="123">
        <v>45985</v>
      </c>
      <c r="AO100" s="106"/>
      <c r="AP100" s="84"/>
      <c r="AQ100" s="84"/>
      <c r="AR100" s="84"/>
      <c r="AS100" s="84"/>
      <c r="AT100" s="82"/>
    </row>
    <row r="101" spans="1:46" ht="13.5" customHeight="1" x14ac:dyDescent="0.3">
      <c r="A101" s="121" t="s">
        <v>692</v>
      </c>
      <c r="B101" s="103">
        <v>96</v>
      </c>
      <c r="C101" s="169" t="s">
        <v>201</v>
      </c>
      <c r="D101" s="121" t="s">
        <v>456</v>
      </c>
      <c r="E101" s="171" t="s">
        <v>457</v>
      </c>
      <c r="F101" s="91" t="s">
        <v>833</v>
      </c>
      <c r="G101" s="91" t="s">
        <v>833</v>
      </c>
      <c r="H101" s="91" t="s">
        <v>833</v>
      </c>
      <c r="I101" s="91"/>
      <c r="J101" s="91"/>
      <c r="K101" s="91"/>
      <c r="L101" s="91"/>
      <c r="M101" s="91" t="s">
        <v>833</v>
      </c>
      <c r="N101" s="91" t="s">
        <v>833</v>
      </c>
      <c r="O101" s="91" t="s">
        <v>833</v>
      </c>
      <c r="P101" s="91"/>
      <c r="Q101" s="91"/>
      <c r="R101" s="91"/>
      <c r="S101" s="91"/>
      <c r="T101" s="91" t="s">
        <v>833</v>
      </c>
      <c r="U101" s="91" t="s">
        <v>833</v>
      </c>
      <c r="V101" s="91" t="s">
        <v>833</v>
      </c>
      <c r="W101" s="91"/>
      <c r="X101" s="91"/>
      <c r="Y101" s="91"/>
      <c r="Z101" s="91"/>
      <c r="AA101" s="91" t="s">
        <v>833</v>
      </c>
      <c r="AB101" s="91" t="s">
        <v>833</v>
      </c>
      <c r="AC101" s="91" t="s">
        <v>833</v>
      </c>
      <c r="AD101" s="91"/>
      <c r="AE101" s="91"/>
      <c r="AF101" s="91"/>
      <c r="AG101" s="91"/>
      <c r="AH101" s="91" t="s">
        <v>833</v>
      </c>
      <c r="AI101" s="91" t="s">
        <v>833</v>
      </c>
      <c r="AJ101" s="91"/>
      <c r="AK101" s="104">
        <f t="shared" si="12"/>
        <v>14</v>
      </c>
      <c r="AL101" s="105">
        <f t="shared" si="13"/>
        <v>0</v>
      </c>
      <c r="AM101" s="105">
        <f t="shared" si="14"/>
        <v>0</v>
      </c>
      <c r="AN101" s="123">
        <v>45985</v>
      </c>
      <c r="AO101" s="106"/>
      <c r="AP101" s="84"/>
      <c r="AQ101" s="84"/>
      <c r="AR101" s="84"/>
      <c r="AS101" s="84"/>
      <c r="AT101" s="82"/>
    </row>
    <row r="102" spans="1:46" ht="13.5" customHeight="1" x14ac:dyDescent="0.3">
      <c r="A102" s="121" t="s">
        <v>693</v>
      </c>
      <c r="B102" s="103">
        <v>97</v>
      </c>
      <c r="C102" s="169" t="s">
        <v>202</v>
      </c>
      <c r="D102" s="121" t="s">
        <v>458</v>
      </c>
      <c r="E102" s="171" t="s">
        <v>459</v>
      </c>
      <c r="F102" s="91"/>
      <c r="G102" s="91"/>
      <c r="H102" s="91" t="s">
        <v>833</v>
      </c>
      <c r="I102" s="91" t="s">
        <v>833</v>
      </c>
      <c r="J102" s="91" t="s">
        <v>833</v>
      </c>
      <c r="K102" s="91"/>
      <c r="L102" s="91"/>
      <c r="M102" s="91"/>
      <c r="N102" s="91"/>
      <c r="O102" s="91" t="s">
        <v>833</v>
      </c>
      <c r="P102" s="91"/>
      <c r="Q102" s="91" t="s">
        <v>833</v>
      </c>
      <c r="R102" s="91"/>
      <c r="S102" s="91"/>
      <c r="T102" s="91"/>
      <c r="U102" s="91"/>
      <c r="V102" s="91" t="s">
        <v>833</v>
      </c>
      <c r="W102" s="91" t="s">
        <v>833</v>
      </c>
      <c r="X102" s="91" t="s">
        <v>833</v>
      </c>
      <c r="Y102" s="91"/>
      <c r="Z102" s="91"/>
      <c r="AA102" s="91"/>
      <c r="AB102" s="91"/>
      <c r="AC102" s="91" t="s">
        <v>833</v>
      </c>
      <c r="AD102" s="91" t="s">
        <v>833</v>
      </c>
      <c r="AE102" s="91" t="s">
        <v>833</v>
      </c>
      <c r="AF102" s="91"/>
      <c r="AG102" s="91"/>
      <c r="AH102" s="91"/>
      <c r="AI102" s="91"/>
      <c r="AJ102" s="91" t="s">
        <v>833</v>
      </c>
      <c r="AK102" s="104">
        <f t="shared" si="12"/>
        <v>12</v>
      </c>
      <c r="AL102" s="105">
        <f t="shared" si="13"/>
        <v>0</v>
      </c>
      <c r="AM102" s="105">
        <f t="shared" si="14"/>
        <v>0</v>
      </c>
      <c r="AN102" s="123">
        <v>45985</v>
      </c>
      <c r="AO102" s="106"/>
      <c r="AP102" s="84"/>
      <c r="AQ102" s="84"/>
      <c r="AR102" s="84"/>
      <c r="AS102" s="84"/>
      <c r="AT102" s="82"/>
    </row>
    <row r="103" spans="1:46" ht="13.5" customHeight="1" x14ac:dyDescent="0.3">
      <c r="A103" s="121" t="s">
        <v>694</v>
      </c>
      <c r="B103" s="103">
        <v>98</v>
      </c>
      <c r="C103" s="169" t="s">
        <v>203</v>
      </c>
      <c r="D103" s="121" t="s">
        <v>460</v>
      </c>
      <c r="E103" s="171" t="s">
        <v>461</v>
      </c>
      <c r="F103" s="91"/>
      <c r="G103" s="91" t="s">
        <v>833</v>
      </c>
      <c r="H103" s="91" t="s">
        <v>833</v>
      </c>
      <c r="I103" s="91"/>
      <c r="J103" s="91" t="s">
        <v>833</v>
      </c>
      <c r="K103" s="91"/>
      <c r="L103" s="91"/>
      <c r="M103" s="91"/>
      <c r="N103" s="91" t="s">
        <v>833</v>
      </c>
      <c r="O103" s="91" t="s">
        <v>833</v>
      </c>
      <c r="P103" s="91"/>
      <c r="Q103" s="91" t="s">
        <v>833</v>
      </c>
      <c r="R103" s="91"/>
      <c r="S103" s="91"/>
      <c r="T103" s="91"/>
      <c r="U103" s="91" t="s">
        <v>833</v>
      </c>
      <c r="V103" s="91" t="s">
        <v>833</v>
      </c>
      <c r="W103" s="91"/>
      <c r="X103" s="91" t="s">
        <v>833</v>
      </c>
      <c r="Y103" s="91"/>
      <c r="Z103" s="91"/>
      <c r="AA103" s="91"/>
      <c r="AB103" s="91" t="s">
        <v>833</v>
      </c>
      <c r="AC103" s="91" t="s">
        <v>833</v>
      </c>
      <c r="AD103" s="91"/>
      <c r="AE103" s="91" t="s">
        <v>833</v>
      </c>
      <c r="AF103" s="91"/>
      <c r="AG103" s="91"/>
      <c r="AH103" s="91"/>
      <c r="AI103" s="91" t="s">
        <v>833</v>
      </c>
      <c r="AJ103" s="91" t="s">
        <v>833</v>
      </c>
      <c r="AK103" s="104">
        <f t="shared" si="12"/>
        <v>14</v>
      </c>
      <c r="AL103" s="105">
        <f t="shared" si="13"/>
        <v>0</v>
      </c>
      <c r="AM103" s="105">
        <f t="shared" si="14"/>
        <v>0</v>
      </c>
      <c r="AN103" s="123">
        <v>45985</v>
      </c>
      <c r="AO103" s="106"/>
      <c r="AP103" s="84"/>
      <c r="AQ103" s="84"/>
      <c r="AR103" s="84"/>
      <c r="AS103" s="84"/>
      <c r="AT103" s="82"/>
    </row>
    <row r="104" spans="1:46" ht="13.5" customHeight="1" x14ac:dyDescent="0.3">
      <c r="A104" s="121" t="s">
        <v>695</v>
      </c>
      <c r="B104" s="103">
        <v>99</v>
      </c>
      <c r="C104" s="169" t="s">
        <v>204</v>
      </c>
      <c r="D104" s="121" t="s">
        <v>462</v>
      </c>
      <c r="E104" s="171" t="s">
        <v>342</v>
      </c>
      <c r="F104" s="91" t="s">
        <v>833</v>
      </c>
      <c r="G104" s="91" t="s">
        <v>833</v>
      </c>
      <c r="H104" s="91" t="s">
        <v>833</v>
      </c>
      <c r="I104" s="91"/>
      <c r="J104" s="91"/>
      <c r="K104" s="91"/>
      <c r="L104" s="91"/>
      <c r="M104" s="91" t="s">
        <v>833</v>
      </c>
      <c r="N104" s="91" t="s">
        <v>833</v>
      </c>
      <c r="O104" s="91" t="s">
        <v>833</v>
      </c>
      <c r="P104" s="91"/>
      <c r="Q104" s="91"/>
      <c r="R104" s="91"/>
      <c r="S104" s="91"/>
      <c r="T104" s="91" t="s">
        <v>833</v>
      </c>
      <c r="U104" s="91" t="s">
        <v>833</v>
      </c>
      <c r="V104" s="91" t="s">
        <v>833</v>
      </c>
      <c r="W104" s="91"/>
      <c r="X104" s="91"/>
      <c r="Y104" s="91"/>
      <c r="Z104" s="91"/>
      <c r="AA104" s="91" t="s">
        <v>833</v>
      </c>
      <c r="AB104" s="91" t="s">
        <v>833</v>
      </c>
      <c r="AC104" s="91" t="s">
        <v>833</v>
      </c>
      <c r="AD104" s="91"/>
      <c r="AE104" s="91"/>
      <c r="AF104" s="91"/>
      <c r="AG104" s="91"/>
      <c r="AH104" s="91" t="s">
        <v>833</v>
      </c>
      <c r="AI104" s="91" t="s">
        <v>833</v>
      </c>
      <c r="AJ104" s="91" t="s">
        <v>833</v>
      </c>
      <c r="AK104" s="104">
        <f t="shared" si="12"/>
        <v>15</v>
      </c>
      <c r="AL104" s="105">
        <f t="shared" si="13"/>
        <v>0</v>
      </c>
      <c r="AM104" s="105">
        <f t="shared" si="14"/>
        <v>0</v>
      </c>
      <c r="AN104" s="123">
        <v>45985</v>
      </c>
      <c r="AO104" s="106"/>
      <c r="AP104" s="84"/>
      <c r="AQ104" s="84"/>
      <c r="AR104" s="84"/>
      <c r="AS104" s="84"/>
      <c r="AT104" s="82"/>
    </row>
    <row r="105" spans="1:46" ht="13.5" customHeight="1" x14ac:dyDescent="0.3">
      <c r="A105" s="121" t="s">
        <v>696</v>
      </c>
      <c r="B105" s="103">
        <v>100</v>
      </c>
      <c r="C105" s="169" t="s">
        <v>205</v>
      </c>
      <c r="D105" s="121" t="s">
        <v>463</v>
      </c>
      <c r="E105" s="171" t="s">
        <v>464</v>
      </c>
      <c r="F105" s="91"/>
      <c r="G105" s="91"/>
      <c r="H105" s="91" t="s">
        <v>833</v>
      </c>
      <c r="I105" s="91" t="s">
        <v>833</v>
      </c>
      <c r="J105" s="91" t="s">
        <v>833</v>
      </c>
      <c r="K105" s="91"/>
      <c r="L105" s="91"/>
      <c r="M105" s="91"/>
      <c r="N105" s="91"/>
      <c r="O105" s="91" t="s">
        <v>833</v>
      </c>
      <c r="P105" s="91" t="s">
        <v>833</v>
      </c>
      <c r="Q105" s="91" t="s">
        <v>833</v>
      </c>
      <c r="R105" s="91"/>
      <c r="S105" s="91"/>
      <c r="T105" s="91"/>
      <c r="U105" s="91"/>
      <c r="V105" s="91" t="s">
        <v>833</v>
      </c>
      <c r="W105" s="91" t="s">
        <v>833</v>
      </c>
      <c r="X105" s="91" t="s">
        <v>833</v>
      </c>
      <c r="Y105" s="91"/>
      <c r="Z105" s="91"/>
      <c r="AA105" s="91"/>
      <c r="AB105" s="91"/>
      <c r="AC105" s="91" t="s">
        <v>833</v>
      </c>
      <c r="AD105" s="91" t="s">
        <v>833</v>
      </c>
      <c r="AE105" s="91" t="s">
        <v>833</v>
      </c>
      <c r="AF105" s="91"/>
      <c r="AG105" s="91"/>
      <c r="AH105" s="91"/>
      <c r="AI105" s="91"/>
      <c r="AJ105" s="91" t="s">
        <v>833</v>
      </c>
      <c r="AK105" s="104">
        <f t="shared" si="12"/>
        <v>13</v>
      </c>
      <c r="AL105" s="105">
        <f t="shared" si="13"/>
        <v>0</v>
      </c>
      <c r="AM105" s="105">
        <f t="shared" si="14"/>
        <v>0</v>
      </c>
      <c r="AN105" s="123">
        <v>45985</v>
      </c>
      <c r="AO105" s="106"/>
      <c r="AP105" s="84"/>
      <c r="AQ105" s="84"/>
      <c r="AR105" s="84"/>
      <c r="AS105" s="84"/>
      <c r="AT105" s="83"/>
    </row>
    <row r="106" spans="1:46" ht="13.5" customHeight="1" x14ac:dyDescent="0.3">
      <c r="A106" s="121" t="s">
        <v>697</v>
      </c>
      <c r="B106" s="103">
        <v>101</v>
      </c>
      <c r="C106" s="169" t="s">
        <v>206</v>
      </c>
      <c r="D106" s="121" t="s">
        <v>465</v>
      </c>
      <c r="E106" s="171" t="s">
        <v>466</v>
      </c>
      <c r="F106" s="91" t="s">
        <v>833</v>
      </c>
      <c r="G106" s="91"/>
      <c r="H106" s="91"/>
      <c r="I106" s="91" t="s">
        <v>833</v>
      </c>
      <c r="J106" s="91"/>
      <c r="K106" s="91"/>
      <c r="L106" s="91" t="s">
        <v>833</v>
      </c>
      <c r="M106" s="91" t="s">
        <v>833</v>
      </c>
      <c r="N106" s="91"/>
      <c r="O106" s="91"/>
      <c r="P106" s="91" t="s">
        <v>833</v>
      </c>
      <c r="Q106" s="91"/>
      <c r="R106" s="91"/>
      <c r="S106" s="91" t="s">
        <v>833</v>
      </c>
      <c r="T106" s="91" t="s">
        <v>833</v>
      </c>
      <c r="U106" s="91"/>
      <c r="V106" s="91"/>
      <c r="W106" s="91" t="s">
        <v>833</v>
      </c>
      <c r="X106" s="91"/>
      <c r="Y106" s="91"/>
      <c r="Z106" s="91" t="s">
        <v>833</v>
      </c>
      <c r="AA106" s="91" t="s">
        <v>833</v>
      </c>
      <c r="AB106" s="91"/>
      <c r="AC106" s="91"/>
      <c r="AD106" s="91" t="s">
        <v>833</v>
      </c>
      <c r="AE106" s="91"/>
      <c r="AF106" s="91"/>
      <c r="AG106" s="91" t="s">
        <v>833</v>
      </c>
      <c r="AH106" s="91" t="s">
        <v>833</v>
      </c>
      <c r="AI106" s="91"/>
      <c r="AJ106" s="91"/>
      <c r="AK106" s="104">
        <f t="shared" si="12"/>
        <v>13</v>
      </c>
      <c r="AL106" s="105">
        <f t="shared" si="13"/>
        <v>0</v>
      </c>
      <c r="AM106" s="105">
        <f t="shared" si="14"/>
        <v>0</v>
      </c>
      <c r="AN106" s="123">
        <v>45985</v>
      </c>
      <c r="AO106" s="106"/>
      <c r="AP106" s="84"/>
      <c r="AQ106" s="84"/>
      <c r="AR106" s="84"/>
      <c r="AS106" s="84"/>
      <c r="AT106" s="82"/>
    </row>
    <row r="107" spans="1:46" ht="13.5" customHeight="1" x14ac:dyDescent="0.3">
      <c r="A107" s="121" t="s">
        <v>698</v>
      </c>
      <c r="B107" s="103">
        <v>102</v>
      </c>
      <c r="C107" s="169" t="s">
        <v>207</v>
      </c>
      <c r="D107" s="121" t="s">
        <v>465</v>
      </c>
      <c r="E107" s="171" t="s">
        <v>467</v>
      </c>
      <c r="F107" s="91" t="s">
        <v>833</v>
      </c>
      <c r="G107" s="91"/>
      <c r="H107" s="91"/>
      <c r="I107" s="91"/>
      <c r="J107" s="91" t="s">
        <v>833</v>
      </c>
      <c r="K107" s="91"/>
      <c r="L107" s="91"/>
      <c r="M107" s="91" t="s">
        <v>833</v>
      </c>
      <c r="N107" s="91"/>
      <c r="O107" s="91"/>
      <c r="P107" s="91"/>
      <c r="Q107" s="91" t="s">
        <v>833</v>
      </c>
      <c r="R107" s="91"/>
      <c r="S107" s="91"/>
      <c r="T107" s="91" t="s">
        <v>833</v>
      </c>
      <c r="U107" s="91"/>
      <c r="V107" s="91"/>
      <c r="W107" s="91"/>
      <c r="X107" s="91" t="s">
        <v>833</v>
      </c>
      <c r="Y107" s="91"/>
      <c r="Z107" s="91"/>
      <c r="AA107" s="91" t="s">
        <v>833</v>
      </c>
      <c r="AB107" s="91"/>
      <c r="AC107" s="91"/>
      <c r="AD107" s="91"/>
      <c r="AE107" s="91" t="s">
        <v>833</v>
      </c>
      <c r="AF107" s="91"/>
      <c r="AG107" s="91"/>
      <c r="AH107" s="91" t="s">
        <v>833</v>
      </c>
      <c r="AI107" s="91"/>
      <c r="AJ107" s="91"/>
      <c r="AK107" s="104">
        <f t="shared" si="12"/>
        <v>9</v>
      </c>
      <c r="AL107" s="105">
        <f t="shared" si="13"/>
        <v>0</v>
      </c>
      <c r="AM107" s="105">
        <f t="shared" si="14"/>
        <v>0</v>
      </c>
      <c r="AN107" s="123">
        <v>45985</v>
      </c>
      <c r="AO107" s="106"/>
      <c r="AP107" s="84"/>
      <c r="AQ107" s="84"/>
      <c r="AR107" s="84"/>
      <c r="AS107" s="84"/>
      <c r="AT107" s="82"/>
    </row>
    <row r="108" spans="1:46" ht="13.5" customHeight="1" x14ac:dyDescent="0.3">
      <c r="A108" s="121" t="s">
        <v>699</v>
      </c>
      <c r="B108" s="103">
        <v>103</v>
      </c>
      <c r="C108" s="169" t="s">
        <v>208</v>
      </c>
      <c r="D108" s="121" t="s">
        <v>468</v>
      </c>
      <c r="E108" s="171" t="s">
        <v>438</v>
      </c>
      <c r="F108" s="91"/>
      <c r="G108" s="91"/>
      <c r="H108" s="91" t="s">
        <v>833</v>
      </c>
      <c r="I108" s="91"/>
      <c r="J108" s="91"/>
      <c r="K108" s="91" t="s">
        <v>833</v>
      </c>
      <c r="L108" s="91" t="s">
        <v>833</v>
      </c>
      <c r="M108" s="91" t="s">
        <v>833</v>
      </c>
      <c r="N108" s="91"/>
      <c r="O108" s="91" t="s">
        <v>833</v>
      </c>
      <c r="P108" s="91"/>
      <c r="Q108" s="91"/>
      <c r="R108" s="91" t="s">
        <v>833</v>
      </c>
      <c r="S108" s="91"/>
      <c r="T108" s="91" t="s">
        <v>833</v>
      </c>
      <c r="U108" s="91"/>
      <c r="V108" s="91" t="s">
        <v>833</v>
      </c>
      <c r="W108" s="91"/>
      <c r="X108" s="91"/>
      <c r="Y108" s="91" t="s">
        <v>833</v>
      </c>
      <c r="Z108" s="91"/>
      <c r="AA108" s="91" t="s">
        <v>833</v>
      </c>
      <c r="AB108" s="91"/>
      <c r="AC108" s="91" t="s">
        <v>833</v>
      </c>
      <c r="AD108" s="91"/>
      <c r="AE108" s="91"/>
      <c r="AF108" s="91" t="s">
        <v>833</v>
      </c>
      <c r="AG108" s="91"/>
      <c r="AH108" s="91" t="s">
        <v>833</v>
      </c>
      <c r="AI108" s="91"/>
      <c r="AJ108" s="91" t="s">
        <v>833</v>
      </c>
      <c r="AK108" s="104">
        <f t="shared" si="12"/>
        <v>14</v>
      </c>
      <c r="AL108" s="105">
        <f t="shared" si="13"/>
        <v>0</v>
      </c>
      <c r="AM108" s="105">
        <f t="shared" si="14"/>
        <v>0</v>
      </c>
      <c r="AN108" s="123">
        <v>45985</v>
      </c>
      <c r="AO108" s="106"/>
      <c r="AP108" s="84"/>
      <c r="AQ108" s="84"/>
      <c r="AR108" s="84"/>
      <c r="AS108" s="84"/>
      <c r="AT108" s="82"/>
    </row>
    <row r="109" spans="1:46" ht="13.5" customHeight="1" x14ac:dyDescent="0.3">
      <c r="A109" s="121" t="s">
        <v>827</v>
      </c>
      <c r="B109" s="103">
        <v>104</v>
      </c>
      <c r="C109" s="169" t="s">
        <v>209</v>
      </c>
      <c r="D109" s="121" t="s">
        <v>469</v>
      </c>
      <c r="E109" s="171" t="s">
        <v>470</v>
      </c>
      <c r="F109" s="91"/>
      <c r="G109" s="91"/>
      <c r="H109" s="91" t="s">
        <v>833</v>
      </c>
      <c r="I109" s="91" t="s">
        <v>833</v>
      </c>
      <c r="J109" s="91" t="s">
        <v>833</v>
      </c>
      <c r="K109" s="91"/>
      <c r="L109" s="91"/>
      <c r="M109" s="91"/>
      <c r="N109" s="91"/>
      <c r="O109" s="91" t="s">
        <v>833</v>
      </c>
      <c r="P109" s="91" t="s">
        <v>833</v>
      </c>
      <c r="Q109" s="91" t="s">
        <v>833</v>
      </c>
      <c r="R109" s="91"/>
      <c r="S109" s="91"/>
      <c r="T109" s="91"/>
      <c r="U109" s="91"/>
      <c r="V109" s="91" t="s">
        <v>833</v>
      </c>
      <c r="W109" s="91" t="s">
        <v>833</v>
      </c>
      <c r="X109" s="91" t="s">
        <v>833</v>
      </c>
      <c r="Y109" s="91"/>
      <c r="Z109" s="91"/>
      <c r="AA109" s="91"/>
      <c r="AB109" s="91"/>
      <c r="AC109" s="91" t="s">
        <v>833</v>
      </c>
      <c r="AD109" s="91" t="s">
        <v>833</v>
      </c>
      <c r="AE109" s="91" t="s">
        <v>833</v>
      </c>
      <c r="AF109" s="91"/>
      <c r="AG109" s="91"/>
      <c r="AH109" s="91"/>
      <c r="AI109" s="91"/>
      <c r="AJ109" s="91" t="s">
        <v>833</v>
      </c>
      <c r="AK109" s="104">
        <f t="shared" si="12"/>
        <v>13</v>
      </c>
      <c r="AL109" s="105">
        <f t="shared" si="13"/>
        <v>0</v>
      </c>
      <c r="AM109" s="105">
        <f t="shared" si="14"/>
        <v>0</v>
      </c>
      <c r="AN109" s="123">
        <v>45985</v>
      </c>
      <c r="AO109" s="106"/>
      <c r="AP109" s="84"/>
      <c r="AQ109" s="84"/>
      <c r="AR109" s="84"/>
      <c r="AS109" s="84"/>
      <c r="AT109" s="82"/>
    </row>
    <row r="110" spans="1:46" ht="13.5" customHeight="1" x14ac:dyDescent="0.3">
      <c r="A110" s="121" t="s">
        <v>700</v>
      </c>
      <c r="B110" s="103">
        <v>105</v>
      </c>
      <c r="C110" s="169" t="s">
        <v>210</v>
      </c>
      <c r="D110" s="121" t="s">
        <v>471</v>
      </c>
      <c r="E110" s="171" t="s">
        <v>472</v>
      </c>
      <c r="F110" s="91"/>
      <c r="G110" s="91"/>
      <c r="H110" s="91" t="s">
        <v>833</v>
      </c>
      <c r="I110" s="91"/>
      <c r="J110" s="91" t="s">
        <v>833</v>
      </c>
      <c r="K110" s="91"/>
      <c r="L110" s="91"/>
      <c r="M110" s="91"/>
      <c r="N110" s="91"/>
      <c r="O110" s="91" t="s">
        <v>833</v>
      </c>
      <c r="P110" s="91"/>
      <c r="Q110" s="91" t="s">
        <v>833</v>
      </c>
      <c r="R110" s="91"/>
      <c r="S110" s="91"/>
      <c r="T110" s="91"/>
      <c r="U110" s="91"/>
      <c r="V110" s="91" t="s">
        <v>833</v>
      </c>
      <c r="W110" s="91"/>
      <c r="X110" s="91" t="s">
        <v>833</v>
      </c>
      <c r="Y110" s="91"/>
      <c r="Z110" s="91"/>
      <c r="AA110" s="91"/>
      <c r="AB110" s="91"/>
      <c r="AC110" s="91" t="s">
        <v>833</v>
      </c>
      <c r="AD110" s="91"/>
      <c r="AE110" s="91" t="s">
        <v>833</v>
      </c>
      <c r="AF110" s="91"/>
      <c r="AG110" s="91"/>
      <c r="AH110" s="91"/>
      <c r="AI110" s="91"/>
      <c r="AJ110" s="91" t="s">
        <v>833</v>
      </c>
      <c r="AK110" s="104">
        <f t="shared" si="12"/>
        <v>9</v>
      </c>
      <c r="AL110" s="105">
        <f t="shared" si="13"/>
        <v>0</v>
      </c>
      <c r="AM110" s="105">
        <f t="shared" si="14"/>
        <v>0</v>
      </c>
      <c r="AN110" s="123">
        <v>45985</v>
      </c>
      <c r="AO110" s="106"/>
      <c r="AP110" s="84"/>
      <c r="AQ110" s="84"/>
      <c r="AR110" s="84"/>
      <c r="AS110" s="84"/>
      <c r="AT110" s="82"/>
    </row>
    <row r="111" spans="1:46" ht="13.5" customHeight="1" x14ac:dyDescent="0.3">
      <c r="A111" s="121" t="s">
        <v>701</v>
      </c>
      <c r="B111" s="103">
        <v>106</v>
      </c>
      <c r="C111" s="169" t="s">
        <v>211</v>
      </c>
      <c r="D111" s="121" t="s">
        <v>471</v>
      </c>
      <c r="E111" s="171" t="s">
        <v>473</v>
      </c>
      <c r="F111" s="91" t="s">
        <v>833</v>
      </c>
      <c r="G111" s="91"/>
      <c r="H111" s="91"/>
      <c r="I111" s="91"/>
      <c r="J111" s="91" t="s">
        <v>833</v>
      </c>
      <c r="K111" s="91"/>
      <c r="L111" s="91"/>
      <c r="M111" s="91"/>
      <c r="N111" s="91"/>
      <c r="O111" s="91" t="s">
        <v>833</v>
      </c>
      <c r="P111" s="91"/>
      <c r="Q111" s="91"/>
      <c r="R111" s="91"/>
      <c r="S111" s="91"/>
      <c r="T111" s="91" t="s">
        <v>833</v>
      </c>
      <c r="U111" s="91" t="s">
        <v>833</v>
      </c>
      <c r="V111" s="91"/>
      <c r="W111" s="91"/>
      <c r="X111" s="91" t="s">
        <v>833</v>
      </c>
      <c r="Y111" s="91"/>
      <c r="Z111" s="91"/>
      <c r="AA111" s="91"/>
      <c r="AB111" s="91"/>
      <c r="AC111" s="91" t="s">
        <v>833</v>
      </c>
      <c r="AD111" s="91"/>
      <c r="AE111" s="91" t="s">
        <v>833</v>
      </c>
      <c r="AF111" s="91"/>
      <c r="AG111" s="91"/>
      <c r="AH111" s="91"/>
      <c r="AI111" s="91"/>
      <c r="AJ111" s="91" t="s">
        <v>833</v>
      </c>
      <c r="AK111" s="104">
        <f t="shared" si="12"/>
        <v>9</v>
      </c>
      <c r="AL111" s="105">
        <f t="shared" si="13"/>
        <v>0</v>
      </c>
      <c r="AM111" s="105">
        <f t="shared" si="14"/>
        <v>0</v>
      </c>
      <c r="AN111" s="123">
        <v>45985</v>
      </c>
      <c r="AO111" s="106"/>
      <c r="AP111" s="84"/>
      <c r="AQ111" s="84"/>
      <c r="AR111" s="84"/>
      <c r="AS111" s="84"/>
      <c r="AT111" s="82"/>
    </row>
    <row r="112" spans="1:46" ht="13.5" customHeight="1" x14ac:dyDescent="0.3">
      <c r="A112" s="121" t="s">
        <v>702</v>
      </c>
      <c r="B112" s="103">
        <v>107</v>
      </c>
      <c r="C112" s="169" t="s">
        <v>212</v>
      </c>
      <c r="D112" s="121" t="s">
        <v>474</v>
      </c>
      <c r="E112" s="171" t="s">
        <v>475</v>
      </c>
      <c r="F112" s="91"/>
      <c r="G112" s="91"/>
      <c r="H112" s="91" t="s">
        <v>833</v>
      </c>
      <c r="I112" s="91" t="s">
        <v>833</v>
      </c>
      <c r="J112" s="91"/>
      <c r="K112" s="91"/>
      <c r="L112" s="91"/>
      <c r="M112" s="91"/>
      <c r="N112" s="91"/>
      <c r="O112" s="91" t="s">
        <v>833</v>
      </c>
      <c r="P112" s="91" t="s">
        <v>833</v>
      </c>
      <c r="Q112" s="91"/>
      <c r="R112" s="91"/>
      <c r="S112" s="91"/>
      <c r="T112" s="91"/>
      <c r="U112" s="91"/>
      <c r="V112" s="91" t="s">
        <v>833</v>
      </c>
      <c r="W112" s="91" t="s">
        <v>833</v>
      </c>
      <c r="X112" s="91"/>
      <c r="Y112" s="91"/>
      <c r="Z112" s="91"/>
      <c r="AA112" s="91"/>
      <c r="AB112" s="91"/>
      <c r="AC112" s="91" t="s">
        <v>833</v>
      </c>
      <c r="AD112" s="91" t="s">
        <v>833</v>
      </c>
      <c r="AE112" s="91"/>
      <c r="AF112" s="91"/>
      <c r="AG112" s="91"/>
      <c r="AH112" s="91"/>
      <c r="AI112" s="91"/>
      <c r="AJ112" s="91"/>
      <c r="AK112" s="104">
        <f t="shared" si="12"/>
        <v>8</v>
      </c>
      <c r="AL112" s="105">
        <f t="shared" si="13"/>
        <v>0</v>
      </c>
      <c r="AM112" s="105">
        <f t="shared" si="14"/>
        <v>0</v>
      </c>
      <c r="AN112" s="123">
        <v>45985</v>
      </c>
      <c r="AO112" s="106"/>
      <c r="AP112" s="84"/>
      <c r="AQ112" s="84"/>
      <c r="AR112" s="84"/>
      <c r="AS112" s="84"/>
      <c r="AT112" s="82"/>
    </row>
    <row r="113" spans="1:46" ht="13.5" customHeight="1" x14ac:dyDescent="0.3">
      <c r="A113" s="121" t="s">
        <v>703</v>
      </c>
      <c r="B113" s="103">
        <v>108</v>
      </c>
      <c r="C113" s="169" t="s">
        <v>213</v>
      </c>
      <c r="D113" s="121" t="s">
        <v>474</v>
      </c>
      <c r="E113" s="171" t="s">
        <v>476</v>
      </c>
      <c r="F113" s="91"/>
      <c r="G113" s="91"/>
      <c r="H113" s="91"/>
      <c r="I113" s="91"/>
      <c r="J113" s="91" t="s">
        <v>833</v>
      </c>
      <c r="K113" s="91" t="s">
        <v>833</v>
      </c>
      <c r="L113" s="91" t="s">
        <v>833</v>
      </c>
      <c r="M113" s="91"/>
      <c r="N113" s="91"/>
      <c r="O113" s="91"/>
      <c r="P113" s="91"/>
      <c r="Q113" s="91" t="s">
        <v>833</v>
      </c>
      <c r="R113" s="91" t="s">
        <v>833</v>
      </c>
      <c r="S113" s="91" t="s">
        <v>833</v>
      </c>
      <c r="T113" s="91"/>
      <c r="U113" s="91"/>
      <c r="V113" s="91"/>
      <c r="W113" s="91"/>
      <c r="X113" s="91" t="s">
        <v>833</v>
      </c>
      <c r="Y113" s="91" t="s">
        <v>833</v>
      </c>
      <c r="Z113" s="91" t="s">
        <v>833</v>
      </c>
      <c r="AA113" s="91"/>
      <c r="AB113" s="91"/>
      <c r="AC113" s="91"/>
      <c r="AD113" s="91"/>
      <c r="AE113" s="91" t="s">
        <v>833</v>
      </c>
      <c r="AF113" s="91" t="s">
        <v>833</v>
      </c>
      <c r="AG113" s="91" t="s">
        <v>833</v>
      </c>
      <c r="AH113" s="91"/>
      <c r="AI113" s="91"/>
      <c r="AJ113" s="91"/>
      <c r="AK113" s="104">
        <f t="shared" si="12"/>
        <v>12</v>
      </c>
      <c r="AL113" s="105">
        <f t="shared" si="13"/>
        <v>0</v>
      </c>
      <c r="AM113" s="105">
        <f t="shared" si="14"/>
        <v>0</v>
      </c>
      <c r="AN113" s="123">
        <v>45985</v>
      </c>
      <c r="AO113" s="106"/>
      <c r="AP113" s="84"/>
      <c r="AQ113" s="84"/>
      <c r="AR113" s="84"/>
      <c r="AS113" s="84"/>
      <c r="AT113" s="82"/>
    </row>
    <row r="114" spans="1:46" ht="13.5" customHeight="1" x14ac:dyDescent="0.3">
      <c r="A114" s="121" t="s">
        <v>704</v>
      </c>
      <c r="B114" s="103">
        <v>109</v>
      </c>
      <c r="C114" s="169" t="s">
        <v>214</v>
      </c>
      <c r="D114" s="121" t="s">
        <v>477</v>
      </c>
      <c r="E114" s="171" t="s">
        <v>478</v>
      </c>
      <c r="F114" s="91" t="s">
        <v>833</v>
      </c>
      <c r="G114" s="91"/>
      <c r="H114" s="91" t="s">
        <v>833</v>
      </c>
      <c r="I114" s="91"/>
      <c r="J114" s="91" t="s">
        <v>833</v>
      </c>
      <c r="K114" s="91"/>
      <c r="L114" s="91"/>
      <c r="M114" s="91" t="s">
        <v>833</v>
      </c>
      <c r="N114" s="91"/>
      <c r="O114" s="91" t="s">
        <v>833</v>
      </c>
      <c r="P114" s="91"/>
      <c r="Q114" s="91" t="s">
        <v>833</v>
      </c>
      <c r="R114" s="91"/>
      <c r="S114" s="91"/>
      <c r="T114" s="91" t="s">
        <v>833</v>
      </c>
      <c r="U114" s="91"/>
      <c r="V114" s="91" t="s">
        <v>833</v>
      </c>
      <c r="W114" s="91"/>
      <c r="X114" s="91" t="s">
        <v>833</v>
      </c>
      <c r="Y114" s="91"/>
      <c r="Z114" s="91"/>
      <c r="AA114" s="91" t="s">
        <v>833</v>
      </c>
      <c r="AB114" s="91"/>
      <c r="AC114" s="91" t="s">
        <v>833</v>
      </c>
      <c r="AD114" s="91"/>
      <c r="AE114" s="91" t="s">
        <v>833</v>
      </c>
      <c r="AF114" s="91"/>
      <c r="AG114" s="91"/>
      <c r="AH114" s="91" t="s">
        <v>833</v>
      </c>
      <c r="AI114" s="91"/>
      <c r="AJ114" s="91" t="s">
        <v>833</v>
      </c>
      <c r="AK114" s="104">
        <f t="shared" si="12"/>
        <v>14</v>
      </c>
      <c r="AL114" s="105">
        <f t="shared" si="13"/>
        <v>0</v>
      </c>
      <c r="AM114" s="105">
        <f t="shared" si="14"/>
        <v>0</v>
      </c>
      <c r="AN114" s="123">
        <v>45985</v>
      </c>
      <c r="AO114" s="106"/>
      <c r="AP114" s="84"/>
      <c r="AQ114" s="84"/>
      <c r="AR114" s="84"/>
      <c r="AS114" s="84"/>
      <c r="AT114" s="82"/>
    </row>
    <row r="115" spans="1:46" ht="13.5" customHeight="1" x14ac:dyDescent="0.3">
      <c r="A115" s="121" t="s">
        <v>705</v>
      </c>
      <c r="B115" s="103">
        <v>110</v>
      </c>
      <c r="C115" s="169" t="s">
        <v>215</v>
      </c>
      <c r="D115" s="121" t="s">
        <v>479</v>
      </c>
      <c r="E115" s="171" t="s">
        <v>317</v>
      </c>
      <c r="F115" s="91"/>
      <c r="G115" s="91"/>
      <c r="H115" s="91" t="s">
        <v>833</v>
      </c>
      <c r="I115" s="91" t="s">
        <v>833</v>
      </c>
      <c r="J115" s="91" t="s">
        <v>833</v>
      </c>
      <c r="K115" s="91"/>
      <c r="L115" s="91"/>
      <c r="M115" s="91"/>
      <c r="N115" s="91"/>
      <c r="O115" s="91" t="s">
        <v>833</v>
      </c>
      <c r="P115" s="91" t="s">
        <v>833</v>
      </c>
      <c r="Q115" s="91" t="s">
        <v>833</v>
      </c>
      <c r="R115" s="91"/>
      <c r="S115" s="91"/>
      <c r="T115" s="91"/>
      <c r="U115" s="91"/>
      <c r="V115" s="91" t="s">
        <v>833</v>
      </c>
      <c r="W115" s="91" t="s">
        <v>833</v>
      </c>
      <c r="X115" s="91" t="s">
        <v>833</v>
      </c>
      <c r="Y115" s="91"/>
      <c r="Z115" s="91"/>
      <c r="AA115" s="91"/>
      <c r="AB115" s="91"/>
      <c r="AC115" s="91" t="s">
        <v>833</v>
      </c>
      <c r="AD115" s="91" t="s">
        <v>833</v>
      </c>
      <c r="AE115" s="91" t="s">
        <v>833</v>
      </c>
      <c r="AF115" s="91"/>
      <c r="AG115" s="91"/>
      <c r="AH115" s="91"/>
      <c r="AI115" s="91"/>
      <c r="AJ115" s="91" t="s">
        <v>833</v>
      </c>
      <c r="AK115" s="104">
        <f t="shared" si="12"/>
        <v>13</v>
      </c>
      <c r="AL115" s="105">
        <f t="shared" si="13"/>
        <v>0</v>
      </c>
      <c r="AM115" s="105">
        <f t="shared" si="14"/>
        <v>0</v>
      </c>
      <c r="AN115" s="123">
        <v>45985</v>
      </c>
      <c r="AO115" s="106"/>
      <c r="AP115" s="84"/>
      <c r="AQ115" s="84"/>
      <c r="AR115" s="84"/>
      <c r="AS115" s="84"/>
      <c r="AT115" s="82"/>
    </row>
    <row r="116" spans="1:46" ht="13.5" customHeight="1" x14ac:dyDescent="0.3">
      <c r="A116" s="121" t="s">
        <v>706</v>
      </c>
      <c r="B116" s="103">
        <v>111</v>
      </c>
      <c r="C116" s="169" t="s">
        <v>216</v>
      </c>
      <c r="D116" s="121" t="s">
        <v>479</v>
      </c>
      <c r="E116" s="171" t="s">
        <v>480</v>
      </c>
      <c r="F116" s="91" t="s">
        <v>833</v>
      </c>
      <c r="G116" s="91"/>
      <c r="H116" s="91"/>
      <c r="I116" s="91" t="s">
        <v>833</v>
      </c>
      <c r="J116" s="91" t="s">
        <v>833</v>
      </c>
      <c r="K116" s="91"/>
      <c r="L116" s="91"/>
      <c r="M116" s="91" t="s">
        <v>833</v>
      </c>
      <c r="N116" s="91"/>
      <c r="O116" s="91"/>
      <c r="P116" s="91" t="s">
        <v>833</v>
      </c>
      <c r="Q116" s="91" t="s">
        <v>833</v>
      </c>
      <c r="R116" s="91"/>
      <c r="S116" s="91"/>
      <c r="T116" s="91" t="s">
        <v>833</v>
      </c>
      <c r="U116" s="91"/>
      <c r="V116" s="91"/>
      <c r="W116" s="91" t="s">
        <v>833</v>
      </c>
      <c r="X116" s="91" t="s">
        <v>833</v>
      </c>
      <c r="Y116" s="91"/>
      <c r="Z116" s="91"/>
      <c r="AA116" s="91" t="s">
        <v>833</v>
      </c>
      <c r="AB116" s="91"/>
      <c r="AC116" s="91"/>
      <c r="AD116" s="91" t="s">
        <v>833</v>
      </c>
      <c r="AE116" s="91" t="s">
        <v>833</v>
      </c>
      <c r="AF116" s="91"/>
      <c r="AG116" s="91"/>
      <c r="AH116" s="91" t="s">
        <v>833</v>
      </c>
      <c r="AI116" s="91"/>
      <c r="AJ116" s="91"/>
      <c r="AK116" s="104">
        <f t="shared" si="12"/>
        <v>13</v>
      </c>
      <c r="AL116" s="105">
        <f t="shared" si="13"/>
        <v>0</v>
      </c>
      <c r="AM116" s="105">
        <f t="shared" si="14"/>
        <v>0</v>
      </c>
      <c r="AN116" s="123">
        <v>45985</v>
      </c>
      <c r="AO116" s="106"/>
      <c r="AP116" s="84"/>
      <c r="AQ116" s="84"/>
      <c r="AR116" s="84"/>
      <c r="AS116" s="84"/>
      <c r="AT116" s="82"/>
    </row>
    <row r="117" spans="1:46" ht="13.5" customHeight="1" x14ac:dyDescent="0.3">
      <c r="A117" s="121" t="s">
        <v>707</v>
      </c>
      <c r="B117" s="103">
        <v>112</v>
      </c>
      <c r="C117" s="169" t="s">
        <v>217</v>
      </c>
      <c r="D117" s="121" t="s">
        <v>479</v>
      </c>
      <c r="E117" s="171" t="s">
        <v>481</v>
      </c>
      <c r="F117" s="91"/>
      <c r="G117" s="91"/>
      <c r="H117" s="91"/>
      <c r="I117" s="91" t="s">
        <v>833</v>
      </c>
      <c r="J117" s="91" t="s">
        <v>833</v>
      </c>
      <c r="K117" s="91"/>
      <c r="L117" s="91" t="s">
        <v>833</v>
      </c>
      <c r="M117" s="91"/>
      <c r="N117" s="91"/>
      <c r="O117" s="91"/>
      <c r="P117" s="91" t="s">
        <v>833</v>
      </c>
      <c r="Q117" s="195" t="s">
        <v>837</v>
      </c>
      <c r="R117" s="91"/>
      <c r="S117" s="91" t="s">
        <v>833</v>
      </c>
      <c r="T117" s="91"/>
      <c r="U117" s="91"/>
      <c r="V117" s="91"/>
      <c r="W117" s="91" t="s">
        <v>833</v>
      </c>
      <c r="X117" s="91" t="s">
        <v>833</v>
      </c>
      <c r="Y117" s="91"/>
      <c r="Z117" s="91" t="s">
        <v>833</v>
      </c>
      <c r="AA117" s="91"/>
      <c r="AB117" s="91"/>
      <c r="AC117" s="91"/>
      <c r="AD117" s="91" t="s">
        <v>833</v>
      </c>
      <c r="AE117" s="91" t="s">
        <v>833</v>
      </c>
      <c r="AF117" s="91"/>
      <c r="AG117" s="91" t="s">
        <v>833</v>
      </c>
      <c r="AH117" s="91"/>
      <c r="AI117" s="91"/>
      <c r="AJ117" s="91"/>
      <c r="AK117" s="104">
        <f t="shared" si="12"/>
        <v>11</v>
      </c>
      <c r="AL117" s="105">
        <f t="shared" si="13"/>
        <v>1</v>
      </c>
      <c r="AM117" s="105">
        <f t="shared" si="14"/>
        <v>1</v>
      </c>
      <c r="AN117" s="123">
        <v>45985</v>
      </c>
      <c r="AO117" s="106"/>
      <c r="AP117" s="84"/>
      <c r="AQ117" s="84"/>
      <c r="AR117" s="84"/>
      <c r="AS117" s="84"/>
      <c r="AT117" s="82"/>
    </row>
    <row r="118" spans="1:46" ht="13.5" customHeight="1" x14ac:dyDescent="0.3">
      <c r="A118" s="121" t="s">
        <v>708</v>
      </c>
      <c r="B118" s="103">
        <v>113</v>
      </c>
      <c r="C118" s="169" t="s">
        <v>218</v>
      </c>
      <c r="D118" s="121" t="s">
        <v>482</v>
      </c>
      <c r="E118" s="171" t="s">
        <v>483</v>
      </c>
      <c r="F118" s="93" t="s">
        <v>833</v>
      </c>
      <c r="G118" s="93" t="s">
        <v>833</v>
      </c>
      <c r="H118" s="94"/>
      <c r="I118" s="194" t="s">
        <v>833</v>
      </c>
      <c r="J118" s="94"/>
      <c r="K118" s="94"/>
      <c r="L118" s="94"/>
      <c r="M118" s="194" t="s">
        <v>833</v>
      </c>
      <c r="N118" s="194" t="s">
        <v>833</v>
      </c>
      <c r="O118" s="94"/>
      <c r="P118" s="194" t="s">
        <v>833</v>
      </c>
      <c r="Q118" s="94"/>
      <c r="R118" s="94"/>
      <c r="S118" s="94"/>
      <c r="T118" s="194" t="s">
        <v>833</v>
      </c>
      <c r="U118" s="194" t="s">
        <v>833</v>
      </c>
      <c r="V118" s="94"/>
      <c r="W118" s="194" t="s">
        <v>833</v>
      </c>
      <c r="X118" s="94"/>
      <c r="Y118" s="94"/>
      <c r="Z118" s="94"/>
      <c r="AA118" s="194" t="s">
        <v>833</v>
      </c>
      <c r="AB118" s="194" t="s">
        <v>833</v>
      </c>
      <c r="AC118" s="94"/>
      <c r="AD118" s="194" t="s">
        <v>833</v>
      </c>
      <c r="AE118" s="94"/>
      <c r="AF118" s="94"/>
      <c r="AG118" s="94"/>
      <c r="AH118" s="194" t="s">
        <v>833</v>
      </c>
      <c r="AI118" s="194" t="s">
        <v>833</v>
      </c>
      <c r="AJ118" s="94"/>
      <c r="AK118" s="104">
        <f t="shared" ref="AK118:AK149" si="15">+COUNTIF(F118:AJ118,"X")+COUNTIF(F118:AJ118,"E")</f>
        <v>14</v>
      </c>
      <c r="AL118" s="105">
        <f t="shared" ref="AL118:AL149" si="16">+COUNTIF(F118:AJ118,"R")+COUNTIF(F118:AJ118,"T")+COUNTIF(F118:AJ118,"İ")</f>
        <v>0</v>
      </c>
      <c r="AM118" s="105">
        <f t="shared" ref="AM118:AM149" si="17">+COUNTIF(F118:AJ118,"İ")</f>
        <v>0</v>
      </c>
      <c r="AN118" s="123">
        <v>45985</v>
      </c>
      <c r="AO118" s="106"/>
      <c r="AP118" s="84"/>
      <c r="AQ118" s="84"/>
      <c r="AR118" s="84"/>
      <c r="AS118" s="84"/>
      <c r="AT118" s="82"/>
    </row>
    <row r="119" spans="1:46" ht="13.5" customHeight="1" x14ac:dyDescent="0.3">
      <c r="A119" s="121" t="s">
        <v>709</v>
      </c>
      <c r="B119" s="103">
        <v>114</v>
      </c>
      <c r="C119" s="169" t="s">
        <v>219</v>
      </c>
      <c r="D119" s="121" t="s">
        <v>484</v>
      </c>
      <c r="E119" s="171" t="s">
        <v>339</v>
      </c>
      <c r="F119" s="91"/>
      <c r="G119" s="91"/>
      <c r="H119" s="91" t="s">
        <v>833</v>
      </c>
      <c r="I119" s="91" t="s">
        <v>833</v>
      </c>
      <c r="J119" s="91" t="s">
        <v>833</v>
      </c>
      <c r="K119" s="91"/>
      <c r="L119" s="91"/>
      <c r="M119" s="91"/>
      <c r="N119" s="91"/>
      <c r="O119" s="91" t="s">
        <v>833</v>
      </c>
      <c r="P119" s="91" t="s">
        <v>833</v>
      </c>
      <c r="Q119" s="91" t="s">
        <v>833</v>
      </c>
      <c r="R119" s="91"/>
      <c r="S119" s="91"/>
      <c r="T119" s="91"/>
      <c r="U119" s="91"/>
      <c r="V119" s="91" t="s">
        <v>833</v>
      </c>
      <c r="W119" s="91" t="s">
        <v>833</v>
      </c>
      <c r="X119" s="91" t="s">
        <v>833</v>
      </c>
      <c r="Y119" s="91"/>
      <c r="Z119" s="91"/>
      <c r="AA119" s="91"/>
      <c r="AB119" s="91"/>
      <c r="AC119" s="91" t="s">
        <v>833</v>
      </c>
      <c r="AD119" s="91" t="s">
        <v>833</v>
      </c>
      <c r="AE119" s="91" t="s">
        <v>833</v>
      </c>
      <c r="AF119" s="91"/>
      <c r="AG119" s="91"/>
      <c r="AH119" s="91"/>
      <c r="AI119" s="91"/>
      <c r="AJ119" s="91" t="s">
        <v>833</v>
      </c>
      <c r="AK119" s="104">
        <f t="shared" si="15"/>
        <v>13</v>
      </c>
      <c r="AL119" s="105">
        <f t="shared" si="16"/>
        <v>0</v>
      </c>
      <c r="AM119" s="105">
        <f t="shared" si="17"/>
        <v>0</v>
      </c>
      <c r="AN119" s="123">
        <v>45985</v>
      </c>
      <c r="AO119" s="106"/>
      <c r="AP119" s="84"/>
      <c r="AQ119" s="84"/>
      <c r="AR119" s="84"/>
      <c r="AS119" s="84"/>
      <c r="AT119" s="82"/>
    </row>
    <row r="120" spans="1:46" ht="13.5" customHeight="1" x14ac:dyDescent="0.3">
      <c r="A120" s="121" t="s">
        <v>710</v>
      </c>
      <c r="B120" s="103">
        <v>115</v>
      </c>
      <c r="C120" s="169" t="s">
        <v>220</v>
      </c>
      <c r="D120" s="121" t="s">
        <v>485</v>
      </c>
      <c r="E120" s="171" t="s">
        <v>486</v>
      </c>
      <c r="F120" s="91"/>
      <c r="G120" s="91" t="s">
        <v>833</v>
      </c>
      <c r="H120" s="91"/>
      <c r="I120" s="91" t="s">
        <v>833</v>
      </c>
      <c r="J120" s="91" t="s">
        <v>833</v>
      </c>
      <c r="K120" s="91"/>
      <c r="L120" s="91"/>
      <c r="M120" s="91"/>
      <c r="N120" s="91" t="s">
        <v>833</v>
      </c>
      <c r="O120" s="91"/>
      <c r="P120" s="91" t="s">
        <v>833</v>
      </c>
      <c r="Q120" s="91" t="s">
        <v>833</v>
      </c>
      <c r="R120" s="91"/>
      <c r="S120" s="91"/>
      <c r="T120" s="91"/>
      <c r="U120" s="91" t="s">
        <v>833</v>
      </c>
      <c r="V120" s="91"/>
      <c r="W120" s="91" t="s">
        <v>833</v>
      </c>
      <c r="X120" s="195" t="s">
        <v>837</v>
      </c>
      <c r="Y120" s="91"/>
      <c r="Z120" s="91"/>
      <c r="AA120" s="91"/>
      <c r="AB120" s="91" t="s">
        <v>833</v>
      </c>
      <c r="AC120" s="91"/>
      <c r="AD120" s="91" t="s">
        <v>833</v>
      </c>
      <c r="AE120" s="91" t="s">
        <v>833</v>
      </c>
      <c r="AF120" s="91"/>
      <c r="AG120" s="91"/>
      <c r="AH120" s="91"/>
      <c r="AI120" s="91" t="s">
        <v>833</v>
      </c>
      <c r="AJ120" s="91"/>
      <c r="AK120" s="104">
        <f t="shared" si="15"/>
        <v>12</v>
      </c>
      <c r="AL120" s="105">
        <f t="shared" si="16"/>
        <v>1</v>
      </c>
      <c r="AM120" s="105">
        <f t="shared" si="17"/>
        <v>1</v>
      </c>
      <c r="AN120" s="123">
        <v>45985</v>
      </c>
      <c r="AO120" s="106"/>
      <c r="AP120" s="84"/>
      <c r="AQ120" s="84"/>
      <c r="AR120" s="84"/>
      <c r="AS120" s="84"/>
      <c r="AT120" s="82"/>
    </row>
    <row r="121" spans="1:46" ht="13.5" customHeight="1" x14ac:dyDescent="0.3">
      <c r="A121" s="121" t="s">
        <v>711</v>
      </c>
      <c r="B121" s="103">
        <v>116</v>
      </c>
      <c r="C121" s="169" t="s">
        <v>221</v>
      </c>
      <c r="D121" s="121" t="s">
        <v>487</v>
      </c>
      <c r="E121" s="171" t="s">
        <v>488</v>
      </c>
      <c r="F121" s="91"/>
      <c r="G121" s="91" t="s">
        <v>833</v>
      </c>
      <c r="H121" s="91"/>
      <c r="I121" s="91" t="s">
        <v>833</v>
      </c>
      <c r="J121" s="91" t="s">
        <v>833</v>
      </c>
      <c r="K121" s="91"/>
      <c r="L121" s="91"/>
      <c r="M121" s="91"/>
      <c r="N121" s="91" t="s">
        <v>833</v>
      </c>
      <c r="O121" s="91"/>
      <c r="P121" s="91" t="s">
        <v>833</v>
      </c>
      <c r="Q121" s="91" t="s">
        <v>833</v>
      </c>
      <c r="R121" s="91"/>
      <c r="S121" s="91"/>
      <c r="T121" s="91"/>
      <c r="U121" s="91" t="s">
        <v>833</v>
      </c>
      <c r="V121" s="91"/>
      <c r="W121" s="91" t="s">
        <v>833</v>
      </c>
      <c r="X121" s="91" t="s">
        <v>833</v>
      </c>
      <c r="Y121" s="91"/>
      <c r="Z121" s="91"/>
      <c r="AA121" s="91"/>
      <c r="AB121" s="91" t="s">
        <v>833</v>
      </c>
      <c r="AC121" s="91"/>
      <c r="AD121" s="91" t="s">
        <v>833</v>
      </c>
      <c r="AE121" s="91" t="s">
        <v>833</v>
      </c>
      <c r="AF121" s="91"/>
      <c r="AG121" s="91"/>
      <c r="AH121" s="91" t="s">
        <v>833</v>
      </c>
      <c r="AI121" s="91" t="s">
        <v>833</v>
      </c>
      <c r="AJ121" s="91" t="s">
        <v>833</v>
      </c>
      <c r="AK121" s="104">
        <f t="shared" si="15"/>
        <v>15</v>
      </c>
      <c r="AL121" s="105">
        <f t="shared" si="16"/>
        <v>0</v>
      </c>
      <c r="AM121" s="105">
        <f t="shared" si="17"/>
        <v>0</v>
      </c>
      <c r="AN121" s="123">
        <v>45985</v>
      </c>
      <c r="AO121" s="106"/>
      <c r="AP121" s="84"/>
      <c r="AQ121" s="84"/>
      <c r="AR121" s="84"/>
      <c r="AS121" s="84"/>
      <c r="AT121" s="82"/>
    </row>
    <row r="122" spans="1:46" ht="13.5" customHeight="1" x14ac:dyDescent="0.3">
      <c r="A122" s="121" t="s">
        <v>712</v>
      </c>
      <c r="B122" s="103">
        <v>117</v>
      </c>
      <c r="C122" s="169" t="s">
        <v>222</v>
      </c>
      <c r="D122" s="121" t="s">
        <v>489</v>
      </c>
      <c r="E122" s="171" t="s">
        <v>410</v>
      </c>
      <c r="F122" s="91"/>
      <c r="G122" s="91" t="s">
        <v>833</v>
      </c>
      <c r="H122" s="91"/>
      <c r="I122" s="91" t="s">
        <v>833</v>
      </c>
      <c r="J122" s="91" t="s">
        <v>833</v>
      </c>
      <c r="K122" s="91"/>
      <c r="L122" s="91"/>
      <c r="M122" s="91"/>
      <c r="N122" s="91" t="s">
        <v>833</v>
      </c>
      <c r="O122" s="91"/>
      <c r="P122" s="91" t="s">
        <v>833</v>
      </c>
      <c r="Q122" s="91" t="s">
        <v>833</v>
      </c>
      <c r="R122" s="91"/>
      <c r="S122" s="91"/>
      <c r="T122" s="91" t="s">
        <v>833</v>
      </c>
      <c r="U122" s="91" t="s">
        <v>833</v>
      </c>
      <c r="V122" s="91"/>
      <c r="W122" s="91"/>
      <c r="X122" s="91" t="s">
        <v>833</v>
      </c>
      <c r="Y122" s="91"/>
      <c r="Z122" s="91"/>
      <c r="AA122" s="91"/>
      <c r="AB122" s="91" t="s">
        <v>833</v>
      </c>
      <c r="AC122" s="91"/>
      <c r="AD122" s="91" t="s">
        <v>833</v>
      </c>
      <c r="AE122" s="91" t="s">
        <v>833</v>
      </c>
      <c r="AF122" s="91"/>
      <c r="AG122" s="91"/>
      <c r="AH122" s="91"/>
      <c r="AI122" s="91" t="s">
        <v>833</v>
      </c>
      <c r="AJ122" s="91"/>
      <c r="AK122" s="104">
        <f t="shared" si="15"/>
        <v>13</v>
      </c>
      <c r="AL122" s="105">
        <f t="shared" si="16"/>
        <v>0</v>
      </c>
      <c r="AM122" s="105">
        <f t="shared" si="17"/>
        <v>0</v>
      </c>
      <c r="AN122" s="123">
        <v>45985</v>
      </c>
      <c r="AO122" s="106"/>
      <c r="AP122" s="84"/>
      <c r="AQ122" s="84"/>
      <c r="AR122" s="84"/>
      <c r="AS122" s="84"/>
      <c r="AT122" s="82"/>
    </row>
    <row r="123" spans="1:46" ht="13.5" customHeight="1" x14ac:dyDescent="0.3">
      <c r="A123" s="121" t="s">
        <v>713</v>
      </c>
      <c r="B123" s="103">
        <v>118</v>
      </c>
      <c r="C123" s="169" t="s">
        <v>223</v>
      </c>
      <c r="D123" s="121" t="s">
        <v>490</v>
      </c>
      <c r="E123" s="171" t="s">
        <v>390</v>
      </c>
      <c r="F123" s="91"/>
      <c r="G123" s="91"/>
      <c r="H123" s="91"/>
      <c r="I123" s="91"/>
      <c r="J123" s="91" t="s">
        <v>833</v>
      </c>
      <c r="K123" s="91"/>
      <c r="L123" s="91"/>
      <c r="M123" s="91"/>
      <c r="N123" s="91" t="s">
        <v>833</v>
      </c>
      <c r="O123" s="91"/>
      <c r="P123" s="91"/>
      <c r="Q123" s="195" t="s">
        <v>837</v>
      </c>
      <c r="R123" s="91"/>
      <c r="S123" s="91"/>
      <c r="T123" s="91"/>
      <c r="U123" s="91" t="s">
        <v>833</v>
      </c>
      <c r="V123" s="91"/>
      <c r="W123" s="91"/>
      <c r="X123" s="91" t="s">
        <v>833</v>
      </c>
      <c r="Y123" s="91"/>
      <c r="Z123" s="91"/>
      <c r="AA123" s="91"/>
      <c r="AB123" s="91" t="s">
        <v>833</v>
      </c>
      <c r="AC123" s="91"/>
      <c r="AD123" s="91"/>
      <c r="AE123" s="91" t="s">
        <v>833</v>
      </c>
      <c r="AF123" s="91"/>
      <c r="AG123" s="91"/>
      <c r="AH123" s="91"/>
      <c r="AI123" s="91" t="s">
        <v>833</v>
      </c>
      <c r="AJ123" s="91"/>
      <c r="AK123" s="104">
        <f t="shared" si="15"/>
        <v>7</v>
      </c>
      <c r="AL123" s="105">
        <f t="shared" si="16"/>
        <v>1</v>
      </c>
      <c r="AM123" s="105">
        <f t="shared" si="17"/>
        <v>1</v>
      </c>
      <c r="AN123" s="123">
        <v>45985</v>
      </c>
      <c r="AO123" s="106"/>
      <c r="AP123" s="84"/>
      <c r="AQ123" s="84"/>
      <c r="AR123" s="84"/>
      <c r="AS123" s="84"/>
      <c r="AT123" s="82"/>
    </row>
    <row r="124" spans="1:46" ht="13.5" customHeight="1" x14ac:dyDescent="0.3">
      <c r="A124" s="121" t="s">
        <v>825</v>
      </c>
      <c r="B124" s="103">
        <v>119</v>
      </c>
      <c r="C124" s="169" t="s">
        <v>224</v>
      </c>
      <c r="D124" s="121" t="s">
        <v>491</v>
      </c>
      <c r="E124" s="171" t="s">
        <v>492</v>
      </c>
      <c r="F124" s="91" t="s">
        <v>833</v>
      </c>
      <c r="G124" s="91" t="s">
        <v>833</v>
      </c>
      <c r="H124" s="91"/>
      <c r="I124" s="91"/>
      <c r="J124" s="91" t="s">
        <v>833</v>
      </c>
      <c r="K124" s="91"/>
      <c r="L124" s="91"/>
      <c r="M124" s="91" t="s">
        <v>833</v>
      </c>
      <c r="N124" s="91" t="s">
        <v>833</v>
      </c>
      <c r="O124" s="91"/>
      <c r="P124" s="91"/>
      <c r="Q124" s="91" t="s">
        <v>833</v>
      </c>
      <c r="R124" s="91"/>
      <c r="S124" s="91"/>
      <c r="T124" s="91" t="s">
        <v>833</v>
      </c>
      <c r="U124" s="91" t="s">
        <v>833</v>
      </c>
      <c r="V124" s="91"/>
      <c r="W124" s="91"/>
      <c r="X124" s="91" t="s">
        <v>833</v>
      </c>
      <c r="Y124" s="91"/>
      <c r="Z124" s="91"/>
      <c r="AA124" s="91" t="s">
        <v>833</v>
      </c>
      <c r="AB124" s="91" t="s">
        <v>833</v>
      </c>
      <c r="AC124" s="91"/>
      <c r="AD124" s="91"/>
      <c r="AE124" s="91" t="s">
        <v>833</v>
      </c>
      <c r="AF124" s="91"/>
      <c r="AG124" s="91"/>
      <c r="AH124" s="91" t="s">
        <v>833</v>
      </c>
      <c r="AI124" s="91" t="s">
        <v>833</v>
      </c>
      <c r="AJ124" s="91"/>
      <c r="AK124" s="104">
        <f t="shared" si="15"/>
        <v>14</v>
      </c>
      <c r="AL124" s="105">
        <f t="shared" si="16"/>
        <v>0</v>
      </c>
      <c r="AM124" s="105">
        <f t="shared" si="17"/>
        <v>0</v>
      </c>
      <c r="AN124" s="123">
        <v>45985</v>
      </c>
      <c r="AO124" s="106"/>
      <c r="AP124" s="84"/>
      <c r="AQ124" s="84"/>
      <c r="AR124" s="84"/>
      <c r="AS124" s="84"/>
      <c r="AT124" s="82"/>
    </row>
    <row r="125" spans="1:46" ht="13.5" customHeight="1" x14ac:dyDescent="0.3">
      <c r="A125" s="121" t="s">
        <v>714</v>
      </c>
      <c r="B125" s="103">
        <v>120</v>
      </c>
      <c r="C125" s="169" t="s">
        <v>225</v>
      </c>
      <c r="D125" s="121" t="s">
        <v>493</v>
      </c>
      <c r="E125" s="171" t="s">
        <v>494</v>
      </c>
      <c r="F125" s="91"/>
      <c r="G125" s="91"/>
      <c r="H125" s="91" t="s">
        <v>833</v>
      </c>
      <c r="I125" s="91" t="s">
        <v>833</v>
      </c>
      <c r="J125" s="91" t="s">
        <v>833</v>
      </c>
      <c r="K125" s="91"/>
      <c r="L125" s="91"/>
      <c r="M125" s="91"/>
      <c r="N125" s="91"/>
      <c r="O125" s="91" t="s">
        <v>833</v>
      </c>
      <c r="P125" s="91" t="s">
        <v>833</v>
      </c>
      <c r="Q125" s="91" t="s">
        <v>833</v>
      </c>
      <c r="R125" s="91"/>
      <c r="S125" s="91"/>
      <c r="T125" s="91"/>
      <c r="U125" s="91"/>
      <c r="V125" s="91" t="s">
        <v>833</v>
      </c>
      <c r="W125" s="91" t="s">
        <v>833</v>
      </c>
      <c r="X125" s="91" t="s">
        <v>833</v>
      </c>
      <c r="Y125" s="91"/>
      <c r="Z125" s="91"/>
      <c r="AA125" s="91"/>
      <c r="AB125" s="91"/>
      <c r="AC125" s="91" t="s">
        <v>833</v>
      </c>
      <c r="AD125" s="91" t="s">
        <v>833</v>
      </c>
      <c r="AE125" s="91" t="s">
        <v>833</v>
      </c>
      <c r="AF125" s="91"/>
      <c r="AG125" s="91"/>
      <c r="AH125" s="91"/>
      <c r="AI125" s="91"/>
      <c r="AJ125" s="91" t="s">
        <v>833</v>
      </c>
      <c r="AK125" s="104">
        <f t="shared" si="15"/>
        <v>13</v>
      </c>
      <c r="AL125" s="105">
        <f t="shared" si="16"/>
        <v>0</v>
      </c>
      <c r="AM125" s="105">
        <f t="shared" si="17"/>
        <v>0</v>
      </c>
      <c r="AN125" s="123">
        <v>45985</v>
      </c>
      <c r="AO125" s="106"/>
      <c r="AP125" s="84"/>
      <c r="AQ125" s="84"/>
      <c r="AR125" s="84"/>
      <c r="AS125" s="84"/>
      <c r="AT125" s="82"/>
    </row>
    <row r="126" spans="1:46" ht="13.5" customHeight="1" x14ac:dyDescent="0.3">
      <c r="A126" s="121" t="s">
        <v>715</v>
      </c>
      <c r="B126" s="103">
        <v>121</v>
      </c>
      <c r="C126" s="169" t="s">
        <v>226</v>
      </c>
      <c r="D126" s="121" t="s">
        <v>495</v>
      </c>
      <c r="E126" s="171" t="s">
        <v>390</v>
      </c>
      <c r="F126" s="91" t="s">
        <v>833</v>
      </c>
      <c r="G126" s="91"/>
      <c r="H126" s="91" t="s">
        <v>833</v>
      </c>
      <c r="I126" s="91"/>
      <c r="J126" s="91" t="s">
        <v>833</v>
      </c>
      <c r="K126" s="91"/>
      <c r="L126" s="91"/>
      <c r="M126" s="91"/>
      <c r="N126" s="91" t="s">
        <v>833</v>
      </c>
      <c r="O126" s="91" t="s">
        <v>833</v>
      </c>
      <c r="P126" s="91"/>
      <c r="Q126" s="91" t="s">
        <v>833</v>
      </c>
      <c r="R126" s="91"/>
      <c r="S126" s="91"/>
      <c r="T126" s="91"/>
      <c r="U126" s="91" t="s">
        <v>833</v>
      </c>
      <c r="V126" s="91" t="s">
        <v>833</v>
      </c>
      <c r="W126" s="91"/>
      <c r="X126" s="91" t="s">
        <v>833</v>
      </c>
      <c r="Y126" s="91"/>
      <c r="Z126" s="91"/>
      <c r="AA126" s="91"/>
      <c r="AB126" s="91" t="s">
        <v>833</v>
      </c>
      <c r="AC126" s="91" t="s">
        <v>833</v>
      </c>
      <c r="AD126" s="91"/>
      <c r="AE126" s="91" t="s">
        <v>833</v>
      </c>
      <c r="AF126" s="91"/>
      <c r="AG126" s="91"/>
      <c r="AH126" s="91" t="s">
        <v>833</v>
      </c>
      <c r="AI126" s="91"/>
      <c r="AJ126" s="91"/>
      <c r="AK126" s="104">
        <f t="shared" si="15"/>
        <v>13</v>
      </c>
      <c r="AL126" s="105">
        <f t="shared" si="16"/>
        <v>0</v>
      </c>
      <c r="AM126" s="105">
        <f t="shared" si="17"/>
        <v>0</v>
      </c>
      <c r="AN126" s="123">
        <v>45985</v>
      </c>
      <c r="AO126" s="106"/>
      <c r="AP126" s="84"/>
      <c r="AQ126" s="84"/>
      <c r="AR126" s="84"/>
      <c r="AS126" s="84"/>
      <c r="AT126" s="82"/>
    </row>
    <row r="127" spans="1:46" ht="13.5" customHeight="1" x14ac:dyDescent="0.3">
      <c r="A127" s="121" t="s">
        <v>716</v>
      </c>
      <c r="B127" s="103">
        <v>122</v>
      </c>
      <c r="C127" s="169" t="s">
        <v>227</v>
      </c>
      <c r="D127" s="121" t="s">
        <v>496</v>
      </c>
      <c r="E127" s="171" t="s">
        <v>497</v>
      </c>
      <c r="F127" s="91"/>
      <c r="G127" s="91"/>
      <c r="H127" s="91" t="s">
        <v>833</v>
      </c>
      <c r="I127" s="91" t="s">
        <v>833</v>
      </c>
      <c r="J127" s="91" t="s">
        <v>833</v>
      </c>
      <c r="K127" s="91"/>
      <c r="L127" s="91"/>
      <c r="M127" s="91"/>
      <c r="N127" s="91"/>
      <c r="O127" s="91" t="s">
        <v>833</v>
      </c>
      <c r="P127" s="91" t="s">
        <v>833</v>
      </c>
      <c r="Q127" s="91" t="s">
        <v>833</v>
      </c>
      <c r="R127" s="91"/>
      <c r="S127" s="91"/>
      <c r="T127" s="91" t="s">
        <v>833</v>
      </c>
      <c r="U127" s="91"/>
      <c r="V127" s="91" t="s">
        <v>833</v>
      </c>
      <c r="W127" s="91"/>
      <c r="X127" s="91" t="s">
        <v>833</v>
      </c>
      <c r="Y127" s="91"/>
      <c r="Z127" s="91"/>
      <c r="AA127" s="91"/>
      <c r="AB127" s="91"/>
      <c r="AC127" s="91" t="s">
        <v>833</v>
      </c>
      <c r="AD127" s="91" t="s">
        <v>833</v>
      </c>
      <c r="AE127" s="91" t="s">
        <v>833</v>
      </c>
      <c r="AF127" s="91"/>
      <c r="AG127" s="91"/>
      <c r="AH127" s="91" t="s">
        <v>833</v>
      </c>
      <c r="AI127" s="91"/>
      <c r="AJ127" s="195" t="s">
        <v>837</v>
      </c>
      <c r="AK127" s="104">
        <f t="shared" si="15"/>
        <v>13</v>
      </c>
      <c r="AL127" s="105">
        <f t="shared" si="16"/>
        <v>1</v>
      </c>
      <c r="AM127" s="105">
        <f t="shared" si="17"/>
        <v>1</v>
      </c>
      <c r="AN127" s="123">
        <v>45985</v>
      </c>
      <c r="AO127" s="106"/>
      <c r="AP127" s="84"/>
      <c r="AQ127" s="84"/>
      <c r="AR127" s="84"/>
      <c r="AS127" s="84"/>
      <c r="AT127" s="82"/>
    </row>
    <row r="128" spans="1:46" ht="13.5" customHeight="1" x14ac:dyDescent="0.3">
      <c r="A128" s="121" t="s">
        <v>717</v>
      </c>
      <c r="B128" s="103">
        <v>123</v>
      </c>
      <c r="C128" s="169" t="s">
        <v>228</v>
      </c>
      <c r="D128" s="121" t="s">
        <v>498</v>
      </c>
      <c r="E128" s="171" t="s">
        <v>499</v>
      </c>
      <c r="F128" s="91" t="s">
        <v>833</v>
      </c>
      <c r="G128" s="91"/>
      <c r="H128" s="91" t="s">
        <v>833</v>
      </c>
      <c r="I128" s="91"/>
      <c r="J128" s="91"/>
      <c r="K128" s="91" t="s">
        <v>833</v>
      </c>
      <c r="L128" s="91"/>
      <c r="M128" s="91" t="s">
        <v>833</v>
      </c>
      <c r="N128" s="91"/>
      <c r="O128" s="91" t="s">
        <v>833</v>
      </c>
      <c r="P128" s="91"/>
      <c r="Q128" s="91"/>
      <c r="R128" s="91" t="s">
        <v>833</v>
      </c>
      <c r="S128" s="91"/>
      <c r="T128" s="91" t="s">
        <v>833</v>
      </c>
      <c r="U128" s="91"/>
      <c r="V128" s="91" t="s">
        <v>833</v>
      </c>
      <c r="W128" s="91"/>
      <c r="X128" s="91"/>
      <c r="Y128" s="91" t="s">
        <v>833</v>
      </c>
      <c r="Z128" s="91"/>
      <c r="AA128" s="91" t="s">
        <v>833</v>
      </c>
      <c r="AB128" s="91"/>
      <c r="AC128" s="91" t="s">
        <v>833</v>
      </c>
      <c r="AD128" s="91"/>
      <c r="AE128" s="91"/>
      <c r="AF128" s="91" t="s">
        <v>833</v>
      </c>
      <c r="AG128" s="91"/>
      <c r="AH128" s="91" t="s">
        <v>833</v>
      </c>
      <c r="AI128" s="91"/>
      <c r="AJ128" s="91" t="s">
        <v>833</v>
      </c>
      <c r="AK128" s="104">
        <f t="shared" si="15"/>
        <v>14</v>
      </c>
      <c r="AL128" s="105">
        <f t="shared" si="16"/>
        <v>0</v>
      </c>
      <c r="AM128" s="105">
        <f t="shared" si="17"/>
        <v>0</v>
      </c>
      <c r="AN128" s="123">
        <v>45985</v>
      </c>
      <c r="AO128" s="106"/>
      <c r="AP128" s="84"/>
      <c r="AQ128" s="84"/>
      <c r="AR128" s="84"/>
      <c r="AS128" s="84"/>
      <c r="AT128" s="82"/>
    </row>
    <row r="129" spans="1:46" ht="13.5" customHeight="1" x14ac:dyDescent="0.3">
      <c r="A129" s="172" t="s">
        <v>718</v>
      </c>
      <c r="B129" s="103">
        <v>124</v>
      </c>
      <c r="C129" s="170" t="s">
        <v>229</v>
      </c>
      <c r="D129" s="172" t="s">
        <v>498</v>
      </c>
      <c r="E129" s="171" t="s">
        <v>500</v>
      </c>
      <c r="F129" s="91" t="s">
        <v>833</v>
      </c>
      <c r="G129" s="91"/>
      <c r="H129" s="91" t="s">
        <v>833</v>
      </c>
      <c r="I129" s="91"/>
      <c r="J129" s="91" t="s">
        <v>833</v>
      </c>
      <c r="K129" s="91"/>
      <c r="L129" s="91"/>
      <c r="M129" s="91" t="s">
        <v>833</v>
      </c>
      <c r="N129" s="91"/>
      <c r="O129" s="91" t="s">
        <v>833</v>
      </c>
      <c r="P129" s="91"/>
      <c r="Q129" s="195" t="s">
        <v>837</v>
      </c>
      <c r="R129" s="91"/>
      <c r="S129" s="91"/>
      <c r="T129" s="91" t="s">
        <v>833</v>
      </c>
      <c r="U129" s="91"/>
      <c r="V129" s="91" t="s">
        <v>833</v>
      </c>
      <c r="W129" s="91"/>
      <c r="X129" s="91"/>
      <c r="Y129" s="91"/>
      <c r="Z129" s="91"/>
      <c r="AA129" s="195" t="s">
        <v>837</v>
      </c>
      <c r="AB129" s="91"/>
      <c r="AC129" s="91" t="s">
        <v>833</v>
      </c>
      <c r="AD129" s="91"/>
      <c r="AE129" s="91" t="s">
        <v>833</v>
      </c>
      <c r="AF129" s="91"/>
      <c r="AG129" s="91"/>
      <c r="AH129" s="91" t="s">
        <v>833</v>
      </c>
      <c r="AI129" s="91"/>
      <c r="AJ129" s="91" t="s">
        <v>833</v>
      </c>
      <c r="AK129" s="104">
        <f t="shared" si="15"/>
        <v>11</v>
      </c>
      <c r="AL129" s="105">
        <f t="shared" si="16"/>
        <v>2</v>
      </c>
      <c r="AM129" s="105">
        <f t="shared" si="17"/>
        <v>2</v>
      </c>
      <c r="AN129" s="123">
        <v>45987</v>
      </c>
      <c r="AO129" s="106"/>
      <c r="AP129" s="84"/>
      <c r="AQ129" s="84"/>
      <c r="AR129" s="84"/>
      <c r="AS129" s="84"/>
      <c r="AT129" s="82"/>
    </row>
    <row r="130" spans="1:46" ht="13.5" customHeight="1" x14ac:dyDescent="0.3">
      <c r="A130" s="121" t="s">
        <v>719</v>
      </c>
      <c r="B130" s="103">
        <v>125</v>
      </c>
      <c r="C130" s="169" t="s">
        <v>230</v>
      </c>
      <c r="D130" s="121" t="s">
        <v>501</v>
      </c>
      <c r="E130" s="171" t="s">
        <v>443</v>
      </c>
      <c r="F130" s="91" t="s">
        <v>833</v>
      </c>
      <c r="G130" s="91"/>
      <c r="H130" s="91"/>
      <c r="I130" s="91"/>
      <c r="J130" s="91" t="s">
        <v>833</v>
      </c>
      <c r="K130" s="91"/>
      <c r="L130" s="91"/>
      <c r="M130" s="91" t="s">
        <v>833</v>
      </c>
      <c r="N130" s="91"/>
      <c r="O130" s="91"/>
      <c r="P130" s="91"/>
      <c r="Q130" s="91" t="s">
        <v>833</v>
      </c>
      <c r="R130" s="91"/>
      <c r="S130" s="91"/>
      <c r="T130" s="91" t="s">
        <v>833</v>
      </c>
      <c r="U130" s="91"/>
      <c r="V130" s="91"/>
      <c r="W130" s="91"/>
      <c r="X130" s="91" t="s">
        <v>833</v>
      </c>
      <c r="Y130" s="91"/>
      <c r="Z130" s="91"/>
      <c r="AA130" s="91" t="s">
        <v>833</v>
      </c>
      <c r="AB130" s="91"/>
      <c r="AC130" s="91"/>
      <c r="AD130" s="91"/>
      <c r="AE130" s="91" t="s">
        <v>833</v>
      </c>
      <c r="AF130" s="91"/>
      <c r="AG130" s="91"/>
      <c r="AH130" s="91" t="s">
        <v>833</v>
      </c>
      <c r="AI130" s="91"/>
      <c r="AJ130" s="91"/>
      <c r="AK130" s="104">
        <f t="shared" si="15"/>
        <v>9</v>
      </c>
      <c r="AL130" s="105">
        <f t="shared" si="16"/>
        <v>0</v>
      </c>
      <c r="AM130" s="105">
        <f t="shared" si="17"/>
        <v>0</v>
      </c>
      <c r="AN130" s="123">
        <v>45985</v>
      </c>
      <c r="AO130" s="106"/>
      <c r="AP130" s="84"/>
      <c r="AQ130" s="84"/>
      <c r="AR130" s="84"/>
      <c r="AS130" s="84"/>
      <c r="AT130" s="82"/>
    </row>
    <row r="131" spans="1:46" ht="13.5" customHeight="1" x14ac:dyDescent="0.3">
      <c r="A131" s="121" t="s">
        <v>720</v>
      </c>
      <c r="B131" s="103">
        <v>126</v>
      </c>
      <c r="C131" s="169" t="s">
        <v>231</v>
      </c>
      <c r="D131" s="121" t="s">
        <v>502</v>
      </c>
      <c r="E131" s="171" t="s">
        <v>503</v>
      </c>
      <c r="F131" s="91"/>
      <c r="G131" s="91"/>
      <c r="H131" s="91" t="s">
        <v>833</v>
      </c>
      <c r="I131" s="91"/>
      <c r="J131" s="91" t="s">
        <v>833</v>
      </c>
      <c r="K131" s="91"/>
      <c r="L131" s="91"/>
      <c r="M131" s="91" t="s">
        <v>833</v>
      </c>
      <c r="N131" s="91"/>
      <c r="O131" s="91" t="s">
        <v>833</v>
      </c>
      <c r="P131" s="91"/>
      <c r="Q131" s="91" t="s">
        <v>833</v>
      </c>
      <c r="R131" s="91"/>
      <c r="S131" s="91"/>
      <c r="T131" s="91" t="s">
        <v>833</v>
      </c>
      <c r="U131" s="91"/>
      <c r="V131" s="91" t="s">
        <v>833</v>
      </c>
      <c r="W131" s="91"/>
      <c r="X131" s="91" t="s">
        <v>833</v>
      </c>
      <c r="Y131" s="91"/>
      <c r="Z131" s="91"/>
      <c r="AA131" s="91" t="s">
        <v>833</v>
      </c>
      <c r="AB131" s="91"/>
      <c r="AC131" s="91" t="s">
        <v>833</v>
      </c>
      <c r="AD131" s="91"/>
      <c r="AE131" s="91" t="s">
        <v>833</v>
      </c>
      <c r="AF131" s="91"/>
      <c r="AG131" s="91"/>
      <c r="AH131" s="91" t="s">
        <v>833</v>
      </c>
      <c r="AI131" s="91" t="s">
        <v>833</v>
      </c>
      <c r="AJ131" s="91" t="s">
        <v>833</v>
      </c>
      <c r="AK131" s="104">
        <f t="shared" si="15"/>
        <v>14</v>
      </c>
      <c r="AL131" s="105">
        <f t="shared" si="16"/>
        <v>0</v>
      </c>
      <c r="AM131" s="105">
        <f t="shared" si="17"/>
        <v>0</v>
      </c>
      <c r="AN131" s="123">
        <v>45985</v>
      </c>
      <c r="AO131" s="106"/>
      <c r="AP131" s="84"/>
      <c r="AQ131" s="84"/>
      <c r="AR131" s="84"/>
      <c r="AS131" s="84"/>
      <c r="AT131" s="82"/>
    </row>
    <row r="132" spans="1:46" ht="13.5" customHeight="1" x14ac:dyDescent="0.3">
      <c r="A132" s="121" t="s">
        <v>721</v>
      </c>
      <c r="B132" s="103">
        <v>127</v>
      </c>
      <c r="C132" s="169" t="s">
        <v>232</v>
      </c>
      <c r="D132" s="121" t="s">
        <v>502</v>
      </c>
      <c r="E132" s="171" t="s">
        <v>504</v>
      </c>
      <c r="F132" s="91"/>
      <c r="G132" s="91" t="s">
        <v>833</v>
      </c>
      <c r="H132" s="91" t="s">
        <v>833</v>
      </c>
      <c r="I132" s="91"/>
      <c r="J132" s="91" t="s">
        <v>833</v>
      </c>
      <c r="K132" s="91"/>
      <c r="L132" s="91"/>
      <c r="M132" s="91"/>
      <c r="N132" s="91" t="s">
        <v>833</v>
      </c>
      <c r="O132" s="91" t="s">
        <v>833</v>
      </c>
      <c r="P132" s="91"/>
      <c r="Q132" s="91" t="s">
        <v>833</v>
      </c>
      <c r="R132" s="91"/>
      <c r="S132" s="91"/>
      <c r="T132" s="91"/>
      <c r="U132" s="91" t="s">
        <v>833</v>
      </c>
      <c r="V132" s="91" t="s">
        <v>833</v>
      </c>
      <c r="W132" s="91"/>
      <c r="X132" s="91"/>
      <c r="Y132" s="91"/>
      <c r="Z132" s="91"/>
      <c r="AA132" s="91"/>
      <c r="AB132" s="91" t="s">
        <v>833</v>
      </c>
      <c r="AC132" s="91" t="s">
        <v>833</v>
      </c>
      <c r="AD132" s="91"/>
      <c r="AE132" s="91"/>
      <c r="AF132" s="91"/>
      <c r="AG132" s="91"/>
      <c r="AH132" s="91"/>
      <c r="AI132" s="91" t="s">
        <v>833</v>
      </c>
      <c r="AJ132" s="91" t="s">
        <v>833</v>
      </c>
      <c r="AK132" s="104">
        <f t="shared" si="15"/>
        <v>12</v>
      </c>
      <c r="AL132" s="105">
        <f t="shared" si="16"/>
        <v>0</v>
      </c>
      <c r="AM132" s="105">
        <f t="shared" si="17"/>
        <v>0</v>
      </c>
      <c r="AN132" s="123">
        <v>45985</v>
      </c>
      <c r="AO132" s="106"/>
      <c r="AP132" s="84"/>
      <c r="AQ132" s="84"/>
      <c r="AR132" s="84"/>
      <c r="AS132" s="84"/>
      <c r="AT132" s="82"/>
    </row>
    <row r="133" spans="1:46" ht="13.5" customHeight="1" x14ac:dyDescent="0.3">
      <c r="A133" s="121" t="s">
        <v>722</v>
      </c>
      <c r="B133" s="103">
        <v>128</v>
      </c>
      <c r="C133" s="169" t="s">
        <v>233</v>
      </c>
      <c r="D133" s="121" t="s">
        <v>505</v>
      </c>
      <c r="E133" s="171" t="s">
        <v>506</v>
      </c>
      <c r="F133" s="91"/>
      <c r="G133" s="91" t="s">
        <v>833</v>
      </c>
      <c r="H133" s="91" t="s">
        <v>833</v>
      </c>
      <c r="I133" s="91" t="s">
        <v>833</v>
      </c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 t="s">
        <v>833</v>
      </c>
      <c r="V133" s="91" t="s">
        <v>833</v>
      </c>
      <c r="W133" s="91" t="s">
        <v>833</v>
      </c>
      <c r="X133" s="91"/>
      <c r="Y133" s="91"/>
      <c r="Z133" s="91"/>
      <c r="AA133" s="91"/>
      <c r="AB133" s="91" t="s">
        <v>833</v>
      </c>
      <c r="AC133" s="91" t="s">
        <v>833</v>
      </c>
      <c r="AD133" s="91" t="s">
        <v>833</v>
      </c>
      <c r="AE133" s="91"/>
      <c r="AF133" s="91"/>
      <c r="AG133" s="91"/>
      <c r="AH133" s="91"/>
      <c r="AI133" s="91" t="s">
        <v>833</v>
      </c>
      <c r="AJ133" s="91" t="s">
        <v>833</v>
      </c>
      <c r="AK133" s="104">
        <f t="shared" si="15"/>
        <v>11</v>
      </c>
      <c r="AL133" s="105">
        <f t="shared" si="16"/>
        <v>0</v>
      </c>
      <c r="AM133" s="105">
        <f t="shared" si="17"/>
        <v>0</v>
      </c>
      <c r="AN133" s="123">
        <v>45985</v>
      </c>
      <c r="AO133" s="106"/>
      <c r="AP133" s="84"/>
      <c r="AQ133" s="84"/>
      <c r="AR133" s="84"/>
      <c r="AS133" s="84"/>
      <c r="AT133" s="82"/>
    </row>
    <row r="134" spans="1:46" ht="13.5" customHeight="1" x14ac:dyDescent="0.3">
      <c r="A134" s="121" t="s">
        <v>723</v>
      </c>
      <c r="B134" s="103">
        <v>129</v>
      </c>
      <c r="C134" s="169" t="s">
        <v>234</v>
      </c>
      <c r="D134" s="121" t="s">
        <v>507</v>
      </c>
      <c r="E134" s="171" t="s">
        <v>508</v>
      </c>
      <c r="F134" s="91" t="s">
        <v>833</v>
      </c>
      <c r="G134" s="91" t="s">
        <v>833</v>
      </c>
      <c r="H134" s="91" t="s">
        <v>833</v>
      </c>
      <c r="I134" s="91"/>
      <c r="J134" s="91"/>
      <c r="K134" s="91"/>
      <c r="L134" s="91"/>
      <c r="M134" s="91" t="s">
        <v>833</v>
      </c>
      <c r="N134" s="91" t="s">
        <v>833</v>
      </c>
      <c r="O134" s="91" t="s">
        <v>833</v>
      </c>
      <c r="P134" s="91"/>
      <c r="Q134" s="91"/>
      <c r="R134" s="91"/>
      <c r="S134" s="91"/>
      <c r="T134" s="91" t="s">
        <v>833</v>
      </c>
      <c r="U134" s="91" t="s">
        <v>833</v>
      </c>
      <c r="V134" s="91" t="s">
        <v>833</v>
      </c>
      <c r="W134" s="91"/>
      <c r="X134" s="91"/>
      <c r="Y134" s="91"/>
      <c r="Z134" s="91"/>
      <c r="AA134" s="91" t="s">
        <v>833</v>
      </c>
      <c r="AB134" s="91" t="s">
        <v>833</v>
      </c>
      <c r="AC134" s="91" t="s">
        <v>833</v>
      </c>
      <c r="AD134" s="91"/>
      <c r="AE134" s="91"/>
      <c r="AF134" s="91"/>
      <c r="AG134" s="91"/>
      <c r="AH134" s="91"/>
      <c r="AI134" s="91"/>
      <c r="AJ134" s="91"/>
      <c r="AK134" s="104">
        <f t="shared" si="15"/>
        <v>12</v>
      </c>
      <c r="AL134" s="105">
        <f t="shared" si="16"/>
        <v>0</v>
      </c>
      <c r="AM134" s="105">
        <f t="shared" si="17"/>
        <v>0</v>
      </c>
      <c r="AN134" s="123">
        <v>45985</v>
      </c>
      <c r="AO134" s="106"/>
      <c r="AP134" s="84"/>
      <c r="AQ134" s="84"/>
      <c r="AR134" s="84"/>
      <c r="AS134" s="84"/>
      <c r="AT134" s="82"/>
    </row>
    <row r="135" spans="1:46" ht="13.5" customHeight="1" x14ac:dyDescent="0.3">
      <c r="A135" s="121" t="s">
        <v>724</v>
      </c>
      <c r="B135" s="103">
        <v>130</v>
      </c>
      <c r="C135" s="169" t="s">
        <v>235</v>
      </c>
      <c r="D135" s="121" t="s">
        <v>509</v>
      </c>
      <c r="E135" s="171" t="s">
        <v>510</v>
      </c>
      <c r="F135" s="91"/>
      <c r="G135" s="91"/>
      <c r="H135" s="91"/>
      <c r="I135" s="91" t="s">
        <v>833</v>
      </c>
      <c r="J135" s="91" t="s">
        <v>833</v>
      </c>
      <c r="K135" s="91"/>
      <c r="L135" s="91"/>
      <c r="M135" s="91"/>
      <c r="N135" s="91"/>
      <c r="O135" s="91"/>
      <c r="P135" s="91" t="s">
        <v>833</v>
      </c>
      <c r="Q135" s="91" t="s">
        <v>833</v>
      </c>
      <c r="R135" s="91"/>
      <c r="S135" s="91"/>
      <c r="T135" s="91"/>
      <c r="U135" s="91"/>
      <c r="V135" s="91"/>
      <c r="W135" s="91" t="s">
        <v>833</v>
      </c>
      <c r="X135" s="91" t="s">
        <v>833</v>
      </c>
      <c r="Y135" s="91"/>
      <c r="Z135" s="91"/>
      <c r="AA135" s="91" t="s">
        <v>833</v>
      </c>
      <c r="AB135" s="91"/>
      <c r="AC135" s="91" t="s">
        <v>833</v>
      </c>
      <c r="AD135" s="91" t="s">
        <v>833</v>
      </c>
      <c r="AE135" s="91"/>
      <c r="AF135" s="91"/>
      <c r="AG135" s="91"/>
      <c r="AH135" s="91" t="s">
        <v>833</v>
      </c>
      <c r="AI135" s="91"/>
      <c r="AJ135" s="91" t="s">
        <v>833</v>
      </c>
      <c r="AK135" s="104">
        <f t="shared" si="15"/>
        <v>11</v>
      </c>
      <c r="AL135" s="105">
        <f t="shared" si="16"/>
        <v>0</v>
      </c>
      <c r="AM135" s="105">
        <f t="shared" si="17"/>
        <v>0</v>
      </c>
      <c r="AN135" s="123">
        <v>45985</v>
      </c>
      <c r="AO135" s="106"/>
      <c r="AP135" s="84"/>
      <c r="AQ135" s="84"/>
      <c r="AR135" s="84"/>
      <c r="AS135" s="84"/>
      <c r="AT135" s="82"/>
    </row>
    <row r="136" spans="1:46" ht="13.5" customHeight="1" x14ac:dyDescent="0.3">
      <c r="A136" s="121" t="s">
        <v>725</v>
      </c>
      <c r="B136" s="103">
        <v>131</v>
      </c>
      <c r="C136" s="169" t="s">
        <v>236</v>
      </c>
      <c r="D136" s="121" t="s">
        <v>511</v>
      </c>
      <c r="E136" s="171" t="s">
        <v>512</v>
      </c>
      <c r="F136" s="91" t="s">
        <v>833</v>
      </c>
      <c r="G136" s="91"/>
      <c r="H136" s="91"/>
      <c r="I136" s="91"/>
      <c r="J136" s="91" t="s">
        <v>833</v>
      </c>
      <c r="K136" s="91"/>
      <c r="L136" s="91"/>
      <c r="M136" s="91" t="s">
        <v>833</v>
      </c>
      <c r="N136" s="91"/>
      <c r="O136" s="91"/>
      <c r="P136" s="91"/>
      <c r="Q136" s="91" t="s">
        <v>833</v>
      </c>
      <c r="R136" s="91"/>
      <c r="S136" s="91"/>
      <c r="T136" s="91" t="s">
        <v>833</v>
      </c>
      <c r="U136" s="91"/>
      <c r="V136" s="91"/>
      <c r="W136" s="91"/>
      <c r="X136" s="91" t="s">
        <v>833</v>
      </c>
      <c r="Y136" s="91"/>
      <c r="Z136" s="91"/>
      <c r="AA136" s="91" t="s">
        <v>833</v>
      </c>
      <c r="AB136" s="91"/>
      <c r="AC136" s="91"/>
      <c r="AD136" s="91"/>
      <c r="AE136" s="91" t="s">
        <v>833</v>
      </c>
      <c r="AF136" s="91"/>
      <c r="AG136" s="91"/>
      <c r="AH136" s="91" t="s">
        <v>833</v>
      </c>
      <c r="AI136" s="91"/>
      <c r="AJ136" s="91"/>
      <c r="AK136" s="104">
        <f t="shared" si="15"/>
        <v>9</v>
      </c>
      <c r="AL136" s="105">
        <f t="shared" si="16"/>
        <v>0</v>
      </c>
      <c r="AM136" s="105">
        <f t="shared" si="17"/>
        <v>0</v>
      </c>
      <c r="AN136" s="123">
        <v>45985</v>
      </c>
      <c r="AO136" s="106"/>
      <c r="AP136" s="84"/>
      <c r="AQ136" s="84"/>
      <c r="AR136" s="84"/>
      <c r="AS136" s="84"/>
      <c r="AT136" s="82"/>
    </row>
    <row r="137" spans="1:46" ht="13.5" customHeight="1" x14ac:dyDescent="0.3">
      <c r="A137" s="121" t="s">
        <v>726</v>
      </c>
      <c r="B137" s="103">
        <v>132</v>
      </c>
      <c r="C137" s="169" t="s">
        <v>237</v>
      </c>
      <c r="D137" s="121" t="s">
        <v>513</v>
      </c>
      <c r="E137" s="171" t="s">
        <v>339</v>
      </c>
      <c r="F137" s="91"/>
      <c r="G137" s="91"/>
      <c r="H137" s="91" t="s">
        <v>833</v>
      </c>
      <c r="I137" s="91" t="s">
        <v>833</v>
      </c>
      <c r="J137" s="91" t="s">
        <v>833</v>
      </c>
      <c r="K137" s="91"/>
      <c r="L137" s="91"/>
      <c r="M137" s="91"/>
      <c r="N137" s="91"/>
      <c r="O137" s="91" t="s">
        <v>833</v>
      </c>
      <c r="P137" s="91" t="s">
        <v>833</v>
      </c>
      <c r="Q137" s="91" t="s">
        <v>833</v>
      </c>
      <c r="R137" s="91"/>
      <c r="S137" s="91"/>
      <c r="T137" s="91"/>
      <c r="U137" s="91"/>
      <c r="V137" s="91" t="s">
        <v>833</v>
      </c>
      <c r="W137" s="91" t="s">
        <v>833</v>
      </c>
      <c r="X137" s="91" t="s">
        <v>833</v>
      </c>
      <c r="Y137" s="91"/>
      <c r="Z137" s="91"/>
      <c r="AA137" s="91"/>
      <c r="AB137" s="91"/>
      <c r="AC137" s="91" t="s">
        <v>833</v>
      </c>
      <c r="AD137" s="91" t="s">
        <v>833</v>
      </c>
      <c r="AE137" s="91" t="s">
        <v>833</v>
      </c>
      <c r="AF137" s="91"/>
      <c r="AG137" s="91"/>
      <c r="AH137" s="91"/>
      <c r="AI137" s="91"/>
      <c r="AJ137" s="91" t="s">
        <v>833</v>
      </c>
      <c r="AK137" s="104">
        <f t="shared" si="15"/>
        <v>13</v>
      </c>
      <c r="AL137" s="105">
        <f t="shared" si="16"/>
        <v>0</v>
      </c>
      <c r="AM137" s="105">
        <f t="shared" si="17"/>
        <v>0</v>
      </c>
      <c r="AN137" s="123">
        <v>45985</v>
      </c>
      <c r="AO137" s="106"/>
      <c r="AP137" s="84"/>
      <c r="AQ137" s="84"/>
      <c r="AR137" s="84"/>
      <c r="AS137" s="84"/>
      <c r="AT137" s="82"/>
    </row>
    <row r="138" spans="1:46" ht="13.5" customHeight="1" x14ac:dyDescent="0.3">
      <c r="A138" s="121" t="s">
        <v>727</v>
      </c>
      <c r="B138" s="103">
        <v>133</v>
      </c>
      <c r="C138" s="169" t="s">
        <v>238</v>
      </c>
      <c r="D138" s="121" t="s">
        <v>514</v>
      </c>
      <c r="E138" s="171" t="s">
        <v>515</v>
      </c>
      <c r="F138" s="91"/>
      <c r="G138" s="91"/>
      <c r="H138" s="91"/>
      <c r="I138" s="91"/>
      <c r="J138" s="91"/>
      <c r="K138" s="91" t="s">
        <v>833</v>
      </c>
      <c r="L138" s="91"/>
      <c r="M138" s="91"/>
      <c r="N138" s="91" t="s">
        <v>833</v>
      </c>
      <c r="O138" s="91"/>
      <c r="P138" s="91"/>
      <c r="Q138" s="91" t="s">
        <v>833</v>
      </c>
      <c r="R138" s="91" t="s">
        <v>833</v>
      </c>
      <c r="S138" s="91"/>
      <c r="T138" s="91"/>
      <c r="U138" s="91" t="s">
        <v>833</v>
      </c>
      <c r="V138" s="91"/>
      <c r="W138" s="91"/>
      <c r="X138" s="91" t="s">
        <v>833</v>
      </c>
      <c r="Y138" s="91" t="s">
        <v>833</v>
      </c>
      <c r="Z138" s="91"/>
      <c r="AA138" s="91"/>
      <c r="AB138" s="91" t="s">
        <v>833</v>
      </c>
      <c r="AC138" s="91"/>
      <c r="AD138" s="91"/>
      <c r="AE138" s="91" t="s">
        <v>833</v>
      </c>
      <c r="AF138" s="91" t="s">
        <v>833</v>
      </c>
      <c r="AG138" s="91"/>
      <c r="AH138" s="91"/>
      <c r="AI138" s="91" t="s">
        <v>833</v>
      </c>
      <c r="AJ138" s="91"/>
      <c r="AK138" s="104">
        <f t="shared" si="15"/>
        <v>11</v>
      </c>
      <c r="AL138" s="105">
        <f t="shared" si="16"/>
        <v>0</v>
      </c>
      <c r="AM138" s="105">
        <f t="shared" si="17"/>
        <v>0</v>
      </c>
      <c r="AN138" s="123">
        <v>45985</v>
      </c>
      <c r="AO138" s="106"/>
      <c r="AP138" s="84"/>
      <c r="AQ138" s="84"/>
      <c r="AR138" s="84"/>
      <c r="AS138" s="84"/>
      <c r="AT138" s="82"/>
    </row>
    <row r="139" spans="1:46" ht="13.5" customHeight="1" x14ac:dyDescent="0.3">
      <c r="A139" s="121" t="s">
        <v>728</v>
      </c>
      <c r="B139" s="103">
        <v>134</v>
      </c>
      <c r="C139" s="169" t="s">
        <v>239</v>
      </c>
      <c r="D139" s="121" t="s">
        <v>514</v>
      </c>
      <c r="E139" s="171" t="s">
        <v>516</v>
      </c>
      <c r="F139" s="91" t="s">
        <v>833</v>
      </c>
      <c r="G139" s="91" t="s">
        <v>833</v>
      </c>
      <c r="H139" s="91"/>
      <c r="I139" s="91"/>
      <c r="J139" s="91" t="s">
        <v>833</v>
      </c>
      <c r="K139" s="91"/>
      <c r="L139" s="91"/>
      <c r="M139" s="91" t="s">
        <v>833</v>
      </c>
      <c r="N139" s="91" t="s">
        <v>833</v>
      </c>
      <c r="O139" s="91"/>
      <c r="P139" s="91"/>
      <c r="Q139" s="91" t="s">
        <v>833</v>
      </c>
      <c r="R139" s="91"/>
      <c r="S139" s="91"/>
      <c r="T139" s="91" t="s">
        <v>833</v>
      </c>
      <c r="U139" s="91" t="s">
        <v>833</v>
      </c>
      <c r="V139" s="91"/>
      <c r="W139" s="91"/>
      <c r="X139" s="91" t="s">
        <v>833</v>
      </c>
      <c r="Y139" s="91"/>
      <c r="Z139" s="91"/>
      <c r="AA139" s="91" t="s">
        <v>833</v>
      </c>
      <c r="AB139" s="91" t="s">
        <v>833</v>
      </c>
      <c r="AC139" s="91"/>
      <c r="AD139" s="91"/>
      <c r="AE139" s="91" t="s">
        <v>833</v>
      </c>
      <c r="AF139" s="91"/>
      <c r="AG139" s="91"/>
      <c r="AH139" s="91" t="s">
        <v>833</v>
      </c>
      <c r="AI139" s="91" t="s">
        <v>833</v>
      </c>
      <c r="AJ139" s="91"/>
      <c r="AK139" s="104">
        <f t="shared" si="15"/>
        <v>14</v>
      </c>
      <c r="AL139" s="105">
        <f t="shared" si="16"/>
        <v>0</v>
      </c>
      <c r="AM139" s="105">
        <f t="shared" si="17"/>
        <v>0</v>
      </c>
      <c r="AN139" s="123">
        <v>45985</v>
      </c>
      <c r="AO139" s="106"/>
      <c r="AP139" s="84"/>
      <c r="AQ139" s="84"/>
      <c r="AR139" s="84"/>
      <c r="AS139" s="84"/>
      <c r="AT139" s="83"/>
    </row>
    <row r="140" spans="1:46" ht="13.5" customHeight="1" x14ac:dyDescent="0.3">
      <c r="A140" s="121" t="s">
        <v>729</v>
      </c>
      <c r="B140" s="103">
        <v>135</v>
      </c>
      <c r="C140" s="169" t="s">
        <v>240</v>
      </c>
      <c r="D140" s="121" t="s">
        <v>517</v>
      </c>
      <c r="E140" s="171" t="s">
        <v>364</v>
      </c>
      <c r="F140" s="91" t="s">
        <v>833</v>
      </c>
      <c r="G140" s="91" t="s">
        <v>833</v>
      </c>
      <c r="H140" s="91" t="s">
        <v>833</v>
      </c>
      <c r="I140" s="91"/>
      <c r="J140" s="91"/>
      <c r="K140" s="91"/>
      <c r="L140" s="91"/>
      <c r="M140" s="91" t="s">
        <v>833</v>
      </c>
      <c r="N140" s="91" t="s">
        <v>833</v>
      </c>
      <c r="O140" s="91" t="s">
        <v>833</v>
      </c>
      <c r="P140" s="91"/>
      <c r="Q140" s="91"/>
      <c r="R140" s="91"/>
      <c r="S140" s="91"/>
      <c r="T140" s="91" t="s">
        <v>833</v>
      </c>
      <c r="U140" s="91" t="s">
        <v>833</v>
      </c>
      <c r="V140" s="91" t="s">
        <v>833</v>
      </c>
      <c r="W140" s="91"/>
      <c r="X140" s="91"/>
      <c r="Y140" s="91"/>
      <c r="Z140" s="91"/>
      <c r="AA140" s="91" t="s">
        <v>833</v>
      </c>
      <c r="AB140" s="91" t="s">
        <v>833</v>
      </c>
      <c r="AC140" s="91" t="s">
        <v>833</v>
      </c>
      <c r="AD140" s="91"/>
      <c r="AE140" s="91"/>
      <c r="AF140" s="91"/>
      <c r="AG140" s="91"/>
      <c r="AH140" s="195" t="s">
        <v>837</v>
      </c>
      <c r="AI140" s="195" t="s">
        <v>837</v>
      </c>
      <c r="AJ140" s="195" t="s">
        <v>837</v>
      </c>
      <c r="AK140" s="104">
        <f t="shared" si="15"/>
        <v>12</v>
      </c>
      <c r="AL140" s="105">
        <f t="shared" si="16"/>
        <v>3</v>
      </c>
      <c r="AM140" s="105">
        <f t="shared" si="17"/>
        <v>3</v>
      </c>
      <c r="AN140" s="123">
        <v>45985</v>
      </c>
      <c r="AO140" s="106"/>
      <c r="AP140" s="84"/>
      <c r="AQ140" s="84"/>
      <c r="AR140" s="84"/>
      <c r="AS140" s="84"/>
      <c r="AT140" s="82"/>
    </row>
    <row r="141" spans="1:46" ht="13.5" customHeight="1" x14ac:dyDescent="0.3">
      <c r="A141" s="121" t="s">
        <v>730</v>
      </c>
      <c r="B141" s="103">
        <v>136</v>
      </c>
      <c r="C141" s="169" t="s">
        <v>241</v>
      </c>
      <c r="D141" s="121" t="s">
        <v>518</v>
      </c>
      <c r="E141" s="171" t="s">
        <v>519</v>
      </c>
      <c r="F141" s="91" t="s">
        <v>833</v>
      </c>
      <c r="G141" s="91" t="s">
        <v>833</v>
      </c>
      <c r="H141" s="91"/>
      <c r="I141" s="91"/>
      <c r="J141" s="91" t="s">
        <v>833</v>
      </c>
      <c r="K141" s="91"/>
      <c r="L141" s="91"/>
      <c r="M141" s="91" t="s">
        <v>833</v>
      </c>
      <c r="N141" s="91" t="s">
        <v>833</v>
      </c>
      <c r="O141" s="91"/>
      <c r="P141" s="91"/>
      <c r="Q141" s="91" t="s">
        <v>833</v>
      </c>
      <c r="R141" s="91"/>
      <c r="S141" s="91"/>
      <c r="T141" s="91" t="s">
        <v>833</v>
      </c>
      <c r="U141" s="91" t="s">
        <v>833</v>
      </c>
      <c r="V141" s="91"/>
      <c r="W141" s="91"/>
      <c r="X141" s="91" t="s">
        <v>833</v>
      </c>
      <c r="Y141" s="91"/>
      <c r="Z141" s="91"/>
      <c r="AA141" s="196" t="s">
        <v>836</v>
      </c>
      <c r="AB141" s="91" t="s">
        <v>833</v>
      </c>
      <c r="AC141" s="91"/>
      <c r="AD141" s="91"/>
      <c r="AE141" s="91" t="s">
        <v>833</v>
      </c>
      <c r="AF141" s="91"/>
      <c r="AG141" s="91"/>
      <c r="AH141" s="91" t="s">
        <v>833</v>
      </c>
      <c r="AI141" s="91" t="s">
        <v>833</v>
      </c>
      <c r="AJ141" s="91"/>
      <c r="AK141" s="104">
        <f t="shared" si="15"/>
        <v>13</v>
      </c>
      <c r="AL141" s="105">
        <f t="shared" si="16"/>
        <v>1</v>
      </c>
      <c r="AM141" s="105">
        <f t="shared" si="17"/>
        <v>0</v>
      </c>
      <c r="AN141" s="123">
        <v>45985</v>
      </c>
      <c r="AO141" s="106"/>
      <c r="AP141" s="84"/>
      <c r="AQ141" s="84"/>
      <c r="AR141" s="84"/>
      <c r="AS141" s="84"/>
      <c r="AT141" s="82"/>
    </row>
    <row r="142" spans="1:46" ht="13.5" customHeight="1" x14ac:dyDescent="0.3">
      <c r="A142" s="121" t="s">
        <v>731</v>
      </c>
      <c r="B142" s="103">
        <v>137</v>
      </c>
      <c r="C142" s="169" t="s">
        <v>242</v>
      </c>
      <c r="D142" s="121" t="s">
        <v>518</v>
      </c>
      <c r="E142" s="171" t="s">
        <v>520</v>
      </c>
      <c r="F142" s="91" t="s">
        <v>833</v>
      </c>
      <c r="G142" s="91"/>
      <c r="H142" s="91"/>
      <c r="I142" s="91"/>
      <c r="J142" s="91"/>
      <c r="K142" s="91" t="s">
        <v>833</v>
      </c>
      <c r="L142" s="91" t="s">
        <v>833</v>
      </c>
      <c r="M142" s="91" t="s">
        <v>833</v>
      </c>
      <c r="N142" s="91"/>
      <c r="O142" s="91"/>
      <c r="P142" s="91"/>
      <c r="Q142" s="91"/>
      <c r="R142" s="91" t="s">
        <v>833</v>
      </c>
      <c r="S142" s="91" t="s">
        <v>833</v>
      </c>
      <c r="T142" s="91" t="s">
        <v>833</v>
      </c>
      <c r="U142" s="91"/>
      <c r="V142" s="91"/>
      <c r="W142" s="91"/>
      <c r="X142" s="91"/>
      <c r="Y142" s="91" t="s">
        <v>833</v>
      </c>
      <c r="Z142" s="91" t="s">
        <v>833</v>
      </c>
      <c r="AA142" s="91" t="s">
        <v>833</v>
      </c>
      <c r="AB142" s="91"/>
      <c r="AC142" s="91"/>
      <c r="AD142" s="91"/>
      <c r="AE142" s="91"/>
      <c r="AF142" s="91" t="s">
        <v>833</v>
      </c>
      <c r="AG142" s="91" t="s">
        <v>833</v>
      </c>
      <c r="AH142" s="91" t="s">
        <v>833</v>
      </c>
      <c r="AI142" s="91"/>
      <c r="AJ142" s="91"/>
      <c r="AK142" s="104">
        <f t="shared" si="15"/>
        <v>13</v>
      </c>
      <c r="AL142" s="105">
        <f t="shared" si="16"/>
        <v>0</v>
      </c>
      <c r="AM142" s="105">
        <f t="shared" si="17"/>
        <v>0</v>
      </c>
      <c r="AN142" s="123">
        <v>45985</v>
      </c>
      <c r="AO142" s="106"/>
      <c r="AP142" s="84"/>
      <c r="AQ142" s="84"/>
      <c r="AR142" s="84"/>
      <c r="AS142" s="84"/>
      <c r="AT142" s="82"/>
    </row>
    <row r="143" spans="1:46" ht="13.5" customHeight="1" x14ac:dyDescent="0.3">
      <c r="A143" s="121" t="s">
        <v>732</v>
      </c>
      <c r="B143" s="103">
        <v>138</v>
      </c>
      <c r="C143" s="169" t="s">
        <v>243</v>
      </c>
      <c r="D143" s="121" t="s">
        <v>783</v>
      </c>
      <c r="E143" s="171" t="s">
        <v>521</v>
      </c>
      <c r="F143" s="91"/>
      <c r="G143" s="91"/>
      <c r="H143" s="91" t="s">
        <v>833</v>
      </c>
      <c r="I143" s="91" t="s">
        <v>833</v>
      </c>
      <c r="J143" s="91"/>
      <c r="K143" s="91"/>
      <c r="L143" s="91" t="s">
        <v>833</v>
      </c>
      <c r="M143" s="91"/>
      <c r="N143" s="91"/>
      <c r="O143" s="91" t="s">
        <v>833</v>
      </c>
      <c r="P143" s="91" t="s">
        <v>833</v>
      </c>
      <c r="Q143" s="91"/>
      <c r="R143" s="91"/>
      <c r="S143" s="91" t="s">
        <v>833</v>
      </c>
      <c r="T143" s="91"/>
      <c r="U143" s="91"/>
      <c r="V143" s="91" t="s">
        <v>833</v>
      </c>
      <c r="W143" s="91" t="s">
        <v>833</v>
      </c>
      <c r="X143" s="91"/>
      <c r="Y143" s="91"/>
      <c r="Z143" s="91" t="s">
        <v>833</v>
      </c>
      <c r="AA143" s="91"/>
      <c r="AB143" s="91"/>
      <c r="AC143" s="91" t="s">
        <v>833</v>
      </c>
      <c r="AD143" s="91" t="s">
        <v>833</v>
      </c>
      <c r="AE143" s="91"/>
      <c r="AF143" s="91"/>
      <c r="AG143" s="91" t="s">
        <v>833</v>
      </c>
      <c r="AH143" s="91"/>
      <c r="AI143" s="91"/>
      <c r="AJ143" s="91" t="s">
        <v>833</v>
      </c>
      <c r="AK143" s="104">
        <f t="shared" si="15"/>
        <v>13</v>
      </c>
      <c r="AL143" s="105">
        <f t="shared" si="16"/>
        <v>0</v>
      </c>
      <c r="AM143" s="105">
        <f t="shared" si="17"/>
        <v>0</v>
      </c>
      <c r="AN143" s="123">
        <v>45985</v>
      </c>
      <c r="AO143" s="106"/>
      <c r="AP143" s="84"/>
      <c r="AQ143" s="84"/>
      <c r="AR143" s="84"/>
      <c r="AS143" s="84"/>
      <c r="AT143" s="82"/>
    </row>
    <row r="144" spans="1:46" ht="13.5" customHeight="1" x14ac:dyDescent="0.3">
      <c r="A144" s="121" t="s">
        <v>733</v>
      </c>
      <c r="B144" s="103">
        <v>139</v>
      </c>
      <c r="C144" s="169" t="s">
        <v>244</v>
      </c>
      <c r="D144" s="121" t="s">
        <v>522</v>
      </c>
      <c r="E144" s="171" t="s">
        <v>523</v>
      </c>
      <c r="F144" s="91"/>
      <c r="G144" s="91" t="s">
        <v>833</v>
      </c>
      <c r="H144" s="91"/>
      <c r="I144" s="91" t="s">
        <v>833</v>
      </c>
      <c r="J144" s="91" t="s">
        <v>833</v>
      </c>
      <c r="K144" s="91"/>
      <c r="L144" s="91"/>
      <c r="M144" s="91"/>
      <c r="N144" s="91" t="s">
        <v>833</v>
      </c>
      <c r="O144" s="91"/>
      <c r="P144" s="91" t="s">
        <v>833</v>
      </c>
      <c r="Q144" s="91" t="s">
        <v>833</v>
      </c>
      <c r="R144" s="91"/>
      <c r="S144" s="91"/>
      <c r="T144" s="91"/>
      <c r="U144" s="91" t="s">
        <v>833</v>
      </c>
      <c r="V144" s="91"/>
      <c r="W144" s="91" t="s">
        <v>833</v>
      </c>
      <c r="X144" s="91" t="s">
        <v>833</v>
      </c>
      <c r="Y144" s="91"/>
      <c r="Z144" s="91"/>
      <c r="AA144" s="91"/>
      <c r="AB144" s="91" t="s">
        <v>833</v>
      </c>
      <c r="AC144" s="91"/>
      <c r="AD144" s="91" t="s">
        <v>833</v>
      </c>
      <c r="AE144" s="91" t="s">
        <v>833</v>
      </c>
      <c r="AF144" s="91"/>
      <c r="AG144" s="91"/>
      <c r="AH144" s="91"/>
      <c r="AI144" s="91"/>
      <c r="AJ144" s="91"/>
      <c r="AK144" s="104">
        <f t="shared" si="15"/>
        <v>12</v>
      </c>
      <c r="AL144" s="105">
        <f t="shared" si="16"/>
        <v>0</v>
      </c>
      <c r="AM144" s="105">
        <f t="shared" si="17"/>
        <v>0</v>
      </c>
      <c r="AN144" s="123">
        <v>45985</v>
      </c>
      <c r="AO144" s="106"/>
      <c r="AP144" s="84"/>
      <c r="AQ144" s="84"/>
      <c r="AR144" s="84"/>
      <c r="AS144" s="84"/>
      <c r="AT144" s="82"/>
    </row>
    <row r="145" spans="1:46" ht="13.5" customHeight="1" x14ac:dyDescent="0.3">
      <c r="A145" s="121" t="s">
        <v>734</v>
      </c>
      <c r="B145" s="103">
        <v>140</v>
      </c>
      <c r="C145" s="169" t="s">
        <v>245</v>
      </c>
      <c r="D145" s="121" t="s">
        <v>524</v>
      </c>
      <c r="E145" s="171" t="s">
        <v>519</v>
      </c>
      <c r="F145" s="91"/>
      <c r="G145" s="91" t="s">
        <v>833</v>
      </c>
      <c r="H145" s="91" t="s">
        <v>833</v>
      </c>
      <c r="I145" s="91"/>
      <c r="J145" s="91" t="s">
        <v>833</v>
      </c>
      <c r="K145" s="91"/>
      <c r="L145" s="91"/>
      <c r="M145" s="91"/>
      <c r="N145" s="91" t="s">
        <v>833</v>
      </c>
      <c r="O145" s="91" t="s">
        <v>833</v>
      </c>
      <c r="P145" s="91"/>
      <c r="Q145" s="91" t="s">
        <v>833</v>
      </c>
      <c r="R145" s="91"/>
      <c r="S145" s="91"/>
      <c r="T145" s="91"/>
      <c r="U145" s="91" t="s">
        <v>833</v>
      </c>
      <c r="V145" s="91" t="s">
        <v>833</v>
      </c>
      <c r="W145" s="91"/>
      <c r="X145" s="91" t="s">
        <v>833</v>
      </c>
      <c r="Y145" s="91"/>
      <c r="Z145" s="91"/>
      <c r="AA145" s="91"/>
      <c r="AB145" s="91" t="s">
        <v>833</v>
      </c>
      <c r="AC145" s="91" t="s">
        <v>833</v>
      </c>
      <c r="AD145" s="91"/>
      <c r="AE145" s="91" t="s">
        <v>833</v>
      </c>
      <c r="AF145" s="91"/>
      <c r="AG145" s="91"/>
      <c r="AH145" s="91"/>
      <c r="AI145" s="91" t="s">
        <v>833</v>
      </c>
      <c r="AJ145" s="91" t="s">
        <v>833</v>
      </c>
      <c r="AK145" s="104">
        <f t="shared" si="15"/>
        <v>14</v>
      </c>
      <c r="AL145" s="105">
        <f t="shared" si="16"/>
        <v>0</v>
      </c>
      <c r="AM145" s="105">
        <f t="shared" si="17"/>
        <v>0</v>
      </c>
      <c r="AN145" s="123">
        <v>45985</v>
      </c>
      <c r="AO145" s="106"/>
      <c r="AP145" s="84"/>
      <c r="AQ145" s="84"/>
      <c r="AR145" s="84"/>
      <c r="AS145" s="84"/>
      <c r="AT145" s="82"/>
    </row>
    <row r="146" spans="1:46" ht="13.5" customHeight="1" x14ac:dyDescent="0.3">
      <c r="A146" s="121" t="s">
        <v>735</v>
      </c>
      <c r="B146" s="103">
        <v>141</v>
      </c>
      <c r="C146" s="169" t="s">
        <v>246</v>
      </c>
      <c r="D146" s="121" t="s">
        <v>525</v>
      </c>
      <c r="E146" s="171" t="s">
        <v>386</v>
      </c>
      <c r="F146" s="91"/>
      <c r="G146" s="91"/>
      <c r="H146" s="91" t="s">
        <v>833</v>
      </c>
      <c r="I146" s="91" t="s">
        <v>833</v>
      </c>
      <c r="J146" s="91" t="s">
        <v>833</v>
      </c>
      <c r="K146" s="91"/>
      <c r="L146" s="91"/>
      <c r="M146" s="91"/>
      <c r="N146" s="91"/>
      <c r="O146" s="91" t="s">
        <v>833</v>
      </c>
      <c r="P146" s="91" t="s">
        <v>833</v>
      </c>
      <c r="Q146" s="91" t="s">
        <v>833</v>
      </c>
      <c r="R146" s="91"/>
      <c r="S146" s="91"/>
      <c r="T146" s="91"/>
      <c r="U146" s="91"/>
      <c r="V146" s="91" t="s">
        <v>833</v>
      </c>
      <c r="W146" s="91" t="s">
        <v>833</v>
      </c>
      <c r="X146" s="91" t="s">
        <v>833</v>
      </c>
      <c r="Y146" s="91"/>
      <c r="Z146" s="91"/>
      <c r="AA146" s="91"/>
      <c r="AB146" s="91"/>
      <c r="AC146" s="91" t="s">
        <v>833</v>
      </c>
      <c r="AD146" s="91" t="s">
        <v>833</v>
      </c>
      <c r="AE146" s="91" t="s">
        <v>833</v>
      </c>
      <c r="AF146" s="91"/>
      <c r="AG146" s="91"/>
      <c r="AH146" s="91"/>
      <c r="AI146" s="91"/>
      <c r="AJ146" s="91" t="s">
        <v>833</v>
      </c>
      <c r="AK146" s="104">
        <f t="shared" si="15"/>
        <v>13</v>
      </c>
      <c r="AL146" s="105">
        <f t="shared" si="16"/>
        <v>0</v>
      </c>
      <c r="AM146" s="105">
        <f t="shared" si="17"/>
        <v>0</v>
      </c>
      <c r="AN146" s="123">
        <v>45985</v>
      </c>
      <c r="AO146" s="106"/>
      <c r="AP146" s="84"/>
      <c r="AQ146" s="84"/>
      <c r="AR146" s="84"/>
      <c r="AS146" s="84"/>
      <c r="AT146" s="82"/>
    </row>
    <row r="147" spans="1:46" ht="13.5" customHeight="1" x14ac:dyDescent="0.3">
      <c r="A147" s="121" t="s">
        <v>736</v>
      </c>
      <c r="B147" s="103">
        <v>142</v>
      </c>
      <c r="C147" s="169" t="s">
        <v>247</v>
      </c>
      <c r="D147" s="121" t="s">
        <v>526</v>
      </c>
      <c r="E147" s="171" t="s">
        <v>412</v>
      </c>
      <c r="F147" s="91"/>
      <c r="G147" s="91"/>
      <c r="H147" s="91" t="s">
        <v>833</v>
      </c>
      <c r="I147" s="91"/>
      <c r="J147" s="91" t="s">
        <v>833</v>
      </c>
      <c r="K147" s="91"/>
      <c r="L147" s="91"/>
      <c r="M147" s="91"/>
      <c r="N147" s="91"/>
      <c r="O147" s="91" t="s">
        <v>833</v>
      </c>
      <c r="P147" s="91"/>
      <c r="Q147" s="91" t="s">
        <v>833</v>
      </c>
      <c r="R147" s="91"/>
      <c r="S147" s="91"/>
      <c r="T147" s="91"/>
      <c r="U147" s="91"/>
      <c r="V147" s="91" t="s">
        <v>833</v>
      </c>
      <c r="W147" s="91"/>
      <c r="X147" s="91"/>
      <c r="Y147" s="91"/>
      <c r="Z147" s="91"/>
      <c r="AA147" s="91"/>
      <c r="AB147" s="91"/>
      <c r="AC147" s="91" t="s">
        <v>833</v>
      </c>
      <c r="AD147" s="91"/>
      <c r="AE147" s="91" t="s">
        <v>833</v>
      </c>
      <c r="AF147" s="91"/>
      <c r="AG147" s="91"/>
      <c r="AH147" s="91"/>
      <c r="AI147" s="91"/>
      <c r="AJ147" s="91" t="s">
        <v>833</v>
      </c>
      <c r="AK147" s="104">
        <f t="shared" si="15"/>
        <v>8</v>
      </c>
      <c r="AL147" s="105">
        <f t="shared" si="16"/>
        <v>0</v>
      </c>
      <c r="AM147" s="105">
        <f t="shared" si="17"/>
        <v>0</v>
      </c>
      <c r="AN147" s="123">
        <v>45985</v>
      </c>
      <c r="AO147" s="106"/>
      <c r="AP147" s="84"/>
      <c r="AQ147" s="84"/>
      <c r="AR147" s="84"/>
      <c r="AS147" s="84"/>
      <c r="AT147" s="82"/>
    </row>
    <row r="148" spans="1:46" ht="13.5" customHeight="1" x14ac:dyDescent="0.3">
      <c r="A148" s="121" t="s">
        <v>737</v>
      </c>
      <c r="B148" s="103">
        <v>143</v>
      </c>
      <c r="C148" s="169" t="s">
        <v>248</v>
      </c>
      <c r="D148" s="121" t="s">
        <v>527</v>
      </c>
      <c r="E148" s="171" t="s">
        <v>528</v>
      </c>
      <c r="F148" s="91" t="s">
        <v>833</v>
      </c>
      <c r="G148" s="91" t="s">
        <v>833</v>
      </c>
      <c r="H148" s="91" t="s">
        <v>833</v>
      </c>
      <c r="I148" s="91"/>
      <c r="J148" s="91"/>
      <c r="K148" s="91"/>
      <c r="L148" s="91"/>
      <c r="M148" s="91" t="s">
        <v>833</v>
      </c>
      <c r="N148" s="91" t="s">
        <v>833</v>
      </c>
      <c r="O148" s="91" t="s">
        <v>833</v>
      </c>
      <c r="P148" s="91"/>
      <c r="Q148" s="91"/>
      <c r="R148" s="91"/>
      <c r="S148" s="91"/>
      <c r="T148" s="91" t="s">
        <v>833</v>
      </c>
      <c r="U148" s="91" t="s">
        <v>833</v>
      </c>
      <c r="V148" s="91" t="s">
        <v>833</v>
      </c>
      <c r="W148" s="91"/>
      <c r="X148" s="91"/>
      <c r="Y148" s="91"/>
      <c r="Z148" s="91"/>
      <c r="AA148" s="91" t="s">
        <v>833</v>
      </c>
      <c r="AB148" s="91" t="s">
        <v>833</v>
      </c>
      <c r="AC148" s="91" t="s">
        <v>833</v>
      </c>
      <c r="AD148" s="91"/>
      <c r="AE148" s="91"/>
      <c r="AF148" s="91"/>
      <c r="AG148" s="91"/>
      <c r="AH148" s="91" t="s">
        <v>833</v>
      </c>
      <c r="AI148" s="91" t="s">
        <v>833</v>
      </c>
      <c r="AJ148" s="91" t="s">
        <v>833</v>
      </c>
      <c r="AK148" s="104">
        <f t="shared" si="15"/>
        <v>15</v>
      </c>
      <c r="AL148" s="105">
        <f t="shared" si="16"/>
        <v>0</v>
      </c>
      <c r="AM148" s="105">
        <f t="shared" si="17"/>
        <v>0</v>
      </c>
      <c r="AN148" s="123">
        <v>45985</v>
      </c>
      <c r="AO148" s="106"/>
      <c r="AP148" s="84"/>
      <c r="AQ148" s="84"/>
      <c r="AR148" s="84"/>
      <c r="AS148" s="84"/>
      <c r="AT148" s="82"/>
    </row>
    <row r="149" spans="1:46" ht="13.5" customHeight="1" x14ac:dyDescent="0.3">
      <c r="A149" s="121" t="s">
        <v>738</v>
      </c>
      <c r="B149" s="103">
        <v>144</v>
      </c>
      <c r="C149" s="169" t="s">
        <v>249</v>
      </c>
      <c r="D149" s="121" t="s">
        <v>529</v>
      </c>
      <c r="E149" s="171" t="s">
        <v>390</v>
      </c>
      <c r="F149" s="91"/>
      <c r="G149" s="91" t="s">
        <v>833</v>
      </c>
      <c r="H149" s="91" t="s">
        <v>833</v>
      </c>
      <c r="I149" s="91" t="s">
        <v>833</v>
      </c>
      <c r="J149" s="91"/>
      <c r="K149" s="91"/>
      <c r="L149" s="91"/>
      <c r="M149" s="91"/>
      <c r="N149" s="91" t="s">
        <v>833</v>
      </c>
      <c r="O149" s="91" t="s">
        <v>833</v>
      </c>
      <c r="P149" s="91" t="s">
        <v>833</v>
      </c>
      <c r="Q149" s="91"/>
      <c r="R149" s="91"/>
      <c r="S149" s="91"/>
      <c r="T149" s="91"/>
      <c r="U149" s="91" t="s">
        <v>833</v>
      </c>
      <c r="V149" s="91" t="s">
        <v>833</v>
      </c>
      <c r="W149" s="91" t="s">
        <v>833</v>
      </c>
      <c r="X149" s="91"/>
      <c r="Y149" s="91"/>
      <c r="Z149" s="91"/>
      <c r="AA149" s="91"/>
      <c r="AB149" s="91" t="s">
        <v>833</v>
      </c>
      <c r="AC149" s="91" t="s">
        <v>833</v>
      </c>
      <c r="AD149" s="91" t="s">
        <v>833</v>
      </c>
      <c r="AE149" s="91"/>
      <c r="AF149" s="91"/>
      <c r="AG149" s="91"/>
      <c r="AH149" s="91"/>
      <c r="AI149" s="91" t="s">
        <v>833</v>
      </c>
      <c r="AJ149" s="91" t="s">
        <v>833</v>
      </c>
      <c r="AK149" s="104">
        <f t="shared" si="15"/>
        <v>14</v>
      </c>
      <c r="AL149" s="105">
        <f t="shared" si="16"/>
        <v>0</v>
      </c>
      <c r="AM149" s="105">
        <f t="shared" si="17"/>
        <v>0</v>
      </c>
      <c r="AN149" s="123">
        <v>45985</v>
      </c>
      <c r="AO149" s="106"/>
      <c r="AP149" s="84"/>
      <c r="AQ149" s="84"/>
      <c r="AR149" s="84"/>
      <c r="AS149" s="84"/>
      <c r="AT149" s="82"/>
    </row>
    <row r="150" spans="1:46" ht="13.5" customHeight="1" x14ac:dyDescent="0.3">
      <c r="A150" s="121" t="s">
        <v>739</v>
      </c>
      <c r="B150" s="103">
        <v>145</v>
      </c>
      <c r="C150" s="169" t="s">
        <v>250</v>
      </c>
      <c r="D150" s="121" t="s">
        <v>530</v>
      </c>
      <c r="E150" s="171" t="s">
        <v>531</v>
      </c>
      <c r="F150" s="91" t="s">
        <v>833</v>
      </c>
      <c r="G150" s="91"/>
      <c r="H150" s="91"/>
      <c r="I150" s="91" t="s">
        <v>833</v>
      </c>
      <c r="J150" s="91" t="s">
        <v>833</v>
      </c>
      <c r="K150" s="91"/>
      <c r="L150" s="91"/>
      <c r="M150" s="91" t="s">
        <v>833</v>
      </c>
      <c r="N150" s="91"/>
      <c r="O150" s="91"/>
      <c r="P150" s="91" t="s">
        <v>833</v>
      </c>
      <c r="Q150" s="91" t="s">
        <v>833</v>
      </c>
      <c r="R150" s="91"/>
      <c r="S150" s="91"/>
      <c r="T150" s="195" t="s">
        <v>837</v>
      </c>
      <c r="U150" s="91"/>
      <c r="V150" s="91"/>
      <c r="W150" s="91" t="s">
        <v>833</v>
      </c>
      <c r="X150" s="91" t="s">
        <v>833</v>
      </c>
      <c r="Y150" s="91"/>
      <c r="Z150" s="91"/>
      <c r="AA150" s="91" t="s">
        <v>833</v>
      </c>
      <c r="AB150" s="91"/>
      <c r="AC150" s="91"/>
      <c r="AD150" s="91" t="s">
        <v>833</v>
      </c>
      <c r="AE150" s="91" t="s">
        <v>833</v>
      </c>
      <c r="AF150" s="91"/>
      <c r="AG150" s="91"/>
      <c r="AH150" s="91" t="s">
        <v>833</v>
      </c>
      <c r="AI150" s="91"/>
      <c r="AJ150" s="91"/>
      <c r="AK150" s="104">
        <f t="shared" ref="AK150:AK166" si="18">+COUNTIF(F150:AJ150,"X")+COUNTIF(F150:AJ150,"E")</f>
        <v>12</v>
      </c>
      <c r="AL150" s="105">
        <f t="shared" ref="AL150:AL166" si="19">+COUNTIF(F150:AJ150,"R")+COUNTIF(F150:AJ150,"T")+COUNTIF(F150:AJ150,"İ")</f>
        <v>1</v>
      </c>
      <c r="AM150" s="105">
        <f t="shared" ref="AM150:AM166" si="20">+COUNTIF(F150:AJ150,"İ")</f>
        <v>1</v>
      </c>
      <c r="AN150" s="123">
        <v>45985</v>
      </c>
      <c r="AO150" s="106"/>
      <c r="AP150" s="84"/>
      <c r="AQ150" s="84"/>
      <c r="AR150" s="84"/>
      <c r="AS150" s="84"/>
      <c r="AT150" s="82"/>
    </row>
    <row r="151" spans="1:46" ht="13.5" customHeight="1" x14ac:dyDescent="0.3">
      <c r="A151" s="121" t="s">
        <v>740</v>
      </c>
      <c r="B151" s="103">
        <v>146</v>
      </c>
      <c r="C151" s="169" t="s">
        <v>251</v>
      </c>
      <c r="D151" s="121" t="s">
        <v>532</v>
      </c>
      <c r="E151" s="171" t="s">
        <v>533</v>
      </c>
      <c r="F151" s="91"/>
      <c r="G151" s="91"/>
      <c r="H151" s="91" t="s">
        <v>833</v>
      </c>
      <c r="I151" s="91"/>
      <c r="J151" s="91" t="s">
        <v>833</v>
      </c>
      <c r="K151" s="91" t="s">
        <v>833</v>
      </c>
      <c r="L151" s="91"/>
      <c r="M151" s="91"/>
      <c r="N151" s="91"/>
      <c r="O151" s="91" t="s">
        <v>833</v>
      </c>
      <c r="P151" s="91"/>
      <c r="Q151" s="91" t="s">
        <v>833</v>
      </c>
      <c r="R151" s="91" t="s">
        <v>833</v>
      </c>
      <c r="S151" s="91"/>
      <c r="T151" s="91"/>
      <c r="U151" s="91"/>
      <c r="V151" s="91" t="s">
        <v>833</v>
      </c>
      <c r="W151" s="91"/>
      <c r="X151" s="91" t="s">
        <v>833</v>
      </c>
      <c r="Y151" s="91" t="s">
        <v>833</v>
      </c>
      <c r="Z151" s="91"/>
      <c r="AA151" s="91"/>
      <c r="AB151" s="91"/>
      <c r="AC151" s="91" t="s">
        <v>833</v>
      </c>
      <c r="AD151" s="91"/>
      <c r="AE151" s="91" t="s">
        <v>833</v>
      </c>
      <c r="AF151" s="91" t="s">
        <v>833</v>
      </c>
      <c r="AG151" s="91"/>
      <c r="AH151" s="91"/>
      <c r="AI151" s="91"/>
      <c r="AJ151" s="91" t="s">
        <v>833</v>
      </c>
      <c r="AK151" s="104">
        <f t="shared" si="18"/>
        <v>13</v>
      </c>
      <c r="AL151" s="105">
        <f t="shared" si="19"/>
        <v>0</v>
      </c>
      <c r="AM151" s="105">
        <f t="shared" si="20"/>
        <v>0</v>
      </c>
      <c r="AN151" s="123">
        <v>45985</v>
      </c>
      <c r="AO151" s="106"/>
      <c r="AP151" s="84"/>
      <c r="AQ151" s="84"/>
      <c r="AR151" s="84"/>
      <c r="AS151" s="84"/>
      <c r="AT151" s="82"/>
    </row>
    <row r="152" spans="1:46" ht="13.5" customHeight="1" x14ac:dyDescent="0.3">
      <c r="A152" s="121" t="s">
        <v>741</v>
      </c>
      <c r="B152" s="103">
        <v>147</v>
      </c>
      <c r="C152" s="169" t="s">
        <v>252</v>
      </c>
      <c r="D152" s="121" t="s">
        <v>534</v>
      </c>
      <c r="E152" s="171" t="s">
        <v>535</v>
      </c>
      <c r="F152" s="91"/>
      <c r="G152" s="91" t="s">
        <v>833</v>
      </c>
      <c r="H152" s="91"/>
      <c r="I152" s="91"/>
      <c r="J152" s="91" t="s">
        <v>833</v>
      </c>
      <c r="K152" s="91"/>
      <c r="L152" s="91"/>
      <c r="M152" s="91"/>
      <c r="N152" s="91" t="s">
        <v>833</v>
      </c>
      <c r="O152" s="91"/>
      <c r="P152" s="91"/>
      <c r="Q152" s="91" t="s">
        <v>833</v>
      </c>
      <c r="R152" s="91"/>
      <c r="S152" s="91"/>
      <c r="T152" s="91"/>
      <c r="U152" s="91" t="s">
        <v>833</v>
      </c>
      <c r="V152" s="91"/>
      <c r="W152" s="91"/>
      <c r="X152" s="91" t="s">
        <v>833</v>
      </c>
      <c r="Y152" s="91"/>
      <c r="Z152" s="91"/>
      <c r="AA152" s="91"/>
      <c r="AB152" s="91" t="s">
        <v>833</v>
      </c>
      <c r="AC152" s="91"/>
      <c r="AD152" s="91"/>
      <c r="AE152" s="91" t="s">
        <v>833</v>
      </c>
      <c r="AF152" s="91"/>
      <c r="AG152" s="91"/>
      <c r="AH152" s="91"/>
      <c r="AI152" s="91" t="s">
        <v>833</v>
      </c>
      <c r="AJ152" s="91"/>
      <c r="AK152" s="104">
        <f t="shared" si="18"/>
        <v>9</v>
      </c>
      <c r="AL152" s="105">
        <f t="shared" si="19"/>
        <v>0</v>
      </c>
      <c r="AM152" s="105">
        <f t="shared" si="20"/>
        <v>0</v>
      </c>
      <c r="AN152" s="123">
        <v>45985</v>
      </c>
      <c r="AO152" s="106"/>
      <c r="AP152" s="84"/>
      <c r="AQ152" s="84"/>
      <c r="AR152" s="84"/>
      <c r="AS152" s="84"/>
      <c r="AT152" s="82"/>
    </row>
    <row r="153" spans="1:46" ht="13.5" customHeight="1" x14ac:dyDescent="0.3">
      <c r="A153" s="121" t="s">
        <v>724</v>
      </c>
      <c r="B153" s="103">
        <v>148</v>
      </c>
      <c r="C153" s="169" t="s">
        <v>253</v>
      </c>
      <c r="D153" s="121" t="s">
        <v>536</v>
      </c>
      <c r="E153" s="171" t="s">
        <v>537</v>
      </c>
      <c r="F153" s="91" t="s">
        <v>833</v>
      </c>
      <c r="G153" s="91"/>
      <c r="H153" s="91"/>
      <c r="I153" s="91" t="s">
        <v>833</v>
      </c>
      <c r="J153" s="91" t="s">
        <v>833</v>
      </c>
      <c r="K153" s="91"/>
      <c r="L153" s="91"/>
      <c r="M153" s="91" t="s">
        <v>833</v>
      </c>
      <c r="N153" s="91"/>
      <c r="O153" s="91"/>
      <c r="P153" s="91" t="s">
        <v>833</v>
      </c>
      <c r="Q153" s="91" t="s">
        <v>833</v>
      </c>
      <c r="R153" s="91"/>
      <c r="S153" s="91"/>
      <c r="T153" s="91" t="s">
        <v>833</v>
      </c>
      <c r="U153" s="91"/>
      <c r="V153" s="91" t="s">
        <v>833</v>
      </c>
      <c r="W153" s="91" t="s">
        <v>833</v>
      </c>
      <c r="X153" s="91"/>
      <c r="Y153" s="91"/>
      <c r="Z153" s="91"/>
      <c r="AA153" s="91" t="s">
        <v>833</v>
      </c>
      <c r="AB153" s="91"/>
      <c r="AC153" s="91" t="s">
        <v>833</v>
      </c>
      <c r="AD153" s="91" t="s">
        <v>833</v>
      </c>
      <c r="AE153" s="91"/>
      <c r="AF153" s="91"/>
      <c r="AG153" s="91"/>
      <c r="AH153" s="91" t="s">
        <v>833</v>
      </c>
      <c r="AI153" s="91"/>
      <c r="AJ153" s="91" t="s">
        <v>833</v>
      </c>
      <c r="AK153" s="104">
        <f t="shared" si="18"/>
        <v>14</v>
      </c>
      <c r="AL153" s="105">
        <f t="shared" si="19"/>
        <v>0</v>
      </c>
      <c r="AM153" s="105">
        <f t="shared" si="20"/>
        <v>0</v>
      </c>
      <c r="AN153" s="123">
        <v>45985</v>
      </c>
      <c r="AO153" s="106"/>
      <c r="AP153" s="84"/>
      <c r="AQ153" s="84"/>
      <c r="AR153" s="84"/>
      <c r="AS153" s="84"/>
      <c r="AT153" s="82"/>
    </row>
    <row r="154" spans="1:46" ht="13.5" customHeight="1" x14ac:dyDescent="0.3">
      <c r="A154" s="121" t="s">
        <v>742</v>
      </c>
      <c r="B154" s="103">
        <v>149</v>
      </c>
      <c r="C154" s="169" t="s">
        <v>254</v>
      </c>
      <c r="D154" s="121" t="s">
        <v>538</v>
      </c>
      <c r="E154" s="171" t="s">
        <v>539</v>
      </c>
      <c r="F154" s="91"/>
      <c r="G154" s="91"/>
      <c r="H154" s="91" t="s">
        <v>833</v>
      </c>
      <c r="I154" s="91" t="s">
        <v>833</v>
      </c>
      <c r="J154" s="91" t="s">
        <v>833</v>
      </c>
      <c r="K154" s="91"/>
      <c r="L154" s="91"/>
      <c r="M154" s="91"/>
      <c r="N154" s="91"/>
      <c r="O154" s="91" t="s">
        <v>833</v>
      </c>
      <c r="P154" s="91" t="s">
        <v>833</v>
      </c>
      <c r="Q154" s="91" t="s">
        <v>833</v>
      </c>
      <c r="R154" s="91"/>
      <c r="S154" s="91"/>
      <c r="T154" s="91"/>
      <c r="U154" s="91"/>
      <c r="V154" s="91" t="s">
        <v>833</v>
      </c>
      <c r="W154" s="91" t="s">
        <v>833</v>
      </c>
      <c r="X154" s="195" t="s">
        <v>837</v>
      </c>
      <c r="Y154" s="91"/>
      <c r="Z154" s="91"/>
      <c r="AA154" s="91"/>
      <c r="AB154" s="91"/>
      <c r="AC154" s="91" t="s">
        <v>833</v>
      </c>
      <c r="AD154" s="91" t="s">
        <v>833</v>
      </c>
      <c r="AE154" s="91" t="s">
        <v>833</v>
      </c>
      <c r="AF154" s="91"/>
      <c r="AG154" s="91"/>
      <c r="AH154" s="91"/>
      <c r="AI154" s="91"/>
      <c r="AJ154" s="91" t="s">
        <v>833</v>
      </c>
      <c r="AK154" s="104">
        <f t="shared" si="18"/>
        <v>12</v>
      </c>
      <c r="AL154" s="105">
        <f t="shared" si="19"/>
        <v>1</v>
      </c>
      <c r="AM154" s="105">
        <f t="shared" si="20"/>
        <v>1</v>
      </c>
      <c r="AN154" s="123">
        <v>45985</v>
      </c>
      <c r="AO154" s="106"/>
      <c r="AP154" s="84"/>
      <c r="AQ154" s="84"/>
      <c r="AR154" s="84"/>
      <c r="AS154" s="84"/>
      <c r="AT154" s="82"/>
    </row>
    <row r="155" spans="1:46" ht="13.5" customHeight="1" x14ac:dyDescent="0.3">
      <c r="A155" s="121" t="s">
        <v>743</v>
      </c>
      <c r="B155" s="103">
        <v>150</v>
      </c>
      <c r="C155" s="169" t="s">
        <v>255</v>
      </c>
      <c r="D155" s="121" t="s">
        <v>540</v>
      </c>
      <c r="E155" s="171" t="s">
        <v>541</v>
      </c>
      <c r="F155" s="91"/>
      <c r="G155" s="91"/>
      <c r="H155" s="91" t="s">
        <v>833</v>
      </c>
      <c r="I155" s="91" t="s">
        <v>833</v>
      </c>
      <c r="J155" s="91" t="s">
        <v>833</v>
      </c>
      <c r="K155" s="91"/>
      <c r="L155" s="91"/>
      <c r="M155" s="91"/>
      <c r="N155" s="91"/>
      <c r="O155" s="91" t="s">
        <v>833</v>
      </c>
      <c r="P155" s="91" t="s">
        <v>833</v>
      </c>
      <c r="Q155" s="91" t="s">
        <v>833</v>
      </c>
      <c r="R155" s="91"/>
      <c r="S155" s="91"/>
      <c r="T155" s="91"/>
      <c r="U155" s="91"/>
      <c r="V155" s="91" t="s">
        <v>833</v>
      </c>
      <c r="W155" s="91" t="s">
        <v>833</v>
      </c>
      <c r="X155" s="91" t="s">
        <v>833</v>
      </c>
      <c r="Y155" s="91"/>
      <c r="Z155" s="91"/>
      <c r="AA155" s="91"/>
      <c r="AB155" s="91"/>
      <c r="AC155" s="91" t="s">
        <v>833</v>
      </c>
      <c r="AD155" s="91" t="s">
        <v>833</v>
      </c>
      <c r="AE155" s="91" t="s">
        <v>833</v>
      </c>
      <c r="AF155" s="91"/>
      <c r="AG155" s="91"/>
      <c r="AH155" s="91"/>
      <c r="AI155" s="91"/>
      <c r="AJ155" s="91" t="s">
        <v>833</v>
      </c>
      <c r="AK155" s="104">
        <f t="shared" si="18"/>
        <v>13</v>
      </c>
      <c r="AL155" s="105">
        <f t="shared" si="19"/>
        <v>0</v>
      </c>
      <c r="AM155" s="105">
        <f t="shared" si="20"/>
        <v>0</v>
      </c>
      <c r="AN155" s="123">
        <v>45985</v>
      </c>
      <c r="AO155" s="106"/>
      <c r="AP155" s="84"/>
      <c r="AQ155" s="84"/>
      <c r="AR155" s="84"/>
      <c r="AS155" s="84"/>
      <c r="AT155" s="82"/>
    </row>
    <row r="156" spans="1:46" ht="13.5" customHeight="1" x14ac:dyDescent="0.3">
      <c r="A156" s="121" t="s">
        <v>744</v>
      </c>
      <c r="B156" s="103">
        <v>151</v>
      </c>
      <c r="C156" s="169" t="s">
        <v>256</v>
      </c>
      <c r="D156" s="121" t="s">
        <v>542</v>
      </c>
      <c r="E156" s="171" t="s">
        <v>543</v>
      </c>
      <c r="F156" s="91"/>
      <c r="G156" s="91" t="s">
        <v>833</v>
      </c>
      <c r="H156" s="91" t="s">
        <v>833</v>
      </c>
      <c r="I156" s="91"/>
      <c r="J156" s="91" t="s">
        <v>833</v>
      </c>
      <c r="K156" s="91"/>
      <c r="L156" s="91"/>
      <c r="M156" s="91" t="s">
        <v>833</v>
      </c>
      <c r="N156" s="91" t="s">
        <v>833</v>
      </c>
      <c r="O156" s="91"/>
      <c r="P156" s="91"/>
      <c r="Q156" s="91" t="s">
        <v>833</v>
      </c>
      <c r="R156" s="91"/>
      <c r="S156" s="91"/>
      <c r="T156" s="91" t="s">
        <v>833</v>
      </c>
      <c r="U156" s="91" t="s">
        <v>833</v>
      </c>
      <c r="V156" s="91" t="s">
        <v>833</v>
      </c>
      <c r="W156" s="91"/>
      <c r="X156" s="91"/>
      <c r="Y156" s="91"/>
      <c r="Z156" s="91"/>
      <c r="AA156" s="91" t="s">
        <v>833</v>
      </c>
      <c r="AB156" s="91" t="s">
        <v>833</v>
      </c>
      <c r="AC156" s="195" t="s">
        <v>837</v>
      </c>
      <c r="AD156" s="91"/>
      <c r="AE156" s="91"/>
      <c r="AF156" s="91"/>
      <c r="AG156" s="91"/>
      <c r="AH156" s="91"/>
      <c r="AI156" s="91" t="s">
        <v>833</v>
      </c>
      <c r="AJ156" s="91" t="s">
        <v>833</v>
      </c>
      <c r="AK156" s="104">
        <f t="shared" si="18"/>
        <v>13</v>
      </c>
      <c r="AL156" s="105">
        <f t="shared" si="19"/>
        <v>1</v>
      </c>
      <c r="AM156" s="105">
        <f t="shared" si="20"/>
        <v>1</v>
      </c>
      <c r="AN156" s="123">
        <v>45985</v>
      </c>
      <c r="AO156" s="106"/>
      <c r="AP156" s="84"/>
      <c r="AQ156" s="84"/>
      <c r="AR156" s="84"/>
      <c r="AS156" s="84"/>
      <c r="AT156" s="82"/>
    </row>
    <row r="157" spans="1:46" ht="13.5" customHeight="1" x14ac:dyDescent="0.3">
      <c r="A157" s="121" t="s">
        <v>745</v>
      </c>
      <c r="B157" s="103">
        <v>152</v>
      </c>
      <c r="C157" s="169" t="s">
        <v>257</v>
      </c>
      <c r="D157" s="121" t="s">
        <v>544</v>
      </c>
      <c r="E157" s="171" t="s">
        <v>545</v>
      </c>
      <c r="F157" s="91"/>
      <c r="G157" s="91" t="s">
        <v>833</v>
      </c>
      <c r="H157" s="91"/>
      <c r="I157" s="91" t="s">
        <v>833</v>
      </c>
      <c r="J157" s="91"/>
      <c r="K157" s="91"/>
      <c r="L157" s="91"/>
      <c r="M157" s="91"/>
      <c r="N157" s="91" t="s">
        <v>833</v>
      </c>
      <c r="O157" s="91"/>
      <c r="P157" s="91" t="s">
        <v>833</v>
      </c>
      <c r="Q157" s="91"/>
      <c r="R157" s="91"/>
      <c r="S157" s="91"/>
      <c r="T157" s="91"/>
      <c r="U157" s="91" t="s">
        <v>833</v>
      </c>
      <c r="V157" s="91"/>
      <c r="W157" s="91" t="s">
        <v>833</v>
      </c>
      <c r="X157" s="91"/>
      <c r="Y157" s="91"/>
      <c r="Z157" s="91"/>
      <c r="AA157" s="91"/>
      <c r="AB157" s="91" t="s">
        <v>833</v>
      </c>
      <c r="AC157" s="91"/>
      <c r="AD157" s="91" t="s">
        <v>833</v>
      </c>
      <c r="AE157" s="91"/>
      <c r="AF157" s="91"/>
      <c r="AG157" s="91"/>
      <c r="AH157" s="91"/>
      <c r="AI157" s="91" t="s">
        <v>833</v>
      </c>
      <c r="AJ157" s="91"/>
      <c r="AK157" s="104">
        <f t="shared" si="18"/>
        <v>9</v>
      </c>
      <c r="AL157" s="105">
        <f t="shared" si="19"/>
        <v>0</v>
      </c>
      <c r="AM157" s="105">
        <f t="shared" si="20"/>
        <v>0</v>
      </c>
      <c r="AN157" s="123">
        <v>45985</v>
      </c>
      <c r="AO157" s="106"/>
      <c r="AP157" s="84"/>
      <c r="AQ157" s="84"/>
      <c r="AR157" s="84"/>
      <c r="AS157" s="84"/>
      <c r="AT157" s="82"/>
    </row>
    <row r="158" spans="1:46" ht="13.5" customHeight="1" x14ac:dyDescent="0.3">
      <c r="A158" s="121" t="s">
        <v>746</v>
      </c>
      <c r="B158" s="103">
        <v>153</v>
      </c>
      <c r="C158" s="169" t="s">
        <v>258</v>
      </c>
      <c r="D158" s="121" t="s">
        <v>546</v>
      </c>
      <c r="E158" s="171" t="s">
        <v>547</v>
      </c>
      <c r="F158" s="91"/>
      <c r="G158" s="91"/>
      <c r="H158" s="91" t="s">
        <v>833</v>
      </c>
      <c r="I158" s="91" t="s">
        <v>833</v>
      </c>
      <c r="J158" s="91" t="s">
        <v>833</v>
      </c>
      <c r="K158" s="91"/>
      <c r="L158" s="91"/>
      <c r="M158" s="91"/>
      <c r="N158" s="91"/>
      <c r="O158" s="91" t="s">
        <v>833</v>
      </c>
      <c r="P158" s="91" t="s">
        <v>833</v>
      </c>
      <c r="Q158" s="91" t="s">
        <v>833</v>
      </c>
      <c r="R158" s="91"/>
      <c r="S158" s="91"/>
      <c r="T158" s="91"/>
      <c r="U158" s="91"/>
      <c r="V158" s="91" t="s">
        <v>833</v>
      </c>
      <c r="W158" s="91" t="s">
        <v>833</v>
      </c>
      <c r="X158" s="91" t="s">
        <v>833</v>
      </c>
      <c r="Y158" s="91"/>
      <c r="Z158" s="91"/>
      <c r="AA158" s="91"/>
      <c r="AB158" s="91" t="s">
        <v>833</v>
      </c>
      <c r="AC158" s="91" t="s">
        <v>833</v>
      </c>
      <c r="AD158" s="91" t="s">
        <v>833</v>
      </c>
      <c r="AE158" s="91"/>
      <c r="AF158" s="91"/>
      <c r="AG158" s="91"/>
      <c r="AH158" s="91"/>
      <c r="AI158" s="91" t="s">
        <v>833</v>
      </c>
      <c r="AJ158" s="91" t="s">
        <v>833</v>
      </c>
      <c r="AK158" s="104">
        <f t="shared" si="18"/>
        <v>14</v>
      </c>
      <c r="AL158" s="105">
        <f t="shared" si="19"/>
        <v>0</v>
      </c>
      <c r="AM158" s="105">
        <f t="shared" si="20"/>
        <v>0</v>
      </c>
      <c r="AN158" s="123">
        <v>45985</v>
      </c>
      <c r="AO158" s="106"/>
      <c r="AP158" s="84"/>
      <c r="AQ158" s="84"/>
      <c r="AR158" s="84"/>
      <c r="AS158" s="84"/>
      <c r="AT158" s="82"/>
    </row>
    <row r="159" spans="1:46" ht="13.5" customHeight="1" x14ac:dyDescent="0.3">
      <c r="A159" s="172" t="s">
        <v>747</v>
      </c>
      <c r="B159" s="103">
        <v>154</v>
      </c>
      <c r="C159" s="170" t="s">
        <v>259</v>
      </c>
      <c r="D159" s="172" t="s">
        <v>548</v>
      </c>
      <c r="E159" s="171" t="s">
        <v>549</v>
      </c>
      <c r="F159" s="91"/>
      <c r="G159" s="91"/>
      <c r="H159" s="91" t="s">
        <v>833</v>
      </c>
      <c r="I159" s="91" t="s">
        <v>833</v>
      </c>
      <c r="J159" s="91" t="s">
        <v>833</v>
      </c>
      <c r="K159" s="91"/>
      <c r="L159" s="91"/>
      <c r="M159" s="91"/>
      <c r="N159" s="91"/>
      <c r="O159" s="91" t="s">
        <v>833</v>
      </c>
      <c r="P159" s="91" t="s">
        <v>833</v>
      </c>
      <c r="Q159" s="91" t="s">
        <v>833</v>
      </c>
      <c r="R159" s="91"/>
      <c r="S159" s="91"/>
      <c r="T159" s="91"/>
      <c r="U159" s="91"/>
      <c r="V159" s="91" t="s">
        <v>833</v>
      </c>
      <c r="W159" s="91" t="s">
        <v>833</v>
      </c>
      <c r="X159" s="91" t="s">
        <v>833</v>
      </c>
      <c r="Y159" s="91"/>
      <c r="Z159" s="91"/>
      <c r="AA159" s="91"/>
      <c r="AB159" s="91"/>
      <c r="AC159" s="91" t="s">
        <v>833</v>
      </c>
      <c r="AD159" s="91" t="s">
        <v>833</v>
      </c>
      <c r="AE159" s="91" t="s">
        <v>833</v>
      </c>
      <c r="AF159" s="91"/>
      <c r="AG159" s="91"/>
      <c r="AH159" s="91"/>
      <c r="AI159" s="91"/>
      <c r="AJ159" s="195" t="s">
        <v>837</v>
      </c>
      <c r="AK159" s="104">
        <f t="shared" si="18"/>
        <v>12</v>
      </c>
      <c r="AL159" s="105">
        <f t="shared" si="19"/>
        <v>1</v>
      </c>
      <c r="AM159" s="105">
        <f t="shared" si="20"/>
        <v>1</v>
      </c>
      <c r="AN159" s="123">
        <v>45985</v>
      </c>
      <c r="AO159" s="106"/>
      <c r="AP159" s="84"/>
      <c r="AQ159" s="84"/>
      <c r="AR159" s="84"/>
      <c r="AS159" s="84"/>
      <c r="AT159" s="82"/>
    </row>
    <row r="160" spans="1:46" ht="13.5" customHeight="1" x14ac:dyDescent="0.3">
      <c r="A160" s="121" t="s">
        <v>748</v>
      </c>
      <c r="B160" s="103">
        <v>155</v>
      </c>
      <c r="C160" s="169" t="s">
        <v>260</v>
      </c>
      <c r="D160" s="121" t="s">
        <v>550</v>
      </c>
      <c r="E160" s="171" t="s">
        <v>551</v>
      </c>
      <c r="F160" s="91"/>
      <c r="G160" s="91" t="s">
        <v>833</v>
      </c>
      <c r="H160" s="91"/>
      <c r="I160" s="91"/>
      <c r="J160" s="91"/>
      <c r="K160" s="91" t="s">
        <v>833</v>
      </c>
      <c r="L160" s="91" t="s">
        <v>833</v>
      </c>
      <c r="M160" s="91"/>
      <c r="N160" s="91" t="s">
        <v>833</v>
      </c>
      <c r="O160" s="91"/>
      <c r="P160" s="91"/>
      <c r="Q160" s="91"/>
      <c r="R160" s="91" t="s">
        <v>833</v>
      </c>
      <c r="S160" s="91" t="s">
        <v>833</v>
      </c>
      <c r="T160" s="91"/>
      <c r="U160" s="91" t="s">
        <v>833</v>
      </c>
      <c r="V160" s="91"/>
      <c r="W160" s="91"/>
      <c r="X160" s="91"/>
      <c r="Y160" s="91" t="s">
        <v>833</v>
      </c>
      <c r="Z160" s="91" t="s">
        <v>833</v>
      </c>
      <c r="AA160" s="91"/>
      <c r="AB160" s="91" t="s">
        <v>833</v>
      </c>
      <c r="AC160" s="91"/>
      <c r="AD160" s="91"/>
      <c r="AE160" s="91"/>
      <c r="AF160" s="91" t="s">
        <v>833</v>
      </c>
      <c r="AG160" s="91" t="s">
        <v>833</v>
      </c>
      <c r="AH160" s="91"/>
      <c r="AI160" s="91" t="s">
        <v>833</v>
      </c>
      <c r="AJ160" s="91"/>
      <c r="AK160" s="104">
        <f t="shared" si="18"/>
        <v>13</v>
      </c>
      <c r="AL160" s="105">
        <f t="shared" si="19"/>
        <v>0</v>
      </c>
      <c r="AM160" s="105">
        <f t="shared" si="20"/>
        <v>0</v>
      </c>
      <c r="AN160" s="123">
        <v>45985</v>
      </c>
      <c r="AO160" s="106"/>
      <c r="AP160" s="84"/>
      <c r="AQ160" s="84"/>
      <c r="AR160" s="84"/>
      <c r="AS160" s="84"/>
      <c r="AT160" s="82"/>
    </row>
    <row r="161" spans="1:46" ht="13.5" customHeight="1" x14ac:dyDescent="0.3">
      <c r="A161" s="121" t="s">
        <v>749</v>
      </c>
      <c r="B161" s="103">
        <v>156</v>
      </c>
      <c r="C161" s="169" t="s">
        <v>261</v>
      </c>
      <c r="D161" s="121" t="s">
        <v>552</v>
      </c>
      <c r="E161" s="171" t="s">
        <v>553</v>
      </c>
      <c r="F161" s="91"/>
      <c r="G161" s="91"/>
      <c r="H161" s="91" t="s">
        <v>833</v>
      </c>
      <c r="I161" s="91"/>
      <c r="J161" s="91" t="s">
        <v>833</v>
      </c>
      <c r="K161" s="91" t="s">
        <v>833</v>
      </c>
      <c r="L161" s="91"/>
      <c r="M161" s="91"/>
      <c r="N161" s="91"/>
      <c r="O161" s="91" t="s">
        <v>833</v>
      </c>
      <c r="P161" s="91"/>
      <c r="Q161" s="91" t="s">
        <v>833</v>
      </c>
      <c r="R161" s="91" t="s">
        <v>833</v>
      </c>
      <c r="S161" s="91"/>
      <c r="T161" s="91"/>
      <c r="U161" s="91"/>
      <c r="V161" s="195" t="s">
        <v>837</v>
      </c>
      <c r="W161" s="91"/>
      <c r="X161" s="91" t="s">
        <v>833</v>
      </c>
      <c r="Y161" s="91" t="s">
        <v>833</v>
      </c>
      <c r="Z161" s="91"/>
      <c r="AA161" s="91"/>
      <c r="AB161" s="91"/>
      <c r="AC161" s="91" t="s">
        <v>833</v>
      </c>
      <c r="AD161" s="91"/>
      <c r="AE161" s="91" t="s">
        <v>833</v>
      </c>
      <c r="AF161" s="91" t="s">
        <v>833</v>
      </c>
      <c r="AG161" s="91"/>
      <c r="AH161" s="91"/>
      <c r="AI161" s="91"/>
      <c r="AJ161" s="91" t="s">
        <v>833</v>
      </c>
      <c r="AK161" s="104">
        <f t="shared" si="18"/>
        <v>12</v>
      </c>
      <c r="AL161" s="105">
        <f t="shared" si="19"/>
        <v>1</v>
      </c>
      <c r="AM161" s="105">
        <f t="shared" si="20"/>
        <v>1</v>
      </c>
      <c r="AN161" s="123">
        <v>45985</v>
      </c>
      <c r="AO161" s="106"/>
      <c r="AP161" s="84"/>
      <c r="AQ161" s="84"/>
      <c r="AR161" s="84"/>
      <c r="AS161" s="84"/>
      <c r="AT161" s="82"/>
    </row>
    <row r="162" spans="1:46" ht="13.5" customHeight="1" x14ac:dyDescent="0.3">
      <c r="A162" s="121" t="s">
        <v>750</v>
      </c>
      <c r="B162" s="103">
        <v>157</v>
      </c>
      <c r="C162" s="169" t="s">
        <v>262</v>
      </c>
      <c r="D162" s="121" t="s">
        <v>554</v>
      </c>
      <c r="E162" s="171" t="s">
        <v>555</v>
      </c>
      <c r="F162" s="91"/>
      <c r="G162" s="91"/>
      <c r="H162" s="91" t="s">
        <v>833</v>
      </c>
      <c r="I162" s="91"/>
      <c r="J162" s="91" t="s">
        <v>833</v>
      </c>
      <c r="K162" s="91" t="s">
        <v>833</v>
      </c>
      <c r="L162" s="91"/>
      <c r="M162" s="91"/>
      <c r="N162" s="91"/>
      <c r="O162" s="91" t="s">
        <v>833</v>
      </c>
      <c r="P162" s="91"/>
      <c r="Q162" s="91" t="s">
        <v>833</v>
      </c>
      <c r="R162" s="91" t="s">
        <v>833</v>
      </c>
      <c r="S162" s="91"/>
      <c r="T162" s="91"/>
      <c r="U162" s="91"/>
      <c r="V162" s="91" t="s">
        <v>833</v>
      </c>
      <c r="W162" s="91"/>
      <c r="X162" s="91" t="s">
        <v>833</v>
      </c>
      <c r="Y162" s="91" t="s">
        <v>833</v>
      </c>
      <c r="Z162" s="91"/>
      <c r="AA162" s="91"/>
      <c r="AB162" s="91"/>
      <c r="AC162" s="91" t="s">
        <v>833</v>
      </c>
      <c r="AD162" s="91"/>
      <c r="AE162" s="91" t="s">
        <v>833</v>
      </c>
      <c r="AF162" s="91" t="s">
        <v>833</v>
      </c>
      <c r="AG162" s="91"/>
      <c r="AH162" s="91"/>
      <c r="AI162" s="91"/>
      <c r="AJ162" s="91" t="s">
        <v>833</v>
      </c>
      <c r="AK162" s="104">
        <f t="shared" si="18"/>
        <v>13</v>
      </c>
      <c r="AL162" s="105">
        <f t="shared" si="19"/>
        <v>0</v>
      </c>
      <c r="AM162" s="105">
        <f t="shared" si="20"/>
        <v>0</v>
      </c>
      <c r="AN162" s="123">
        <v>45985</v>
      </c>
      <c r="AO162" s="106"/>
      <c r="AP162" s="84"/>
      <c r="AQ162" s="84"/>
      <c r="AR162" s="84"/>
      <c r="AS162" s="84"/>
      <c r="AT162" s="82"/>
    </row>
    <row r="163" spans="1:46" ht="13.5" customHeight="1" x14ac:dyDescent="0.3">
      <c r="A163" s="121" t="s">
        <v>751</v>
      </c>
      <c r="B163" s="103">
        <v>158</v>
      </c>
      <c r="C163" s="169" t="s">
        <v>263</v>
      </c>
      <c r="D163" s="121" t="s">
        <v>556</v>
      </c>
      <c r="E163" s="171" t="s">
        <v>329</v>
      </c>
      <c r="F163" s="91"/>
      <c r="G163" s="91"/>
      <c r="H163" s="91" t="s">
        <v>833</v>
      </c>
      <c r="I163" s="91" t="s">
        <v>833</v>
      </c>
      <c r="J163" s="91" t="s">
        <v>833</v>
      </c>
      <c r="K163" s="91"/>
      <c r="L163" s="91"/>
      <c r="M163" s="91"/>
      <c r="N163" s="91"/>
      <c r="O163" s="91" t="s">
        <v>833</v>
      </c>
      <c r="P163" s="91" t="s">
        <v>833</v>
      </c>
      <c r="Q163" s="91" t="s">
        <v>833</v>
      </c>
      <c r="R163" s="91"/>
      <c r="S163" s="91"/>
      <c r="T163" s="91"/>
      <c r="U163" s="91"/>
      <c r="V163" s="91" t="s">
        <v>833</v>
      </c>
      <c r="W163" s="91" t="s">
        <v>833</v>
      </c>
      <c r="X163" s="91" t="s">
        <v>833</v>
      </c>
      <c r="Y163" s="91"/>
      <c r="Z163" s="91"/>
      <c r="AA163" s="91"/>
      <c r="AB163" s="91" t="s">
        <v>833</v>
      </c>
      <c r="AC163" s="91" t="s">
        <v>833</v>
      </c>
      <c r="AD163" s="91" t="s">
        <v>833</v>
      </c>
      <c r="AE163" s="91"/>
      <c r="AF163" s="91"/>
      <c r="AG163" s="91"/>
      <c r="AH163" s="91" t="s">
        <v>833</v>
      </c>
      <c r="AI163" s="91" t="s">
        <v>833</v>
      </c>
      <c r="AJ163" s="91" t="s">
        <v>833</v>
      </c>
      <c r="AK163" s="104">
        <f t="shared" si="18"/>
        <v>15</v>
      </c>
      <c r="AL163" s="105">
        <f t="shared" si="19"/>
        <v>0</v>
      </c>
      <c r="AM163" s="105">
        <f t="shared" si="20"/>
        <v>0</v>
      </c>
      <c r="AN163" s="123">
        <v>45985</v>
      </c>
      <c r="AO163" s="106"/>
      <c r="AP163" s="84"/>
      <c r="AQ163" s="84"/>
      <c r="AR163" s="84"/>
      <c r="AS163" s="84"/>
      <c r="AT163" s="82"/>
    </row>
    <row r="164" spans="1:46" ht="13.5" customHeight="1" x14ac:dyDescent="0.3">
      <c r="A164" s="121" t="s">
        <v>752</v>
      </c>
      <c r="B164" s="103">
        <v>159</v>
      </c>
      <c r="C164" s="169" t="s">
        <v>264</v>
      </c>
      <c r="D164" s="121" t="s">
        <v>557</v>
      </c>
      <c r="E164" s="171" t="s">
        <v>558</v>
      </c>
      <c r="F164" s="91" t="s">
        <v>833</v>
      </c>
      <c r="G164" s="91"/>
      <c r="H164" s="91"/>
      <c r="I164" s="91" t="s">
        <v>833</v>
      </c>
      <c r="J164" s="91" t="s">
        <v>833</v>
      </c>
      <c r="K164" s="91"/>
      <c r="L164" s="91"/>
      <c r="M164" s="91" t="s">
        <v>833</v>
      </c>
      <c r="N164" s="91"/>
      <c r="O164" s="91"/>
      <c r="P164" s="91" t="s">
        <v>833</v>
      </c>
      <c r="Q164" s="91" t="s">
        <v>833</v>
      </c>
      <c r="R164" s="91"/>
      <c r="S164" s="91"/>
      <c r="T164" s="91" t="s">
        <v>833</v>
      </c>
      <c r="U164" s="91"/>
      <c r="V164" s="91"/>
      <c r="W164" s="91" t="s">
        <v>833</v>
      </c>
      <c r="X164" s="91" t="s">
        <v>833</v>
      </c>
      <c r="Y164" s="91"/>
      <c r="Z164" s="91"/>
      <c r="AA164" s="91" t="s">
        <v>833</v>
      </c>
      <c r="AB164" s="91"/>
      <c r="AC164" s="91"/>
      <c r="AD164" s="91" t="s">
        <v>833</v>
      </c>
      <c r="AE164" s="91" t="s">
        <v>833</v>
      </c>
      <c r="AF164" s="91"/>
      <c r="AG164" s="91"/>
      <c r="AH164" s="91" t="s">
        <v>833</v>
      </c>
      <c r="AI164" s="91"/>
      <c r="AJ164" s="91"/>
      <c r="AK164" s="104">
        <f t="shared" si="18"/>
        <v>13</v>
      </c>
      <c r="AL164" s="105">
        <f t="shared" si="19"/>
        <v>0</v>
      </c>
      <c r="AM164" s="105">
        <f t="shared" si="20"/>
        <v>0</v>
      </c>
      <c r="AN164" s="123">
        <v>45985</v>
      </c>
      <c r="AO164" s="106"/>
      <c r="AP164" s="84"/>
      <c r="AQ164" s="84"/>
      <c r="AR164" s="84"/>
      <c r="AS164" s="84"/>
      <c r="AT164" s="82"/>
    </row>
    <row r="165" spans="1:46" ht="13.5" customHeight="1" x14ac:dyDescent="0.3">
      <c r="A165" s="121" t="s">
        <v>753</v>
      </c>
      <c r="B165" s="103">
        <v>160</v>
      </c>
      <c r="C165" s="169" t="s">
        <v>265</v>
      </c>
      <c r="D165" s="121" t="s">
        <v>557</v>
      </c>
      <c r="E165" s="171" t="s">
        <v>431</v>
      </c>
      <c r="F165" s="91" t="s">
        <v>833</v>
      </c>
      <c r="G165" s="91"/>
      <c r="H165" s="91" t="s">
        <v>833</v>
      </c>
      <c r="I165" s="91"/>
      <c r="J165" s="91" t="s">
        <v>833</v>
      </c>
      <c r="K165" s="91"/>
      <c r="L165" s="91"/>
      <c r="M165" s="91"/>
      <c r="N165" s="91" t="s">
        <v>833</v>
      </c>
      <c r="O165" s="91" t="s">
        <v>833</v>
      </c>
      <c r="P165" s="91"/>
      <c r="Q165" s="91" t="s">
        <v>833</v>
      </c>
      <c r="R165" s="91"/>
      <c r="S165" s="91"/>
      <c r="T165" s="91"/>
      <c r="U165" s="91" t="s">
        <v>833</v>
      </c>
      <c r="V165" s="91" t="s">
        <v>833</v>
      </c>
      <c r="W165" s="91"/>
      <c r="X165" s="91" t="s">
        <v>833</v>
      </c>
      <c r="Y165" s="91"/>
      <c r="Z165" s="91"/>
      <c r="AA165" s="91"/>
      <c r="AB165" s="91" t="s">
        <v>833</v>
      </c>
      <c r="AC165" s="91" t="s">
        <v>833</v>
      </c>
      <c r="AD165" s="91"/>
      <c r="AE165" s="91" t="s">
        <v>833</v>
      </c>
      <c r="AF165" s="91"/>
      <c r="AG165" s="91"/>
      <c r="AH165" s="91" t="s">
        <v>833</v>
      </c>
      <c r="AI165" s="91"/>
      <c r="AJ165" s="91"/>
      <c r="AK165" s="104">
        <f t="shared" si="18"/>
        <v>13</v>
      </c>
      <c r="AL165" s="105">
        <f t="shared" si="19"/>
        <v>0</v>
      </c>
      <c r="AM165" s="105">
        <f t="shared" si="20"/>
        <v>0</v>
      </c>
      <c r="AN165" s="123">
        <v>45985</v>
      </c>
      <c r="AO165" s="106"/>
      <c r="AP165" s="84"/>
      <c r="AQ165" s="84"/>
      <c r="AR165" s="84"/>
      <c r="AS165" s="84"/>
      <c r="AT165" s="82"/>
    </row>
    <row r="166" spans="1:46" ht="13.5" customHeight="1" x14ac:dyDescent="0.3">
      <c r="A166" s="121" t="s">
        <v>754</v>
      </c>
      <c r="B166" s="103">
        <v>161</v>
      </c>
      <c r="C166" s="169" t="s">
        <v>266</v>
      </c>
      <c r="D166" s="121" t="s">
        <v>559</v>
      </c>
      <c r="E166" s="171" t="s">
        <v>560</v>
      </c>
      <c r="F166" s="91" t="s">
        <v>833</v>
      </c>
      <c r="G166" s="91"/>
      <c r="H166" s="91" t="s">
        <v>833</v>
      </c>
      <c r="I166" s="91" t="s">
        <v>833</v>
      </c>
      <c r="J166" s="91"/>
      <c r="K166" s="91"/>
      <c r="L166" s="91"/>
      <c r="M166" s="91" t="s">
        <v>833</v>
      </c>
      <c r="N166" s="91"/>
      <c r="O166" s="91" t="s">
        <v>833</v>
      </c>
      <c r="P166" s="91" t="s">
        <v>833</v>
      </c>
      <c r="Q166" s="91"/>
      <c r="R166" s="91"/>
      <c r="S166" s="91"/>
      <c r="T166" s="91" t="s">
        <v>833</v>
      </c>
      <c r="U166" s="91"/>
      <c r="V166" s="91" t="s">
        <v>833</v>
      </c>
      <c r="W166" s="91" t="s">
        <v>833</v>
      </c>
      <c r="X166" s="91"/>
      <c r="Y166" s="91"/>
      <c r="Z166" s="91"/>
      <c r="AA166" s="91" t="s">
        <v>833</v>
      </c>
      <c r="AB166" s="91"/>
      <c r="AC166" s="91" t="s">
        <v>833</v>
      </c>
      <c r="AD166" s="91" t="s">
        <v>833</v>
      </c>
      <c r="AE166" s="91"/>
      <c r="AF166" s="91"/>
      <c r="AG166" s="91"/>
      <c r="AH166" s="91" t="s">
        <v>833</v>
      </c>
      <c r="AI166" s="91"/>
      <c r="AJ166" s="91" t="s">
        <v>833</v>
      </c>
      <c r="AK166" s="104">
        <f t="shared" si="18"/>
        <v>14</v>
      </c>
      <c r="AL166" s="105">
        <f t="shared" si="19"/>
        <v>0</v>
      </c>
      <c r="AM166" s="105">
        <f t="shared" si="20"/>
        <v>0</v>
      </c>
      <c r="AN166" s="123">
        <v>45985</v>
      </c>
      <c r="AO166" s="106"/>
      <c r="AP166" s="84"/>
      <c r="AQ166" s="84"/>
      <c r="AR166" s="84"/>
      <c r="AS166" s="84"/>
      <c r="AT166" s="82"/>
    </row>
    <row r="167" spans="1:46" ht="13.5" customHeight="1" x14ac:dyDescent="0.3">
      <c r="A167" s="121" t="s">
        <v>755</v>
      </c>
      <c r="B167" s="103">
        <v>162</v>
      </c>
      <c r="C167" s="169" t="s">
        <v>267</v>
      </c>
      <c r="D167" s="121" t="s">
        <v>561</v>
      </c>
      <c r="E167" s="171" t="s">
        <v>562</v>
      </c>
      <c r="F167" s="91"/>
      <c r="G167" s="91" t="s">
        <v>833</v>
      </c>
      <c r="H167" s="91" t="s">
        <v>833</v>
      </c>
      <c r="I167" s="91" t="s">
        <v>833</v>
      </c>
      <c r="J167" s="91"/>
      <c r="K167" s="91"/>
      <c r="L167" s="91"/>
      <c r="M167" s="91"/>
      <c r="N167" s="91" t="s">
        <v>833</v>
      </c>
      <c r="O167" s="91" t="s">
        <v>833</v>
      </c>
      <c r="P167" s="91" t="s">
        <v>833</v>
      </c>
      <c r="Q167" s="91"/>
      <c r="R167" s="91"/>
      <c r="S167" s="91"/>
      <c r="T167" s="91"/>
      <c r="U167" s="91" t="s">
        <v>833</v>
      </c>
      <c r="V167" s="91" t="s">
        <v>833</v>
      </c>
      <c r="W167" s="91" t="s">
        <v>833</v>
      </c>
      <c r="X167" s="91"/>
      <c r="Y167" s="91"/>
      <c r="Z167" s="91"/>
      <c r="AA167" s="91"/>
      <c r="AB167" s="91" t="s">
        <v>833</v>
      </c>
      <c r="AC167" s="91" t="s">
        <v>833</v>
      </c>
      <c r="AD167" s="91" t="s">
        <v>833</v>
      </c>
      <c r="AE167" s="91"/>
      <c r="AF167" s="91"/>
      <c r="AG167" s="91"/>
      <c r="AH167" s="91"/>
      <c r="AI167" s="91" t="s">
        <v>833</v>
      </c>
      <c r="AJ167" s="91" t="s">
        <v>833</v>
      </c>
      <c r="AK167" s="104">
        <f t="shared" ref="AK167:AK194" si="21">+COUNTIF(F167:AJ167,"X")+COUNTIF(F167:AJ167,"E")</f>
        <v>14</v>
      </c>
      <c r="AL167" s="105">
        <f t="shared" ref="AL167:AL194" si="22">+COUNTIF(F167:AJ167,"R")+COUNTIF(F167:AJ167,"T")+COUNTIF(F167:AJ167,"İ")</f>
        <v>0</v>
      </c>
      <c r="AM167" s="105">
        <f t="shared" ref="AM167:AM194" si="23">+COUNTIF(F167:AJ167,"İ")</f>
        <v>0</v>
      </c>
      <c r="AN167" s="123">
        <v>45985</v>
      </c>
      <c r="AO167" s="106"/>
      <c r="AP167" s="84"/>
      <c r="AQ167" s="84"/>
      <c r="AR167" s="84"/>
      <c r="AS167" s="84"/>
      <c r="AT167" s="82"/>
    </row>
    <row r="168" spans="1:46" ht="13.5" customHeight="1" x14ac:dyDescent="0.3">
      <c r="A168" s="121" t="s">
        <v>756</v>
      </c>
      <c r="B168" s="103">
        <v>163</v>
      </c>
      <c r="C168" s="169" t="s">
        <v>268</v>
      </c>
      <c r="D168" s="121" t="s">
        <v>563</v>
      </c>
      <c r="E168" s="171" t="s">
        <v>339</v>
      </c>
      <c r="F168" s="91"/>
      <c r="G168" s="91"/>
      <c r="H168" s="91" t="s">
        <v>833</v>
      </c>
      <c r="I168" s="91" t="s">
        <v>833</v>
      </c>
      <c r="J168" s="91" t="s">
        <v>833</v>
      </c>
      <c r="K168" s="91"/>
      <c r="L168" s="91"/>
      <c r="M168" s="91"/>
      <c r="N168" s="91"/>
      <c r="O168" s="91" t="s">
        <v>833</v>
      </c>
      <c r="P168" s="195" t="s">
        <v>837</v>
      </c>
      <c r="Q168" s="195" t="s">
        <v>837</v>
      </c>
      <c r="R168" s="91"/>
      <c r="S168" s="91"/>
      <c r="T168" s="91"/>
      <c r="U168" s="91"/>
      <c r="V168" s="195" t="s">
        <v>837</v>
      </c>
      <c r="W168" s="91" t="s">
        <v>833</v>
      </c>
      <c r="X168" s="91" t="s">
        <v>833</v>
      </c>
      <c r="Y168" s="91"/>
      <c r="Z168" s="91"/>
      <c r="AA168" s="91"/>
      <c r="AB168" s="91"/>
      <c r="AC168" s="91" t="s">
        <v>833</v>
      </c>
      <c r="AD168" s="91" t="s">
        <v>833</v>
      </c>
      <c r="AE168" s="91" t="s">
        <v>833</v>
      </c>
      <c r="AF168" s="91"/>
      <c r="AG168" s="91"/>
      <c r="AH168" s="91"/>
      <c r="AI168" s="91"/>
      <c r="AJ168" s="91" t="s">
        <v>833</v>
      </c>
      <c r="AK168" s="104">
        <f t="shared" si="21"/>
        <v>10</v>
      </c>
      <c r="AL168" s="105">
        <f t="shared" si="22"/>
        <v>3</v>
      </c>
      <c r="AM168" s="105">
        <f t="shared" si="23"/>
        <v>3</v>
      </c>
      <c r="AN168" s="123">
        <v>45985</v>
      </c>
      <c r="AO168" s="106"/>
      <c r="AP168" s="84"/>
      <c r="AQ168" s="84"/>
      <c r="AR168" s="84"/>
      <c r="AS168" s="84"/>
      <c r="AT168" s="82"/>
    </row>
    <row r="169" spans="1:46" ht="13.5" customHeight="1" x14ac:dyDescent="0.3">
      <c r="A169" s="121" t="s">
        <v>757</v>
      </c>
      <c r="B169" s="103">
        <v>164</v>
      </c>
      <c r="C169" s="169" t="s">
        <v>269</v>
      </c>
      <c r="D169" s="121" t="s">
        <v>564</v>
      </c>
      <c r="E169" s="171" t="s">
        <v>565</v>
      </c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104">
        <f t="shared" si="21"/>
        <v>0</v>
      </c>
      <c r="AL169" s="105">
        <f t="shared" si="22"/>
        <v>0</v>
      </c>
      <c r="AM169" s="105">
        <f t="shared" si="23"/>
        <v>0</v>
      </c>
      <c r="AN169" s="123">
        <v>45985</v>
      </c>
      <c r="AO169" s="106">
        <v>46022</v>
      </c>
      <c r="AP169" s="84"/>
      <c r="AQ169" s="84"/>
      <c r="AR169" s="84"/>
      <c r="AS169" s="84"/>
      <c r="AT169" s="82"/>
    </row>
    <row r="170" spans="1:46" ht="13.5" customHeight="1" x14ac:dyDescent="0.3">
      <c r="A170" s="121" t="s">
        <v>758</v>
      </c>
      <c r="B170" s="103">
        <v>165</v>
      </c>
      <c r="C170" s="169" t="s">
        <v>270</v>
      </c>
      <c r="D170" s="121" t="s">
        <v>566</v>
      </c>
      <c r="E170" s="171" t="s">
        <v>438</v>
      </c>
      <c r="F170" s="91"/>
      <c r="G170" s="91" t="s">
        <v>833</v>
      </c>
      <c r="H170" s="91" t="s">
        <v>833</v>
      </c>
      <c r="I170" s="91" t="s">
        <v>833</v>
      </c>
      <c r="J170" s="91"/>
      <c r="K170" s="91"/>
      <c r="L170" s="91"/>
      <c r="M170" s="91"/>
      <c r="N170" s="91"/>
      <c r="O170" s="91" t="s">
        <v>833</v>
      </c>
      <c r="P170" s="91" t="s">
        <v>833</v>
      </c>
      <c r="Q170" s="91" t="s">
        <v>833</v>
      </c>
      <c r="R170" s="91"/>
      <c r="S170" s="91"/>
      <c r="T170" s="91"/>
      <c r="U170" s="91"/>
      <c r="V170" s="91" t="s">
        <v>833</v>
      </c>
      <c r="W170" s="91" t="s">
        <v>833</v>
      </c>
      <c r="X170" s="91" t="s">
        <v>833</v>
      </c>
      <c r="Y170" s="91"/>
      <c r="Z170" s="91"/>
      <c r="AA170" s="91"/>
      <c r="AB170" s="91"/>
      <c r="AC170" s="91" t="s">
        <v>833</v>
      </c>
      <c r="AD170" s="91" t="s">
        <v>833</v>
      </c>
      <c r="AE170" s="91" t="s">
        <v>833</v>
      </c>
      <c r="AF170" s="91"/>
      <c r="AG170" s="91"/>
      <c r="AH170" s="91" t="s">
        <v>833</v>
      </c>
      <c r="AI170" s="91"/>
      <c r="AJ170" s="91" t="s">
        <v>833</v>
      </c>
      <c r="AK170" s="104">
        <f t="shared" si="21"/>
        <v>14</v>
      </c>
      <c r="AL170" s="105">
        <f t="shared" si="22"/>
        <v>0</v>
      </c>
      <c r="AM170" s="105">
        <f t="shared" si="23"/>
        <v>0</v>
      </c>
      <c r="AN170" s="123">
        <v>45985</v>
      </c>
      <c r="AO170" s="106"/>
      <c r="AP170" s="84"/>
      <c r="AQ170" s="84"/>
      <c r="AR170" s="84"/>
      <c r="AS170" s="84"/>
      <c r="AT170" s="83"/>
    </row>
    <row r="171" spans="1:46" ht="13.5" customHeight="1" x14ac:dyDescent="0.3">
      <c r="A171" s="121" t="s">
        <v>759</v>
      </c>
      <c r="B171" s="103">
        <v>166</v>
      </c>
      <c r="C171" s="169" t="s">
        <v>271</v>
      </c>
      <c r="D171" s="121" t="s">
        <v>567</v>
      </c>
      <c r="E171" s="171" t="s">
        <v>568</v>
      </c>
      <c r="F171" s="91" t="s">
        <v>833</v>
      </c>
      <c r="G171" s="91"/>
      <c r="H171" s="91"/>
      <c r="I171" s="91"/>
      <c r="J171" s="91" t="s">
        <v>833</v>
      </c>
      <c r="K171" s="91"/>
      <c r="L171" s="91"/>
      <c r="M171" s="91" t="s">
        <v>833</v>
      </c>
      <c r="N171" s="91"/>
      <c r="O171" s="91"/>
      <c r="P171" s="91"/>
      <c r="Q171" s="91" t="s">
        <v>833</v>
      </c>
      <c r="R171" s="91"/>
      <c r="S171" s="91"/>
      <c r="T171" s="91" t="s">
        <v>833</v>
      </c>
      <c r="U171" s="91"/>
      <c r="V171" s="91"/>
      <c r="W171" s="91"/>
      <c r="X171" s="91" t="s">
        <v>833</v>
      </c>
      <c r="Y171" s="91"/>
      <c r="Z171" s="91"/>
      <c r="AA171" s="91" t="s">
        <v>833</v>
      </c>
      <c r="AB171" s="91"/>
      <c r="AC171" s="91"/>
      <c r="AD171" s="91"/>
      <c r="AE171" s="91" t="s">
        <v>833</v>
      </c>
      <c r="AF171" s="91"/>
      <c r="AG171" s="91"/>
      <c r="AH171" s="91" t="s">
        <v>833</v>
      </c>
      <c r="AI171" s="91"/>
      <c r="AJ171" s="91"/>
      <c r="AK171" s="104">
        <f t="shared" si="21"/>
        <v>9</v>
      </c>
      <c r="AL171" s="105">
        <f t="shared" si="22"/>
        <v>0</v>
      </c>
      <c r="AM171" s="105">
        <f t="shared" si="23"/>
        <v>0</v>
      </c>
      <c r="AN171" s="123">
        <v>45985</v>
      </c>
      <c r="AO171" s="106"/>
      <c r="AP171" s="84"/>
      <c r="AQ171" s="84"/>
      <c r="AR171" s="84"/>
      <c r="AS171" s="84"/>
      <c r="AT171" s="82"/>
    </row>
    <row r="172" spans="1:46" ht="13.5" customHeight="1" x14ac:dyDescent="0.3">
      <c r="A172" s="121" t="s">
        <v>760</v>
      </c>
      <c r="B172" s="103">
        <v>167</v>
      </c>
      <c r="C172" s="169" t="s">
        <v>272</v>
      </c>
      <c r="D172" s="121" t="s">
        <v>569</v>
      </c>
      <c r="E172" s="171" t="s">
        <v>570</v>
      </c>
      <c r="F172" s="91" t="s">
        <v>833</v>
      </c>
      <c r="G172" s="91"/>
      <c r="H172" s="91" t="s">
        <v>833</v>
      </c>
      <c r="I172" s="91" t="s">
        <v>833</v>
      </c>
      <c r="J172" s="91"/>
      <c r="K172" s="91"/>
      <c r="L172" s="91"/>
      <c r="M172" s="91" t="s">
        <v>833</v>
      </c>
      <c r="N172" s="91"/>
      <c r="O172" s="91" t="s">
        <v>833</v>
      </c>
      <c r="P172" s="91" t="s">
        <v>833</v>
      </c>
      <c r="Q172" s="91"/>
      <c r="R172" s="91"/>
      <c r="S172" s="91"/>
      <c r="T172" s="91" t="s">
        <v>833</v>
      </c>
      <c r="U172" s="91"/>
      <c r="V172" s="91" t="s">
        <v>833</v>
      </c>
      <c r="W172" s="91" t="s">
        <v>833</v>
      </c>
      <c r="X172" s="91"/>
      <c r="Y172" s="91"/>
      <c r="Z172" s="91"/>
      <c r="AA172" s="91" t="s">
        <v>833</v>
      </c>
      <c r="AB172" s="91"/>
      <c r="AC172" s="91" t="s">
        <v>833</v>
      </c>
      <c r="AD172" s="91" t="s">
        <v>833</v>
      </c>
      <c r="AE172" s="91"/>
      <c r="AF172" s="91"/>
      <c r="AG172" s="91"/>
      <c r="AH172" s="91" t="s">
        <v>833</v>
      </c>
      <c r="AI172" s="91"/>
      <c r="AJ172" s="91" t="s">
        <v>833</v>
      </c>
      <c r="AK172" s="104">
        <f t="shared" si="21"/>
        <v>14</v>
      </c>
      <c r="AL172" s="105">
        <f t="shared" si="22"/>
        <v>0</v>
      </c>
      <c r="AM172" s="105">
        <f t="shared" si="23"/>
        <v>0</v>
      </c>
      <c r="AN172" s="123">
        <v>45985</v>
      </c>
      <c r="AO172" s="106"/>
      <c r="AP172" s="84"/>
      <c r="AQ172" s="84"/>
      <c r="AR172" s="84"/>
      <c r="AS172" s="84"/>
      <c r="AT172" s="82"/>
    </row>
    <row r="173" spans="1:46" ht="13.5" customHeight="1" x14ac:dyDescent="0.3">
      <c r="A173" s="121" t="s">
        <v>761</v>
      </c>
      <c r="B173" s="103">
        <v>168</v>
      </c>
      <c r="C173" s="169" t="s">
        <v>273</v>
      </c>
      <c r="D173" s="121" t="s">
        <v>571</v>
      </c>
      <c r="E173" s="171" t="s">
        <v>329</v>
      </c>
      <c r="F173" s="91" t="s">
        <v>833</v>
      </c>
      <c r="G173" s="91" t="s">
        <v>833</v>
      </c>
      <c r="H173" s="91" t="s">
        <v>833</v>
      </c>
      <c r="I173" s="91"/>
      <c r="J173" s="91"/>
      <c r="K173" s="91"/>
      <c r="L173" s="91"/>
      <c r="M173" s="91" t="s">
        <v>833</v>
      </c>
      <c r="N173" s="91" t="s">
        <v>833</v>
      </c>
      <c r="O173" s="91" t="s">
        <v>833</v>
      </c>
      <c r="P173" s="91"/>
      <c r="Q173" s="91"/>
      <c r="R173" s="91"/>
      <c r="S173" s="91"/>
      <c r="T173" s="91" t="s">
        <v>833</v>
      </c>
      <c r="U173" s="91" t="s">
        <v>833</v>
      </c>
      <c r="V173" s="91" t="s">
        <v>833</v>
      </c>
      <c r="W173" s="91"/>
      <c r="X173" s="91"/>
      <c r="Y173" s="91"/>
      <c r="Z173" s="91"/>
      <c r="AA173" s="91" t="s">
        <v>833</v>
      </c>
      <c r="AB173" s="91" t="s">
        <v>833</v>
      </c>
      <c r="AC173" s="91" t="s">
        <v>833</v>
      </c>
      <c r="AD173" s="91"/>
      <c r="AE173" s="91"/>
      <c r="AF173" s="91"/>
      <c r="AG173" s="91"/>
      <c r="AH173" s="91" t="s">
        <v>833</v>
      </c>
      <c r="AI173" s="91" t="s">
        <v>833</v>
      </c>
      <c r="AJ173" s="91" t="s">
        <v>833</v>
      </c>
      <c r="AK173" s="104">
        <f t="shared" si="21"/>
        <v>15</v>
      </c>
      <c r="AL173" s="105">
        <f t="shared" si="22"/>
        <v>0</v>
      </c>
      <c r="AM173" s="105">
        <f t="shared" si="23"/>
        <v>0</v>
      </c>
      <c r="AN173" s="123">
        <v>45985</v>
      </c>
      <c r="AO173" s="106"/>
      <c r="AP173" s="84"/>
      <c r="AQ173" s="84"/>
      <c r="AR173" s="84"/>
      <c r="AS173" s="84"/>
      <c r="AT173" s="82"/>
    </row>
    <row r="174" spans="1:46" ht="13.5" customHeight="1" x14ac:dyDescent="0.3">
      <c r="A174" s="121" t="s">
        <v>762</v>
      </c>
      <c r="B174" s="103">
        <v>169</v>
      </c>
      <c r="C174" s="169" t="s">
        <v>274</v>
      </c>
      <c r="D174" s="121" t="s">
        <v>572</v>
      </c>
      <c r="E174" s="171" t="s">
        <v>573</v>
      </c>
      <c r="F174" s="91" t="s">
        <v>833</v>
      </c>
      <c r="G174" s="91" t="s">
        <v>833</v>
      </c>
      <c r="H174" s="91" t="s">
        <v>833</v>
      </c>
      <c r="I174" s="91"/>
      <c r="J174" s="91"/>
      <c r="K174" s="91"/>
      <c r="L174" s="91"/>
      <c r="M174" s="91" t="s">
        <v>833</v>
      </c>
      <c r="N174" s="91" t="s">
        <v>833</v>
      </c>
      <c r="O174" s="91" t="s">
        <v>833</v>
      </c>
      <c r="P174" s="91"/>
      <c r="Q174" s="91"/>
      <c r="R174" s="91"/>
      <c r="S174" s="91"/>
      <c r="T174" s="91" t="s">
        <v>833</v>
      </c>
      <c r="U174" s="91" t="s">
        <v>833</v>
      </c>
      <c r="V174" s="91" t="s">
        <v>833</v>
      </c>
      <c r="W174" s="91"/>
      <c r="X174" s="91"/>
      <c r="Y174" s="91"/>
      <c r="Z174" s="91"/>
      <c r="AA174" s="91" t="s">
        <v>833</v>
      </c>
      <c r="AB174" s="91" t="s">
        <v>833</v>
      </c>
      <c r="AC174" s="91" t="s">
        <v>833</v>
      </c>
      <c r="AD174" s="91"/>
      <c r="AE174" s="91"/>
      <c r="AF174" s="91"/>
      <c r="AG174" s="91"/>
      <c r="AH174" s="91" t="s">
        <v>833</v>
      </c>
      <c r="AI174" s="91" t="s">
        <v>833</v>
      </c>
      <c r="AJ174" s="91" t="s">
        <v>833</v>
      </c>
      <c r="AK174" s="104">
        <f t="shared" si="21"/>
        <v>15</v>
      </c>
      <c r="AL174" s="105">
        <f t="shared" si="22"/>
        <v>0</v>
      </c>
      <c r="AM174" s="105">
        <f t="shared" si="23"/>
        <v>0</v>
      </c>
      <c r="AN174" s="123">
        <v>45985</v>
      </c>
      <c r="AO174" s="106"/>
      <c r="AP174" s="84"/>
      <c r="AQ174" s="84"/>
      <c r="AR174" s="84"/>
      <c r="AS174" s="84"/>
      <c r="AT174" s="83"/>
    </row>
    <row r="175" spans="1:46" ht="13.5" customHeight="1" x14ac:dyDescent="0.3">
      <c r="A175" s="121" t="s">
        <v>763</v>
      </c>
      <c r="B175" s="103">
        <v>170</v>
      </c>
      <c r="C175" s="169" t="s">
        <v>275</v>
      </c>
      <c r="D175" s="121" t="s">
        <v>574</v>
      </c>
      <c r="E175" s="171" t="s">
        <v>575</v>
      </c>
      <c r="F175" s="91"/>
      <c r="G175" s="91"/>
      <c r="H175" s="91"/>
      <c r="I175" s="91"/>
      <c r="J175" s="91"/>
      <c r="K175" s="91"/>
      <c r="L175" s="91"/>
      <c r="M175" s="91" t="s">
        <v>833</v>
      </c>
      <c r="N175" s="91"/>
      <c r="O175" s="91" t="s">
        <v>833</v>
      </c>
      <c r="P175" s="91"/>
      <c r="Q175" s="91"/>
      <c r="R175" s="91"/>
      <c r="S175" s="91" t="s">
        <v>833</v>
      </c>
      <c r="T175" s="91" t="s">
        <v>833</v>
      </c>
      <c r="U175" s="91"/>
      <c r="V175" s="91" t="s">
        <v>833</v>
      </c>
      <c r="W175" s="91"/>
      <c r="X175" s="91"/>
      <c r="Y175" s="91"/>
      <c r="Z175" s="91" t="s">
        <v>833</v>
      </c>
      <c r="AA175" s="91" t="s">
        <v>833</v>
      </c>
      <c r="AB175" s="91"/>
      <c r="AC175" s="91" t="s">
        <v>833</v>
      </c>
      <c r="AD175" s="91"/>
      <c r="AE175" s="91"/>
      <c r="AF175" s="91"/>
      <c r="AG175" s="91" t="s">
        <v>833</v>
      </c>
      <c r="AH175" s="91" t="s">
        <v>833</v>
      </c>
      <c r="AI175" s="91"/>
      <c r="AJ175" s="91" t="s">
        <v>833</v>
      </c>
      <c r="AK175" s="104">
        <f t="shared" si="21"/>
        <v>11</v>
      </c>
      <c r="AL175" s="105">
        <f t="shared" si="22"/>
        <v>0</v>
      </c>
      <c r="AM175" s="105">
        <f t="shared" si="23"/>
        <v>0</v>
      </c>
      <c r="AN175" s="123">
        <v>45985</v>
      </c>
      <c r="AO175" s="106"/>
      <c r="AP175" s="84"/>
      <c r="AQ175" s="84"/>
      <c r="AR175" s="84"/>
      <c r="AS175" s="84"/>
      <c r="AT175" s="87"/>
    </row>
    <row r="176" spans="1:46" ht="13.5" customHeight="1" x14ac:dyDescent="0.3">
      <c r="A176" s="121" t="s">
        <v>764</v>
      </c>
      <c r="B176" s="103">
        <v>171</v>
      </c>
      <c r="C176" s="169" t="s">
        <v>276</v>
      </c>
      <c r="D176" s="121" t="s">
        <v>576</v>
      </c>
      <c r="E176" s="171" t="s">
        <v>577</v>
      </c>
      <c r="F176" s="91"/>
      <c r="G176" s="91"/>
      <c r="H176" s="91"/>
      <c r="I176" s="91"/>
      <c r="J176" s="91" t="s">
        <v>833</v>
      </c>
      <c r="K176" s="91" t="s">
        <v>833</v>
      </c>
      <c r="L176" s="91" t="s">
        <v>833</v>
      </c>
      <c r="M176" s="91"/>
      <c r="N176" s="91"/>
      <c r="O176" s="91"/>
      <c r="P176" s="91"/>
      <c r="Q176" s="91" t="s">
        <v>833</v>
      </c>
      <c r="R176" s="91" t="s">
        <v>833</v>
      </c>
      <c r="S176" s="91" t="s">
        <v>833</v>
      </c>
      <c r="T176" s="91"/>
      <c r="U176" s="91"/>
      <c r="V176" s="91"/>
      <c r="W176" s="91"/>
      <c r="X176" s="91" t="s">
        <v>833</v>
      </c>
      <c r="Y176" s="91" t="s">
        <v>833</v>
      </c>
      <c r="Z176" s="91" t="s">
        <v>833</v>
      </c>
      <c r="AA176" s="91"/>
      <c r="AB176" s="91"/>
      <c r="AC176" s="91"/>
      <c r="AD176" s="91"/>
      <c r="AE176" s="91" t="s">
        <v>833</v>
      </c>
      <c r="AF176" s="91" t="s">
        <v>833</v>
      </c>
      <c r="AG176" s="91" t="s">
        <v>833</v>
      </c>
      <c r="AH176" s="91"/>
      <c r="AI176" s="91"/>
      <c r="AJ176" s="91"/>
      <c r="AK176" s="104">
        <f t="shared" si="21"/>
        <v>12</v>
      </c>
      <c r="AL176" s="105">
        <f t="shared" si="22"/>
        <v>0</v>
      </c>
      <c r="AM176" s="105">
        <f t="shared" si="23"/>
        <v>0</v>
      </c>
      <c r="AN176" s="123">
        <v>45985</v>
      </c>
      <c r="AO176" s="106"/>
      <c r="AP176" s="84"/>
      <c r="AQ176" s="84"/>
      <c r="AR176" s="84"/>
      <c r="AS176" s="84"/>
      <c r="AT176" s="82"/>
    </row>
    <row r="177" spans="1:46" ht="13.5" customHeight="1" x14ac:dyDescent="0.3">
      <c r="A177" s="121" t="s">
        <v>765</v>
      </c>
      <c r="B177" s="103">
        <v>172</v>
      </c>
      <c r="C177" s="169" t="s">
        <v>277</v>
      </c>
      <c r="D177" s="121" t="s">
        <v>578</v>
      </c>
      <c r="E177" s="171" t="s">
        <v>579</v>
      </c>
      <c r="F177" s="91" t="s">
        <v>833</v>
      </c>
      <c r="G177" s="91" t="s">
        <v>833</v>
      </c>
      <c r="H177" s="91" t="s">
        <v>833</v>
      </c>
      <c r="I177" s="91"/>
      <c r="J177" s="91"/>
      <c r="K177" s="91"/>
      <c r="L177" s="91"/>
      <c r="M177" s="91" t="s">
        <v>833</v>
      </c>
      <c r="N177" s="91" t="s">
        <v>833</v>
      </c>
      <c r="O177" s="91" t="s">
        <v>833</v>
      </c>
      <c r="P177" s="91"/>
      <c r="Q177" s="91"/>
      <c r="R177" s="91"/>
      <c r="S177" s="91"/>
      <c r="T177" s="91" t="s">
        <v>833</v>
      </c>
      <c r="U177" s="91" t="s">
        <v>833</v>
      </c>
      <c r="V177" s="91" t="s">
        <v>833</v>
      </c>
      <c r="W177" s="91"/>
      <c r="X177" s="91"/>
      <c r="Y177" s="91"/>
      <c r="Z177" s="91"/>
      <c r="AA177" s="91" t="s">
        <v>833</v>
      </c>
      <c r="AB177" s="91" t="s">
        <v>833</v>
      </c>
      <c r="AC177" s="91" t="s">
        <v>833</v>
      </c>
      <c r="AD177" s="91"/>
      <c r="AE177" s="91"/>
      <c r="AF177" s="91"/>
      <c r="AG177" s="91"/>
      <c r="AH177" s="91" t="s">
        <v>833</v>
      </c>
      <c r="AI177" s="91" t="s">
        <v>833</v>
      </c>
      <c r="AJ177" s="91" t="s">
        <v>833</v>
      </c>
      <c r="AK177" s="104">
        <f t="shared" si="21"/>
        <v>15</v>
      </c>
      <c r="AL177" s="105">
        <f t="shared" si="22"/>
        <v>0</v>
      </c>
      <c r="AM177" s="105">
        <f t="shared" si="23"/>
        <v>0</v>
      </c>
      <c r="AN177" s="123">
        <v>45985</v>
      </c>
      <c r="AO177" s="106"/>
      <c r="AP177" s="84"/>
      <c r="AQ177" s="84"/>
      <c r="AR177" s="84"/>
      <c r="AS177" s="84"/>
      <c r="AT177" s="82"/>
    </row>
    <row r="178" spans="1:46" ht="13.5" customHeight="1" x14ac:dyDescent="0.3">
      <c r="A178" s="121" t="s">
        <v>766</v>
      </c>
      <c r="B178" s="103">
        <v>173</v>
      </c>
      <c r="C178" s="169" t="s">
        <v>278</v>
      </c>
      <c r="D178" s="121" t="s">
        <v>580</v>
      </c>
      <c r="E178" s="171" t="s">
        <v>81</v>
      </c>
      <c r="F178" s="91"/>
      <c r="G178" s="91"/>
      <c r="H178" s="91" t="s">
        <v>833</v>
      </c>
      <c r="I178" s="91" t="s">
        <v>833</v>
      </c>
      <c r="J178" s="91" t="s">
        <v>833</v>
      </c>
      <c r="K178" s="91"/>
      <c r="L178" s="91"/>
      <c r="M178" s="91"/>
      <c r="N178" s="91"/>
      <c r="O178" s="91" t="s">
        <v>833</v>
      </c>
      <c r="P178" s="91" t="s">
        <v>833</v>
      </c>
      <c r="Q178" s="91" t="s">
        <v>833</v>
      </c>
      <c r="R178" s="91"/>
      <c r="S178" s="91"/>
      <c r="T178" s="91"/>
      <c r="U178" s="91"/>
      <c r="V178" s="91" t="s">
        <v>833</v>
      </c>
      <c r="W178" s="91" t="s">
        <v>833</v>
      </c>
      <c r="X178" s="91" t="s">
        <v>833</v>
      </c>
      <c r="Y178" s="91"/>
      <c r="Z178" s="91"/>
      <c r="AA178" s="91"/>
      <c r="AB178" s="91"/>
      <c r="AC178" s="196" t="s">
        <v>836</v>
      </c>
      <c r="AD178" s="91" t="s">
        <v>833</v>
      </c>
      <c r="AE178" s="91" t="s">
        <v>833</v>
      </c>
      <c r="AF178" s="91"/>
      <c r="AG178" s="91"/>
      <c r="AH178" s="91"/>
      <c r="AI178" s="91"/>
      <c r="AJ178" s="91" t="s">
        <v>833</v>
      </c>
      <c r="AK178" s="104">
        <f t="shared" si="21"/>
        <v>12</v>
      </c>
      <c r="AL178" s="105">
        <f t="shared" si="22"/>
        <v>1</v>
      </c>
      <c r="AM178" s="105">
        <f t="shared" si="23"/>
        <v>0</v>
      </c>
      <c r="AN178" s="123">
        <v>45985</v>
      </c>
      <c r="AO178" s="106"/>
      <c r="AP178" s="84"/>
      <c r="AQ178" s="84"/>
      <c r="AR178" s="84"/>
      <c r="AS178" s="84"/>
      <c r="AT178" s="82"/>
    </row>
    <row r="179" spans="1:46" ht="13.5" customHeight="1" x14ac:dyDescent="0.3">
      <c r="A179" s="121" t="s">
        <v>767</v>
      </c>
      <c r="B179" s="103">
        <v>174</v>
      </c>
      <c r="C179" s="169" t="s">
        <v>279</v>
      </c>
      <c r="D179" s="121" t="s">
        <v>581</v>
      </c>
      <c r="E179" s="171" t="s">
        <v>582</v>
      </c>
      <c r="F179" s="91" t="s">
        <v>833</v>
      </c>
      <c r="G179" s="91"/>
      <c r="H179" s="91"/>
      <c r="I179" s="91" t="s">
        <v>833</v>
      </c>
      <c r="J179" s="91" t="s">
        <v>833</v>
      </c>
      <c r="K179" s="91"/>
      <c r="L179" s="91"/>
      <c r="M179" s="91" t="s">
        <v>833</v>
      </c>
      <c r="N179" s="91"/>
      <c r="O179" s="91"/>
      <c r="P179" s="91" t="s">
        <v>833</v>
      </c>
      <c r="Q179" s="91" t="s">
        <v>833</v>
      </c>
      <c r="R179" s="91"/>
      <c r="S179" s="91"/>
      <c r="T179" s="91" t="s">
        <v>833</v>
      </c>
      <c r="U179" s="91"/>
      <c r="V179" s="91"/>
      <c r="W179" s="91" t="s">
        <v>833</v>
      </c>
      <c r="X179" s="91" t="s">
        <v>833</v>
      </c>
      <c r="Y179" s="91"/>
      <c r="Z179" s="91"/>
      <c r="AA179" s="91" t="s">
        <v>833</v>
      </c>
      <c r="AB179" s="91"/>
      <c r="AC179" s="91"/>
      <c r="AD179" s="91" t="s">
        <v>833</v>
      </c>
      <c r="AE179" s="91" t="s">
        <v>833</v>
      </c>
      <c r="AF179" s="91"/>
      <c r="AG179" s="91"/>
      <c r="AH179" s="91" t="s">
        <v>833</v>
      </c>
      <c r="AI179" s="91"/>
      <c r="AJ179" s="91"/>
      <c r="AK179" s="104">
        <f t="shared" si="21"/>
        <v>13</v>
      </c>
      <c r="AL179" s="105">
        <f t="shared" si="22"/>
        <v>0</v>
      </c>
      <c r="AM179" s="105">
        <f t="shared" si="23"/>
        <v>0</v>
      </c>
      <c r="AN179" s="123">
        <v>45985</v>
      </c>
      <c r="AO179" s="106"/>
      <c r="AP179" s="84"/>
      <c r="AQ179" s="84"/>
      <c r="AR179" s="84"/>
      <c r="AS179" s="84"/>
      <c r="AT179" s="82"/>
    </row>
    <row r="180" spans="1:46" ht="13.5" customHeight="1" x14ac:dyDescent="0.3">
      <c r="A180" s="121" t="s">
        <v>768</v>
      </c>
      <c r="B180" s="103">
        <v>175</v>
      </c>
      <c r="C180" s="169" t="s">
        <v>280</v>
      </c>
      <c r="D180" s="121" t="s">
        <v>583</v>
      </c>
      <c r="E180" s="171" t="s">
        <v>584</v>
      </c>
      <c r="F180" s="91"/>
      <c r="G180" s="91" t="s">
        <v>833</v>
      </c>
      <c r="H180" s="91" t="s">
        <v>833</v>
      </c>
      <c r="I180" s="91"/>
      <c r="J180" s="91"/>
      <c r="K180" s="91"/>
      <c r="L180" s="91" t="s">
        <v>833</v>
      </c>
      <c r="M180" s="91"/>
      <c r="N180" s="91" t="s">
        <v>833</v>
      </c>
      <c r="O180" s="91" t="s">
        <v>833</v>
      </c>
      <c r="P180" s="91"/>
      <c r="Q180" s="91"/>
      <c r="R180" s="91"/>
      <c r="S180" s="91" t="s">
        <v>833</v>
      </c>
      <c r="T180" s="91"/>
      <c r="U180" s="91" t="s">
        <v>833</v>
      </c>
      <c r="V180" s="91" t="s">
        <v>833</v>
      </c>
      <c r="W180" s="91"/>
      <c r="X180" s="91"/>
      <c r="Y180" s="91"/>
      <c r="Z180" s="91" t="s">
        <v>833</v>
      </c>
      <c r="AA180" s="91"/>
      <c r="AB180" s="91" t="s">
        <v>833</v>
      </c>
      <c r="AC180" s="91" t="s">
        <v>833</v>
      </c>
      <c r="AD180" s="91"/>
      <c r="AE180" s="91"/>
      <c r="AF180" s="91"/>
      <c r="AG180" s="91" t="s">
        <v>833</v>
      </c>
      <c r="AH180" s="91"/>
      <c r="AI180" s="91" t="s">
        <v>833</v>
      </c>
      <c r="AJ180" s="91" t="s">
        <v>833</v>
      </c>
      <c r="AK180" s="104">
        <f t="shared" si="21"/>
        <v>14</v>
      </c>
      <c r="AL180" s="105">
        <f t="shared" si="22"/>
        <v>0</v>
      </c>
      <c r="AM180" s="105">
        <f t="shared" si="23"/>
        <v>0</v>
      </c>
      <c r="AN180" s="123">
        <v>45985</v>
      </c>
      <c r="AO180" s="106"/>
      <c r="AP180" s="84"/>
      <c r="AQ180" s="84"/>
      <c r="AR180" s="84"/>
      <c r="AS180" s="84"/>
      <c r="AT180" s="82"/>
    </row>
    <row r="181" spans="1:46" ht="13.5" customHeight="1" x14ac:dyDescent="0.3">
      <c r="A181" s="121" t="s">
        <v>769</v>
      </c>
      <c r="B181" s="103">
        <v>176</v>
      </c>
      <c r="C181" s="169" t="s">
        <v>281</v>
      </c>
      <c r="D181" s="121" t="s">
        <v>585</v>
      </c>
      <c r="E181" s="171" t="s">
        <v>586</v>
      </c>
      <c r="F181" s="91" t="s">
        <v>833</v>
      </c>
      <c r="G181" s="91"/>
      <c r="H181" s="91"/>
      <c r="I181" s="91" t="s">
        <v>833</v>
      </c>
      <c r="J181" s="91" t="s">
        <v>833</v>
      </c>
      <c r="K181" s="91"/>
      <c r="L181" s="91"/>
      <c r="M181" s="91" t="s">
        <v>833</v>
      </c>
      <c r="N181" s="91"/>
      <c r="O181" s="91"/>
      <c r="P181" s="91" t="s">
        <v>833</v>
      </c>
      <c r="Q181" s="91" t="s">
        <v>833</v>
      </c>
      <c r="R181" s="91"/>
      <c r="S181" s="91"/>
      <c r="T181" s="91" t="s">
        <v>833</v>
      </c>
      <c r="U181" s="91"/>
      <c r="V181" s="91"/>
      <c r="W181" s="91" t="s">
        <v>833</v>
      </c>
      <c r="X181" s="91" t="s">
        <v>833</v>
      </c>
      <c r="Y181" s="91"/>
      <c r="Z181" s="91"/>
      <c r="AA181" s="91" t="s">
        <v>833</v>
      </c>
      <c r="AB181" s="91"/>
      <c r="AC181" s="91"/>
      <c r="AD181" s="91" t="s">
        <v>833</v>
      </c>
      <c r="AE181" s="91" t="s">
        <v>833</v>
      </c>
      <c r="AF181" s="91"/>
      <c r="AG181" s="91"/>
      <c r="AH181" s="91" t="s">
        <v>833</v>
      </c>
      <c r="AI181" s="91"/>
      <c r="AJ181" s="91"/>
      <c r="AK181" s="104">
        <f t="shared" si="21"/>
        <v>13</v>
      </c>
      <c r="AL181" s="105">
        <f t="shared" si="22"/>
        <v>0</v>
      </c>
      <c r="AM181" s="105">
        <f t="shared" si="23"/>
        <v>0</v>
      </c>
      <c r="AN181" s="123">
        <v>45985</v>
      </c>
      <c r="AO181" s="106"/>
      <c r="AP181" s="84"/>
      <c r="AQ181" s="84"/>
      <c r="AR181" s="84"/>
      <c r="AS181" s="84"/>
      <c r="AT181" s="82"/>
    </row>
    <row r="182" spans="1:46" ht="13.5" customHeight="1" x14ac:dyDescent="0.3">
      <c r="A182" s="121" t="s">
        <v>770</v>
      </c>
      <c r="B182" s="103">
        <v>177</v>
      </c>
      <c r="C182" s="169" t="s">
        <v>282</v>
      </c>
      <c r="D182" s="121" t="s">
        <v>585</v>
      </c>
      <c r="E182" s="171" t="s">
        <v>587</v>
      </c>
      <c r="F182" s="91"/>
      <c r="G182" s="91" t="s">
        <v>833</v>
      </c>
      <c r="H182" s="91"/>
      <c r="I182" s="91" t="s">
        <v>833</v>
      </c>
      <c r="J182" s="91" t="s">
        <v>833</v>
      </c>
      <c r="K182" s="91"/>
      <c r="L182" s="91"/>
      <c r="M182" s="91"/>
      <c r="N182" s="91" t="s">
        <v>833</v>
      </c>
      <c r="O182" s="91"/>
      <c r="P182" s="91" t="s">
        <v>833</v>
      </c>
      <c r="Q182" s="91" t="s">
        <v>833</v>
      </c>
      <c r="R182" s="91"/>
      <c r="S182" s="91"/>
      <c r="T182" s="91"/>
      <c r="U182" s="91" t="s">
        <v>833</v>
      </c>
      <c r="V182" s="91"/>
      <c r="W182" s="91" t="s">
        <v>833</v>
      </c>
      <c r="X182" s="91" t="s">
        <v>833</v>
      </c>
      <c r="Y182" s="91"/>
      <c r="Z182" s="91"/>
      <c r="AA182" s="91"/>
      <c r="AB182" s="91" t="s">
        <v>833</v>
      </c>
      <c r="AC182" s="91"/>
      <c r="AD182" s="91" t="s">
        <v>833</v>
      </c>
      <c r="AE182" s="91" t="s">
        <v>833</v>
      </c>
      <c r="AF182" s="91"/>
      <c r="AG182" s="91"/>
      <c r="AH182" s="91"/>
      <c r="AI182" s="91"/>
      <c r="AJ182" s="91"/>
      <c r="AK182" s="104">
        <f t="shared" si="21"/>
        <v>12</v>
      </c>
      <c r="AL182" s="105">
        <f t="shared" si="22"/>
        <v>0</v>
      </c>
      <c r="AM182" s="105">
        <f t="shared" si="23"/>
        <v>0</v>
      </c>
      <c r="AN182" s="123">
        <v>45985</v>
      </c>
      <c r="AO182" s="106"/>
      <c r="AP182" s="84"/>
      <c r="AQ182" s="84"/>
      <c r="AR182" s="84"/>
      <c r="AS182" s="84"/>
      <c r="AT182" s="87"/>
    </row>
    <row r="183" spans="1:46" ht="13.5" customHeight="1" x14ac:dyDescent="0.3">
      <c r="A183" s="121" t="s">
        <v>771</v>
      </c>
      <c r="B183" s="103">
        <v>178</v>
      </c>
      <c r="C183" s="169" t="s">
        <v>283</v>
      </c>
      <c r="D183" s="121" t="s">
        <v>585</v>
      </c>
      <c r="E183" s="171" t="s">
        <v>588</v>
      </c>
      <c r="F183" s="91"/>
      <c r="G183" s="91"/>
      <c r="H183" s="91" t="s">
        <v>833</v>
      </c>
      <c r="I183" s="91" t="s">
        <v>833</v>
      </c>
      <c r="J183" s="91" t="s">
        <v>833</v>
      </c>
      <c r="K183" s="91"/>
      <c r="L183" s="91"/>
      <c r="M183" s="91"/>
      <c r="N183" s="91"/>
      <c r="O183" s="91" t="s">
        <v>833</v>
      </c>
      <c r="P183" s="91" t="s">
        <v>833</v>
      </c>
      <c r="Q183" s="91" t="s">
        <v>833</v>
      </c>
      <c r="R183" s="91"/>
      <c r="S183" s="91"/>
      <c r="T183" s="91"/>
      <c r="U183" s="91"/>
      <c r="V183" s="91" t="s">
        <v>833</v>
      </c>
      <c r="W183" s="91" t="s">
        <v>833</v>
      </c>
      <c r="X183" s="91" t="s">
        <v>833</v>
      </c>
      <c r="Y183" s="91"/>
      <c r="Z183" s="91"/>
      <c r="AA183" s="91"/>
      <c r="AB183" s="91"/>
      <c r="AC183" s="91" t="s">
        <v>833</v>
      </c>
      <c r="AD183" s="91" t="s">
        <v>833</v>
      </c>
      <c r="AE183" s="91" t="s">
        <v>833</v>
      </c>
      <c r="AF183" s="91"/>
      <c r="AG183" s="91"/>
      <c r="AH183" s="91"/>
      <c r="AI183" s="91"/>
      <c r="AJ183" s="195" t="s">
        <v>837</v>
      </c>
      <c r="AK183" s="104">
        <f t="shared" si="21"/>
        <v>12</v>
      </c>
      <c r="AL183" s="105">
        <f t="shared" si="22"/>
        <v>1</v>
      </c>
      <c r="AM183" s="105">
        <f t="shared" si="23"/>
        <v>1</v>
      </c>
      <c r="AN183" s="123">
        <v>45985</v>
      </c>
      <c r="AO183" s="106"/>
      <c r="AP183" s="84"/>
      <c r="AQ183" s="84"/>
      <c r="AR183" s="84"/>
      <c r="AS183" s="84"/>
      <c r="AT183" s="82"/>
    </row>
    <row r="184" spans="1:46" ht="13.5" customHeight="1" x14ac:dyDescent="0.3">
      <c r="A184" s="121" t="s">
        <v>840</v>
      </c>
      <c r="B184" s="103">
        <v>179</v>
      </c>
      <c r="C184" s="169" t="s">
        <v>284</v>
      </c>
      <c r="D184" s="121" t="s">
        <v>589</v>
      </c>
      <c r="E184" s="171" t="s">
        <v>782</v>
      </c>
      <c r="F184" s="91" t="s">
        <v>833</v>
      </c>
      <c r="G184" s="91"/>
      <c r="H184" s="91" t="s">
        <v>833</v>
      </c>
      <c r="I184" s="91" t="s">
        <v>833</v>
      </c>
      <c r="J184" s="91"/>
      <c r="K184" s="91"/>
      <c r="L184" s="91"/>
      <c r="M184" s="91" t="s">
        <v>833</v>
      </c>
      <c r="N184" s="91"/>
      <c r="O184" s="91" t="s">
        <v>833</v>
      </c>
      <c r="P184" s="91" t="s">
        <v>833</v>
      </c>
      <c r="Q184" s="91"/>
      <c r="R184" s="91"/>
      <c r="S184" s="91"/>
      <c r="T184" s="91" t="s">
        <v>833</v>
      </c>
      <c r="U184" s="91"/>
      <c r="V184" s="91" t="s">
        <v>833</v>
      </c>
      <c r="W184" s="91" t="s">
        <v>833</v>
      </c>
      <c r="X184" s="91"/>
      <c r="Y184" s="91"/>
      <c r="Z184" s="91"/>
      <c r="AA184" s="91" t="s">
        <v>833</v>
      </c>
      <c r="AB184" s="91"/>
      <c r="AC184" s="91" t="s">
        <v>833</v>
      </c>
      <c r="AD184" s="91" t="s">
        <v>833</v>
      </c>
      <c r="AE184" s="91"/>
      <c r="AF184" s="91"/>
      <c r="AG184" s="91"/>
      <c r="AH184" s="91" t="s">
        <v>833</v>
      </c>
      <c r="AI184" s="91"/>
      <c r="AJ184" s="91" t="s">
        <v>833</v>
      </c>
      <c r="AK184" s="104">
        <f t="shared" si="21"/>
        <v>14</v>
      </c>
      <c r="AL184" s="105">
        <f t="shared" si="22"/>
        <v>0</v>
      </c>
      <c r="AM184" s="105">
        <f t="shared" si="23"/>
        <v>0</v>
      </c>
      <c r="AN184" s="123">
        <v>45985</v>
      </c>
      <c r="AO184" s="106"/>
      <c r="AP184" s="84"/>
      <c r="AQ184" s="84"/>
      <c r="AR184" s="84"/>
      <c r="AS184" s="84"/>
      <c r="AT184" s="82"/>
    </row>
    <row r="185" spans="1:46" ht="13.5" customHeight="1" x14ac:dyDescent="0.3">
      <c r="A185" s="121" t="s">
        <v>772</v>
      </c>
      <c r="B185" s="103">
        <v>180</v>
      </c>
      <c r="C185" s="169" t="s">
        <v>285</v>
      </c>
      <c r="D185" s="121" t="s">
        <v>590</v>
      </c>
      <c r="E185" s="171" t="s">
        <v>591</v>
      </c>
      <c r="F185" s="91" t="s">
        <v>833</v>
      </c>
      <c r="G185" s="91" t="s">
        <v>833</v>
      </c>
      <c r="H185" s="91"/>
      <c r="I185" s="91" t="s">
        <v>833</v>
      </c>
      <c r="J185" s="91"/>
      <c r="K185" s="91"/>
      <c r="L185" s="91"/>
      <c r="M185" s="91" t="s">
        <v>833</v>
      </c>
      <c r="N185" s="91" t="s">
        <v>833</v>
      </c>
      <c r="O185" s="91"/>
      <c r="P185" s="91" t="s">
        <v>833</v>
      </c>
      <c r="Q185" s="91"/>
      <c r="R185" s="91"/>
      <c r="S185" s="91"/>
      <c r="T185" s="91" t="s">
        <v>833</v>
      </c>
      <c r="U185" s="91" t="s">
        <v>833</v>
      </c>
      <c r="V185" s="91"/>
      <c r="W185" s="91" t="s">
        <v>833</v>
      </c>
      <c r="X185" s="91"/>
      <c r="Y185" s="91"/>
      <c r="Z185" s="91"/>
      <c r="AA185" s="91" t="s">
        <v>833</v>
      </c>
      <c r="AB185" s="91" t="s">
        <v>833</v>
      </c>
      <c r="AC185" s="91"/>
      <c r="AD185" s="91" t="s">
        <v>833</v>
      </c>
      <c r="AE185" s="91"/>
      <c r="AF185" s="91"/>
      <c r="AG185" s="91"/>
      <c r="AH185" s="91" t="s">
        <v>833</v>
      </c>
      <c r="AI185" s="91" t="s">
        <v>833</v>
      </c>
      <c r="AJ185" s="91"/>
      <c r="AK185" s="104">
        <f t="shared" si="21"/>
        <v>14</v>
      </c>
      <c r="AL185" s="105">
        <f t="shared" si="22"/>
        <v>0</v>
      </c>
      <c r="AM185" s="105">
        <f t="shared" si="23"/>
        <v>0</v>
      </c>
      <c r="AN185" s="123">
        <v>45985</v>
      </c>
      <c r="AO185" s="106"/>
      <c r="AP185" s="84"/>
      <c r="AQ185" s="84"/>
      <c r="AR185" s="84"/>
      <c r="AS185" s="84"/>
      <c r="AT185" s="90"/>
    </row>
    <row r="186" spans="1:46" ht="13.5" customHeight="1" x14ac:dyDescent="0.3">
      <c r="A186" s="121" t="s">
        <v>773</v>
      </c>
      <c r="B186" s="103">
        <v>181</v>
      </c>
      <c r="C186" s="169" t="s">
        <v>286</v>
      </c>
      <c r="D186" s="121" t="s">
        <v>592</v>
      </c>
      <c r="E186" s="171" t="s">
        <v>593</v>
      </c>
      <c r="F186" s="91" t="s">
        <v>833</v>
      </c>
      <c r="G186" s="91"/>
      <c r="H186" s="91"/>
      <c r="I186" s="91"/>
      <c r="J186" s="91" t="s">
        <v>833</v>
      </c>
      <c r="K186" s="91"/>
      <c r="L186" s="91"/>
      <c r="M186" s="91" t="s">
        <v>833</v>
      </c>
      <c r="N186" s="91"/>
      <c r="O186" s="91"/>
      <c r="P186" s="91"/>
      <c r="Q186" s="91" t="s">
        <v>833</v>
      </c>
      <c r="R186" s="91"/>
      <c r="S186" s="91"/>
      <c r="T186" s="91" t="s">
        <v>833</v>
      </c>
      <c r="U186" s="91"/>
      <c r="V186" s="91"/>
      <c r="W186" s="91"/>
      <c r="X186" s="91" t="s">
        <v>833</v>
      </c>
      <c r="Y186" s="91"/>
      <c r="Z186" s="91"/>
      <c r="AA186" s="91" t="s">
        <v>833</v>
      </c>
      <c r="AB186" s="91"/>
      <c r="AC186" s="91"/>
      <c r="AD186" s="91"/>
      <c r="AE186" s="195" t="s">
        <v>837</v>
      </c>
      <c r="AF186" s="91"/>
      <c r="AG186" s="91"/>
      <c r="AH186" s="195" t="s">
        <v>837</v>
      </c>
      <c r="AI186" s="91"/>
      <c r="AJ186" s="91"/>
      <c r="AK186" s="104">
        <f t="shared" si="21"/>
        <v>7</v>
      </c>
      <c r="AL186" s="105">
        <f t="shared" si="22"/>
        <v>2</v>
      </c>
      <c r="AM186" s="105">
        <f t="shared" si="23"/>
        <v>2</v>
      </c>
      <c r="AN186" s="123">
        <v>45985</v>
      </c>
      <c r="AO186" s="106"/>
      <c r="AP186" s="84"/>
      <c r="AQ186" s="84"/>
      <c r="AR186" s="84"/>
      <c r="AS186" s="84"/>
      <c r="AT186" s="82"/>
    </row>
    <row r="187" spans="1:46" ht="13.5" customHeight="1" x14ac:dyDescent="0.3">
      <c r="A187" s="121" t="s">
        <v>774</v>
      </c>
      <c r="B187" s="103">
        <v>182</v>
      </c>
      <c r="C187" s="169" t="s">
        <v>287</v>
      </c>
      <c r="D187" s="121" t="s">
        <v>594</v>
      </c>
      <c r="E187" s="171" t="s">
        <v>386</v>
      </c>
      <c r="F187" s="91"/>
      <c r="G187" s="91"/>
      <c r="H187" s="91"/>
      <c r="I187" s="91"/>
      <c r="J187" s="91" t="s">
        <v>833</v>
      </c>
      <c r="K187" s="91" t="s">
        <v>833</v>
      </c>
      <c r="L187" s="91" t="s">
        <v>833</v>
      </c>
      <c r="M187" s="91"/>
      <c r="N187" s="91"/>
      <c r="O187" s="91"/>
      <c r="P187" s="91"/>
      <c r="Q187" s="91" t="s">
        <v>833</v>
      </c>
      <c r="R187" s="91" t="s">
        <v>833</v>
      </c>
      <c r="S187" s="91" t="s">
        <v>833</v>
      </c>
      <c r="T187" s="91"/>
      <c r="U187" s="91"/>
      <c r="V187" s="91"/>
      <c r="W187" s="91"/>
      <c r="X187" s="91" t="s">
        <v>833</v>
      </c>
      <c r="Y187" s="91" t="s">
        <v>833</v>
      </c>
      <c r="Z187" s="91" t="s">
        <v>833</v>
      </c>
      <c r="AA187" s="91"/>
      <c r="AB187" s="91"/>
      <c r="AC187" s="91"/>
      <c r="AD187" s="91"/>
      <c r="AE187" s="91" t="s">
        <v>833</v>
      </c>
      <c r="AF187" s="91" t="s">
        <v>833</v>
      </c>
      <c r="AG187" s="91" t="s">
        <v>833</v>
      </c>
      <c r="AH187" s="91"/>
      <c r="AI187" s="91"/>
      <c r="AJ187" s="91"/>
      <c r="AK187" s="104">
        <f t="shared" si="21"/>
        <v>12</v>
      </c>
      <c r="AL187" s="105">
        <f t="shared" si="22"/>
        <v>0</v>
      </c>
      <c r="AM187" s="105">
        <f t="shared" si="23"/>
        <v>0</v>
      </c>
      <c r="AN187" s="123">
        <v>45985</v>
      </c>
      <c r="AO187" s="106"/>
      <c r="AP187" s="84"/>
      <c r="AQ187" s="84"/>
      <c r="AR187" s="84"/>
      <c r="AS187" s="84"/>
      <c r="AT187" s="82"/>
    </row>
    <row r="188" spans="1:46" ht="13.5" customHeight="1" x14ac:dyDescent="0.3">
      <c r="A188" s="121" t="s">
        <v>775</v>
      </c>
      <c r="B188" s="103">
        <v>183</v>
      </c>
      <c r="C188" s="169" t="s">
        <v>288</v>
      </c>
      <c r="D188" s="121" t="s">
        <v>595</v>
      </c>
      <c r="E188" s="171" t="s">
        <v>596</v>
      </c>
      <c r="F188" s="91"/>
      <c r="G188" s="91" t="s">
        <v>833</v>
      </c>
      <c r="H188" s="91" t="s">
        <v>833</v>
      </c>
      <c r="I188" s="91"/>
      <c r="J188" s="91" t="s">
        <v>833</v>
      </c>
      <c r="K188" s="91"/>
      <c r="L188" s="91"/>
      <c r="M188" s="91"/>
      <c r="N188" s="91" t="s">
        <v>833</v>
      </c>
      <c r="O188" s="91" t="s">
        <v>833</v>
      </c>
      <c r="P188" s="91"/>
      <c r="Q188" s="91" t="s">
        <v>833</v>
      </c>
      <c r="R188" s="91"/>
      <c r="S188" s="91"/>
      <c r="T188" s="91"/>
      <c r="U188" s="91" t="s">
        <v>833</v>
      </c>
      <c r="V188" s="91" t="s">
        <v>833</v>
      </c>
      <c r="W188" s="91"/>
      <c r="X188" s="91" t="s">
        <v>833</v>
      </c>
      <c r="Y188" s="91"/>
      <c r="Z188" s="91"/>
      <c r="AA188" s="91"/>
      <c r="AB188" s="91" t="s">
        <v>833</v>
      </c>
      <c r="AC188" s="91" t="s">
        <v>833</v>
      </c>
      <c r="AD188" s="91"/>
      <c r="AE188" s="91" t="s">
        <v>833</v>
      </c>
      <c r="AF188" s="91"/>
      <c r="AG188" s="91"/>
      <c r="AH188" s="91"/>
      <c r="AI188" s="91" t="s">
        <v>833</v>
      </c>
      <c r="AJ188" s="91" t="s">
        <v>833</v>
      </c>
      <c r="AK188" s="104">
        <f t="shared" si="21"/>
        <v>14</v>
      </c>
      <c r="AL188" s="105">
        <f t="shared" si="22"/>
        <v>0</v>
      </c>
      <c r="AM188" s="105">
        <f t="shared" si="23"/>
        <v>0</v>
      </c>
      <c r="AN188" s="123">
        <v>45985</v>
      </c>
      <c r="AO188" s="106"/>
      <c r="AP188" s="84"/>
      <c r="AQ188" s="84"/>
      <c r="AR188" s="84"/>
      <c r="AS188" s="84"/>
      <c r="AT188" s="82"/>
    </row>
    <row r="189" spans="1:46" ht="13.5" customHeight="1" x14ac:dyDescent="0.3">
      <c r="A189" s="121" t="s">
        <v>776</v>
      </c>
      <c r="B189" s="103">
        <v>184</v>
      </c>
      <c r="C189" s="169" t="s">
        <v>289</v>
      </c>
      <c r="D189" s="121" t="s">
        <v>597</v>
      </c>
      <c r="E189" s="171" t="s">
        <v>598</v>
      </c>
      <c r="F189" s="107" t="s">
        <v>833</v>
      </c>
      <c r="G189" s="107"/>
      <c r="H189" s="107" t="s">
        <v>833</v>
      </c>
      <c r="I189" s="107" t="s">
        <v>833</v>
      </c>
      <c r="J189" s="107"/>
      <c r="K189" s="107"/>
      <c r="L189" s="107"/>
      <c r="M189" s="107" t="s">
        <v>833</v>
      </c>
      <c r="N189" s="107"/>
      <c r="O189" s="107" t="s">
        <v>833</v>
      </c>
      <c r="P189" s="107" t="s">
        <v>833</v>
      </c>
      <c r="Q189" s="107"/>
      <c r="R189" s="107"/>
      <c r="S189" s="107"/>
      <c r="T189" s="107" t="s">
        <v>833</v>
      </c>
      <c r="U189" s="107"/>
      <c r="V189" s="107" t="s">
        <v>833</v>
      </c>
      <c r="W189" s="107" t="s">
        <v>833</v>
      </c>
      <c r="X189" s="107"/>
      <c r="Y189" s="107"/>
      <c r="Z189" s="107"/>
      <c r="AA189" s="107" t="s">
        <v>833</v>
      </c>
      <c r="AB189" s="107"/>
      <c r="AC189" s="107" t="s">
        <v>833</v>
      </c>
      <c r="AD189" s="107" t="s">
        <v>833</v>
      </c>
      <c r="AE189" s="107"/>
      <c r="AF189" s="107"/>
      <c r="AG189" s="107"/>
      <c r="AH189" s="107" t="s">
        <v>833</v>
      </c>
      <c r="AI189" s="107"/>
      <c r="AJ189" s="107" t="s">
        <v>833</v>
      </c>
      <c r="AK189" s="104">
        <f t="shared" si="21"/>
        <v>14</v>
      </c>
      <c r="AL189" s="105">
        <f t="shared" si="22"/>
        <v>0</v>
      </c>
      <c r="AM189" s="105">
        <f t="shared" si="23"/>
        <v>0</v>
      </c>
      <c r="AN189" s="123">
        <v>45985</v>
      </c>
      <c r="AO189" s="106"/>
      <c r="AP189" s="84"/>
      <c r="AQ189" s="84"/>
      <c r="AR189" s="84"/>
      <c r="AS189" s="84"/>
      <c r="AT189" s="82"/>
    </row>
    <row r="190" spans="1:46" ht="13.5" customHeight="1" x14ac:dyDescent="0.3">
      <c r="A190" s="121" t="s">
        <v>777</v>
      </c>
      <c r="B190" s="103">
        <v>185</v>
      </c>
      <c r="C190" s="169" t="s">
        <v>290</v>
      </c>
      <c r="D190" s="121" t="s">
        <v>597</v>
      </c>
      <c r="E190" s="171" t="s">
        <v>599</v>
      </c>
      <c r="F190" s="91"/>
      <c r="G190" s="91"/>
      <c r="H190" s="91"/>
      <c r="I190" s="91" t="s">
        <v>833</v>
      </c>
      <c r="J190" s="91"/>
      <c r="K190" s="91" t="s">
        <v>833</v>
      </c>
      <c r="L190" s="91" t="s">
        <v>833</v>
      </c>
      <c r="M190" s="91"/>
      <c r="N190" s="91"/>
      <c r="O190" s="91"/>
      <c r="P190" s="91" t="s">
        <v>833</v>
      </c>
      <c r="Q190" s="91"/>
      <c r="R190" s="91" t="s">
        <v>833</v>
      </c>
      <c r="S190" s="91" t="s">
        <v>833</v>
      </c>
      <c r="T190" s="91"/>
      <c r="U190" s="91"/>
      <c r="V190" s="91"/>
      <c r="W190" s="91" t="s">
        <v>833</v>
      </c>
      <c r="X190" s="91"/>
      <c r="Y190" s="91" t="s">
        <v>833</v>
      </c>
      <c r="Z190" s="91" t="s">
        <v>833</v>
      </c>
      <c r="AA190" s="91"/>
      <c r="AB190" s="91"/>
      <c r="AC190" s="91"/>
      <c r="AD190" s="91" t="s">
        <v>833</v>
      </c>
      <c r="AE190" s="91"/>
      <c r="AF190" s="91" t="s">
        <v>833</v>
      </c>
      <c r="AG190" s="91" t="s">
        <v>833</v>
      </c>
      <c r="AH190" s="91"/>
      <c r="AI190" s="91"/>
      <c r="AJ190" s="91"/>
      <c r="AK190" s="104">
        <f t="shared" si="21"/>
        <v>12</v>
      </c>
      <c r="AL190" s="105">
        <f t="shared" si="22"/>
        <v>0</v>
      </c>
      <c r="AM190" s="105">
        <f t="shared" si="23"/>
        <v>0</v>
      </c>
      <c r="AN190" s="123">
        <v>45985</v>
      </c>
      <c r="AO190" s="106"/>
      <c r="AP190" s="84"/>
      <c r="AQ190" s="84"/>
      <c r="AR190" s="84"/>
      <c r="AS190" s="84"/>
      <c r="AT190" s="82"/>
    </row>
    <row r="191" spans="1:46" ht="13.5" customHeight="1" x14ac:dyDescent="0.3">
      <c r="A191" s="121" t="s">
        <v>778</v>
      </c>
      <c r="B191" s="103">
        <v>186</v>
      </c>
      <c r="C191" s="169" t="s">
        <v>291</v>
      </c>
      <c r="D191" s="121" t="s">
        <v>600</v>
      </c>
      <c r="E191" s="171" t="s">
        <v>315</v>
      </c>
      <c r="F191" s="91"/>
      <c r="G191" s="91"/>
      <c r="H191" s="91"/>
      <c r="I191" s="91" t="s">
        <v>833</v>
      </c>
      <c r="J191" s="91" t="s">
        <v>833</v>
      </c>
      <c r="K191" s="91" t="s">
        <v>833</v>
      </c>
      <c r="L191" s="91"/>
      <c r="M191" s="91"/>
      <c r="N191" s="91"/>
      <c r="O191" s="91"/>
      <c r="P191" s="91" t="s">
        <v>833</v>
      </c>
      <c r="Q191" s="91" t="s">
        <v>833</v>
      </c>
      <c r="R191" s="91" t="s">
        <v>833</v>
      </c>
      <c r="S191" s="91"/>
      <c r="T191" s="91"/>
      <c r="U191" s="91"/>
      <c r="V191" s="91"/>
      <c r="W191" s="91" t="s">
        <v>833</v>
      </c>
      <c r="X191" s="91" t="s">
        <v>833</v>
      </c>
      <c r="Y191" s="91" t="s">
        <v>833</v>
      </c>
      <c r="Z191" s="91"/>
      <c r="AA191" s="91"/>
      <c r="AB191" s="91"/>
      <c r="AC191" s="91"/>
      <c r="AD191" s="91" t="s">
        <v>833</v>
      </c>
      <c r="AE191" s="91" t="s">
        <v>833</v>
      </c>
      <c r="AF191" s="91" t="s">
        <v>833</v>
      </c>
      <c r="AG191" s="91"/>
      <c r="AH191" s="91" t="s">
        <v>833</v>
      </c>
      <c r="AI191" s="91"/>
      <c r="AJ191" s="91"/>
      <c r="AK191" s="104">
        <f t="shared" si="21"/>
        <v>13</v>
      </c>
      <c r="AL191" s="105">
        <f t="shared" si="22"/>
        <v>0</v>
      </c>
      <c r="AM191" s="105">
        <f t="shared" si="23"/>
        <v>0</v>
      </c>
      <c r="AN191" s="123">
        <v>45985</v>
      </c>
      <c r="AO191" s="106"/>
      <c r="AP191" s="84"/>
      <c r="AQ191" s="84"/>
      <c r="AR191" s="84"/>
      <c r="AS191" s="84"/>
      <c r="AT191" s="82"/>
    </row>
    <row r="192" spans="1:46" ht="13.5" customHeight="1" x14ac:dyDescent="0.3">
      <c r="A192" s="121" t="s">
        <v>779</v>
      </c>
      <c r="B192" s="103">
        <v>187</v>
      </c>
      <c r="C192" s="169" t="s">
        <v>292</v>
      </c>
      <c r="D192" s="121" t="s">
        <v>601</v>
      </c>
      <c r="E192" s="171" t="s">
        <v>602</v>
      </c>
      <c r="F192" s="91"/>
      <c r="G192" s="91"/>
      <c r="H192" s="91" t="s">
        <v>833</v>
      </c>
      <c r="I192" s="91"/>
      <c r="J192" s="91" t="s">
        <v>833</v>
      </c>
      <c r="K192" s="91"/>
      <c r="L192" s="91"/>
      <c r="M192" s="91"/>
      <c r="N192" s="91"/>
      <c r="O192" s="91" t="s">
        <v>833</v>
      </c>
      <c r="P192" s="91"/>
      <c r="Q192" s="91" t="s">
        <v>833</v>
      </c>
      <c r="R192" s="91"/>
      <c r="S192" s="91"/>
      <c r="T192" s="91"/>
      <c r="U192" s="91"/>
      <c r="V192" s="91" t="s">
        <v>833</v>
      </c>
      <c r="W192" s="91"/>
      <c r="X192" s="91" t="s">
        <v>833</v>
      </c>
      <c r="Y192" s="91"/>
      <c r="Z192" s="91"/>
      <c r="AA192" s="91"/>
      <c r="AB192" s="91"/>
      <c r="AC192" s="91" t="s">
        <v>833</v>
      </c>
      <c r="AD192" s="91"/>
      <c r="AE192" s="91" t="s">
        <v>833</v>
      </c>
      <c r="AF192" s="91"/>
      <c r="AG192" s="91"/>
      <c r="AH192" s="91"/>
      <c r="AI192" s="91"/>
      <c r="AJ192" s="91" t="s">
        <v>833</v>
      </c>
      <c r="AK192" s="104">
        <f t="shared" si="21"/>
        <v>9</v>
      </c>
      <c r="AL192" s="105">
        <f t="shared" si="22"/>
        <v>0</v>
      </c>
      <c r="AM192" s="105">
        <f t="shared" si="23"/>
        <v>0</v>
      </c>
      <c r="AN192" s="123">
        <v>45985</v>
      </c>
      <c r="AO192" s="106"/>
      <c r="AP192" s="84"/>
      <c r="AQ192" s="84"/>
      <c r="AR192" s="84"/>
      <c r="AS192" s="84"/>
      <c r="AT192" s="83"/>
    </row>
    <row r="193" spans="1:46" ht="13.5" customHeight="1" x14ac:dyDescent="0.3">
      <c r="A193" s="180" t="s">
        <v>780</v>
      </c>
      <c r="B193" s="181">
        <v>188</v>
      </c>
      <c r="C193" s="182" t="s">
        <v>293</v>
      </c>
      <c r="D193" s="180" t="s">
        <v>601</v>
      </c>
      <c r="E193" s="183" t="s">
        <v>603</v>
      </c>
      <c r="F193" s="184"/>
      <c r="G193" s="184"/>
      <c r="H193" s="184"/>
      <c r="I193" s="184"/>
      <c r="J193" s="184"/>
      <c r="K193" s="184" t="s">
        <v>833</v>
      </c>
      <c r="L193" s="184" t="s">
        <v>833</v>
      </c>
      <c r="M193" s="184" t="s">
        <v>833</v>
      </c>
      <c r="N193" s="184"/>
      <c r="O193" s="184"/>
      <c r="P193" s="184"/>
      <c r="Q193" s="184"/>
      <c r="R193" s="184" t="s">
        <v>833</v>
      </c>
      <c r="S193" s="184" t="s">
        <v>833</v>
      </c>
      <c r="T193" s="184" t="s">
        <v>833</v>
      </c>
      <c r="U193" s="184"/>
      <c r="V193" s="184"/>
      <c r="W193" s="184"/>
      <c r="X193" s="184"/>
      <c r="Y193" s="184" t="s">
        <v>833</v>
      </c>
      <c r="Z193" s="184" t="s">
        <v>833</v>
      </c>
      <c r="AA193" s="184" t="s">
        <v>833</v>
      </c>
      <c r="AB193" s="184"/>
      <c r="AC193" s="184"/>
      <c r="AD193" s="184"/>
      <c r="AE193" s="184"/>
      <c r="AF193" s="184" t="s">
        <v>833</v>
      </c>
      <c r="AG193" s="184" t="s">
        <v>833</v>
      </c>
      <c r="AH193" s="184" t="s">
        <v>833</v>
      </c>
      <c r="AI193" s="184"/>
      <c r="AJ193" s="184"/>
      <c r="AK193" s="185">
        <f t="shared" si="21"/>
        <v>12</v>
      </c>
      <c r="AL193" s="186">
        <f t="shared" si="22"/>
        <v>0</v>
      </c>
      <c r="AM193" s="186">
        <f t="shared" si="23"/>
        <v>0</v>
      </c>
      <c r="AN193" s="187">
        <v>45985</v>
      </c>
      <c r="AO193" s="188"/>
      <c r="AP193" s="84"/>
      <c r="AQ193" s="84"/>
      <c r="AR193" s="84"/>
      <c r="AS193" s="84"/>
      <c r="AT193" s="189"/>
    </row>
    <row r="194" spans="1:46" ht="13.5" customHeight="1" x14ac:dyDescent="0.25">
      <c r="A194" s="190" t="s">
        <v>828</v>
      </c>
      <c r="B194" s="190">
        <v>189</v>
      </c>
      <c r="C194" s="192" t="s">
        <v>831</v>
      </c>
      <c r="D194" s="190" t="s">
        <v>829</v>
      </c>
      <c r="E194" s="190" t="s">
        <v>830</v>
      </c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  <c r="AB194" s="190"/>
      <c r="AC194" s="190"/>
      <c r="AD194" s="190"/>
      <c r="AE194" s="190" t="s">
        <v>833</v>
      </c>
      <c r="AF194" s="190"/>
      <c r="AG194" s="190"/>
      <c r="AH194" s="190" t="s">
        <v>833</v>
      </c>
      <c r="AI194" s="190"/>
      <c r="AJ194" s="190" t="s">
        <v>833</v>
      </c>
      <c r="AK194" s="178">
        <f t="shared" si="21"/>
        <v>3</v>
      </c>
      <c r="AL194" s="179">
        <f t="shared" si="22"/>
        <v>0</v>
      </c>
      <c r="AM194" s="179">
        <f t="shared" si="23"/>
        <v>0</v>
      </c>
      <c r="AN194" s="191">
        <v>46017</v>
      </c>
      <c r="AO194" s="190"/>
      <c r="AP194" s="190"/>
      <c r="AQ194" s="190"/>
      <c r="AR194" s="190"/>
      <c r="AS194" s="190"/>
      <c r="AT194" s="190"/>
    </row>
    <row r="195" spans="1:46" ht="13.5" customHeight="1" x14ac:dyDescent="0.2">
      <c r="D195" s="126"/>
      <c r="E195" s="127"/>
      <c r="F195" s="127"/>
      <c r="G195" s="126"/>
      <c r="H195" s="126"/>
      <c r="I195" s="126"/>
      <c r="J195" s="126"/>
      <c r="AF195" s="36" t="s">
        <v>833</v>
      </c>
      <c r="AI195" s="128"/>
      <c r="AK195" s="36">
        <f>SUM(AK6:AK194)</f>
        <v>2240</v>
      </c>
    </row>
    <row r="196" spans="1:46" ht="13.5" customHeight="1" x14ac:dyDescent="0.3">
      <c r="D196" s="126"/>
      <c r="E196" s="127"/>
      <c r="F196" s="127"/>
      <c r="G196" s="129"/>
      <c r="H196" s="126"/>
      <c r="I196" s="126"/>
      <c r="J196" s="126"/>
      <c r="L196" s="197"/>
      <c r="M196" s="198"/>
      <c r="N196" s="198"/>
      <c r="AH196" s="36" t="s">
        <v>834</v>
      </c>
    </row>
    <row r="197" spans="1:46" ht="13.5" customHeight="1" x14ac:dyDescent="0.2">
      <c r="D197" s="84"/>
      <c r="E197" s="84"/>
    </row>
    <row r="198" spans="1:46" ht="13.5" customHeight="1" x14ac:dyDescent="0.2">
      <c r="D198" s="84"/>
      <c r="E198" s="84"/>
    </row>
    <row r="199" spans="1:46" ht="13.5" customHeight="1" x14ac:dyDescent="0.2">
      <c r="C199" s="130" t="s">
        <v>788</v>
      </c>
      <c r="D199" s="84"/>
      <c r="I199" s="132"/>
      <c r="J199" s="16"/>
      <c r="K199" s="132"/>
      <c r="L199" s="131" t="s">
        <v>789</v>
      </c>
      <c r="M199" s="132"/>
      <c r="O199" s="132"/>
      <c r="P199" s="133"/>
      <c r="AD199" s="130" t="s">
        <v>790</v>
      </c>
      <c r="AE199" s="132"/>
    </row>
    <row r="200" spans="1:46" ht="13.5" customHeight="1" x14ac:dyDescent="0.2">
      <c r="C200" s="130" t="s">
        <v>791</v>
      </c>
      <c r="D200" s="84"/>
      <c r="I200" s="132"/>
      <c r="J200" s="126"/>
      <c r="K200" s="132"/>
      <c r="L200" s="131" t="s">
        <v>70</v>
      </c>
      <c r="M200" s="132"/>
      <c r="O200" s="132"/>
      <c r="P200" s="130"/>
      <c r="AD200" s="130" t="s">
        <v>792</v>
      </c>
      <c r="AE200" s="132"/>
    </row>
    <row r="201" spans="1:46" ht="13.5" customHeight="1" x14ac:dyDescent="0.2">
      <c r="D201" s="84"/>
      <c r="E201" s="84"/>
    </row>
  </sheetData>
  <autoFilter ref="A5:AO196" xr:uid="{00C339E3-2497-4355-95EE-50869C9F631F}">
    <sortState xmlns:xlrd2="http://schemas.microsoft.com/office/spreadsheetml/2017/richdata2" ref="A6:AO196">
      <sortCondition ref="D5:D194"/>
    </sortState>
  </autoFilter>
  <mergeCells count="39">
    <mergeCell ref="AK3:AK4"/>
    <mergeCell ref="AL3:AL4"/>
    <mergeCell ref="AM3:AM4"/>
    <mergeCell ref="AN3:AO3"/>
    <mergeCell ref="B1:AK2"/>
    <mergeCell ref="K3:K4"/>
    <mergeCell ref="L3:L4"/>
    <mergeCell ref="F3:F4"/>
    <mergeCell ref="G3:G4"/>
    <mergeCell ref="H3:H4"/>
    <mergeCell ref="AI3:AI4"/>
    <mergeCell ref="I3:I4"/>
    <mergeCell ref="J3:J4"/>
    <mergeCell ref="AJ3:AJ4"/>
    <mergeCell ref="B3:E3"/>
    <mergeCell ref="T3:T4"/>
    <mergeCell ref="U3:U4"/>
    <mergeCell ref="V3:V4"/>
    <mergeCell ref="M3:M4"/>
    <mergeCell ref="N3:N4"/>
    <mergeCell ref="P3:P4"/>
    <mergeCell ref="AH3:AH4"/>
    <mergeCell ref="W3:W4"/>
    <mergeCell ref="X3:X4"/>
    <mergeCell ref="Y3:Y4"/>
    <mergeCell ref="Z3:Z4"/>
    <mergeCell ref="AA3:AA4"/>
    <mergeCell ref="AC3:AC4"/>
    <mergeCell ref="AE3:AE4"/>
    <mergeCell ref="L196:N196"/>
    <mergeCell ref="D4:E4"/>
    <mergeCell ref="AF3:AF4"/>
    <mergeCell ref="AG3:AG4"/>
    <mergeCell ref="AB3:AB4"/>
    <mergeCell ref="Q3:Q4"/>
    <mergeCell ref="R3:R4"/>
    <mergeCell ref="S3:S4"/>
    <mergeCell ref="AD3:AD4"/>
    <mergeCell ref="O3:O4"/>
  </mergeCells>
  <conditionalFormatting sqref="F3:AJ4">
    <cfRule type="expression" dxfId="2" priority="3" stopIfTrue="1">
      <formula>F$5&gt;=6</formula>
    </cfRule>
  </conditionalFormatting>
  <dataValidations count="1">
    <dataValidation type="list" allowBlank="1" showInputMessage="1" showErrorMessage="1" sqref="AO2" xr:uid="{76018945-C9EE-42BC-BF08-0D6E78BD7758}">
      <formula1>$AQ$6:$AQ$17</formula1>
    </dataValidation>
  </dataValidations>
  <pageMargins left="0.39370078740157483" right="0.11811023622047245" top="0.35433070866141736" bottom="0.35433070866141736" header="0" footer="0"/>
  <pageSetup paperSize="9" scale="9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FA1E-8565-434E-85DD-73801AD2B6C5}">
  <sheetPr>
    <pageSetUpPr fitToPage="1"/>
  </sheetPr>
  <dimension ref="A2:U201"/>
  <sheetViews>
    <sheetView topLeftCell="A185" zoomScale="130" zoomScaleNormal="130" zoomScaleSheetLayoutView="100" workbookViewId="0">
      <selection activeCell="B200" sqref="B200"/>
    </sheetView>
  </sheetViews>
  <sheetFormatPr defaultColWidth="9.109375" defaultRowHeight="13.2" x14ac:dyDescent="0.25"/>
  <cols>
    <col min="1" max="1" width="5.5546875" style="5" customWidth="1"/>
    <col min="2" max="2" width="14.109375" style="5" customWidth="1"/>
    <col min="3" max="3" width="22.6640625" style="5" customWidth="1"/>
    <col min="4" max="4" width="8.88671875" style="5" customWidth="1"/>
    <col min="5" max="5" width="24.33203125" style="5" bestFit="1" customWidth="1"/>
    <col min="6" max="6" width="8.33203125" style="5" customWidth="1"/>
    <col min="7" max="7" width="9.33203125" style="5" customWidth="1"/>
    <col min="8" max="8" width="9.88671875" style="5" customWidth="1"/>
    <col min="9" max="9" width="11.109375" style="5" customWidth="1"/>
    <col min="10" max="10" width="10.33203125" style="5" bestFit="1" customWidth="1"/>
    <col min="11" max="11" width="10.33203125" style="5" customWidth="1"/>
    <col min="12" max="12" width="10.6640625" style="5" customWidth="1"/>
    <col min="13" max="13" width="11.6640625" style="5" bestFit="1" customWidth="1"/>
    <col min="14" max="14" width="9.44140625" style="5" customWidth="1"/>
    <col min="15" max="16" width="8.88671875" style="5" customWidth="1"/>
    <col min="17" max="17" width="13.5546875" style="4" customWidth="1"/>
    <col min="18" max="18" width="10" style="5" customWidth="1"/>
    <col min="19" max="20" width="9.88671875" style="5" bestFit="1" customWidth="1"/>
    <col min="21" max="21" width="9.88671875" style="5" customWidth="1"/>
    <col min="22" max="16384" width="9.109375" style="5"/>
  </cols>
  <sheetData>
    <row r="2" spans="1:21" ht="16.2" thickBot="1" x14ac:dyDescent="0.3">
      <c r="A2" s="228" t="s">
        <v>796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9" t="s">
        <v>823</v>
      </c>
      <c r="R2" s="230"/>
      <c r="S2" s="230"/>
      <c r="T2" s="230"/>
      <c r="U2" s="6"/>
    </row>
    <row r="3" spans="1:21" x14ac:dyDescent="0.25">
      <c r="A3" s="217" t="s">
        <v>6</v>
      </c>
      <c r="B3" s="237" t="s">
        <v>3</v>
      </c>
      <c r="C3" s="217" t="s">
        <v>13</v>
      </c>
      <c r="D3" s="217" t="s">
        <v>10</v>
      </c>
      <c r="E3" s="249" t="s">
        <v>14</v>
      </c>
      <c r="F3" s="240" t="s">
        <v>60</v>
      </c>
      <c r="G3" s="243" t="s">
        <v>73</v>
      </c>
      <c r="H3" s="246" t="s">
        <v>71</v>
      </c>
      <c r="I3" s="225" t="s">
        <v>74</v>
      </c>
      <c r="J3" s="234" t="s">
        <v>4</v>
      </c>
      <c r="K3" s="234"/>
      <c r="L3" s="234"/>
      <c r="M3" s="234"/>
      <c r="N3" s="234"/>
      <c r="O3" s="234"/>
      <c r="P3" s="234"/>
      <c r="Q3" s="234"/>
      <c r="R3" s="235"/>
      <c r="S3" s="54"/>
      <c r="T3" s="231" t="s">
        <v>5</v>
      </c>
      <c r="U3" s="55"/>
    </row>
    <row r="4" spans="1:21" x14ac:dyDescent="0.25">
      <c r="A4" s="218"/>
      <c r="B4" s="238"/>
      <c r="C4" s="218"/>
      <c r="D4" s="218"/>
      <c r="E4" s="250"/>
      <c r="F4" s="241"/>
      <c r="G4" s="244"/>
      <c r="H4" s="247"/>
      <c r="I4" s="226"/>
      <c r="J4" s="220" t="s">
        <v>55</v>
      </c>
      <c r="K4" s="220"/>
      <c r="L4" s="220"/>
      <c r="M4" s="220"/>
      <c r="N4" s="220" t="s">
        <v>56</v>
      </c>
      <c r="O4" s="220"/>
      <c r="P4" s="221"/>
      <c r="Q4" s="216" t="s">
        <v>72</v>
      </c>
      <c r="R4" s="224" t="s">
        <v>79</v>
      </c>
      <c r="S4" s="222" t="s">
        <v>69</v>
      </c>
      <c r="T4" s="232"/>
      <c r="U4" s="28"/>
    </row>
    <row r="5" spans="1:21" ht="43.5" customHeight="1" x14ac:dyDescent="0.25">
      <c r="A5" s="219"/>
      <c r="B5" s="239"/>
      <c r="C5" s="219"/>
      <c r="D5" s="219"/>
      <c r="E5" s="251"/>
      <c r="F5" s="242"/>
      <c r="G5" s="245"/>
      <c r="H5" s="248"/>
      <c r="I5" s="227"/>
      <c r="J5" s="52" t="s">
        <v>75</v>
      </c>
      <c r="K5" s="52" t="s">
        <v>46</v>
      </c>
      <c r="L5" s="52" t="s">
        <v>76</v>
      </c>
      <c r="M5" s="25" t="s">
        <v>57</v>
      </c>
      <c r="N5" s="52" t="s">
        <v>77</v>
      </c>
      <c r="O5" s="52" t="s">
        <v>78</v>
      </c>
      <c r="P5" s="53" t="s">
        <v>58</v>
      </c>
      <c r="Q5" s="216"/>
      <c r="R5" s="224"/>
      <c r="S5" s="223"/>
      <c r="T5" s="233"/>
      <c r="U5" s="28"/>
    </row>
    <row r="6" spans="1:21" ht="28.8" x14ac:dyDescent="0.25">
      <c r="A6" s="10">
        <f>+'Banka Lis.'!B5</f>
        <v>1</v>
      </c>
      <c r="B6" s="10" t="str">
        <f>+Puantaj!C6</f>
        <v>22985652920</v>
      </c>
      <c r="C6" s="3" t="str">
        <f>+Puantaj!D6</f>
        <v>ABDURRAHMAN CENGİZ</v>
      </c>
      <c r="D6" s="3" t="str">
        <f>+Puantaj!E6</f>
        <v>AYDOĞDU</v>
      </c>
      <c r="E6" s="3" t="str">
        <f>+'Banka Lis.'!H5</f>
        <v>Bursa UludağÜniversitesi Üniveristesi Genel Sekreterlik Özel Kalem</v>
      </c>
      <c r="F6" s="33">
        <f>+Puantaj!AK6</f>
        <v>13</v>
      </c>
      <c r="G6" s="31">
        <f>F6*1083</f>
        <v>14079</v>
      </c>
      <c r="H6" s="56">
        <f>G6*0.055</f>
        <v>774.34500000000003</v>
      </c>
      <c r="I6" s="57">
        <f>G6+H6</f>
        <v>14853.344999999999</v>
      </c>
      <c r="J6" s="2">
        <f>+G6</f>
        <v>14079</v>
      </c>
      <c r="K6" s="2">
        <f>J6*0.15</f>
        <v>2111.85</v>
      </c>
      <c r="L6" s="2">
        <f>IF(J6*0.15&gt;K6,K6,J6*0.15)</f>
        <v>2111.85</v>
      </c>
      <c r="M6" s="58">
        <f>IF(K6-L6&gt;0,K6-L6,0)</f>
        <v>0</v>
      </c>
      <c r="N6" s="2">
        <f>G6*0.00759</f>
        <v>106.85961</v>
      </c>
      <c r="O6" s="2">
        <f>IF(G6*0.00759&gt;G6,197.38,G6*0.00759)</f>
        <v>106.85961</v>
      </c>
      <c r="P6" s="2">
        <f>IF(N6-O6&gt;0,N6-O6,0)</f>
        <v>0</v>
      </c>
      <c r="Q6" s="58">
        <f>+H6</f>
        <v>774.34500000000003</v>
      </c>
      <c r="R6" s="58">
        <v>0</v>
      </c>
      <c r="S6" s="2">
        <f>R6+Q6</f>
        <v>774.34500000000003</v>
      </c>
      <c r="T6" s="9">
        <f>I6-S6</f>
        <v>14079</v>
      </c>
      <c r="U6" s="29"/>
    </row>
    <row r="7" spans="1:21" ht="28.8" x14ac:dyDescent="0.25">
      <c r="A7" s="10">
        <f>+'Banka Lis.'!B6</f>
        <v>2</v>
      </c>
      <c r="B7" s="10" t="str">
        <f>+Puantaj!C7</f>
        <v>10264855810</v>
      </c>
      <c r="C7" s="3" t="str">
        <f>+Puantaj!D7</f>
        <v>AHMET EMİRHAN</v>
      </c>
      <c r="D7" s="3" t="str">
        <f>+Puantaj!E7</f>
        <v>ELDEMİR</v>
      </c>
      <c r="E7" s="3" t="str">
        <f>+'Banka Lis.'!H6</f>
        <v>Bursa UludağÜniversitesi Üniveristesi Genel Sekreterlik Özel Kalem</v>
      </c>
      <c r="F7" s="33">
        <f>+Puantaj!AK7</f>
        <v>6</v>
      </c>
      <c r="G7" s="31">
        <f t="shared" ref="G7:G70" si="0">F7*1083</f>
        <v>6498</v>
      </c>
      <c r="H7" s="56">
        <f t="shared" ref="H7:H70" si="1">G7*0.055</f>
        <v>357.39</v>
      </c>
      <c r="I7" s="57">
        <f t="shared" ref="I7:I70" si="2">G7+H7</f>
        <v>6855.39</v>
      </c>
      <c r="J7" s="2">
        <f t="shared" ref="J7:J70" si="3">+G7</f>
        <v>6498</v>
      </c>
      <c r="K7" s="2">
        <f t="shared" ref="K7:K70" si="4">J7*0.15</f>
        <v>974.69999999999993</v>
      </c>
      <c r="L7" s="2">
        <f t="shared" ref="L7:L70" si="5">IF(J7*0.15&gt;K7,K7,J7*0.15)</f>
        <v>974.69999999999993</v>
      </c>
      <c r="M7" s="58">
        <f t="shared" ref="M7:M70" si="6">IF(K7-L7&gt;0,K7-L7,0)</f>
        <v>0</v>
      </c>
      <c r="N7" s="2">
        <f t="shared" ref="N7:N70" si="7">G7*0.00759</f>
        <v>49.31982</v>
      </c>
      <c r="O7" s="2">
        <f t="shared" ref="O7:O70" si="8">IF(G7*0.00759&gt;G7,197.38,G7*0.00759)</f>
        <v>49.31982</v>
      </c>
      <c r="P7" s="2">
        <f t="shared" ref="P7:P70" si="9">IF(N7-O7&gt;0,N7-O7,0)</f>
        <v>0</v>
      </c>
      <c r="Q7" s="58">
        <f t="shared" ref="Q7:Q70" si="10">+H7</f>
        <v>357.39</v>
      </c>
      <c r="R7" s="58">
        <v>0</v>
      </c>
      <c r="S7" s="2">
        <f>R7+Q7</f>
        <v>357.39</v>
      </c>
      <c r="T7" s="9">
        <f t="shared" ref="T7:T70" si="11">I7-S7</f>
        <v>6498</v>
      </c>
      <c r="U7" s="29"/>
    </row>
    <row r="8" spans="1:21" ht="28.8" x14ac:dyDescent="0.25">
      <c r="A8" s="10">
        <f>+'Banka Lis.'!B7</f>
        <v>3</v>
      </c>
      <c r="B8" s="10" t="str">
        <f>+Puantaj!C8</f>
        <v>11230293988</v>
      </c>
      <c r="C8" s="3" t="str">
        <f>+Puantaj!D8</f>
        <v>AHMET SAMED</v>
      </c>
      <c r="D8" s="3" t="str">
        <f>+Puantaj!E8</f>
        <v>KARABULUT</v>
      </c>
      <c r="E8" s="3" t="str">
        <f>+'Banka Lis.'!H7</f>
        <v>Bursa UludağÜniversitesi Üniveristesi Genel Sekreterlik Özel Kalem</v>
      </c>
      <c r="F8" s="33">
        <f>+Puantaj!AK8</f>
        <v>14</v>
      </c>
      <c r="G8" s="31">
        <f t="shared" si="0"/>
        <v>15162</v>
      </c>
      <c r="H8" s="56">
        <f t="shared" si="1"/>
        <v>833.91</v>
      </c>
      <c r="I8" s="57">
        <f t="shared" si="2"/>
        <v>15995.91</v>
      </c>
      <c r="J8" s="2">
        <f t="shared" si="3"/>
        <v>15162</v>
      </c>
      <c r="K8" s="2">
        <f t="shared" si="4"/>
        <v>2274.2999999999997</v>
      </c>
      <c r="L8" s="2">
        <f t="shared" si="5"/>
        <v>2274.2999999999997</v>
      </c>
      <c r="M8" s="58">
        <f t="shared" si="6"/>
        <v>0</v>
      </c>
      <c r="N8" s="2">
        <f t="shared" si="7"/>
        <v>115.07958000000001</v>
      </c>
      <c r="O8" s="2">
        <f t="shared" si="8"/>
        <v>115.07958000000001</v>
      </c>
      <c r="P8" s="2">
        <f t="shared" si="9"/>
        <v>0</v>
      </c>
      <c r="Q8" s="58">
        <f t="shared" si="10"/>
        <v>833.91</v>
      </c>
      <c r="R8" s="58">
        <v>0</v>
      </c>
      <c r="S8" s="2">
        <f t="shared" ref="S8:S70" si="12">R8+Q8</f>
        <v>833.91</v>
      </c>
      <c r="T8" s="9">
        <f t="shared" si="11"/>
        <v>15162</v>
      </c>
      <c r="U8" s="29"/>
    </row>
    <row r="9" spans="1:21" ht="28.8" x14ac:dyDescent="0.25">
      <c r="A9" s="10">
        <f>+'Banka Lis.'!B8</f>
        <v>4</v>
      </c>
      <c r="B9" s="10" t="str">
        <f>+Puantaj!C9</f>
        <v>10271762804</v>
      </c>
      <c r="C9" s="3" t="str">
        <f>+Puantaj!D9</f>
        <v>AHMET</v>
      </c>
      <c r="D9" s="3" t="str">
        <f>+Puantaj!E9</f>
        <v>ŞEN</v>
      </c>
      <c r="E9" s="3" t="str">
        <f>+'Banka Lis.'!H8</f>
        <v>Bursa UludağÜniversitesi Üniveristesi Genel Sekreterlik Özel Kalem</v>
      </c>
      <c r="F9" s="33">
        <f>+Puantaj!AK9</f>
        <v>13</v>
      </c>
      <c r="G9" s="31">
        <f t="shared" si="0"/>
        <v>14079</v>
      </c>
      <c r="H9" s="56">
        <f t="shared" si="1"/>
        <v>774.34500000000003</v>
      </c>
      <c r="I9" s="57">
        <f t="shared" si="2"/>
        <v>14853.344999999999</v>
      </c>
      <c r="J9" s="2">
        <f t="shared" si="3"/>
        <v>14079</v>
      </c>
      <c r="K9" s="2">
        <f t="shared" si="4"/>
        <v>2111.85</v>
      </c>
      <c r="L9" s="2">
        <f t="shared" si="5"/>
        <v>2111.85</v>
      </c>
      <c r="M9" s="58">
        <f t="shared" si="6"/>
        <v>0</v>
      </c>
      <c r="N9" s="2">
        <f t="shared" si="7"/>
        <v>106.85961</v>
      </c>
      <c r="O9" s="2">
        <f t="shared" si="8"/>
        <v>106.85961</v>
      </c>
      <c r="P9" s="2">
        <f t="shared" si="9"/>
        <v>0</v>
      </c>
      <c r="Q9" s="58">
        <f t="shared" si="10"/>
        <v>774.34500000000003</v>
      </c>
      <c r="R9" s="58">
        <v>0</v>
      </c>
      <c r="S9" s="2">
        <f t="shared" si="12"/>
        <v>774.34500000000003</v>
      </c>
      <c r="T9" s="9">
        <f t="shared" si="11"/>
        <v>14079</v>
      </c>
      <c r="U9" s="29"/>
    </row>
    <row r="10" spans="1:21" ht="28.8" x14ac:dyDescent="0.25">
      <c r="A10" s="10">
        <f>+'Banka Lis.'!B9</f>
        <v>5</v>
      </c>
      <c r="B10" s="10" t="str">
        <f>+Puantaj!C10</f>
        <v>10067475932</v>
      </c>
      <c r="C10" s="3" t="str">
        <f>+Puantaj!D10</f>
        <v>AHMET YASİN</v>
      </c>
      <c r="D10" s="3" t="str">
        <f>+Puantaj!E10</f>
        <v>KURT</v>
      </c>
      <c r="E10" s="3" t="str">
        <f>+'Banka Lis.'!H9</f>
        <v>Bursa UludağÜniversitesi Üniveristesi Genel Sekreterlik Özel Kalem</v>
      </c>
      <c r="F10" s="33">
        <f>+Puantaj!AK10</f>
        <v>14</v>
      </c>
      <c r="G10" s="31">
        <f t="shared" si="0"/>
        <v>15162</v>
      </c>
      <c r="H10" s="56">
        <f t="shared" si="1"/>
        <v>833.91</v>
      </c>
      <c r="I10" s="57">
        <f t="shared" si="2"/>
        <v>15995.91</v>
      </c>
      <c r="J10" s="2">
        <f t="shared" si="3"/>
        <v>15162</v>
      </c>
      <c r="K10" s="2">
        <f t="shared" si="4"/>
        <v>2274.2999999999997</v>
      </c>
      <c r="L10" s="2">
        <f t="shared" si="5"/>
        <v>2274.2999999999997</v>
      </c>
      <c r="M10" s="58">
        <f t="shared" si="6"/>
        <v>0</v>
      </c>
      <c r="N10" s="2">
        <f t="shared" si="7"/>
        <v>115.07958000000001</v>
      </c>
      <c r="O10" s="2">
        <f t="shared" si="8"/>
        <v>115.07958000000001</v>
      </c>
      <c r="P10" s="2">
        <f t="shared" si="9"/>
        <v>0</v>
      </c>
      <c r="Q10" s="58">
        <f t="shared" si="10"/>
        <v>833.91</v>
      </c>
      <c r="R10" s="58">
        <v>0</v>
      </c>
      <c r="S10" s="2">
        <f t="shared" si="12"/>
        <v>833.91</v>
      </c>
      <c r="T10" s="9">
        <f t="shared" si="11"/>
        <v>15162</v>
      </c>
      <c r="U10" s="29"/>
    </row>
    <row r="11" spans="1:21" ht="28.8" x14ac:dyDescent="0.25">
      <c r="A11" s="10">
        <f>+'Banka Lis.'!B10</f>
        <v>6</v>
      </c>
      <c r="B11" s="10" t="str">
        <f>+Puantaj!C11</f>
        <v>13333175444</v>
      </c>
      <c r="C11" s="3" t="str">
        <f>+Puantaj!D11</f>
        <v>AKİF YAVUZ</v>
      </c>
      <c r="D11" s="3" t="str">
        <f>+Puantaj!E11</f>
        <v>ZENGİN</v>
      </c>
      <c r="E11" s="3" t="str">
        <f>+'Banka Lis.'!H10</f>
        <v>Bursa UludağÜniversitesi Üniveristesi Genel Sekreterlik Özel Kalem</v>
      </c>
      <c r="F11" s="33">
        <f>+Puantaj!AK11</f>
        <v>4</v>
      </c>
      <c r="G11" s="31">
        <f t="shared" si="0"/>
        <v>4332</v>
      </c>
      <c r="H11" s="56">
        <f t="shared" si="1"/>
        <v>238.26</v>
      </c>
      <c r="I11" s="57">
        <f t="shared" si="2"/>
        <v>4570.26</v>
      </c>
      <c r="J11" s="2">
        <f t="shared" si="3"/>
        <v>4332</v>
      </c>
      <c r="K11" s="2">
        <f t="shared" si="4"/>
        <v>649.79999999999995</v>
      </c>
      <c r="L11" s="2">
        <f t="shared" si="5"/>
        <v>649.79999999999995</v>
      </c>
      <c r="M11" s="58">
        <f t="shared" si="6"/>
        <v>0</v>
      </c>
      <c r="N11" s="2">
        <f t="shared" si="7"/>
        <v>32.87988</v>
      </c>
      <c r="O11" s="2">
        <f t="shared" si="8"/>
        <v>32.87988</v>
      </c>
      <c r="P11" s="2">
        <f t="shared" si="9"/>
        <v>0</v>
      </c>
      <c r="Q11" s="58">
        <f t="shared" si="10"/>
        <v>238.26</v>
      </c>
      <c r="R11" s="58">
        <v>0</v>
      </c>
      <c r="S11" s="2">
        <f t="shared" si="12"/>
        <v>238.26</v>
      </c>
      <c r="T11" s="9">
        <f t="shared" si="11"/>
        <v>4332</v>
      </c>
      <c r="U11" s="29"/>
    </row>
    <row r="12" spans="1:21" ht="28.8" x14ac:dyDescent="0.25">
      <c r="A12" s="10">
        <f>+'Banka Lis.'!B11</f>
        <v>7</v>
      </c>
      <c r="B12" s="10" t="str">
        <f>+Puantaj!C12</f>
        <v>34411910856</v>
      </c>
      <c r="C12" s="3" t="str">
        <f>+Puantaj!D12</f>
        <v>ALEYNA</v>
      </c>
      <c r="D12" s="3" t="str">
        <f>+Puantaj!E12</f>
        <v>ÇAKAR</v>
      </c>
      <c r="E12" s="3" t="str">
        <f>+'Banka Lis.'!H11</f>
        <v>Bursa UludağÜniversitesi Üniveristesi Genel Sekreterlik Özel Kalem</v>
      </c>
      <c r="F12" s="33">
        <f>+Puantaj!AK12</f>
        <v>0</v>
      </c>
      <c r="G12" s="31">
        <f t="shared" si="0"/>
        <v>0</v>
      </c>
      <c r="H12" s="56">
        <f t="shared" si="1"/>
        <v>0</v>
      </c>
      <c r="I12" s="57">
        <f t="shared" si="2"/>
        <v>0</v>
      </c>
      <c r="J12" s="2">
        <f t="shared" si="3"/>
        <v>0</v>
      </c>
      <c r="K12" s="2">
        <f t="shared" si="4"/>
        <v>0</v>
      </c>
      <c r="L12" s="2">
        <f t="shared" si="5"/>
        <v>0</v>
      </c>
      <c r="M12" s="58">
        <f t="shared" si="6"/>
        <v>0</v>
      </c>
      <c r="N12" s="2">
        <f t="shared" si="7"/>
        <v>0</v>
      </c>
      <c r="O12" s="2">
        <f t="shared" si="8"/>
        <v>0</v>
      </c>
      <c r="P12" s="2">
        <f t="shared" si="9"/>
        <v>0</v>
      </c>
      <c r="Q12" s="58">
        <f t="shared" si="10"/>
        <v>0</v>
      </c>
      <c r="R12" s="58">
        <v>0</v>
      </c>
      <c r="S12" s="2">
        <f t="shared" si="12"/>
        <v>0</v>
      </c>
      <c r="T12" s="9">
        <f t="shared" si="11"/>
        <v>0</v>
      </c>
      <c r="U12" s="29"/>
    </row>
    <row r="13" spans="1:21" ht="28.8" x14ac:dyDescent="0.25">
      <c r="A13" s="10">
        <f>+'Banka Lis.'!B12</f>
        <v>8</v>
      </c>
      <c r="B13" s="10" t="str">
        <f>+Puantaj!C13</f>
        <v>11069535280</v>
      </c>
      <c r="C13" s="3" t="str">
        <f>+Puantaj!D13</f>
        <v>ALİGAFFAR</v>
      </c>
      <c r="D13" s="3" t="str">
        <f>+Puantaj!E13</f>
        <v>AYDIN</v>
      </c>
      <c r="E13" s="3" t="str">
        <f>+'Banka Lis.'!H12</f>
        <v>Bursa UludağÜniversitesi Üniveristesi Genel Sekreterlik Özel Kalem</v>
      </c>
      <c r="F13" s="33">
        <f>+Puantaj!AK13</f>
        <v>12</v>
      </c>
      <c r="G13" s="31">
        <f t="shared" si="0"/>
        <v>12996</v>
      </c>
      <c r="H13" s="56">
        <f t="shared" si="1"/>
        <v>714.78</v>
      </c>
      <c r="I13" s="57">
        <f t="shared" si="2"/>
        <v>13710.78</v>
      </c>
      <c r="J13" s="2">
        <f t="shared" si="3"/>
        <v>12996</v>
      </c>
      <c r="K13" s="2">
        <f t="shared" si="4"/>
        <v>1949.3999999999999</v>
      </c>
      <c r="L13" s="2">
        <f t="shared" si="5"/>
        <v>1949.3999999999999</v>
      </c>
      <c r="M13" s="58">
        <f t="shared" si="6"/>
        <v>0</v>
      </c>
      <c r="N13" s="2">
        <f t="shared" si="7"/>
        <v>98.63964</v>
      </c>
      <c r="O13" s="2">
        <f t="shared" si="8"/>
        <v>98.63964</v>
      </c>
      <c r="P13" s="2">
        <f t="shared" si="9"/>
        <v>0</v>
      </c>
      <c r="Q13" s="58">
        <f t="shared" si="10"/>
        <v>714.78</v>
      </c>
      <c r="R13" s="58">
        <v>0</v>
      </c>
      <c r="S13" s="2">
        <f t="shared" si="12"/>
        <v>714.78</v>
      </c>
      <c r="T13" s="9">
        <f t="shared" si="11"/>
        <v>12996</v>
      </c>
      <c r="U13" s="29"/>
    </row>
    <row r="14" spans="1:21" ht="28.8" x14ac:dyDescent="0.25">
      <c r="A14" s="10">
        <f>+'Banka Lis.'!B13</f>
        <v>9</v>
      </c>
      <c r="B14" s="10" t="str">
        <f>+Puantaj!C14</f>
        <v>10420954296</v>
      </c>
      <c r="C14" s="3" t="str">
        <f>+Puantaj!D14</f>
        <v>ARİF</v>
      </c>
      <c r="D14" s="3" t="str">
        <f>+Puantaj!E14</f>
        <v>TURAN</v>
      </c>
      <c r="E14" s="3" t="str">
        <f>+'Banka Lis.'!H13</f>
        <v>Bursa UludağÜniversitesi Üniveristesi Genel Sekreterlik Özel Kalem</v>
      </c>
      <c r="F14" s="33">
        <f>+Puantaj!AK14</f>
        <v>14</v>
      </c>
      <c r="G14" s="31">
        <f t="shared" si="0"/>
        <v>15162</v>
      </c>
      <c r="H14" s="56">
        <f t="shared" si="1"/>
        <v>833.91</v>
      </c>
      <c r="I14" s="57">
        <f t="shared" si="2"/>
        <v>15995.91</v>
      </c>
      <c r="J14" s="2">
        <f t="shared" si="3"/>
        <v>15162</v>
      </c>
      <c r="K14" s="2">
        <f t="shared" si="4"/>
        <v>2274.2999999999997</v>
      </c>
      <c r="L14" s="2">
        <f t="shared" si="5"/>
        <v>2274.2999999999997</v>
      </c>
      <c r="M14" s="58">
        <f t="shared" si="6"/>
        <v>0</v>
      </c>
      <c r="N14" s="2">
        <f t="shared" si="7"/>
        <v>115.07958000000001</v>
      </c>
      <c r="O14" s="2">
        <f t="shared" si="8"/>
        <v>115.07958000000001</v>
      </c>
      <c r="P14" s="2">
        <f t="shared" si="9"/>
        <v>0</v>
      </c>
      <c r="Q14" s="58">
        <f t="shared" si="10"/>
        <v>833.91</v>
      </c>
      <c r="R14" s="58">
        <v>0</v>
      </c>
      <c r="S14" s="2">
        <f t="shared" si="12"/>
        <v>833.91</v>
      </c>
      <c r="T14" s="9">
        <f t="shared" si="11"/>
        <v>15162</v>
      </c>
      <c r="U14" s="29"/>
    </row>
    <row r="15" spans="1:21" ht="28.8" x14ac:dyDescent="0.25">
      <c r="A15" s="10">
        <f>+'Banka Lis.'!B14</f>
        <v>10</v>
      </c>
      <c r="B15" s="10" t="str">
        <f>+Puantaj!C15</f>
        <v>11039638348</v>
      </c>
      <c r="C15" s="3" t="str">
        <f>+Puantaj!D15</f>
        <v>ASLAN ERAY</v>
      </c>
      <c r="D15" s="3" t="str">
        <f>+Puantaj!E15</f>
        <v>KARAVAŞ</v>
      </c>
      <c r="E15" s="3" t="str">
        <f>+'Banka Lis.'!H14</f>
        <v>Bursa UludağÜniversitesi Üniveristesi Genel Sekreterlik Özel Kalem</v>
      </c>
      <c r="F15" s="33">
        <f>+Puantaj!AK15</f>
        <v>15</v>
      </c>
      <c r="G15" s="31">
        <f t="shared" si="0"/>
        <v>16245</v>
      </c>
      <c r="H15" s="56">
        <f t="shared" si="1"/>
        <v>893.47500000000002</v>
      </c>
      <c r="I15" s="57">
        <f t="shared" si="2"/>
        <v>17138.474999999999</v>
      </c>
      <c r="J15" s="2">
        <f t="shared" si="3"/>
        <v>16245</v>
      </c>
      <c r="K15" s="2">
        <f t="shared" si="4"/>
        <v>2436.75</v>
      </c>
      <c r="L15" s="2">
        <f t="shared" si="5"/>
        <v>2436.75</v>
      </c>
      <c r="M15" s="58">
        <f t="shared" si="6"/>
        <v>0</v>
      </c>
      <c r="N15" s="2">
        <f t="shared" si="7"/>
        <v>123.29955000000001</v>
      </c>
      <c r="O15" s="2">
        <f t="shared" si="8"/>
        <v>123.29955000000001</v>
      </c>
      <c r="P15" s="2">
        <f t="shared" si="9"/>
        <v>0</v>
      </c>
      <c r="Q15" s="58">
        <f t="shared" si="10"/>
        <v>893.47500000000002</v>
      </c>
      <c r="R15" s="58">
        <v>0</v>
      </c>
      <c r="S15" s="2">
        <f t="shared" si="12"/>
        <v>893.47500000000002</v>
      </c>
      <c r="T15" s="9">
        <f t="shared" si="11"/>
        <v>16244.999999999998</v>
      </c>
      <c r="U15" s="29"/>
    </row>
    <row r="16" spans="1:21" ht="28.8" x14ac:dyDescent="0.25">
      <c r="A16" s="10">
        <f>+'Banka Lis.'!B15</f>
        <v>11</v>
      </c>
      <c r="B16" s="10" t="str">
        <f>+Puantaj!C16</f>
        <v>18397728780</v>
      </c>
      <c r="C16" s="3" t="str">
        <f>+Puantaj!D16</f>
        <v>ASLI</v>
      </c>
      <c r="D16" s="3" t="str">
        <f>+Puantaj!E16</f>
        <v>BEKTAŞ</v>
      </c>
      <c r="E16" s="3" t="str">
        <f>+'Banka Lis.'!H15</f>
        <v>Bursa UludağÜniversitesi Üniveristesi Genel Sekreterlik Özel Kalem</v>
      </c>
      <c r="F16" s="33">
        <f>+Puantaj!AK16</f>
        <v>5</v>
      </c>
      <c r="G16" s="31">
        <f t="shared" si="0"/>
        <v>5415</v>
      </c>
      <c r="H16" s="56">
        <f t="shared" si="1"/>
        <v>297.82499999999999</v>
      </c>
      <c r="I16" s="57">
        <f t="shared" si="2"/>
        <v>5712.8249999999998</v>
      </c>
      <c r="J16" s="2">
        <f t="shared" si="3"/>
        <v>5415</v>
      </c>
      <c r="K16" s="2">
        <f t="shared" si="4"/>
        <v>812.25</v>
      </c>
      <c r="L16" s="2">
        <f t="shared" si="5"/>
        <v>812.25</v>
      </c>
      <c r="M16" s="58">
        <f t="shared" si="6"/>
        <v>0</v>
      </c>
      <c r="N16" s="2">
        <f t="shared" si="7"/>
        <v>41.099850000000004</v>
      </c>
      <c r="O16" s="2">
        <f t="shared" si="8"/>
        <v>41.099850000000004</v>
      </c>
      <c r="P16" s="2">
        <f t="shared" si="9"/>
        <v>0</v>
      </c>
      <c r="Q16" s="58">
        <f t="shared" si="10"/>
        <v>297.82499999999999</v>
      </c>
      <c r="R16" s="58">
        <v>0</v>
      </c>
      <c r="S16" s="2">
        <f t="shared" si="12"/>
        <v>297.82499999999999</v>
      </c>
      <c r="T16" s="9">
        <f t="shared" si="11"/>
        <v>5415</v>
      </c>
      <c r="U16" s="29"/>
    </row>
    <row r="17" spans="1:21" ht="28.8" x14ac:dyDescent="0.25">
      <c r="A17" s="10">
        <f>+'Banka Lis.'!B16</f>
        <v>12</v>
      </c>
      <c r="B17" s="10" t="str">
        <f>+Puantaj!C17</f>
        <v>31885265086</v>
      </c>
      <c r="C17" s="3" t="str">
        <f>+Puantaj!D17</f>
        <v>AYBERK</v>
      </c>
      <c r="D17" s="3" t="str">
        <f>+Puantaj!E17</f>
        <v>EREN</v>
      </c>
      <c r="E17" s="3" t="str">
        <f>+'Banka Lis.'!H16</f>
        <v>Bursa UludağÜniversitesi Üniveristesi Genel Sekreterlik Özel Kalem</v>
      </c>
      <c r="F17" s="33">
        <f>+Puantaj!AK17</f>
        <v>12</v>
      </c>
      <c r="G17" s="31">
        <f t="shared" si="0"/>
        <v>12996</v>
      </c>
      <c r="H17" s="56">
        <f t="shared" si="1"/>
        <v>714.78</v>
      </c>
      <c r="I17" s="57">
        <f t="shared" si="2"/>
        <v>13710.78</v>
      </c>
      <c r="J17" s="2">
        <f t="shared" si="3"/>
        <v>12996</v>
      </c>
      <c r="K17" s="2">
        <f t="shared" si="4"/>
        <v>1949.3999999999999</v>
      </c>
      <c r="L17" s="2">
        <f t="shared" si="5"/>
        <v>1949.3999999999999</v>
      </c>
      <c r="M17" s="58">
        <f t="shared" si="6"/>
        <v>0</v>
      </c>
      <c r="N17" s="2">
        <f t="shared" si="7"/>
        <v>98.63964</v>
      </c>
      <c r="O17" s="2">
        <f t="shared" si="8"/>
        <v>98.63964</v>
      </c>
      <c r="P17" s="2">
        <f t="shared" si="9"/>
        <v>0</v>
      </c>
      <c r="Q17" s="58">
        <f t="shared" si="10"/>
        <v>714.78</v>
      </c>
      <c r="R17" s="58">
        <v>0</v>
      </c>
      <c r="S17" s="2">
        <f t="shared" si="12"/>
        <v>714.78</v>
      </c>
      <c r="T17" s="9">
        <f t="shared" si="11"/>
        <v>12996</v>
      </c>
      <c r="U17" s="29"/>
    </row>
    <row r="18" spans="1:21" ht="28.8" x14ac:dyDescent="0.25">
      <c r="A18" s="10">
        <f>+'Banka Lis.'!B17</f>
        <v>13</v>
      </c>
      <c r="B18" s="10" t="str">
        <f>+Puantaj!C18</f>
        <v>16364821786</v>
      </c>
      <c r="C18" s="3" t="str">
        <f>+Puantaj!D18</f>
        <v>AYBERK</v>
      </c>
      <c r="D18" s="3" t="str">
        <f>+Puantaj!E18</f>
        <v>KILIÇ</v>
      </c>
      <c r="E18" s="3" t="str">
        <f>+'Banka Lis.'!H17</f>
        <v>Bursa UludağÜniversitesi Üniveristesi Genel Sekreterlik Özel Kalem</v>
      </c>
      <c r="F18" s="33">
        <f>+Puantaj!AK18</f>
        <v>13</v>
      </c>
      <c r="G18" s="31">
        <f t="shared" si="0"/>
        <v>14079</v>
      </c>
      <c r="H18" s="56">
        <f t="shared" si="1"/>
        <v>774.34500000000003</v>
      </c>
      <c r="I18" s="57">
        <f t="shared" si="2"/>
        <v>14853.344999999999</v>
      </c>
      <c r="J18" s="2">
        <f t="shared" si="3"/>
        <v>14079</v>
      </c>
      <c r="K18" s="2">
        <f t="shared" si="4"/>
        <v>2111.85</v>
      </c>
      <c r="L18" s="2">
        <f t="shared" si="5"/>
        <v>2111.85</v>
      </c>
      <c r="M18" s="58">
        <f t="shared" si="6"/>
        <v>0</v>
      </c>
      <c r="N18" s="2">
        <f t="shared" si="7"/>
        <v>106.85961</v>
      </c>
      <c r="O18" s="2">
        <f t="shared" si="8"/>
        <v>106.85961</v>
      </c>
      <c r="P18" s="2">
        <f t="shared" si="9"/>
        <v>0</v>
      </c>
      <c r="Q18" s="58">
        <f t="shared" si="10"/>
        <v>774.34500000000003</v>
      </c>
      <c r="R18" s="58">
        <v>0</v>
      </c>
      <c r="S18" s="2">
        <f t="shared" si="12"/>
        <v>774.34500000000003</v>
      </c>
      <c r="T18" s="9">
        <f t="shared" si="11"/>
        <v>14079</v>
      </c>
      <c r="U18" s="29"/>
    </row>
    <row r="19" spans="1:21" ht="28.8" x14ac:dyDescent="0.25">
      <c r="A19" s="10">
        <f>+'Banka Lis.'!B18</f>
        <v>14</v>
      </c>
      <c r="B19" s="10" t="str">
        <f>+Puantaj!C19</f>
        <v>10307955460</v>
      </c>
      <c r="C19" s="3" t="str">
        <f>+Puantaj!D19</f>
        <v>AYÇA</v>
      </c>
      <c r="D19" s="3" t="str">
        <f>+Puantaj!E19</f>
        <v>YAZICI</v>
      </c>
      <c r="E19" s="3" t="str">
        <f>+'Banka Lis.'!H18</f>
        <v>Bursa UludağÜniversitesi Üniveristesi Genel Sekreterlik Özel Kalem</v>
      </c>
      <c r="F19" s="33">
        <f>+Puantaj!AK19</f>
        <v>13</v>
      </c>
      <c r="G19" s="31">
        <f t="shared" si="0"/>
        <v>14079</v>
      </c>
      <c r="H19" s="56">
        <f t="shared" si="1"/>
        <v>774.34500000000003</v>
      </c>
      <c r="I19" s="57">
        <f t="shared" si="2"/>
        <v>14853.344999999999</v>
      </c>
      <c r="J19" s="2">
        <f t="shared" si="3"/>
        <v>14079</v>
      </c>
      <c r="K19" s="2">
        <f t="shared" si="4"/>
        <v>2111.85</v>
      </c>
      <c r="L19" s="2">
        <f t="shared" si="5"/>
        <v>2111.85</v>
      </c>
      <c r="M19" s="58">
        <f t="shared" si="6"/>
        <v>0</v>
      </c>
      <c r="N19" s="2">
        <f t="shared" si="7"/>
        <v>106.85961</v>
      </c>
      <c r="O19" s="2">
        <f t="shared" si="8"/>
        <v>106.85961</v>
      </c>
      <c r="P19" s="2">
        <f t="shared" si="9"/>
        <v>0</v>
      </c>
      <c r="Q19" s="58">
        <f t="shared" si="10"/>
        <v>774.34500000000003</v>
      </c>
      <c r="R19" s="58">
        <v>0</v>
      </c>
      <c r="S19" s="2">
        <f t="shared" si="12"/>
        <v>774.34500000000003</v>
      </c>
      <c r="T19" s="9">
        <f t="shared" si="11"/>
        <v>14079</v>
      </c>
      <c r="U19" s="29"/>
    </row>
    <row r="20" spans="1:21" ht="28.8" x14ac:dyDescent="0.25">
      <c r="A20" s="10">
        <f>+'Banka Lis.'!B19</f>
        <v>15</v>
      </c>
      <c r="B20" s="10" t="str">
        <f>+Puantaj!C20</f>
        <v>37796134572</v>
      </c>
      <c r="C20" s="3" t="str">
        <f>+Puantaj!D20</f>
        <v>AYŞE</v>
      </c>
      <c r="D20" s="3" t="str">
        <f>+Puantaj!E20</f>
        <v>KADIOĞULLARI</v>
      </c>
      <c r="E20" s="3" t="str">
        <f>+'Banka Lis.'!H19</f>
        <v>Bursa UludağÜniversitesi Üniveristesi Genel Sekreterlik Özel Kalem</v>
      </c>
      <c r="F20" s="33">
        <f>+Puantaj!AK20</f>
        <v>13</v>
      </c>
      <c r="G20" s="31">
        <f t="shared" si="0"/>
        <v>14079</v>
      </c>
      <c r="H20" s="56">
        <f t="shared" si="1"/>
        <v>774.34500000000003</v>
      </c>
      <c r="I20" s="57">
        <f t="shared" si="2"/>
        <v>14853.344999999999</v>
      </c>
      <c r="J20" s="2">
        <f t="shared" si="3"/>
        <v>14079</v>
      </c>
      <c r="K20" s="2">
        <f t="shared" si="4"/>
        <v>2111.85</v>
      </c>
      <c r="L20" s="2">
        <f t="shared" si="5"/>
        <v>2111.85</v>
      </c>
      <c r="M20" s="58">
        <f t="shared" si="6"/>
        <v>0</v>
      </c>
      <c r="N20" s="2">
        <f t="shared" si="7"/>
        <v>106.85961</v>
      </c>
      <c r="O20" s="2">
        <f t="shared" si="8"/>
        <v>106.85961</v>
      </c>
      <c r="P20" s="2">
        <f t="shared" si="9"/>
        <v>0</v>
      </c>
      <c r="Q20" s="58">
        <f t="shared" si="10"/>
        <v>774.34500000000003</v>
      </c>
      <c r="R20" s="58">
        <v>0</v>
      </c>
      <c r="S20" s="2">
        <f t="shared" si="12"/>
        <v>774.34500000000003</v>
      </c>
      <c r="T20" s="9">
        <f t="shared" si="11"/>
        <v>14079</v>
      </c>
      <c r="U20" s="29"/>
    </row>
    <row r="21" spans="1:21" ht="28.8" x14ac:dyDescent="0.25">
      <c r="A21" s="10">
        <f>+'Banka Lis.'!B20</f>
        <v>16</v>
      </c>
      <c r="B21" s="10" t="str">
        <f>+Puantaj!C21</f>
        <v>20425647000</v>
      </c>
      <c r="C21" s="3" t="str">
        <f>+Puantaj!D21</f>
        <v>AYŞE</v>
      </c>
      <c r="D21" s="3" t="str">
        <f>+Puantaj!E21</f>
        <v>KÜÇÜKALİ</v>
      </c>
      <c r="E21" s="3" t="str">
        <f>+'Banka Lis.'!H20</f>
        <v>Bursa UludağÜniversitesi Üniveristesi Genel Sekreterlik Özel Kalem</v>
      </c>
      <c r="F21" s="33">
        <f>+Puantaj!AK21</f>
        <v>12</v>
      </c>
      <c r="G21" s="31">
        <f t="shared" si="0"/>
        <v>12996</v>
      </c>
      <c r="H21" s="56">
        <f t="shared" si="1"/>
        <v>714.78</v>
      </c>
      <c r="I21" s="57">
        <f t="shared" si="2"/>
        <v>13710.78</v>
      </c>
      <c r="J21" s="2">
        <f t="shared" si="3"/>
        <v>12996</v>
      </c>
      <c r="K21" s="2">
        <f t="shared" si="4"/>
        <v>1949.3999999999999</v>
      </c>
      <c r="L21" s="2">
        <f t="shared" si="5"/>
        <v>1949.3999999999999</v>
      </c>
      <c r="M21" s="58">
        <f t="shared" si="6"/>
        <v>0</v>
      </c>
      <c r="N21" s="2">
        <f t="shared" si="7"/>
        <v>98.63964</v>
      </c>
      <c r="O21" s="2">
        <f t="shared" si="8"/>
        <v>98.63964</v>
      </c>
      <c r="P21" s="2">
        <f t="shared" si="9"/>
        <v>0</v>
      </c>
      <c r="Q21" s="58">
        <f t="shared" si="10"/>
        <v>714.78</v>
      </c>
      <c r="R21" s="58">
        <v>0</v>
      </c>
      <c r="S21" s="2">
        <f t="shared" si="12"/>
        <v>714.78</v>
      </c>
      <c r="T21" s="9">
        <f t="shared" si="11"/>
        <v>12996</v>
      </c>
      <c r="U21" s="29"/>
    </row>
    <row r="22" spans="1:21" ht="28.8" x14ac:dyDescent="0.25">
      <c r="A22" s="10">
        <f>+'Banka Lis.'!B21</f>
        <v>17</v>
      </c>
      <c r="B22" s="10" t="str">
        <f>+Puantaj!C22</f>
        <v>10211811296</v>
      </c>
      <c r="C22" s="3" t="str">
        <f>+Puantaj!D22</f>
        <v>AYŞE NUR</v>
      </c>
      <c r="D22" s="3" t="str">
        <f>+Puantaj!E22</f>
        <v>TÜRKYILMAZ</v>
      </c>
      <c r="E22" s="3" t="str">
        <f>+'Banka Lis.'!H21</f>
        <v>Bursa UludağÜniversitesi Üniveristesi Genel Sekreterlik Özel Kalem</v>
      </c>
      <c r="F22" s="33">
        <f>+Puantaj!AK22</f>
        <v>14</v>
      </c>
      <c r="G22" s="31">
        <f t="shared" si="0"/>
        <v>15162</v>
      </c>
      <c r="H22" s="56">
        <f t="shared" si="1"/>
        <v>833.91</v>
      </c>
      <c r="I22" s="57">
        <f t="shared" si="2"/>
        <v>15995.91</v>
      </c>
      <c r="J22" s="2">
        <f t="shared" si="3"/>
        <v>15162</v>
      </c>
      <c r="K22" s="2">
        <f t="shared" si="4"/>
        <v>2274.2999999999997</v>
      </c>
      <c r="L22" s="2">
        <f t="shared" si="5"/>
        <v>2274.2999999999997</v>
      </c>
      <c r="M22" s="58">
        <f t="shared" si="6"/>
        <v>0</v>
      </c>
      <c r="N22" s="2">
        <f t="shared" si="7"/>
        <v>115.07958000000001</v>
      </c>
      <c r="O22" s="2">
        <f t="shared" si="8"/>
        <v>115.07958000000001</v>
      </c>
      <c r="P22" s="2">
        <f t="shared" si="9"/>
        <v>0</v>
      </c>
      <c r="Q22" s="58">
        <f t="shared" si="10"/>
        <v>833.91</v>
      </c>
      <c r="R22" s="58">
        <v>0</v>
      </c>
      <c r="S22" s="2">
        <f t="shared" si="12"/>
        <v>833.91</v>
      </c>
      <c r="T22" s="9">
        <f t="shared" si="11"/>
        <v>15162</v>
      </c>
      <c r="U22" s="29"/>
    </row>
    <row r="23" spans="1:21" ht="28.8" x14ac:dyDescent="0.25">
      <c r="A23" s="10">
        <f>+'Banka Lis.'!B22</f>
        <v>18</v>
      </c>
      <c r="B23" s="10" t="str">
        <f>+Puantaj!C23</f>
        <v>38158642018</v>
      </c>
      <c r="C23" s="3" t="str">
        <f>+Puantaj!D23</f>
        <v>AYŞENUR TUĞBA</v>
      </c>
      <c r="D23" s="3" t="str">
        <f>+Puantaj!E23</f>
        <v>KILIÇARSLAN</v>
      </c>
      <c r="E23" s="3" t="str">
        <f>+'Banka Lis.'!H22</f>
        <v>Bursa UludağÜniversitesi Üniveristesi Genel Sekreterlik Özel Kalem</v>
      </c>
      <c r="F23" s="33">
        <f>+Puantaj!AK23</f>
        <v>13</v>
      </c>
      <c r="G23" s="31">
        <f t="shared" si="0"/>
        <v>14079</v>
      </c>
      <c r="H23" s="56">
        <f t="shared" si="1"/>
        <v>774.34500000000003</v>
      </c>
      <c r="I23" s="57">
        <f t="shared" si="2"/>
        <v>14853.344999999999</v>
      </c>
      <c r="J23" s="2">
        <f t="shared" si="3"/>
        <v>14079</v>
      </c>
      <c r="K23" s="2">
        <f t="shared" si="4"/>
        <v>2111.85</v>
      </c>
      <c r="L23" s="2">
        <f t="shared" si="5"/>
        <v>2111.85</v>
      </c>
      <c r="M23" s="58">
        <f t="shared" si="6"/>
        <v>0</v>
      </c>
      <c r="N23" s="2">
        <f t="shared" si="7"/>
        <v>106.85961</v>
      </c>
      <c r="O23" s="2">
        <f t="shared" si="8"/>
        <v>106.85961</v>
      </c>
      <c r="P23" s="2">
        <f t="shared" si="9"/>
        <v>0</v>
      </c>
      <c r="Q23" s="58">
        <f t="shared" si="10"/>
        <v>774.34500000000003</v>
      </c>
      <c r="R23" s="58">
        <v>0</v>
      </c>
      <c r="S23" s="2">
        <f t="shared" si="12"/>
        <v>774.34500000000003</v>
      </c>
      <c r="T23" s="9">
        <f t="shared" si="11"/>
        <v>14079</v>
      </c>
      <c r="U23" s="29"/>
    </row>
    <row r="24" spans="1:21" ht="28.8" x14ac:dyDescent="0.25">
      <c r="A24" s="10">
        <f>+'Banka Lis.'!B23</f>
        <v>19</v>
      </c>
      <c r="B24" s="10" t="str">
        <f>+Puantaj!C24</f>
        <v>10391956060</v>
      </c>
      <c r="C24" s="3" t="str">
        <f>+Puantaj!D24</f>
        <v>AYŞENUR</v>
      </c>
      <c r="D24" s="3" t="str">
        <f>+Puantaj!E24</f>
        <v>YILDIRIM</v>
      </c>
      <c r="E24" s="3" t="str">
        <f>+'Banka Lis.'!H23</f>
        <v>Bursa UludağÜniversitesi Üniveristesi Genel Sekreterlik Özel Kalem</v>
      </c>
      <c r="F24" s="33">
        <f>+Puantaj!AK24</f>
        <v>14</v>
      </c>
      <c r="G24" s="31">
        <f t="shared" si="0"/>
        <v>15162</v>
      </c>
      <c r="H24" s="56">
        <f t="shared" si="1"/>
        <v>833.91</v>
      </c>
      <c r="I24" s="57">
        <f t="shared" si="2"/>
        <v>15995.91</v>
      </c>
      <c r="J24" s="2">
        <f t="shared" si="3"/>
        <v>15162</v>
      </c>
      <c r="K24" s="2">
        <f t="shared" si="4"/>
        <v>2274.2999999999997</v>
      </c>
      <c r="L24" s="2">
        <f t="shared" si="5"/>
        <v>2274.2999999999997</v>
      </c>
      <c r="M24" s="58">
        <f t="shared" si="6"/>
        <v>0</v>
      </c>
      <c r="N24" s="2">
        <f t="shared" si="7"/>
        <v>115.07958000000001</v>
      </c>
      <c r="O24" s="2">
        <f t="shared" si="8"/>
        <v>115.07958000000001</v>
      </c>
      <c r="P24" s="2">
        <f t="shared" si="9"/>
        <v>0</v>
      </c>
      <c r="Q24" s="58">
        <f t="shared" si="10"/>
        <v>833.91</v>
      </c>
      <c r="R24" s="58">
        <v>0</v>
      </c>
      <c r="S24" s="2">
        <f t="shared" si="12"/>
        <v>833.91</v>
      </c>
      <c r="T24" s="9">
        <f t="shared" si="11"/>
        <v>15162</v>
      </c>
      <c r="U24" s="29"/>
    </row>
    <row r="25" spans="1:21" ht="28.8" x14ac:dyDescent="0.25">
      <c r="A25" s="10">
        <f>+'Banka Lis.'!B24</f>
        <v>20</v>
      </c>
      <c r="B25" s="10" t="str">
        <f>+Puantaj!C25</f>
        <v>10075858284</v>
      </c>
      <c r="C25" s="3" t="str">
        <f>+Puantaj!D25</f>
        <v>AZİZE NUR</v>
      </c>
      <c r="D25" s="3" t="str">
        <f>+Puantaj!E25</f>
        <v>TUTUM</v>
      </c>
      <c r="E25" s="3" t="str">
        <f>+'Banka Lis.'!H24</f>
        <v>Bursa UludağÜniversitesi Üniveristesi Genel Sekreterlik Özel Kalem</v>
      </c>
      <c r="F25" s="33">
        <f>+Puantaj!AK25</f>
        <v>7</v>
      </c>
      <c r="G25" s="31">
        <f t="shared" si="0"/>
        <v>7581</v>
      </c>
      <c r="H25" s="56">
        <f t="shared" si="1"/>
        <v>416.95499999999998</v>
      </c>
      <c r="I25" s="57">
        <f t="shared" si="2"/>
        <v>7997.9549999999999</v>
      </c>
      <c r="J25" s="2">
        <f t="shared" si="3"/>
        <v>7581</v>
      </c>
      <c r="K25" s="2">
        <f t="shared" si="4"/>
        <v>1137.1499999999999</v>
      </c>
      <c r="L25" s="2">
        <f t="shared" si="5"/>
        <v>1137.1499999999999</v>
      </c>
      <c r="M25" s="58">
        <f t="shared" si="6"/>
        <v>0</v>
      </c>
      <c r="N25" s="2">
        <f t="shared" si="7"/>
        <v>57.539790000000004</v>
      </c>
      <c r="O25" s="2">
        <f t="shared" si="8"/>
        <v>57.539790000000004</v>
      </c>
      <c r="P25" s="2">
        <f t="shared" si="9"/>
        <v>0</v>
      </c>
      <c r="Q25" s="58">
        <f t="shared" si="10"/>
        <v>416.95499999999998</v>
      </c>
      <c r="R25" s="58">
        <v>0</v>
      </c>
      <c r="S25" s="2">
        <f t="shared" si="12"/>
        <v>416.95499999999998</v>
      </c>
      <c r="T25" s="9">
        <f t="shared" si="11"/>
        <v>7581</v>
      </c>
      <c r="U25" s="29"/>
    </row>
    <row r="26" spans="1:21" ht="28.8" x14ac:dyDescent="0.25">
      <c r="A26" s="10">
        <f>+'Banka Lis.'!B25</f>
        <v>21</v>
      </c>
      <c r="B26" s="10" t="str">
        <f>+Puantaj!C26</f>
        <v>38815458440</v>
      </c>
      <c r="C26" s="3" t="str">
        <f>+Puantaj!D26</f>
        <v>AZRA</v>
      </c>
      <c r="D26" s="3" t="str">
        <f>+Puantaj!E26</f>
        <v>ÖZGÜL</v>
      </c>
      <c r="E26" s="3" t="str">
        <f>+'Banka Lis.'!H25</f>
        <v>Bursa UludağÜniversitesi Üniveristesi Genel Sekreterlik Özel Kalem</v>
      </c>
      <c r="F26" s="33">
        <f>+Puantaj!AK26</f>
        <v>14</v>
      </c>
      <c r="G26" s="31">
        <f t="shared" si="0"/>
        <v>15162</v>
      </c>
      <c r="H26" s="56">
        <f t="shared" si="1"/>
        <v>833.91</v>
      </c>
      <c r="I26" s="57">
        <f t="shared" si="2"/>
        <v>15995.91</v>
      </c>
      <c r="J26" s="2">
        <f t="shared" si="3"/>
        <v>15162</v>
      </c>
      <c r="K26" s="2">
        <f t="shared" si="4"/>
        <v>2274.2999999999997</v>
      </c>
      <c r="L26" s="2">
        <f t="shared" si="5"/>
        <v>2274.2999999999997</v>
      </c>
      <c r="M26" s="58">
        <f t="shared" si="6"/>
        <v>0</v>
      </c>
      <c r="N26" s="2">
        <f t="shared" si="7"/>
        <v>115.07958000000001</v>
      </c>
      <c r="O26" s="2">
        <f t="shared" si="8"/>
        <v>115.07958000000001</v>
      </c>
      <c r="P26" s="2">
        <f t="shared" si="9"/>
        <v>0</v>
      </c>
      <c r="Q26" s="58">
        <f t="shared" si="10"/>
        <v>833.91</v>
      </c>
      <c r="R26" s="58">
        <v>0</v>
      </c>
      <c r="S26" s="2">
        <f t="shared" si="12"/>
        <v>833.91</v>
      </c>
      <c r="T26" s="9">
        <f t="shared" si="11"/>
        <v>15162</v>
      </c>
      <c r="U26" s="29"/>
    </row>
    <row r="27" spans="1:21" ht="28.8" x14ac:dyDescent="0.25">
      <c r="A27" s="10">
        <f>+'Banka Lis.'!B26</f>
        <v>22</v>
      </c>
      <c r="B27" s="10" t="str">
        <f>+Puantaj!C27</f>
        <v>22682146630</v>
      </c>
      <c r="C27" s="3" t="str">
        <f>+Puantaj!D27</f>
        <v>BEGÜM</v>
      </c>
      <c r="D27" s="3" t="str">
        <f>+Puantaj!E27</f>
        <v>YALÇIN</v>
      </c>
      <c r="E27" s="3" t="str">
        <f>+'Banka Lis.'!H26</f>
        <v>Bursa UludağÜniversitesi Üniveristesi Genel Sekreterlik Özel Kalem</v>
      </c>
      <c r="F27" s="33">
        <f>+Puantaj!AK27</f>
        <v>13</v>
      </c>
      <c r="G27" s="31">
        <f t="shared" si="0"/>
        <v>14079</v>
      </c>
      <c r="H27" s="56">
        <f t="shared" si="1"/>
        <v>774.34500000000003</v>
      </c>
      <c r="I27" s="57">
        <f t="shared" si="2"/>
        <v>14853.344999999999</v>
      </c>
      <c r="J27" s="2">
        <f t="shared" si="3"/>
        <v>14079</v>
      </c>
      <c r="K27" s="2">
        <f t="shared" si="4"/>
        <v>2111.85</v>
      </c>
      <c r="L27" s="2">
        <f t="shared" si="5"/>
        <v>2111.85</v>
      </c>
      <c r="M27" s="58">
        <f t="shared" si="6"/>
        <v>0</v>
      </c>
      <c r="N27" s="2">
        <f t="shared" si="7"/>
        <v>106.85961</v>
      </c>
      <c r="O27" s="2">
        <f t="shared" si="8"/>
        <v>106.85961</v>
      </c>
      <c r="P27" s="2">
        <f t="shared" si="9"/>
        <v>0</v>
      </c>
      <c r="Q27" s="58">
        <f t="shared" si="10"/>
        <v>774.34500000000003</v>
      </c>
      <c r="R27" s="58">
        <v>0</v>
      </c>
      <c r="S27" s="2">
        <f t="shared" si="12"/>
        <v>774.34500000000003</v>
      </c>
      <c r="T27" s="9">
        <f t="shared" si="11"/>
        <v>14079</v>
      </c>
      <c r="U27" s="29"/>
    </row>
    <row r="28" spans="1:21" ht="28.8" x14ac:dyDescent="0.25">
      <c r="A28" s="10">
        <f>+'Banka Lis.'!B27</f>
        <v>23</v>
      </c>
      <c r="B28" s="10" t="str">
        <f>+Puantaj!C28</f>
        <v>10048324686</v>
      </c>
      <c r="C28" s="3" t="str">
        <f>+Puantaj!D28</f>
        <v>BERAT</v>
      </c>
      <c r="D28" s="3" t="str">
        <f>+Puantaj!E28</f>
        <v>ÇAM</v>
      </c>
      <c r="E28" s="3" t="str">
        <f>+'Banka Lis.'!H27</f>
        <v>Bursa UludağÜniversitesi Üniveristesi Genel Sekreterlik Özel Kalem</v>
      </c>
      <c r="F28" s="33">
        <f>+Puantaj!AK28</f>
        <v>12</v>
      </c>
      <c r="G28" s="31">
        <f t="shared" si="0"/>
        <v>12996</v>
      </c>
      <c r="H28" s="56">
        <f t="shared" si="1"/>
        <v>714.78</v>
      </c>
      <c r="I28" s="57">
        <f t="shared" si="2"/>
        <v>13710.78</v>
      </c>
      <c r="J28" s="2">
        <f t="shared" si="3"/>
        <v>12996</v>
      </c>
      <c r="K28" s="2">
        <f t="shared" si="4"/>
        <v>1949.3999999999999</v>
      </c>
      <c r="L28" s="2">
        <f t="shared" si="5"/>
        <v>1949.3999999999999</v>
      </c>
      <c r="M28" s="58">
        <f t="shared" si="6"/>
        <v>0</v>
      </c>
      <c r="N28" s="2">
        <f t="shared" si="7"/>
        <v>98.63964</v>
      </c>
      <c r="O28" s="2">
        <f t="shared" si="8"/>
        <v>98.63964</v>
      </c>
      <c r="P28" s="2">
        <f t="shared" si="9"/>
        <v>0</v>
      </c>
      <c r="Q28" s="58">
        <f t="shared" si="10"/>
        <v>714.78</v>
      </c>
      <c r="R28" s="58">
        <v>0</v>
      </c>
      <c r="S28" s="2">
        <f t="shared" si="12"/>
        <v>714.78</v>
      </c>
      <c r="T28" s="9">
        <f t="shared" si="11"/>
        <v>12996</v>
      </c>
      <c r="U28" s="29"/>
    </row>
    <row r="29" spans="1:21" ht="28.8" x14ac:dyDescent="0.25">
      <c r="A29" s="10">
        <f>+'Banka Lis.'!B28</f>
        <v>24</v>
      </c>
      <c r="B29" s="10" t="str">
        <f>+Puantaj!C29</f>
        <v>60583295750</v>
      </c>
      <c r="C29" s="3" t="str">
        <f>+Puantaj!D29</f>
        <v>BETÜL</v>
      </c>
      <c r="D29" s="3" t="str">
        <f>+Puantaj!E29</f>
        <v>ÖZTÜRK</v>
      </c>
      <c r="E29" s="3" t="str">
        <f>+'Banka Lis.'!H28</f>
        <v>Bursa UludağÜniversitesi Üniveristesi Genel Sekreterlik Özel Kalem</v>
      </c>
      <c r="F29" s="33">
        <f>+Puantaj!AK29</f>
        <v>13</v>
      </c>
      <c r="G29" s="31">
        <f t="shared" si="0"/>
        <v>14079</v>
      </c>
      <c r="H29" s="56">
        <f t="shared" si="1"/>
        <v>774.34500000000003</v>
      </c>
      <c r="I29" s="57">
        <f t="shared" si="2"/>
        <v>14853.344999999999</v>
      </c>
      <c r="J29" s="2">
        <f t="shared" si="3"/>
        <v>14079</v>
      </c>
      <c r="K29" s="2">
        <f t="shared" si="4"/>
        <v>2111.85</v>
      </c>
      <c r="L29" s="2">
        <f t="shared" si="5"/>
        <v>2111.85</v>
      </c>
      <c r="M29" s="58">
        <f t="shared" si="6"/>
        <v>0</v>
      </c>
      <c r="N29" s="2">
        <f t="shared" si="7"/>
        <v>106.85961</v>
      </c>
      <c r="O29" s="2">
        <f t="shared" si="8"/>
        <v>106.85961</v>
      </c>
      <c r="P29" s="2">
        <f t="shared" si="9"/>
        <v>0</v>
      </c>
      <c r="Q29" s="58">
        <f t="shared" si="10"/>
        <v>774.34500000000003</v>
      </c>
      <c r="R29" s="58">
        <v>0</v>
      </c>
      <c r="S29" s="2">
        <f t="shared" si="12"/>
        <v>774.34500000000003</v>
      </c>
      <c r="T29" s="9">
        <f t="shared" si="11"/>
        <v>14079</v>
      </c>
      <c r="U29" s="29"/>
    </row>
    <row r="30" spans="1:21" ht="28.8" x14ac:dyDescent="0.25">
      <c r="A30" s="10">
        <f>+'Banka Lis.'!B29</f>
        <v>25</v>
      </c>
      <c r="B30" s="10" t="str">
        <f>+Puantaj!C30</f>
        <v>15829750838</v>
      </c>
      <c r="C30" s="3" t="str">
        <f>+Puantaj!D30</f>
        <v>BETÜL</v>
      </c>
      <c r="D30" s="3" t="str">
        <f>+Puantaj!E30</f>
        <v>UYAR</v>
      </c>
      <c r="E30" s="3" t="str">
        <f>+'Banka Lis.'!H29</f>
        <v>Bursa UludağÜniversitesi Üniveristesi Genel Sekreterlik Özel Kalem</v>
      </c>
      <c r="F30" s="33">
        <f>+Puantaj!AK30</f>
        <v>12</v>
      </c>
      <c r="G30" s="31">
        <f t="shared" si="0"/>
        <v>12996</v>
      </c>
      <c r="H30" s="56">
        <f t="shared" si="1"/>
        <v>714.78</v>
      </c>
      <c r="I30" s="57">
        <f t="shared" si="2"/>
        <v>13710.78</v>
      </c>
      <c r="J30" s="2">
        <f t="shared" si="3"/>
        <v>12996</v>
      </c>
      <c r="K30" s="2">
        <f t="shared" si="4"/>
        <v>1949.3999999999999</v>
      </c>
      <c r="L30" s="2">
        <f t="shared" si="5"/>
        <v>1949.3999999999999</v>
      </c>
      <c r="M30" s="58">
        <f t="shared" si="6"/>
        <v>0</v>
      </c>
      <c r="N30" s="2">
        <f t="shared" si="7"/>
        <v>98.63964</v>
      </c>
      <c r="O30" s="2">
        <f t="shared" si="8"/>
        <v>98.63964</v>
      </c>
      <c r="P30" s="2">
        <f t="shared" si="9"/>
        <v>0</v>
      </c>
      <c r="Q30" s="58">
        <f t="shared" si="10"/>
        <v>714.78</v>
      </c>
      <c r="R30" s="58">
        <v>0</v>
      </c>
      <c r="S30" s="2">
        <f t="shared" si="12"/>
        <v>714.78</v>
      </c>
      <c r="T30" s="9">
        <f t="shared" si="11"/>
        <v>12996</v>
      </c>
      <c r="U30" s="29"/>
    </row>
    <row r="31" spans="1:21" ht="28.8" x14ac:dyDescent="0.25">
      <c r="A31" s="10">
        <f>+'Banka Lis.'!B30</f>
        <v>26</v>
      </c>
      <c r="B31" s="10" t="str">
        <f>+Puantaj!C31</f>
        <v>12029296494</v>
      </c>
      <c r="C31" s="3" t="str">
        <f>+Puantaj!D31</f>
        <v>BİLAL EMİR</v>
      </c>
      <c r="D31" s="3" t="str">
        <f>+Puantaj!E31</f>
        <v>GÖK</v>
      </c>
      <c r="E31" s="3" t="str">
        <f>+'Banka Lis.'!H30</f>
        <v>Bursa UludağÜniversitesi Üniveristesi Genel Sekreterlik Özel Kalem</v>
      </c>
      <c r="F31" s="33">
        <f>+Puantaj!AK31</f>
        <v>15</v>
      </c>
      <c r="G31" s="31">
        <f t="shared" si="0"/>
        <v>16245</v>
      </c>
      <c r="H31" s="56">
        <f t="shared" si="1"/>
        <v>893.47500000000002</v>
      </c>
      <c r="I31" s="57">
        <f t="shared" si="2"/>
        <v>17138.474999999999</v>
      </c>
      <c r="J31" s="2">
        <f t="shared" si="3"/>
        <v>16245</v>
      </c>
      <c r="K31" s="2">
        <f t="shared" si="4"/>
        <v>2436.75</v>
      </c>
      <c r="L31" s="2">
        <f t="shared" si="5"/>
        <v>2436.75</v>
      </c>
      <c r="M31" s="58">
        <f t="shared" si="6"/>
        <v>0</v>
      </c>
      <c r="N31" s="2">
        <f t="shared" si="7"/>
        <v>123.29955000000001</v>
      </c>
      <c r="O31" s="2">
        <f t="shared" si="8"/>
        <v>123.29955000000001</v>
      </c>
      <c r="P31" s="2">
        <f t="shared" si="9"/>
        <v>0</v>
      </c>
      <c r="Q31" s="58">
        <f t="shared" si="10"/>
        <v>893.47500000000002</v>
      </c>
      <c r="R31" s="58">
        <v>0</v>
      </c>
      <c r="S31" s="2">
        <f t="shared" si="12"/>
        <v>893.47500000000002</v>
      </c>
      <c r="T31" s="9">
        <f t="shared" si="11"/>
        <v>16244.999999999998</v>
      </c>
      <c r="U31" s="29"/>
    </row>
    <row r="32" spans="1:21" ht="28.8" x14ac:dyDescent="0.25">
      <c r="A32" s="10">
        <f>+'Banka Lis.'!B31</f>
        <v>27</v>
      </c>
      <c r="B32" s="10" t="str">
        <f>+Puantaj!C32</f>
        <v>11559114636</v>
      </c>
      <c r="C32" s="3" t="str">
        <f>+Puantaj!D32</f>
        <v>BİLAL</v>
      </c>
      <c r="D32" s="3" t="str">
        <f>+Puantaj!E32</f>
        <v>GÜNGÖR</v>
      </c>
      <c r="E32" s="3" t="str">
        <f>+'Banka Lis.'!H31</f>
        <v>Bursa UludağÜniversitesi Üniveristesi Genel Sekreterlik Özel Kalem</v>
      </c>
      <c r="F32" s="33">
        <f>+Puantaj!AK32</f>
        <v>1</v>
      </c>
      <c r="G32" s="31">
        <f t="shared" si="0"/>
        <v>1083</v>
      </c>
      <c r="H32" s="56">
        <f t="shared" si="1"/>
        <v>59.564999999999998</v>
      </c>
      <c r="I32" s="57">
        <f t="shared" si="2"/>
        <v>1142.5650000000001</v>
      </c>
      <c r="J32" s="2">
        <f t="shared" si="3"/>
        <v>1083</v>
      </c>
      <c r="K32" s="2">
        <f t="shared" si="4"/>
        <v>162.44999999999999</v>
      </c>
      <c r="L32" s="2">
        <f t="shared" si="5"/>
        <v>162.44999999999999</v>
      </c>
      <c r="M32" s="58">
        <f t="shared" si="6"/>
        <v>0</v>
      </c>
      <c r="N32" s="2">
        <f t="shared" si="7"/>
        <v>8.21997</v>
      </c>
      <c r="O32" s="2">
        <f t="shared" si="8"/>
        <v>8.21997</v>
      </c>
      <c r="P32" s="2">
        <f t="shared" si="9"/>
        <v>0</v>
      </c>
      <c r="Q32" s="58">
        <f t="shared" si="10"/>
        <v>59.564999999999998</v>
      </c>
      <c r="R32" s="58">
        <v>0</v>
      </c>
      <c r="S32" s="2">
        <f t="shared" si="12"/>
        <v>59.564999999999998</v>
      </c>
      <c r="T32" s="9">
        <f t="shared" si="11"/>
        <v>1083</v>
      </c>
      <c r="U32" s="29"/>
    </row>
    <row r="33" spans="1:21" ht="28.8" x14ac:dyDescent="0.25">
      <c r="A33" s="10">
        <f>+'Banka Lis.'!B32</f>
        <v>28</v>
      </c>
      <c r="B33" s="10" t="str">
        <f>+Puantaj!C33</f>
        <v>16765732636</v>
      </c>
      <c r="C33" s="3" t="str">
        <f>+Puantaj!D33</f>
        <v>BUSE</v>
      </c>
      <c r="D33" s="3" t="str">
        <f>+Puantaj!E33</f>
        <v>ALACA</v>
      </c>
      <c r="E33" s="3" t="str">
        <f>+'Banka Lis.'!H32</f>
        <v>Bursa UludağÜniversitesi Üniveristesi Genel Sekreterlik Özel Kalem</v>
      </c>
      <c r="F33" s="33">
        <f>+Puantaj!AK33</f>
        <v>14</v>
      </c>
      <c r="G33" s="31">
        <f t="shared" si="0"/>
        <v>15162</v>
      </c>
      <c r="H33" s="56">
        <f t="shared" si="1"/>
        <v>833.91</v>
      </c>
      <c r="I33" s="57">
        <f t="shared" si="2"/>
        <v>15995.91</v>
      </c>
      <c r="J33" s="2">
        <f t="shared" si="3"/>
        <v>15162</v>
      </c>
      <c r="K33" s="2">
        <f t="shared" si="4"/>
        <v>2274.2999999999997</v>
      </c>
      <c r="L33" s="2">
        <f t="shared" si="5"/>
        <v>2274.2999999999997</v>
      </c>
      <c r="M33" s="58">
        <f t="shared" si="6"/>
        <v>0</v>
      </c>
      <c r="N33" s="2">
        <f t="shared" si="7"/>
        <v>115.07958000000001</v>
      </c>
      <c r="O33" s="2">
        <f t="shared" si="8"/>
        <v>115.07958000000001</v>
      </c>
      <c r="P33" s="2">
        <f t="shared" si="9"/>
        <v>0</v>
      </c>
      <c r="Q33" s="58">
        <f t="shared" si="10"/>
        <v>833.91</v>
      </c>
      <c r="R33" s="58">
        <v>0</v>
      </c>
      <c r="S33" s="2">
        <f t="shared" si="12"/>
        <v>833.91</v>
      </c>
      <c r="T33" s="9">
        <f t="shared" si="11"/>
        <v>15162</v>
      </c>
      <c r="U33" s="29"/>
    </row>
    <row r="34" spans="1:21" ht="28.8" x14ac:dyDescent="0.25">
      <c r="A34" s="10">
        <f>+'Banka Lis.'!B33</f>
        <v>29</v>
      </c>
      <c r="B34" s="10" t="str">
        <f>+Puantaj!C34</f>
        <v>10169157156</v>
      </c>
      <c r="C34" s="3" t="str">
        <f>+Puantaj!D34</f>
        <v>BUSE</v>
      </c>
      <c r="D34" s="3" t="str">
        <f>+Puantaj!E34</f>
        <v>PAMUK</v>
      </c>
      <c r="E34" s="3" t="str">
        <f>+'Banka Lis.'!H33</f>
        <v>Bursa UludağÜniversitesi Üniveristesi Genel Sekreterlik Özel Kalem</v>
      </c>
      <c r="F34" s="33">
        <f>+Puantaj!AK34</f>
        <v>4</v>
      </c>
      <c r="G34" s="31">
        <f t="shared" si="0"/>
        <v>4332</v>
      </c>
      <c r="H34" s="56">
        <f t="shared" si="1"/>
        <v>238.26</v>
      </c>
      <c r="I34" s="57">
        <f t="shared" si="2"/>
        <v>4570.26</v>
      </c>
      <c r="J34" s="2">
        <f t="shared" si="3"/>
        <v>4332</v>
      </c>
      <c r="K34" s="2">
        <f t="shared" si="4"/>
        <v>649.79999999999995</v>
      </c>
      <c r="L34" s="2">
        <f t="shared" si="5"/>
        <v>649.79999999999995</v>
      </c>
      <c r="M34" s="58">
        <f t="shared" si="6"/>
        <v>0</v>
      </c>
      <c r="N34" s="2">
        <f t="shared" si="7"/>
        <v>32.87988</v>
      </c>
      <c r="O34" s="2">
        <f t="shared" si="8"/>
        <v>32.87988</v>
      </c>
      <c r="P34" s="2">
        <f t="shared" si="9"/>
        <v>0</v>
      </c>
      <c r="Q34" s="58">
        <f t="shared" si="10"/>
        <v>238.26</v>
      </c>
      <c r="R34" s="58">
        <v>0</v>
      </c>
      <c r="S34" s="2">
        <f t="shared" si="12"/>
        <v>238.26</v>
      </c>
      <c r="T34" s="9">
        <f t="shared" si="11"/>
        <v>4332</v>
      </c>
      <c r="U34" s="29"/>
    </row>
    <row r="35" spans="1:21" ht="28.8" x14ac:dyDescent="0.25">
      <c r="A35" s="10">
        <f>+'Banka Lis.'!B34</f>
        <v>30</v>
      </c>
      <c r="B35" s="10" t="str">
        <f>+Puantaj!C35</f>
        <v>22309168236</v>
      </c>
      <c r="C35" s="3" t="str">
        <f>+Puantaj!D35</f>
        <v>CAFER</v>
      </c>
      <c r="D35" s="3" t="str">
        <f>+Puantaj!E35</f>
        <v>SOYLU</v>
      </c>
      <c r="E35" s="3" t="str">
        <f>+'Banka Lis.'!H34</f>
        <v>Bursa UludağÜniversitesi Üniveristesi Genel Sekreterlik Özel Kalem</v>
      </c>
      <c r="F35" s="33">
        <f>+Puantaj!AK35</f>
        <v>14</v>
      </c>
      <c r="G35" s="31">
        <f t="shared" si="0"/>
        <v>15162</v>
      </c>
      <c r="H35" s="56">
        <f t="shared" si="1"/>
        <v>833.91</v>
      </c>
      <c r="I35" s="57">
        <f t="shared" si="2"/>
        <v>15995.91</v>
      </c>
      <c r="J35" s="2">
        <f t="shared" si="3"/>
        <v>15162</v>
      </c>
      <c r="K35" s="2">
        <f t="shared" si="4"/>
        <v>2274.2999999999997</v>
      </c>
      <c r="L35" s="2">
        <f t="shared" si="5"/>
        <v>2274.2999999999997</v>
      </c>
      <c r="M35" s="58">
        <f t="shared" si="6"/>
        <v>0</v>
      </c>
      <c r="N35" s="2">
        <f t="shared" si="7"/>
        <v>115.07958000000001</v>
      </c>
      <c r="O35" s="2">
        <f t="shared" si="8"/>
        <v>115.07958000000001</v>
      </c>
      <c r="P35" s="2">
        <f t="shared" si="9"/>
        <v>0</v>
      </c>
      <c r="Q35" s="58">
        <f t="shared" si="10"/>
        <v>833.91</v>
      </c>
      <c r="R35" s="58">
        <v>0</v>
      </c>
      <c r="S35" s="2">
        <f t="shared" si="12"/>
        <v>833.91</v>
      </c>
      <c r="T35" s="9">
        <f t="shared" si="11"/>
        <v>15162</v>
      </c>
      <c r="U35" s="29"/>
    </row>
    <row r="36" spans="1:21" ht="28.8" x14ac:dyDescent="0.25">
      <c r="A36" s="10">
        <f>+'Banka Lis.'!B35</f>
        <v>31</v>
      </c>
      <c r="B36" s="10" t="str">
        <f>+Puantaj!C36</f>
        <v>15725667650</v>
      </c>
      <c r="C36" s="3" t="str">
        <f>+Puantaj!D36</f>
        <v>CANER</v>
      </c>
      <c r="D36" s="3" t="str">
        <f>+Puantaj!E36</f>
        <v>YILDIZ</v>
      </c>
      <c r="E36" s="3" t="str">
        <f>+'Banka Lis.'!H35</f>
        <v>Bursa UludağÜniversitesi Üniveristesi Genel Sekreterlik Özel Kalem</v>
      </c>
      <c r="F36" s="33">
        <f>+Puantaj!AK36</f>
        <v>14</v>
      </c>
      <c r="G36" s="31">
        <f t="shared" si="0"/>
        <v>15162</v>
      </c>
      <c r="H36" s="56">
        <f t="shared" si="1"/>
        <v>833.91</v>
      </c>
      <c r="I36" s="57">
        <f t="shared" si="2"/>
        <v>15995.91</v>
      </c>
      <c r="J36" s="2">
        <f t="shared" si="3"/>
        <v>15162</v>
      </c>
      <c r="K36" s="2">
        <f t="shared" si="4"/>
        <v>2274.2999999999997</v>
      </c>
      <c r="L36" s="2">
        <f t="shared" si="5"/>
        <v>2274.2999999999997</v>
      </c>
      <c r="M36" s="58">
        <f t="shared" si="6"/>
        <v>0</v>
      </c>
      <c r="N36" s="2">
        <f t="shared" si="7"/>
        <v>115.07958000000001</v>
      </c>
      <c r="O36" s="2">
        <f t="shared" si="8"/>
        <v>115.07958000000001</v>
      </c>
      <c r="P36" s="2">
        <f t="shared" si="9"/>
        <v>0</v>
      </c>
      <c r="Q36" s="58">
        <f t="shared" si="10"/>
        <v>833.91</v>
      </c>
      <c r="R36" s="58">
        <v>0</v>
      </c>
      <c r="S36" s="2">
        <f t="shared" si="12"/>
        <v>833.91</v>
      </c>
      <c r="T36" s="9">
        <f t="shared" si="11"/>
        <v>15162</v>
      </c>
      <c r="U36" s="29"/>
    </row>
    <row r="37" spans="1:21" ht="28.8" x14ac:dyDescent="0.25">
      <c r="A37" s="10">
        <f>+'Banka Lis.'!B36</f>
        <v>32</v>
      </c>
      <c r="B37" s="10" t="str">
        <f>+Puantaj!C37</f>
        <v>15709804262</v>
      </c>
      <c r="C37" s="3" t="str">
        <f>+Puantaj!D37</f>
        <v>CEMAL AFŞİN</v>
      </c>
      <c r="D37" s="3" t="str">
        <f>+Puantaj!E37</f>
        <v>TÜRKYILMAZ</v>
      </c>
      <c r="E37" s="3" t="str">
        <f>+'Banka Lis.'!H36</f>
        <v>Bursa UludağÜniversitesi Üniveristesi Genel Sekreterlik Özel Kalem</v>
      </c>
      <c r="F37" s="33">
        <f>+Puantaj!AK37</f>
        <v>12</v>
      </c>
      <c r="G37" s="31">
        <f t="shared" si="0"/>
        <v>12996</v>
      </c>
      <c r="H37" s="56">
        <f t="shared" si="1"/>
        <v>714.78</v>
      </c>
      <c r="I37" s="57">
        <f t="shared" si="2"/>
        <v>13710.78</v>
      </c>
      <c r="J37" s="2">
        <f t="shared" si="3"/>
        <v>12996</v>
      </c>
      <c r="K37" s="2">
        <f t="shared" si="4"/>
        <v>1949.3999999999999</v>
      </c>
      <c r="L37" s="2">
        <f t="shared" si="5"/>
        <v>1949.3999999999999</v>
      </c>
      <c r="M37" s="58">
        <f t="shared" si="6"/>
        <v>0</v>
      </c>
      <c r="N37" s="2">
        <f t="shared" si="7"/>
        <v>98.63964</v>
      </c>
      <c r="O37" s="2">
        <f t="shared" si="8"/>
        <v>98.63964</v>
      </c>
      <c r="P37" s="2">
        <f t="shared" si="9"/>
        <v>0</v>
      </c>
      <c r="Q37" s="58">
        <f t="shared" si="10"/>
        <v>714.78</v>
      </c>
      <c r="R37" s="58">
        <v>0</v>
      </c>
      <c r="S37" s="2">
        <f t="shared" si="12"/>
        <v>714.78</v>
      </c>
      <c r="T37" s="9">
        <f t="shared" si="11"/>
        <v>12996</v>
      </c>
      <c r="U37" s="29"/>
    </row>
    <row r="38" spans="1:21" ht="28.8" x14ac:dyDescent="0.25">
      <c r="A38" s="10">
        <f>+'Banka Lis.'!B37</f>
        <v>33</v>
      </c>
      <c r="B38" s="10" t="str">
        <f>+Puantaj!C38</f>
        <v>10841685564</v>
      </c>
      <c r="C38" s="3" t="str">
        <f>+Puantaj!D38</f>
        <v>CEMRE</v>
      </c>
      <c r="D38" s="3" t="str">
        <f>+Puantaj!E38</f>
        <v>GÜRŞEN</v>
      </c>
      <c r="E38" s="3" t="str">
        <f>+'Banka Lis.'!H37</f>
        <v>Bursa UludağÜniversitesi Üniveristesi Genel Sekreterlik Özel Kalem</v>
      </c>
      <c r="F38" s="33">
        <f>+Puantaj!AK38</f>
        <v>14</v>
      </c>
      <c r="G38" s="31">
        <f t="shared" si="0"/>
        <v>15162</v>
      </c>
      <c r="H38" s="56">
        <f t="shared" si="1"/>
        <v>833.91</v>
      </c>
      <c r="I38" s="57">
        <f t="shared" si="2"/>
        <v>15995.91</v>
      </c>
      <c r="J38" s="2">
        <f t="shared" si="3"/>
        <v>15162</v>
      </c>
      <c r="K38" s="2">
        <f t="shared" si="4"/>
        <v>2274.2999999999997</v>
      </c>
      <c r="L38" s="2">
        <f t="shared" si="5"/>
        <v>2274.2999999999997</v>
      </c>
      <c r="M38" s="58">
        <f t="shared" si="6"/>
        <v>0</v>
      </c>
      <c r="N38" s="2">
        <f t="shared" si="7"/>
        <v>115.07958000000001</v>
      </c>
      <c r="O38" s="2">
        <f t="shared" si="8"/>
        <v>115.07958000000001</v>
      </c>
      <c r="P38" s="2">
        <f t="shared" si="9"/>
        <v>0</v>
      </c>
      <c r="Q38" s="58">
        <f t="shared" si="10"/>
        <v>833.91</v>
      </c>
      <c r="R38" s="58">
        <v>0</v>
      </c>
      <c r="S38" s="2">
        <f t="shared" si="12"/>
        <v>833.91</v>
      </c>
      <c r="T38" s="9">
        <f t="shared" si="11"/>
        <v>15162</v>
      </c>
      <c r="U38" s="29"/>
    </row>
    <row r="39" spans="1:21" ht="28.8" x14ac:dyDescent="0.25">
      <c r="A39" s="10">
        <f>+'Banka Lis.'!B38</f>
        <v>34</v>
      </c>
      <c r="B39" s="10" t="str">
        <f>+Puantaj!C39</f>
        <v>11102488016</v>
      </c>
      <c r="C39" s="3" t="str">
        <f>+Puantaj!D39</f>
        <v>CEREN</v>
      </c>
      <c r="D39" s="3" t="str">
        <f>+Puantaj!E39</f>
        <v>YILDIRIM</v>
      </c>
      <c r="E39" s="3" t="str">
        <f>+'Banka Lis.'!H38</f>
        <v>Bursa UludağÜniversitesi Üniveristesi Genel Sekreterlik Özel Kalem</v>
      </c>
      <c r="F39" s="33">
        <f>+Puantaj!AK39</f>
        <v>13</v>
      </c>
      <c r="G39" s="31">
        <f t="shared" si="0"/>
        <v>14079</v>
      </c>
      <c r="H39" s="56">
        <f t="shared" si="1"/>
        <v>774.34500000000003</v>
      </c>
      <c r="I39" s="57">
        <f t="shared" si="2"/>
        <v>14853.344999999999</v>
      </c>
      <c r="J39" s="2">
        <f t="shared" si="3"/>
        <v>14079</v>
      </c>
      <c r="K39" s="2">
        <f t="shared" si="4"/>
        <v>2111.85</v>
      </c>
      <c r="L39" s="2">
        <f t="shared" si="5"/>
        <v>2111.85</v>
      </c>
      <c r="M39" s="58">
        <f t="shared" si="6"/>
        <v>0</v>
      </c>
      <c r="N39" s="2">
        <f t="shared" si="7"/>
        <v>106.85961</v>
      </c>
      <c r="O39" s="2">
        <f t="shared" si="8"/>
        <v>106.85961</v>
      </c>
      <c r="P39" s="2">
        <f t="shared" si="9"/>
        <v>0</v>
      </c>
      <c r="Q39" s="58">
        <f t="shared" si="10"/>
        <v>774.34500000000003</v>
      </c>
      <c r="R39" s="58">
        <v>0</v>
      </c>
      <c r="S39" s="2">
        <f t="shared" si="12"/>
        <v>774.34500000000003</v>
      </c>
      <c r="T39" s="9">
        <f t="shared" si="11"/>
        <v>14079</v>
      </c>
      <c r="U39" s="29"/>
    </row>
    <row r="40" spans="1:21" ht="28.8" x14ac:dyDescent="0.25">
      <c r="A40" s="10">
        <f>+'Banka Lis.'!B39</f>
        <v>35</v>
      </c>
      <c r="B40" s="10" t="str">
        <f>+Puantaj!C40</f>
        <v>45631014194</v>
      </c>
      <c r="C40" s="3" t="str">
        <f>+Puantaj!D40</f>
        <v>ÇAĞLAYAN EFE</v>
      </c>
      <c r="D40" s="3" t="str">
        <f>+Puantaj!E40</f>
        <v>KOYUNCU</v>
      </c>
      <c r="E40" s="3" t="str">
        <f>+'Banka Lis.'!H39</f>
        <v>Bursa UludağÜniversitesi Üniveristesi Genel Sekreterlik Özel Kalem</v>
      </c>
      <c r="F40" s="33">
        <f>+Puantaj!AK40</f>
        <v>12</v>
      </c>
      <c r="G40" s="31">
        <f t="shared" si="0"/>
        <v>12996</v>
      </c>
      <c r="H40" s="56">
        <f t="shared" si="1"/>
        <v>714.78</v>
      </c>
      <c r="I40" s="57">
        <f t="shared" si="2"/>
        <v>13710.78</v>
      </c>
      <c r="J40" s="2">
        <f t="shared" si="3"/>
        <v>12996</v>
      </c>
      <c r="K40" s="2">
        <f t="shared" si="4"/>
        <v>1949.3999999999999</v>
      </c>
      <c r="L40" s="2">
        <f t="shared" si="5"/>
        <v>1949.3999999999999</v>
      </c>
      <c r="M40" s="58">
        <f t="shared" si="6"/>
        <v>0</v>
      </c>
      <c r="N40" s="2">
        <f t="shared" si="7"/>
        <v>98.63964</v>
      </c>
      <c r="O40" s="2">
        <f t="shared" si="8"/>
        <v>98.63964</v>
      </c>
      <c r="P40" s="2">
        <f t="shared" si="9"/>
        <v>0</v>
      </c>
      <c r="Q40" s="58">
        <f t="shared" si="10"/>
        <v>714.78</v>
      </c>
      <c r="R40" s="58">
        <v>0</v>
      </c>
      <c r="S40" s="2">
        <f t="shared" si="12"/>
        <v>714.78</v>
      </c>
      <c r="T40" s="9">
        <f t="shared" si="11"/>
        <v>12996</v>
      </c>
      <c r="U40" s="29"/>
    </row>
    <row r="41" spans="1:21" ht="28.8" x14ac:dyDescent="0.25">
      <c r="A41" s="10">
        <f>+'Banka Lis.'!B40</f>
        <v>36</v>
      </c>
      <c r="B41" s="10" t="str">
        <f>+Puantaj!C41</f>
        <v>64426278672</v>
      </c>
      <c r="C41" s="3" t="str">
        <f>+Puantaj!D41</f>
        <v>DİCLE</v>
      </c>
      <c r="D41" s="3" t="str">
        <f>+Puantaj!E41</f>
        <v>GEYİK</v>
      </c>
      <c r="E41" s="3" t="str">
        <f>+'Banka Lis.'!H40</f>
        <v>Bursa UludağÜniversitesi Üniveristesi Genel Sekreterlik Özel Kalem</v>
      </c>
      <c r="F41" s="33">
        <f>+Puantaj!AK41</f>
        <v>13</v>
      </c>
      <c r="G41" s="31">
        <f t="shared" si="0"/>
        <v>14079</v>
      </c>
      <c r="H41" s="56">
        <f t="shared" si="1"/>
        <v>774.34500000000003</v>
      </c>
      <c r="I41" s="57">
        <f t="shared" si="2"/>
        <v>14853.344999999999</v>
      </c>
      <c r="J41" s="2">
        <f t="shared" si="3"/>
        <v>14079</v>
      </c>
      <c r="K41" s="2">
        <f t="shared" si="4"/>
        <v>2111.85</v>
      </c>
      <c r="L41" s="2">
        <f t="shared" si="5"/>
        <v>2111.85</v>
      </c>
      <c r="M41" s="58">
        <f t="shared" si="6"/>
        <v>0</v>
      </c>
      <c r="N41" s="2">
        <f t="shared" si="7"/>
        <v>106.85961</v>
      </c>
      <c r="O41" s="2">
        <f t="shared" si="8"/>
        <v>106.85961</v>
      </c>
      <c r="P41" s="2">
        <f t="shared" si="9"/>
        <v>0</v>
      </c>
      <c r="Q41" s="58">
        <f t="shared" si="10"/>
        <v>774.34500000000003</v>
      </c>
      <c r="R41" s="58">
        <v>0</v>
      </c>
      <c r="S41" s="2">
        <f t="shared" si="12"/>
        <v>774.34500000000003</v>
      </c>
      <c r="T41" s="9">
        <f t="shared" si="11"/>
        <v>14079</v>
      </c>
      <c r="U41" s="29"/>
    </row>
    <row r="42" spans="1:21" ht="28.8" x14ac:dyDescent="0.25">
      <c r="A42" s="10">
        <f>+'Banka Lis.'!B41</f>
        <v>37</v>
      </c>
      <c r="B42" s="10" t="str">
        <f>+Puantaj!C42</f>
        <v>11158958198</v>
      </c>
      <c r="C42" s="3" t="str">
        <f>+Puantaj!D42</f>
        <v>ECEM</v>
      </c>
      <c r="D42" s="3" t="str">
        <f>+Puantaj!E42</f>
        <v>BULUT</v>
      </c>
      <c r="E42" s="3" t="str">
        <f>+'Banka Lis.'!H41</f>
        <v>Bursa UludağÜniversitesi Üniveristesi Genel Sekreterlik Özel Kalem</v>
      </c>
      <c r="F42" s="33">
        <f>+Puantaj!AK42</f>
        <v>13</v>
      </c>
      <c r="G42" s="31">
        <f t="shared" si="0"/>
        <v>14079</v>
      </c>
      <c r="H42" s="56">
        <f t="shared" si="1"/>
        <v>774.34500000000003</v>
      </c>
      <c r="I42" s="57">
        <f t="shared" si="2"/>
        <v>14853.344999999999</v>
      </c>
      <c r="J42" s="2">
        <f t="shared" si="3"/>
        <v>14079</v>
      </c>
      <c r="K42" s="2">
        <f t="shared" si="4"/>
        <v>2111.85</v>
      </c>
      <c r="L42" s="2">
        <f t="shared" si="5"/>
        <v>2111.85</v>
      </c>
      <c r="M42" s="58">
        <f t="shared" si="6"/>
        <v>0</v>
      </c>
      <c r="N42" s="2">
        <f t="shared" si="7"/>
        <v>106.85961</v>
      </c>
      <c r="O42" s="2">
        <f t="shared" si="8"/>
        <v>106.85961</v>
      </c>
      <c r="P42" s="2">
        <f t="shared" si="9"/>
        <v>0</v>
      </c>
      <c r="Q42" s="58">
        <f t="shared" si="10"/>
        <v>774.34500000000003</v>
      </c>
      <c r="R42" s="58">
        <v>0</v>
      </c>
      <c r="S42" s="2">
        <f t="shared" si="12"/>
        <v>774.34500000000003</v>
      </c>
      <c r="T42" s="9">
        <f t="shared" si="11"/>
        <v>14079</v>
      </c>
      <c r="U42" s="29"/>
    </row>
    <row r="43" spans="1:21" ht="28.8" x14ac:dyDescent="0.25">
      <c r="A43" s="10">
        <f>+'Banka Lis.'!B42</f>
        <v>38</v>
      </c>
      <c r="B43" s="10" t="str">
        <f>+Puantaj!C43</f>
        <v>10438965994</v>
      </c>
      <c r="C43" s="3" t="str">
        <f>+Puantaj!D43</f>
        <v>EFE</v>
      </c>
      <c r="D43" s="3" t="str">
        <f>+Puantaj!E43</f>
        <v>FEVZİOĞLU</v>
      </c>
      <c r="E43" s="3" t="str">
        <f>+'Banka Lis.'!H42</f>
        <v>Bursa UludağÜniversitesi Üniveristesi Genel Sekreterlik Özel Kalem</v>
      </c>
      <c r="F43" s="33">
        <f>+Puantaj!AK43</f>
        <v>14</v>
      </c>
      <c r="G43" s="31">
        <f t="shared" si="0"/>
        <v>15162</v>
      </c>
      <c r="H43" s="56">
        <f t="shared" si="1"/>
        <v>833.91</v>
      </c>
      <c r="I43" s="57">
        <f t="shared" si="2"/>
        <v>15995.91</v>
      </c>
      <c r="J43" s="2">
        <f t="shared" si="3"/>
        <v>15162</v>
      </c>
      <c r="K43" s="2">
        <f t="shared" si="4"/>
        <v>2274.2999999999997</v>
      </c>
      <c r="L43" s="2">
        <f t="shared" si="5"/>
        <v>2274.2999999999997</v>
      </c>
      <c r="M43" s="58">
        <f t="shared" si="6"/>
        <v>0</v>
      </c>
      <c r="N43" s="2">
        <f t="shared" si="7"/>
        <v>115.07958000000001</v>
      </c>
      <c r="O43" s="2">
        <f t="shared" si="8"/>
        <v>115.07958000000001</v>
      </c>
      <c r="P43" s="2">
        <f t="shared" si="9"/>
        <v>0</v>
      </c>
      <c r="Q43" s="58">
        <f t="shared" si="10"/>
        <v>833.91</v>
      </c>
      <c r="R43" s="58">
        <v>0</v>
      </c>
      <c r="S43" s="2">
        <f t="shared" si="12"/>
        <v>833.91</v>
      </c>
      <c r="T43" s="9">
        <f t="shared" si="11"/>
        <v>15162</v>
      </c>
      <c r="U43" s="29"/>
    </row>
    <row r="44" spans="1:21" ht="28.8" x14ac:dyDescent="0.25">
      <c r="A44" s="10">
        <f>+'Banka Lis.'!B43</f>
        <v>39</v>
      </c>
      <c r="B44" s="10" t="str">
        <f>+Puantaj!C44</f>
        <v>10634557832</v>
      </c>
      <c r="C44" s="3" t="str">
        <f>+Puantaj!D44</f>
        <v>EFE</v>
      </c>
      <c r="D44" s="3" t="str">
        <f>+Puantaj!E44</f>
        <v>ŞAHİN</v>
      </c>
      <c r="E44" s="3" t="str">
        <f>+'Banka Lis.'!H43</f>
        <v>Bursa UludağÜniversitesi Üniveristesi Genel Sekreterlik Özel Kalem</v>
      </c>
      <c r="F44" s="33">
        <f>+Puantaj!AK44</f>
        <v>14</v>
      </c>
      <c r="G44" s="31">
        <f t="shared" si="0"/>
        <v>15162</v>
      </c>
      <c r="H44" s="56">
        <f t="shared" si="1"/>
        <v>833.91</v>
      </c>
      <c r="I44" s="57">
        <f t="shared" si="2"/>
        <v>15995.91</v>
      </c>
      <c r="J44" s="2">
        <f t="shared" si="3"/>
        <v>15162</v>
      </c>
      <c r="K44" s="2">
        <f t="shared" si="4"/>
        <v>2274.2999999999997</v>
      </c>
      <c r="L44" s="2">
        <f t="shared" si="5"/>
        <v>2274.2999999999997</v>
      </c>
      <c r="M44" s="58">
        <f t="shared" si="6"/>
        <v>0</v>
      </c>
      <c r="N44" s="2">
        <f t="shared" si="7"/>
        <v>115.07958000000001</v>
      </c>
      <c r="O44" s="2">
        <f t="shared" si="8"/>
        <v>115.07958000000001</v>
      </c>
      <c r="P44" s="2">
        <f t="shared" si="9"/>
        <v>0</v>
      </c>
      <c r="Q44" s="58">
        <f t="shared" si="10"/>
        <v>833.91</v>
      </c>
      <c r="R44" s="58">
        <v>0</v>
      </c>
      <c r="S44" s="2">
        <f t="shared" si="12"/>
        <v>833.91</v>
      </c>
      <c r="T44" s="9">
        <f t="shared" si="11"/>
        <v>15162</v>
      </c>
      <c r="U44" s="29"/>
    </row>
    <row r="45" spans="1:21" ht="28.8" x14ac:dyDescent="0.25">
      <c r="A45" s="10">
        <f>+'Banka Lis.'!B44</f>
        <v>40</v>
      </c>
      <c r="B45" s="10" t="str">
        <f>+Puantaj!C45</f>
        <v>10257029938</v>
      </c>
      <c r="C45" s="3" t="str">
        <f>+Puantaj!D45</f>
        <v>EGEMEN</v>
      </c>
      <c r="D45" s="3" t="str">
        <f>+Puantaj!E45</f>
        <v>KÜÇÜKLER</v>
      </c>
      <c r="E45" s="3" t="str">
        <f>+'Banka Lis.'!H44</f>
        <v>Bursa UludağÜniversitesi Üniveristesi Genel Sekreterlik Özel Kalem</v>
      </c>
      <c r="F45" s="33">
        <f>+Puantaj!AK45</f>
        <v>8</v>
      </c>
      <c r="G45" s="31">
        <f t="shared" si="0"/>
        <v>8664</v>
      </c>
      <c r="H45" s="56">
        <f t="shared" si="1"/>
        <v>476.52</v>
      </c>
      <c r="I45" s="57">
        <f t="shared" si="2"/>
        <v>9140.52</v>
      </c>
      <c r="J45" s="2">
        <f t="shared" si="3"/>
        <v>8664</v>
      </c>
      <c r="K45" s="2">
        <f t="shared" si="4"/>
        <v>1299.5999999999999</v>
      </c>
      <c r="L45" s="2">
        <f t="shared" si="5"/>
        <v>1299.5999999999999</v>
      </c>
      <c r="M45" s="58">
        <f t="shared" si="6"/>
        <v>0</v>
      </c>
      <c r="N45" s="2">
        <f t="shared" si="7"/>
        <v>65.75976</v>
      </c>
      <c r="O45" s="2">
        <f t="shared" si="8"/>
        <v>65.75976</v>
      </c>
      <c r="P45" s="2">
        <f t="shared" si="9"/>
        <v>0</v>
      </c>
      <c r="Q45" s="58">
        <f t="shared" si="10"/>
        <v>476.52</v>
      </c>
      <c r="R45" s="58">
        <v>0</v>
      </c>
      <c r="S45" s="2">
        <f t="shared" si="12"/>
        <v>476.52</v>
      </c>
      <c r="T45" s="9">
        <f t="shared" si="11"/>
        <v>8664</v>
      </c>
      <c r="U45" s="29"/>
    </row>
    <row r="46" spans="1:21" ht="28.8" x14ac:dyDescent="0.25">
      <c r="A46" s="10">
        <f>+'Banka Lis.'!B45</f>
        <v>41</v>
      </c>
      <c r="B46" s="10" t="str">
        <f>+Puantaj!C46</f>
        <v>10067993948</v>
      </c>
      <c r="C46" s="3" t="str">
        <f>+Puantaj!D46</f>
        <v>EKREM</v>
      </c>
      <c r="D46" s="3" t="str">
        <f>+Puantaj!E46</f>
        <v>TERZİOĞLU</v>
      </c>
      <c r="E46" s="3" t="str">
        <f>+'Banka Lis.'!H45</f>
        <v>Bursa UludağÜniversitesi Üniveristesi Genel Sekreterlik Özel Kalem</v>
      </c>
      <c r="F46" s="33">
        <f>+Puantaj!AK46</f>
        <v>12</v>
      </c>
      <c r="G46" s="31">
        <f t="shared" si="0"/>
        <v>12996</v>
      </c>
      <c r="H46" s="56">
        <f t="shared" si="1"/>
        <v>714.78</v>
      </c>
      <c r="I46" s="57">
        <f t="shared" si="2"/>
        <v>13710.78</v>
      </c>
      <c r="J46" s="2">
        <f t="shared" si="3"/>
        <v>12996</v>
      </c>
      <c r="K46" s="2">
        <f t="shared" si="4"/>
        <v>1949.3999999999999</v>
      </c>
      <c r="L46" s="2">
        <f t="shared" si="5"/>
        <v>1949.3999999999999</v>
      </c>
      <c r="M46" s="58">
        <f t="shared" si="6"/>
        <v>0</v>
      </c>
      <c r="N46" s="2">
        <f t="shared" si="7"/>
        <v>98.63964</v>
      </c>
      <c r="O46" s="2">
        <f t="shared" si="8"/>
        <v>98.63964</v>
      </c>
      <c r="P46" s="2">
        <f t="shared" si="9"/>
        <v>0</v>
      </c>
      <c r="Q46" s="58">
        <f t="shared" si="10"/>
        <v>714.78</v>
      </c>
      <c r="R46" s="58">
        <v>0</v>
      </c>
      <c r="S46" s="2">
        <f t="shared" si="12"/>
        <v>714.78</v>
      </c>
      <c r="T46" s="9">
        <f t="shared" si="11"/>
        <v>12996</v>
      </c>
      <c r="U46" s="29"/>
    </row>
    <row r="47" spans="1:21" ht="28.8" x14ac:dyDescent="0.25">
      <c r="A47" s="10">
        <f>+'Banka Lis.'!B46</f>
        <v>42</v>
      </c>
      <c r="B47" s="10" t="str">
        <f>+Puantaj!C47</f>
        <v>16240785980</v>
      </c>
      <c r="C47" s="3" t="str">
        <f>+Puantaj!D47</f>
        <v>ELİF</v>
      </c>
      <c r="D47" s="3" t="str">
        <f>+Puantaj!E47</f>
        <v>MİSK</v>
      </c>
      <c r="E47" s="3" t="str">
        <f>+'Banka Lis.'!H46</f>
        <v>Bursa UludağÜniversitesi Üniveristesi Genel Sekreterlik Özel Kalem</v>
      </c>
      <c r="F47" s="33">
        <f>+Puantaj!AK47</f>
        <v>13</v>
      </c>
      <c r="G47" s="31">
        <f t="shared" si="0"/>
        <v>14079</v>
      </c>
      <c r="H47" s="56">
        <f t="shared" si="1"/>
        <v>774.34500000000003</v>
      </c>
      <c r="I47" s="57">
        <f t="shared" si="2"/>
        <v>14853.344999999999</v>
      </c>
      <c r="J47" s="2">
        <f t="shared" si="3"/>
        <v>14079</v>
      </c>
      <c r="K47" s="2">
        <f t="shared" si="4"/>
        <v>2111.85</v>
      </c>
      <c r="L47" s="2">
        <f t="shared" si="5"/>
        <v>2111.85</v>
      </c>
      <c r="M47" s="58">
        <f t="shared" si="6"/>
        <v>0</v>
      </c>
      <c r="N47" s="2">
        <f t="shared" si="7"/>
        <v>106.85961</v>
      </c>
      <c r="O47" s="2">
        <f t="shared" si="8"/>
        <v>106.85961</v>
      </c>
      <c r="P47" s="2">
        <f t="shared" si="9"/>
        <v>0</v>
      </c>
      <c r="Q47" s="58">
        <f t="shared" si="10"/>
        <v>774.34500000000003</v>
      </c>
      <c r="R47" s="58">
        <v>0</v>
      </c>
      <c r="S47" s="2">
        <f t="shared" si="12"/>
        <v>774.34500000000003</v>
      </c>
      <c r="T47" s="9">
        <f t="shared" si="11"/>
        <v>14079</v>
      </c>
      <c r="U47" s="29"/>
    </row>
    <row r="48" spans="1:21" ht="28.8" x14ac:dyDescent="0.25">
      <c r="A48" s="10">
        <f>+'Banka Lis.'!B47</f>
        <v>43</v>
      </c>
      <c r="B48" s="10" t="str">
        <f>+Puantaj!C48</f>
        <v>12202274516</v>
      </c>
      <c r="C48" s="3" t="str">
        <f>+Puantaj!D48</f>
        <v>ELİF NAZ</v>
      </c>
      <c r="D48" s="3" t="str">
        <f>+Puantaj!E48</f>
        <v>KÖKSAL</v>
      </c>
      <c r="E48" s="3" t="str">
        <f>+'Banka Lis.'!H47</f>
        <v>Bursa UludağÜniversitesi Üniveristesi Genel Sekreterlik Özel Kalem</v>
      </c>
      <c r="F48" s="33">
        <f>+Puantaj!AK48</f>
        <v>13</v>
      </c>
      <c r="G48" s="31">
        <f t="shared" si="0"/>
        <v>14079</v>
      </c>
      <c r="H48" s="56">
        <f t="shared" si="1"/>
        <v>774.34500000000003</v>
      </c>
      <c r="I48" s="57">
        <f t="shared" si="2"/>
        <v>14853.344999999999</v>
      </c>
      <c r="J48" s="2">
        <f t="shared" si="3"/>
        <v>14079</v>
      </c>
      <c r="K48" s="2">
        <f t="shared" si="4"/>
        <v>2111.85</v>
      </c>
      <c r="L48" s="2">
        <f t="shared" si="5"/>
        <v>2111.85</v>
      </c>
      <c r="M48" s="58">
        <f t="shared" si="6"/>
        <v>0</v>
      </c>
      <c r="N48" s="2">
        <f t="shared" si="7"/>
        <v>106.85961</v>
      </c>
      <c r="O48" s="2">
        <f t="shared" si="8"/>
        <v>106.85961</v>
      </c>
      <c r="P48" s="2">
        <f t="shared" si="9"/>
        <v>0</v>
      </c>
      <c r="Q48" s="58">
        <f t="shared" si="10"/>
        <v>774.34500000000003</v>
      </c>
      <c r="R48" s="58">
        <v>0</v>
      </c>
      <c r="S48" s="2">
        <f t="shared" si="12"/>
        <v>774.34500000000003</v>
      </c>
      <c r="T48" s="9">
        <f t="shared" si="11"/>
        <v>14079</v>
      </c>
      <c r="U48" s="29"/>
    </row>
    <row r="49" spans="1:21" ht="28.8" x14ac:dyDescent="0.25">
      <c r="A49" s="10">
        <f>+'Banka Lis.'!B48</f>
        <v>44</v>
      </c>
      <c r="B49" s="10" t="str">
        <f>+Puantaj!C49</f>
        <v>13784186020</v>
      </c>
      <c r="C49" s="3" t="str">
        <f>+Puantaj!D49</f>
        <v>ELİFE KEVSER</v>
      </c>
      <c r="D49" s="3" t="str">
        <f>+Puantaj!E49</f>
        <v>ÖZTEK</v>
      </c>
      <c r="E49" s="3" t="str">
        <f>+'Banka Lis.'!H48</f>
        <v>Bursa UludağÜniversitesi Üniveristesi Genel Sekreterlik Özel Kalem</v>
      </c>
      <c r="F49" s="33">
        <f>+Puantaj!AK49</f>
        <v>10</v>
      </c>
      <c r="G49" s="31">
        <f t="shared" si="0"/>
        <v>10830</v>
      </c>
      <c r="H49" s="56">
        <f t="shared" si="1"/>
        <v>595.65</v>
      </c>
      <c r="I49" s="57">
        <f t="shared" si="2"/>
        <v>11425.65</v>
      </c>
      <c r="J49" s="2">
        <f t="shared" si="3"/>
        <v>10830</v>
      </c>
      <c r="K49" s="2">
        <f t="shared" si="4"/>
        <v>1624.5</v>
      </c>
      <c r="L49" s="2">
        <f t="shared" si="5"/>
        <v>1624.5</v>
      </c>
      <c r="M49" s="58">
        <f t="shared" si="6"/>
        <v>0</v>
      </c>
      <c r="N49" s="2">
        <f t="shared" si="7"/>
        <v>82.199700000000007</v>
      </c>
      <c r="O49" s="2">
        <f t="shared" si="8"/>
        <v>82.199700000000007</v>
      </c>
      <c r="P49" s="2">
        <f t="shared" si="9"/>
        <v>0</v>
      </c>
      <c r="Q49" s="58">
        <f t="shared" si="10"/>
        <v>595.65</v>
      </c>
      <c r="R49" s="58">
        <v>0</v>
      </c>
      <c r="S49" s="2">
        <f t="shared" si="12"/>
        <v>595.65</v>
      </c>
      <c r="T49" s="9">
        <f t="shared" si="11"/>
        <v>10830</v>
      </c>
      <c r="U49" s="29"/>
    </row>
    <row r="50" spans="1:21" ht="28.8" x14ac:dyDescent="0.25">
      <c r="A50" s="10">
        <f>+'Banka Lis.'!B49</f>
        <v>45</v>
      </c>
      <c r="B50" s="10" t="str">
        <f>+Puantaj!C50</f>
        <v>36073704224</v>
      </c>
      <c r="C50" s="3" t="str">
        <f>+Puantaj!D50</f>
        <v>EMİNE BEYZA</v>
      </c>
      <c r="D50" s="3" t="str">
        <f>+Puantaj!E50</f>
        <v>SÖYLER</v>
      </c>
      <c r="E50" s="3" t="str">
        <f>+'Banka Lis.'!H49</f>
        <v>Bursa UludağÜniversitesi Üniveristesi Genel Sekreterlik Özel Kalem</v>
      </c>
      <c r="F50" s="33">
        <f>+Puantaj!AK50</f>
        <v>14</v>
      </c>
      <c r="G50" s="31">
        <f t="shared" si="0"/>
        <v>15162</v>
      </c>
      <c r="H50" s="56">
        <f t="shared" si="1"/>
        <v>833.91</v>
      </c>
      <c r="I50" s="57">
        <f t="shared" si="2"/>
        <v>15995.91</v>
      </c>
      <c r="J50" s="2">
        <f t="shared" si="3"/>
        <v>15162</v>
      </c>
      <c r="K50" s="2">
        <f t="shared" si="4"/>
        <v>2274.2999999999997</v>
      </c>
      <c r="L50" s="2">
        <f t="shared" si="5"/>
        <v>2274.2999999999997</v>
      </c>
      <c r="M50" s="58">
        <f t="shared" si="6"/>
        <v>0</v>
      </c>
      <c r="N50" s="2">
        <f t="shared" si="7"/>
        <v>115.07958000000001</v>
      </c>
      <c r="O50" s="2">
        <f t="shared" si="8"/>
        <v>115.07958000000001</v>
      </c>
      <c r="P50" s="2">
        <f t="shared" si="9"/>
        <v>0</v>
      </c>
      <c r="Q50" s="58">
        <f t="shared" si="10"/>
        <v>833.91</v>
      </c>
      <c r="R50" s="58">
        <v>0</v>
      </c>
      <c r="S50" s="2">
        <f t="shared" si="12"/>
        <v>833.91</v>
      </c>
      <c r="T50" s="9">
        <f t="shared" si="11"/>
        <v>15162</v>
      </c>
      <c r="U50" s="29"/>
    </row>
    <row r="51" spans="1:21" ht="28.8" x14ac:dyDescent="0.25">
      <c r="A51" s="10">
        <f>+'Banka Lis.'!B50</f>
        <v>46</v>
      </c>
      <c r="B51" s="10" t="str">
        <f>+Puantaj!C51</f>
        <v>12019646278</v>
      </c>
      <c r="C51" s="3" t="str">
        <f>+Puantaj!D51</f>
        <v>EMİNE</v>
      </c>
      <c r="D51" s="3" t="str">
        <f>+Puantaj!E51</f>
        <v>ÇAKIR</v>
      </c>
      <c r="E51" s="3" t="str">
        <f>+'Banka Lis.'!H50</f>
        <v>Bursa UludağÜniversitesi Üniveristesi Genel Sekreterlik Özel Kalem</v>
      </c>
      <c r="F51" s="33">
        <f>+Puantaj!AK51</f>
        <v>11</v>
      </c>
      <c r="G51" s="31">
        <f t="shared" si="0"/>
        <v>11913</v>
      </c>
      <c r="H51" s="56">
        <f t="shared" si="1"/>
        <v>655.21500000000003</v>
      </c>
      <c r="I51" s="57">
        <f t="shared" si="2"/>
        <v>12568.215</v>
      </c>
      <c r="J51" s="2">
        <f t="shared" si="3"/>
        <v>11913</v>
      </c>
      <c r="K51" s="2">
        <f t="shared" si="4"/>
        <v>1786.95</v>
      </c>
      <c r="L51" s="2">
        <f t="shared" si="5"/>
        <v>1786.95</v>
      </c>
      <c r="M51" s="58">
        <f t="shared" si="6"/>
        <v>0</v>
      </c>
      <c r="N51" s="2">
        <f t="shared" si="7"/>
        <v>90.419670000000011</v>
      </c>
      <c r="O51" s="2">
        <f t="shared" si="8"/>
        <v>90.419670000000011</v>
      </c>
      <c r="P51" s="2">
        <f t="shared" si="9"/>
        <v>0</v>
      </c>
      <c r="Q51" s="58">
        <f t="shared" si="10"/>
        <v>655.21500000000003</v>
      </c>
      <c r="R51" s="58">
        <v>0</v>
      </c>
      <c r="S51" s="2">
        <f t="shared" si="12"/>
        <v>655.21500000000003</v>
      </c>
      <c r="T51" s="9">
        <f t="shared" si="11"/>
        <v>11913</v>
      </c>
      <c r="U51" s="29"/>
    </row>
    <row r="52" spans="1:21" ht="28.8" x14ac:dyDescent="0.25">
      <c r="A52" s="10">
        <f>+'Banka Lis.'!B51</f>
        <v>47</v>
      </c>
      <c r="B52" s="10" t="str">
        <f>+Puantaj!C52</f>
        <v>41449479170</v>
      </c>
      <c r="C52" s="3" t="str">
        <f>+Puantaj!D52</f>
        <v>EMİR</v>
      </c>
      <c r="D52" s="3" t="str">
        <f>+Puantaj!E52</f>
        <v>AN</v>
      </c>
      <c r="E52" s="3" t="str">
        <f>+'Banka Lis.'!H51</f>
        <v>Bursa UludağÜniversitesi Üniveristesi Genel Sekreterlik Özel Kalem</v>
      </c>
      <c r="F52" s="33">
        <f>+Puantaj!AK52</f>
        <v>12</v>
      </c>
      <c r="G52" s="31">
        <f t="shared" si="0"/>
        <v>12996</v>
      </c>
      <c r="H52" s="56">
        <f t="shared" si="1"/>
        <v>714.78</v>
      </c>
      <c r="I52" s="57">
        <f t="shared" si="2"/>
        <v>13710.78</v>
      </c>
      <c r="J52" s="2">
        <f t="shared" si="3"/>
        <v>12996</v>
      </c>
      <c r="K52" s="2">
        <f t="shared" si="4"/>
        <v>1949.3999999999999</v>
      </c>
      <c r="L52" s="2">
        <f t="shared" si="5"/>
        <v>1949.3999999999999</v>
      </c>
      <c r="M52" s="58">
        <f t="shared" si="6"/>
        <v>0</v>
      </c>
      <c r="N52" s="2">
        <f t="shared" si="7"/>
        <v>98.63964</v>
      </c>
      <c r="O52" s="2">
        <f t="shared" si="8"/>
        <v>98.63964</v>
      </c>
      <c r="P52" s="2">
        <f t="shared" si="9"/>
        <v>0</v>
      </c>
      <c r="Q52" s="58">
        <f t="shared" si="10"/>
        <v>714.78</v>
      </c>
      <c r="R52" s="58">
        <v>0</v>
      </c>
      <c r="S52" s="2">
        <f t="shared" si="12"/>
        <v>714.78</v>
      </c>
      <c r="T52" s="9">
        <f t="shared" si="11"/>
        <v>12996</v>
      </c>
      <c r="U52" s="29"/>
    </row>
    <row r="53" spans="1:21" ht="28.8" x14ac:dyDescent="0.25">
      <c r="A53" s="10">
        <f>+'Banka Lis.'!B52</f>
        <v>48</v>
      </c>
      <c r="B53" s="10" t="str">
        <f>+Puantaj!C53</f>
        <v>19793201204</v>
      </c>
      <c r="C53" s="3" t="str">
        <f>+Puantaj!D53</f>
        <v>EMİR</v>
      </c>
      <c r="D53" s="3" t="str">
        <f>+Puantaj!E53</f>
        <v>DAŞTAN</v>
      </c>
      <c r="E53" s="3" t="str">
        <f>+'Banka Lis.'!H52</f>
        <v>Bursa UludağÜniversitesi Üniveristesi Genel Sekreterlik Özel Kalem</v>
      </c>
      <c r="F53" s="33">
        <f>+Puantaj!AK53</f>
        <v>7</v>
      </c>
      <c r="G53" s="31">
        <f t="shared" si="0"/>
        <v>7581</v>
      </c>
      <c r="H53" s="56">
        <f t="shared" si="1"/>
        <v>416.95499999999998</v>
      </c>
      <c r="I53" s="57">
        <f t="shared" si="2"/>
        <v>7997.9549999999999</v>
      </c>
      <c r="J53" s="2">
        <f t="shared" si="3"/>
        <v>7581</v>
      </c>
      <c r="K53" s="2">
        <f t="shared" si="4"/>
        <v>1137.1499999999999</v>
      </c>
      <c r="L53" s="2">
        <f t="shared" si="5"/>
        <v>1137.1499999999999</v>
      </c>
      <c r="M53" s="58">
        <f t="shared" si="6"/>
        <v>0</v>
      </c>
      <c r="N53" s="2">
        <f t="shared" si="7"/>
        <v>57.539790000000004</v>
      </c>
      <c r="O53" s="2">
        <f t="shared" si="8"/>
        <v>57.539790000000004</v>
      </c>
      <c r="P53" s="2">
        <f t="shared" si="9"/>
        <v>0</v>
      </c>
      <c r="Q53" s="58">
        <f t="shared" si="10"/>
        <v>416.95499999999998</v>
      </c>
      <c r="R53" s="58">
        <v>0</v>
      </c>
      <c r="S53" s="2">
        <f t="shared" si="12"/>
        <v>416.95499999999998</v>
      </c>
      <c r="T53" s="9">
        <f t="shared" si="11"/>
        <v>7581</v>
      </c>
      <c r="U53" s="29"/>
    </row>
    <row r="54" spans="1:21" ht="28.8" x14ac:dyDescent="0.25">
      <c r="A54" s="10">
        <f>+'Banka Lis.'!B53</f>
        <v>49</v>
      </c>
      <c r="B54" s="10" t="str">
        <f>+Puantaj!C54</f>
        <v>19156656290</v>
      </c>
      <c r="C54" s="3" t="str">
        <f>+Puantaj!D54</f>
        <v>EMİRCAN</v>
      </c>
      <c r="D54" s="3" t="str">
        <f>+Puantaj!E54</f>
        <v>DAL</v>
      </c>
      <c r="E54" s="3" t="str">
        <f>+'Banka Lis.'!H53</f>
        <v>Bursa UludağÜniversitesi Üniveristesi Genel Sekreterlik Özel Kalem</v>
      </c>
      <c r="F54" s="33">
        <f>+Puantaj!AK54</f>
        <v>12</v>
      </c>
      <c r="G54" s="31">
        <f t="shared" si="0"/>
        <v>12996</v>
      </c>
      <c r="H54" s="56">
        <f t="shared" si="1"/>
        <v>714.78</v>
      </c>
      <c r="I54" s="57">
        <f t="shared" si="2"/>
        <v>13710.78</v>
      </c>
      <c r="J54" s="2">
        <f t="shared" si="3"/>
        <v>12996</v>
      </c>
      <c r="K54" s="2">
        <f t="shared" si="4"/>
        <v>1949.3999999999999</v>
      </c>
      <c r="L54" s="2">
        <f t="shared" si="5"/>
        <v>1949.3999999999999</v>
      </c>
      <c r="M54" s="58">
        <f t="shared" si="6"/>
        <v>0</v>
      </c>
      <c r="N54" s="2">
        <f t="shared" si="7"/>
        <v>98.63964</v>
      </c>
      <c r="O54" s="2">
        <f t="shared" si="8"/>
        <v>98.63964</v>
      </c>
      <c r="P54" s="2">
        <f t="shared" si="9"/>
        <v>0</v>
      </c>
      <c r="Q54" s="58">
        <f t="shared" si="10"/>
        <v>714.78</v>
      </c>
      <c r="R54" s="58">
        <v>0</v>
      </c>
      <c r="S54" s="2">
        <f t="shared" si="12"/>
        <v>714.78</v>
      </c>
      <c r="T54" s="9">
        <f t="shared" si="11"/>
        <v>12996</v>
      </c>
      <c r="U54" s="29"/>
    </row>
    <row r="55" spans="1:21" ht="28.8" x14ac:dyDescent="0.25">
      <c r="A55" s="10">
        <f>+'Banka Lis.'!B54</f>
        <v>50</v>
      </c>
      <c r="B55" s="10" t="str">
        <f>+Puantaj!C55</f>
        <v>10877603754</v>
      </c>
      <c r="C55" s="3" t="str">
        <f>+Puantaj!D55</f>
        <v>EMİRHAN</v>
      </c>
      <c r="D55" s="3" t="str">
        <f>+Puantaj!E55</f>
        <v>BURULDAY</v>
      </c>
      <c r="E55" s="3" t="str">
        <f>+'Banka Lis.'!H54</f>
        <v>Bursa UludağÜniversitesi Üniveristesi Genel Sekreterlik Özel Kalem</v>
      </c>
      <c r="F55" s="33">
        <f>+Puantaj!AK55</f>
        <v>14</v>
      </c>
      <c r="G55" s="31">
        <f t="shared" si="0"/>
        <v>15162</v>
      </c>
      <c r="H55" s="56">
        <f t="shared" si="1"/>
        <v>833.91</v>
      </c>
      <c r="I55" s="57">
        <f t="shared" si="2"/>
        <v>15995.91</v>
      </c>
      <c r="J55" s="2">
        <f t="shared" si="3"/>
        <v>15162</v>
      </c>
      <c r="K55" s="2">
        <f t="shared" si="4"/>
        <v>2274.2999999999997</v>
      </c>
      <c r="L55" s="2">
        <f t="shared" si="5"/>
        <v>2274.2999999999997</v>
      </c>
      <c r="M55" s="58">
        <f t="shared" si="6"/>
        <v>0</v>
      </c>
      <c r="N55" s="2">
        <f t="shared" si="7"/>
        <v>115.07958000000001</v>
      </c>
      <c r="O55" s="2">
        <f t="shared" si="8"/>
        <v>115.07958000000001</v>
      </c>
      <c r="P55" s="2">
        <f t="shared" si="9"/>
        <v>0</v>
      </c>
      <c r="Q55" s="58">
        <f t="shared" si="10"/>
        <v>833.91</v>
      </c>
      <c r="R55" s="58">
        <v>0</v>
      </c>
      <c r="S55" s="2">
        <f t="shared" si="12"/>
        <v>833.91</v>
      </c>
      <c r="T55" s="9">
        <f t="shared" si="11"/>
        <v>15162</v>
      </c>
      <c r="U55" s="29"/>
    </row>
    <row r="56" spans="1:21" ht="28.8" x14ac:dyDescent="0.25">
      <c r="A56" s="10">
        <f>+'Banka Lis.'!B55</f>
        <v>51</v>
      </c>
      <c r="B56" s="10" t="str">
        <f>+Puantaj!C56</f>
        <v>10100154114</v>
      </c>
      <c r="C56" s="3" t="str">
        <f>+Puantaj!D56</f>
        <v>EMİRHAN</v>
      </c>
      <c r="D56" s="3" t="str">
        <f>+Puantaj!E56</f>
        <v>ÇELİK</v>
      </c>
      <c r="E56" s="3" t="str">
        <f>+'Banka Lis.'!H55</f>
        <v>Bursa UludağÜniversitesi Üniveristesi Genel Sekreterlik Özel Kalem</v>
      </c>
      <c r="F56" s="33">
        <f>+Puantaj!AK56</f>
        <v>13</v>
      </c>
      <c r="G56" s="31">
        <f t="shared" si="0"/>
        <v>14079</v>
      </c>
      <c r="H56" s="56">
        <f t="shared" si="1"/>
        <v>774.34500000000003</v>
      </c>
      <c r="I56" s="57">
        <f t="shared" si="2"/>
        <v>14853.344999999999</v>
      </c>
      <c r="J56" s="2">
        <f t="shared" si="3"/>
        <v>14079</v>
      </c>
      <c r="K56" s="2">
        <f t="shared" si="4"/>
        <v>2111.85</v>
      </c>
      <c r="L56" s="2">
        <f t="shared" si="5"/>
        <v>2111.85</v>
      </c>
      <c r="M56" s="58">
        <f t="shared" si="6"/>
        <v>0</v>
      </c>
      <c r="N56" s="2">
        <f t="shared" si="7"/>
        <v>106.85961</v>
      </c>
      <c r="O56" s="2">
        <f t="shared" si="8"/>
        <v>106.85961</v>
      </c>
      <c r="P56" s="2">
        <f t="shared" si="9"/>
        <v>0</v>
      </c>
      <c r="Q56" s="58">
        <f t="shared" si="10"/>
        <v>774.34500000000003</v>
      </c>
      <c r="R56" s="58">
        <v>0</v>
      </c>
      <c r="S56" s="2">
        <f t="shared" si="12"/>
        <v>774.34500000000003</v>
      </c>
      <c r="T56" s="9">
        <f t="shared" si="11"/>
        <v>14079</v>
      </c>
      <c r="U56" s="29"/>
    </row>
    <row r="57" spans="1:21" ht="28.8" x14ac:dyDescent="0.25">
      <c r="A57" s="10">
        <f>+'Banka Lis.'!B56</f>
        <v>52</v>
      </c>
      <c r="B57" s="10" t="str">
        <f>+Puantaj!C57</f>
        <v>12538250994</v>
      </c>
      <c r="C57" s="3" t="str">
        <f>+Puantaj!D57</f>
        <v>EMİRHAN</v>
      </c>
      <c r="D57" s="3" t="str">
        <f>+Puantaj!E57</f>
        <v>YILDIRIM</v>
      </c>
      <c r="E57" s="3" t="str">
        <f>+'Banka Lis.'!H56</f>
        <v>Bursa UludağÜniversitesi Üniveristesi Genel Sekreterlik Özel Kalem</v>
      </c>
      <c r="F57" s="33">
        <f>+Puantaj!AK57</f>
        <v>13</v>
      </c>
      <c r="G57" s="31">
        <f t="shared" si="0"/>
        <v>14079</v>
      </c>
      <c r="H57" s="56">
        <f t="shared" si="1"/>
        <v>774.34500000000003</v>
      </c>
      <c r="I57" s="57">
        <f t="shared" si="2"/>
        <v>14853.344999999999</v>
      </c>
      <c r="J57" s="2">
        <f t="shared" si="3"/>
        <v>14079</v>
      </c>
      <c r="K57" s="2">
        <f t="shared" si="4"/>
        <v>2111.85</v>
      </c>
      <c r="L57" s="2">
        <f t="shared" si="5"/>
        <v>2111.85</v>
      </c>
      <c r="M57" s="58">
        <f t="shared" si="6"/>
        <v>0</v>
      </c>
      <c r="N57" s="2">
        <f t="shared" si="7"/>
        <v>106.85961</v>
      </c>
      <c r="O57" s="2">
        <f t="shared" si="8"/>
        <v>106.85961</v>
      </c>
      <c r="P57" s="2">
        <f t="shared" si="9"/>
        <v>0</v>
      </c>
      <c r="Q57" s="58">
        <f t="shared" si="10"/>
        <v>774.34500000000003</v>
      </c>
      <c r="R57" s="58">
        <v>0</v>
      </c>
      <c r="S57" s="2">
        <f t="shared" si="12"/>
        <v>774.34500000000003</v>
      </c>
      <c r="T57" s="9">
        <f t="shared" si="11"/>
        <v>14079</v>
      </c>
      <c r="U57" s="29"/>
    </row>
    <row r="58" spans="1:21" ht="28.8" x14ac:dyDescent="0.25">
      <c r="A58" s="10">
        <f>+'Banka Lis.'!B57</f>
        <v>53</v>
      </c>
      <c r="B58" s="10" t="str">
        <f>+Puantaj!C58</f>
        <v>60862510536</v>
      </c>
      <c r="C58" s="3" t="str">
        <f>+Puantaj!D58</f>
        <v>EMİRHAN</v>
      </c>
      <c r="D58" s="3" t="str">
        <f>+Puantaj!E58</f>
        <v>YILDIZ</v>
      </c>
      <c r="E58" s="3" t="str">
        <f>+'Banka Lis.'!H57</f>
        <v>Bursa UludağÜniversitesi Üniveristesi Genel Sekreterlik Özel Kalem</v>
      </c>
      <c r="F58" s="33">
        <f>+Puantaj!AK58</f>
        <v>14</v>
      </c>
      <c r="G58" s="31">
        <f t="shared" si="0"/>
        <v>15162</v>
      </c>
      <c r="H58" s="56">
        <f t="shared" si="1"/>
        <v>833.91</v>
      </c>
      <c r="I58" s="57">
        <f t="shared" si="2"/>
        <v>15995.91</v>
      </c>
      <c r="J58" s="2">
        <f t="shared" si="3"/>
        <v>15162</v>
      </c>
      <c r="K58" s="2">
        <f t="shared" si="4"/>
        <v>2274.2999999999997</v>
      </c>
      <c r="L58" s="2">
        <f t="shared" si="5"/>
        <v>2274.2999999999997</v>
      </c>
      <c r="M58" s="58">
        <f t="shared" si="6"/>
        <v>0</v>
      </c>
      <c r="N58" s="2">
        <f t="shared" si="7"/>
        <v>115.07958000000001</v>
      </c>
      <c r="O58" s="2">
        <f t="shared" si="8"/>
        <v>115.07958000000001</v>
      </c>
      <c r="P58" s="2">
        <f t="shared" si="9"/>
        <v>0</v>
      </c>
      <c r="Q58" s="58">
        <f t="shared" si="10"/>
        <v>833.91</v>
      </c>
      <c r="R58" s="58">
        <v>0</v>
      </c>
      <c r="S58" s="2">
        <f t="shared" si="12"/>
        <v>833.91</v>
      </c>
      <c r="T58" s="9">
        <f t="shared" si="11"/>
        <v>15162</v>
      </c>
      <c r="U58" s="29"/>
    </row>
    <row r="59" spans="1:21" ht="28.8" x14ac:dyDescent="0.25">
      <c r="A59" s="10">
        <f>+'Banka Lis.'!B58</f>
        <v>54</v>
      </c>
      <c r="B59" s="10" t="str">
        <f>+Puantaj!C59</f>
        <v>11056947294</v>
      </c>
      <c r="C59" s="3" t="str">
        <f>+Puantaj!D59</f>
        <v>EMRE</v>
      </c>
      <c r="D59" s="3" t="str">
        <f>+Puantaj!E59</f>
        <v>FIRAT</v>
      </c>
      <c r="E59" s="3" t="str">
        <f>+'Banka Lis.'!H58</f>
        <v>Bursa UludağÜniversitesi Üniveristesi Genel Sekreterlik Özel Kalem</v>
      </c>
      <c r="F59" s="33">
        <f>+Puantaj!AK59</f>
        <v>14</v>
      </c>
      <c r="G59" s="31">
        <f t="shared" si="0"/>
        <v>15162</v>
      </c>
      <c r="H59" s="56">
        <f t="shared" si="1"/>
        <v>833.91</v>
      </c>
      <c r="I59" s="57">
        <f t="shared" si="2"/>
        <v>15995.91</v>
      </c>
      <c r="J59" s="2">
        <f t="shared" si="3"/>
        <v>15162</v>
      </c>
      <c r="K59" s="2">
        <f t="shared" si="4"/>
        <v>2274.2999999999997</v>
      </c>
      <c r="L59" s="2">
        <f t="shared" si="5"/>
        <v>2274.2999999999997</v>
      </c>
      <c r="M59" s="58">
        <f t="shared" si="6"/>
        <v>0</v>
      </c>
      <c r="N59" s="2">
        <f t="shared" si="7"/>
        <v>115.07958000000001</v>
      </c>
      <c r="O59" s="2">
        <f t="shared" si="8"/>
        <v>115.07958000000001</v>
      </c>
      <c r="P59" s="2">
        <f t="shared" si="9"/>
        <v>0</v>
      </c>
      <c r="Q59" s="58">
        <f t="shared" si="10"/>
        <v>833.91</v>
      </c>
      <c r="R59" s="58">
        <v>0</v>
      </c>
      <c r="S59" s="2">
        <f t="shared" si="12"/>
        <v>833.91</v>
      </c>
      <c r="T59" s="9">
        <f t="shared" si="11"/>
        <v>15162</v>
      </c>
      <c r="U59" s="29"/>
    </row>
    <row r="60" spans="1:21" ht="28.8" x14ac:dyDescent="0.25">
      <c r="A60" s="10">
        <f>+'Banka Lis.'!B59</f>
        <v>55</v>
      </c>
      <c r="B60" s="10" t="str">
        <f>+Puantaj!C60</f>
        <v>10630966102</v>
      </c>
      <c r="C60" s="3" t="str">
        <f>+Puantaj!D60</f>
        <v>EMRE</v>
      </c>
      <c r="D60" s="3" t="str">
        <f>+Puantaj!E60</f>
        <v>KOCAHALİLOĞULLARI</v>
      </c>
      <c r="E60" s="3" t="str">
        <f>+'Banka Lis.'!H59</f>
        <v>Bursa UludağÜniversitesi Üniveristesi Genel Sekreterlik Özel Kalem</v>
      </c>
      <c r="F60" s="33">
        <f>+Puantaj!AK60</f>
        <v>14</v>
      </c>
      <c r="G60" s="31">
        <f t="shared" si="0"/>
        <v>15162</v>
      </c>
      <c r="H60" s="56">
        <f t="shared" si="1"/>
        <v>833.91</v>
      </c>
      <c r="I60" s="57">
        <f t="shared" si="2"/>
        <v>15995.91</v>
      </c>
      <c r="J60" s="2">
        <f t="shared" si="3"/>
        <v>15162</v>
      </c>
      <c r="K60" s="2">
        <f t="shared" si="4"/>
        <v>2274.2999999999997</v>
      </c>
      <c r="L60" s="2">
        <f t="shared" si="5"/>
        <v>2274.2999999999997</v>
      </c>
      <c r="M60" s="58">
        <f t="shared" si="6"/>
        <v>0</v>
      </c>
      <c r="N60" s="2">
        <f t="shared" si="7"/>
        <v>115.07958000000001</v>
      </c>
      <c r="O60" s="2">
        <f t="shared" si="8"/>
        <v>115.07958000000001</v>
      </c>
      <c r="P60" s="2">
        <f t="shared" si="9"/>
        <v>0</v>
      </c>
      <c r="Q60" s="58">
        <f t="shared" si="10"/>
        <v>833.91</v>
      </c>
      <c r="R60" s="58">
        <v>0</v>
      </c>
      <c r="S60" s="2">
        <f t="shared" si="12"/>
        <v>833.91</v>
      </c>
      <c r="T60" s="9">
        <f t="shared" si="11"/>
        <v>15162</v>
      </c>
      <c r="U60" s="29"/>
    </row>
    <row r="61" spans="1:21" ht="28.8" x14ac:dyDescent="0.25">
      <c r="A61" s="10">
        <f>+'Banka Lis.'!B60</f>
        <v>56</v>
      </c>
      <c r="B61" s="10" t="str">
        <f>+Puantaj!C61</f>
        <v>60736357120</v>
      </c>
      <c r="C61" s="3" t="str">
        <f>+Puantaj!D61</f>
        <v>EMRE</v>
      </c>
      <c r="D61" s="3" t="str">
        <f>+Puantaj!E61</f>
        <v>YILMAZ</v>
      </c>
      <c r="E61" s="3" t="str">
        <f>+'Banka Lis.'!H60</f>
        <v>Bursa UludağÜniversitesi Üniveristesi Genel Sekreterlik Özel Kalem</v>
      </c>
      <c r="F61" s="33">
        <f>+Puantaj!AK61</f>
        <v>5</v>
      </c>
      <c r="G61" s="31">
        <f t="shared" si="0"/>
        <v>5415</v>
      </c>
      <c r="H61" s="56">
        <f t="shared" si="1"/>
        <v>297.82499999999999</v>
      </c>
      <c r="I61" s="57">
        <f t="shared" si="2"/>
        <v>5712.8249999999998</v>
      </c>
      <c r="J61" s="2">
        <f t="shared" si="3"/>
        <v>5415</v>
      </c>
      <c r="K61" s="2">
        <f t="shared" si="4"/>
        <v>812.25</v>
      </c>
      <c r="L61" s="2">
        <f t="shared" si="5"/>
        <v>812.25</v>
      </c>
      <c r="M61" s="58">
        <f t="shared" si="6"/>
        <v>0</v>
      </c>
      <c r="N61" s="2">
        <f t="shared" si="7"/>
        <v>41.099850000000004</v>
      </c>
      <c r="O61" s="2">
        <f t="shared" si="8"/>
        <v>41.099850000000004</v>
      </c>
      <c r="P61" s="2">
        <f t="shared" si="9"/>
        <v>0</v>
      </c>
      <c r="Q61" s="58">
        <f t="shared" si="10"/>
        <v>297.82499999999999</v>
      </c>
      <c r="R61" s="58">
        <v>0</v>
      </c>
      <c r="S61" s="2">
        <f t="shared" si="12"/>
        <v>297.82499999999999</v>
      </c>
      <c r="T61" s="9">
        <f t="shared" si="11"/>
        <v>5415</v>
      </c>
      <c r="U61" s="29"/>
    </row>
    <row r="62" spans="1:21" ht="28.8" x14ac:dyDescent="0.25">
      <c r="A62" s="10">
        <f>+'Banka Lis.'!B61</f>
        <v>57</v>
      </c>
      <c r="B62" s="10" t="str">
        <f>+Puantaj!C62</f>
        <v>31795253678</v>
      </c>
      <c r="C62" s="3" t="str">
        <f>+Puantaj!D62</f>
        <v>ENES</v>
      </c>
      <c r="D62" s="3" t="str">
        <f>+Puantaj!E62</f>
        <v>DURAN</v>
      </c>
      <c r="E62" s="3" t="str">
        <f>+'Banka Lis.'!H61</f>
        <v>Bursa UludağÜniversitesi Üniveristesi Genel Sekreterlik Özel Kalem</v>
      </c>
      <c r="F62" s="33">
        <f>+Puantaj!AK62</f>
        <v>12</v>
      </c>
      <c r="G62" s="31">
        <f t="shared" si="0"/>
        <v>12996</v>
      </c>
      <c r="H62" s="56">
        <f t="shared" si="1"/>
        <v>714.78</v>
      </c>
      <c r="I62" s="57">
        <f t="shared" si="2"/>
        <v>13710.78</v>
      </c>
      <c r="J62" s="2">
        <f t="shared" si="3"/>
        <v>12996</v>
      </c>
      <c r="K62" s="2">
        <f t="shared" si="4"/>
        <v>1949.3999999999999</v>
      </c>
      <c r="L62" s="2">
        <f t="shared" si="5"/>
        <v>1949.3999999999999</v>
      </c>
      <c r="M62" s="58">
        <f t="shared" si="6"/>
        <v>0</v>
      </c>
      <c r="N62" s="2">
        <f t="shared" si="7"/>
        <v>98.63964</v>
      </c>
      <c r="O62" s="2">
        <f t="shared" si="8"/>
        <v>98.63964</v>
      </c>
      <c r="P62" s="2">
        <f t="shared" si="9"/>
        <v>0</v>
      </c>
      <c r="Q62" s="58">
        <f t="shared" si="10"/>
        <v>714.78</v>
      </c>
      <c r="R62" s="58">
        <v>0</v>
      </c>
      <c r="S62" s="2">
        <f t="shared" si="12"/>
        <v>714.78</v>
      </c>
      <c r="T62" s="9">
        <f t="shared" si="11"/>
        <v>12996</v>
      </c>
      <c r="U62" s="29"/>
    </row>
    <row r="63" spans="1:21" ht="28.8" x14ac:dyDescent="0.25">
      <c r="A63" s="10">
        <f>+'Banka Lis.'!B62</f>
        <v>58</v>
      </c>
      <c r="B63" s="10" t="str">
        <f>+Puantaj!C63</f>
        <v>13613592022</v>
      </c>
      <c r="C63" s="3" t="str">
        <f>+Puantaj!D63</f>
        <v>ENES</v>
      </c>
      <c r="D63" s="3" t="str">
        <f>+Puantaj!E63</f>
        <v>ÖZCAN</v>
      </c>
      <c r="E63" s="3" t="str">
        <f>+'Banka Lis.'!H62</f>
        <v>Bursa UludağÜniversitesi Üniveristesi Genel Sekreterlik Özel Kalem</v>
      </c>
      <c r="F63" s="33">
        <f>+Puantaj!AK63</f>
        <v>12</v>
      </c>
      <c r="G63" s="31">
        <f t="shared" si="0"/>
        <v>12996</v>
      </c>
      <c r="H63" s="56">
        <f t="shared" si="1"/>
        <v>714.78</v>
      </c>
      <c r="I63" s="57">
        <f t="shared" si="2"/>
        <v>13710.78</v>
      </c>
      <c r="J63" s="2">
        <f t="shared" si="3"/>
        <v>12996</v>
      </c>
      <c r="K63" s="2">
        <f t="shared" si="4"/>
        <v>1949.3999999999999</v>
      </c>
      <c r="L63" s="2">
        <f t="shared" si="5"/>
        <v>1949.3999999999999</v>
      </c>
      <c r="M63" s="58">
        <f t="shared" si="6"/>
        <v>0</v>
      </c>
      <c r="N63" s="2">
        <f t="shared" si="7"/>
        <v>98.63964</v>
      </c>
      <c r="O63" s="2">
        <f t="shared" si="8"/>
        <v>98.63964</v>
      </c>
      <c r="P63" s="2">
        <f t="shared" si="9"/>
        <v>0</v>
      </c>
      <c r="Q63" s="58">
        <f t="shared" si="10"/>
        <v>714.78</v>
      </c>
      <c r="R63" s="58">
        <v>0</v>
      </c>
      <c r="S63" s="2">
        <f t="shared" si="12"/>
        <v>714.78</v>
      </c>
      <c r="T63" s="9">
        <f t="shared" si="11"/>
        <v>12996</v>
      </c>
      <c r="U63" s="29"/>
    </row>
    <row r="64" spans="1:21" ht="28.8" x14ac:dyDescent="0.25">
      <c r="A64" s="10">
        <f>+'Banka Lis.'!B63</f>
        <v>59</v>
      </c>
      <c r="B64" s="10" t="str">
        <f>+Puantaj!C64</f>
        <v>42379294314</v>
      </c>
      <c r="C64" s="3" t="str">
        <f>+Puantaj!D64</f>
        <v>ENİSE</v>
      </c>
      <c r="D64" s="3" t="str">
        <f>+Puantaj!E64</f>
        <v>GÖK</v>
      </c>
      <c r="E64" s="3" t="str">
        <f>+'Banka Lis.'!H63</f>
        <v>Bursa UludağÜniversitesi Üniveristesi Genel Sekreterlik Özel Kalem</v>
      </c>
      <c r="F64" s="33">
        <f>+Puantaj!AK64</f>
        <v>12</v>
      </c>
      <c r="G64" s="31">
        <f t="shared" si="0"/>
        <v>12996</v>
      </c>
      <c r="H64" s="56">
        <f t="shared" si="1"/>
        <v>714.78</v>
      </c>
      <c r="I64" s="57">
        <f t="shared" si="2"/>
        <v>13710.78</v>
      </c>
      <c r="J64" s="2">
        <f t="shared" si="3"/>
        <v>12996</v>
      </c>
      <c r="K64" s="2">
        <f t="shared" si="4"/>
        <v>1949.3999999999999</v>
      </c>
      <c r="L64" s="2">
        <f t="shared" si="5"/>
        <v>1949.3999999999999</v>
      </c>
      <c r="M64" s="58">
        <f t="shared" si="6"/>
        <v>0</v>
      </c>
      <c r="N64" s="2">
        <f t="shared" si="7"/>
        <v>98.63964</v>
      </c>
      <c r="O64" s="2">
        <f t="shared" si="8"/>
        <v>98.63964</v>
      </c>
      <c r="P64" s="2">
        <f t="shared" si="9"/>
        <v>0</v>
      </c>
      <c r="Q64" s="58">
        <f t="shared" si="10"/>
        <v>714.78</v>
      </c>
      <c r="R64" s="58">
        <v>0</v>
      </c>
      <c r="S64" s="2">
        <f t="shared" si="12"/>
        <v>714.78</v>
      </c>
      <c r="T64" s="9">
        <f t="shared" si="11"/>
        <v>12996</v>
      </c>
      <c r="U64" s="29"/>
    </row>
    <row r="65" spans="1:21" ht="28.8" x14ac:dyDescent="0.25">
      <c r="A65" s="10">
        <f>+'Banka Lis.'!B64</f>
        <v>60</v>
      </c>
      <c r="B65" s="10" t="str">
        <f>+Puantaj!C65</f>
        <v>10267937780</v>
      </c>
      <c r="C65" s="3" t="str">
        <f>+Puantaj!D65</f>
        <v>ENNUR</v>
      </c>
      <c r="D65" s="3" t="str">
        <f>+Puantaj!E65</f>
        <v>ÜNAL</v>
      </c>
      <c r="E65" s="3" t="str">
        <f>+'Banka Lis.'!H64</f>
        <v>Bursa UludağÜniversitesi Üniveristesi Genel Sekreterlik Özel Kalem</v>
      </c>
      <c r="F65" s="33">
        <f>+Puantaj!AK65</f>
        <v>14</v>
      </c>
      <c r="G65" s="31">
        <f t="shared" si="0"/>
        <v>15162</v>
      </c>
      <c r="H65" s="56">
        <f t="shared" si="1"/>
        <v>833.91</v>
      </c>
      <c r="I65" s="57">
        <f t="shared" si="2"/>
        <v>15995.91</v>
      </c>
      <c r="J65" s="2">
        <f t="shared" si="3"/>
        <v>15162</v>
      </c>
      <c r="K65" s="2">
        <f t="shared" si="4"/>
        <v>2274.2999999999997</v>
      </c>
      <c r="L65" s="2">
        <f t="shared" si="5"/>
        <v>2274.2999999999997</v>
      </c>
      <c r="M65" s="58">
        <f t="shared" si="6"/>
        <v>0</v>
      </c>
      <c r="N65" s="2">
        <f t="shared" si="7"/>
        <v>115.07958000000001</v>
      </c>
      <c r="O65" s="2">
        <f t="shared" si="8"/>
        <v>115.07958000000001</v>
      </c>
      <c r="P65" s="2">
        <f t="shared" si="9"/>
        <v>0</v>
      </c>
      <c r="Q65" s="58">
        <f t="shared" si="10"/>
        <v>833.91</v>
      </c>
      <c r="R65" s="58">
        <v>0</v>
      </c>
      <c r="S65" s="2">
        <f t="shared" si="12"/>
        <v>833.91</v>
      </c>
      <c r="T65" s="9">
        <f t="shared" si="11"/>
        <v>15162</v>
      </c>
      <c r="U65" s="29"/>
    </row>
    <row r="66" spans="1:21" ht="28.8" x14ac:dyDescent="0.25">
      <c r="A66" s="10">
        <f>+'Banka Lis.'!B65</f>
        <v>61</v>
      </c>
      <c r="B66" s="10" t="str">
        <f>+Puantaj!C66</f>
        <v>10559226820</v>
      </c>
      <c r="C66" s="3" t="str">
        <f>+Puantaj!D66</f>
        <v>EREN</v>
      </c>
      <c r="D66" s="3" t="str">
        <f>+Puantaj!E66</f>
        <v>BEYDİLLİ</v>
      </c>
      <c r="E66" s="3" t="str">
        <f>+'Banka Lis.'!H65</f>
        <v>Bursa UludağÜniversitesi Üniveristesi Genel Sekreterlik Özel Kalem</v>
      </c>
      <c r="F66" s="33">
        <f>+Puantaj!AK66</f>
        <v>0</v>
      </c>
      <c r="G66" s="31">
        <f t="shared" si="0"/>
        <v>0</v>
      </c>
      <c r="H66" s="56">
        <f t="shared" si="1"/>
        <v>0</v>
      </c>
      <c r="I66" s="57">
        <f t="shared" si="2"/>
        <v>0</v>
      </c>
      <c r="J66" s="2">
        <f t="shared" si="3"/>
        <v>0</v>
      </c>
      <c r="K66" s="2">
        <f t="shared" si="4"/>
        <v>0</v>
      </c>
      <c r="L66" s="2">
        <f t="shared" si="5"/>
        <v>0</v>
      </c>
      <c r="M66" s="58">
        <f t="shared" si="6"/>
        <v>0</v>
      </c>
      <c r="N66" s="2">
        <f t="shared" si="7"/>
        <v>0</v>
      </c>
      <c r="O66" s="2">
        <f t="shared" si="8"/>
        <v>0</v>
      </c>
      <c r="P66" s="2">
        <f t="shared" si="9"/>
        <v>0</v>
      </c>
      <c r="Q66" s="58">
        <f t="shared" si="10"/>
        <v>0</v>
      </c>
      <c r="R66" s="58">
        <v>0</v>
      </c>
      <c r="S66" s="2">
        <f t="shared" si="12"/>
        <v>0</v>
      </c>
      <c r="T66" s="9">
        <f t="shared" si="11"/>
        <v>0</v>
      </c>
      <c r="U66" s="29"/>
    </row>
    <row r="67" spans="1:21" ht="28.8" x14ac:dyDescent="0.25">
      <c r="A67" s="10">
        <f>+'Banka Lis.'!B66</f>
        <v>62</v>
      </c>
      <c r="B67" s="10" t="str">
        <f>+Puantaj!C67</f>
        <v>10129854538</v>
      </c>
      <c r="C67" s="3" t="str">
        <f>+Puantaj!D67</f>
        <v>EREN</v>
      </c>
      <c r="D67" s="3" t="str">
        <f>+Puantaj!E67</f>
        <v>BOYLU</v>
      </c>
      <c r="E67" s="3" t="str">
        <f>+'Banka Lis.'!H66</f>
        <v>Bursa UludağÜniversitesi Üniveristesi Genel Sekreterlik Özel Kalem</v>
      </c>
      <c r="F67" s="33">
        <f>+Puantaj!AK67</f>
        <v>13</v>
      </c>
      <c r="G67" s="31">
        <f t="shared" si="0"/>
        <v>14079</v>
      </c>
      <c r="H67" s="56">
        <f t="shared" si="1"/>
        <v>774.34500000000003</v>
      </c>
      <c r="I67" s="57">
        <f t="shared" si="2"/>
        <v>14853.344999999999</v>
      </c>
      <c r="J67" s="2">
        <f t="shared" si="3"/>
        <v>14079</v>
      </c>
      <c r="K67" s="2">
        <f t="shared" si="4"/>
        <v>2111.85</v>
      </c>
      <c r="L67" s="2">
        <f t="shared" si="5"/>
        <v>2111.85</v>
      </c>
      <c r="M67" s="58">
        <f t="shared" si="6"/>
        <v>0</v>
      </c>
      <c r="N67" s="2">
        <f t="shared" si="7"/>
        <v>106.85961</v>
      </c>
      <c r="O67" s="2">
        <f t="shared" si="8"/>
        <v>106.85961</v>
      </c>
      <c r="P67" s="2">
        <f t="shared" si="9"/>
        <v>0</v>
      </c>
      <c r="Q67" s="58">
        <f t="shared" si="10"/>
        <v>774.34500000000003</v>
      </c>
      <c r="R67" s="58">
        <v>0</v>
      </c>
      <c r="S67" s="2">
        <f t="shared" si="12"/>
        <v>774.34500000000003</v>
      </c>
      <c r="T67" s="9">
        <f t="shared" si="11"/>
        <v>14079</v>
      </c>
      <c r="U67" s="29"/>
    </row>
    <row r="68" spans="1:21" ht="28.8" x14ac:dyDescent="0.25">
      <c r="A68" s="10">
        <f>+'Banka Lis.'!B67</f>
        <v>63</v>
      </c>
      <c r="B68" s="10" t="str">
        <f>+Puantaj!C68</f>
        <v>10591948872</v>
      </c>
      <c r="C68" s="3" t="str">
        <f>+Puantaj!D68</f>
        <v>EREN</v>
      </c>
      <c r="D68" s="3" t="str">
        <f>+Puantaj!E68</f>
        <v>SAĞIR</v>
      </c>
      <c r="E68" s="3" t="str">
        <f>+'Banka Lis.'!H67</f>
        <v>Bursa UludağÜniversitesi Üniveristesi Genel Sekreterlik Özel Kalem</v>
      </c>
      <c r="F68" s="33">
        <f>+Puantaj!AK68</f>
        <v>14</v>
      </c>
      <c r="G68" s="31">
        <f t="shared" si="0"/>
        <v>15162</v>
      </c>
      <c r="H68" s="56">
        <f t="shared" si="1"/>
        <v>833.91</v>
      </c>
      <c r="I68" s="57">
        <f t="shared" si="2"/>
        <v>15995.91</v>
      </c>
      <c r="J68" s="2">
        <f t="shared" si="3"/>
        <v>15162</v>
      </c>
      <c r="K68" s="2">
        <f t="shared" si="4"/>
        <v>2274.2999999999997</v>
      </c>
      <c r="L68" s="2">
        <f t="shared" si="5"/>
        <v>2274.2999999999997</v>
      </c>
      <c r="M68" s="58">
        <f t="shared" si="6"/>
        <v>0</v>
      </c>
      <c r="N68" s="2">
        <f t="shared" si="7"/>
        <v>115.07958000000001</v>
      </c>
      <c r="O68" s="2">
        <f t="shared" si="8"/>
        <v>115.07958000000001</v>
      </c>
      <c r="P68" s="2">
        <f t="shared" si="9"/>
        <v>0</v>
      </c>
      <c r="Q68" s="58">
        <f t="shared" si="10"/>
        <v>833.91</v>
      </c>
      <c r="R68" s="58">
        <v>0</v>
      </c>
      <c r="S68" s="2">
        <f t="shared" si="12"/>
        <v>833.91</v>
      </c>
      <c r="T68" s="9">
        <f t="shared" si="11"/>
        <v>15162</v>
      </c>
      <c r="U68" s="29"/>
    </row>
    <row r="69" spans="1:21" ht="28.8" x14ac:dyDescent="0.25">
      <c r="A69" s="10">
        <f>+'Banka Lis.'!B68</f>
        <v>64</v>
      </c>
      <c r="B69" s="10" t="str">
        <f>+Puantaj!C69</f>
        <v>31750012616</v>
      </c>
      <c r="C69" s="3" t="str">
        <f>+Puantaj!D69</f>
        <v>ERTUĞRUL</v>
      </c>
      <c r="D69" s="3" t="str">
        <f>+Puantaj!E69</f>
        <v>YILDIRAN</v>
      </c>
      <c r="E69" s="3" t="str">
        <f>+'Banka Lis.'!H68</f>
        <v>Bursa UludağÜniversitesi Üniveristesi Genel Sekreterlik Özel Kalem</v>
      </c>
      <c r="F69" s="33">
        <f>+Puantaj!AK69</f>
        <v>14</v>
      </c>
      <c r="G69" s="31">
        <f t="shared" si="0"/>
        <v>15162</v>
      </c>
      <c r="H69" s="56">
        <f t="shared" si="1"/>
        <v>833.91</v>
      </c>
      <c r="I69" s="57">
        <f t="shared" si="2"/>
        <v>15995.91</v>
      </c>
      <c r="J69" s="2">
        <f t="shared" si="3"/>
        <v>15162</v>
      </c>
      <c r="K69" s="2">
        <f t="shared" si="4"/>
        <v>2274.2999999999997</v>
      </c>
      <c r="L69" s="2">
        <f t="shared" si="5"/>
        <v>2274.2999999999997</v>
      </c>
      <c r="M69" s="58">
        <f t="shared" si="6"/>
        <v>0</v>
      </c>
      <c r="N69" s="2">
        <f t="shared" si="7"/>
        <v>115.07958000000001</v>
      </c>
      <c r="O69" s="2">
        <f t="shared" si="8"/>
        <v>115.07958000000001</v>
      </c>
      <c r="P69" s="2">
        <f t="shared" si="9"/>
        <v>0</v>
      </c>
      <c r="Q69" s="58">
        <f t="shared" si="10"/>
        <v>833.91</v>
      </c>
      <c r="R69" s="58">
        <v>0</v>
      </c>
      <c r="S69" s="2">
        <f t="shared" si="12"/>
        <v>833.91</v>
      </c>
      <c r="T69" s="9">
        <f t="shared" si="11"/>
        <v>15162</v>
      </c>
      <c r="U69" s="29"/>
    </row>
    <row r="70" spans="1:21" ht="28.8" x14ac:dyDescent="0.25">
      <c r="A70" s="10">
        <f>+'Banka Lis.'!B69</f>
        <v>65</v>
      </c>
      <c r="B70" s="10" t="str">
        <f>+Puantaj!C70</f>
        <v>11758988366</v>
      </c>
      <c r="C70" s="3" t="str">
        <f>+Puantaj!D70</f>
        <v>ESRA BENAN</v>
      </c>
      <c r="D70" s="3" t="str">
        <f>+Puantaj!E70</f>
        <v>ÇETİN</v>
      </c>
      <c r="E70" s="3" t="str">
        <f>+'Banka Lis.'!H69</f>
        <v>Bursa UludağÜniversitesi Üniveristesi Genel Sekreterlik Özel Kalem</v>
      </c>
      <c r="F70" s="33">
        <f>+Puantaj!AK70</f>
        <v>13</v>
      </c>
      <c r="G70" s="31">
        <f t="shared" si="0"/>
        <v>14079</v>
      </c>
      <c r="H70" s="56">
        <f t="shared" si="1"/>
        <v>774.34500000000003</v>
      </c>
      <c r="I70" s="57">
        <f t="shared" si="2"/>
        <v>14853.344999999999</v>
      </c>
      <c r="J70" s="2">
        <f t="shared" si="3"/>
        <v>14079</v>
      </c>
      <c r="K70" s="2">
        <f t="shared" si="4"/>
        <v>2111.85</v>
      </c>
      <c r="L70" s="2">
        <f t="shared" si="5"/>
        <v>2111.85</v>
      </c>
      <c r="M70" s="58">
        <f t="shared" si="6"/>
        <v>0</v>
      </c>
      <c r="N70" s="2">
        <f t="shared" si="7"/>
        <v>106.85961</v>
      </c>
      <c r="O70" s="2">
        <f t="shared" si="8"/>
        <v>106.85961</v>
      </c>
      <c r="P70" s="2">
        <f t="shared" si="9"/>
        <v>0</v>
      </c>
      <c r="Q70" s="58">
        <f t="shared" si="10"/>
        <v>774.34500000000003</v>
      </c>
      <c r="R70" s="58">
        <v>0</v>
      </c>
      <c r="S70" s="2">
        <f t="shared" si="12"/>
        <v>774.34500000000003</v>
      </c>
      <c r="T70" s="9">
        <f t="shared" si="11"/>
        <v>14079</v>
      </c>
      <c r="U70" s="29"/>
    </row>
    <row r="71" spans="1:21" ht="28.8" x14ac:dyDescent="0.25">
      <c r="A71" s="10">
        <f>+'Banka Lis.'!B70</f>
        <v>66</v>
      </c>
      <c r="B71" s="10" t="str">
        <f>+Puantaj!C71</f>
        <v>10041124610</v>
      </c>
      <c r="C71" s="3" t="str">
        <f>+Puantaj!D71</f>
        <v>EYLÜL</v>
      </c>
      <c r="D71" s="3" t="str">
        <f>+Puantaj!E71</f>
        <v>AKCAOĞLU</v>
      </c>
      <c r="E71" s="3" t="str">
        <f>+'Banka Lis.'!H70</f>
        <v>Bursa UludağÜniversitesi Üniveristesi Genel Sekreterlik Özel Kalem</v>
      </c>
      <c r="F71" s="33">
        <f>+Puantaj!AK71</f>
        <v>12</v>
      </c>
      <c r="G71" s="31">
        <f t="shared" ref="G71:G134" si="13">F71*1083</f>
        <v>12996</v>
      </c>
      <c r="H71" s="56">
        <f t="shared" ref="H71:H134" si="14">G71*0.055</f>
        <v>714.78</v>
      </c>
      <c r="I71" s="57">
        <f t="shared" ref="I71:I134" si="15">G71+H71</f>
        <v>13710.78</v>
      </c>
      <c r="J71" s="2">
        <f t="shared" ref="J71:J134" si="16">+G71</f>
        <v>12996</v>
      </c>
      <c r="K71" s="2">
        <f t="shared" ref="K71:K134" si="17">J71*0.15</f>
        <v>1949.3999999999999</v>
      </c>
      <c r="L71" s="2">
        <f t="shared" ref="L71:L134" si="18">IF(J71*0.15&gt;K71,K71,J71*0.15)</f>
        <v>1949.3999999999999</v>
      </c>
      <c r="M71" s="58">
        <f t="shared" ref="M71:M134" si="19">IF(K71-L71&gt;0,K71-L71,0)</f>
        <v>0</v>
      </c>
      <c r="N71" s="2">
        <f t="shared" ref="N71:N134" si="20">G71*0.00759</f>
        <v>98.63964</v>
      </c>
      <c r="O71" s="2">
        <f t="shared" ref="O71:O134" si="21">IF(G71*0.00759&gt;G71,197.38,G71*0.00759)</f>
        <v>98.63964</v>
      </c>
      <c r="P71" s="2">
        <f t="shared" ref="P71:P134" si="22">IF(N71-O71&gt;0,N71-O71,0)</f>
        <v>0</v>
      </c>
      <c r="Q71" s="58">
        <f t="shared" ref="Q71:Q134" si="23">+H71</f>
        <v>714.78</v>
      </c>
      <c r="R71" s="58">
        <v>0</v>
      </c>
      <c r="S71" s="2">
        <f t="shared" ref="S71:S134" si="24">R71+Q71</f>
        <v>714.78</v>
      </c>
      <c r="T71" s="9">
        <f t="shared" ref="T71:T134" si="25">I71-S71</f>
        <v>12996</v>
      </c>
      <c r="U71" s="29"/>
    </row>
    <row r="72" spans="1:21" ht="28.8" x14ac:dyDescent="0.25">
      <c r="A72" s="10">
        <f>+'Banka Lis.'!B71</f>
        <v>67</v>
      </c>
      <c r="B72" s="10" t="str">
        <f>+Puantaj!C72</f>
        <v>26104431304</v>
      </c>
      <c r="C72" s="3" t="str">
        <f>+Puantaj!D72</f>
        <v>EZGİ</v>
      </c>
      <c r="D72" s="3" t="str">
        <f>+Puantaj!E72</f>
        <v>BÜYÜKKAYA</v>
      </c>
      <c r="E72" s="3" t="str">
        <f>+'Banka Lis.'!H71</f>
        <v>Bursa UludağÜniversitesi Üniveristesi Genel Sekreterlik Özel Kalem</v>
      </c>
      <c r="F72" s="33">
        <f>+Puantaj!AK72</f>
        <v>9</v>
      </c>
      <c r="G72" s="31">
        <f t="shared" si="13"/>
        <v>9747</v>
      </c>
      <c r="H72" s="56">
        <f t="shared" si="14"/>
        <v>536.08500000000004</v>
      </c>
      <c r="I72" s="57">
        <f t="shared" si="15"/>
        <v>10283.084999999999</v>
      </c>
      <c r="J72" s="2">
        <f t="shared" si="16"/>
        <v>9747</v>
      </c>
      <c r="K72" s="2">
        <f t="shared" si="17"/>
        <v>1462.05</v>
      </c>
      <c r="L72" s="2">
        <f t="shared" si="18"/>
        <v>1462.05</v>
      </c>
      <c r="M72" s="58">
        <f t="shared" si="19"/>
        <v>0</v>
      </c>
      <c r="N72" s="2">
        <f t="shared" si="20"/>
        <v>73.979730000000004</v>
      </c>
      <c r="O72" s="2">
        <f t="shared" si="21"/>
        <v>73.979730000000004</v>
      </c>
      <c r="P72" s="2">
        <f t="shared" si="22"/>
        <v>0</v>
      </c>
      <c r="Q72" s="58">
        <f t="shared" si="23"/>
        <v>536.08500000000004</v>
      </c>
      <c r="R72" s="58">
        <v>0</v>
      </c>
      <c r="S72" s="2">
        <f t="shared" si="24"/>
        <v>536.08500000000004</v>
      </c>
      <c r="T72" s="9">
        <f t="shared" si="25"/>
        <v>9747</v>
      </c>
      <c r="U72" s="29"/>
    </row>
    <row r="73" spans="1:21" ht="28.8" x14ac:dyDescent="0.25">
      <c r="A73" s="10">
        <f>+'Banka Lis.'!B72</f>
        <v>68</v>
      </c>
      <c r="B73" s="10" t="str">
        <f>+Puantaj!C73</f>
        <v>13939155444</v>
      </c>
      <c r="C73" s="3" t="str">
        <f>+Puantaj!D73</f>
        <v>EZGİNAZ</v>
      </c>
      <c r="D73" s="3" t="str">
        <f>+Puantaj!E73</f>
        <v>GÜNDEDE</v>
      </c>
      <c r="E73" s="3" t="str">
        <f>+'Banka Lis.'!H72</f>
        <v>Bursa UludağÜniversitesi Üniveristesi Genel Sekreterlik Özel Kalem</v>
      </c>
      <c r="F73" s="33">
        <f>+Puantaj!AK73</f>
        <v>11</v>
      </c>
      <c r="G73" s="31">
        <f t="shared" si="13"/>
        <v>11913</v>
      </c>
      <c r="H73" s="56">
        <f t="shared" si="14"/>
        <v>655.21500000000003</v>
      </c>
      <c r="I73" s="57">
        <f t="shared" si="15"/>
        <v>12568.215</v>
      </c>
      <c r="J73" s="2">
        <f t="shared" si="16"/>
        <v>11913</v>
      </c>
      <c r="K73" s="2">
        <f t="shared" si="17"/>
        <v>1786.95</v>
      </c>
      <c r="L73" s="2">
        <f t="shared" si="18"/>
        <v>1786.95</v>
      </c>
      <c r="M73" s="58">
        <f t="shared" si="19"/>
        <v>0</v>
      </c>
      <c r="N73" s="2">
        <f t="shared" si="20"/>
        <v>90.419670000000011</v>
      </c>
      <c r="O73" s="2">
        <f t="shared" si="21"/>
        <v>90.419670000000011</v>
      </c>
      <c r="P73" s="2">
        <f t="shared" si="22"/>
        <v>0</v>
      </c>
      <c r="Q73" s="58">
        <f t="shared" si="23"/>
        <v>655.21500000000003</v>
      </c>
      <c r="R73" s="58">
        <v>0</v>
      </c>
      <c r="S73" s="2">
        <f t="shared" si="24"/>
        <v>655.21500000000003</v>
      </c>
      <c r="T73" s="9">
        <f t="shared" si="25"/>
        <v>11913</v>
      </c>
      <c r="U73" s="29"/>
    </row>
    <row r="74" spans="1:21" ht="28.8" x14ac:dyDescent="0.25">
      <c r="A74" s="10">
        <f>+'Banka Lis.'!B73</f>
        <v>69</v>
      </c>
      <c r="B74" s="10" t="str">
        <f>+Puantaj!C74</f>
        <v>11635943068</v>
      </c>
      <c r="C74" s="3" t="str">
        <f>+Puantaj!D74</f>
        <v>FATMA YAREN</v>
      </c>
      <c r="D74" s="3" t="str">
        <f>+Puantaj!E74</f>
        <v>ERDOĞAN</v>
      </c>
      <c r="E74" s="3" t="str">
        <f>+'Banka Lis.'!H73</f>
        <v>Bursa UludağÜniversitesi Üniveristesi Genel Sekreterlik Özel Kalem</v>
      </c>
      <c r="F74" s="33">
        <f>+Puantaj!AK74</f>
        <v>14</v>
      </c>
      <c r="G74" s="31">
        <f t="shared" si="13"/>
        <v>15162</v>
      </c>
      <c r="H74" s="56">
        <f t="shared" si="14"/>
        <v>833.91</v>
      </c>
      <c r="I74" s="57">
        <f t="shared" si="15"/>
        <v>15995.91</v>
      </c>
      <c r="J74" s="2">
        <f t="shared" si="16"/>
        <v>15162</v>
      </c>
      <c r="K74" s="2">
        <f t="shared" si="17"/>
        <v>2274.2999999999997</v>
      </c>
      <c r="L74" s="2">
        <f t="shared" si="18"/>
        <v>2274.2999999999997</v>
      </c>
      <c r="M74" s="58">
        <f t="shared" si="19"/>
        <v>0</v>
      </c>
      <c r="N74" s="2">
        <f t="shared" si="20"/>
        <v>115.07958000000001</v>
      </c>
      <c r="O74" s="2">
        <f t="shared" si="21"/>
        <v>115.07958000000001</v>
      </c>
      <c r="P74" s="2">
        <f t="shared" si="22"/>
        <v>0</v>
      </c>
      <c r="Q74" s="58">
        <f t="shared" si="23"/>
        <v>833.91</v>
      </c>
      <c r="R74" s="58">
        <v>0</v>
      </c>
      <c r="S74" s="2">
        <f t="shared" si="24"/>
        <v>833.91</v>
      </c>
      <c r="T74" s="9">
        <f t="shared" si="25"/>
        <v>15162</v>
      </c>
      <c r="U74" s="29"/>
    </row>
    <row r="75" spans="1:21" ht="28.8" x14ac:dyDescent="0.25">
      <c r="A75" s="10">
        <f>+'Banka Lis.'!B74</f>
        <v>70</v>
      </c>
      <c r="B75" s="10" t="str">
        <f>+Puantaj!C75</f>
        <v>17333252242</v>
      </c>
      <c r="C75" s="3" t="str">
        <f>+Puantaj!D75</f>
        <v>FEYZA</v>
      </c>
      <c r="D75" s="3" t="str">
        <f>+Puantaj!E75</f>
        <v>KARACA</v>
      </c>
      <c r="E75" s="3" t="str">
        <f>+'Banka Lis.'!H74</f>
        <v>Bursa UludağÜniversitesi Üniveristesi Genel Sekreterlik Özel Kalem</v>
      </c>
      <c r="F75" s="33">
        <f>+Puantaj!AK75</f>
        <v>12</v>
      </c>
      <c r="G75" s="31">
        <f t="shared" si="13"/>
        <v>12996</v>
      </c>
      <c r="H75" s="56">
        <f t="shared" si="14"/>
        <v>714.78</v>
      </c>
      <c r="I75" s="57">
        <f t="shared" si="15"/>
        <v>13710.78</v>
      </c>
      <c r="J75" s="2">
        <f t="shared" si="16"/>
        <v>12996</v>
      </c>
      <c r="K75" s="2">
        <f t="shared" si="17"/>
        <v>1949.3999999999999</v>
      </c>
      <c r="L75" s="2">
        <f t="shared" si="18"/>
        <v>1949.3999999999999</v>
      </c>
      <c r="M75" s="58">
        <f t="shared" si="19"/>
        <v>0</v>
      </c>
      <c r="N75" s="2">
        <f t="shared" si="20"/>
        <v>98.63964</v>
      </c>
      <c r="O75" s="2">
        <f t="shared" si="21"/>
        <v>98.63964</v>
      </c>
      <c r="P75" s="2">
        <f t="shared" si="22"/>
        <v>0</v>
      </c>
      <c r="Q75" s="58">
        <f t="shared" si="23"/>
        <v>714.78</v>
      </c>
      <c r="R75" s="58">
        <v>0</v>
      </c>
      <c r="S75" s="2">
        <f t="shared" si="24"/>
        <v>714.78</v>
      </c>
      <c r="T75" s="9">
        <f t="shared" si="25"/>
        <v>12996</v>
      </c>
      <c r="U75" s="29"/>
    </row>
    <row r="76" spans="1:21" ht="28.8" x14ac:dyDescent="0.25">
      <c r="A76" s="10">
        <f>+'Banka Lis.'!B75</f>
        <v>71</v>
      </c>
      <c r="B76" s="10" t="str">
        <f>+Puantaj!C76</f>
        <v>10861953766</v>
      </c>
      <c r="C76" s="3" t="str">
        <f>+Puantaj!D76</f>
        <v>FİLİZ</v>
      </c>
      <c r="D76" s="3" t="str">
        <f>+Puantaj!E76</f>
        <v>ÇİNİ</v>
      </c>
      <c r="E76" s="3" t="str">
        <f>+'Banka Lis.'!H75</f>
        <v>Bursa UludağÜniversitesi Üniveristesi Genel Sekreterlik Özel Kalem</v>
      </c>
      <c r="F76" s="33">
        <f>+Puantaj!AK76</f>
        <v>14</v>
      </c>
      <c r="G76" s="31">
        <f t="shared" si="13"/>
        <v>15162</v>
      </c>
      <c r="H76" s="56">
        <f t="shared" si="14"/>
        <v>833.91</v>
      </c>
      <c r="I76" s="57">
        <f t="shared" si="15"/>
        <v>15995.91</v>
      </c>
      <c r="J76" s="2">
        <f t="shared" si="16"/>
        <v>15162</v>
      </c>
      <c r="K76" s="2">
        <f t="shared" si="17"/>
        <v>2274.2999999999997</v>
      </c>
      <c r="L76" s="2">
        <f t="shared" si="18"/>
        <v>2274.2999999999997</v>
      </c>
      <c r="M76" s="58">
        <f t="shared" si="19"/>
        <v>0</v>
      </c>
      <c r="N76" s="2">
        <f t="shared" si="20"/>
        <v>115.07958000000001</v>
      </c>
      <c r="O76" s="2">
        <f t="shared" si="21"/>
        <v>115.07958000000001</v>
      </c>
      <c r="P76" s="2">
        <f t="shared" si="22"/>
        <v>0</v>
      </c>
      <c r="Q76" s="58">
        <f t="shared" si="23"/>
        <v>833.91</v>
      </c>
      <c r="R76" s="58">
        <v>0</v>
      </c>
      <c r="S76" s="2">
        <f t="shared" si="24"/>
        <v>833.91</v>
      </c>
      <c r="T76" s="9">
        <f t="shared" si="25"/>
        <v>15162</v>
      </c>
      <c r="U76" s="29"/>
    </row>
    <row r="77" spans="1:21" ht="28.8" x14ac:dyDescent="0.25">
      <c r="A77" s="10">
        <f>+'Banka Lis.'!B76</f>
        <v>72</v>
      </c>
      <c r="B77" s="10" t="str">
        <f>+Puantaj!C77</f>
        <v>10385934418</v>
      </c>
      <c r="C77" s="3" t="str">
        <f>+Puantaj!D77</f>
        <v>FURKAN</v>
      </c>
      <c r="D77" s="3" t="str">
        <f>+Puantaj!E77</f>
        <v>AKAN</v>
      </c>
      <c r="E77" s="3" t="str">
        <f>+'Banka Lis.'!H76</f>
        <v>Bursa UludağÜniversitesi Üniveristesi Genel Sekreterlik Özel Kalem</v>
      </c>
      <c r="F77" s="33">
        <f>+Puantaj!AK77</f>
        <v>9</v>
      </c>
      <c r="G77" s="31">
        <f t="shared" si="13"/>
        <v>9747</v>
      </c>
      <c r="H77" s="56">
        <f t="shared" si="14"/>
        <v>536.08500000000004</v>
      </c>
      <c r="I77" s="57">
        <f t="shared" si="15"/>
        <v>10283.084999999999</v>
      </c>
      <c r="J77" s="2">
        <f t="shared" si="16"/>
        <v>9747</v>
      </c>
      <c r="K77" s="2">
        <f t="shared" si="17"/>
        <v>1462.05</v>
      </c>
      <c r="L77" s="2">
        <f t="shared" si="18"/>
        <v>1462.05</v>
      </c>
      <c r="M77" s="58">
        <f t="shared" si="19"/>
        <v>0</v>
      </c>
      <c r="N77" s="2">
        <f t="shared" si="20"/>
        <v>73.979730000000004</v>
      </c>
      <c r="O77" s="2">
        <f t="shared" si="21"/>
        <v>73.979730000000004</v>
      </c>
      <c r="P77" s="2">
        <f t="shared" si="22"/>
        <v>0</v>
      </c>
      <c r="Q77" s="58">
        <f t="shared" si="23"/>
        <v>536.08500000000004</v>
      </c>
      <c r="R77" s="58">
        <v>0</v>
      </c>
      <c r="S77" s="2">
        <f t="shared" si="24"/>
        <v>536.08500000000004</v>
      </c>
      <c r="T77" s="9">
        <f t="shared" si="25"/>
        <v>9747</v>
      </c>
      <c r="U77" s="29"/>
    </row>
    <row r="78" spans="1:21" ht="28.8" x14ac:dyDescent="0.25">
      <c r="A78" s="10">
        <f>+'Banka Lis.'!B77</f>
        <v>73</v>
      </c>
      <c r="B78" s="10" t="str">
        <f>+Puantaj!C78</f>
        <v>10291959826</v>
      </c>
      <c r="C78" s="3" t="str">
        <f>+Puantaj!D78</f>
        <v>FURKAN SELİM</v>
      </c>
      <c r="D78" s="3" t="str">
        <f>+Puantaj!E78</f>
        <v>DURAN</v>
      </c>
      <c r="E78" s="3" t="str">
        <f>+'Banka Lis.'!H77</f>
        <v>Bursa UludağÜniversitesi Üniveristesi Genel Sekreterlik Özel Kalem</v>
      </c>
      <c r="F78" s="33">
        <f>+Puantaj!AK78</f>
        <v>13</v>
      </c>
      <c r="G78" s="31">
        <f t="shared" si="13"/>
        <v>14079</v>
      </c>
      <c r="H78" s="56">
        <f t="shared" si="14"/>
        <v>774.34500000000003</v>
      </c>
      <c r="I78" s="57">
        <f t="shared" si="15"/>
        <v>14853.344999999999</v>
      </c>
      <c r="J78" s="2">
        <f t="shared" si="16"/>
        <v>14079</v>
      </c>
      <c r="K78" s="2">
        <f t="shared" si="17"/>
        <v>2111.85</v>
      </c>
      <c r="L78" s="2">
        <f t="shared" si="18"/>
        <v>2111.85</v>
      </c>
      <c r="M78" s="58">
        <f t="shared" si="19"/>
        <v>0</v>
      </c>
      <c r="N78" s="2">
        <f t="shared" si="20"/>
        <v>106.85961</v>
      </c>
      <c r="O78" s="2">
        <f t="shared" si="21"/>
        <v>106.85961</v>
      </c>
      <c r="P78" s="2">
        <f t="shared" si="22"/>
        <v>0</v>
      </c>
      <c r="Q78" s="58">
        <f t="shared" si="23"/>
        <v>774.34500000000003</v>
      </c>
      <c r="R78" s="58">
        <v>0</v>
      </c>
      <c r="S78" s="2">
        <f t="shared" si="24"/>
        <v>774.34500000000003</v>
      </c>
      <c r="T78" s="9">
        <f t="shared" si="25"/>
        <v>14079</v>
      </c>
      <c r="U78" s="29"/>
    </row>
    <row r="79" spans="1:21" ht="28.8" x14ac:dyDescent="0.25">
      <c r="A79" s="10">
        <f>+'Banka Lis.'!B78</f>
        <v>74</v>
      </c>
      <c r="B79" s="10" t="str">
        <f>+Puantaj!C79</f>
        <v>22394387604</v>
      </c>
      <c r="C79" s="3" t="str">
        <f>+Puantaj!D79</f>
        <v>GİZEM</v>
      </c>
      <c r="D79" s="3" t="str">
        <f>+Puantaj!E79</f>
        <v>MOLLA</v>
      </c>
      <c r="E79" s="3" t="str">
        <f>+'Banka Lis.'!H78</f>
        <v>Bursa UludağÜniversitesi Üniveristesi Genel Sekreterlik Özel Kalem</v>
      </c>
      <c r="F79" s="33">
        <f>+Puantaj!AK79</f>
        <v>12</v>
      </c>
      <c r="G79" s="31">
        <f t="shared" si="13"/>
        <v>12996</v>
      </c>
      <c r="H79" s="56">
        <f t="shared" si="14"/>
        <v>714.78</v>
      </c>
      <c r="I79" s="57">
        <f t="shared" si="15"/>
        <v>13710.78</v>
      </c>
      <c r="J79" s="2">
        <f t="shared" si="16"/>
        <v>12996</v>
      </c>
      <c r="K79" s="2">
        <f t="shared" si="17"/>
        <v>1949.3999999999999</v>
      </c>
      <c r="L79" s="2">
        <f t="shared" si="18"/>
        <v>1949.3999999999999</v>
      </c>
      <c r="M79" s="58">
        <f t="shared" si="19"/>
        <v>0</v>
      </c>
      <c r="N79" s="2">
        <f t="shared" si="20"/>
        <v>98.63964</v>
      </c>
      <c r="O79" s="2">
        <f t="shared" si="21"/>
        <v>98.63964</v>
      </c>
      <c r="P79" s="2">
        <f t="shared" si="22"/>
        <v>0</v>
      </c>
      <c r="Q79" s="58">
        <f t="shared" si="23"/>
        <v>714.78</v>
      </c>
      <c r="R79" s="58">
        <v>0</v>
      </c>
      <c r="S79" s="2">
        <f t="shared" si="24"/>
        <v>714.78</v>
      </c>
      <c r="T79" s="9">
        <f t="shared" si="25"/>
        <v>12996</v>
      </c>
      <c r="U79" s="29"/>
    </row>
    <row r="80" spans="1:21" ht="28.8" x14ac:dyDescent="0.25">
      <c r="A80" s="10">
        <f>+'Banka Lis.'!B79</f>
        <v>75</v>
      </c>
      <c r="B80" s="10" t="str">
        <f>+Puantaj!C80</f>
        <v>10439263020</v>
      </c>
      <c r="C80" s="3" t="str">
        <f>+Puantaj!D80</f>
        <v>GÖKAY</v>
      </c>
      <c r="D80" s="3" t="str">
        <f>+Puantaj!E80</f>
        <v>ÖZEL</v>
      </c>
      <c r="E80" s="3" t="str">
        <f>+'Banka Lis.'!H79</f>
        <v>Bursa UludağÜniversitesi Üniveristesi Genel Sekreterlik Özel Kalem</v>
      </c>
      <c r="F80" s="33">
        <f>+Puantaj!AK80</f>
        <v>13</v>
      </c>
      <c r="G80" s="31">
        <f t="shared" si="13"/>
        <v>14079</v>
      </c>
      <c r="H80" s="56">
        <f t="shared" si="14"/>
        <v>774.34500000000003</v>
      </c>
      <c r="I80" s="57">
        <f t="shared" si="15"/>
        <v>14853.344999999999</v>
      </c>
      <c r="J80" s="2">
        <f t="shared" si="16"/>
        <v>14079</v>
      </c>
      <c r="K80" s="2">
        <f t="shared" si="17"/>
        <v>2111.85</v>
      </c>
      <c r="L80" s="2">
        <f t="shared" si="18"/>
        <v>2111.85</v>
      </c>
      <c r="M80" s="58">
        <f t="shared" si="19"/>
        <v>0</v>
      </c>
      <c r="N80" s="2">
        <f t="shared" si="20"/>
        <v>106.85961</v>
      </c>
      <c r="O80" s="2">
        <f t="shared" si="21"/>
        <v>106.85961</v>
      </c>
      <c r="P80" s="2">
        <f t="shared" si="22"/>
        <v>0</v>
      </c>
      <c r="Q80" s="58">
        <f t="shared" si="23"/>
        <v>774.34500000000003</v>
      </c>
      <c r="R80" s="58">
        <v>0</v>
      </c>
      <c r="S80" s="2">
        <f t="shared" si="24"/>
        <v>774.34500000000003</v>
      </c>
      <c r="T80" s="9">
        <f t="shared" si="25"/>
        <v>14079</v>
      </c>
      <c r="U80" s="29"/>
    </row>
    <row r="81" spans="1:21" ht="28.8" x14ac:dyDescent="0.25">
      <c r="A81" s="10">
        <f>+'Banka Lis.'!B80</f>
        <v>76</v>
      </c>
      <c r="B81" s="10" t="str">
        <f>+Puantaj!C81</f>
        <v>10735312002</v>
      </c>
      <c r="C81" s="3" t="str">
        <f>+Puantaj!D81</f>
        <v>GÖRKEM</v>
      </c>
      <c r="D81" s="3" t="str">
        <f>+Puantaj!E81</f>
        <v>KOÇ</v>
      </c>
      <c r="E81" s="3" t="str">
        <f>+'Banka Lis.'!H80</f>
        <v>Bursa UludağÜniversitesi Üniveristesi Genel Sekreterlik Özel Kalem</v>
      </c>
      <c r="F81" s="33">
        <f>+Puantaj!AK81</f>
        <v>4</v>
      </c>
      <c r="G81" s="31">
        <f t="shared" si="13"/>
        <v>4332</v>
      </c>
      <c r="H81" s="56">
        <f t="shared" si="14"/>
        <v>238.26</v>
      </c>
      <c r="I81" s="57">
        <f t="shared" si="15"/>
        <v>4570.26</v>
      </c>
      <c r="J81" s="2">
        <f t="shared" si="16"/>
        <v>4332</v>
      </c>
      <c r="K81" s="2">
        <f t="shared" si="17"/>
        <v>649.79999999999995</v>
      </c>
      <c r="L81" s="2">
        <f t="shared" si="18"/>
        <v>649.79999999999995</v>
      </c>
      <c r="M81" s="58">
        <f t="shared" si="19"/>
        <v>0</v>
      </c>
      <c r="N81" s="2">
        <f t="shared" si="20"/>
        <v>32.87988</v>
      </c>
      <c r="O81" s="2">
        <f t="shared" si="21"/>
        <v>32.87988</v>
      </c>
      <c r="P81" s="2">
        <f t="shared" si="22"/>
        <v>0</v>
      </c>
      <c r="Q81" s="58">
        <f t="shared" si="23"/>
        <v>238.26</v>
      </c>
      <c r="R81" s="58">
        <v>0</v>
      </c>
      <c r="S81" s="2">
        <f t="shared" si="24"/>
        <v>238.26</v>
      </c>
      <c r="T81" s="9">
        <f t="shared" si="25"/>
        <v>4332</v>
      </c>
      <c r="U81" s="29"/>
    </row>
    <row r="82" spans="1:21" ht="28.8" x14ac:dyDescent="0.25">
      <c r="A82" s="10">
        <f>+'Banka Lis.'!B81</f>
        <v>77</v>
      </c>
      <c r="B82" s="10" t="str">
        <f>+Puantaj!C82</f>
        <v>19358635796</v>
      </c>
      <c r="C82" s="3" t="str">
        <f>+Puantaj!D82</f>
        <v>GÜLSEHER</v>
      </c>
      <c r="D82" s="3" t="str">
        <f>+Puantaj!E82</f>
        <v>TAŞĞIN</v>
      </c>
      <c r="E82" s="3" t="str">
        <f>+'Banka Lis.'!H81</f>
        <v>Bursa UludağÜniversitesi Üniveristesi Genel Sekreterlik Özel Kalem</v>
      </c>
      <c r="F82" s="33">
        <f>+Puantaj!AK82</f>
        <v>13</v>
      </c>
      <c r="G82" s="31">
        <f t="shared" si="13"/>
        <v>14079</v>
      </c>
      <c r="H82" s="56">
        <f t="shared" si="14"/>
        <v>774.34500000000003</v>
      </c>
      <c r="I82" s="57">
        <f t="shared" si="15"/>
        <v>14853.344999999999</v>
      </c>
      <c r="J82" s="2">
        <f t="shared" si="16"/>
        <v>14079</v>
      </c>
      <c r="K82" s="2">
        <f t="shared" si="17"/>
        <v>2111.85</v>
      </c>
      <c r="L82" s="2">
        <f t="shared" si="18"/>
        <v>2111.85</v>
      </c>
      <c r="M82" s="58">
        <f t="shared" si="19"/>
        <v>0</v>
      </c>
      <c r="N82" s="2">
        <f t="shared" si="20"/>
        <v>106.85961</v>
      </c>
      <c r="O82" s="2">
        <f t="shared" si="21"/>
        <v>106.85961</v>
      </c>
      <c r="P82" s="2">
        <f t="shared" si="22"/>
        <v>0</v>
      </c>
      <c r="Q82" s="58">
        <f t="shared" si="23"/>
        <v>774.34500000000003</v>
      </c>
      <c r="R82" s="58">
        <v>0</v>
      </c>
      <c r="S82" s="2">
        <f t="shared" si="24"/>
        <v>774.34500000000003</v>
      </c>
      <c r="T82" s="9">
        <f t="shared" si="25"/>
        <v>14079</v>
      </c>
      <c r="U82" s="29"/>
    </row>
    <row r="83" spans="1:21" ht="28.8" x14ac:dyDescent="0.25">
      <c r="A83" s="10">
        <f>+'Banka Lis.'!B82</f>
        <v>78</v>
      </c>
      <c r="B83" s="10" t="str">
        <f>+Puantaj!C83</f>
        <v>15041423268</v>
      </c>
      <c r="C83" s="3" t="str">
        <f>+Puantaj!D83</f>
        <v>GÜLSÜM</v>
      </c>
      <c r="D83" s="3" t="str">
        <f>+Puantaj!E83</f>
        <v>ÖZKAN</v>
      </c>
      <c r="E83" s="3" t="str">
        <f>+'Banka Lis.'!H82</f>
        <v>Bursa UludağÜniversitesi Üniveristesi Genel Sekreterlik Özel Kalem</v>
      </c>
      <c r="F83" s="33">
        <f>+Puantaj!AK83</f>
        <v>10</v>
      </c>
      <c r="G83" s="31">
        <f t="shared" si="13"/>
        <v>10830</v>
      </c>
      <c r="H83" s="56">
        <f t="shared" si="14"/>
        <v>595.65</v>
      </c>
      <c r="I83" s="57">
        <f t="shared" si="15"/>
        <v>11425.65</v>
      </c>
      <c r="J83" s="2">
        <f t="shared" si="16"/>
        <v>10830</v>
      </c>
      <c r="K83" s="2">
        <f t="shared" si="17"/>
        <v>1624.5</v>
      </c>
      <c r="L83" s="2">
        <f t="shared" si="18"/>
        <v>1624.5</v>
      </c>
      <c r="M83" s="58">
        <f t="shared" si="19"/>
        <v>0</v>
      </c>
      <c r="N83" s="2">
        <f t="shared" si="20"/>
        <v>82.199700000000007</v>
      </c>
      <c r="O83" s="2">
        <f t="shared" si="21"/>
        <v>82.199700000000007</v>
      </c>
      <c r="P83" s="2">
        <f t="shared" si="22"/>
        <v>0</v>
      </c>
      <c r="Q83" s="58">
        <f t="shared" si="23"/>
        <v>595.65</v>
      </c>
      <c r="R83" s="58">
        <v>0</v>
      </c>
      <c r="S83" s="2">
        <f t="shared" si="24"/>
        <v>595.65</v>
      </c>
      <c r="T83" s="9">
        <f t="shared" si="25"/>
        <v>10830</v>
      </c>
      <c r="U83" s="29"/>
    </row>
    <row r="84" spans="1:21" ht="28.8" x14ac:dyDescent="0.25">
      <c r="A84" s="10">
        <f>+'Banka Lis.'!B83</f>
        <v>79</v>
      </c>
      <c r="B84" s="10" t="str">
        <f>+Puantaj!C84</f>
        <v>17603851854</v>
      </c>
      <c r="C84" s="3" t="str">
        <f>+Puantaj!D84</f>
        <v>GÜLTEN</v>
      </c>
      <c r="D84" s="3" t="str">
        <f>+Puantaj!E84</f>
        <v>EZDAŞ</v>
      </c>
      <c r="E84" s="3" t="str">
        <f>+'Banka Lis.'!H83</f>
        <v>Bursa UludağÜniversitesi Üniveristesi Genel Sekreterlik Özel Kalem</v>
      </c>
      <c r="F84" s="33">
        <f>+Puantaj!AK84</f>
        <v>12</v>
      </c>
      <c r="G84" s="31">
        <f t="shared" si="13"/>
        <v>12996</v>
      </c>
      <c r="H84" s="56">
        <f t="shared" si="14"/>
        <v>714.78</v>
      </c>
      <c r="I84" s="57">
        <f t="shared" si="15"/>
        <v>13710.78</v>
      </c>
      <c r="J84" s="2">
        <f t="shared" si="16"/>
        <v>12996</v>
      </c>
      <c r="K84" s="2">
        <f t="shared" si="17"/>
        <v>1949.3999999999999</v>
      </c>
      <c r="L84" s="2">
        <f t="shared" si="18"/>
        <v>1949.3999999999999</v>
      </c>
      <c r="M84" s="58">
        <f t="shared" si="19"/>
        <v>0</v>
      </c>
      <c r="N84" s="2">
        <f t="shared" si="20"/>
        <v>98.63964</v>
      </c>
      <c r="O84" s="2">
        <f t="shared" si="21"/>
        <v>98.63964</v>
      </c>
      <c r="P84" s="2">
        <f t="shared" si="22"/>
        <v>0</v>
      </c>
      <c r="Q84" s="58">
        <f t="shared" si="23"/>
        <v>714.78</v>
      </c>
      <c r="R84" s="58">
        <v>0</v>
      </c>
      <c r="S84" s="2">
        <f t="shared" si="24"/>
        <v>714.78</v>
      </c>
      <c r="T84" s="9">
        <f t="shared" si="25"/>
        <v>12996</v>
      </c>
      <c r="U84" s="29"/>
    </row>
    <row r="85" spans="1:21" ht="28.8" x14ac:dyDescent="0.25">
      <c r="A85" s="10">
        <f>+'Banka Lis.'!B84</f>
        <v>80</v>
      </c>
      <c r="B85" s="10" t="str">
        <f>+Puantaj!C85</f>
        <v>10462601820</v>
      </c>
      <c r="C85" s="3" t="str">
        <f>+Puantaj!D85</f>
        <v>GÜZEL</v>
      </c>
      <c r="D85" s="3" t="str">
        <f>+Puantaj!E85</f>
        <v>ÖZDEMİR</v>
      </c>
      <c r="E85" s="3" t="str">
        <f>+'Banka Lis.'!H84</f>
        <v>Bursa UludağÜniversitesi Üniveristesi Genel Sekreterlik Özel Kalem</v>
      </c>
      <c r="F85" s="33">
        <f>+Puantaj!AK85</f>
        <v>15</v>
      </c>
      <c r="G85" s="31">
        <f t="shared" si="13"/>
        <v>16245</v>
      </c>
      <c r="H85" s="56">
        <f t="shared" si="14"/>
        <v>893.47500000000002</v>
      </c>
      <c r="I85" s="57">
        <f t="shared" si="15"/>
        <v>17138.474999999999</v>
      </c>
      <c r="J85" s="2">
        <f t="shared" si="16"/>
        <v>16245</v>
      </c>
      <c r="K85" s="2">
        <f t="shared" si="17"/>
        <v>2436.75</v>
      </c>
      <c r="L85" s="2">
        <f t="shared" si="18"/>
        <v>2436.75</v>
      </c>
      <c r="M85" s="58">
        <f t="shared" si="19"/>
        <v>0</v>
      </c>
      <c r="N85" s="2">
        <f t="shared" si="20"/>
        <v>123.29955000000001</v>
      </c>
      <c r="O85" s="2">
        <f t="shared" si="21"/>
        <v>123.29955000000001</v>
      </c>
      <c r="P85" s="2">
        <f t="shared" si="22"/>
        <v>0</v>
      </c>
      <c r="Q85" s="58">
        <f t="shared" si="23"/>
        <v>893.47500000000002</v>
      </c>
      <c r="R85" s="58">
        <v>0</v>
      </c>
      <c r="S85" s="2">
        <f t="shared" si="24"/>
        <v>893.47500000000002</v>
      </c>
      <c r="T85" s="9">
        <f t="shared" si="25"/>
        <v>16244.999999999998</v>
      </c>
      <c r="U85" s="29"/>
    </row>
    <row r="86" spans="1:21" ht="28.8" x14ac:dyDescent="0.25">
      <c r="A86" s="10">
        <f>+'Banka Lis.'!B85</f>
        <v>81</v>
      </c>
      <c r="B86" s="10" t="str">
        <f>+Puantaj!C86</f>
        <v>10200136744</v>
      </c>
      <c r="C86" s="3" t="str">
        <f>+Puantaj!D86</f>
        <v>HAMZA</v>
      </c>
      <c r="D86" s="3" t="str">
        <f>+Puantaj!E86</f>
        <v>FİDAN</v>
      </c>
      <c r="E86" s="3" t="str">
        <f>+'Banka Lis.'!H85</f>
        <v>Bursa UludağÜniversitesi Üniveristesi Genel Sekreterlik Özel Kalem</v>
      </c>
      <c r="F86" s="33">
        <f>+Puantaj!AK86</f>
        <v>12</v>
      </c>
      <c r="G86" s="31">
        <f t="shared" si="13"/>
        <v>12996</v>
      </c>
      <c r="H86" s="56">
        <f t="shared" si="14"/>
        <v>714.78</v>
      </c>
      <c r="I86" s="57">
        <f t="shared" si="15"/>
        <v>13710.78</v>
      </c>
      <c r="J86" s="2">
        <f t="shared" si="16"/>
        <v>12996</v>
      </c>
      <c r="K86" s="2">
        <f t="shared" si="17"/>
        <v>1949.3999999999999</v>
      </c>
      <c r="L86" s="2">
        <f t="shared" si="18"/>
        <v>1949.3999999999999</v>
      </c>
      <c r="M86" s="58">
        <f t="shared" si="19"/>
        <v>0</v>
      </c>
      <c r="N86" s="2">
        <f t="shared" si="20"/>
        <v>98.63964</v>
      </c>
      <c r="O86" s="2">
        <f t="shared" si="21"/>
        <v>98.63964</v>
      </c>
      <c r="P86" s="2">
        <f t="shared" si="22"/>
        <v>0</v>
      </c>
      <c r="Q86" s="58">
        <f t="shared" si="23"/>
        <v>714.78</v>
      </c>
      <c r="R86" s="58">
        <v>0</v>
      </c>
      <c r="S86" s="2">
        <f t="shared" si="24"/>
        <v>714.78</v>
      </c>
      <c r="T86" s="9">
        <f t="shared" si="25"/>
        <v>12996</v>
      </c>
      <c r="U86" s="29"/>
    </row>
    <row r="87" spans="1:21" ht="28.8" x14ac:dyDescent="0.25">
      <c r="A87" s="10">
        <f>+'Banka Lis.'!B86</f>
        <v>82</v>
      </c>
      <c r="B87" s="10" t="str">
        <f>+Puantaj!C87</f>
        <v>10997539452</v>
      </c>
      <c r="C87" s="3" t="str">
        <f>+Puantaj!D87</f>
        <v>HASAN</v>
      </c>
      <c r="D87" s="3" t="str">
        <f>+Puantaj!E87</f>
        <v>KÖKSAL</v>
      </c>
      <c r="E87" s="3" t="str">
        <f>+'Banka Lis.'!H86</f>
        <v>Bursa UludağÜniversitesi Üniveristesi Genel Sekreterlik Özel Kalem</v>
      </c>
      <c r="F87" s="33">
        <f>+Puantaj!AK87</f>
        <v>13</v>
      </c>
      <c r="G87" s="31">
        <f t="shared" si="13"/>
        <v>14079</v>
      </c>
      <c r="H87" s="56">
        <f t="shared" si="14"/>
        <v>774.34500000000003</v>
      </c>
      <c r="I87" s="57">
        <f t="shared" si="15"/>
        <v>14853.344999999999</v>
      </c>
      <c r="J87" s="2">
        <f t="shared" si="16"/>
        <v>14079</v>
      </c>
      <c r="K87" s="2">
        <f t="shared" si="17"/>
        <v>2111.85</v>
      </c>
      <c r="L87" s="2">
        <f t="shared" si="18"/>
        <v>2111.85</v>
      </c>
      <c r="M87" s="58">
        <f t="shared" si="19"/>
        <v>0</v>
      </c>
      <c r="N87" s="2">
        <f t="shared" si="20"/>
        <v>106.85961</v>
      </c>
      <c r="O87" s="2">
        <f t="shared" si="21"/>
        <v>106.85961</v>
      </c>
      <c r="P87" s="2">
        <f t="shared" si="22"/>
        <v>0</v>
      </c>
      <c r="Q87" s="58">
        <f t="shared" si="23"/>
        <v>774.34500000000003</v>
      </c>
      <c r="R87" s="58">
        <v>0</v>
      </c>
      <c r="S87" s="2">
        <f t="shared" si="24"/>
        <v>774.34500000000003</v>
      </c>
      <c r="T87" s="9">
        <f t="shared" si="25"/>
        <v>14079</v>
      </c>
      <c r="U87" s="29"/>
    </row>
    <row r="88" spans="1:21" ht="28.8" x14ac:dyDescent="0.25">
      <c r="A88" s="10">
        <f>+'Banka Lis.'!B87</f>
        <v>83</v>
      </c>
      <c r="B88" s="10" t="str">
        <f>+Puantaj!C88</f>
        <v>10538293270</v>
      </c>
      <c r="C88" s="3" t="str">
        <f>+Puantaj!D88</f>
        <v>HATİCE MELİSA</v>
      </c>
      <c r="D88" s="3" t="str">
        <f>+Puantaj!E88</f>
        <v>YÜKSEK</v>
      </c>
      <c r="E88" s="3" t="str">
        <f>+'Banka Lis.'!H87</f>
        <v>Bursa UludağÜniversitesi Üniveristesi Genel Sekreterlik Özel Kalem</v>
      </c>
      <c r="F88" s="33">
        <f>+Puantaj!AK88</f>
        <v>12</v>
      </c>
      <c r="G88" s="31">
        <f t="shared" si="13"/>
        <v>12996</v>
      </c>
      <c r="H88" s="56">
        <f t="shared" si="14"/>
        <v>714.78</v>
      </c>
      <c r="I88" s="57">
        <f t="shared" si="15"/>
        <v>13710.78</v>
      </c>
      <c r="J88" s="2">
        <f t="shared" si="16"/>
        <v>12996</v>
      </c>
      <c r="K88" s="2">
        <f t="shared" si="17"/>
        <v>1949.3999999999999</v>
      </c>
      <c r="L88" s="2">
        <f t="shared" si="18"/>
        <v>1949.3999999999999</v>
      </c>
      <c r="M88" s="58">
        <f t="shared" si="19"/>
        <v>0</v>
      </c>
      <c r="N88" s="2">
        <f t="shared" si="20"/>
        <v>98.63964</v>
      </c>
      <c r="O88" s="2">
        <f t="shared" si="21"/>
        <v>98.63964</v>
      </c>
      <c r="P88" s="2">
        <f t="shared" si="22"/>
        <v>0</v>
      </c>
      <c r="Q88" s="58">
        <f t="shared" si="23"/>
        <v>714.78</v>
      </c>
      <c r="R88" s="58">
        <v>0</v>
      </c>
      <c r="S88" s="2">
        <f t="shared" si="24"/>
        <v>714.78</v>
      </c>
      <c r="T88" s="9">
        <f t="shared" si="25"/>
        <v>12996</v>
      </c>
      <c r="U88" s="29"/>
    </row>
    <row r="89" spans="1:21" ht="28.8" x14ac:dyDescent="0.25">
      <c r="A89" s="10">
        <f>+'Banka Lis.'!B88</f>
        <v>84</v>
      </c>
      <c r="B89" s="10" t="str">
        <f>+Puantaj!C89</f>
        <v>32380614546</v>
      </c>
      <c r="C89" s="3" t="str">
        <f>+Puantaj!D89</f>
        <v>HATİCE</v>
      </c>
      <c r="D89" s="3" t="str">
        <f>+Puantaj!E89</f>
        <v>SARI</v>
      </c>
      <c r="E89" s="3" t="str">
        <f>+'Banka Lis.'!H88</f>
        <v>Bursa UludağÜniversitesi Üniveristesi Genel Sekreterlik Özel Kalem</v>
      </c>
      <c r="F89" s="33">
        <f>+Puantaj!AK89</f>
        <v>12</v>
      </c>
      <c r="G89" s="31">
        <f t="shared" si="13"/>
        <v>12996</v>
      </c>
      <c r="H89" s="56">
        <f t="shared" si="14"/>
        <v>714.78</v>
      </c>
      <c r="I89" s="57">
        <f t="shared" si="15"/>
        <v>13710.78</v>
      </c>
      <c r="J89" s="2">
        <f t="shared" si="16"/>
        <v>12996</v>
      </c>
      <c r="K89" s="2">
        <f t="shared" si="17"/>
        <v>1949.3999999999999</v>
      </c>
      <c r="L89" s="2">
        <f t="shared" si="18"/>
        <v>1949.3999999999999</v>
      </c>
      <c r="M89" s="58">
        <f t="shared" si="19"/>
        <v>0</v>
      </c>
      <c r="N89" s="2">
        <f t="shared" si="20"/>
        <v>98.63964</v>
      </c>
      <c r="O89" s="2">
        <f t="shared" si="21"/>
        <v>98.63964</v>
      </c>
      <c r="P89" s="2">
        <f t="shared" si="22"/>
        <v>0</v>
      </c>
      <c r="Q89" s="58">
        <f t="shared" si="23"/>
        <v>714.78</v>
      </c>
      <c r="R89" s="58">
        <v>0</v>
      </c>
      <c r="S89" s="2">
        <f t="shared" si="24"/>
        <v>714.78</v>
      </c>
      <c r="T89" s="9">
        <f t="shared" si="25"/>
        <v>12996</v>
      </c>
      <c r="U89" s="29"/>
    </row>
    <row r="90" spans="1:21" ht="28.8" x14ac:dyDescent="0.25">
      <c r="A90" s="10">
        <f>+'Banka Lis.'!B89</f>
        <v>85</v>
      </c>
      <c r="B90" s="10" t="str">
        <f>+Puantaj!C90</f>
        <v>22130159632</v>
      </c>
      <c r="C90" s="3" t="str">
        <f>+Puantaj!D90</f>
        <v>HAZAL</v>
      </c>
      <c r="D90" s="3" t="str">
        <f>+Puantaj!E90</f>
        <v>TAŞDEMİR</v>
      </c>
      <c r="E90" s="3" t="str">
        <f>+'Banka Lis.'!H89</f>
        <v>Bursa UludağÜniversitesi Üniveristesi Genel Sekreterlik Özel Kalem</v>
      </c>
      <c r="F90" s="33">
        <f>+Puantaj!AK90</f>
        <v>12</v>
      </c>
      <c r="G90" s="31">
        <f t="shared" si="13"/>
        <v>12996</v>
      </c>
      <c r="H90" s="56">
        <f t="shared" si="14"/>
        <v>714.78</v>
      </c>
      <c r="I90" s="57">
        <f t="shared" si="15"/>
        <v>13710.78</v>
      </c>
      <c r="J90" s="2">
        <f t="shared" si="16"/>
        <v>12996</v>
      </c>
      <c r="K90" s="2">
        <f t="shared" si="17"/>
        <v>1949.3999999999999</v>
      </c>
      <c r="L90" s="2">
        <f t="shared" si="18"/>
        <v>1949.3999999999999</v>
      </c>
      <c r="M90" s="58">
        <f t="shared" si="19"/>
        <v>0</v>
      </c>
      <c r="N90" s="2">
        <f t="shared" si="20"/>
        <v>98.63964</v>
      </c>
      <c r="O90" s="2">
        <f t="shared" si="21"/>
        <v>98.63964</v>
      </c>
      <c r="P90" s="2">
        <f t="shared" si="22"/>
        <v>0</v>
      </c>
      <c r="Q90" s="58">
        <f t="shared" si="23"/>
        <v>714.78</v>
      </c>
      <c r="R90" s="58">
        <v>0</v>
      </c>
      <c r="S90" s="2">
        <f t="shared" si="24"/>
        <v>714.78</v>
      </c>
      <c r="T90" s="9">
        <f t="shared" si="25"/>
        <v>12996</v>
      </c>
      <c r="U90" s="29"/>
    </row>
    <row r="91" spans="1:21" ht="28.8" x14ac:dyDescent="0.25">
      <c r="A91" s="10">
        <f>+'Banka Lis.'!B90</f>
        <v>86</v>
      </c>
      <c r="B91" s="10" t="str">
        <f>+Puantaj!C91</f>
        <v>10087841144</v>
      </c>
      <c r="C91" s="3" t="str">
        <f>+Puantaj!D91</f>
        <v>HAZAL</v>
      </c>
      <c r="D91" s="3" t="str">
        <f>+Puantaj!E91</f>
        <v>ULUDOĞAN</v>
      </c>
      <c r="E91" s="3" t="str">
        <f>+'Banka Lis.'!H90</f>
        <v>Bursa UludağÜniversitesi Üniveristesi Genel Sekreterlik Özel Kalem</v>
      </c>
      <c r="F91" s="33">
        <f>+Puantaj!AK91</f>
        <v>8</v>
      </c>
      <c r="G91" s="31">
        <f t="shared" si="13"/>
        <v>8664</v>
      </c>
      <c r="H91" s="56">
        <f t="shared" si="14"/>
        <v>476.52</v>
      </c>
      <c r="I91" s="57">
        <f t="shared" si="15"/>
        <v>9140.52</v>
      </c>
      <c r="J91" s="2">
        <f t="shared" si="16"/>
        <v>8664</v>
      </c>
      <c r="K91" s="2">
        <f t="shared" si="17"/>
        <v>1299.5999999999999</v>
      </c>
      <c r="L91" s="2">
        <f t="shared" si="18"/>
        <v>1299.5999999999999</v>
      </c>
      <c r="M91" s="58">
        <f t="shared" si="19"/>
        <v>0</v>
      </c>
      <c r="N91" s="2">
        <f t="shared" si="20"/>
        <v>65.75976</v>
      </c>
      <c r="O91" s="2">
        <f t="shared" si="21"/>
        <v>65.75976</v>
      </c>
      <c r="P91" s="2">
        <f t="shared" si="22"/>
        <v>0</v>
      </c>
      <c r="Q91" s="58">
        <f t="shared" si="23"/>
        <v>476.52</v>
      </c>
      <c r="R91" s="58">
        <v>0</v>
      </c>
      <c r="S91" s="2">
        <f t="shared" si="24"/>
        <v>476.52</v>
      </c>
      <c r="T91" s="9">
        <f t="shared" si="25"/>
        <v>8664</v>
      </c>
      <c r="U91" s="29"/>
    </row>
    <row r="92" spans="1:21" ht="28.8" x14ac:dyDescent="0.25">
      <c r="A92" s="10">
        <f>+'Banka Lis.'!B91</f>
        <v>87</v>
      </c>
      <c r="B92" s="10" t="str">
        <f>+Puantaj!C92</f>
        <v>19592207926</v>
      </c>
      <c r="C92" s="3" t="str">
        <f>+Puantaj!D92</f>
        <v>HELİN</v>
      </c>
      <c r="D92" s="3" t="str">
        <f>+Puantaj!E92</f>
        <v>ARSLAN</v>
      </c>
      <c r="E92" s="3" t="str">
        <f>+'Banka Lis.'!H91</f>
        <v>Bursa UludağÜniversitesi Üniveristesi Genel Sekreterlik Özel Kalem</v>
      </c>
      <c r="F92" s="33">
        <f>+Puantaj!AK92</f>
        <v>12</v>
      </c>
      <c r="G92" s="31">
        <f t="shared" si="13"/>
        <v>12996</v>
      </c>
      <c r="H92" s="56">
        <f t="shared" si="14"/>
        <v>714.78</v>
      </c>
      <c r="I92" s="57">
        <f t="shared" si="15"/>
        <v>13710.78</v>
      </c>
      <c r="J92" s="2">
        <f t="shared" si="16"/>
        <v>12996</v>
      </c>
      <c r="K92" s="2">
        <f t="shared" si="17"/>
        <v>1949.3999999999999</v>
      </c>
      <c r="L92" s="2">
        <f t="shared" si="18"/>
        <v>1949.3999999999999</v>
      </c>
      <c r="M92" s="58">
        <f t="shared" si="19"/>
        <v>0</v>
      </c>
      <c r="N92" s="2">
        <f t="shared" si="20"/>
        <v>98.63964</v>
      </c>
      <c r="O92" s="2">
        <f t="shared" si="21"/>
        <v>98.63964</v>
      </c>
      <c r="P92" s="2">
        <f t="shared" si="22"/>
        <v>0</v>
      </c>
      <c r="Q92" s="58">
        <f t="shared" si="23"/>
        <v>714.78</v>
      </c>
      <c r="R92" s="58">
        <v>0</v>
      </c>
      <c r="S92" s="2">
        <f t="shared" si="24"/>
        <v>714.78</v>
      </c>
      <c r="T92" s="9">
        <f t="shared" si="25"/>
        <v>12996</v>
      </c>
      <c r="U92" s="29"/>
    </row>
    <row r="93" spans="1:21" ht="28.8" x14ac:dyDescent="0.25">
      <c r="A93" s="10">
        <f>+'Banka Lis.'!B92</f>
        <v>88</v>
      </c>
      <c r="B93" s="10" t="str">
        <f>+Puantaj!C93</f>
        <v>12742219862</v>
      </c>
      <c r="C93" s="3" t="str">
        <f>+Puantaj!D93</f>
        <v>HİLAL</v>
      </c>
      <c r="D93" s="3" t="str">
        <f>+Puantaj!E93</f>
        <v>AYDIN</v>
      </c>
      <c r="E93" s="3" t="str">
        <f>+'Banka Lis.'!H92</f>
        <v>Bursa UludağÜniversitesi Üniveristesi Genel Sekreterlik Özel Kalem</v>
      </c>
      <c r="F93" s="33">
        <f>+Puantaj!AK93</f>
        <v>15</v>
      </c>
      <c r="G93" s="31">
        <f t="shared" si="13"/>
        <v>16245</v>
      </c>
      <c r="H93" s="56">
        <f t="shared" si="14"/>
        <v>893.47500000000002</v>
      </c>
      <c r="I93" s="57">
        <f t="shared" si="15"/>
        <v>17138.474999999999</v>
      </c>
      <c r="J93" s="2">
        <f t="shared" si="16"/>
        <v>16245</v>
      </c>
      <c r="K93" s="2">
        <f t="shared" si="17"/>
        <v>2436.75</v>
      </c>
      <c r="L93" s="2">
        <f t="shared" si="18"/>
        <v>2436.75</v>
      </c>
      <c r="M93" s="58">
        <f t="shared" si="19"/>
        <v>0</v>
      </c>
      <c r="N93" s="2">
        <f t="shared" si="20"/>
        <v>123.29955000000001</v>
      </c>
      <c r="O93" s="2">
        <f t="shared" si="21"/>
        <v>123.29955000000001</v>
      </c>
      <c r="P93" s="2">
        <f t="shared" si="22"/>
        <v>0</v>
      </c>
      <c r="Q93" s="58">
        <f t="shared" si="23"/>
        <v>893.47500000000002</v>
      </c>
      <c r="R93" s="58">
        <v>0</v>
      </c>
      <c r="S93" s="2">
        <f t="shared" si="24"/>
        <v>893.47500000000002</v>
      </c>
      <c r="T93" s="9">
        <f t="shared" si="25"/>
        <v>16244.999999999998</v>
      </c>
      <c r="U93" s="29"/>
    </row>
    <row r="94" spans="1:21" ht="28.8" x14ac:dyDescent="0.25">
      <c r="A94" s="10">
        <f>+'Banka Lis.'!B93</f>
        <v>89</v>
      </c>
      <c r="B94" s="10" t="str">
        <f>+Puantaj!C94</f>
        <v>16492488158</v>
      </c>
      <c r="C94" s="3" t="str">
        <f>+Puantaj!D94</f>
        <v>HİLAL BEHİYE</v>
      </c>
      <c r="D94" s="3" t="str">
        <f>+Puantaj!E94</f>
        <v>YILMAZ</v>
      </c>
      <c r="E94" s="3" t="str">
        <f>+'Banka Lis.'!H93</f>
        <v>Bursa UludağÜniversitesi Üniveristesi Genel Sekreterlik Özel Kalem</v>
      </c>
      <c r="F94" s="33">
        <f>+Puantaj!AK94</f>
        <v>13</v>
      </c>
      <c r="G94" s="31">
        <f t="shared" si="13"/>
        <v>14079</v>
      </c>
      <c r="H94" s="56">
        <f t="shared" si="14"/>
        <v>774.34500000000003</v>
      </c>
      <c r="I94" s="57">
        <f t="shared" si="15"/>
        <v>14853.344999999999</v>
      </c>
      <c r="J94" s="2">
        <f t="shared" si="16"/>
        <v>14079</v>
      </c>
      <c r="K94" s="2">
        <f t="shared" si="17"/>
        <v>2111.85</v>
      </c>
      <c r="L94" s="2">
        <f t="shared" si="18"/>
        <v>2111.85</v>
      </c>
      <c r="M94" s="58">
        <f t="shared" si="19"/>
        <v>0</v>
      </c>
      <c r="N94" s="2">
        <f t="shared" si="20"/>
        <v>106.85961</v>
      </c>
      <c r="O94" s="2">
        <f t="shared" si="21"/>
        <v>106.85961</v>
      </c>
      <c r="P94" s="2">
        <f t="shared" si="22"/>
        <v>0</v>
      </c>
      <c r="Q94" s="58">
        <f t="shared" si="23"/>
        <v>774.34500000000003</v>
      </c>
      <c r="R94" s="58">
        <v>0</v>
      </c>
      <c r="S94" s="2">
        <f t="shared" si="24"/>
        <v>774.34500000000003</v>
      </c>
      <c r="T94" s="9">
        <f t="shared" si="25"/>
        <v>14079</v>
      </c>
      <c r="U94" s="29"/>
    </row>
    <row r="95" spans="1:21" ht="28.8" x14ac:dyDescent="0.25">
      <c r="A95" s="10">
        <f>+'Banka Lis.'!B94</f>
        <v>90</v>
      </c>
      <c r="B95" s="10" t="str">
        <f>+Puantaj!C95</f>
        <v>11895077008</v>
      </c>
      <c r="C95" s="3" t="str">
        <f>+Puantaj!D95</f>
        <v>İLAYDA</v>
      </c>
      <c r="D95" s="3" t="str">
        <f>+Puantaj!E95</f>
        <v>MAY</v>
      </c>
      <c r="E95" s="3" t="str">
        <f>+'Banka Lis.'!H94</f>
        <v>Bursa UludağÜniversitesi Üniveristesi Genel Sekreterlik Özel Kalem</v>
      </c>
      <c r="F95" s="33">
        <f>+Puantaj!AK95</f>
        <v>9</v>
      </c>
      <c r="G95" s="31">
        <f t="shared" si="13"/>
        <v>9747</v>
      </c>
      <c r="H95" s="56">
        <f t="shared" si="14"/>
        <v>536.08500000000004</v>
      </c>
      <c r="I95" s="57">
        <f t="shared" si="15"/>
        <v>10283.084999999999</v>
      </c>
      <c r="J95" s="2">
        <f t="shared" si="16"/>
        <v>9747</v>
      </c>
      <c r="K95" s="2">
        <f t="shared" si="17"/>
        <v>1462.05</v>
      </c>
      <c r="L95" s="2">
        <f t="shared" si="18"/>
        <v>1462.05</v>
      </c>
      <c r="M95" s="58">
        <f t="shared" si="19"/>
        <v>0</v>
      </c>
      <c r="N95" s="2">
        <f t="shared" si="20"/>
        <v>73.979730000000004</v>
      </c>
      <c r="O95" s="2">
        <f t="shared" si="21"/>
        <v>73.979730000000004</v>
      </c>
      <c r="P95" s="2">
        <f t="shared" si="22"/>
        <v>0</v>
      </c>
      <c r="Q95" s="58">
        <f t="shared" si="23"/>
        <v>536.08500000000004</v>
      </c>
      <c r="R95" s="58">
        <v>0</v>
      </c>
      <c r="S95" s="2">
        <f t="shared" si="24"/>
        <v>536.08500000000004</v>
      </c>
      <c r="T95" s="9">
        <f t="shared" si="25"/>
        <v>9747</v>
      </c>
      <c r="U95" s="29"/>
    </row>
    <row r="96" spans="1:21" ht="28.8" x14ac:dyDescent="0.25">
      <c r="A96" s="10">
        <f>+'Banka Lis.'!B95</f>
        <v>91</v>
      </c>
      <c r="B96" s="10" t="str">
        <f>+Puantaj!C96</f>
        <v>15268800910</v>
      </c>
      <c r="C96" s="3" t="str">
        <f>+Puantaj!D96</f>
        <v>İLKER</v>
      </c>
      <c r="D96" s="3" t="str">
        <f>+Puantaj!E96</f>
        <v>YILMAZ</v>
      </c>
      <c r="E96" s="3" t="str">
        <f>+'Banka Lis.'!H95</f>
        <v>Bursa UludağÜniversitesi Üniveristesi Genel Sekreterlik Özel Kalem</v>
      </c>
      <c r="F96" s="33">
        <f>+Puantaj!AK96</f>
        <v>5</v>
      </c>
      <c r="G96" s="31">
        <f t="shared" si="13"/>
        <v>5415</v>
      </c>
      <c r="H96" s="56">
        <f t="shared" si="14"/>
        <v>297.82499999999999</v>
      </c>
      <c r="I96" s="57">
        <f t="shared" si="15"/>
        <v>5712.8249999999998</v>
      </c>
      <c r="J96" s="2">
        <f t="shared" si="16"/>
        <v>5415</v>
      </c>
      <c r="K96" s="2">
        <f t="shared" si="17"/>
        <v>812.25</v>
      </c>
      <c r="L96" s="2">
        <f t="shared" si="18"/>
        <v>812.25</v>
      </c>
      <c r="M96" s="58">
        <f t="shared" si="19"/>
        <v>0</v>
      </c>
      <c r="N96" s="2">
        <f t="shared" si="20"/>
        <v>41.099850000000004</v>
      </c>
      <c r="O96" s="2">
        <f t="shared" si="21"/>
        <v>41.099850000000004</v>
      </c>
      <c r="P96" s="2">
        <f t="shared" si="22"/>
        <v>0</v>
      </c>
      <c r="Q96" s="58">
        <f t="shared" si="23"/>
        <v>297.82499999999999</v>
      </c>
      <c r="R96" s="58">
        <v>0</v>
      </c>
      <c r="S96" s="2">
        <f t="shared" si="24"/>
        <v>297.82499999999999</v>
      </c>
      <c r="T96" s="9">
        <f t="shared" si="25"/>
        <v>5415</v>
      </c>
      <c r="U96" s="29"/>
    </row>
    <row r="97" spans="1:21" ht="28.8" x14ac:dyDescent="0.25">
      <c r="A97" s="10">
        <f>+'Banka Lis.'!B96</f>
        <v>92</v>
      </c>
      <c r="B97" s="10" t="str">
        <f>+Puantaj!C97</f>
        <v>10293044216</v>
      </c>
      <c r="C97" s="3" t="str">
        <f>+Puantaj!D97</f>
        <v>İLKNUR</v>
      </c>
      <c r="D97" s="3" t="str">
        <f>+Puantaj!E97</f>
        <v>KILIÇ</v>
      </c>
      <c r="E97" s="3" t="str">
        <f>+'Banka Lis.'!H96</f>
        <v>Bursa UludağÜniversitesi Üniveristesi Genel Sekreterlik Özel Kalem</v>
      </c>
      <c r="F97" s="33">
        <f>+Puantaj!AK97</f>
        <v>3</v>
      </c>
      <c r="G97" s="31">
        <f t="shared" si="13"/>
        <v>3249</v>
      </c>
      <c r="H97" s="56">
        <f t="shared" si="14"/>
        <v>178.69499999999999</v>
      </c>
      <c r="I97" s="57">
        <f t="shared" si="15"/>
        <v>3427.6950000000002</v>
      </c>
      <c r="J97" s="2">
        <f t="shared" si="16"/>
        <v>3249</v>
      </c>
      <c r="K97" s="2">
        <f t="shared" si="17"/>
        <v>487.34999999999997</v>
      </c>
      <c r="L97" s="2">
        <f t="shared" si="18"/>
        <v>487.34999999999997</v>
      </c>
      <c r="M97" s="58">
        <f t="shared" si="19"/>
        <v>0</v>
      </c>
      <c r="N97" s="2">
        <f t="shared" si="20"/>
        <v>24.65991</v>
      </c>
      <c r="O97" s="2">
        <f t="shared" si="21"/>
        <v>24.65991</v>
      </c>
      <c r="P97" s="2">
        <f t="shared" si="22"/>
        <v>0</v>
      </c>
      <c r="Q97" s="58">
        <f t="shared" si="23"/>
        <v>178.69499999999999</v>
      </c>
      <c r="R97" s="58">
        <v>0</v>
      </c>
      <c r="S97" s="2">
        <f t="shared" si="24"/>
        <v>178.69499999999999</v>
      </c>
      <c r="T97" s="9">
        <f t="shared" si="25"/>
        <v>3249</v>
      </c>
      <c r="U97" s="29"/>
    </row>
    <row r="98" spans="1:21" ht="28.8" x14ac:dyDescent="0.25">
      <c r="A98" s="10">
        <f>+'Banka Lis.'!B97</f>
        <v>93</v>
      </c>
      <c r="B98" s="10" t="str">
        <f>+Puantaj!C98</f>
        <v>26759027716</v>
      </c>
      <c r="C98" s="3" t="str">
        <f>+Puantaj!D98</f>
        <v>İMAMUESEN</v>
      </c>
      <c r="D98" s="3" t="str">
        <f>+Puantaj!E98</f>
        <v>ARTIŞ</v>
      </c>
      <c r="E98" s="3" t="str">
        <f>+'Banka Lis.'!H97</f>
        <v>Bursa UludağÜniversitesi Üniveristesi Genel Sekreterlik Özel Kalem</v>
      </c>
      <c r="F98" s="33">
        <f>+Puantaj!AK98</f>
        <v>14</v>
      </c>
      <c r="G98" s="31">
        <f t="shared" si="13"/>
        <v>15162</v>
      </c>
      <c r="H98" s="56">
        <f t="shared" si="14"/>
        <v>833.91</v>
      </c>
      <c r="I98" s="57">
        <f t="shared" si="15"/>
        <v>15995.91</v>
      </c>
      <c r="J98" s="2">
        <f t="shared" si="16"/>
        <v>15162</v>
      </c>
      <c r="K98" s="2">
        <f t="shared" si="17"/>
        <v>2274.2999999999997</v>
      </c>
      <c r="L98" s="2">
        <f t="shared" si="18"/>
        <v>2274.2999999999997</v>
      </c>
      <c r="M98" s="58">
        <f t="shared" si="19"/>
        <v>0</v>
      </c>
      <c r="N98" s="2">
        <f t="shared" si="20"/>
        <v>115.07958000000001</v>
      </c>
      <c r="O98" s="2">
        <f t="shared" si="21"/>
        <v>115.07958000000001</v>
      </c>
      <c r="P98" s="2">
        <f t="shared" si="22"/>
        <v>0</v>
      </c>
      <c r="Q98" s="58">
        <f t="shared" si="23"/>
        <v>833.91</v>
      </c>
      <c r="R98" s="58">
        <v>0</v>
      </c>
      <c r="S98" s="2">
        <f t="shared" si="24"/>
        <v>833.91</v>
      </c>
      <c r="T98" s="9">
        <f t="shared" si="25"/>
        <v>15162</v>
      </c>
      <c r="U98" s="29"/>
    </row>
    <row r="99" spans="1:21" ht="28.8" x14ac:dyDescent="0.25">
      <c r="A99" s="10">
        <f>+'Banka Lis.'!B98</f>
        <v>94</v>
      </c>
      <c r="B99" s="10" t="str">
        <f>+Puantaj!C99</f>
        <v>53959062896</v>
      </c>
      <c r="C99" s="3" t="str">
        <f>+Puantaj!D99</f>
        <v>İPEK</v>
      </c>
      <c r="D99" s="3" t="str">
        <f>+Puantaj!E99</f>
        <v>CİHANTİMUR</v>
      </c>
      <c r="E99" s="3" t="str">
        <f>+'Banka Lis.'!H98</f>
        <v>Bursa UludağÜniversitesi Üniveristesi Genel Sekreterlik Özel Kalem</v>
      </c>
      <c r="F99" s="33">
        <f>+Puantaj!AK99</f>
        <v>14</v>
      </c>
      <c r="G99" s="31">
        <f t="shared" si="13"/>
        <v>15162</v>
      </c>
      <c r="H99" s="56">
        <f t="shared" si="14"/>
        <v>833.91</v>
      </c>
      <c r="I99" s="57">
        <f t="shared" si="15"/>
        <v>15995.91</v>
      </c>
      <c r="J99" s="2">
        <f t="shared" si="16"/>
        <v>15162</v>
      </c>
      <c r="K99" s="2">
        <f t="shared" si="17"/>
        <v>2274.2999999999997</v>
      </c>
      <c r="L99" s="2">
        <f t="shared" si="18"/>
        <v>2274.2999999999997</v>
      </c>
      <c r="M99" s="58">
        <f t="shared" si="19"/>
        <v>0</v>
      </c>
      <c r="N99" s="2">
        <f t="shared" si="20"/>
        <v>115.07958000000001</v>
      </c>
      <c r="O99" s="2">
        <f t="shared" si="21"/>
        <v>115.07958000000001</v>
      </c>
      <c r="P99" s="2">
        <f t="shared" si="22"/>
        <v>0</v>
      </c>
      <c r="Q99" s="58">
        <f t="shared" si="23"/>
        <v>833.91</v>
      </c>
      <c r="R99" s="58">
        <v>0</v>
      </c>
      <c r="S99" s="2">
        <f t="shared" si="24"/>
        <v>833.91</v>
      </c>
      <c r="T99" s="9">
        <f t="shared" si="25"/>
        <v>15162</v>
      </c>
      <c r="U99" s="29"/>
    </row>
    <row r="100" spans="1:21" ht="28.8" x14ac:dyDescent="0.25">
      <c r="A100" s="10">
        <f>+'Banka Lis.'!B99</f>
        <v>95</v>
      </c>
      <c r="B100" s="10" t="str">
        <f>+Puantaj!C100</f>
        <v>11042896742</v>
      </c>
      <c r="C100" s="3" t="str">
        <f>+Puantaj!D100</f>
        <v>İSLAM SADRETTİN</v>
      </c>
      <c r="D100" s="3" t="str">
        <f>+Puantaj!E100</f>
        <v>ÖZDOĞAN</v>
      </c>
      <c r="E100" s="3" t="str">
        <f>+'Banka Lis.'!H99</f>
        <v>Bursa UludağÜniversitesi Üniveristesi Genel Sekreterlik Özel Kalem</v>
      </c>
      <c r="F100" s="33">
        <f>+Puantaj!AK100</f>
        <v>14</v>
      </c>
      <c r="G100" s="31">
        <f t="shared" si="13"/>
        <v>15162</v>
      </c>
      <c r="H100" s="56">
        <f t="shared" si="14"/>
        <v>833.91</v>
      </c>
      <c r="I100" s="57">
        <f t="shared" si="15"/>
        <v>15995.91</v>
      </c>
      <c r="J100" s="2">
        <f t="shared" si="16"/>
        <v>15162</v>
      </c>
      <c r="K100" s="2">
        <f t="shared" si="17"/>
        <v>2274.2999999999997</v>
      </c>
      <c r="L100" s="2">
        <f t="shared" si="18"/>
        <v>2274.2999999999997</v>
      </c>
      <c r="M100" s="58">
        <f t="shared" si="19"/>
        <v>0</v>
      </c>
      <c r="N100" s="2">
        <f t="shared" si="20"/>
        <v>115.07958000000001</v>
      </c>
      <c r="O100" s="2">
        <f t="shared" si="21"/>
        <v>115.07958000000001</v>
      </c>
      <c r="P100" s="2">
        <f t="shared" si="22"/>
        <v>0</v>
      </c>
      <c r="Q100" s="58">
        <f t="shared" si="23"/>
        <v>833.91</v>
      </c>
      <c r="R100" s="58">
        <v>0</v>
      </c>
      <c r="S100" s="2">
        <f t="shared" si="24"/>
        <v>833.91</v>
      </c>
      <c r="T100" s="9">
        <f t="shared" si="25"/>
        <v>15162</v>
      </c>
      <c r="U100" s="29"/>
    </row>
    <row r="101" spans="1:21" ht="28.8" x14ac:dyDescent="0.25">
      <c r="A101" s="10">
        <f>+'Banka Lis.'!B100</f>
        <v>96</v>
      </c>
      <c r="B101" s="10" t="str">
        <f>+Puantaj!C101</f>
        <v>10717479006</v>
      </c>
      <c r="C101" s="3" t="str">
        <f>+Puantaj!D101</f>
        <v>İSMAİL</v>
      </c>
      <c r="D101" s="3" t="str">
        <f>+Puantaj!E101</f>
        <v>NACAR</v>
      </c>
      <c r="E101" s="3" t="str">
        <f>+'Banka Lis.'!H100</f>
        <v>Bursa UludağÜniversitesi Üniveristesi Genel Sekreterlik Özel Kalem</v>
      </c>
      <c r="F101" s="33">
        <f>+Puantaj!AK101</f>
        <v>14</v>
      </c>
      <c r="G101" s="31">
        <f t="shared" si="13"/>
        <v>15162</v>
      </c>
      <c r="H101" s="56">
        <f t="shared" si="14"/>
        <v>833.91</v>
      </c>
      <c r="I101" s="57">
        <f t="shared" si="15"/>
        <v>15995.91</v>
      </c>
      <c r="J101" s="2">
        <f t="shared" si="16"/>
        <v>15162</v>
      </c>
      <c r="K101" s="2">
        <f t="shared" si="17"/>
        <v>2274.2999999999997</v>
      </c>
      <c r="L101" s="2">
        <f t="shared" si="18"/>
        <v>2274.2999999999997</v>
      </c>
      <c r="M101" s="58">
        <f t="shared" si="19"/>
        <v>0</v>
      </c>
      <c r="N101" s="2">
        <f t="shared" si="20"/>
        <v>115.07958000000001</v>
      </c>
      <c r="O101" s="2">
        <f t="shared" si="21"/>
        <v>115.07958000000001</v>
      </c>
      <c r="P101" s="2">
        <f t="shared" si="22"/>
        <v>0</v>
      </c>
      <c r="Q101" s="58">
        <f t="shared" si="23"/>
        <v>833.91</v>
      </c>
      <c r="R101" s="58">
        <v>0</v>
      </c>
      <c r="S101" s="2">
        <f t="shared" si="24"/>
        <v>833.91</v>
      </c>
      <c r="T101" s="9">
        <f t="shared" si="25"/>
        <v>15162</v>
      </c>
      <c r="U101" s="29"/>
    </row>
    <row r="102" spans="1:21" ht="28.8" x14ac:dyDescent="0.25">
      <c r="A102" s="10">
        <f>+'Banka Lis.'!B101</f>
        <v>97</v>
      </c>
      <c r="B102" s="10" t="str">
        <f>+Puantaj!C102</f>
        <v>15632524862</v>
      </c>
      <c r="C102" s="3" t="str">
        <f>+Puantaj!D102</f>
        <v>KADİR HÜSEYİN</v>
      </c>
      <c r="D102" s="3" t="str">
        <f>+Puantaj!E102</f>
        <v>TUNCER</v>
      </c>
      <c r="E102" s="3" t="str">
        <f>+'Banka Lis.'!H101</f>
        <v>Bursa UludağÜniversitesi Üniveristesi Genel Sekreterlik Özel Kalem</v>
      </c>
      <c r="F102" s="33">
        <f>+Puantaj!AK102</f>
        <v>12</v>
      </c>
      <c r="G102" s="31">
        <f t="shared" si="13"/>
        <v>12996</v>
      </c>
      <c r="H102" s="56">
        <f t="shared" si="14"/>
        <v>714.78</v>
      </c>
      <c r="I102" s="57">
        <f t="shared" si="15"/>
        <v>13710.78</v>
      </c>
      <c r="J102" s="2">
        <f t="shared" si="16"/>
        <v>12996</v>
      </c>
      <c r="K102" s="2">
        <f t="shared" si="17"/>
        <v>1949.3999999999999</v>
      </c>
      <c r="L102" s="2">
        <f t="shared" si="18"/>
        <v>1949.3999999999999</v>
      </c>
      <c r="M102" s="58">
        <f t="shared" si="19"/>
        <v>0</v>
      </c>
      <c r="N102" s="2">
        <f t="shared" si="20"/>
        <v>98.63964</v>
      </c>
      <c r="O102" s="2">
        <f t="shared" si="21"/>
        <v>98.63964</v>
      </c>
      <c r="P102" s="2">
        <f t="shared" si="22"/>
        <v>0</v>
      </c>
      <c r="Q102" s="58">
        <f t="shared" si="23"/>
        <v>714.78</v>
      </c>
      <c r="R102" s="58">
        <v>0</v>
      </c>
      <c r="S102" s="2">
        <f t="shared" si="24"/>
        <v>714.78</v>
      </c>
      <c r="T102" s="9">
        <f t="shared" si="25"/>
        <v>12996</v>
      </c>
      <c r="U102" s="29"/>
    </row>
    <row r="103" spans="1:21" ht="28.8" x14ac:dyDescent="0.25">
      <c r="A103" s="10">
        <f>+'Banka Lis.'!B102</f>
        <v>98</v>
      </c>
      <c r="B103" s="10" t="str">
        <f>+Puantaj!C103</f>
        <v>13963824422</v>
      </c>
      <c r="C103" s="3" t="str">
        <f>+Puantaj!D103</f>
        <v>KADRİYE</v>
      </c>
      <c r="D103" s="3" t="str">
        <f>+Puantaj!E103</f>
        <v>AKTAŞ</v>
      </c>
      <c r="E103" s="3" t="str">
        <f>+'Banka Lis.'!H102</f>
        <v>Bursa UludağÜniversitesi Üniveristesi Genel Sekreterlik Özel Kalem</v>
      </c>
      <c r="F103" s="33">
        <f>+Puantaj!AK103</f>
        <v>14</v>
      </c>
      <c r="G103" s="31">
        <f t="shared" si="13"/>
        <v>15162</v>
      </c>
      <c r="H103" s="56">
        <f t="shared" si="14"/>
        <v>833.91</v>
      </c>
      <c r="I103" s="57">
        <f t="shared" si="15"/>
        <v>15995.91</v>
      </c>
      <c r="J103" s="2">
        <f t="shared" si="16"/>
        <v>15162</v>
      </c>
      <c r="K103" s="2">
        <f t="shared" si="17"/>
        <v>2274.2999999999997</v>
      </c>
      <c r="L103" s="2">
        <f t="shared" si="18"/>
        <v>2274.2999999999997</v>
      </c>
      <c r="M103" s="58">
        <f t="shared" si="19"/>
        <v>0</v>
      </c>
      <c r="N103" s="2">
        <f t="shared" si="20"/>
        <v>115.07958000000001</v>
      </c>
      <c r="O103" s="2">
        <f t="shared" si="21"/>
        <v>115.07958000000001</v>
      </c>
      <c r="P103" s="2">
        <f t="shared" si="22"/>
        <v>0</v>
      </c>
      <c r="Q103" s="58">
        <f t="shared" si="23"/>
        <v>833.91</v>
      </c>
      <c r="R103" s="58">
        <v>0</v>
      </c>
      <c r="S103" s="2">
        <f t="shared" si="24"/>
        <v>833.91</v>
      </c>
      <c r="T103" s="9">
        <f t="shared" si="25"/>
        <v>15162</v>
      </c>
      <c r="U103" s="29"/>
    </row>
    <row r="104" spans="1:21" ht="28.8" x14ac:dyDescent="0.25">
      <c r="A104" s="10">
        <f>+'Banka Lis.'!B103</f>
        <v>99</v>
      </c>
      <c r="B104" s="10" t="str">
        <f>+Puantaj!C104</f>
        <v>10679380396</v>
      </c>
      <c r="C104" s="3" t="str">
        <f>+Puantaj!D104</f>
        <v>KADRİYE GÜNGÖR</v>
      </c>
      <c r="D104" s="3" t="str">
        <f>+Puantaj!E104</f>
        <v>GÖK</v>
      </c>
      <c r="E104" s="3" t="str">
        <f>+'Banka Lis.'!H103</f>
        <v>Bursa UludağÜniversitesi Üniveristesi Genel Sekreterlik Özel Kalem</v>
      </c>
      <c r="F104" s="33">
        <f>+Puantaj!AK104</f>
        <v>15</v>
      </c>
      <c r="G104" s="31">
        <f t="shared" si="13"/>
        <v>16245</v>
      </c>
      <c r="H104" s="56">
        <f t="shared" si="14"/>
        <v>893.47500000000002</v>
      </c>
      <c r="I104" s="57">
        <f t="shared" si="15"/>
        <v>17138.474999999999</v>
      </c>
      <c r="J104" s="2">
        <f t="shared" si="16"/>
        <v>16245</v>
      </c>
      <c r="K104" s="2">
        <f t="shared" si="17"/>
        <v>2436.75</v>
      </c>
      <c r="L104" s="2">
        <f t="shared" si="18"/>
        <v>2436.75</v>
      </c>
      <c r="M104" s="58">
        <f t="shared" si="19"/>
        <v>0</v>
      </c>
      <c r="N104" s="2">
        <f t="shared" si="20"/>
        <v>123.29955000000001</v>
      </c>
      <c r="O104" s="2">
        <f t="shared" si="21"/>
        <v>123.29955000000001</v>
      </c>
      <c r="P104" s="2">
        <f t="shared" si="22"/>
        <v>0</v>
      </c>
      <c r="Q104" s="58">
        <f t="shared" si="23"/>
        <v>893.47500000000002</v>
      </c>
      <c r="R104" s="58">
        <v>0</v>
      </c>
      <c r="S104" s="2">
        <f t="shared" si="24"/>
        <v>893.47500000000002</v>
      </c>
      <c r="T104" s="9">
        <f t="shared" si="25"/>
        <v>16244.999999999998</v>
      </c>
      <c r="U104" s="29"/>
    </row>
    <row r="105" spans="1:21" ht="28.8" x14ac:dyDescent="0.25">
      <c r="A105" s="10">
        <f>+'Banka Lis.'!B104</f>
        <v>100</v>
      </c>
      <c r="B105" s="10" t="str">
        <f>+Puantaj!C105</f>
        <v>17327701480</v>
      </c>
      <c r="C105" s="3" t="str">
        <f>+Puantaj!D105</f>
        <v>KERİM</v>
      </c>
      <c r="D105" s="3" t="str">
        <f>+Puantaj!E105</f>
        <v>CEBECİ</v>
      </c>
      <c r="E105" s="3" t="str">
        <f>+'Banka Lis.'!H104</f>
        <v>Bursa UludağÜniversitesi Üniveristesi Genel Sekreterlik Özel Kalem</v>
      </c>
      <c r="F105" s="33">
        <f>+Puantaj!AK105</f>
        <v>13</v>
      </c>
      <c r="G105" s="31">
        <f t="shared" si="13"/>
        <v>14079</v>
      </c>
      <c r="H105" s="56">
        <f t="shared" si="14"/>
        <v>774.34500000000003</v>
      </c>
      <c r="I105" s="57">
        <f t="shared" si="15"/>
        <v>14853.344999999999</v>
      </c>
      <c r="J105" s="2">
        <f t="shared" si="16"/>
        <v>14079</v>
      </c>
      <c r="K105" s="2">
        <f t="shared" si="17"/>
        <v>2111.85</v>
      </c>
      <c r="L105" s="2">
        <f t="shared" si="18"/>
        <v>2111.85</v>
      </c>
      <c r="M105" s="58">
        <f t="shared" si="19"/>
        <v>0</v>
      </c>
      <c r="N105" s="2">
        <f t="shared" si="20"/>
        <v>106.85961</v>
      </c>
      <c r="O105" s="2">
        <f t="shared" si="21"/>
        <v>106.85961</v>
      </c>
      <c r="P105" s="2">
        <f t="shared" si="22"/>
        <v>0</v>
      </c>
      <c r="Q105" s="58">
        <f t="shared" si="23"/>
        <v>774.34500000000003</v>
      </c>
      <c r="R105" s="58">
        <v>0</v>
      </c>
      <c r="S105" s="2">
        <f t="shared" si="24"/>
        <v>774.34500000000003</v>
      </c>
      <c r="T105" s="9">
        <f t="shared" si="25"/>
        <v>14079</v>
      </c>
      <c r="U105" s="29"/>
    </row>
    <row r="106" spans="1:21" ht="28.8" x14ac:dyDescent="0.25">
      <c r="A106" s="10">
        <f>+'Banka Lis.'!B105</f>
        <v>101</v>
      </c>
      <c r="B106" s="10" t="str">
        <f>+Puantaj!C106</f>
        <v>10517493820</v>
      </c>
      <c r="C106" s="3" t="str">
        <f>+Puantaj!D106</f>
        <v>KÜBRA</v>
      </c>
      <c r="D106" s="3" t="str">
        <f>+Puantaj!E106</f>
        <v>GEDİK</v>
      </c>
      <c r="E106" s="3" t="str">
        <f>+'Banka Lis.'!H105</f>
        <v>Bursa UludağÜniversitesi Üniveristesi Genel Sekreterlik Özel Kalem</v>
      </c>
      <c r="F106" s="33">
        <f>+Puantaj!AK106</f>
        <v>13</v>
      </c>
      <c r="G106" s="31">
        <f t="shared" si="13"/>
        <v>14079</v>
      </c>
      <c r="H106" s="56">
        <f t="shared" si="14"/>
        <v>774.34500000000003</v>
      </c>
      <c r="I106" s="57">
        <f t="shared" si="15"/>
        <v>14853.344999999999</v>
      </c>
      <c r="J106" s="2">
        <f t="shared" si="16"/>
        <v>14079</v>
      </c>
      <c r="K106" s="2">
        <f t="shared" si="17"/>
        <v>2111.85</v>
      </c>
      <c r="L106" s="2">
        <f t="shared" si="18"/>
        <v>2111.85</v>
      </c>
      <c r="M106" s="58">
        <f t="shared" si="19"/>
        <v>0</v>
      </c>
      <c r="N106" s="2">
        <f t="shared" si="20"/>
        <v>106.85961</v>
      </c>
      <c r="O106" s="2">
        <f t="shared" si="21"/>
        <v>106.85961</v>
      </c>
      <c r="P106" s="2">
        <f t="shared" si="22"/>
        <v>0</v>
      </c>
      <c r="Q106" s="58">
        <f t="shared" si="23"/>
        <v>774.34500000000003</v>
      </c>
      <c r="R106" s="58">
        <v>0</v>
      </c>
      <c r="S106" s="2">
        <f t="shared" si="24"/>
        <v>774.34500000000003</v>
      </c>
      <c r="T106" s="9">
        <f t="shared" si="25"/>
        <v>14079</v>
      </c>
      <c r="U106" s="29"/>
    </row>
    <row r="107" spans="1:21" ht="28.8" x14ac:dyDescent="0.25">
      <c r="A107" s="10">
        <f>+'Banka Lis.'!B106</f>
        <v>102</v>
      </c>
      <c r="B107" s="10" t="str">
        <f>+Puantaj!C107</f>
        <v>10976678554</v>
      </c>
      <c r="C107" s="3" t="str">
        <f>+Puantaj!D107</f>
        <v>KÜBRA</v>
      </c>
      <c r="D107" s="3" t="str">
        <f>+Puantaj!E107</f>
        <v>ULUDERE</v>
      </c>
      <c r="E107" s="3" t="str">
        <f>+'Banka Lis.'!H106</f>
        <v>Bursa UludağÜniversitesi Üniveristesi Genel Sekreterlik Özel Kalem</v>
      </c>
      <c r="F107" s="33">
        <f>+Puantaj!AK107</f>
        <v>9</v>
      </c>
      <c r="G107" s="31">
        <f t="shared" si="13"/>
        <v>9747</v>
      </c>
      <c r="H107" s="56">
        <f t="shared" si="14"/>
        <v>536.08500000000004</v>
      </c>
      <c r="I107" s="57">
        <f t="shared" si="15"/>
        <v>10283.084999999999</v>
      </c>
      <c r="J107" s="2">
        <f t="shared" si="16"/>
        <v>9747</v>
      </c>
      <c r="K107" s="2">
        <f t="shared" si="17"/>
        <v>1462.05</v>
      </c>
      <c r="L107" s="2">
        <f t="shared" si="18"/>
        <v>1462.05</v>
      </c>
      <c r="M107" s="58">
        <f t="shared" si="19"/>
        <v>0</v>
      </c>
      <c r="N107" s="2">
        <f t="shared" si="20"/>
        <v>73.979730000000004</v>
      </c>
      <c r="O107" s="2">
        <f t="shared" si="21"/>
        <v>73.979730000000004</v>
      </c>
      <c r="P107" s="2">
        <f t="shared" si="22"/>
        <v>0</v>
      </c>
      <c r="Q107" s="58">
        <f t="shared" si="23"/>
        <v>536.08500000000004</v>
      </c>
      <c r="R107" s="58">
        <v>0</v>
      </c>
      <c r="S107" s="2">
        <f t="shared" si="24"/>
        <v>536.08500000000004</v>
      </c>
      <c r="T107" s="9">
        <f t="shared" si="25"/>
        <v>9747</v>
      </c>
      <c r="U107" s="29"/>
    </row>
    <row r="108" spans="1:21" ht="28.8" x14ac:dyDescent="0.25">
      <c r="A108" s="10">
        <f>+'Banka Lis.'!B107</f>
        <v>103</v>
      </c>
      <c r="B108" s="10" t="str">
        <f>+Puantaj!C108</f>
        <v>15766862922</v>
      </c>
      <c r="C108" s="3" t="str">
        <f>+Puantaj!D108</f>
        <v>LÜTFİYE</v>
      </c>
      <c r="D108" s="3" t="str">
        <f>+Puantaj!E108</f>
        <v>SARI</v>
      </c>
      <c r="E108" s="3" t="str">
        <f>+'Banka Lis.'!H107</f>
        <v>Bursa UludağÜniversitesi Üniveristesi Genel Sekreterlik Özel Kalem</v>
      </c>
      <c r="F108" s="33">
        <f>+Puantaj!AK108</f>
        <v>14</v>
      </c>
      <c r="G108" s="31">
        <f t="shared" si="13"/>
        <v>15162</v>
      </c>
      <c r="H108" s="56">
        <f t="shared" si="14"/>
        <v>833.91</v>
      </c>
      <c r="I108" s="57">
        <f t="shared" si="15"/>
        <v>15995.91</v>
      </c>
      <c r="J108" s="2">
        <f t="shared" si="16"/>
        <v>15162</v>
      </c>
      <c r="K108" s="2">
        <f t="shared" si="17"/>
        <v>2274.2999999999997</v>
      </c>
      <c r="L108" s="2">
        <f t="shared" si="18"/>
        <v>2274.2999999999997</v>
      </c>
      <c r="M108" s="58">
        <f t="shared" si="19"/>
        <v>0</v>
      </c>
      <c r="N108" s="2">
        <f t="shared" si="20"/>
        <v>115.07958000000001</v>
      </c>
      <c r="O108" s="2">
        <f t="shared" si="21"/>
        <v>115.07958000000001</v>
      </c>
      <c r="P108" s="2">
        <f t="shared" si="22"/>
        <v>0</v>
      </c>
      <c r="Q108" s="58">
        <f t="shared" si="23"/>
        <v>833.91</v>
      </c>
      <c r="R108" s="58">
        <v>0</v>
      </c>
      <c r="S108" s="2">
        <f t="shared" si="24"/>
        <v>833.91</v>
      </c>
      <c r="T108" s="9">
        <f t="shared" si="25"/>
        <v>15162</v>
      </c>
      <c r="U108" s="29"/>
    </row>
    <row r="109" spans="1:21" ht="28.8" x14ac:dyDescent="0.25">
      <c r="A109" s="10">
        <f>+'Banka Lis.'!B108</f>
        <v>104</v>
      </c>
      <c r="B109" s="10" t="str">
        <f>+Puantaj!C109</f>
        <v>10412675680</v>
      </c>
      <c r="C109" s="3" t="str">
        <f>+Puantaj!D109</f>
        <v>MEDİNE</v>
      </c>
      <c r="D109" s="3" t="str">
        <f>+Puantaj!E109</f>
        <v>SAKARYA</v>
      </c>
      <c r="E109" s="3" t="str">
        <f>+'Banka Lis.'!H108</f>
        <v>Bursa UludağÜniversitesi Üniveristesi Genel Sekreterlik Özel Kalem</v>
      </c>
      <c r="F109" s="33">
        <f>+Puantaj!AK109</f>
        <v>13</v>
      </c>
      <c r="G109" s="31">
        <f t="shared" si="13"/>
        <v>14079</v>
      </c>
      <c r="H109" s="56">
        <f t="shared" si="14"/>
        <v>774.34500000000003</v>
      </c>
      <c r="I109" s="57">
        <f t="shared" si="15"/>
        <v>14853.344999999999</v>
      </c>
      <c r="J109" s="2">
        <f t="shared" si="16"/>
        <v>14079</v>
      </c>
      <c r="K109" s="2">
        <f t="shared" si="17"/>
        <v>2111.85</v>
      </c>
      <c r="L109" s="2">
        <f t="shared" si="18"/>
        <v>2111.85</v>
      </c>
      <c r="M109" s="58">
        <f t="shared" si="19"/>
        <v>0</v>
      </c>
      <c r="N109" s="2">
        <f t="shared" si="20"/>
        <v>106.85961</v>
      </c>
      <c r="O109" s="2">
        <f t="shared" si="21"/>
        <v>106.85961</v>
      </c>
      <c r="P109" s="2">
        <f t="shared" si="22"/>
        <v>0</v>
      </c>
      <c r="Q109" s="58">
        <f t="shared" si="23"/>
        <v>774.34500000000003</v>
      </c>
      <c r="R109" s="58">
        <v>0</v>
      </c>
      <c r="S109" s="2">
        <f t="shared" si="24"/>
        <v>774.34500000000003</v>
      </c>
      <c r="T109" s="9">
        <f t="shared" si="25"/>
        <v>14079</v>
      </c>
      <c r="U109" s="29"/>
    </row>
    <row r="110" spans="1:21" ht="28.8" x14ac:dyDescent="0.25">
      <c r="A110" s="10">
        <f>+'Banka Lis.'!B109</f>
        <v>105</v>
      </c>
      <c r="B110" s="10" t="str">
        <f>+Puantaj!C110</f>
        <v>10112713040</v>
      </c>
      <c r="C110" s="3" t="str">
        <f>+Puantaj!D110</f>
        <v>MELİS</v>
      </c>
      <c r="D110" s="3" t="str">
        <f>+Puantaj!E110</f>
        <v>KARADENİZ</v>
      </c>
      <c r="E110" s="3" t="str">
        <f>+'Banka Lis.'!H109</f>
        <v>Bursa UludağÜniversitesi Üniveristesi Genel Sekreterlik Özel Kalem</v>
      </c>
      <c r="F110" s="33">
        <f>+Puantaj!AK110</f>
        <v>9</v>
      </c>
      <c r="G110" s="31">
        <f t="shared" si="13"/>
        <v>9747</v>
      </c>
      <c r="H110" s="56">
        <f t="shared" si="14"/>
        <v>536.08500000000004</v>
      </c>
      <c r="I110" s="57">
        <f t="shared" si="15"/>
        <v>10283.084999999999</v>
      </c>
      <c r="J110" s="2">
        <f t="shared" si="16"/>
        <v>9747</v>
      </c>
      <c r="K110" s="2">
        <f t="shared" si="17"/>
        <v>1462.05</v>
      </c>
      <c r="L110" s="2">
        <f t="shared" si="18"/>
        <v>1462.05</v>
      </c>
      <c r="M110" s="58">
        <f t="shared" si="19"/>
        <v>0</v>
      </c>
      <c r="N110" s="2">
        <f t="shared" si="20"/>
        <v>73.979730000000004</v>
      </c>
      <c r="O110" s="2">
        <f t="shared" si="21"/>
        <v>73.979730000000004</v>
      </c>
      <c r="P110" s="2">
        <f t="shared" si="22"/>
        <v>0</v>
      </c>
      <c r="Q110" s="58">
        <f t="shared" si="23"/>
        <v>536.08500000000004</v>
      </c>
      <c r="R110" s="58">
        <v>0</v>
      </c>
      <c r="S110" s="2">
        <f t="shared" si="24"/>
        <v>536.08500000000004</v>
      </c>
      <c r="T110" s="9">
        <f t="shared" si="25"/>
        <v>9747</v>
      </c>
      <c r="U110" s="29"/>
    </row>
    <row r="111" spans="1:21" ht="28.8" x14ac:dyDescent="0.25">
      <c r="A111" s="10">
        <f>+'Banka Lis.'!B110</f>
        <v>106</v>
      </c>
      <c r="B111" s="10" t="str">
        <f>+Puantaj!C111</f>
        <v>10267469656</v>
      </c>
      <c r="C111" s="3" t="str">
        <f>+Puantaj!D111</f>
        <v>MELİS</v>
      </c>
      <c r="D111" s="3" t="str">
        <f>+Puantaj!E111</f>
        <v>METİN</v>
      </c>
      <c r="E111" s="3" t="str">
        <f>+'Banka Lis.'!H110</f>
        <v>Bursa UludağÜniversitesi Üniveristesi Genel Sekreterlik Özel Kalem</v>
      </c>
      <c r="F111" s="33">
        <f>+Puantaj!AK111</f>
        <v>9</v>
      </c>
      <c r="G111" s="31">
        <f t="shared" si="13"/>
        <v>9747</v>
      </c>
      <c r="H111" s="56">
        <f t="shared" si="14"/>
        <v>536.08500000000004</v>
      </c>
      <c r="I111" s="57">
        <f t="shared" si="15"/>
        <v>10283.084999999999</v>
      </c>
      <c r="J111" s="2">
        <f t="shared" si="16"/>
        <v>9747</v>
      </c>
      <c r="K111" s="2">
        <f t="shared" si="17"/>
        <v>1462.05</v>
      </c>
      <c r="L111" s="2">
        <f t="shared" si="18"/>
        <v>1462.05</v>
      </c>
      <c r="M111" s="58">
        <f t="shared" si="19"/>
        <v>0</v>
      </c>
      <c r="N111" s="2">
        <f t="shared" si="20"/>
        <v>73.979730000000004</v>
      </c>
      <c r="O111" s="2">
        <f t="shared" si="21"/>
        <v>73.979730000000004</v>
      </c>
      <c r="P111" s="2">
        <f t="shared" si="22"/>
        <v>0</v>
      </c>
      <c r="Q111" s="58">
        <f t="shared" si="23"/>
        <v>536.08500000000004</v>
      </c>
      <c r="R111" s="58">
        <v>0</v>
      </c>
      <c r="S111" s="2">
        <f t="shared" si="24"/>
        <v>536.08500000000004</v>
      </c>
      <c r="T111" s="9">
        <f t="shared" si="25"/>
        <v>9747</v>
      </c>
      <c r="U111" s="29"/>
    </row>
    <row r="112" spans="1:21" ht="28.8" x14ac:dyDescent="0.25">
      <c r="A112" s="10">
        <f>+'Banka Lis.'!B111</f>
        <v>107</v>
      </c>
      <c r="B112" s="10" t="str">
        <f>+Puantaj!C112</f>
        <v>53509519344</v>
      </c>
      <c r="C112" s="3" t="str">
        <f>+Puantaj!D112</f>
        <v>MELİSA</v>
      </c>
      <c r="D112" s="3" t="str">
        <f>+Puantaj!E112</f>
        <v>KUMLU</v>
      </c>
      <c r="E112" s="3" t="str">
        <f>+'Banka Lis.'!H111</f>
        <v>Bursa UludağÜniversitesi Üniveristesi Genel Sekreterlik Özel Kalem</v>
      </c>
      <c r="F112" s="33">
        <f>+Puantaj!AK112</f>
        <v>8</v>
      </c>
      <c r="G112" s="31">
        <f t="shared" si="13"/>
        <v>8664</v>
      </c>
      <c r="H112" s="56">
        <f t="shared" si="14"/>
        <v>476.52</v>
      </c>
      <c r="I112" s="57">
        <f t="shared" si="15"/>
        <v>9140.52</v>
      </c>
      <c r="J112" s="2">
        <f t="shared" si="16"/>
        <v>8664</v>
      </c>
      <c r="K112" s="2">
        <f t="shared" si="17"/>
        <v>1299.5999999999999</v>
      </c>
      <c r="L112" s="2">
        <f t="shared" si="18"/>
        <v>1299.5999999999999</v>
      </c>
      <c r="M112" s="58">
        <f t="shared" si="19"/>
        <v>0</v>
      </c>
      <c r="N112" s="2">
        <f t="shared" si="20"/>
        <v>65.75976</v>
      </c>
      <c r="O112" s="2">
        <f t="shared" si="21"/>
        <v>65.75976</v>
      </c>
      <c r="P112" s="2">
        <f t="shared" si="22"/>
        <v>0</v>
      </c>
      <c r="Q112" s="58">
        <f t="shared" si="23"/>
        <v>476.52</v>
      </c>
      <c r="R112" s="58">
        <v>0</v>
      </c>
      <c r="S112" s="2">
        <f t="shared" si="24"/>
        <v>476.52</v>
      </c>
      <c r="T112" s="9">
        <f t="shared" si="25"/>
        <v>8664</v>
      </c>
      <c r="U112" s="29"/>
    </row>
    <row r="113" spans="1:21" ht="28.8" x14ac:dyDescent="0.25">
      <c r="A113" s="10">
        <f>+'Banka Lis.'!B112</f>
        <v>108</v>
      </c>
      <c r="B113" s="10" t="str">
        <f>+Puantaj!C113</f>
        <v>51844559292</v>
      </c>
      <c r="C113" s="3" t="str">
        <f>+Puantaj!D113</f>
        <v>MELİSA</v>
      </c>
      <c r="D113" s="3" t="str">
        <f>+Puantaj!E113</f>
        <v>OKUYUCU</v>
      </c>
      <c r="E113" s="3" t="str">
        <f>+'Banka Lis.'!H112</f>
        <v>Bursa UludağÜniversitesi Üniveristesi Genel Sekreterlik Özel Kalem</v>
      </c>
      <c r="F113" s="33">
        <f>+Puantaj!AK113</f>
        <v>12</v>
      </c>
      <c r="G113" s="31">
        <f t="shared" si="13"/>
        <v>12996</v>
      </c>
      <c r="H113" s="56">
        <f t="shared" si="14"/>
        <v>714.78</v>
      </c>
      <c r="I113" s="57">
        <f t="shared" si="15"/>
        <v>13710.78</v>
      </c>
      <c r="J113" s="2">
        <f t="shared" si="16"/>
        <v>12996</v>
      </c>
      <c r="K113" s="2">
        <f t="shared" si="17"/>
        <v>1949.3999999999999</v>
      </c>
      <c r="L113" s="2">
        <f t="shared" si="18"/>
        <v>1949.3999999999999</v>
      </c>
      <c r="M113" s="58">
        <f t="shared" si="19"/>
        <v>0</v>
      </c>
      <c r="N113" s="2">
        <f t="shared" si="20"/>
        <v>98.63964</v>
      </c>
      <c r="O113" s="2">
        <f t="shared" si="21"/>
        <v>98.63964</v>
      </c>
      <c r="P113" s="2">
        <f t="shared" si="22"/>
        <v>0</v>
      </c>
      <c r="Q113" s="58">
        <f t="shared" si="23"/>
        <v>714.78</v>
      </c>
      <c r="R113" s="58">
        <v>0</v>
      </c>
      <c r="S113" s="2">
        <f t="shared" si="24"/>
        <v>714.78</v>
      </c>
      <c r="T113" s="9">
        <f t="shared" si="25"/>
        <v>12996</v>
      </c>
      <c r="U113" s="29"/>
    </row>
    <row r="114" spans="1:21" ht="28.8" x14ac:dyDescent="0.25">
      <c r="A114" s="10">
        <f>+'Banka Lis.'!B113</f>
        <v>109</v>
      </c>
      <c r="B114" s="10" t="str">
        <f>+Puantaj!C114</f>
        <v>11273332552</v>
      </c>
      <c r="C114" s="3" t="str">
        <f>+Puantaj!D114</f>
        <v>MERVE CEREN</v>
      </c>
      <c r="D114" s="3" t="str">
        <f>+Puantaj!E114</f>
        <v>İNCE</v>
      </c>
      <c r="E114" s="3" t="str">
        <f>+'Banka Lis.'!H113</f>
        <v>Bursa UludağÜniversitesi Üniveristesi Genel Sekreterlik Özel Kalem</v>
      </c>
      <c r="F114" s="33">
        <f>+Puantaj!AK114</f>
        <v>14</v>
      </c>
      <c r="G114" s="31">
        <f t="shared" si="13"/>
        <v>15162</v>
      </c>
      <c r="H114" s="56">
        <f t="shared" si="14"/>
        <v>833.91</v>
      </c>
      <c r="I114" s="57">
        <f t="shared" si="15"/>
        <v>15995.91</v>
      </c>
      <c r="J114" s="2">
        <f t="shared" si="16"/>
        <v>15162</v>
      </c>
      <c r="K114" s="2">
        <f t="shared" si="17"/>
        <v>2274.2999999999997</v>
      </c>
      <c r="L114" s="2">
        <f t="shared" si="18"/>
        <v>2274.2999999999997</v>
      </c>
      <c r="M114" s="58">
        <f t="shared" si="19"/>
        <v>0</v>
      </c>
      <c r="N114" s="2">
        <f t="shared" si="20"/>
        <v>115.07958000000001</v>
      </c>
      <c r="O114" s="2">
        <f t="shared" si="21"/>
        <v>115.07958000000001</v>
      </c>
      <c r="P114" s="2">
        <f t="shared" si="22"/>
        <v>0</v>
      </c>
      <c r="Q114" s="58">
        <f t="shared" si="23"/>
        <v>833.91</v>
      </c>
      <c r="R114" s="58">
        <v>0</v>
      </c>
      <c r="S114" s="2">
        <f t="shared" si="24"/>
        <v>833.91</v>
      </c>
      <c r="T114" s="9">
        <f t="shared" si="25"/>
        <v>15162</v>
      </c>
      <c r="U114" s="29"/>
    </row>
    <row r="115" spans="1:21" ht="28.8" x14ac:dyDescent="0.25">
      <c r="A115" s="10">
        <f>+'Banka Lis.'!B114</f>
        <v>110</v>
      </c>
      <c r="B115" s="10" t="str">
        <f>+Puantaj!C115</f>
        <v>28885323830</v>
      </c>
      <c r="C115" s="3" t="str">
        <f>+Puantaj!D115</f>
        <v>MERVE</v>
      </c>
      <c r="D115" s="3" t="str">
        <f>+Puantaj!E115</f>
        <v>EREN</v>
      </c>
      <c r="E115" s="3" t="str">
        <f>+'Banka Lis.'!H114</f>
        <v>Bursa UludağÜniversitesi Üniveristesi Genel Sekreterlik Özel Kalem</v>
      </c>
      <c r="F115" s="33">
        <f>+Puantaj!AK115</f>
        <v>13</v>
      </c>
      <c r="G115" s="31">
        <f t="shared" si="13"/>
        <v>14079</v>
      </c>
      <c r="H115" s="56">
        <f t="shared" si="14"/>
        <v>774.34500000000003</v>
      </c>
      <c r="I115" s="57">
        <f t="shared" si="15"/>
        <v>14853.344999999999</v>
      </c>
      <c r="J115" s="2">
        <f t="shared" si="16"/>
        <v>14079</v>
      </c>
      <c r="K115" s="2">
        <f t="shared" si="17"/>
        <v>2111.85</v>
      </c>
      <c r="L115" s="2">
        <f t="shared" si="18"/>
        <v>2111.85</v>
      </c>
      <c r="M115" s="58">
        <f t="shared" si="19"/>
        <v>0</v>
      </c>
      <c r="N115" s="2">
        <f t="shared" si="20"/>
        <v>106.85961</v>
      </c>
      <c r="O115" s="2">
        <f t="shared" si="21"/>
        <v>106.85961</v>
      </c>
      <c r="P115" s="2">
        <f t="shared" si="22"/>
        <v>0</v>
      </c>
      <c r="Q115" s="58">
        <f t="shared" si="23"/>
        <v>774.34500000000003</v>
      </c>
      <c r="R115" s="58">
        <v>0</v>
      </c>
      <c r="S115" s="2">
        <f t="shared" si="24"/>
        <v>774.34500000000003</v>
      </c>
      <c r="T115" s="9">
        <f t="shared" si="25"/>
        <v>14079</v>
      </c>
      <c r="U115" s="29"/>
    </row>
    <row r="116" spans="1:21" ht="28.8" x14ac:dyDescent="0.25">
      <c r="A116" s="10">
        <f>+'Banka Lis.'!B115</f>
        <v>111</v>
      </c>
      <c r="B116" s="10" t="str">
        <f>+Puantaj!C116</f>
        <v>28033142924</v>
      </c>
      <c r="C116" s="3" t="str">
        <f>+Puantaj!D116</f>
        <v>MERVE</v>
      </c>
      <c r="D116" s="3" t="str">
        <f>+Puantaj!E116</f>
        <v>EZBERCİ</v>
      </c>
      <c r="E116" s="3" t="str">
        <f>+'Banka Lis.'!H115</f>
        <v>Bursa UludağÜniversitesi Üniveristesi Genel Sekreterlik Özel Kalem</v>
      </c>
      <c r="F116" s="33">
        <f>+Puantaj!AK116</f>
        <v>13</v>
      </c>
      <c r="G116" s="31">
        <f t="shared" si="13"/>
        <v>14079</v>
      </c>
      <c r="H116" s="56">
        <f t="shared" si="14"/>
        <v>774.34500000000003</v>
      </c>
      <c r="I116" s="57">
        <f t="shared" si="15"/>
        <v>14853.344999999999</v>
      </c>
      <c r="J116" s="2">
        <f t="shared" si="16"/>
        <v>14079</v>
      </c>
      <c r="K116" s="2">
        <f t="shared" si="17"/>
        <v>2111.85</v>
      </c>
      <c r="L116" s="2">
        <f t="shared" si="18"/>
        <v>2111.85</v>
      </c>
      <c r="M116" s="58">
        <f t="shared" si="19"/>
        <v>0</v>
      </c>
      <c r="N116" s="2">
        <f t="shared" si="20"/>
        <v>106.85961</v>
      </c>
      <c r="O116" s="2">
        <f t="shared" si="21"/>
        <v>106.85961</v>
      </c>
      <c r="P116" s="2">
        <f t="shared" si="22"/>
        <v>0</v>
      </c>
      <c r="Q116" s="58">
        <f t="shared" si="23"/>
        <v>774.34500000000003</v>
      </c>
      <c r="R116" s="58">
        <v>0</v>
      </c>
      <c r="S116" s="2">
        <f t="shared" si="24"/>
        <v>774.34500000000003</v>
      </c>
      <c r="T116" s="9">
        <f t="shared" si="25"/>
        <v>14079</v>
      </c>
      <c r="U116" s="29"/>
    </row>
    <row r="117" spans="1:21" ht="28.8" x14ac:dyDescent="0.25">
      <c r="A117" s="10">
        <f>+'Banka Lis.'!B116</f>
        <v>112</v>
      </c>
      <c r="B117" s="10" t="str">
        <f>+Puantaj!C117</f>
        <v>15230987106</v>
      </c>
      <c r="C117" s="3" t="str">
        <f>+Puantaj!D117</f>
        <v>MERVE</v>
      </c>
      <c r="D117" s="3" t="str">
        <f>+Puantaj!E117</f>
        <v>POLAT</v>
      </c>
      <c r="E117" s="3" t="str">
        <f>+'Banka Lis.'!H116</f>
        <v>Bursa UludağÜniversitesi Üniveristesi Genel Sekreterlik Özel Kalem</v>
      </c>
      <c r="F117" s="33">
        <f>+Puantaj!AK117</f>
        <v>11</v>
      </c>
      <c r="G117" s="31">
        <f t="shared" si="13"/>
        <v>11913</v>
      </c>
      <c r="H117" s="56">
        <f t="shared" si="14"/>
        <v>655.21500000000003</v>
      </c>
      <c r="I117" s="57">
        <f t="shared" si="15"/>
        <v>12568.215</v>
      </c>
      <c r="J117" s="2">
        <f t="shared" si="16"/>
        <v>11913</v>
      </c>
      <c r="K117" s="2">
        <f t="shared" si="17"/>
        <v>1786.95</v>
      </c>
      <c r="L117" s="2">
        <f t="shared" si="18"/>
        <v>1786.95</v>
      </c>
      <c r="M117" s="58">
        <f t="shared" si="19"/>
        <v>0</v>
      </c>
      <c r="N117" s="2">
        <f t="shared" si="20"/>
        <v>90.419670000000011</v>
      </c>
      <c r="O117" s="2">
        <f t="shared" si="21"/>
        <v>90.419670000000011</v>
      </c>
      <c r="P117" s="2">
        <f t="shared" si="22"/>
        <v>0</v>
      </c>
      <c r="Q117" s="58">
        <f t="shared" si="23"/>
        <v>655.21500000000003</v>
      </c>
      <c r="R117" s="58">
        <v>0</v>
      </c>
      <c r="S117" s="2">
        <f t="shared" si="24"/>
        <v>655.21500000000003</v>
      </c>
      <c r="T117" s="9">
        <f t="shared" si="25"/>
        <v>11913</v>
      </c>
      <c r="U117" s="29"/>
    </row>
    <row r="118" spans="1:21" ht="28.8" x14ac:dyDescent="0.25">
      <c r="A118" s="10">
        <f>+'Banka Lis.'!B117</f>
        <v>113</v>
      </c>
      <c r="B118" s="10" t="str">
        <f>+Puantaj!C118</f>
        <v>10571458124</v>
      </c>
      <c r="C118" s="3" t="str">
        <f>+Puantaj!D118</f>
        <v>MİNE</v>
      </c>
      <c r="D118" s="3" t="str">
        <f>+Puantaj!E118</f>
        <v>AYHAN</v>
      </c>
      <c r="E118" s="3" t="str">
        <f>+'Banka Lis.'!H117</f>
        <v>Bursa UludağÜniversitesi Üniveristesi Genel Sekreterlik Özel Kalem</v>
      </c>
      <c r="F118" s="33">
        <f>+Puantaj!AK118</f>
        <v>14</v>
      </c>
      <c r="G118" s="31">
        <f t="shared" si="13"/>
        <v>15162</v>
      </c>
      <c r="H118" s="56">
        <f t="shared" si="14"/>
        <v>833.91</v>
      </c>
      <c r="I118" s="57">
        <f t="shared" si="15"/>
        <v>15995.91</v>
      </c>
      <c r="J118" s="2">
        <f t="shared" si="16"/>
        <v>15162</v>
      </c>
      <c r="K118" s="2">
        <f t="shared" si="17"/>
        <v>2274.2999999999997</v>
      </c>
      <c r="L118" s="2">
        <f t="shared" si="18"/>
        <v>2274.2999999999997</v>
      </c>
      <c r="M118" s="58">
        <f t="shared" si="19"/>
        <v>0</v>
      </c>
      <c r="N118" s="2">
        <f t="shared" si="20"/>
        <v>115.07958000000001</v>
      </c>
      <c r="O118" s="2">
        <f t="shared" si="21"/>
        <v>115.07958000000001</v>
      </c>
      <c r="P118" s="2">
        <f t="shared" si="22"/>
        <v>0</v>
      </c>
      <c r="Q118" s="58">
        <f t="shared" si="23"/>
        <v>833.91</v>
      </c>
      <c r="R118" s="58">
        <v>0</v>
      </c>
      <c r="S118" s="2">
        <f t="shared" si="24"/>
        <v>833.91</v>
      </c>
      <c r="T118" s="9">
        <f t="shared" si="25"/>
        <v>15162</v>
      </c>
      <c r="U118" s="29"/>
    </row>
    <row r="119" spans="1:21" ht="28.8" x14ac:dyDescent="0.25">
      <c r="A119" s="10">
        <f>+'Banka Lis.'!B118</f>
        <v>114</v>
      </c>
      <c r="B119" s="10" t="str">
        <f>+Puantaj!C119</f>
        <v>34438180034</v>
      </c>
      <c r="C119" s="3" t="str">
        <f>+Puantaj!D119</f>
        <v>MİRAY</v>
      </c>
      <c r="D119" s="3" t="str">
        <f>+Puantaj!E119</f>
        <v>ÖZTÜRK</v>
      </c>
      <c r="E119" s="3" t="str">
        <f>+'Banka Lis.'!H118</f>
        <v>Bursa UludağÜniversitesi Üniveristesi Genel Sekreterlik Özel Kalem</v>
      </c>
      <c r="F119" s="33">
        <f>+Puantaj!AK119</f>
        <v>13</v>
      </c>
      <c r="G119" s="31">
        <f t="shared" si="13"/>
        <v>14079</v>
      </c>
      <c r="H119" s="56">
        <f t="shared" si="14"/>
        <v>774.34500000000003</v>
      </c>
      <c r="I119" s="57">
        <f t="shared" si="15"/>
        <v>14853.344999999999</v>
      </c>
      <c r="J119" s="2">
        <f t="shared" si="16"/>
        <v>14079</v>
      </c>
      <c r="K119" s="2">
        <f t="shared" si="17"/>
        <v>2111.85</v>
      </c>
      <c r="L119" s="2">
        <f t="shared" si="18"/>
        <v>2111.85</v>
      </c>
      <c r="M119" s="58">
        <f t="shared" si="19"/>
        <v>0</v>
      </c>
      <c r="N119" s="2">
        <f t="shared" si="20"/>
        <v>106.85961</v>
      </c>
      <c r="O119" s="2">
        <f t="shared" si="21"/>
        <v>106.85961</v>
      </c>
      <c r="P119" s="2">
        <f t="shared" si="22"/>
        <v>0</v>
      </c>
      <c r="Q119" s="58">
        <f t="shared" si="23"/>
        <v>774.34500000000003</v>
      </c>
      <c r="R119" s="58">
        <v>0</v>
      </c>
      <c r="S119" s="2">
        <f t="shared" si="24"/>
        <v>774.34500000000003</v>
      </c>
      <c r="T119" s="9">
        <f t="shared" si="25"/>
        <v>14079</v>
      </c>
      <c r="U119" s="29"/>
    </row>
    <row r="120" spans="1:21" ht="28.8" x14ac:dyDescent="0.25">
      <c r="A120" s="10">
        <f>+'Banka Lis.'!B119</f>
        <v>115</v>
      </c>
      <c r="B120" s="10" t="str">
        <f>+Puantaj!C120</f>
        <v>23368084802</v>
      </c>
      <c r="C120" s="3" t="str">
        <f>+Puantaj!D120</f>
        <v>MUHAMMED AHMET</v>
      </c>
      <c r="D120" s="3" t="str">
        <f>+Puantaj!E120</f>
        <v>ASLAN</v>
      </c>
      <c r="E120" s="3" t="str">
        <f>+'Banka Lis.'!H119</f>
        <v>Bursa UludağÜniversitesi Üniveristesi Genel Sekreterlik Özel Kalem</v>
      </c>
      <c r="F120" s="33">
        <f>+Puantaj!AK120</f>
        <v>12</v>
      </c>
      <c r="G120" s="31">
        <f t="shared" si="13"/>
        <v>12996</v>
      </c>
      <c r="H120" s="56">
        <f t="shared" si="14"/>
        <v>714.78</v>
      </c>
      <c r="I120" s="57">
        <f t="shared" si="15"/>
        <v>13710.78</v>
      </c>
      <c r="J120" s="2">
        <f t="shared" si="16"/>
        <v>12996</v>
      </c>
      <c r="K120" s="2">
        <f t="shared" si="17"/>
        <v>1949.3999999999999</v>
      </c>
      <c r="L120" s="2">
        <f t="shared" si="18"/>
        <v>1949.3999999999999</v>
      </c>
      <c r="M120" s="58">
        <f t="shared" si="19"/>
        <v>0</v>
      </c>
      <c r="N120" s="2">
        <f t="shared" si="20"/>
        <v>98.63964</v>
      </c>
      <c r="O120" s="2">
        <f t="shared" si="21"/>
        <v>98.63964</v>
      </c>
      <c r="P120" s="2">
        <f t="shared" si="22"/>
        <v>0</v>
      </c>
      <c r="Q120" s="58">
        <f t="shared" si="23"/>
        <v>714.78</v>
      </c>
      <c r="R120" s="58">
        <v>0</v>
      </c>
      <c r="S120" s="2">
        <f t="shared" si="24"/>
        <v>714.78</v>
      </c>
      <c r="T120" s="9">
        <f t="shared" si="25"/>
        <v>12996</v>
      </c>
      <c r="U120" s="29"/>
    </row>
    <row r="121" spans="1:21" ht="28.8" x14ac:dyDescent="0.25">
      <c r="A121" s="10">
        <f>+'Banka Lis.'!B120</f>
        <v>116</v>
      </c>
      <c r="B121" s="10" t="str">
        <f>+Puantaj!C121</f>
        <v>10069201706</v>
      </c>
      <c r="C121" s="3" t="str">
        <f>+Puantaj!D121</f>
        <v>MUHAMMED BAKİ</v>
      </c>
      <c r="D121" s="3" t="str">
        <f>+Puantaj!E121</f>
        <v>ORAR</v>
      </c>
      <c r="E121" s="3" t="str">
        <f>+'Banka Lis.'!H120</f>
        <v>Bursa UludağÜniversitesi Üniveristesi Genel Sekreterlik Özel Kalem</v>
      </c>
      <c r="F121" s="33">
        <f>+Puantaj!AK121</f>
        <v>15</v>
      </c>
      <c r="G121" s="31">
        <f t="shared" si="13"/>
        <v>16245</v>
      </c>
      <c r="H121" s="56">
        <f t="shared" si="14"/>
        <v>893.47500000000002</v>
      </c>
      <c r="I121" s="57">
        <f t="shared" si="15"/>
        <v>17138.474999999999</v>
      </c>
      <c r="J121" s="2">
        <f t="shared" si="16"/>
        <v>16245</v>
      </c>
      <c r="K121" s="2">
        <f t="shared" si="17"/>
        <v>2436.75</v>
      </c>
      <c r="L121" s="2">
        <f t="shared" si="18"/>
        <v>2436.75</v>
      </c>
      <c r="M121" s="58">
        <f t="shared" si="19"/>
        <v>0</v>
      </c>
      <c r="N121" s="2">
        <f t="shared" si="20"/>
        <v>123.29955000000001</v>
      </c>
      <c r="O121" s="2">
        <f t="shared" si="21"/>
        <v>123.29955000000001</v>
      </c>
      <c r="P121" s="2">
        <f t="shared" si="22"/>
        <v>0</v>
      </c>
      <c r="Q121" s="58">
        <f t="shared" si="23"/>
        <v>893.47500000000002</v>
      </c>
      <c r="R121" s="58">
        <v>0</v>
      </c>
      <c r="S121" s="2">
        <f t="shared" si="24"/>
        <v>893.47500000000002</v>
      </c>
      <c r="T121" s="9">
        <f t="shared" si="25"/>
        <v>16244.999999999998</v>
      </c>
      <c r="U121" s="29"/>
    </row>
    <row r="122" spans="1:21" ht="28.8" x14ac:dyDescent="0.25">
      <c r="A122" s="10">
        <f>+'Banka Lis.'!B121</f>
        <v>117</v>
      </c>
      <c r="B122" s="10" t="str">
        <f>+Puantaj!C122</f>
        <v>10804913444</v>
      </c>
      <c r="C122" s="3" t="str">
        <f>+Puantaj!D122</f>
        <v>MUHAMMED İSMAİL</v>
      </c>
      <c r="D122" s="3" t="str">
        <f>+Puantaj!E122</f>
        <v>ERDOĞAN</v>
      </c>
      <c r="E122" s="3" t="str">
        <f>+'Banka Lis.'!H121</f>
        <v>Bursa UludağÜniversitesi Üniveristesi Genel Sekreterlik Özel Kalem</v>
      </c>
      <c r="F122" s="33">
        <f>+Puantaj!AK122</f>
        <v>13</v>
      </c>
      <c r="G122" s="31">
        <f t="shared" si="13"/>
        <v>14079</v>
      </c>
      <c r="H122" s="56">
        <f t="shared" si="14"/>
        <v>774.34500000000003</v>
      </c>
      <c r="I122" s="57">
        <f t="shared" si="15"/>
        <v>14853.344999999999</v>
      </c>
      <c r="J122" s="2">
        <f t="shared" si="16"/>
        <v>14079</v>
      </c>
      <c r="K122" s="2">
        <f t="shared" si="17"/>
        <v>2111.85</v>
      </c>
      <c r="L122" s="2">
        <f t="shared" si="18"/>
        <v>2111.85</v>
      </c>
      <c r="M122" s="58">
        <f t="shared" si="19"/>
        <v>0</v>
      </c>
      <c r="N122" s="2">
        <f t="shared" si="20"/>
        <v>106.85961</v>
      </c>
      <c r="O122" s="2">
        <f t="shared" si="21"/>
        <v>106.85961</v>
      </c>
      <c r="P122" s="2">
        <f t="shared" si="22"/>
        <v>0</v>
      </c>
      <c r="Q122" s="58">
        <f t="shared" si="23"/>
        <v>774.34500000000003</v>
      </c>
      <c r="R122" s="58">
        <v>0</v>
      </c>
      <c r="S122" s="2">
        <f t="shared" si="24"/>
        <v>774.34500000000003</v>
      </c>
      <c r="T122" s="9">
        <f t="shared" si="25"/>
        <v>14079</v>
      </c>
      <c r="U122" s="29"/>
    </row>
    <row r="123" spans="1:21" ht="28.8" x14ac:dyDescent="0.25">
      <c r="A123" s="10">
        <f>+'Banka Lis.'!B122</f>
        <v>118</v>
      </c>
      <c r="B123" s="10" t="str">
        <f>+Puantaj!C123</f>
        <v>13763788092</v>
      </c>
      <c r="C123" s="3" t="str">
        <f>+Puantaj!D123</f>
        <v>MUHAMMED YASİN</v>
      </c>
      <c r="D123" s="3" t="str">
        <f>+Puantaj!E123</f>
        <v>YILMAZ</v>
      </c>
      <c r="E123" s="3" t="str">
        <f>+'Banka Lis.'!H122</f>
        <v>Bursa UludağÜniversitesi Üniveristesi Genel Sekreterlik Özel Kalem</v>
      </c>
      <c r="F123" s="33">
        <f>+Puantaj!AK123</f>
        <v>7</v>
      </c>
      <c r="G123" s="31">
        <f t="shared" si="13"/>
        <v>7581</v>
      </c>
      <c r="H123" s="56">
        <f t="shared" si="14"/>
        <v>416.95499999999998</v>
      </c>
      <c r="I123" s="57">
        <f t="shared" si="15"/>
        <v>7997.9549999999999</v>
      </c>
      <c r="J123" s="2">
        <f t="shared" si="16"/>
        <v>7581</v>
      </c>
      <c r="K123" s="2">
        <f t="shared" si="17"/>
        <v>1137.1499999999999</v>
      </c>
      <c r="L123" s="2">
        <f t="shared" si="18"/>
        <v>1137.1499999999999</v>
      </c>
      <c r="M123" s="58">
        <f t="shared" si="19"/>
        <v>0</v>
      </c>
      <c r="N123" s="2">
        <f t="shared" si="20"/>
        <v>57.539790000000004</v>
      </c>
      <c r="O123" s="2">
        <f t="shared" si="21"/>
        <v>57.539790000000004</v>
      </c>
      <c r="P123" s="2">
        <f t="shared" si="22"/>
        <v>0</v>
      </c>
      <c r="Q123" s="58">
        <f t="shared" si="23"/>
        <v>416.95499999999998</v>
      </c>
      <c r="R123" s="58">
        <v>0</v>
      </c>
      <c r="S123" s="2">
        <f t="shared" si="24"/>
        <v>416.95499999999998</v>
      </c>
      <c r="T123" s="9">
        <f t="shared" si="25"/>
        <v>7581</v>
      </c>
      <c r="U123" s="29"/>
    </row>
    <row r="124" spans="1:21" ht="28.8" x14ac:dyDescent="0.25">
      <c r="A124" s="10">
        <f>+'Banka Lis.'!B123</f>
        <v>119</v>
      </c>
      <c r="B124" s="10" t="str">
        <f>+Puantaj!C124</f>
        <v>10456830816</v>
      </c>
      <c r="C124" s="3" t="str">
        <f>+Puantaj!D124</f>
        <v>MUHAMMET ALİ</v>
      </c>
      <c r="D124" s="3" t="str">
        <f>+Puantaj!E124</f>
        <v>KARAMAN</v>
      </c>
      <c r="E124" s="3" t="str">
        <f>+'Banka Lis.'!H123</f>
        <v>Bursa UludağÜniversitesi Üniveristesi Genel Sekreterlik Özel Kalem</v>
      </c>
      <c r="F124" s="33">
        <f>+Puantaj!AK124</f>
        <v>14</v>
      </c>
      <c r="G124" s="31">
        <f t="shared" si="13"/>
        <v>15162</v>
      </c>
      <c r="H124" s="56">
        <f t="shared" si="14"/>
        <v>833.91</v>
      </c>
      <c r="I124" s="57">
        <f t="shared" si="15"/>
        <v>15995.91</v>
      </c>
      <c r="J124" s="2">
        <f t="shared" si="16"/>
        <v>15162</v>
      </c>
      <c r="K124" s="2">
        <f t="shared" si="17"/>
        <v>2274.2999999999997</v>
      </c>
      <c r="L124" s="2">
        <f t="shared" si="18"/>
        <v>2274.2999999999997</v>
      </c>
      <c r="M124" s="58">
        <f t="shared" si="19"/>
        <v>0</v>
      </c>
      <c r="N124" s="2">
        <f t="shared" si="20"/>
        <v>115.07958000000001</v>
      </c>
      <c r="O124" s="2">
        <f t="shared" si="21"/>
        <v>115.07958000000001</v>
      </c>
      <c r="P124" s="2">
        <f t="shared" si="22"/>
        <v>0</v>
      </c>
      <c r="Q124" s="58">
        <f t="shared" si="23"/>
        <v>833.91</v>
      </c>
      <c r="R124" s="58">
        <v>0</v>
      </c>
      <c r="S124" s="2">
        <f t="shared" si="24"/>
        <v>833.91</v>
      </c>
      <c r="T124" s="9">
        <f t="shared" si="25"/>
        <v>15162</v>
      </c>
      <c r="U124" s="29"/>
    </row>
    <row r="125" spans="1:21" ht="28.8" x14ac:dyDescent="0.25">
      <c r="A125" s="10">
        <f>+'Banka Lis.'!B124</f>
        <v>120</v>
      </c>
      <c r="B125" s="10" t="str">
        <f>+Puantaj!C125</f>
        <v>34918660636</v>
      </c>
      <c r="C125" s="3" t="str">
        <f>+Puantaj!D125</f>
        <v>MUHAMMET TAHA</v>
      </c>
      <c r="D125" s="3" t="str">
        <f>+Puantaj!E125</f>
        <v>ÖZAY</v>
      </c>
      <c r="E125" s="3" t="str">
        <f>+'Banka Lis.'!H124</f>
        <v>Bursa UludağÜniversitesi Üniveristesi Genel Sekreterlik Özel Kalem</v>
      </c>
      <c r="F125" s="33">
        <f>+Puantaj!AK125</f>
        <v>13</v>
      </c>
      <c r="G125" s="31">
        <f t="shared" si="13"/>
        <v>14079</v>
      </c>
      <c r="H125" s="56">
        <f t="shared" si="14"/>
        <v>774.34500000000003</v>
      </c>
      <c r="I125" s="57">
        <f t="shared" si="15"/>
        <v>14853.344999999999</v>
      </c>
      <c r="J125" s="2">
        <f t="shared" si="16"/>
        <v>14079</v>
      </c>
      <c r="K125" s="2">
        <f t="shared" si="17"/>
        <v>2111.85</v>
      </c>
      <c r="L125" s="2">
        <f t="shared" si="18"/>
        <v>2111.85</v>
      </c>
      <c r="M125" s="58">
        <f t="shared" si="19"/>
        <v>0</v>
      </c>
      <c r="N125" s="2">
        <f t="shared" si="20"/>
        <v>106.85961</v>
      </c>
      <c r="O125" s="2">
        <f t="shared" si="21"/>
        <v>106.85961</v>
      </c>
      <c r="P125" s="2">
        <f t="shared" si="22"/>
        <v>0</v>
      </c>
      <c r="Q125" s="58">
        <f t="shared" si="23"/>
        <v>774.34500000000003</v>
      </c>
      <c r="R125" s="58">
        <v>0</v>
      </c>
      <c r="S125" s="2">
        <f t="shared" si="24"/>
        <v>774.34500000000003</v>
      </c>
      <c r="T125" s="9">
        <f t="shared" si="25"/>
        <v>14079</v>
      </c>
      <c r="U125" s="29"/>
    </row>
    <row r="126" spans="1:21" ht="28.8" x14ac:dyDescent="0.25">
      <c r="A126" s="10">
        <f>+'Banka Lis.'!B125</f>
        <v>121</v>
      </c>
      <c r="B126" s="10" t="str">
        <f>+Puantaj!C126</f>
        <v>32752953624</v>
      </c>
      <c r="C126" s="3" t="str">
        <f>+Puantaj!D126</f>
        <v>MUHSİN</v>
      </c>
      <c r="D126" s="3" t="str">
        <f>+Puantaj!E126</f>
        <v>YILMAZ</v>
      </c>
      <c r="E126" s="3" t="str">
        <f>+'Banka Lis.'!H125</f>
        <v>Bursa UludağÜniversitesi Üniveristesi Genel Sekreterlik Özel Kalem</v>
      </c>
      <c r="F126" s="33">
        <f>+Puantaj!AK126</f>
        <v>13</v>
      </c>
      <c r="G126" s="31">
        <f t="shared" si="13"/>
        <v>14079</v>
      </c>
      <c r="H126" s="56">
        <f t="shared" si="14"/>
        <v>774.34500000000003</v>
      </c>
      <c r="I126" s="57">
        <f t="shared" si="15"/>
        <v>14853.344999999999</v>
      </c>
      <c r="J126" s="2">
        <f t="shared" si="16"/>
        <v>14079</v>
      </c>
      <c r="K126" s="2">
        <f t="shared" si="17"/>
        <v>2111.85</v>
      </c>
      <c r="L126" s="2">
        <f t="shared" si="18"/>
        <v>2111.85</v>
      </c>
      <c r="M126" s="58">
        <f t="shared" si="19"/>
        <v>0</v>
      </c>
      <c r="N126" s="2">
        <f t="shared" si="20"/>
        <v>106.85961</v>
      </c>
      <c r="O126" s="2">
        <f t="shared" si="21"/>
        <v>106.85961</v>
      </c>
      <c r="P126" s="2">
        <f t="shared" si="22"/>
        <v>0</v>
      </c>
      <c r="Q126" s="58">
        <f t="shared" si="23"/>
        <v>774.34500000000003</v>
      </c>
      <c r="R126" s="58">
        <v>0</v>
      </c>
      <c r="S126" s="2">
        <f t="shared" si="24"/>
        <v>774.34500000000003</v>
      </c>
      <c r="T126" s="9">
        <f t="shared" si="25"/>
        <v>14079</v>
      </c>
      <c r="U126" s="29"/>
    </row>
    <row r="127" spans="1:21" ht="28.8" x14ac:dyDescent="0.25">
      <c r="A127" s="10">
        <f>+'Banka Lis.'!B126</f>
        <v>122</v>
      </c>
      <c r="B127" s="10" t="str">
        <f>+Puantaj!C127</f>
        <v>19852021132</v>
      </c>
      <c r="C127" s="3" t="str">
        <f>+Puantaj!D127</f>
        <v>MURAT CAN</v>
      </c>
      <c r="D127" s="3" t="str">
        <f>+Puantaj!E127</f>
        <v>DEĞRİ</v>
      </c>
      <c r="E127" s="3" t="str">
        <f>+'Banka Lis.'!H126</f>
        <v>Bursa UludağÜniversitesi Üniveristesi Genel Sekreterlik Özel Kalem</v>
      </c>
      <c r="F127" s="33">
        <f>+Puantaj!AK127</f>
        <v>13</v>
      </c>
      <c r="G127" s="31">
        <f t="shared" si="13"/>
        <v>14079</v>
      </c>
      <c r="H127" s="56">
        <f t="shared" si="14"/>
        <v>774.34500000000003</v>
      </c>
      <c r="I127" s="57">
        <f t="shared" si="15"/>
        <v>14853.344999999999</v>
      </c>
      <c r="J127" s="2">
        <f t="shared" si="16"/>
        <v>14079</v>
      </c>
      <c r="K127" s="2">
        <f t="shared" si="17"/>
        <v>2111.85</v>
      </c>
      <c r="L127" s="2">
        <f t="shared" si="18"/>
        <v>2111.85</v>
      </c>
      <c r="M127" s="58">
        <f t="shared" si="19"/>
        <v>0</v>
      </c>
      <c r="N127" s="2">
        <f t="shared" si="20"/>
        <v>106.85961</v>
      </c>
      <c r="O127" s="2">
        <f t="shared" si="21"/>
        <v>106.85961</v>
      </c>
      <c r="P127" s="2">
        <f t="shared" si="22"/>
        <v>0</v>
      </c>
      <c r="Q127" s="58">
        <f t="shared" si="23"/>
        <v>774.34500000000003</v>
      </c>
      <c r="R127" s="58">
        <v>0</v>
      </c>
      <c r="S127" s="2">
        <f t="shared" si="24"/>
        <v>774.34500000000003</v>
      </c>
      <c r="T127" s="9">
        <f t="shared" si="25"/>
        <v>14079</v>
      </c>
      <c r="U127" s="29"/>
    </row>
    <row r="128" spans="1:21" ht="28.8" x14ac:dyDescent="0.25">
      <c r="A128" s="10">
        <f>+'Banka Lis.'!B127</f>
        <v>123</v>
      </c>
      <c r="B128" s="10" t="str">
        <f>+Puantaj!C128</f>
        <v>10498595988</v>
      </c>
      <c r="C128" s="3" t="str">
        <f>+Puantaj!D128</f>
        <v>MUSA</v>
      </c>
      <c r="D128" s="3" t="str">
        <f>+Puantaj!E128</f>
        <v>ÇEÇEN</v>
      </c>
      <c r="E128" s="3" t="str">
        <f>+'Banka Lis.'!H127</f>
        <v>Bursa UludağÜniversitesi Üniveristesi Genel Sekreterlik Özel Kalem</v>
      </c>
      <c r="F128" s="33">
        <f>+Puantaj!AK128</f>
        <v>14</v>
      </c>
      <c r="G128" s="31">
        <f t="shared" si="13"/>
        <v>15162</v>
      </c>
      <c r="H128" s="56">
        <f t="shared" si="14"/>
        <v>833.91</v>
      </c>
      <c r="I128" s="57">
        <f t="shared" si="15"/>
        <v>15995.91</v>
      </c>
      <c r="J128" s="2">
        <f t="shared" si="16"/>
        <v>15162</v>
      </c>
      <c r="K128" s="2">
        <f t="shared" si="17"/>
        <v>2274.2999999999997</v>
      </c>
      <c r="L128" s="2">
        <f t="shared" si="18"/>
        <v>2274.2999999999997</v>
      </c>
      <c r="M128" s="58">
        <f t="shared" si="19"/>
        <v>0</v>
      </c>
      <c r="N128" s="2">
        <f t="shared" si="20"/>
        <v>115.07958000000001</v>
      </c>
      <c r="O128" s="2">
        <f t="shared" si="21"/>
        <v>115.07958000000001</v>
      </c>
      <c r="P128" s="2">
        <f t="shared" si="22"/>
        <v>0</v>
      </c>
      <c r="Q128" s="58">
        <f t="shared" si="23"/>
        <v>833.91</v>
      </c>
      <c r="R128" s="58">
        <v>0</v>
      </c>
      <c r="S128" s="2">
        <f t="shared" si="24"/>
        <v>833.91</v>
      </c>
      <c r="T128" s="9">
        <f t="shared" si="25"/>
        <v>15162</v>
      </c>
      <c r="U128" s="29"/>
    </row>
    <row r="129" spans="1:21" ht="28.8" x14ac:dyDescent="0.25">
      <c r="A129" s="10">
        <f>+'Banka Lis.'!B128</f>
        <v>124</v>
      </c>
      <c r="B129" s="10" t="str">
        <f>+Puantaj!C129</f>
        <v>11015801254</v>
      </c>
      <c r="C129" s="3" t="str">
        <f>+Puantaj!D129</f>
        <v>MUSA</v>
      </c>
      <c r="D129" s="3" t="str">
        <f>+Puantaj!E129</f>
        <v>SÜRME</v>
      </c>
      <c r="E129" s="3" t="str">
        <f>+'Banka Lis.'!H128</f>
        <v>Bursa UludağÜniversitesi Üniveristesi Genel Sekreterlik Özel Kalem</v>
      </c>
      <c r="F129" s="33">
        <f>+Puantaj!AK129</f>
        <v>11</v>
      </c>
      <c r="G129" s="31">
        <f t="shared" si="13"/>
        <v>11913</v>
      </c>
      <c r="H129" s="56">
        <f t="shared" si="14"/>
        <v>655.21500000000003</v>
      </c>
      <c r="I129" s="57">
        <f t="shared" si="15"/>
        <v>12568.215</v>
      </c>
      <c r="J129" s="2">
        <f t="shared" si="16"/>
        <v>11913</v>
      </c>
      <c r="K129" s="2">
        <f t="shared" si="17"/>
        <v>1786.95</v>
      </c>
      <c r="L129" s="2">
        <f t="shared" si="18"/>
        <v>1786.95</v>
      </c>
      <c r="M129" s="58">
        <f t="shared" si="19"/>
        <v>0</v>
      </c>
      <c r="N129" s="2">
        <f t="shared" si="20"/>
        <v>90.419670000000011</v>
      </c>
      <c r="O129" s="2">
        <f t="shared" si="21"/>
        <v>90.419670000000011</v>
      </c>
      <c r="P129" s="2">
        <f t="shared" si="22"/>
        <v>0</v>
      </c>
      <c r="Q129" s="58">
        <f t="shared" si="23"/>
        <v>655.21500000000003</v>
      </c>
      <c r="R129" s="58">
        <v>0</v>
      </c>
      <c r="S129" s="2">
        <f t="shared" si="24"/>
        <v>655.21500000000003</v>
      </c>
      <c r="T129" s="9">
        <f t="shared" si="25"/>
        <v>11913</v>
      </c>
      <c r="U129" s="29"/>
    </row>
    <row r="130" spans="1:21" ht="28.8" x14ac:dyDescent="0.25">
      <c r="A130" s="10">
        <f>+'Banka Lis.'!B129</f>
        <v>125</v>
      </c>
      <c r="B130" s="10" t="str">
        <f>+Puantaj!C130</f>
        <v>43654206572</v>
      </c>
      <c r="C130" s="3" t="str">
        <f>+Puantaj!D130</f>
        <v>MUSTAFA ALİ</v>
      </c>
      <c r="D130" s="3" t="str">
        <f>+Puantaj!E130</f>
        <v>ARSLAN</v>
      </c>
      <c r="E130" s="3" t="str">
        <f>+'Banka Lis.'!H129</f>
        <v>Bursa UludağÜniversitesi Üniveristesi Genel Sekreterlik Özel Kalem</v>
      </c>
      <c r="F130" s="33">
        <f>+Puantaj!AK130</f>
        <v>9</v>
      </c>
      <c r="G130" s="31">
        <f t="shared" si="13"/>
        <v>9747</v>
      </c>
      <c r="H130" s="56">
        <f t="shared" si="14"/>
        <v>536.08500000000004</v>
      </c>
      <c r="I130" s="57">
        <f t="shared" si="15"/>
        <v>10283.084999999999</v>
      </c>
      <c r="J130" s="2">
        <f t="shared" si="16"/>
        <v>9747</v>
      </c>
      <c r="K130" s="2">
        <f t="shared" si="17"/>
        <v>1462.05</v>
      </c>
      <c r="L130" s="2">
        <f t="shared" si="18"/>
        <v>1462.05</v>
      </c>
      <c r="M130" s="58">
        <f t="shared" si="19"/>
        <v>0</v>
      </c>
      <c r="N130" s="2">
        <f t="shared" si="20"/>
        <v>73.979730000000004</v>
      </c>
      <c r="O130" s="2">
        <f t="shared" si="21"/>
        <v>73.979730000000004</v>
      </c>
      <c r="P130" s="2">
        <f t="shared" si="22"/>
        <v>0</v>
      </c>
      <c r="Q130" s="58">
        <f t="shared" si="23"/>
        <v>536.08500000000004</v>
      </c>
      <c r="R130" s="58">
        <v>0</v>
      </c>
      <c r="S130" s="2">
        <f t="shared" si="24"/>
        <v>536.08500000000004</v>
      </c>
      <c r="T130" s="9">
        <f t="shared" si="25"/>
        <v>9747</v>
      </c>
      <c r="U130" s="29"/>
    </row>
    <row r="131" spans="1:21" ht="28.8" x14ac:dyDescent="0.25">
      <c r="A131" s="10">
        <f>+'Banka Lis.'!B130</f>
        <v>126</v>
      </c>
      <c r="B131" s="10" t="str">
        <f>+Puantaj!C131</f>
        <v>10451501322</v>
      </c>
      <c r="C131" s="3" t="str">
        <f>+Puantaj!D131</f>
        <v>MUSTAFA</v>
      </c>
      <c r="D131" s="3" t="str">
        <f>+Puantaj!E131</f>
        <v>GÖKTAŞ</v>
      </c>
      <c r="E131" s="3" t="str">
        <f>+'Banka Lis.'!H130</f>
        <v>Bursa UludağÜniversitesi Üniveristesi Genel Sekreterlik Özel Kalem</v>
      </c>
      <c r="F131" s="33">
        <f>+Puantaj!AK131</f>
        <v>14</v>
      </c>
      <c r="G131" s="31">
        <f t="shared" si="13"/>
        <v>15162</v>
      </c>
      <c r="H131" s="56">
        <f t="shared" si="14"/>
        <v>833.91</v>
      </c>
      <c r="I131" s="57">
        <f t="shared" si="15"/>
        <v>15995.91</v>
      </c>
      <c r="J131" s="2">
        <f t="shared" si="16"/>
        <v>15162</v>
      </c>
      <c r="K131" s="2">
        <f t="shared" si="17"/>
        <v>2274.2999999999997</v>
      </c>
      <c r="L131" s="2">
        <f t="shared" si="18"/>
        <v>2274.2999999999997</v>
      </c>
      <c r="M131" s="58">
        <f t="shared" si="19"/>
        <v>0</v>
      </c>
      <c r="N131" s="2">
        <f t="shared" si="20"/>
        <v>115.07958000000001</v>
      </c>
      <c r="O131" s="2">
        <f t="shared" si="21"/>
        <v>115.07958000000001</v>
      </c>
      <c r="P131" s="2">
        <f t="shared" si="22"/>
        <v>0</v>
      </c>
      <c r="Q131" s="58">
        <f t="shared" si="23"/>
        <v>833.91</v>
      </c>
      <c r="R131" s="58">
        <v>0</v>
      </c>
      <c r="S131" s="2">
        <f t="shared" si="24"/>
        <v>833.91</v>
      </c>
      <c r="T131" s="9">
        <f t="shared" si="25"/>
        <v>15162</v>
      </c>
      <c r="U131" s="29"/>
    </row>
    <row r="132" spans="1:21" ht="28.8" x14ac:dyDescent="0.25">
      <c r="A132" s="10">
        <f>+'Banka Lis.'!B131</f>
        <v>127</v>
      </c>
      <c r="B132" s="10" t="str">
        <f>+Puantaj!C132</f>
        <v>12511913564</v>
      </c>
      <c r="C132" s="3" t="str">
        <f>+Puantaj!D132</f>
        <v>MUSTAFA</v>
      </c>
      <c r="D132" s="3" t="str">
        <f>+Puantaj!E132</f>
        <v>ORHAN</v>
      </c>
      <c r="E132" s="3" t="str">
        <f>+'Banka Lis.'!H131</f>
        <v>Bursa UludağÜniversitesi Üniveristesi Genel Sekreterlik Özel Kalem</v>
      </c>
      <c r="F132" s="33">
        <f>+Puantaj!AK132</f>
        <v>12</v>
      </c>
      <c r="G132" s="31">
        <f t="shared" si="13"/>
        <v>12996</v>
      </c>
      <c r="H132" s="56">
        <f t="shared" si="14"/>
        <v>714.78</v>
      </c>
      <c r="I132" s="57">
        <f t="shared" si="15"/>
        <v>13710.78</v>
      </c>
      <c r="J132" s="2">
        <f t="shared" si="16"/>
        <v>12996</v>
      </c>
      <c r="K132" s="2">
        <f t="shared" si="17"/>
        <v>1949.3999999999999</v>
      </c>
      <c r="L132" s="2">
        <f t="shared" si="18"/>
        <v>1949.3999999999999</v>
      </c>
      <c r="M132" s="58">
        <f t="shared" si="19"/>
        <v>0</v>
      </c>
      <c r="N132" s="2">
        <f t="shared" si="20"/>
        <v>98.63964</v>
      </c>
      <c r="O132" s="2">
        <f t="shared" si="21"/>
        <v>98.63964</v>
      </c>
      <c r="P132" s="2">
        <f t="shared" si="22"/>
        <v>0</v>
      </c>
      <c r="Q132" s="58">
        <f t="shared" si="23"/>
        <v>714.78</v>
      </c>
      <c r="R132" s="58">
        <v>0</v>
      </c>
      <c r="S132" s="2">
        <f t="shared" si="24"/>
        <v>714.78</v>
      </c>
      <c r="T132" s="9">
        <f t="shared" si="25"/>
        <v>12996</v>
      </c>
      <c r="U132" s="29"/>
    </row>
    <row r="133" spans="1:21" ht="28.8" x14ac:dyDescent="0.25">
      <c r="A133" s="10">
        <f>+'Banka Lis.'!B132</f>
        <v>128</v>
      </c>
      <c r="B133" s="10" t="str">
        <f>+Puantaj!C133</f>
        <v>14613052462</v>
      </c>
      <c r="C133" s="3" t="str">
        <f>+Puantaj!D133</f>
        <v>MUSTAFA YUSUF</v>
      </c>
      <c r="D133" s="3" t="str">
        <f>+Puantaj!E133</f>
        <v>HASIRCI</v>
      </c>
      <c r="E133" s="3" t="str">
        <f>+'Banka Lis.'!H132</f>
        <v>Bursa UludağÜniversitesi Üniveristesi Genel Sekreterlik Özel Kalem</v>
      </c>
      <c r="F133" s="33">
        <f>+Puantaj!AK133</f>
        <v>11</v>
      </c>
      <c r="G133" s="31">
        <f t="shared" si="13"/>
        <v>11913</v>
      </c>
      <c r="H133" s="56">
        <f t="shared" si="14"/>
        <v>655.21500000000003</v>
      </c>
      <c r="I133" s="57">
        <f t="shared" si="15"/>
        <v>12568.215</v>
      </c>
      <c r="J133" s="2">
        <f t="shared" si="16"/>
        <v>11913</v>
      </c>
      <c r="K133" s="2">
        <f t="shared" si="17"/>
        <v>1786.95</v>
      </c>
      <c r="L133" s="2">
        <f t="shared" si="18"/>
        <v>1786.95</v>
      </c>
      <c r="M133" s="58">
        <f t="shared" si="19"/>
        <v>0</v>
      </c>
      <c r="N133" s="2">
        <f t="shared" si="20"/>
        <v>90.419670000000011</v>
      </c>
      <c r="O133" s="2">
        <f t="shared" si="21"/>
        <v>90.419670000000011</v>
      </c>
      <c r="P133" s="2">
        <f t="shared" si="22"/>
        <v>0</v>
      </c>
      <c r="Q133" s="58">
        <f t="shared" si="23"/>
        <v>655.21500000000003</v>
      </c>
      <c r="R133" s="58">
        <v>0</v>
      </c>
      <c r="S133" s="2">
        <f t="shared" si="24"/>
        <v>655.21500000000003</v>
      </c>
      <c r="T133" s="9">
        <f t="shared" si="25"/>
        <v>11913</v>
      </c>
      <c r="U133" s="29"/>
    </row>
    <row r="134" spans="1:21" ht="28.8" x14ac:dyDescent="0.25">
      <c r="A134" s="10">
        <f>+'Banka Lis.'!B133</f>
        <v>129</v>
      </c>
      <c r="B134" s="10" t="str">
        <f>+Puantaj!C134</f>
        <v>20317547234</v>
      </c>
      <c r="C134" s="3" t="str">
        <f>+Puantaj!D134</f>
        <v>MÜSLÜM</v>
      </c>
      <c r="D134" s="3" t="str">
        <f>+Puantaj!E134</f>
        <v>GÖNDER</v>
      </c>
      <c r="E134" s="3" t="str">
        <f>+'Banka Lis.'!H133</f>
        <v>Bursa UludağÜniversitesi Üniveristesi Genel Sekreterlik Özel Kalem</v>
      </c>
      <c r="F134" s="33">
        <f>+Puantaj!AK134</f>
        <v>12</v>
      </c>
      <c r="G134" s="31">
        <f t="shared" si="13"/>
        <v>12996</v>
      </c>
      <c r="H134" s="56">
        <f t="shared" si="14"/>
        <v>714.78</v>
      </c>
      <c r="I134" s="57">
        <f t="shared" si="15"/>
        <v>13710.78</v>
      </c>
      <c r="J134" s="2">
        <f t="shared" si="16"/>
        <v>12996</v>
      </c>
      <c r="K134" s="2">
        <f t="shared" si="17"/>
        <v>1949.3999999999999</v>
      </c>
      <c r="L134" s="2">
        <f t="shared" si="18"/>
        <v>1949.3999999999999</v>
      </c>
      <c r="M134" s="58">
        <f t="shared" si="19"/>
        <v>0</v>
      </c>
      <c r="N134" s="2">
        <f t="shared" si="20"/>
        <v>98.63964</v>
      </c>
      <c r="O134" s="2">
        <f t="shared" si="21"/>
        <v>98.63964</v>
      </c>
      <c r="P134" s="2">
        <f t="shared" si="22"/>
        <v>0</v>
      </c>
      <c r="Q134" s="58">
        <f t="shared" si="23"/>
        <v>714.78</v>
      </c>
      <c r="R134" s="58">
        <v>0</v>
      </c>
      <c r="S134" s="2">
        <f t="shared" si="24"/>
        <v>714.78</v>
      </c>
      <c r="T134" s="9">
        <f t="shared" si="25"/>
        <v>12996</v>
      </c>
      <c r="U134" s="29"/>
    </row>
    <row r="135" spans="1:21" ht="28.8" x14ac:dyDescent="0.25">
      <c r="A135" s="10">
        <f>+'Banka Lis.'!B134</f>
        <v>130</v>
      </c>
      <c r="B135" s="10" t="str">
        <f>+Puantaj!C135</f>
        <v>10256534488</v>
      </c>
      <c r="C135" s="3" t="str">
        <f>+Puantaj!D135</f>
        <v>NATİA SELVİ</v>
      </c>
      <c r="D135" s="3" t="str">
        <f>+Puantaj!E135</f>
        <v>GÖG</v>
      </c>
      <c r="E135" s="3" t="str">
        <f>+'Banka Lis.'!H134</f>
        <v>Bursa UludağÜniversitesi Üniveristesi Genel Sekreterlik Özel Kalem</v>
      </c>
      <c r="F135" s="33">
        <f>+Puantaj!AK135</f>
        <v>11</v>
      </c>
      <c r="G135" s="31">
        <f t="shared" ref="G135:G193" si="26">F135*1083</f>
        <v>11913</v>
      </c>
      <c r="H135" s="56">
        <f t="shared" ref="H135:H193" si="27">G135*0.055</f>
        <v>655.21500000000003</v>
      </c>
      <c r="I135" s="57">
        <f t="shared" ref="I135:I193" si="28">G135+H135</f>
        <v>12568.215</v>
      </c>
      <c r="J135" s="2">
        <f t="shared" ref="J135:J193" si="29">+G135</f>
        <v>11913</v>
      </c>
      <c r="K135" s="2">
        <f t="shared" ref="K135:K193" si="30">J135*0.15</f>
        <v>1786.95</v>
      </c>
      <c r="L135" s="2">
        <f t="shared" ref="L135:L193" si="31">IF(J135*0.15&gt;K135,K135,J135*0.15)</f>
        <v>1786.95</v>
      </c>
      <c r="M135" s="58">
        <f t="shared" ref="M135:M193" si="32">IF(K135-L135&gt;0,K135-L135,0)</f>
        <v>0</v>
      </c>
      <c r="N135" s="2">
        <f t="shared" ref="N135:N193" si="33">G135*0.00759</f>
        <v>90.419670000000011</v>
      </c>
      <c r="O135" s="2">
        <f t="shared" ref="O135:O193" si="34">IF(G135*0.00759&gt;G135,197.38,G135*0.00759)</f>
        <v>90.419670000000011</v>
      </c>
      <c r="P135" s="2">
        <f t="shared" ref="P135:P193" si="35">IF(N135-O135&gt;0,N135-O135,0)</f>
        <v>0</v>
      </c>
      <c r="Q135" s="58">
        <f t="shared" ref="Q135:Q193" si="36">+H135</f>
        <v>655.21500000000003</v>
      </c>
      <c r="R135" s="58">
        <v>0</v>
      </c>
      <c r="S135" s="2">
        <f t="shared" ref="S135:S193" si="37">R135+Q135</f>
        <v>655.21500000000003</v>
      </c>
      <c r="T135" s="9">
        <f t="shared" ref="T135:T193" si="38">I135-S135</f>
        <v>11913</v>
      </c>
      <c r="U135" s="29"/>
    </row>
    <row r="136" spans="1:21" ht="28.8" x14ac:dyDescent="0.25">
      <c r="A136" s="10">
        <f>+'Banka Lis.'!B135</f>
        <v>131</v>
      </c>
      <c r="B136" s="10" t="str">
        <f>+Puantaj!C136</f>
        <v>10135362348</v>
      </c>
      <c r="C136" s="3" t="str">
        <f>+Puantaj!D136</f>
        <v>NAZIM</v>
      </c>
      <c r="D136" s="3" t="str">
        <f>+Puantaj!E136</f>
        <v>SEYDEL</v>
      </c>
      <c r="E136" s="3" t="str">
        <f>+'Banka Lis.'!H135</f>
        <v>Bursa UludağÜniversitesi Üniveristesi Genel Sekreterlik Özel Kalem</v>
      </c>
      <c r="F136" s="33">
        <f>+Puantaj!AK136</f>
        <v>9</v>
      </c>
      <c r="G136" s="31">
        <f t="shared" si="26"/>
        <v>9747</v>
      </c>
      <c r="H136" s="56">
        <f t="shared" si="27"/>
        <v>536.08500000000004</v>
      </c>
      <c r="I136" s="57">
        <f t="shared" si="28"/>
        <v>10283.084999999999</v>
      </c>
      <c r="J136" s="2">
        <f t="shared" si="29"/>
        <v>9747</v>
      </c>
      <c r="K136" s="2">
        <f t="shared" si="30"/>
        <v>1462.05</v>
      </c>
      <c r="L136" s="2">
        <f t="shared" si="31"/>
        <v>1462.05</v>
      </c>
      <c r="M136" s="58">
        <f t="shared" si="32"/>
        <v>0</v>
      </c>
      <c r="N136" s="2">
        <f t="shared" si="33"/>
        <v>73.979730000000004</v>
      </c>
      <c r="O136" s="2">
        <f t="shared" si="34"/>
        <v>73.979730000000004</v>
      </c>
      <c r="P136" s="2">
        <f t="shared" si="35"/>
        <v>0</v>
      </c>
      <c r="Q136" s="58">
        <f t="shared" si="36"/>
        <v>536.08500000000004</v>
      </c>
      <c r="R136" s="58">
        <v>0</v>
      </c>
      <c r="S136" s="2">
        <f t="shared" si="37"/>
        <v>536.08500000000004</v>
      </c>
      <c r="T136" s="9">
        <f t="shared" si="38"/>
        <v>9747</v>
      </c>
      <c r="U136" s="29"/>
    </row>
    <row r="137" spans="1:21" ht="28.8" x14ac:dyDescent="0.25">
      <c r="A137" s="10">
        <f>+'Banka Lis.'!B136</f>
        <v>132</v>
      </c>
      <c r="B137" s="10" t="str">
        <f>+Puantaj!C137</f>
        <v>10039820036</v>
      </c>
      <c r="C137" s="3" t="str">
        <f>+Puantaj!D137</f>
        <v>NERGİS</v>
      </c>
      <c r="D137" s="3" t="str">
        <f>+Puantaj!E137</f>
        <v>ÖZTÜRK</v>
      </c>
      <c r="E137" s="3" t="str">
        <f>+'Banka Lis.'!H136</f>
        <v>Bursa UludağÜniversitesi Üniveristesi Genel Sekreterlik Özel Kalem</v>
      </c>
      <c r="F137" s="33">
        <f>+Puantaj!AK137</f>
        <v>13</v>
      </c>
      <c r="G137" s="31">
        <f t="shared" si="26"/>
        <v>14079</v>
      </c>
      <c r="H137" s="56">
        <f t="shared" si="27"/>
        <v>774.34500000000003</v>
      </c>
      <c r="I137" s="57">
        <f t="shared" si="28"/>
        <v>14853.344999999999</v>
      </c>
      <c r="J137" s="2">
        <f t="shared" si="29"/>
        <v>14079</v>
      </c>
      <c r="K137" s="2">
        <f t="shared" si="30"/>
        <v>2111.85</v>
      </c>
      <c r="L137" s="2">
        <f t="shared" si="31"/>
        <v>2111.85</v>
      </c>
      <c r="M137" s="58">
        <f t="shared" si="32"/>
        <v>0</v>
      </c>
      <c r="N137" s="2">
        <f t="shared" si="33"/>
        <v>106.85961</v>
      </c>
      <c r="O137" s="2">
        <f t="shared" si="34"/>
        <v>106.85961</v>
      </c>
      <c r="P137" s="2">
        <f t="shared" si="35"/>
        <v>0</v>
      </c>
      <c r="Q137" s="58">
        <f t="shared" si="36"/>
        <v>774.34500000000003</v>
      </c>
      <c r="R137" s="58">
        <v>0</v>
      </c>
      <c r="S137" s="2">
        <f t="shared" si="37"/>
        <v>774.34500000000003</v>
      </c>
      <c r="T137" s="9">
        <f t="shared" si="38"/>
        <v>14079</v>
      </c>
      <c r="U137" s="29"/>
    </row>
    <row r="138" spans="1:21" ht="28.8" x14ac:dyDescent="0.25">
      <c r="A138" s="10">
        <f>+'Banka Lis.'!B137</f>
        <v>133</v>
      </c>
      <c r="B138" s="10" t="str">
        <f>+Puantaj!C138</f>
        <v>43234882790</v>
      </c>
      <c r="C138" s="3" t="str">
        <f>+Puantaj!D138</f>
        <v>NESİBE</v>
      </c>
      <c r="D138" s="3" t="str">
        <f>+Puantaj!E138</f>
        <v>KARAGÖZ</v>
      </c>
      <c r="E138" s="3" t="str">
        <f>+'Banka Lis.'!H137</f>
        <v>Bursa UludağÜniversitesi Üniveristesi Genel Sekreterlik Özel Kalem</v>
      </c>
      <c r="F138" s="33">
        <f>+Puantaj!AK138</f>
        <v>11</v>
      </c>
      <c r="G138" s="31">
        <f t="shared" si="26"/>
        <v>11913</v>
      </c>
      <c r="H138" s="56">
        <f t="shared" si="27"/>
        <v>655.21500000000003</v>
      </c>
      <c r="I138" s="57">
        <f t="shared" si="28"/>
        <v>12568.215</v>
      </c>
      <c r="J138" s="2">
        <f t="shared" si="29"/>
        <v>11913</v>
      </c>
      <c r="K138" s="2">
        <f t="shared" si="30"/>
        <v>1786.95</v>
      </c>
      <c r="L138" s="2">
        <f t="shared" si="31"/>
        <v>1786.95</v>
      </c>
      <c r="M138" s="58">
        <f t="shared" si="32"/>
        <v>0</v>
      </c>
      <c r="N138" s="2">
        <f t="shared" si="33"/>
        <v>90.419670000000011</v>
      </c>
      <c r="O138" s="2">
        <f t="shared" si="34"/>
        <v>90.419670000000011</v>
      </c>
      <c r="P138" s="2">
        <f t="shared" si="35"/>
        <v>0</v>
      </c>
      <c r="Q138" s="58">
        <f t="shared" si="36"/>
        <v>655.21500000000003</v>
      </c>
      <c r="R138" s="58">
        <v>0</v>
      </c>
      <c r="S138" s="2">
        <f t="shared" si="37"/>
        <v>655.21500000000003</v>
      </c>
      <c r="T138" s="9">
        <f t="shared" si="38"/>
        <v>11913</v>
      </c>
      <c r="U138" s="29"/>
    </row>
    <row r="139" spans="1:21" ht="28.8" x14ac:dyDescent="0.25">
      <c r="A139" s="10">
        <f>+'Banka Lis.'!B138</f>
        <v>134</v>
      </c>
      <c r="B139" s="10" t="str">
        <f>+Puantaj!C139</f>
        <v>25301005400</v>
      </c>
      <c r="C139" s="3" t="str">
        <f>+Puantaj!D139</f>
        <v>NESİBE</v>
      </c>
      <c r="D139" s="3" t="str">
        <f>+Puantaj!E139</f>
        <v>SUNA</v>
      </c>
      <c r="E139" s="3" t="str">
        <f>+'Banka Lis.'!H138</f>
        <v>Bursa UludağÜniversitesi Üniveristesi Genel Sekreterlik Özel Kalem</v>
      </c>
      <c r="F139" s="33">
        <f>+Puantaj!AK139</f>
        <v>14</v>
      </c>
      <c r="G139" s="31">
        <f t="shared" si="26"/>
        <v>15162</v>
      </c>
      <c r="H139" s="56">
        <f t="shared" si="27"/>
        <v>833.91</v>
      </c>
      <c r="I139" s="57">
        <f t="shared" si="28"/>
        <v>15995.91</v>
      </c>
      <c r="J139" s="2">
        <f t="shared" si="29"/>
        <v>15162</v>
      </c>
      <c r="K139" s="2">
        <f t="shared" si="30"/>
        <v>2274.2999999999997</v>
      </c>
      <c r="L139" s="2">
        <f t="shared" si="31"/>
        <v>2274.2999999999997</v>
      </c>
      <c r="M139" s="58">
        <f t="shared" si="32"/>
        <v>0</v>
      </c>
      <c r="N139" s="2">
        <f t="shared" si="33"/>
        <v>115.07958000000001</v>
      </c>
      <c r="O139" s="2">
        <f t="shared" si="34"/>
        <v>115.07958000000001</v>
      </c>
      <c r="P139" s="2">
        <f t="shared" si="35"/>
        <v>0</v>
      </c>
      <c r="Q139" s="58">
        <f t="shared" si="36"/>
        <v>833.91</v>
      </c>
      <c r="R139" s="58">
        <v>0</v>
      </c>
      <c r="S139" s="2">
        <f t="shared" si="37"/>
        <v>833.91</v>
      </c>
      <c r="T139" s="9">
        <f t="shared" si="38"/>
        <v>15162</v>
      </c>
      <c r="U139" s="29"/>
    </row>
    <row r="140" spans="1:21" ht="28.8" x14ac:dyDescent="0.25">
      <c r="A140" s="10">
        <f>+'Banka Lis.'!B139</f>
        <v>135</v>
      </c>
      <c r="B140" s="10" t="str">
        <f>+Puantaj!C140</f>
        <v>10334932038</v>
      </c>
      <c r="C140" s="3" t="str">
        <f>+Puantaj!D140</f>
        <v>NİSA</v>
      </c>
      <c r="D140" s="3" t="str">
        <f>+Puantaj!E140</f>
        <v>ŞAHİN</v>
      </c>
      <c r="E140" s="3" t="str">
        <f>+'Banka Lis.'!H139</f>
        <v>Bursa UludağÜniversitesi Üniveristesi Genel Sekreterlik Özel Kalem</v>
      </c>
      <c r="F140" s="33">
        <f>+Puantaj!AK140</f>
        <v>12</v>
      </c>
      <c r="G140" s="31">
        <f t="shared" si="26"/>
        <v>12996</v>
      </c>
      <c r="H140" s="56">
        <f t="shared" si="27"/>
        <v>714.78</v>
      </c>
      <c r="I140" s="57">
        <f t="shared" si="28"/>
        <v>13710.78</v>
      </c>
      <c r="J140" s="2">
        <f t="shared" si="29"/>
        <v>12996</v>
      </c>
      <c r="K140" s="2">
        <f t="shared" si="30"/>
        <v>1949.3999999999999</v>
      </c>
      <c r="L140" s="2">
        <f t="shared" si="31"/>
        <v>1949.3999999999999</v>
      </c>
      <c r="M140" s="58">
        <f t="shared" si="32"/>
        <v>0</v>
      </c>
      <c r="N140" s="2">
        <f t="shared" si="33"/>
        <v>98.63964</v>
      </c>
      <c r="O140" s="2">
        <f t="shared" si="34"/>
        <v>98.63964</v>
      </c>
      <c r="P140" s="2">
        <f t="shared" si="35"/>
        <v>0</v>
      </c>
      <c r="Q140" s="58">
        <f t="shared" si="36"/>
        <v>714.78</v>
      </c>
      <c r="R140" s="58">
        <v>0</v>
      </c>
      <c r="S140" s="2">
        <f t="shared" si="37"/>
        <v>714.78</v>
      </c>
      <c r="T140" s="9">
        <f t="shared" si="38"/>
        <v>12996</v>
      </c>
      <c r="U140" s="29"/>
    </row>
    <row r="141" spans="1:21" ht="28.8" x14ac:dyDescent="0.25">
      <c r="A141" s="10">
        <f>+'Banka Lis.'!B140</f>
        <v>136</v>
      </c>
      <c r="B141" s="10" t="str">
        <f>+Puantaj!C141</f>
        <v>18557277776</v>
      </c>
      <c r="C141" s="3" t="str">
        <f>+Puantaj!D141</f>
        <v>NİSANUR</v>
      </c>
      <c r="D141" s="3" t="str">
        <f>+Puantaj!E141</f>
        <v>BİLGİN</v>
      </c>
      <c r="E141" s="3" t="str">
        <f>+'Banka Lis.'!H140</f>
        <v>Bursa UludağÜniversitesi Üniveristesi Genel Sekreterlik Özel Kalem</v>
      </c>
      <c r="F141" s="33">
        <f>+Puantaj!AK141</f>
        <v>13</v>
      </c>
      <c r="G141" s="31">
        <f t="shared" si="26"/>
        <v>14079</v>
      </c>
      <c r="H141" s="56">
        <f t="shared" si="27"/>
        <v>774.34500000000003</v>
      </c>
      <c r="I141" s="57">
        <f t="shared" si="28"/>
        <v>14853.344999999999</v>
      </c>
      <c r="J141" s="2">
        <f t="shared" si="29"/>
        <v>14079</v>
      </c>
      <c r="K141" s="2">
        <f t="shared" si="30"/>
        <v>2111.85</v>
      </c>
      <c r="L141" s="2">
        <f t="shared" si="31"/>
        <v>2111.85</v>
      </c>
      <c r="M141" s="58">
        <f t="shared" si="32"/>
        <v>0</v>
      </c>
      <c r="N141" s="2">
        <f t="shared" si="33"/>
        <v>106.85961</v>
      </c>
      <c r="O141" s="2">
        <f t="shared" si="34"/>
        <v>106.85961</v>
      </c>
      <c r="P141" s="2">
        <f t="shared" si="35"/>
        <v>0</v>
      </c>
      <c r="Q141" s="58">
        <f t="shared" si="36"/>
        <v>774.34500000000003</v>
      </c>
      <c r="R141" s="58">
        <v>0</v>
      </c>
      <c r="S141" s="2">
        <f t="shared" si="37"/>
        <v>774.34500000000003</v>
      </c>
      <c r="T141" s="9">
        <f t="shared" si="38"/>
        <v>14079</v>
      </c>
      <c r="U141" s="29"/>
    </row>
    <row r="142" spans="1:21" ht="28.8" x14ac:dyDescent="0.25">
      <c r="A142" s="10">
        <f>+'Banka Lis.'!B141</f>
        <v>137</v>
      </c>
      <c r="B142" s="10" t="str">
        <f>+Puantaj!C142</f>
        <v>10756439870</v>
      </c>
      <c r="C142" s="3" t="str">
        <f>+Puantaj!D142</f>
        <v>NİSANUR</v>
      </c>
      <c r="D142" s="3" t="str">
        <f>+Puantaj!E142</f>
        <v>PAYAS</v>
      </c>
      <c r="E142" s="3" t="str">
        <f>+'Banka Lis.'!H141</f>
        <v>Bursa UludağÜniversitesi Üniveristesi Genel Sekreterlik Özel Kalem</v>
      </c>
      <c r="F142" s="33">
        <f>+Puantaj!AK142</f>
        <v>13</v>
      </c>
      <c r="G142" s="31">
        <f t="shared" si="26"/>
        <v>14079</v>
      </c>
      <c r="H142" s="56">
        <f t="shared" si="27"/>
        <v>774.34500000000003</v>
      </c>
      <c r="I142" s="57">
        <f t="shared" si="28"/>
        <v>14853.344999999999</v>
      </c>
      <c r="J142" s="2">
        <f t="shared" si="29"/>
        <v>14079</v>
      </c>
      <c r="K142" s="2">
        <f t="shared" si="30"/>
        <v>2111.85</v>
      </c>
      <c r="L142" s="2">
        <f t="shared" si="31"/>
        <v>2111.85</v>
      </c>
      <c r="M142" s="58">
        <f t="shared" si="32"/>
        <v>0</v>
      </c>
      <c r="N142" s="2">
        <f t="shared" si="33"/>
        <v>106.85961</v>
      </c>
      <c r="O142" s="2">
        <f t="shared" si="34"/>
        <v>106.85961</v>
      </c>
      <c r="P142" s="2">
        <f t="shared" si="35"/>
        <v>0</v>
      </c>
      <c r="Q142" s="58">
        <f t="shared" si="36"/>
        <v>774.34500000000003</v>
      </c>
      <c r="R142" s="58">
        <v>0</v>
      </c>
      <c r="S142" s="2">
        <f t="shared" si="37"/>
        <v>774.34500000000003</v>
      </c>
      <c r="T142" s="9">
        <f t="shared" si="38"/>
        <v>14079</v>
      </c>
      <c r="U142" s="29"/>
    </row>
    <row r="143" spans="1:21" ht="28.8" x14ac:dyDescent="0.25">
      <c r="A143" s="10">
        <f>+'Banka Lis.'!B142</f>
        <v>138</v>
      </c>
      <c r="B143" s="10" t="str">
        <f>+Puantaj!C143</f>
        <v>24173691452</v>
      </c>
      <c r="C143" s="3" t="str">
        <f>+Puantaj!D143</f>
        <v>NİZAMETTİN GÖKTUG</v>
      </c>
      <c r="D143" s="3" t="str">
        <f>+Puantaj!E143</f>
        <v>DURU</v>
      </c>
      <c r="E143" s="3" t="str">
        <f>+'Banka Lis.'!H142</f>
        <v>Bursa UludağÜniversitesi Üniveristesi Genel Sekreterlik Özel Kalem</v>
      </c>
      <c r="F143" s="33">
        <f>+Puantaj!AK143</f>
        <v>13</v>
      </c>
      <c r="G143" s="31">
        <f t="shared" si="26"/>
        <v>14079</v>
      </c>
      <c r="H143" s="56">
        <f t="shared" si="27"/>
        <v>774.34500000000003</v>
      </c>
      <c r="I143" s="57">
        <f t="shared" si="28"/>
        <v>14853.344999999999</v>
      </c>
      <c r="J143" s="2">
        <f t="shared" si="29"/>
        <v>14079</v>
      </c>
      <c r="K143" s="2">
        <f t="shared" si="30"/>
        <v>2111.85</v>
      </c>
      <c r="L143" s="2">
        <f t="shared" si="31"/>
        <v>2111.85</v>
      </c>
      <c r="M143" s="58">
        <f t="shared" si="32"/>
        <v>0</v>
      </c>
      <c r="N143" s="2">
        <f t="shared" si="33"/>
        <v>106.85961</v>
      </c>
      <c r="O143" s="2">
        <f t="shared" si="34"/>
        <v>106.85961</v>
      </c>
      <c r="P143" s="2">
        <f t="shared" si="35"/>
        <v>0</v>
      </c>
      <c r="Q143" s="58">
        <f t="shared" si="36"/>
        <v>774.34500000000003</v>
      </c>
      <c r="R143" s="58">
        <v>0</v>
      </c>
      <c r="S143" s="2">
        <f t="shared" si="37"/>
        <v>774.34500000000003</v>
      </c>
      <c r="T143" s="9">
        <f t="shared" si="38"/>
        <v>14079</v>
      </c>
      <c r="U143" s="29"/>
    </row>
    <row r="144" spans="1:21" ht="28.8" x14ac:dyDescent="0.25">
      <c r="A144" s="10">
        <f>+'Banka Lis.'!B143</f>
        <v>139</v>
      </c>
      <c r="B144" s="10" t="str">
        <f>+Puantaj!C144</f>
        <v>10043115746</v>
      </c>
      <c r="C144" s="3" t="str">
        <f>+Puantaj!D144</f>
        <v>NUMAN</v>
      </c>
      <c r="D144" s="3" t="str">
        <f>+Puantaj!E144</f>
        <v>EBCİ</v>
      </c>
      <c r="E144" s="3" t="str">
        <f>+'Banka Lis.'!H143</f>
        <v>Bursa UludağÜniversitesi Üniveristesi Genel Sekreterlik Özel Kalem</v>
      </c>
      <c r="F144" s="33">
        <f>+Puantaj!AK144</f>
        <v>12</v>
      </c>
      <c r="G144" s="31">
        <f t="shared" si="26"/>
        <v>12996</v>
      </c>
      <c r="H144" s="56">
        <f t="shared" si="27"/>
        <v>714.78</v>
      </c>
      <c r="I144" s="57">
        <f t="shared" si="28"/>
        <v>13710.78</v>
      </c>
      <c r="J144" s="2">
        <f t="shared" si="29"/>
        <v>12996</v>
      </c>
      <c r="K144" s="2">
        <f t="shared" si="30"/>
        <v>1949.3999999999999</v>
      </c>
      <c r="L144" s="2">
        <f t="shared" si="31"/>
        <v>1949.3999999999999</v>
      </c>
      <c r="M144" s="58">
        <f t="shared" si="32"/>
        <v>0</v>
      </c>
      <c r="N144" s="2">
        <f t="shared" si="33"/>
        <v>98.63964</v>
      </c>
      <c r="O144" s="2">
        <f t="shared" si="34"/>
        <v>98.63964</v>
      </c>
      <c r="P144" s="2">
        <f t="shared" si="35"/>
        <v>0</v>
      </c>
      <c r="Q144" s="58">
        <f t="shared" si="36"/>
        <v>714.78</v>
      </c>
      <c r="R144" s="58">
        <v>0</v>
      </c>
      <c r="S144" s="2">
        <f t="shared" si="37"/>
        <v>714.78</v>
      </c>
      <c r="T144" s="9">
        <f t="shared" si="38"/>
        <v>12996</v>
      </c>
      <c r="U144" s="29"/>
    </row>
    <row r="145" spans="1:21" ht="28.8" x14ac:dyDescent="0.25">
      <c r="A145" s="10">
        <f>+'Banka Lis.'!B144</f>
        <v>140</v>
      </c>
      <c r="B145" s="10" t="str">
        <f>+Puantaj!C145</f>
        <v>15499100896</v>
      </c>
      <c r="C145" s="3" t="str">
        <f>+Puantaj!D145</f>
        <v>NURAY</v>
      </c>
      <c r="D145" s="3" t="str">
        <f>+Puantaj!E145</f>
        <v>BİLGİN</v>
      </c>
      <c r="E145" s="3" t="str">
        <f>+'Banka Lis.'!H144</f>
        <v>Bursa UludağÜniversitesi Üniveristesi Genel Sekreterlik Özel Kalem</v>
      </c>
      <c r="F145" s="33">
        <f>+Puantaj!AK145</f>
        <v>14</v>
      </c>
      <c r="G145" s="31">
        <f t="shared" si="26"/>
        <v>15162</v>
      </c>
      <c r="H145" s="56">
        <f t="shared" si="27"/>
        <v>833.91</v>
      </c>
      <c r="I145" s="57">
        <f t="shared" si="28"/>
        <v>15995.91</v>
      </c>
      <c r="J145" s="2">
        <f t="shared" si="29"/>
        <v>15162</v>
      </c>
      <c r="K145" s="2">
        <f t="shared" si="30"/>
        <v>2274.2999999999997</v>
      </c>
      <c r="L145" s="2">
        <f t="shared" si="31"/>
        <v>2274.2999999999997</v>
      </c>
      <c r="M145" s="58">
        <f t="shared" si="32"/>
        <v>0</v>
      </c>
      <c r="N145" s="2">
        <f t="shared" si="33"/>
        <v>115.07958000000001</v>
      </c>
      <c r="O145" s="2">
        <f t="shared" si="34"/>
        <v>115.07958000000001</v>
      </c>
      <c r="P145" s="2">
        <f t="shared" si="35"/>
        <v>0</v>
      </c>
      <c r="Q145" s="58">
        <f t="shared" si="36"/>
        <v>833.91</v>
      </c>
      <c r="R145" s="58">
        <v>0</v>
      </c>
      <c r="S145" s="2">
        <f t="shared" si="37"/>
        <v>833.91</v>
      </c>
      <c r="T145" s="9">
        <f t="shared" si="38"/>
        <v>15162</v>
      </c>
      <c r="U145" s="29"/>
    </row>
    <row r="146" spans="1:21" ht="28.8" x14ac:dyDescent="0.25">
      <c r="A146" s="10">
        <f>+'Banka Lis.'!B145</f>
        <v>141</v>
      </c>
      <c r="B146" s="10" t="str">
        <f>+Puantaj!C146</f>
        <v>42403579936</v>
      </c>
      <c r="C146" s="3" t="str">
        <f>+Puantaj!D146</f>
        <v>NURCAN</v>
      </c>
      <c r="D146" s="3" t="str">
        <f>+Puantaj!E146</f>
        <v>ÇELİK</v>
      </c>
      <c r="E146" s="3" t="str">
        <f>+'Banka Lis.'!H145</f>
        <v>Bursa UludağÜniversitesi Üniveristesi Genel Sekreterlik Özel Kalem</v>
      </c>
      <c r="F146" s="33">
        <f>+Puantaj!AK146</f>
        <v>13</v>
      </c>
      <c r="G146" s="31">
        <f t="shared" si="26"/>
        <v>14079</v>
      </c>
      <c r="H146" s="56">
        <f t="shared" si="27"/>
        <v>774.34500000000003</v>
      </c>
      <c r="I146" s="57">
        <f t="shared" si="28"/>
        <v>14853.344999999999</v>
      </c>
      <c r="J146" s="2">
        <f t="shared" si="29"/>
        <v>14079</v>
      </c>
      <c r="K146" s="2">
        <f t="shared" si="30"/>
        <v>2111.85</v>
      </c>
      <c r="L146" s="2">
        <f t="shared" si="31"/>
        <v>2111.85</v>
      </c>
      <c r="M146" s="58">
        <f t="shared" si="32"/>
        <v>0</v>
      </c>
      <c r="N146" s="2">
        <f t="shared" si="33"/>
        <v>106.85961</v>
      </c>
      <c r="O146" s="2">
        <f t="shared" si="34"/>
        <v>106.85961</v>
      </c>
      <c r="P146" s="2">
        <f t="shared" si="35"/>
        <v>0</v>
      </c>
      <c r="Q146" s="58">
        <f t="shared" si="36"/>
        <v>774.34500000000003</v>
      </c>
      <c r="R146" s="58">
        <v>0</v>
      </c>
      <c r="S146" s="2">
        <f t="shared" si="37"/>
        <v>774.34500000000003</v>
      </c>
      <c r="T146" s="9">
        <f t="shared" si="38"/>
        <v>14079</v>
      </c>
      <c r="U146" s="29"/>
    </row>
    <row r="147" spans="1:21" ht="28.8" x14ac:dyDescent="0.25">
      <c r="A147" s="10">
        <f>+'Banka Lis.'!B146</f>
        <v>142</v>
      </c>
      <c r="B147" s="10" t="str">
        <f>+Puantaj!C147</f>
        <v>12899996340</v>
      </c>
      <c r="C147" s="3" t="str">
        <f>+Puantaj!D147</f>
        <v>NURSEL</v>
      </c>
      <c r="D147" s="3" t="str">
        <f>+Puantaj!E147</f>
        <v>KARACA</v>
      </c>
      <c r="E147" s="3" t="str">
        <f>+'Banka Lis.'!H146</f>
        <v>Bursa UludağÜniversitesi Üniveristesi Genel Sekreterlik Özel Kalem</v>
      </c>
      <c r="F147" s="33">
        <f>+Puantaj!AK147</f>
        <v>8</v>
      </c>
      <c r="G147" s="31">
        <f t="shared" si="26"/>
        <v>8664</v>
      </c>
      <c r="H147" s="56">
        <f t="shared" si="27"/>
        <v>476.52</v>
      </c>
      <c r="I147" s="57">
        <f t="shared" si="28"/>
        <v>9140.52</v>
      </c>
      <c r="J147" s="2">
        <f t="shared" si="29"/>
        <v>8664</v>
      </c>
      <c r="K147" s="2">
        <f t="shared" si="30"/>
        <v>1299.5999999999999</v>
      </c>
      <c r="L147" s="2">
        <f t="shared" si="31"/>
        <v>1299.5999999999999</v>
      </c>
      <c r="M147" s="58">
        <f t="shared" si="32"/>
        <v>0</v>
      </c>
      <c r="N147" s="2">
        <f t="shared" si="33"/>
        <v>65.75976</v>
      </c>
      <c r="O147" s="2">
        <f t="shared" si="34"/>
        <v>65.75976</v>
      </c>
      <c r="P147" s="2">
        <f t="shared" si="35"/>
        <v>0</v>
      </c>
      <c r="Q147" s="58">
        <f t="shared" si="36"/>
        <v>476.52</v>
      </c>
      <c r="R147" s="58">
        <v>0</v>
      </c>
      <c r="S147" s="2">
        <f t="shared" si="37"/>
        <v>476.52</v>
      </c>
      <c r="T147" s="9">
        <f t="shared" si="38"/>
        <v>8664</v>
      </c>
      <c r="U147" s="29"/>
    </row>
    <row r="148" spans="1:21" ht="28.8" x14ac:dyDescent="0.25">
      <c r="A148" s="10">
        <f>+'Banka Lis.'!B147</f>
        <v>143</v>
      </c>
      <c r="B148" s="10" t="str">
        <f>+Puantaj!C148</f>
        <v>62986356106</v>
      </c>
      <c r="C148" s="3" t="str">
        <f>+Puantaj!D148</f>
        <v>OĞUZHAN</v>
      </c>
      <c r="D148" s="3" t="str">
        <f>+Puantaj!E148</f>
        <v>GÖNÜLAL</v>
      </c>
      <c r="E148" s="3" t="str">
        <f>+'Banka Lis.'!H147</f>
        <v>Bursa UludağÜniversitesi Üniveristesi Genel Sekreterlik Özel Kalem</v>
      </c>
      <c r="F148" s="33">
        <f>+Puantaj!AK148</f>
        <v>15</v>
      </c>
      <c r="G148" s="31">
        <f t="shared" si="26"/>
        <v>16245</v>
      </c>
      <c r="H148" s="56">
        <f t="shared" si="27"/>
        <v>893.47500000000002</v>
      </c>
      <c r="I148" s="57">
        <f t="shared" si="28"/>
        <v>17138.474999999999</v>
      </c>
      <c r="J148" s="2">
        <f t="shared" si="29"/>
        <v>16245</v>
      </c>
      <c r="K148" s="2">
        <f t="shared" si="30"/>
        <v>2436.75</v>
      </c>
      <c r="L148" s="2">
        <f t="shared" si="31"/>
        <v>2436.75</v>
      </c>
      <c r="M148" s="58">
        <f t="shared" si="32"/>
        <v>0</v>
      </c>
      <c r="N148" s="2">
        <f t="shared" si="33"/>
        <v>123.29955000000001</v>
      </c>
      <c r="O148" s="2">
        <f t="shared" si="34"/>
        <v>123.29955000000001</v>
      </c>
      <c r="P148" s="2">
        <f t="shared" si="35"/>
        <v>0</v>
      </c>
      <c r="Q148" s="58">
        <f t="shared" si="36"/>
        <v>893.47500000000002</v>
      </c>
      <c r="R148" s="58">
        <v>0</v>
      </c>
      <c r="S148" s="2">
        <f t="shared" si="37"/>
        <v>893.47500000000002</v>
      </c>
      <c r="T148" s="9">
        <f t="shared" si="38"/>
        <v>16244.999999999998</v>
      </c>
      <c r="U148" s="29"/>
    </row>
    <row r="149" spans="1:21" ht="28.8" x14ac:dyDescent="0.25">
      <c r="A149" s="10">
        <f>+'Banka Lis.'!B148</f>
        <v>144</v>
      </c>
      <c r="B149" s="10" t="str">
        <f>+Puantaj!C149</f>
        <v>35677395432</v>
      </c>
      <c r="C149" s="3" t="str">
        <f>+Puantaj!D149</f>
        <v>ÖMER FARUK</v>
      </c>
      <c r="D149" s="3" t="str">
        <f>+Puantaj!E149</f>
        <v>YILMAZ</v>
      </c>
      <c r="E149" s="3" t="str">
        <f>+'Banka Lis.'!H148</f>
        <v>Bursa UludağÜniversitesi Üniveristesi Genel Sekreterlik Özel Kalem</v>
      </c>
      <c r="F149" s="33">
        <f>+Puantaj!AK149</f>
        <v>14</v>
      </c>
      <c r="G149" s="31">
        <f t="shared" si="26"/>
        <v>15162</v>
      </c>
      <c r="H149" s="56">
        <f t="shared" si="27"/>
        <v>833.91</v>
      </c>
      <c r="I149" s="57">
        <f t="shared" si="28"/>
        <v>15995.91</v>
      </c>
      <c r="J149" s="2">
        <f t="shared" si="29"/>
        <v>15162</v>
      </c>
      <c r="K149" s="2">
        <f t="shared" si="30"/>
        <v>2274.2999999999997</v>
      </c>
      <c r="L149" s="2">
        <f t="shared" si="31"/>
        <v>2274.2999999999997</v>
      </c>
      <c r="M149" s="58">
        <f t="shared" si="32"/>
        <v>0</v>
      </c>
      <c r="N149" s="2">
        <f t="shared" si="33"/>
        <v>115.07958000000001</v>
      </c>
      <c r="O149" s="2">
        <f t="shared" si="34"/>
        <v>115.07958000000001</v>
      </c>
      <c r="P149" s="2">
        <f t="shared" si="35"/>
        <v>0</v>
      </c>
      <c r="Q149" s="58">
        <f t="shared" si="36"/>
        <v>833.91</v>
      </c>
      <c r="R149" s="58">
        <v>0</v>
      </c>
      <c r="S149" s="2">
        <f t="shared" si="37"/>
        <v>833.91</v>
      </c>
      <c r="T149" s="9">
        <f t="shared" si="38"/>
        <v>15162</v>
      </c>
      <c r="U149" s="29"/>
    </row>
    <row r="150" spans="1:21" ht="28.8" x14ac:dyDescent="0.25">
      <c r="A150" s="10">
        <f>+'Banka Lis.'!B149</f>
        <v>145</v>
      </c>
      <c r="B150" s="10" t="str">
        <f>+Puantaj!C150</f>
        <v>12340900278</v>
      </c>
      <c r="C150" s="3" t="str">
        <f>+Puantaj!D150</f>
        <v>ÖYKÜ</v>
      </c>
      <c r="D150" s="3" t="str">
        <f>+Puantaj!E150</f>
        <v>AKINGÜÇ</v>
      </c>
      <c r="E150" s="3" t="str">
        <f>+'Banka Lis.'!H149</f>
        <v>Bursa UludağÜniversitesi Üniveristesi Genel Sekreterlik Özel Kalem</v>
      </c>
      <c r="F150" s="33">
        <f>+Puantaj!AK150</f>
        <v>12</v>
      </c>
      <c r="G150" s="31">
        <f t="shared" si="26"/>
        <v>12996</v>
      </c>
      <c r="H150" s="56">
        <f t="shared" si="27"/>
        <v>714.78</v>
      </c>
      <c r="I150" s="57">
        <f t="shared" si="28"/>
        <v>13710.78</v>
      </c>
      <c r="J150" s="2">
        <f t="shared" si="29"/>
        <v>12996</v>
      </c>
      <c r="K150" s="2">
        <f t="shared" si="30"/>
        <v>1949.3999999999999</v>
      </c>
      <c r="L150" s="2">
        <f t="shared" si="31"/>
        <v>1949.3999999999999</v>
      </c>
      <c r="M150" s="58">
        <f t="shared" si="32"/>
        <v>0</v>
      </c>
      <c r="N150" s="2">
        <f t="shared" si="33"/>
        <v>98.63964</v>
      </c>
      <c r="O150" s="2">
        <f t="shared" si="34"/>
        <v>98.63964</v>
      </c>
      <c r="P150" s="2">
        <f t="shared" si="35"/>
        <v>0</v>
      </c>
      <c r="Q150" s="58">
        <f t="shared" si="36"/>
        <v>714.78</v>
      </c>
      <c r="R150" s="58">
        <v>0</v>
      </c>
      <c r="S150" s="2">
        <f t="shared" si="37"/>
        <v>714.78</v>
      </c>
      <c r="T150" s="9">
        <f t="shared" si="38"/>
        <v>12996</v>
      </c>
      <c r="U150" s="29"/>
    </row>
    <row r="151" spans="1:21" ht="28.8" x14ac:dyDescent="0.25">
      <c r="A151" s="10">
        <f>+'Banka Lis.'!B150</f>
        <v>146</v>
      </c>
      <c r="B151" s="10" t="str">
        <f>+Puantaj!C151</f>
        <v>10618964960</v>
      </c>
      <c r="C151" s="3" t="str">
        <f>+Puantaj!D151</f>
        <v>ÖZLEM HİRA</v>
      </c>
      <c r="D151" s="3" t="str">
        <f>+Puantaj!E151</f>
        <v>KUŞELİ</v>
      </c>
      <c r="E151" s="3" t="str">
        <f>+'Banka Lis.'!H150</f>
        <v>Bursa UludağÜniversitesi Üniveristesi Genel Sekreterlik Özel Kalem</v>
      </c>
      <c r="F151" s="33">
        <f>+Puantaj!AK151</f>
        <v>13</v>
      </c>
      <c r="G151" s="31">
        <f t="shared" si="26"/>
        <v>14079</v>
      </c>
      <c r="H151" s="56">
        <f t="shared" si="27"/>
        <v>774.34500000000003</v>
      </c>
      <c r="I151" s="57">
        <f t="shared" si="28"/>
        <v>14853.344999999999</v>
      </c>
      <c r="J151" s="2">
        <f t="shared" si="29"/>
        <v>14079</v>
      </c>
      <c r="K151" s="2">
        <f t="shared" si="30"/>
        <v>2111.85</v>
      </c>
      <c r="L151" s="2">
        <f t="shared" si="31"/>
        <v>2111.85</v>
      </c>
      <c r="M151" s="58">
        <f t="shared" si="32"/>
        <v>0</v>
      </c>
      <c r="N151" s="2">
        <f t="shared" si="33"/>
        <v>106.85961</v>
      </c>
      <c r="O151" s="2">
        <f t="shared" si="34"/>
        <v>106.85961</v>
      </c>
      <c r="P151" s="2">
        <f t="shared" si="35"/>
        <v>0</v>
      </c>
      <c r="Q151" s="58">
        <f t="shared" si="36"/>
        <v>774.34500000000003</v>
      </c>
      <c r="R151" s="58">
        <v>0</v>
      </c>
      <c r="S151" s="2">
        <f t="shared" si="37"/>
        <v>774.34500000000003</v>
      </c>
      <c r="T151" s="9">
        <f t="shared" si="38"/>
        <v>14079</v>
      </c>
      <c r="U151" s="29"/>
    </row>
    <row r="152" spans="1:21" ht="28.8" x14ac:dyDescent="0.25">
      <c r="A152" s="10">
        <f>+'Banka Lis.'!B151</f>
        <v>147</v>
      </c>
      <c r="B152" s="10" t="str">
        <f>+Puantaj!C152</f>
        <v>38317050524</v>
      </c>
      <c r="C152" s="3" t="str">
        <f>+Puantaj!D152</f>
        <v>ÖZNUR</v>
      </c>
      <c r="D152" s="3" t="str">
        <f>+Puantaj!E152</f>
        <v>TOĞRUL</v>
      </c>
      <c r="E152" s="3" t="str">
        <f>+'Banka Lis.'!H151</f>
        <v>Bursa UludağÜniversitesi Üniveristesi Genel Sekreterlik Özel Kalem</v>
      </c>
      <c r="F152" s="33">
        <f>+Puantaj!AK152</f>
        <v>9</v>
      </c>
      <c r="G152" s="31">
        <f t="shared" si="26"/>
        <v>9747</v>
      </c>
      <c r="H152" s="56">
        <f t="shared" si="27"/>
        <v>536.08500000000004</v>
      </c>
      <c r="I152" s="57">
        <f t="shared" si="28"/>
        <v>10283.084999999999</v>
      </c>
      <c r="J152" s="2">
        <f t="shared" si="29"/>
        <v>9747</v>
      </c>
      <c r="K152" s="2">
        <f t="shared" si="30"/>
        <v>1462.05</v>
      </c>
      <c r="L152" s="2">
        <f t="shared" si="31"/>
        <v>1462.05</v>
      </c>
      <c r="M152" s="58">
        <f t="shared" si="32"/>
        <v>0</v>
      </c>
      <c r="N152" s="2">
        <f t="shared" si="33"/>
        <v>73.979730000000004</v>
      </c>
      <c r="O152" s="2">
        <f t="shared" si="34"/>
        <v>73.979730000000004</v>
      </c>
      <c r="P152" s="2">
        <f t="shared" si="35"/>
        <v>0</v>
      </c>
      <c r="Q152" s="58">
        <f t="shared" si="36"/>
        <v>536.08500000000004</v>
      </c>
      <c r="R152" s="58">
        <v>0</v>
      </c>
      <c r="S152" s="2">
        <f t="shared" si="37"/>
        <v>536.08500000000004</v>
      </c>
      <c r="T152" s="9">
        <f t="shared" si="38"/>
        <v>9747</v>
      </c>
      <c r="U152" s="29"/>
    </row>
    <row r="153" spans="1:21" ht="28.8" x14ac:dyDescent="0.25">
      <c r="A153" s="10">
        <f>+'Banka Lis.'!B152</f>
        <v>148</v>
      </c>
      <c r="B153" s="10" t="str">
        <f>+Puantaj!C153</f>
        <v>31480811602</v>
      </c>
      <c r="C153" s="3" t="str">
        <f>+Puantaj!D153</f>
        <v>PELİNSU</v>
      </c>
      <c r="D153" s="3" t="str">
        <f>+Puantaj!E153</f>
        <v>ASLANTAŞ</v>
      </c>
      <c r="E153" s="3" t="str">
        <f>+'Banka Lis.'!H152</f>
        <v>Bursa UludağÜniversitesi Üniveristesi Genel Sekreterlik Özel Kalem</v>
      </c>
      <c r="F153" s="33">
        <f>+Puantaj!AK153</f>
        <v>14</v>
      </c>
      <c r="G153" s="31">
        <f t="shared" si="26"/>
        <v>15162</v>
      </c>
      <c r="H153" s="56">
        <f t="shared" si="27"/>
        <v>833.91</v>
      </c>
      <c r="I153" s="57">
        <f t="shared" si="28"/>
        <v>15995.91</v>
      </c>
      <c r="J153" s="2">
        <f t="shared" si="29"/>
        <v>15162</v>
      </c>
      <c r="K153" s="2">
        <f t="shared" si="30"/>
        <v>2274.2999999999997</v>
      </c>
      <c r="L153" s="2">
        <f t="shared" si="31"/>
        <v>2274.2999999999997</v>
      </c>
      <c r="M153" s="58">
        <f t="shared" si="32"/>
        <v>0</v>
      </c>
      <c r="N153" s="2">
        <f t="shared" si="33"/>
        <v>115.07958000000001</v>
      </c>
      <c r="O153" s="2">
        <f t="shared" si="34"/>
        <v>115.07958000000001</v>
      </c>
      <c r="P153" s="2">
        <f t="shared" si="35"/>
        <v>0</v>
      </c>
      <c r="Q153" s="58">
        <f t="shared" si="36"/>
        <v>833.91</v>
      </c>
      <c r="R153" s="58">
        <v>0</v>
      </c>
      <c r="S153" s="2">
        <f t="shared" si="37"/>
        <v>833.91</v>
      </c>
      <c r="T153" s="9">
        <f t="shared" si="38"/>
        <v>15162</v>
      </c>
      <c r="U153" s="29"/>
    </row>
    <row r="154" spans="1:21" ht="28.8" x14ac:dyDescent="0.25">
      <c r="A154" s="10">
        <f>+'Banka Lis.'!B153</f>
        <v>149</v>
      </c>
      <c r="B154" s="10" t="str">
        <f>+Puantaj!C154</f>
        <v>10484695074</v>
      </c>
      <c r="C154" s="3" t="str">
        <f>+Puantaj!D154</f>
        <v>RABİA ŞEVVAL</v>
      </c>
      <c r="D154" s="3" t="str">
        <f>+Puantaj!E154</f>
        <v>KONYALI</v>
      </c>
      <c r="E154" s="3" t="str">
        <f>+'Banka Lis.'!H153</f>
        <v>Bursa UludağÜniversitesi Üniveristesi Genel Sekreterlik Özel Kalem</v>
      </c>
      <c r="F154" s="33">
        <f>+Puantaj!AK154</f>
        <v>12</v>
      </c>
      <c r="G154" s="31">
        <f t="shared" si="26"/>
        <v>12996</v>
      </c>
      <c r="H154" s="56">
        <f t="shared" si="27"/>
        <v>714.78</v>
      </c>
      <c r="I154" s="57">
        <f t="shared" si="28"/>
        <v>13710.78</v>
      </c>
      <c r="J154" s="2">
        <f t="shared" si="29"/>
        <v>12996</v>
      </c>
      <c r="K154" s="2">
        <f t="shared" si="30"/>
        <v>1949.3999999999999</v>
      </c>
      <c r="L154" s="2">
        <f t="shared" si="31"/>
        <v>1949.3999999999999</v>
      </c>
      <c r="M154" s="58">
        <f t="shared" si="32"/>
        <v>0</v>
      </c>
      <c r="N154" s="2">
        <f t="shared" si="33"/>
        <v>98.63964</v>
      </c>
      <c r="O154" s="2">
        <f t="shared" si="34"/>
        <v>98.63964</v>
      </c>
      <c r="P154" s="2">
        <f t="shared" si="35"/>
        <v>0</v>
      </c>
      <c r="Q154" s="58">
        <f t="shared" si="36"/>
        <v>714.78</v>
      </c>
      <c r="R154" s="58">
        <v>0</v>
      </c>
      <c r="S154" s="2">
        <f t="shared" si="37"/>
        <v>714.78</v>
      </c>
      <c r="T154" s="9">
        <f t="shared" si="38"/>
        <v>12996</v>
      </c>
      <c r="U154" s="29"/>
    </row>
    <row r="155" spans="1:21" ht="28.8" x14ac:dyDescent="0.25">
      <c r="A155" s="10">
        <f>+'Banka Lis.'!B154</f>
        <v>150</v>
      </c>
      <c r="B155" s="10" t="str">
        <f>+Puantaj!C155</f>
        <v>40969927062</v>
      </c>
      <c r="C155" s="3" t="str">
        <f>+Puantaj!D155</f>
        <v>RAHİME DİLARA</v>
      </c>
      <c r="D155" s="3" t="str">
        <f>+Puantaj!E155</f>
        <v>BAŞ</v>
      </c>
      <c r="E155" s="3" t="str">
        <f>+'Banka Lis.'!H154</f>
        <v>Bursa UludağÜniversitesi Üniveristesi Genel Sekreterlik Özel Kalem</v>
      </c>
      <c r="F155" s="33">
        <f>+Puantaj!AK155</f>
        <v>13</v>
      </c>
      <c r="G155" s="31">
        <f t="shared" si="26"/>
        <v>14079</v>
      </c>
      <c r="H155" s="56">
        <f t="shared" si="27"/>
        <v>774.34500000000003</v>
      </c>
      <c r="I155" s="57">
        <f t="shared" si="28"/>
        <v>14853.344999999999</v>
      </c>
      <c r="J155" s="2">
        <f t="shared" si="29"/>
        <v>14079</v>
      </c>
      <c r="K155" s="2">
        <f t="shared" si="30"/>
        <v>2111.85</v>
      </c>
      <c r="L155" s="2">
        <f t="shared" si="31"/>
        <v>2111.85</v>
      </c>
      <c r="M155" s="58">
        <f t="shared" si="32"/>
        <v>0</v>
      </c>
      <c r="N155" s="2">
        <f t="shared" si="33"/>
        <v>106.85961</v>
      </c>
      <c r="O155" s="2">
        <f t="shared" si="34"/>
        <v>106.85961</v>
      </c>
      <c r="P155" s="2">
        <f t="shared" si="35"/>
        <v>0</v>
      </c>
      <c r="Q155" s="58">
        <f t="shared" si="36"/>
        <v>774.34500000000003</v>
      </c>
      <c r="R155" s="58">
        <v>0</v>
      </c>
      <c r="S155" s="2">
        <f t="shared" si="37"/>
        <v>774.34500000000003</v>
      </c>
      <c r="T155" s="9">
        <f t="shared" si="38"/>
        <v>14079</v>
      </c>
      <c r="U155" s="29"/>
    </row>
    <row r="156" spans="1:21" ht="28.8" x14ac:dyDescent="0.25">
      <c r="A156" s="10">
        <f>+'Banka Lis.'!B155</f>
        <v>151</v>
      </c>
      <c r="B156" s="10" t="str">
        <f>+Puantaj!C156</f>
        <v>10649230522</v>
      </c>
      <c r="C156" s="3" t="str">
        <f>+Puantaj!D156</f>
        <v>RESUL</v>
      </c>
      <c r="D156" s="3" t="str">
        <f>+Puantaj!E156</f>
        <v>ARASLI</v>
      </c>
      <c r="E156" s="3" t="str">
        <f>+'Banka Lis.'!H155</f>
        <v>Bursa UludağÜniversitesi Üniveristesi Genel Sekreterlik Özel Kalem</v>
      </c>
      <c r="F156" s="33">
        <f>+Puantaj!AK156</f>
        <v>13</v>
      </c>
      <c r="G156" s="31">
        <f t="shared" si="26"/>
        <v>14079</v>
      </c>
      <c r="H156" s="56">
        <f t="shared" si="27"/>
        <v>774.34500000000003</v>
      </c>
      <c r="I156" s="57">
        <f t="shared" si="28"/>
        <v>14853.344999999999</v>
      </c>
      <c r="J156" s="2">
        <f t="shared" si="29"/>
        <v>14079</v>
      </c>
      <c r="K156" s="2">
        <f t="shared" si="30"/>
        <v>2111.85</v>
      </c>
      <c r="L156" s="2">
        <f t="shared" si="31"/>
        <v>2111.85</v>
      </c>
      <c r="M156" s="58">
        <f t="shared" si="32"/>
        <v>0</v>
      </c>
      <c r="N156" s="2">
        <f t="shared" si="33"/>
        <v>106.85961</v>
      </c>
      <c r="O156" s="2">
        <f t="shared" si="34"/>
        <v>106.85961</v>
      </c>
      <c r="P156" s="2">
        <f t="shared" si="35"/>
        <v>0</v>
      </c>
      <c r="Q156" s="58">
        <f t="shared" si="36"/>
        <v>774.34500000000003</v>
      </c>
      <c r="R156" s="58">
        <v>0</v>
      </c>
      <c r="S156" s="2">
        <f t="shared" si="37"/>
        <v>774.34500000000003</v>
      </c>
      <c r="T156" s="9">
        <f t="shared" si="38"/>
        <v>14079</v>
      </c>
      <c r="U156" s="29"/>
    </row>
    <row r="157" spans="1:21" ht="28.8" x14ac:dyDescent="0.25">
      <c r="A157" s="10">
        <f>+'Banka Lis.'!B156</f>
        <v>152</v>
      </c>
      <c r="B157" s="10" t="str">
        <f>+Puantaj!C157</f>
        <v>20078478310</v>
      </c>
      <c r="C157" s="3" t="str">
        <f>+Puantaj!D157</f>
        <v>RUKİYE</v>
      </c>
      <c r="D157" s="3" t="str">
        <f>+Puantaj!E157</f>
        <v>TERUT</v>
      </c>
      <c r="E157" s="3" t="str">
        <f>+'Banka Lis.'!H156</f>
        <v>Bursa UludağÜniversitesi Üniveristesi Genel Sekreterlik Özel Kalem</v>
      </c>
      <c r="F157" s="33">
        <f>+Puantaj!AK157</f>
        <v>9</v>
      </c>
      <c r="G157" s="31">
        <f t="shared" si="26"/>
        <v>9747</v>
      </c>
      <c r="H157" s="56">
        <f t="shared" si="27"/>
        <v>536.08500000000004</v>
      </c>
      <c r="I157" s="57">
        <f t="shared" si="28"/>
        <v>10283.084999999999</v>
      </c>
      <c r="J157" s="2">
        <f t="shared" si="29"/>
        <v>9747</v>
      </c>
      <c r="K157" s="2">
        <f t="shared" si="30"/>
        <v>1462.05</v>
      </c>
      <c r="L157" s="2">
        <f t="shared" si="31"/>
        <v>1462.05</v>
      </c>
      <c r="M157" s="58">
        <f t="shared" si="32"/>
        <v>0</v>
      </c>
      <c r="N157" s="2">
        <f t="shared" si="33"/>
        <v>73.979730000000004</v>
      </c>
      <c r="O157" s="2">
        <f t="shared" si="34"/>
        <v>73.979730000000004</v>
      </c>
      <c r="P157" s="2">
        <f t="shared" si="35"/>
        <v>0</v>
      </c>
      <c r="Q157" s="58">
        <f t="shared" si="36"/>
        <v>536.08500000000004</v>
      </c>
      <c r="R157" s="58">
        <v>0</v>
      </c>
      <c r="S157" s="2">
        <f t="shared" si="37"/>
        <v>536.08500000000004</v>
      </c>
      <c r="T157" s="9">
        <f t="shared" si="38"/>
        <v>9747</v>
      </c>
      <c r="U157" s="29"/>
    </row>
    <row r="158" spans="1:21" ht="28.8" x14ac:dyDescent="0.25">
      <c r="A158" s="10">
        <f>+'Banka Lis.'!B157</f>
        <v>153</v>
      </c>
      <c r="B158" s="10" t="str">
        <f>+Puantaj!C158</f>
        <v>10111237400</v>
      </c>
      <c r="C158" s="3" t="str">
        <f>+Puantaj!D158</f>
        <v>RÜMEYSA NUR</v>
      </c>
      <c r="D158" s="3" t="str">
        <f>+Puantaj!E158</f>
        <v>DÜZYURT</v>
      </c>
      <c r="E158" s="3" t="str">
        <f>+'Banka Lis.'!H157</f>
        <v>Bursa UludağÜniversitesi Üniveristesi Genel Sekreterlik Özel Kalem</v>
      </c>
      <c r="F158" s="33">
        <f>+Puantaj!AK158</f>
        <v>14</v>
      </c>
      <c r="G158" s="31">
        <f t="shared" si="26"/>
        <v>15162</v>
      </c>
      <c r="H158" s="56">
        <f t="shared" si="27"/>
        <v>833.91</v>
      </c>
      <c r="I158" s="57">
        <f t="shared" si="28"/>
        <v>15995.91</v>
      </c>
      <c r="J158" s="2">
        <f t="shared" si="29"/>
        <v>15162</v>
      </c>
      <c r="K158" s="2">
        <f t="shared" si="30"/>
        <v>2274.2999999999997</v>
      </c>
      <c r="L158" s="2">
        <f t="shared" si="31"/>
        <v>2274.2999999999997</v>
      </c>
      <c r="M158" s="58">
        <f t="shared" si="32"/>
        <v>0</v>
      </c>
      <c r="N158" s="2">
        <f t="shared" si="33"/>
        <v>115.07958000000001</v>
      </c>
      <c r="O158" s="2">
        <f t="shared" si="34"/>
        <v>115.07958000000001</v>
      </c>
      <c r="P158" s="2">
        <f t="shared" si="35"/>
        <v>0</v>
      </c>
      <c r="Q158" s="58">
        <f t="shared" si="36"/>
        <v>833.91</v>
      </c>
      <c r="R158" s="58">
        <v>0</v>
      </c>
      <c r="S158" s="2">
        <f t="shared" si="37"/>
        <v>833.91</v>
      </c>
      <c r="T158" s="9">
        <f t="shared" si="38"/>
        <v>15162</v>
      </c>
      <c r="U158" s="29"/>
    </row>
    <row r="159" spans="1:21" ht="28.8" x14ac:dyDescent="0.25">
      <c r="A159" s="10">
        <f>+'Banka Lis.'!B158</f>
        <v>154</v>
      </c>
      <c r="B159" s="10" t="str">
        <f>+Puantaj!C159</f>
        <v>15844611640</v>
      </c>
      <c r="C159" s="3" t="str">
        <f>+Puantaj!D159</f>
        <v>RÜYA</v>
      </c>
      <c r="D159" s="3" t="str">
        <f>+Puantaj!E159</f>
        <v>KARATAŞ</v>
      </c>
      <c r="E159" s="3" t="str">
        <f>+'Banka Lis.'!H158</f>
        <v>Bursa UludağÜniversitesi Üniveristesi Genel Sekreterlik Özel Kalem</v>
      </c>
      <c r="F159" s="33">
        <f>+Puantaj!AK159</f>
        <v>12</v>
      </c>
      <c r="G159" s="31">
        <f t="shared" si="26"/>
        <v>12996</v>
      </c>
      <c r="H159" s="56">
        <f t="shared" si="27"/>
        <v>714.78</v>
      </c>
      <c r="I159" s="57">
        <f t="shared" si="28"/>
        <v>13710.78</v>
      </c>
      <c r="J159" s="2">
        <f t="shared" si="29"/>
        <v>12996</v>
      </c>
      <c r="K159" s="2">
        <f t="shared" si="30"/>
        <v>1949.3999999999999</v>
      </c>
      <c r="L159" s="2">
        <f t="shared" si="31"/>
        <v>1949.3999999999999</v>
      </c>
      <c r="M159" s="58">
        <f t="shared" si="32"/>
        <v>0</v>
      </c>
      <c r="N159" s="2">
        <f t="shared" si="33"/>
        <v>98.63964</v>
      </c>
      <c r="O159" s="2">
        <f t="shared" si="34"/>
        <v>98.63964</v>
      </c>
      <c r="P159" s="2">
        <f t="shared" si="35"/>
        <v>0</v>
      </c>
      <c r="Q159" s="58">
        <f t="shared" si="36"/>
        <v>714.78</v>
      </c>
      <c r="R159" s="58">
        <v>0</v>
      </c>
      <c r="S159" s="2">
        <f t="shared" si="37"/>
        <v>714.78</v>
      </c>
      <c r="T159" s="9">
        <f t="shared" si="38"/>
        <v>12996</v>
      </c>
      <c r="U159" s="29"/>
    </row>
    <row r="160" spans="1:21" ht="28.8" x14ac:dyDescent="0.25">
      <c r="A160" s="10">
        <f>+'Banka Lis.'!B159</f>
        <v>155</v>
      </c>
      <c r="B160" s="10" t="str">
        <f>+Puantaj!C160</f>
        <v>10231640142</v>
      </c>
      <c r="C160" s="3" t="str">
        <f>+Puantaj!D160</f>
        <v>SAMED</v>
      </c>
      <c r="D160" s="3" t="str">
        <f>+Puantaj!E160</f>
        <v>ÇİNAZ</v>
      </c>
      <c r="E160" s="3" t="str">
        <f>+'Banka Lis.'!H159</f>
        <v>Bursa UludağÜniversitesi Üniveristesi Genel Sekreterlik Özel Kalem</v>
      </c>
      <c r="F160" s="33">
        <f>+Puantaj!AK160</f>
        <v>13</v>
      </c>
      <c r="G160" s="31">
        <f t="shared" si="26"/>
        <v>14079</v>
      </c>
      <c r="H160" s="56">
        <f t="shared" si="27"/>
        <v>774.34500000000003</v>
      </c>
      <c r="I160" s="57">
        <f t="shared" si="28"/>
        <v>14853.344999999999</v>
      </c>
      <c r="J160" s="2">
        <f t="shared" si="29"/>
        <v>14079</v>
      </c>
      <c r="K160" s="2">
        <f t="shared" si="30"/>
        <v>2111.85</v>
      </c>
      <c r="L160" s="2">
        <f t="shared" si="31"/>
        <v>2111.85</v>
      </c>
      <c r="M160" s="58">
        <f t="shared" si="32"/>
        <v>0</v>
      </c>
      <c r="N160" s="2">
        <f t="shared" si="33"/>
        <v>106.85961</v>
      </c>
      <c r="O160" s="2">
        <f t="shared" si="34"/>
        <v>106.85961</v>
      </c>
      <c r="P160" s="2">
        <f t="shared" si="35"/>
        <v>0</v>
      </c>
      <c r="Q160" s="58">
        <f t="shared" si="36"/>
        <v>774.34500000000003</v>
      </c>
      <c r="R160" s="58">
        <v>0</v>
      </c>
      <c r="S160" s="2">
        <f t="shared" si="37"/>
        <v>774.34500000000003</v>
      </c>
      <c r="T160" s="9">
        <f t="shared" si="38"/>
        <v>14079</v>
      </c>
      <c r="U160" s="29"/>
    </row>
    <row r="161" spans="1:21" ht="28.8" x14ac:dyDescent="0.25">
      <c r="A161" s="10">
        <f>+'Banka Lis.'!B160</f>
        <v>156</v>
      </c>
      <c r="B161" s="10" t="str">
        <f>+Puantaj!C161</f>
        <v>59284104980</v>
      </c>
      <c r="C161" s="3" t="str">
        <f>+Puantaj!D161</f>
        <v>SEBAHAT</v>
      </c>
      <c r="D161" s="3" t="str">
        <f>+Puantaj!E161</f>
        <v>KALKAN</v>
      </c>
      <c r="E161" s="3" t="str">
        <f>+'Banka Lis.'!H160</f>
        <v>Bursa UludağÜniversitesi Üniveristesi Genel Sekreterlik Özel Kalem</v>
      </c>
      <c r="F161" s="33">
        <f>+Puantaj!AK161</f>
        <v>12</v>
      </c>
      <c r="G161" s="31">
        <f t="shared" si="26"/>
        <v>12996</v>
      </c>
      <c r="H161" s="56">
        <f t="shared" si="27"/>
        <v>714.78</v>
      </c>
      <c r="I161" s="57">
        <f t="shared" si="28"/>
        <v>13710.78</v>
      </c>
      <c r="J161" s="2">
        <f t="shared" si="29"/>
        <v>12996</v>
      </c>
      <c r="K161" s="2">
        <f t="shared" si="30"/>
        <v>1949.3999999999999</v>
      </c>
      <c r="L161" s="2">
        <f t="shared" si="31"/>
        <v>1949.3999999999999</v>
      </c>
      <c r="M161" s="58">
        <f t="shared" si="32"/>
        <v>0</v>
      </c>
      <c r="N161" s="2">
        <f t="shared" si="33"/>
        <v>98.63964</v>
      </c>
      <c r="O161" s="2">
        <f t="shared" si="34"/>
        <v>98.63964</v>
      </c>
      <c r="P161" s="2">
        <f t="shared" si="35"/>
        <v>0</v>
      </c>
      <c r="Q161" s="58">
        <f t="shared" si="36"/>
        <v>714.78</v>
      </c>
      <c r="R161" s="58">
        <v>0</v>
      </c>
      <c r="S161" s="2">
        <f t="shared" si="37"/>
        <v>714.78</v>
      </c>
      <c r="T161" s="9">
        <f t="shared" si="38"/>
        <v>12996</v>
      </c>
      <c r="U161" s="29"/>
    </row>
    <row r="162" spans="1:21" ht="28.8" x14ac:dyDescent="0.25">
      <c r="A162" s="10">
        <f>+'Banka Lis.'!B161</f>
        <v>157</v>
      </c>
      <c r="B162" s="10" t="str">
        <f>+Puantaj!C162</f>
        <v>11446687748</v>
      </c>
      <c r="C162" s="3" t="str">
        <f>+Puantaj!D162</f>
        <v>SELİM</v>
      </c>
      <c r="D162" s="3" t="str">
        <f>+Puantaj!E162</f>
        <v>MEYDAN</v>
      </c>
      <c r="E162" s="3" t="str">
        <f>+'Banka Lis.'!H161</f>
        <v>Bursa UludağÜniversitesi Üniveristesi Genel Sekreterlik Özel Kalem</v>
      </c>
      <c r="F162" s="33">
        <f>+Puantaj!AK162</f>
        <v>13</v>
      </c>
      <c r="G162" s="31">
        <f t="shared" si="26"/>
        <v>14079</v>
      </c>
      <c r="H162" s="56">
        <f t="shared" si="27"/>
        <v>774.34500000000003</v>
      </c>
      <c r="I162" s="57">
        <f t="shared" si="28"/>
        <v>14853.344999999999</v>
      </c>
      <c r="J162" s="2">
        <f t="shared" si="29"/>
        <v>14079</v>
      </c>
      <c r="K162" s="2">
        <f t="shared" si="30"/>
        <v>2111.85</v>
      </c>
      <c r="L162" s="2">
        <f t="shared" si="31"/>
        <v>2111.85</v>
      </c>
      <c r="M162" s="58">
        <f t="shared" si="32"/>
        <v>0</v>
      </c>
      <c r="N162" s="2">
        <f t="shared" si="33"/>
        <v>106.85961</v>
      </c>
      <c r="O162" s="2">
        <f t="shared" si="34"/>
        <v>106.85961</v>
      </c>
      <c r="P162" s="2">
        <f t="shared" si="35"/>
        <v>0</v>
      </c>
      <c r="Q162" s="58">
        <f t="shared" si="36"/>
        <v>774.34500000000003</v>
      </c>
      <c r="R162" s="58">
        <v>0</v>
      </c>
      <c r="S162" s="2">
        <f t="shared" si="37"/>
        <v>774.34500000000003</v>
      </c>
      <c r="T162" s="9">
        <f t="shared" si="38"/>
        <v>14079</v>
      </c>
      <c r="U162" s="29"/>
    </row>
    <row r="163" spans="1:21" ht="28.8" x14ac:dyDescent="0.25">
      <c r="A163" s="10">
        <f>+'Banka Lis.'!B162</f>
        <v>158</v>
      </c>
      <c r="B163" s="10" t="str">
        <f>+Puantaj!C163</f>
        <v>11872933396</v>
      </c>
      <c r="C163" s="3" t="str">
        <f>+Puantaj!D163</f>
        <v>SELVİ</v>
      </c>
      <c r="D163" s="3" t="str">
        <f>+Puantaj!E163</f>
        <v>YILDIRIM</v>
      </c>
      <c r="E163" s="3" t="str">
        <f>+'Banka Lis.'!H162</f>
        <v>Bursa UludağÜniversitesi Üniveristesi Genel Sekreterlik Özel Kalem</v>
      </c>
      <c r="F163" s="33">
        <f>+Puantaj!AK163</f>
        <v>15</v>
      </c>
      <c r="G163" s="31">
        <f t="shared" si="26"/>
        <v>16245</v>
      </c>
      <c r="H163" s="56">
        <f t="shared" si="27"/>
        <v>893.47500000000002</v>
      </c>
      <c r="I163" s="57">
        <f t="shared" si="28"/>
        <v>17138.474999999999</v>
      </c>
      <c r="J163" s="2">
        <f t="shared" si="29"/>
        <v>16245</v>
      </c>
      <c r="K163" s="2">
        <f t="shared" si="30"/>
        <v>2436.75</v>
      </c>
      <c r="L163" s="2">
        <f t="shared" si="31"/>
        <v>2436.75</v>
      </c>
      <c r="M163" s="58">
        <f t="shared" si="32"/>
        <v>0</v>
      </c>
      <c r="N163" s="2">
        <f t="shared" si="33"/>
        <v>123.29955000000001</v>
      </c>
      <c r="O163" s="2">
        <f t="shared" si="34"/>
        <v>123.29955000000001</v>
      </c>
      <c r="P163" s="2">
        <f t="shared" si="35"/>
        <v>0</v>
      </c>
      <c r="Q163" s="58">
        <f t="shared" si="36"/>
        <v>893.47500000000002</v>
      </c>
      <c r="R163" s="58">
        <v>0</v>
      </c>
      <c r="S163" s="2">
        <f t="shared" si="37"/>
        <v>893.47500000000002</v>
      </c>
      <c r="T163" s="9">
        <f t="shared" si="38"/>
        <v>16244.999999999998</v>
      </c>
      <c r="U163" s="29"/>
    </row>
    <row r="164" spans="1:21" ht="28.8" x14ac:dyDescent="0.25">
      <c r="A164" s="10">
        <f>+'Banka Lis.'!B163</f>
        <v>159</v>
      </c>
      <c r="B164" s="10" t="str">
        <f>+Puantaj!C164</f>
        <v>11587944526</v>
      </c>
      <c r="C164" s="3" t="str">
        <f>+Puantaj!D164</f>
        <v>SEMİH</v>
      </c>
      <c r="D164" s="3" t="str">
        <f>+Puantaj!E164</f>
        <v>OSMANLAR</v>
      </c>
      <c r="E164" s="3" t="str">
        <f>+'Banka Lis.'!H163</f>
        <v>Bursa UludağÜniversitesi Üniveristesi Genel Sekreterlik Özel Kalem</v>
      </c>
      <c r="F164" s="33">
        <f>+Puantaj!AK164</f>
        <v>13</v>
      </c>
      <c r="G164" s="31">
        <f t="shared" si="26"/>
        <v>14079</v>
      </c>
      <c r="H164" s="56">
        <f t="shared" si="27"/>
        <v>774.34500000000003</v>
      </c>
      <c r="I164" s="57">
        <f t="shared" si="28"/>
        <v>14853.344999999999</v>
      </c>
      <c r="J164" s="2">
        <f t="shared" si="29"/>
        <v>14079</v>
      </c>
      <c r="K164" s="2">
        <f t="shared" si="30"/>
        <v>2111.85</v>
      </c>
      <c r="L164" s="2">
        <f t="shared" si="31"/>
        <v>2111.85</v>
      </c>
      <c r="M164" s="58">
        <f t="shared" si="32"/>
        <v>0</v>
      </c>
      <c r="N164" s="2">
        <f t="shared" si="33"/>
        <v>106.85961</v>
      </c>
      <c r="O164" s="2">
        <f t="shared" si="34"/>
        <v>106.85961</v>
      </c>
      <c r="P164" s="2">
        <f t="shared" si="35"/>
        <v>0</v>
      </c>
      <c r="Q164" s="58">
        <f t="shared" si="36"/>
        <v>774.34500000000003</v>
      </c>
      <c r="R164" s="58">
        <v>0</v>
      </c>
      <c r="S164" s="2">
        <f t="shared" si="37"/>
        <v>774.34500000000003</v>
      </c>
      <c r="T164" s="9">
        <f t="shared" si="38"/>
        <v>14079</v>
      </c>
      <c r="U164" s="29"/>
    </row>
    <row r="165" spans="1:21" ht="28.8" x14ac:dyDescent="0.25">
      <c r="A165" s="10">
        <f>+'Banka Lis.'!B164</f>
        <v>160</v>
      </c>
      <c r="B165" s="10" t="str">
        <f>+Puantaj!C165</f>
        <v>46162706664</v>
      </c>
      <c r="C165" s="3" t="str">
        <f>+Puantaj!D165</f>
        <v>SEMİH</v>
      </c>
      <c r="D165" s="3" t="str">
        <f>+Puantaj!E165</f>
        <v>ÖZDEMİR</v>
      </c>
      <c r="E165" s="3" t="str">
        <f>+'Banka Lis.'!H164</f>
        <v>Bursa UludağÜniversitesi Üniveristesi Genel Sekreterlik Özel Kalem</v>
      </c>
      <c r="F165" s="33">
        <f>+Puantaj!AK165</f>
        <v>13</v>
      </c>
      <c r="G165" s="31">
        <f t="shared" si="26"/>
        <v>14079</v>
      </c>
      <c r="H165" s="56">
        <f t="shared" si="27"/>
        <v>774.34500000000003</v>
      </c>
      <c r="I165" s="57">
        <f t="shared" si="28"/>
        <v>14853.344999999999</v>
      </c>
      <c r="J165" s="2">
        <f t="shared" si="29"/>
        <v>14079</v>
      </c>
      <c r="K165" s="2">
        <f t="shared" si="30"/>
        <v>2111.85</v>
      </c>
      <c r="L165" s="2">
        <f t="shared" si="31"/>
        <v>2111.85</v>
      </c>
      <c r="M165" s="58">
        <f t="shared" si="32"/>
        <v>0</v>
      </c>
      <c r="N165" s="2">
        <f t="shared" si="33"/>
        <v>106.85961</v>
      </c>
      <c r="O165" s="2">
        <f t="shared" si="34"/>
        <v>106.85961</v>
      </c>
      <c r="P165" s="2">
        <f t="shared" si="35"/>
        <v>0</v>
      </c>
      <c r="Q165" s="58">
        <f t="shared" si="36"/>
        <v>774.34500000000003</v>
      </c>
      <c r="R165" s="58">
        <v>0</v>
      </c>
      <c r="S165" s="2">
        <f t="shared" si="37"/>
        <v>774.34500000000003</v>
      </c>
      <c r="T165" s="9">
        <f t="shared" si="38"/>
        <v>14079</v>
      </c>
      <c r="U165" s="29"/>
    </row>
    <row r="166" spans="1:21" ht="28.8" x14ac:dyDescent="0.25">
      <c r="A166" s="10">
        <f>+'Banka Lis.'!B165</f>
        <v>161</v>
      </c>
      <c r="B166" s="10" t="str">
        <f>+Puantaj!C166</f>
        <v>37468064794</v>
      </c>
      <c r="C166" s="3" t="str">
        <f>+Puantaj!D166</f>
        <v>SENA</v>
      </c>
      <c r="D166" s="3" t="str">
        <f>+Puantaj!E166</f>
        <v>KURTULUŞ</v>
      </c>
      <c r="E166" s="3" t="str">
        <f>+'Banka Lis.'!H165</f>
        <v>Bursa UludağÜniversitesi Üniveristesi Genel Sekreterlik Özel Kalem</v>
      </c>
      <c r="F166" s="33">
        <f>+Puantaj!AK166</f>
        <v>14</v>
      </c>
      <c r="G166" s="31">
        <f t="shared" si="26"/>
        <v>15162</v>
      </c>
      <c r="H166" s="56">
        <f t="shared" si="27"/>
        <v>833.91</v>
      </c>
      <c r="I166" s="57">
        <f t="shared" si="28"/>
        <v>15995.91</v>
      </c>
      <c r="J166" s="2">
        <f t="shared" si="29"/>
        <v>15162</v>
      </c>
      <c r="K166" s="2">
        <f t="shared" si="30"/>
        <v>2274.2999999999997</v>
      </c>
      <c r="L166" s="2">
        <f t="shared" si="31"/>
        <v>2274.2999999999997</v>
      </c>
      <c r="M166" s="58">
        <f t="shared" si="32"/>
        <v>0</v>
      </c>
      <c r="N166" s="2">
        <f t="shared" si="33"/>
        <v>115.07958000000001</v>
      </c>
      <c r="O166" s="2">
        <f t="shared" si="34"/>
        <v>115.07958000000001</v>
      </c>
      <c r="P166" s="2">
        <f t="shared" si="35"/>
        <v>0</v>
      </c>
      <c r="Q166" s="58">
        <f t="shared" si="36"/>
        <v>833.91</v>
      </c>
      <c r="R166" s="58">
        <v>0</v>
      </c>
      <c r="S166" s="2">
        <f t="shared" si="37"/>
        <v>833.91</v>
      </c>
      <c r="T166" s="9">
        <f t="shared" si="38"/>
        <v>15162</v>
      </c>
      <c r="U166" s="29"/>
    </row>
    <row r="167" spans="1:21" ht="28.8" x14ac:dyDescent="0.25">
      <c r="A167" s="10">
        <f>+'Banka Lis.'!B166</f>
        <v>162</v>
      </c>
      <c r="B167" s="10" t="str">
        <f>+Puantaj!C167</f>
        <v>10139214124</v>
      </c>
      <c r="C167" s="3" t="str">
        <f>+Puantaj!D167</f>
        <v>SENA NAREN</v>
      </c>
      <c r="D167" s="3" t="str">
        <f>+Puantaj!E167</f>
        <v>BİNGÖL</v>
      </c>
      <c r="E167" s="3" t="str">
        <f>+'Banka Lis.'!H166</f>
        <v>Bursa UludağÜniversitesi Üniveristesi Genel Sekreterlik Özel Kalem</v>
      </c>
      <c r="F167" s="33">
        <f>+Puantaj!AK167</f>
        <v>14</v>
      </c>
      <c r="G167" s="31">
        <f t="shared" si="26"/>
        <v>15162</v>
      </c>
      <c r="H167" s="56">
        <f t="shared" si="27"/>
        <v>833.91</v>
      </c>
      <c r="I167" s="57">
        <f t="shared" si="28"/>
        <v>15995.91</v>
      </c>
      <c r="J167" s="2">
        <f t="shared" si="29"/>
        <v>15162</v>
      </c>
      <c r="K167" s="2">
        <f t="shared" si="30"/>
        <v>2274.2999999999997</v>
      </c>
      <c r="L167" s="2">
        <f t="shared" si="31"/>
        <v>2274.2999999999997</v>
      </c>
      <c r="M167" s="58">
        <f t="shared" si="32"/>
        <v>0</v>
      </c>
      <c r="N167" s="2">
        <f t="shared" si="33"/>
        <v>115.07958000000001</v>
      </c>
      <c r="O167" s="2">
        <f t="shared" si="34"/>
        <v>115.07958000000001</v>
      </c>
      <c r="P167" s="2">
        <f t="shared" si="35"/>
        <v>0</v>
      </c>
      <c r="Q167" s="58">
        <f t="shared" si="36"/>
        <v>833.91</v>
      </c>
      <c r="R167" s="58">
        <v>0</v>
      </c>
      <c r="S167" s="2">
        <f t="shared" si="37"/>
        <v>833.91</v>
      </c>
      <c r="T167" s="9">
        <f t="shared" si="38"/>
        <v>15162</v>
      </c>
      <c r="U167" s="29"/>
    </row>
    <row r="168" spans="1:21" ht="28.8" x14ac:dyDescent="0.25">
      <c r="A168" s="10">
        <f>+'Banka Lis.'!B167</f>
        <v>163</v>
      </c>
      <c r="B168" s="10" t="str">
        <f>+Puantaj!C168</f>
        <v>28069506882</v>
      </c>
      <c r="C168" s="3" t="str">
        <f>+Puantaj!D168</f>
        <v>SENEM NUR</v>
      </c>
      <c r="D168" s="3" t="str">
        <f>+Puantaj!E168</f>
        <v>ÖZTÜRK</v>
      </c>
      <c r="E168" s="3" t="str">
        <f>+'Banka Lis.'!H167</f>
        <v>Bursa UludağÜniversitesi Üniveristesi Genel Sekreterlik Özel Kalem</v>
      </c>
      <c r="F168" s="33">
        <f>+Puantaj!AK168</f>
        <v>10</v>
      </c>
      <c r="G168" s="31">
        <f t="shared" si="26"/>
        <v>10830</v>
      </c>
      <c r="H168" s="56">
        <f t="shared" si="27"/>
        <v>595.65</v>
      </c>
      <c r="I168" s="57">
        <f t="shared" si="28"/>
        <v>11425.65</v>
      </c>
      <c r="J168" s="2">
        <f t="shared" si="29"/>
        <v>10830</v>
      </c>
      <c r="K168" s="2">
        <f t="shared" si="30"/>
        <v>1624.5</v>
      </c>
      <c r="L168" s="2">
        <f t="shared" si="31"/>
        <v>1624.5</v>
      </c>
      <c r="M168" s="58">
        <f t="shared" si="32"/>
        <v>0</v>
      </c>
      <c r="N168" s="2">
        <f t="shared" si="33"/>
        <v>82.199700000000007</v>
      </c>
      <c r="O168" s="2">
        <f t="shared" si="34"/>
        <v>82.199700000000007</v>
      </c>
      <c r="P168" s="2">
        <f t="shared" si="35"/>
        <v>0</v>
      </c>
      <c r="Q168" s="58">
        <f t="shared" si="36"/>
        <v>595.65</v>
      </c>
      <c r="R168" s="58">
        <v>0</v>
      </c>
      <c r="S168" s="2">
        <f t="shared" si="37"/>
        <v>595.65</v>
      </c>
      <c r="T168" s="9">
        <f t="shared" si="38"/>
        <v>10830</v>
      </c>
      <c r="U168" s="29"/>
    </row>
    <row r="169" spans="1:21" ht="28.8" x14ac:dyDescent="0.25">
      <c r="A169" s="10">
        <f>+'Banka Lis.'!B168</f>
        <v>164</v>
      </c>
      <c r="B169" s="10" t="str">
        <f>+Puantaj!C169</f>
        <v>56965637782</v>
      </c>
      <c r="C169" s="3" t="str">
        <f>+Puantaj!D169</f>
        <v>SEVDANUR</v>
      </c>
      <c r="D169" s="3" t="str">
        <f>+Puantaj!E169</f>
        <v>NİŞ</v>
      </c>
      <c r="E169" s="3" t="str">
        <f>+'Banka Lis.'!H168</f>
        <v>Bursa UludağÜniversitesi Üniveristesi Genel Sekreterlik Özel Kalem</v>
      </c>
      <c r="F169" s="33">
        <f>+Puantaj!AK169</f>
        <v>0</v>
      </c>
      <c r="G169" s="31">
        <f t="shared" si="26"/>
        <v>0</v>
      </c>
      <c r="H169" s="56">
        <f t="shared" si="27"/>
        <v>0</v>
      </c>
      <c r="I169" s="57">
        <f t="shared" si="28"/>
        <v>0</v>
      </c>
      <c r="J169" s="2">
        <f t="shared" si="29"/>
        <v>0</v>
      </c>
      <c r="K169" s="2">
        <f t="shared" si="30"/>
        <v>0</v>
      </c>
      <c r="L169" s="2">
        <f t="shared" si="31"/>
        <v>0</v>
      </c>
      <c r="M169" s="58">
        <f t="shared" si="32"/>
        <v>0</v>
      </c>
      <c r="N169" s="2">
        <f t="shared" si="33"/>
        <v>0</v>
      </c>
      <c r="O169" s="2">
        <f t="shared" si="34"/>
        <v>0</v>
      </c>
      <c r="P169" s="2">
        <f t="shared" si="35"/>
        <v>0</v>
      </c>
      <c r="Q169" s="58">
        <f t="shared" si="36"/>
        <v>0</v>
      </c>
      <c r="R169" s="58">
        <v>0</v>
      </c>
      <c r="S169" s="2">
        <f t="shared" si="37"/>
        <v>0</v>
      </c>
      <c r="T169" s="9">
        <f t="shared" si="38"/>
        <v>0</v>
      </c>
      <c r="U169" s="29"/>
    </row>
    <row r="170" spans="1:21" ht="28.8" x14ac:dyDescent="0.25">
      <c r="A170" s="10">
        <f>+'Banka Lis.'!B169</f>
        <v>165</v>
      </c>
      <c r="B170" s="10" t="str">
        <f>+Puantaj!C170</f>
        <v>10044124310</v>
      </c>
      <c r="C170" s="3" t="str">
        <f>+Puantaj!D170</f>
        <v>SILA</v>
      </c>
      <c r="D170" s="3" t="str">
        <f>+Puantaj!E170</f>
        <v>SARI</v>
      </c>
      <c r="E170" s="3" t="str">
        <f>+'Banka Lis.'!H169</f>
        <v>Bursa UludağÜniversitesi Üniveristesi Genel Sekreterlik Özel Kalem</v>
      </c>
      <c r="F170" s="33">
        <f>+Puantaj!AK170</f>
        <v>14</v>
      </c>
      <c r="G170" s="31">
        <f t="shared" si="26"/>
        <v>15162</v>
      </c>
      <c r="H170" s="56">
        <f t="shared" si="27"/>
        <v>833.91</v>
      </c>
      <c r="I170" s="57">
        <f t="shared" si="28"/>
        <v>15995.91</v>
      </c>
      <c r="J170" s="2">
        <f t="shared" si="29"/>
        <v>15162</v>
      </c>
      <c r="K170" s="2">
        <f t="shared" si="30"/>
        <v>2274.2999999999997</v>
      </c>
      <c r="L170" s="2">
        <f t="shared" si="31"/>
        <v>2274.2999999999997</v>
      </c>
      <c r="M170" s="58">
        <f t="shared" si="32"/>
        <v>0</v>
      </c>
      <c r="N170" s="2">
        <f t="shared" si="33"/>
        <v>115.07958000000001</v>
      </c>
      <c r="O170" s="2">
        <f t="shared" si="34"/>
        <v>115.07958000000001</v>
      </c>
      <c r="P170" s="2">
        <f t="shared" si="35"/>
        <v>0</v>
      </c>
      <c r="Q170" s="58">
        <f t="shared" si="36"/>
        <v>833.91</v>
      </c>
      <c r="R170" s="58">
        <v>0</v>
      </c>
      <c r="S170" s="2">
        <f t="shared" si="37"/>
        <v>833.91</v>
      </c>
      <c r="T170" s="9">
        <f t="shared" si="38"/>
        <v>15162</v>
      </c>
      <c r="U170" s="29"/>
    </row>
    <row r="171" spans="1:21" ht="28.8" x14ac:dyDescent="0.25">
      <c r="A171" s="10">
        <f>+'Banka Lis.'!B170</f>
        <v>166</v>
      </c>
      <c r="B171" s="10" t="str">
        <f>+Puantaj!C171</f>
        <v>10099823732</v>
      </c>
      <c r="C171" s="3" t="str">
        <f>+Puantaj!D171</f>
        <v>SUDE</v>
      </c>
      <c r="D171" s="3" t="str">
        <f>+Puantaj!E171</f>
        <v>AK</v>
      </c>
      <c r="E171" s="3" t="str">
        <f>+'Banka Lis.'!H170</f>
        <v>Bursa UludağÜniversitesi Üniveristesi Genel Sekreterlik Özel Kalem</v>
      </c>
      <c r="F171" s="33">
        <f>+Puantaj!AK171</f>
        <v>9</v>
      </c>
      <c r="G171" s="31">
        <f t="shared" si="26"/>
        <v>9747</v>
      </c>
      <c r="H171" s="56">
        <f t="shared" si="27"/>
        <v>536.08500000000004</v>
      </c>
      <c r="I171" s="57">
        <f t="shared" si="28"/>
        <v>10283.084999999999</v>
      </c>
      <c r="J171" s="2">
        <f t="shared" si="29"/>
        <v>9747</v>
      </c>
      <c r="K171" s="2">
        <f t="shared" si="30"/>
        <v>1462.05</v>
      </c>
      <c r="L171" s="2">
        <f t="shared" si="31"/>
        <v>1462.05</v>
      </c>
      <c r="M171" s="58">
        <f t="shared" si="32"/>
        <v>0</v>
      </c>
      <c r="N171" s="2">
        <f t="shared" si="33"/>
        <v>73.979730000000004</v>
      </c>
      <c r="O171" s="2">
        <f t="shared" si="34"/>
        <v>73.979730000000004</v>
      </c>
      <c r="P171" s="2">
        <f t="shared" si="35"/>
        <v>0</v>
      </c>
      <c r="Q171" s="58">
        <f t="shared" si="36"/>
        <v>536.08500000000004</v>
      </c>
      <c r="R171" s="58">
        <v>0</v>
      </c>
      <c r="S171" s="2">
        <f t="shared" si="37"/>
        <v>536.08500000000004</v>
      </c>
      <c r="T171" s="9">
        <f t="shared" si="38"/>
        <v>9747</v>
      </c>
      <c r="U171" s="29"/>
    </row>
    <row r="172" spans="1:21" ht="28.8" x14ac:dyDescent="0.25">
      <c r="A172" s="10">
        <f>+'Banka Lis.'!B171</f>
        <v>167</v>
      </c>
      <c r="B172" s="10" t="str">
        <f>+Puantaj!C172</f>
        <v>71035053262</v>
      </c>
      <c r="C172" s="3" t="str">
        <f>+Puantaj!D172</f>
        <v>ŞEVVAL BÜŞRA</v>
      </c>
      <c r="D172" s="3" t="str">
        <f>+Puantaj!E172</f>
        <v>ALTUNDAĞ</v>
      </c>
      <c r="E172" s="3" t="str">
        <f>+'Banka Lis.'!H171</f>
        <v>Bursa UludağÜniversitesi Üniveristesi Genel Sekreterlik Özel Kalem</v>
      </c>
      <c r="F172" s="33">
        <f>+Puantaj!AK172</f>
        <v>14</v>
      </c>
      <c r="G172" s="31">
        <f t="shared" si="26"/>
        <v>15162</v>
      </c>
      <c r="H172" s="56">
        <f t="shared" si="27"/>
        <v>833.91</v>
      </c>
      <c r="I172" s="57">
        <f t="shared" si="28"/>
        <v>15995.91</v>
      </c>
      <c r="J172" s="2">
        <f t="shared" si="29"/>
        <v>15162</v>
      </c>
      <c r="K172" s="2">
        <f t="shared" si="30"/>
        <v>2274.2999999999997</v>
      </c>
      <c r="L172" s="2">
        <f t="shared" si="31"/>
        <v>2274.2999999999997</v>
      </c>
      <c r="M172" s="58">
        <f t="shared" si="32"/>
        <v>0</v>
      </c>
      <c r="N172" s="2">
        <f t="shared" si="33"/>
        <v>115.07958000000001</v>
      </c>
      <c r="O172" s="2">
        <f t="shared" si="34"/>
        <v>115.07958000000001</v>
      </c>
      <c r="P172" s="2">
        <f t="shared" si="35"/>
        <v>0</v>
      </c>
      <c r="Q172" s="58">
        <f t="shared" si="36"/>
        <v>833.91</v>
      </c>
      <c r="R172" s="58">
        <v>0</v>
      </c>
      <c r="S172" s="2">
        <f t="shared" si="37"/>
        <v>833.91</v>
      </c>
      <c r="T172" s="9">
        <f t="shared" si="38"/>
        <v>15162</v>
      </c>
      <c r="U172" s="29"/>
    </row>
    <row r="173" spans="1:21" ht="28.8" x14ac:dyDescent="0.25">
      <c r="A173" s="10">
        <f>+'Banka Lis.'!B172</f>
        <v>168</v>
      </c>
      <c r="B173" s="10" t="str">
        <f>+Puantaj!C173</f>
        <v>59413337814</v>
      </c>
      <c r="C173" s="3" t="str">
        <f>+Puantaj!D173</f>
        <v>ŞEVVAL</v>
      </c>
      <c r="D173" s="3" t="str">
        <f>+Puantaj!E173</f>
        <v>YILDIRIM</v>
      </c>
      <c r="E173" s="3" t="str">
        <f>+'Banka Lis.'!H172</f>
        <v>Bursa UludağÜniversitesi Üniveristesi Genel Sekreterlik Özel Kalem</v>
      </c>
      <c r="F173" s="33">
        <f>+Puantaj!AK173</f>
        <v>15</v>
      </c>
      <c r="G173" s="31">
        <f t="shared" si="26"/>
        <v>16245</v>
      </c>
      <c r="H173" s="56">
        <f t="shared" si="27"/>
        <v>893.47500000000002</v>
      </c>
      <c r="I173" s="57">
        <f t="shared" si="28"/>
        <v>17138.474999999999</v>
      </c>
      <c r="J173" s="2">
        <f t="shared" si="29"/>
        <v>16245</v>
      </c>
      <c r="K173" s="2">
        <f t="shared" si="30"/>
        <v>2436.75</v>
      </c>
      <c r="L173" s="2">
        <f t="shared" si="31"/>
        <v>2436.75</v>
      </c>
      <c r="M173" s="58">
        <f t="shared" si="32"/>
        <v>0</v>
      </c>
      <c r="N173" s="2">
        <f t="shared" si="33"/>
        <v>123.29955000000001</v>
      </c>
      <c r="O173" s="2">
        <f t="shared" si="34"/>
        <v>123.29955000000001</v>
      </c>
      <c r="P173" s="2">
        <f t="shared" si="35"/>
        <v>0</v>
      </c>
      <c r="Q173" s="58">
        <f t="shared" si="36"/>
        <v>893.47500000000002</v>
      </c>
      <c r="R173" s="58">
        <v>0</v>
      </c>
      <c r="S173" s="2">
        <f t="shared" si="37"/>
        <v>893.47500000000002</v>
      </c>
      <c r="T173" s="9">
        <f t="shared" si="38"/>
        <v>16244.999999999998</v>
      </c>
      <c r="U173" s="29"/>
    </row>
    <row r="174" spans="1:21" ht="28.8" x14ac:dyDescent="0.25">
      <c r="A174" s="10">
        <f>+'Banka Lis.'!B173</f>
        <v>169</v>
      </c>
      <c r="B174" s="10" t="str">
        <f>+Puantaj!C174</f>
        <v>15296140996</v>
      </c>
      <c r="C174" s="3" t="str">
        <f>+Puantaj!D174</f>
        <v>ŞUHEDA</v>
      </c>
      <c r="D174" s="3" t="str">
        <f>+Puantaj!E174</f>
        <v>TEMUR</v>
      </c>
      <c r="E174" s="3" t="str">
        <f>+'Banka Lis.'!H173</f>
        <v>Bursa UludağÜniversitesi Üniveristesi Genel Sekreterlik Özel Kalem</v>
      </c>
      <c r="F174" s="33">
        <f>+Puantaj!AK174</f>
        <v>15</v>
      </c>
      <c r="G174" s="31">
        <f t="shared" si="26"/>
        <v>16245</v>
      </c>
      <c r="H174" s="56">
        <f t="shared" si="27"/>
        <v>893.47500000000002</v>
      </c>
      <c r="I174" s="57">
        <f t="shared" si="28"/>
        <v>17138.474999999999</v>
      </c>
      <c r="J174" s="2">
        <f t="shared" si="29"/>
        <v>16245</v>
      </c>
      <c r="K174" s="2">
        <f t="shared" si="30"/>
        <v>2436.75</v>
      </c>
      <c r="L174" s="2">
        <f t="shared" si="31"/>
        <v>2436.75</v>
      </c>
      <c r="M174" s="58">
        <f t="shared" si="32"/>
        <v>0</v>
      </c>
      <c r="N174" s="2">
        <f t="shared" si="33"/>
        <v>123.29955000000001</v>
      </c>
      <c r="O174" s="2">
        <f t="shared" si="34"/>
        <v>123.29955000000001</v>
      </c>
      <c r="P174" s="2">
        <f t="shared" si="35"/>
        <v>0</v>
      </c>
      <c r="Q174" s="58">
        <f t="shared" si="36"/>
        <v>893.47500000000002</v>
      </c>
      <c r="R174" s="58">
        <v>0</v>
      </c>
      <c r="S174" s="2">
        <f t="shared" si="37"/>
        <v>893.47500000000002</v>
      </c>
      <c r="T174" s="9">
        <f t="shared" si="38"/>
        <v>16244.999999999998</v>
      </c>
      <c r="U174" s="29"/>
    </row>
    <row r="175" spans="1:21" ht="28.8" x14ac:dyDescent="0.25">
      <c r="A175" s="10">
        <f>+'Banka Lis.'!B174</f>
        <v>170</v>
      </c>
      <c r="B175" s="10" t="str">
        <f>+Puantaj!C175</f>
        <v>12507116610</v>
      </c>
      <c r="C175" s="3" t="str">
        <f>+Puantaj!D175</f>
        <v>ŞÜKRAN</v>
      </c>
      <c r="D175" s="3" t="str">
        <f>+Puantaj!E175</f>
        <v>YANIK</v>
      </c>
      <c r="E175" s="3" t="str">
        <f>+'Banka Lis.'!H174</f>
        <v>Bursa UludağÜniversitesi Üniveristesi Genel Sekreterlik Özel Kalem</v>
      </c>
      <c r="F175" s="33">
        <f>+Puantaj!AK175</f>
        <v>11</v>
      </c>
      <c r="G175" s="31">
        <f t="shared" si="26"/>
        <v>11913</v>
      </c>
      <c r="H175" s="56">
        <f t="shared" si="27"/>
        <v>655.21500000000003</v>
      </c>
      <c r="I175" s="57">
        <f t="shared" si="28"/>
        <v>12568.215</v>
      </c>
      <c r="J175" s="2">
        <f t="shared" si="29"/>
        <v>11913</v>
      </c>
      <c r="K175" s="2">
        <f t="shared" si="30"/>
        <v>1786.95</v>
      </c>
      <c r="L175" s="2">
        <f t="shared" si="31"/>
        <v>1786.95</v>
      </c>
      <c r="M175" s="58">
        <f t="shared" si="32"/>
        <v>0</v>
      </c>
      <c r="N175" s="2">
        <f t="shared" si="33"/>
        <v>90.419670000000011</v>
      </c>
      <c r="O175" s="2">
        <f t="shared" si="34"/>
        <v>90.419670000000011</v>
      </c>
      <c r="P175" s="2">
        <f t="shared" si="35"/>
        <v>0</v>
      </c>
      <c r="Q175" s="58">
        <f t="shared" si="36"/>
        <v>655.21500000000003</v>
      </c>
      <c r="R175" s="58">
        <v>0</v>
      </c>
      <c r="S175" s="2">
        <f t="shared" si="37"/>
        <v>655.21500000000003</v>
      </c>
      <c r="T175" s="9">
        <f t="shared" si="38"/>
        <v>11913</v>
      </c>
      <c r="U175" s="29"/>
    </row>
    <row r="176" spans="1:21" ht="28.8" x14ac:dyDescent="0.25">
      <c r="A176" s="10">
        <f>+'Banka Lis.'!B175</f>
        <v>171</v>
      </c>
      <c r="B176" s="10" t="str">
        <f>+Puantaj!C176</f>
        <v>16252658296</v>
      </c>
      <c r="C176" s="3" t="str">
        <f>+Puantaj!D176</f>
        <v>TAN KUTAY</v>
      </c>
      <c r="D176" s="3" t="str">
        <f>+Puantaj!E176</f>
        <v>DEMİRCİ</v>
      </c>
      <c r="E176" s="3" t="str">
        <f>+'Banka Lis.'!H175</f>
        <v>Bursa UludağÜniversitesi Üniveristesi Genel Sekreterlik Özel Kalem</v>
      </c>
      <c r="F176" s="33">
        <f>+Puantaj!AK176</f>
        <v>12</v>
      </c>
      <c r="G176" s="31">
        <f t="shared" si="26"/>
        <v>12996</v>
      </c>
      <c r="H176" s="56">
        <f t="shared" si="27"/>
        <v>714.78</v>
      </c>
      <c r="I176" s="57">
        <f t="shared" si="28"/>
        <v>13710.78</v>
      </c>
      <c r="J176" s="2">
        <f t="shared" si="29"/>
        <v>12996</v>
      </c>
      <c r="K176" s="2">
        <f t="shared" si="30"/>
        <v>1949.3999999999999</v>
      </c>
      <c r="L176" s="2">
        <f t="shared" si="31"/>
        <v>1949.3999999999999</v>
      </c>
      <c r="M176" s="58">
        <f t="shared" si="32"/>
        <v>0</v>
      </c>
      <c r="N176" s="2">
        <f t="shared" si="33"/>
        <v>98.63964</v>
      </c>
      <c r="O176" s="2">
        <f t="shared" si="34"/>
        <v>98.63964</v>
      </c>
      <c r="P176" s="2">
        <f t="shared" si="35"/>
        <v>0</v>
      </c>
      <c r="Q176" s="58">
        <f t="shared" si="36"/>
        <v>714.78</v>
      </c>
      <c r="R176" s="58">
        <v>0</v>
      </c>
      <c r="S176" s="2">
        <f t="shared" si="37"/>
        <v>714.78</v>
      </c>
      <c r="T176" s="9">
        <f t="shared" si="38"/>
        <v>12996</v>
      </c>
      <c r="U176" s="29"/>
    </row>
    <row r="177" spans="1:21" ht="28.8" x14ac:dyDescent="0.25">
      <c r="A177" s="10">
        <f>+'Banka Lis.'!B176</f>
        <v>172</v>
      </c>
      <c r="B177" s="10" t="str">
        <f>+Puantaj!C177</f>
        <v>22685042762</v>
      </c>
      <c r="C177" s="3" t="str">
        <f>+Puantaj!D177</f>
        <v>TARIK</v>
      </c>
      <c r="D177" s="3" t="str">
        <f>+Puantaj!E177</f>
        <v>KAYA</v>
      </c>
      <c r="E177" s="3" t="str">
        <f>+'Banka Lis.'!H176</f>
        <v>Bursa UludağÜniversitesi Üniveristesi Genel Sekreterlik Özel Kalem</v>
      </c>
      <c r="F177" s="33">
        <f>+Puantaj!AK177</f>
        <v>15</v>
      </c>
      <c r="G177" s="31">
        <f t="shared" si="26"/>
        <v>16245</v>
      </c>
      <c r="H177" s="56">
        <f t="shared" si="27"/>
        <v>893.47500000000002</v>
      </c>
      <c r="I177" s="57">
        <f t="shared" si="28"/>
        <v>17138.474999999999</v>
      </c>
      <c r="J177" s="2">
        <f t="shared" si="29"/>
        <v>16245</v>
      </c>
      <c r="K177" s="2">
        <f t="shared" si="30"/>
        <v>2436.75</v>
      </c>
      <c r="L177" s="2">
        <f t="shared" si="31"/>
        <v>2436.75</v>
      </c>
      <c r="M177" s="58">
        <f t="shared" si="32"/>
        <v>0</v>
      </c>
      <c r="N177" s="2">
        <f t="shared" si="33"/>
        <v>123.29955000000001</v>
      </c>
      <c r="O177" s="2">
        <f t="shared" si="34"/>
        <v>123.29955000000001</v>
      </c>
      <c r="P177" s="2">
        <f t="shared" si="35"/>
        <v>0</v>
      </c>
      <c r="Q177" s="58">
        <f t="shared" si="36"/>
        <v>893.47500000000002</v>
      </c>
      <c r="R177" s="58">
        <v>0</v>
      </c>
      <c r="S177" s="2">
        <f t="shared" si="37"/>
        <v>893.47500000000002</v>
      </c>
      <c r="T177" s="9">
        <f t="shared" si="38"/>
        <v>16244.999999999998</v>
      </c>
      <c r="U177" s="29"/>
    </row>
    <row r="178" spans="1:21" ht="28.8" x14ac:dyDescent="0.25">
      <c r="A178" s="10">
        <f>+'Banka Lis.'!B177</f>
        <v>173</v>
      </c>
      <c r="B178" s="10" t="str">
        <f>+Puantaj!C178</f>
        <v>33574013466</v>
      </c>
      <c r="C178" s="3" t="str">
        <f>+Puantaj!D178</f>
        <v>TUANA</v>
      </c>
      <c r="D178" s="3" t="str">
        <f>+Puantaj!E178</f>
        <v>AY</v>
      </c>
      <c r="E178" s="3" t="str">
        <f>+'Banka Lis.'!H177</f>
        <v>Bursa UludağÜniversitesi Üniveristesi Genel Sekreterlik Özel Kalem</v>
      </c>
      <c r="F178" s="33">
        <f>+Puantaj!AK178</f>
        <v>12</v>
      </c>
      <c r="G178" s="31">
        <f t="shared" si="26"/>
        <v>12996</v>
      </c>
      <c r="H178" s="56">
        <f t="shared" si="27"/>
        <v>714.78</v>
      </c>
      <c r="I178" s="57">
        <f t="shared" si="28"/>
        <v>13710.78</v>
      </c>
      <c r="J178" s="2">
        <f t="shared" si="29"/>
        <v>12996</v>
      </c>
      <c r="K178" s="2">
        <f t="shared" si="30"/>
        <v>1949.3999999999999</v>
      </c>
      <c r="L178" s="2">
        <f t="shared" si="31"/>
        <v>1949.3999999999999</v>
      </c>
      <c r="M178" s="58">
        <f t="shared" si="32"/>
        <v>0</v>
      </c>
      <c r="N178" s="2">
        <f t="shared" si="33"/>
        <v>98.63964</v>
      </c>
      <c r="O178" s="2">
        <f t="shared" si="34"/>
        <v>98.63964</v>
      </c>
      <c r="P178" s="2">
        <f t="shared" si="35"/>
        <v>0</v>
      </c>
      <c r="Q178" s="58">
        <f t="shared" si="36"/>
        <v>714.78</v>
      </c>
      <c r="R178" s="58">
        <v>0</v>
      </c>
      <c r="S178" s="2">
        <f t="shared" si="37"/>
        <v>714.78</v>
      </c>
      <c r="T178" s="9">
        <f t="shared" si="38"/>
        <v>12996</v>
      </c>
      <c r="U178" s="29"/>
    </row>
    <row r="179" spans="1:21" ht="28.8" x14ac:dyDescent="0.25">
      <c r="A179" s="10">
        <f>+'Banka Lis.'!B178</f>
        <v>174</v>
      </c>
      <c r="B179" s="10" t="str">
        <f>+Puantaj!C179</f>
        <v>17923740340</v>
      </c>
      <c r="C179" s="3" t="str">
        <f>+Puantaj!D179</f>
        <v>TUBANUR</v>
      </c>
      <c r="D179" s="3" t="str">
        <f>+Puantaj!E179</f>
        <v>GÖLCÜ</v>
      </c>
      <c r="E179" s="3" t="str">
        <f>+'Banka Lis.'!H178</f>
        <v>Bursa UludağÜniversitesi Üniveristesi Genel Sekreterlik Özel Kalem</v>
      </c>
      <c r="F179" s="33">
        <f>+Puantaj!AK179</f>
        <v>13</v>
      </c>
      <c r="G179" s="31">
        <f t="shared" si="26"/>
        <v>14079</v>
      </c>
      <c r="H179" s="56">
        <f t="shared" si="27"/>
        <v>774.34500000000003</v>
      </c>
      <c r="I179" s="57">
        <f t="shared" si="28"/>
        <v>14853.344999999999</v>
      </c>
      <c r="J179" s="2">
        <f t="shared" si="29"/>
        <v>14079</v>
      </c>
      <c r="K179" s="2">
        <f t="shared" si="30"/>
        <v>2111.85</v>
      </c>
      <c r="L179" s="2">
        <f t="shared" si="31"/>
        <v>2111.85</v>
      </c>
      <c r="M179" s="58">
        <f t="shared" si="32"/>
        <v>0</v>
      </c>
      <c r="N179" s="2">
        <f t="shared" si="33"/>
        <v>106.85961</v>
      </c>
      <c r="O179" s="2">
        <f t="shared" si="34"/>
        <v>106.85961</v>
      </c>
      <c r="P179" s="2">
        <f t="shared" si="35"/>
        <v>0</v>
      </c>
      <c r="Q179" s="58">
        <f t="shared" si="36"/>
        <v>774.34500000000003</v>
      </c>
      <c r="R179" s="58">
        <v>0</v>
      </c>
      <c r="S179" s="2">
        <f t="shared" si="37"/>
        <v>774.34500000000003</v>
      </c>
      <c r="T179" s="9">
        <f t="shared" si="38"/>
        <v>14079</v>
      </c>
      <c r="U179" s="29"/>
    </row>
    <row r="180" spans="1:21" ht="28.8" x14ac:dyDescent="0.25">
      <c r="A180" s="10">
        <f>+'Banka Lis.'!B179</f>
        <v>175</v>
      </c>
      <c r="B180" s="10" t="str">
        <f>+Puantaj!C180</f>
        <v>38440624326</v>
      </c>
      <c r="C180" s="3" t="str">
        <f>+Puantaj!D180</f>
        <v>UĞUR KEMAL</v>
      </c>
      <c r="D180" s="3" t="str">
        <f>+Puantaj!E180</f>
        <v>DURNA</v>
      </c>
      <c r="E180" s="3" t="str">
        <f>+'Banka Lis.'!H179</f>
        <v>Bursa UludağÜniversitesi Üniveristesi Genel Sekreterlik Özel Kalem</v>
      </c>
      <c r="F180" s="33">
        <f>+Puantaj!AK180</f>
        <v>14</v>
      </c>
      <c r="G180" s="31">
        <f t="shared" si="26"/>
        <v>15162</v>
      </c>
      <c r="H180" s="56">
        <f t="shared" si="27"/>
        <v>833.91</v>
      </c>
      <c r="I180" s="57">
        <f t="shared" si="28"/>
        <v>15995.91</v>
      </c>
      <c r="J180" s="2">
        <f t="shared" si="29"/>
        <v>15162</v>
      </c>
      <c r="K180" s="2">
        <f t="shared" si="30"/>
        <v>2274.2999999999997</v>
      </c>
      <c r="L180" s="2">
        <f t="shared" si="31"/>
        <v>2274.2999999999997</v>
      </c>
      <c r="M180" s="58">
        <f t="shared" si="32"/>
        <v>0</v>
      </c>
      <c r="N180" s="2">
        <f t="shared" si="33"/>
        <v>115.07958000000001</v>
      </c>
      <c r="O180" s="2">
        <f t="shared" si="34"/>
        <v>115.07958000000001</v>
      </c>
      <c r="P180" s="2">
        <f t="shared" si="35"/>
        <v>0</v>
      </c>
      <c r="Q180" s="58">
        <f t="shared" si="36"/>
        <v>833.91</v>
      </c>
      <c r="R180" s="58">
        <v>0</v>
      </c>
      <c r="S180" s="2">
        <f t="shared" si="37"/>
        <v>833.91</v>
      </c>
      <c r="T180" s="9">
        <f t="shared" si="38"/>
        <v>15162</v>
      </c>
      <c r="U180" s="29"/>
    </row>
    <row r="181" spans="1:21" ht="28.8" x14ac:dyDescent="0.25">
      <c r="A181" s="10">
        <f>+'Banka Lis.'!B180</f>
        <v>176</v>
      </c>
      <c r="B181" s="10" t="str">
        <f>+Puantaj!C181</f>
        <v>12855005062</v>
      </c>
      <c r="C181" s="3" t="str">
        <f>+Puantaj!D181</f>
        <v>YAĞMUR</v>
      </c>
      <c r="D181" s="3" t="str">
        <f>+Puantaj!E181</f>
        <v>BAŞER</v>
      </c>
      <c r="E181" s="3" t="str">
        <f>+'Banka Lis.'!H180</f>
        <v>Bursa UludağÜniversitesi Üniveristesi Genel Sekreterlik Özel Kalem</v>
      </c>
      <c r="F181" s="33">
        <f>+Puantaj!AK181</f>
        <v>13</v>
      </c>
      <c r="G181" s="31">
        <f t="shared" si="26"/>
        <v>14079</v>
      </c>
      <c r="H181" s="56">
        <f t="shared" si="27"/>
        <v>774.34500000000003</v>
      </c>
      <c r="I181" s="57">
        <f t="shared" si="28"/>
        <v>14853.344999999999</v>
      </c>
      <c r="J181" s="2">
        <f t="shared" si="29"/>
        <v>14079</v>
      </c>
      <c r="K181" s="2">
        <f t="shared" si="30"/>
        <v>2111.85</v>
      </c>
      <c r="L181" s="2">
        <f t="shared" si="31"/>
        <v>2111.85</v>
      </c>
      <c r="M181" s="58">
        <f t="shared" si="32"/>
        <v>0</v>
      </c>
      <c r="N181" s="2">
        <f t="shared" si="33"/>
        <v>106.85961</v>
      </c>
      <c r="O181" s="2">
        <f t="shared" si="34"/>
        <v>106.85961</v>
      </c>
      <c r="P181" s="2">
        <f t="shared" si="35"/>
        <v>0</v>
      </c>
      <c r="Q181" s="58">
        <f t="shared" si="36"/>
        <v>774.34500000000003</v>
      </c>
      <c r="R181" s="58">
        <v>0</v>
      </c>
      <c r="S181" s="2">
        <f t="shared" si="37"/>
        <v>774.34500000000003</v>
      </c>
      <c r="T181" s="9">
        <f t="shared" si="38"/>
        <v>14079</v>
      </c>
      <c r="U181" s="29"/>
    </row>
    <row r="182" spans="1:21" ht="28.8" x14ac:dyDescent="0.25">
      <c r="A182" s="10">
        <f>+'Banka Lis.'!B181</f>
        <v>177</v>
      </c>
      <c r="B182" s="10" t="str">
        <f>+Puantaj!C182</f>
        <v>12517226354</v>
      </c>
      <c r="C182" s="3" t="str">
        <f>+Puantaj!D182</f>
        <v>YAĞMUR</v>
      </c>
      <c r="D182" s="3" t="str">
        <f>+Puantaj!E182</f>
        <v>GEÇİCİ</v>
      </c>
      <c r="E182" s="3" t="str">
        <f>+'Banka Lis.'!H181</f>
        <v>Bursa UludağÜniversitesi Üniveristesi Genel Sekreterlik Özel Kalem</v>
      </c>
      <c r="F182" s="33">
        <f>+Puantaj!AK182</f>
        <v>12</v>
      </c>
      <c r="G182" s="31">
        <f t="shared" si="26"/>
        <v>12996</v>
      </c>
      <c r="H182" s="56">
        <f t="shared" si="27"/>
        <v>714.78</v>
      </c>
      <c r="I182" s="57">
        <f t="shared" si="28"/>
        <v>13710.78</v>
      </c>
      <c r="J182" s="2">
        <f t="shared" si="29"/>
        <v>12996</v>
      </c>
      <c r="K182" s="2">
        <f t="shared" si="30"/>
        <v>1949.3999999999999</v>
      </c>
      <c r="L182" s="2">
        <f t="shared" si="31"/>
        <v>1949.3999999999999</v>
      </c>
      <c r="M182" s="58">
        <f t="shared" si="32"/>
        <v>0</v>
      </c>
      <c r="N182" s="2">
        <f t="shared" si="33"/>
        <v>98.63964</v>
      </c>
      <c r="O182" s="2">
        <f t="shared" si="34"/>
        <v>98.63964</v>
      </c>
      <c r="P182" s="2">
        <f t="shared" si="35"/>
        <v>0</v>
      </c>
      <c r="Q182" s="58">
        <f t="shared" si="36"/>
        <v>714.78</v>
      </c>
      <c r="R182" s="58">
        <v>0</v>
      </c>
      <c r="S182" s="2">
        <f t="shared" si="37"/>
        <v>714.78</v>
      </c>
      <c r="T182" s="9">
        <f t="shared" si="38"/>
        <v>12996</v>
      </c>
      <c r="U182" s="29"/>
    </row>
    <row r="183" spans="1:21" ht="28.8" x14ac:dyDescent="0.25">
      <c r="A183" s="10">
        <f>+'Banka Lis.'!B182</f>
        <v>178</v>
      </c>
      <c r="B183" s="10" t="str">
        <f>+Puantaj!C183</f>
        <v>26182732720</v>
      </c>
      <c r="C183" s="3" t="str">
        <f>+Puantaj!D183</f>
        <v>YAĞMUR</v>
      </c>
      <c r="D183" s="3" t="str">
        <f>+Puantaj!E183</f>
        <v>ILGIN</v>
      </c>
      <c r="E183" s="3" t="str">
        <f>+'Banka Lis.'!H182</f>
        <v>Bursa UludağÜniversitesi Üniveristesi Genel Sekreterlik Özel Kalem</v>
      </c>
      <c r="F183" s="33">
        <f>+Puantaj!AK183</f>
        <v>12</v>
      </c>
      <c r="G183" s="31">
        <f t="shared" si="26"/>
        <v>12996</v>
      </c>
      <c r="H183" s="56">
        <f t="shared" si="27"/>
        <v>714.78</v>
      </c>
      <c r="I183" s="57">
        <f t="shared" si="28"/>
        <v>13710.78</v>
      </c>
      <c r="J183" s="2">
        <f t="shared" si="29"/>
        <v>12996</v>
      </c>
      <c r="K183" s="2">
        <f t="shared" si="30"/>
        <v>1949.3999999999999</v>
      </c>
      <c r="L183" s="2">
        <f t="shared" si="31"/>
        <v>1949.3999999999999</v>
      </c>
      <c r="M183" s="58">
        <f t="shared" si="32"/>
        <v>0</v>
      </c>
      <c r="N183" s="2">
        <f t="shared" si="33"/>
        <v>98.63964</v>
      </c>
      <c r="O183" s="2">
        <f t="shared" si="34"/>
        <v>98.63964</v>
      </c>
      <c r="P183" s="2">
        <f t="shared" si="35"/>
        <v>0</v>
      </c>
      <c r="Q183" s="58">
        <f t="shared" si="36"/>
        <v>714.78</v>
      </c>
      <c r="R183" s="58">
        <v>0</v>
      </c>
      <c r="S183" s="2">
        <f t="shared" si="37"/>
        <v>714.78</v>
      </c>
      <c r="T183" s="9">
        <f t="shared" si="38"/>
        <v>12996</v>
      </c>
      <c r="U183" s="29"/>
    </row>
    <row r="184" spans="1:21" ht="28.8" x14ac:dyDescent="0.25">
      <c r="A184" s="10">
        <f>+'Banka Lis.'!B183</f>
        <v>179</v>
      </c>
      <c r="B184" s="10" t="str">
        <f>+Puantaj!C184</f>
        <v>17620702016</v>
      </c>
      <c r="C184" s="3" t="str">
        <f>+Puantaj!D184</f>
        <v>YAREN</v>
      </c>
      <c r="D184" s="3" t="str">
        <f>+Puantaj!E184</f>
        <v>BAL</v>
      </c>
      <c r="E184" s="3" t="str">
        <f>+'Banka Lis.'!H183</f>
        <v>Bursa UludağÜniversitesi Üniveristesi Genel Sekreterlik Özel Kalem</v>
      </c>
      <c r="F184" s="33">
        <f>+Puantaj!AK184</f>
        <v>14</v>
      </c>
      <c r="G184" s="31">
        <f t="shared" si="26"/>
        <v>15162</v>
      </c>
      <c r="H184" s="56">
        <f t="shared" si="27"/>
        <v>833.91</v>
      </c>
      <c r="I184" s="57">
        <f t="shared" si="28"/>
        <v>15995.91</v>
      </c>
      <c r="J184" s="2">
        <f t="shared" si="29"/>
        <v>15162</v>
      </c>
      <c r="K184" s="2">
        <f t="shared" si="30"/>
        <v>2274.2999999999997</v>
      </c>
      <c r="L184" s="2">
        <f t="shared" si="31"/>
        <v>2274.2999999999997</v>
      </c>
      <c r="M184" s="58">
        <f t="shared" si="32"/>
        <v>0</v>
      </c>
      <c r="N184" s="2">
        <f t="shared" si="33"/>
        <v>115.07958000000001</v>
      </c>
      <c r="O184" s="2">
        <f t="shared" si="34"/>
        <v>115.07958000000001</v>
      </c>
      <c r="P184" s="2">
        <f t="shared" si="35"/>
        <v>0</v>
      </c>
      <c r="Q184" s="58">
        <f t="shared" si="36"/>
        <v>833.91</v>
      </c>
      <c r="R184" s="58">
        <v>0</v>
      </c>
      <c r="S184" s="2">
        <f t="shared" si="37"/>
        <v>833.91</v>
      </c>
      <c r="T184" s="9">
        <f t="shared" si="38"/>
        <v>15162</v>
      </c>
      <c r="U184" s="29"/>
    </row>
    <row r="185" spans="1:21" ht="28.8" x14ac:dyDescent="0.25">
      <c r="A185" s="10">
        <f>+'Banka Lis.'!B184</f>
        <v>180</v>
      </c>
      <c r="B185" s="10" t="str">
        <f>+Puantaj!C185</f>
        <v>10196736362</v>
      </c>
      <c r="C185" s="3" t="str">
        <f>+Puantaj!D185</f>
        <v>YASİN</v>
      </c>
      <c r="D185" s="3" t="str">
        <f>+Puantaj!E185</f>
        <v>KURTTEKİN</v>
      </c>
      <c r="E185" s="3" t="str">
        <f>+'Banka Lis.'!H184</f>
        <v>Bursa UludağÜniversitesi Üniveristesi Genel Sekreterlik Özel Kalem</v>
      </c>
      <c r="F185" s="33">
        <f>+Puantaj!AK185</f>
        <v>14</v>
      </c>
      <c r="G185" s="31">
        <f t="shared" si="26"/>
        <v>15162</v>
      </c>
      <c r="H185" s="56">
        <f t="shared" si="27"/>
        <v>833.91</v>
      </c>
      <c r="I185" s="57">
        <f t="shared" si="28"/>
        <v>15995.91</v>
      </c>
      <c r="J185" s="2">
        <f t="shared" si="29"/>
        <v>15162</v>
      </c>
      <c r="K185" s="2">
        <f t="shared" si="30"/>
        <v>2274.2999999999997</v>
      </c>
      <c r="L185" s="2">
        <f t="shared" si="31"/>
        <v>2274.2999999999997</v>
      </c>
      <c r="M185" s="58">
        <f t="shared" si="32"/>
        <v>0</v>
      </c>
      <c r="N185" s="2">
        <f t="shared" si="33"/>
        <v>115.07958000000001</v>
      </c>
      <c r="O185" s="2">
        <f t="shared" si="34"/>
        <v>115.07958000000001</v>
      </c>
      <c r="P185" s="2">
        <f t="shared" si="35"/>
        <v>0</v>
      </c>
      <c r="Q185" s="58">
        <f t="shared" si="36"/>
        <v>833.91</v>
      </c>
      <c r="R185" s="58">
        <v>0</v>
      </c>
      <c r="S185" s="2">
        <f t="shared" si="37"/>
        <v>833.91</v>
      </c>
      <c r="T185" s="9">
        <f t="shared" si="38"/>
        <v>15162</v>
      </c>
      <c r="U185" s="29"/>
    </row>
    <row r="186" spans="1:21" ht="28.8" x14ac:dyDescent="0.25">
      <c r="A186" s="10">
        <f>+'Banka Lis.'!B185</f>
        <v>181</v>
      </c>
      <c r="B186" s="10" t="str">
        <f>+Puantaj!C186</f>
        <v>11168576870</v>
      </c>
      <c r="C186" s="3" t="str">
        <f>+Puantaj!D186</f>
        <v>YİĞİT ALP</v>
      </c>
      <c r="D186" s="3" t="str">
        <f>+Puantaj!E186</f>
        <v>ÖZMEN</v>
      </c>
      <c r="E186" s="3" t="str">
        <f>+'Banka Lis.'!H185</f>
        <v>Bursa UludağÜniversitesi Üniveristesi Genel Sekreterlik Özel Kalem</v>
      </c>
      <c r="F186" s="33">
        <f>+Puantaj!AK186</f>
        <v>7</v>
      </c>
      <c r="G186" s="31">
        <f t="shared" si="26"/>
        <v>7581</v>
      </c>
      <c r="H186" s="56">
        <f t="shared" si="27"/>
        <v>416.95499999999998</v>
      </c>
      <c r="I186" s="57">
        <f t="shared" si="28"/>
        <v>7997.9549999999999</v>
      </c>
      <c r="J186" s="2">
        <f t="shared" si="29"/>
        <v>7581</v>
      </c>
      <c r="K186" s="2">
        <f t="shared" si="30"/>
        <v>1137.1499999999999</v>
      </c>
      <c r="L186" s="2">
        <f t="shared" si="31"/>
        <v>1137.1499999999999</v>
      </c>
      <c r="M186" s="58">
        <f t="shared" si="32"/>
        <v>0</v>
      </c>
      <c r="N186" s="2">
        <f t="shared" si="33"/>
        <v>57.539790000000004</v>
      </c>
      <c r="O186" s="2">
        <f t="shared" si="34"/>
        <v>57.539790000000004</v>
      </c>
      <c r="P186" s="2">
        <f t="shared" si="35"/>
        <v>0</v>
      </c>
      <c r="Q186" s="58">
        <f t="shared" si="36"/>
        <v>416.95499999999998</v>
      </c>
      <c r="R186" s="58">
        <v>0</v>
      </c>
      <c r="S186" s="2">
        <f t="shared" si="37"/>
        <v>416.95499999999998</v>
      </c>
      <c r="T186" s="9">
        <f t="shared" si="38"/>
        <v>7581</v>
      </c>
      <c r="U186" s="29"/>
    </row>
    <row r="187" spans="1:21" ht="28.8" x14ac:dyDescent="0.25">
      <c r="A187" s="10">
        <f>+'Banka Lis.'!B186</f>
        <v>182</v>
      </c>
      <c r="B187" s="10" t="str">
        <f>+Puantaj!C187</f>
        <v>14771083360</v>
      </c>
      <c r="C187" s="3" t="str">
        <f>+Puantaj!D187</f>
        <v>YUNUS EFDAL</v>
      </c>
      <c r="D187" s="3" t="str">
        <f>+Puantaj!E187</f>
        <v>ÇELİK</v>
      </c>
      <c r="E187" s="3" t="str">
        <f>+'Banka Lis.'!H186</f>
        <v>Bursa UludağÜniversitesi Üniveristesi Genel Sekreterlik Özel Kalem</v>
      </c>
      <c r="F187" s="33">
        <f>+Puantaj!AK187</f>
        <v>12</v>
      </c>
      <c r="G187" s="31">
        <f t="shared" si="26"/>
        <v>12996</v>
      </c>
      <c r="H187" s="56">
        <f t="shared" si="27"/>
        <v>714.78</v>
      </c>
      <c r="I187" s="57">
        <f t="shared" si="28"/>
        <v>13710.78</v>
      </c>
      <c r="J187" s="2">
        <f t="shared" si="29"/>
        <v>12996</v>
      </c>
      <c r="K187" s="2">
        <f t="shared" si="30"/>
        <v>1949.3999999999999</v>
      </c>
      <c r="L187" s="2">
        <f t="shared" si="31"/>
        <v>1949.3999999999999</v>
      </c>
      <c r="M187" s="58">
        <f t="shared" si="32"/>
        <v>0</v>
      </c>
      <c r="N187" s="2">
        <f t="shared" si="33"/>
        <v>98.63964</v>
      </c>
      <c r="O187" s="2">
        <f t="shared" si="34"/>
        <v>98.63964</v>
      </c>
      <c r="P187" s="2">
        <f t="shared" si="35"/>
        <v>0</v>
      </c>
      <c r="Q187" s="58">
        <f t="shared" si="36"/>
        <v>714.78</v>
      </c>
      <c r="R187" s="58">
        <v>0</v>
      </c>
      <c r="S187" s="2">
        <f t="shared" si="37"/>
        <v>714.78</v>
      </c>
      <c r="T187" s="9">
        <f t="shared" si="38"/>
        <v>12996</v>
      </c>
      <c r="U187" s="29"/>
    </row>
    <row r="188" spans="1:21" ht="28.8" x14ac:dyDescent="0.25">
      <c r="A188" s="10">
        <f>+'Banka Lis.'!B187</f>
        <v>183</v>
      </c>
      <c r="B188" s="10" t="str">
        <f>+Puantaj!C188</f>
        <v>29677892268</v>
      </c>
      <c r="C188" s="3" t="str">
        <f>+Puantaj!D188</f>
        <v>YUNUS EMRE</v>
      </c>
      <c r="D188" s="3" t="str">
        <f>+Puantaj!E188</f>
        <v>TOGAÇ</v>
      </c>
      <c r="E188" s="3" t="str">
        <f>+'Banka Lis.'!H187</f>
        <v>Bursa UludağÜniversitesi Üniveristesi Genel Sekreterlik Özel Kalem</v>
      </c>
      <c r="F188" s="33">
        <f>+Puantaj!AK188</f>
        <v>14</v>
      </c>
      <c r="G188" s="31">
        <f t="shared" si="26"/>
        <v>15162</v>
      </c>
      <c r="H188" s="56">
        <f t="shared" si="27"/>
        <v>833.91</v>
      </c>
      <c r="I188" s="57">
        <f t="shared" si="28"/>
        <v>15995.91</v>
      </c>
      <c r="J188" s="2">
        <f t="shared" si="29"/>
        <v>15162</v>
      </c>
      <c r="K188" s="2">
        <f t="shared" si="30"/>
        <v>2274.2999999999997</v>
      </c>
      <c r="L188" s="2">
        <f t="shared" si="31"/>
        <v>2274.2999999999997</v>
      </c>
      <c r="M188" s="58">
        <f t="shared" si="32"/>
        <v>0</v>
      </c>
      <c r="N188" s="2">
        <f t="shared" si="33"/>
        <v>115.07958000000001</v>
      </c>
      <c r="O188" s="2">
        <f t="shared" si="34"/>
        <v>115.07958000000001</v>
      </c>
      <c r="P188" s="2">
        <f t="shared" si="35"/>
        <v>0</v>
      </c>
      <c r="Q188" s="58">
        <f t="shared" si="36"/>
        <v>833.91</v>
      </c>
      <c r="R188" s="58">
        <v>0</v>
      </c>
      <c r="S188" s="2">
        <f t="shared" si="37"/>
        <v>833.91</v>
      </c>
      <c r="T188" s="9">
        <f t="shared" si="38"/>
        <v>15162</v>
      </c>
      <c r="U188" s="29"/>
    </row>
    <row r="189" spans="1:21" ht="28.8" x14ac:dyDescent="0.25">
      <c r="A189" s="10">
        <f>+'Banka Lis.'!B188</f>
        <v>184</v>
      </c>
      <c r="B189" s="10" t="str">
        <f>+Puantaj!C189</f>
        <v>19117690486</v>
      </c>
      <c r="C189" s="3" t="str">
        <f>+Puantaj!D189</f>
        <v>YUSUF</v>
      </c>
      <c r="D189" s="3" t="str">
        <f>+Puantaj!E189</f>
        <v>KESKİN</v>
      </c>
      <c r="E189" s="3" t="str">
        <f>+'Banka Lis.'!H188</f>
        <v>Bursa UludağÜniversitesi Üniveristesi Genel Sekreterlik Özel Kalem</v>
      </c>
      <c r="F189" s="33">
        <f>+Puantaj!AK189</f>
        <v>14</v>
      </c>
      <c r="G189" s="31">
        <f t="shared" si="26"/>
        <v>15162</v>
      </c>
      <c r="H189" s="56">
        <f t="shared" si="27"/>
        <v>833.91</v>
      </c>
      <c r="I189" s="57">
        <f t="shared" si="28"/>
        <v>15995.91</v>
      </c>
      <c r="J189" s="2">
        <f t="shared" si="29"/>
        <v>15162</v>
      </c>
      <c r="K189" s="2">
        <f t="shared" si="30"/>
        <v>2274.2999999999997</v>
      </c>
      <c r="L189" s="2">
        <f t="shared" si="31"/>
        <v>2274.2999999999997</v>
      </c>
      <c r="M189" s="58">
        <f t="shared" si="32"/>
        <v>0</v>
      </c>
      <c r="N189" s="2">
        <f t="shared" si="33"/>
        <v>115.07958000000001</v>
      </c>
      <c r="O189" s="2">
        <f t="shared" si="34"/>
        <v>115.07958000000001</v>
      </c>
      <c r="P189" s="2">
        <f t="shared" si="35"/>
        <v>0</v>
      </c>
      <c r="Q189" s="58">
        <f t="shared" si="36"/>
        <v>833.91</v>
      </c>
      <c r="R189" s="58">
        <v>0</v>
      </c>
      <c r="S189" s="2">
        <f t="shared" si="37"/>
        <v>833.91</v>
      </c>
      <c r="T189" s="9">
        <f t="shared" si="38"/>
        <v>15162</v>
      </c>
      <c r="U189" s="29"/>
    </row>
    <row r="190" spans="1:21" ht="28.8" x14ac:dyDescent="0.25">
      <c r="A190" s="10">
        <f>+'Banka Lis.'!B189</f>
        <v>185</v>
      </c>
      <c r="B190" s="10" t="str">
        <f>+Puantaj!C190</f>
        <v>10486978632</v>
      </c>
      <c r="C190" s="3" t="str">
        <f>+Puantaj!D190</f>
        <v>YUSUF</v>
      </c>
      <c r="D190" s="3" t="str">
        <f>+Puantaj!E190</f>
        <v>YİĞİT</v>
      </c>
      <c r="E190" s="3" t="str">
        <f>+'Banka Lis.'!H189</f>
        <v>Bursa UludağÜniversitesi Üniveristesi Genel Sekreterlik Özel Kalem</v>
      </c>
      <c r="F190" s="33">
        <f>+Puantaj!AK190</f>
        <v>12</v>
      </c>
      <c r="G190" s="31">
        <f t="shared" si="26"/>
        <v>12996</v>
      </c>
      <c r="H190" s="56">
        <f t="shared" si="27"/>
        <v>714.78</v>
      </c>
      <c r="I190" s="57">
        <f t="shared" si="28"/>
        <v>13710.78</v>
      </c>
      <c r="J190" s="2">
        <f t="shared" si="29"/>
        <v>12996</v>
      </c>
      <c r="K190" s="2">
        <f t="shared" si="30"/>
        <v>1949.3999999999999</v>
      </c>
      <c r="L190" s="2">
        <f t="shared" si="31"/>
        <v>1949.3999999999999</v>
      </c>
      <c r="M190" s="58">
        <f t="shared" si="32"/>
        <v>0</v>
      </c>
      <c r="N190" s="2">
        <f t="shared" si="33"/>
        <v>98.63964</v>
      </c>
      <c r="O190" s="2">
        <f t="shared" si="34"/>
        <v>98.63964</v>
      </c>
      <c r="P190" s="2">
        <f t="shared" si="35"/>
        <v>0</v>
      </c>
      <c r="Q190" s="58">
        <f t="shared" si="36"/>
        <v>714.78</v>
      </c>
      <c r="R190" s="58">
        <v>0</v>
      </c>
      <c r="S190" s="2">
        <f t="shared" si="37"/>
        <v>714.78</v>
      </c>
      <c r="T190" s="9">
        <f t="shared" si="38"/>
        <v>12996</v>
      </c>
      <c r="U190" s="29"/>
    </row>
    <row r="191" spans="1:21" ht="28.8" x14ac:dyDescent="0.25">
      <c r="A191" s="10">
        <f>+'Banka Lis.'!B190</f>
        <v>186</v>
      </c>
      <c r="B191" s="10" t="str">
        <f>+Puantaj!C191</f>
        <v>10412895460</v>
      </c>
      <c r="C191" s="3" t="str">
        <f>+Puantaj!D191</f>
        <v>ZELİHA</v>
      </c>
      <c r="D191" s="3" t="str">
        <f>+Puantaj!E191</f>
        <v>BEKTAŞ</v>
      </c>
      <c r="E191" s="3" t="str">
        <f>+'Banka Lis.'!H190</f>
        <v>Bursa UludağÜniversitesi Üniveristesi Genel Sekreterlik Özel Kalem</v>
      </c>
      <c r="F191" s="33">
        <f>+Puantaj!AK191</f>
        <v>13</v>
      </c>
      <c r="G191" s="31">
        <f t="shared" si="26"/>
        <v>14079</v>
      </c>
      <c r="H191" s="56">
        <f t="shared" si="27"/>
        <v>774.34500000000003</v>
      </c>
      <c r="I191" s="57">
        <f t="shared" si="28"/>
        <v>14853.344999999999</v>
      </c>
      <c r="J191" s="2">
        <f t="shared" si="29"/>
        <v>14079</v>
      </c>
      <c r="K191" s="2">
        <f t="shared" si="30"/>
        <v>2111.85</v>
      </c>
      <c r="L191" s="2">
        <f t="shared" si="31"/>
        <v>2111.85</v>
      </c>
      <c r="M191" s="58">
        <f t="shared" si="32"/>
        <v>0</v>
      </c>
      <c r="N191" s="2">
        <f t="shared" si="33"/>
        <v>106.85961</v>
      </c>
      <c r="O191" s="2">
        <f t="shared" si="34"/>
        <v>106.85961</v>
      </c>
      <c r="P191" s="2">
        <f t="shared" si="35"/>
        <v>0</v>
      </c>
      <c r="Q191" s="58">
        <f t="shared" si="36"/>
        <v>774.34500000000003</v>
      </c>
      <c r="R191" s="58">
        <v>0</v>
      </c>
      <c r="S191" s="2">
        <f t="shared" si="37"/>
        <v>774.34500000000003</v>
      </c>
      <c r="T191" s="9">
        <f t="shared" si="38"/>
        <v>14079</v>
      </c>
      <c r="U191" s="29"/>
    </row>
    <row r="192" spans="1:21" ht="28.8" x14ac:dyDescent="0.25">
      <c r="A192" s="10">
        <f>+'Banka Lis.'!B191</f>
        <v>187</v>
      </c>
      <c r="B192" s="10" t="str">
        <f>+Puantaj!C192</f>
        <v>10339935744</v>
      </c>
      <c r="C192" s="3" t="str">
        <f>+Puantaj!D192</f>
        <v>ZEYNEP</v>
      </c>
      <c r="D192" s="3" t="str">
        <f>+Puantaj!E192</f>
        <v>AKÇAM</v>
      </c>
      <c r="E192" s="3" t="str">
        <f>+'Banka Lis.'!H191</f>
        <v>Bursa UludağÜniversitesi Üniveristesi Genel Sekreterlik Özel Kalem</v>
      </c>
      <c r="F192" s="33">
        <f>+Puantaj!AK192</f>
        <v>9</v>
      </c>
      <c r="G192" s="31">
        <f t="shared" si="26"/>
        <v>9747</v>
      </c>
      <c r="H192" s="56">
        <f t="shared" si="27"/>
        <v>536.08500000000004</v>
      </c>
      <c r="I192" s="57">
        <f t="shared" si="28"/>
        <v>10283.084999999999</v>
      </c>
      <c r="J192" s="2">
        <f t="shared" si="29"/>
        <v>9747</v>
      </c>
      <c r="K192" s="2">
        <f t="shared" si="30"/>
        <v>1462.05</v>
      </c>
      <c r="L192" s="2">
        <f t="shared" si="31"/>
        <v>1462.05</v>
      </c>
      <c r="M192" s="58">
        <f t="shared" si="32"/>
        <v>0</v>
      </c>
      <c r="N192" s="2">
        <f t="shared" si="33"/>
        <v>73.979730000000004</v>
      </c>
      <c r="O192" s="2">
        <f t="shared" si="34"/>
        <v>73.979730000000004</v>
      </c>
      <c r="P192" s="2">
        <f t="shared" si="35"/>
        <v>0</v>
      </c>
      <c r="Q192" s="58">
        <f t="shared" si="36"/>
        <v>536.08500000000004</v>
      </c>
      <c r="R192" s="58">
        <v>0</v>
      </c>
      <c r="S192" s="2">
        <f t="shared" si="37"/>
        <v>536.08500000000004</v>
      </c>
      <c r="T192" s="9">
        <f t="shared" si="38"/>
        <v>9747</v>
      </c>
      <c r="U192" s="29"/>
    </row>
    <row r="193" spans="1:21" ht="28.8" x14ac:dyDescent="0.25">
      <c r="A193" s="10">
        <f>+'Banka Lis.'!B192</f>
        <v>188</v>
      </c>
      <c r="B193" s="10" t="str">
        <f>+Puantaj!C193</f>
        <v>10276740210</v>
      </c>
      <c r="C193" s="3" t="str">
        <f>+Puantaj!D193</f>
        <v>ZEYNEP</v>
      </c>
      <c r="D193" s="3" t="str">
        <f>+Puantaj!E193</f>
        <v>DEMİRAYAK</v>
      </c>
      <c r="E193" s="3" t="str">
        <f>+'Banka Lis.'!H192</f>
        <v>Bursa UludağÜniversitesi Üniveristesi Genel Sekreterlik Özel Kalem</v>
      </c>
      <c r="F193" s="33">
        <f>+Puantaj!AK193</f>
        <v>12</v>
      </c>
      <c r="G193" s="31">
        <f t="shared" si="26"/>
        <v>12996</v>
      </c>
      <c r="H193" s="56">
        <f t="shared" si="27"/>
        <v>714.78</v>
      </c>
      <c r="I193" s="57">
        <f t="shared" si="28"/>
        <v>13710.78</v>
      </c>
      <c r="J193" s="2">
        <f t="shared" si="29"/>
        <v>12996</v>
      </c>
      <c r="K193" s="2">
        <f t="shared" si="30"/>
        <v>1949.3999999999999</v>
      </c>
      <c r="L193" s="2">
        <f t="shared" si="31"/>
        <v>1949.3999999999999</v>
      </c>
      <c r="M193" s="58">
        <f t="shared" si="32"/>
        <v>0</v>
      </c>
      <c r="N193" s="2">
        <f t="shared" si="33"/>
        <v>98.63964</v>
      </c>
      <c r="O193" s="2">
        <f t="shared" si="34"/>
        <v>98.63964</v>
      </c>
      <c r="P193" s="2">
        <f t="shared" si="35"/>
        <v>0</v>
      </c>
      <c r="Q193" s="58">
        <f t="shared" si="36"/>
        <v>714.78</v>
      </c>
      <c r="R193" s="58">
        <v>0</v>
      </c>
      <c r="S193" s="2">
        <f t="shared" si="37"/>
        <v>714.78</v>
      </c>
      <c r="T193" s="9">
        <f t="shared" si="38"/>
        <v>12996</v>
      </c>
      <c r="U193" s="29"/>
    </row>
    <row r="194" spans="1:21" x14ac:dyDescent="0.25">
      <c r="A194" s="10">
        <f>+'Banka Lis.'!B193</f>
        <v>189</v>
      </c>
      <c r="B194" s="10" t="str">
        <f>+Puantaj!C194</f>
        <v>48730397168</v>
      </c>
      <c r="C194" s="3" t="str">
        <f>+Puantaj!D194</f>
        <v>MAHMUT</v>
      </c>
      <c r="D194" s="3" t="str">
        <f>+Puantaj!E194</f>
        <v>ÖZGAN</v>
      </c>
      <c r="E194" s="3">
        <f>+'Banka Lis.'!H194</f>
        <v>0</v>
      </c>
      <c r="F194" s="33">
        <f>+Puantaj!AK194</f>
        <v>3</v>
      </c>
      <c r="G194" s="31">
        <f>F194*1083</f>
        <v>3249</v>
      </c>
      <c r="H194" s="56">
        <f>G194*0.055</f>
        <v>178.69499999999999</v>
      </c>
      <c r="I194" s="57">
        <f>G194+H194</f>
        <v>3427.6950000000002</v>
      </c>
      <c r="J194" s="2">
        <f>+G194</f>
        <v>3249</v>
      </c>
      <c r="K194" s="2">
        <f>J194*0.15</f>
        <v>487.34999999999997</v>
      </c>
      <c r="L194" s="2">
        <f>IF(J194*0.15&gt;K194,K194,J194*0.15)</f>
        <v>487.34999999999997</v>
      </c>
      <c r="M194" s="58">
        <f>IF(K194-L194&gt;0,K194-L194,0)</f>
        <v>0</v>
      </c>
      <c r="N194" s="2">
        <f>G194*0.00759</f>
        <v>24.65991</v>
      </c>
      <c r="O194" s="2">
        <f>IF(G194*0.00759&gt;G194,197.38,G194*0.00759)</f>
        <v>24.65991</v>
      </c>
      <c r="P194" s="2">
        <f>IF(N194-O194&gt;0,N194-O194,0)</f>
        <v>0</v>
      </c>
      <c r="Q194" s="58">
        <f>+H194</f>
        <v>178.69499999999999</v>
      </c>
      <c r="R194" s="58">
        <v>0</v>
      </c>
      <c r="S194" s="2">
        <f>R194+Q194</f>
        <v>178.69499999999999</v>
      </c>
      <c r="T194" s="9">
        <f>I194-S194</f>
        <v>3249</v>
      </c>
      <c r="U194" s="29"/>
    </row>
    <row r="195" spans="1:21" x14ac:dyDescent="0.25">
      <c r="A195" s="236" t="s">
        <v>8</v>
      </c>
      <c r="B195" s="236"/>
      <c r="C195" s="236"/>
      <c r="D195" s="236"/>
      <c r="E195" s="236"/>
      <c r="F195" s="34">
        <f>SUM(F6:F194)</f>
        <v>2240</v>
      </c>
      <c r="G195" s="20">
        <f>SUM(G6:G194)</f>
        <v>2425920</v>
      </c>
      <c r="H195" s="20">
        <f>SUM(H6:H194)</f>
        <v>133425.60000000018</v>
      </c>
      <c r="I195" s="20">
        <f>SUM(I6:I194)</f>
        <v>2559345.6</v>
      </c>
      <c r="J195" s="20">
        <f>SUM(J6:J194)</f>
        <v>2425920</v>
      </c>
      <c r="K195" s="20"/>
      <c r="L195" s="20">
        <f>SUM(L6:L194)</f>
        <v>363887.99999999971</v>
      </c>
      <c r="M195" s="20">
        <f>SUM(M6:M194)</f>
        <v>0</v>
      </c>
      <c r="N195" s="20"/>
      <c r="O195" s="20"/>
      <c r="P195" s="20">
        <f>SUM(P6:P194)</f>
        <v>0</v>
      </c>
      <c r="Q195" s="60">
        <f>SUM(Q6:Q194)</f>
        <v>133425.60000000018</v>
      </c>
      <c r="R195" s="20">
        <f>SUM(R6:R194)</f>
        <v>0</v>
      </c>
      <c r="S195" s="20">
        <f>SUM(S6:S194)</f>
        <v>133425.60000000018</v>
      </c>
      <c r="T195" s="20">
        <f>SUM(T6:T194)</f>
        <v>2425920</v>
      </c>
      <c r="U195" s="30"/>
    </row>
    <row r="196" spans="1:21" x14ac:dyDescent="0.25">
      <c r="C196" s="4"/>
      <c r="D196" s="4"/>
      <c r="E196" s="4"/>
      <c r="F196" s="4"/>
      <c r="G196" s="4"/>
      <c r="H196" s="7"/>
      <c r="I196" s="8"/>
      <c r="J196" s="7"/>
      <c r="K196" s="7"/>
      <c r="L196" s="7"/>
      <c r="M196" s="7"/>
      <c r="N196" s="7"/>
      <c r="O196" s="7"/>
      <c r="P196" s="7"/>
      <c r="Q196" s="61"/>
      <c r="R196" s="7"/>
      <c r="S196" s="8"/>
      <c r="T196" s="7"/>
      <c r="U196" s="7"/>
    </row>
    <row r="197" spans="1:21" x14ac:dyDescent="0.25">
      <c r="C197" s="4"/>
      <c r="D197" s="4"/>
      <c r="E197" s="4"/>
      <c r="F197" s="51"/>
      <c r="G197" s="51"/>
      <c r="H197" s="59"/>
      <c r="I197" s="26"/>
      <c r="J197" s="7"/>
      <c r="K197" s="7"/>
      <c r="L197" s="7"/>
      <c r="M197" s="7"/>
      <c r="N197" s="7"/>
      <c r="O197" s="7"/>
      <c r="P197" s="7"/>
      <c r="Q197" s="61"/>
      <c r="R197" s="7"/>
      <c r="S197" s="8"/>
      <c r="T197" s="7"/>
      <c r="U197" s="7"/>
    </row>
    <row r="198" spans="1:21" ht="14.4" x14ac:dyDescent="0.25">
      <c r="C198" s="132"/>
      <c r="D198" s="134"/>
      <c r="E198" s="134"/>
      <c r="F198" s="134"/>
      <c r="G198" s="135"/>
      <c r="H198" s="135"/>
      <c r="I198" s="136"/>
      <c r="J198" s="137"/>
      <c r="K198" s="138"/>
      <c r="L198" s="138"/>
      <c r="M198" s="138"/>
      <c r="N198" s="138"/>
      <c r="O198" s="138"/>
      <c r="P198" s="138"/>
      <c r="Q198" s="138"/>
      <c r="R198" s="139"/>
      <c r="S198" s="138"/>
      <c r="T198" s="140"/>
      <c r="U198" s="17"/>
    </row>
    <row r="199" spans="1:21" ht="14.4" x14ac:dyDescent="0.25">
      <c r="C199" s="132"/>
      <c r="D199" s="213"/>
      <c r="E199" s="214"/>
      <c r="F199" s="134"/>
      <c r="G199" s="134"/>
      <c r="H199" s="134"/>
      <c r="I199" s="215"/>
      <c r="J199" s="215"/>
      <c r="K199" s="132"/>
      <c r="L199" s="132"/>
      <c r="M199" s="132"/>
      <c r="N199" s="132"/>
      <c r="O199" s="132"/>
      <c r="P199" s="132"/>
      <c r="Q199" s="132"/>
      <c r="R199" s="213"/>
      <c r="S199" s="214"/>
      <c r="T199" s="214"/>
      <c r="U199" s="27"/>
    </row>
    <row r="200" spans="1:21" ht="14.4" x14ac:dyDescent="0.25">
      <c r="C200" s="130" t="s">
        <v>788</v>
      </c>
      <c r="D200" s="126"/>
      <c r="E200" s="132"/>
      <c r="F200" s="132"/>
      <c r="H200" s="132"/>
      <c r="I200" s="130" t="s">
        <v>793</v>
      </c>
      <c r="J200" s="132"/>
      <c r="K200" s="133"/>
      <c r="L200" s="132"/>
      <c r="M200" s="132"/>
      <c r="N200" s="132"/>
      <c r="O200" s="132"/>
      <c r="P200" s="130" t="s">
        <v>790</v>
      </c>
      <c r="Q200" s="132"/>
      <c r="R200" s="213"/>
      <c r="S200" s="214"/>
      <c r="T200" s="214"/>
      <c r="U200" s="18"/>
    </row>
    <row r="201" spans="1:21" ht="14.4" x14ac:dyDescent="0.25">
      <c r="C201" s="130" t="s">
        <v>791</v>
      </c>
      <c r="D201" s="126"/>
      <c r="E201" s="132"/>
      <c r="F201" s="132"/>
      <c r="H201" s="132"/>
      <c r="I201" s="130" t="s">
        <v>70</v>
      </c>
      <c r="J201" s="132"/>
      <c r="K201" s="130"/>
      <c r="L201" s="132"/>
      <c r="M201" s="132"/>
      <c r="N201" s="132"/>
      <c r="O201" s="132"/>
      <c r="P201" s="130" t="s">
        <v>794</v>
      </c>
      <c r="Q201" s="132"/>
      <c r="R201" s="134"/>
      <c r="S201" s="132"/>
      <c r="T201" s="18"/>
    </row>
  </sheetData>
  <mergeCells count="23">
    <mergeCell ref="A2:P2"/>
    <mergeCell ref="Q2:T2"/>
    <mergeCell ref="T3:T5"/>
    <mergeCell ref="J3:R3"/>
    <mergeCell ref="A195:E195"/>
    <mergeCell ref="B3:B5"/>
    <mergeCell ref="F3:F5"/>
    <mergeCell ref="G3:G5"/>
    <mergeCell ref="H3:H5"/>
    <mergeCell ref="E3:E5"/>
    <mergeCell ref="A3:A5"/>
    <mergeCell ref="N4:P4"/>
    <mergeCell ref="S4:S5"/>
    <mergeCell ref="J4:M4"/>
    <mergeCell ref="R4:R5"/>
    <mergeCell ref="I3:I5"/>
    <mergeCell ref="C3:C5"/>
    <mergeCell ref="D199:E199"/>
    <mergeCell ref="I199:J199"/>
    <mergeCell ref="R199:T199"/>
    <mergeCell ref="R200:T200"/>
    <mergeCell ref="Q4:Q5"/>
    <mergeCell ref="D3:D5"/>
  </mergeCells>
  <printOptions horizontalCentered="1"/>
  <pageMargins left="0" right="0" top="0.39370078740157483" bottom="0.19685039370078741" header="0" footer="0"/>
  <pageSetup paperSize="9" scale="64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1D90-F476-46D5-BFEC-74AD9CAC2C10}">
  <sheetPr codeName="Sayfa1">
    <pageSetUpPr fitToPage="1"/>
  </sheetPr>
  <dimension ref="B1:K201"/>
  <sheetViews>
    <sheetView topLeftCell="A23" zoomScale="85" zoomScaleNormal="85" workbookViewId="0">
      <selection activeCell="C32" sqref="C32"/>
    </sheetView>
  </sheetViews>
  <sheetFormatPr defaultColWidth="9.109375" defaultRowHeight="16.5" customHeight="1" x14ac:dyDescent="0.25"/>
  <cols>
    <col min="1" max="1" width="0.6640625" style="15" customWidth="1"/>
    <col min="2" max="2" width="6.5546875" style="15" customWidth="1"/>
    <col min="3" max="3" width="28.88671875" style="32" customWidth="1"/>
    <col min="4" max="4" width="13" style="32" customWidth="1"/>
    <col min="5" max="5" width="20.88671875" style="15" customWidth="1"/>
    <col min="6" max="6" width="15" style="15" customWidth="1"/>
    <col min="7" max="7" width="20.6640625" style="15" customWidth="1"/>
    <col min="8" max="8" width="47.33203125" style="15" bestFit="1" customWidth="1"/>
    <col min="9" max="9" width="6.5546875" style="15" customWidth="1"/>
    <col min="10" max="16384" width="9.109375" style="15"/>
  </cols>
  <sheetData>
    <row r="1" spans="2:11" ht="14.25" customHeight="1" x14ac:dyDescent="0.25">
      <c r="B1" s="252" t="s">
        <v>795</v>
      </c>
      <c r="C1" s="253"/>
      <c r="D1" s="253"/>
      <c r="E1" s="253"/>
      <c r="F1" s="253"/>
      <c r="G1" s="253"/>
      <c r="H1" s="253"/>
    </row>
    <row r="2" spans="2:11" ht="14.25" customHeight="1" x14ac:dyDescent="0.25">
      <c r="B2" s="254" t="s">
        <v>0</v>
      </c>
      <c r="C2" s="254"/>
      <c r="D2" s="11"/>
      <c r="E2" s="11"/>
      <c r="F2" s="40" t="s">
        <v>7</v>
      </c>
      <c r="G2" s="142">
        <v>45992</v>
      </c>
      <c r="H2" s="143" t="s">
        <v>824</v>
      </c>
    </row>
    <row r="3" spans="2:11" ht="12.75" customHeight="1" x14ac:dyDescent="0.25">
      <c r="B3" s="254" t="s">
        <v>59</v>
      </c>
      <c r="C3" s="254"/>
      <c r="D3" s="11"/>
      <c r="E3" s="41" t="s">
        <v>101</v>
      </c>
      <c r="F3" s="42"/>
      <c r="G3" s="42"/>
      <c r="H3" s="43"/>
    </row>
    <row r="4" spans="2:11" ht="21" customHeight="1" x14ac:dyDescent="0.25">
      <c r="B4" s="12" t="s">
        <v>2</v>
      </c>
      <c r="C4" s="12" t="s">
        <v>9</v>
      </c>
      <c r="D4" s="39" t="s">
        <v>102</v>
      </c>
      <c r="E4" s="12" t="s">
        <v>11</v>
      </c>
      <c r="F4" s="12" t="s">
        <v>12</v>
      </c>
      <c r="G4" s="19" t="s">
        <v>3</v>
      </c>
      <c r="H4" s="12" t="s">
        <v>103</v>
      </c>
    </row>
    <row r="5" spans="2:11" ht="28.8" x14ac:dyDescent="0.25">
      <c r="B5" s="13">
        <v>1</v>
      </c>
      <c r="C5" s="37" t="str">
        <f>+Puantaj!A6</f>
        <v>TR290001002151713143585001</v>
      </c>
      <c r="D5" s="14">
        <f>+BORDRO!T6</f>
        <v>14079</v>
      </c>
      <c r="E5" s="37" t="str">
        <f>+Puantaj!D6</f>
        <v>ABDURRAHMAN CENGİZ</v>
      </c>
      <c r="F5" s="37" t="str">
        <f>+Puantaj!E6</f>
        <v>AYDOĞDU</v>
      </c>
      <c r="G5" s="38" t="str">
        <f>+Puantaj!C6</f>
        <v>22985652920</v>
      </c>
      <c r="H5" s="63" t="s">
        <v>100</v>
      </c>
      <c r="J5" s="50"/>
      <c r="K5" s="50"/>
    </row>
    <row r="6" spans="2:11" ht="15.75" customHeight="1" x14ac:dyDescent="0.25">
      <c r="B6" s="13">
        <v>2</v>
      </c>
      <c r="C6" s="37" t="str">
        <f>+Puantaj!A7</f>
        <v>TR270020500009943979400001</v>
      </c>
      <c r="D6" s="14">
        <f>+BORDRO!T7</f>
        <v>6498</v>
      </c>
      <c r="E6" s="37" t="str">
        <f>+Puantaj!D7</f>
        <v>AHMET EMİRHAN</v>
      </c>
      <c r="F6" s="37" t="str">
        <f>+Puantaj!E7</f>
        <v>ELDEMİR</v>
      </c>
      <c r="G6" s="38" t="str">
        <f>+Puantaj!C7</f>
        <v>10264855810</v>
      </c>
      <c r="H6" s="63" t="s">
        <v>100</v>
      </c>
    </row>
    <row r="7" spans="2:11" ht="15.75" customHeight="1" x14ac:dyDescent="0.25">
      <c r="B7" s="13">
        <v>3</v>
      </c>
      <c r="C7" s="37" t="str">
        <f>+Puantaj!A8</f>
        <v>TR370001009010555427505003</v>
      </c>
      <c r="D7" s="14">
        <f>+BORDRO!T8</f>
        <v>15162</v>
      </c>
      <c r="E7" s="37" t="str">
        <f>+Puantaj!D8</f>
        <v>AHMET SAMED</v>
      </c>
      <c r="F7" s="37" t="str">
        <f>+Puantaj!E8</f>
        <v>KARABULUT</v>
      </c>
      <c r="G7" s="38" t="str">
        <f>+Puantaj!C8</f>
        <v>11230293988</v>
      </c>
      <c r="H7" s="63" t="s">
        <v>100</v>
      </c>
    </row>
    <row r="8" spans="2:11" ht="15.75" customHeight="1" x14ac:dyDescent="0.25">
      <c r="B8" s="13">
        <v>4</v>
      </c>
      <c r="C8" s="37" t="str">
        <f>+Puantaj!A9</f>
        <v>TR550006701000000037357882</v>
      </c>
      <c r="D8" s="14">
        <f>+BORDRO!T9</f>
        <v>14079</v>
      </c>
      <c r="E8" s="37" t="str">
        <f>+Puantaj!D9</f>
        <v>AHMET</v>
      </c>
      <c r="F8" s="37" t="str">
        <f>+Puantaj!E9</f>
        <v>ŞEN</v>
      </c>
      <c r="G8" s="38" t="str">
        <f>+Puantaj!C9</f>
        <v>10271762804</v>
      </c>
      <c r="H8" s="63" t="s">
        <v>100</v>
      </c>
    </row>
    <row r="9" spans="2:11" ht="15.75" customHeight="1" x14ac:dyDescent="0.25">
      <c r="B9" s="13">
        <v>5</v>
      </c>
      <c r="C9" s="37" t="str">
        <f>+Puantaj!A10</f>
        <v>TR040001009010348991905001</v>
      </c>
      <c r="D9" s="14">
        <f>+BORDRO!T10</f>
        <v>15162</v>
      </c>
      <c r="E9" s="37" t="str">
        <f>+Puantaj!D10</f>
        <v>AHMET YASİN</v>
      </c>
      <c r="F9" s="37" t="str">
        <f>+Puantaj!E10</f>
        <v>KURT</v>
      </c>
      <c r="G9" s="38" t="str">
        <f>+Puantaj!C10</f>
        <v>10067475932</v>
      </c>
      <c r="H9" s="63" t="s">
        <v>100</v>
      </c>
    </row>
    <row r="10" spans="2:11" ht="15.75" customHeight="1" x14ac:dyDescent="0.25">
      <c r="B10" s="13">
        <v>6</v>
      </c>
      <c r="C10" s="37" t="str">
        <f>+Puantaj!A11</f>
        <v>TR070001009010961041905002</v>
      </c>
      <c r="D10" s="14">
        <f>+BORDRO!T11</f>
        <v>4332</v>
      </c>
      <c r="E10" s="37" t="str">
        <f>+Puantaj!D11</f>
        <v>AKİF YAVUZ</v>
      </c>
      <c r="F10" s="37" t="str">
        <f>+Puantaj!E11</f>
        <v>ZENGİN</v>
      </c>
      <c r="G10" s="38" t="str">
        <f>+Puantaj!C11</f>
        <v>13333175444</v>
      </c>
      <c r="H10" s="63" t="s">
        <v>100</v>
      </c>
    </row>
    <row r="11" spans="2:11" ht="15.75" customHeight="1" x14ac:dyDescent="0.25">
      <c r="B11" s="13">
        <v>7</v>
      </c>
      <c r="C11" s="37" t="str">
        <f>+Puantaj!A12</f>
        <v>TR250001009010259614605003</v>
      </c>
      <c r="D11" s="14">
        <f>+BORDRO!T12</f>
        <v>0</v>
      </c>
      <c r="E11" s="37" t="str">
        <f>+Puantaj!D12</f>
        <v>ALEYNA</v>
      </c>
      <c r="F11" s="37" t="str">
        <f>+Puantaj!E12</f>
        <v>ÇAKAR</v>
      </c>
      <c r="G11" s="38" t="str">
        <f>+Puantaj!C12</f>
        <v>34411910856</v>
      </c>
      <c r="H11" s="63" t="s">
        <v>100</v>
      </c>
    </row>
    <row r="12" spans="2:11" ht="15.75" customHeight="1" x14ac:dyDescent="0.25">
      <c r="B12" s="13">
        <v>8</v>
      </c>
      <c r="C12" s="37" t="str">
        <f>+Puantaj!A13</f>
        <v>TR580001009010556440305002</v>
      </c>
      <c r="D12" s="14">
        <f>+BORDRO!T13</f>
        <v>12996</v>
      </c>
      <c r="E12" s="37" t="str">
        <f>+Puantaj!D13</f>
        <v>ALİGAFFAR</v>
      </c>
      <c r="F12" s="37" t="str">
        <f>+Puantaj!E13</f>
        <v>AYDIN</v>
      </c>
      <c r="G12" s="38" t="str">
        <f>+Puantaj!C13</f>
        <v>11069535280</v>
      </c>
      <c r="H12" s="63" t="s">
        <v>100</v>
      </c>
    </row>
    <row r="13" spans="2:11" ht="15.75" customHeight="1" x14ac:dyDescent="0.25">
      <c r="B13" s="13">
        <v>9</v>
      </c>
      <c r="C13" s="37" t="str">
        <f>+Puantaj!A14</f>
        <v>TR960001200122900001249734</v>
      </c>
      <c r="D13" s="14">
        <f>+BORDRO!T14</f>
        <v>15162</v>
      </c>
      <c r="E13" s="37" t="str">
        <f>+Puantaj!D14</f>
        <v>ARİF</v>
      </c>
      <c r="F13" s="37" t="str">
        <f>+Puantaj!E14</f>
        <v>TURAN</v>
      </c>
      <c r="G13" s="38" t="str">
        <f>+Puantaj!C14</f>
        <v>10420954296</v>
      </c>
      <c r="H13" s="63" t="s">
        <v>100</v>
      </c>
    </row>
    <row r="14" spans="2:11" ht="15.75" customHeight="1" x14ac:dyDescent="0.25">
      <c r="B14" s="13">
        <v>10</v>
      </c>
      <c r="C14" s="37" t="str">
        <f>+Puantaj!A15</f>
        <v>TR530004600007888000653780</v>
      </c>
      <c r="D14" s="14">
        <f>+BORDRO!T15</f>
        <v>16244.999999999998</v>
      </c>
      <c r="E14" s="37" t="str">
        <f>+Puantaj!D15</f>
        <v>ASLAN ERAY</v>
      </c>
      <c r="F14" s="37" t="str">
        <f>+Puantaj!E15</f>
        <v>KARAVAŞ</v>
      </c>
      <c r="G14" s="38" t="str">
        <f>+Puantaj!C15</f>
        <v>11039638348</v>
      </c>
      <c r="H14" s="63" t="s">
        <v>100</v>
      </c>
    </row>
    <row r="15" spans="2:11" ht="15.75" customHeight="1" x14ac:dyDescent="0.25">
      <c r="B15" s="13">
        <v>11</v>
      </c>
      <c r="C15" s="37" t="str">
        <f>+Puantaj!A16</f>
        <v>TR070001009010550885705001</v>
      </c>
      <c r="D15" s="14">
        <f>+BORDRO!T16</f>
        <v>5415</v>
      </c>
      <c r="E15" s="37" t="str">
        <f>+Puantaj!D16</f>
        <v>ASLI</v>
      </c>
      <c r="F15" s="37" t="str">
        <f>+Puantaj!E16</f>
        <v>BEKTAŞ</v>
      </c>
      <c r="G15" s="38" t="str">
        <f>+Puantaj!C16</f>
        <v>18397728780</v>
      </c>
      <c r="H15" s="63" t="s">
        <v>100</v>
      </c>
    </row>
    <row r="16" spans="2:11" ht="15.75" customHeight="1" x14ac:dyDescent="0.25">
      <c r="B16" s="13">
        <v>12</v>
      </c>
      <c r="C16" s="37" t="str">
        <f>+Puantaj!A17</f>
        <v>TR080001001914961839085005</v>
      </c>
      <c r="D16" s="14">
        <f>+BORDRO!T17</f>
        <v>12996</v>
      </c>
      <c r="E16" s="37" t="str">
        <f>+Puantaj!D17</f>
        <v>AYBERK</v>
      </c>
      <c r="F16" s="37" t="str">
        <f>+Puantaj!E17</f>
        <v>EREN</v>
      </c>
      <c r="G16" s="38" t="str">
        <f>+Puantaj!C17</f>
        <v>31885265086</v>
      </c>
      <c r="H16" s="63" t="s">
        <v>100</v>
      </c>
    </row>
    <row r="17" spans="2:8" ht="15.75" customHeight="1" x14ac:dyDescent="0.25">
      <c r="B17" s="13">
        <v>13</v>
      </c>
      <c r="C17" s="37" t="str">
        <f>+Puantaj!A18</f>
        <v>TR860004600563888000416642</v>
      </c>
      <c r="D17" s="14">
        <f>+BORDRO!T18</f>
        <v>14079</v>
      </c>
      <c r="E17" s="37" t="str">
        <f>+Puantaj!D18</f>
        <v>AYBERK</v>
      </c>
      <c r="F17" s="37" t="str">
        <f>+Puantaj!E18</f>
        <v>KILIÇ</v>
      </c>
      <c r="G17" s="38" t="str">
        <f>+Puantaj!C18</f>
        <v>16364821786</v>
      </c>
      <c r="H17" s="63" t="s">
        <v>100</v>
      </c>
    </row>
    <row r="18" spans="2:8" ht="15.75" customHeight="1" x14ac:dyDescent="0.25">
      <c r="B18" s="13">
        <v>14</v>
      </c>
      <c r="C18" s="37" t="str">
        <f>+Puantaj!A19</f>
        <v>TR520001009010110010105001</v>
      </c>
      <c r="D18" s="14">
        <f>+BORDRO!T19</f>
        <v>14079</v>
      </c>
      <c r="E18" s="37" t="str">
        <f>+Puantaj!D19</f>
        <v>AYÇA</v>
      </c>
      <c r="F18" s="37" t="str">
        <f>+Puantaj!E19</f>
        <v>YAZICI</v>
      </c>
      <c r="G18" s="38" t="str">
        <f>+Puantaj!C19</f>
        <v>10307955460</v>
      </c>
      <c r="H18" s="63" t="s">
        <v>100</v>
      </c>
    </row>
    <row r="19" spans="2:8" ht="15.75" customHeight="1" x14ac:dyDescent="0.25">
      <c r="B19" s="13">
        <v>15</v>
      </c>
      <c r="C19" s="37" t="str">
        <f>+Puantaj!A20</f>
        <v>TR830001009010018214505001</v>
      </c>
      <c r="D19" s="14">
        <f>+BORDRO!T20</f>
        <v>14079</v>
      </c>
      <c r="E19" s="37" t="str">
        <f>+Puantaj!D20</f>
        <v>AYŞE</v>
      </c>
      <c r="F19" s="37" t="str">
        <f>+Puantaj!E20</f>
        <v>KADIOĞULLARI</v>
      </c>
      <c r="G19" s="38" t="str">
        <f>+Puantaj!C20</f>
        <v>37796134572</v>
      </c>
      <c r="H19" s="63" t="s">
        <v>100</v>
      </c>
    </row>
    <row r="20" spans="2:8" ht="15.75" customHeight="1" x14ac:dyDescent="0.25">
      <c r="B20" s="13">
        <v>16</v>
      </c>
      <c r="C20" s="37" t="str">
        <f>+Puantaj!A21</f>
        <v>TR340006701000000012356801</v>
      </c>
      <c r="D20" s="14">
        <f>+BORDRO!T21</f>
        <v>12996</v>
      </c>
      <c r="E20" s="37" t="str">
        <f>+Puantaj!D21</f>
        <v>AYŞE</v>
      </c>
      <c r="F20" s="37" t="str">
        <f>+Puantaj!E21</f>
        <v>KÜÇÜKALİ</v>
      </c>
      <c r="G20" s="38" t="str">
        <f>+Puantaj!C21</f>
        <v>20425647000</v>
      </c>
      <c r="H20" s="63" t="s">
        <v>100</v>
      </c>
    </row>
    <row r="21" spans="2:8" ht="15.75" customHeight="1" x14ac:dyDescent="0.25">
      <c r="B21" s="13">
        <v>17</v>
      </c>
      <c r="C21" s="37" t="str">
        <f>+Puantaj!A22</f>
        <v>TR650001009010552580105001</v>
      </c>
      <c r="D21" s="14">
        <f>+BORDRO!T22</f>
        <v>15162</v>
      </c>
      <c r="E21" s="37" t="str">
        <f>+Puantaj!D22</f>
        <v>AYŞE NUR</v>
      </c>
      <c r="F21" s="37" t="str">
        <f>+Puantaj!E22</f>
        <v>TÜRKYILMAZ</v>
      </c>
      <c r="G21" s="38" t="str">
        <f>+Puantaj!C22</f>
        <v>10211811296</v>
      </c>
      <c r="H21" s="63" t="s">
        <v>100</v>
      </c>
    </row>
    <row r="22" spans="2:8" ht="15.75" customHeight="1" x14ac:dyDescent="0.25">
      <c r="B22" s="13">
        <v>18</v>
      </c>
      <c r="C22" s="37" t="str">
        <f>+Puantaj!A23</f>
        <v>TR560001009010276446500001</v>
      </c>
      <c r="D22" s="14">
        <f>+BORDRO!T23</f>
        <v>14079</v>
      </c>
      <c r="E22" s="37" t="str">
        <f>+Puantaj!D23</f>
        <v>AYŞENUR TUĞBA</v>
      </c>
      <c r="F22" s="37" t="str">
        <f>+Puantaj!E23</f>
        <v>KILIÇARSLAN</v>
      </c>
      <c r="G22" s="38" t="str">
        <f>+Puantaj!C23</f>
        <v>38158642018</v>
      </c>
      <c r="H22" s="63" t="s">
        <v>100</v>
      </c>
    </row>
    <row r="23" spans="2:8" ht="15.75" customHeight="1" x14ac:dyDescent="0.25">
      <c r="B23" s="13">
        <v>19</v>
      </c>
      <c r="C23" s="37" t="str">
        <f>+Puantaj!A24</f>
        <v>TR310004601245888000103590</v>
      </c>
      <c r="D23" s="14">
        <f>+BORDRO!T24</f>
        <v>15162</v>
      </c>
      <c r="E23" s="37" t="str">
        <f>+Puantaj!D24</f>
        <v>AYŞENUR</v>
      </c>
      <c r="F23" s="37" t="str">
        <f>+Puantaj!E24</f>
        <v>YILDIRIM</v>
      </c>
      <c r="G23" s="38" t="str">
        <f>+Puantaj!C24</f>
        <v>10391956060</v>
      </c>
      <c r="H23" s="63" t="s">
        <v>100</v>
      </c>
    </row>
    <row r="24" spans="2:8" ht="15.75" customHeight="1" x14ac:dyDescent="0.25">
      <c r="B24" s="13">
        <v>20</v>
      </c>
      <c r="C24" s="37" t="str">
        <f>+Puantaj!A25</f>
        <v>TR860001009010458311205001</v>
      </c>
      <c r="D24" s="14">
        <f>+BORDRO!T25</f>
        <v>7581</v>
      </c>
      <c r="E24" s="37" t="str">
        <f>+Puantaj!D25</f>
        <v>AZİZE NUR</v>
      </c>
      <c r="F24" s="37" t="str">
        <f>+Puantaj!E25</f>
        <v>TUTUM</v>
      </c>
      <c r="G24" s="38" t="str">
        <f>+Puantaj!C25</f>
        <v>10075858284</v>
      </c>
      <c r="H24" s="63" t="s">
        <v>100</v>
      </c>
    </row>
    <row r="25" spans="2:8" ht="15.75" customHeight="1" x14ac:dyDescent="0.25">
      <c r="B25" s="13">
        <v>21</v>
      </c>
      <c r="C25" s="37" t="str">
        <f>+Puantaj!A26</f>
        <v>TR800006200068700006892740</v>
      </c>
      <c r="D25" s="14">
        <f>+BORDRO!T26</f>
        <v>15162</v>
      </c>
      <c r="E25" s="37" t="str">
        <f>+Puantaj!D26</f>
        <v>AZRA</v>
      </c>
      <c r="F25" s="37" t="str">
        <f>+Puantaj!E26</f>
        <v>ÖZGÜL</v>
      </c>
      <c r="G25" s="38" t="str">
        <f>+Puantaj!C26</f>
        <v>38815458440</v>
      </c>
      <c r="H25" s="63" t="s">
        <v>100</v>
      </c>
    </row>
    <row r="26" spans="2:8" ht="15.75" customHeight="1" x14ac:dyDescent="0.25">
      <c r="B26" s="13">
        <v>22</v>
      </c>
      <c r="C26" s="37" t="str">
        <f>+Puantaj!A27</f>
        <v>TR260006701000000078559930</v>
      </c>
      <c r="D26" s="14">
        <f>+BORDRO!T27</f>
        <v>14079</v>
      </c>
      <c r="E26" s="37" t="str">
        <f>+Puantaj!D27</f>
        <v>BEGÜM</v>
      </c>
      <c r="F26" s="37" t="str">
        <f>+Puantaj!E27</f>
        <v>YALÇIN</v>
      </c>
      <c r="G26" s="38" t="str">
        <f>+Puantaj!C27</f>
        <v>22682146630</v>
      </c>
      <c r="H26" s="63" t="s">
        <v>100</v>
      </c>
    </row>
    <row r="27" spans="2:8" ht="15.75" customHeight="1" x14ac:dyDescent="0.25">
      <c r="B27" s="13">
        <v>23</v>
      </c>
      <c r="C27" s="37" t="str">
        <f>+Puantaj!A28</f>
        <v>TR780004600563888000363339</v>
      </c>
      <c r="D27" s="14">
        <f>+BORDRO!T28</f>
        <v>12996</v>
      </c>
      <c r="E27" s="37" t="str">
        <f>+Puantaj!D28</f>
        <v>BERAT</v>
      </c>
      <c r="F27" s="37" t="str">
        <f>+Puantaj!E28</f>
        <v>ÇAM</v>
      </c>
      <c r="G27" s="38" t="str">
        <f>+Puantaj!C28</f>
        <v>10048324686</v>
      </c>
      <c r="H27" s="63" t="s">
        <v>100</v>
      </c>
    </row>
    <row r="28" spans="2:8" ht="15.75" customHeight="1" x14ac:dyDescent="0.25">
      <c r="B28" s="13">
        <v>24</v>
      </c>
      <c r="C28" s="37" t="str">
        <f>+Puantaj!A29</f>
        <v>TR830001009010204648505001</v>
      </c>
      <c r="D28" s="14">
        <f>+BORDRO!T29</f>
        <v>14079</v>
      </c>
      <c r="E28" s="37" t="str">
        <f>+Puantaj!D29</f>
        <v>BETÜL</v>
      </c>
      <c r="F28" s="37" t="str">
        <f>+Puantaj!E29</f>
        <v>ÖZTÜRK</v>
      </c>
      <c r="G28" s="38" t="str">
        <f>+Puantaj!C29</f>
        <v>60583295750</v>
      </c>
      <c r="H28" s="63" t="s">
        <v>100</v>
      </c>
    </row>
    <row r="29" spans="2:8" ht="15.75" customHeight="1" x14ac:dyDescent="0.25">
      <c r="B29" s="13">
        <v>25</v>
      </c>
      <c r="C29" s="37" t="str">
        <f>+Puantaj!A30</f>
        <v>TR350006200151700006611592</v>
      </c>
      <c r="D29" s="14">
        <f>+BORDRO!T30</f>
        <v>12996</v>
      </c>
      <c r="E29" s="37" t="str">
        <f>+Puantaj!D30</f>
        <v>BETÜL</v>
      </c>
      <c r="F29" s="37" t="str">
        <f>+Puantaj!E30</f>
        <v>UYAR</v>
      </c>
      <c r="G29" s="38" t="str">
        <f>+Puantaj!C30</f>
        <v>15829750838</v>
      </c>
      <c r="H29" s="63" t="s">
        <v>100</v>
      </c>
    </row>
    <row r="30" spans="2:8" ht="15.75" customHeight="1" x14ac:dyDescent="0.25">
      <c r="B30" s="13">
        <v>26</v>
      </c>
      <c r="C30" s="37" t="str">
        <f>+Puantaj!A31</f>
        <v>TR390001009010263272305001</v>
      </c>
      <c r="D30" s="14">
        <f>+BORDRO!T31</f>
        <v>16244.999999999998</v>
      </c>
      <c r="E30" s="37" t="str">
        <f>+Puantaj!D31</f>
        <v>BİLAL EMİR</v>
      </c>
      <c r="F30" s="37" t="str">
        <f>+Puantaj!E31</f>
        <v>GÖK</v>
      </c>
      <c r="G30" s="38" t="str">
        <f>+Puantaj!C31</f>
        <v>12029296494</v>
      </c>
      <c r="H30" s="63" t="s">
        <v>100</v>
      </c>
    </row>
    <row r="31" spans="2:8" ht="15.75" customHeight="1" x14ac:dyDescent="0.25">
      <c r="B31" s="13">
        <v>27</v>
      </c>
      <c r="C31" s="37" t="str">
        <f>+Puantaj!A32</f>
        <v>TR930006400000180300609819</v>
      </c>
      <c r="D31" s="14">
        <f>+BORDRO!T32</f>
        <v>1083</v>
      </c>
      <c r="E31" s="37" t="str">
        <f>+Puantaj!D32</f>
        <v>BİLAL</v>
      </c>
      <c r="F31" s="37" t="str">
        <f>+Puantaj!E32</f>
        <v>GÜNGÖR</v>
      </c>
      <c r="G31" s="38" t="str">
        <f>+Puantaj!C32</f>
        <v>11559114636</v>
      </c>
      <c r="H31" s="63" t="s">
        <v>100</v>
      </c>
    </row>
    <row r="32" spans="2:8" ht="15.75" customHeight="1" x14ac:dyDescent="0.25">
      <c r="B32" s="13">
        <v>28</v>
      </c>
      <c r="C32" s="37" t="str">
        <f>+Puantaj!A33</f>
        <v>TR860001001799959944335001</v>
      </c>
      <c r="D32" s="14">
        <f>+BORDRO!T33</f>
        <v>15162</v>
      </c>
      <c r="E32" s="37" t="str">
        <f>+Puantaj!D33</f>
        <v>BUSE</v>
      </c>
      <c r="F32" s="37" t="str">
        <f>+Puantaj!E33</f>
        <v>ALACA</v>
      </c>
      <c r="G32" s="38" t="str">
        <f>+Puantaj!C33</f>
        <v>16765732636</v>
      </c>
      <c r="H32" s="63" t="s">
        <v>100</v>
      </c>
    </row>
    <row r="33" spans="2:8" ht="15.75" customHeight="1" x14ac:dyDescent="0.25">
      <c r="B33" s="13">
        <v>29</v>
      </c>
      <c r="C33" s="37" t="str">
        <f>+Puantaj!A34</f>
        <v>TR480004600094888000220489</v>
      </c>
      <c r="D33" s="14">
        <f>+BORDRO!T34</f>
        <v>4332</v>
      </c>
      <c r="E33" s="37" t="str">
        <f>+Puantaj!D34</f>
        <v>BUSE</v>
      </c>
      <c r="F33" s="37" t="str">
        <f>+Puantaj!E34</f>
        <v>PAMUK</v>
      </c>
      <c r="G33" s="38" t="str">
        <f>+Puantaj!C34</f>
        <v>10169157156</v>
      </c>
      <c r="H33" s="63" t="s">
        <v>100</v>
      </c>
    </row>
    <row r="34" spans="2:8" ht="15.75" customHeight="1" x14ac:dyDescent="0.25">
      <c r="B34" s="13">
        <v>30</v>
      </c>
      <c r="C34" s="37" t="str">
        <f>+Puantaj!A35</f>
        <v>TR350001009010260552505001</v>
      </c>
      <c r="D34" s="14">
        <f>+BORDRO!T35</f>
        <v>15162</v>
      </c>
      <c r="E34" s="37" t="str">
        <f>+Puantaj!D35</f>
        <v>CAFER</v>
      </c>
      <c r="F34" s="37" t="str">
        <f>+Puantaj!E35</f>
        <v>SOYLU</v>
      </c>
      <c r="G34" s="38" t="str">
        <f>+Puantaj!C35</f>
        <v>22309168236</v>
      </c>
      <c r="H34" s="63" t="s">
        <v>100</v>
      </c>
    </row>
    <row r="35" spans="2:8" ht="15.75" customHeight="1" x14ac:dyDescent="0.25">
      <c r="B35" s="13">
        <v>31</v>
      </c>
      <c r="C35" s="37" t="str">
        <f>+Puantaj!A36</f>
        <v>TR290001009010067788405001</v>
      </c>
      <c r="D35" s="14">
        <f>+BORDRO!T36</f>
        <v>15162</v>
      </c>
      <c r="E35" s="37" t="str">
        <f>+Puantaj!D36</f>
        <v>CANER</v>
      </c>
      <c r="F35" s="37" t="str">
        <f>+Puantaj!E36</f>
        <v>YILDIZ</v>
      </c>
      <c r="G35" s="38" t="str">
        <f>+Puantaj!C36</f>
        <v>15725667650</v>
      </c>
      <c r="H35" s="63" t="s">
        <v>100</v>
      </c>
    </row>
    <row r="36" spans="2:8" ht="15.75" customHeight="1" x14ac:dyDescent="0.25">
      <c r="B36" s="13">
        <v>32</v>
      </c>
      <c r="C36" s="37" t="str">
        <f>+Puantaj!A37</f>
        <v>TR750001200929900001140213</v>
      </c>
      <c r="D36" s="14">
        <f>+BORDRO!T37</f>
        <v>12996</v>
      </c>
      <c r="E36" s="37" t="str">
        <f>+Puantaj!D37</f>
        <v>CEMAL AFŞİN</v>
      </c>
      <c r="F36" s="37" t="str">
        <f>+Puantaj!E37</f>
        <v>TÜRKYILMAZ</v>
      </c>
      <c r="G36" s="38" t="str">
        <f>+Puantaj!C37</f>
        <v>15709804262</v>
      </c>
      <c r="H36" s="63" t="s">
        <v>100</v>
      </c>
    </row>
    <row r="37" spans="2:8" ht="15.75" customHeight="1" x14ac:dyDescent="0.25">
      <c r="B37" s="13">
        <v>33</v>
      </c>
      <c r="C37" s="37" t="str">
        <f>+Puantaj!A38</f>
        <v>TR220006701000000033603703</v>
      </c>
      <c r="D37" s="14">
        <f>+BORDRO!T38</f>
        <v>15162</v>
      </c>
      <c r="E37" s="37" t="str">
        <f>+Puantaj!D38</f>
        <v>CEMRE</v>
      </c>
      <c r="F37" s="37" t="str">
        <f>+Puantaj!E38</f>
        <v>GÜRŞEN</v>
      </c>
      <c r="G37" s="38" t="str">
        <f>+Puantaj!C38</f>
        <v>10841685564</v>
      </c>
      <c r="H37" s="63" t="s">
        <v>100</v>
      </c>
    </row>
    <row r="38" spans="2:8" ht="15.75" customHeight="1" x14ac:dyDescent="0.25">
      <c r="B38" s="13">
        <v>34</v>
      </c>
      <c r="C38" s="37" t="str">
        <f>+Puantaj!A39</f>
        <v>TR740001009010956764805002</v>
      </c>
      <c r="D38" s="14">
        <f>+BORDRO!T39</f>
        <v>14079</v>
      </c>
      <c r="E38" s="37" t="str">
        <f>+Puantaj!D39</f>
        <v>CEREN</v>
      </c>
      <c r="F38" s="37" t="str">
        <f>+Puantaj!E39</f>
        <v>YILDIRIM</v>
      </c>
      <c r="G38" s="38" t="str">
        <f>+Puantaj!C39</f>
        <v>11102488016</v>
      </c>
      <c r="H38" s="63" t="s">
        <v>100</v>
      </c>
    </row>
    <row r="39" spans="2:8" ht="15.75" customHeight="1" x14ac:dyDescent="0.25">
      <c r="B39" s="13">
        <v>35</v>
      </c>
      <c r="C39" s="37" t="str">
        <f>+Puantaj!A40</f>
        <v>TR450006701000000075954168</v>
      </c>
      <c r="D39" s="14">
        <f>+BORDRO!T40</f>
        <v>12996</v>
      </c>
      <c r="E39" s="37" t="str">
        <f>+Puantaj!D40</f>
        <v>ÇAĞLAYAN EFE</v>
      </c>
      <c r="F39" s="37" t="str">
        <f>+Puantaj!E40</f>
        <v>KOYUNCU</v>
      </c>
      <c r="G39" s="38" t="str">
        <f>+Puantaj!C40</f>
        <v>45631014194</v>
      </c>
      <c r="H39" s="63" t="s">
        <v>100</v>
      </c>
    </row>
    <row r="40" spans="2:8" ht="15.75" customHeight="1" x14ac:dyDescent="0.25">
      <c r="B40" s="13">
        <v>36</v>
      </c>
      <c r="C40" s="37" t="str">
        <f>+Puantaj!A41</f>
        <v>TR560001009010131877705001</v>
      </c>
      <c r="D40" s="14">
        <f>+BORDRO!T41</f>
        <v>14079</v>
      </c>
      <c r="E40" s="37" t="str">
        <f>+Puantaj!D41</f>
        <v>DİCLE</v>
      </c>
      <c r="F40" s="37" t="str">
        <f>+Puantaj!E41</f>
        <v>GEYİK</v>
      </c>
      <c r="G40" s="38" t="str">
        <f>+Puantaj!C41</f>
        <v>64426278672</v>
      </c>
      <c r="H40" s="63" t="s">
        <v>100</v>
      </c>
    </row>
    <row r="41" spans="2:8" ht="15.75" customHeight="1" x14ac:dyDescent="0.25">
      <c r="B41" s="13">
        <v>37</v>
      </c>
      <c r="C41" s="37" t="str">
        <f>+Puantaj!A42</f>
        <v>TR040001200132900001130998</v>
      </c>
      <c r="D41" s="14">
        <f>+BORDRO!T42</f>
        <v>14079</v>
      </c>
      <c r="E41" s="37" t="str">
        <f>+Puantaj!D42</f>
        <v>ECEM</v>
      </c>
      <c r="F41" s="37" t="str">
        <f>+Puantaj!E42</f>
        <v>BULUT</v>
      </c>
      <c r="G41" s="38" t="str">
        <f>+Puantaj!C42</f>
        <v>11158958198</v>
      </c>
      <c r="H41" s="63" t="s">
        <v>100</v>
      </c>
    </row>
    <row r="42" spans="2:8" ht="15.75" customHeight="1" x14ac:dyDescent="0.25">
      <c r="B42" s="13">
        <v>38</v>
      </c>
      <c r="C42" s="37" t="str">
        <f>+Puantaj!A43</f>
        <v>TR770004600431888000211459</v>
      </c>
      <c r="D42" s="14">
        <f>+BORDRO!T43</f>
        <v>15162</v>
      </c>
      <c r="E42" s="37" t="str">
        <f>+Puantaj!D43</f>
        <v>EFE</v>
      </c>
      <c r="F42" s="37" t="str">
        <f>+Puantaj!E43</f>
        <v>FEVZİOĞLU</v>
      </c>
      <c r="G42" s="38" t="str">
        <f>+Puantaj!C43</f>
        <v>10438965994</v>
      </c>
      <c r="H42" s="63" t="s">
        <v>100</v>
      </c>
    </row>
    <row r="43" spans="2:8" ht="15.75" customHeight="1" x14ac:dyDescent="0.25">
      <c r="B43" s="13">
        <v>39</v>
      </c>
      <c r="C43" s="37" t="str">
        <f>+Puantaj!A44</f>
        <v>TR630006701000000035553441</v>
      </c>
      <c r="D43" s="14">
        <f>+BORDRO!T44</f>
        <v>15162</v>
      </c>
      <c r="E43" s="37" t="str">
        <f>+Puantaj!D44</f>
        <v>EFE</v>
      </c>
      <c r="F43" s="37" t="str">
        <f>+Puantaj!E44</f>
        <v>ŞAHİN</v>
      </c>
      <c r="G43" s="38" t="str">
        <f>+Puantaj!C44</f>
        <v>10634557832</v>
      </c>
      <c r="H43" s="63" t="s">
        <v>100</v>
      </c>
    </row>
    <row r="44" spans="2:8" ht="15.75" customHeight="1" x14ac:dyDescent="0.25">
      <c r="B44" s="13">
        <v>40</v>
      </c>
      <c r="C44" s="37" t="str">
        <f>+Puantaj!A45</f>
        <v>TR830001009010538106805002</v>
      </c>
      <c r="D44" s="14">
        <f>+BORDRO!T45</f>
        <v>8664</v>
      </c>
      <c r="E44" s="37" t="str">
        <f>+Puantaj!D45</f>
        <v>EGEMEN</v>
      </c>
      <c r="F44" s="37" t="str">
        <f>+Puantaj!E45</f>
        <v>KÜÇÜKLER</v>
      </c>
      <c r="G44" s="38" t="str">
        <f>+Puantaj!C45</f>
        <v>10257029938</v>
      </c>
      <c r="H44" s="63" t="s">
        <v>100</v>
      </c>
    </row>
    <row r="45" spans="2:8" ht="15.75" customHeight="1" x14ac:dyDescent="0.25">
      <c r="B45" s="13">
        <v>41</v>
      </c>
      <c r="C45" s="37" t="str">
        <f>+Puantaj!A46</f>
        <v>TR450001009010302805505001</v>
      </c>
      <c r="D45" s="14">
        <f>+BORDRO!T46</f>
        <v>12996</v>
      </c>
      <c r="E45" s="37" t="str">
        <f>+Puantaj!D46</f>
        <v>EKREM</v>
      </c>
      <c r="F45" s="37" t="str">
        <f>+Puantaj!E46</f>
        <v>TERZİOĞLU</v>
      </c>
      <c r="G45" s="38" t="str">
        <f>+Puantaj!C46</f>
        <v>10067993948</v>
      </c>
      <c r="H45" s="63" t="s">
        <v>100</v>
      </c>
    </row>
    <row r="46" spans="2:8" ht="15.75" customHeight="1" x14ac:dyDescent="0.25">
      <c r="B46" s="13">
        <v>42</v>
      </c>
      <c r="C46" s="37" t="str">
        <f>+Puantaj!A47</f>
        <v>TR520001009010110010105001</v>
      </c>
      <c r="D46" s="14">
        <f>+BORDRO!T47</f>
        <v>14079</v>
      </c>
      <c r="E46" s="37" t="str">
        <f>+Puantaj!D47</f>
        <v>ELİF</v>
      </c>
      <c r="F46" s="37" t="str">
        <f>+Puantaj!E47</f>
        <v>MİSK</v>
      </c>
      <c r="G46" s="38" t="str">
        <f>+Puantaj!C47</f>
        <v>16240785980</v>
      </c>
      <c r="H46" s="63" t="s">
        <v>100</v>
      </c>
    </row>
    <row r="47" spans="2:8" ht="15.75" customHeight="1" x14ac:dyDescent="0.25">
      <c r="B47" s="13">
        <v>43</v>
      </c>
      <c r="C47" s="37" t="str">
        <f>+Puantaj!A48</f>
        <v>TR870001009010757059005002</v>
      </c>
      <c r="D47" s="14">
        <f>+BORDRO!T48</f>
        <v>14079</v>
      </c>
      <c r="E47" s="37" t="str">
        <f>+Puantaj!D48</f>
        <v>ELİF NAZ</v>
      </c>
      <c r="F47" s="37" t="str">
        <f>+Puantaj!E48</f>
        <v>KÖKSAL</v>
      </c>
      <c r="G47" s="38" t="str">
        <f>+Puantaj!C48</f>
        <v>12202274516</v>
      </c>
      <c r="H47" s="63" t="s">
        <v>100</v>
      </c>
    </row>
    <row r="48" spans="2:8" ht="15.75" customHeight="1" x14ac:dyDescent="0.25">
      <c r="B48" s="13">
        <v>44</v>
      </c>
      <c r="C48" s="37" t="str">
        <f>+Puantaj!A49</f>
        <v>TR630001009010757356305002</v>
      </c>
      <c r="D48" s="14">
        <f>+BORDRO!T49</f>
        <v>10830</v>
      </c>
      <c r="E48" s="37" t="str">
        <f>+Puantaj!D49</f>
        <v>ELİFE KEVSER</v>
      </c>
      <c r="F48" s="37" t="str">
        <f>+Puantaj!E49</f>
        <v>ÖZTEK</v>
      </c>
      <c r="G48" s="38" t="str">
        <f>+Puantaj!C49</f>
        <v>13784186020</v>
      </c>
      <c r="H48" s="63" t="s">
        <v>100</v>
      </c>
    </row>
    <row r="49" spans="2:8" ht="15.75" customHeight="1" x14ac:dyDescent="0.25">
      <c r="B49" s="13">
        <v>45</v>
      </c>
      <c r="C49" s="37" t="str">
        <f>+Puantaj!A50</f>
        <v>TR070001009010559917805002</v>
      </c>
      <c r="D49" s="14">
        <f>+BORDRO!T50</f>
        <v>15162</v>
      </c>
      <c r="E49" s="37" t="str">
        <f>+Puantaj!D50</f>
        <v>EMİNE BEYZA</v>
      </c>
      <c r="F49" s="37" t="str">
        <f>+Puantaj!E50</f>
        <v>SÖYLER</v>
      </c>
      <c r="G49" s="38" t="str">
        <f>+Puantaj!C50</f>
        <v>36073704224</v>
      </c>
      <c r="H49" s="63" t="s">
        <v>100</v>
      </c>
    </row>
    <row r="50" spans="2:8" ht="15.75" customHeight="1" x14ac:dyDescent="0.25">
      <c r="B50" s="13">
        <v>46</v>
      </c>
      <c r="C50" s="37" t="str">
        <f>+Puantaj!A51</f>
        <v>TR370001009010017861805002</v>
      </c>
      <c r="D50" s="14">
        <f>+BORDRO!T51</f>
        <v>11913</v>
      </c>
      <c r="E50" s="37" t="str">
        <f>+Puantaj!D51</f>
        <v>EMİNE</v>
      </c>
      <c r="F50" s="37" t="str">
        <f>+Puantaj!E51</f>
        <v>ÇAKIR</v>
      </c>
      <c r="G50" s="38" t="str">
        <f>+Puantaj!C51</f>
        <v>12019646278</v>
      </c>
      <c r="H50" s="63" t="s">
        <v>100</v>
      </c>
    </row>
    <row r="51" spans="2:8" ht="15.75" customHeight="1" x14ac:dyDescent="0.25">
      <c r="B51" s="13">
        <v>47</v>
      </c>
      <c r="C51" s="37" t="str">
        <f>+Puantaj!A52</f>
        <v>TR260015700000000112863418</v>
      </c>
      <c r="D51" s="14">
        <f>+BORDRO!T52</f>
        <v>12996</v>
      </c>
      <c r="E51" s="37" t="str">
        <f>+Puantaj!D52</f>
        <v>EMİR</v>
      </c>
      <c r="F51" s="37" t="str">
        <f>+Puantaj!E52</f>
        <v>AN</v>
      </c>
      <c r="G51" s="38" t="str">
        <f>+Puantaj!C52</f>
        <v>41449479170</v>
      </c>
      <c r="H51" s="63" t="s">
        <v>100</v>
      </c>
    </row>
    <row r="52" spans="2:8" ht="15.75" customHeight="1" x14ac:dyDescent="0.25">
      <c r="B52" s="13">
        <v>48</v>
      </c>
      <c r="C52" s="37" t="str">
        <f>+Puantaj!A53</f>
        <v>TR670006701000000035540856</v>
      </c>
      <c r="D52" s="14">
        <f>+BORDRO!T53</f>
        <v>7581</v>
      </c>
      <c r="E52" s="37" t="str">
        <f>+Puantaj!D53</f>
        <v>EMİR</v>
      </c>
      <c r="F52" s="37" t="str">
        <f>+Puantaj!E53</f>
        <v>DAŞTAN</v>
      </c>
      <c r="G52" s="38" t="str">
        <f>+Puantaj!C53</f>
        <v>19793201204</v>
      </c>
      <c r="H52" s="63" t="s">
        <v>100</v>
      </c>
    </row>
    <row r="53" spans="2:8" ht="15.75" customHeight="1" x14ac:dyDescent="0.25">
      <c r="B53" s="13">
        <v>49</v>
      </c>
      <c r="C53" s="37" t="str">
        <f>+Puantaj!A54</f>
        <v>TR900001009010028993005001</v>
      </c>
      <c r="D53" s="14">
        <f>+BORDRO!T54</f>
        <v>12996</v>
      </c>
      <c r="E53" s="37" t="str">
        <f>+Puantaj!D54</f>
        <v>EMİRCAN</v>
      </c>
      <c r="F53" s="37" t="str">
        <f>+Puantaj!E54</f>
        <v>DAL</v>
      </c>
      <c r="G53" s="38" t="str">
        <f>+Puantaj!C54</f>
        <v>19156656290</v>
      </c>
      <c r="H53" s="63" t="s">
        <v>100</v>
      </c>
    </row>
    <row r="54" spans="2:8" ht="15.75" customHeight="1" x14ac:dyDescent="0.25">
      <c r="B54" s="13">
        <v>50</v>
      </c>
      <c r="C54" s="37" t="str">
        <f>+Puantaj!A55</f>
        <v>TR360001000147908562985001</v>
      </c>
      <c r="D54" s="14">
        <f>+BORDRO!T55</f>
        <v>15162</v>
      </c>
      <c r="E54" s="37" t="str">
        <f>+Puantaj!D55</f>
        <v>EMİRHAN</v>
      </c>
      <c r="F54" s="37" t="str">
        <f>+Puantaj!E55</f>
        <v>BURULDAY</v>
      </c>
      <c r="G54" s="38" t="str">
        <f>+Puantaj!C55</f>
        <v>10877603754</v>
      </c>
      <c r="H54" s="63" t="s">
        <v>100</v>
      </c>
    </row>
    <row r="55" spans="2:8" ht="15.75" customHeight="1" x14ac:dyDescent="0.25">
      <c r="B55" s="13">
        <v>51</v>
      </c>
      <c r="C55" s="37" t="str">
        <f>+Puantaj!A56</f>
        <v>TR060004600558888000145859</v>
      </c>
      <c r="D55" s="14">
        <f>+BORDRO!T56</f>
        <v>14079</v>
      </c>
      <c r="E55" s="37" t="str">
        <f>+Puantaj!D56</f>
        <v>EMİRHAN</v>
      </c>
      <c r="F55" s="37" t="str">
        <f>+Puantaj!E56</f>
        <v>ÇELİK</v>
      </c>
      <c r="G55" s="38" t="str">
        <f>+Puantaj!C56</f>
        <v>10100154114</v>
      </c>
      <c r="H55" s="63" t="s">
        <v>100</v>
      </c>
    </row>
    <row r="56" spans="2:8" ht="15.75" customHeight="1" x14ac:dyDescent="0.25">
      <c r="B56" s="13">
        <v>52</v>
      </c>
      <c r="C56" s="37" t="str">
        <f>+Puantaj!A57</f>
        <v>TR780001500158007319484193</v>
      </c>
      <c r="D56" s="14">
        <f>+BORDRO!T57</f>
        <v>14079</v>
      </c>
      <c r="E56" s="37" t="str">
        <f>+Puantaj!D57</f>
        <v>EMİRHAN</v>
      </c>
      <c r="F56" s="37" t="str">
        <f>+Puantaj!E57</f>
        <v>YILDIRIM</v>
      </c>
      <c r="G56" s="38" t="str">
        <f>+Puantaj!C57</f>
        <v>12538250994</v>
      </c>
      <c r="H56" s="63" t="s">
        <v>100</v>
      </c>
    </row>
    <row r="57" spans="2:8" ht="15.75" customHeight="1" x14ac:dyDescent="0.25">
      <c r="B57" s="13">
        <v>53</v>
      </c>
      <c r="C57" s="37" t="str">
        <f>+Puantaj!A58</f>
        <v>TR020006701000000036153320</v>
      </c>
      <c r="D57" s="14">
        <f>+BORDRO!T58</f>
        <v>15162</v>
      </c>
      <c r="E57" s="37" t="str">
        <f>+Puantaj!D58</f>
        <v>EMİRHAN</v>
      </c>
      <c r="F57" s="37" t="str">
        <f>+Puantaj!E58</f>
        <v>YILDIZ</v>
      </c>
      <c r="G57" s="38" t="str">
        <f>+Puantaj!C58</f>
        <v>60862510536</v>
      </c>
      <c r="H57" s="63" t="s">
        <v>100</v>
      </c>
    </row>
    <row r="58" spans="2:8" ht="15.75" customHeight="1" x14ac:dyDescent="0.25">
      <c r="B58" s="13">
        <v>54</v>
      </c>
      <c r="C58" s="37" t="str">
        <f>+Puantaj!A59</f>
        <v>TR350001009010801249905001</v>
      </c>
      <c r="D58" s="14">
        <f>+BORDRO!T59</f>
        <v>15162</v>
      </c>
      <c r="E58" s="37" t="str">
        <f>+Puantaj!D59</f>
        <v>EMRE</v>
      </c>
      <c r="F58" s="37" t="str">
        <f>+Puantaj!E59</f>
        <v>FIRAT</v>
      </c>
      <c r="G58" s="38" t="str">
        <f>+Puantaj!C59</f>
        <v>11056947294</v>
      </c>
      <c r="H58" s="63" t="s">
        <v>100</v>
      </c>
    </row>
    <row r="59" spans="2:8" ht="15.75" customHeight="1" x14ac:dyDescent="0.25">
      <c r="B59" s="13">
        <v>55</v>
      </c>
      <c r="C59" s="37" t="str">
        <f>+Puantaj!A60</f>
        <v>TR480006200066700006611631</v>
      </c>
      <c r="D59" s="14">
        <f>+BORDRO!T60</f>
        <v>15162</v>
      </c>
      <c r="E59" s="37" t="str">
        <f>+Puantaj!D60</f>
        <v>EMRE</v>
      </c>
      <c r="F59" s="37" t="str">
        <f>+Puantaj!E60</f>
        <v>KOCAHALİLOĞULLARI</v>
      </c>
      <c r="G59" s="38" t="str">
        <f>+Puantaj!C60</f>
        <v>10630966102</v>
      </c>
      <c r="H59" s="63" t="s">
        <v>100</v>
      </c>
    </row>
    <row r="60" spans="2:8" ht="15.75" customHeight="1" x14ac:dyDescent="0.25">
      <c r="B60" s="13">
        <v>56</v>
      </c>
      <c r="C60" s="37" t="str">
        <f>+Puantaj!A61</f>
        <v>TR460006200011500006532462</v>
      </c>
      <c r="D60" s="14">
        <f>+BORDRO!T61</f>
        <v>5415</v>
      </c>
      <c r="E60" s="37" t="str">
        <f>+Puantaj!D61</f>
        <v>EMRE</v>
      </c>
      <c r="F60" s="37" t="str">
        <f>+Puantaj!E61</f>
        <v>YILMAZ</v>
      </c>
      <c r="G60" s="38" t="str">
        <f>+Puantaj!C61</f>
        <v>60736357120</v>
      </c>
      <c r="H60" s="63" t="s">
        <v>100</v>
      </c>
    </row>
    <row r="61" spans="2:8" ht="15.75" customHeight="1" x14ac:dyDescent="0.25">
      <c r="B61" s="13">
        <v>57</v>
      </c>
      <c r="C61" s="37" t="str">
        <f>+Puantaj!A62</f>
        <v>TR340001009010200250205007</v>
      </c>
      <c r="D61" s="14">
        <f>+BORDRO!T62</f>
        <v>12996</v>
      </c>
      <c r="E61" s="37" t="str">
        <f>+Puantaj!D62</f>
        <v>ENES</v>
      </c>
      <c r="F61" s="37" t="str">
        <f>+Puantaj!E62</f>
        <v>DURAN</v>
      </c>
      <c r="G61" s="38" t="str">
        <f>+Puantaj!C62</f>
        <v>31795253678</v>
      </c>
      <c r="H61" s="63" t="s">
        <v>100</v>
      </c>
    </row>
    <row r="62" spans="2:8" ht="15.75" customHeight="1" x14ac:dyDescent="0.25">
      <c r="B62" s="13">
        <v>58</v>
      </c>
      <c r="C62" s="37" t="str">
        <f>+Puantaj!A63</f>
        <v>TR790001009010548106505004</v>
      </c>
      <c r="D62" s="14">
        <f>+BORDRO!T63</f>
        <v>12996</v>
      </c>
      <c r="E62" s="37" t="str">
        <f>+Puantaj!D63</f>
        <v>ENES</v>
      </c>
      <c r="F62" s="37" t="str">
        <f>+Puantaj!E63</f>
        <v>ÖZCAN</v>
      </c>
      <c r="G62" s="38" t="str">
        <f>+Puantaj!C63</f>
        <v>13613592022</v>
      </c>
      <c r="H62" s="63" t="s">
        <v>100</v>
      </c>
    </row>
    <row r="63" spans="2:8" ht="15.75" customHeight="1" x14ac:dyDescent="0.25">
      <c r="B63" s="13">
        <v>59</v>
      </c>
      <c r="C63" s="37" t="str">
        <f>+Puantaj!A64</f>
        <v>TR940020500009705379400001</v>
      </c>
      <c r="D63" s="14">
        <f>+BORDRO!T64</f>
        <v>12996</v>
      </c>
      <c r="E63" s="37" t="str">
        <f>+Puantaj!D64</f>
        <v>ENİSE</v>
      </c>
      <c r="F63" s="37" t="str">
        <f>+Puantaj!E64</f>
        <v>GÖK</v>
      </c>
      <c r="G63" s="38" t="str">
        <f>+Puantaj!C64</f>
        <v>42379294314</v>
      </c>
      <c r="H63" s="63" t="s">
        <v>100</v>
      </c>
    </row>
    <row r="64" spans="2:8" ht="15.75" customHeight="1" x14ac:dyDescent="0.25">
      <c r="B64" s="13">
        <v>60</v>
      </c>
      <c r="C64" s="37" t="str">
        <f>+Puantaj!A65</f>
        <v>TR660001009010757732605002</v>
      </c>
      <c r="D64" s="14">
        <f>+BORDRO!T65</f>
        <v>15162</v>
      </c>
      <c r="E64" s="37" t="str">
        <f>+Puantaj!D65</f>
        <v>ENNUR</v>
      </c>
      <c r="F64" s="37" t="str">
        <f>+Puantaj!E65</f>
        <v>ÜNAL</v>
      </c>
      <c r="G64" s="38" t="str">
        <f>+Puantaj!C65</f>
        <v>10267937780</v>
      </c>
      <c r="H64" s="63" t="s">
        <v>100</v>
      </c>
    </row>
    <row r="65" spans="2:8" ht="15.75" customHeight="1" x14ac:dyDescent="0.25">
      <c r="B65" s="13">
        <v>61</v>
      </c>
      <c r="C65" s="37" t="str">
        <f>+Puantaj!A66</f>
        <v>TR740001002062972681045001</v>
      </c>
      <c r="D65" s="14">
        <f>+BORDRO!T66</f>
        <v>0</v>
      </c>
      <c r="E65" s="37" t="str">
        <f>+Puantaj!D66</f>
        <v>EREN</v>
      </c>
      <c r="F65" s="37" t="str">
        <f>+Puantaj!E66</f>
        <v>BEYDİLLİ</v>
      </c>
      <c r="G65" s="38" t="str">
        <f>+Puantaj!C66</f>
        <v>10559226820</v>
      </c>
      <c r="H65" s="63" t="s">
        <v>100</v>
      </c>
    </row>
    <row r="66" spans="2:8" ht="15.75" customHeight="1" x14ac:dyDescent="0.25">
      <c r="B66" s="13">
        <v>62</v>
      </c>
      <c r="C66" s="37" t="str">
        <f>+Puantaj!A67</f>
        <v>TR340006200053200006628854</v>
      </c>
      <c r="D66" s="14">
        <f>+BORDRO!T67</f>
        <v>14079</v>
      </c>
      <c r="E66" s="37" t="str">
        <f>+Puantaj!D67</f>
        <v>EREN</v>
      </c>
      <c r="F66" s="37" t="str">
        <f>+Puantaj!E67</f>
        <v>BOYLU</v>
      </c>
      <c r="G66" s="38" t="str">
        <f>+Puantaj!C67</f>
        <v>10129854538</v>
      </c>
      <c r="H66" s="63" t="s">
        <v>100</v>
      </c>
    </row>
    <row r="67" spans="2:8" ht="15.75" customHeight="1" x14ac:dyDescent="0.25">
      <c r="B67" s="13">
        <v>63</v>
      </c>
      <c r="C67" s="37" t="str">
        <f>+Puantaj!A68</f>
        <v>TR430006200126600006645295</v>
      </c>
      <c r="D67" s="14">
        <f>+BORDRO!T68</f>
        <v>15162</v>
      </c>
      <c r="E67" s="37" t="str">
        <f>+Puantaj!D68</f>
        <v>EREN</v>
      </c>
      <c r="F67" s="37" t="str">
        <f>+Puantaj!E68</f>
        <v>SAĞIR</v>
      </c>
      <c r="G67" s="38" t="str">
        <f>+Puantaj!C68</f>
        <v>10591948872</v>
      </c>
      <c r="H67" s="63" t="s">
        <v>100</v>
      </c>
    </row>
    <row r="68" spans="2:8" ht="15.75" customHeight="1" x14ac:dyDescent="0.25">
      <c r="B68" s="13">
        <v>64</v>
      </c>
      <c r="C68" s="37" t="str">
        <f>+Puantaj!A69</f>
        <v>TR660006200072700006821497</v>
      </c>
      <c r="D68" s="14">
        <f>+BORDRO!T69</f>
        <v>15162</v>
      </c>
      <c r="E68" s="37" t="str">
        <f>+Puantaj!D69</f>
        <v>ERTUĞRUL</v>
      </c>
      <c r="F68" s="37" t="str">
        <f>+Puantaj!E69</f>
        <v>YILDIRAN</v>
      </c>
      <c r="G68" s="38" t="str">
        <f>+Puantaj!C69</f>
        <v>31750012616</v>
      </c>
      <c r="H68" s="63" t="s">
        <v>100</v>
      </c>
    </row>
    <row r="69" spans="2:8" ht="15.75" customHeight="1" x14ac:dyDescent="0.25">
      <c r="B69" s="13">
        <v>65</v>
      </c>
      <c r="C69" s="37" t="str">
        <f>+Puantaj!A70</f>
        <v>TR300001000080964695985001</v>
      </c>
      <c r="D69" s="14">
        <f>+BORDRO!T70</f>
        <v>14079</v>
      </c>
      <c r="E69" s="37" t="str">
        <f>+Puantaj!D70</f>
        <v>ESRA BENAN</v>
      </c>
      <c r="F69" s="37" t="str">
        <f>+Puantaj!E70</f>
        <v>ÇETİN</v>
      </c>
      <c r="G69" s="38" t="str">
        <f>+Puantaj!C70</f>
        <v>11758988366</v>
      </c>
      <c r="H69" s="63" t="s">
        <v>100</v>
      </c>
    </row>
    <row r="70" spans="2:8" ht="15.75" customHeight="1" x14ac:dyDescent="0.25">
      <c r="B70" s="13">
        <v>66</v>
      </c>
      <c r="C70" s="37" t="str">
        <f>+Puantaj!A71</f>
        <v>TR720001500158007321365131</v>
      </c>
      <c r="D70" s="14">
        <f>+BORDRO!T71</f>
        <v>12996</v>
      </c>
      <c r="E70" s="37" t="str">
        <f>+Puantaj!D71</f>
        <v>EYLÜL</v>
      </c>
      <c r="F70" s="37" t="str">
        <f>+Puantaj!E71</f>
        <v>AKCAOĞLU</v>
      </c>
      <c r="G70" s="38" t="str">
        <f>+Puantaj!C71</f>
        <v>10041124610</v>
      </c>
      <c r="H70" s="63" t="s">
        <v>100</v>
      </c>
    </row>
    <row r="71" spans="2:8" ht="15.75" customHeight="1" x14ac:dyDescent="0.25">
      <c r="B71" s="13">
        <v>67</v>
      </c>
      <c r="C71" s="37" t="str">
        <f>+Puantaj!A72</f>
        <v>TR380015700000000120277688</v>
      </c>
      <c r="D71" s="14">
        <f>+BORDRO!T72</f>
        <v>9747</v>
      </c>
      <c r="E71" s="37" t="str">
        <f>+Puantaj!D72</f>
        <v>EZGİ</v>
      </c>
      <c r="F71" s="37" t="str">
        <f>+Puantaj!E72</f>
        <v>BÜYÜKKAYA</v>
      </c>
      <c r="G71" s="38" t="str">
        <f>+Puantaj!C72</f>
        <v>26104431304</v>
      </c>
      <c r="H71" s="63" t="s">
        <v>100</v>
      </c>
    </row>
    <row r="72" spans="2:8" ht="15.75" customHeight="1" x14ac:dyDescent="0.25">
      <c r="B72" s="13">
        <v>68</v>
      </c>
      <c r="C72" s="37" t="str">
        <f>+Puantaj!A73</f>
        <v>TR660001009010580321005003</v>
      </c>
      <c r="D72" s="14">
        <f>+BORDRO!T73</f>
        <v>11913</v>
      </c>
      <c r="E72" s="37" t="str">
        <f>+Puantaj!D73</f>
        <v>EZGİNAZ</v>
      </c>
      <c r="F72" s="37" t="str">
        <f>+Puantaj!E73</f>
        <v>GÜNDEDE</v>
      </c>
      <c r="G72" s="38" t="str">
        <f>+Puantaj!C73</f>
        <v>13939155444</v>
      </c>
      <c r="H72" s="63" t="s">
        <v>100</v>
      </c>
    </row>
    <row r="73" spans="2:8" ht="15.75" customHeight="1" x14ac:dyDescent="0.25">
      <c r="B73" s="13">
        <v>69</v>
      </c>
      <c r="C73" s="37" t="str">
        <f>+Puantaj!A74</f>
        <v>TR630006400000122031228199</v>
      </c>
      <c r="D73" s="14">
        <f>+BORDRO!T74</f>
        <v>15162</v>
      </c>
      <c r="E73" s="37" t="str">
        <f>+Puantaj!D74</f>
        <v>FATMA YAREN</v>
      </c>
      <c r="F73" s="37" t="str">
        <f>+Puantaj!E74</f>
        <v>ERDOĞAN</v>
      </c>
      <c r="G73" s="38" t="str">
        <f>+Puantaj!C74</f>
        <v>11635943068</v>
      </c>
      <c r="H73" s="63" t="s">
        <v>100</v>
      </c>
    </row>
    <row r="74" spans="2:8" ht="15.75" customHeight="1" x14ac:dyDescent="0.25">
      <c r="B74" s="13">
        <v>70</v>
      </c>
      <c r="C74" s="37" t="str">
        <f>+Puantaj!A75</f>
        <v>TR370006701000000041998977</v>
      </c>
      <c r="D74" s="14">
        <f>+BORDRO!T75</f>
        <v>12996</v>
      </c>
      <c r="E74" s="37" t="str">
        <f>+Puantaj!D75</f>
        <v>FEYZA</v>
      </c>
      <c r="F74" s="37" t="str">
        <f>+Puantaj!E75</f>
        <v>KARACA</v>
      </c>
      <c r="G74" s="38" t="str">
        <f>+Puantaj!C75</f>
        <v>17333252242</v>
      </c>
      <c r="H74" s="63" t="s">
        <v>100</v>
      </c>
    </row>
    <row r="75" spans="2:8" ht="15.75" customHeight="1" x14ac:dyDescent="0.25">
      <c r="B75" s="13">
        <v>71</v>
      </c>
      <c r="C75" s="37" t="str">
        <f>+Puantaj!A76</f>
        <v>TR720006200154400006657157</v>
      </c>
      <c r="D75" s="14">
        <f>+BORDRO!T76</f>
        <v>15162</v>
      </c>
      <c r="E75" s="37" t="str">
        <f>+Puantaj!D76</f>
        <v>FİLİZ</v>
      </c>
      <c r="F75" s="37" t="str">
        <f>+Puantaj!E76</f>
        <v>ÇİNİ</v>
      </c>
      <c r="G75" s="38" t="str">
        <f>+Puantaj!C76</f>
        <v>10861953766</v>
      </c>
      <c r="H75" s="63" t="s">
        <v>100</v>
      </c>
    </row>
    <row r="76" spans="2:8" ht="15.75" customHeight="1" x14ac:dyDescent="0.25">
      <c r="B76" s="13">
        <v>72</v>
      </c>
      <c r="C76" s="37" t="str">
        <f>+Puantaj!A77</f>
        <v>TR690001002327797078855001</v>
      </c>
      <c r="D76" s="14">
        <f>+BORDRO!T77</f>
        <v>9747</v>
      </c>
      <c r="E76" s="37" t="str">
        <f>+Puantaj!D77</f>
        <v>FURKAN</v>
      </c>
      <c r="F76" s="37" t="str">
        <f>+Puantaj!E77</f>
        <v>AKAN</v>
      </c>
      <c r="G76" s="38" t="str">
        <f>+Puantaj!C77</f>
        <v>10385934418</v>
      </c>
      <c r="H76" s="63" t="s">
        <v>100</v>
      </c>
    </row>
    <row r="77" spans="2:8" ht="15.75" customHeight="1" x14ac:dyDescent="0.25">
      <c r="B77" s="13">
        <v>73</v>
      </c>
      <c r="C77" s="37" t="str">
        <f>+Puantaj!A78</f>
        <v>TR220020500009090660800001</v>
      </c>
      <c r="D77" s="14">
        <f>+BORDRO!T78</f>
        <v>14079</v>
      </c>
      <c r="E77" s="37" t="str">
        <f>+Puantaj!D78</f>
        <v>FURKAN SELİM</v>
      </c>
      <c r="F77" s="37" t="str">
        <f>+Puantaj!E78</f>
        <v>DURAN</v>
      </c>
      <c r="G77" s="38" t="str">
        <f>+Puantaj!C78</f>
        <v>10291959826</v>
      </c>
      <c r="H77" s="63" t="s">
        <v>100</v>
      </c>
    </row>
    <row r="78" spans="2:8" ht="15.75" customHeight="1" x14ac:dyDescent="0.25">
      <c r="B78" s="13">
        <v>74</v>
      </c>
      <c r="C78" s="37" t="str">
        <f>+Puantaj!A79</f>
        <v>TR590001009010553924105002</v>
      </c>
      <c r="D78" s="14">
        <f>+BORDRO!T79</f>
        <v>12996</v>
      </c>
      <c r="E78" s="37" t="str">
        <f>+Puantaj!D79</f>
        <v>GİZEM</v>
      </c>
      <c r="F78" s="37" t="str">
        <f>+Puantaj!E79</f>
        <v>MOLLA</v>
      </c>
      <c r="G78" s="38" t="str">
        <f>+Puantaj!C79</f>
        <v>22394387604</v>
      </c>
      <c r="H78" s="63" t="s">
        <v>100</v>
      </c>
    </row>
    <row r="79" spans="2:8" ht="15.75" customHeight="1" x14ac:dyDescent="0.25">
      <c r="B79" s="13">
        <v>75</v>
      </c>
      <c r="C79" s="37" t="str">
        <f>+Puantaj!A80</f>
        <v>TR220001009010547170305001</v>
      </c>
      <c r="D79" s="14">
        <f>+BORDRO!T80</f>
        <v>14079</v>
      </c>
      <c r="E79" s="37" t="str">
        <f>+Puantaj!D80</f>
        <v>GÖKAY</v>
      </c>
      <c r="F79" s="37" t="str">
        <f>+Puantaj!E80</f>
        <v>ÖZEL</v>
      </c>
      <c r="G79" s="38" t="str">
        <f>+Puantaj!C80</f>
        <v>10439263020</v>
      </c>
      <c r="H79" s="63" t="s">
        <v>100</v>
      </c>
    </row>
    <row r="80" spans="2:8" ht="15.75" customHeight="1" x14ac:dyDescent="0.25">
      <c r="B80" s="13">
        <v>76</v>
      </c>
      <c r="C80" s="37" t="str">
        <f>+Puantaj!A81</f>
        <v>TR380006701000000035426142</v>
      </c>
      <c r="D80" s="14">
        <f>+BORDRO!T81</f>
        <v>4332</v>
      </c>
      <c r="E80" s="37" t="str">
        <f>+Puantaj!D81</f>
        <v>GÖRKEM</v>
      </c>
      <c r="F80" s="37" t="str">
        <f>+Puantaj!E81</f>
        <v>KOÇ</v>
      </c>
      <c r="G80" s="38" t="str">
        <f>+Puantaj!C81</f>
        <v>10735312002</v>
      </c>
      <c r="H80" s="63" t="s">
        <v>100</v>
      </c>
    </row>
    <row r="81" spans="2:8" ht="15.75" customHeight="1" x14ac:dyDescent="0.25">
      <c r="B81" s="13">
        <v>77</v>
      </c>
      <c r="C81" s="37" t="str">
        <f>+Puantaj!A82</f>
        <v>TR080001001799658409218002</v>
      </c>
      <c r="D81" s="14">
        <f>+BORDRO!T82</f>
        <v>14079</v>
      </c>
      <c r="E81" s="37" t="str">
        <f>+Puantaj!D82</f>
        <v>GÜLSEHER</v>
      </c>
      <c r="F81" s="37" t="str">
        <f>+Puantaj!E82</f>
        <v>TAŞĞIN</v>
      </c>
      <c r="G81" s="38" t="str">
        <f>+Puantaj!C82</f>
        <v>19358635796</v>
      </c>
      <c r="H81" s="63" t="s">
        <v>100</v>
      </c>
    </row>
    <row r="82" spans="2:8" ht="15.75" customHeight="1" x14ac:dyDescent="0.25">
      <c r="B82" s="13">
        <v>78</v>
      </c>
      <c r="C82" s="37" t="str">
        <f>+Puantaj!A83</f>
        <v>TR930001009010270142705001</v>
      </c>
      <c r="D82" s="14">
        <f>+BORDRO!T83</f>
        <v>10830</v>
      </c>
      <c r="E82" s="37" t="str">
        <f>+Puantaj!D83</f>
        <v>GÜLSÜM</v>
      </c>
      <c r="F82" s="37" t="str">
        <f>+Puantaj!E83</f>
        <v>ÖZKAN</v>
      </c>
      <c r="G82" s="38" t="str">
        <f>+Puantaj!C83</f>
        <v>15041423268</v>
      </c>
      <c r="H82" s="63" t="s">
        <v>100</v>
      </c>
    </row>
    <row r="83" spans="2:8" ht="15.75" customHeight="1" x14ac:dyDescent="0.25">
      <c r="B83" s="13">
        <v>79</v>
      </c>
      <c r="C83" s="37" t="str">
        <f>+Puantaj!A84</f>
        <v>TR930001009010733466005003</v>
      </c>
      <c r="D83" s="14">
        <f>+BORDRO!T84</f>
        <v>12996</v>
      </c>
      <c r="E83" s="37" t="str">
        <f>+Puantaj!D84</f>
        <v>GÜLTEN</v>
      </c>
      <c r="F83" s="37" t="str">
        <f>+Puantaj!E84</f>
        <v>EZDAŞ</v>
      </c>
      <c r="G83" s="38" t="str">
        <f>+Puantaj!C84</f>
        <v>17603851854</v>
      </c>
      <c r="H83" s="63" t="s">
        <v>100</v>
      </c>
    </row>
    <row r="84" spans="2:8" ht="15.75" customHeight="1" x14ac:dyDescent="0.25">
      <c r="B84" s="13">
        <v>80</v>
      </c>
      <c r="C84" s="37" t="str">
        <f>+Puantaj!A85</f>
        <v>TR220006200110600006610583</v>
      </c>
      <c r="D84" s="14">
        <f>+BORDRO!T85</f>
        <v>16244.999999999998</v>
      </c>
      <c r="E84" s="37" t="str">
        <f>+Puantaj!D85</f>
        <v>GÜZEL</v>
      </c>
      <c r="F84" s="37" t="str">
        <f>+Puantaj!E85</f>
        <v>ÖZDEMİR</v>
      </c>
      <c r="G84" s="38" t="str">
        <f>+Puantaj!C85</f>
        <v>10462601820</v>
      </c>
      <c r="H84" s="63" t="s">
        <v>100</v>
      </c>
    </row>
    <row r="85" spans="2:8" ht="15.75" customHeight="1" x14ac:dyDescent="0.25">
      <c r="B85" s="13">
        <v>81</v>
      </c>
      <c r="C85" s="37" t="str">
        <f>+Puantaj!A86</f>
        <v>TR970006701000000033718656</v>
      </c>
      <c r="D85" s="14">
        <f>+BORDRO!T86</f>
        <v>12996</v>
      </c>
      <c r="E85" s="37" t="str">
        <f>+Puantaj!D86</f>
        <v>HAMZA</v>
      </c>
      <c r="F85" s="37" t="str">
        <f>+Puantaj!E86</f>
        <v>FİDAN</v>
      </c>
      <c r="G85" s="38" t="str">
        <f>+Puantaj!C86</f>
        <v>10200136744</v>
      </c>
      <c r="H85" s="63" t="s">
        <v>100</v>
      </c>
    </row>
    <row r="86" spans="2:8" ht="15.75" customHeight="1" x14ac:dyDescent="0.25">
      <c r="B86" s="13">
        <v>82</v>
      </c>
      <c r="C86" s="37" t="str">
        <f>+Puantaj!A87</f>
        <v>TR710006200087500006886336</v>
      </c>
      <c r="D86" s="14">
        <f>+BORDRO!T87</f>
        <v>14079</v>
      </c>
      <c r="E86" s="37" t="str">
        <f>+Puantaj!D87</f>
        <v>HASAN</v>
      </c>
      <c r="F86" s="37" t="str">
        <f>+Puantaj!E87</f>
        <v>KÖKSAL</v>
      </c>
      <c r="G86" s="38" t="str">
        <f>+Puantaj!C87</f>
        <v>10997539452</v>
      </c>
      <c r="H86" s="63" t="s">
        <v>100</v>
      </c>
    </row>
    <row r="87" spans="2:8" ht="15.75" customHeight="1" x14ac:dyDescent="0.25">
      <c r="B87" s="13">
        <v>83</v>
      </c>
      <c r="C87" s="37" t="str">
        <f>+Puantaj!A88</f>
        <v>TR210001009010313958505002</v>
      </c>
      <c r="D87" s="14">
        <f>+BORDRO!T88</f>
        <v>12996</v>
      </c>
      <c r="E87" s="37" t="str">
        <f>+Puantaj!D88</f>
        <v>HATİCE MELİSA</v>
      </c>
      <c r="F87" s="37" t="str">
        <f>+Puantaj!E88</f>
        <v>YÜKSEK</v>
      </c>
      <c r="G87" s="38" t="str">
        <f>+Puantaj!C88</f>
        <v>10538293270</v>
      </c>
      <c r="H87" s="63" t="s">
        <v>100</v>
      </c>
    </row>
    <row r="88" spans="2:8" ht="15.75" customHeight="1" x14ac:dyDescent="0.25">
      <c r="B88" s="13">
        <v>84</v>
      </c>
      <c r="C88" s="37" t="str">
        <f>+Puantaj!A89</f>
        <v>TR100001000447799255645001</v>
      </c>
      <c r="D88" s="14">
        <f>+BORDRO!T89</f>
        <v>12996</v>
      </c>
      <c r="E88" s="37" t="str">
        <f>+Puantaj!D89</f>
        <v>HATİCE</v>
      </c>
      <c r="F88" s="37" t="str">
        <f>+Puantaj!E89</f>
        <v>SARI</v>
      </c>
      <c r="G88" s="38" t="str">
        <f>+Puantaj!C89</f>
        <v>32380614546</v>
      </c>
      <c r="H88" s="63" t="s">
        <v>100</v>
      </c>
    </row>
    <row r="89" spans="2:8" ht="15.75" customHeight="1" x14ac:dyDescent="0.25">
      <c r="B89" s="13">
        <v>85</v>
      </c>
      <c r="C89" s="37" t="str">
        <f>+Puantaj!A90</f>
        <v>TR320006701000000057778154</v>
      </c>
      <c r="D89" s="14">
        <f>+BORDRO!T90</f>
        <v>12996</v>
      </c>
      <c r="E89" s="37" t="str">
        <f>+Puantaj!D90</f>
        <v>HAZAL</v>
      </c>
      <c r="F89" s="37" t="str">
        <f>+Puantaj!E90</f>
        <v>TAŞDEMİR</v>
      </c>
      <c r="G89" s="38" t="str">
        <f>+Puantaj!C90</f>
        <v>22130159632</v>
      </c>
      <c r="H89" s="63" t="s">
        <v>100</v>
      </c>
    </row>
    <row r="90" spans="2:8" ht="15.75" customHeight="1" x14ac:dyDescent="0.25">
      <c r="B90" s="13">
        <v>86</v>
      </c>
      <c r="C90" s="37" t="str">
        <f>+Puantaj!A91</f>
        <v>TR590003200000000105798117</v>
      </c>
      <c r="D90" s="14">
        <f>+BORDRO!T91</f>
        <v>8664</v>
      </c>
      <c r="E90" s="37" t="str">
        <f>+Puantaj!D91</f>
        <v>HAZAL</v>
      </c>
      <c r="F90" s="37" t="str">
        <f>+Puantaj!E91</f>
        <v>ULUDOĞAN</v>
      </c>
      <c r="G90" s="38" t="str">
        <f>+Puantaj!C91</f>
        <v>10087841144</v>
      </c>
      <c r="H90" s="63" t="s">
        <v>100</v>
      </c>
    </row>
    <row r="91" spans="2:8" ht="15.75" customHeight="1" x14ac:dyDescent="0.25">
      <c r="B91" s="13">
        <v>87</v>
      </c>
      <c r="C91" s="37" t="str">
        <f>+Puantaj!A92</f>
        <v>TR370001000045839124175002</v>
      </c>
      <c r="D91" s="14">
        <f>+BORDRO!T92</f>
        <v>12996</v>
      </c>
      <c r="E91" s="37" t="str">
        <f>+Puantaj!D92</f>
        <v>HELİN</v>
      </c>
      <c r="F91" s="37" t="str">
        <f>+Puantaj!E92</f>
        <v>ARSLAN</v>
      </c>
      <c r="G91" s="38" t="str">
        <f>+Puantaj!C92</f>
        <v>19592207926</v>
      </c>
      <c r="H91" s="63" t="s">
        <v>100</v>
      </c>
    </row>
    <row r="92" spans="2:8" ht="15.75" customHeight="1" x14ac:dyDescent="0.25">
      <c r="B92" s="13">
        <v>88</v>
      </c>
      <c r="C92" s="37" t="str">
        <f>+Puantaj!A93</f>
        <v>TR380006400000143890345392</v>
      </c>
      <c r="D92" s="14">
        <f>+BORDRO!T93</f>
        <v>16244.999999999998</v>
      </c>
      <c r="E92" s="37" t="str">
        <f>+Puantaj!D93</f>
        <v>HİLAL</v>
      </c>
      <c r="F92" s="37" t="str">
        <f>+Puantaj!E93</f>
        <v>AYDIN</v>
      </c>
      <c r="G92" s="38" t="str">
        <f>+Puantaj!C93</f>
        <v>12742219862</v>
      </c>
      <c r="H92" s="63" t="s">
        <v>100</v>
      </c>
    </row>
    <row r="93" spans="2:8" ht="15.75" customHeight="1" x14ac:dyDescent="0.25">
      <c r="B93" s="13">
        <v>89</v>
      </c>
      <c r="C93" s="37" t="str">
        <f>+Puantaj!A94</f>
        <v>TR130006400000162100962203</v>
      </c>
      <c r="D93" s="14">
        <f>+BORDRO!T94</f>
        <v>14079</v>
      </c>
      <c r="E93" s="37" t="str">
        <f>+Puantaj!D94</f>
        <v>HİLAL BEHİYE</v>
      </c>
      <c r="F93" s="37" t="str">
        <f>+Puantaj!E94</f>
        <v>YILMAZ</v>
      </c>
      <c r="G93" s="38" t="str">
        <f>+Puantaj!C94</f>
        <v>16492488158</v>
      </c>
      <c r="H93" s="63" t="s">
        <v>100</v>
      </c>
    </row>
    <row r="94" spans="2:8" ht="15.75" customHeight="1" x14ac:dyDescent="0.25">
      <c r="B94" s="13">
        <v>90</v>
      </c>
      <c r="C94" s="37" t="str">
        <f>+Puantaj!A95</f>
        <v>TR800001009010736881205002</v>
      </c>
      <c r="D94" s="14">
        <f>+BORDRO!T95</f>
        <v>9747</v>
      </c>
      <c r="E94" s="37" t="str">
        <f>+Puantaj!D95</f>
        <v>İLAYDA</v>
      </c>
      <c r="F94" s="37" t="str">
        <f>+Puantaj!E95</f>
        <v>MAY</v>
      </c>
      <c r="G94" s="38" t="str">
        <f>+Puantaj!C95</f>
        <v>11895077008</v>
      </c>
      <c r="H94" s="63" t="s">
        <v>100</v>
      </c>
    </row>
    <row r="95" spans="2:8" ht="15.75" customHeight="1" x14ac:dyDescent="0.25">
      <c r="B95" s="13">
        <v>91</v>
      </c>
      <c r="C95" s="37" t="str">
        <f>+Puantaj!A96</f>
        <v>TR110001500158007333870305</v>
      </c>
      <c r="D95" s="14">
        <f>+BORDRO!T96</f>
        <v>5415</v>
      </c>
      <c r="E95" s="37" t="str">
        <f>+Puantaj!D96</f>
        <v>İLKER</v>
      </c>
      <c r="F95" s="37" t="str">
        <f>+Puantaj!E96</f>
        <v>YILMAZ</v>
      </c>
      <c r="G95" s="38" t="str">
        <f>+Puantaj!C96</f>
        <v>15268800910</v>
      </c>
      <c r="H95" s="63" t="s">
        <v>100</v>
      </c>
    </row>
    <row r="96" spans="2:8" ht="15.75" customHeight="1" x14ac:dyDescent="0.25">
      <c r="B96" s="13">
        <v>92</v>
      </c>
      <c r="C96" s="37" t="str">
        <f>+Puantaj!A97</f>
        <v>TR140001009010678015705001</v>
      </c>
      <c r="D96" s="14">
        <f>+BORDRO!T97</f>
        <v>3249</v>
      </c>
      <c r="E96" s="37" t="str">
        <f>+Puantaj!D97</f>
        <v>İLKNUR</v>
      </c>
      <c r="F96" s="37" t="str">
        <f>+Puantaj!E97</f>
        <v>KILIÇ</v>
      </c>
      <c r="G96" s="38" t="str">
        <f>+Puantaj!C97</f>
        <v>10293044216</v>
      </c>
      <c r="H96" s="63" t="s">
        <v>100</v>
      </c>
    </row>
    <row r="97" spans="2:8" ht="15.75" customHeight="1" x14ac:dyDescent="0.25">
      <c r="B97" s="13">
        <v>93</v>
      </c>
      <c r="C97" s="37" t="str">
        <f>+Puantaj!A98</f>
        <v>TR260001009010548541805001</v>
      </c>
      <c r="D97" s="14">
        <f>+BORDRO!T98</f>
        <v>15162</v>
      </c>
      <c r="E97" s="37" t="str">
        <f>+Puantaj!D98</f>
        <v>İMAMUESEN</v>
      </c>
      <c r="F97" s="37" t="str">
        <f>+Puantaj!E98</f>
        <v>ARTIŞ</v>
      </c>
      <c r="G97" s="38" t="str">
        <f>+Puantaj!C98</f>
        <v>26759027716</v>
      </c>
      <c r="H97" s="63" t="s">
        <v>100</v>
      </c>
    </row>
    <row r="98" spans="2:8" ht="15.75" customHeight="1" x14ac:dyDescent="0.25">
      <c r="B98" s="13">
        <v>94</v>
      </c>
      <c r="C98" s="37" t="str">
        <f>+Puantaj!A99</f>
        <v>TR410001200929100001060549</v>
      </c>
      <c r="D98" s="14">
        <f>+BORDRO!T99</f>
        <v>15162</v>
      </c>
      <c r="E98" s="37" t="str">
        <f>+Puantaj!D99</f>
        <v>İPEK</v>
      </c>
      <c r="F98" s="37" t="str">
        <f>+Puantaj!E99</f>
        <v>CİHANTİMUR</v>
      </c>
      <c r="G98" s="38" t="str">
        <f>+Puantaj!C99</f>
        <v>53959062896</v>
      </c>
      <c r="H98" s="63" t="s">
        <v>100</v>
      </c>
    </row>
    <row r="99" spans="2:8" ht="15.75" customHeight="1" x14ac:dyDescent="0.25">
      <c r="B99" s="13">
        <v>95</v>
      </c>
      <c r="C99" s="37" t="str">
        <f>+Puantaj!A100</f>
        <v>TR870020500009930087800001</v>
      </c>
      <c r="D99" s="14">
        <f>+BORDRO!T100</f>
        <v>15162</v>
      </c>
      <c r="E99" s="37" t="str">
        <f>+Puantaj!D100</f>
        <v>İSLAM SADRETTİN</v>
      </c>
      <c r="F99" s="37" t="str">
        <f>+Puantaj!E100</f>
        <v>ÖZDOĞAN</v>
      </c>
      <c r="G99" s="38" t="str">
        <f>+Puantaj!C100</f>
        <v>11042896742</v>
      </c>
      <c r="H99" s="63" t="s">
        <v>100</v>
      </c>
    </row>
    <row r="100" spans="2:8" ht="15.75" customHeight="1" x14ac:dyDescent="0.25">
      <c r="B100" s="13">
        <v>96</v>
      </c>
      <c r="C100" s="37" t="str">
        <f>+Puantaj!A101</f>
        <v>TR670001009010631869805001</v>
      </c>
      <c r="D100" s="14">
        <f>+BORDRO!T101</f>
        <v>15162</v>
      </c>
      <c r="E100" s="37" t="str">
        <f>+Puantaj!D101</f>
        <v>İSMAİL</v>
      </c>
      <c r="F100" s="37" t="str">
        <f>+Puantaj!E101</f>
        <v>NACAR</v>
      </c>
      <c r="G100" s="38" t="str">
        <f>+Puantaj!C101</f>
        <v>10717479006</v>
      </c>
      <c r="H100" s="63" t="s">
        <v>100</v>
      </c>
    </row>
    <row r="101" spans="2:8" ht="15.75" customHeight="1" x14ac:dyDescent="0.25">
      <c r="B101" s="13">
        <v>97</v>
      </c>
      <c r="C101" s="37" t="str">
        <f>+Puantaj!A102</f>
        <v>TR310001009010744229505001</v>
      </c>
      <c r="D101" s="14">
        <f>+BORDRO!T102</f>
        <v>12996</v>
      </c>
      <c r="E101" s="37" t="str">
        <f>+Puantaj!D102</f>
        <v>KADİR HÜSEYİN</v>
      </c>
      <c r="F101" s="37" t="str">
        <f>+Puantaj!E102</f>
        <v>TUNCER</v>
      </c>
      <c r="G101" s="38" t="str">
        <f>+Puantaj!C102</f>
        <v>15632524862</v>
      </c>
      <c r="H101" s="63" t="s">
        <v>100</v>
      </c>
    </row>
    <row r="102" spans="2:8" ht="15.75" customHeight="1" x14ac:dyDescent="0.25">
      <c r="B102" s="13">
        <v>98</v>
      </c>
      <c r="C102" s="37" t="str">
        <f>+Puantaj!A103</f>
        <v>TR910001009010283041805001</v>
      </c>
      <c r="D102" s="14">
        <f>+BORDRO!T103</f>
        <v>15162</v>
      </c>
      <c r="E102" s="37" t="str">
        <f>+Puantaj!D103</f>
        <v>KADRİYE</v>
      </c>
      <c r="F102" s="37" t="str">
        <f>+Puantaj!E103</f>
        <v>AKTAŞ</v>
      </c>
      <c r="G102" s="38" t="str">
        <f>+Puantaj!C103</f>
        <v>13963824422</v>
      </c>
      <c r="H102" s="63" t="s">
        <v>100</v>
      </c>
    </row>
    <row r="103" spans="2:8" ht="15.75" customHeight="1" x14ac:dyDescent="0.25">
      <c r="B103" s="13">
        <v>99</v>
      </c>
      <c r="C103" s="37" t="str">
        <f>+Puantaj!A104</f>
        <v>TR700001009010551737505002</v>
      </c>
      <c r="D103" s="14">
        <f>+BORDRO!T104</f>
        <v>16244.999999999998</v>
      </c>
      <c r="E103" s="37" t="str">
        <f>+Puantaj!D104</f>
        <v>KADRİYE GÜNGÖR</v>
      </c>
      <c r="F103" s="37" t="str">
        <f>+Puantaj!E104</f>
        <v>GÖK</v>
      </c>
      <c r="G103" s="38" t="str">
        <f>+Puantaj!C104</f>
        <v>10679380396</v>
      </c>
      <c r="H103" s="63" t="s">
        <v>100</v>
      </c>
    </row>
    <row r="104" spans="2:8" ht="15.75" customHeight="1" x14ac:dyDescent="0.25">
      <c r="B104" s="13">
        <v>100</v>
      </c>
      <c r="C104" s="37" t="str">
        <f>+Puantaj!A105</f>
        <v>TR420006200113100006648025</v>
      </c>
      <c r="D104" s="14">
        <f>+BORDRO!T105</f>
        <v>14079</v>
      </c>
      <c r="E104" s="37" t="str">
        <f>+Puantaj!D105</f>
        <v>KERİM</v>
      </c>
      <c r="F104" s="37" t="str">
        <f>+Puantaj!E105</f>
        <v>CEBECİ</v>
      </c>
      <c r="G104" s="38" t="str">
        <f>+Puantaj!C105</f>
        <v>17327701480</v>
      </c>
      <c r="H104" s="63" t="s">
        <v>100</v>
      </c>
    </row>
    <row r="105" spans="2:8" ht="15.75" customHeight="1" x14ac:dyDescent="0.25">
      <c r="B105" s="13">
        <v>101</v>
      </c>
      <c r="C105" s="37" t="str">
        <f>+Puantaj!A106</f>
        <v>TR150001001799744550895002</v>
      </c>
      <c r="D105" s="14">
        <f>+BORDRO!T106</f>
        <v>14079</v>
      </c>
      <c r="E105" s="37" t="str">
        <f>+Puantaj!D106</f>
        <v>KÜBRA</v>
      </c>
      <c r="F105" s="37" t="str">
        <f>+Puantaj!E106</f>
        <v>GEDİK</v>
      </c>
      <c r="G105" s="38" t="str">
        <f>+Puantaj!C106</f>
        <v>10517493820</v>
      </c>
      <c r="H105" s="63" t="s">
        <v>100</v>
      </c>
    </row>
    <row r="106" spans="2:8" ht="15.75" customHeight="1" x14ac:dyDescent="0.25">
      <c r="B106" s="13">
        <v>102</v>
      </c>
      <c r="C106" s="37" t="str">
        <f>+Puantaj!A107</f>
        <v>TR300006200053800006623367</v>
      </c>
      <c r="D106" s="14">
        <f>+BORDRO!T107</f>
        <v>9747</v>
      </c>
      <c r="E106" s="37" t="str">
        <f>+Puantaj!D107</f>
        <v>KÜBRA</v>
      </c>
      <c r="F106" s="37" t="str">
        <f>+Puantaj!E107</f>
        <v>ULUDERE</v>
      </c>
      <c r="G106" s="38" t="str">
        <f>+Puantaj!C107</f>
        <v>10976678554</v>
      </c>
      <c r="H106" s="63" t="s">
        <v>100</v>
      </c>
    </row>
    <row r="107" spans="2:8" ht="15.75" customHeight="1" x14ac:dyDescent="0.25">
      <c r="B107" s="13">
        <v>103</v>
      </c>
      <c r="C107" s="37" t="str">
        <f>+Puantaj!A108</f>
        <v>TR540006701000000033658902</v>
      </c>
      <c r="D107" s="14">
        <f>+BORDRO!T108</f>
        <v>15162</v>
      </c>
      <c r="E107" s="37" t="str">
        <f>+Puantaj!D108</f>
        <v>LÜTFİYE</v>
      </c>
      <c r="F107" s="37" t="str">
        <f>+Puantaj!E108</f>
        <v>SARI</v>
      </c>
      <c r="G107" s="38" t="str">
        <f>+Puantaj!C108</f>
        <v>15766862922</v>
      </c>
      <c r="H107" s="63" t="s">
        <v>100</v>
      </c>
    </row>
    <row r="108" spans="2:8" ht="15.75" customHeight="1" x14ac:dyDescent="0.25">
      <c r="B108" s="13">
        <v>104</v>
      </c>
      <c r="C108" s="37" t="str">
        <f>+Puantaj!A109</f>
        <v>TR400001009010721263605001</v>
      </c>
      <c r="D108" s="14">
        <f>+BORDRO!T109</f>
        <v>14079</v>
      </c>
      <c r="E108" s="37" t="str">
        <f>+Puantaj!D109</f>
        <v>MEDİNE</v>
      </c>
      <c r="F108" s="37" t="str">
        <f>+Puantaj!E109</f>
        <v>SAKARYA</v>
      </c>
      <c r="G108" s="38" t="str">
        <f>+Puantaj!C109</f>
        <v>10412675680</v>
      </c>
      <c r="H108" s="63" t="s">
        <v>100</v>
      </c>
    </row>
    <row r="109" spans="2:8" ht="15.75" customHeight="1" x14ac:dyDescent="0.25">
      <c r="B109" s="13">
        <v>105</v>
      </c>
      <c r="C109" s="37" t="str">
        <f>+Puantaj!A110</f>
        <v>TR270001009010734535405001</v>
      </c>
      <c r="D109" s="14">
        <f>+BORDRO!T110</f>
        <v>9747</v>
      </c>
      <c r="E109" s="37" t="str">
        <f>+Puantaj!D110</f>
        <v>MELİS</v>
      </c>
      <c r="F109" s="37" t="str">
        <f>+Puantaj!E110</f>
        <v>KARADENİZ</v>
      </c>
      <c r="G109" s="38" t="str">
        <f>+Puantaj!C110</f>
        <v>10112713040</v>
      </c>
      <c r="H109" s="63" t="s">
        <v>100</v>
      </c>
    </row>
    <row r="110" spans="2:8" ht="15.75" customHeight="1" x14ac:dyDescent="0.25">
      <c r="B110" s="13">
        <v>106</v>
      </c>
      <c r="C110" s="37" t="str">
        <f>+Puantaj!A111</f>
        <v>TR090001009010612007305001</v>
      </c>
      <c r="D110" s="14">
        <f>+BORDRO!T111</f>
        <v>9747</v>
      </c>
      <c r="E110" s="37" t="str">
        <f>+Puantaj!D111</f>
        <v>MELİS</v>
      </c>
      <c r="F110" s="37" t="str">
        <f>+Puantaj!E111</f>
        <v>METİN</v>
      </c>
      <c r="G110" s="38" t="str">
        <f>+Puantaj!C111</f>
        <v>10267469656</v>
      </c>
      <c r="H110" s="63" t="s">
        <v>100</v>
      </c>
    </row>
    <row r="111" spans="2:8" ht="15.75" customHeight="1" x14ac:dyDescent="0.25">
      <c r="B111" s="13">
        <v>107</v>
      </c>
      <c r="C111" s="37" t="str">
        <f>+Puantaj!A112</f>
        <v>TR440001000301704869035001</v>
      </c>
      <c r="D111" s="14">
        <f>+BORDRO!T112</f>
        <v>8664</v>
      </c>
      <c r="E111" s="37" t="str">
        <f>+Puantaj!D112</f>
        <v>MELİSA</v>
      </c>
      <c r="F111" s="37" t="str">
        <f>+Puantaj!E112</f>
        <v>KUMLU</v>
      </c>
      <c r="G111" s="38" t="str">
        <f>+Puantaj!C112</f>
        <v>53509519344</v>
      </c>
      <c r="H111" s="63" t="s">
        <v>100</v>
      </c>
    </row>
    <row r="112" spans="2:8" ht="15.75" customHeight="1" x14ac:dyDescent="0.25">
      <c r="B112" s="13">
        <v>108</v>
      </c>
      <c r="C112" s="37" t="str">
        <f>+Puantaj!A113</f>
        <v>TR350001002715876598195001</v>
      </c>
      <c r="D112" s="14">
        <f>+BORDRO!T113</f>
        <v>12996</v>
      </c>
      <c r="E112" s="37" t="str">
        <f>+Puantaj!D113</f>
        <v>MELİSA</v>
      </c>
      <c r="F112" s="37" t="str">
        <f>+Puantaj!E113</f>
        <v>OKUYUCU</v>
      </c>
      <c r="G112" s="38" t="str">
        <f>+Puantaj!C113</f>
        <v>51844559292</v>
      </c>
      <c r="H112" s="63" t="s">
        <v>100</v>
      </c>
    </row>
    <row r="113" spans="2:8" ht="15.75" customHeight="1" x14ac:dyDescent="0.25">
      <c r="B113" s="13">
        <v>109</v>
      </c>
      <c r="C113" s="37" t="str">
        <f>+Puantaj!A114</f>
        <v>TR510001009010745849005001</v>
      </c>
      <c r="D113" s="14">
        <f>+BORDRO!T114</f>
        <v>15162</v>
      </c>
      <c r="E113" s="37" t="str">
        <f>+Puantaj!D114</f>
        <v>MERVE CEREN</v>
      </c>
      <c r="F113" s="37" t="str">
        <f>+Puantaj!E114</f>
        <v>İNCE</v>
      </c>
      <c r="G113" s="38" t="str">
        <f>+Puantaj!C114</f>
        <v>11273332552</v>
      </c>
      <c r="H113" s="63" t="s">
        <v>100</v>
      </c>
    </row>
    <row r="114" spans="2:8" ht="15.75" customHeight="1" x14ac:dyDescent="0.25">
      <c r="B114" s="13">
        <v>110</v>
      </c>
      <c r="C114" s="37" t="str">
        <f>+Puantaj!A115</f>
        <v>TR750006701000000040002130</v>
      </c>
      <c r="D114" s="14">
        <f>+BORDRO!T115</f>
        <v>14079</v>
      </c>
      <c r="E114" s="37" t="str">
        <f>+Puantaj!D115</f>
        <v>MERVE</v>
      </c>
      <c r="F114" s="37" t="str">
        <f>+Puantaj!E115</f>
        <v>EREN</v>
      </c>
      <c r="G114" s="38" t="str">
        <f>+Puantaj!C115</f>
        <v>28885323830</v>
      </c>
      <c r="H114" s="63" t="s">
        <v>100</v>
      </c>
    </row>
    <row r="115" spans="2:8" ht="15.75" customHeight="1" x14ac:dyDescent="0.25">
      <c r="B115" s="13">
        <v>111</v>
      </c>
      <c r="C115" s="37" t="str">
        <f>+Puantaj!A116</f>
        <v>TR110001009010190699405001</v>
      </c>
      <c r="D115" s="14">
        <f>+BORDRO!T116</f>
        <v>14079</v>
      </c>
      <c r="E115" s="37" t="str">
        <f>+Puantaj!D116</f>
        <v>MERVE</v>
      </c>
      <c r="F115" s="37" t="str">
        <f>+Puantaj!E116</f>
        <v>EZBERCİ</v>
      </c>
      <c r="G115" s="38" t="str">
        <f>+Puantaj!C116</f>
        <v>28033142924</v>
      </c>
      <c r="H115" s="63" t="s">
        <v>100</v>
      </c>
    </row>
    <row r="116" spans="2:8" ht="15.75" customHeight="1" x14ac:dyDescent="0.25">
      <c r="B116" s="13">
        <v>112</v>
      </c>
      <c r="C116" s="37" t="str">
        <f>+Puantaj!A117</f>
        <v>TR520001009010533686705001</v>
      </c>
      <c r="D116" s="14">
        <f>+BORDRO!T117</f>
        <v>11913</v>
      </c>
      <c r="E116" s="37" t="str">
        <f>+Puantaj!D117</f>
        <v>MERVE</v>
      </c>
      <c r="F116" s="37" t="str">
        <f>+Puantaj!E117</f>
        <v>POLAT</v>
      </c>
      <c r="G116" s="38" t="str">
        <f>+Puantaj!C117</f>
        <v>15230987106</v>
      </c>
      <c r="H116" s="63" t="s">
        <v>100</v>
      </c>
    </row>
    <row r="117" spans="2:8" ht="15.75" customHeight="1" x14ac:dyDescent="0.25">
      <c r="B117" s="13">
        <v>113</v>
      </c>
      <c r="C117" s="37" t="str">
        <f>+Puantaj!A118</f>
        <v>TR280006400000115010287058</v>
      </c>
      <c r="D117" s="14">
        <f>+BORDRO!T118</f>
        <v>15162</v>
      </c>
      <c r="E117" s="37" t="str">
        <f>+Puantaj!D118</f>
        <v>MİNE</v>
      </c>
      <c r="F117" s="37" t="str">
        <f>+Puantaj!E118</f>
        <v>AYHAN</v>
      </c>
      <c r="G117" s="38" t="str">
        <f>+Puantaj!C118</f>
        <v>10571458124</v>
      </c>
      <c r="H117" s="63" t="s">
        <v>100</v>
      </c>
    </row>
    <row r="118" spans="2:8" ht="15.75" customHeight="1" x14ac:dyDescent="0.25">
      <c r="B118" s="13">
        <v>114</v>
      </c>
      <c r="C118" s="37" t="str">
        <f>+Puantaj!A119</f>
        <v>TR560001009010185848505001</v>
      </c>
      <c r="D118" s="14">
        <f>+BORDRO!T119</f>
        <v>14079</v>
      </c>
      <c r="E118" s="37" t="str">
        <f>+Puantaj!D119</f>
        <v>MİRAY</v>
      </c>
      <c r="F118" s="37" t="str">
        <f>+Puantaj!E119</f>
        <v>ÖZTÜRK</v>
      </c>
      <c r="G118" s="38" t="str">
        <f>+Puantaj!C119</f>
        <v>34438180034</v>
      </c>
      <c r="H118" s="63" t="s">
        <v>100</v>
      </c>
    </row>
    <row r="119" spans="2:8" ht="15.75" customHeight="1" x14ac:dyDescent="0.25">
      <c r="B119" s="13">
        <v>115</v>
      </c>
      <c r="C119" s="37" t="str">
        <f>+Puantaj!A120</f>
        <v>TR400001009010250435305001</v>
      </c>
      <c r="D119" s="14">
        <f>+BORDRO!T120</f>
        <v>12996</v>
      </c>
      <c r="E119" s="37" t="str">
        <f>+Puantaj!D120</f>
        <v>MUHAMMED AHMET</v>
      </c>
      <c r="F119" s="37" t="str">
        <f>+Puantaj!E120</f>
        <v>ASLAN</v>
      </c>
      <c r="G119" s="38" t="str">
        <f>+Puantaj!C120</f>
        <v>23368084802</v>
      </c>
      <c r="H119" s="63" t="s">
        <v>100</v>
      </c>
    </row>
    <row r="120" spans="2:8" ht="15.75" customHeight="1" x14ac:dyDescent="0.25">
      <c r="B120" s="13">
        <v>116</v>
      </c>
      <c r="C120" s="37" t="str">
        <f>+Puantaj!A121</f>
        <v>TR350001009010283358605002</v>
      </c>
      <c r="D120" s="14">
        <f>+BORDRO!T121</f>
        <v>16244.999999999998</v>
      </c>
      <c r="E120" s="37" t="str">
        <f>+Puantaj!D121</f>
        <v>MUHAMMED BAKİ</v>
      </c>
      <c r="F120" s="37" t="str">
        <f>+Puantaj!E121</f>
        <v>ORAR</v>
      </c>
      <c r="G120" s="38" t="str">
        <f>+Puantaj!C121</f>
        <v>10069201706</v>
      </c>
      <c r="H120" s="63" t="s">
        <v>100</v>
      </c>
    </row>
    <row r="121" spans="2:8" ht="15.75" customHeight="1" x14ac:dyDescent="0.25">
      <c r="B121" s="13">
        <v>117</v>
      </c>
      <c r="C121" s="37" t="str">
        <f>+Puantaj!A122</f>
        <v>TR110006400000122201242199</v>
      </c>
      <c r="D121" s="14">
        <f>+BORDRO!T122</f>
        <v>14079</v>
      </c>
      <c r="E121" s="37" t="str">
        <f>+Puantaj!D122</f>
        <v>MUHAMMED İSMAİL</v>
      </c>
      <c r="F121" s="37" t="str">
        <f>+Puantaj!E122</f>
        <v>ERDOĞAN</v>
      </c>
      <c r="G121" s="38" t="str">
        <f>+Puantaj!C122</f>
        <v>10804913444</v>
      </c>
      <c r="H121" s="63" t="s">
        <v>100</v>
      </c>
    </row>
    <row r="122" spans="2:8" ht="15.75" customHeight="1" x14ac:dyDescent="0.25">
      <c r="B122" s="13">
        <v>118</v>
      </c>
      <c r="C122" s="37" t="str">
        <f>+Puantaj!A123</f>
        <v>TR340001009010961953705001</v>
      </c>
      <c r="D122" s="14">
        <f>+BORDRO!T123</f>
        <v>7581</v>
      </c>
      <c r="E122" s="37" t="str">
        <f>+Puantaj!D123</f>
        <v>MUHAMMED YASİN</v>
      </c>
      <c r="F122" s="37" t="str">
        <f>+Puantaj!E123</f>
        <v>YILMAZ</v>
      </c>
      <c r="G122" s="38" t="str">
        <f>+Puantaj!C123</f>
        <v>13763788092</v>
      </c>
      <c r="H122" s="63" t="s">
        <v>100</v>
      </c>
    </row>
    <row r="123" spans="2:8" ht="15.75" customHeight="1" x14ac:dyDescent="0.25">
      <c r="B123" s="13">
        <v>119</v>
      </c>
      <c r="C123" s="37" t="str">
        <f>+Puantaj!A124</f>
        <v>TR070001009010773423105001</v>
      </c>
      <c r="D123" s="14">
        <f>+BORDRO!T124</f>
        <v>15162</v>
      </c>
      <c r="E123" s="37" t="str">
        <f>+Puantaj!D124</f>
        <v>MUHAMMET ALİ</v>
      </c>
      <c r="F123" s="37" t="str">
        <f>+Puantaj!E124</f>
        <v>KARAMAN</v>
      </c>
      <c r="G123" s="38" t="str">
        <f>+Puantaj!C124</f>
        <v>10456830816</v>
      </c>
      <c r="H123" s="63" t="s">
        <v>100</v>
      </c>
    </row>
    <row r="124" spans="2:8" ht="15.75" customHeight="1" x14ac:dyDescent="0.25">
      <c r="B124" s="13">
        <v>120</v>
      </c>
      <c r="C124" s="37" t="str">
        <f>+Puantaj!A125</f>
        <v>TR480006701000000079126402</v>
      </c>
      <c r="D124" s="14">
        <f>+BORDRO!T125</f>
        <v>14079</v>
      </c>
      <c r="E124" s="37" t="str">
        <f>+Puantaj!D125</f>
        <v>MUHAMMET TAHA</v>
      </c>
      <c r="F124" s="37" t="str">
        <f>+Puantaj!E125</f>
        <v>ÖZAY</v>
      </c>
      <c r="G124" s="38" t="str">
        <f>+Puantaj!C125</f>
        <v>34918660636</v>
      </c>
      <c r="H124" s="63" t="s">
        <v>100</v>
      </c>
    </row>
    <row r="125" spans="2:8" ht="15.75" customHeight="1" x14ac:dyDescent="0.25">
      <c r="B125" s="13">
        <v>121</v>
      </c>
      <c r="C125" s="37" t="str">
        <f>+Puantaj!A126</f>
        <v>TR140006701000000055070723</v>
      </c>
      <c r="D125" s="14">
        <f>+BORDRO!T126</f>
        <v>14079</v>
      </c>
      <c r="E125" s="37" t="str">
        <f>+Puantaj!D126</f>
        <v>MUHSİN</v>
      </c>
      <c r="F125" s="37" t="str">
        <f>+Puantaj!E126</f>
        <v>YILMAZ</v>
      </c>
      <c r="G125" s="38" t="str">
        <f>+Puantaj!C126</f>
        <v>32752953624</v>
      </c>
      <c r="H125" s="63" t="s">
        <v>100</v>
      </c>
    </row>
    <row r="126" spans="2:8" ht="15.75" customHeight="1" x14ac:dyDescent="0.25">
      <c r="B126" s="13">
        <v>122</v>
      </c>
      <c r="C126" s="37" t="str">
        <f>+Puantaj!A127</f>
        <v>TR390020500009169649500001</v>
      </c>
      <c r="D126" s="14">
        <f>+BORDRO!T127</f>
        <v>14079</v>
      </c>
      <c r="E126" s="37" t="str">
        <f>+Puantaj!D127</f>
        <v>MURAT CAN</v>
      </c>
      <c r="F126" s="37" t="str">
        <f>+Puantaj!E127</f>
        <v>DEĞRİ</v>
      </c>
      <c r="G126" s="38" t="str">
        <f>+Puantaj!C127</f>
        <v>19852021132</v>
      </c>
      <c r="H126" s="63" t="s">
        <v>100</v>
      </c>
    </row>
    <row r="127" spans="2:8" ht="15.75" customHeight="1" x14ac:dyDescent="0.25">
      <c r="B127" s="13">
        <v>123</v>
      </c>
      <c r="C127" s="37" t="str">
        <f>+Puantaj!A128</f>
        <v>TR090001009010152275805001</v>
      </c>
      <c r="D127" s="14">
        <f>+BORDRO!T128</f>
        <v>15162</v>
      </c>
      <c r="E127" s="37" t="str">
        <f>+Puantaj!D128</f>
        <v>MUSA</v>
      </c>
      <c r="F127" s="37" t="str">
        <f>+Puantaj!E128</f>
        <v>ÇEÇEN</v>
      </c>
      <c r="G127" s="38" t="str">
        <f>+Puantaj!C128</f>
        <v>10498595988</v>
      </c>
      <c r="H127" s="63" t="s">
        <v>100</v>
      </c>
    </row>
    <row r="128" spans="2:8" ht="15.75" customHeight="1" x14ac:dyDescent="0.25">
      <c r="B128" s="13">
        <v>124</v>
      </c>
      <c r="C128" s="37" t="str">
        <f>+Puantaj!A129</f>
        <v>TR950004600498888000207494</v>
      </c>
      <c r="D128" s="14">
        <f>+BORDRO!T129</f>
        <v>11913</v>
      </c>
      <c r="E128" s="37" t="str">
        <f>+Puantaj!D129</f>
        <v>MUSA</v>
      </c>
      <c r="F128" s="37" t="str">
        <f>+Puantaj!E129</f>
        <v>SÜRME</v>
      </c>
      <c r="G128" s="38" t="str">
        <f>+Puantaj!C129</f>
        <v>11015801254</v>
      </c>
      <c r="H128" s="63" t="s">
        <v>100</v>
      </c>
    </row>
    <row r="129" spans="2:8" ht="15.75" customHeight="1" x14ac:dyDescent="0.25">
      <c r="B129" s="13">
        <v>125</v>
      </c>
      <c r="C129" s="37" t="str">
        <f>+Puantaj!A130</f>
        <v>TR190001000125833796085001</v>
      </c>
      <c r="D129" s="14">
        <f>+BORDRO!T130</f>
        <v>9747</v>
      </c>
      <c r="E129" s="37" t="str">
        <f>+Puantaj!D130</f>
        <v>MUSTAFA ALİ</v>
      </c>
      <c r="F129" s="37" t="str">
        <f>+Puantaj!E130</f>
        <v>ARSLAN</v>
      </c>
      <c r="G129" s="38" t="str">
        <f>+Puantaj!C130</f>
        <v>43654206572</v>
      </c>
      <c r="H129" s="63" t="s">
        <v>100</v>
      </c>
    </row>
    <row r="130" spans="2:8" ht="15.75" customHeight="1" x14ac:dyDescent="0.25">
      <c r="B130" s="13">
        <v>126</v>
      </c>
      <c r="C130" s="37" t="str">
        <f>+Puantaj!A131</f>
        <v>TR230006701000000012870808</v>
      </c>
      <c r="D130" s="14">
        <f>+BORDRO!T131</f>
        <v>15162</v>
      </c>
      <c r="E130" s="37" t="str">
        <f>+Puantaj!D131</f>
        <v>MUSTAFA</v>
      </c>
      <c r="F130" s="37" t="str">
        <f>+Puantaj!E131</f>
        <v>GÖKTAŞ</v>
      </c>
      <c r="G130" s="38" t="str">
        <f>+Puantaj!C131</f>
        <v>10451501322</v>
      </c>
      <c r="H130" s="63" t="s">
        <v>100</v>
      </c>
    </row>
    <row r="131" spans="2:8" ht="15.75" customHeight="1" x14ac:dyDescent="0.25">
      <c r="B131" s="13">
        <v>127</v>
      </c>
      <c r="C131" s="37" t="str">
        <f>+Puantaj!A132</f>
        <v>TR430003200000000146674690</v>
      </c>
      <c r="D131" s="14">
        <f>+BORDRO!T132</f>
        <v>12996</v>
      </c>
      <c r="E131" s="37" t="str">
        <f>+Puantaj!D132</f>
        <v>MUSTAFA</v>
      </c>
      <c r="F131" s="37" t="str">
        <f>+Puantaj!E132</f>
        <v>ORHAN</v>
      </c>
      <c r="G131" s="38" t="str">
        <f>+Puantaj!C132</f>
        <v>12511913564</v>
      </c>
      <c r="H131" s="63" t="s">
        <v>100</v>
      </c>
    </row>
    <row r="132" spans="2:8" ht="15.75" customHeight="1" x14ac:dyDescent="0.25">
      <c r="B132" s="13">
        <v>128</v>
      </c>
      <c r="C132" s="37" t="str">
        <f>+Puantaj!A133</f>
        <v>TR090001004030807029785009</v>
      </c>
      <c r="D132" s="14">
        <f>+BORDRO!T133</f>
        <v>11913</v>
      </c>
      <c r="E132" s="37" t="str">
        <f>+Puantaj!D133</f>
        <v>MUSTAFA YUSUF</v>
      </c>
      <c r="F132" s="37" t="str">
        <f>+Puantaj!E133</f>
        <v>HASIRCI</v>
      </c>
      <c r="G132" s="38" t="str">
        <f>+Puantaj!C133</f>
        <v>14613052462</v>
      </c>
      <c r="H132" s="63" t="s">
        <v>100</v>
      </c>
    </row>
    <row r="133" spans="2:8" ht="15.75" customHeight="1" x14ac:dyDescent="0.25">
      <c r="B133" s="13">
        <v>129</v>
      </c>
      <c r="C133" s="37" t="str">
        <f>+Puantaj!A134</f>
        <v>TR210006400000182300591065</v>
      </c>
      <c r="D133" s="14">
        <f>+BORDRO!T134</f>
        <v>12996</v>
      </c>
      <c r="E133" s="37" t="str">
        <f>+Puantaj!D134</f>
        <v>MÜSLÜM</v>
      </c>
      <c r="F133" s="37" t="str">
        <f>+Puantaj!E134</f>
        <v>GÖNDER</v>
      </c>
      <c r="G133" s="38" t="str">
        <f>+Puantaj!C134</f>
        <v>20317547234</v>
      </c>
      <c r="H133" s="63" t="s">
        <v>100</v>
      </c>
    </row>
    <row r="134" spans="2:8" ht="15.75" customHeight="1" x14ac:dyDescent="0.25">
      <c r="B134" s="13">
        <v>130</v>
      </c>
      <c r="C134" s="37" t="str">
        <f>+Puantaj!A135</f>
        <v>TR910001009011002452005001</v>
      </c>
      <c r="D134" s="14">
        <f>+BORDRO!T135</f>
        <v>11913</v>
      </c>
      <c r="E134" s="37" t="str">
        <f>+Puantaj!D135</f>
        <v>NATİA SELVİ</v>
      </c>
      <c r="F134" s="37" t="str">
        <f>+Puantaj!E135</f>
        <v>GÖG</v>
      </c>
      <c r="G134" s="38" t="str">
        <f>+Puantaj!C135</f>
        <v>10256534488</v>
      </c>
      <c r="H134" s="63" t="s">
        <v>100</v>
      </c>
    </row>
    <row r="135" spans="2:8" ht="15.75" customHeight="1" x14ac:dyDescent="0.25">
      <c r="B135" s="13">
        <v>131</v>
      </c>
      <c r="C135" s="37" t="str">
        <f>+Puantaj!A136</f>
        <v>TR810001200132900001130388</v>
      </c>
      <c r="D135" s="14">
        <f>+BORDRO!T136</f>
        <v>9747</v>
      </c>
      <c r="E135" s="37" t="str">
        <f>+Puantaj!D136</f>
        <v>NAZIM</v>
      </c>
      <c r="F135" s="37" t="str">
        <f>+Puantaj!E136</f>
        <v>SEYDEL</v>
      </c>
      <c r="G135" s="38" t="str">
        <f>+Puantaj!C136</f>
        <v>10135362348</v>
      </c>
      <c r="H135" s="63" t="s">
        <v>100</v>
      </c>
    </row>
    <row r="136" spans="2:8" ht="15.75" customHeight="1" x14ac:dyDescent="0.25">
      <c r="B136" s="13">
        <v>132</v>
      </c>
      <c r="C136" s="37" t="str">
        <f>+Puantaj!A137</f>
        <v>TR540006400000114201689158</v>
      </c>
      <c r="D136" s="14">
        <f>+BORDRO!T137</f>
        <v>14079</v>
      </c>
      <c r="E136" s="37" t="str">
        <f>+Puantaj!D137</f>
        <v>NERGİS</v>
      </c>
      <c r="F136" s="37" t="str">
        <f>+Puantaj!E137</f>
        <v>ÖZTÜRK</v>
      </c>
      <c r="G136" s="38" t="str">
        <f>+Puantaj!C137</f>
        <v>10039820036</v>
      </c>
      <c r="H136" s="63" t="s">
        <v>100</v>
      </c>
    </row>
    <row r="137" spans="2:8" ht="15.75" customHeight="1" x14ac:dyDescent="0.25">
      <c r="B137" s="13">
        <v>133</v>
      </c>
      <c r="C137" s="37" t="str">
        <f>+Puantaj!A138</f>
        <v>TR430001500158007303954347</v>
      </c>
      <c r="D137" s="14">
        <f>+BORDRO!T138</f>
        <v>11913</v>
      </c>
      <c r="E137" s="37" t="str">
        <f>+Puantaj!D138</f>
        <v>NESİBE</v>
      </c>
      <c r="F137" s="37" t="str">
        <f>+Puantaj!E138</f>
        <v>KARAGÖZ</v>
      </c>
      <c r="G137" s="38" t="str">
        <f>+Puantaj!C138</f>
        <v>43234882790</v>
      </c>
      <c r="H137" s="63" t="s">
        <v>100</v>
      </c>
    </row>
    <row r="138" spans="2:8" ht="15.75" customHeight="1" x14ac:dyDescent="0.25">
      <c r="B138" s="13">
        <v>134</v>
      </c>
      <c r="C138" s="37" t="str">
        <f>+Puantaj!A139</f>
        <v>TR830001009010554091005001</v>
      </c>
      <c r="D138" s="14">
        <f>+BORDRO!T139</f>
        <v>15162</v>
      </c>
      <c r="E138" s="37" t="str">
        <f>+Puantaj!D139</f>
        <v>NESİBE</v>
      </c>
      <c r="F138" s="37" t="str">
        <f>+Puantaj!E139</f>
        <v>SUNA</v>
      </c>
      <c r="G138" s="38" t="str">
        <f>+Puantaj!C139</f>
        <v>25301005400</v>
      </c>
      <c r="H138" s="63" t="s">
        <v>100</v>
      </c>
    </row>
    <row r="139" spans="2:8" ht="15.75" customHeight="1" x14ac:dyDescent="0.25">
      <c r="B139" s="13">
        <v>135</v>
      </c>
      <c r="C139" s="37" t="str">
        <f>+Puantaj!A140</f>
        <v>TR360001001799900530355002</v>
      </c>
      <c r="D139" s="14">
        <f>+BORDRO!T140</f>
        <v>12996</v>
      </c>
      <c r="E139" s="37" t="str">
        <f>+Puantaj!D140</f>
        <v>NİSA</v>
      </c>
      <c r="F139" s="37" t="str">
        <f>+Puantaj!E140</f>
        <v>ŞAHİN</v>
      </c>
      <c r="G139" s="38" t="str">
        <f>+Puantaj!C140</f>
        <v>10334932038</v>
      </c>
      <c r="H139" s="63" t="s">
        <v>100</v>
      </c>
    </row>
    <row r="140" spans="2:8" ht="15.75" customHeight="1" x14ac:dyDescent="0.25">
      <c r="B140" s="13">
        <v>136</v>
      </c>
      <c r="C140" s="37" t="str">
        <f>+Puantaj!A141</f>
        <v>TR570001200132900001130820</v>
      </c>
      <c r="D140" s="14">
        <f>+BORDRO!T141</f>
        <v>14079</v>
      </c>
      <c r="E140" s="37" t="str">
        <f>+Puantaj!D141</f>
        <v>NİSANUR</v>
      </c>
      <c r="F140" s="37" t="str">
        <f>+Puantaj!E141</f>
        <v>BİLGİN</v>
      </c>
      <c r="G140" s="38" t="str">
        <f>+Puantaj!C141</f>
        <v>18557277776</v>
      </c>
      <c r="H140" s="63" t="s">
        <v>100</v>
      </c>
    </row>
    <row r="141" spans="2:8" ht="15.75" customHeight="1" x14ac:dyDescent="0.25">
      <c r="B141" s="13">
        <v>137</v>
      </c>
      <c r="C141" s="37" t="str">
        <f>+Puantaj!A142</f>
        <v>TR180006200122400006627913</v>
      </c>
      <c r="D141" s="14">
        <f>+BORDRO!T142</f>
        <v>14079</v>
      </c>
      <c r="E141" s="37" t="str">
        <f>+Puantaj!D142</f>
        <v>NİSANUR</v>
      </c>
      <c r="F141" s="37" t="str">
        <f>+Puantaj!E142</f>
        <v>PAYAS</v>
      </c>
      <c r="G141" s="38" t="str">
        <f>+Puantaj!C142</f>
        <v>10756439870</v>
      </c>
      <c r="H141" s="63" t="s">
        <v>100</v>
      </c>
    </row>
    <row r="142" spans="2:8" ht="15.75" customHeight="1" x14ac:dyDescent="0.25">
      <c r="B142" s="13">
        <v>138</v>
      </c>
      <c r="C142" s="37" t="str">
        <f>+Puantaj!A143</f>
        <v>TR420006701000000040095553</v>
      </c>
      <c r="D142" s="14">
        <f>+BORDRO!T143</f>
        <v>14079</v>
      </c>
      <c r="E142" s="37" t="str">
        <f>+Puantaj!D143</f>
        <v>NİZAMETTİN GÖKTUG</v>
      </c>
      <c r="F142" s="37" t="str">
        <f>+Puantaj!E143</f>
        <v>DURU</v>
      </c>
      <c r="G142" s="38" t="str">
        <f>+Puantaj!C143</f>
        <v>24173691452</v>
      </c>
      <c r="H142" s="63" t="s">
        <v>100</v>
      </c>
    </row>
    <row r="143" spans="2:8" ht="15.75" customHeight="1" x14ac:dyDescent="0.25">
      <c r="B143" s="13">
        <v>139</v>
      </c>
      <c r="C143" s="37" t="str">
        <f>+Puantaj!A144</f>
        <v>TR470001009010439732605001</v>
      </c>
      <c r="D143" s="14">
        <f>+BORDRO!T144</f>
        <v>12996</v>
      </c>
      <c r="E143" s="37" t="str">
        <f>+Puantaj!D144</f>
        <v>NUMAN</v>
      </c>
      <c r="F143" s="37" t="str">
        <f>+Puantaj!E144</f>
        <v>EBCİ</v>
      </c>
      <c r="G143" s="38" t="str">
        <f>+Puantaj!C144</f>
        <v>10043115746</v>
      </c>
      <c r="H143" s="63" t="s">
        <v>100</v>
      </c>
    </row>
    <row r="144" spans="2:8" ht="15.75" customHeight="1" x14ac:dyDescent="0.25">
      <c r="B144" s="13">
        <v>140</v>
      </c>
      <c r="C144" s="37" t="str">
        <f>+Puantaj!A145</f>
        <v>TR170004600562888000127419</v>
      </c>
      <c r="D144" s="14">
        <f>+BORDRO!T145</f>
        <v>15162</v>
      </c>
      <c r="E144" s="37" t="str">
        <f>+Puantaj!D145</f>
        <v>NURAY</v>
      </c>
      <c r="F144" s="37" t="str">
        <f>+Puantaj!E145</f>
        <v>BİLGİN</v>
      </c>
      <c r="G144" s="38" t="str">
        <f>+Puantaj!C145</f>
        <v>15499100896</v>
      </c>
      <c r="H144" s="63" t="s">
        <v>100</v>
      </c>
    </row>
    <row r="145" spans="2:8" ht="15.75" customHeight="1" x14ac:dyDescent="0.25">
      <c r="B145" s="13">
        <v>141</v>
      </c>
      <c r="C145" s="37" t="str">
        <f>+Puantaj!A146</f>
        <v>TR300001500158007314780169</v>
      </c>
      <c r="D145" s="14">
        <f>+BORDRO!T146</f>
        <v>14079</v>
      </c>
      <c r="E145" s="37" t="str">
        <f>+Puantaj!D146</f>
        <v>NURCAN</v>
      </c>
      <c r="F145" s="37" t="str">
        <f>+Puantaj!E146</f>
        <v>ÇELİK</v>
      </c>
      <c r="G145" s="38" t="str">
        <f>+Puantaj!C146</f>
        <v>42403579936</v>
      </c>
      <c r="H145" s="63" t="s">
        <v>100</v>
      </c>
    </row>
    <row r="146" spans="2:8" ht="15.75" customHeight="1" x14ac:dyDescent="0.25">
      <c r="B146" s="13">
        <v>142</v>
      </c>
      <c r="C146" s="37" t="str">
        <f>+Puantaj!A147</f>
        <v>TR130001200158900001113143</v>
      </c>
      <c r="D146" s="14">
        <f>+BORDRO!T147</f>
        <v>8664</v>
      </c>
      <c r="E146" s="37" t="str">
        <f>+Puantaj!D147</f>
        <v>NURSEL</v>
      </c>
      <c r="F146" s="37" t="str">
        <f>+Puantaj!E147</f>
        <v>KARACA</v>
      </c>
      <c r="G146" s="38" t="str">
        <f>+Puantaj!C147</f>
        <v>12899996340</v>
      </c>
      <c r="H146" s="63" t="s">
        <v>100</v>
      </c>
    </row>
    <row r="147" spans="2:8" ht="15.75" customHeight="1" x14ac:dyDescent="0.25">
      <c r="B147" s="13">
        <v>143</v>
      </c>
      <c r="C147" s="37" t="str">
        <f>+Puantaj!A148</f>
        <v>TR870001002329917285095001</v>
      </c>
      <c r="D147" s="14">
        <f>+BORDRO!T148</f>
        <v>16244.999999999998</v>
      </c>
      <c r="E147" s="37" t="str">
        <f>+Puantaj!D148</f>
        <v>OĞUZHAN</v>
      </c>
      <c r="F147" s="37" t="str">
        <f>+Puantaj!E148</f>
        <v>GÖNÜLAL</v>
      </c>
      <c r="G147" s="38" t="str">
        <f>+Puantaj!C148</f>
        <v>62986356106</v>
      </c>
      <c r="H147" s="63" t="s">
        <v>100</v>
      </c>
    </row>
    <row r="148" spans="2:8" ht="15.75" customHeight="1" x14ac:dyDescent="0.25">
      <c r="B148" s="13">
        <v>144</v>
      </c>
      <c r="C148" s="37" t="str">
        <f>+Puantaj!A149</f>
        <v>TR470001001799836907185005</v>
      </c>
      <c r="D148" s="14">
        <f>+BORDRO!T149</f>
        <v>15162</v>
      </c>
      <c r="E148" s="37" t="str">
        <f>+Puantaj!D149</f>
        <v>ÖMER FARUK</v>
      </c>
      <c r="F148" s="37" t="str">
        <f>+Puantaj!E149</f>
        <v>YILMAZ</v>
      </c>
      <c r="G148" s="38" t="str">
        <f>+Puantaj!C149</f>
        <v>35677395432</v>
      </c>
      <c r="H148" s="63" t="s">
        <v>100</v>
      </c>
    </row>
    <row r="149" spans="2:8" ht="15.75" customHeight="1" x14ac:dyDescent="0.25">
      <c r="B149" s="13">
        <v>145</v>
      </c>
      <c r="C149" s="37" t="str">
        <f>+Puantaj!A150</f>
        <v>TR050006400000122190381314</v>
      </c>
      <c r="D149" s="14">
        <f>+BORDRO!T150</f>
        <v>12996</v>
      </c>
      <c r="E149" s="37" t="str">
        <f>+Puantaj!D150</f>
        <v>ÖYKÜ</v>
      </c>
      <c r="F149" s="37" t="str">
        <f>+Puantaj!E150</f>
        <v>AKINGÜÇ</v>
      </c>
      <c r="G149" s="38" t="str">
        <f>+Puantaj!C150</f>
        <v>12340900278</v>
      </c>
      <c r="H149" s="63" t="s">
        <v>100</v>
      </c>
    </row>
    <row r="150" spans="2:8" ht="15.75" customHeight="1" x14ac:dyDescent="0.25">
      <c r="B150" s="13">
        <v>146</v>
      </c>
      <c r="C150" s="37" t="str">
        <f>+Puantaj!A151</f>
        <v>TR440004600431888000217388</v>
      </c>
      <c r="D150" s="14">
        <f>+BORDRO!T151</f>
        <v>14079</v>
      </c>
      <c r="E150" s="37" t="str">
        <f>+Puantaj!D151</f>
        <v>ÖZLEM HİRA</v>
      </c>
      <c r="F150" s="37" t="str">
        <f>+Puantaj!E151</f>
        <v>KUŞELİ</v>
      </c>
      <c r="G150" s="38" t="str">
        <f>+Puantaj!C151</f>
        <v>10618964960</v>
      </c>
      <c r="H150" s="63" t="s">
        <v>100</v>
      </c>
    </row>
    <row r="151" spans="2:8" ht="15.75" customHeight="1" x14ac:dyDescent="0.25">
      <c r="B151" s="13">
        <v>147</v>
      </c>
      <c r="C151" s="37" t="str">
        <f>+Puantaj!A152</f>
        <v>TR140001009010379575805001</v>
      </c>
      <c r="D151" s="14">
        <f>+BORDRO!T152</f>
        <v>9747</v>
      </c>
      <c r="E151" s="37" t="str">
        <f>+Puantaj!D152</f>
        <v>ÖZNUR</v>
      </c>
      <c r="F151" s="37" t="str">
        <f>+Puantaj!E152</f>
        <v>TOĞRUL</v>
      </c>
      <c r="G151" s="38" t="str">
        <f>+Puantaj!C152</f>
        <v>38317050524</v>
      </c>
      <c r="H151" s="63" t="s">
        <v>100</v>
      </c>
    </row>
    <row r="152" spans="2:8" ht="15.75" customHeight="1" x14ac:dyDescent="0.25">
      <c r="B152" s="13">
        <v>148</v>
      </c>
      <c r="C152" s="37" t="str">
        <f>+Puantaj!A153</f>
        <v>TR910001009011002452005001</v>
      </c>
      <c r="D152" s="14">
        <f>+BORDRO!T153</f>
        <v>15162</v>
      </c>
      <c r="E152" s="37" t="str">
        <f>+Puantaj!D153</f>
        <v>PELİNSU</v>
      </c>
      <c r="F152" s="37" t="str">
        <f>+Puantaj!E153</f>
        <v>ASLANTAŞ</v>
      </c>
      <c r="G152" s="38" t="str">
        <f>+Puantaj!C153</f>
        <v>31480811602</v>
      </c>
      <c r="H152" s="63" t="s">
        <v>100</v>
      </c>
    </row>
    <row r="153" spans="2:8" ht="15.75" customHeight="1" x14ac:dyDescent="0.25">
      <c r="B153" s="13">
        <v>149</v>
      </c>
      <c r="C153" s="37" t="str">
        <f>+Puantaj!A154</f>
        <v>TR150006400000124030829840</v>
      </c>
      <c r="D153" s="14">
        <f>+BORDRO!T154</f>
        <v>12996</v>
      </c>
      <c r="E153" s="37" t="str">
        <f>+Puantaj!D154</f>
        <v>RABİA ŞEVVAL</v>
      </c>
      <c r="F153" s="37" t="str">
        <f>+Puantaj!E154</f>
        <v>KONYALI</v>
      </c>
      <c r="G153" s="38" t="str">
        <f>+Puantaj!C154</f>
        <v>10484695074</v>
      </c>
      <c r="H153" s="63" t="s">
        <v>100</v>
      </c>
    </row>
    <row r="154" spans="2:8" ht="15.75" customHeight="1" x14ac:dyDescent="0.25">
      <c r="B154" s="13">
        <v>150</v>
      </c>
      <c r="C154" s="37" t="str">
        <f>+Puantaj!A155</f>
        <v>TR660006200068700006888433</v>
      </c>
      <c r="D154" s="14">
        <f>+BORDRO!T155</f>
        <v>14079</v>
      </c>
      <c r="E154" s="37" t="str">
        <f>+Puantaj!D155</f>
        <v>RAHİME DİLARA</v>
      </c>
      <c r="F154" s="37" t="str">
        <f>+Puantaj!E155</f>
        <v>BAŞ</v>
      </c>
      <c r="G154" s="38" t="str">
        <f>+Puantaj!C155</f>
        <v>40969927062</v>
      </c>
      <c r="H154" s="63" t="s">
        <v>100</v>
      </c>
    </row>
    <row r="155" spans="2:8" ht="15.75" customHeight="1" x14ac:dyDescent="0.25">
      <c r="B155" s="13">
        <v>151</v>
      </c>
      <c r="C155" s="37" t="str">
        <f>+Puantaj!A156</f>
        <v>TR760001000002949148035001</v>
      </c>
      <c r="D155" s="14">
        <f>+BORDRO!T156</f>
        <v>14079</v>
      </c>
      <c r="E155" s="37" t="str">
        <f>+Puantaj!D156</f>
        <v>RESUL</v>
      </c>
      <c r="F155" s="37" t="str">
        <f>+Puantaj!E156</f>
        <v>ARASLI</v>
      </c>
      <c r="G155" s="38" t="str">
        <f>+Puantaj!C156</f>
        <v>10649230522</v>
      </c>
      <c r="H155" s="63" t="s">
        <v>100</v>
      </c>
    </row>
    <row r="156" spans="2:8" ht="15.75" customHeight="1" x14ac:dyDescent="0.25">
      <c r="B156" s="13">
        <v>152</v>
      </c>
      <c r="C156" s="37" t="str">
        <f>+Puantaj!A157</f>
        <v>TR030001009010039148705001</v>
      </c>
      <c r="D156" s="14">
        <f>+BORDRO!T157</f>
        <v>9747</v>
      </c>
      <c r="E156" s="37" t="str">
        <f>+Puantaj!D157</f>
        <v>RUKİYE</v>
      </c>
      <c r="F156" s="37" t="str">
        <f>+Puantaj!E157</f>
        <v>TERUT</v>
      </c>
      <c r="G156" s="38" t="str">
        <f>+Puantaj!C157</f>
        <v>20078478310</v>
      </c>
      <c r="H156" s="63" t="s">
        <v>100</v>
      </c>
    </row>
    <row r="157" spans="2:8" ht="15.75" customHeight="1" x14ac:dyDescent="0.25">
      <c r="B157" s="13">
        <v>153</v>
      </c>
      <c r="C157" s="37" t="str">
        <f>+Puantaj!A158</f>
        <v>TR480006200068700006612889</v>
      </c>
      <c r="D157" s="14">
        <f>+BORDRO!T158</f>
        <v>15162</v>
      </c>
      <c r="E157" s="37" t="str">
        <f>+Puantaj!D158</f>
        <v>RÜMEYSA NUR</v>
      </c>
      <c r="F157" s="37" t="str">
        <f>+Puantaj!E158</f>
        <v>DÜZYURT</v>
      </c>
      <c r="G157" s="38" t="str">
        <f>+Puantaj!C158</f>
        <v>10111237400</v>
      </c>
      <c r="H157" s="63" t="s">
        <v>100</v>
      </c>
    </row>
    <row r="158" spans="2:8" ht="15.75" customHeight="1" x14ac:dyDescent="0.25">
      <c r="B158" s="13">
        <v>154</v>
      </c>
      <c r="C158" s="37" t="str">
        <f>+Puantaj!A159</f>
        <v>TR340001009010259023805001</v>
      </c>
      <c r="D158" s="14">
        <f>+BORDRO!T159</f>
        <v>12996</v>
      </c>
      <c r="E158" s="37" t="str">
        <f>+Puantaj!D159</f>
        <v>RÜYA</v>
      </c>
      <c r="F158" s="37" t="str">
        <f>+Puantaj!E159</f>
        <v>KARATAŞ</v>
      </c>
      <c r="G158" s="38" t="str">
        <f>+Puantaj!C159</f>
        <v>15844611640</v>
      </c>
      <c r="H158" s="63" t="s">
        <v>100</v>
      </c>
    </row>
    <row r="159" spans="2:8" ht="15.75" customHeight="1" x14ac:dyDescent="0.25">
      <c r="B159" s="13">
        <v>155</v>
      </c>
      <c r="C159" s="37" t="str">
        <f>+Puantaj!A160</f>
        <v>TR790001009010728935409002</v>
      </c>
      <c r="D159" s="14">
        <f>+BORDRO!T160</f>
        <v>14079</v>
      </c>
      <c r="E159" s="37" t="str">
        <f>+Puantaj!D160</f>
        <v>SAMED</v>
      </c>
      <c r="F159" s="37" t="str">
        <f>+Puantaj!E160</f>
        <v>ÇİNAZ</v>
      </c>
      <c r="G159" s="38" t="str">
        <f>+Puantaj!C160</f>
        <v>10231640142</v>
      </c>
      <c r="H159" s="63" t="s">
        <v>100</v>
      </c>
    </row>
    <row r="160" spans="2:8" ht="15.75" customHeight="1" x14ac:dyDescent="0.25">
      <c r="B160" s="13">
        <v>156</v>
      </c>
      <c r="C160" s="37" t="str">
        <f>+Puantaj!A161</f>
        <v>TR290001200132900001131421</v>
      </c>
      <c r="D160" s="14">
        <f>+BORDRO!T161</f>
        <v>12996</v>
      </c>
      <c r="E160" s="37" t="str">
        <f>+Puantaj!D161</f>
        <v>SEBAHAT</v>
      </c>
      <c r="F160" s="37" t="str">
        <f>+Puantaj!E161</f>
        <v>KALKAN</v>
      </c>
      <c r="G160" s="38" t="str">
        <f>+Puantaj!C161</f>
        <v>59284104980</v>
      </c>
      <c r="H160" s="63" t="s">
        <v>100</v>
      </c>
    </row>
    <row r="161" spans="2:8" ht="15.75" customHeight="1" x14ac:dyDescent="0.25">
      <c r="B161" s="13">
        <v>157</v>
      </c>
      <c r="C161" s="37" t="str">
        <f>+Puantaj!A162</f>
        <v>TR470001200122800001111135</v>
      </c>
      <c r="D161" s="14">
        <f>+BORDRO!T162</f>
        <v>14079</v>
      </c>
      <c r="E161" s="37" t="str">
        <f>+Puantaj!D162</f>
        <v>SELİM</v>
      </c>
      <c r="F161" s="37" t="str">
        <f>+Puantaj!E162</f>
        <v>MEYDAN</v>
      </c>
      <c r="G161" s="38" t="str">
        <f>+Puantaj!C162</f>
        <v>11446687748</v>
      </c>
      <c r="H161" s="63" t="s">
        <v>100</v>
      </c>
    </row>
    <row r="162" spans="2:8" ht="15.75" customHeight="1" x14ac:dyDescent="0.25">
      <c r="B162" s="13">
        <v>158</v>
      </c>
      <c r="C162" s="37" t="str">
        <f>+Puantaj!A163</f>
        <v>TR810001001914710654405001</v>
      </c>
      <c r="D162" s="14">
        <f>+BORDRO!T163</f>
        <v>16244.999999999998</v>
      </c>
      <c r="E162" s="37" t="str">
        <f>+Puantaj!D163</f>
        <v>SELVİ</v>
      </c>
      <c r="F162" s="37" t="str">
        <f>+Puantaj!E163</f>
        <v>YILDIRIM</v>
      </c>
      <c r="G162" s="38" t="str">
        <f>+Puantaj!C163</f>
        <v>11872933396</v>
      </c>
      <c r="H162" s="63" t="s">
        <v>100</v>
      </c>
    </row>
    <row r="163" spans="2:8" ht="15.75" customHeight="1" x14ac:dyDescent="0.25">
      <c r="B163" s="13">
        <v>159</v>
      </c>
      <c r="C163" s="37" t="str">
        <f>+Puantaj!A164</f>
        <v>TR090001009010994867705002</v>
      </c>
      <c r="D163" s="14">
        <f>+BORDRO!T164</f>
        <v>14079</v>
      </c>
      <c r="E163" s="37" t="str">
        <f>+Puantaj!D164</f>
        <v>SEMİH</v>
      </c>
      <c r="F163" s="37" t="str">
        <f>+Puantaj!E164</f>
        <v>OSMANLAR</v>
      </c>
      <c r="G163" s="38" t="str">
        <f>+Puantaj!C164</f>
        <v>11587944526</v>
      </c>
      <c r="H163" s="63" t="s">
        <v>100</v>
      </c>
    </row>
    <row r="164" spans="2:8" ht="15.75" customHeight="1" x14ac:dyDescent="0.25">
      <c r="B164" s="13">
        <v>160</v>
      </c>
      <c r="C164" s="37" t="str">
        <f>+Puantaj!A165</f>
        <v>TR250006200068700006892081</v>
      </c>
      <c r="D164" s="14">
        <f>+BORDRO!T165</f>
        <v>14079</v>
      </c>
      <c r="E164" s="37" t="str">
        <f>+Puantaj!D165</f>
        <v>SEMİH</v>
      </c>
      <c r="F164" s="37" t="str">
        <f>+Puantaj!E165</f>
        <v>ÖZDEMİR</v>
      </c>
      <c r="G164" s="38" t="str">
        <f>+Puantaj!C165</f>
        <v>46162706664</v>
      </c>
      <c r="H164" s="63" t="s">
        <v>100</v>
      </c>
    </row>
    <row r="165" spans="2:8" ht="15.75" customHeight="1" x14ac:dyDescent="0.25">
      <c r="B165" s="13">
        <v>161</v>
      </c>
      <c r="C165" s="37" t="str">
        <f>+Puantaj!A166</f>
        <v>TR480006701000000038357108</v>
      </c>
      <c r="D165" s="14">
        <f>+BORDRO!T166</f>
        <v>15162</v>
      </c>
      <c r="E165" s="37" t="str">
        <f>+Puantaj!D166</f>
        <v>SENA</v>
      </c>
      <c r="F165" s="37" t="str">
        <f>+Puantaj!E166</f>
        <v>KURTULUŞ</v>
      </c>
      <c r="G165" s="38" t="str">
        <f>+Puantaj!C166</f>
        <v>37468064794</v>
      </c>
      <c r="H165" s="63" t="s">
        <v>100</v>
      </c>
    </row>
    <row r="166" spans="2:8" ht="15.75" customHeight="1" x14ac:dyDescent="0.25">
      <c r="B166" s="13">
        <v>162</v>
      </c>
      <c r="C166" s="37" t="str">
        <f>+Puantaj!A167</f>
        <v>TR070001009010758562705001</v>
      </c>
      <c r="D166" s="14">
        <f>+BORDRO!T167</f>
        <v>15162</v>
      </c>
      <c r="E166" s="37" t="str">
        <f>+Puantaj!D167</f>
        <v>SENA NAREN</v>
      </c>
      <c r="F166" s="37" t="str">
        <f>+Puantaj!E167</f>
        <v>BİNGÖL</v>
      </c>
      <c r="G166" s="38" t="str">
        <f>+Puantaj!C167</f>
        <v>10139214124</v>
      </c>
      <c r="H166" s="63" t="s">
        <v>100</v>
      </c>
    </row>
    <row r="167" spans="2:8" ht="15.75" customHeight="1" x14ac:dyDescent="0.25">
      <c r="B167" s="13">
        <v>163</v>
      </c>
      <c r="C167" s="37" t="str">
        <f>+Puantaj!A168</f>
        <v>TR500001500158007326228428</v>
      </c>
      <c r="D167" s="14">
        <f>+BORDRO!T168</f>
        <v>10830</v>
      </c>
      <c r="E167" s="37" t="str">
        <f>+Puantaj!D168</f>
        <v>SENEM NUR</v>
      </c>
      <c r="F167" s="37" t="str">
        <f>+Puantaj!E168</f>
        <v>ÖZTÜRK</v>
      </c>
      <c r="G167" s="38" t="str">
        <f>+Puantaj!C168</f>
        <v>28069506882</v>
      </c>
      <c r="H167" s="63" t="s">
        <v>100</v>
      </c>
    </row>
    <row r="168" spans="2:8" ht="15.75" customHeight="1" x14ac:dyDescent="0.25">
      <c r="B168" s="13">
        <v>164</v>
      </c>
      <c r="C168" s="37" t="str">
        <f>+Puantaj!A169</f>
        <v>TR080001000054867052065001</v>
      </c>
      <c r="D168" s="14">
        <f>+BORDRO!T169</f>
        <v>0</v>
      </c>
      <c r="E168" s="37" t="str">
        <f>+Puantaj!D169</f>
        <v>SEVDANUR</v>
      </c>
      <c r="F168" s="37" t="str">
        <f>+Puantaj!E169</f>
        <v>NİŞ</v>
      </c>
      <c r="G168" s="38" t="str">
        <f>+Puantaj!C169</f>
        <v>56965637782</v>
      </c>
      <c r="H168" s="63" t="s">
        <v>100</v>
      </c>
    </row>
    <row r="169" spans="2:8" ht="15.75" customHeight="1" x14ac:dyDescent="0.25">
      <c r="B169" s="13">
        <v>165</v>
      </c>
      <c r="C169" s="37" t="str">
        <f>+Puantaj!A170</f>
        <v>TR320001009010279401605001</v>
      </c>
      <c r="D169" s="14">
        <f>+BORDRO!T170</f>
        <v>15162</v>
      </c>
      <c r="E169" s="37" t="str">
        <f>+Puantaj!D170</f>
        <v>SILA</v>
      </c>
      <c r="F169" s="37" t="str">
        <f>+Puantaj!E170</f>
        <v>SARI</v>
      </c>
      <c r="G169" s="38" t="str">
        <f>+Puantaj!C170</f>
        <v>10044124310</v>
      </c>
      <c r="H169" s="63" t="s">
        <v>100</v>
      </c>
    </row>
    <row r="170" spans="2:8" ht="15.75" customHeight="1" x14ac:dyDescent="0.25">
      <c r="B170" s="13">
        <v>166</v>
      </c>
      <c r="C170" s="37" t="str">
        <f>+Puantaj!A171</f>
        <v>TR860001000472882357485002</v>
      </c>
      <c r="D170" s="14">
        <f>+BORDRO!T171</f>
        <v>9747</v>
      </c>
      <c r="E170" s="37" t="str">
        <f>+Puantaj!D171</f>
        <v>SUDE</v>
      </c>
      <c r="F170" s="37" t="str">
        <f>+Puantaj!E171</f>
        <v>AK</v>
      </c>
      <c r="G170" s="38" t="str">
        <f>+Puantaj!C171</f>
        <v>10099823732</v>
      </c>
      <c r="H170" s="63" t="s">
        <v>100</v>
      </c>
    </row>
    <row r="171" spans="2:8" ht="15.75" customHeight="1" x14ac:dyDescent="0.25">
      <c r="B171" s="13">
        <v>167</v>
      </c>
      <c r="C171" s="37" t="str">
        <f>+Puantaj!A172</f>
        <v>TR050001009010282804905001</v>
      </c>
      <c r="D171" s="14">
        <f>+BORDRO!T172</f>
        <v>15162</v>
      </c>
      <c r="E171" s="37" t="str">
        <f>+Puantaj!D172</f>
        <v>ŞEVVAL BÜŞRA</v>
      </c>
      <c r="F171" s="37" t="str">
        <f>+Puantaj!E172</f>
        <v>ALTUNDAĞ</v>
      </c>
      <c r="G171" s="38" t="str">
        <f>+Puantaj!C172</f>
        <v>71035053262</v>
      </c>
      <c r="H171" s="63" t="s">
        <v>100</v>
      </c>
    </row>
    <row r="172" spans="2:8" ht="15.75" customHeight="1" x14ac:dyDescent="0.25">
      <c r="B172" s="13">
        <v>168</v>
      </c>
      <c r="C172" s="37" t="str">
        <f>+Puantaj!A173</f>
        <v>TR630001009010379269705002</v>
      </c>
      <c r="D172" s="14">
        <f>+BORDRO!T173</f>
        <v>16244.999999999998</v>
      </c>
      <c r="E172" s="37" t="str">
        <f>+Puantaj!D173</f>
        <v>ŞEVVAL</v>
      </c>
      <c r="F172" s="37" t="str">
        <f>+Puantaj!E173</f>
        <v>YILDIRIM</v>
      </c>
      <c r="G172" s="38" t="str">
        <f>+Puantaj!C173</f>
        <v>59413337814</v>
      </c>
      <c r="H172" s="63" t="s">
        <v>100</v>
      </c>
    </row>
    <row r="173" spans="2:8" ht="15.75" customHeight="1" x14ac:dyDescent="0.25">
      <c r="B173" s="13">
        <v>169</v>
      </c>
      <c r="C173" s="37" t="str">
        <f>+Puantaj!A174</f>
        <v>TR460001200132900001125295</v>
      </c>
      <c r="D173" s="14">
        <f>+BORDRO!T174</f>
        <v>16244.999999999998</v>
      </c>
      <c r="E173" s="37" t="str">
        <f>+Puantaj!D174</f>
        <v>ŞUHEDA</v>
      </c>
      <c r="F173" s="37" t="str">
        <f>+Puantaj!E174</f>
        <v>TEMUR</v>
      </c>
      <c r="G173" s="38" t="str">
        <f>+Puantaj!C174</f>
        <v>15296140996</v>
      </c>
      <c r="H173" s="63" t="s">
        <v>100</v>
      </c>
    </row>
    <row r="174" spans="2:8" ht="15.75" customHeight="1" x14ac:dyDescent="0.25">
      <c r="B174" s="13">
        <v>170</v>
      </c>
      <c r="C174" s="37" t="str">
        <f>+Puantaj!A175</f>
        <v>TR260006200121500006880790</v>
      </c>
      <c r="D174" s="14">
        <f>+BORDRO!T175</f>
        <v>11913</v>
      </c>
      <c r="E174" s="37" t="str">
        <f>+Puantaj!D175</f>
        <v>ŞÜKRAN</v>
      </c>
      <c r="F174" s="37" t="str">
        <f>+Puantaj!E175</f>
        <v>YANIK</v>
      </c>
      <c r="G174" s="38" t="str">
        <f>+Puantaj!C175</f>
        <v>12507116610</v>
      </c>
      <c r="H174" s="63" t="s">
        <v>100</v>
      </c>
    </row>
    <row r="175" spans="2:8" ht="15.75" customHeight="1" x14ac:dyDescent="0.25">
      <c r="B175" s="13">
        <v>171</v>
      </c>
      <c r="C175" s="37" t="str">
        <f>+Puantaj!A176</f>
        <v>TR260004601179888000096019</v>
      </c>
      <c r="D175" s="14">
        <f>+BORDRO!T176</f>
        <v>12996</v>
      </c>
      <c r="E175" s="37" t="str">
        <f>+Puantaj!D176</f>
        <v>TAN KUTAY</v>
      </c>
      <c r="F175" s="37" t="str">
        <f>+Puantaj!E176</f>
        <v>DEMİRCİ</v>
      </c>
      <c r="G175" s="38" t="str">
        <f>+Puantaj!C176</f>
        <v>16252658296</v>
      </c>
      <c r="H175" s="63" t="s">
        <v>100</v>
      </c>
    </row>
    <row r="176" spans="2:8" ht="15.75" customHeight="1" x14ac:dyDescent="0.25">
      <c r="B176" s="13">
        <v>172</v>
      </c>
      <c r="C176" s="37" t="str">
        <f>+Puantaj!A177</f>
        <v>TR250011100000000155535775</v>
      </c>
      <c r="D176" s="14">
        <f>+BORDRO!T177</f>
        <v>16244.999999999998</v>
      </c>
      <c r="E176" s="37" t="str">
        <f>+Puantaj!D177</f>
        <v>TARIK</v>
      </c>
      <c r="F176" s="37" t="str">
        <f>+Puantaj!E177</f>
        <v>KAYA</v>
      </c>
      <c r="G176" s="38" t="str">
        <f>+Puantaj!C177</f>
        <v>22685042762</v>
      </c>
      <c r="H176" s="63" t="s">
        <v>100</v>
      </c>
    </row>
    <row r="177" spans="2:8" ht="15.75" customHeight="1" x14ac:dyDescent="0.25">
      <c r="B177" s="13">
        <v>173</v>
      </c>
      <c r="C177" s="37" t="str">
        <f>+Puantaj!A178</f>
        <v>TR900004600461888000136102</v>
      </c>
      <c r="D177" s="14">
        <f>+BORDRO!T178</f>
        <v>12996</v>
      </c>
      <c r="E177" s="37" t="str">
        <f>+Puantaj!D178</f>
        <v>TUANA</v>
      </c>
      <c r="F177" s="37" t="str">
        <f>+Puantaj!E178</f>
        <v>AY</v>
      </c>
      <c r="G177" s="38" t="str">
        <f>+Puantaj!C178</f>
        <v>33574013466</v>
      </c>
      <c r="H177" s="63" t="s">
        <v>100</v>
      </c>
    </row>
    <row r="178" spans="2:8" ht="15.75" customHeight="1" x14ac:dyDescent="0.25">
      <c r="B178" s="13">
        <v>174</v>
      </c>
      <c r="C178" s="37" t="str">
        <f>+Puantaj!A179</f>
        <v>TR590001009010383813805001</v>
      </c>
      <c r="D178" s="14">
        <f>+BORDRO!T179</f>
        <v>14079</v>
      </c>
      <c r="E178" s="37" t="str">
        <f>+Puantaj!D179</f>
        <v>TUBANUR</v>
      </c>
      <c r="F178" s="37" t="str">
        <f>+Puantaj!E179</f>
        <v>GÖLCÜ</v>
      </c>
      <c r="G178" s="38" t="str">
        <f>+Puantaj!C179</f>
        <v>17923740340</v>
      </c>
      <c r="H178" s="63" t="s">
        <v>100</v>
      </c>
    </row>
    <row r="179" spans="2:8" ht="15.75" customHeight="1" x14ac:dyDescent="0.25">
      <c r="B179" s="13">
        <v>175</v>
      </c>
      <c r="C179" s="37" t="str">
        <f>+Puantaj!A180</f>
        <v>TR110006200033600006886231</v>
      </c>
      <c r="D179" s="14">
        <f>+BORDRO!T180</f>
        <v>15162</v>
      </c>
      <c r="E179" s="37" t="str">
        <f>+Puantaj!D180</f>
        <v>UĞUR KEMAL</v>
      </c>
      <c r="F179" s="37" t="str">
        <f>+Puantaj!E180</f>
        <v>DURNA</v>
      </c>
      <c r="G179" s="38" t="str">
        <f>+Puantaj!C180</f>
        <v>38440624326</v>
      </c>
      <c r="H179" s="63" t="s">
        <v>100</v>
      </c>
    </row>
    <row r="180" spans="2:8" ht="15.75" customHeight="1" x14ac:dyDescent="0.25">
      <c r="B180" s="13">
        <v>176</v>
      </c>
      <c r="C180" s="37" t="str">
        <f>+Puantaj!A181</f>
        <v>TR280001009010376999205001</v>
      </c>
      <c r="D180" s="14">
        <f>+BORDRO!T181</f>
        <v>14079</v>
      </c>
      <c r="E180" s="37" t="str">
        <f>+Puantaj!D181</f>
        <v>YAĞMUR</v>
      </c>
      <c r="F180" s="37" t="str">
        <f>+Puantaj!E181</f>
        <v>BAŞER</v>
      </c>
      <c r="G180" s="38" t="str">
        <f>+Puantaj!C181</f>
        <v>12855005062</v>
      </c>
      <c r="H180" s="63" t="s">
        <v>100</v>
      </c>
    </row>
    <row r="181" spans="2:8" ht="15.75" customHeight="1" x14ac:dyDescent="0.25">
      <c r="B181" s="13">
        <v>177</v>
      </c>
      <c r="C181" s="37" t="str">
        <f>+Puantaj!A182</f>
        <v>TR110001009010640954005001</v>
      </c>
      <c r="D181" s="14">
        <f>+BORDRO!T182</f>
        <v>12996</v>
      </c>
      <c r="E181" s="37" t="str">
        <f>+Puantaj!D182</f>
        <v>YAĞMUR</v>
      </c>
      <c r="F181" s="37" t="str">
        <f>+Puantaj!E182</f>
        <v>GEÇİCİ</v>
      </c>
      <c r="G181" s="38" t="str">
        <f>+Puantaj!C182</f>
        <v>12517226354</v>
      </c>
      <c r="H181" s="63" t="s">
        <v>100</v>
      </c>
    </row>
    <row r="182" spans="2:8" ht="15.75" customHeight="1" x14ac:dyDescent="0.25">
      <c r="B182" s="13">
        <v>178</v>
      </c>
      <c r="C182" s="37" t="str">
        <f>+Puantaj!A183</f>
        <v>TR660006400000122031272959</v>
      </c>
      <c r="D182" s="14">
        <f>+BORDRO!T183</f>
        <v>12996</v>
      </c>
      <c r="E182" s="37" t="str">
        <f>+Puantaj!D183</f>
        <v>YAĞMUR</v>
      </c>
      <c r="F182" s="37" t="str">
        <f>+Puantaj!E183</f>
        <v>ILGIN</v>
      </c>
      <c r="G182" s="38" t="str">
        <f>+Puantaj!C183</f>
        <v>26182732720</v>
      </c>
      <c r="H182" s="63" t="s">
        <v>100</v>
      </c>
    </row>
    <row r="183" spans="2:8" ht="15.75" customHeight="1" x14ac:dyDescent="0.25">
      <c r="B183" s="13">
        <v>179</v>
      </c>
      <c r="C183" s="37" t="str">
        <f>+Puantaj!A184</f>
        <v>TR220001001799835814175002</v>
      </c>
      <c r="D183" s="14">
        <f>+BORDRO!T184</f>
        <v>15162</v>
      </c>
      <c r="E183" s="37" t="str">
        <f>+Puantaj!D184</f>
        <v>YAREN</v>
      </c>
      <c r="F183" s="37" t="str">
        <f>+Puantaj!E184</f>
        <v>BAL</v>
      </c>
      <c r="G183" s="38" t="str">
        <f>+Puantaj!C184</f>
        <v>17620702016</v>
      </c>
      <c r="H183" s="63" t="s">
        <v>100</v>
      </c>
    </row>
    <row r="184" spans="2:8" ht="15.75" customHeight="1" x14ac:dyDescent="0.25">
      <c r="B184" s="13">
        <v>180</v>
      </c>
      <c r="C184" s="37" t="str">
        <f>+Puantaj!A185</f>
        <v>TR710001500158007318444867</v>
      </c>
      <c r="D184" s="14">
        <f>+BORDRO!T185</f>
        <v>15162</v>
      </c>
      <c r="E184" s="37" t="str">
        <f>+Puantaj!D185</f>
        <v>YASİN</v>
      </c>
      <c r="F184" s="37" t="str">
        <f>+Puantaj!E185</f>
        <v>KURTTEKİN</v>
      </c>
      <c r="G184" s="38" t="str">
        <f>+Puantaj!C185</f>
        <v>10196736362</v>
      </c>
      <c r="H184" s="63" t="s">
        <v>100</v>
      </c>
    </row>
    <row r="185" spans="2:8" ht="15.75" customHeight="1" x14ac:dyDescent="0.25">
      <c r="B185" s="13">
        <v>181</v>
      </c>
      <c r="C185" s="37" t="str">
        <f>+Puantaj!A186</f>
        <v>TR760001200132900001131448</v>
      </c>
      <c r="D185" s="14">
        <f>+BORDRO!T186</f>
        <v>7581</v>
      </c>
      <c r="E185" s="37" t="str">
        <f>+Puantaj!D186</f>
        <v>YİĞİT ALP</v>
      </c>
      <c r="F185" s="37" t="str">
        <f>+Puantaj!E186</f>
        <v>ÖZMEN</v>
      </c>
      <c r="G185" s="38" t="str">
        <f>+Puantaj!C186</f>
        <v>11168576870</v>
      </c>
      <c r="H185" s="63" t="s">
        <v>100</v>
      </c>
    </row>
    <row r="186" spans="2:8" ht="15.75" customHeight="1" x14ac:dyDescent="0.25">
      <c r="B186" s="13">
        <v>182</v>
      </c>
      <c r="C186" s="37" t="str">
        <f>+Puantaj!A187</f>
        <v>TR950001000112972964205001</v>
      </c>
      <c r="D186" s="14">
        <f>+BORDRO!T187</f>
        <v>12996</v>
      </c>
      <c r="E186" s="37" t="str">
        <f>+Puantaj!D187</f>
        <v>YUNUS EFDAL</v>
      </c>
      <c r="F186" s="37" t="str">
        <f>+Puantaj!E187</f>
        <v>ÇELİK</v>
      </c>
      <c r="G186" s="38" t="str">
        <f>+Puantaj!C187</f>
        <v>14771083360</v>
      </c>
      <c r="H186" s="63" t="s">
        <v>100</v>
      </c>
    </row>
    <row r="187" spans="2:8" ht="15.75" customHeight="1" x14ac:dyDescent="0.25">
      <c r="B187" s="13">
        <v>183</v>
      </c>
      <c r="C187" s="37" t="str">
        <f>+Puantaj!A188</f>
        <v>TR030001000932919356335001</v>
      </c>
      <c r="D187" s="14">
        <f>+BORDRO!T188</f>
        <v>15162</v>
      </c>
      <c r="E187" s="37" t="str">
        <f>+Puantaj!D188</f>
        <v>YUNUS EMRE</v>
      </c>
      <c r="F187" s="37" t="str">
        <f>+Puantaj!E188</f>
        <v>TOGAÇ</v>
      </c>
      <c r="G187" s="38" t="str">
        <f>+Puantaj!C188</f>
        <v>29677892268</v>
      </c>
      <c r="H187" s="63" t="s">
        <v>100</v>
      </c>
    </row>
    <row r="188" spans="2:8" ht="15.75" customHeight="1" x14ac:dyDescent="0.25">
      <c r="B188" s="13">
        <v>184</v>
      </c>
      <c r="C188" s="37" t="str">
        <f>+Puantaj!A189</f>
        <v>TR770015700000000096040566</v>
      </c>
      <c r="D188" s="14">
        <f>+BORDRO!T189</f>
        <v>15162</v>
      </c>
      <c r="E188" s="37" t="str">
        <f>+Puantaj!D189</f>
        <v>YUSUF</v>
      </c>
      <c r="F188" s="37" t="str">
        <f>+Puantaj!E189</f>
        <v>KESKİN</v>
      </c>
      <c r="G188" s="38" t="str">
        <f>+Puantaj!C189</f>
        <v>19117690486</v>
      </c>
      <c r="H188" s="63" t="s">
        <v>100</v>
      </c>
    </row>
    <row r="189" spans="2:8" ht="15.75" customHeight="1" x14ac:dyDescent="0.25">
      <c r="B189" s="13">
        <v>185</v>
      </c>
      <c r="C189" s="37" t="str">
        <f>+Puantaj!A190</f>
        <v>TR200001009010435783305001</v>
      </c>
      <c r="D189" s="14">
        <f>+BORDRO!T190</f>
        <v>12996</v>
      </c>
      <c r="E189" s="37" t="str">
        <f>+Puantaj!D190</f>
        <v>YUSUF</v>
      </c>
      <c r="F189" s="37" t="str">
        <f>+Puantaj!E190</f>
        <v>YİĞİT</v>
      </c>
      <c r="G189" s="38" t="str">
        <f>+Puantaj!C190</f>
        <v>10486978632</v>
      </c>
      <c r="H189" s="63" t="s">
        <v>100</v>
      </c>
    </row>
    <row r="190" spans="2:8" ht="15.75" customHeight="1" x14ac:dyDescent="0.25">
      <c r="B190" s="13">
        <v>186</v>
      </c>
      <c r="C190" s="37" t="str">
        <f>+Puantaj!A191</f>
        <v>TR570006701000000033750610</v>
      </c>
      <c r="D190" s="14">
        <f>+BORDRO!T191</f>
        <v>14079</v>
      </c>
      <c r="E190" s="37" t="str">
        <f>+Puantaj!D191</f>
        <v>ZELİHA</v>
      </c>
      <c r="F190" s="37" t="str">
        <f>+Puantaj!E191</f>
        <v>BEKTAŞ</v>
      </c>
      <c r="G190" s="38" t="str">
        <f>+Puantaj!C191</f>
        <v>10412895460</v>
      </c>
      <c r="H190" s="63" t="s">
        <v>100</v>
      </c>
    </row>
    <row r="191" spans="2:8" ht="15.75" customHeight="1" x14ac:dyDescent="0.25">
      <c r="B191" s="13">
        <v>187</v>
      </c>
      <c r="C191" s="37" t="str">
        <f>+Puantaj!A192</f>
        <v>TR100006200145400006647374</v>
      </c>
      <c r="D191" s="14">
        <f>+BORDRO!T192</f>
        <v>9747</v>
      </c>
      <c r="E191" s="37" t="str">
        <f>+Puantaj!D192</f>
        <v>ZEYNEP</v>
      </c>
      <c r="F191" s="37" t="str">
        <f>+Puantaj!E192</f>
        <v>AKÇAM</v>
      </c>
      <c r="G191" s="38" t="str">
        <f>+Puantaj!C192</f>
        <v>10339935744</v>
      </c>
      <c r="H191" s="63" t="s">
        <v>100</v>
      </c>
    </row>
    <row r="192" spans="2:8" ht="15.75" customHeight="1" x14ac:dyDescent="0.25">
      <c r="B192" s="13">
        <v>188</v>
      </c>
      <c r="C192" s="37" t="str">
        <f>+Puantaj!A193</f>
        <v>TR240001009010957551505002</v>
      </c>
      <c r="D192" s="14">
        <f>+BORDRO!T193</f>
        <v>12996</v>
      </c>
      <c r="E192" s="37" t="str">
        <f>+Puantaj!D193</f>
        <v>ZEYNEP</v>
      </c>
      <c r="F192" s="37" t="str">
        <f>+Puantaj!E193</f>
        <v>DEMİRAYAK</v>
      </c>
      <c r="G192" s="38" t="str">
        <f>+Puantaj!C193</f>
        <v>10276740210</v>
      </c>
      <c r="H192" s="63" t="s">
        <v>100</v>
      </c>
    </row>
    <row r="193" spans="2:8" ht="15.75" customHeight="1" x14ac:dyDescent="0.25">
      <c r="B193" s="13">
        <v>189</v>
      </c>
      <c r="C193" s="37" t="str">
        <f>+Puantaj!A194</f>
        <v>TR340001004002828302515004</v>
      </c>
      <c r="D193" s="14">
        <f>+BORDRO!T194</f>
        <v>3249</v>
      </c>
      <c r="E193" s="37" t="str">
        <f>+Puantaj!D194</f>
        <v>MAHMUT</v>
      </c>
      <c r="F193" s="37" t="str">
        <f>+Puantaj!E194</f>
        <v>ÖZGAN</v>
      </c>
      <c r="G193" s="38" t="str">
        <f>+Puantaj!C194</f>
        <v>48730397168</v>
      </c>
      <c r="H193" s="63" t="s">
        <v>100</v>
      </c>
    </row>
    <row r="194" spans="2:8" ht="16.5" customHeight="1" x14ac:dyDescent="0.25">
      <c r="B194" s="92" t="s">
        <v>1</v>
      </c>
      <c r="C194" s="92"/>
      <c r="D194" s="14">
        <f>SUM(D5:D193)</f>
        <v>2425920</v>
      </c>
      <c r="E194" s="92"/>
      <c r="F194" s="92"/>
      <c r="G194" s="92"/>
      <c r="H194" s="92"/>
    </row>
    <row r="196" spans="2:8" ht="16.5" customHeight="1" x14ac:dyDescent="0.25">
      <c r="C196" s="125" t="s">
        <v>16</v>
      </c>
      <c r="D196" s="127"/>
      <c r="E196" s="129"/>
      <c r="F196" s="126"/>
      <c r="G196" s="126"/>
      <c r="H196" s="126"/>
    </row>
    <row r="197" spans="2:8" ht="16.5" customHeight="1" x14ac:dyDescent="0.25">
      <c r="C197" s="15"/>
      <c r="D197" s="125"/>
      <c r="E197" s="255"/>
      <c r="F197" s="255"/>
      <c r="G197" s="255"/>
      <c r="H197" s="125"/>
    </row>
    <row r="198" spans="2:8" ht="16.5" customHeight="1" x14ac:dyDescent="0.25">
      <c r="C198" s="130" t="s">
        <v>788</v>
      </c>
      <c r="D198" s="15"/>
      <c r="E198" s="213" t="s">
        <v>793</v>
      </c>
      <c r="F198" s="213"/>
      <c r="G198" s="16"/>
      <c r="H198" s="141" t="s">
        <v>790</v>
      </c>
    </row>
    <row r="199" spans="2:8" ht="16.5" customHeight="1" x14ac:dyDescent="0.25">
      <c r="C199" s="130" t="s">
        <v>791</v>
      </c>
      <c r="D199" s="15"/>
      <c r="E199" s="213" t="s">
        <v>70</v>
      </c>
      <c r="F199" s="213"/>
      <c r="G199" s="126"/>
      <c r="H199" s="141" t="s">
        <v>794</v>
      </c>
    </row>
    <row r="200" spans="2:8" ht="16.5" customHeight="1" x14ac:dyDescent="0.25">
      <c r="C200" s="15"/>
      <c r="D200" s="15"/>
    </row>
    <row r="201" spans="2:8" ht="16.5" customHeight="1" x14ac:dyDescent="0.25">
      <c r="C201" s="127"/>
      <c r="D201" s="127"/>
      <c r="E201" s="126"/>
      <c r="F201" s="126"/>
      <c r="G201" s="126"/>
      <c r="H201" s="126"/>
    </row>
  </sheetData>
  <autoFilter ref="B4:H194" xr:uid="{0B77952B-20AE-482D-85CF-3A33179FF374}"/>
  <mergeCells count="6">
    <mergeCell ref="B1:H1"/>
    <mergeCell ref="B2:C2"/>
    <mergeCell ref="B3:C3"/>
    <mergeCell ref="E197:G197"/>
    <mergeCell ref="E198:F198"/>
    <mergeCell ref="E199:F199"/>
  </mergeCells>
  <phoneticPr fontId="7" type="noConversion"/>
  <printOptions horizontalCentered="1"/>
  <pageMargins left="0.19685039370078741" right="0.19685039370078741" top="0.39370078740157483" bottom="0.19685039370078741" header="0" footer="0"/>
  <pageSetup paperSize="9" scale="66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D4D4-E5C0-4609-A626-F3C7276F059C}">
  <dimension ref="A1:AJ421"/>
  <sheetViews>
    <sheetView topLeftCell="E1" zoomScale="108" workbookViewId="0">
      <pane ySplit="1" topLeftCell="A179" activePane="bottomLeft" state="frozen"/>
      <selection activeCell="C1" sqref="C1"/>
      <selection pane="bottomLeft" activeCell="V63" sqref="V63"/>
    </sheetView>
  </sheetViews>
  <sheetFormatPr defaultColWidth="9.109375" defaultRowHeight="13.2" x14ac:dyDescent="0.25"/>
  <cols>
    <col min="1" max="1" width="4.88671875" style="1" customWidth="1"/>
    <col min="2" max="2" width="5.5546875" style="1" customWidth="1"/>
    <col min="3" max="3" width="8" style="1" customWidth="1"/>
    <col min="4" max="4" width="5.109375" style="1" customWidth="1"/>
    <col min="5" max="5" width="4.5546875" style="1" customWidth="1"/>
    <col min="6" max="6" width="8.6640625" style="1" customWidth="1"/>
    <col min="7" max="7" width="4.6640625" style="1" customWidth="1"/>
    <col min="8" max="8" width="6.33203125" style="1" customWidth="1"/>
    <col min="9" max="9" width="5.44140625" style="1" customWidth="1"/>
    <col min="10" max="10" width="12" style="1" bestFit="1" customWidth="1"/>
    <col min="11" max="11" width="22.6640625" style="1" customWidth="1"/>
    <col min="12" max="12" width="16.6640625" style="1" bestFit="1" customWidth="1"/>
    <col min="13" max="13" width="7.33203125" style="1" bestFit="1" customWidth="1"/>
    <col min="14" max="14" width="5.33203125" style="1" customWidth="1"/>
    <col min="15" max="15" width="9.44140625" style="1" bestFit="1" customWidth="1"/>
    <col min="16" max="16" width="9.109375" style="1" customWidth="1"/>
    <col min="17" max="17" width="5.5546875" style="48" customWidth="1"/>
    <col min="18" max="18" width="5" style="48" customWidth="1"/>
    <col min="19" max="20" width="6.6640625" style="48" customWidth="1"/>
    <col min="21" max="21" width="6.6640625" style="49" customWidth="1"/>
    <col min="22" max="22" width="7.33203125" style="45" bestFit="1" customWidth="1"/>
    <col min="23" max="23" width="7" style="45" customWidth="1"/>
    <col min="24" max="24" width="8.109375" style="1" customWidth="1"/>
    <col min="25" max="25" width="5.33203125" style="1" customWidth="1"/>
    <col min="26" max="26" width="5.88671875" style="1" customWidth="1"/>
    <col min="27" max="27" width="6.5546875" style="24" customWidth="1"/>
    <col min="28" max="28" width="5.5546875" style="1" customWidth="1"/>
    <col min="29" max="29" width="6.33203125" style="1" customWidth="1"/>
    <col min="30" max="30" width="9.44140625" style="1" bestFit="1" customWidth="1"/>
    <col min="31" max="31" width="5.6640625" style="1" customWidth="1"/>
    <col min="32" max="32" width="8.109375" style="1" customWidth="1"/>
    <col min="33" max="33" width="9" style="1" customWidth="1"/>
    <col min="34" max="34" width="7.88671875" style="1" customWidth="1"/>
    <col min="35" max="35" width="7.6640625" style="1" customWidth="1"/>
    <col min="36" max="36" width="7.44140625" style="1" customWidth="1"/>
    <col min="37" max="16384" width="9.109375" style="1"/>
  </cols>
  <sheetData>
    <row r="1" spans="1:36" ht="110.4" x14ac:dyDescent="0.25">
      <c r="A1" s="21" t="s">
        <v>17</v>
      </c>
      <c r="B1" s="21" t="s">
        <v>18</v>
      </c>
      <c r="C1" s="21" t="s">
        <v>19</v>
      </c>
      <c r="D1" s="21" t="s">
        <v>20</v>
      </c>
      <c r="E1" s="21" t="s">
        <v>21</v>
      </c>
      <c r="F1" s="21" t="s">
        <v>22</v>
      </c>
      <c r="G1" s="21" t="s">
        <v>23</v>
      </c>
      <c r="H1" s="21" t="s">
        <v>24</v>
      </c>
      <c r="I1" s="21" t="s">
        <v>25</v>
      </c>
      <c r="J1" s="21" t="s">
        <v>26</v>
      </c>
      <c r="K1" s="22" t="s">
        <v>15</v>
      </c>
      <c r="L1" s="22" t="s">
        <v>12</v>
      </c>
      <c r="M1" s="21" t="s">
        <v>27</v>
      </c>
      <c r="N1" s="21" t="s">
        <v>28</v>
      </c>
      <c r="O1" s="21" t="s">
        <v>29</v>
      </c>
      <c r="P1" s="21" t="s">
        <v>30</v>
      </c>
      <c r="Q1" s="46" t="s">
        <v>31</v>
      </c>
      <c r="R1" s="46" t="s">
        <v>32</v>
      </c>
      <c r="S1" s="46" t="s">
        <v>33</v>
      </c>
      <c r="T1" s="46" t="s">
        <v>34</v>
      </c>
      <c r="U1" s="47" t="s">
        <v>35</v>
      </c>
      <c r="V1" s="44" t="s">
        <v>36</v>
      </c>
      <c r="W1" s="44" t="s">
        <v>37</v>
      </c>
      <c r="X1" s="21" t="s">
        <v>38</v>
      </c>
      <c r="Y1" s="21" t="s">
        <v>39</v>
      </c>
      <c r="Z1" s="21" t="s">
        <v>40</v>
      </c>
      <c r="AA1" s="23" t="s">
        <v>41</v>
      </c>
      <c r="AB1" s="21" t="s">
        <v>42</v>
      </c>
      <c r="AC1" s="21" t="s">
        <v>43</v>
      </c>
      <c r="AD1" s="21" t="s">
        <v>44</v>
      </c>
      <c r="AE1" s="21" t="s">
        <v>45</v>
      </c>
      <c r="AF1" s="21" t="s">
        <v>46</v>
      </c>
      <c r="AG1" s="21" t="s">
        <v>47</v>
      </c>
      <c r="AH1" s="21" t="s">
        <v>48</v>
      </c>
      <c r="AI1" s="21" t="s">
        <v>49</v>
      </c>
      <c r="AJ1" s="21" t="s">
        <v>50</v>
      </c>
    </row>
    <row r="2" spans="1:36" ht="13.8" x14ac:dyDescent="0.25">
      <c r="A2" s="64" t="s">
        <v>51</v>
      </c>
      <c r="B2" s="120">
        <v>46</v>
      </c>
      <c r="C2" s="64" t="s">
        <v>52</v>
      </c>
      <c r="D2" s="64" t="s">
        <v>53</v>
      </c>
      <c r="E2" s="64" t="s">
        <v>53</v>
      </c>
      <c r="F2" s="65">
        <v>1494768</v>
      </c>
      <c r="G2" s="66" t="s">
        <v>105</v>
      </c>
      <c r="H2" s="64" t="s">
        <v>54</v>
      </c>
      <c r="I2" s="64"/>
      <c r="J2" s="67" t="str">
        <f>+Puantaj!C6</f>
        <v>22985652920</v>
      </c>
      <c r="K2" s="64" t="str">
        <f>+Puantaj!D6</f>
        <v>ABDURRAHMAN CENGİZ</v>
      </c>
      <c r="L2" s="64" t="str">
        <f>+Puantaj!E6</f>
        <v>AYDOĞDU</v>
      </c>
      <c r="M2" s="68">
        <f>+BORDRO!F6</f>
        <v>13</v>
      </c>
      <c r="N2" s="64"/>
      <c r="O2" s="79">
        <f>+BORDRO!G6</f>
        <v>14079</v>
      </c>
      <c r="P2" s="79">
        <v>0</v>
      </c>
      <c r="Q2" s="122"/>
      <c r="R2" s="69"/>
      <c r="S2" s="70"/>
      <c r="T2" s="70"/>
      <c r="U2" s="71"/>
      <c r="V2" s="72">
        <f>31-M2-Q2</f>
        <v>18</v>
      </c>
      <c r="W2" s="73">
        <v>6</v>
      </c>
      <c r="X2" s="81" t="s">
        <v>99</v>
      </c>
      <c r="Y2" s="65">
        <v>2</v>
      </c>
      <c r="Z2" s="64" t="s">
        <v>51</v>
      </c>
      <c r="AA2" s="74" t="s">
        <v>781</v>
      </c>
      <c r="AB2" s="64">
        <v>2025</v>
      </c>
      <c r="AC2" s="64" t="s">
        <v>106</v>
      </c>
      <c r="AD2" s="80">
        <f>+BORDRO!J6</f>
        <v>14079</v>
      </c>
      <c r="AE2" s="75"/>
      <c r="AF2" s="75">
        <f>+BORDRO!K6</f>
        <v>2111.85</v>
      </c>
      <c r="AG2" s="75">
        <f>+BORDRO!L6</f>
        <v>2111.85</v>
      </c>
      <c r="AH2" s="80">
        <f>+BORDRO!M6</f>
        <v>0</v>
      </c>
      <c r="AI2" s="75">
        <f>+BORDRO!O6</f>
        <v>106.85961</v>
      </c>
      <c r="AJ2" s="76">
        <f>+BORDRO!P6</f>
        <v>0</v>
      </c>
    </row>
    <row r="3" spans="1:36" ht="13.8" x14ac:dyDescent="0.25">
      <c r="A3" s="64" t="s">
        <v>51</v>
      </c>
      <c r="B3" s="119">
        <v>46</v>
      </c>
      <c r="C3" s="64" t="s">
        <v>52</v>
      </c>
      <c r="D3" s="64" t="s">
        <v>53</v>
      </c>
      <c r="E3" s="64" t="s">
        <v>53</v>
      </c>
      <c r="F3" s="65">
        <v>1494768</v>
      </c>
      <c r="G3" s="66" t="s">
        <v>105</v>
      </c>
      <c r="H3" s="64" t="s">
        <v>54</v>
      </c>
      <c r="I3" s="64"/>
      <c r="J3" s="67" t="str">
        <f>+Puantaj!C7</f>
        <v>10264855810</v>
      </c>
      <c r="K3" s="64" t="str">
        <f>+Puantaj!D7</f>
        <v>AHMET EMİRHAN</v>
      </c>
      <c r="L3" s="64" t="str">
        <f>+Puantaj!E7</f>
        <v>ELDEMİR</v>
      </c>
      <c r="M3" s="68">
        <f>+BORDRO!F7</f>
        <v>6</v>
      </c>
      <c r="N3" s="64"/>
      <c r="O3" s="79">
        <f>+BORDRO!G7</f>
        <v>6498</v>
      </c>
      <c r="P3" s="79">
        <v>0</v>
      </c>
      <c r="Q3" s="122"/>
      <c r="R3" s="69"/>
      <c r="S3" s="70"/>
      <c r="T3" s="70"/>
      <c r="U3" s="71"/>
      <c r="V3" s="72">
        <f t="shared" ref="V3:V66" si="0">31-M3-Q3</f>
        <v>25</v>
      </c>
      <c r="W3" s="73">
        <v>6</v>
      </c>
      <c r="X3" s="81" t="s">
        <v>99</v>
      </c>
      <c r="Y3" s="65">
        <v>2</v>
      </c>
      <c r="Z3" s="64" t="s">
        <v>51</v>
      </c>
      <c r="AA3" s="74" t="s">
        <v>781</v>
      </c>
      <c r="AB3" s="64">
        <v>2025</v>
      </c>
      <c r="AC3" s="64" t="s">
        <v>106</v>
      </c>
      <c r="AD3" s="80">
        <f>+BORDRO!J7</f>
        <v>6498</v>
      </c>
      <c r="AE3" s="75"/>
      <c r="AF3" s="75">
        <f>+BORDRO!K7</f>
        <v>974.69999999999993</v>
      </c>
      <c r="AG3" s="75">
        <f>+BORDRO!L7</f>
        <v>974.69999999999993</v>
      </c>
      <c r="AH3" s="80">
        <f>+BORDRO!M7</f>
        <v>0</v>
      </c>
      <c r="AI3" s="75">
        <f>+BORDRO!O7</f>
        <v>49.31982</v>
      </c>
      <c r="AJ3" s="76">
        <f>+BORDRO!P7</f>
        <v>0</v>
      </c>
    </row>
    <row r="4" spans="1:36" ht="13.8" x14ac:dyDescent="0.25">
      <c r="A4" s="64" t="s">
        <v>51</v>
      </c>
      <c r="B4" s="120">
        <v>46</v>
      </c>
      <c r="C4" s="64" t="s">
        <v>52</v>
      </c>
      <c r="D4" s="64" t="s">
        <v>53</v>
      </c>
      <c r="E4" s="64" t="s">
        <v>53</v>
      </c>
      <c r="F4" s="65">
        <v>1494768</v>
      </c>
      <c r="G4" s="66" t="s">
        <v>105</v>
      </c>
      <c r="H4" s="64" t="s">
        <v>54</v>
      </c>
      <c r="I4" s="64"/>
      <c r="J4" s="67" t="str">
        <f>+Puantaj!C8</f>
        <v>11230293988</v>
      </c>
      <c r="K4" s="64" t="str">
        <f>+Puantaj!D8</f>
        <v>AHMET SAMED</v>
      </c>
      <c r="L4" s="64" t="str">
        <f>+Puantaj!E8</f>
        <v>KARABULUT</v>
      </c>
      <c r="M4" s="68">
        <f>+BORDRO!F8</f>
        <v>14</v>
      </c>
      <c r="N4" s="64"/>
      <c r="O4" s="79">
        <f>+BORDRO!G8</f>
        <v>15162</v>
      </c>
      <c r="P4" s="79">
        <v>0</v>
      </c>
      <c r="Q4" s="122"/>
      <c r="R4" s="69"/>
      <c r="S4" s="70"/>
      <c r="T4" s="70"/>
      <c r="U4" s="71"/>
      <c r="V4" s="72">
        <f t="shared" si="0"/>
        <v>17</v>
      </c>
      <c r="W4" s="73">
        <v>6</v>
      </c>
      <c r="X4" s="81" t="s">
        <v>99</v>
      </c>
      <c r="Y4" s="65">
        <v>2</v>
      </c>
      <c r="Z4" s="64" t="s">
        <v>51</v>
      </c>
      <c r="AA4" s="74" t="s">
        <v>781</v>
      </c>
      <c r="AB4" s="64">
        <v>2025</v>
      </c>
      <c r="AC4" s="64" t="s">
        <v>106</v>
      </c>
      <c r="AD4" s="80">
        <f>+BORDRO!J8</f>
        <v>15162</v>
      </c>
      <c r="AE4" s="75"/>
      <c r="AF4" s="75">
        <f>+BORDRO!K8</f>
        <v>2274.2999999999997</v>
      </c>
      <c r="AG4" s="75">
        <f>+BORDRO!L8</f>
        <v>2274.2999999999997</v>
      </c>
      <c r="AH4" s="80">
        <f>+BORDRO!M8</f>
        <v>0</v>
      </c>
      <c r="AI4" s="75">
        <f>+BORDRO!O8</f>
        <v>115.07958000000001</v>
      </c>
      <c r="AJ4" s="76">
        <f>+BORDRO!P8</f>
        <v>0</v>
      </c>
    </row>
    <row r="5" spans="1:36" ht="13.8" x14ac:dyDescent="0.25">
      <c r="A5" s="64" t="s">
        <v>51</v>
      </c>
      <c r="B5" s="119">
        <v>46</v>
      </c>
      <c r="C5" s="64" t="s">
        <v>52</v>
      </c>
      <c r="D5" s="64" t="s">
        <v>53</v>
      </c>
      <c r="E5" s="64" t="s">
        <v>53</v>
      </c>
      <c r="F5" s="65">
        <v>1494768</v>
      </c>
      <c r="G5" s="66" t="s">
        <v>105</v>
      </c>
      <c r="H5" s="64" t="s">
        <v>54</v>
      </c>
      <c r="I5" s="64"/>
      <c r="J5" s="67" t="str">
        <f>+Puantaj!C9</f>
        <v>10271762804</v>
      </c>
      <c r="K5" s="64" t="str">
        <f>+Puantaj!D9</f>
        <v>AHMET</v>
      </c>
      <c r="L5" s="64" t="str">
        <f>+Puantaj!E9</f>
        <v>ŞEN</v>
      </c>
      <c r="M5" s="68">
        <f>+BORDRO!F9</f>
        <v>13</v>
      </c>
      <c r="N5" s="64"/>
      <c r="O5" s="79">
        <f>+BORDRO!G9</f>
        <v>14079</v>
      </c>
      <c r="P5" s="79">
        <v>0</v>
      </c>
      <c r="Q5" s="122"/>
      <c r="R5" s="69"/>
      <c r="S5" s="70"/>
      <c r="T5" s="70"/>
      <c r="U5" s="71"/>
      <c r="V5" s="72">
        <f t="shared" si="0"/>
        <v>18</v>
      </c>
      <c r="W5" s="73">
        <v>6</v>
      </c>
      <c r="X5" s="81" t="s">
        <v>99</v>
      </c>
      <c r="Y5" s="65">
        <v>2</v>
      </c>
      <c r="Z5" s="64" t="s">
        <v>51</v>
      </c>
      <c r="AA5" s="74" t="s">
        <v>781</v>
      </c>
      <c r="AB5" s="64">
        <v>2025</v>
      </c>
      <c r="AC5" s="64" t="s">
        <v>106</v>
      </c>
      <c r="AD5" s="80">
        <f>+BORDRO!J9</f>
        <v>14079</v>
      </c>
      <c r="AE5" s="75"/>
      <c r="AF5" s="75">
        <f>+BORDRO!K9</f>
        <v>2111.85</v>
      </c>
      <c r="AG5" s="75">
        <f>+BORDRO!L9</f>
        <v>2111.85</v>
      </c>
      <c r="AH5" s="80">
        <f>+BORDRO!M9</f>
        <v>0</v>
      </c>
      <c r="AI5" s="75">
        <f>+BORDRO!O9</f>
        <v>106.85961</v>
      </c>
      <c r="AJ5" s="76">
        <f>+BORDRO!P9</f>
        <v>0</v>
      </c>
    </row>
    <row r="6" spans="1:36" ht="13.8" x14ac:dyDescent="0.25">
      <c r="A6" s="64" t="s">
        <v>51</v>
      </c>
      <c r="B6" s="120">
        <v>46</v>
      </c>
      <c r="C6" s="64" t="s">
        <v>52</v>
      </c>
      <c r="D6" s="64" t="s">
        <v>53</v>
      </c>
      <c r="E6" s="64" t="s">
        <v>53</v>
      </c>
      <c r="F6" s="65">
        <v>1494768</v>
      </c>
      <c r="G6" s="66" t="s">
        <v>105</v>
      </c>
      <c r="H6" s="64" t="s">
        <v>54</v>
      </c>
      <c r="I6" s="64"/>
      <c r="J6" s="67" t="str">
        <f>+Puantaj!C10</f>
        <v>10067475932</v>
      </c>
      <c r="K6" s="64" t="str">
        <f>+Puantaj!D10</f>
        <v>AHMET YASİN</v>
      </c>
      <c r="L6" s="64" t="str">
        <f>+Puantaj!E10</f>
        <v>KURT</v>
      </c>
      <c r="M6" s="68">
        <f>+BORDRO!F10</f>
        <v>14</v>
      </c>
      <c r="N6" s="64"/>
      <c r="O6" s="79">
        <f>+BORDRO!G10</f>
        <v>15162</v>
      </c>
      <c r="P6" s="79">
        <v>0</v>
      </c>
      <c r="Q6" s="122"/>
      <c r="R6" s="69"/>
      <c r="S6" s="70"/>
      <c r="T6" s="70"/>
      <c r="U6" s="71"/>
      <c r="V6" s="72">
        <f t="shared" si="0"/>
        <v>17</v>
      </c>
      <c r="W6" s="73">
        <v>6</v>
      </c>
      <c r="X6" s="81" t="s">
        <v>99</v>
      </c>
      <c r="Y6" s="65">
        <v>2</v>
      </c>
      <c r="Z6" s="64" t="s">
        <v>51</v>
      </c>
      <c r="AA6" s="74" t="s">
        <v>781</v>
      </c>
      <c r="AB6" s="64">
        <v>2025</v>
      </c>
      <c r="AC6" s="64" t="s">
        <v>106</v>
      </c>
      <c r="AD6" s="80">
        <f>+BORDRO!J10</f>
        <v>15162</v>
      </c>
      <c r="AE6" s="75"/>
      <c r="AF6" s="75">
        <f>+BORDRO!K10</f>
        <v>2274.2999999999997</v>
      </c>
      <c r="AG6" s="75">
        <f>+BORDRO!L10</f>
        <v>2274.2999999999997</v>
      </c>
      <c r="AH6" s="80">
        <f>+BORDRO!M10</f>
        <v>0</v>
      </c>
      <c r="AI6" s="75">
        <f>+BORDRO!O10</f>
        <v>115.07958000000001</v>
      </c>
      <c r="AJ6" s="76">
        <f>+BORDRO!P10</f>
        <v>0</v>
      </c>
    </row>
    <row r="7" spans="1:36" ht="13.8" x14ac:dyDescent="0.25">
      <c r="A7" s="64" t="s">
        <v>51</v>
      </c>
      <c r="B7" s="119">
        <v>46</v>
      </c>
      <c r="C7" s="64" t="s">
        <v>52</v>
      </c>
      <c r="D7" s="64" t="s">
        <v>53</v>
      </c>
      <c r="E7" s="64" t="s">
        <v>53</v>
      </c>
      <c r="F7" s="65">
        <v>1494768</v>
      </c>
      <c r="G7" s="66" t="s">
        <v>105</v>
      </c>
      <c r="H7" s="64" t="s">
        <v>54</v>
      </c>
      <c r="I7" s="64"/>
      <c r="J7" s="67" t="str">
        <f>+Puantaj!C11</f>
        <v>13333175444</v>
      </c>
      <c r="K7" s="64" t="str">
        <f>+Puantaj!D11</f>
        <v>AKİF YAVUZ</v>
      </c>
      <c r="L7" s="64" t="str">
        <f>+Puantaj!E11</f>
        <v>ZENGİN</v>
      </c>
      <c r="M7" s="68">
        <f>+BORDRO!F11</f>
        <v>4</v>
      </c>
      <c r="N7" s="64"/>
      <c r="O7" s="79">
        <f>+BORDRO!G11</f>
        <v>4332</v>
      </c>
      <c r="P7" s="79">
        <v>0</v>
      </c>
      <c r="Q7" s="122"/>
      <c r="R7" s="69"/>
      <c r="S7" s="70"/>
      <c r="T7" s="70"/>
      <c r="U7" s="71"/>
      <c r="V7" s="72">
        <f t="shared" si="0"/>
        <v>27</v>
      </c>
      <c r="W7" s="73">
        <v>6</v>
      </c>
      <c r="X7" s="81" t="s">
        <v>99</v>
      </c>
      <c r="Y7" s="65">
        <v>2</v>
      </c>
      <c r="Z7" s="64" t="s">
        <v>51</v>
      </c>
      <c r="AA7" s="74" t="s">
        <v>781</v>
      </c>
      <c r="AB7" s="64">
        <v>2025</v>
      </c>
      <c r="AC7" s="64" t="s">
        <v>106</v>
      </c>
      <c r="AD7" s="80">
        <f>+BORDRO!J11</f>
        <v>4332</v>
      </c>
      <c r="AE7" s="75"/>
      <c r="AF7" s="75">
        <f>+BORDRO!K11</f>
        <v>649.79999999999995</v>
      </c>
      <c r="AG7" s="75">
        <f>+BORDRO!L11</f>
        <v>649.79999999999995</v>
      </c>
      <c r="AH7" s="80">
        <f>+BORDRO!M11</f>
        <v>0</v>
      </c>
      <c r="AI7" s="75">
        <f>+BORDRO!O11</f>
        <v>32.87988</v>
      </c>
      <c r="AJ7" s="76">
        <f>+BORDRO!P11</f>
        <v>0</v>
      </c>
    </row>
    <row r="8" spans="1:36" ht="13.8" x14ac:dyDescent="0.25">
      <c r="A8" s="64" t="s">
        <v>51</v>
      </c>
      <c r="B8" s="120">
        <v>46</v>
      </c>
      <c r="C8" s="64" t="s">
        <v>52</v>
      </c>
      <c r="D8" s="64" t="s">
        <v>53</v>
      </c>
      <c r="E8" s="64" t="s">
        <v>53</v>
      </c>
      <c r="F8" s="65">
        <v>1494768</v>
      </c>
      <c r="G8" s="66" t="s">
        <v>105</v>
      </c>
      <c r="H8" s="64" t="s">
        <v>54</v>
      </c>
      <c r="I8" s="64"/>
      <c r="J8" s="67" t="str">
        <f>+Puantaj!C12</f>
        <v>34411910856</v>
      </c>
      <c r="K8" s="64" t="str">
        <f>+Puantaj!D12</f>
        <v>ALEYNA</v>
      </c>
      <c r="L8" s="64" t="str">
        <f>+Puantaj!E12</f>
        <v>ÇAKAR</v>
      </c>
      <c r="M8" s="68">
        <f>+BORDRO!F12</f>
        <v>0</v>
      </c>
      <c r="N8" s="64"/>
      <c r="O8" s="79">
        <f>+BORDRO!G12</f>
        <v>0</v>
      </c>
      <c r="P8" s="79">
        <v>0</v>
      </c>
      <c r="Q8" s="122"/>
      <c r="R8" s="69"/>
      <c r="S8" s="70" t="s">
        <v>835</v>
      </c>
      <c r="T8" s="70" t="s">
        <v>822</v>
      </c>
      <c r="U8" s="71">
        <v>22</v>
      </c>
      <c r="V8" s="72">
        <f t="shared" si="0"/>
        <v>31</v>
      </c>
      <c r="W8" s="73">
        <v>15</v>
      </c>
      <c r="X8" s="81" t="s">
        <v>99</v>
      </c>
      <c r="Y8" s="65">
        <v>2</v>
      </c>
      <c r="Z8" s="64" t="s">
        <v>51</v>
      </c>
      <c r="AA8" s="74" t="s">
        <v>781</v>
      </c>
      <c r="AB8" s="64">
        <v>2025</v>
      </c>
      <c r="AC8" s="64" t="s">
        <v>106</v>
      </c>
      <c r="AD8" s="80">
        <f>+BORDRO!J12</f>
        <v>0</v>
      </c>
      <c r="AE8" s="75"/>
      <c r="AF8" s="75">
        <f>+BORDRO!K12</f>
        <v>0</v>
      </c>
      <c r="AG8" s="75">
        <f>+BORDRO!L12</f>
        <v>0</v>
      </c>
      <c r="AH8" s="80">
        <f>+BORDRO!M12</f>
        <v>0</v>
      </c>
      <c r="AI8" s="75">
        <f>+BORDRO!O12</f>
        <v>0</v>
      </c>
      <c r="AJ8" s="76">
        <f>+BORDRO!P12</f>
        <v>0</v>
      </c>
    </row>
    <row r="9" spans="1:36" ht="13.8" x14ac:dyDescent="0.25">
      <c r="A9" s="64" t="s">
        <v>51</v>
      </c>
      <c r="B9" s="119">
        <v>46</v>
      </c>
      <c r="C9" s="64" t="s">
        <v>52</v>
      </c>
      <c r="D9" s="64" t="s">
        <v>53</v>
      </c>
      <c r="E9" s="64" t="s">
        <v>53</v>
      </c>
      <c r="F9" s="65">
        <v>1494768</v>
      </c>
      <c r="G9" s="66" t="s">
        <v>105</v>
      </c>
      <c r="H9" s="64" t="s">
        <v>54</v>
      </c>
      <c r="I9" s="64"/>
      <c r="J9" s="67" t="str">
        <f>+Puantaj!C13</f>
        <v>11069535280</v>
      </c>
      <c r="K9" s="64" t="str">
        <f>+Puantaj!D13</f>
        <v>ALİGAFFAR</v>
      </c>
      <c r="L9" s="64" t="str">
        <f>+Puantaj!E13</f>
        <v>AYDIN</v>
      </c>
      <c r="M9" s="68">
        <f>+BORDRO!F13</f>
        <v>12</v>
      </c>
      <c r="N9" s="64"/>
      <c r="O9" s="79">
        <f>+BORDRO!G13</f>
        <v>12996</v>
      </c>
      <c r="P9" s="79">
        <v>0</v>
      </c>
      <c r="Q9" s="122"/>
      <c r="R9" s="69"/>
      <c r="S9" s="70"/>
      <c r="T9" s="70"/>
      <c r="U9" s="71"/>
      <c r="V9" s="72">
        <f t="shared" si="0"/>
        <v>19</v>
      </c>
      <c r="W9" s="73">
        <v>6</v>
      </c>
      <c r="X9" s="81" t="s">
        <v>99</v>
      </c>
      <c r="Y9" s="65">
        <v>2</v>
      </c>
      <c r="Z9" s="64" t="s">
        <v>51</v>
      </c>
      <c r="AA9" s="74" t="s">
        <v>781</v>
      </c>
      <c r="AB9" s="64">
        <v>2025</v>
      </c>
      <c r="AC9" s="64" t="s">
        <v>106</v>
      </c>
      <c r="AD9" s="80">
        <f>+BORDRO!J13</f>
        <v>12996</v>
      </c>
      <c r="AE9" s="75"/>
      <c r="AF9" s="75">
        <f>+BORDRO!K13</f>
        <v>1949.3999999999999</v>
      </c>
      <c r="AG9" s="75">
        <f>+BORDRO!L13</f>
        <v>1949.3999999999999</v>
      </c>
      <c r="AH9" s="80">
        <f>+BORDRO!M13</f>
        <v>0</v>
      </c>
      <c r="AI9" s="75">
        <f>+BORDRO!O13</f>
        <v>98.63964</v>
      </c>
      <c r="AJ9" s="76">
        <f>+BORDRO!P13</f>
        <v>0</v>
      </c>
    </row>
    <row r="10" spans="1:36" ht="13.8" x14ac:dyDescent="0.25">
      <c r="A10" s="64" t="s">
        <v>51</v>
      </c>
      <c r="B10" s="120">
        <v>46</v>
      </c>
      <c r="C10" s="64" t="s">
        <v>52</v>
      </c>
      <c r="D10" s="64" t="s">
        <v>53</v>
      </c>
      <c r="E10" s="64" t="s">
        <v>53</v>
      </c>
      <c r="F10" s="65">
        <v>1494768</v>
      </c>
      <c r="G10" s="66" t="s">
        <v>105</v>
      </c>
      <c r="H10" s="64" t="s">
        <v>54</v>
      </c>
      <c r="I10" s="64"/>
      <c r="J10" s="67" t="str">
        <f>+Puantaj!C14</f>
        <v>10420954296</v>
      </c>
      <c r="K10" s="64" t="str">
        <f>+Puantaj!D14</f>
        <v>ARİF</v>
      </c>
      <c r="L10" s="64" t="str">
        <f>+Puantaj!E14</f>
        <v>TURAN</v>
      </c>
      <c r="M10" s="68">
        <f>+BORDRO!F14</f>
        <v>14</v>
      </c>
      <c r="N10" s="64"/>
      <c r="O10" s="79">
        <f>+BORDRO!G14</f>
        <v>15162</v>
      </c>
      <c r="P10" s="79">
        <v>0</v>
      </c>
      <c r="Q10" s="122"/>
      <c r="R10" s="69"/>
      <c r="S10" s="70"/>
      <c r="T10" s="70"/>
      <c r="U10" s="71"/>
      <c r="V10" s="72">
        <f t="shared" si="0"/>
        <v>17</v>
      </c>
      <c r="W10" s="73">
        <v>6</v>
      </c>
      <c r="X10" s="81" t="s">
        <v>99</v>
      </c>
      <c r="Y10" s="65">
        <v>2</v>
      </c>
      <c r="Z10" s="64" t="s">
        <v>51</v>
      </c>
      <c r="AA10" s="74" t="s">
        <v>781</v>
      </c>
      <c r="AB10" s="64">
        <v>2025</v>
      </c>
      <c r="AC10" s="64" t="s">
        <v>106</v>
      </c>
      <c r="AD10" s="80">
        <f>+BORDRO!J14</f>
        <v>15162</v>
      </c>
      <c r="AE10" s="75"/>
      <c r="AF10" s="75">
        <f>+BORDRO!K14</f>
        <v>2274.2999999999997</v>
      </c>
      <c r="AG10" s="75">
        <f>+BORDRO!L14</f>
        <v>2274.2999999999997</v>
      </c>
      <c r="AH10" s="80">
        <f>+BORDRO!M14</f>
        <v>0</v>
      </c>
      <c r="AI10" s="75">
        <f>+BORDRO!O14</f>
        <v>115.07958000000001</v>
      </c>
      <c r="AJ10" s="76">
        <f>+BORDRO!P14</f>
        <v>0</v>
      </c>
    </row>
    <row r="11" spans="1:36" ht="13.8" x14ac:dyDescent="0.25">
      <c r="A11" s="64" t="s">
        <v>51</v>
      </c>
      <c r="B11" s="119">
        <v>46</v>
      </c>
      <c r="C11" s="64" t="s">
        <v>52</v>
      </c>
      <c r="D11" s="64" t="s">
        <v>53</v>
      </c>
      <c r="E11" s="64" t="s">
        <v>53</v>
      </c>
      <c r="F11" s="65">
        <v>1494768</v>
      </c>
      <c r="G11" s="66" t="s">
        <v>105</v>
      </c>
      <c r="H11" s="64" t="s">
        <v>54</v>
      </c>
      <c r="I11" s="64"/>
      <c r="J11" s="67" t="str">
        <f>+Puantaj!C15</f>
        <v>11039638348</v>
      </c>
      <c r="K11" s="64" t="str">
        <f>+Puantaj!D15</f>
        <v>ASLAN ERAY</v>
      </c>
      <c r="L11" s="64" t="str">
        <f>+Puantaj!E15</f>
        <v>KARAVAŞ</v>
      </c>
      <c r="M11" s="68">
        <f>+BORDRO!F15</f>
        <v>15</v>
      </c>
      <c r="N11" s="64"/>
      <c r="O11" s="79">
        <f>+BORDRO!G15</f>
        <v>16245</v>
      </c>
      <c r="P11" s="79">
        <v>0</v>
      </c>
      <c r="Q11" s="122"/>
      <c r="R11" s="69"/>
      <c r="S11" s="70"/>
      <c r="T11" s="70"/>
      <c r="U11" s="71"/>
      <c r="V11" s="72">
        <f t="shared" si="0"/>
        <v>16</v>
      </c>
      <c r="W11" s="73">
        <v>6</v>
      </c>
      <c r="X11" s="81" t="s">
        <v>99</v>
      </c>
      <c r="Y11" s="65">
        <v>2</v>
      </c>
      <c r="Z11" s="64" t="s">
        <v>51</v>
      </c>
      <c r="AA11" s="74" t="s">
        <v>781</v>
      </c>
      <c r="AB11" s="64">
        <v>2025</v>
      </c>
      <c r="AC11" s="64" t="s">
        <v>106</v>
      </c>
      <c r="AD11" s="80">
        <f>+BORDRO!J15</f>
        <v>16245</v>
      </c>
      <c r="AE11" s="75"/>
      <c r="AF11" s="75">
        <f>+BORDRO!K15</f>
        <v>2436.75</v>
      </c>
      <c r="AG11" s="75">
        <f>+BORDRO!L15</f>
        <v>2436.75</v>
      </c>
      <c r="AH11" s="80">
        <f>+BORDRO!M15</f>
        <v>0</v>
      </c>
      <c r="AI11" s="75">
        <f>+BORDRO!O15</f>
        <v>123.29955000000001</v>
      </c>
      <c r="AJ11" s="76">
        <f>+BORDRO!P15</f>
        <v>0</v>
      </c>
    </row>
    <row r="12" spans="1:36" ht="13.8" x14ac:dyDescent="0.25">
      <c r="A12" s="64" t="s">
        <v>51</v>
      </c>
      <c r="B12" s="120">
        <v>46</v>
      </c>
      <c r="C12" s="64" t="s">
        <v>52</v>
      </c>
      <c r="D12" s="64" t="s">
        <v>53</v>
      </c>
      <c r="E12" s="64" t="s">
        <v>53</v>
      </c>
      <c r="F12" s="65">
        <v>1494768</v>
      </c>
      <c r="G12" s="66" t="s">
        <v>105</v>
      </c>
      <c r="H12" s="64" t="s">
        <v>54</v>
      </c>
      <c r="I12" s="64"/>
      <c r="J12" s="67" t="str">
        <f>+Puantaj!C16</f>
        <v>18397728780</v>
      </c>
      <c r="K12" s="64" t="str">
        <f>+Puantaj!D16</f>
        <v>ASLI</v>
      </c>
      <c r="L12" s="64" t="str">
        <f>+Puantaj!E16</f>
        <v>BEKTAŞ</v>
      </c>
      <c r="M12" s="68">
        <f>+BORDRO!F16</f>
        <v>5</v>
      </c>
      <c r="N12" s="64"/>
      <c r="O12" s="79">
        <f>+BORDRO!G16</f>
        <v>5415</v>
      </c>
      <c r="P12" s="79">
        <v>0</v>
      </c>
      <c r="Q12" s="122"/>
      <c r="R12" s="69"/>
      <c r="S12" s="70"/>
      <c r="T12" s="70"/>
      <c r="U12" s="71"/>
      <c r="V12" s="72">
        <f t="shared" si="0"/>
        <v>26</v>
      </c>
      <c r="W12" s="73">
        <v>6</v>
      </c>
      <c r="X12" s="81" t="s">
        <v>99</v>
      </c>
      <c r="Y12" s="65">
        <v>2</v>
      </c>
      <c r="Z12" s="64" t="s">
        <v>51</v>
      </c>
      <c r="AA12" s="74" t="s">
        <v>781</v>
      </c>
      <c r="AB12" s="64">
        <v>2025</v>
      </c>
      <c r="AC12" s="64" t="s">
        <v>106</v>
      </c>
      <c r="AD12" s="80">
        <f>+BORDRO!J16</f>
        <v>5415</v>
      </c>
      <c r="AE12" s="75"/>
      <c r="AF12" s="75">
        <f>+BORDRO!K16</f>
        <v>812.25</v>
      </c>
      <c r="AG12" s="75">
        <f>+BORDRO!L16</f>
        <v>812.25</v>
      </c>
      <c r="AH12" s="80">
        <f>+BORDRO!M16</f>
        <v>0</v>
      </c>
      <c r="AI12" s="75">
        <f>+BORDRO!O16</f>
        <v>41.099850000000004</v>
      </c>
      <c r="AJ12" s="76">
        <f>+BORDRO!P16</f>
        <v>0</v>
      </c>
    </row>
    <row r="13" spans="1:36" ht="13.8" x14ac:dyDescent="0.25">
      <c r="A13" s="64" t="s">
        <v>51</v>
      </c>
      <c r="B13" s="119">
        <v>46</v>
      </c>
      <c r="C13" s="64" t="s">
        <v>52</v>
      </c>
      <c r="D13" s="64" t="s">
        <v>53</v>
      </c>
      <c r="E13" s="64" t="s">
        <v>53</v>
      </c>
      <c r="F13" s="65">
        <v>1494768</v>
      </c>
      <c r="G13" s="66" t="s">
        <v>105</v>
      </c>
      <c r="H13" s="64" t="s">
        <v>54</v>
      </c>
      <c r="I13" s="64"/>
      <c r="J13" s="67" t="str">
        <f>+Puantaj!C17</f>
        <v>31885265086</v>
      </c>
      <c r="K13" s="64" t="str">
        <f>+Puantaj!D17</f>
        <v>AYBERK</v>
      </c>
      <c r="L13" s="64" t="str">
        <f>+Puantaj!E17</f>
        <v>EREN</v>
      </c>
      <c r="M13" s="68">
        <f>+BORDRO!F17</f>
        <v>12</v>
      </c>
      <c r="N13" s="64"/>
      <c r="O13" s="79">
        <f>+BORDRO!G17</f>
        <v>12996</v>
      </c>
      <c r="P13" s="79">
        <v>0</v>
      </c>
      <c r="Q13" s="122"/>
      <c r="R13" s="69"/>
      <c r="S13" s="70"/>
      <c r="T13" s="70"/>
      <c r="U13" s="71"/>
      <c r="V13" s="72">
        <f t="shared" si="0"/>
        <v>19</v>
      </c>
      <c r="W13" s="73">
        <v>6</v>
      </c>
      <c r="X13" s="81" t="s">
        <v>99</v>
      </c>
      <c r="Y13" s="65">
        <v>2</v>
      </c>
      <c r="Z13" s="64" t="s">
        <v>51</v>
      </c>
      <c r="AA13" s="74" t="s">
        <v>781</v>
      </c>
      <c r="AB13" s="64">
        <v>2025</v>
      </c>
      <c r="AC13" s="64" t="s">
        <v>106</v>
      </c>
      <c r="AD13" s="80">
        <f>+BORDRO!J17</f>
        <v>12996</v>
      </c>
      <c r="AE13" s="75"/>
      <c r="AF13" s="75">
        <f>+BORDRO!K17</f>
        <v>1949.3999999999999</v>
      </c>
      <c r="AG13" s="75">
        <f>+BORDRO!L17</f>
        <v>1949.3999999999999</v>
      </c>
      <c r="AH13" s="80">
        <f>+BORDRO!M17</f>
        <v>0</v>
      </c>
      <c r="AI13" s="75">
        <f>+BORDRO!O17</f>
        <v>98.63964</v>
      </c>
      <c r="AJ13" s="76">
        <f>+BORDRO!P17</f>
        <v>0</v>
      </c>
    </row>
    <row r="14" spans="1:36" ht="13.8" x14ac:dyDescent="0.25">
      <c r="A14" s="64" t="s">
        <v>51</v>
      </c>
      <c r="B14" s="120">
        <v>46</v>
      </c>
      <c r="C14" s="64" t="s">
        <v>52</v>
      </c>
      <c r="D14" s="64" t="s">
        <v>53</v>
      </c>
      <c r="E14" s="64" t="s">
        <v>53</v>
      </c>
      <c r="F14" s="65">
        <v>1494768</v>
      </c>
      <c r="G14" s="66" t="s">
        <v>105</v>
      </c>
      <c r="H14" s="64" t="s">
        <v>54</v>
      </c>
      <c r="I14" s="64"/>
      <c r="J14" s="67" t="str">
        <f>+Puantaj!C18</f>
        <v>16364821786</v>
      </c>
      <c r="K14" s="64" t="str">
        <f>+Puantaj!D18</f>
        <v>AYBERK</v>
      </c>
      <c r="L14" s="64" t="str">
        <f>+Puantaj!E18</f>
        <v>KILIÇ</v>
      </c>
      <c r="M14" s="68">
        <f>+BORDRO!F18</f>
        <v>13</v>
      </c>
      <c r="N14" s="64"/>
      <c r="O14" s="79">
        <f>+BORDRO!G18</f>
        <v>14079</v>
      </c>
      <c r="P14" s="79">
        <v>0</v>
      </c>
      <c r="Q14" s="122"/>
      <c r="R14" s="69"/>
      <c r="S14" s="70"/>
      <c r="T14" s="70"/>
      <c r="U14" s="71"/>
      <c r="V14" s="72">
        <f t="shared" si="0"/>
        <v>18</v>
      </c>
      <c r="W14" s="73">
        <v>6</v>
      </c>
      <c r="X14" s="81" t="s">
        <v>99</v>
      </c>
      <c r="Y14" s="65">
        <v>2</v>
      </c>
      <c r="Z14" s="64" t="s">
        <v>51</v>
      </c>
      <c r="AA14" s="74" t="s">
        <v>781</v>
      </c>
      <c r="AB14" s="64">
        <v>2025</v>
      </c>
      <c r="AC14" s="64" t="s">
        <v>106</v>
      </c>
      <c r="AD14" s="80">
        <f>+BORDRO!J18</f>
        <v>14079</v>
      </c>
      <c r="AE14" s="75"/>
      <c r="AF14" s="75">
        <f>+BORDRO!K18</f>
        <v>2111.85</v>
      </c>
      <c r="AG14" s="75">
        <f>+BORDRO!L18</f>
        <v>2111.85</v>
      </c>
      <c r="AH14" s="80">
        <f>+BORDRO!M18</f>
        <v>0</v>
      </c>
      <c r="AI14" s="75">
        <f>+BORDRO!O18</f>
        <v>106.85961</v>
      </c>
      <c r="AJ14" s="76">
        <f>+BORDRO!P18</f>
        <v>0</v>
      </c>
    </row>
    <row r="15" spans="1:36" ht="13.8" x14ac:dyDescent="0.25">
      <c r="A15" s="64" t="s">
        <v>51</v>
      </c>
      <c r="B15" s="119">
        <v>46</v>
      </c>
      <c r="C15" s="64" t="s">
        <v>52</v>
      </c>
      <c r="D15" s="64" t="s">
        <v>53</v>
      </c>
      <c r="E15" s="64" t="s">
        <v>53</v>
      </c>
      <c r="F15" s="65">
        <v>1494768</v>
      </c>
      <c r="G15" s="66" t="s">
        <v>105</v>
      </c>
      <c r="H15" s="64" t="s">
        <v>54</v>
      </c>
      <c r="I15" s="64"/>
      <c r="J15" s="67" t="str">
        <f>+Puantaj!C19</f>
        <v>10307955460</v>
      </c>
      <c r="K15" s="64" t="str">
        <f>+Puantaj!D19</f>
        <v>AYÇA</v>
      </c>
      <c r="L15" s="64" t="str">
        <f>+Puantaj!E19</f>
        <v>YAZICI</v>
      </c>
      <c r="M15" s="68">
        <f>+BORDRO!F19</f>
        <v>13</v>
      </c>
      <c r="N15" s="64"/>
      <c r="O15" s="79">
        <f>+BORDRO!G19</f>
        <v>14079</v>
      </c>
      <c r="P15" s="79">
        <v>0</v>
      </c>
      <c r="Q15" s="122"/>
      <c r="R15" s="69"/>
      <c r="S15" s="70"/>
      <c r="T15" s="70"/>
      <c r="U15" s="71"/>
      <c r="V15" s="72">
        <f t="shared" si="0"/>
        <v>18</v>
      </c>
      <c r="W15" s="73">
        <v>6</v>
      </c>
      <c r="X15" s="81" t="s">
        <v>99</v>
      </c>
      <c r="Y15" s="65">
        <v>2</v>
      </c>
      <c r="Z15" s="64" t="s">
        <v>51</v>
      </c>
      <c r="AA15" s="74" t="s">
        <v>781</v>
      </c>
      <c r="AB15" s="64">
        <v>2025</v>
      </c>
      <c r="AC15" s="64" t="s">
        <v>106</v>
      </c>
      <c r="AD15" s="80">
        <f>+BORDRO!J19</f>
        <v>14079</v>
      </c>
      <c r="AE15" s="75"/>
      <c r="AF15" s="75">
        <f>+BORDRO!K19</f>
        <v>2111.85</v>
      </c>
      <c r="AG15" s="75">
        <f>+BORDRO!L19</f>
        <v>2111.85</v>
      </c>
      <c r="AH15" s="80">
        <f>+BORDRO!M19</f>
        <v>0</v>
      </c>
      <c r="AI15" s="75">
        <f>+BORDRO!O19</f>
        <v>106.85961</v>
      </c>
      <c r="AJ15" s="76">
        <f>+BORDRO!P19</f>
        <v>0</v>
      </c>
    </row>
    <row r="16" spans="1:36" ht="13.8" x14ac:dyDescent="0.25">
      <c r="A16" s="64" t="s">
        <v>51</v>
      </c>
      <c r="B16" s="120">
        <v>46</v>
      </c>
      <c r="C16" s="64" t="s">
        <v>52</v>
      </c>
      <c r="D16" s="64" t="s">
        <v>53</v>
      </c>
      <c r="E16" s="64" t="s">
        <v>53</v>
      </c>
      <c r="F16" s="65">
        <v>1494768</v>
      </c>
      <c r="G16" s="66" t="s">
        <v>105</v>
      </c>
      <c r="H16" s="64" t="s">
        <v>54</v>
      </c>
      <c r="I16" s="64"/>
      <c r="J16" s="67" t="str">
        <f>+Puantaj!C20</f>
        <v>37796134572</v>
      </c>
      <c r="K16" s="64" t="str">
        <f>+Puantaj!D20</f>
        <v>AYŞE</v>
      </c>
      <c r="L16" s="64" t="str">
        <f>+Puantaj!E20</f>
        <v>KADIOĞULLARI</v>
      </c>
      <c r="M16" s="68">
        <f>+BORDRO!F20</f>
        <v>13</v>
      </c>
      <c r="N16" s="64"/>
      <c r="O16" s="79">
        <f>+BORDRO!G20</f>
        <v>14079</v>
      </c>
      <c r="P16" s="79">
        <v>0</v>
      </c>
      <c r="Q16" s="122"/>
      <c r="R16" s="69"/>
      <c r="S16" s="70"/>
      <c r="T16" s="70"/>
      <c r="U16" s="71"/>
      <c r="V16" s="72">
        <f t="shared" si="0"/>
        <v>18</v>
      </c>
      <c r="W16" s="73">
        <v>6</v>
      </c>
      <c r="X16" s="81" t="s">
        <v>99</v>
      </c>
      <c r="Y16" s="65">
        <v>2</v>
      </c>
      <c r="Z16" s="64" t="s">
        <v>51</v>
      </c>
      <c r="AA16" s="74" t="s">
        <v>781</v>
      </c>
      <c r="AB16" s="64">
        <v>2025</v>
      </c>
      <c r="AC16" s="64" t="s">
        <v>106</v>
      </c>
      <c r="AD16" s="80">
        <f>+BORDRO!J20</f>
        <v>14079</v>
      </c>
      <c r="AE16" s="75"/>
      <c r="AF16" s="75">
        <f>+BORDRO!K20</f>
        <v>2111.85</v>
      </c>
      <c r="AG16" s="75">
        <f>+BORDRO!L20</f>
        <v>2111.85</v>
      </c>
      <c r="AH16" s="80">
        <f>+BORDRO!M20</f>
        <v>0</v>
      </c>
      <c r="AI16" s="75">
        <f>+BORDRO!O20</f>
        <v>106.85961</v>
      </c>
      <c r="AJ16" s="76">
        <f>+BORDRO!P20</f>
        <v>0</v>
      </c>
    </row>
    <row r="17" spans="1:36" ht="13.8" x14ac:dyDescent="0.25">
      <c r="A17" s="64" t="s">
        <v>51</v>
      </c>
      <c r="B17" s="119">
        <v>46</v>
      </c>
      <c r="C17" s="64" t="s">
        <v>52</v>
      </c>
      <c r="D17" s="64" t="s">
        <v>53</v>
      </c>
      <c r="E17" s="64" t="s">
        <v>53</v>
      </c>
      <c r="F17" s="65">
        <v>1494768</v>
      </c>
      <c r="G17" s="66" t="s">
        <v>105</v>
      </c>
      <c r="H17" s="64" t="s">
        <v>54</v>
      </c>
      <c r="I17" s="64"/>
      <c r="J17" s="67" t="str">
        <f>+Puantaj!C21</f>
        <v>20425647000</v>
      </c>
      <c r="K17" s="64" t="str">
        <f>+Puantaj!D21</f>
        <v>AYŞE</v>
      </c>
      <c r="L17" s="64" t="str">
        <f>+Puantaj!E21</f>
        <v>KÜÇÜKALİ</v>
      </c>
      <c r="M17" s="68">
        <f>+BORDRO!F21</f>
        <v>12</v>
      </c>
      <c r="N17" s="64"/>
      <c r="O17" s="79">
        <f>+BORDRO!G21</f>
        <v>12996</v>
      </c>
      <c r="P17" s="79">
        <v>0</v>
      </c>
      <c r="Q17" s="122"/>
      <c r="R17" s="69"/>
      <c r="S17" s="70"/>
      <c r="T17" s="70"/>
      <c r="U17" s="71"/>
      <c r="V17" s="72">
        <f t="shared" si="0"/>
        <v>19</v>
      </c>
      <c r="W17" s="73">
        <v>6</v>
      </c>
      <c r="X17" s="81" t="s">
        <v>99</v>
      </c>
      <c r="Y17" s="65">
        <v>2</v>
      </c>
      <c r="Z17" s="64" t="s">
        <v>51</v>
      </c>
      <c r="AA17" s="74" t="s">
        <v>781</v>
      </c>
      <c r="AB17" s="64">
        <v>2025</v>
      </c>
      <c r="AC17" s="64" t="s">
        <v>106</v>
      </c>
      <c r="AD17" s="80">
        <f>+BORDRO!J21</f>
        <v>12996</v>
      </c>
      <c r="AE17" s="75"/>
      <c r="AF17" s="75">
        <f>+BORDRO!K21</f>
        <v>1949.3999999999999</v>
      </c>
      <c r="AG17" s="75">
        <f>+BORDRO!L21</f>
        <v>1949.3999999999999</v>
      </c>
      <c r="AH17" s="80">
        <f>+BORDRO!M21</f>
        <v>0</v>
      </c>
      <c r="AI17" s="75">
        <f>+BORDRO!O21</f>
        <v>98.63964</v>
      </c>
      <c r="AJ17" s="76">
        <f>+BORDRO!P21</f>
        <v>0</v>
      </c>
    </row>
    <row r="18" spans="1:36" ht="13.8" x14ac:dyDescent="0.25">
      <c r="A18" s="64" t="s">
        <v>51</v>
      </c>
      <c r="B18" s="120">
        <v>46</v>
      </c>
      <c r="C18" s="64" t="s">
        <v>52</v>
      </c>
      <c r="D18" s="64" t="s">
        <v>53</v>
      </c>
      <c r="E18" s="64" t="s">
        <v>53</v>
      </c>
      <c r="F18" s="65">
        <v>1494768</v>
      </c>
      <c r="G18" s="66" t="s">
        <v>105</v>
      </c>
      <c r="H18" s="64" t="s">
        <v>54</v>
      </c>
      <c r="I18" s="64"/>
      <c r="J18" s="67" t="str">
        <f>+Puantaj!C22</f>
        <v>10211811296</v>
      </c>
      <c r="K18" s="64" t="str">
        <f>+Puantaj!D22</f>
        <v>AYŞE NUR</v>
      </c>
      <c r="L18" s="64" t="str">
        <f>+Puantaj!E22</f>
        <v>TÜRKYILMAZ</v>
      </c>
      <c r="M18" s="68">
        <f>+BORDRO!F22</f>
        <v>14</v>
      </c>
      <c r="N18" s="64"/>
      <c r="O18" s="79">
        <f>+BORDRO!G22</f>
        <v>15162</v>
      </c>
      <c r="P18" s="79">
        <v>0</v>
      </c>
      <c r="Q18" s="122"/>
      <c r="R18" s="69"/>
      <c r="S18" s="70"/>
      <c r="T18" s="70"/>
      <c r="U18" s="71"/>
      <c r="V18" s="72">
        <f t="shared" si="0"/>
        <v>17</v>
      </c>
      <c r="W18" s="73">
        <v>6</v>
      </c>
      <c r="X18" s="81" t="s">
        <v>99</v>
      </c>
      <c r="Y18" s="65">
        <v>2</v>
      </c>
      <c r="Z18" s="64" t="s">
        <v>51</v>
      </c>
      <c r="AA18" s="74" t="s">
        <v>781</v>
      </c>
      <c r="AB18" s="64">
        <v>2025</v>
      </c>
      <c r="AC18" s="64" t="s">
        <v>106</v>
      </c>
      <c r="AD18" s="80">
        <f>+BORDRO!J22</f>
        <v>15162</v>
      </c>
      <c r="AE18" s="75"/>
      <c r="AF18" s="75">
        <f>+BORDRO!K22</f>
        <v>2274.2999999999997</v>
      </c>
      <c r="AG18" s="75">
        <f>+BORDRO!L22</f>
        <v>2274.2999999999997</v>
      </c>
      <c r="AH18" s="80">
        <f>+BORDRO!M22</f>
        <v>0</v>
      </c>
      <c r="AI18" s="75">
        <f>+BORDRO!O22</f>
        <v>115.07958000000001</v>
      </c>
      <c r="AJ18" s="76">
        <f>+BORDRO!P22</f>
        <v>0</v>
      </c>
    </row>
    <row r="19" spans="1:36" s="35" customFormat="1" ht="13.8" x14ac:dyDescent="0.25">
      <c r="A19" s="77" t="s">
        <v>51</v>
      </c>
      <c r="B19" s="119">
        <v>46</v>
      </c>
      <c r="C19" s="64" t="s">
        <v>52</v>
      </c>
      <c r="D19" s="77" t="s">
        <v>53</v>
      </c>
      <c r="E19" s="77" t="s">
        <v>53</v>
      </c>
      <c r="F19" s="65">
        <v>1494768</v>
      </c>
      <c r="G19" s="66" t="s">
        <v>105</v>
      </c>
      <c r="H19" s="64" t="s">
        <v>54</v>
      </c>
      <c r="I19" s="77"/>
      <c r="J19" s="67" t="str">
        <f>+Puantaj!C23</f>
        <v>38158642018</v>
      </c>
      <c r="K19" s="64" t="str">
        <f>+Puantaj!D23</f>
        <v>AYŞENUR TUĞBA</v>
      </c>
      <c r="L19" s="64" t="str">
        <f>+Puantaj!E23</f>
        <v>KILIÇARSLAN</v>
      </c>
      <c r="M19" s="68">
        <f>+BORDRO!F23</f>
        <v>13</v>
      </c>
      <c r="N19" s="64"/>
      <c r="O19" s="79">
        <f>+BORDRO!G23</f>
        <v>14079</v>
      </c>
      <c r="P19" s="79">
        <v>0</v>
      </c>
      <c r="Q19" s="122"/>
      <c r="R19" s="69"/>
      <c r="S19" s="70"/>
      <c r="T19" s="70"/>
      <c r="U19" s="71"/>
      <c r="V19" s="72">
        <f t="shared" si="0"/>
        <v>18</v>
      </c>
      <c r="W19" s="73">
        <v>6</v>
      </c>
      <c r="X19" s="81" t="s">
        <v>99</v>
      </c>
      <c r="Y19" s="65">
        <v>2</v>
      </c>
      <c r="Z19" s="77" t="s">
        <v>51</v>
      </c>
      <c r="AA19" s="74" t="s">
        <v>781</v>
      </c>
      <c r="AB19" s="64">
        <v>2025</v>
      </c>
      <c r="AC19" s="64" t="s">
        <v>106</v>
      </c>
      <c r="AD19" s="80">
        <f>+BORDRO!J23</f>
        <v>14079</v>
      </c>
      <c r="AE19" s="75"/>
      <c r="AF19" s="75">
        <f>+BORDRO!K23</f>
        <v>2111.85</v>
      </c>
      <c r="AG19" s="75">
        <f>+BORDRO!L23</f>
        <v>2111.85</v>
      </c>
      <c r="AH19" s="80">
        <f>+BORDRO!M23</f>
        <v>0</v>
      </c>
      <c r="AI19" s="75">
        <f>+BORDRO!O23</f>
        <v>106.85961</v>
      </c>
      <c r="AJ19" s="76">
        <f>+BORDRO!P23</f>
        <v>0</v>
      </c>
    </row>
    <row r="20" spans="1:36" ht="13.8" x14ac:dyDescent="0.25">
      <c r="A20" s="64" t="s">
        <v>51</v>
      </c>
      <c r="B20" s="120">
        <v>46</v>
      </c>
      <c r="C20" s="64" t="s">
        <v>52</v>
      </c>
      <c r="D20" s="64" t="s">
        <v>53</v>
      </c>
      <c r="E20" s="64" t="s">
        <v>53</v>
      </c>
      <c r="F20" s="65">
        <v>1494768</v>
      </c>
      <c r="G20" s="66" t="s">
        <v>105</v>
      </c>
      <c r="H20" s="64" t="s">
        <v>54</v>
      </c>
      <c r="I20" s="64"/>
      <c r="J20" s="67" t="str">
        <f>+Puantaj!C24</f>
        <v>10391956060</v>
      </c>
      <c r="K20" s="64" t="str">
        <f>+Puantaj!D24</f>
        <v>AYŞENUR</v>
      </c>
      <c r="L20" s="64" t="str">
        <f>+Puantaj!E24</f>
        <v>YILDIRIM</v>
      </c>
      <c r="M20" s="68">
        <f>+BORDRO!F24</f>
        <v>14</v>
      </c>
      <c r="N20" s="64"/>
      <c r="O20" s="79">
        <f>+BORDRO!G24</f>
        <v>15162</v>
      </c>
      <c r="P20" s="79">
        <v>0</v>
      </c>
      <c r="Q20" s="122"/>
      <c r="R20" s="69"/>
      <c r="S20" s="70"/>
      <c r="T20" s="70"/>
      <c r="U20" s="71"/>
      <c r="V20" s="72">
        <f t="shared" si="0"/>
        <v>17</v>
      </c>
      <c r="W20" s="73">
        <v>6</v>
      </c>
      <c r="X20" s="81" t="s">
        <v>99</v>
      </c>
      <c r="Y20" s="65">
        <v>2</v>
      </c>
      <c r="Z20" s="64" t="s">
        <v>51</v>
      </c>
      <c r="AA20" s="74" t="s">
        <v>781</v>
      </c>
      <c r="AB20" s="64">
        <v>2025</v>
      </c>
      <c r="AC20" s="64" t="s">
        <v>106</v>
      </c>
      <c r="AD20" s="80">
        <f>+BORDRO!J24</f>
        <v>15162</v>
      </c>
      <c r="AE20" s="75"/>
      <c r="AF20" s="75">
        <f>+BORDRO!K24</f>
        <v>2274.2999999999997</v>
      </c>
      <c r="AG20" s="75">
        <f>+BORDRO!L24</f>
        <v>2274.2999999999997</v>
      </c>
      <c r="AH20" s="80">
        <f>+BORDRO!M24</f>
        <v>0</v>
      </c>
      <c r="AI20" s="75">
        <f>+BORDRO!O24</f>
        <v>115.07958000000001</v>
      </c>
      <c r="AJ20" s="76">
        <f>+BORDRO!P24</f>
        <v>0</v>
      </c>
    </row>
    <row r="21" spans="1:36" ht="13.8" x14ac:dyDescent="0.25">
      <c r="A21" s="64" t="s">
        <v>51</v>
      </c>
      <c r="B21" s="119">
        <v>46</v>
      </c>
      <c r="C21" s="64" t="s">
        <v>52</v>
      </c>
      <c r="D21" s="64" t="s">
        <v>53</v>
      </c>
      <c r="E21" s="64" t="s">
        <v>53</v>
      </c>
      <c r="F21" s="65">
        <v>1494768</v>
      </c>
      <c r="G21" s="66" t="s">
        <v>105</v>
      </c>
      <c r="H21" s="64" t="s">
        <v>54</v>
      </c>
      <c r="I21" s="64"/>
      <c r="J21" s="67" t="str">
        <f>+Puantaj!C25</f>
        <v>10075858284</v>
      </c>
      <c r="K21" s="64" t="str">
        <f>+Puantaj!D25</f>
        <v>AZİZE NUR</v>
      </c>
      <c r="L21" s="64" t="str">
        <f>+Puantaj!E25</f>
        <v>TUTUM</v>
      </c>
      <c r="M21" s="68">
        <f>+BORDRO!F25</f>
        <v>7</v>
      </c>
      <c r="N21" s="64"/>
      <c r="O21" s="79">
        <f>+BORDRO!G25</f>
        <v>7581</v>
      </c>
      <c r="P21" s="79">
        <v>0</v>
      </c>
      <c r="Q21" s="122"/>
      <c r="R21" s="69"/>
      <c r="S21" s="70"/>
      <c r="T21" s="70"/>
      <c r="U21" s="71"/>
      <c r="V21" s="72">
        <f t="shared" si="0"/>
        <v>24</v>
      </c>
      <c r="W21" s="73">
        <v>6</v>
      </c>
      <c r="X21" s="81" t="s">
        <v>99</v>
      </c>
      <c r="Y21" s="65">
        <v>2</v>
      </c>
      <c r="Z21" s="64" t="s">
        <v>51</v>
      </c>
      <c r="AA21" s="74" t="s">
        <v>781</v>
      </c>
      <c r="AB21" s="64">
        <v>2025</v>
      </c>
      <c r="AC21" s="64" t="s">
        <v>106</v>
      </c>
      <c r="AD21" s="80">
        <f>+BORDRO!J25</f>
        <v>7581</v>
      </c>
      <c r="AE21" s="75"/>
      <c r="AF21" s="75">
        <f>+BORDRO!K25</f>
        <v>1137.1499999999999</v>
      </c>
      <c r="AG21" s="75">
        <f>+BORDRO!L25</f>
        <v>1137.1499999999999</v>
      </c>
      <c r="AH21" s="80">
        <f>+BORDRO!M25</f>
        <v>0</v>
      </c>
      <c r="AI21" s="75">
        <f>+BORDRO!O25</f>
        <v>57.539790000000004</v>
      </c>
      <c r="AJ21" s="76">
        <f>+BORDRO!P25</f>
        <v>0</v>
      </c>
    </row>
    <row r="22" spans="1:36" ht="13.8" x14ac:dyDescent="0.25">
      <c r="A22" s="64" t="s">
        <v>51</v>
      </c>
      <c r="B22" s="120">
        <v>46</v>
      </c>
      <c r="C22" s="64" t="s">
        <v>52</v>
      </c>
      <c r="D22" s="64" t="s">
        <v>53</v>
      </c>
      <c r="E22" s="64" t="s">
        <v>53</v>
      </c>
      <c r="F22" s="65">
        <v>1494768</v>
      </c>
      <c r="G22" s="66" t="s">
        <v>105</v>
      </c>
      <c r="H22" s="64" t="s">
        <v>54</v>
      </c>
      <c r="I22" s="64"/>
      <c r="J22" s="67" t="str">
        <f>+Puantaj!C26</f>
        <v>38815458440</v>
      </c>
      <c r="K22" s="64" t="str">
        <f>+Puantaj!D26</f>
        <v>AZRA</v>
      </c>
      <c r="L22" s="64" t="str">
        <f>+Puantaj!E26</f>
        <v>ÖZGÜL</v>
      </c>
      <c r="M22" s="68">
        <f>+BORDRO!F26</f>
        <v>14</v>
      </c>
      <c r="N22" s="64"/>
      <c r="O22" s="79">
        <f>+BORDRO!G26</f>
        <v>15162</v>
      </c>
      <c r="P22" s="79">
        <v>0</v>
      </c>
      <c r="Q22" s="122"/>
      <c r="R22" s="69"/>
      <c r="S22" s="70"/>
      <c r="T22" s="70"/>
      <c r="U22" s="71"/>
      <c r="V22" s="72">
        <f t="shared" si="0"/>
        <v>17</v>
      </c>
      <c r="W22" s="73">
        <v>6</v>
      </c>
      <c r="X22" s="81" t="s">
        <v>99</v>
      </c>
      <c r="Y22" s="65">
        <v>2</v>
      </c>
      <c r="Z22" s="64" t="s">
        <v>51</v>
      </c>
      <c r="AA22" s="74" t="s">
        <v>781</v>
      </c>
      <c r="AB22" s="64">
        <v>2025</v>
      </c>
      <c r="AC22" s="64" t="s">
        <v>106</v>
      </c>
      <c r="AD22" s="80">
        <f>+BORDRO!J26</f>
        <v>15162</v>
      </c>
      <c r="AE22" s="75"/>
      <c r="AF22" s="75">
        <f>+BORDRO!K26</f>
        <v>2274.2999999999997</v>
      </c>
      <c r="AG22" s="75">
        <f>+BORDRO!L26</f>
        <v>2274.2999999999997</v>
      </c>
      <c r="AH22" s="80">
        <f>+BORDRO!M26</f>
        <v>0</v>
      </c>
      <c r="AI22" s="75">
        <f>+BORDRO!O26</f>
        <v>115.07958000000001</v>
      </c>
      <c r="AJ22" s="76">
        <f>+BORDRO!P26</f>
        <v>0</v>
      </c>
    </row>
    <row r="23" spans="1:36" ht="13.8" x14ac:dyDescent="0.25">
      <c r="A23" s="64" t="s">
        <v>51</v>
      </c>
      <c r="B23" s="119">
        <v>46</v>
      </c>
      <c r="C23" s="64" t="s">
        <v>52</v>
      </c>
      <c r="D23" s="64" t="s">
        <v>53</v>
      </c>
      <c r="E23" s="64" t="s">
        <v>53</v>
      </c>
      <c r="F23" s="65">
        <v>1494768</v>
      </c>
      <c r="G23" s="66" t="s">
        <v>105</v>
      </c>
      <c r="H23" s="64" t="s">
        <v>54</v>
      </c>
      <c r="I23" s="64"/>
      <c r="J23" s="67" t="str">
        <f>+Puantaj!C27</f>
        <v>22682146630</v>
      </c>
      <c r="K23" s="64" t="str">
        <f>+Puantaj!D27</f>
        <v>BEGÜM</v>
      </c>
      <c r="L23" s="64" t="str">
        <f>+Puantaj!E27</f>
        <v>YALÇIN</v>
      </c>
      <c r="M23" s="68">
        <f>+BORDRO!F27</f>
        <v>13</v>
      </c>
      <c r="N23" s="64"/>
      <c r="O23" s="79">
        <f>+BORDRO!G27</f>
        <v>14079</v>
      </c>
      <c r="P23" s="79">
        <v>0</v>
      </c>
      <c r="Q23" s="122"/>
      <c r="R23" s="69"/>
      <c r="S23" s="70"/>
      <c r="T23" s="70"/>
      <c r="U23" s="71"/>
      <c r="V23" s="72">
        <f t="shared" si="0"/>
        <v>18</v>
      </c>
      <c r="W23" s="73">
        <v>6</v>
      </c>
      <c r="X23" s="81" t="s">
        <v>99</v>
      </c>
      <c r="Y23" s="65">
        <v>2</v>
      </c>
      <c r="Z23" s="64" t="s">
        <v>51</v>
      </c>
      <c r="AA23" s="74" t="s">
        <v>781</v>
      </c>
      <c r="AB23" s="64">
        <v>2025</v>
      </c>
      <c r="AC23" s="64" t="s">
        <v>106</v>
      </c>
      <c r="AD23" s="80">
        <f>+BORDRO!J27</f>
        <v>14079</v>
      </c>
      <c r="AE23" s="75"/>
      <c r="AF23" s="75">
        <f>+BORDRO!K27</f>
        <v>2111.85</v>
      </c>
      <c r="AG23" s="75">
        <f>+BORDRO!L27</f>
        <v>2111.85</v>
      </c>
      <c r="AH23" s="80">
        <f>+BORDRO!M27</f>
        <v>0</v>
      </c>
      <c r="AI23" s="75">
        <f>+BORDRO!O27</f>
        <v>106.85961</v>
      </c>
      <c r="AJ23" s="76">
        <f>+BORDRO!P27</f>
        <v>0</v>
      </c>
    </row>
    <row r="24" spans="1:36" ht="13.8" x14ac:dyDescent="0.25">
      <c r="A24" s="64" t="s">
        <v>51</v>
      </c>
      <c r="B24" s="120">
        <v>46</v>
      </c>
      <c r="C24" s="64" t="s">
        <v>52</v>
      </c>
      <c r="D24" s="64" t="s">
        <v>53</v>
      </c>
      <c r="E24" s="64" t="s">
        <v>53</v>
      </c>
      <c r="F24" s="65">
        <v>1494768</v>
      </c>
      <c r="G24" s="66" t="s">
        <v>105</v>
      </c>
      <c r="H24" s="64" t="s">
        <v>54</v>
      </c>
      <c r="I24" s="64"/>
      <c r="J24" s="67" t="str">
        <f>+Puantaj!C28</f>
        <v>10048324686</v>
      </c>
      <c r="K24" s="64" t="str">
        <f>+Puantaj!D28</f>
        <v>BERAT</v>
      </c>
      <c r="L24" s="64" t="str">
        <f>+Puantaj!E28</f>
        <v>ÇAM</v>
      </c>
      <c r="M24" s="68">
        <f>+BORDRO!F28</f>
        <v>12</v>
      </c>
      <c r="N24" s="64"/>
      <c r="O24" s="79">
        <f>+BORDRO!G28</f>
        <v>12996</v>
      </c>
      <c r="P24" s="79">
        <v>0</v>
      </c>
      <c r="Q24" s="122"/>
      <c r="R24" s="69"/>
      <c r="S24" s="70"/>
      <c r="T24" s="70"/>
      <c r="U24" s="71"/>
      <c r="V24" s="72">
        <f t="shared" si="0"/>
        <v>19</v>
      </c>
      <c r="W24" s="73">
        <v>6</v>
      </c>
      <c r="X24" s="81" t="s">
        <v>99</v>
      </c>
      <c r="Y24" s="65">
        <v>2</v>
      </c>
      <c r="Z24" s="64" t="s">
        <v>51</v>
      </c>
      <c r="AA24" s="74" t="s">
        <v>781</v>
      </c>
      <c r="AB24" s="64">
        <v>2025</v>
      </c>
      <c r="AC24" s="64" t="s">
        <v>106</v>
      </c>
      <c r="AD24" s="80">
        <f>+BORDRO!J28</f>
        <v>12996</v>
      </c>
      <c r="AE24" s="75"/>
      <c r="AF24" s="75">
        <f>+BORDRO!K28</f>
        <v>1949.3999999999999</v>
      </c>
      <c r="AG24" s="75">
        <f>+BORDRO!L28</f>
        <v>1949.3999999999999</v>
      </c>
      <c r="AH24" s="80">
        <f>+BORDRO!M28</f>
        <v>0</v>
      </c>
      <c r="AI24" s="75">
        <f>+BORDRO!O28</f>
        <v>98.63964</v>
      </c>
      <c r="AJ24" s="76">
        <f>+BORDRO!P28</f>
        <v>0</v>
      </c>
    </row>
    <row r="25" spans="1:36" ht="13.8" x14ac:dyDescent="0.25">
      <c r="A25" s="64" t="s">
        <v>51</v>
      </c>
      <c r="B25" s="119">
        <v>46</v>
      </c>
      <c r="C25" s="64" t="s">
        <v>52</v>
      </c>
      <c r="D25" s="64" t="s">
        <v>53</v>
      </c>
      <c r="E25" s="64" t="s">
        <v>53</v>
      </c>
      <c r="F25" s="65">
        <v>1494768</v>
      </c>
      <c r="G25" s="66" t="s">
        <v>105</v>
      </c>
      <c r="H25" s="64" t="s">
        <v>54</v>
      </c>
      <c r="I25" s="64"/>
      <c r="J25" s="67" t="str">
        <f>+Puantaj!C29</f>
        <v>60583295750</v>
      </c>
      <c r="K25" s="64" t="str">
        <f>+Puantaj!D29</f>
        <v>BETÜL</v>
      </c>
      <c r="L25" s="64" t="str">
        <f>+Puantaj!E29</f>
        <v>ÖZTÜRK</v>
      </c>
      <c r="M25" s="68">
        <f>+BORDRO!F29</f>
        <v>13</v>
      </c>
      <c r="N25" s="64"/>
      <c r="O25" s="79">
        <f>+BORDRO!G29</f>
        <v>14079</v>
      </c>
      <c r="P25" s="79">
        <v>0</v>
      </c>
      <c r="Q25" s="122"/>
      <c r="R25" s="69"/>
      <c r="S25" s="70"/>
      <c r="T25" s="70"/>
      <c r="U25" s="71"/>
      <c r="V25" s="72">
        <f t="shared" si="0"/>
        <v>18</v>
      </c>
      <c r="W25" s="73">
        <v>6</v>
      </c>
      <c r="X25" s="81" t="s">
        <v>99</v>
      </c>
      <c r="Y25" s="65">
        <v>2</v>
      </c>
      <c r="Z25" s="64" t="s">
        <v>51</v>
      </c>
      <c r="AA25" s="74" t="s">
        <v>781</v>
      </c>
      <c r="AB25" s="64">
        <v>2025</v>
      </c>
      <c r="AC25" s="64" t="s">
        <v>106</v>
      </c>
      <c r="AD25" s="80">
        <f>+BORDRO!J29</f>
        <v>14079</v>
      </c>
      <c r="AE25" s="75"/>
      <c r="AF25" s="75">
        <f>+BORDRO!K29</f>
        <v>2111.85</v>
      </c>
      <c r="AG25" s="75">
        <f>+BORDRO!L29</f>
        <v>2111.85</v>
      </c>
      <c r="AH25" s="80">
        <f>+BORDRO!M29</f>
        <v>0</v>
      </c>
      <c r="AI25" s="75">
        <f>+BORDRO!O29</f>
        <v>106.85961</v>
      </c>
      <c r="AJ25" s="76">
        <f>+BORDRO!P29</f>
        <v>0</v>
      </c>
    </row>
    <row r="26" spans="1:36" ht="13.8" x14ac:dyDescent="0.25">
      <c r="A26" s="64" t="s">
        <v>51</v>
      </c>
      <c r="B26" s="120">
        <v>46</v>
      </c>
      <c r="C26" s="64" t="s">
        <v>52</v>
      </c>
      <c r="D26" s="64" t="s">
        <v>53</v>
      </c>
      <c r="E26" s="64" t="s">
        <v>53</v>
      </c>
      <c r="F26" s="65">
        <v>1494768</v>
      </c>
      <c r="G26" s="66" t="s">
        <v>105</v>
      </c>
      <c r="H26" s="64" t="s">
        <v>54</v>
      </c>
      <c r="I26" s="64"/>
      <c r="J26" s="67" t="str">
        <f>+Puantaj!C30</f>
        <v>15829750838</v>
      </c>
      <c r="K26" s="64" t="str">
        <f>+Puantaj!D30</f>
        <v>BETÜL</v>
      </c>
      <c r="L26" s="64" t="str">
        <f>+Puantaj!E30</f>
        <v>UYAR</v>
      </c>
      <c r="M26" s="68">
        <f>+BORDRO!F30</f>
        <v>12</v>
      </c>
      <c r="N26" s="64"/>
      <c r="O26" s="79">
        <f>+BORDRO!G30</f>
        <v>12996</v>
      </c>
      <c r="P26" s="79">
        <v>0</v>
      </c>
      <c r="Q26" s="122"/>
      <c r="R26" s="69"/>
      <c r="S26" s="70"/>
      <c r="T26" s="70"/>
      <c r="U26" s="71"/>
      <c r="V26" s="72">
        <f t="shared" si="0"/>
        <v>19</v>
      </c>
      <c r="W26" s="73">
        <v>6</v>
      </c>
      <c r="X26" s="81" t="s">
        <v>99</v>
      </c>
      <c r="Y26" s="65">
        <v>2</v>
      </c>
      <c r="Z26" s="64" t="s">
        <v>51</v>
      </c>
      <c r="AA26" s="74" t="s">
        <v>781</v>
      </c>
      <c r="AB26" s="64">
        <v>2025</v>
      </c>
      <c r="AC26" s="64" t="s">
        <v>106</v>
      </c>
      <c r="AD26" s="80">
        <f>+BORDRO!J30</f>
        <v>12996</v>
      </c>
      <c r="AE26" s="75"/>
      <c r="AF26" s="75">
        <f>+BORDRO!K30</f>
        <v>1949.3999999999999</v>
      </c>
      <c r="AG26" s="75">
        <f>+BORDRO!L30</f>
        <v>1949.3999999999999</v>
      </c>
      <c r="AH26" s="80">
        <f>+BORDRO!M30</f>
        <v>0</v>
      </c>
      <c r="AI26" s="75">
        <f>+BORDRO!O30</f>
        <v>98.63964</v>
      </c>
      <c r="AJ26" s="76">
        <f>+BORDRO!P30</f>
        <v>0</v>
      </c>
    </row>
    <row r="27" spans="1:36" ht="13.8" x14ac:dyDescent="0.25">
      <c r="A27" s="64" t="s">
        <v>51</v>
      </c>
      <c r="B27" s="119">
        <v>46</v>
      </c>
      <c r="C27" s="64" t="s">
        <v>52</v>
      </c>
      <c r="D27" s="64" t="s">
        <v>53</v>
      </c>
      <c r="E27" s="64" t="s">
        <v>53</v>
      </c>
      <c r="F27" s="65">
        <v>1494768</v>
      </c>
      <c r="G27" s="66" t="s">
        <v>105</v>
      </c>
      <c r="H27" s="64" t="s">
        <v>54</v>
      </c>
      <c r="I27" s="64"/>
      <c r="J27" s="67" t="str">
        <f>+Puantaj!C31</f>
        <v>12029296494</v>
      </c>
      <c r="K27" s="64" t="str">
        <f>+Puantaj!D31</f>
        <v>BİLAL EMİR</v>
      </c>
      <c r="L27" s="64" t="str">
        <f>+Puantaj!E31</f>
        <v>GÖK</v>
      </c>
      <c r="M27" s="68">
        <f>+BORDRO!F31</f>
        <v>15</v>
      </c>
      <c r="N27" s="64"/>
      <c r="O27" s="79">
        <f>+BORDRO!G31</f>
        <v>16245</v>
      </c>
      <c r="P27" s="79">
        <v>0</v>
      </c>
      <c r="Q27" s="122"/>
      <c r="R27" s="69"/>
      <c r="S27" s="70"/>
      <c r="T27" s="70"/>
      <c r="U27" s="71"/>
      <c r="V27" s="72">
        <f t="shared" si="0"/>
        <v>16</v>
      </c>
      <c r="W27" s="73">
        <v>6</v>
      </c>
      <c r="X27" s="81" t="s">
        <v>99</v>
      </c>
      <c r="Y27" s="65">
        <v>2</v>
      </c>
      <c r="Z27" s="64" t="s">
        <v>51</v>
      </c>
      <c r="AA27" s="74" t="s">
        <v>781</v>
      </c>
      <c r="AB27" s="64">
        <v>2025</v>
      </c>
      <c r="AC27" s="64" t="s">
        <v>106</v>
      </c>
      <c r="AD27" s="80">
        <f>+BORDRO!J31</f>
        <v>16245</v>
      </c>
      <c r="AE27" s="75"/>
      <c r="AF27" s="75">
        <f>+BORDRO!K31</f>
        <v>2436.75</v>
      </c>
      <c r="AG27" s="75">
        <f>+BORDRO!L31</f>
        <v>2436.75</v>
      </c>
      <c r="AH27" s="80">
        <f>+BORDRO!M31</f>
        <v>0</v>
      </c>
      <c r="AI27" s="75">
        <f>+BORDRO!O31</f>
        <v>123.29955000000001</v>
      </c>
      <c r="AJ27" s="76">
        <f>+BORDRO!P31</f>
        <v>0</v>
      </c>
    </row>
    <row r="28" spans="1:36" ht="13.8" x14ac:dyDescent="0.25">
      <c r="A28" s="64" t="s">
        <v>51</v>
      </c>
      <c r="B28" s="120">
        <v>46</v>
      </c>
      <c r="C28" s="64" t="s">
        <v>52</v>
      </c>
      <c r="D28" s="64" t="s">
        <v>53</v>
      </c>
      <c r="E28" s="64" t="s">
        <v>53</v>
      </c>
      <c r="F28" s="65">
        <v>1494768</v>
      </c>
      <c r="G28" s="66" t="s">
        <v>105</v>
      </c>
      <c r="H28" s="64" t="s">
        <v>54</v>
      </c>
      <c r="I28" s="64"/>
      <c r="J28" s="67" t="str">
        <f>+Puantaj!C32</f>
        <v>11559114636</v>
      </c>
      <c r="K28" s="64" t="str">
        <f>+Puantaj!D32</f>
        <v>BİLAL</v>
      </c>
      <c r="L28" s="64" t="str">
        <f>+Puantaj!E32</f>
        <v>GÜNGÖR</v>
      </c>
      <c r="M28" s="68">
        <f>+BORDRO!F32</f>
        <v>1</v>
      </c>
      <c r="N28" s="64"/>
      <c r="O28" s="79">
        <f>+BORDRO!G32</f>
        <v>1083</v>
      </c>
      <c r="P28" s="79">
        <v>0</v>
      </c>
      <c r="Q28" s="122"/>
      <c r="R28" s="69"/>
      <c r="S28" s="70"/>
      <c r="T28" s="70"/>
      <c r="U28" s="71"/>
      <c r="V28" s="72">
        <f t="shared" si="0"/>
        <v>30</v>
      </c>
      <c r="W28" s="73">
        <v>6</v>
      </c>
      <c r="X28" s="81" t="s">
        <v>99</v>
      </c>
      <c r="Y28" s="65">
        <v>2</v>
      </c>
      <c r="Z28" s="64" t="s">
        <v>51</v>
      </c>
      <c r="AA28" s="74" t="s">
        <v>781</v>
      </c>
      <c r="AB28" s="64">
        <v>2025</v>
      </c>
      <c r="AC28" s="64" t="s">
        <v>106</v>
      </c>
      <c r="AD28" s="80">
        <f>+BORDRO!J32</f>
        <v>1083</v>
      </c>
      <c r="AE28" s="75"/>
      <c r="AF28" s="75">
        <f>+BORDRO!K32</f>
        <v>162.44999999999999</v>
      </c>
      <c r="AG28" s="75">
        <f>+BORDRO!L32</f>
        <v>162.44999999999999</v>
      </c>
      <c r="AH28" s="80">
        <f>+BORDRO!M32</f>
        <v>0</v>
      </c>
      <c r="AI28" s="75">
        <f>+BORDRO!O32</f>
        <v>8.21997</v>
      </c>
      <c r="AJ28" s="76">
        <f>+BORDRO!P32</f>
        <v>0</v>
      </c>
    </row>
    <row r="29" spans="1:36" ht="13.8" x14ac:dyDescent="0.25">
      <c r="A29" s="64" t="s">
        <v>51</v>
      </c>
      <c r="B29" s="119">
        <v>46</v>
      </c>
      <c r="C29" s="64" t="s">
        <v>52</v>
      </c>
      <c r="D29" s="64" t="s">
        <v>53</v>
      </c>
      <c r="E29" s="64" t="s">
        <v>53</v>
      </c>
      <c r="F29" s="65">
        <v>1494768</v>
      </c>
      <c r="G29" s="66" t="s">
        <v>105</v>
      </c>
      <c r="H29" s="64" t="s">
        <v>54</v>
      </c>
      <c r="I29" s="64"/>
      <c r="J29" s="67" t="str">
        <f>+Puantaj!C33</f>
        <v>16765732636</v>
      </c>
      <c r="K29" s="64" t="str">
        <f>+Puantaj!D33</f>
        <v>BUSE</v>
      </c>
      <c r="L29" s="64" t="str">
        <f>+Puantaj!E33</f>
        <v>ALACA</v>
      </c>
      <c r="M29" s="68">
        <f>+BORDRO!F33</f>
        <v>14</v>
      </c>
      <c r="N29" s="64"/>
      <c r="O29" s="79">
        <f>+BORDRO!G33</f>
        <v>15162</v>
      </c>
      <c r="P29" s="79">
        <v>0</v>
      </c>
      <c r="Q29" s="122"/>
      <c r="R29" s="69"/>
      <c r="S29" s="70"/>
      <c r="T29" s="70"/>
      <c r="U29" s="71"/>
      <c r="V29" s="72">
        <f t="shared" si="0"/>
        <v>17</v>
      </c>
      <c r="W29" s="73">
        <v>6</v>
      </c>
      <c r="X29" s="81" t="s">
        <v>99</v>
      </c>
      <c r="Y29" s="65">
        <v>2</v>
      </c>
      <c r="Z29" s="64" t="s">
        <v>51</v>
      </c>
      <c r="AA29" s="74" t="s">
        <v>781</v>
      </c>
      <c r="AB29" s="64">
        <v>2025</v>
      </c>
      <c r="AC29" s="64" t="s">
        <v>106</v>
      </c>
      <c r="AD29" s="80">
        <f>+BORDRO!J33</f>
        <v>15162</v>
      </c>
      <c r="AE29" s="75"/>
      <c r="AF29" s="75">
        <f>+BORDRO!K33</f>
        <v>2274.2999999999997</v>
      </c>
      <c r="AG29" s="75">
        <f>+BORDRO!L33</f>
        <v>2274.2999999999997</v>
      </c>
      <c r="AH29" s="80">
        <f>+BORDRO!M33</f>
        <v>0</v>
      </c>
      <c r="AI29" s="75">
        <f>+BORDRO!O33</f>
        <v>115.07958000000001</v>
      </c>
      <c r="AJ29" s="76">
        <f>+BORDRO!P33</f>
        <v>0</v>
      </c>
    </row>
    <row r="30" spans="1:36" ht="13.8" x14ac:dyDescent="0.25">
      <c r="A30" s="64" t="s">
        <v>51</v>
      </c>
      <c r="B30" s="120">
        <v>46</v>
      </c>
      <c r="C30" s="64" t="s">
        <v>52</v>
      </c>
      <c r="D30" s="64" t="s">
        <v>53</v>
      </c>
      <c r="E30" s="64" t="s">
        <v>53</v>
      </c>
      <c r="F30" s="65">
        <v>1494768</v>
      </c>
      <c r="G30" s="66" t="s">
        <v>105</v>
      </c>
      <c r="H30" s="64" t="s">
        <v>54</v>
      </c>
      <c r="I30" s="64"/>
      <c r="J30" s="67" t="str">
        <f>+Puantaj!C34</f>
        <v>10169157156</v>
      </c>
      <c r="K30" s="64" t="str">
        <f>+Puantaj!D34</f>
        <v>BUSE</v>
      </c>
      <c r="L30" s="64" t="str">
        <f>+Puantaj!E34</f>
        <v>PAMUK</v>
      </c>
      <c r="M30" s="68">
        <f>+BORDRO!F34</f>
        <v>4</v>
      </c>
      <c r="N30" s="64"/>
      <c r="O30" s="79">
        <f>+BORDRO!G34</f>
        <v>4332</v>
      </c>
      <c r="P30" s="79">
        <v>0</v>
      </c>
      <c r="Q30" s="122"/>
      <c r="R30" s="69"/>
      <c r="S30" s="70" t="s">
        <v>835</v>
      </c>
      <c r="T30" s="70" t="s">
        <v>822</v>
      </c>
      <c r="U30" s="71">
        <v>3</v>
      </c>
      <c r="V30" s="72">
        <f t="shared" si="0"/>
        <v>27</v>
      </c>
      <c r="W30" s="73">
        <v>6</v>
      </c>
      <c r="X30" s="81" t="s">
        <v>99</v>
      </c>
      <c r="Y30" s="65">
        <v>2</v>
      </c>
      <c r="Z30" s="64" t="s">
        <v>51</v>
      </c>
      <c r="AA30" s="74" t="s">
        <v>781</v>
      </c>
      <c r="AB30" s="64">
        <v>2025</v>
      </c>
      <c r="AC30" s="64" t="s">
        <v>106</v>
      </c>
      <c r="AD30" s="80">
        <f>+BORDRO!J34</f>
        <v>4332</v>
      </c>
      <c r="AE30" s="75"/>
      <c r="AF30" s="75">
        <f>+BORDRO!K34</f>
        <v>649.79999999999995</v>
      </c>
      <c r="AG30" s="75">
        <f>+BORDRO!L34</f>
        <v>649.79999999999995</v>
      </c>
      <c r="AH30" s="80">
        <f>+BORDRO!M34</f>
        <v>0</v>
      </c>
      <c r="AI30" s="75">
        <f>+BORDRO!O34</f>
        <v>32.87988</v>
      </c>
      <c r="AJ30" s="76">
        <f>+BORDRO!P34</f>
        <v>0</v>
      </c>
    </row>
    <row r="31" spans="1:36" ht="13.8" x14ac:dyDescent="0.25">
      <c r="A31" s="64" t="s">
        <v>51</v>
      </c>
      <c r="B31" s="119">
        <v>46</v>
      </c>
      <c r="C31" s="64" t="s">
        <v>52</v>
      </c>
      <c r="D31" s="64" t="s">
        <v>53</v>
      </c>
      <c r="E31" s="64" t="s">
        <v>53</v>
      </c>
      <c r="F31" s="65">
        <v>1494768</v>
      </c>
      <c r="G31" s="66" t="s">
        <v>105</v>
      </c>
      <c r="H31" s="64" t="s">
        <v>54</v>
      </c>
      <c r="I31" s="64"/>
      <c r="J31" s="67" t="str">
        <f>+Puantaj!C35</f>
        <v>22309168236</v>
      </c>
      <c r="K31" s="64" t="str">
        <f>+Puantaj!D35</f>
        <v>CAFER</v>
      </c>
      <c r="L31" s="64" t="str">
        <f>+Puantaj!E35</f>
        <v>SOYLU</v>
      </c>
      <c r="M31" s="68">
        <f>+BORDRO!F35</f>
        <v>14</v>
      </c>
      <c r="N31" s="64"/>
      <c r="O31" s="79">
        <f>+BORDRO!G35</f>
        <v>15162</v>
      </c>
      <c r="P31" s="79">
        <v>0</v>
      </c>
      <c r="Q31" s="122"/>
      <c r="R31" s="69"/>
      <c r="S31" s="70"/>
      <c r="T31" s="70"/>
      <c r="U31" s="71"/>
      <c r="V31" s="72">
        <f t="shared" si="0"/>
        <v>17</v>
      </c>
      <c r="W31" s="73">
        <v>6</v>
      </c>
      <c r="X31" s="81" t="s">
        <v>99</v>
      </c>
      <c r="Y31" s="65">
        <v>2</v>
      </c>
      <c r="Z31" s="64" t="s">
        <v>51</v>
      </c>
      <c r="AA31" s="74" t="s">
        <v>781</v>
      </c>
      <c r="AB31" s="64">
        <v>2025</v>
      </c>
      <c r="AC31" s="64" t="s">
        <v>106</v>
      </c>
      <c r="AD31" s="80">
        <f>+BORDRO!J35</f>
        <v>15162</v>
      </c>
      <c r="AE31" s="75"/>
      <c r="AF31" s="75">
        <f>+BORDRO!K35</f>
        <v>2274.2999999999997</v>
      </c>
      <c r="AG31" s="75">
        <f>+BORDRO!L35</f>
        <v>2274.2999999999997</v>
      </c>
      <c r="AH31" s="80">
        <f>+BORDRO!M35</f>
        <v>0</v>
      </c>
      <c r="AI31" s="75">
        <f>+BORDRO!O35</f>
        <v>115.07958000000001</v>
      </c>
      <c r="AJ31" s="76">
        <f>+BORDRO!P35</f>
        <v>0</v>
      </c>
    </row>
    <row r="32" spans="1:36" ht="13.8" x14ac:dyDescent="0.25">
      <c r="A32" s="64" t="s">
        <v>51</v>
      </c>
      <c r="B32" s="120">
        <v>46</v>
      </c>
      <c r="C32" s="64" t="s">
        <v>52</v>
      </c>
      <c r="D32" s="64" t="s">
        <v>53</v>
      </c>
      <c r="E32" s="64" t="s">
        <v>53</v>
      </c>
      <c r="F32" s="65">
        <v>1494768</v>
      </c>
      <c r="G32" s="66" t="s">
        <v>105</v>
      </c>
      <c r="H32" s="64" t="s">
        <v>54</v>
      </c>
      <c r="I32" s="64"/>
      <c r="J32" s="67" t="str">
        <f>+Puantaj!C36</f>
        <v>15725667650</v>
      </c>
      <c r="K32" s="64" t="str">
        <f>+Puantaj!D36</f>
        <v>CANER</v>
      </c>
      <c r="L32" s="64" t="str">
        <f>+Puantaj!E36</f>
        <v>YILDIZ</v>
      </c>
      <c r="M32" s="68">
        <f>+BORDRO!F36</f>
        <v>14</v>
      </c>
      <c r="N32" s="64"/>
      <c r="O32" s="79">
        <f>+BORDRO!G36</f>
        <v>15162</v>
      </c>
      <c r="P32" s="79">
        <v>0</v>
      </c>
      <c r="Q32" s="122"/>
      <c r="R32" s="69"/>
      <c r="S32" s="70"/>
      <c r="T32" s="70"/>
      <c r="U32" s="71"/>
      <c r="V32" s="72">
        <f t="shared" si="0"/>
        <v>17</v>
      </c>
      <c r="W32" s="73">
        <v>6</v>
      </c>
      <c r="X32" s="81" t="s">
        <v>99</v>
      </c>
      <c r="Y32" s="65">
        <v>2</v>
      </c>
      <c r="Z32" s="64" t="s">
        <v>51</v>
      </c>
      <c r="AA32" s="74" t="s">
        <v>781</v>
      </c>
      <c r="AB32" s="64">
        <v>2025</v>
      </c>
      <c r="AC32" s="64" t="s">
        <v>106</v>
      </c>
      <c r="AD32" s="80">
        <f>+BORDRO!J36</f>
        <v>15162</v>
      </c>
      <c r="AE32" s="75"/>
      <c r="AF32" s="75">
        <f>+BORDRO!K36</f>
        <v>2274.2999999999997</v>
      </c>
      <c r="AG32" s="75">
        <f>+BORDRO!L36</f>
        <v>2274.2999999999997</v>
      </c>
      <c r="AH32" s="80">
        <f>+BORDRO!M36</f>
        <v>0</v>
      </c>
      <c r="AI32" s="75">
        <f>+BORDRO!O36</f>
        <v>115.07958000000001</v>
      </c>
      <c r="AJ32" s="76">
        <f>+BORDRO!P36</f>
        <v>0</v>
      </c>
    </row>
    <row r="33" spans="1:36" ht="13.8" x14ac:dyDescent="0.25">
      <c r="A33" s="64" t="s">
        <v>51</v>
      </c>
      <c r="B33" s="119">
        <v>46</v>
      </c>
      <c r="C33" s="64" t="s">
        <v>52</v>
      </c>
      <c r="D33" s="64" t="s">
        <v>53</v>
      </c>
      <c r="E33" s="64" t="s">
        <v>53</v>
      </c>
      <c r="F33" s="65">
        <v>1494768</v>
      </c>
      <c r="G33" s="66" t="s">
        <v>105</v>
      </c>
      <c r="H33" s="64" t="s">
        <v>54</v>
      </c>
      <c r="I33" s="64"/>
      <c r="J33" s="67" t="str">
        <f>+Puantaj!C37</f>
        <v>15709804262</v>
      </c>
      <c r="K33" s="64" t="str">
        <f>+Puantaj!D37</f>
        <v>CEMAL AFŞİN</v>
      </c>
      <c r="L33" s="64" t="str">
        <f>+Puantaj!E37</f>
        <v>TÜRKYILMAZ</v>
      </c>
      <c r="M33" s="68">
        <f>+BORDRO!F37</f>
        <v>12</v>
      </c>
      <c r="N33" s="64"/>
      <c r="O33" s="79">
        <f>+BORDRO!G37</f>
        <v>12996</v>
      </c>
      <c r="P33" s="79">
        <v>0</v>
      </c>
      <c r="Q33" s="122"/>
      <c r="R33" s="69"/>
      <c r="S33" s="70"/>
      <c r="T33" s="70"/>
      <c r="U33" s="71"/>
      <c r="V33" s="72">
        <f t="shared" si="0"/>
        <v>19</v>
      </c>
      <c r="W33" s="73">
        <v>6</v>
      </c>
      <c r="X33" s="81" t="s">
        <v>99</v>
      </c>
      <c r="Y33" s="65">
        <v>2</v>
      </c>
      <c r="Z33" s="64" t="s">
        <v>51</v>
      </c>
      <c r="AA33" s="74" t="s">
        <v>781</v>
      </c>
      <c r="AB33" s="64">
        <v>2025</v>
      </c>
      <c r="AC33" s="64" t="s">
        <v>106</v>
      </c>
      <c r="AD33" s="80">
        <f>+BORDRO!J37</f>
        <v>12996</v>
      </c>
      <c r="AE33" s="75"/>
      <c r="AF33" s="75">
        <f>+BORDRO!K37</f>
        <v>1949.3999999999999</v>
      </c>
      <c r="AG33" s="75">
        <f>+BORDRO!L37</f>
        <v>1949.3999999999999</v>
      </c>
      <c r="AH33" s="80">
        <f>+BORDRO!M37</f>
        <v>0</v>
      </c>
      <c r="AI33" s="75">
        <f>+BORDRO!O37</f>
        <v>98.63964</v>
      </c>
      <c r="AJ33" s="76">
        <f>+BORDRO!P37</f>
        <v>0</v>
      </c>
    </row>
    <row r="34" spans="1:36" ht="13.8" x14ac:dyDescent="0.25">
      <c r="A34" s="64" t="s">
        <v>51</v>
      </c>
      <c r="B34" s="120">
        <v>46</v>
      </c>
      <c r="C34" s="64" t="s">
        <v>52</v>
      </c>
      <c r="D34" s="64" t="s">
        <v>53</v>
      </c>
      <c r="E34" s="64" t="s">
        <v>53</v>
      </c>
      <c r="F34" s="65">
        <v>1494768</v>
      </c>
      <c r="G34" s="66" t="s">
        <v>105</v>
      </c>
      <c r="H34" s="64" t="s">
        <v>54</v>
      </c>
      <c r="I34" s="64"/>
      <c r="J34" s="67" t="str">
        <f>+Puantaj!C38</f>
        <v>10841685564</v>
      </c>
      <c r="K34" s="64" t="str">
        <f>+Puantaj!D38</f>
        <v>CEMRE</v>
      </c>
      <c r="L34" s="64" t="str">
        <f>+Puantaj!E38</f>
        <v>GÜRŞEN</v>
      </c>
      <c r="M34" s="68">
        <f>+BORDRO!F38</f>
        <v>14</v>
      </c>
      <c r="N34" s="64"/>
      <c r="O34" s="79">
        <f>+BORDRO!G38</f>
        <v>15162</v>
      </c>
      <c r="P34" s="79">
        <v>0</v>
      </c>
      <c r="Q34" s="122"/>
      <c r="R34" s="69"/>
      <c r="S34" s="70"/>
      <c r="T34" s="70"/>
      <c r="U34" s="71"/>
      <c r="V34" s="72">
        <f t="shared" si="0"/>
        <v>17</v>
      </c>
      <c r="W34" s="73">
        <v>6</v>
      </c>
      <c r="X34" s="81" t="s">
        <v>99</v>
      </c>
      <c r="Y34" s="65">
        <v>2</v>
      </c>
      <c r="Z34" s="64" t="s">
        <v>51</v>
      </c>
      <c r="AA34" s="74" t="s">
        <v>781</v>
      </c>
      <c r="AB34" s="64">
        <v>2025</v>
      </c>
      <c r="AC34" s="64" t="s">
        <v>106</v>
      </c>
      <c r="AD34" s="80">
        <f>+BORDRO!J38</f>
        <v>15162</v>
      </c>
      <c r="AE34" s="75"/>
      <c r="AF34" s="75">
        <f>+BORDRO!K38</f>
        <v>2274.2999999999997</v>
      </c>
      <c r="AG34" s="75">
        <f>+BORDRO!L38</f>
        <v>2274.2999999999997</v>
      </c>
      <c r="AH34" s="80">
        <f>+BORDRO!M38</f>
        <v>0</v>
      </c>
      <c r="AI34" s="75">
        <f>+BORDRO!O38</f>
        <v>115.07958000000001</v>
      </c>
      <c r="AJ34" s="76">
        <f>+BORDRO!P38</f>
        <v>0</v>
      </c>
    </row>
    <row r="35" spans="1:36" ht="13.8" x14ac:dyDescent="0.25">
      <c r="A35" s="64" t="s">
        <v>51</v>
      </c>
      <c r="B35" s="119">
        <v>46</v>
      </c>
      <c r="C35" s="64" t="s">
        <v>52</v>
      </c>
      <c r="D35" s="64" t="s">
        <v>53</v>
      </c>
      <c r="E35" s="64" t="s">
        <v>53</v>
      </c>
      <c r="F35" s="65">
        <v>1494768</v>
      </c>
      <c r="G35" s="66" t="s">
        <v>105</v>
      </c>
      <c r="H35" s="64" t="s">
        <v>54</v>
      </c>
      <c r="I35" s="64"/>
      <c r="J35" s="67" t="str">
        <f>+Puantaj!C39</f>
        <v>11102488016</v>
      </c>
      <c r="K35" s="64" t="str">
        <f>+Puantaj!D39</f>
        <v>CEREN</v>
      </c>
      <c r="L35" s="64" t="str">
        <f>+Puantaj!E39</f>
        <v>YILDIRIM</v>
      </c>
      <c r="M35" s="68">
        <f>+BORDRO!F39</f>
        <v>13</v>
      </c>
      <c r="N35" s="64"/>
      <c r="O35" s="79">
        <f>+BORDRO!G39</f>
        <v>14079</v>
      </c>
      <c r="P35" s="79">
        <v>0</v>
      </c>
      <c r="Q35" s="122"/>
      <c r="R35" s="69"/>
      <c r="S35" s="70"/>
      <c r="T35" s="70"/>
      <c r="U35" s="71"/>
      <c r="V35" s="72">
        <f t="shared" si="0"/>
        <v>18</v>
      </c>
      <c r="W35" s="73">
        <v>6</v>
      </c>
      <c r="X35" s="81" t="s">
        <v>99</v>
      </c>
      <c r="Y35" s="65">
        <v>2</v>
      </c>
      <c r="Z35" s="64" t="s">
        <v>51</v>
      </c>
      <c r="AA35" s="74" t="s">
        <v>781</v>
      </c>
      <c r="AB35" s="64">
        <v>2025</v>
      </c>
      <c r="AC35" s="64" t="s">
        <v>106</v>
      </c>
      <c r="AD35" s="80">
        <f>+BORDRO!J39</f>
        <v>14079</v>
      </c>
      <c r="AE35" s="75"/>
      <c r="AF35" s="75">
        <f>+BORDRO!K39</f>
        <v>2111.85</v>
      </c>
      <c r="AG35" s="75">
        <f>+BORDRO!L39</f>
        <v>2111.85</v>
      </c>
      <c r="AH35" s="80">
        <f>+BORDRO!M39</f>
        <v>0</v>
      </c>
      <c r="AI35" s="75">
        <f>+BORDRO!O39</f>
        <v>106.85961</v>
      </c>
      <c r="AJ35" s="76">
        <f>+BORDRO!P39</f>
        <v>0</v>
      </c>
    </row>
    <row r="36" spans="1:36" ht="13.8" x14ac:dyDescent="0.25">
      <c r="A36" s="64" t="s">
        <v>51</v>
      </c>
      <c r="B36" s="120">
        <v>46</v>
      </c>
      <c r="C36" s="64" t="s">
        <v>52</v>
      </c>
      <c r="D36" s="64" t="s">
        <v>53</v>
      </c>
      <c r="E36" s="64" t="s">
        <v>53</v>
      </c>
      <c r="F36" s="65">
        <v>1494768</v>
      </c>
      <c r="G36" s="66" t="s">
        <v>105</v>
      </c>
      <c r="H36" s="64" t="s">
        <v>54</v>
      </c>
      <c r="I36" s="64"/>
      <c r="J36" s="67" t="str">
        <f>+Puantaj!C40</f>
        <v>45631014194</v>
      </c>
      <c r="K36" s="64" t="str">
        <f>+Puantaj!D40</f>
        <v>ÇAĞLAYAN EFE</v>
      </c>
      <c r="L36" s="64" t="str">
        <f>+Puantaj!E40</f>
        <v>KOYUNCU</v>
      </c>
      <c r="M36" s="68">
        <f>+BORDRO!F40</f>
        <v>12</v>
      </c>
      <c r="N36" s="64"/>
      <c r="O36" s="79">
        <f>+BORDRO!G40</f>
        <v>12996</v>
      </c>
      <c r="P36" s="79">
        <v>0</v>
      </c>
      <c r="Q36" s="122"/>
      <c r="R36" s="69"/>
      <c r="S36" s="70"/>
      <c r="T36" s="70"/>
      <c r="U36" s="71"/>
      <c r="V36" s="72">
        <f t="shared" si="0"/>
        <v>19</v>
      </c>
      <c r="W36" s="73">
        <v>6</v>
      </c>
      <c r="X36" s="81" t="s">
        <v>99</v>
      </c>
      <c r="Y36" s="65">
        <v>2</v>
      </c>
      <c r="Z36" s="64" t="s">
        <v>51</v>
      </c>
      <c r="AA36" s="74" t="s">
        <v>781</v>
      </c>
      <c r="AB36" s="64">
        <v>2025</v>
      </c>
      <c r="AC36" s="64" t="s">
        <v>106</v>
      </c>
      <c r="AD36" s="80">
        <f>+BORDRO!J40</f>
        <v>12996</v>
      </c>
      <c r="AE36" s="75"/>
      <c r="AF36" s="75">
        <f>+BORDRO!K40</f>
        <v>1949.3999999999999</v>
      </c>
      <c r="AG36" s="75">
        <f>+BORDRO!L40</f>
        <v>1949.3999999999999</v>
      </c>
      <c r="AH36" s="80">
        <f>+BORDRO!M40</f>
        <v>0</v>
      </c>
      <c r="AI36" s="75">
        <f>+BORDRO!O40</f>
        <v>98.63964</v>
      </c>
      <c r="AJ36" s="76">
        <f>+BORDRO!P40</f>
        <v>0</v>
      </c>
    </row>
    <row r="37" spans="1:36" ht="13.8" x14ac:dyDescent="0.25">
      <c r="A37" s="64" t="s">
        <v>51</v>
      </c>
      <c r="B37" s="119">
        <v>46</v>
      </c>
      <c r="C37" s="64" t="s">
        <v>52</v>
      </c>
      <c r="D37" s="64" t="s">
        <v>53</v>
      </c>
      <c r="E37" s="64" t="s">
        <v>53</v>
      </c>
      <c r="F37" s="65">
        <v>1494768</v>
      </c>
      <c r="G37" s="66" t="s">
        <v>105</v>
      </c>
      <c r="H37" s="64" t="s">
        <v>54</v>
      </c>
      <c r="I37" s="64"/>
      <c r="J37" s="67" t="str">
        <f>+Puantaj!C41</f>
        <v>64426278672</v>
      </c>
      <c r="K37" s="64" t="str">
        <f>+Puantaj!D41</f>
        <v>DİCLE</v>
      </c>
      <c r="L37" s="64" t="str">
        <f>+Puantaj!E41</f>
        <v>GEYİK</v>
      </c>
      <c r="M37" s="68">
        <f>+BORDRO!F41</f>
        <v>13</v>
      </c>
      <c r="N37" s="64"/>
      <c r="O37" s="79">
        <f>+BORDRO!G41</f>
        <v>14079</v>
      </c>
      <c r="P37" s="79">
        <v>0</v>
      </c>
      <c r="Q37" s="122"/>
      <c r="R37" s="69"/>
      <c r="S37" s="70"/>
      <c r="T37" s="70"/>
      <c r="U37" s="71"/>
      <c r="V37" s="72">
        <f t="shared" si="0"/>
        <v>18</v>
      </c>
      <c r="W37" s="73">
        <v>6</v>
      </c>
      <c r="X37" s="81" t="s">
        <v>99</v>
      </c>
      <c r="Y37" s="65">
        <v>2</v>
      </c>
      <c r="Z37" s="64" t="s">
        <v>51</v>
      </c>
      <c r="AA37" s="74" t="s">
        <v>781</v>
      </c>
      <c r="AB37" s="64">
        <v>2025</v>
      </c>
      <c r="AC37" s="64" t="s">
        <v>106</v>
      </c>
      <c r="AD37" s="80">
        <f>+BORDRO!J41</f>
        <v>14079</v>
      </c>
      <c r="AE37" s="75"/>
      <c r="AF37" s="75">
        <f>+BORDRO!K41</f>
        <v>2111.85</v>
      </c>
      <c r="AG37" s="75">
        <f>+BORDRO!L41</f>
        <v>2111.85</v>
      </c>
      <c r="AH37" s="80">
        <f>+BORDRO!M41</f>
        <v>0</v>
      </c>
      <c r="AI37" s="75">
        <f>+BORDRO!O41</f>
        <v>106.85961</v>
      </c>
      <c r="AJ37" s="76">
        <f>+BORDRO!P41</f>
        <v>0</v>
      </c>
    </row>
    <row r="38" spans="1:36" ht="13.8" x14ac:dyDescent="0.25">
      <c r="A38" s="64" t="s">
        <v>51</v>
      </c>
      <c r="B38" s="120">
        <v>46</v>
      </c>
      <c r="C38" s="64" t="s">
        <v>52</v>
      </c>
      <c r="D38" s="64" t="s">
        <v>53</v>
      </c>
      <c r="E38" s="64" t="s">
        <v>53</v>
      </c>
      <c r="F38" s="65">
        <v>1494768</v>
      </c>
      <c r="G38" s="66" t="s">
        <v>105</v>
      </c>
      <c r="H38" s="64" t="s">
        <v>54</v>
      </c>
      <c r="I38" s="64"/>
      <c r="J38" s="67" t="str">
        <f>+Puantaj!C42</f>
        <v>11158958198</v>
      </c>
      <c r="K38" s="64" t="str">
        <f>+Puantaj!D42</f>
        <v>ECEM</v>
      </c>
      <c r="L38" s="64" t="str">
        <f>+Puantaj!E42</f>
        <v>BULUT</v>
      </c>
      <c r="M38" s="68">
        <f>+BORDRO!F42</f>
        <v>13</v>
      </c>
      <c r="N38" s="64"/>
      <c r="O38" s="79">
        <f>+BORDRO!G42</f>
        <v>14079</v>
      </c>
      <c r="P38" s="79">
        <v>0</v>
      </c>
      <c r="Q38" s="122"/>
      <c r="R38" s="69"/>
      <c r="S38" s="70"/>
      <c r="T38" s="70"/>
      <c r="U38" s="71"/>
      <c r="V38" s="72">
        <f t="shared" si="0"/>
        <v>18</v>
      </c>
      <c r="W38" s="73">
        <v>6</v>
      </c>
      <c r="X38" s="81" t="s">
        <v>99</v>
      </c>
      <c r="Y38" s="65">
        <v>2</v>
      </c>
      <c r="Z38" s="64" t="s">
        <v>51</v>
      </c>
      <c r="AA38" s="74" t="s">
        <v>781</v>
      </c>
      <c r="AB38" s="64">
        <v>2025</v>
      </c>
      <c r="AC38" s="64" t="s">
        <v>106</v>
      </c>
      <c r="AD38" s="80">
        <f>+BORDRO!J42</f>
        <v>14079</v>
      </c>
      <c r="AE38" s="75"/>
      <c r="AF38" s="75">
        <f>+BORDRO!K42</f>
        <v>2111.85</v>
      </c>
      <c r="AG38" s="75">
        <f>+BORDRO!L42</f>
        <v>2111.85</v>
      </c>
      <c r="AH38" s="80">
        <f>+BORDRO!M42</f>
        <v>0</v>
      </c>
      <c r="AI38" s="75">
        <f>+BORDRO!O42</f>
        <v>106.85961</v>
      </c>
      <c r="AJ38" s="76">
        <f>+BORDRO!P42</f>
        <v>0</v>
      </c>
    </row>
    <row r="39" spans="1:36" ht="13.8" x14ac:dyDescent="0.25">
      <c r="A39" s="64" t="s">
        <v>51</v>
      </c>
      <c r="B39" s="119">
        <v>46</v>
      </c>
      <c r="C39" s="64" t="s">
        <v>52</v>
      </c>
      <c r="D39" s="64" t="s">
        <v>53</v>
      </c>
      <c r="E39" s="64" t="s">
        <v>53</v>
      </c>
      <c r="F39" s="65">
        <v>1494768</v>
      </c>
      <c r="G39" s="66" t="s">
        <v>105</v>
      </c>
      <c r="H39" s="64" t="s">
        <v>54</v>
      </c>
      <c r="I39" s="64"/>
      <c r="J39" s="67" t="str">
        <f>+Puantaj!C43</f>
        <v>10438965994</v>
      </c>
      <c r="K39" s="64" t="str">
        <f>+Puantaj!D43</f>
        <v>EFE</v>
      </c>
      <c r="L39" s="64" t="str">
        <f>+Puantaj!E43</f>
        <v>FEVZİOĞLU</v>
      </c>
      <c r="M39" s="68">
        <f>+BORDRO!F43</f>
        <v>14</v>
      </c>
      <c r="N39" s="64"/>
      <c r="O39" s="79">
        <f>+BORDRO!G43</f>
        <v>15162</v>
      </c>
      <c r="P39" s="79">
        <v>0</v>
      </c>
      <c r="Q39" s="122"/>
      <c r="R39" s="69"/>
      <c r="S39" s="70"/>
      <c r="T39" s="70"/>
      <c r="U39" s="71"/>
      <c r="V39" s="72">
        <f t="shared" si="0"/>
        <v>17</v>
      </c>
      <c r="W39" s="73">
        <v>6</v>
      </c>
      <c r="X39" s="81" t="s">
        <v>99</v>
      </c>
      <c r="Y39" s="65">
        <v>2</v>
      </c>
      <c r="Z39" s="64" t="s">
        <v>51</v>
      </c>
      <c r="AA39" s="74" t="s">
        <v>781</v>
      </c>
      <c r="AB39" s="64">
        <v>2025</v>
      </c>
      <c r="AC39" s="64" t="s">
        <v>106</v>
      </c>
      <c r="AD39" s="80">
        <f>+BORDRO!J43</f>
        <v>15162</v>
      </c>
      <c r="AE39" s="75"/>
      <c r="AF39" s="75">
        <f>+BORDRO!K43</f>
        <v>2274.2999999999997</v>
      </c>
      <c r="AG39" s="75">
        <f>+BORDRO!L43</f>
        <v>2274.2999999999997</v>
      </c>
      <c r="AH39" s="80">
        <f>+BORDRO!M43</f>
        <v>0</v>
      </c>
      <c r="AI39" s="75">
        <f>+BORDRO!O43</f>
        <v>115.07958000000001</v>
      </c>
      <c r="AJ39" s="76">
        <f>+BORDRO!P43</f>
        <v>0</v>
      </c>
    </row>
    <row r="40" spans="1:36" ht="13.8" x14ac:dyDescent="0.25">
      <c r="A40" s="64" t="s">
        <v>51</v>
      </c>
      <c r="B40" s="120">
        <v>46</v>
      </c>
      <c r="C40" s="64" t="s">
        <v>52</v>
      </c>
      <c r="D40" s="64" t="s">
        <v>53</v>
      </c>
      <c r="E40" s="64" t="s">
        <v>53</v>
      </c>
      <c r="F40" s="65">
        <v>1494768</v>
      </c>
      <c r="G40" s="66" t="s">
        <v>105</v>
      </c>
      <c r="H40" s="64" t="s">
        <v>54</v>
      </c>
      <c r="I40" s="64"/>
      <c r="J40" s="67" t="str">
        <f>+Puantaj!C44</f>
        <v>10634557832</v>
      </c>
      <c r="K40" s="64" t="str">
        <f>+Puantaj!D44</f>
        <v>EFE</v>
      </c>
      <c r="L40" s="64" t="str">
        <f>+Puantaj!E44</f>
        <v>ŞAHİN</v>
      </c>
      <c r="M40" s="68">
        <f>+BORDRO!F44</f>
        <v>14</v>
      </c>
      <c r="N40" s="64"/>
      <c r="O40" s="79">
        <f>+BORDRO!G44</f>
        <v>15162</v>
      </c>
      <c r="P40" s="79">
        <v>0</v>
      </c>
      <c r="Q40" s="122"/>
      <c r="R40" s="69"/>
      <c r="S40" s="70"/>
      <c r="T40" s="70"/>
      <c r="U40" s="71"/>
      <c r="V40" s="72">
        <f t="shared" si="0"/>
        <v>17</v>
      </c>
      <c r="W40" s="73">
        <v>6</v>
      </c>
      <c r="X40" s="81" t="s">
        <v>99</v>
      </c>
      <c r="Y40" s="65">
        <v>2</v>
      </c>
      <c r="Z40" s="64" t="s">
        <v>51</v>
      </c>
      <c r="AA40" s="74" t="s">
        <v>781</v>
      </c>
      <c r="AB40" s="64">
        <v>2025</v>
      </c>
      <c r="AC40" s="64" t="s">
        <v>106</v>
      </c>
      <c r="AD40" s="80">
        <f>+BORDRO!J44</f>
        <v>15162</v>
      </c>
      <c r="AE40" s="75"/>
      <c r="AF40" s="75">
        <f>+BORDRO!K44</f>
        <v>2274.2999999999997</v>
      </c>
      <c r="AG40" s="75">
        <f>+BORDRO!L44</f>
        <v>2274.2999999999997</v>
      </c>
      <c r="AH40" s="80">
        <f>+BORDRO!M44</f>
        <v>0</v>
      </c>
      <c r="AI40" s="75">
        <f>+BORDRO!O44</f>
        <v>115.07958000000001</v>
      </c>
      <c r="AJ40" s="76">
        <f>+BORDRO!P44</f>
        <v>0</v>
      </c>
    </row>
    <row r="41" spans="1:36" ht="13.8" x14ac:dyDescent="0.25">
      <c r="A41" s="64" t="s">
        <v>51</v>
      </c>
      <c r="B41" s="119">
        <v>46</v>
      </c>
      <c r="C41" s="64" t="s">
        <v>52</v>
      </c>
      <c r="D41" s="64" t="s">
        <v>53</v>
      </c>
      <c r="E41" s="64" t="s">
        <v>53</v>
      </c>
      <c r="F41" s="65">
        <v>1494768</v>
      </c>
      <c r="G41" s="66" t="s">
        <v>105</v>
      </c>
      <c r="H41" s="64" t="s">
        <v>54</v>
      </c>
      <c r="I41" s="64"/>
      <c r="J41" s="67" t="str">
        <f>+Puantaj!C45</f>
        <v>10257029938</v>
      </c>
      <c r="K41" s="64" t="str">
        <f>+Puantaj!D45</f>
        <v>EGEMEN</v>
      </c>
      <c r="L41" s="64" t="str">
        <f>+Puantaj!E45</f>
        <v>KÜÇÜKLER</v>
      </c>
      <c r="M41" s="68">
        <f>+BORDRO!F45</f>
        <v>8</v>
      </c>
      <c r="N41" s="64"/>
      <c r="O41" s="79">
        <f>+BORDRO!G45</f>
        <v>8664</v>
      </c>
      <c r="P41" s="79">
        <v>0</v>
      </c>
      <c r="Q41" s="122"/>
      <c r="R41" s="69"/>
      <c r="S41" s="70"/>
      <c r="T41" s="70"/>
      <c r="U41" s="71"/>
      <c r="V41" s="72">
        <f t="shared" si="0"/>
        <v>23</v>
      </c>
      <c r="W41" s="73">
        <v>6</v>
      </c>
      <c r="X41" s="81" t="s">
        <v>99</v>
      </c>
      <c r="Y41" s="65">
        <v>2</v>
      </c>
      <c r="Z41" s="64" t="s">
        <v>51</v>
      </c>
      <c r="AA41" s="74" t="s">
        <v>781</v>
      </c>
      <c r="AB41" s="64">
        <v>2025</v>
      </c>
      <c r="AC41" s="64" t="s">
        <v>106</v>
      </c>
      <c r="AD41" s="80">
        <f>+BORDRO!J45</f>
        <v>8664</v>
      </c>
      <c r="AE41" s="75"/>
      <c r="AF41" s="75">
        <f>+BORDRO!K45</f>
        <v>1299.5999999999999</v>
      </c>
      <c r="AG41" s="75">
        <f>+BORDRO!L45</f>
        <v>1299.5999999999999</v>
      </c>
      <c r="AH41" s="80">
        <f>+BORDRO!M45</f>
        <v>0</v>
      </c>
      <c r="AI41" s="75">
        <f>+BORDRO!O45</f>
        <v>65.75976</v>
      </c>
      <c r="AJ41" s="76">
        <f>+BORDRO!P45</f>
        <v>0</v>
      </c>
    </row>
    <row r="42" spans="1:36" ht="13.8" x14ac:dyDescent="0.25">
      <c r="A42" s="64" t="s">
        <v>51</v>
      </c>
      <c r="B42" s="120">
        <v>46</v>
      </c>
      <c r="C42" s="64" t="s">
        <v>52</v>
      </c>
      <c r="D42" s="64" t="s">
        <v>53</v>
      </c>
      <c r="E42" s="64" t="s">
        <v>53</v>
      </c>
      <c r="F42" s="65">
        <v>1494768</v>
      </c>
      <c r="G42" s="66" t="s">
        <v>105</v>
      </c>
      <c r="H42" s="64" t="s">
        <v>54</v>
      </c>
      <c r="I42" s="64"/>
      <c r="J42" s="67" t="str">
        <f>+Puantaj!C46</f>
        <v>10067993948</v>
      </c>
      <c r="K42" s="64" t="str">
        <f>+Puantaj!D46</f>
        <v>EKREM</v>
      </c>
      <c r="L42" s="64" t="str">
        <f>+Puantaj!E46</f>
        <v>TERZİOĞLU</v>
      </c>
      <c r="M42" s="68">
        <f>+BORDRO!F46</f>
        <v>12</v>
      </c>
      <c r="N42" s="64"/>
      <c r="O42" s="79">
        <f>+BORDRO!G46</f>
        <v>12996</v>
      </c>
      <c r="P42" s="79">
        <v>0</v>
      </c>
      <c r="Q42" s="122"/>
      <c r="R42" s="69"/>
      <c r="S42" s="70"/>
      <c r="T42" s="70"/>
      <c r="U42" s="71"/>
      <c r="V42" s="72">
        <f t="shared" si="0"/>
        <v>19</v>
      </c>
      <c r="W42" s="73">
        <v>6</v>
      </c>
      <c r="X42" s="81" t="s">
        <v>99</v>
      </c>
      <c r="Y42" s="65">
        <v>2</v>
      </c>
      <c r="Z42" s="64" t="s">
        <v>51</v>
      </c>
      <c r="AA42" s="74" t="s">
        <v>781</v>
      </c>
      <c r="AB42" s="64">
        <v>2025</v>
      </c>
      <c r="AC42" s="64" t="s">
        <v>106</v>
      </c>
      <c r="AD42" s="80">
        <f>+BORDRO!J46</f>
        <v>12996</v>
      </c>
      <c r="AE42" s="75"/>
      <c r="AF42" s="75">
        <f>+BORDRO!K46</f>
        <v>1949.3999999999999</v>
      </c>
      <c r="AG42" s="75">
        <f>+BORDRO!L46</f>
        <v>1949.3999999999999</v>
      </c>
      <c r="AH42" s="80">
        <f>+BORDRO!M46</f>
        <v>0</v>
      </c>
      <c r="AI42" s="75">
        <f>+BORDRO!O46</f>
        <v>98.63964</v>
      </c>
      <c r="AJ42" s="76">
        <f>+BORDRO!P46</f>
        <v>0</v>
      </c>
    </row>
    <row r="43" spans="1:36" ht="13.8" x14ac:dyDescent="0.25">
      <c r="A43" s="64" t="s">
        <v>51</v>
      </c>
      <c r="B43" s="119">
        <v>46</v>
      </c>
      <c r="C43" s="64" t="s">
        <v>52</v>
      </c>
      <c r="D43" s="64" t="s">
        <v>53</v>
      </c>
      <c r="E43" s="64" t="s">
        <v>53</v>
      </c>
      <c r="F43" s="65">
        <v>1494768</v>
      </c>
      <c r="G43" s="66" t="s">
        <v>105</v>
      </c>
      <c r="H43" s="64" t="s">
        <v>54</v>
      </c>
      <c r="I43" s="64"/>
      <c r="J43" s="67" t="str">
        <f>+Puantaj!C47</f>
        <v>16240785980</v>
      </c>
      <c r="K43" s="64" t="str">
        <f>+Puantaj!D47</f>
        <v>ELİF</v>
      </c>
      <c r="L43" s="64" t="str">
        <f>+Puantaj!E47</f>
        <v>MİSK</v>
      </c>
      <c r="M43" s="68">
        <f>+BORDRO!F47</f>
        <v>13</v>
      </c>
      <c r="N43" s="64"/>
      <c r="O43" s="79">
        <f>+BORDRO!G47</f>
        <v>14079</v>
      </c>
      <c r="P43" s="79">
        <v>0</v>
      </c>
      <c r="Q43" s="122"/>
      <c r="R43" s="69"/>
      <c r="S43" s="70"/>
      <c r="T43" s="70"/>
      <c r="U43" s="71"/>
      <c r="V43" s="72">
        <f t="shared" si="0"/>
        <v>18</v>
      </c>
      <c r="W43" s="73">
        <v>6</v>
      </c>
      <c r="X43" s="81" t="s">
        <v>99</v>
      </c>
      <c r="Y43" s="65">
        <v>2</v>
      </c>
      <c r="Z43" s="64" t="s">
        <v>51</v>
      </c>
      <c r="AA43" s="74" t="s">
        <v>781</v>
      </c>
      <c r="AB43" s="64">
        <v>2025</v>
      </c>
      <c r="AC43" s="64" t="s">
        <v>106</v>
      </c>
      <c r="AD43" s="80">
        <f>+BORDRO!J47</f>
        <v>14079</v>
      </c>
      <c r="AE43" s="75"/>
      <c r="AF43" s="75">
        <f>+BORDRO!K47</f>
        <v>2111.85</v>
      </c>
      <c r="AG43" s="75">
        <f>+BORDRO!L47</f>
        <v>2111.85</v>
      </c>
      <c r="AH43" s="80">
        <f>+BORDRO!M47</f>
        <v>0</v>
      </c>
      <c r="AI43" s="75">
        <f>+BORDRO!O47</f>
        <v>106.85961</v>
      </c>
      <c r="AJ43" s="76">
        <f>+BORDRO!P47</f>
        <v>0</v>
      </c>
    </row>
    <row r="44" spans="1:36" ht="13.8" x14ac:dyDescent="0.25">
      <c r="A44" s="64" t="s">
        <v>51</v>
      </c>
      <c r="B44" s="120">
        <v>46</v>
      </c>
      <c r="C44" s="64" t="s">
        <v>52</v>
      </c>
      <c r="D44" s="64" t="s">
        <v>53</v>
      </c>
      <c r="E44" s="64" t="s">
        <v>53</v>
      </c>
      <c r="F44" s="65">
        <v>1494768</v>
      </c>
      <c r="G44" s="66" t="s">
        <v>105</v>
      </c>
      <c r="H44" s="64" t="s">
        <v>54</v>
      </c>
      <c r="I44" s="64"/>
      <c r="J44" s="67" t="str">
        <f>+Puantaj!C48</f>
        <v>12202274516</v>
      </c>
      <c r="K44" s="64" t="str">
        <f>+Puantaj!D48</f>
        <v>ELİF NAZ</v>
      </c>
      <c r="L44" s="64" t="str">
        <f>+Puantaj!E48</f>
        <v>KÖKSAL</v>
      </c>
      <c r="M44" s="68">
        <f>+BORDRO!F48</f>
        <v>13</v>
      </c>
      <c r="N44" s="64"/>
      <c r="O44" s="79">
        <f>+BORDRO!G48</f>
        <v>14079</v>
      </c>
      <c r="P44" s="79">
        <v>0</v>
      </c>
      <c r="Q44" s="122"/>
      <c r="R44" s="69"/>
      <c r="S44" s="70"/>
      <c r="T44" s="70"/>
      <c r="U44" s="71"/>
      <c r="V44" s="72">
        <f t="shared" si="0"/>
        <v>18</v>
      </c>
      <c r="W44" s="73">
        <v>6</v>
      </c>
      <c r="X44" s="81" t="s">
        <v>99</v>
      </c>
      <c r="Y44" s="65">
        <v>2</v>
      </c>
      <c r="Z44" s="64" t="s">
        <v>51</v>
      </c>
      <c r="AA44" s="74" t="s">
        <v>781</v>
      </c>
      <c r="AB44" s="64">
        <v>2025</v>
      </c>
      <c r="AC44" s="64" t="s">
        <v>106</v>
      </c>
      <c r="AD44" s="80">
        <f>+BORDRO!J48</f>
        <v>14079</v>
      </c>
      <c r="AE44" s="75"/>
      <c r="AF44" s="75">
        <f>+BORDRO!K48</f>
        <v>2111.85</v>
      </c>
      <c r="AG44" s="75">
        <f>+BORDRO!L48</f>
        <v>2111.85</v>
      </c>
      <c r="AH44" s="80">
        <f>+BORDRO!M48</f>
        <v>0</v>
      </c>
      <c r="AI44" s="75">
        <f>+BORDRO!O48</f>
        <v>106.85961</v>
      </c>
      <c r="AJ44" s="76">
        <f>+BORDRO!P48</f>
        <v>0</v>
      </c>
    </row>
    <row r="45" spans="1:36" ht="13.8" x14ac:dyDescent="0.25">
      <c r="A45" s="64" t="s">
        <v>51</v>
      </c>
      <c r="B45" s="119">
        <v>46</v>
      </c>
      <c r="C45" s="64" t="s">
        <v>52</v>
      </c>
      <c r="D45" s="64" t="s">
        <v>53</v>
      </c>
      <c r="E45" s="64" t="s">
        <v>53</v>
      </c>
      <c r="F45" s="65">
        <v>1494768</v>
      </c>
      <c r="G45" s="66" t="s">
        <v>105</v>
      </c>
      <c r="H45" s="64" t="s">
        <v>54</v>
      </c>
      <c r="I45" s="64"/>
      <c r="J45" s="67" t="str">
        <f>+Puantaj!C49</f>
        <v>13784186020</v>
      </c>
      <c r="K45" s="64" t="str">
        <f>+Puantaj!D49</f>
        <v>ELİFE KEVSER</v>
      </c>
      <c r="L45" s="64" t="str">
        <f>+Puantaj!E49</f>
        <v>ÖZTEK</v>
      </c>
      <c r="M45" s="68">
        <f>+BORDRO!F49</f>
        <v>10</v>
      </c>
      <c r="N45" s="64"/>
      <c r="O45" s="79">
        <f>+BORDRO!G49</f>
        <v>10830</v>
      </c>
      <c r="P45" s="79">
        <v>0</v>
      </c>
      <c r="Q45" s="122"/>
      <c r="R45" s="69"/>
      <c r="S45" s="70"/>
      <c r="T45" s="70"/>
      <c r="U45" s="71"/>
      <c r="V45" s="72">
        <f t="shared" si="0"/>
        <v>21</v>
      </c>
      <c r="W45" s="73">
        <v>6</v>
      </c>
      <c r="X45" s="81" t="s">
        <v>99</v>
      </c>
      <c r="Y45" s="65">
        <v>2</v>
      </c>
      <c r="Z45" s="64" t="s">
        <v>51</v>
      </c>
      <c r="AA45" s="74" t="s">
        <v>781</v>
      </c>
      <c r="AB45" s="64">
        <v>2025</v>
      </c>
      <c r="AC45" s="64" t="s">
        <v>106</v>
      </c>
      <c r="AD45" s="80">
        <f>+BORDRO!J49</f>
        <v>10830</v>
      </c>
      <c r="AE45" s="75"/>
      <c r="AF45" s="75">
        <f>+BORDRO!K49</f>
        <v>1624.5</v>
      </c>
      <c r="AG45" s="75">
        <f>+BORDRO!L49</f>
        <v>1624.5</v>
      </c>
      <c r="AH45" s="80">
        <f>+BORDRO!M49</f>
        <v>0</v>
      </c>
      <c r="AI45" s="75">
        <f>+BORDRO!O49</f>
        <v>82.199700000000007</v>
      </c>
      <c r="AJ45" s="76">
        <f>+BORDRO!P49</f>
        <v>0</v>
      </c>
    </row>
    <row r="46" spans="1:36" ht="13.8" x14ac:dyDescent="0.25">
      <c r="A46" s="64" t="s">
        <v>51</v>
      </c>
      <c r="B46" s="120">
        <v>46</v>
      </c>
      <c r="C46" s="64" t="s">
        <v>52</v>
      </c>
      <c r="D46" s="64" t="s">
        <v>53</v>
      </c>
      <c r="E46" s="64" t="s">
        <v>53</v>
      </c>
      <c r="F46" s="65">
        <v>1494768</v>
      </c>
      <c r="G46" s="66" t="s">
        <v>105</v>
      </c>
      <c r="H46" s="64" t="s">
        <v>54</v>
      </c>
      <c r="I46" s="64"/>
      <c r="J46" s="67" t="str">
        <f>+Puantaj!C50</f>
        <v>36073704224</v>
      </c>
      <c r="K46" s="64" t="str">
        <f>+Puantaj!D50</f>
        <v>EMİNE BEYZA</v>
      </c>
      <c r="L46" s="64" t="str">
        <f>+Puantaj!E50</f>
        <v>SÖYLER</v>
      </c>
      <c r="M46" s="68">
        <f>+BORDRO!F50</f>
        <v>14</v>
      </c>
      <c r="N46" s="64"/>
      <c r="O46" s="79">
        <f>+BORDRO!G50</f>
        <v>15162</v>
      </c>
      <c r="P46" s="79">
        <v>0</v>
      </c>
      <c r="Q46" s="122"/>
      <c r="R46" s="69"/>
      <c r="S46" s="70"/>
      <c r="T46" s="70"/>
      <c r="U46" s="71"/>
      <c r="V46" s="72">
        <f t="shared" si="0"/>
        <v>17</v>
      </c>
      <c r="W46" s="73">
        <v>6</v>
      </c>
      <c r="X46" s="81" t="s">
        <v>99</v>
      </c>
      <c r="Y46" s="65">
        <v>2</v>
      </c>
      <c r="Z46" s="64" t="s">
        <v>51</v>
      </c>
      <c r="AA46" s="74" t="s">
        <v>781</v>
      </c>
      <c r="AB46" s="64">
        <v>2025</v>
      </c>
      <c r="AC46" s="64" t="s">
        <v>106</v>
      </c>
      <c r="AD46" s="80">
        <f>+BORDRO!J50</f>
        <v>15162</v>
      </c>
      <c r="AE46" s="75"/>
      <c r="AF46" s="75">
        <f>+BORDRO!K50</f>
        <v>2274.2999999999997</v>
      </c>
      <c r="AG46" s="75">
        <f>+BORDRO!L50</f>
        <v>2274.2999999999997</v>
      </c>
      <c r="AH46" s="80">
        <f>+BORDRO!M50</f>
        <v>0</v>
      </c>
      <c r="AI46" s="75">
        <f>+BORDRO!O50</f>
        <v>115.07958000000001</v>
      </c>
      <c r="AJ46" s="76">
        <f>+BORDRO!P50</f>
        <v>0</v>
      </c>
    </row>
    <row r="47" spans="1:36" ht="13.8" x14ac:dyDescent="0.25">
      <c r="A47" s="64" t="s">
        <v>51</v>
      </c>
      <c r="B47" s="119">
        <v>46</v>
      </c>
      <c r="C47" s="64" t="s">
        <v>52</v>
      </c>
      <c r="D47" s="64" t="s">
        <v>53</v>
      </c>
      <c r="E47" s="64" t="s">
        <v>53</v>
      </c>
      <c r="F47" s="65">
        <v>1494768</v>
      </c>
      <c r="G47" s="66" t="s">
        <v>105</v>
      </c>
      <c r="H47" s="64" t="s">
        <v>54</v>
      </c>
      <c r="I47" s="64"/>
      <c r="J47" s="67" t="str">
        <f>+Puantaj!C51</f>
        <v>12019646278</v>
      </c>
      <c r="K47" s="64" t="str">
        <f>+Puantaj!D51</f>
        <v>EMİNE</v>
      </c>
      <c r="L47" s="64" t="str">
        <f>+Puantaj!E51</f>
        <v>ÇAKIR</v>
      </c>
      <c r="M47" s="68">
        <f>+BORDRO!F51</f>
        <v>11</v>
      </c>
      <c r="N47" s="64"/>
      <c r="O47" s="79">
        <f>+BORDRO!G51</f>
        <v>11913</v>
      </c>
      <c r="P47" s="79">
        <v>0</v>
      </c>
      <c r="Q47" s="122"/>
      <c r="R47" s="69"/>
      <c r="S47" s="70"/>
      <c r="T47" s="70"/>
      <c r="U47" s="71"/>
      <c r="V47" s="72">
        <f t="shared" si="0"/>
        <v>20</v>
      </c>
      <c r="W47" s="73">
        <v>6</v>
      </c>
      <c r="X47" s="81" t="s">
        <v>99</v>
      </c>
      <c r="Y47" s="65">
        <v>2</v>
      </c>
      <c r="Z47" s="64" t="s">
        <v>51</v>
      </c>
      <c r="AA47" s="74" t="s">
        <v>781</v>
      </c>
      <c r="AB47" s="64">
        <v>2025</v>
      </c>
      <c r="AC47" s="64" t="s">
        <v>106</v>
      </c>
      <c r="AD47" s="80">
        <f>+BORDRO!J51</f>
        <v>11913</v>
      </c>
      <c r="AE47" s="75"/>
      <c r="AF47" s="75">
        <f>+BORDRO!K51</f>
        <v>1786.95</v>
      </c>
      <c r="AG47" s="75">
        <f>+BORDRO!L51</f>
        <v>1786.95</v>
      </c>
      <c r="AH47" s="80">
        <f>+BORDRO!M51</f>
        <v>0</v>
      </c>
      <c r="AI47" s="75">
        <f>+BORDRO!O51</f>
        <v>90.419670000000011</v>
      </c>
      <c r="AJ47" s="76">
        <f>+BORDRO!P51</f>
        <v>0</v>
      </c>
    </row>
    <row r="48" spans="1:36" ht="13.8" x14ac:dyDescent="0.25">
      <c r="A48" s="64" t="s">
        <v>51</v>
      </c>
      <c r="B48" s="120">
        <v>46</v>
      </c>
      <c r="C48" s="64" t="s">
        <v>52</v>
      </c>
      <c r="D48" s="64" t="s">
        <v>53</v>
      </c>
      <c r="E48" s="64" t="s">
        <v>53</v>
      </c>
      <c r="F48" s="65">
        <v>1494768</v>
      </c>
      <c r="G48" s="66" t="s">
        <v>105</v>
      </c>
      <c r="H48" s="64" t="s">
        <v>54</v>
      </c>
      <c r="I48" s="64"/>
      <c r="J48" s="67" t="str">
        <f>+Puantaj!C52</f>
        <v>41449479170</v>
      </c>
      <c r="K48" s="64" t="str">
        <f>+Puantaj!D52</f>
        <v>EMİR</v>
      </c>
      <c r="L48" s="64" t="str">
        <f>+Puantaj!E52</f>
        <v>AN</v>
      </c>
      <c r="M48" s="68">
        <f>+BORDRO!F52</f>
        <v>12</v>
      </c>
      <c r="N48" s="64"/>
      <c r="O48" s="79">
        <f>+BORDRO!G52</f>
        <v>12996</v>
      </c>
      <c r="P48" s="79">
        <v>0</v>
      </c>
      <c r="Q48" s="122"/>
      <c r="R48" s="69"/>
      <c r="S48" s="70"/>
      <c r="T48" s="70"/>
      <c r="U48" s="71"/>
      <c r="V48" s="72">
        <f t="shared" si="0"/>
        <v>19</v>
      </c>
      <c r="W48" s="73">
        <v>6</v>
      </c>
      <c r="X48" s="81" t="s">
        <v>99</v>
      </c>
      <c r="Y48" s="65">
        <v>2</v>
      </c>
      <c r="Z48" s="64" t="s">
        <v>51</v>
      </c>
      <c r="AA48" s="74" t="s">
        <v>781</v>
      </c>
      <c r="AB48" s="64">
        <v>2025</v>
      </c>
      <c r="AC48" s="64" t="s">
        <v>106</v>
      </c>
      <c r="AD48" s="80">
        <f>+BORDRO!J52</f>
        <v>12996</v>
      </c>
      <c r="AE48" s="75"/>
      <c r="AF48" s="75">
        <f>+BORDRO!K52</f>
        <v>1949.3999999999999</v>
      </c>
      <c r="AG48" s="75">
        <f>+BORDRO!L52</f>
        <v>1949.3999999999999</v>
      </c>
      <c r="AH48" s="80">
        <f>+BORDRO!M52</f>
        <v>0</v>
      </c>
      <c r="AI48" s="75">
        <f>+BORDRO!O52</f>
        <v>98.63964</v>
      </c>
      <c r="AJ48" s="76">
        <f>+BORDRO!P52</f>
        <v>0</v>
      </c>
    </row>
    <row r="49" spans="1:36" ht="13.8" x14ac:dyDescent="0.25">
      <c r="A49" s="64" t="s">
        <v>51</v>
      </c>
      <c r="B49" s="119">
        <v>46</v>
      </c>
      <c r="C49" s="64" t="s">
        <v>52</v>
      </c>
      <c r="D49" s="64" t="s">
        <v>53</v>
      </c>
      <c r="E49" s="64" t="s">
        <v>53</v>
      </c>
      <c r="F49" s="65">
        <v>1494768</v>
      </c>
      <c r="G49" s="66" t="s">
        <v>105</v>
      </c>
      <c r="H49" s="64" t="s">
        <v>54</v>
      </c>
      <c r="I49" s="64"/>
      <c r="J49" s="67" t="str">
        <f>+Puantaj!C53</f>
        <v>19793201204</v>
      </c>
      <c r="K49" s="64" t="str">
        <f>+Puantaj!D53</f>
        <v>EMİR</v>
      </c>
      <c r="L49" s="64" t="str">
        <f>+Puantaj!E53</f>
        <v>DAŞTAN</v>
      </c>
      <c r="M49" s="68">
        <f>+BORDRO!F53</f>
        <v>7</v>
      </c>
      <c r="N49" s="64"/>
      <c r="O49" s="79">
        <f>+BORDRO!G53</f>
        <v>7581</v>
      </c>
      <c r="P49" s="79">
        <v>0</v>
      </c>
      <c r="Q49" s="122"/>
      <c r="R49" s="69"/>
      <c r="S49" s="70"/>
      <c r="T49" s="70"/>
      <c r="U49" s="71"/>
      <c r="V49" s="72">
        <f t="shared" si="0"/>
        <v>24</v>
      </c>
      <c r="W49" s="73">
        <v>6</v>
      </c>
      <c r="X49" s="81" t="s">
        <v>99</v>
      </c>
      <c r="Y49" s="65">
        <v>2</v>
      </c>
      <c r="Z49" s="64" t="s">
        <v>51</v>
      </c>
      <c r="AA49" s="74" t="s">
        <v>781</v>
      </c>
      <c r="AB49" s="64">
        <v>2025</v>
      </c>
      <c r="AC49" s="64" t="s">
        <v>106</v>
      </c>
      <c r="AD49" s="80">
        <f>+BORDRO!J53</f>
        <v>7581</v>
      </c>
      <c r="AE49" s="75"/>
      <c r="AF49" s="75">
        <f>+BORDRO!K53</f>
        <v>1137.1499999999999</v>
      </c>
      <c r="AG49" s="75">
        <f>+BORDRO!L53</f>
        <v>1137.1499999999999</v>
      </c>
      <c r="AH49" s="80">
        <f>+BORDRO!M53</f>
        <v>0</v>
      </c>
      <c r="AI49" s="75">
        <f>+BORDRO!O53</f>
        <v>57.539790000000004</v>
      </c>
      <c r="AJ49" s="76">
        <f>+BORDRO!P53</f>
        <v>0</v>
      </c>
    </row>
    <row r="50" spans="1:36" ht="13.8" x14ac:dyDescent="0.25">
      <c r="A50" s="64" t="s">
        <v>51</v>
      </c>
      <c r="B50" s="120">
        <v>46</v>
      </c>
      <c r="C50" s="64" t="s">
        <v>52</v>
      </c>
      <c r="D50" s="64" t="s">
        <v>53</v>
      </c>
      <c r="E50" s="64" t="s">
        <v>53</v>
      </c>
      <c r="F50" s="65">
        <v>1494768</v>
      </c>
      <c r="G50" s="66" t="s">
        <v>105</v>
      </c>
      <c r="H50" s="64" t="s">
        <v>54</v>
      </c>
      <c r="I50" s="64"/>
      <c r="J50" s="67" t="str">
        <f>+Puantaj!C54</f>
        <v>19156656290</v>
      </c>
      <c r="K50" s="64" t="str">
        <f>+Puantaj!D54</f>
        <v>EMİRCAN</v>
      </c>
      <c r="L50" s="64" t="str">
        <f>+Puantaj!E54</f>
        <v>DAL</v>
      </c>
      <c r="M50" s="68">
        <f>+BORDRO!F54</f>
        <v>12</v>
      </c>
      <c r="N50" s="64"/>
      <c r="O50" s="79">
        <f>+BORDRO!G54</f>
        <v>12996</v>
      </c>
      <c r="P50" s="79">
        <v>0</v>
      </c>
      <c r="Q50" s="122"/>
      <c r="R50" s="69"/>
      <c r="S50" s="70"/>
      <c r="T50" s="70"/>
      <c r="U50" s="71"/>
      <c r="V50" s="72">
        <f t="shared" si="0"/>
        <v>19</v>
      </c>
      <c r="W50" s="73">
        <v>6</v>
      </c>
      <c r="X50" s="81" t="s">
        <v>99</v>
      </c>
      <c r="Y50" s="65">
        <v>2</v>
      </c>
      <c r="Z50" s="64" t="s">
        <v>51</v>
      </c>
      <c r="AA50" s="74" t="s">
        <v>781</v>
      </c>
      <c r="AB50" s="64">
        <v>2025</v>
      </c>
      <c r="AC50" s="64" t="s">
        <v>106</v>
      </c>
      <c r="AD50" s="80">
        <f>+BORDRO!J54</f>
        <v>12996</v>
      </c>
      <c r="AE50" s="75"/>
      <c r="AF50" s="75">
        <f>+BORDRO!K54</f>
        <v>1949.3999999999999</v>
      </c>
      <c r="AG50" s="75">
        <f>+BORDRO!L54</f>
        <v>1949.3999999999999</v>
      </c>
      <c r="AH50" s="80">
        <f>+BORDRO!M54</f>
        <v>0</v>
      </c>
      <c r="AI50" s="75">
        <f>+BORDRO!O54</f>
        <v>98.63964</v>
      </c>
      <c r="AJ50" s="76">
        <f>+BORDRO!P54</f>
        <v>0</v>
      </c>
    </row>
    <row r="51" spans="1:36" ht="13.8" x14ac:dyDescent="0.25">
      <c r="A51" s="64" t="s">
        <v>51</v>
      </c>
      <c r="B51" s="119">
        <v>46</v>
      </c>
      <c r="C51" s="64" t="s">
        <v>52</v>
      </c>
      <c r="D51" s="64" t="s">
        <v>53</v>
      </c>
      <c r="E51" s="64" t="s">
        <v>53</v>
      </c>
      <c r="F51" s="65">
        <v>1494768</v>
      </c>
      <c r="G51" s="66" t="s">
        <v>105</v>
      </c>
      <c r="H51" s="64" t="s">
        <v>54</v>
      </c>
      <c r="I51" s="64"/>
      <c r="J51" s="67" t="str">
        <f>+Puantaj!C55</f>
        <v>10877603754</v>
      </c>
      <c r="K51" s="64" t="str">
        <f>+Puantaj!D55</f>
        <v>EMİRHAN</v>
      </c>
      <c r="L51" s="64" t="str">
        <f>+Puantaj!E55</f>
        <v>BURULDAY</v>
      </c>
      <c r="M51" s="68">
        <f>+BORDRO!F55</f>
        <v>14</v>
      </c>
      <c r="N51" s="64"/>
      <c r="O51" s="79">
        <f>+BORDRO!G55</f>
        <v>15162</v>
      </c>
      <c r="P51" s="79">
        <v>0</v>
      </c>
      <c r="Q51" s="122"/>
      <c r="R51" s="69"/>
      <c r="S51" s="70"/>
      <c r="T51" s="70"/>
      <c r="U51" s="71"/>
      <c r="V51" s="72">
        <f t="shared" si="0"/>
        <v>17</v>
      </c>
      <c r="W51" s="73">
        <v>6</v>
      </c>
      <c r="X51" s="81" t="s">
        <v>99</v>
      </c>
      <c r="Y51" s="65">
        <v>2</v>
      </c>
      <c r="Z51" s="64" t="s">
        <v>51</v>
      </c>
      <c r="AA51" s="74" t="s">
        <v>781</v>
      </c>
      <c r="AB51" s="64">
        <v>2025</v>
      </c>
      <c r="AC51" s="64" t="s">
        <v>106</v>
      </c>
      <c r="AD51" s="80">
        <f>+BORDRO!J55</f>
        <v>15162</v>
      </c>
      <c r="AE51" s="75"/>
      <c r="AF51" s="75">
        <f>+BORDRO!K55</f>
        <v>2274.2999999999997</v>
      </c>
      <c r="AG51" s="75">
        <f>+BORDRO!L55</f>
        <v>2274.2999999999997</v>
      </c>
      <c r="AH51" s="80">
        <f>+BORDRO!M55</f>
        <v>0</v>
      </c>
      <c r="AI51" s="75">
        <f>+BORDRO!O55</f>
        <v>115.07958000000001</v>
      </c>
      <c r="AJ51" s="76">
        <f>+BORDRO!P55</f>
        <v>0</v>
      </c>
    </row>
    <row r="52" spans="1:36" ht="13.8" x14ac:dyDescent="0.25">
      <c r="A52" s="64" t="s">
        <v>51</v>
      </c>
      <c r="B52" s="120">
        <v>46</v>
      </c>
      <c r="C52" s="64" t="s">
        <v>52</v>
      </c>
      <c r="D52" s="64" t="s">
        <v>53</v>
      </c>
      <c r="E52" s="64" t="s">
        <v>53</v>
      </c>
      <c r="F52" s="65">
        <v>1494768</v>
      </c>
      <c r="G52" s="66" t="s">
        <v>105</v>
      </c>
      <c r="H52" s="64" t="s">
        <v>54</v>
      </c>
      <c r="I52" s="64"/>
      <c r="J52" s="67" t="str">
        <f>+Puantaj!C56</f>
        <v>10100154114</v>
      </c>
      <c r="K52" s="64" t="str">
        <f>+Puantaj!D56</f>
        <v>EMİRHAN</v>
      </c>
      <c r="L52" s="64" t="str">
        <f>+Puantaj!E56</f>
        <v>ÇELİK</v>
      </c>
      <c r="M52" s="68">
        <f>+BORDRO!F56</f>
        <v>13</v>
      </c>
      <c r="N52" s="64"/>
      <c r="O52" s="79">
        <f>+BORDRO!G56</f>
        <v>14079</v>
      </c>
      <c r="P52" s="79">
        <v>0</v>
      </c>
      <c r="Q52" s="122"/>
      <c r="R52" s="69"/>
      <c r="S52" s="70"/>
      <c r="T52" s="70"/>
      <c r="U52" s="71"/>
      <c r="V52" s="72">
        <f t="shared" si="0"/>
        <v>18</v>
      </c>
      <c r="W52" s="73">
        <v>6</v>
      </c>
      <c r="X52" s="81" t="s">
        <v>99</v>
      </c>
      <c r="Y52" s="65">
        <v>2</v>
      </c>
      <c r="Z52" s="64" t="s">
        <v>51</v>
      </c>
      <c r="AA52" s="74" t="s">
        <v>781</v>
      </c>
      <c r="AB52" s="64">
        <v>2025</v>
      </c>
      <c r="AC52" s="64" t="s">
        <v>106</v>
      </c>
      <c r="AD52" s="80">
        <f>+BORDRO!J56</f>
        <v>14079</v>
      </c>
      <c r="AE52" s="75"/>
      <c r="AF52" s="75">
        <f>+BORDRO!K56</f>
        <v>2111.85</v>
      </c>
      <c r="AG52" s="75">
        <f>+BORDRO!L56</f>
        <v>2111.85</v>
      </c>
      <c r="AH52" s="80">
        <f>+BORDRO!M56</f>
        <v>0</v>
      </c>
      <c r="AI52" s="75">
        <f>+BORDRO!O56</f>
        <v>106.85961</v>
      </c>
      <c r="AJ52" s="76">
        <f>+BORDRO!P56</f>
        <v>0</v>
      </c>
    </row>
    <row r="53" spans="1:36" ht="13.8" x14ac:dyDescent="0.25">
      <c r="A53" s="64" t="s">
        <v>51</v>
      </c>
      <c r="B53" s="119">
        <v>46</v>
      </c>
      <c r="C53" s="64" t="s">
        <v>52</v>
      </c>
      <c r="D53" s="64" t="s">
        <v>53</v>
      </c>
      <c r="E53" s="64" t="s">
        <v>53</v>
      </c>
      <c r="F53" s="65">
        <v>1494768</v>
      </c>
      <c r="G53" s="66" t="s">
        <v>105</v>
      </c>
      <c r="H53" s="64" t="s">
        <v>54</v>
      </c>
      <c r="I53" s="64"/>
      <c r="J53" s="67" t="str">
        <f>+Puantaj!C57</f>
        <v>12538250994</v>
      </c>
      <c r="K53" s="64" t="str">
        <f>+Puantaj!D57</f>
        <v>EMİRHAN</v>
      </c>
      <c r="L53" s="64" t="str">
        <f>+Puantaj!E57</f>
        <v>YILDIRIM</v>
      </c>
      <c r="M53" s="68">
        <f>+BORDRO!F57</f>
        <v>13</v>
      </c>
      <c r="N53" s="64"/>
      <c r="O53" s="79">
        <f>+BORDRO!G57</f>
        <v>14079</v>
      </c>
      <c r="P53" s="79">
        <v>0</v>
      </c>
      <c r="Q53" s="122"/>
      <c r="R53" s="69"/>
      <c r="S53" s="70"/>
      <c r="T53" s="70"/>
      <c r="U53" s="71"/>
      <c r="V53" s="72">
        <f t="shared" si="0"/>
        <v>18</v>
      </c>
      <c r="W53" s="73">
        <v>6</v>
      </c>
      <c r="X53" s="81" t="s">
        <v>99</v>
      </c>
      <c r="Y53" s="65">
        <v>2</v>
      </c>
      <c r="Z53" s="64" t="s">
        <v>51</v>
      </c>
      <c r="AA53" s="74" t="s">
        <v>781</v>
      </c>
      <c r="AB53" s="64">
        <v>2025</v>
      </c>
      <c r="AC53" s="64" t="s">
        <v>106</v>
      </c>
      <c r="AD53" s="80">
        <f>+BORDRO!J57</f>
        <v>14079</v>
      </c>
      <c r="AE53" s="75"/>
      <c r="AF53" s="75">
        <f>+BORDRO!K57</f>
        <v>2111.85</v>
      </c>
      <c r="AG53" s="75">
        <f>+BORDRO!L57</f>
        <v>2111.85</v>
      </c>
      <c r="AH53" s="80">
        <f>+BORDRO!M57</f>
        <v>0</v>
      </c>
      <c r="AI53" s="75">
        <f>+BORDRO!O57</f>
        <v>106.85961</v>
      </c>
      <c r="AJ53" s="76">
        <f>+BORDRO!P57</f>
        <v>0</v>
      </c>
    </row>
    <row r="54" spans="1:36" ht="13.8" x14ac:dyDescent="0.25">
      <c r="A54" s="64" t="s">
        <v>51</v>
      </c>
      <c r="B54" s="120">
        <v>46</v>
      </c>
      <c r="C54" s="64" t="s">
        <v>52</v>
      </c>
      <c r="D54" s="64" t="s">
        <v>53</v>
      </c>
      <c r="E54" s="64" t="s">
        <v>53</v>
      </c>
      <c r="F54" s="65">
        <v>1494768</v>
      </c>
      <c r="G54" s="66" t="s">
        <v>105</v>
      </c>
      <c r="H54" s="64" t="s">
        <v>54</v>
      </c>
      <c r="I54" s="64"/>
      <c r="J54" s="67" t="str">
        <f>+Puantaj!C58</f>
        <v>60862510536</v>
      </c>
      <c r="K54" s="64" t="str">
        <f>+Puantaj!D58</f>
        <v>EMİRHAN</v>
      </c>
      <c r="L54" s="64" t="str">
        <f>+Puantaj!E58</f>
        <v>YILDIZ</v>
      </c>
      <c r="M54" s="68">
        <f>+BORDRO!F58</f>
        <v>14</v>
      </c>
      <c r="N54" s="64"/>
      <c r="O54" s="79">
        <f>+BORDRO!G58</f>
        <v>15162</v>
      </c>
      <c r="P54" s="79">
        <v>0</v>
      </c>
      <c r="Q54" s="122"/>
      <c r="R54" s="69"/>
      <c r="S54" s="70"/>
      <c r="T54" s="70"/>
      <c r="U54" s="71"/>
      <c r="V54" s="72">
        <f t="shared" si="0"/>
        <v>17</v>
      </c>
      <c r="W54" s="73">
        <v>6</v>
      </c>
      <c r="X54" s="81" t="s">
        <v>99</v>
      </c>
      <c r="Y54" s="65">
        <v>2</v>
      </c>
      <c r="Z54" s="64" t="s">
        <v>51</v>
      </c>
      <c r="AA54" s="74" t="s">
        <v>781</v>
      </c>
      <c r="AB54" s="64">
        <v>2025</v>
      </c>
      <c r="AC54" s="64" t="s">
        <v>106</v>
      </c>
      <c r="AD54" s="80">
        <f>+BORDRO!J58</f>
        <v>15162</v>
      </c>
      <c r="AE54" s="75"/>
      <c r="AF54" s="75">
        <f>+BORDRO!K58</f>
        <v>2274.2999999999997</v>
      </c>
      <c r="AG54" s="75">
        <f>+BORDRO!L58</f>
        <v>2274.2999999999997</v>
      </c>
      <c r="AH54" s="80">
        <f>+BORDRO!M58</f>
        <v>0</v>
      </c>
      <c r="AI54" s="75">
        <f>+BORDRO!O58</f>
        <v>115.07958000000001</v>
      </c>
      <c r="AJ54" s="76">
        <f>+BORDRO!P58</f>
        <v>0</v>
      </c>
    </row>
    <row r="55" spans="1:36" ht="13.8" x14ac:dyDescent="0.25">
      <c r="A55" s="64" t="s">
        <v>51</v>
      </c>
      <c r="B55" s="119">
        <v>46</v>
      </c>
      <c r="C55" s="64" t="s">
        <v>52</v>
      </c>
      <c r="D55" s="64" t="s">
        <v>53</v>
      </c>
      <c r="E55" s="64" t="s">
        <v>53</v>
      </c>
      <c r="F55" s="65">
        <v>1494768</v>
      </c>
      <c r="G55" s="66" t="s">
        <v>105</v>
      </c>
      <c r="H55" s="64" t="s">
        <v>54</v>
      </c>
      <c r="I55" s="78"/>
      <c r="J55" s="67" t="str">
        <f>+Puantaj!C59</f>
        <v>11056947294</v>
      </c>
      <c r="K55" s="64" t="str">
        <f>+Puantaj!D59</f>
        <v>EMRE</v>
      </c>
      <c r="L55" s="64" t="str">
        <f>+Puantaj!E59</f>
        <v>FIRAT</v>
      </c>
      <c r="M55" s="68">
        <f>+BORDRO!F59</f>
        <v>14</v>
      </c>
      <c r="N55" s="64"/>
      <c r="O55" s="79">
        <f>+BORDRO!G59</f>
        <v>15162</v>
      </c>
      <c r="P55" s="79">
        <v>0</v>
      </c>
      <c r="Q55" s="122"/>
      <c r="R55" s="69"/>
      <c r="S55" s="70"/>
      <c r="T55" s="70"/>
      <c r="U55" s="71"/>
      <c r="V55" s="72">
        <f t="shared" si="0"/>
        <v>17</v>
      </c>
      <c r="W55" s="73">
        <v>6</v>
      </c>
      <c r="X55" s="81" t="s">
        <v>99</v>
      </c>
      <c r="Y55" s="65">
        <v>2</v>
      </c>
      <c r="Z55" s="64" t="s">
        <v>51</v>
      </c>
      <c r="AA55" s="74" t="s">
        <v>781</v>
      </c>
      <c r="AB55" s="64">
        <v>2025</v>
      </c>
      <c r="AC55" s="64" t="s">
        <v>106</v>
      </c>
      <c r="AD55" s="80">
        <f>+BORDRO!J59</f>
        <v>15162</v>
      </c>
      <c r="AE55" s="75"/>
      <c r="AF55" s="75">
        <f>+BORDRO!K59</f>
        <v>2274.2999999999997</v>
      </c>
      <c r="AG55" s="75">
        <f>+BORDRO!L59</f>
        <v>2274.2999999999997</v>
      </c>
      <c r="AH55" s="80">
        <f>+BORDRO!M59</f>
        <v>0</v>
      </c>
      <c r="AI55" s="75">
        <f>+BORDRO!O59</f>
        <v>115.07958000000001</v>
      </c>
      <c r="AJ55" s="76">
        <f>+BORDRO!P59</f>
        <v>0</v>
      </c>
    </row>
    <row r="56" spans="1:36" ht="13.8" x14ac:dyDescent="0.25">
      <c r="A56" s="64" t="s">
        <v>51</v>
      </c>
      <c r="B56" s="120">
        <v>46</v>
      </c>
      <c r="C56" s="64" t="s">
        <v>52</v>
      </c>
      <c r="D56" s="64" t="s">
        <v>53</v>
      </c>
      <c r="E56" s="64" t="s">
        <v>53</v>
      </c>
      <c r="F56" s="65">
        <v>1494768</v>
      </c>
      <c r="G56" s="66" t="s">
        <v>105</v>
      </c>
      <c r="H56" s="64" t="s">
        <v>54</v>
      </c>
      <c r="I56" s="78"/>
      <c r="J56" s="67" t="str">
        <f>+Puantaj!C60</f>
        <v>10630966102</v>
      </c>
      <c r="K56" s="64" t="str">
        <f>+Puantaj!D60</f>
        <v>EMRE</v>
      </c>
      <c r="L56" s="64" t="str">
        <f>+Puantaj!E60</f>
        <v>KOCAHALİLOĞULLARI</v>
      </c>
      <c r="M56" s="68">
        <f>+BORDRO!F60</f>
        <v>14</v>
      </c>
      <c r="N56" s="64"/>
      <c r="O56" s="79">
        <f>+BORDRO!G60</f>
        <v>15162</v>
      </c>
      <c r="P56" s="79">
        <v>0</v>
      </c>
      <c r="Q56" s="122"/>
      <c r="R56" s="69"/>
      <c r="S56" s="70"/>
      <c r="T56" s="70"/>
      <c r="U56" s="71"/>
      <c r="V56" s="72">
        <f t="shared" si="0"/>
        <v>17</v>
      </c>
      <c r="W56" s="73">
        <v>6</v>
      </c>
      <c r="X56" s="81" t="s">
        <v>99</v>
      </c>
      <c r="Y56" s="65">
        <v>2</v>
      </c>
      <c r="Z56" s="64" t="s">
        <v>51</v>
      </c>
      <c r="AA56" s="74" t="s">
        <v>781</v>
      </c>
      <c r="AB56" s="64">
        <v>2025</v>
      </c>
      <c r="AC56" s="64" t="s">
        <v>106</v>
      </c>
      <c r="AD56" s="80">
        <f>+BORDRO!J60</f>
        <v>15162</v>
      </c>
      <c r="AE56" s="75"/>
      <c r="AF56" s="75">
        <f>+BORDRO!K60</f>
        <v>2274.2999999999997</v>
      </c>
      <c r="AG56" s="75">
        <f>+BORDRO!L60</f>
        <v>2274.2999999999997</v>
      </c>
      <c r="AH56" s="80">
        <f>+BORDRO!M60</f>
        <v>0</v>
      </c>
      <c r="AI56" s="75">
        <f>+BORDRO!O60</f>
        <v>115.07958000000001</v>
      </c>
      <c r="AJ56" s="76">
        <f>+BORDRO!P60</f>
        <v>0</v>
      </c>
    </row>
    <row r="57" spans="1:36" ht="13.8" x14ac:dyDescent="0.25">
      <c r="A57" s="64" t="s">
        <v>51</v>
      </c>
      <c r="B57" s="119">
        <v>46</v>
      </c>
      <c r="C57" s="64" t="s">
        <v>52</v>
      </c>
      <c r="D57" s="64" t="s">
        <v>53</v>
      </c>
      <c r="E57" s="64" t="s">
        <v>53</v>
      </c>
      <c r="F57" s="65">
        <v>1494768</v>
      </c>
      <c r="G57" s="66" t="s">
        <v>105</v>
      </c>
      <c r="H57" s="64" t="s">
        <v>54</v>
      </c>
      <c r="I57" s="78"/>
      <c r="J57" s="67" t="str">
        <f>+Puantaj!C61</f>
        <v>60736357120</v>
      </c>
      <c r="K57" s="64" t="str">
        <f>+Puantaj!D61</f>
        <v>EMRE</v>
      </c>
      <c r="L57" s="64" t="str">
        <f>+Puantaj!E61</f>
        <v>YILMAZ</v>
      </c>
      <c r="M57" s="68">
        <f>+BORDRO!F61</f>
        <v>5</v>
      </c>
      <c r="N57" s="64"/>
      <c r="O57" s="79">
        <f>+BORDRO!G61</f>
        <v>5415</v>
      </c>
      <c r="P57" s="79">
        <v>0</v>
      </c>
      <c r="Q57" s="122"/>
      <c r="R57" s="69"/>
      <c r="S57" s="70"/>
      <c r="T57" s="70"/>
      <c r="U57" s="71"/>
      <c r="V57" s="72">
        <f t="shared" si="0"/>
        <v>26</v>
      </c>
      <c r="W57" s="73">
        <v>6</v>
      </c>
      <c r="X57" s="81" t="s">
        <v>99</v>
      </c>
      <c r="Y57" s="65">
        <v>2</v>
      </c>
      <c r="Z57" s="64" t="s">
        <v>51</v>
      </c>
      <c r="AA57" s="74" t="s">
        <v>781</v>
      </c>
      <c r="AB57" s="64">
        <v>2025</v>
      </c>
      <c r="AC57" s="64" t="s">
        <v>106</v>
      </c>
      <c r="AD57" s="80">
        <f>+BORDRO!J61</f>
        <v>5415</v>
      </c>
      <c r="AE57" s="75"/>
      <c r="AF57" s="75">
        <f>+BORDRO!K61</f>
        <v>812.25</v>
      </c>
      <c r="AG57" s="75">
        <f>+BORDRO!L61</f>
        <v>812.25</v>
      </c>
      <c r="AH57" s="80">
        <f>+BORDRO!M61</f>
        <v>0</v>
      </c>
      <c r="AI57" s="75">
        <f>+BORDRO!O61</f>
        <v>41.099850000000004</v>
      </c>
      <c r="AJ57" s="76">
        <f>+BORDRO!P61</f>
        <v>0</v>
      </c>
    </row>
    <row r="58" spans="1:36" ht="13.8" x14ac:dyDescent="0.25">
      <c r="A58" s="64" t="s">
        <v>51</v>
      </c>
      <c r="B58" s="120">
        <v>46</v>
      </c>
      <c r="C58" s="64" t="s">
        <v>52</v>
      </c>
      <c r="D58" s="64" t="s">
        <v>53</v>
      </c>
      <c r="E58" s="64" t="s">
        <v>53</v>
      </c>
      <c r="F58" s="65">
        <v>1494768</v>
      </c>
      <c r="G58" s="66" t="s">
        <v>105</v>
      </c>
      <c r="H58" s="64" t="s">
        <v>54</v>
      </c>
      <c r="I58" s="78"/>
      <c r="J58" s="67" t="str">
        <f>+Puantaj!C62</f>
        <v>31795253678</v>
      </c>
      <c r="K58" s="64" t="str">
        <f>+Puantaj!D62</f>
        <v>ENES</v>
      </c>
      <c r="L58" s="64" t="str">
        <f>+Puantaj!E62</f>
        <v>DURAN</v>
      </c>
      <c r="M58" s="68">
        <f>+BORDRO!F62</f>
        <v>12</v>
      </c>
      <c r="N58" s="64"/>
      <c r="O58" s="79">
        <f>+BORDRO!G62</f>
        <v>12996</v>
      </c>
      <c r="P58" s="79">
        <v>0</v>
      </c>
      <c r="Q58" s="122"/>
      <c r="R58" s="69"/>
      <c r="S58" s="70"/>
      <c r="T58" s="70"/>
      <c r="U58" s="71"/>
      <c r="V58" s="72">
        <f t="shared" si="0"/>
        <v>19</v>
      </c>
      <c r="W58" s="73">
        <v>6</v>
      </c>
      <c r="X58" s="81" t="s">
        <v>99</v>
      </c>
      <c r="Y58" s="65">
        <v>2</v>
      </c>
      <c r="Z58" s="64" t="s">
        <v>51</v>
      </c>
      <c r="AA58" s="74" t="s">
        <v>781</v>
      </c>
      <c r="AB58" s="64">
        <v>2025</v>
      </c>
      <c r="AC58" s="64" t="s">
        <v>106</v>
      </c>
      <c r="AD58" s="80">
        <f>+BORDRO!J62</f>
        <v>12996</v>
      </c>
      <c r="AE58" s="75"/>
      <c r="AF58" s="75">
        <f>+BORDRO!K62</f>
        <v>1949.3999999999999</v>
      </c>
      <c r="AG58" s="75">
        <f>+BORDRO!L62</f>
        <v>1949.3999999999999</v>
      </c>
      <c r="AH58" s="80">
        <f>+BORDRO!M62</f>
        <v>0</v>
      </c>
      <c r="AI58" s="75">
        <f>+BORDRO!O62</f>
        <v>98.63964</v>
      </c>
      <c r="AJ58" s="76">
        <f>+BORDRO!P62</f>
        <v>0</v>
      </c>
    </row>
    <row r="59" spans="1:36" ht="13.8" x14ac:dyDescent="0.25">
      <c r="A59" s="64" t="s">
        <v>51</v>
      </c>
      <c r="B59" s="119">
        <v>46</v>
      </c>
      <c r="C59" s="64" t="s">
        <v>52</v>
      </c>
      <c r="D59" s="64" t="s">
        <v>53</v>
      </c>
      <c r="E59" s="64" t="s">
        <v>53</v>
      </c>
      <c r="F59" s="65">
        <v>1494768</v>
      </c>
      <c r="G59" s="66" t="s">
        <v>105</v>
      </c>
      <c r="H59" s="64" t="s">
        <v>54</v>
      </c>
      <c r="I59" s="78"/>
      <c r="J59" s="67" t="str">
        <f>+Puantaj!C63</f>
        <v>13613592022</v>
      </c>
      <c r="K59" s="64" t="str">
        <f>+Puantaj!D63</f>
        <v>ENES</v>
      </c>
      <c r="L59" s="64" t="str">
        <f>+Puantaj!E63</f>
        <v>ÖZCAN</v>
      </c>
      <c r="M59" s="68">
        <f>+BORDRO!F63</f>
        <v>12</v>
      </c>
      <c r="N59" s="64"/>
      <c r="O59" s="79">
        <f>+BORDRO!G63</f>
        <v>12996</v>
      </c>
      <c r="P59" s="79">
        <v>0</v>
      </c>
      <c r="Q59" s="122"/>
      <c r="R59" s="69"/>
      <c r="S59" s="70"/>
      <c r="T59" s="70"/>
      <c r="U59" s="71"/>
      <c r="V59" s="72">
        <f t="shared" si="0"/>
        <v>19</v>
      </c>
      <c r="W59" s="73">
        <v>6</v>
      </c>
      <c r="X59" s="81" t="s">
        <v>99</v>
      </c>
      <c r="Y59" s="65">
        <v>2</v>
      </c>
      <c r="Z59" s="64" t="s">
        <v>51</v>
      </c>
      <c r="AA59" s="74" t="s">
        <v>781</v>
      </c>
      <c r="AB59" s="64">
        <v>2025</v>
      </c>
      <c r="AC59" s="64" t="s">
        <v>106</v>
      </c>
      <c r="AD59" s="80">
        <f>+BORDRO!J63</f>
        <v>12996</v>
      </c>
      <c r="AE59" s="75"/>
      <c r="AF59" s="75">
        <f>+BORDRO!K63</f>
        <v>1949.3999999999999</v>
      </c>
      <c r="AG59" s="75">
        <f>+BORDRO!L63</f>
        <v>1949.3999999999999</v>
      </c>
      <c r="AH59" s="80">
        <f>+BORDRO!M63</f>
        <v>0</v>
      </c>
      <c r="AI59" s="75">
        <f>+BORDRO!O63</f>
        <v>98.63964</v>
      </c>
      <c r="AJ59" s="76">
        <f>+BORDRO!P63</f>
        <v>0</v>
      </c>
    </row>
    <row r="60" spans="1:36" ht="13.8" x14ac:dyDescent="0.25">
      <c r="A60" s="64" t="s">
        <v>51</v>
      </c>
      <c r="B60" s="120">
        <v>46</v>
      </c>
      <c r="C60" s="64" t="s">
        <v>52</v>
      </c>
      <c r="D60" s="64" t="s">
        <v>53</v>
      </c>
      <c r="E60" s="64" t="s">
        <v>53</v>
      </c>
      <c r="F60" s="65">
        <v>1494768</v>
      </c>
      <c r="G60" s="66" t="s">
        <v>105</v>
      </c>
      <c r="H60" s="64" t="s">
        <v>54</v>
      </c>
      <c r="I60" s="78"/>
      <c r="J60" s="67" t="str">
        <f>+Puantaj!C64</f>
        <v>42379294314</v>
      </c>
      <c r="K60" s="64" t="str">
        <f>+Puantaj!D64</f>
        <v>ENİSE</v>
      </c>
      <c r="L60" s="64" t="str">
        <f>+Puantaj!E64</f>
        <v>GÖK</v>
      </c>
      <c r="M60" s="68">
        <f>+BORDRO!F64</f>
        <v>12</v>
      </c>
      <c r="N60" s="64"/>
      <c r="O60" s="79">
        <f>+BORDRO!G64</f>
        <v>12996</v>
      </c>
      <c r="P60" s="79">
        <v>0</v>
      </c>
      <c r="Q60" s="122"/>
      <c r="R60" s="69"/>
      <c r="S60" s="70"/>
      <c r="T60" s="70"/>
      <c r="U60" s="71"/>
      <c r="V60" s="72">
        <f t="shared" si="0"/>
        <v>19</v>
      </c>
      <c r="W60" s="73">
        <v>6</v>
      </c>
      <c r="X60" s="81" t="s">
        <v>99</v>
      </c>
      <c r="Y60" s="65">
        <v>2</v>
      </c>
      <c r="Z60" s="64" t="s">
        <v>51</v>
      </c>
      <c r="AA60" s="74" t="s">
        <v>781</v>
      </c>
      <c r="AB60" s="64">
        <v>2025</v>
      </c>
      <c r="AC60" s="64" t="s">
        <v>106</v>
      </c>
      <c r="AD60" s="80">
        <f>+BORDRO!J64</f>
        <v>12996</v>
      </c>
      <c r="AE60" s="75"/>
      <c r="AF60" s="75">
        <f>+BORDRO!K64</f>
        <v>1949.3999999999999</v>
      </c>
      <c r="AG60" s="75">
        <f>+BORDRO!L64</f>
        <v>1949.3999999999999</v>
      </c>
      <c r="AH60" s="80">
        <f>+BORDRO!M64</f>
        <v>0</v>
      </c>
      <c r="AI60" s="75">
        <f>+BORDRO!O64</f>
        <v>98.63964</v>
      </c>
      <c r="AJ60" s="76">
        <f>+BORDRO!P64</f>
        <v>0</v>
      </c>
    </row>
    <row r="61" spans="1:36" ht="13.8" x14ac:dyDescent="0.25">
      <c r="A61" s="64" t="s">
        <v>51</v>
      </c>
      <c r="B61" s="119">
        <v>46</v>
      </c>
      <c r="C61" s="64" t="s">
        <v>52</v>
      </c>
      <c r="D61" s="64" t="s">
        <v>53</v>
      </c>
      <c r="E61" s="64" t="s">
        <v>53</v>
      </c>
      <c r="F61" s="65">
        <v>1494768</v>
      </c>
      <c r="G61" s="66" t="s">
        <v>105</v>
      </c>
      <c r="H61" s="64" t="s">
        <v>54</v>
      </c>
      <c r="I61" s="78"/>
      <c r="J61" s="67" t="str">
        <f>+Puantaj!C65</f>
        <v>10267937780</v>
      </c>
      <c r="K61" s="64" t="str">
        <f>+Puantaj!D65</f>
        <v>ENNUR</v>
      </c>
      <c r="L61" s="64" t="str">
        <f>+Puantaj!E65</f>
        <v>ÜNAL</v>
      </c>
      <c r="M61" s="68">
        <f>+BORDRO!F65</f>
        <v>14</v>
      </c>
      <c r="N61" s="64"/>
      <c r="O61" s="79">
        <f>+BORDRO!G65</f>
        <v>15162</v>
      </c>
      <c r="P61" s="79">
        <v>0</v>
      </c>
      <c r="Q61" s="122"/>
      <c r="R61" s="69"/>
      <c r="S61" s="70"/>
      <c r="T61" s="70"/>
      <c r="U61" s="71"/>
      <c r="V61" s="72">
        <f t="shared" si="0"/>
        <v>17</v>
      </c>
      <c r="W61" s="73">
        <v>6</v>
      </c>
      <c r="X61" s="81" t="s">
        <v>99</v>
      </c>
      <c r="Y61" s="65">
        <v>2</v>
      </c>
      <c r="Z61" s="64" t="s">
        <v>51</v>
      </c>
      <c r="AA61" s="74" t="s">
        <v>781</v>
      </c>
      <c r="AB61" s="64">
        <v>2025</v>
      </c>
      <c r="AC61" s="64" t="s">
        <v>106</v>
      </c>
      <c r="AD61" s="80">
        <f>+BORDRO!J65</f>
        <v>15162</v>
      </c>
      <c r="AE61" s="75"/>
      <c r="AF61" s="75">
        <f>+BORDRO!K65</f>
        <v>2274.2999999999997</v>
      </c>
      <c r="AG61" s="75">
        <f>+BORDRO!L65</f>
        <v>2274.2999999999997</v>
      </c>
      <c r="AH61" s="80">
        <f>+BORDRO!M65</f>
        <v>0</v>
      </c>
      <c r="AI61" s="75">
        <f>+BORDRO!O65</f>
        <v>115.07958000000001</v>
      </c>
      <c r="AJ61" s="76">
        <f>+BORDRO!P65</f>
        <v>0</v>
      </c>
    </row>
    <row r="62" spans="1:36" ht="13.8" x14ac:dyDescent="0.25">
      <c r="A62" s="64" t="s">
        <v>51</v>
      </c>
      <c r="B62" s="120">
        <v>46</v>
      </c>
      <c r="C62" s="64" t="s">
        <v>52</v>
      </c>
      <c r="D62" s="64" t="s">
        <v>53</v>
      </c>
      <c r="E62" s="64" t="s">
        <v>53</v>
      </c>
      <c r="F62" s="65">
        <v>1494768</v>
      </c>
      <c r="G62" s="66" t="s">
        <v>105</v>
      </c>
      <c r="H62" s="64" t="s">
        <v>54</v>
      </c>
      <c r="I62" s="78"/>
      <c r="J62" s="67" t="str">
        <f>+Puantaj!C66</f>
        <v>10559226820</v>
      </c>
      <c r="K62" s="64" t="str">
        <f>+Puantaj!D66</f>
        <v>EREN</v>
      </c>
      <c r="L62" s="64" t="str">
        <f>+Puantaj!E66</f>
        <v>BEYDİLLİ</v>
      </c>
      <c r="M62" s="68">
        <f>+BORDRO!F66</f>
        <v>0</v>
      </c>
      <c r="N62" s="64"/>
      <c r="O62" s="79">
        <f>+BORDRO!G66</f>
        <v>0</v>
      </c>
      <c r="P62" s="79">
        <v>0</v>
      </c>
      <c r="Q62" s="122"/>
      <c r="R62" s="69"/>
      <c r="S62" s="70" t="s">
        <v>822</v>
      </c>
      <c r="T62" s="70" t="s">
        <v>822</v>
      </c>
      <c r="U62" s="71">
        <v>22</v>
      </c>
      <c r="V62" s="72">
        <v>12</v>
      </c>
      <c r="W62" s="73">
        <v>15</v>
      </c>
      <c r="X62" s="81" t="s">
        <v>99</v>
      </c>
      <c r="Y62" s="65">
        <v>2</v>
      </c>
      <c r="Z62" s="64" t="s">
        <v>51</v>
      </c>
      <c r="AA62" s="74" t="s">
        <v>781</v>
      </c>
      <c r="AB62" s="64">
        <v>2025</v>
      </c>
      <c r="AC62" s="64" t="s">
        <v>106</v>
      </c>
      <c r="AD62" s="80">
        <f>+BORDRO!J66</f>
        <v>0</v>
      </c>
      <c r="AE62" s="75"/>
      <c r="AF62" s="75">
        <f>+BORDRO!K66</f>
        <v>0</v>
      </c>
      <c r="AG62" s="75">
        <f>+BORDRO!L66</f>
        <v>0</v>
      </c>
      <c r="AH62" s="80">
        <f>+BORDRO!M66</f>
        <v>0</v>
      </c>
      <c r="AI62" s="75">
        <f>+BORDRO!O66</f>
        <v>0</v>
      </c>
      <c r="AJ62" s="76">
        <f>+BORDRO!P66</f>
        <v>0</v>
      </c>
    </row>
    <row r="63" spans="1:36" ht="13.8" x14ac:dyDescent="0.25">
      <c r="A63" s="64" t="s">
        <v>51</v>
      </c>
      <c r="B63" s="119">
        <v>46</v>
      </c>
      <c r="C63" s="64" t="s">
        <v>52</v>
      </c>
      <c r="D63" s="64" t="s">
        <v>53</v>
      </c>
      <c r="E63" s="64" t="s">
        <v>53</v>
      </c>
      <c r="F63" s="65">
        <v>1494768</v>
      </c>
      <c r="G63" s="66" t="s">
        <v>105</v>
      </c>
      <c r="H63" s="64" t="s">
        <v>54</v>
      </c>
      <c r="I63" s="78"/>
      <c r="J63" s="67" t="str">
        <f>+Puantaj!C67</f>
        <v>10129854538</v>
      </c>
      <c r="K63" s="64" t="str">
        <f>+Puantaj!D67</f>
        <v>EREN</v>
      </c>
      <c r="L63" s="64" t="str">
        <f>+Puantaj!E67</f>
        <v>BOYLU</v>
      </c>
      <c r="M63" s="68">
        <f>+BORDRO!F67</f>
        <v>13</v>
      </c>
      <c r="N63" s="64"/>
      <c r="O63" s="79">
        <f>+BORDRO!G67</f>
        <v>14079</v>
      </c>
      <c r="P63" s="79">
        <v>0</v>
      </c>
      <c r="Q63" s="122"/>
      <c r="R63" s="69"/>
      <c r="S63" s="70"/>
      <c r="T63" s="70"/>
      <c r="U63" s="71"/>
      <c r="V63" s="72">
        <f t="shared" si="0"/>
        <v>18</v>
      </c>
      <c r="W63" s="73">
        <v>6</v>
      </c>
      <c r="X63" s="81" t="s">
        <v>99</v>
      </c>
      <c r="Y63" s="65">
        <v>2</v>
      </c>
      <c r="Z63" s="64" t="s">
        <v>51</v>
      </c>
      <c r="AA63" s="74" t="s">
        <v>781</v>
      </c>
      <c r="AB63" s="64">
        <v>2025</v>
      </c>
      <c r="AC63" s="64" t="s">
        <v>106</v>
      </c>
      <c r="AD63" s="80">
        <f>+BORDRO!J67</f>
        <v>14079</v>
      </c>
      <c r="AE63" s="75"/>
      <c r="AF63" s="75">
        <f>+BORDRO!K67</f>
        <v>2111.85</v>
      </c>
      <c r="AG63" s="75">
        <f>+BORDRO!L67</f>
        <v>2111.85</v>
      </c>
      <c r="AH63" s="80">
        <f>+BORDRO!M67</f>
        <v>0</v>
      </c>
      <c r="AI63" s="75">
        <f>+BORDRO!O67</f>
        <v>106.85961</v>
      </c>
      <c r="AJ63" s="76">
        <f>+BORDRO!P67</f>
        <v>0</v>
      </c>
    </row>
    <row r="64" spans="1:36" ht="13.8" x14ac:dyDescent="0.25">
      <c r="A64" s="64" t="s">
        <v>51</v>
      </c>
      <c r="B64" s="120">
        <v>46</v>
      </c>
      <c r="C64" s="64" t="s">
        <v>52</v>
      </c>
      <c r="D64" s="64" t="s">
        <v>53</v>
      </c>
      <c r="E64" s="64" t="s">
        <v>53</v>
      </c>
      <c r="F64" s="65">
        <v>1494768</v>
      </c>
      <c r="G64" s="66" t="s">
        <v>105</v>
      </c>
      <c r="H64" s="64" t="s">
        <v>54</v>
      </c>
      <c r="I64" s="78"/>
      <c r="J64" s="67" t="str">
        <f>+Puantaj!C68</f>
        <v>10591948872</v>
      </c>
      <c r="K64" s="64" t="str">
        <f>+Puantaj!D68</f>
        <v>EREN</v>
      </c>
      <c r="L64" s="64" t="str">
        <f>+Puantaj!E68</f>
        <v>SAĞIR</v>
      </c>
      <c r="M64" s="68">
        <f>+BORDRO!F68</f>
        <v>14</v>
      </c>
      <c r="N64" s="64"/>
      <c r="O64" s="79">
        <f>+BORDRO!G68</f>
        <v>15162</v>
      </c>
      <c r="P64" s="79">
        <v>0</v>
      </c>
      <c r="Q64" s="122"/>
      <c r="R64" s="69"/>
      <c r="S64" s="70"/>
      <c r="T64" s="70"/>
      <c r="U64" s="71"/>
      <c r="V64" s="72">
        <f t="shared" si="0"/>
        <v>17</v>
      </c>
      <c r="W64" s="73">
        <v>6</v>
      </c>
      <c r="X64" s="81" t="s">
        <v>99</v>
      </c>
      <c r="Y64" s="65">
        <v>2</v>
      </c>
      <c r="Z64" s="64" t="s">
        <v>51</v>
      </c>
      <c r="AA64" s="74" t="s">
        <v>781</v>
      </c>
      <c r="AB64" s="64">
        <v>2025</v>
      </c>
      <c r="AC64" s="64" t="s">
        <v>106</v>
      </c>
      <c r="AD64" s="80">
        <f>+BORDRO!J68</f>
        <v>15162</v>
      </c>
      <c r="AE64" s="75"/>
      <c r="AF64" s="75">
        <f>+BORDRO!K68</f>
        <v>2274.2999999999997</v>
      </c>
      <c r="AG64" s="75">
        <f>+BORDRO!L68</f>
        <v>2274.2999999999997</v>
      </c>
      <c r="AH64" s="80">
        <f>+BORDRO!M68</f>
        <v>0</v>
      </c>
      <c r="AI64" s="75">
        <f>+BORDRO!O68</f>
        <v>115.07958000000001</v>
      </c>
      <c r="AJ64" s="76">
        <f>+BORDRO!P68</f>
        <v>0</v>
      </c>
    </row>
    <row r="65" spans="1:36" ht="13.8" x14ac:dyDescent="0.25">
      <c r="A65" s="64" t="s">
        <v>51</v>
      </c>
      <c r="B65" s="119">
        <v>46</v>
      </c>
      <c r="C65" s="64" t="s">
        <v>52</v>
      </c>
      <c r="D65" s="64" t="s">
        <v>53</v>
      </c>
      <c r="E65" s="64" t="s">
        <v>53</v>
      </c>
      <c r="F65" s="65">
        <v>1494768</v>
      </c>
      <c r="G65" s="66" t="s">
        <v>105</v>
      </c>
      <c r="H65" s="64" t="s">
        <v>54</v>
      </c>
      <c r="I65" s="78"/>
      <c r="J65" s="67" t="str">
        <f>+Puantaj!C69</f>
        <v>31750012616</v>
      </c>
      <c r="K65" s="64" t="str">
        <f>+Puantaj!D69</f>
        <v>ERTUĞRUL</v>
      </c>
      <c r="L65" s="64" t="str">
        <f>+Puantaj!E69</f>
        <v>YILDIRAN</v>
      </c>
      <c r="M65" s="68">
        <f>+BORDRO!F69</f>
        <v>14</v>
      </c>
      <c r="N65" s="64"/>
      <c r="O65" s="79">
        <f>+BORDRO!G69</f>
        <v>15162</v>
      </c>
      <c r="P65" s="79">
        <v>0</v>
      </c>
      <c r="Q65" s="122"/>
      <c r="R65" s="69"/>
      <c r="S65" s="70"/>
      <c r="T65" s="70"/>
      <c r="U65" s="71"/>
      <c r="V65" s="72">
        <f t="shared" si="0"/>
        <v>17</v>
      </c>
      <c r="W65" s="73">
        <v>6</v>
      </c>
      <c r="X65" s="81" t="s">
        <v>99</v>
      </c>
      <c r="Y65" s="65">
        <v>2</v>
      </c>
      <c r="Z65" s="64" t="s">
        <v>51</v>
      </c>
      <c r="AA65" s="74" t="s">
        <v>781</v>
      </c>
      <c r="AB65" s="64">
        <v>2025</v>
      </c>
      <c r="AC65" s="64" t="s">
        <v>106</v>
      </c>
      <c r="AD65" s="80">
        <f>+BORDRO!J69</f>
        <v>15162</v>
      </c>
      <c r="AE65" s="75"/>
      <c r="AF65" s="75">
        <f>+BORDRO!K69</f>
        <v>2274.2999999999997</v>
      </c>
      <c r="AG65" s="75">
        <f>+BORDRO!L69</f>
        <v>2274.2999999999997</v>
      </c>
      <c r="AH65" s="80">
        <f>+BORDRO!M69</f>
        <v>0</v>
      </c>
      <c r="AI65" s="75">
        <f>+BORDRO!O69</f>
        <v>115.07958000000001</v>
      </c>
      <c r="AJ65" s="76">
        <f>+BORDRO!P69</f>
        <v>0</v>
      </c>
    </row>
    <row r="66" spans="1:36" ht="13.8" x14ac:dyDescent="0.25">
      <c r="A66" s="64" t="s">
        <v>51</v>
      </c>
      <c r="B66" s="120">
        <v>46</v>
      </c>
      <c r="C66" s="64" t="s">
        <v>52</v>
      </c>
      <c r="D66" s="64" t="s">
        <v>53</v>
      </c>
      <c r="E66" s="64" t="s">
        <v>53</v>
      </c>
      <c r="F66" s="65">
        <v>1494768</v>
      </c>
      <c r="G66" s="66" t="s">
        <v>105</v>
      </c>
      <c r="H66" s="64" t="s">
        <v>54</v>
      </c>
      <c r="I66" s="78"/>
      <c r="J66" s="67" t="str">
        <f>+Puantaj!C70</f>
        <v>11758988366</v>
      </c>
      <c r="K66" s="64" t="str">
        <f>+Puantaj!D70</f>
        <v>ESRA BENAN</v>
      </c>
      <c r="L66" s="64" t="str">
        <f>+Puantaj!E70</f>
        <v>ÇETİN</v>
      </c>
      <c r="M66" s="68">
        <f>+BORDRO!F70</f>
        <v>13</v>
      </c>
      <c r="N66" s="64"/>
      <c r="O66" s="79">
        <f>+BORDRO!G70</f>
        <v>14079</v>
      </c>
      <c r="P66" s="79">
        <v>0</v>
      </c>
      <c r="Q66" s="122"/>
      <c r="R66" s="69"/>
      <c r="S66" s="70"/>
      <c r="T66" s="70"/>
      <c r="U66" s="71"/>
      <c r="V66" s="72">
        <f t="shared" si="0"/>
        <v>18</v>
      </c>
      <c r="W66" s="73">
        <v>6</v>
      </c>
      <c r="X66" s="81" t="s">
        <v>99</v>
      </c>
      <c r="Y66" s="65">
        <v>2</v>
      </c>
      <c r="Z66" s="64" t="s">
        <v>51</v>
      </c>
      <c r="AA66" s="74" t="s">
        <v>781</v>
      </c>
      <c r="AB66" s="64">
        <v>2025</v>
      </c>
      <c r="AC66" s="64" t="s">
        <v>106</v>
      </c>
      <c r="AD66" s="80">
        <f>+BORDRO!J70</f>
        <v>14079</v>
      </c>
      <c r="AE66" s="75"/>
      <c r="AF66" s="75">
        <f>+BORDRO!K70</f>
        <v>2111.85</v>
      </c>
      <c r="AG66" s="75">
        <f>+BORDRO!L70</f>
        <v>2111.85</v>
      </c>
      <c r="AH66" s="80">
        <f>+BORDRO!M70</f>
        <v>0</v>
      </c>
      <c r="AI66" s="75">
        <f>+BORDRO!O70</f>
        <v>106.85961</v>
      </c>
      <c r="AJ66" s="76">
        <f>+BORDRO!P70</f>
        <v>0</v>
      </c>
    </row>
    <row r="67" spans="1:36" ht="13.8" x14ac:dyDescent="0.25">
      <c r="A67" s="64" t="s">
        <v>51</v>
      </c>
      <c r="B67" s="119">
        <v>46</v>
      </c>
      <c r="C67" s="64" t="s">
        <v>52</v>
      </c>
      <c r="D67" s="64" t="s">
        <v>53</v>
      </c>
      <c r="E67" s="64" t="s">
        <v>53</v>
      </c>
      <c r="F67" s="65">
        <v>1494768</v>
      </c>
      <c r="G67" s="66" t="s">
        <v>105</v>
      </c>
      <c r="H67" s="64" t="s">
        <v>54</v>
      </c>
      <c r="I67" s="78"/>
      <c r="J67" s="67" t="str">
        <f>+Puantaj!C71</f>
        <v>10041124610</v>
      </c>
      <c r="K67" s="64" t="str">
        <f>+Puantaj!D71</f>
        <v>EYLÜL</v>
      </c>
      <c r="L67" s="64" t="str">
        <f>+Puantaj!E71</f>
        <v>AKCAOĞLU</v>
      </c>
      <c r="M67" s="68">
        <f>+BORDRO!F71</f>
        <v>12</v>
      </c>
      <c r="N67" s="64"/>
      <c r="O67" s="79">
        <f>+BORDRO!G71</f>
        <v>12996</v>
      </c>
      <c r="P67" s="79">
        <v>0</v>
      </c>
      <c r="Q67" s="122"/>
      <c r="R67" s="69"/>
      <c r="S67" s="70"/>
      <c r="T67" s="70"/>
      <c r="U67" s="71"/>
      <c r="V67" s="72">
        <f t="shared" ref="V67:V130" si="1">31-M67-Q67</f>
        <v>19</v>
      </c>
      <c r="W67" s="73">
        <v>6</v>
      </c>
      <c r="X67" s="81" t="s">
        <v>99</v>
      </c>
      <c r="Y67" s="65">
        <v>2</v>
      </c>
      <c r="Z67" s="64" t="s">
        <v>51</v>
      </c>
      <c r="AA67" s="74" t="s">
        <v>781</v>
      </c>
      <c r="AB67" s="64">
        <v>2025</v>
      </c>
      <c r="AC67" s="64" t="s">
        <v>106</v>
      </c>
      <c r="AD67" s="80">
        <f>+BORDRO!J71</f>
        <v>12996</v>
      </c>
      <c r="AE67" s="75"/>
      <c r="AF67" s="75">
        <f>+BORDRO!K71</f>
        <v>1949.3999999999999</v>
      </c>
      <c r="AG67" s="75">
        <f>+BORDRO!L71</f>
        <v>1949.3999999999999</v>
      </c>
      <c r="AH67" s="80">
        <f>+BORDRO!M71</f>
        <v>0</v>
      </c>
      <c r="AI67" s="75">
        <f>+BORDRO!O71</f>
        <v>98.63964</v>
      </c>
      <c r="AJ67" s="76">
        <f>+BORDRO!P71</f>
        <v>0</v>
      </c>
    </row>
    <row r="68" spans="1:36" ht="13.8" x14ac:dyDescent="0.25">
      <c r="A68" s="64" t="s">
        <v>51</v>
      </c>
      <c r="B68" s="120">
        <v>46</v>
      </c>
      <c r="C68" s="64" t="s">
        <v>52</v>
      </c>
      <c r="D68" s="64" t="s">
        <v>53</v>
      </c>
      <c r="E68" s="64" t="s">
        <v>53</v>
      </c>
      <c r="F68" s="65">
        <v>1494768</v>
      </c>
      <c r="G68" s="66" t="s">
        <v>105</v>
      </c>
      <c r="H68" s="64" t="s">
        <v>54</v>
      </c>
      <c r="I68" s="78"/>
      <c r="J68" s="67" t="str">
        <f>+Puantaj!C72</f>
        <v>26104431304</v>
      </c>
      <c r="K68" s="64" t="str">
        <f>+Puantaj!D72</f>
        <v>EZGİ</v>
      </c>
      <c r="L68" s="64" t="str">
        <f>+Puantaj!E72</f>
        <v>BÜYÜKKAYA</v>
      </c>
      <c r="M68" s="68">
        <f>+BORDRO!F72</f>
        <v>9</v>
      </c>
      <c r="N68" s="64"/>
      <c r="O68" s="79">
        <f>+BORDRO!G72</f>
        <v>9747</v>
      </c>
      <c r="P68" s="79">
        <v>0</v>
      </c>
      <c r="Q68" s="122"/>
      <c r="R68" s="69"/>
      <c r="S68" s="70"/>
      <c r="T68" s="70"/>
      <c r="U68" s="71"/>
      <c r="V68" s="72">
        <f t="shared" si="1"/>
        <v>22</v>
      </c>
      <c r="W68" s="73">
        <v>6</v>
      </c>
      <c r="X68" s="81" t="s">
        <v>99</v>
      </c>
      <c r="Y68" s="65">
        <v>2</v>
      </c>
      <c r="Z68" s="64" t="s">
        <v>51</v>
      </c>
      <c r="AA68" s="74" t="s">
        <v>781</v>
      </c>
      <c r="AB68" s="64">
        <v>2025</v>
      </c>
      <c r="AC68" s="64" t="s">
        <v>106</v>
      </c>
      <c r="AD68" s="80">
        <f>+BORDRO!J72</f>
        <v>9747</v>
      </c>
      <c r="AE68" s="75"/>
      <c r="AF68" s="75">
        <f>+BORDRO!K72</f>
        <v>1462.05</v>
      </c>
      <c r="AG68" s="75">
        <f>+BORDRO!L72</f>
        <v>1462.05</v>
      </c>
      <c r="AH68" s="80">
        <f>+BORDRO!M72</f>
        <v>0</v>
      </c>
      <c r="AI68" s="75">
        <f>+BORDRO!O72</f>
        <v>73.979730000000004</v>
      </c>
      <c r="AJ68" s="76">
        <f>+BORDRO!P72</f>
        <v>0</v>
      </c>
    </row>
    <row r="69" spans="1:36" ht="13.8" x14ac:dyDescent="0.25">
      <c r="A69" s="64" t="s">
        <v>51</v>
      </c>
      <c r="B69" s="119">
        <v>46</v>
      </c>
      <c r="C69" s="64" t="s">
        <v>52</v>
      </c>
      <c r="D69" s="64" t="s">
        <v>53</v>
      </c>
      <c r="E69" s="64" t="s">
        <v>53</v>
      </c>
      <c r="F69" s="65">
        <v>1494768</v>
      </c>
      <c r="G69" s="66" t="s">
        <v>105</v>
      </c>
      <c r="H69" s="64" t="s">
        <v>54</v>
      </c>
      <c r="I69" s="78"/>
      <c r="J69" s="67" t="str">
        <f>+Puantaj!C73</f>
        <v>13939155444</v>
      </c>
      <c r="K69" s="64" t="str">
        <f>+Puantaj!D73</f>
        <v>EZGİNAZ</v>
      </c>
      <c r="L69" s="64" t="str">
        <f>+Puantaj!E73</f>
        <v>GÜNDEDE</v>
      </c>
      <c r="M69" s="68">
        <f>+BORDRO!F73</f>
        <v>11</v>
      </c>
      <c r="N69" s="64"/>
      <c r="O69" s="79">
        <f>+BORDRO!G73</f>
        <v>11913</v>
      </c>
      <c r="P69" s="79">
        <v>0</v>
      </c>
      <c r="Q69" s="122"/>
      <c r="R69" s="69"/>
      <c r="S69" s="70"/>
      <c r="T69" s="70"/>
      <c r="U69" s="71"/>
      <c r="V69" s="72">
        <f t="shared" si="1"/>
        <v>20</v>
      </c>
      <c r="W69" s="73">
        <v>6</v>
      </c>
      <c r="X69" s="81" t="s">
        <v>99</v>
      </c>
      <c r="Y69" s="65">
        <v>2</v>
      </c>
      <c r="Z69" s="64" t="s">
        <v>51</v>
      </c>
      <c r="AA69" s="74" t="s">
        <v>781</v>
      </c>
      <c r="AB69" s="64">
        <v>2025</v>
      </c>
      <c r="AC69" s="64" t="s">
        <v>106</v>
      </c>
      <c r="AD69" s="80">
        <f>+BORDRO!J73</f>
        <v>11913</v>
      </c>
      <c r="AE69" s="75"/>
      <c r="AF69" s="75">
        <f>+BORDRO!K73</f>
        <v>1786.95</v>
      </c>
      <c r="AG69" s="75">
        <f>+BORDRO!L73</f>
        <v>1786.95</v>
      </c>
      <c r="AH69" s="80">
        <f>+BORDRO!M73</f>
        <v>0</v>
      </c>
      <c r="AI69" s="75">
        <f>+BORDRO!O73</f>
        <v>90.419670000000011</v>
      </c>
      <c r="AJ69" s="76">
        <f>+BORDRO!P73</f>
        <v>0</v>
      </c>
    </row>
    <row r="70" spans="1:36" ht="13.8" x14ac:dyDescent="0.25">
      <c r="A70" s="64" t="s">
        <v>51</v>
      </c>
      <c r="B70" s="120">
        <v>46</v>
      </c>
      <c r="C70" s="64" t="s">
        <v>52</v>
      </c>
      <c r="D70" s="64" t="s">
        <v>53</v>
      </c>
      <c r="E70" s="64" t="s">
        <v>53</v>
      </c>
      <c r="F70" s="65">
        <v>1494768</v>
      </c>
      <c r="G70" s="66" t="s">
        <v>105</v>
      </c>
      <c r="H70" s="64" t="s">
        <v>54</v>
      </c>
      <c r="I70" s="78"/>
      <c r="J70" s="67" t="str">
        <f>+Puantaj!C74</f>
        <v>11635943068</v>
      </c>
      <c r="K70" s="64" t="str">
        <f>+Puantaj!D74</f>
        <v>FATMA YAREN</v>
      </c>
      <c r="L70" s="64" t="str">
        <f>+Puantaj!E74</f>
        <v>ERDOĞAN</v>
      </c>
      <c r="M70" s="68">
        <f>+BORDRO!F74</f>
        <v>14</v>
      </c>
      <c r="N70" s="64"/>
      <c r="O70" s="79">
        <f>+BORDRO!G74</f>
        <v>15162</v>
      </c>
      <c r="P70" s="79">
        <v>0</v>
      </c>
      <c r="Q70" s="122"/>
      <c r="R70" s="69"/>
      <c r="S70" s="70"/>
      <c r="T70" s="70"/>
      <c r="U70" s="71"/>
      <c r="V70" s="72">
        <f t="shared" si="1"/>
        <v>17</v>
      </c>
      <c r="W70" s="73">
        <v>6</v>
      </c>
      <c r="X70" s="81" t="s">
        <v>99</v>
      </c>
      <c r="Y70" s="65">
        <v>2</v>
      </c>
      <c r="Z70" s="64" t="s">
        <v>51</v>
      </c>
      <c r="AA70" s="74" t="s">
        <v>781</v>
      </c>
      <c r="AB70" s="64">
        <v>2025</v>
      </c>
      <c r="AC70" s="64" t="s">
        <v>106</v>
      </c>
      <c r="AD70" s="80">
        <f>+BORDRO!J74</f>
        <v>15162</v>
      </c>
      <c r="AE70" s="75"/>
      <c r="AF70" s="75">
        <f>+BORDRO!K74</f>
        <v>2274.2999999999997</v>
      </c>
      <c r="AG70" s="75">
        <f>+BORDRO!L74</f>
        <v>2274.2999999999997</v>
      </c>
      <c r="AH70" s="80">
        <f>+BORDRO!M74</f>
        <v>0</v>
      </c>
      <c r="AI70" s="75">
        <f>+BORDRO!O74</f>
        <v>115.07958000000001</v>
      </c>
      <c r="AJ70" s="76">
        <f>+BORDRO!P74</f>
        <v>0</v>
      </c>
    </row>
    <row r="71" spans="1:36" ht="13.8" x14ac:dyDescent="0.25">
      <c r="A71" s="64" t="s">
        <v>51</v>
      </c>
      <c r="B71" s="119">
        <v>46</v>
      </c>
      <c r="C71" s="64" t="s">
        <v>52</v>
      </c>
      <c r="D71" s="64" t="s">
        <v>53</v>
      </c>
      <c r="E71" s="64" t="s">
        <v>53</v>
      </c>
      <c r="F71" s="65">
        <v>1494768</v>
      </c>
      <c r="G71" s="66" t="s">
        <v>105</v>
      </c>
      <c r="H71" s="64" t="s">
        <v>54</v>
      </c>
      <c r="I71" s="78"/>
      <c r="J71" s="67" t="str">
        <f>+Puantaj!C75</f>
        <v>17333252242</v>
      </c>
      <c r="K71" s="64" t="str">
        <f>+Puantaj!D75</f>
        <v>FEYZA</v>
      </c>
      <c r="L71" s="64" t="str">
        <f>+Puantaj!E75</f>
        <v>KARACA</v>
      </c>
      <c r="M71" s="68">
        <f>+BORDRO!F75</f>
        <v>12</v>
      </c>
      <c r="N71" s="64"/>
      <c r="O71" s="79">
        <f>+BORDRO!G75</f>
        <v>12996</v>
      </c>
      <c r="P71" s="79">
        <v>0</v>
      </c>
      <c r="Q71" s="122"/>
      <c r="R71" s="69"/>
      <c r="S71" s="70"/>
      <c r="T71" s="70"/>
      <c r="U71" s="71"/>
      <c r="V71" s="72">
        <f t="shared" si="1"/>
        <v>19</v>
      </c>
      <c r="W71" s="73">
        <v>6</v>
      </c>
      <c r="X71" s="81" t="s">
        <v>99</v>
      </c>
      <c r="Y71" s="65">
        <v>2</v>
      </c>
      <c r="Z71" s="64" t="s">
        <v>51</v>
      </c>
      <c r="AA71" s="74" t="s">
        <v>781</v>
      </c>
      <c r="AB71" s="64">
        <v>2025</v>
      </c>
      <c r="AC71" s="64" t="s">
        <v>106</v>
      </c>
      <c r="AD71" s="80">
        <f>+BORDRO!J75</f>
        <v>12996</v>
      </c>
      <c r="AE71" s="75"/>
      <c r="AF71" s="75">
        <f>+BORDRO!K75</f>
        <v>1949.3999999999999</v>
      </c>
      <c r="AG71" s="75">
        <f>+BORDRO!L75</f>
        <v>1949.3999999999999</v>
      </c>
      <c r="AH71" s="80">
        <f>+BORDRO!M75</f>
        <v>0</v>
      </c>
      <c r="AI71" s="75">
        <f>+BORDRO!O75</f>
        <v>98.63964</v>
      </c>
      <c r="AJ71" s="76">
        <f>+BORDRO!P75</f>
        <v>0</v>
      </c>
    </row>
    <row r="72" spans="1:36" ht="13.8" x14ac:dyDescent="0.25">
      <c r="A72" s="64" t="s">
        <v>51</v>
      </c>
      <c r="B72" s="120">
        <v>46</v>
      </c>
      <c r="C72" s="64" t="s">
        <v>52</v>
      </c>
      <c r="D72" s="64" t="s">
        <v>53</v>
      </c>
      <c r="E72" s="64" t="s">
        <v>53</v>
      </c>
      <c r="F72" s="65">
        <v>1494768</v>
      </c>
      <c r="G72" s="66" t="s">
        <v>105</v>
      </c>
      <c r="H72" s="64" t="s">
        <v>54</v>
      </c>
      <c r="I72" s="78"/>
      <c r="J72" s="67" t="str">
        <f>+Puantaj!C76</f>
        <v>10861953766</v>
      </c>
      <c r="K72" s="64" t="str">
        <f>+Puantaj!D76</f>
        <v>FİLİZ</v>
      </c>
      <c r="L72" s="64" t="str">
        <f>+Puantaj!E76</f>
        <v>ÇİNİ</v>
      </c>
      <c r="M72" s="68">
        <f>+BORDRO!F76</f>
        <v>14</v>
      </c>
      <c r="N72" s="64"/>
      <c r="O72" s="79">
        <f>+BORDRO!G76</f>
        <v>15162</v>
      </c>
      <c r="P72" s="79">
        <v>0</v>
      </c>
      <c r="Q72" s="122"/>
      <c r="R72" s="69"/>
      <c r="S72" s="70"/>
      <c r="T72" s="70"/>
      <c r="U72" s="71"/>
      <c r="V72" s="72">
        <f t="shared" si="1"/>
        <v>17</v>
      </c>
      <c r="W72" s="73">
        <v>6</v>
      </c>
      <c r="X72" s="81" t="s">
        <v>99</v>
      </c>
      <c r="Y72" s="65">
        <v>2</v>
      </c>
      <c r="Z72" s="64" t="s">
        <v>51</v>
      </c>
      <c r="AA72" s="74" t="s">
        <v>781</v>
      </c>
      <c r="AB72" s="64">
        <v>2025</v>
      </c>
      <c r="AC72" s="64" t="s">
        <v>106</v>
      </c>
      <c r="AD72" s="80">
        <f>+BORDRO!J76</f>
        <v>15162</v>
      </c>
      <c r="AE72" s="75"/>
      <c r="AF72" s="75">
        <f>+BORDRO!K76</f>
        <v>2274.2999999999997</v>
      </c>
      <c r="AG72" s="75">
        <f>+BORDRO!L76</f>
        <v>2274.2999999999997</v>
      </c>
      <c r="AH72" s="80">
        <f>+BORDRO!M76</f>
        <v>0</v>
      </c>
      <c r="AI72" s="75">
        <f>+BORDRO!O76</f>
        <v>115.07958000000001</v>
      </c>
      <c r="AJ72" s="76">
        <f>+BORDRO!P76</f>
        <v>0</v>
      </c>
    </row>
    <row r="73" spans="1:36" ht="13.8" x14ac:dyDescent="0.25">
      <c r="A73" s="64" t="s">
        <v>51</v>
      </c>
      <c r="B73" s="119">
        <v>46</v>
      </c>
      <c r="C73" s="64" t="s">
        <v>52</v>
      </c>
      <c r="D73" s="64" t="s">
        <v>53</v>
      </c>
      <c r="E73" s="64" t="s">
        <v>53</v>
      </c>
      <c r="F73" s="65">
        <v>1494768</v>
      </c>
      <c r="G73" s="66" t="s">
        <v>105</v>
      </c>
      <c r="H73" s="64" t="s">
        <v>54</v>
      </c>
      <c r="I73" s="78"/>
      <c r="J73" s="67" t="str">
        <f>+Puantaj!C77</f>
        <v>10385934418</v>
      </c>
      <c r="K73" s="64" t="str">
        <f>+Puantaj!D77</f>
        <v>FURKAN</v>
      </c>
      <c r="L73" s="64" t="str">
        <f>+Puantaj!E77</f>
        <v>AKAN</v>
      </c>
      <c r="M73" s="68">
        <f>+BORDRO!F77</f>
        <v>9</v>
      </c>
      <c r="N73" s="64"/>
      <c r="O73" s="79">
        <f>+BORDRO!G77</f>
        <v>9747</v>
      </c>
      <c r="P73" s="79">
        <v>0</v>
      </c>
      <c r="Q73" s="122"/>
      <c r="R73" s="69"/>
      <c r="S73" s="70"/>
      <c r="T73" s="70"/>
      <c r="U73" s="71"/>
      <c r="V73" s="72">
        <f t="shared" si="1"/>
        <v>22</v>
      </c>
      <c r="W73" s="73">
        <v>6</v>
      </c>
      <c r="X73" s="81" t="s">
        <v>99</v>
      </c>
      <c r="Y73" s="65">
        <v>2</v>
      </c>
      <c r="Z73" s="64" t="s">
        <v>51</v>
      </c>
      <c r="AA73" s="74" t="s">
        <v>781</v>
      </c>
      <c r="AB73" s="64">
        <v>2025</v>
      </c>
      <c r="AC73" s="64" t="s">
        <v>106</v>
      </c>
      <c r="AD73" s="80">
        <f>+BORDRO!J77</f>
        <v>9747</v>
      </c>
      <c r="AE73" s="75"/>
      <c r="AF73" s="75">
        <f>+BORDRO!K77</f>
        <v>1462.05</v>
      </c>
      <c r="AG73" s="75">
        <f>+BORDRO!L77</f>
        <v>1462.05</v>
      </c>
      <c r="AH73" s="80">
        <f>+BORDRO!M77</f>
        <v>0</v>
      </c>
      <c r="AI73" s="75">
        <f>+BORDRO!O77</f>
        <v>73.979730000000004</v>
      </c>
      <c r="AJ73" s="76">
        <f>+BORDRO!P77</f>
        <v>0</v>
      </c>
    </row>
    <row r="74" spans="1:36" ht="13.8" x14ac:dyDescent="0.25">
      <c r="A74" s="64" t="s">
        <v>51</v>
      </c>
      <c r="B74" s="120">
        <v>46</v>
      </c>
      <c r="C74" s="64" t="s">
        <v>52</v>
      </c>
      <c r="D74" s="64" t="s">
        <v>53</v>
      </c>
      <c r="E74" s="64" t="s">
        <v>53</v>
      </c>
      <c r="F74" s="65">
        <v>1494768</v>
      </c>
      <c r="G74" s="66" t="s">
        <v>105</v>
      </c>
      <c r="H74" s="64" t="s">
        <v>54</v>
      </c>
      <c r="I74" s="78"/>
      <c r="J74" s="67" t="str">
        <f>+Puantaj!C78</f>
        <v>10291959826</v>
      </c>
      <c r="K74" s="64" t="str">
        <f>+Puantaj!D78</f>
        <v>FURKAN SELİM</v>
      </c>
      <c r="L74" s="64" t="str">
        <f>+Puantaj!E78</f>
        <v>DURAN</v>
      </c>
      <c r="M74" s="68">
        <f>+BORDRO!F78</f>
        <v>13</v>
      </c>
      <c r="N74" s="64"/>
      <c r="O74" s="79">
        <f>+BORDRO!G78</f>
        <v>14079</v>
      </c>
      <c r="P74" s="79">
        <v>0</v>
      </c>
      <c r="Q74" s="122"/>
      <c r="R74" s="69"/>
      <c r="S74" s="70"/>
      <c r="T74" s="70"/>
      <c r="U74" s="71"/>
      <c r="V74" s="72">
        <f t="shared" si="1"/>
        <v>18</v>
      </c>
      <c r="W74" s="73">
        <v>6</v>
      </c>
      <c r="X74" s="81" t="s">
        <v>99</v>
      </c>
      <c r="Y74" s="65">
        <v>2</v>
      </c>
      <c r="Z74" s="64" t="s">
        <v>51</v>
      </c>
      <c r="AA74" s="74" t="s">
        <v>781</v>
      </c>
      <c r="AB74" s="64">
        <v>2025</v>
      </c>
      <c r="AC74" s="64" t="s">
        <v>106</v>
      </c>
      <c r="AD74" s="80">
        <f>+BORDRO!J78</f>
        <v>14079</v>
      </c>
      <c r="AE74" s="75"/>
      <c r="AF74" s="75">
        <f>+BORDRO!K78</f>
        <v>2111.85</v>
      </c>
      <c r="AG74" s="75">
        <f>+BORDRO!L78</f>
        <v>2111.85</v>
      </c>
      <c r="AH74" s="80">
        <f>+BORDRO!M78</f>
        <v>0</v>
      </c>
      <c r="AI74" s="75">
        <f>+BORDRO!O78</f>
        <v>106.85961</v>
      </c>
      <c r="AJ74" s="76">
        <f>+BORDRO!P78</f>
        <v>0</v>
      </c>
    </row>
    <row r="75" spans="1:36" ht="13.8" x14ac:dyDescent="0.25">
      <c r="A75" s="64" t="s">
        <v>51</v>
      </c>
      <c r="B75" s="119">
        <v>46</v>
      </c>
      <c r="C75" s="64" t="s">
        <v>52</v>
      </c>
      <c r="D75" s="64" t="s">
        <v>53</v>
      </c>
      <c r="E75" s="64" t="s">
        <v>53</v>
      </c>
      <c r="F75" s="65">
        <v>1494768</v>
      </c>
      <c r="G75" s="66" t="s">
        <v>105</v>
      </c>
      <c r="H75" s="64" t="s">
        <v>54</v>
      </c>
      <c r="I75" s="78"/>
      <c r="J75" s="67" t="str">
        <f>+Puantaj!C79</f>
        <v>22394387604</v>
      </c>
      <c r="K75" s="64" t="str">
        <f>+Puantaj!D79</f>
        <v>GİZEM</v>
      </c>
      <c r="L75" s="64" t="str">
        <f>+Puantaj!E79</f>
        <v>MOLLA</v>
      </c>
      <c r="M75" s="68">
        <f>+BORDRO!F79</f>
        <v>12</v>
      </c>
      <c r="N75" s="64"/>
      <c r="O75" s="79">
        <f>+BORDRO!G79</f>
        <v>12996</v>
      </c>
      <c r="P75" s="79">
        <v>0</v>
      </c>
      <c r="Q75" s="122"/>
      <c r="R75" s="69"/>
      <c r="S75" s="70"/>
      <c r="T75" s="70"/>
      <c r="U75" s="71"/>
      <c r="V75" s="72">
        <f t="shared" si="1"/>
        <v>19</v>
      </c>
      <c r="W75" s="73">
        <v>6</v>
      </c>
      <c r="X75" s="81" t="s">
        <v>99</v>
      </c>
      <c r="Y75" s="65">
        <v>2</v>
      </c>
      <c r="Z75" s="64" t="s">
        <v>51</v>
      </c>
      <c r="AA75" s="74" t="s">
        <v>781</v>
      </c>
      <c r="AB75" s="64">
        <v>2025</v>
      </c>
      <c r="AC75" s="64" t="s">
        <v>106</v>
      </c>
      <c r="AD75" s="80">
        <f>+BORDRO!J79</f>
        <v>12996</v>
      </c>
      <c r="AE75" s="75"/>
      <c r="AF75" s="75">
        <f>+BORDRO!K79</f>
        <v>1949.3999999999999</v>
      </c>
      <c r="AG75" s="75">
        <f>+BORDRO!L79</f>
        <v>1949.3999999999999</v>
      </c>
      <c r="AH75" s="80">
        <f>+BORDRO!M79</f>
        <v>0</v>
      </c>
      <c r="AI75" s="75">
        <f>+BORDRO!O79</f>
        <v>98.63964</v>
      </c>
      <c r="AJ75" s="76">
        <f>+BORDRO!P79</f>
        <v>0</v>
      </c>
    </row>
    <row r="76" spans="1:36" ht="13.8" x14ac:dyDescent="0.25">
      <c r="A76" s="64" t="s">
        <v>51</v>
      </c>
      <c r="B76" s="120">
        <v>46</v>
      </c>
      <c r="C76" s="64" t="s">
        <v>52</v>
      </c>
      <c r="D76" s="64" t="s">
        <v>53</v>
      </c>
      <c r="E76" s="64" t="s">
        <v>53</v>
      </c>
      <c r="F76" s="65">
        <v>1494768</v>
      </c>
      <c r="G76" s="66" t="s">
        <v>105</v>
      </c>
      <c r="H76" s="64" t="s">
        <v>54</v>
      </c>
      <c r="I76" s="78"/>
      <c r="J76" s="67" t="str">
        <f>+Puantaj!C80</f>
        <v>10439263020</v>
      </c>
      <c r="K76" s="64" t="str">
        <f>+Puantaj!D80</f>
        <v>GÖKAY</v>
      </c>
      <c r="L76" s="64" t="str">
        <f>+Puantaj!E80</f>
        <v>ÖZEL</v>
      </c>
      <c r="M76" s="68">
        <f>+BORDRO!F80</f>
        <v>13</v>
      </c>
      <c r="N76" s="64"/>
      <c r="O76" s="79">
        <f>+BORDRO!G80</f>
        <v>14079</v>
      </c>
      <c r="P76" s="79">
        <v>0</v>
      </c>
      <c r="Q76" s="122"/>
      <c r="R76" s="69"/>
      <c r="S76" s="70"/>
      <c r="T76" s="70"/>
      <c r="U76" s="71"/>
      <c r="V76" s="72">
        <f t="shared" si="1"/>
        <v>18</v>
      </c>
      <c r="W76" s="73">
        <v>6</v>
      </c>
      <c r="X76" s="81" t="s">
        <v>99</v>
      </c>
      <c r="Y76" s="65">
        <v>2</v>
      </c>
      <c r="Z76" s="64" t="s">
        <v>51</v>
      </c>
      <c r="AA76" s="74" t="s">
        <v>781</v>
      </c>
      <c r="AB76" s="64">
        <v>2025</v>
      </c>
      <c r="AC76" s="64" t="s">
        <v>106</v>
      </c>
      <c r="AD76" s="80">
        <f>+BORDRO!J80</f>
        <v>14079</v>
      </c>
      <c r="AE76" s="75"/>
      <c r="AF76" s="75">
        <f>+BORDRO!K80</f>
        <v>2111.85</v>
      </c>
      <c r="AG76" s="75">
        <f>+BORDRO!L80</f>
        <v>2111.85</v>
      </c>
      <c r="AH76" s="80">
        <f>+BORDRO!M80</f>
        <v>0</v>
      </c>
      <c r="AI76" s="75">
        <f>+BORDRO!O80</f>
        <v>106.85961</v>
      </c>
      <c r="AJ76" s="76">
        <f>+BORDRO!P80</f>
        <v>0</v>
      </c>
    </row>
    <row r="77" spans="1:36" ht="13.8" x14ac:dyDescent="0.25">
      <c r="A77" s="64" t="s">
        <v>51</v>
      </c>
      <c r="B77" s="119">
        <v>46</v>
      </c>
      <c r="C77" s="64" t="s">
        <v>52</v>
      </c>
      <c r="D77" s="64" t="s">
        <v>53</v>
      </c>
      <c r="E77" s="64" t="s">
        <v>53</v>
      </c>
      <c r="F77" s="65">
        <v>1494768</v>
      </c>
      <c r="G77" s="66" t="s">
        <v>105</v>
      </c>
      <c r="H77" s="64" t="s">
        <v>54</v>
      </c>
      <c r="I77" s="78"/>
      <c r="J77" s="67" t="str">
        <f>+Puantaj!C81</f>
        <v>10735312002</v>
      </c>
      <c r="K77" s="64" t="str">
        <f>+Puantaj!D81</f>
        <v>GÖRKEM</v>
      </c>
      <c r="L77" s="64" t="str">
        <f>+Puantaj!E81</f>
        <v>KOÇ</v>
      </c>
      <c r="M77" s="68">
        <f>+BORDRO!F81</f>
        <v>4</v>
      </c>
      <c r="N77" s="64"/>
      <c r="O77" s="79">
        <f>+BORDRO!G81</f>
        <v>4332</v>
      </c>
      <c r="P77" s="79">
        <v>0</v>
      </c>
      <c r="Q77" s="122"/>
      <c r="R77" s="69"/>
      <c r="S77" s="70"/>
      <c r="T77" s="70"/>
      <c r="U77" s="71"/>
      <c r="V77" s="72">
        <f t="shared" si="1"/>
        <v>27</v>
      </c>
      <c r="W77" s="73">
        <v>6</v>
      </c>
      <c r="X77" s="81" t="s">
        <v>99</v>
      </c>
      <c r="Y77" s="65">
        <v>2</v>
      </c>
      <c r="Z77" s="64" t="s">
        <v>51</v>
      </c>
      <c r="AA77" s="74" t="s">
        <v>781</v>
      </c>
      <c r="AB77" s="64">
        <v>2025</v>
      </c>
      <c r="AC77" s="64" t="s">
        <v>106</v>
      </c>
      <c r="AD77" s="80">
        <f>+BORDRO!J81</f>
        <v>4332</v>
      </c>
      <c r="AE77" s="75"/>
      <c r="AF77" s="75">
        <f>+BORDRO!K81</f>
        <v>649.79999999999995</v>
      </c>
      <c r="AG77" s="75">
        <f>+BORDRO!L81</f>
        <v>649.79999999999995</v>
      </c>
      <c r="AH77" s="80">
        <f>+BORDRO!M81</f>
        <v>0</v>
      </c>
      <c r="AI77" s="75">
        <f>+BORDRO!O81</f>
        <v>32.87988</v>
      </c>
      <c r="AJ77" s="76">
        <f>+BORDRO!P81</f>
        <v>0</v>
      </c>
    </row>
    <row r="78" spans="1:36" ht="13.8" x14ac:dyDescent="0.25">
      <c r="A78" s="64" t="s">
        <v>51</v>
      </c>
      <c r="B78" s="120">
        <v>46</v>
      </c>
      <c r="C78" s="64" t="s">
        <v>52</v>
      </c>
      <c r="D78" s="64" t="s">
        <v>53</v>
      </c>
      <c r="E78" s="64" t="s">
        <v>53</v>
      </c>
      <c r="F78" s="65">
        <v>1494768</v>
      </c>
      <c r="G78" s="66" t="s">
        <v>105</v>
      </c>
      <c r="H78" s="64" t="s">
        <v>54</v>
      </c>
      <c r="I78" s="78"/>
      <c r="J78" s="67" t="str">
        <f>+Puantaj!C82</f>
        <v>19358635796</v>
      </c>
      <c r="K78" s="64" t="str">
        <f>+Puantaj!D82</f>
        <v>GÜLSEHER</v>
      </c>
      <c r="L78" s="64" t="str">
        <f>+Puantaj!E82</f>
        <v>TAŞĞIN</v>
      </c>
      <c r="M78" s="68">
        <f>+BORDRO!F82</f>
        <v>13</v>
      </c>
      <c r="N78" s="64"/>
      <c r="O78" s="79">
        <f>+BORDRO!G82</f>
        <v>14079</v>
      </c>
      <c r="P78" s="79">
        <v>0</v>
      </c>
      <c r="Q78" s="122"/>
      <c r="R78" s="69"/>
      <c r="S78" s="70"/>
      <c r="T78" s="70"/>
      <c r="U78" s="71"/>
      <c r="V78" s="72">
        <f t="shared" si="1"/>
        <v>18</v>
      </c>
      <c r="W78" s="73">
        <v>6</v>
      </c>
      <c r="X78" s="81" t="s">
        <v>99</v>
      </c>
      <c r="Y78" s="65">
        <v>2</v>
      </c>
      <c r="Z78" s="64" t="s">
        <v>51</v>
      </c>
      <c r="AA78" s="74" t="s">
        <v>781</v>
      </c>
      <c r="AB78" s="64">
        <v>2025</v>
      </c>
      <c r="AC78" s="64" t="s">
        <v>106</v>
      </c>
      <c r="AD78" s="80">
        <f>+BORDRO!J82</f>
        <v>14079</v>
      </c>
      <c r="AE78" s="75"/>
      <c r="AF78" s="75">
        <f>+BORDRO!K82</f>
        <v>2111.85</v>
      </c>
      <c r="AG78" s="75">
        <f>+BORDRO!L82</f>
        <v>2111.85</v>
      </c>
      <c r="AH78" s="80">
        <f>+BORDRO!M82</f>
        <v>0</v>
      </c>
      <c r="AI78" s="75">
        <f>+BORDRO!O82</f>
        <v>106.85961</v>
      </c>
      <c r="AJ78" s="76">
        <f>+BORDRO!P82</f>
        <v>0</v>
      </c>
    </row>
    <row r="79" spans="1:36" ht="13.8" x14ac:dyDescent="0.25">
      <c r="A79" s="64" t="s">
        <v>51</v>
      </c>
      <c r="B79" s="119">
        <v>46</v>
      </c>
      <c r="C79" s="64" t="s">
        <v>52</v>
      </c>
      <c r="D79" s="64" t="s">
        <v>53</v>
      </c>
      <c r="E79" s="64" t="s">
        <v>53</v>
      </c>
      <c r="F79" s="65">
        <v>1494768</v>
      </c>
      <c r="G79" s="66" t="s">
        <v>105</v>
      </c>
      <c r="H79" s="64" t="s">
        <v>54</v>
      </c>
      <c r="I79" s="78"/>
      <c r="J79" s="67" t="str">
        <f>+Puantaj!C83</f>
        <v>15041423268</v>
      </c>
      <c r="K79" s="64" t="str">
        <f>+Puantaj!D83</f>
        <v>GÜLSÜM</v>
      </c>
      <c r="L79" s="64" t="str">
        <f>+Puantaj!E83</f>
        <v>ÖZKAN</v>
      </c>
      <c r="M79" s="68">
        <f>+BORDRO!F83</f>
        <v>10</v>
      </c>
      <c r="N79" s="64"/>
      <c r="O79" s="79">
        <f>+BORDRO!G83</f>
        <v>10830</v>
      </c>
      <c r="P79" s="79">
        <v>0</v>
      </c>
      <c r="Q79" s="122"/>
      <c r="R79" s="69"/>
      <c r="S79" s="70"/>
      <c r="T79" s="70"/>
      <c r="U79" s="71"/>
      <c r="V79" s="72">
        <f t="shared" si="1"/>
        <v>21</v>
      </c>
      <c r="W79" s="73">
        <v>6</v>
      </c>
      <c r="X79" s="81" t="s">
        <v>99</v>
      </c>
      <c r="Y79" s="65">
        <v>2</v>
      </c>
      <c r="Z79" s="64" t="s">
        <v>51</v>
      </c>
      <c r="AA79" s="74" t="s">
        <v>781</v>
      </c>
      <c r="AB79" s="64">
        <v>2025</v>
      </c>
      <c r="AC79" s="64" t="s">
        <v>106</v>
      </c>
      <c r="AD79" s="80">
        <f>+BORDRO!J83</f>
        <v>10830</v>
      </c>
      <c r="AE79" s="75"/>
      <c r="AF79" s="75">
        <f>+BORDRO!K83</f>
        <v>1624.5</v>
      </c>
      <c r="AG79" s="75">
        <f>+BORDRO!L83</f>
        <v>1624.5</v>
      </c>
      <c r="AH79" s="80">
        <f>+BORDRO!M83</f>
        <v>0</v>
      </c>
      <c r="AI79" s="75">
        <f>+BORDRO!O83</f>
        <v>82.199700000000007</v>
      </c>
      <c r="AJ79" s="76">
        <f>+BORDRO!P83</f>
        <v>0</v>
      </c>
    </row>
    <row r="80" spans="1:36" ht="13.8" x14ac:dyDescent="0.25">
      <c r="A80" s="64" t="s">
        <v>51</v>
      </c>
      <c r="B80" s="120">
        <v>46</v>
      </c>
      <c r="C80" s="64" t="s">
        <v>52</v>
      </c>
      <c r="D80" s="64" t="s">
        <v>53</v>
      </c>
      <c r="E80" s="64" t="s">
        <v>53</v>
      </c>
      <c r="F80" s="65">
        <v>1494768</v>
      </c>
      <c r="G80" s="66" t="s">
        <v>105</v>
      </c>
      <c r="H80" s="64" t="s">
        <v>54</v>
      </c>
      <c r="I80" s="78"/>
      <c r="J80" s="67" t="str">
        <f>+Puantaj!C84</f>
        <v>17603851854</v>
      </c>
      <c r="K80" s="64" t="str">
        <f>+Puantaj!D84</f>
        <v>GÜLTEN</v>
      </c>
      <c r="L80" s="64" t="str">
        <f>+Puantaj!E84</f>
        <v>EZDAŞ</v>
      </c>
      <c r="M80" s="68">
        <f>+BORDRO!F84</f>
        <v>12</v>
      </c>
      <c r="N80" s="64"/>
      <c r="O80" s="79">
        <f>+BORDRO!G84</f>
        <v>12996</v>
      </c>
      <c r="P80" s="79">
        <v>0</v>
      </c>
      <c r="Q80" s="122"/>
      <c r="R80" s="69"/>
      <c r="S80" s="70"/>
      <c r="T80" s="70"/>
      <c r="U80" s="71"/>
      <c r="V80" s="72">
        <f t="shared" si="1"/>
        <v>19</v>
      </c>
      <c r="W80" s="73">
        <v>6</v>
      </c>
      <c r="X80" s="81" t="s">
        <v>99</v>
      </c>
      <c r="Y80" s="65">
        <v>2</v>
      </c>
      <c r="Z80" s="64" t="s">
        <v>51</v>
      </c>
      <c r="AA80" s="74" t="s">
        <v>781</v>
      </c>
      <c r="AB80" s="64">
        <v>2025</v>
      </c>
      <c r="AC80" s="64" t="s">
        <v>106</v>
      </c>
      <c r="AD80" s="80">
        <f>+BORDRO!J84</f>
        <v>12996</v>
      </c>
      <c r="AE80" s="75"/>
      <c r="AF80" s="75">
        <f>+BORDRO!K84</f>
        <v>1949.3999999999999</v>
      </c>
      <c r="AG80" s="75">
        <f>+BORDRO!L84</f>
        <v>1949.3999999999999</v>
      </c>
      <c r="AH80" s="80">
        <f>+BORDRO!M84</f>
        <v>0</v>
      </c>
      <c r="AI80" s="75">
        <f>+BORDRO!O84</f>
        <v>98.63964</v>
      </c>
      <c r="AJ80" s="76">
        <f>+BORDRO!P84</f>
        <v>0</v>
      </c>
    </row>
    <row r="81" spans="1:36" ht="13.8" x14ac:dyDescent="0.25">
      <c r="A81" s="64" t="s">
        <v>51</v>
      </c>
      <c r="B81" s="119">
        <v>46</v>
      </c>
      <c r="C81" s="64" t="s">
        <v>52</v>
      </c>
      <c r="D81" s="64" t="s">
        <v>53</v>
      </c>
      <c r="E81" s="64" t="s">
        <v>53</v>
      </c>
      <c r="F81" s="65">
        <v>1494768</v>
      </c>
      <c r="G81" s="66" t="s">
        <v>105</v>
      </c>
      <c r="H81" s="64" t="s">
        <v>54</v>
      </c>
      <c r="I81" s="78"/>
      <c r="J81" s="67" t="str">
        <f>+Puantaj!C85</f>
        <v>10462601820</v>
      </c>
      <c r="K81" s="64" t="str">
        <f>+Puantaj!D85</f>
        <v>GÜZEL</v>
      </c>
      <c r="L81" s="64" t="str">
        <f>+Puantaj!E85</f>
        <v>ÖZDEMİR</v>
      </c>
      <c r="M81" s="68">
        <f>+BORDRO!F85</f>
        <v>15</v>
      </c>
      <c r="N81" s="64"/>
      <c r="O81" s="79">
        <f>+BORDRO!G85</f>
        <v>16245</v>
      </c>
      <c r="P81" s="79">
        <v>0</v>
      </c>
      <c r="Q81" s="122"/>
      <c r="R81" s="69"/>
      <c r="S81" s="70"/>
      <c r="T81" s="70"/>
      <c r="U81" s="71"/>
      <c r="V81" s="72">
        <f t="shared" si="1"/>
        <v>16</v>
      </c>
      <c r="W81" s="73">
        <v>6</v>
      </c>
      <c r="X81" s="81" t="s">
        <v>99</v>
      </c>
      <c r="Y81" s="65">
        <v>2</v>
      </c>
      <c r="Z81" s="64" t="s">
        <v>51</v>
      </c>
      <c r="AA81" s="74" t="s">
        <v>781</v>
      </c>
      <c r="AB81" s="64">
        <v>2025</v>
      </c>
      <c r="AC81" s="64" t="s">
        <v>106</v>
      </c>
      <c r="AD81" s="80">
        <f>+BORDRO!J85</f>
        <v>16245</v>
      </c>
      <c r="AE81" s="75"/>
      <c r="AF81" s="75">
        <f>+BORDRO!K85</f>
        <v>2436.75</v>
      </c>
      <c r="AG81" s="75">
        <f>+BORDRO!L85</f>
        <v>2436.75</v>
      </c>
      <c r="AH81" s="80">
        <f>+BORDRO!M85</f>
        <v>0</v>
      </c>
      <c r="AI81" s="75">
        <f>+BORDRO!O85</f>
        <v>123.29955000000001</v>
      </c>
      <c r="AJ81" s="76">
        <f>+BORDRO!P85</f>
        <v>0</v>
      </c>
    </row>
    <row r="82" spans="1:36" ht="13.8" x14ac:dyDescent="0.25">
      <c r="A82" s="64" t="s">
        <v>51</v>
      </c>
      <c r="B82" s="120">
        <v>46</v>
      </c>
      <c r="C82" s="64" t="s">
        <v>52</v>
      </c>
      <c r="D82" s="64" t="s">
        <v>53</v>
      </c>
      <c r="E82" s="64" t="s">
        <v>53</v>
      </c>
      <c r="F82" s="65">
        <v>1494768</v>
      </c>
      <c r="G82" s="66" t="s">
        <v>105</v>
      </c>
      <c r="H82" s="64" t="s">
        <v>54</v>
      </c>
      <c r="I82" s="78"/>
      <c r="J82" s="67" t="str">
        <f>+Puantaj!C86</f>
        <v>10200136744</v>
      </c>
      <c r="K82" s="64" t="str">
        <f>+Puantaj!D86</f>
        <v>HAMZA</v>
      </c>
      <c r="L82" s="64" t="str">
        <f>+Puantaj!E86</f>
        <v>FİDAN</v>
      </c>
      <c r="M82" s="68">
        <f>+BORDRO!F86</f>
        <v>12</v>
      </c>
      <c r="N82" s="64"/>
      <c r="O82" s="79">
        <f>+BORDRO!G86</f>
        <v>12996</v>
      </c>
      <c r="P82" s="79">
        <v>0</v>
      </c>
      <c r="Q82" s="122"/>
      <c r="R82" s="69"/>
      <c r="S82" s="70"/>
      <c r="T82" s="70"/>
      <c r="U82" s="71"/>
      <c r="V82" s="72">
        <f t="shared" si="1"/>
        <v>19</v>
      </c>
      <c r="W82" s="73">
        <v>6</v>
      </c>
      <c r="X82" s="81" t="s">
        <v>99</v>
      </c>
      <c r="Y82" s="65">
        <v>2</v>
      </c>
      <c r="Z82" s="64" t="s">
        <v>51</v>
      </c>
      <c r="AA82" s="74" t="s">
        <v>781</v>
      </c>
      <c r="AB82" s="64">
        <v>2025</v>
      </c>
      <c r="AC82" s="64" t="s">
        <v>106</v>
      </c>
      <c r="AD82" s="80">
        <f>+BORDRO!J86</f>
        <v>12996</v>
      </c>
      <c r="AE82" s="75"/>
      <c r="AF82" s="75">
        <f>+BORDRO!K86</f>
        <v>1949.3999999999999</v>
      </c>
      <c r="AG82" s="75">
        <f>+BORDRO!L86</f>
        <v>1949.3999999999999</v>
      </c>
      <c r="AH82" s="80">
        <f>+BORDRO!M86</f>
        <v>0</v>
      </c>
      <c r="AI82" s="75">
        <f>+BORDRO!O86</f>
        <v>98.63964</v>
      </c>
      <c r="AJ82" s="76">
        <f>+BORDRO!P86</f>
        <v>0</v>
      </c>
    </row>
    <row r="83" spans="1:36" ht="13.8" x14ac:dyDescent="0.25">
      <c r="A83" s="64" t="s">
        <v>51</v>
      </c>
      <c r="B83" s="119">
        <v>46</v>
      </c>
      <c r="C83" s="64" t="s">
        <v>52</v>
      </c>
      <c r="D83" s="64" t="s">
        <v>53</v>
      </c>
      <c r="E83" s="64" t="s">
        <v>53</v>
      </c>
      <c r="F83" s="65">
        <v>1494768</v>
      </c>
      <c r="G83" s="66" t="s">
        <v>105</v>
      </c>
      <c r="H83" s="64" t="s">
        <v>54</v>
      </c>
      <c r="I83" s="78"/>
      <c r="J83" s="67" t="str">
        <f>+Puantaj!C87</f>
        <v>10997539452</v>
      </c>
      <c r="K83" s="64" t="str">
        <f>+Puantaj!D87</f>
        <v>HASAN</v>
      </c>
      <c r="L83" s="64" t="str">
        <f>+Puantaj!E87</f>
        <v>KÖKSAL</v>
      </c>
      <c r="M83" s="68">
        <f>+BORDRO!F87</f>
        <v>13</v>
      </c>
      <c r="N83" s="64"/>
      <c r="O83" s="79">
        <f>+BORDRO!G87</f>
        <v>14079</v>
      </c>
      <c r="P83" s="79">
        <v>0</v>
      </c>
      <c r="Q83" s="122"/>
      <c r="R83" s="69"/>
      <c r="S83" s="70"/>
      <c r="T83" s="70"/>
      <c r="U83" s="71"/>
      <c r="V83" s="72">
        <f t="shared" si="1"/>
        <v>18</v>
      </c>
      <c r="W83" s="73">
        <v>6</v>
      </c>
      <c r="X83" s="81" t="s">
        <v>99</v>
      </c>
      <c r="Y83" s="65">
        <v>2</v>
      </c>
      <c r="Z83" s="64" t="s">
        <v>51</v>
      </c>
      <c r="AA83" s="74" t="s">
        <v>781</v>
      </c>
      <c r="AB83" s="64">
        <v>2025</v>
      </c>
      <c r="AC83" s="64" t="s">
        <v>106</v>
      </c>
      <c r="AD83" s="80">
        <f>+BORDRO!J87</f>
        <v>14079</v>
      </c>
      <c r="AE83" s="75"/>
      <c r="AF83" s="75">
        <f>+BORDRO!K87</f>
        <v>2111.85</v>
      </c>
      <c r="AG83" s="75">
        <f>+BORDRO!L87</f>
        <v>2111.85</v>
      </c>
      <c r="AH83" s="80">
        <f>+BORDRO!M87</f>
        <v>0</v>
      </c>
      <c r="AI83" s="75">
        <f>+BORDRO!O87</f>
        <v>106.85961</v>
      </c>
      <c r="AJ83" s="76">
        <f>+BORDRO!P87</f>
        <v>0</v>
      </c>
    </row>
    <row r="84" spans="1:36" ht="13.8" x14ac:dyDescent="0.25">
      <c r="A84" s="64" t="s">
        <v>51</v>
      </c>
      <c r="B84" s="120">
        <v>46</v>
      </c>
      <c r="C84" s="64" t="s">
        <v>52</v>
      </c>
      <c r="D84" s="64" t="s">
        <v>53</v>
      </c>
      <c r="E84" s="64" t="s">
        <v>53</v>
      </c>
      <c r="F84" s="65">
        <v>1494768</v>
      </c>
      <c r="G84" s="66" t="s">
        <v>105</v>
      </c>
      <c r="H84" s="64" t="s">
        <v>54</v>
      </c>
      <c r="I84" s="78"/>
      <c r="J84" s="67" t="str">
        <f>+Puantaj!C88</f>
        <v>10538293270</v>
      </c>
      <c r="K84" s="64" t="str">
        <f>+Puantaj!D88</f>
        <v>HATİCE MELİSA</v>
      </c>
      <c r="L84" s="64" t="str">
        <f>+Puantaj!E88</f>
        <v>YÜKSEK</v>
      </c>
      <c r="M84" s="68">
        <f>+BORDRO!F88</f>
        <v>12</v>
      </c>
      <c r="N84" s="64"/>
      <c r="O84" s="79">
        <f>+BORDRO!G88</f>
        <v>12996</v>
      </c>
      <c r="P84" s="79">
        <v>0</v>
      </c>
      <c r="Q84" s="122"/>
      <c r="R84" s="69"/>
      <c r="S84" s="70"/>
      <c r="T84" s="70"/>
      <c r="U84" s="71"/>
      <c r="V84" s="72">
        <f t="shared" si="1"/>
        <v>19</v>
      </c>
      <c r="W84" s="73">
        <v>6</v>
      </c>
      <c r="X84" s="81" t="s">
        <v>99</v>
      </c>
      <c r="Y84" s="65">
        <v>2</v>
      </c>
      <c r="Z84" s="64" t="s">
        <v>51</v>
      </c>
      <c r="AA84" s="74" t="s">
        <v>781</v>
      </c>
      <c r="AB84" s="64">
        <v>2025</v>
      </c>
      <c r="AC84" s="64" t="s">
        <v>106</v>
      </c>
      <c r="AD84" s="80">
        <f>+BORDRO!J88</f>
        <v>12996</v>
      </c>
      <c r="AE84" s="75"/>
      <c r="AF84" s="75">
        <f>+BORDRO!K88</f>
        <v>1949.3999999999999</v>
      </c>
      <c r="AG84" s="75">
        <f>+BORDRO!L88</f>
        <v>1949.3999999999999</v>
      </c>
      <c r="AH84" s="80">
        <f>+BORDRO!M88</f>
        <v>0</v>
      </c>
      <c r="AI84" s="75">
        <f>+BORDRO!O88</f>
        <v>98.63964</v>
      </c>
      <c r="AJ84" s="76">
        <f>+BORDRO!P88</f>
        <v>0</v>
      </c>
    </row>
    <row r="85" spans="1:36" ht="13.8" x14ac:dyDescent="0.25">
      <c r="A85" s="64" t="s">
        <v>51</v>
      </c>
      <c r="B85" s="119">
        <v>46</v>
      </c>
      <c r="C85" s="64" t="s">
        <v>52</v>
      </c>
      <c r="D85" s="64" t="s">
        <v>53</v>
      </c>
      <c r="E85" s="64" t="s">
        <v>53</v>
      </c>
      <c r="F85" s="65">
        <v>1494768</v>
      </c>
      <c r="G85" s="66" t="s">
        <v>105</v>
      </c>
      <c r="H85" s="64" t="s">
        <v>54</v>
      </c>
      <c r="I85" s="78"/>
      <c r="J85" s="67" t="str">
        <f>+Puantaj!C89</f>
        <v>32380614546</v>
      </c>
      <c r="K85" s="64" t="str">
        <f>+Puantaj!D89</f>
        <v>HATİCE</v>
      </c>
      <c r="L85" s="64" t="str">
        <f>+Puantaj!E89</f>
        <v>SARI</v>
      </c>
      <c r="M85" s="68">
        <f>+BORDRO!F89</f>
        <v>12</v>
      </c>
      <c r="N85" s="64"/>
      <c r="O85" s="79">
        <f>+BORDRO!G89</f>
        <v>12996</v>
      </c>
      <c r="P85" s="79">
        <v>0</v>
      </c>
      <c r="Q85" s="122"/>
      <c r="R85" s="69"/>
      <c r="S85" s="70"/>
      <c r="T85" s="70"/>
      <c r="U85" s="71"/>
      <c r="V85" s="72">
        <f t="shared" si="1"/>
        <v>19</v>
      </c>
      <c r="W85" s="73">
        <v>6</v>
      </c>
      <c r="X85" s="81" t="s">
        <v>99</v>
      </c>
      <c r="Y85" s="65">
        <v>2</v>
      </c>
      <c r="Z85" s="64" t="s">
        <v>51</v>
      </c>
      <c r="AA85" s="74" t="s">
        <v>781</v>
      </c>
      <c r="AB85" s="64">
        <v>2025</v>
      </c>
      <c r="AC85" s="64" t="s">
        <v>106</v>
      </c>
      <c r="AD85" s="80">
        <f>+BORDRO!J89</f>
        <v>12996</v>
      </c>
      <c r="AE85" s="75"/>
      <c r="AF85" s="75">
        <f>+BORDRO!K89</f>
        <v>1949.3999999999999</v>
      </c>
      <c r="AG85" s="75">
        <f>+BORDRO!L89</f>
        <v>1949.3999999999999</v>
      </c>
      <c r="AH85" s="80">
        <f>+BORDRO!M89</f>
        <v>0</v>
      </c>
      <c r="AI85" s="75">
        <f>+BORDRO!O89</f>
        <v>98.63964</v>
      </c>
      <c r="AJ85" s="76">
        <f>+BORDRO!P89</f>
        <v>0</v>
      </c>
    </row>
    <row r="86" spans="1:36" ht="13.8" x14ac:dyDescent="0.25">
      <c r="A86" s="64" t="s">
        <v>51</v>
      </c>
      <c r="B86" s="120">
        <v>46</v>
      </c>
      <c r="C86" s="64" t="s">
        <v>52</v>
      </c>
      <c r="D86" s="64" t="s">
        <v>53</v>
      </c>
      <c r="E86" s="64" t="s">
        <v>53</v>
      </c>
      <c r="F86" s="65">
        <v>1494768</v>
      </c>
      <c r="G86" s="66" t="s">
        <v>105</v>
      </c>
      <c r="H86" s="64" t="s">
        <v>54</v>
      </c>
      <c r="I86" s="78"/>
      <c r="J86" s="67" t="str">
        <f>+Puantaj!C90</f>
        <v>22130159632</v>
      </c>
      <c r="K86" s="64" t="str">
        <f>+Puantaj!D90</f>
        <v>HAZAL</v>
      </c>
      <c r="L86" s="64" t="str">
        <f>+Puantaj!E90</f>
        <v>TAŞDEMİR</v>
      </c>
      <c r="M86" s="68">
        <f>+BORDRO!F90</f>
        <v>12</v>
      </c>
      <c r="N86" s="64"/>
      <c r="O86" s="79">
        <f>+BORDRO!G90</f>
        <v>12996</v>
      </c>
      <c r="P86" s="79">
        <v>0</v>
      </c>
      <c r="Q86" s="122"/>
      <c r="R86" s="69"/>
      <c r="S86" s="70"/>
      <c r="T86" s="70"/>
      <c r="U86" s="71"/>
      <c r="V86" s="72">
        <f t="shared" si="1"/>
        <v>19</v>
      </c>
      <c r="W86" s="73">
        <v>6</v>
      </c>
      <c r="X86" s="81" t="s">
        <v>99</v>
      </c>
      <c r="Y86" s="65">
        <v>2</v>
      </c>
      <c r="Z86" s="64" t="s">
        <v>51</v>
      </c>
      <c r="AA86" s="74" t="s">
        <v>781</v>
      </c>
      <c r="AB86" s="64">
        <v>2025</v>
      </c>
      <c r="AC86" s="64" t="s">
        <v>106</v>
      </c>
      <c r="AD86" s="80">
        <f>+BORDRO!J90</f>
        <v>12996</v>
      </c>
      <c r="AE86" s="75"/>
      <c r="AF86" s="75">
        <f>+BORDRO!K90</f>
        <v>1949.3999999999999</v>
      </c>
      <c r="AG86" s="75">
        <f>+BORDRO!L90</f>
        <v>1949.3999999999999</v>
      </c>
      <c r="AH86" s="80">
        <f>+BORDRO!M90</f>
        <v>0</v>
      </c>
      <c r="AI86" s="75">
        <f>+BORDRO!O90</f>
        <v>98.63964</v>
      </c>
      <c r="AJ86" s="76">
        <f>+BORDRO!P90</f>
        <v>0</v>
      </c>
    </row>
    <row r="87" spans="1:36" ht="13.8" x14ac:dyDescent="0.25">
      <c r="A87" s="64" t="s">
        <v>51</v>
      </c>
      <c r="B87" s="119">
        <v>46</v>
      </c>
      <c r="C87" s="64" t="s">
        <v>52</v>
      </c>
      <c r="D87" s="64" t="s">
        <v>53</v>
      </c>
      <c r="E87" s="64" t="s">
        <v>53</v>
      </c>
      <c r="F87" s="65">
        <v>1494768</v>
      </c>
      <c r="G87" s="66" t="s">
        <v>105</v>
      </c>
      <c r="H87" s="64" t="s">
        <v>54</v>
      </c>
      <c r="I87" s="78"/>
      <c r="J87" s="67" t="str">
        <f>+Puantaj!C91</f>
        <v>10087841144</v>
      </c>
      <c r="K87" s="64" t="str">
        <f>+Puantaj!D91</f>
        <v>HAZAL</v>
      </c>
      <c r="L87" s="64" t="str">
        <f>+Puantaj!E91</f>
        <v>ULUDOĞAN</v>
      </c>
      <c r="M87" s="68">
        <f>+BORDRO!F91</f>
        <v>8</v>
      </c>
      <c r="N87" s="64"/>
      <c r="O87" s="79">
        <f>+BORDRO!G91</f>
        <v>8664</v>
      </c>
      <c r="P87" s="79">
        <v>0</v>
      </c>
      <c r="Q87" s="122"/>
      <c r="R87" s="69"/>
      <c r="S87" s="70"/>
      <c r="T87" s="70"/>
      <c r="U87" s="71"/>
      <c r="V87" s="72">
        <f t="shared" si="1"/>
        <v>23</v>
      </c>
      <c r="W87" s="73">
        <v>6</v>
      </c>
      <c r="X87" s="81" t="s">
        <v>99</v>
      </c>
      <c r="Y87" s="65">
        <v>2</v>
      </c>
      <c r="Z87" s="64" t="s">
        <v>51</v>
      </c>
      <c r="AA87" s="74" t="s">
        <v>781</v>
      </c>
      <c r="AB87" s="64">
        <v>2025</v>
      </c>
      <c r="AC87" s="64" t="s">
        <v>106</v>
      </c>
      <c r="AD87" s="80">
        <f>+BORDRO!J91</f>
        <v>8664</v>
      </c>
      <c r="AE87" s="75"/>
      <c r="AF87" s="75">
        <f>+BORDRO!K91</f>
        <v>1299.5999999999999</v>
      </c>
      <c r="AG87" s="75">
        <f>+BORDRO!L91</f>
        <v>1299.5999999999999</v>
      </c>
      <c r="AH87" s="80">
        <f>+BORDRO!M91</f>
        <v>0</v>
      </c>
      <c r="AI87" s="75">
        <f>+BORDRO!O91</f>
        <v>65.75976</v>
      </c>
      <c r="AJ87" s="76">
        <f>+BORDRO!P91</f>
        <v>0</v>
      </c>
    </row>
    <row r="88" spans="1:36" ht="13.8" x14ac:dyDescent="0.25">
      <c r="A88" s="64" t="s">
        <v>51</v>
      </c>
      <c r="B88" s="120">
        <v>46</v>
      </c>
      <c r="C88" s="64" t="s">
        <v>52</v>
      </c>
      <c r="D88" s="64" t="s">
        <v>53</v>
      </c>
      <c r="E88" s="64" t="s">
        <v>53</v>
      </c>
      <c r="F88" s="65">
        <v>1494768</v>
      </c>
      <c r="G88" s="66" t="s">
        <v>105</v>
      </c>
      <c r="H88" s="64" t="s">
        <v>54</v>
      </c>
      <c r="I88" s="78"/>
      <c r="J88" s="67" t="str">
        <f>+Puantaj!C92</f>
        <v>19592207926</v>
      </c>
      <c r="K88" s="64" t="str">
        <f>+Puantaj!D92</f>
        <v>HELİN</v>
      </c>
      <c r="L88" s="64" t="str">
        <f>+Puantaj!E92</f>
        <v>ARSLAN</v>
      </c>
      <c r="M88" s="68">
        <f>+BORDRO!F92</f>
        <v>12</v>
      </c>
      <c r="N88" s="64"/>
      <c r="O88" s="79">
        <f>+BORDRO!G92</f>
        <v>12996</v>
      </c>
      <c r="P88" s="79">
        <v>0</v>
      </c>
      <c r="Q88" s="122"/>
      <c r="R88" s="69"/>
      <c r="S88" s="70"/>
      <c r="T88" s="70"/>
      <c r="U88" s="71"/>
      <c r="V88" s="72">
        <f t="shared" si="1"/>
        <v>19</v>
      </c>
      <c r="W88" s="73">
        <v>6</v>
      </c>
      <c r="X88" s="81" t="s">
        <v>99</v>
      </c>
      <c r="Y88" s="65">
        <v>2</v>
      </c>
      <c r="Z88" s="64" t="s">
        <v>51</v>
      </c>
      <c r="AA88" s="74" t="s">
        <v>781</v>
      </c>
      <c r="AB88" s="64">
        <v>2025</v>
      </c>
      <c r="AC88" s="64" t="s">
        <v>106</v>
      </c>
      <c r="AD88" s="80">
        <f>+BORDRO!J92</f>
        <v>12996</v>
      </c>
      <c r="AE88" s="75"/>
      <c r="AF88" s="75">
        <f>+BORDRO!K92</f>
        <v>1949.3999999999999</v>
      </c>
      <c r="AG88" s="75">
        <f>+BORDRO!L92</f>
        <v>1949.3999999999999</v>
      </c>
      <c r="AH88" s="80">
        <f>+BORDRO!M92</f>
        <v>0</v>
      </c>
      <c r="AI88" s="75">
        <f>+BORDRO!O92</f>
        <v>98.63964</v>
      </c>
      <c r="AJ88" s="76">
        <f>+BORDRO!P92</f>
        <v>0</v>
      </c>
    </row>
    <row r="89" spans="1:36" ht="13.8" x14ac:dyDescent="0.25">
      <c r="A89" s="64" t="s">
        <v>51</v>
      </c>
      <c r="B89" s="119">
        <v>46</v>
      </c>
      <c r="C89" s="64" t="s">
        <v>52</v>
      </c>
      <c r="D89" s="64" t="s">
        <v>53</v>
      </c>
      <c r="E89" s="64" t="s">
        <v>53</v>
      </c>
      <c r="F89" s="65">
        <v>1494768</v>
      </c>
      <c r="G89" s="66" t="s">
        <v>105</v>
      </c>
      <c r="H89" s="64" t="s">
        <v>54</v>
      </c>
      <c r="I89" s="78"/>
      <c r="J89" s="67" t="str">
        <f>+Puantaj!C93</f>
        <v>12742219862</v>
      </c>
      <c r="K89" s="64" t="str">
        <f>+Puantaj!D93</f>
        <v>HİLAL</v>
      </c>
      <c r="L89" s="64" t="str">
        <f>+Puantaj!E93</f>
        <v>AYDIN</v>
      </c>
      <c r="M89" s="68">
        <f>+BORDRO!F93</f>
        <v>15</v>
      </c>
      <c r="N89" s="64"/>
      <c r="O89" s="79">
        <f>+BORDRO!G93</f>
        <v>16245</v>
      </c>
      <c r="P89" s="79">
        <v>0</v>
      </c>
      <c r="Q89" s="122"/>
      <c r="R89" s="69"/>
      <c r="S89" s="70"/>
      <c r="T89" s="70"/>
      <c r="U89" s="71"/>
      <c r="V89" s="72">
        <f t="shared" si="1"/>
        <v>16</v>
      </c>
      <c r="W89" s="73">
        <v>6</v>
      </c>
      <c r="X89" s="81" t="s">
        <v>99</v>
      </c>
      <c r="Y89" s="65">
        <v>2</v>
      </c>
      <c r="Z89" s="64" t="s">
        <v>51</v>
      </c>
      <c r="AA89" s="74" t="s">
        <v>781</v>
      </c>
      <c r="AB89" s="64">
        <v>2025</v>
      </c>
      <c r="AC89" s="64" t="s">
        <v>106</v>
      </c>
      <c r="AD89" s="80">
        <f>+BORDRO!J93</f>
        <v>16245</v>
      </c>
      <c r="AE89" s="75"/>
      <c r="AF89" s="75">
        <f>+BORDRO!K93</f>
        <v>2436.75</v>
      </c>
      <c r="AG89" s="75">
        <f>+BORDRO!L93</f>
        <v>2436.75</v>
      </c>
      <c r="AH89" s="80">
        <f>+BORDRO!M93</f>
        <v>0</v>
      </c>
      <c r="AI89" s="75">
        <f>+BORDRO!O93</f>
        <v>123.29955000000001</v>
      </c>
      <c r="AJ89" s="76">
        <f>+BORDRO!P93</f>
        <v>0</v>
      </c>
    </row>
    <row r="90" spans="1:36" ht="13.8" x14ac:dyDescent="0.25">
      <c r="A90" s="64" t="s">
        <v>51</v>
      </c>
      <c r="B90" s="120">
        <v>46</v>
      </c>
      <c r="C90" s="64" t="s">
        <v>52</v>
      </c>
      <c r="D90" s="64" t="s">
        <v>53</v>
      </c>
      <c r="E90" s="64" t="s">
        <v>53</v>
      </c>
      <c r="F90" s="65">
        <v>1494768</v>
      </c>
      <c r="G90" s="66" t="s">
        <v>105</v>
      </c>
      <c r="H90" s="64" t="s">
        <v>54</v>
      </c>
      <c r="I90" s="78"/>
      <c r="J90" s="67" t="str">
        <f>+Puantaj!C94</f>
        <v>16492488158</v>
      </c>
      <c r="K90" s="64" t="str">
        <f>+Puantaj!D94</f>
        <v>HİLAL BEHİYE</v>
      </c>
      <c r="L90" s="64" t="str">
        <f>+Puantaj!E94</f>
        <v>YILMAZ</v>
      </c>
      <c r="M90" s="68">
        <f>+BORDRO!F94</f>
        <v>13</v>
      </c>
      <c r="N90" s="64"/>
      <c r="O90" s="79">
        <f>+BORDRO!G94</f>
        <v>14079</v>
      </c>
      <c r="P90" s="79">
        <v>0</v>
      </c>
      <c r="Q90" s="122"/>
      <c r="R90" s="69"/>
      <c r="S90" s="70"/>
      <c r="T90" s="70"/>
      <c r="U90" s="71"/>
      <c r="V90" s="72">
        <f t="shared" si="1"/>
        <v>18</v>
      </c>
      <c r="W90" s="73">
        <v>6</v>
      </c>
      <c r="X90" s="81" t="s">
        <v>99</v>
      </c>
      <c r="Y90" s="65">
        <v>2</v>
      </c>
      <c r="Z90" s="64" t="s">
        <v>51</v>
      </c>
      <c r="AA90" s="74" t="s">
        <v>781</v>
      </c>
      <c r="AB90" s="64">
        <v>2025</v>
      </c>
      <c r="AC90" s="64" t="s">
        <v>106</v>
      </c>
      <c r="AD90" s="80">
        <f>+BORDRO!J94</f>
        <v>14079</v>
      </c>
      <c r="AE90" s="75"/>
      <c r="AF90" s="75">
        <f>+BORDRO!K94</f>
        <v>2111.85</v>
      </c>
      <c r="AG90" s="75">
        <f>+BORDRO!L94</f>
        <v>2111.85</v>
      </c>
      <c r="AH90" s="80">
        <f>+BORDRO!M94</f>
        <v>0</v>
      </c>
      <c r="AI90" s="75">
        <f>+BORDRO!O94</f>
        <v>106.85961</v>
      </c>
      <c r="AJ90" s="76">
        <f>+BORDRO!P94</f>
        <v>0</v>
      </c>
    </row>
    <row r="91" spans="1:36" ht="13.8" x14ac:dyDescent="0.25">
      <c r="A91" s="64" t="s">
        <v>51</v>
      </c>
      <c r="B91" s="119">
        <v>46</v>
      </c>
      <c r="C91" s="64" t="s">
        <v>52</v>
      </c>
      <c r="D91" s="64" t="s">
        <v>53</v>
      </c>
      <c r="E91" s="64" t="s">
        <v>53</v>
      </c>
      <c r="F91" s="65">
        <v>1494768</v>
      </c>
      <c r="G91" s="66" t="s">
        <v>105</v>
      </c>
      <c r="H91" s="64" t="s">
        <v>54</v>
      </c>
      <c r="I91" s="78"/>
      <c r="J91" s="67" t="str">
        <f>+Puantaj!C95</f>
        <v>11895077008</v>
      </c>
      <c r="K91" s="64" t="str">
        <f>+Puantaj!D95</f>
        <v>İLAYDA</v>
      </c>
      <c r="L91" s="64" t="str">
        <f>+Puantaj!E95</f>
        <v>MAY</v>
      </c>
      <c r="M91" s="68">
        <f>+BORDRO!F95</f>
        <v>9</v>
      </c>
      <c r="N91" s="64"/>
      <c r="O91" s="79">
        <f>+BORDRO!G95</f>
        <v>9747</v>
      </c>
      <c r="P91" s="79">
        <v>0</v>
      </c>
      <c r="Q91" s="122"/>
      <c r="R91" s="69"/>
      <c r="S91" s="70"/>
      <c r="T91" s="70"/>
      <c r="U91" s="71"/>
      <c r="V91" s="72">
        <f t="shared" si="1"/>
        <v>22</v>
      </c>
      <c r="W91" s="73">
        <v>6</v>
      </c>
      <c r="X91" s="81" t="s">
        <v>99</v>
      </c>
      <c r="Y91" s="65">
        <v>2</v>
      </c>
      <c r="Z91" s="64" t="s">
        <v>51</v>
      </c>
      <c r="AA91" s="74" t="s">
        <v>781</v>
      </c>
      <c r="AB91" s="64">
        <v>2025</v>
      </c>
      <c r="AC91" s="64" t="s">
        <v>106</v>
      </c>
      <c r="AD91" s="80">
        <f>+BORDRO!J95</f>
        <v>9747</v>
      </c>
      <c r="AE91" s="75"/>
      <c r="AF91" s="75">
        <f>+BORDRO!K95</f>
        <v>1462.05</v>
      </c>
      <c r="AG91" s="75">
        <f>+BORDRO!L95</f>
        <v>1462.05</v>
      </c>
      <c r="AH91" s="80">
        <f>+BORDRO!M95</f>
        <v>0</v>
      </c>
      <c r="AI91" s="75">
        <f>+BORDRO!O95</f>
        <v>73.979730000000004</v>
      </c>
      <c r="AJ91" s="76">
        <f>+BORDRO!P95</f>
        <v>0</v>
      </c>
    </row>
    <row r="92" spans="1:36" ht="13.8" x14ac:dyDescent="0.25">
      <c r="A92" s="64" t="s">
        <v>51</v>
      </c>
      <c r="B92" s="120">
        <v>46</v>
      </c>
      <c r="C92" s="64" t="s">
        <v>52</v>
      </c>
      <c r="D92" s="64" t="s">
        <v>53</v>
      </c>
      <c r="E92" s="64" t="s">
        <v>53</v>
      </c>
      <c r="F92" s="65">
        <v>1494768</v>
      </c>
      <c r="G92" s="66" t="s">
        <v>105</v>
      </c>
      <c r="H92" s="64" t="s">
        <v>54</v>
      </c>
      <c r="I92" s="78"/>
      <c r="J92" s="67" t="str">
        <f>+Puantaj!C96</f>
        <v>15268800910</v>
      </c>
      <c r="K92" s="64" t="str">
        <f>+Puantaj!D96</f>
        <v>İLKER</v>
      </c>
      <c r="L92" s="64" t="str">
        <f>+Puantaj!E96</f>
        <v>YILMAZ</v>
      </c>
      <c r="M92" s="68">
        <f>+BORDRO!F96</f>
        <v>5</v>
      </c>
      <c r="N92" s="64"/>
      <c r="O92" s="79">
        <f>+BORDRO!G96</f>
        <v>5415</v>
      </c>
      <c r="P92" s="79">
        <v>0</v>
      </c>
      <c r="Q92" s="122"/>
      <c r="R92" s="69"/>
      <c r="S92" s="70"/>
      <c r="T92" s="70"/>
      <c r="U92" s="71"/>
      <c r="V92" s="72">
        <f t="shared" si="1"/>
        <v>26</v>
      </c>
      <c r="W92" s="73">
        <v>6</v>
      </c>
      <c r="X92" s="81" t="s">
        <v>99</v>
      </c>
      <c r="Y92" s="65">
        <v>2</v>
      </c>
      <c r="Z92" s="64" t="s">
        <v>51</v>
      </c>
      <c r="AA92" s="74" t="s">
        <v>781</v>
      </c>
      <c r="AB92" s="64">
        <v>2025</v>
      </c>
      <c r="AC92" s="64" t="s">
        <v>106</v>
      </c>
      <c r="AD92" s="80">
        <f>+BORDRO!J96</f>
        <v>5415</v>
      </c>
      <c r="AE92" s="75"/>
      <c r="AF92" s="75">
        <f>+BORDRO!K96</f>
        <v>812.25</v>
      </c>
      <c r="AG92" s="75">
        <f>+BORDRO!L96</f>
        <v>812.25</v>
      </c>
      <c r="AH92" s="80">
        <f>+BORDRO!M96</f>
        <v>0</v>
      </c>
      <c r="AI92" s="75">
        <f>+BORDRO!O96</f>
        <v>41.099850000000004</v>
      </c>
      <c r="AJ92" s="76">
        <f>+BORDRO!P96</f>
        <v>0</v>
      </c>
    </row>
    <row r="93" spans="1:36" ht="13.8" x14ac:dyDescent="0.25">
      <c r="A93" s="64" t="s">
        <v>51</v>
      </c>
      <c r="B93" s="119">
        <v>46</v>
      </c>
      <c r="C93" s="64" t="s">
        <v>52</v>
      </c>
      <c r="D93" s="64" t="s">
        <v>53</v>
      </c>
      <c r="E93" s="64" t="s">
        <v>53</v>
      </c>
      <c r="F93" s="65">
        <v>1494768</v>
      </c>
      <c r="G93" s="66" t="s">
        <v>105</v>
      </c>
      <c r="H93" s="64" t="s">
        <v>54</v>
      </c>
      <c r="I93" s="78"/>
      <c r="J93" s="67" t="str">
        <f>+Puantaj!C97</f>
        <v>10293044216</v>
      </c>
      <c r="K93" s="64" t="str">
        <f>+Puantaj!D97</f>
        <v>İLKNUR</v>
      </c>
      <c r="L93" s="64" t="str">
        <f>+Puantaj!E97</f>
        <v>KILIÇ</v>
      </c>
      <c r="M93" s="68">
        <f>+BORDRO!F97</f>
        <v>3</v>
      </c>
      <c r="N93" s="64"/>
      <c r="O93" s="79">
        <f>+BORDRO!G97</f>
        <v>3249</v>
      </c>
      <c r="P93" s="79">
        <v>0</v>
      </c>
      <c r="Q93" s="122"/>
      <c r="R93" s="69"/>
      <c r="S93" s="70"/>
      <c r="T93" s="70"/>
      <c r="U93" s="71"/>
      <c r="V93" s="72">
        <f t="shared" si="1"/>
        <v>28</v>
      </c>
      <c r="W93" s="73">
        <v>6</v>
      </c>
      <c r="X93" s="81" t="s">
        <v>99</v>
      </c>
      <c r="Y93" s="65">
        <v>2</v>
      </c>
      <c r="Z93" s="64" t="s">
        <v>51</v>
      </c>
      <c r="AA93" s="74" t="s">
        <v>781</v>
      </c>
      <c r="AB93" s="64">
        <v>2025</v>
      </c>
      <c r="AC93" s="64" t="s">
        <v>106</v>
      </c>
      <c r="AD93" s="80">
        <f>+BORDRO!J97</f>
        <v>3249</v>
      </c>
      <c r="AE93" s="75"/>
      <c r="AF93" s="75">
        <f>+BORDRO!K97</f>
        <v>487.34999999999997</v>
      </c>
      <c r="AG93" s="75">
        <f>+BORDRO!L97</f>
        <v>487.34999999999997</v>
      </c>
      <c r="AH93" s="80">
        <f>+BORDRO!M97</f>
        <v>0</v>
      </c>
      <c r="AI93" s="75">
        <f>+BORDRO!O97</f>
        <v>24.65991</v>
      </c>
      <c r="AJ93" s="76">
        <f>+BORDRO!P97</f>
        <v>0</v>
      </c>
    </row>
    <row r="94" spans="1:36" ht="13.8" x14ac:dyDescent="0.25">
      <c r="A94" s="64" t="s">
        <v>51</v>
      </c>
      <c r="B94" s="120">
        <v>46</v>
      </c>
      <c r="C94" s="64" t="s">
        <v>52</v>
      </c>
      <c r="D94" s="64" t="s">
        <v>53</v>
      </c>
      <c r="E94" s="64" t="s">
        <v>53</v>
      </c>
      <c r="F94" s="65">
        <v>1494768</v>
      </c>
      <c r="G94" s="66" t="s">
        <v>105</v>
      </c>
      <c r="H94" s="64" t="s">
        <v>54</v>
      </c>
      <c r="I94" s="78"/>
      <c r="J94" s="67" t="str">
        <f>+Puantaj!C98</f>
        <v>26759027716</v>
      </c>
      <c r="K94" s="64" t="str">
        <f>+Puantaj!D98</f>
        <v>İMAMUESEN</v>
      </c>
      <c r="L94" s="64" t="str">
        <f>+Puantaj!E98</f>
        <v>ARTIŞ</v>
      </c>
      <c r="M94" s="68">
        <f>+BORDRO!F98</f>
        <v>14</v>
      </c>
      <c r="N94" s="64"/>
      <c r="O94" s="79">
        <f>+BORDRO!G98</f>
        <v>15162</v>
      </c>
      <c r="P94" s="79">
        <v>0</v>
      </c>
      <c r="Q94" s="122"/>
      <c r="R94" s="69"/>
      <c r="S94" s="70"/>
      <c r="T94" s="70"/>
      <c r="U94" s="71"/>
      <c r="V94" s="72">
        <f t="shared" si="1"/>
        <v>17</v>
      </c>
      <c r="W94" s="73">
        <v>6</v>
      </c>
      <c r="X94" s="81" t="s">
        <v>99</v>
      </c>
      <c r="Y94" s="65">
        <v>2</v>
      </c>
      <c r="Z94" s="64" t="s">
        <v>51</v>
      </c>
      <c r="AA94" s="74" t="s">
        <v>781</v>
      </c>
      <c r="AB94" s="64">
        <v>2025</v>
      </c>
      <c r="AC94" s="64" t="s">
        <v>106</v>
      </c>
      <c r="AD94" s="80">
        <f>+BORDRO!J98</f>
        <v>15162</v>
      </c>
      <c r="AE94" s="75"/>
      <c r="AF94" s="75">
        <f>+BORDRO!K98</f>
        <v>2274.2999999999997</v>
      </c>
      <c r="AG94" s="75">
        <f>+BORDRO!L98</f>
        <v>2274.2999999999997</v>
      </c>
      <c r="AH94" s="80">
        <f>+BORDRO!M98</f>
        <v>0</v>
      </c>
      <c r="AI94" s="75">
        <f>+BORDRO!O98</f>
        <v>115.07958000000001</v>
      </c>
      <c r="AJ94" s="76">
        <f>+BORDRO!P98</f>
        <v>0</v>
      </c>
    </row>
    <row r="95" spans="1:36" ht="13.8" x14ac:dyDescent="0.25">
      <c r="A95" s="64" t="s">
        <v>51</v>
      </c>
      <c r="B95" s="119">
        <v>46</v>
      </c>
      <c r="C95" s="64" t="s">
        <v>52</v>
      </c>
      <c r="D95" s="64" t="s">
        <v>53</v>
      </c>
      <c r="E95" s="64" t="s">
        <v>53</v>
      </c>
      <c r="F95" s="65">
        <v>1494768</v>
      </c>
      <c r="G95" s="66" t="s">
        <v>105</v>
      </c>
      <c r="H95" s="64" t="s">
        <v>54</v>
      </c>
      <c r="I95" s="78"/>
      <c r="J95" s="67" t="str">
        <f>+Puantaj!C99</f>
        <v>53959062896</v>
      </c>
      <c r="K95" s="64" t="str">
        <f>+Puantaj!D99</f>
        <v>İPEK</v>
      </c>
      <c r="L95" s="64" t="str">
        <f>+Puantaj!E99</f>
        <v>CİHANTİMUR</v>
      </c>
      <c r="M95" s="68">
        <f>+BORDRO!F99</f>
        <v>14</v>
      </c>
      <c r="N95" s="64"/>
      <c r="O95" s="79">
        <f>+BORDRO!G99</f>
        <v>15162</v>
      </c>
      <c r="P95" s="79">
        <v>0</v>
      </c>
      <c r="Q95" s="122"/>
      <c r="R95" s="69"/>
      <c r="S95" s="70"/>
      <c r="T95" s="70"/>
      <c r="U95" s="71"/>
      <c r="V95" s="72">
        <f t="shared" si="1"/>
        <v>17</v>
      </c>
      <c r="W95" s="73">
        <v>6</v>
      </c>
      <c r="X95" s="81" t="s">
        <v>99</v>
      </c>
      <c r="Y95" s="65">
        <v>2</v>
      </c>
      <c r="Z95" s="64" t="s">
        <v>51</v>
      </c>
      <c r="AA95" s="74" t="s">
        <v>781</v>
      </c>
      <c r="AB95" s="64">
        <v>2025</v>
      </c>
      <c r="AC95" s="64" t="s">
        <v>106</v>
      </c>
      <c r="AD95" s="80">
        <f>+BORDRO!J99</f>
        <v>15162</v>
      </c>
      <c r="AE95" s="75"/>
      <c r="AF95" s="75">
        <f>+BORDRO!K99</f>
        <v>2274.2999999999997</v>
      </c>
      <c r="AG95" s="75">
        <f>+BORDRO!L99</f>
        <v>2274.2999999999997</v>
      </c>
      <c r="AH95" s="80">
        <f>+BORDRO!M99</f>
        <v>0</v>
      </c>
      <c r="AI95" s="75">
        <f>+BORDRO!O99</f>
        <v>115.07958000000001</v>
      </c>
      <c r="AJ95" s="76">
        <f>+BORDRO!P99</f>
        <v>0</v>
      </c>
    </row>
    <row r="96" spans="1:36" ht="13.8" x14ac:dyDescent="0.25">
      <c r="A96" s="64" t="s">
        <v>51</v>
      </c>
      <c r="B96" s="120">
        <v>46</v>
      </c>
      <c r="C96" s="64" t="s">
        <v>52</v>
      </c>
      <c r="D96" s="64" t="s">
        <v>53</v>
      </c>
      <c r="E96" s="64" t="s">
        <v>53</v>
      </c>
      <c r="F96" s="65">
        <v>1494768</v>
      </c>
      <c r="G96" s="66" t="s">
        <v>105</v>
      </c>
      <c r="H96" s="64" t="s">
        <v>54</v>
      </c>
      <c r="I96" s="78"/>
      <c r="J96" s="67" t="str">
        <f>+Puantaj!C100</f>
        <v>11042896742</v>
      </c>
      <c r="K96" s="64" t="str">
        <f>+Puantaj!D100</f>
        <v>İSLAM SADRETTİN</v>
      </c>
      <c r="L96" s="64" t="str">
        <f>+Puantaj!E100</f>
        <v>ÖZDOĞAN</v>
      </c>
      <c r="M96" s="68">
        <f>+BORDRO!F100</f>
        <v>14</v>
      </c>
      <c r="N96" s="64"/>
      <c r="O96" s="79">
        <f>+BORDRO!G100</f>
        <v>15162</v>
      </c>
      <c r="P96" s="79">
        <v>0</v>
      </c>
      <c r="Q96" s="122"/>
      <c r="R96" s="69"/>
      <c r="S96" s="70"/>
      <c r="T96" s="70"/>
      <c r="U96" s="71"/>
      <c r="V96" s="72">
        <f t="shared" si="1"/>
        <v>17</v>
      </c>
      <c r="W96" s="73">
        <v>6</v>
      </c>
      <c r="X96" s="81" t="s">
        <v>99</v>
      </c>
      <c r="Y96" s="65">
        <v>2</v>
      </c>
      <c r="Z96" s="64" t="s">
        <v>51</v>
      </c>
      <c r="AA96" s="74" t="s">
        <v>781</v>
      </c>
      <c r="AB96" s="64">
        <v>2025</v>
      </c>
      <c r="AC96" s="64" t="s">
        <v>106</v>
      </c>
      <c r="AD96" s="80">
        <f>+BORDRO!J100</f>
        <v>15162</v>
      </c>
      <c r="AE96" s="75"/>
      <c r="AF96" s="75">
        <f>+BORDRO!K100</f>
        <v>2274.2999999999997</v>
      </c>
      <c r="AG96" s="75">
        <f>+BORDRO!L100</f>
        <v>2274.2999999999997</v>
      </c>
      <c r="AH96" s="80">
        <f>+BORDRO!M100</f>
        <v>0</v>
      </c>
      <c r="AI96" s="75">
        <f>+BORDRO!O100</f>
        <v>115.07958000000001</v>
      </c>
      <c r="AJ96" s="76">
        <f>+BORDRO!P100</f>
        <v>0</v>
      </c>
    </row>
    <row r="97" spans="1:36" ht="13.8" x14ac:dyDescent="0.25">
      <c r="A97" s="64" t="s">
        <v>51</v>
      </c>
      <c r="B97" s="119">
        <v>46</v>
      </c>
      <c r="C97" s="64" t="s">
        <v>52</v>
      </c>
      <c r="D97" s="64" t="s">
        <v>53</v>
      </c>
      <c r="E97" s="64" t="s">
        <v>53</v>
      </c>
      <c r="F97" s="65">
        <v>1494768</v>
      </c>
      <c r="G97" s="66" t="s">
        <v>105</v>
      </c>
      <c r="H97" s="64" t="s">
        <v>54</v>
      </c>
      <c r="I97" s="78"/>
      <c r="J97" s="67" t="str">
        <f>+Puantaj!C101</f>
        <v>10717479006</v>
      </c>
      <c r="K97" s="64" t="str">
        <f>+Puantaj!D101</f>
        <v>İSMAİL</v>
      </c>
      <c r="L97" s="64" t="str">
        <f>+Puantaj!E101</f>
        <v>NACAR</v>
      </c>
      <c r="M97" s="68">
        <f>+BORDRO!F101</f>
        <v>14</v>
      </c>
      <c r="N97" s="64"/>
      <c r="O97" s="79">
        <f>+BORDRO!G101</f>
        <v>15162</v>
      </c>
      <c r="P97" s="79">
        <v>0</v>
      </c>
      <c r="Q97" s="122"/>
      <c r="R97" s="69"/>
      <c r="S97" s="70"/>
      <c r="T97" s="70"/>
      <c r="U97" s="71"/>
      <c r="V97" s="72">
        <f t="shared" si="1"/>
        <v>17</v>
      </c>
      <c r="W97" s="73">
        <v>6</v>
      </c>
      <c r="X97" s="81" t="s">
        <v>99</v>
      </c>
      <c r="Y97" s="65">
        <v>2</v>
      </c>
      <c r="Z97" s="64" t="s">
        <v>51</v>
      </c>
      <c r="AA97" s="74" t="s">
        <v>781</v>
      </c>
      <c r="AB97" s="64">
        <v>2025</v>
      </c>
      <c r="AC97" s="64" t="s">
        <v>106</v>
      </c>
      <c r="AD97" s="80">
        <f>+BORDRO!J101</f>
        <v>15162</v>
      </c>
      <c r="AE97" s="75"/>
      <c r="AF97" s="75">
        <f>+BORDRO!K101</f>
        <v>2274.2999999999997</v>
      </c>
      <c r="AG97" s="75">
        <f>+BORDRO!L101</f>
        <v>2274.2999999999997</v>
      </c>
      <c r="AH97" s="80">
        <f>+BORDRO!M101</f>
        <v>0</v>
      </c>
      <c r="AI97" s="75">
        <f>+BORDRO!O101</f>
        <v>115.07958000000001</v>
      </c>
      <c r="AJ97" s="76">
        <f>+BORDRO!P101</f>
        <v>0</v>
      </c>
    </row>
    <row r="98" spans="1:36" ht="13.8" x14ac:dyDescent="0.25">
      <c r="A98" s="64" t="s">
        <v>51</v>
      </c>
      <c r="B98" s="120">
        <v>46</v>
      </c>
      <c r="C98" s="64" t="s">
        <v>52</v>
      </c>
      <c r="D98" s="64" t="s">
        <v>53</v>
      </c>
      <c r="E98" s="64" t="s">
        <v>53</v>
      </c>
      <c r="F98" s="65">
        <v>1494768</v>
      </c>
      <c r="G98" s="66" t="s">
        <v>105</v>
      </c>
      <c r="H98" s="64" t="s">
        <v>54</v>
      </c>
      <c r="I98" s="78"/>
      <c r="J98" s="67" t="str">
        <f>+Puantaj!C102</f>
        <v>15632524862</v>
      </c>
      <c r="K98" s="64" t="str">
        <f>+Puantaj!D102</f>
        <v>KADİR HÜSEYİN</v>
      </c>
      <c r="L98" s="64" t="str">
        <f>+Puantaj!E102</f>
        <v>TUNCER</v>
      </c>
      <c r="M98" s="68">
        <f>+BORDRO!F102</f>
        <v>12</v>
      </c>
      <c r="N98" s="64"/>
      <c r="O98" s="79">
        <f>+BORDRO!G102</f>
        <v>12996</v>
      </c>
      <c r="P98" s="79">
        <v>0</v>
      </c>
      <c r="Q98" s="122"/>
      <c r="R98" s="69"/>
      <c r="S98" s="70"/>
      <c r="T98" s="70"/>
      <c r="U98" s="71"/>
      <c r="V98" s="72">
        <f t="shared" si="1"/>
        <v>19</v>
      </c>
      <c r="W98" s="73">
        <v>6</v>
      </c>
      <c r="X98" s="81" t="s">
        <v>99</v>
      </c>
      <c r="Y98" s="65">
        <v>2</v>
      </c>
      <c r="Z98" s="64" t="s">
        <v>51</v>
      </c>
      <c r="AA98" s="74" t="s">
        <v>781</v>
      </c>
      <c r="AB98" s="64">
        <v>2025</v>
      </c>
      <c r="AC98" s="64" t="s">
        <v>106</v>
      </c>
      <c r="AD98" s="80">
        <f>+BORDRO!J102</f>
        <v>12996</v>
      </c>
      <c r="AE98" s="75"/>
      <c r="AF98" s="75">
        <f>+BORDRO!K102</f>
        <v>1949.3999999999999</v>
      </c>
      <c r="AG98" s="75">
        <f>+BORDRO!L102</f>
        <v>1949.3999999999999</v>
      </c>
      <c r="AH98" s="80">
        <f>+BORDRO!M102</f>
        <v>0</v>
      </c>
      <c r="AI98" s="75">
        <f>+BORDRO!O102</f>
        <v>98.63964</v>
      </c>
      <c r="AJ98" s="76">
        <f>+BORDRO!P102</f>
        <v>0</v>
      </c>
    </row>
    <row r="99" spans="1:36" ht="13.8" x14ac:dyDescent="0.25">
      <c r="A99" s="64" t="s">
        <v>51</v>
      </c>
      <c r="B99" s="119">
        <v>46</v>
      </c>
      <c r="C99" s="64" t="s">
        <v>52</v>
      </c>
      <c r="D99" s="64" t="s">
        <v>53</v>
      </c>
      <c r="E99" s="64" t="s">
        <v>53</v>
      </c>
      <c r="F99" s="65">
        <v>1494768</v>
      </c>
      <c r="G99" s="66" t="s">
        <v>105</v>
      </c>
      <c r="H99" s="64" t="s">
        <v>54</v>
      </c>
      <c r="I99" s="78"/>
      <c r="J99" s="67" t="str">
        <f>+Puantaj!C103</f>
        <v>13963824422</v>
      </c>
      <c r="K99" s="64" t="str">
        <f>+Puantaj!D103</f>
        <v>KADRİYE</v>
      </c>
      <c r="L99" s="64" t="str">
        <f>+Puantaj!E103</f>
        <v>AKTAŞ</v>
      </c>
      <c r="M99" s="68">
        <f>+BORDRO!F103</f>
        <v>14</v>
      </c>
      <c r="N99" s="64"/>
      <c r="O99" s="79">
        <f>+BORDRO!G103</f>
        <v>15162</v>
      </c>
      <c r="P99" s="79">
        <v>0</v>
      </c>
      <c r="Q99" s="122"/>
      <c r="R99" s="69"/>
      <c r="S99" s="70"/>
      <c r="T99" s="70"/>
      <c r="U99" s="71"/>
      <c r="V99" s="72">
        <f t="shared" si="1"/>
        <v>17</v>
      </c>
      <c r="W99" s="73">
        <v>6</v>
      </c>
      <c r="X99" s="81" t="s">
        <v>99</v>
      </c>
      <c r="Y99" s="65">
        <v>2</v>
      </c>
      <c r="Z99" s="64" t="s">
        <v>51</v>
      </c>
      <c r="AA99" s="74" t="s">
        <v>781</v>
      </c>
      <c r="AB99" s="64">
        <v>2025</v>
      </c>
      <c r="AC99" s="64" t="s">
        <v>106</v>
      </c>
      <c r="AD99" s="80">
        <f>+BORDRO!J103</f>
        <v>15162</v>
      </c>
      <c r="AE99" s="75"/>
      <c r="AF99" s="75">
        <f>+BORDRO!K103</f>
        <v>2274.2999999999997</v>
      </c>
      <c r="AG99" s="75">
        <f>+BORDRO!L103</f>
        <v>2274.2999999999997</v>
      </c>
      <c r="AH99" s="80">
        <f>+BORDRO!M103</f>
        <v>0</v>
      </c>
      <c r="AI99" s="75">
        <f>+BORDRO!O103</f>
        <v>115.07958000000001</v>
      </c>
      <c r="AJ99" s="76">
        <f>+BORDRO!P103</f>
        <v>0</v>
      </c>
    </row>
    <row r="100" spans="1:36" ht="13.8" x14ac:dyDescent="0.25">
      <c r="A100" s="64" t="s">
        <v>51</v>
      </c>
      <c r="B100" s="120">
        <v>46</v>
      </c>
      <c r="C100" s="64" t="s">
        <v>52</v>
      </c>
      <c r="D100" s="64" t="s">
        <v>53</v>
      </c>
      <c r="E100" s="64" t="s">
        <v>53</v>
      </c>
      <c r="F100" s="65">
        <v>1494768</v>
      </c>
      <c r="G100" s="66" t="s">
        <v>105</v>
      </c>
      <c r="H100" s="64" t="s">
        <v>54</v>
      </c>
      <c r="I100" s="78"/>
      <c r="J100" s="67" t="str">
        <f>+Puantaj!C104</f>
        <v>10679380396</v>
      </c>
      <c r="K100" s="64" t="str">
        <f>+Puantaj!D104</f>
        <v>KADRİYE GÜNGÖR</v>
      </c>
      <c r="L100" s="64" t="str">
        <f>+Puantaj!E104</f>
        <v>GÖK</v>
      </c>
      <c r="M100" s="68">
        <f>+BORDRO!F104</f>
        <v>15</v>
      </c>
      <c r="N100" s="64"/>
      <c r="O100" s="79">
        <f>+BORDRO!G104</f>
        <v>16245</v>
      </c>
      <c r="P100" s="79">
        <v>0</v>
      </c>
      <c r="Q100" s="122"/>
      <c r="R100" s="69"/>
      <c r="S100" s="70"/>
      <c r="T100" s="70"/>
      <c r="U100" s="71"/>
      <c r="V100" s="72">
        <f t="shared" si="1"/>
        <v>16</v>
      </c>
      <c r="W100" s="73">
        <v>6</v>
      </c>
      <c r="X100" s="81" t="s">
        <v>99</v>
      </c>
      <c r="Y100" s="65">
        <v>2</v>
      </c>
      <c r="Z100" s="64" t="s">
        <v>51</v>
      </c>
      <c r="AA100" s="74" t="s">
        <v>781</v>
      </c>
      <c r="AB100" s="64">
        <v>2025</v>
      </c>
      <c r="AC100" s="64" t="s">
        <v>106</v>
      </c>
      <c r="AD100" s="80">
        <f>+BORDRO!J104</f>
        <v>16245</v>
      </c>
      <c r="AE100" s="75"/>
      <c r="AF100" s="75">
        <f>+BORDRO!K104</f>
        <v>2436.75</v>
      </c>
      <c r="AG100" s="75">
        <f>+BORDRO!L104</f>
        <v>2436.75</v>
      </c>
      <c r="AH100" s="80">
        <f>+BORDRO!M104</f>
        <v>0</v>
      </c>
      <c r="AI100" s="75">
        <f>+BORDRO!O104</f>
        <v>123.29955000000001</v>
      </c>
      <c r="AJ100" s="76">
        <f>+BORDRO!P104</f>
        <v>0</v>
      </c>
    </row>
    <row r="101" spans="1:36" ht="13.8" x14ac:dyDescent="0.25">
      <c r="A101" s="64" t="s">
        <v>51</v>
      </c>
      <c r="B101" s="119">
        <v>46</v>
      </c>
      <c r="C101" s="64" t="s">
        <v>52</v>
      </c>
      <c r="D101" s="64" t="s">
        <v>53</v>
      </c>
      <c r="E101" s="64" t="s">
        <v>53</v>
      </c>
      <c r="F101" s="65">
        <v>1494768</v>
      </c>
      <c r="G101" s="66" t="s">
        <v>105</v>
      </c>
      <c r="H101" s="64" t="s">
        <v>54</v>
      </c>
      <c r="I101" s="78"/>
      <c r="J101" s="67" t="str">
        <f>+Puantaj!C105</f>
        <v>17327701480</v>
      </c>
      <c r="K101" s="64" t="str">
        <f>+Puantaj!D105</f>
        <v>KERİM</v>
      </c>
      <c r="L101" s="64" t="str">
        <f>+Puantaj!E105</f>
        <v>CEBECİ</v>
      </c>
      <c r="M101" s="68">
        <f>+BORDRO!F105</f>
        <v>13</v>
      </c>
      <c r="N101" s="64"/>
      <c r="O101" s="79">
        <f>+BORDRO!G105</f>
        <v>14079</v>
      </c>
      <c r="P101" s="79">
        <v>0</v>
      </c>
      <c r="Q101" s="122"/>
      <c r="R101" s="69"/>
      <c r="S101" s="70"/>
      <c r="T101" s="70"/>
      <c r="U101" s="71"/>
      <c r="V101" s="72">
        <f t="shared" si="1"/>
        <v>18</v>
      </c>
      <c r="W101" s="73">
        <v>6</v>
      </c>
      <c r="X101" s="81" t="s">
        <v>99</v>
      </c>
      <c r="Y101" s="65">
        <v>2</v>
      </c>
      <c r="Z101" s="64" t="s">
        <v>51</v>
      </c>
      <c r="AA101" s="74" t="s">
        <v>781</v>
      </c>
      <c r="AB101" s="64">
        <v>2025</v>
      </c>
      <c r="AC101" s="64" t="s">
        <v>106</v>
      </c>
      <c r="AD101" s="80">
        <f>+BORDRO!J105</f>
        <v>14079</v>
      </c>
      <c r="AE101" s="75"/>
      <c r="AF101" s="75">
        <f>+BORDRO!K105</f>
        <v>2111.85</v>
      </c>
      <c r="AG101" s="75">
        <f>+BORDRO!L105</f>
        <v>2111.85</v>
      </c>
      <c r="AH101" s="80">
        <f>+BORDRO!M105</f>
        <v>0</v>
      </c>
      <c r="AI101" s="75">
        <f>+BORDRO!O105</f>
        <v>106.85961</v>
      </c>
      <c r="AJ101" s="76">
        <f>+BORDRO!P105</f>
        <v>0</v>
      </c>
    </row>
    <row r="102" spans="1:36" ht="13.8" x14ac:dyDescent="0.25">
      <c r="A102" s="64" t="s">
        <v>51</v>
      </c>
      <c r="B102" s="120">
        <v>46</v>
      </c>
      <c r="C102" s="64" t="s">
        <v>52</v>
      </c>
      <c r="D102" s="64" t="s">
        <v>53</v>
      </c>
      <c r="E102" s="64" t="s">
        <v>53</v>
      </c>
      <c r="F102" s="65">
        <v>1494768</v>
      </c>
      <c r="G102" s="66" t="s">
        <v>105</v>
      </c>
      <c r="H102" s="64" t="s">
        <v>54</v>
      </c>
      <c r="I102" s="78"/>
      <c r="J102" s="67" t="str">
        <f>+Puantaj!C106</f>
        <v>10517493820</v>
      </c>
      <c r="K102" s="64" t="str">
        <f>+Puantaj!D106</f>
        <v>KÜBRA</v>
      </c>
      <c r="L102" s="64" t="str">
        <f>+Puantaj!E106</f>
        <v>GEDİK</v>
      </c>
      <c r="M102" s="68">
        <f>+BORDRO!F106</f>
        <v>13</v>
      </c>
      <c r="N102" s="64"/>
      <c r="O102" s="79">
        <f>+BORDRO!G106</f>
        <v>14079</v>
      </c>
      <c r="P102" s="79">
        <v>0</v>
      </c>
      <c r="Q102" s="122"/>
      <c r="R102" s="69"/>
      <c r="S102" s="70"/>
      <c r="T102" s="70"/>
      <c r="U102" s="71"/>
      <c r="V102" s="72">
        <f t="shared" si="1"/>
        <v>18</v>
      </c>
      <c r="W102" s="73">
        <v>6</v>
      </c>
      <c r="X102" s="81" t="s">
        <v>99</v>
      </c>
      <c r="Y102" s="65">
        <v>2</v>
      </c>
      <c r="Z102" s="64" t="s">
        <v>51</v>
      </c>
      <c r="AA102" s="74" t="s">
        <v>781</v>
      </c>
      <c r="AB102" s="64">
        <v>2025</v>
      </c>
      <c r="AC102" s="64" t="s">
        <v>106</v>
      </c>
      <c r="AD102" s="80">
        <f>+BORDRO!J106</f>
        <v>14079</v>
      </c>
      <c r="AE102" s="75"/>
      <c r="AF102" s="75">
        <f>+BORDRO!K106</f>
        <v>2111.85</v>
      </c>
      <c r="AG102" s="75">
        <f>+BORDRO!L106</f>
        <v>2111.85</v>
      </c>
      <c r="AH102" s="80">
        <f>+BORDRO!M106</f>
        <v>0</v>
      </c>
      <c r="AI102" s="75">
        <f>+BORDRO!O106</f>
        <v>106.85961</v>
      </c>
      <c r="AJ102" s="76">
        <f>+BORDRO!P106</f>
        <v>0</v>
      </c>
    </row>
    <row r="103" spans="1:36" ht="13.8" x14ac:dyDescent="0.25">
      <c r="A103" s="64" t="s">
        <v>51</v>
      </c>
      <c r="B103" s="119">
        <v>46</v>
      </c>
      <c r="C103" s="64" t="s">
        <v>52</v>
      </c>
      <c r="D103" s="64" t="s">
        <v>53</v>
      </c>
      <c r="E103" s="64" t="s">
        <v>53</v>
      </c>
      <c r="F103" s="65">
        <v>1494768</v>
      </c>
      <c r="G103" s="66" t="s">
        <v>105</v>
      </c>
      <c r="H103" s="64" t="s">
        <v>54</v>
      </c>
      <c r="I103" s="78"/>
      <c r="J103" s="67" t="str">
        <f>+Puantaj!C107</f>
        <v>10976678554</v>
      </c>
      <c r="K103" s="64" t="str">
        <f>+Puantaj!D107</f>
        <v>KÜBRA</v>
      </c>
      <c r="L103" s="64" t="str">
        <f>+Puantaj!E107</f>
        <v>ULUDERE</v>
      </c>
      <c r="M103" s="68">
        <f>+BORDRO!F107</f>
        <v>9</v>
      </c>
      <c r="N103" s="64"/>
      <c r="O103" s="79">
        <f>+BORDRO!G107</f>
        <v>9747</v>
      </c>
      <c r="P103" s="79">
        <v>0</v>
      </c>
      <c r="Q103" s="122"/>
      <c r="R103" s="69"/>
      <c r="S103" s="70"/>
      <c r="T103" s="70"/>
      <c r="U103" s="71"/>
      <c r="V103" s="72">
        <f t="shared" si="1"/>
        <v>22</v>
      </c>
      <c r="W103" s="73">
        <v>6</v>
      </c>
      <c r="X103" s="81" t="s">
        <v>99</v>
      </c>
      <c r="Y103" s="65">
        <v>2</v>
      </c>
      <c r="Z103" s="64" t="s">
        <v>51</v>
      </c>
      <c r="AA103" s="74" t="s">
        <v>781</v>
      </c>
      <c r="AB103" s="64">
        <v>2025</v>
      </c>
      <c r="AC103" s="64" t="s">
        <v>106</v>
      </c>
      <c r="AD103" s="80">
        <f>+BORDRO!J107</f>
        <v>9747</v>
      </c>
      <c r="AE103" s="75"/>
      <c r="AF103" s="75">
        <f>+BORDRO!K107</f>
        <v>1462.05</v>
      </c>
      <c r="AG103" s="75">
        <f>+BORDRO!L107</f>
        <v>1462.05</v>
      </c>
      <c r="AH103" s="80">
        <f>+BORDRO!M107</f>
        <v>0</v>
      </c>
      <c r="AI103" s="75">
        <f>+BORDRO!O107</f>
        <v>73.979730000000004</v>
      </c>
      <c r="AJ103" s="76">
        <f>+BORDRO!P107</f>
        <v>0</v>
      </c>
    </row>
    <row r="104" spans="1:36" ht="13.8" x14ac:dyDescent="0.25">
      <c r="A104" s="64" t="s">
        <v>51</v>
      </c>
      <c r="B104" s="120">
        <v>46</v>
      </c>
      <c r="C104" s="64" t="s">
        <v>52</v>
      </c>
      <c r="D104" s="64" t="s">
        <v>53</v>
      </c>
      <c r="E104" s="64" t="s">
        <v>53</v>
      </c>
      <c r="F104" s="65">
        <v>1494768</v>
      </c>
      <c r="G104" s="66" t="s">
        <v>105</v>
      </c>
      <c r="H104" s="64" t="s">
        <v>54</v>
      </c>
      <c r="I104" s="78"/>
      <c r="J104" s="67" t="str">
        <f>+Puantaj!C108</f>
        <v>15766862922</v>
      </c>
      <c r="K104" s="64" t="str">
        <f>+Puantaj!D108</f>
        <v>LÜTFİYE</v>
      </c>
      <c r="L104" s="64" t="str">
        <f>+Puantaj!E108</f>
        <v>SARI</v>
      </c>
      <c r="M104" s="68">
        <f>+BORDRO!F108</f>
        <v>14</v>
      </c>
      <c r="N104" s="64"/>
      <c r="O104" s="79">
        <f>+BORDRO!G108</f>
        <v>15162</v>
      </c>
      <c r="P104" s="79">
        <v>0</v>
      </c>
      <c r="Q104" s="122"/>
      <c r="R104" s="69"/>
      <c r="S104" s="70"/>
      <c r="T104" s="70"/>
      <c r="U104" s="71"/>
      <c r="V104" s="72">
        <f t="shared" si="1"/>
        <v>17</v>
      </c>
      <c r="W104" s="73">
        <v>6</v>
      </c>
      <c r="X104" s="81" t="s">
        <v>99</v>
      </c>
      <c r="Y104" s="65">
        <v>2</v>
      </c>
      <c r="Z104" s="64" t="s">
        <v>51</v>
      </c>
      <c r="AA104" s="74" t="s">
        <v>781</v>
      </c>
      <c r="AB104" s="64">
        <v>2025</v>
      </c>
      <c r="AC104" s="64" t="s">
        <v>106</v>
      </c>
      <c r="AD104" s="80">
        <f>+BORDRO!J108</f>
        <v>15162</v>
      </c>
      <c r="AE104" s="75"/>
      <c r="AF104" s="75">
        <f>+BORDRO!K108</f>
        <v>2274.2999999999997</v>
      </c>
      <c r="AG104" s="75">
        <f>+BORDRO!L108</f>
        <v>2274.2999999999997</v>
      </c>
      <c r="AH104" s="80">
        <f>+BORDRO!M108</f>
        <v>0</v>
      </c>
      <c r="AI104" s="75">
        <f>+BORDRO!O108</f>
        <v>115.07958000000001</v>
      </c>
      <c r="AJ104" s="76">
        <f>+BORDRO!P108</f>
        <v>0</v>
      </c>
    </row>
    <row r="105" spans="1:36" ht="13.8" x14ac:dyDescent="0.25">
      <c r="A105" s="64" t="s">
        <v>51</v>
      </c>
      <c r="B105" s="119">
        <v>46</v>
      </c>
      <c r="C105" s="64" t="s">
        <v>52</v>
      </c>
      <c r="D105" s="64" t="s">
        <v>53</v>
      </c>
      <c r="E105" s="64" t="s">
        <v>53</v>
      </c>
      <c r="F105" s="65">
        <v>1494768</v>
      </c>
      <c r="G105" s="66" t="s">
        <v>105</v>
      </c>
      <c r="H105" s="64" t="s">
        <v>54</v>
      </c>
      <c r="I105" s="78"/>
      <c r="J105" s="67" t="str">
        <f>+Puantaj!C109</f>
        <v>10412675680</v>
      </c>
      <c r="K105" s="64" t="str">
        <f>+Puantaj!D109</f>
        <v>MEDİNE</v>
      </c>
      <c r="L105" s="64" t="str">
        <f>+Puantaj!E109</f>
        <v>SAKARYA</v>
      </c>
      <c r="M105" s="68">
        <f>+BORDRO!F109</f>
        <v>13</v>
      </c>
      <c r="N105" s="64"/>
      <c r="O105" s="79">
        <f>+BORDRO!G109</f>
        <v>14079</v>
      </c>
      <c r="P105" s="79">
        <v>0</v>
      </c>
      <c r="Q105" s="122"/>
      <c r="R105" s="69"/>
      <c r="S105" s="70"/>
      <c r="T105" s="70"/>
      <c r="U105" s="71"/>
      <c r="V105" s="72">
        <f t="shared" si="1"/>
        <v>18</v>
      </c>
      <c r="W105" s="73">
        <v>6</v>
      </c>
      <c r="X105" s="81" t="s">
        <v>99</v>
      </c>
      <c r="Y105" s="65">
        <v>2</v>
      </c>
      <c r="Z105" s="64" t="s">
        <v>51</v>
      </c>
      <c r="AA105" s="74" t="s">
        <v>781</v>
      </c>
      <c r="AB105" s="64">
        <v>2025</v>
      </c>
      <c r="AC105" s="64" t="s">
        <v>106</v>
      </c>
      <c r="AD105" s="80">
        <f>+BORDRO!J109</f>
        <v>14079</v>
      </c>
      <c r="AE105" s="75"/>
      <c r="AF105" s="75">
        <f>+BORDRO!K109</f>
        <v>2111.85</v>
      </c>
      <c r="AG105" s="75">
        <f>+BORDRO!L109</f>
        <v>2111.85</v>
      </c>
      <c r="AH105" s="80">
        <f>+BORDRO!M109</f>
        <v>0</v>
      </c>
      <c r="AI105" s="75">
        <f>+BORDRO!O109</f>
        <v>106.85961</v>
      </c>
      <c r="AJ105" s="76">
        <f>+BORDRO!P109</f>
        <v>0</v>
      </c>
    </row>
    <row r="106" spans="1:36" ht="13.8" x14ac:dyDescent="0.25">
      <c r="A106" s="64" t="s">
        <v>51</v>
      </c>
      <c r="B106" s="120">
        <v>46</v>
      </c>
      <c r="C106" s="64" t="s">
        <v>52</v>
      </c>
      <c r="D106" s="64" t="s">
        <v>53</v>
      </c>
      <c r="E106" s="64" t="s">
        <v>53</v>
      </c>
      <c r="F106" s="65">
        <v>1494768</v>
      </c>
      <c r="G106" s="66" t="s">
        <v>105</v>
      </c>
      <c r="H106" s="64" t="s">
        <v>54</v>
      </c>
      <c r="I106" s="78"/>
      <c r="J106" s="67" t="str">
        <f>+Puantaj!C110</f>
        <v>10112713040</v>
      </c>
      <c r="K106" s="64" t="str">
        <f>+Puantaj!D110</f>
        <v>MELİS</v>
      </c>
      <c r="L106" s="64" t="str">
        <f>+Puantaj!E110</f>
        <v>KARADENİZ</v>
      </c>
      <c r="M106" s="68">
        <f>+BORDRO!F110</f>
        <v>9</v>
      </c>
      <c r="N106" s="64"/>
      <c r="O106" s="79">
        <f>+BORDRO!G110</f>
        <v>9747</v>
      </c>
      <c r="P106" s="79">
        <v>0</v>
      </c>
      <c r="Q106" s="122"/>
      <c r="R106" s="69"/>
      <c r="S106" s="70"/>
      <c r="T106" s="70"/>
      <c r="U106" s="71"/>
      <c r="V106" s="72">
        <f t="shared" si="1"/>
        <v>22</v>
      </c>
      <c r="W106" s="73">
        <v>6</v>
      </c>
      <c r="X106" s="81" t="s">
        <v>99</v>
      </c>
      <c r="Y106" s="65">
        <v>2</v>
      </c>
      <c r="Z106" s="64" t="s">
        <v>51</v>
      </c>
      <c r="AA106" s="74" t="s">
        <v>781</v>
      </c>
      <c r="AB106" s="64">
        <v>2025</v>
      </c>
      <c r="AC106" s="64" t="s">
        <v>106</v>
      </c>
      <c r="AD106" s="80">
        <f>+BORDRO!J110</f>
        <v>9747</v>
      </c>
      <c r="AE106" s="75"/>
      <c r="AF106" s="75">
        <f>+BORDRO!K110</f>
        <v>1462.05</v>
      </c>
      <c r="AG106" s="75">
        <f>+BORDRO!L110</f>
        <v>1462.05</v>
      </c>
      <c r="AH106" s="80">
        <f>+BORDRO!M110</f>
        <v>0</v>
      </c>
      <c r="AI106" s="75">
        <f>+BORDRO!O110</f>
        <v>73.979730000000004</v>
      </c>
      <c r="AJ106" s="76">
        <f>+BORDRO!P110</f>
        <v>0</v>
      </c>
    </row>
    <row r="107" spans="1:36" ht="13.8" x14ac:dyDescent="0.25">
      <c r="A107" s="64" t="s">
        <v>51</v>
      </c>
      <c r="B107" s="119">
        <v>46</v>
      </c>
      <c r="C107" s="64" t="s">
        <v>52</v>
      </c>
      <c r="D107" s="64" t="s">
        <v>53</v>
      </c>
      <c r="E107" s="64" t="s">
        <v>53</v>
      </c>
      <c r="F107" s="65">
        <v>1494768</v>
      </c>
      <c r="G107" s="66" t="s">
        <v>105</v>
      </c>
      <c r="H107" s="64" t="s">
        <v>54</v>
      </c>
      <c r="I107" s="78"/>
      <c r="J107" s="67" t="str">
        <f>+Puantaj!C111</f>
        <v>10267469656</v>
      </c>
      <c r="K107" s="64" t="str">
        <f>+Puantaj!D111</f>
        <v>MELİS</v>
      </c>
      <c r="L107" s="64" t="str">
        <f>+Puantaj!E111</f>
        <v>METİN</v>
      </c>
      <c r="M107" s="68">
        <f>+BORDRO!F111</f>
        <v>9</v>
      </c>
      <c r="N107" s="64"/>
      <c r="O107" s="79">
        <f>+BORDRO!G111</f>
        <v>9747</v>
      </c>
      <c r="P107" s="79">
        <v>0</v>
      </c>
      <c r="Q107" s="122"/>
      <c r="R107" s="69"/>
      <c r="S107" s="70"/>
      <c r="T107" s="70"/>
      <c r="U107" s="71"/>
      <c r="V107" s="72">
        <f t="shared" si="1"/>
        <v>22</v>
      </c>
      <c r="W107" s="73">
        <v>6</v>
      </c>
      <c r="X107" s="81" t="s">
        <v>99</v>
      </c>
      <c r="Y107" s="65">
        <v>2</v>
      </c>
      <c r="Z107" s="64" t="s">
        <v>51</v>
      </c>
      <c r="AA107" s="74" t="s">
        <v>781</v>
      </c>
      <c r="AB107" s="64">
        <v>2025</v>
      </c>
      <c r="AC107" s="64" t="s">
        <v>106</v>
      </c>
      <c r="AD107" s="80">
        <f>+BORDRO!J111</f>
        <v>9747</v>
      </c>
      <c r="AE107" s="75"/>
      <c r="AF107" s="75">
        <f>+BORDRO!K111</f>
        <v>1462.05</v>
      </c>
      <c r="AG107" s="75">
        <f>+BORDRO!L111</f>
        <v>1462.05</v>
      </c>
      <c r="AH107" s="80">
        <f>+BORDRO!M111</f>
        <v>0</v>
      </c>
      <c r="AI107" s="75">
        <f>+BORDRO!O111</f>
        <v>73.979730000000004</v>
      </c>
      <c r="AJ107" s="76">
        <f>+BORDRO!P111</f>
        <v>0</v>
      </c>
    </row>
    <row r="108" spans="1:36" ht="13.8" x14ac:dyDescent="0.25">
      <c r="A108" s="64" t="s">
        <v>51</v>
      </c>
      <c r="B108" s="120">
        <v>46</v>
      </c>
      <c r="C108" s="64" t="s">
        <v>52</v>
      </c>
      <c r="D108" s="64" t="s">
        <v>53</v>
      </c>
      <c r="E108" s="64" t="s">
        <v>53</v>
      </c>
      <c r="F108" s="65">
        <v>1494768</v>
      </c>
      <c r="G108" s="66" t="s">
        <v>105</v>
      </c>
      <c r="H108" s="64" t="s">
        <v>54</v>
      </c>
      <c r="I108" s="78"/>
      <c r="J108" s="67" t="str">
        <f>+Puantaj!C112</f>
        <v>53509519344</v>
      </c>
      <c r="K108" s="64" t="str">
        <f>+Puantaj!D112</f>
        <v>MELİSA</v>
      </c>
      <c r="L108" s="64" t="str">
        <f>+Puantaj!E112</f>
        <v>KUMLU</v>
      </c>
      <c r="M108" s="68">
        <f>+BORDRO!F112</f>
        <v>8</v>
      </c>
      <c r="N108" s="64"/>
      <c r="O108" s="79">
        <f>+BORDRO!G112</f>
        <v>8664</v>
      </c>
      <c r="P108" s="79">
        <v>0</v>
      </c>
      <c r="Q108" s="122"/>
      <c r="R108" s="69"/>
      <c r="S108" s="70"/>
      <c r="T108" s="70"/>
      <c r="U108" s="71"/>
      <c r="V108" s="72">
        <f t="shared" si="1"/>
        <v>23</v>
      </c>
      <c r="W108" s="73">
        <v>6</v>
      </c>
      <c r="X108" s="81" t="s">
        <v>99</v>
      </c>
      <c r="Y108" s="65">
        <v>2</v>
      </c>
      <c r="Z108" s="64" t="s">
        <v>51</v>
      </c>
      <c r="AA108" s="74" t="s">
        <v>781</v>
      </c>
      <c r="AB108" s="64">
        <v>2025</v>
      </c>
      <c r="AC108" s="64" t="s">
        <v>106</v>
      </c>
      <c r="AD108" s="80">
        <f>+BORDRO!J112</f>
        <v>8664</v>
      </c>
      <c r="AE108" s="75"/>
      <c r="AF108" s="75">
        <f>+BORDRO!K112</f>
        <v>1299.5999999999999</v>
      </c>
      <c r="AG108" s="75">
        <f>+BORDRO!L112</f>
        <v>1299.5999999999999</v>
      </c>
      <c r="AH108" s="80">
        <f>+BORDRO!M112</f>
        <v>0</v>
      </c>
      <c r="AI108" s="75">
        <f>+BORDRO!O112</f>
        <v>65.75976</v>
      </c>
      <c r="AJ108" s="76">
        <f>+BORDRO!P112</f>
        <v>0</v>
      </c>
    </row>
    <row r="109" spans="1:36" ht="13.8" x14ac:dyDescent="0.25">
      <c r="A109" s="64" t="s">
        <v>51</v>
      </c>
      <c r="B109" s="119">
        <v>46</v>
      </c>
      <c r="C109" s="64" t="s">
        <v>52</v>
      </c>
      <c r="D109" s="64" t="s">
        <v>53</v>
      </c>
      <c r="E109" s="64" t="s">
        <v>53</v>
      </c>
      <c r="F109" s="65">
        <v>1494768</v>
      </c>
      <c r="G109" s="66" t="s">
        <v>105</v>
      </c>
      <c r="H109" s="64" t="s">
        <v>54</v>
      </c>
      <c r="I109" s="78"/>
      <c r="J109" s="67" t="str">
        <f>+Puantaj!C113</f>
        <v>51844559292</v>
      </c>
      <c r="K109" s="64" t="str">
        <f>+Puantaj!D113</f>
        <v>MELİSA</v>
      </c>
      <c r="L109" s="64" t="str">
        <f>+Puantaj!E113</f>
        <v>OKUYUCU</v>
      </c>
      <c r="M109" s="68">
        <f>+BORDRO!F113</f>
        <v>12</v>
      </c>
      <c r="N109" s="64"/>
      <c r="O109" s="79">
        <f>+BORDRO!G113</f>
        <v>12996</v>
      </c>
      <c r="P109" s="79">
        <v>0</v>
      </c>
      <c r="Q109" s="122"/>
      <c r="R109" s="69"/>
      <c r="S109" s="70"/>
      <c r="T109" s="70"/>
      <c r="U109" s="71"/>
      <c r="V109" s="72">
        <f t="shared" si="1"/>
        <v>19</v>
      </c>
      <c r="W109" s="73">
        <v>6</v>
      </c>
      <c r="X109" s="81" t="s">
        <v>99</v>
      </c>
      <c r="Y109" s="65">
        <v>2</v>
      </c>
      <c r="Z109" s="64" t="s">
        <v>51</v>
      </c>
      <c r="AA109" s="74" t="s">
        <v>781</v>
      </c>
      <c r="AB109" s="64">
        <v>2025</v>
      </c>
      <c r="AC109" s="64" t="s">
        <v>106</v>
      </c>
      <c r="AD109" s="80">
        <f>+BORDRO!J113</f>
        <v>12996</v>
      </c>
      <c r="AE109" s="75"/>
      <c r="AF109" s="75">
        <f>+BORDRO!K113</f>
        <v>1949.3999999999999</v>
      </c>
      <c r="AG109" s="75">
        <f>+BORDRO!L113</f>
        <v>1949.3999999999999</v>
      </c>
      <c r="AH109" s="80">
        <f>+BORDRO!M113</f>
        <v>0</v>
      </c>
      <c r="AI109" s="75">
        <f>+BORDRO!O113</f>
        <v>98.63964</v>
      </c>
      <c r="AJ109" s="76">
        <f>+BORDRO!P113</f>
        <v>0</v>
      </c>
    </row>
    <row r="110" spans="1:36" ht="13.8" x14ac:dyDescent="0.25">
      <c r="A110" s="64" t="s">
        <v>51</v>
      </c>
      <c r="B110" s="120">
        <v>46</v>
      </c>
      <c r="C110" s="64" t="s">
        <v>52</v>
      </c>
      <c r="D110" s="64" t="s">
        <v>53</v>
      </c>
      <c r="E110" s="64" t="s">
        <v>53</v>
      </c>
      <c r="F110" s="65">
        <v>1494768</v>
      </c>
      <c r="G110" s="66" t="s">
        <v>105</v>
      </c>
      <c r="H110" s="64" t="s">
        <v>54</v>
      </c>
      <c r="I110" s="78"/>
      <c r="J110" s="67" t="str">
        <f>+Puantaj!C114</f>
        <v>11273332552</v>
      </c>
      <c r="K110" s="64" t="str">
        <f>+Puantaj!D114</f>
        <v>MERVE CEREN</v>
      </c>
      <c r="L110" s="64" t="str">
        <f>+Puantaj!E114</f>
        <v>İNCE</v>
      </c>
      <c r="M110" s="68">
        <f>+BORDRO!F114</f>
        <v>14</v>
      </c>
      <c r="N110" s="64"/>
      <c r="O110" s="79">
        <f>+BORDRO!G114</f>
        <v>15162</v>
      </c>
      <c r="P110" s="79">
        <v>0</v>
      </c>
      <c r="Q110" s="122"/>
      <c r="R110" s="69"/>
      <c r="S110" s="70"/>
      <c r="T110" s="70"/>
      <c r="U110" s="71"/>
      <c r="V110" s="72">
        <f t="shared" si="1"/>
        <v>17</v>
      </c>
      <c r="W110" s="73">
        <v>6</v>
      </c>
      <c r="X110" s="81" t="s">
        <v>99</v>
      </c>
      <c r="Y110" s="65">
        <v>2</v>
      </c>
      <c r="Z110" s="64" t="s">
        <v>51</v>
      </c>
      <c r="AA110" s="74" t="s">
        <v>781</v>
      </c>
      <c r="AB110" s="64">
        <v>2025</v>
      </c>
      <c r="AC110" s="64" t="s">
        <v>106</v>
      </c>
      <c r="AD110" s="80">
        <f>+BORDRO!J114</f>
        <v>15162</v>
      </c>
      <c r="AE110" s="75"/>
      <c r="AF110" s="75">
        <f>+BORDRO!K114</f>
        <v>2274.2999999999997</v>
      </c>
      <c r="AG110" s="75">
        <f>+BORDRO!L114</f>
        <v>2274.2999999999997</v>
      </c>
      <c r="AH110" s="80">
        <f>+BORDRO!M114</f>
        <v>0</v>
      </c>
      <c r="AI110" s="75">
        <f>+BORDRO!O114</f>
        <v>115.07958000000001</v>
      </c>
      <c r="AJ110" s="76">
        <f>+BORDRO!P114</f>
        <v>0</v>
      </c>
    </row>
    <row r="111" spans="1:36" ht="13.8" x14ac:dyDescent="0.25">
      <c r="A111" s="64" t="s">
        <v>51</v>
      </c>
      <c r="B111" s="119">
        <v>46</v>
      </c>
      <c r="C111" s="64" t="s">
        <v>52</v>
      </c>
      <c r="D111" s="64" t="s">
        <v>53</v>
      </c>
      <c r="E111" s="64" t="s">
        <v>53</v>
      </c>
      <c r="F111" s="65">
        <v>1494768</v>
      </c>
      <c r="G111" s="66" t="s">
        <v>105</v>
      </c>
      <c r="H111" s="64" t="s">
        <v>54</v>
      </c>
      <c r="I111" s="78"/>
      <c r="J111" s="67" t="str">
        <f>+Puantaj!C115</f>
        <v>28885323830</v>
      </c>
      <c r="K111" s="64" t="str">
        <f>+Puantaj!D115</f>
        <v>MERVE</v>
      </c>
      <c r="L111" s="64" t="str">
        <f>+Puantaj!E115</f>
        <v>EREN</v>
      </c>
      <c r="M111" s="68">
        <f>+BORDRO!F115</f>
        <v>13</v>
      </c>
      <c r="N111" s="64"/>
      <c r="O111" s="79">
        <f>+BORDRO!G115</f>
        <v>14079</v>
      </c>
      <c r="P111" s="79">
        <v>0</v>
      </c>
      <c r="Q111" s="122"/>
      <c r="R111" s="69"/>
      <c r="S111" s="70"/>
      <c r="T111" s="70"/>
      <c r="U111" s="71"/>
      <c r="V111" s="72">
        <f t="shared" si="1"/>
        <v>18</v>
      </c>
      <c r="W111" s="73">
        <v>6</v>
      </c>
      <c r="X111" s="81" t="s">
        <v>99</v>
      </c>
      <c r="Y111" s="65">
        <v>2</v>
      </c>
      <c r="Z111" s="64" t="s">
        <v>51</v>
      </c>
      <c r="AA111" s="74" t="s">
        <v>781</v>
      </c>
      <c r="AB111" s="64">
        <v>2025</v>
      </c>
      <c r="AC111" s="64" t="s">
        <v>106</v>
      </c>
      <c r="AD111" s="80">
        <f>+BORDRO!J115</f>
        <v>14079</v>
      </c>
      <c r="AE111" s="75"/>
      <c r="AF111" s="75">
        <f>+BORDRO!K115</f>
        <v>2111.85</v>
      </c>
      <c r="AG111" s="75">
        <f>+BORDRO!L115</f>
        <v>2111.85</v>
      </c>
      <c r="AH111" s="80">
        <f>+BORDRO!M115</f>
        <v>0</v>
      </c>
      <c r="AI111" s="75">
        <f>+BORDRO!O115</f>
        <v>106.85961</v>
      </c>
      <c r="AJ111" s="76">
        <f>+BORDRO!P115</f>
        <v>0</v>
      </c>
    </row>
    <row r="112" spans="1:36" ht="13.8" x14ac:dyDescent="0.25">
      <c r="A112" s="64" t="s">
        <v>51</v>
      </c>
      <c r="B112" s="120">
        <v>46</v>
      </c>
      <c r="C112" s="64" t="s">
        <v>52</v>
      </c>
      <c r="D112" s="64" t="s">
        <v>53</v>
      </c>
      <c r="E112" s="64" t="s">
        <v>53</v>
      </c>
      <c r="F112" s="65">
        <v>1494768</v>
      </c>
      <c r="G112" s="66" t="s">
        <v>105</v>
      </c>
      <c r="H112" s="64" t="s">
        <v>54</v>
      </c>
      <c r="I112" s="78"/>
      <c r="J112" s="67" t="str">
        <f>+Puantaj!C116</f>
        <v>28033142924</v>
      </c>
      <c r="K112" s="64" t="str">
        <f>+Puantaj!D116</f>
        <v>MERVE</v>
      </c>
      <c r="L112" s="64" t="str">
        <f>+Puantaj!E116</f>
        <v>EZBERCİ</v>
      </c>
      <c r="M112" s="68">
        <f>+BORDRO!F116</f>
        <v>13</v>
      </c>
      <c r="N112" s="64"/>
      <c r="O112" s="79">
        <f>+BORDRO!G116</f>
        <v>14079</v>
      </c>
      <c r="P112" s="79">
        <v>0</v>
      </c>
      <c r="Q112" s="122"/>
      <c r="R112" s="69"/>
      <c r="S112" s="70"/>
      <c r="T112" s="70"/>
      <c r="U112" s="71"/>
      <c r="V112" s="72">
        <f t="shared" si="1"/>
        <v>18</v>
      </c>
      <c r="W112" s="73">
        <v>6</v>
      </c>
      <c r="X112" s="81" t="s">
        <v>99</v>
      </c>
      <c r="Y112" s="65">
        <v>2</v>
      </c>
      <c r="Z112" s="64" t="s">
        <v>51</v>
      </c>
      <c r="AA112" s="74" t="s">
        <v>781</v>
      </c>
      <c r="AB112" s="64">
        <v>2025</v>
      </c>
      <c r="AC112" s="64" t="s">
        <v>106</v>
      </c>
      <c r="AD112" s="80">
        <f>+BORDRO!J116</f>
        <v>14079</v>
      </c>
      <c r="AE112" s="75"/>
      <c r="AF112" s="75">
        <f>+BORDRO!K116</f>
        <v>2111.85</v>
      </c>
      <c r="AG112" s="75">
        <f>+BORDRO!L116</f>
        <v>2111.85</v>
      </c>
      <c r="AH112" s="80">
        <f>+BORDRO!M116</f>
        <v>0</v>
      </c>
      <c r="AI112" s="75">
        <f>+BORDRO!O116</f>
        <v>106.85961</v>
      </c>
      <c r="AJ112" s="76">
        <f>+BORDRO!P116</f>
        <v>0</v>
      </c>
    </row>
    <row r="113" spans="1:36" ht="13.8" x14ac:dyDescent="0.25">
      <c r="A113" s="64" t="s">
        <v>51</v>
      </c>
      <c r="B113" s="119">
        <v>46</v>
      </c>
      <c r="C113" s="64" t="s">
        <v>52</v>
      </c>
      <c r="D113" s="64" t="s">
        <v>53</v>
      </c>
      <c r="E113" s="64" t="s">
        <v>53</v>
      </c>
      <c r="F113" s="65">
        <v>1494768</v>
      </c>
      <c r="G113" s="66" t="s">
        <v>105</v>
      </c>
      <c r="H113" s="64" t="s">
        <v>54</v>
      </c>
      <c r="I113" s="78"/>
      <c r="J113" s="67" t="str">
        <f>+Puantaj!C117</f>
        <v>15230987106</v>
      </c>
      <c r="K113" s="64" t="str">
        <f>+Puantaj!D117</f>
        <v>MERVE</v>
      </c>
      <c r="L113" s="64" t="str">
        <f>+Puantaj!E117</f>
        <v>POLAT</v>
      </c>
      <c r="M113" s="68">
        <f>+BORDRO!F117</f>
        <v>11</v>
      </c>
      <c r="N113" s="64"/>
      <c r="O113" s="79">
        <f>+BORDRO!G117</f>
        <v>11913</v>
      </c>
      <c r="P113" s="79">
        <v>0</v>
      </c>
      <c r="Q113" s="122"/>
      <c r="R113" s="69"/>
      <c r="S113" s="70"/>
      <c r="T113" s="70"/>
      <c r="U113" s="71"/>
      <c r="V113" s="72">
        <f t="shared" si="1"/>
        <v>20</v>
      </c>
      <c r="W113" s="73">
        <v>6</v>
      </c>
      <c r="X113" s="81" t="s">
        <v>99</v>
      </c>
      <c r="Y113" s="65">
        <v>2</v>
      </c>
      <c r="Z113" s="64" t="s">
        <v>51</v>
      </c>
      <c r="AA113" s="74" t="s">
        <v>781</v>
      </c>
      <c r="AB113" s="64">
        <v>2025</v>
      </c>
      <c r="AC113" s="64" t="s">
        <v>106</v>
      </c>
      <c r="AD113" s="80">
        <f>+BORDRO!J117</f>
        <v>11913</v>
      </c>
      <c r="AE113" s="75"/>
      <c r="AF113" s="75">
        <f>+BORDRO!K117</f>
        <v>1786.95</v>
      </c>
      <c r="AG113" s="75">
        <f>+BORDRO!L117</f>
        <v>1786.95</v>
      </c>
      <c r="AH113" s="80">
        <f>+BORDRO!M117</f>
        <v>0</v>
      </c>
      <c r="AI113" s="75">
        <f>+BORDRO!O117</f>
        <v>90.419670000000011</v>
      </c>
      <c r="AJ113" s="76">
        <f>+BORDRO!P117</f>
        <v>0</v>
      </c>
    </row>
    <row r="114" spans="1:36" ht="13.8" x14ac:dyDescent="0.25">
      <c r="A114" s="64" t="s">
        <v>51</v>
      </c>
      <c r="B114" s="120">
        <v>46</v>
      </c>
      <c r="C114" s="64" t="s">
        <v>52</v>
      </c>
      <c r="D114" s="64" t="s">
        <v>53</v>
      </c>
      <c r="E114" s="64" t="s">
        <v>53</v>
      </c>
      <c r="F114" s="65">
        <v>1494768</v>
      </c>
      <c r="G114" s="66" t="s">
        <v>105</v>
      </c>
      <c r="H114" s="64" t="s">
        <v>54</v>
      </c>
      <c r="I114" s="78"/>
      <c r="J114" s="67" t="str">
        <f>+Puantaj!C118</f>
        <v>10571458124</v>
      </c>
      <c r="K114" s="64" t="str">
        <f>+Puantaj!D118</f>
        <v>MİNE</v>
      </c>
      <c r="L114" s="64" t="str">
        <f>+Puantaj!E118</f>
        <v>AYHAN</v>
      </c>
      <c r="M114" s="68">
        <f>+BORDRO!F118</f>
        <v>14</v>
      </c>
      <c r="N114" s="64"/>
      <c r="O114" s="79">
        <f>+BORDRO!G118</f>
        <v>15162</v>
      </c>
      <c r="P114" s="79">
        <v>0</v>
      </c>
      <c r="Q114" s="122"/>
      <c r="R114" s="69"/>
      <c r="S114" s="70"/>
      <c r="T114" s="70"/>
      <c r="U114" s="71"/>
      <c r="V114" s="72">
        <f t="shared" si="1"/>
        <v>17</v>
      </c>
      <c r="W114" s="73">
        <v>6</v>
      </c>
      <c r="X114" s="81" t="s">
        <v>99</v>
      </c>
      <c r="Y114" s="65">
        <v>2</v>
      </c>
      <c r="Z114" s="64" t="s">
        <v>51</v>
      </c>
      <c r="AA114" s="74" t="s">
        <v>781</v>
      </c>
      <c r="AB114" s="64">
        <v>2025</v>
      </c>
      <c r="AC114" s="64" t="s">
        <v>106</v>
      </c>
      <c r="AD114" s="80">
        <f>+BORDRO!J118</f>
        <v>15162</v>
      </c>
      <c r="AE114" s="75"/>
      <c r="AF114" s="75">
        <f>+BORDRO!K118</f>
        <v>2274.2999999999997</v>
      </c>
      <c r="AG114" s="75">
        <f>+BORDRO!L118</f>
        <v>2274.2999999999997</v>
      </c>
      <c r="AH114" s="80">
        <f>+BORDRO!M118</f>
        <v>0</v>
      </c>
      <c r="AI114" s="75">
        <f>+BORDRO!O118</f>
        <v>115.07958000000001</v>
      </c>
      <c r="AJ114" s="76">
        <f>+BORDRO!P118</f>
        <v>0</v>
      </c>
    </row>
    <row r="115" spans="1:36" ht="13.8" x14ac:dyDescent="0.25">
      <c r="A115" s="64" t="s">
        <v>51</v>
      </c>
      <c r="B115" s="119">
        <v>46</v>
      </c>
      <c r="C115" s="64" t="s">
        <v>52</v>
      </c>
      <c r="D115" s="64" t="s">
        <v>53</v>
      </c>
      <c r="E115" s="64" t="s">
        <v>53</v>
      </c>
      <c r="F115" s="65">
        <v>1494768</v>
      </c>
      <c r="G115" s="66" t="s">
        <v>105</v>
      </c>
      <c r="H115" s="64" t="s">
        <v>54</v>
      </c>
      <c r="I115" s="78"/>
      <c r="J115" s="67" t="str">
        <f>+Puantaj!C119</f>
        <v>34438180034</v>
      </c>
      <c r="K115" s="64" t="str">
        <f>+Puantaj!D119</f>
        <v>MİRAY</v>
      </c>
      <c r="L115" s="64" t="str">
        <f>+Puantaj!E119</f>
        <v>ÖZTÜRK</v>
      </c>
      <c r="M115" s="68">
        <f>+BORDRO!F119</f>
        <v>13</v>
      </c>
      <c r="N115" s="64"/>
      <c r="O115" s="79">
        <f>+BORDRO!G119</f>
        <v>14079</v>
      </c>
      <c r="P115" s="79">
        <v>0</v>
      </c>
      <c r="Q115" s="122"/>
      <c r="R115" s="69"/>
      <c r="S115" s="70"/>
      <c r="T115" s="70"/>
      <c r="U115" s="71"/>
      <c r="V115" s="72">
        <f t="shared" si="1"/>
        <v>18</v>
      </c>
      <c r="W115" s="73">
        <v>6</v>
      </c>
      <c r="X115" s="81" t="s">
        <v>99</v>
      </c>
      <c r="Y115" s="65">
        <v>2</v>
      </c>
      <c r="Z115" s="64" t="s">
        <v>51</v>
      </c>
      <c r="AA115" s="74" t="s">
        <v>781</v>
      </c>
      <c r="AB115" s="64">
        <v>2025</v>
      </c>
      <c r="AC115" s="64" t="s">
        <v>106</v>
      </c>
      <c r="AD115" s="80">
        <f>+BORDRO!J119</f>
        <v>14079</v>
      </c>
      <c r="AE115" s="75"/>
      <c r="AF115" s="75">
        <f>+BORDRO!K119</f>
        <v>2111.85</v>
      </c>
      <c r="AG115" s="75">
        <f>+BORDRO!L119</f>
        <v>2111.85</v>
      </c>
      <c r="AH115" s="80">
        <f>+BORDRO!M119</f>
        <v>0</v>
      </c>
      <c r="AI115" s="75">
        <f>+BORDRO!O119</f>
        <v>106.85961</v>
      </c>
      <c r="AJ115" s="76">
        <f>+BORDRO!P119</f>
        <v>0</v>
      </c>
    </row>
    <row r="116" spans="1:36" ht="13.8" x14ac:dyDescent="0.25">
      <c r="A116" s="64" t="s">
        <v>51</v>
      </c>
      <c r="B116" s="120">
        <v>46</v>
      </c>
      <c r="C116" s="64" t="s">
        <v>52</v>
      </c>
      <c r="D116" s="64" t="s">
        <v>53</v>
      </c>
      <c r="E116" s="64" t="s">
        <v>53</v>
      </c>
      <c r="F116" s="65">
        <v>1494768</v>
      </c>
      <c r="G116" s="66" t="s">
        <v>105</v>
      </c>
      <c r="H116" s="64" t="s">
        <v>54</v>
      </c>
      <c r="I116" s="78"/>
      <c r="J116" s="67" t="str">
        <f>+Puantaj!C120</f>
        <v>23368084802</v>
      </c>
      <c r="K116" s="64" t="str">
        <f>+Puantaj!D120</f>
        <v>MUHAMMED AHMET</v>
      </c>
      <c r="L116" s="64" t="str">
        <f>+Puantaj!E120</f>
        <v>ASLAN</v>
      </c>
      <c r="M116" s="68">
        <f>+BORDRO!F120</f>
        <v>12</v>
      </c>
      <c r="N116" s="64"/>
      <c r="O116" s="79">
        <f>+BORDRO!G120</f>
        <v>12996</v>
      </c>
      <c r="P116" s="79">
        <v>0</v>
      </c>
      <c r="Q116" s="122"/>
      <c r="R116" s="69"/>
      <c r="S116" s="70"/>
      <c r="T116" s="70"/>
      <c r="U116" s="71"/>
      <c r="V116" s="72">
        <f t="shared" si="1"/>
        <v>19</v>
      </c>
      <c r="W116" s="73">
        <v>6</v>
      </c>
      <c r="X116" s="81" t="s">
        <v>99</v>
      </c>
      <c r="Y116" s="65">
        <v>2</v>
      </c>
      <c r="Z116" s="64" t="s">
        <v>51</v>
      </c>
      <c r="AA116" s="74" t="s">
        <v>781</v>
      </c>
      <c r="AB116" s="64">
        <v>2025</v>
      </c>
      <c r="AC116" s="64" t="s">
        <v>106</v>
      </c>
      <c r="AD116" s="80">
        <f>+BORDRO!J120</f>
        <v>12996</v>
      </c>
      <c r="AE116" s="75"/>
      <c r="AF116" s="75">
        <f>+BORDRO!K120</f>
        <v>1949.3999999999999</v>
      </c>
      <c r="AG116" s="75">
        <f>+BORDRO!L120</f>
        <v>1949.3999999999999</v>
      </c>
      <c r="AH116" s="80">
        <f>+BORDRO!M120</f>
        <v>0</v>
      </c>
      <c r="AI116" s="75">
        <f>+BORDRO!O120</f>
        <v>98.63964</v>
      </c>
      <c r="AJ116" s="76">
        <f>+BORDRO!P120</f>
        <v>0</v>
      </c>
    </row>
    <row r="117" spans="1:36" ht="13.8" x14ac:dyDescent="0.25">
      <c r="A117" s="64" t="s">
        <v>51</v>
      </c>
      <c r="B117" s="119">
        <v>46</v>
      </c>
      <c r="C117" s="64" t="s">
        <v>52</v>
      </c>
      <c r="D117" s="64" t="s">
        <v>53</v>
      </c>
      <c r="E117" s="64" t="s">
        <v>53</v>
      </c>
      <c r="F117" s="65">
        <v>1494768</v>
      </c>
      <c r="G117" s="66" t="s">
        <v>105</v>
      </c>
      <c r="H117" s="64" t="s">
        <v>54</v>
      </c>
      <c r="I117" s="78"/>
      <c r="J117" s="67" t="str">
        <f>+Puantaj!C121</f>
        <v>10069201706</v>
      </c>
      <c r="K117" s="64" t="str">
        <f>+Puantaj!D121</f>
        <v>MUHAMMED BAKİ</v>
      </c>
      <c r="L117" s="64" t="str">
        <f>+Puantaj!E121</f>
        <v>ORAR</v>
      </c>
      <c r="M117" s="68">
        <f>+BORDRO!F121</f>
        <v>15</v>
      </c>
      <c r="N117" s="64"/>
      <c r="O117" s="79">
        <f>+BORDRO!G121</f>
        <v>16245</v>
      </c>
      <c r="P117" s="79">
        <v>0</v>
      </c>
      <c r="Q117" s="122"/>
      <c r="R117" s="69"/>
      <c r="S117" s="70"/>
      <c r="T117" s="70"/>
      <c r="U117" s="71"/>
      <c r="V117" s="72">
        <f t="shared" si="1"/>
        <v>16</v>
      </c>
      <c r="W117" s="73">
        <v>6</v>
      </c>
      <c r="X117" s="81" t="s">
        <v>99</v>
      </c>
      <c r="Y117" s="65">
        <v>2</v>
      </c>
      <c r="Z117" s="64" t="s">
        <v>51</v>
      </c>
      <c r="AA117" s="74" t="s">
        <v>781</v>
      </c>
      <c r="AB117" s="64">
        <v>2025</v>
      </c>
      <c r="AC117" s="64" t="s">
        <v>106</v>
      </c>
      <c r="AD117" s="80">
        <f>+BORDRO!J121</f>
        <v>16245</v>
      </c>
      <c r="AE117" s="75"/>
      <c r="AF117" s="75">
        <f>+BORDRO!K121</f>
        <v>2436.75</v>
      </c>
      <c r="AG117" s="75">
        <f>+BORDRO!L121</f>
        <v>2436.75</v>
      </c>
      <c r="AH117" s="80">
        <f>+BORDRO!M121</f>
        <v>0</v>
      </c>
      <c r="AI117" s="75">
        <f>+BORDRO!O121</f>
        <v>123.29955000000001</v>
      </c>
      <c r="AJ117" s="76">
        <f>+BORDRO!P121</f>
        <v>0</v>
      </c>
    </row>
    <row r="118" spans="1:36" ht="13.8" x14ac:dyDescent="0.25">
      <c r="A118" s="64" t="s">
        <v>51</v>
      </c>
      <c r="B118" s="120">
        <v>46</v>
      </c>
      <c r="C118" s="64" t="s">
        <v>52</v>
      </c>
      <c r="D118" s="64" t="s">
        <v>53</v>
      </c>
      <c r="E118" s="64" t="s">
        <v>53</v>
      </c>
      <c r="F118" s="65">
        <v>1494768</v>
      </c>
      <c r="G118" s="66" t="s">
        <v>105</v>
      </c>
      <c r="H118" s="64" t="s">
        <v>54</v>
      </c>
      <c r="I118" s="78"/>
      <c r="J118" s="67" t="str">
        <f>+Puantaj!C122</f>
        <v>10804913444</v>
      </c>
      <c r="K118" s="64" t="str">
        <f>+Puantaj!D122</f>
        <v>MUHAMMED İSMAİL</v>
      </c>
      <c r="L118" s="64" t="str">
        <f>+Puantaj!E122</f>
        <v>ERDOĞAN</v>
      </c>
      <c r="M118" s="68">
        <f>+BORDRO!F122</f>
        <v>13</v>
      </c>
      <c r="N118" s="64"/>
      <c r="O118" s="79">
        <f>+BORDRO!G122</f>
        <v>14079</v>
      </c>
      <c r="P118" s="79">
        <v>0</v>
      </c>
      <c r="Q118" s="122"/>
      <c r="R118" s="69"/>
      <c r="S118" s="70"/>
      <c r="T118" s="70"/>
      <c r="U118" s="71"/>
      <c r="V118" s="72">
        <f t="shared" si="1"/>
        <v>18</v>
      </c>
      <c r="W118" s="73">
        <v>6</v>
      </c>
      <c r="X118" s="81" t="s">
        <v>99</v>
      </c>
      <c r="Y118" s="65">
        <v>2</v>
      </c>
      <c r="Z118" s="64" t="s">
        <v>51</v>
      </c>
      <c r="AA118" s="74" t="s">
        <v>781</v>
      </c>
      <c r="AB118" s="64">
        <v>2025</v>
      </c>
      <c r="AC118" s="64" t="s">
        <v>106</v>
      </c>
      <c r="AD118" s="80">
        <f>+BORDRO!J122</f>
        <v>14079</v>
      </c>
      <c r="AE118" s="75"/>
      <c r="AF118" s="75">
        <f>+BORDRO!K122</f>
        <v>2111.85</v>
      </c>
      <c r="AG118" s="75">
        <f>+BORDRO!L122</f>
        <v>2111.85</v>
      </c>
      <c r="AH118" s="80">
        <f>+BORDRO!M122</f>
        <v>0</v>
      </c>
      <c r="AI118" s="75">
        <f>+BORDRO!O122</f>
        <v>106.85961</v>
      </c>
      <c r="AJ118" s="76">
        <f>+BORDRO!P122</f>
        <v>0</v>
      </c>
    </row>
    <row r="119" spans="1:36" ht="13.8" x14ac:dyDescent="0.25">
      <c r="A119" s="64" t="s">
        <v>51</v>
      </c>
      <c r="B119" s="119">
        <v>46</v>
      </c>
      <c r="C119" s="64" t="s">
        <v>52</v>
      </c>
      <c r="D119" s="64" t="s">
        <v>53</v>
      </c>
      <c r="E119" s="64" t="s">
        <v>53</v>
      </c>
      <c r="F119" s="65">
        <v>1494768</v>
      </c>
      <c r="G119" s="66" t="s">
        <v>105</v>
      </c>
      <c r="H119" s="64" t="s">
        <v>54</v>
      </c>
      <c r="I119" s="78"/>
      <c r="J119" s="67" t="str">
        <f>+Puantaj!C123</f>
        <v>13763788092</v>
      </c>
      <c r="K119" s="64" t="str">
        <f>+Puantaj!D123</f>
        <v>MUHAMMED YASİN</v>
      </c>
      <c r="L119" s="64" t="str">
        <f>+Puantaj!E123</f>
        <v>YILMAZ</v>
      </c>
      <c r="M119" s="68">
        <f>+BORDRO!F123</f>
        <v>7</v>
      </c>
      <c r="N119" s="64"/>
      <c r="O119" s="79">
        <f>+BORDRO!G123</f>
        <v>7581</v>
      </c>
      <c r="P119" s="79">
        <v>0</v>
      </c>
      <c r="Q119" s="122"/>
      <c r="R119" s="69"/>
      <c r="S119" s="70"/>
      <c r="T119" s="70"/>
      <c r="U119" s="71"/>
      <c r="V119" s="72">
        <f t="shared" si="1"/>
        <v>24</v>
      </c>
      <c r="W119" s="73">
        <v>6</v>
      </c>
      <c r="X119" s="81" t="s">
        <v>99</v>
      </c>
      <c r="Y119" s="65">
        <v>2</v>
      </c>
      <c r="Z119" s="64" t="s">
        <v>51</v>
      </c>
      <c r="AA119" s="74" t="s">
        <v>781</v>
      </c>
      <c r="AB119" s="64">
        <v>2025</v>
      </c>
      <c r="AC119" s="64" t="s">
        <v>106</v>
      </c>
      <c r="AD119" s="80">
        <f>+BORDRO!J123</f>
        <v>7581</v>
      </c>
      <c r="AE119" s="75"/>
      <c r="AF119" s="75">
        <f>+BORDRO!K123</f>
        <v>1137.1499999999999</v>
      </c>
      <c r="AG119" s="75">
        <f>+BORDRO!L123</f>
        <v>1137.1499999999999</v>
      </c>
      <c r="AH119" s="80">
        <f>+BORDRO!M123</f>
        <v>0</v>
      </c>
      <c r="AI119" s="75">
        <f>+BORDRO!O123</f>
        <v>57.539790000000004</v>
      </c>
      <c r="AJ119" s="76">
        <f>+BORDRO!P123</f>
        <v>0</v>
      </c>
    </row>
    <row r="120" spans="1:36" ht="13.8" x14ac:dyDescent="0.25">
      <c r="A120" s="64" t="s">
        <v>51</v>
      </c>
      <c r="B120" s="120">
        <v>46</v>
      </c>
      <c r="C120" s="64" t="s">
        <v>52</v>
      </c>
      <c r="D120" s="64" t="s">
        <v>53</v>
      </c>
      <c r="E120" s="64" t="s">
        <v>53</v>
      </c>
      <c r="F120" s="65">
        <v>1494768</v>
      </c>
      <c r="G120" s="66" t="s">
        <v>105</v>
      </c>
      <c r="H120" s="64" t="s">
        <v>54</v>
      </c>
      <c r="I120" s="78"/>
      <c r="J120" s="67" t="str">
        <f>+Puantaj!C124</f>
        <v>10456830816</v>
      </c>
      <c r="K120" s="64" t="str">
        <f>+Puantaj!D124</f>
        <v>MUHAMMET ALİ</v>
      </c>
      <c r="L120" s="64" t="str">
        <f>+Puantaj!E124</f>
        <v>KARAMAN</v>
      </c>
      <c r="M120" s="68">
        <f>+BORDRO!F124</f>
        <v>14</v>
      </c>
      <c r="N120" s="64"/>
      <c r="O120" s="79">
        <f>+BORDRO!G124</f>
        <v>15162</v>
      </c>
      <c r="P120" s="79">
        <v>0</v>
      </c>
      <c r="Q120" s="122"/>
      <c r="R120" s="69"/>
      <c r="S120" s="70"/>
      <c r="T120" s="70"/>
      <c r="U120" s="71"/>
      <c r="V120" s="72">
        <f t="shared" si="1"/>
        <v>17</v>
      </c>
      <c r="W120" s="73">
        <v>6</v>
      </c>
      <c r="X120" s="81" t="s">
        <v>99</v>
      </c>
      <c r="Y120" s="65">
        <v>2</v>
      </c>
      <c r="Z120" s="64" t="s">
        <v>51</v>
      </c>
      <c r="AA120" s="74" t="s">
        <v>781</v>
      </c>
      <c r="AB120" s="64">
        <v>2025</v>
      </c>
      <c r="AC120" s="64" t="s">
        <v>106</v>
      </c>
      <c r="AD120" s="80">
        <f>+BORDRO!J124</f>
        <v>15162</v>
      </c>
      <c r="AE120" s="75"/>
      <c r="AF120" s="75">
        <f>+BORDRO!K124</f>
        <v>2274.2999999999997</v>
      </c>
      <c r="AG120" s="75">
        <f>+BORDRO!L124</f>
        <v>2274.2999999999997</v>
      </c>
      <c r="AH120" s="80">
        <f>+BORDRO!M124</f>
        <v>0</v>
      </c>
      <c r="AI120" s="75">
        <f>+BORDRO!O124</f>
        <v>115.07958000000001</v>
      </c>
      <c r="AJ120" s="76">
        <f>+BORDRO!P124</f>
        <v>0</v>
      </c>
    </row>
    <row r="121" spans="1:36" ht="13.8" x14ac:dyDescent="0.25">
      <c r="A121" s="64" t="s">
        <v>51</v>
      </c>
      <c r="B121" s="119">
        <v>46</v>
      </c>
      <c r="C121" s="64" t="s">
        <v>52</v>
      </c>
      <c r="D121" s="64" t="s">
        <v>53</v>
      </c>
      <c r="E121" s="64" t="s">
        <v>53</v>
      </c>
      <c r="F121" s="65">
        <v>1494768</v>
      </c>
      <c r="G121" s="66" t="s">
        <v>105</v>
      </c>
      <c r="H121" s="64" t="s">
        <v>54</v>
      </c>
      <c r="I121" s="78"/>
      <c r="J121" s="67" t="str">
        <f>+Puantaj!C125</f>
        <v>34918660636</v>
      </c>
      <c r="K121" s="64" t="str">
        <f>+Puantaj!D125</f>
        <v>MUHAMMET TAHA</v>
      </c>
      <c r="L121" s="64" t="str">
        <f>+Puantaj!E125</f>
        <v>ÖZAY</v>
      </c>
      <c r="M121" s="68">
        <f>+BORDRO!F125</f>
        <v>13</v>
      </c>
      <c r="N121" s="64"/>
      <c r="O121" s="79">
        <f>+BORDRO!G125</f>
        <v>14079</v>
      </c>
      <c r="P121" s="79">
        <v>0</v>
      </c>
      <c r="Q121" s="122"/>
      <c r="R121" s="69"/>
      <c r="S121" s="70"/>
      <c r="T121" s="70"/>
      <c r="U121" s="71"/>
      <c r="V121" s="72">
        <f t="shared" si="1"/>
        <v>18</v>
      </c>
      <c r="W121" s="73">
        <v>6</v>
      </c>
      <c r="X121" s="81" t="s">
        <v>99</v>
      </c>
      <c r="Y121" s="65">
        <v>2</v>
      </c>
      <c r="Z121" s="64" t="s">
        <v>51</v>
      </c>
      <c r="AA121" s="74" t="s">
        <v>781</v>
      </c>
      <c r="AB121" s="64">
        <v>2025</v>
      </c>
      <c r="AC121" s="64" t="s">
        <v>106</v>
      </c>
      <c r="AD121" s="80">
        <f>+BORDRO!J125</f>
        <v>14079</v>
      </c>
      <c r="AE121" s="75"/>
      <c r="AF121" s="75">
        <f>+BORDRO!K125</f>
        <v>2111.85</v>
      </c>
      <c r="AG121" s="75">
        <f>+BORDRO!L125</f>
        <v>2111.85</v>
      </c>
      <c r="AH121" s="80">
        <f>+BORDRO!M125</f>
        <v>0</v>
      </c>
      <c r="AI121" s="75">
        <f>+BORDRO!O125</f>
        <v>106.85961</v>
      </c>
      <c r="AJ121" s="76">
        <f>+BORDRO!P125</f>
        <v>0</v>
      </c>
    </row>
    <row r="122" spans="1:36" ht="13.8" x14ac:dyDescent="0.25">
      <c r="A122" s="64" t="s">
        <v>51</v>
      </c>
      <c r="B122" s="120">
        <v>46</v>
      </c>
      <c r="C122" s="64" t="s">
        <v>52</v>
      </c>
      <c r="D122" s="64" t="s">
        <v>53</v>
      </c>
      <c r="E122" s="64" t="s">
        <v>53</v>
      </c>
      <c r="F122" s="65">
        <v>1494768</v>
      </c>
      <c r="G122" s="66" t="s">
        <v>105</v>
      </c>
      <c r="H122" s="64" t="s">
        <v>54</v>
      </c>
      <c r="I122" s="78"/>
      <c r="J122" s="67" t="str">
        <f>+Puantaj!C126</f>
        <v>32752953624</v>
      </c>
      <c r="K122" s="64" t="str">
        <f>+Puantaj!D126</f>
        <v>MUHSİN</v>
      </c>
      <c r="L122" s="64" t="str">
        <f>+Puantaj!E126</f>
        <v>YILMAZ</v>
      </c>
      <c r="M122" s="68">
        <f>+BORDRO!F126</f>
        <v>13</v>
      </c>
      <c r="N122" s="64"/>
      <c r="O122" s="79">
        <f>+BORDRO!G126</f>
        <v>14079</v>
      </c>
      <c r="P122" s="79">
        <v>0</v>
      </c>
      <c r="Q122" s="122"/>
      <c r="R122" s="69"/>
      <c r="S122" s="70"/>
      <c r="T122" s="70"/>
      <c r="U122" s="71"/>
      <c r="V122" s="72">
        <f t="shared" si="1"/>
        <v>18</v>
      </c>
      <c r="W122" s="73">
        <v>6</v>
      </c>
      <c r="X122" s="81" t="s">
        <v>99</v>
      </c>
      <c r="Y122" s="65">
        <v>2</v>
      </c>
      <c r="Z122" s="64" t="s">
        <v>51</v>
      </c>
      <c r="AA122" s="74" t="s">
        <v>781</v>
      </c>
      <c r="AB122" s="64">
        <v>2025</v>
      </c>
      <c r="AC122" s="64" t="s">
        <v>106</v>
      </c>
      <c r="AD122" s="80">
        <f>+BORDRO!J126</f>
        <v>14079</v>
      </c>
      <c r="AE122" s="75"/>
      <c r="AF122" s="75">
        <f>+BORDRO!K126</f>
        <v>2111.85</v>
      </c>
      <c r="AG122" s="75">
        <f>+BORDRO!L126</f>
        <v>2111.85</v>
      </c>
      <c r="AH122" s="80">
        <f>+BORDRO!M126</f>
        <v>0</v>
      </c>
      <c r="AI122" s="75">
        <f>+BORDRO!O126</f>
        <v>106.85961</v>
      </c>
      <c r="AJ122" s="76">
        <f>+BORDRO!P126</f>
        <v>0</v>
      </c>
    </row>
    <row r="123" spans="1:36" ht="13.8" x14ac:dyDescent="0.25">
      <c r="A123" s="64" t="s">
        <v>51</v>
      </c>
      <c r="B123" s="119">
        <v>46</v>
      </c>
      <c r="C123" s="64" t="s">
        <v>52</v>
      </c>
      <c r="D123" s="64" t="s">
        <v>53</v>
      </c>
      <c r="E123" s="64" t="s">
        <v>53</v>
      </c>
      <c r="F123" s="65">
        <v>1494768</v>
      </c>
      <c r="G123" s="66" t="s">
        <v>105</v>
      </c>
      <c r="H123" s="64" t="s">
        <v>54</v>
      </c>
      <c r="I123" s="78"/>
      <c r="J123" s="67" t="str">
        <f>+Puantaj!C127</f>
        <v>19852021132</v>
      </c>
      <c r="K123" s="64" t="str">
        <f>+Puantaj!D127</f>
        <v>MURAT CAN</v>
      </c>
      <c r="L123" s="64" t="str">
        <f>+Puantaj!E127</f>
        <v>DEĞRİ</v>
      </c>
      <c r="M123" s="68">
        <f>+BORDRO!F127</f>
        <v>13</v>
      </c>
      <c r="N123" s="64"/>
      <c r="O123" s="79">
        <f>+BORDRO!G127</f>
        <v>14079</v>
      </c>
      <c r="P123" s="79">
        <v>0</v>
      </c>
      <c r="Q123" s="122"/>
      <c r="R123" s="69"/>
      <c r="S123" s="70"/>
      <c r="T123" s="70"/>
      <c r="U123" s="71"/>
      <c r="V123" s="72">
        <f t="shared" si="1"/>
        <v>18</v>
      </c>
      <c r="W123" s="73">
        <v>6</v>
      </c>
      <c r="X123" s="81" t="s">
        <v>99</v>
      </c>
      <c r="Y123" s="65">
        <v>2</v>
      </c>
      <c r="Z123" s="64" t="s">
        <v>51</v>
      </c>
      <c r="AA123" s="74" t="s">
        <v>781</v>
      </c>
      <c r="AB123" s="64">
        <v>2025</v>
      </c>
      <c r="AC123" s="64" t="s">
        <v>106</v>
      </c>
      <c r="AD123" s="80">
        <f>+BORDRO!J127</f>
        <v>14079</v>
      </c>
      <c r="AE123" s="75"/>
      <c r="AF123" s="75">
        <f>+BORDRO!K127</f>
        <v>2111.85</v>
      </c>
      <c r="AG123" s="75">
        <f>+BORDRO!L127</f>
        <v>2111.85</v>
      </c>
      <c r="AH123" s="80">
        <f>+BORDRO!M127</f>
        <v>0</v>
      </c>
      <c r="AI123" s="75">
        <f>+BORDRO!O127</f>
        <v>106.85961</v>
      </c>
      <c r="AJ123" s="76">
        <f>+BORDRO!P127</f>
        <v>0</v>
      </c>
    </row>
    <row r="124" spans="1:36" ht="13.8" x14ac:dyDescent="0.25">
      <c r="A124" s="64" t="s">
        <v>51</v>
      </c>
      <c r="B124" s="120">
        <v>46</v>
      </c>
      <c r="C124" s="64" t="s">
        <v>52</v>
      </c>
      <c r="D124" s="64" t="s">
        <v>53</v>
      </c>
      <c r="E124" s="64" t="s">
        <v>53</v>
      </c>
      <c r="F124" s="65">
        <v>1494768</v>
      </c>
      <c r="G124" s="66" t="s">
        <v>105</v>
      </c>
      <c r="H124" s="64" t="s">
        <v>54</v>
      </c>
      <c r="I124" s="78"/>
      <c r="J124" s="67" t="str">
        <f>+Puantaj!C128</f>
        <v>10498595988</v>
      </c>
      <c r="K124" s="64" t="str">
        <f>+Puantaj!D128</f>
        <v>MUSA</v>
      </c>
      <c r="L124" s="64" t="str">
        <f>+Puantaj!E128</f>
        <v>ÇEÇEN</v>
      </c>
      <c r="M124" s="68">
        <f>+BORDRO!F128</f>
        <v>14</v>
      </c>
      <c r="N124" s="64"/>
      <c r="O124" s="79">
        <f>+BORDRO!G128</f>
        <v>15162</v>
      </c>
      <c r="P124" s="79">
        <v>0</v>
      </c>
      <c r="Q124" s="122"/>
      <c r="R124" s="69"/>
      <c r="S124" s="70"/>
      <c r="T124" s="70"/>
      <c r="U124" s="71"/>
      <c r="V124" s="72">
        <f t="shared" si="1"/>
        <v>17</v>
      </c>
      <c r="W124" s="73">
        <v>6</v>
      </c>
      <c r="X124" s="81" t="s">
        <v>99</v>
      </c>
      <c r="Y124" s="65">
        <v>2</v>
      </c>
      <c r="Z124" s="64" t="s">
        <v>51</v>
      </c>
      <c r="AA124" s="74" t="s">
        <v>781</v>
      </c>
      <c r="AB124" s="64">
        <v>2025</v>
      </c>
      <c r="AC124" s="64" t="s">
        <v>106</v>
      </c>
      <c r="AD124" s="80">
        <f>+BORDRO!J128</f>
        <v>15162</v>
      </c>
      <c r="AE124" s="75"/>
      <c r="AF124" s="75">
        <f>+BORDRO!K128</f>
        <v>2274.2999999999997</v>
      </c>
      <c r="AG124" s="75">
        <f>+BORDRO!L128</f>
        <v>2274.2999999999997</v>
      </c>
      <c r="AH124" s="80">
        <f>+BORDRO!M128</f>
        <v>0</v>
      </c>
      <c r="AI124" s="75">
        <f>+BORDRO!O128</f>
        <v>115.07958000000001</v>
      </c>
      <c r="AJ124" s="76">
        <f>+BORDRO!P128</f>
        <v>0</v>
      </c>
    </row>
    <row r="125" spans="1:36" ht="13.8" x14ac:dyDescent="0.25">
      <c r="A125" s="64" t="s">
        <v>51</v>
      </c>
      <c r="B125" s="119">
        <v>46</v>
      </c>
      <c r="C125" s="64" t="s">
        <v>52</v>
      </c>
      <c r="D125" s="64" t="s">
        <v>53</v>
      </c>
      <c r="E125" s="64" t="s">
        <v>53</v>
      </c>
      <c r="F125" s="65">
        <v>1494768</v>
      </c>
      <c r="G125" s="66" t="s">
        <v>105</v>
      </c>
      <c r="H125" s="64" t="s">
        <v>54</v>
      </c>
      <c r="I125" s="78"/>
      <c r="J125" s="67" t="str">
        <f>+Puantaj!C129</f>
        <v>11015801254</v>
      </c>
      <c r="K125" s="64" t="str">
        <f>+Puantaj!D129</f>
        <v>MUSA</v>
      </c>
      <c r="L125" s="64" t="str">
        <f>+Puantaj!E129</f>
        <v>SÜRME</v>
      </c>
      <c r="M125" s="68">
        <f>+BORDRO!F129</f>
        <v>11</v>
      </c>
      <c r="N125" s="64"/>
      <c r="O125" s="79">
        <f>+BORDRO!G129</f>
        <v>11913</v>
      </c>
      <c r="P125" s="79">
        <v>0</v>
      </c>
      <c r="Q125" s="122"/>
      <c r="R125" s="69"/>
      <c r="S125" s="70"/>
      <c r="T125" s="70"/>
      <c r="U125" s="71"/>
      <c r="V125" s="72">
        <f t="shared" si="1"/>
        <v>20</v>
      </c>
      <c r="W125" s="73">
        <v>6</v>
      </c>
      <c r="X125" s="81" t="s">
        <v>99</v>
      </c>
      <c r="Y125" s="65">
        <v>2</v>
      </c>
      <c r="Z125" s="64" t="s">
        <v>51</v>
      </c>
      <c r="AA125" s="74" t="s">
        <v>781</v>
      </c>
      <c r="AB125" s="64">
        <v>2025</v>
      </c>
      <c r="AC125" s="64" t="s">
        <v>106</v>
      </c>
      <c r="AD125" s="80">
        <f>+BORDRO!J129</f>
        <v>11913</v>
      </c>
      <c r="AE125" s="75"/>
      <c r="AF125" s="75">
        <f>+BORDRO!K129</f>
        <v>1786.95</v>
      </c>
      <c r="AG125" s="75">
        <f>+BORDRO!L129</f>
        <v>1786.95</v>
      </c>
      <c r="AH125" s="80">
        <f>+BORDRO!M129</f>
        <v>0</v>
      </c>
      <c r="AI125" s="75">
        <f>+BORDRO!O129</f>
        <v>90.419670000000011</v>
      </c>
      <c r="AJ125" s="76">
        <f>+BORDRO!P129</f>
        <v>0</v>
      </c>
    </row>
    <row r="126" spans="1:36" ht="13.8" x14ac:dyDescent="0.25">
      <c r="A126" s="64" t="s">
        <v>51</v>
      </c>
      <c r="B126" s="120">
        <v>46</v>
      </c>
      <c r="C126" s="64" t="s">
        <v>52</v>
      </c>
      <c r="D126" s="64" t="s">
        <v>53</v>
      </c>
      <c r="E126" s="64" t="s">
        <v>53</v>
      </c>
      <c r="F126" s="65">
        <v>1494768</v>
      </c>
      <c r="G126" s="66" t="s">
        <v>105</v>
      </c>
      <c r="H126" s="64" t="s">
        <v>54</v>
      </c>
      <c r="I126" s="78"/>
      <c r="J126" s="67" t="str">
        <f>+Puantaj!C130</f>
        <v>43654206572</v>
      </c>
      <c r="K126" s="64" t="str">
        <f>+Puantaj!D130</f>
        <v>MUSTAFA ALİ</v>
      </c>
      <c r="L126" s="64" t="str">
        <f>+Puantaj!E130</f>
        <v>ARSLAN</v>
      </c>
      <c r="M126" s="68">
        <f>+BORDRO!F130</f>
        <v>9</v>
      </c>
      <c r="N126" s="64"/>
      <c r="O126" s="79">
        <f>+BORDRO!G130</f>
        <v>9747</v>
      </c>
      <c r="P126" s="79">
        <v>0</v>
      </c>
      <c r="Q126" s="122"/>
      <c r="R126" s="69"/>
      <c r="S126" s="70"/>
      <c r="T126" s="70"/>
      <c r="U126" s="71"/>
      <c r="V126" s="72">
        <f t="shared" si="1"/>
        <v>22</v>
      </c>
      <c r="W126" s="73">
        <v>6</v>
      </c>
      <c r="X126" s="81" t="s">
        <v>99</v>
      </c>
      <c r="Y126" s="65">
        <v>2</v>
      </c>
      <c r="Z126" s="64" t="s">
        <v>51</v>
      </c>
      <c r="AA126" s="74" t="s">
        <v>781</v>
      </c>
      <c r="AB126" s="64">
        <v>2025</v>
      </c>
      <c r="AC126" s="64" t="s">
        <v>106</v>
      </c>
      <c r="AD126" s="80">
        <f>+BORDRO!J130</f>
        <v>9747</v>
      </c>
      <c r="AE126" s="75"/>
      <c r="AF126" s="75">
        <f>+BORDRO!K130</f>
        <v>1462.05</v>
      </c>
      <c r="AG126" s="75">
        <f>+BORDRO!L130</f>
        <v>1462.05</v>
      </c>
      <c r="AH126" s="80">
        <f>+BORDRO!M130</f>
        <v>0</v>
      </c>
      <c r="AI126" s="75">
        <f>+BORDRO!O130</f>
        <v>73.979730000000004</v>
      </c>
      <c r="AJ126" s="76">
        <f>+BORDRO!P130</f>
        <v>0</v>
      </c>
    </row>
    <row r="127" spans="1:36" ht="13.8" x14ac:dyDescent="0.25">
      <c r="A127" s="64" t="s">
        <v>51</v>
      </c>
      <c r="B127" s="119">
        <v>46</v>
      </c>
      <c r="C127" s="64" t="s">
        <v>52</v>
      </c>
      <c r="D127" s="64" t="s">
        <v>53</v>
      </c>
      <c r="E127" s="64" t="s">
        <v>53</v>
      </c>
      <c r="F127" s="65">
        <v>1494768</v>
      </c>
      <c r="G127" s="66" t="s">
        <v>105</v>
      </c>
      <c r="H127" s="64" t="s">
        <v>54</v>
      </c>
      <c r="I127" s="78"/>
      <c r="J127" s="67" t="str">
        <f>+Puantaj!C131</f>
        <v>10451501322</v>
      </c>
      <c r="K127" s="64" t="str">
        <f>+Puantaj!D131</f>
        <v>MUSTAFA</v>
      </c>
      <c r="L127" s="64" t="str">
        <f>+Puantaj!E131</f>
        <v>GÖKTAŞ</v>
      </c>
      <c r="M127" s="68">
        <f>+BORDRO!F131</f>
        <v>14</v>
      </c>
      <c r="N127" s="64"/>
      <c r="O127" s="79">
        <f>+BORDRO!G131</f>
        <v>15162</v>
      </c>
      <c r="P127" s="79">
        <v>0</v>
      </c>
      <c r="Q127" s="122"/>
      <c r="R127" s="69"/>
      <c r="S127" s="70"/>
      <c r="T127" s="70"/>
      <c r="U127" s="71"/>
      <c r="V127" s="72">
        <f t="shared" si="1"/>
        <v>17</v>
      </c>
      <c r="W127" s="73">
        <v>6</v>
      </c>
      <c r="X127" s="81" t="s">
        <v>99</v>
      </c>
      <c r="Y127" s="65">
        <v>2</v>
      </c>
      <c r="Z127" s="64" t="s">
        <v>51</v>
      </c>
      <c r="AA127" s="74" t="s">
        <v>781</v>
      </c>
      <c r="AB127" s="64">
        <v>2025</v>
      </c>
      <c r="AC127" s="64" t="s">
        <v>106</v>
      </c>
      <c r="AD127" s="80">
        <f>+BORDRO!J131</f>
        <v>15162</v>
      </c>
      <c r="AE127" s="75"/>
      <c r="AF127" s="75">
        <f>+BORDRO!K131</f>
        <v>2274.2999999999997</v>
      </c>
      <c r="AG127" s="75">
        <f>+BORDRO!L131</f>
        <v>2274.2999999999997</v>
      </c>
      <c r="AH127" s="80">
        <f>+BORDRO!M131</f>
        <v>0</v>
      </c>
      <c r="AI127" s="75">
        <f>+BORDRO!O131</f>
        <v>115.07958000000001</v>
      </c>
      <c r="AJ127" s="76">
        <f>+BORDRO!P131</f>
        <v>0</v>
      </c>
    </row>
    <row r="128" spans="1:36" ht="13.8" x14ac:dyDescent="0.25">
      <c r="A128" s="64" t="s">
        <v>51</v>
      </c>
      <c r="B128" s="120">
        <v>46</v>
      </c>
      <c r="C128" s="64" t="s">
        <v>52</v>
      </c>
      <c r="D128" s="64" t="s">
        <v>53</v>
      </c>
      <c r="E128" s="64" t="s">
        <v>53</v>
      </c>
      <c r="F128" s="65">
        <v>1494768</v>
      </c>
      <c r="G128" s="66" t="s">
        <v>105</v>
      </c>
      <c r="H128" s="64" t="s">
        <v>54</v>
      </c>
      <c r="I128" s="78"/>
      <c r="J128" s="67" t="str">
        <f>+Puantaj!C132</f>
        <v>12511913564</v>
      </c>
      <c r="K128" s="64" t="str">
        <f>+Puantaj!D132</f>
        <v>MUSTAFA</v>
      </c>
      <c r="L128" s="64" t="str">
        <f>+Puantaj!E132</f>
        <v>ORHAN</v>
      </c>
      <c r="M128" s="68">
        <f>+BORDRO!F132</f>
        <v>12</v>
      </c>
      <c r="N128" s="64"/>
      <c r="O128" s="79">
        <f>+BORDRO!G132</f>
        <v>12996</v>
      </c>
      <c r="P128" s="79">
        <v>0</v>
      </c>
      <c r="Q128" s="122"/>
      <c r="R128" s="69"/>
      <c r="S128" s="70"/>
      <c r="T128" s="70"/>
      <c r="U128" s="71"/>
      <c r="V128" s="72">
        <f t="shared" si="1"/>
        <v>19</v>
      </c>
      <c r="W128" s="73">
        <v>6</v>
      </c>
      <c r="X128" s="81" t="s">
        <v>99</v>
      </c>
      <c r="Y128" s="65">
        <v>2</v>
      </c>
      <c r="Z128" s="64" t="s">
        <v>51</v>
      </c>
      <c r="AA128" s="74" t="s">
        <v>781</v>
      </c>
      <c r="AB128" s="64">
        <v>2025</v>
      </c>
      <c r="AC128" s="64" t="s">
        <v>106</v>
      </c>
      <c r="AD128" s="80">
        <f>+BORDRO!J132</f>
        <v>12996</v>
      </c>
      <c r="AE128" s="75"/>
      <c r="AF128" s="75">
        <f>+BORDRO!K132</f>
        <v>1949.3999999999999</v>
      </c>
      <c r="AG128" s="75">
        <f>+BORDRO!L132</f>
        <v>1949.3999999999999</v>
      </c>
      <c r="AH128" s="80">
        <f>+BORDRO!M132</f>
        <v>0</v>
      </c>
      <c r="AI128" s="75">
        <f>+BORDRO!O132</f>
        <v>98.63964</v>
      </c>
      <c r="AJ128" s="76">
        <f>+BORDRO!P132</f>
        <v>0</v>
      </c>
    </row>
    <row r="129" spans="1:36" ht="13.8" x14ac:dyDescent="0.25">
      <c r="A129" s="64" t="s">
        <v>51</v>
      </c>
      <c r="B129" s="119">
        <v>46</v>
      </c>
      <c r="C129" s="64" t="s">
        <v>52</v>
      </c>
      <c r="D129" s="64" t="s">
        <v>53</v>
      </c>
      <c r="E129" s="64" t="s">
        <v>53</v>
      </c>
      <c r="F129" s="65">
        <v>1494768</v>
      </c>
      <c r="G129" s="66" t="s">
        <v>105</v>
      </c>
      <c r="H129" s="64" t="s">
        <v>54</v>
      </c>
      <c r="I129" s="78"/>
      <c r="J129" s="67" t="str">
        <f>+Puantaj!C133</f>
        <v>14613052462</v>
      </c>
      <c r="K129" s="64" t="str">
        <f>+Puantaj!D133</f>
        <v>MUSTAFA YUSUF</v>
      </c>
      <c r="L129" s="64" t="str">
        <f>+Puantaj!E133</f>
        <v>HASIRCI</v>
      </c>
      <c r="M129" s="68">
        <f>+BORDRO!F133</f>
        <v>11</v>
      </c>
      <c r="N129" s="64"/>
      <c r="O129" s="79">
        <f>+BORDRO!G133</f>
        <v>11913</v>
      </c>
      <c r="P129" s="79">
        <v>0</v>
      </c>
      <c r="Q129" s="122"/>
      <c r="R129" s="69"/>
      <c r="S129" s="70"/>
      <c r="T129" s="70"/>
      <c r="U129" s="71"/>
      <c r="V129" s="72">
        <f t="shared" si="1"/>
        <v>20</v>
      </c>
      <c r="W129" s="73">
        <v>6</v>
      </c>
      <c r="X129" s="81" t="s">
        <v>99</v>
      </c>
      <c r="Y129" s="65">
        <v>2</v>
      </c>
      <c r="Z129" s="64" t="s">
        <v>51</v>
      </c>
      <c r="AA129" s="74" t="s">
        <v>781</v>
      </c>
      <c r="AB129" s="64">
        <v>2025</v>
      </c>
      <c r="AC129" s="64" t="s">
        <v>106</v>
      </c>
      <c r="AD129" s="80">
        <f>+BORDRO!J133</f>
        <v>11913</v>
      </c>
      <c r="AE129" s="75"/>
      <c r="AF129" s="75">
        <f>+BORDRO!K133</f>
        <v>1786.95</v>
      </c>
      <c r="AG129" s="75">
        <f>+BORDRO!L133</f>
        <v>1786.95</v>
      </c>
      <c r="AH129" s="80">
        <f>+BORDRO!M133</f>
        <v>0</v>
      </c>
      <c r="AI129" s="75">
        <f>+BORDRO!O133</f>
        <v>90.419670000000011</v>
      </c>
      <c r="AJ129" s="76">
        <f>+BORDRO!P133</f>
        <v>0</v>
      </c>
    </row>
    <row r="130" spans="1:36" ht="13.8" x14ac:dyDescent="0.25">
      <c r="A130" s="64" t="s">
        <v>51</v>
      </c>
      <c r="B130" s="120">
        <v>46</v>
      </c>
      <c r="C130" s="64" t="s">
        <v>52</v>
      </c>
      <c r="D130" s="64" t="s">
        <v>53</v>
      </c>
      <c r="E130" s="64" t="s">
        <v>53</v>
      </c>
      <c r="F130" s="65">
        <v>1494768</v>
      </c>
      <c r="G130" s="66" t="s">
        <v>105</v>
      </c>
      <c r="H130" s="64" t="s">
        <v>54</v>
      </c>
      <c r="I130" s="78"/>
      <c r="J130" s="67" t="str">
        <f>+Puantaj!C134</f>
        <v>20317547234</v>
      </c>
      <c r="K130" s="64" t="str">
        <f>+Puantaj!D134</f>
        <v>MÜSLÜM</v>
      </c>
      <c r="L130" s="64" t="str">
        <f>+Puantaj!E134</f>
        <v>GÖNDER</v>
      </c>
      <c r="M130" s="68">
        <f>+BORDRO!F134</f>
        <v>12</v>
      </c>
      <c r="N130" s="64"/>
      <c r="O130" s="79">
        <f>+BORDRO!G134</f>
        <v>12996</v>
      </c>
      <c r="P130" s="79">
        <v>0</v>
      </c>
      <c r="Q130" s="122"/>
      <c r="R130" s="69"/>
      <c r="S130" s="70"/>
      <c r="T130" s="70"/>
      <c r="U130" s="71"/>
      <c r="V130" s="72">
        <f t="shared" si="1"/>
        <v>19</v>
      </c>
      <c r="W130" s="73">
        <v>6</v>
      </c>
      <c r="X130" s="81" t="s">
        <v>99</v>
      </c>
      <c r="Y130" s="65">
        <v>2</v>
      </c>
      <c r="Z130" s="64" t="s">
        <v>51</v>
      </c>
      <c r="AA130" s="74" t="s">
        <v>781</v>
      </c>
      <c r="AB130" s="64">
        <v>2025</v>
      </c>
      <c r="AC130" s="64" t="s">
        <v>106</v>
      </c>
      <c r="AD130" s="80">
        <f>+BORDRO!J134</f>
        <v>12996</v>
      </c>
      <c r="AE130" s="75"/>
      <c r="AF130" s="75">
        <f>+BORDRO!K134</f>
        <v>1949.3999999999999</v>
      </c>
      <c r="AG130" s="75">
        <f>+BORDRO!L134</f>
        <v>1949.3999999999999</v>
      </c>
      <c r="AH130" s="80">
        <f>+BORDRO!M134</f>
        <v>0</v>
      </c>
      <c r="AI130" s="75">
        <f>+BORDRO!O134</f>
        <v>98.63964</v>
      </c>
      <c r="AJ130" s="76">
        <f>+BORDRO!P134</f>
        <v>0</v>
      </c>
    </row>
    <row r="131" spans="1:36" ht="13.8" x14ac:dyDescent="0.25">
      <c r="A131" s="64" t="s">
        <v>51</v>
      </c>
      <c r="B131" s="119">
        <v>46</v>
      </c>
      <c r="C131" s="64" t="s">
        <v>52</v>
      </c>
      <c r="D131" s="64" t="s">
        <v>53</v>
      </c>
      <c r="E131" s="64" t="s">
        <v>53</v>
      </c>
      <c r="F131" s="65">
        <v>1494768</v>
      </c>
      <c r="G131" s="66" t="s">
        <v>105</v>
      </c>
      <c r="H131" s="64" t="s">
        <v>54</v>
      </c>
      <c r="I131" s="78"/>
      <c r="J131" s="67" t="str">
        <f>+Puantaj!C135</f>
        <v>10256534488</v>
      </c>
      <c r="K131" s="64" t="str">
        <f>+Puantaj!D135</f>
        <v>NATİA SELVİ</v>
      </c>
      <c r="L131" s="64" t="str">
        <f>+Puantaj!E135</f>
        <v>GÖG</v>
      </c>
      <c r="M131" s="68">
        <f>+BORDRO!F135</f>
        <v>11</v>
      </c>
      <c r="N131" s="64"/>
      <c r="O131" s="79">
        <f>+BORDRO!G135</f>
        <v>11913</v>
      </c>
      <c r="P131" s="79">
        <v>0</v>
      </c>
      <c r="Q131" s="122"/>
      <c r="R131" s="69"/>
      <c r="S131" s="70"/>
      <c r="T131" s="70"/>
      <c r="U131" s="71"/>
      <c r="V131" s="72">
        <f t="shared" ref="V131:V194" si="2">31-M131-Q131</f>
        <v>20</v>
      </c>
      <c r="W131" s="73">
        <v>6</v>
      </c>
      <c r="X131" s="81" t="s">
        <v>99</v>
      </c>
      <c r="Y131" s="65">
        <v>2</v>
      </c>
      <c r="Z131" s="64" t="s">
        <v>51</v>
      </c>
      <c r="AA131" s="74" t="s">
        <v>781</v>
      </c>
      <c r="AB131" s="64">
        <v>2025</v>
      </c>
      <c r="AC131" s="64" t="s">
        <v>106</v>
      </c>
      <c r="AD131" s="80">
        <f>+BORDRO!J135</f>
        <v>11913</v>
      </c>
      <c r="AE131" s="75"/>
      <c r="AF131" s="75">
        <f>+BORDRO!K135</f>
        <v>1786.95</v>
      </c>
      <c r="AG131" s="75">
        <f>+BORDRO!L135</f>
        <v>1786.95</v>
      </c>
      <c r="AH131" s="80">
        <f>+BORDRO!M135</f>
        <v>0</v>
      </c>
      <c r="AI131" s="75">
        <f>+BORDRO!O135</f>
        <v>90.419670000000011</v>
      </c>
      <c r="AJ131" s="76">
        <f>+BORDRO!P135</f>
        <v>0</v>
      </c>
    </row>
    <row r="132" spans="1:36" ht="13.8" x14ac:dyDescent="0.25">
      <c r="A132" s="64" t="s">
        <v>51</v>
      </c>
      <c r="B132" s="120">
        <v>46</v>
      </c>
      <c r="C132" s="64" t="s">
        <v>52</v>
      </c>
      <c r="D132" s="64" t="s">
        <v>53</v>
      </c>
      <c r="E132" s="64" t="s">
        <v>53</v>
      </c>
      <c r="F132" s="65">
        <v>1494768</v>
      </c>
      <c r="G132" s="66" t="s">
        <v>105</v>
      </c>
      <c r="H132" s="64" t="s">
        <v>54</v>
      </c>
      <c r="I132" s="78"/>
      <c r="J132" s="67" t="str">
        <f>+Puantaj!C136</f>
        <v>10135362348</v>
      </c>
      <c r="K132" s="64" t="str">
        <f>+Puantaj!D136</f>
        <v>NAZIM</v>
      </c>
      <c r="L132" s="64" t="str">
        <f>+Puantaj!E136</f>
        <v>SEYDEL</v>
      </c>
      <c r="M132" s="68">
        <f>+BORDRO!F136</f>
        <v>9</v>
      </c>
      <c r="N132" s="64"/>
      <c r="O132" s="79">
        <f>+BORDRO!G136</f>
        <v>9747</v>
      </c>
      <c r="P132" s="79">
        <v>0</v>
      </c>
      <c r="Q132" s="122"/>
      <c r="R132" s="69"/>
      <c r="S132" s="70"/>
      <c r="T132" s="70"/>
      <c r="U132" s="71"/>
      <c r="V132" s="72">
        <f t="shared" si="2"/>
        <v>22</v>
      </c>
      <c r="W132" s="73">
        <v>6</v>
      </c>
      <c r="X132" s="81" t="s">
        <v>99</v>
      </c>
      <c r="Y132" s="65">
        <v>2</v>
      </c>
      <c r="Z132" s="64" t="s">
        <v>51</v>
      </c>
      <c r="AA132" s="74" t="s">
        <v>781</v>
      </c>
      <c r="AB132" s="64">
        <v>2025</v>
      </c>
      <c r="AC132" s="64" t="s">
        <v>106</v>
      </c>
      <c r="AD132" s="80">
        <f>+BORDRO!J136</f>
        <v>9747</v>
      </c>
      <c r="AE132" s="75"/>
      <c r="AF132" s="75">
        <f>+BORDRO!K136</f>
        <v>1462.05</v>
      </c>
      <c r="AG132" s="75">
        <f>+BORDRO!L136</f>
        <v>1462.05</v>
      </c>
      <c r="AH132" s="80">
        <f>+BORDRO!M136</f>
        <v>0</v>
      </c>
      <c r="AI132" s="75">
        <f>+BORDRO!O136</f>
        <v>73.979730000000004</v>
      </c>
      <c r="AJ132" s="76">
        <f>+BORDRO!P136</f>
        <v>0</v>
      </c>
    </row>
    <row r="133" spans="1:36" ht="13.8" x14ac:dyDescent="0.25">
      <c r="A133" s="64" t="s">
        <v>51</v>
      </c>
      <c r="B133" s="119">
        <v>46</v>
      </c>
      <c r="C133" s="64" t="s">
        <v>52</v>
      </c>
      <c r="D133" s="64" t="s">
        <v>53</v>
      </c>
      <c r="E133" s="64" t="s">
        <v>53</v>
      </c>
      <c r="F133" s="65">
        <v>1494768</v>
      </c>
      <c r="G133" s="66" t="s">
        <v>105</v>
      </c>
      <c r="H133" s="64" t="s">
        <v>54</v>
      </c>
      <c r="I133" s="78"/>
      <c r="J133" s="67" t="str">
        <f>+Puantaj!C137</f>
        <v>10039820036</v>
      </c>
      <c r="K133" s="64" t="str">
        <f>+Puantaj!D137</f>
        <v>NERGİS</v>
      </c>
      <c r="L133" s="64" t="str">
        <f>+Puantaj!E137</f>
        <v>ÖZTÜRK</v>
      </c>
      <c r="M133" s="68">
        <f>+BORDRO!F137</f>
        <v>13</v>
      </c>
      <c r="N133" s="64"/>
      <c r="O133" s="79">
        <f>+BORDRO!G137</f>
        <v>14079</v>
      </c>
      <c r="P133" s="79">
        <v>0</v>
      </c>
      <c r="Q133" s="122"/>
      <c r="R133" s="69"/>
      <c r="S133" s="70"/>
      <c r="T133" s="70"/>
      <c r="U133" s="71"/>
      <c r="V133" s="72">
        <f t="shared" si="2"/>
        <v>18</v>
      </c>
      <c r="W133" s="73">
        <v>6</v>
      </c>
      <c r="X133" s="81" t="s">
        <v>99</v>
      </c>
      <c r="Y133" s="65">
        <v>2</v>
      </c>
      <c r="Z133" s="64" t="s">
        <v>51</v>
      </c>
      <c r="AA133" s="74" t="s">
        <v>781</v>
      </c>
      <c r="AB133" s="64">
        <v>2025</v>
      </c>
      <c r="AC133" s="64" t="s">
        <v>106</v>
      </c>
      <c r="AD133" s="80">
        <f>+BORDRO!J137</f>
        <v>14079</v>
      </c>
      <c r="AE133" s="75"/>
      <c r="AF133" s="75">
        <f>+BORDRO!K137</f>
        <v>2111.85</v>
      </c>
      <c r="AG133" s="75">
        <f>+BORDRO!L137</f>
        <v>2111.85</v>
      </c>
      <c r="AH133" s="80">
        <f>+BORDRO!M137</f>
        <v>0</v>
      </c>
      <c r="AI133" s="75">
        <f>+BORDRO!O137</f>
        <v>106.85961</v>
      </c>
      <c r="AJ133" s="76">
        <f>+BORDRO!P137</f>
        <v>0</v>
      </c>
    </row>
    <row r="134" spans="1:36" ht="13.8" x14ac:dyDescent="0.25">
      <c r="A134" s="64" t="s">
        <v>51</v>
      </c>
      <c r="B134" s="120">
        <v>46</v>
      </c>
      <c r="C134" s="64" t="s">
        <v>52</v>
      </c>
      <c r="D134" s="64" t="s">
        <v>53</v>
      </c>
      <c r="E134" s="64" t="s">
        <v>53</v>
      </c>
      <c r="F134" s="65">
        <v>1494768</v>
      </c>
      <c r="G134" s="66" t="s">
        <v>105</v>
      </c>
      <c r="H134" s="64" t="s">
        <v>54</v>
      </c>
      <c r="I134" s="78"/>
      <c r="J134" s="67" t="str">
        <f>+Puantaj!C138</f>
        <v>43234882790</v>
      </c>
      <c r="K134" s="64" t="str">
        <f>+Puantaj!D138</f>
        <v>NESİBE</v>
      </c>
      <c r="L134" s="64" t="str">
        <f>+Puantaj!E138</f>
        <v>KARAGÖZ</v>
      </c>
      <c r="M134" s="68">
        <f>+BORDRO!F138</f>
        <v>11</v>
      </c>
      <c r="N134" s="64"/>
      <c r="O134" s="79">
        <f>+BORDRO!G138</f>
        <v>11913</v>
      </c>
      <c r="P134" s="79">
        <v>0</v>
      </c>
      <c r="Q134" s="122"/>
      <c r="R134" s="69"/>
      <c r="S134" s="70"/>
      <c r="T134" s="70"/>
      <c r="U134" s="71"/>
      <c r="V134" s="72">
        <f t="shared" si="2"/>
        <v>20</v>
      </c>
      <c r="W134" s="73">
        <v>6</v>
      </c>
      <c r="X134" s="81" t="s">
        <v>99</v>
      </c>
      <c r="Y134" s="65">
        <v>2</v>
      </c>
      <c r="Z134" s="64" t="s">
        <v>51</v>
      </c>
      <c r="AA134" s="74" t="s">
        <v>781</v>
      </c>
      <c r="AB134" s="64">
        <v>2025</v>
      </c>
      <c r="AC134" s="64" t="s">
        <v>106</v>
      </c>
      <c r="AD134" s="80">
        <f>+BORDRO!J138</f>
        <v>11913</v>
      </c>
      <c r="AE134" s="75"/>
      <c r="AF134" s="75">
        <f>+BORDRO!K138</f>
        <v>1786.95</v>
      </c>
      <c r="AG134" s="75">
        <f>+BORDRO!L138</f>
        <v>1786.95</v>
      </c>
      <c r="AH134" s="80">
        <f>+BORDRO!M138</f>
        <v>0</v>
      </c>
      <c r="AI134" s="75">
        <f>+BORDRO!O138</f>
        <v>90.419670000000011</v>
      </c>
      <c r="AJ134" s="76">
        <f>+BORDRO!P138</f>
        <v>0</v>
      </c>
    </row>
    <row r="135" spans="1:36" ht="13.8" x14ac:dyDescent="0.25">
      <c r="A135" s="64" t="s">
        <v>51</v>
      </c>
      <c r="B135" s="119">
        <v>46</v>
      </c>
      <c r="C135" s="64" t="s">
        <v>52</v>
      </c>
      <c r="D135" s="64" t="s">
        <v>53</v>
      </c>
      <c r="E135" s="64" t="s">
        <v>53</v>
      </c>
      <c r="F135" s="65">
        <v>1494768</v>
      </c>
      <c r="G135" s="66" t="s">
        <v>105</v>
      </c>
      <c r="H135" s="64" t="s">
        <v>54</v>
      </c>
      <c r="I135" s="78"/>
      <c r="J135" s="67" t="str">
        <f>+Puantaj!C139</f>
        <v>25301005400</v>
      </c>
      <c r="K135" s="64" t="str">
        <f>+Puantaj!D139</f>
        <v>NESİBE</v>
      </c>
      <c r="L135" s="64" t="str">
        <f>+Puantaj!E139</f>
        <v>SUNA</v>
      </c>
      <c r="M135" s="68">
        <f>+BORDRO!F139</f>
        <v>14</v>
      </c>
      <c r="N135" s="64"/>
      <c r="O135" s="79">
        <f>+BORDRO!G139</f>
        <v>15162</v>
      </c>
      <c r="P135" s="79">
        <v>0</v>
      </c>
      <c r="Q135" s="122"/>
      <c r="R135" s="69"/>
      <c r="S135" s="70"/>
      <c r="T135" s="70"/>
      <c r="U135" s="71"/>
      <c r="V135" s="72">
        <f t="shared" si="2"/>
        <v>17</v>
      </c>
      <c r="W135" s="73">
        <v>6</v>
      </c>
      <c r="X135" s="81" t="s">
        <v>99</v>
      </c>
      <c r="Y135" s="65">
        <v>2</v>
      </c>
      <c r="Z135" s="64" t="s">
        <v>51</v>
      </c>
      <c r="AA135" s="74" t="s">
        <v>781</v>
      </c>
      <c r="AB135" s="64">
        <v>2025</v>
      </c>
      <c r="AC135" s="64" t="s">
        <v>106</v>
      </c>
      <c r="AD135" s="80">
        <f>+BORDRO!J139</f>
        <v>15162</v>
      </c>
      <c r="AE135" s="75"/>
      <c r="AF135" s="75">
        <f>+BORDRO!K139</f>
        <v>2274.2999999999997</v>
      </c>
      <c r="AG135" s="75">
        <f>+BORDRO!L139</f>
        <v>2274.2999999999997</v>
      </c>
      <c r="AH135" s="80">
        <f>+BORDRO!M139</f>
        <v>0</v>
      </c>
      <c r="AI135" s="75">
        <f>+BORDRO!O139</f>
        <v>115.07958000000001</v>
      </c>
      <c r="AJ135" s="76">
        <f>+BORDRO!P139</f>
        <v>0</v>
      </c>
    </row>
    <row r="136" spans="1:36" ht="13.8" x14ac:dyDescent="0.25">
      <c r="A136" s="64" t="s">
        <v>51</v>
      </c>
      <c r="B136" s="120">
        <v>46</v>
      </c>
      <c r="C136" s="64" t="s">
        <v>52</v>
      </c>
      <c r="D136" s="64" t="s">
        <v>53</v>
      </c>
      <c r="E136" s="64" t="s">
        <v>53</v>
      </c>
      <c r="F136" s="65">
        <v>1494768</v>
      </c>
      <c r="G136" s="66" t="s">
        <v>105</v>
      </c>
      <c r="H136" s="64" t="s">
        <v>54</v>
      </c>
      <c r="I136" s="78"/>
      <c r="J136" s="67" t="str">
        <f>+Puantaj!C140</f>
        <v>10334932038</v>
      </c>
      <c r="K136" s="64" t="str">
        <f>+Puantaj!D140</f>
        <v>NİSA</v>
      </c>
      <c r="L136" s="64" t="str">
        <f>+Puantaj!E140</f>
        <v>ŞAHİN</v>
      </c>
      <c r="M136" s="68">
        <f>+BORDRO!F140</f>
        <v>12</v>
      </c>
      <c r="N136" s="64"/>
      <c r="O136" s="79">
        <f>+BORDRO!G140</f>
        <v>12996</v>
      </c>
      <c r="P136" s="79">
        <v>0</v>
      </c>
      <c r="Q136" s="122"/>
      <c r="R136" s="69"/>
      <c r="S136" s="70"/>
      <c r="T136" s="70"/>
      <c r="U136" s="71"/>
      <c r="V136" s="72">
        <f t="shared" si="2"/>
        <v>19</v>
      </c>
      <c r="W136" s="73">
        <v>6</v>
      </c>
      <c r="X136" s="81" t="s">
        <v>99</v>
      </c>
      <c r="Y136" s="65">
        <v>2</v>
      </c>
      <c r="Z136" s="64" t="s">
        <v>51</v>
      </c>
      <c r="AA136" s="74" t="s">
        <v>781</v>
      </c>
      <c r="AB136" s="64">
        <v>2025</v>
      </c>
      <c r="AC136" s="64" t="s">
        <v>106</v>
      </c>
      <c r="AD136" s="80">
        <f>+BORDRO!J140</f>
        <v>12996</v>
      </c>
      <c r="AE136" s="75"/>
      <c r="AF136" s="75">
        <f>+BORDRO!K140</f>
        <v>1949.3999999999999</v>
      </c>
      <c r="AG136" s="75">
        <f>+BORDRO!L140</f>
        <v>1949.3999999999999</v>
      </c>
      <c r="AH136" s="80">
        <f>+BORDRO!M140</f>
        <v>0</v>
      </c>
      <c r="AI136" s="75">
        <f>+BORDRO!O140</f>
        <v>98.63964</v>
      </c>
      <c r="AJ136" s="76">
        <f>+BORDRO!P140</f>
        <v>0</v>
      </c>
    </row>
    <row r="137" spans="1:36" ht="13.8" x14ac:dyDescent="0.25">
      <c r="A137" s="64" t="s">
        <v>51</v>
      </c>
      <c r="B137" s="119">
        <v>46</v>
      </c>
      <c r="C137" s="64" t="s">
        <v>52</v>
      </c>
      <c r="D137" s="64" t="s">
        <v>53</v>
      </c>
      <c r="E137" s="64" t="s">
        <v>53</v>
      </c>
      <c r="F137" s="65">
        <v>1494768</v>
      </c>
      <c r="G137" s="66" t="s">
        <v>105</v>
      </c>
      <c r="H137" s="64" t="s">
        <v>54</v>
      </c>
      <c r="I137" s="78"/>
      <c r="J137" s="67" t="str">
        <f>+Puantaj!C141</f>
        <v>18557277776</v>
      </c>
      <c r="K137" s="64" t="str">
        <f>+Puantaj!D141</f>
        <v>NİSANUR</v>
      </c>
      <c r="L137" s="64" t="str">
        <f>+Puantaj!E141</f>
        <v>BİLGİN</v>
      </c>
      <c r="M137" s="68">
        <f>+BORDRO!F141</f>
        <v>13</v>
      </c>
      <c r="N137" s="64"/>
      <c r="O137" s="79">
        <f>+BORDRO!G141</f>
        <v>14079</v>
      </c>
      <c r="P137" s="79">
        <v>0</v>
      </c>
      <c r="Q137" s="122"/>
      <c r="R137" s="69"/>
      <c r="S137" s="70"/>
      <c r="T137" s="70"/>
      <c r="U137" s="71"/>
      <c r="V137" s="72">
        <f t="shared" si="2"/>
        <v>18</v>
      </c>
      <c r="W137" s="73">
        <v>6</v>
      </c>
      <c r="X137" s="81" t="s">
        <v>99</v>
      </c>
      <c r="Y137" s="65">
        <v>2</v>
      </c>
      <c r="Z137" s="64" t="s">
        <v>51</v>
      </c>
      <c r="AA137" s="74" t="s">
        <v>781</v>
      </c>
      <c r="AB137" s="64">
        <v>2025</v>
      </c>
      <c r="AC137" s="64" t="s">
        <v>106</v>
      </c>
      <c r="AD137" s="80">
        <f>+BORDRO!J141</f>
        <v>14079</v>
      </c>
      <c r="AE137" s="75"/>
      <c r="AF137" s="75">
        <f>+BORDRO!K141</f>
        <v>2111.85</v>
      </c>
      <c r="AG137" s="75">
        <f>+BORDRO!L141</f>
        <v>2111.85</v>
      </c>
      <c r="AH137" s="80">
        <f>+BORDRO!M141</f>
        <v>0</v>
      </c>
      <c r="AI137" s="75">
        <f>+BORDRO!O141</f>
        <v>106.85961</v>
      </c>
      <c r="AJ137" s="76">
        <f>+BORDRO!P141</f>
        <v>0</v>
      </c>
    </row>
    <row r="138" spans="1:36" ht="13.8" x14ac:dyDescent="0.25">
      <c r="A138" s="64" t="s">
        <v>51</v>
      </c>
      <c r="B138" s="120">
        <v>46</v>
      </c>
      <c r="C138" s="64" t="s">
        <v>52</v>
      </c>
      <c r="D138" s="64" t="s">
        <v>53</v>
      </c>
      <c r="E138" s="64" t="s">
        <v>53</v>
      </c>
      <c r="F138" s="65">
        <v>1494768</v>
      </c>
      <c r="G138" s="66" t="s">
        <v>105</v>
      </c>
      <c r="H138" s="64" t="s">
        <v>54</v>
      </c>
      <c r="I138" s="78"/>
      <c r="J138" s="67" t="str">
        <f>+Puantaj!C142</f>
        <v>10756439870</v>
      </c>
      <c r="K138" s="64" t="str">
        <f>+Puantaj!D142</f>
        <v>NİSANUR</v>
      </c>
      <c r="L138" s="64" t="str">
        <f>+Puantaj!E142</f>
        <v>PAYAS</v>
      </c>
      <c r="M138" s="68">
        <f>+BORDRO!F142</f>
        <v>13</v>
      </c>
      <c r="N138" s="64"/>
      <c r="O138" s="79">
        <f>+BORDRO!G142</f>
        <v>14079</v>
      </c>
      <c r="P138" s="79">
        <v>0</v>
      </c>
      <c r="Q138" s="122"/>
      <c r="R138" s="69"/>
      <c r="S138" s="70"/>
      <c r="T138" s="70"/>
      <c r="U138" s="71"/>
      <c r="V138" s="72">
        <f t="shared" si="2"/>
        <v>18</v>
      </c>
      <c r="W138" s="73">
        <v>6</v>
      </c>
      <c r="X138" s="81" t="s">
        <v>99</v>
      </c>
      <c r="Y138" s="65">
        <v>2</v>
      </c>
      <c r="Z138" s="64" t="s">
        <v>51</v>
      </c>
      <c r="AA138" s="74" t="s">
        <v>781</v>
      </c>
      <c r="AB138" s="64">
        <v>2025</v>
      </c>
      <c r="AC138" s="64" t="s">
        <v>106</v>
      </c>
      <c r="AD138" s="80">
        <f>+BORDRO!J142</f>
        <v>14079</v>
      </c>
      <c r="AE138" s="75"/>
      <c r="AF138" s="75">
        <f>+BORDRO!K142</f>
        <v>2111.85</v>
      </c>
      <c r="AG138" s="75">
        <f>+BORDRO!L142</f>
        <v>2111.85</v>
      </c>
      <c r="AH138" s="80">
        <f>+BORDRO!M142</f>
        <v>0</v>
      </c>
      <c r="AI138" s="75">
        <f>+BORDRO!O142</f>
        <v>106.85961</v>
      </c>
      <c r="AJ138" s="76">
        <f>+BORDRO!P142</f>
        <v>0</v>
      </c>
    </row>
    <row r="139" spans="1:36" ht="13.8" x14ac:dyDescent="0.25">
      <c r="A139" s="64" t="s">
        <v>51</v>
      </c>
      <c r="B139" s="119">
        <v>46</v>
      </c>
      <c r="C139" s="64" t="s">
        <v>52</v>
      </c>
      <c r="D139" s="64" t="s">
        <v>53</v>
      </c>
      <c r="E139" s="64" t="s">
        <v>53</v>
      </c>
      <c r="F139" s="65">
        <v>1494768</v>
      </c>
      <c r="G139" s="66" t="s">
        <v>105</v>
      </c>
      <c r="H139" s="64" t="s">
        <v>54</v>
      </c>
      <c r="I139" s="78"/>
      <c r="J139" s="67" t="str">
        <f>+Puantaj!C143</f>
        <v>24173691452</v>
      </c>
      <c r="K139" s="64" t="str">
        <f>+Puantaj!D143</f>
        <v>NİZAMETTİN GÖKTUG</v>
      </c>
      <c r="L139" s="64" t="str">
        <f>+Puantaj!E143</f>
        <v>DURU</v>
      </c>
      <c r="M139" s="68">
        <f>+BORDRO!F143</f>
        <v>13</v>
      </c>
      <c r="N139" s="64"/>
      <c r="O139" s="79">
        <f>+BORDRO!G143</f>
        <v>14079</v>
      </c>
      <c r="P139" s="79">
        <v>0</v>
      </c>
      <c r="Q139" s="122"/>
      <c r="R139" s="69"/>
      <c r="S139" s="70"/>
      <c r="T139" s="70"/>
      <c r="U139" s="71"/>
      <c r="V139" s="72">
        <f t="shared" si="2"/>
        <v>18</v>
      </c>
      <c r="W139" s="73">
        <v>6</v>
      </c>
      <c r="X139" s="81" t="s">
        <v>99</v>
      </c>
      <c r="Y139" s="65">
        <v>2</v>
      </c>
      <c r="Z139" s="64" t="s">
        <v>51</v>
      </c>
      <c r="AA139" s="74" t="s">
        <v>781</v>
      </c>
      <c r="AB139" s="64">
        <v>2025</v>
      </c>
      <c r="AC139" s="64" t="s">
        <v>106</v>
      </c>
      <c r="AD139" s="80">
        <f>+BORDRO!J143</f>
        <v>14079</v>
      </c>
      <c r="AE139" s="75"/>
      <c r="AF139" s="75">
        <f>+BORDRO!K143</f>
        <v>2111.85</v>
      </c>
      <c r="AG139" s="75">
        <f>+BORDRO!L143</f>
        <v>2111.85</v>
      </c>
      <c r="AH139" s="80">
        <f>+BORDRO!M143</f>
        <v>0</v>
      </c>
      <c r="AI139" s="75">
        <f>+BORDRO!O143</f>
        <v>106.85961</v>
      </c>
      <c r="AJ139" s="76">
        <f>+BORDRO!P143</f>
        <v>0</v>
      </c>
    </row>
    <row r="140" spans="1:36" ht="13.8" x14ac:dyDescent="0.25">
      <c r="A140" s="64" t="s">
        <v>51</v>
      </c>
      <c r="B140" s="120">
        <v>46</v>
      </c>
      <c r="C140" s="64" t="s">
        <v>52</v>
      </c>
      <c r="D140" s="64" t="s">
        <v>53</v>
      </c>
      <c r="E140" s="64" t="s">
        <v>53</v>
      </c>
      <c r="F140" s="65">
        <v>1494768</v>
      </c>
      <c r="G140" s="66" t="s">
        <v>105</v>
      </c>
      <c r="H140" s="64" t="s">
        <v>54</v>
      </c>
      <c r="I140" s="78"/>
      <c r="J140" s="67" t="str">
        <f>+Puantaj!C144</f>
        <v>10043115746</v>
      </c>
      <c r="K140" s="64" t="str">
        <f>+Puantaj!D144</f>
        <v>NUMAN</v>
      </c>
      <c r="L140" s="64" t="str">
        <f>+Puantaj!E144</f>
        <v>EBCİ</v>
      </c>
      <c r="M140" s="68">
        <f>+BORDRO!F144</f>
        <v>12</v>
      </c>
      <c r="N140" s="64"/>
      <c r="O140" s="79">
        <f>+BORDRO!G144</f>
        <v>12996</v>
      </c>
      <c r="P140" s="79">
        <v>0</v>
      </c>
      <c r="Q140" s="122"/>
      <c r="R140" s="69"/>
      <c r="S140" s="70"/>
      <c r="T140" s="70"/>
      <c r="U140" s="71"/>
      <c r="V140" s="72">
        <f t="shared" si="2"/>
        <v>19</v>
      </c>
      <c r="W140" s="73">
        <v>6</v>
      </c>
      <c r="X140" s="81" t="s">
        <v>99</v>
      </c>
      <c r="Y140" s="65">
        <v>2</v>
      </c>
      <c r="Z140" s="64" t="s">
        <v>51</v>
      </c>
      <c r="AA140" s="74" t="s">
        <v>781</v>
      </c>
      <c r="AB140" s="64">
        <v>2025</v>
      </c>
      <c r="AC140" s="64" t="s">
        <v>106</v>
      </c>
      <c r="AD140" s="80">
        <f>+BORDRO!J144</f>
        <v>12996</v>
      </c>
      <c r="AE140" s="75"/>
      <c r="AF140" s="75">
        <f>+BORDRO!K144</f>
        <v>1949.3999999999999</v>
      </c>
      <c r="AG140" s="75">
        <f>+BORDRO!L144</f>
        <v>1949.3999999999999</v>
      </c>
      <c r="AH140" s="80">
        <f>+BORDRO!M144</f>
        <v>0</v>
      </c>
      <c r="AI140" s="75">
        <f>+BORDRO!O144</f>
        <v>98.63964</v>
      </c>
      <c r="AJ140" s="76">
        <f>+BORDRO!P144</f>
        <v>0</v>
      </c>
    </row>
    <row r="141" spans="1:36" ht="13.8" x14ac:dyDescent="0.25">
      <c r="A141" s="64" t="s">
        <v>51</v>
      </c>
      <c r="B141" s="119">
        <v>46</v>
      </c>
      <c r="C141" s="64" t="s">
        <v>52</v>
      </c>
      <c r="D141" s="64" t="s">
        <v>53</v>
      </c>
      <c r="E141" s="64" t="s">
        <v>53</v>
      </c>
      <c r="F141" s="65">
        <v>1494768</v>
      </c>
      <c r="G141" s="66" t="s">
        <v>105</v>
      </c>
      <c r="H141" s="64" t="s">
        <v>54</v>
      </c>
      <c r="I141" s="78"/>
      <c r="J141" s="67" t="str">
        <f>+Puantaj!C145</f>
        <v>15499100896</v>
      </c>
      <c r="K141" s="64" t="str">
        <f>+Puantaj!D145</f>
        <v>NURAY</v>
      </c>
      <c r="L141" s="64" t="str">
        <f>+Puantaj!E145</f>
        <v>BİLGİN</v>
      </c>
      <c r="M141" s="68">
        <f>+BORDRO!F145</f>
        <v>14</v>
      </c>
      <c r="N141" s="64"/>
      <c r="O141" s="79">
        <f>+BORDRO!G145</f>
        <v>15162</v>
      </c>
      <c r="P141" s="79">
        <v>0</v>
      </c>
      <c r="Q141" s="122"/>
      <c r="R141" s="69"/>
      <c r="S141" s="70"/>
      <c r="T141" s="70"/>
      <c r="U141" s="71"/>
      <c r="V141" s="72">
        <f t="shared" si="2"/>
        <v>17</v>
      </c>
      <c r="W141" s="73">
        <v>6</v>
      </c>
      <c r="X141" s="81" t="s">
        <v>99</v>
      </c>
      <c r="Y141" s="65">
        <v>2</v>
      </c>
      <c r="Z141" s="64" t="s">
        <v>51</v>
      </c>
      <c r="AA141" s="74" t="s">
        <v>781</v>
      </c>
      <c r="AB141" s="64">
        <v>2025</v>
      </c>
      <c r="AC141" s="64" t="s">
        <v>106</v>
      </c>
      <c r="AD141" s="80">
        <f>+BORDRO!J145</f>
        <v>15162</v>
      </c>
      <c r="AE141" s="75"/>
      <c r="AF141" s="75">
        <f>+BORDRO!K145</f>
        <v>2274.2999999999997</v>
      </c>
      <c r="AG141" s="75">
        <f>+BORDRO!L145</f>
        <v>2274.2999999999997</v>
      </c>
      <c r="AH141" s="80">
        <f>+BORDRO!M145</f>
        <v>0</v>
      </c>
      <c r="AI141" s="75">
        <f>+BORDRO!O145</f>
        <v>115.07958000000001</v>
      </c>
      <c r="AJ141" s="76">
        <f>+BORDRO!P145</f>
        <v>0</v>
      </c>
    </row>
    <row r="142" spans="1:36" ht="13.8" x14ac:dyDescent="0.25">
      <c r="A142" s="64" t="s">
        <v>51</v>
      </c>
      <c r="B142" s="120">
        <v>46</v>
      </c>
      <c r="C142" s="64" t="s">
        <v>52</v>
      </c>
      <c r="D142" s="64" t="s">
        <v>53</v>
      </c>
      <c r="E142" s="64" t="s">
        <v>53</v>
      </c>
      <c r="F142" s="65">
        <v>1494768</v>
      </c>
      <c r="G142" s="66" t="s">
        <v>105</v>
      </c>
      <c r="H142" s="64" t="s">
        <v>54</v>
      </c>
      <c r="I142" s="78"/>
      <c r="J142" s="67" t="str">
        <f>+Puantaj!C146</f>
        <v>42403579936</v>
      </c>
      <c r="K142" s="64" t="str">
        <f>+Puantaj!D146</f>
        <v>NURCAN</v>
      </c>
      <c r="L142" s="64" t="str">
        <f>+Puantaj!E146</f>
        <v>ÇELİK</v>
      </c>
      <c r="M142" s="68">
        <f>+BORDRO!F146</f>
        <v>13</v>
      </c>
      <c r="N142" s="64"/>
      <c r="O142" s="79">
        <f>+BORDRO!G146</f>
        <v>14079</v>
      </c>
      <c r="P142" s="79">
        <v>0</v>
      </c>
      <c r="Q142" s="122"/>
      <c r="R142" s="69"/>
      <c r="S142" s="70"/>
      <c r="T142" s="70"/>
      <c r="U142" s="71"/>
      <c r="V142" s="72">
        <f t="shared" si="2"/>
        <v>18</v>
      </c>
      <c r="W142" s="73">
        <v>6</v>
      </c>
      <c r="X142" s="81" t="s">
        <v>99</v>
      </c>
      <c r="Y142" s="65">
        <v>2</v>
      </c>
      <c r="Z142" s="64" t="s">
        <v>51</v>
      </c>
      <c r="AA142" s="74" t="s">
        <v>781</v>
      </c>
      <c r="AB142" s="64">
        <v>2025</v>
      </c>
      <c r="AC142" s="64" t="s">
        <v>106</v>
      </c>
      <c r="AD142" s="80">
        <f>+BORDRO!J146</f>
        <v>14079</v>
      </c>
      <c r="AE142" s="75"/>
      <c r="AF142" s="75">
        <f>+BORDRO!K146</f>
        <v>2111.85</v>
      </c>
      <c r="AG142" s="75">
        <f>+BORDRO!L146</f>
        <v>2111.85</v>
      </c>
      <c r="AH142" s="80">
        <f>+BORDRO!M146</f>
        <v>0</v>
      </c>
      <c r="AI142" s="75">
        <f>+BORDRO!O146</f>
        <v>106.85961</v>
      </c>
      <c r="AJ142" s="76">
        <f>+BORDRO!P146</f>
        <v>0</v>
      </c>
    </row>
    <row r="143" spans="1:36" ht="13.8" x14ac:dyDescent="0.25">
      <c r="A143" s="64" t="s">
        <v>51</v>
      </c>
      <c r="B143" s="119">
        <v>46</v>
      </c>
      <c r="C143" s="64" t="s">
        <v>52</v>
      </c>
      <c r="D143" s="64" t="s">
        <v>53</v>
      </c>
      <c r="E143" s="64" t="s">
        <v>53</v>
      </c>
      <c r="F143" s="65">
        <v>1494768</v>
      </c>
      <c r="G143" s="66" t="s">
        <v>105</v>
      </c>
      <c r="H143" s="64" t="s">
        <v>54</v>
      </c>
      <c r="I143" s="78"/>
      <c r="J143" s="67" t="str">
        <f>+Puantaj!C147</f>
        <v>12899996340</v>
      </c>
      <c r="K143" s="64" t="str">
        <f>+Puantaj!D147</f>
        <v>NURSEL</v>
      </c>
      <c r="L143" s="64" t="str">
        <f>+Puantaj!E147</f>
        <v>KARACA</v>
      </c>
      <c r="M143" s="68">
        <f>+BORDRO!F147</f>
        <v>8</v>
      </c>
      <c r="N143" s="64"/>
      <c r="O143" s="79">
        <f>+BORDRO!G147</f>
        <v>8664</v>
      </c>
      <c r="P143" s="79">
        <v>0</v>
      </c>
      <c r="Q143" s="122"/>
      <c r="R143" s="69"/>
      <c r="S143" s="70"/>
      <c r="T143" s="70"/>
      <c r="U143" s="71"/>
      <c r="V143" s="72">
        <f t="shared" si="2"/>
        <v>23</v>
      </c>
      <c r="W143" s="73">
        <v>6</v>
      </c>
      <c r="X143" s="81" t="s">
        <v>99</v>
      </c>
      <c r="Y143" s="65">
        <v>2</v>
      </c>
      <c r="Z143" s="64" t="s">
        <v>51</v>
      </c>
      <c r="AA143" s="74" t="s">
        <v>781</v>
      </c>
      <c r="AB143" s="64">
        <v>2025</v>
      </c>
      <c r="AC143" s="64" t="s">
        <v>106</v>
      </c>
      <c r="AD143" s="80">
        <f>+BORDRO!J147</f>
        <v>8664</v>
      </c>
      <c r="AE143" s="75"/>
      <c r="AF143" s="75">
        <f>+BORDRO!K147</f>
        <v>1299.5999999999999</v>
      </c>
      <c r="AG143" s="75">
        <f>+BORDRO!L147</f>
        <v>1299.5999999999999</v>
      </c>
      <c r="AH143" s="80">
        <f>+BORDRO!M147</f>
        <v>0</v>
      </c>
      <c r="AI143" s="75">
        <f>+BORDRO!O147</f>
        <v>65.75976</v>
      </c>
      <c r="AJ143" s="76">
        <f>+BORDRO!P147</f>
        <v>0</v>
      </c>
    </row>
    <row r="144" spans="1:36" ht="13.8" x14ac:dyDescent="0.25">
      <c r="A144" s="64" t="s">
        <v>51</v>
      </c>
      <c r="B144" s="120">
        <v>46</v>
      </c>
      <c r="C144" s="64" t="s">
        <v>52</v>
      </c>
      <c r="D144" s="64" t="s">
        <v>53</v>
      </c>
      <c r="E144" s="64" t="s">
        <v>53</v>
      </c>
      <c r="F144" s="65">
        <v>1494768</v>
      </c>
      <c r="G144" s="66" t="s">
        <v>105</v>
      </c>
      <c r="H144" s="64" t="s">
        <v>54</v>
      </c>
      <c r="I144" s="78"/>
      <c r="J144" s="67" t="str">
        <f>+Puantaj!C148</f>
        <v>62986356106</v>
      </c>
      <c r="K144" s="64" t="str">
        <f>+Puantaj!D148</f>
        <v>OĞUZHAN</v>
      </c>
      <c r="L144" s="64" t="str">
        <f>+Puantaj!E148</f>
        <v>GÖNÜLAL</v>
      </c>
      <c r="M144" s="68">
        <f>+BORDRO!F148</f>
        <v>15</v>
      </c>
      <c r="N144" s="64"/>
      <c r="O144" s="79">
        <f>+BORDRO!G148</f>
        <v>16245</v>
      </c>
      <c r="P144" s="79">
        <v>0</v>
      </c>
      <c r="Q144" s="122"/>
      <c r="R144" s="69"/>
      <c r="S144" s="70"/>
      <c r="T144" s="70"/>
      <c r="U144" s="71"/>
      <c r="V144" s="72">
        <f t="shared" si="2"/>
        <v>16</v>
      </c>
      <c r="W144" s="73">
        <v>6</v>
      </c>
      <c r="X144" s="81" t="s">
        <v>99</v>
      </c>
      <c r="Y144" s="65">
        <v>2</v>
      </c>
      <c r="Z144" s="64" t="s">
        <v>51</v>
      </c>
      <c r="AA144" s="74" t="s">
        <v>781</v>
      </c>
      <c r="AB144" s="64">
        <v>2025</v>
      </c>
      <c r="AC144" s="64" t="s">
        <v>106</v>
      </c>
      <c r="AD144" s="80">
        <f>+BORDRO!J148</f>
        <v>16245</v>
      </c>
      <c r="AE144" s="75"/>
      <c r="AF144" s="75">
        <f>+BORDRO!K148</f>
        <v>2436.75</v>
      </c>
      <c r="AG144" s="75">
        <f>+BORDRO!L148</f>
        <v>2436.75</v>
      </c>
      <c r="AH144" s="80">
        <f>+BORDRO!M148</f>
        <v>0</v>
      </c>
      <c r="AI144" s="75">
        <f>+BORDRO!O148</f>
        <v>123.29955000000001</v>
      </c>
      <c r="AJ144" s="76">
        <f>+BORDRO!P148</f>
        <v>0</v>
      </c>
    </row>
    <row r="145" spans="1:36" ht="13.8" x14ac:dyDescent="0.25">
      <c r="A145" s="64" t="s">
        <v>51</v>
      </c>
      <c r="B145" s="119">
        <v>46</v>
      </c>
      <c r="C145" s="64" t="s">
        <v>52</v>
      </c>
      <c r="D145" s="64" t="s">
        <v>53</v>
      </c>
      <c r="E145" s="64" t="s">
        <v>53</v>
      </c>
      <c r="F145" s="65">
        <v>1494768</v>
      </c>
      <c r="G145" s="66" t="s">
        <v>105</v>
      </c>
      <c r="H145" s="64" t="s">
        <v>54</v>
      </c>
      <c r="I145" s="78"/>
      <c r="J145" s="67" t="str">
        <f>+Puantaj!C149</f>
        <v>35677395432</v>
      </c>
      <c r="K145" s="64" t="str">
        <f>+Puantaj!D149</f>
        <v>ÖMER FARUK</v>
      </c>
      <c r="L145" s="64" t="str">
        <f>+Puantaj!E149</f>
        <v>YILMAZ</v>
      </c>
      <c r="M145" s="68">
        <f>+BORDRO!F149</f>
        <v>14</v>
      </c>
      <c r="N145" s="64"/>
      <c r="O145" s="79">
        <f>+BORDRO!G149</f>
        <v>15162</v>
      </c>
      <c r="P145" s="79">
        <v>0</v>
      </c>
      <c r="Q145" s="122"/>
      <c r="R145" s="69"/>
      <c r="S145" s="70"/>
      <c r="T145" s="70"/>
      <c r="U145" s="71"/>
      <c r="V145" s="72">
        <f t="shared" si="2"/>
        <v>17</v>
      </c>
      <c r="W145" s="73">
        <v>6</v>
      </c>
      <c r="X145" s="81" t="s">
        <v>99</v>
      </c>
      <c r="Y145" s="65">
        <v>2</v>
      </c>
      <c r="Z145" s="64" t="s">
        <v>51</v>
      </c>
      <c r="AA145" s="74" t="s">
        <v>781</v>
      </c>
      <c r="AB145" s="64">
        <v>2025</v>
      </c>
      <c r="AC145" s="64" t="s">
        <v>106</v>
      </c>
      <c r="AD145" s="80">
        <f>+BORDRO!J149</f>
        <v>15162</v>
      </c>
      <c r="AE145" s="75"/>
      <c r="AF145" s="75">
        <f>+BORDRO!K149</f>
        <v>2274.2999999999997</v>
      </c>
      <c r="AG145" s="75">
        <f>+BORDRO!L149</f>
        <v>2274.2999999999997</v>
      </c>
      <c r="AH145" s="80">
        <f>+BORDRO!M149</f>
        <v>0</v>
      </c>
      <c r="AI145" s="75">
        <f>+BORDRO!O149</f>
        <v>115.07958000000001</v>
      </c>
      <c r="AJ145" s="76">
        <f>+BORDRO!P149</f>
        <v>0</v>
      </c>
    </row>
    <row r="146" spans="1:36" ht="13.8" x14ac:dyDescent="0.25">
      <c r="A146" s="64" t="s">
        <v>51</v>
      </c>
      <c r="B146" s="120">
        <v>46</v>
      </c>
      <c r="C146" s="64" t="s">
        <v>52</v>
      </c>
      <c r="D146" s="64" t="s">
        <v>53</v>
      </c>
      <c r="E146" s="64" t="s">
        <v>53</v>
      </c>
      <c r="F146" s="65">
        <v>1494768</v>
      </c>
      <c r="G146" s="66" t="s">
        <v>105</v>
      </c>
      <c r="H146" s="64" t="s">
        <v>54</v>
      </c>
      <c r="I146" s="78"/>
      <c r="J146" s="67" t="str">
        <f>+Puantaj!C150</f>
        <v>12340900278</v>
      </c>
      <c r="K146" s="64" t="str">
        <f>+Puantaj!D150</f>
        <v>ÖYKÜ</v>
      </c>
      <c r="L146" s="64" t="str">
        <f>+Puantaj!E150</f>
        <v>AKINGÜÇ</v>
      </c>
      <c r="M146" s="68">
        <f>+BORDRO!F150</f>
        <v>12</v>
      </c>
      <c r="N146" s="64"/>
      <c r="O146" s="79">
        <f>+BORDRO!G150</f>
        <v>12996</v>
      </c>
      <c r="P146" s="79">
        <v>0</v>
      </c>
      <c r="Q146" s="122"/>
      <c r="R146" s="69"/>
      <c r="S146" s="70"/>
      <c r="T146" s="70"/>
      <c r="U146" s="71"/>
      <c r="V146" s="72">
        <f t="shared" si="2"/>
        <v>19</v>
      </c>
      <c r="W146" s="73">
        <v>6</v>
      </c>
      <c r="X146" s="81" t="s">
        <v>99</v>
      </c>
      <c r="Y146" s="65">
        <v>2</v>
      </c>
      <c r="Z146" s="64" t="s">
        <v>51</v>
      </c>
      <c r="AA146" s="74" t="s">
        <v>781</v>
      </c>
      <c r="AB146" s="64">
        <v>2025</v>
      </c>
      <c r="AC146" s="64" t="s">
        <v>106</v>
      </c>
      <c r="AD146" s="80">
        <f>+BORDRO!J150</f>
        <v>12996</v>
      </c>
      <c r="AE146" s="75"/>
      <c r="AF146" s="75">
        <f>+BORDRO!K150</f>
        <v>1949.3999999999999</v>
      </c>
      <c r="AG146" s="75">
        <f>+BORDRO!L150</f>
        <v>1949.3999999999999</v>
      </c>
      <c r="AH146" s="80">
        <f>+BORDRO!M150</f>
        <v>0</v>
      </c>
      <c r="AI146" s="75">
        <f>+BORDRO!O150</f>
        <v>98.63964</v>
      </c>
      <c r="AJ146" s="76">
        <f>+BORDRO!P150</f>
        <v>0</v>
      </c>
    </row>
    <row r="147" spans="1:36" ht="13.8" x14ac:dyDescent="0.25">
      <c r="A147" s="64" t="s">
        <v>51</v>
      </c>
      <c r="B147" s="119">
        <v>46</v>
      </c>
      <c r="C147" s="64" t="s">
        <v>52</v>
      </c>
      <c r="D147" s="64" t="s">
        <v>53</v>
      </c>
      <c r="E147" s="64" t="s">
        <v>53</v>
      </c>
      <c r="F147" s="65">
        <v>1494768</v>
      </c>
      <c r="G147" s="66" t="s">
        <v>105</v>
      </c>
      <c r="H147" s="64" t="s">
        <v>54</v>
      </c>
      <c r="I147" s="78"/>
      <c r="J147" s="67" t="str">
        <f>+Puantaj!C151</f>
        <v>10618964960</v>
      </c>
      <c r="K147" s="64" t="str">
        <f>+Puantaj!D151</f>
        <v>ÖZLEM HİRA</v>
      </c>
      <c r="L147" s="64" t="str">
        <f>+Puantaj!E151</f>
        <v>KUŞELİ</v>
      </c>
      <c r="M147" s="68">
        <f>+BORDRO!F151</f>
        <v>13</v>
      </c>
      <c r="N147" s="64"/>
      <c r="O147" s="79">
        <f>+BORDRO!G151</f>
        <v>14079</v>
      </c>
      <c r="P147" s="79">
        <v>0</v>
      </c>
      <c r="Q147" s="122"/>
      <c r="R147" s="69"/>
      <c r="S147" s="70"/>
      <c r="T147" s="70"/>
      <c r="U147" s="71"/>
      <c r="V147" s="72">
        <f t="shared" si="2"/>
        <v>18</v>
      </c>
      <c r="W147" s="73">
        <v>6</v>
      </c>
      <c r="X147" s="81" t="s">
        <v>99</v>
      </c>
      <c r="Y147" s="65">
        <v>2</v>
      </c>
      <c r="Z147" s="64" t="s">
        <v>51</v>
      </c>
      <c r="AA147" s="74" t="s">
        <v>781</v>
      </c>
      <c r="AB147" s="64">
        <v>2025</v>
      </c>
      <c r="AC147" s="64" t="s">
        <v>106</v>
      </c>
      <c r="AD147" s="80">
        <f>+BORDRO!J151</f>
        <v>14079</v>
      </c>
      <c r="AE147" s="75"/>
      <c r="AF147" s="75">
        <f>+BORDRO!K151</f>
        <v>2111.85</v>
      </c>
      <c r="AG147" s="75">
        <f>+BORDRO!L151</f>
        <v>2111.85</v>
      </c>
      <c r="AH147" s="80">
        <f>+BORDRO!M151</f>
        <v>0</v>
      </c>
      <c r="AI147" s="75">
        <f>+BORDRO!O151</f>
        <v>106.85961</v>
      </c>
      <c r="AJ147" s="76">
        <f>+BORDRO!P151</f>
        <v>0</v>
      </c>
    </row>
    <row r="148" spans="1:36" ht="13.8" x14ac:dyDescent="0.25">
      <c r="A148" s="64" t="s">
        <v>51</v>
      </c>
      <c r="B148" s="120">
        <v>46</v>
      </c>
      <c r="C148" s="64" t="s">
        <v>52</v>
      </c>
      <c r="D148" s="64" t="s">
        <v>53</v>
      </c>
      <c r="E148" s="64" t="s">
        <v>53</v>
      </c>
      <c r="F148" s="65">
        <v>1494768</v>
      </c>
      <c r="G148" s="66" t="s">
        <v>105</v>
      </c>
      <c r="H148" s="64" t="s">
        <v>54</v>
      </c>
      <c r="I148" s="78"/>
      <c r="J148" s="67" t="str">
        <f>+Puantaj!C152</f>
        <v>38317050524</v>
      </c>
      <c r="K148" s="64" t="str">
        <f>+Puantaj!D152</f>
        <v>ÖZNUR</v>
      </c>
      <c r="L148" s="64" t="str">
        <f>+Puantaj!E152</f>
        <v>TOĞRUL</v>
      </c>
      <c r="M148" s="68">
        <f>+BORDRO!F152</f>
        <v>9</v>
      </c>
      <c r="N148" s="64"/>
      <c r="O148" s="79">
        <f>+BORDRO!G152</f>
        <v>9747</v>
      </c>
      <c r="P148" s="79">
        <v>0</v>
      </c>
      <c r="Q148" s="122"/>
      <c r="R148" s="69"/>
      <c r="S148" s="70"/>
      <c r="T148" s="70"/>
      <c r="U148" s="71"/>
      <c r="V148" s="72">
        <f t="shared" si="2"/>
        <v>22</v>
      </c>
      <c r="W148" s="73">
        <v>6</v>
      </c>
      <c r="X148" s="81" t="s">
        <v>99</v>
      </c>
      <c r="Y148" s="65">
        <v>2</v>
      </c>
      <c r="Z148" s="64" t="s">
        <v>51</v>
      </c>
      <c r="AA148" s="74" t="s">
        <v>781</v>
      </c>
      <c r="AB148" s="64">
        <v>2025</v>
      </c>
      <c r="AC148" s="64" t="s">
        <v>106</v>
      </c>
      <c r="AD148" s="80">
        <f>+BORDRO!J152</f>
        <v>9747</v>
      </c>
      <c r="AE148" s="75"/>
      <c r="AF148" s="75">
        <f>+BORDRO!K152</f>
        <v>1462.05</v>
      </c>
      <c r="AG148" s="75">
        <f>+BORDRO!L152</f>
        <v>1462.05</v>
      </c>
      <c r="AH148" s="80">
        <f>+BORDRO!M152</f>
        <v>0</v>
      </c>
      <c r="AI148" s="75">
        <f>+BORDRO!O152</f>
        <v>73.979730000000004</v>
      </c>
      <c r="AJ148" s="76">
        <f>+BORDRO!P152</f>
        <v>0</v>
      </c>
    </row>
    <row r="149" spans="1:36" ht="13.8" x14ac:dyDescent="0.25">
      <c r="A149" s="64" t="s">
        <v>51</v>
      </c>
      <c r="B149" s="119">
        <v>46</v>
      </c>
      <c r="C149" s="64" t="s">
        <v>52</v>
      </c>
      <c r="D149" s="64" t="s">
        <v>53</v>
      </c>
      <c r="E149" s="64" t="s">
        <v>53</v>
      </c>
      <c r="F149" s="65">
        <v>1494768</v>
      </c>
      <c r="G149" s="66" t="s">
        <v>105</v>
      </c>
      <c r="H149" s="64" t="s">
        <v>54</v>
      </c>
      <c r="I149" s="78"/>
      <c r="J149" s="67" t="str">
        <f>+Puantaj!C153</f>
        <v>31480811602</v>
      </c>
      <c r="K149" s="64" t="str">
        <f>+Puantaj!D153</f>
        <v>PELİNSU</v>
      </c>
      <c r="L149" s="64" t="str">
        <f>+Puantaj!E153</f>
        <v>ASLANTAŞ</v>
      </c>
      <c r="M149" s="68">
        <f>+BORDRO!F153</f>
        <v>14</v>
      </c>
      <c r="N149" s="64"/>
      <c r="O149" s="79">
        <f>+BORDRO!G153</f>
        <v>15162</v>
      </c>
      <c r="P149" s="79">
        <v>0</v>
      </c>
      <c r="Q149" s="122"/>
      <c r="R149" s="69"/>
      <c r="S149" s="70"/>
      <c r="T149" s="70"/>
      <c r="U149" s="71"/>
      <c r="V149" s="72">
        <f t="shared" si="2"/>
        <v>17</v>
      </c>
      <c r="W149" s="73">
        <v>6</v>
      </c>
      <c r="X149" s="81" t="s">
        <v>99</v>
      </c>
      <c r="Y149" s="65">
        <v>2</v>
      </c>
      <c r="Z149" s="64" t="s">
        <v>51</v>
      </c>
      <c r="AA149" s="74" t="s">
        <v>781</v>
      </c>
      <c r="AB149" s="64">
        <v>2025</v>
      </c>
      <c r="AC149" s="64" t="s">
        <v>106</v>
      </c>
      <c r="AD149" s="80">
        <f>+BORDRO!J153</f>
        <v>15162</v>
      </c>
      <c r="AE149" s="75"/>
      <c r="AF149" s="75">
        <f>+BORDRO!K153</f>
        <v>2274.2999999999997</v>
      </c>
      <c r="AG149" s="75">
        <f>+BORDRO!L153</f>
        <v>2274.2999999999997</v>
      </c>
      <c r="AH149" s="80">
        <f>+BORDRO!M153</f>
        <v>0</v>
      </c>
      <c r="AI149" s="75">
        <f>+BORDRO!O153</f>
        <v>115.07958000000001</v>
      </c>
      <c r="AJ149" s="76">
        <f>+BORDRO!P153</f>
        <v>0</v>
      </c>
    </row>
    <row r="150" spans="1:36" ht="13.8" x14ac:dyDescent="0.25">
      <c r="A150" s="64" t="s">
        <v>51</v>
      </c>
      <c r="B150" s="120">
        <v>46</v>
      </c>
      <c r="C150" s="64" t="s">
        <v>52</v>
      </c>
      <c r="D150" s="64" t="s">
        <v>53</v>
      </c>
      <c r="E150" s="64" t="s">
        <v>53</v>
      </c>
      <c r="F150" s="65">
        <v>1494768</v>
      </c>
      <c r="G150" s="66" t="s">
        <v>105</v>
      </c>
      <c r="H150" s="64" t="s">
        <v>54</v>
      </c>
      <c r="I150" s="78"/>
      <c r="J150" s="67" t="str">
        <f>+Puantaj!C154</f>
        <v>10484695074</v>
      </c>
      <c r="K150" s="64" t="str">
        <f>+Puantaj!D154</f>
        <v>RABİA ŞEVVAL</v>
      </c>
      <c r="L150" s="64" t="str">
        <f>+Puantaj!E154</f>
        <v>KONYALI</v>
      </c>
      <c r="M150" s="68">
        <f>+BORDRO!F154</f>
        <v>12</v>
      </c>
      <c r="N150" s="64"/>
      <c r="O150" s="79">
        <f>+BORDRO!G154</f>
        <v>12996</v>
      </c>
      <c r="P150" s="79">
        <v>0</v>
      </c>
      <c r="Q150" s="122"/>
      <c r="R150" s="69"/>
      <c r="S150" s="70"/>
      <c r="T150" s="70"/>
      <c r="U150" s="71"/>
      <c r="V150" s="72">
        <f t="shared" si="2"/>
        <v>19</v>
      </c>
      <c r="W150" s="73">
        <v>6</v>
      </c>
      <c r="X150" s="81" t="s">
        <v>99</v>
      </c>
      <c r="Y150" s="65">
        <v>2</v>
      </c>
      <c r="Z150" s="64" t="s">
        <v>51</v>
      </c>
      <c r="AA150" s="74" t="s">
        <v>781</v>
      </c>
      <c r="AB150" s="64">
        <v>2025</v>
      </c>
      <c r="AC150" s="64" t="s">
        <v>106</v>
      </c>
      <c r="AD150" s="80">
        <f>+BORDRO!J154</f>
        <v>12996</v>
      </c>
      <c r="AE150" s="75"/>
      <c r="AF150" s="75">
        <f>+BORDRO!K154</f>
        <v>1949.3999999999999</v>
      </c>
      <c r="AG150" s="75">
        <f>+BORDRO!L154</f>
        <v>1949.3999999999999</v>
      </c>
      <c r="AH150" s="80">
        <f>+BORDRO!M154</f>
        <v>0</v>
      </c>
      <c r="AI150" s="75">
        <f>+BORDRO!O154</f>
        <v>98.63964</v>
      </c>
      <c r="AJ150" s="76">
        <f>+BORDRO!P154</f>
        <v>0</v>
      </c>
    </row>
    <row r="151" spans="1:36" ht="13.8" x14ac:dyDescent="0.25">
      <c r="A151" s="64" t="s">
        <v>51</v>
      </c>
      <c r="B151" s="119">
        <v>46</v>
      </c>
      <c r="C151" s="64" t="s">
        <v>52</v>
      </c>
      <c r="D151" s="64" t="s">
        <v>53</v>
      </c>
      <c r="E151" s="64" t="s">
        <v>53</v>
      </c>
      <c r="F151" s="65">
        <v>1494768</v>
      </c>
      <c r="G151" s="66" t="s">
        <v>105</v>
      </c>
      <c r="H151" s="64" t="s">
        <v>54</v>
      </c>
      <c r="I151" s="78"/>
      <c r="J151" s="67" t="str">
        <f>+Puantaj!C155</f>
        <v>40969927062</v>
      </c>
      <c r="K151" s="64" t="str">
        <f>+Puantaj!D155</f>
        <v>RAHİME DİLARA</v>
      </c>
      <c r="L151" s="64" t="str">
        <f>+Puantaj!E155</f>
        <v>BAŞ</v>
      </c>
      <c r="M151" s="68">
        <f>+BORDRO!F155</f>
        <v>13</v>
      </c>
      <c r="N151" s="64"/>
      <c r="O151" s="79">
        <f>+BORDRO!G155</f>
        <v>14079</v>
      </c>
      <c r="P151" s="79">
        <v>0</v>
      </c>
      <c r="Q151" s="122"/>
      <c r="R151" s="69"/>
      <c r="S151" s="70"/>
      <c r="T151" s="70"/>
      <c r="U151" s="71"/>
      <c r="V151" s="72">
        <f t="shared" si="2"/>
        <v>18</v>
      </c>
      <c r="W151" s="73">
        <v>6</v>
      </c>
      <c r="X151" s="81" t="s">
        <v>99</v>
      </c>
      <c r="Y151" s="65">
        <v>2</v>
      </c>
      <c r="Z151" s="64" t="s">
        <v>51</v>
      </c>
      <c r="AA151" s="74" t="s">
        <v>781</v>
      </c>
      <c r="AB151" s="64">
        <v>2025</v>
      </c>
      <c r="AC151" s="64" t="s">
        <v>106</v>
      </c>
      <c r="AD151" s="80">
        <f>+BORDRO!J155</f>
        <v>14079</v>
      </c>
      <c r="AE151" s="75"/>
      <c r="AF151" s="75">
        <f>+BORDRO!K155</f>
        <v>2111.85</v>
      </c>
      <c r="AG151" s="75">
        <f>+BORDRO!L155</f>
        <v>2111.85</v>
      </c>
      <c r="AH151" s="80">
        <f>+BORDRO!M155</f>
        <v>0</v>
      </c>
      <c r="AI151" s="75">
        <f>+BORDRO!O155</f>
        <v>106.85961</v>
      </c>
      <c r="AJ151" s="76">
        <f>+BORDRO!P155</f>
        <v>0</v>
      </c>
    </row>
    <row r="152" spans="1:36" ht="13.8" x14ac:dyDescent="0.25">
      <c r="A152" s="64" t="s">
        <v>51</v>
      </c>
      <c r="B152" s="120">
        <v>46</v>
      </c>
      <c r="C152" s="64" t="s">
        <v>52</v>
      </c>
      <c r="D152" s="64" t="s">
        <v>53</v>
      </c>
      <c r="E152" s="64" t="s">
        <v>53</v>
      </c>
      <c r="F152" s="65">
        <v>1494768</v>
      </c>
      <c r="G152" s="66" t="s">
        <v>105</v>
      </c>
      <c r="H152" s="64" t="s">
        <v>54</v>
      </c>
      <c r="I152" s="78"/>
      <c r="J152" s="67" t="str">
        <f>+Puantaj!C156</f>
        <v>10649230522</v>
      </c>
      <c r="K152" s="64" t="str">
        <f>+Puantaj!D156</f>
        <v>RESUL</v>
      </c>
      <c r="L152" s="64" t="str">
        <f>+Puantaj!E156</f>
        <v>ARASLI</v>
      </c>
      <c r="M152" s="68">
        <f>+BORDRO!F156</f>
        <v>13</v>
      </c>
      <c r="N152" s="64"/>
      <c r="O152" s="79">
        <f>+BORDRO!G156</f>
        <v>14079</v>
      </c>
      <c r="P152" s="79">
        <v>0</v>
      </c>
      <c r="Q152" s="122"/>
      <c r="R152" s="69"/>
      <c r="S152" s="70"/>
      <c r="T152" s="70"/>
      <c r="U152" s="71"/>
      <c r="V152" s="72">
        <f t="shared" si="2"/>
        <v>18</v>
      </c>
      <c r="W152" s="73">
        <v>6</v>
      </c>
      <c r="X152" s="81" t="s">
        <v>99</v>
      </c>
      <c r="Y152" s="65">
        <v>2</v>
      </c>
      <c r="Z152" s="64" t="s">
        <v>51</v>
      </c>
      <c r="AA152" s="74" t="s">
        <v>781</v>
      </c>
      <c r="AB152" s="64">
        <v>2025</v>
      </c>
      <c r="AC152" s="64" t="s">
        <v>106</v>
      </c>
      <c r="AD152" s="80">
        <f>+BORDRO!J156</f>
        <v>14079</v>
      </c>
      <c r="AE152" s="75"/>
      <c r="AF152" s="75">
        <f>+BORDRO!K156</f>
        <v>2111.85</v>
      </c>
      <c r="AG152" s="75">
        <f>+BORDRO!L156</f>
        <v>2111.85</v>
      </c>
      <c r="AH152" s="80">
        <f>+BORDRO!M156</f>
        <v>0</v>
      </c>
      <c r="AI152" s="75">
        <f>+BORDRO!O156</f>
        <v>106.85961</v>
      </c>
      <c r="AJ152" s="76">
        <f>+BORDRO!P156</f>
        <v>0</v>
      </c>
    </row>
    <row r="153" spans="1:36" ht="13.8" x14ac:dyDescent="0.25">
      <c r="A153" s="64" t="s">
        <v>51</v>
      </c>
      <c r="B153" s="119">
        <v>46</v>
      </c>
      <c r="C153" s="64" t="s">
        <v>52</v>
      </c>
      <c r="D153" s="64" t="s">
        <v>53</v>
      </c>
      <c r="E153" s="64" t="s">
        <v>53</v>
      </c>
      <c r="F153" s="65">
        <v>1494768</v>
      </c>
      <c r="G153" s="66" t="s">
        <v>105</v>
      </c>
      <c r="H153" s="64" t="s">
        <v>54</v>
      </c>
      <c r="I153" s="78"/>
      <c r="J153" s="67" t="str">
        <f>+Puantaj!C157</f>
        <v>20078478310</v>
      </c>
      <c r="K153" s="64" t="str">
        <f>+Puantaj!D157</f>
        <v>RUKİYE</v>
      </c>
      <c r="L153" s="64" t="str">
        <f>+Puantaj!E157</f>
        <v>TERUT</v>
      </c>
      <c r="M153" s="68">
        <f>+BORDRO!F157</f>
        <v>9</v>
      </c>
      <c r="N153" s="64"/>
      <c r="O153" s="79">
        <f>+BORDRO!G157</f>
        <v>9747</v>
      </c>
      <c r="P153" s="79">
        <v>0</v>
      </c>
      <c r="Q153" s="122"/>
      <c r="R153" s="69"/>
      <c r="S153" s="70"/>
      <c r="T153" s="70"/>
      <c r="U153" s="71"/>
      <c r="V153" s="72">
        <f t="shared" si="2"/>
        <v>22</v>
      </c>
      <c r="W153" s="73">
        <v>6</v>
      </c>
      <c r="X153" s="81" t="s">
        <v>99</v>
      </c>
      <c r="Y153" s="65">
        <v>2</v>
      </c>
      <c r="Z153" s="64" t="s">
        <v>51</v>
      </c>
      <c r="AA153" s="74" t="s">
        <v>781</v>
      </c>
      <c r="AB153" s="64">
        <v>2025</v>
      </c>
      <c r="AC153" s="64" t="s">
        <v>106</v>
      </c>
      <c r="AD153" s="80">
        <f>+BORDRO!J157</f>
        <v>9747</v>
      </c>
      <c r="AE153" s="75"/>
      <c r="AF153" s="75">
        <f>+BORDRO!K157</f>
        <v>1462.05</v>
      </c>
      <c r="AG153" s="75">
        <f>+BORDRO!L157</f>
        <v>1462.05</v>
      </c>
      <c r="AH153" s="80">
        <f>+BORDRO!M157</f>
        <v>0</v>
      </c>
      <c r="AI153" s="75">
        <f>+BORDRO!O157</f>
        <v>73.979730000000004</v>
      </c>
      <c r="AJ153" s="76">
        <f>+BORDRO!P157</f>
        <v>0</v>
      </c>
    </row>
    <row r="154" spans="1:36" ht="13.8" x14ac:dyDescent="0.25">
      <c r="A154" s="64" t="s">
        <v>51</v>
      </c>
      <c r="B154" s="120">
        <v>46</v>
      </c>
      <c r="C154" s="64" t="s">
        <v>52</v>
      </c>
      <c r="D154" s="64" t="s">
        <v>53</v>
      </c>
      <c r="E154" s="64" t="s">
        <v>53</v>
      </c>
      <c r="F154" s="65">
        <v>1494768</v>
      </c>
      <c r="G154" s="66" t="s">
        <v>105</v>
      </c>
      <c r="H154" s="64" t="s">
        <v>54</v>
      </c>
      <c r="I154" s="78"/>
      <c r="J154" s="67" t="str">
        <f>+Puantaj!C158</f>
        <v>10111237400</v>
      </c>
      <c r="K154" s="64" t="str">
        <f>+Puantaj!D158</f>
        <v>RÜMEYSA NUR</v>
      </c>
      <c r="L154" s="64" t="str">
        <f>+Puantaj!E158</f>
        <v>DÜZYURT</v>
      </c>
      <c r="M154" s="68">
        <f>+BORDRO!F158</f>
        <v>14</v>
      </c>
      <c r="N154" s="64"/>
      <c r="O154" s="79">
        <f>+BORDRO!G158</f>
        <v>15162</v>
      </c>
      <c r="P154" s="79">
        <v>0</v>
      </c>
      <c r="Q154" s="122"/>
      <c r="R154" s="69"/>
      <c r="S154" s="70"/>
      <c r="T154" s="70"/>
      <c r="U154" s="71"/>
      <c r="V154" s="72">
        <f t="shared" si="2"/>
        <v>17</v>
      </c>
      <c r="W154" s="73">
        <v>6</v>
      </c>
      <c r="X154" s="81" t="s">
        <v>99</v>
      </c>
      <c r="Y154" s="65">
        <v>2</v>
      </c>
      <c r="Z154" s="64" t="s">
        <v>51</v>
      </c>
      <c r="AA154" s="74" t="s">
        <v>781</v>
      </c>
      <c r="AB154" s="64">
        <v>2025</v>
      </c>
      <c r="AC154" s="64" t="s">
        <v>106</v>
      </c>
      <c r="AD154" s="80">
        <f>+BORDRO!J158</f>
        <v>15162</v>
      </c>
      <c r="AE154" s="75"/>
      <c r="AF154" s="75">
        <f>+BORDRO!K158</f>
        <v>2274.2999999999997</v>
      </c>
      <c r="AG154" s="75">
        <f>+BORDRO!L158</f>
        <v>2274.2999999999997</v>
      </c>
      <c r="AH154" s="80">
        <f>+BORDRO!M158</f>
        <v>0</v>
      </c>
      <c r="AI154" s="75">
        <f>+BORDRO!O158</f>
        <v>115.07958000000001</v>
      </c>
      <c r="AJ154" s="76">
        <f>+BORDRO!P158</f>
        <v>0</v>
      </c>
    </row>
    <row r="155" spans="1:36" ht="13.8" x14ac:dyDescent="0.25">
      <c r="A155" s="64" t="s">
        <v>51</v>
      </c>
      <c r="B155" s="119">
        <v>46</v>
      </c>
      <c r="C155" s="64" t="s">
        <v>52</v>
      </c>
      <c r="D155" s="64" t="s">
        <v>53</v>
      </c>
      <c r="E155" s="64" t="s">
        <v>53</v>
      </c>
      <c r="F155" s="65">
        <v>1494768</v>
      </c>
      <c r="G155" s="66" t="s">
        <v>105</v>
      </c>
      <c r="H155" s="64" t="s">
        <v>54</v>
      </c>
      <c r="I155" s="78"/>
      <c r="J155" s="67" t="str">
        <f>+Puantaj!C159</f>
        <v>15844611640</v>
      </c>
      <c r="K155" s="64" t="str">
        <f>+Puantaj!D159</f>
        <v>RÜYA</v>
      </c>
      <c r="L155" s="64" t="str">
        <f>+Puantaj!E159</f>
        <v>KARATAŞ</v>
      </c>
      <c r="M155" s="68">
        <f>+BORDRO!F159</f>
        <v>12</v>
      </c>
      <c r="N155" s="64"/>
      <c r="O155" s="79">
        <f>+BORDRO!G159</f>
        <v>12996</v>
      </c>
      <c r="P155" s="79">
        <v>0</v>
      </c>
      <c r="Q155" s="122"/>
      <c r="R155" s="69"/>
      <c r="S155" s="70"/>
      <c r="T155" s="70"/>
      <c r="U155" s="71"/>
      <c r="V155" s="72">
        <f t="shared" si="2"/>
        <v>19</v>
      </c>
      <c r="W155" s="73">
        <v>6</v>
      </c>
      <c r="X155" s="81" t="s">
        <v>99</v>
      </c>
      <c r="Y155" s="65">
        <v>2</v>
      </c>
      <c r="Z155" s="64" t="s">
        <v>51</v>
      </c>
      <c r="AA155" s="74" t="s">
        <v>781</v>
      </c>
      <c r="AB155" s="64">
        <v>2025</v>
      </c>
      <c r="AC155" s="64" t="s">
        <v>106</v>
      </c>
      <c r="AD155" s="80">
        <f>+BORDRO!J159</f>
        <v>12996</v>
      </c>
      <c r="AE155" s="75"/>
      <c r="AF155" s="75">
        <f>+BORDRO!K159</f>
        <v>1949.3999999999999</v>
      </c>
      <c r="AG155" s="75">
        <f>+BORDRO!L159</f>
        <v>1949.3999999999999</v>
      </c>
      <c r="AH155" s="80">
        <f>+BORDRO!M159</f>
        <v>0</v>
      </c>
      <c r="AI155" s="75">
        <f>+BORDRO!O159</f>
        <v>98.63964</v>
      </c>
      <c r="AJ155" s="76">
        <f>+BORDRO!P159</f>
        <v>0</v>
      </c>
    </row>
    <row r="156" spans="1:36" ht="13.8" x14ac:dyDescent="0.25">
      <c r="A156" s="64" t="s">
        <v>51</v>
      </c>
      <c r="B156" s="120">
        <v>46</v>
      </c>
      <c r="C156" s="64" t="s">
        <v>52</v>
      </c>
      <c r="D156" s="64" t="s">
        <v>53</v>
      </c>
      <c r="E156" s="64" t="s">
        <v>53</v>
      </c>
      <c r="F156" s="65">
        <v>1494768</v>
      </c>
      <c r="G156" s="66" t="s">
        <v>105</v>
      </c>
      <c r="H156" s="64" t="s">
        <v>54</v>
      </c>
      <c r="I156" s="78"/>
      <c r="J156" s="67" t="str">
        <f>+Puantaj!C160</f>
        <v>10231640142</v>
      </c>
      <c r="K156" s="64" t="str">
        <f>+Puantaj!D160</f>
        <v>SAMED</v>
      </c>
      <c r="L156" s="64" t="str">
        <f>+Puantaj!E160</f>
        <v>ÇİNAZ</v>
      </c>
      <c r="M156" s="68">
        <f>+BORDRO!F160</f>
        <v>13</v>
      </c>
      <c r="N156" s="64"/>
      <c r="O156" s="79">
        <f>+BORDRO!G160</f>
        <v>14079</v>
      </c>
      <c r="P156" s="79">
        <v>0</v>
      </c>
      <c r="Q156" s="122"/>
      <c r="R156" s="69"/>
      <c r="S156" s="70"/>
      <c r="T156" s="70"/>
      <c r="U156" s="71"/>
      <c r="V156" s="72">
        <f t="shared" si="2"/>
        <v>18</v>
      </c>
      <c r="W156" s="73">
        <v>6</v>
      </c>
      <c r="X156" s="81" t="s">
        <v>99</v>
      </c>
      <c r="Y156" s="65">
        <v>2</v>
      </c>
      <c r="Z156" s="64" t="s">
        <v>51</v>
      </c>
      <c r="AA156" s="74" t="s">
        <v>781</v>
      </c>
      <c r="AB156" s="64">
        <v>2025</v>
      </c>
      <c r="AC156" s="64" t="s">
        <v>106</v>
      </c>
      <c r="AD156" s="80">
        <f>+BORDRO!J160</f>
        <v>14079</v>
      </c>
      <c r="AE156" s="75"/>
      <c r="AF156" s="75">
        <f>+BORDRO!K160</f>
        <v>2111.85</v>
      </c>
      <c r="AG156" s="75">
        <f>+BORDRO!L160</f>
        <v>2111.85</v>
      </c>
      <c r="AH156" s="80">
        <f>+BORDRO!M160</f>
        <v>0</v>
      </c>
      <c r="AI156" s="75">
        <f>+BORDRO!O160</f>
        <v>106.85961</v>
      </c>
      <c r="AJ156" s="76">
        <f>+BORDRO!P160</f>
        <v>0</v>
      </c>
    </row>
    <row r="157" spans="1:36" ht="13.8" x14ac:dyDescent="0.25">
      <c r="A157" s="64" t="s">
        <v>51</v>
      </c>
      <c r="B157" s="119">
        <v>46</v>
      </c>
      <c r="C157" s="64" t="s">
        <v>52</v>
      </c>
      <c r="D157" s="64" t="s">
        <v>53</v>
      </c>
      <c r="E157" s="64" t="s">
        <v>53</v>
      </c>
      <c r="F157" s="65">
        <v>1494768</v>
      </c>
      <c r="G157" s="66" t="s">
        <v>105</v>
      </c>
      <c r="H157" s="64" t="s">
        <v>54</v>
      </c>
      <c r="I157" s="78"/>
      <c r="J157" s="67" t="str">
        <f>+Puantaj!C161</f>
        <v>59284104980</v>
      </c>
      <c r="K157" s="64" t="str">
        <f>+Puantaj!D161</f>
        <v>SEBAHAT</v>
      </c>
      <c r="L157" s="64" t="str">
        <f>+Puantaj!E161</f>
        <v>KALKAN</v>
      </c>
      <c r="M157" s="68">
        <f>+BORDRO!F161</f>
        <v>12</v>
      </c>
      <c r="N157" s="64"/>
      <c r="O157" s="79">
        <f>+BORDRO!G161</f>
        <v>12996</v>
      </c>
      <c r="P157" s="79">
        <v>0</v>
      </c>
      <c r="Q157" s="122"/>
      <c r="R157" s="69"/>
      <c r="S157" s="70"/>
      <c r="T157" s="70"/>
      <c r="U157" s="71"/>
      <c r="V157" s="72">
        <f t="shared" si="2"/>
        <v>19</v>
      </c>
      <c r="W157" s="73">
        <v>6</v>
      </c>
      <c r="X157" s="81" t="s">
        <v>99</v>
      </c>
      <c r="Y157" s="65">
        <v>2</v>
      </c>
      <c r="Z157" s="64" t="s">
        <v>51</v>
      </c>
      <c r="AA157" s="74" t="s">
        <v>781</v>
      </c>
      <c r="AB157" s="64">
        <v>2025</v>
      </c>
      <c r="AC157" s="64" t="s">
        <v>106</v>
      </c>
      <c r="AD157" s="80">
        <f>+BORDRO!J161</f>
        <v>12996</v>
      </c>
      <c r="AE157" s="75"/>
      <c r="AF157" s="75">
        <f>+BORDRO!K161</f>
        <v>1949.3999999999999</v>
      </c>
      <c r="AG157" s="75">
        <f>+BORDRO!L161</f>
        <v>1949.3999999999999</v>
      </c>
      <c r="AH157" s="80">
        <f>+BORDRO!M161</f>
        <v>0</v>
      </c>
      <c r="AI157" s="75">
        <f>+BORDRO!O161</f>
        <v>98.63964</v>
      </c>
      <c r="AJ157" s="76">
        <f>+BORDRO!P161</f>
        <v>0</v>
      </c>
    </row>
    <row r="158" spans="1:36" ht="13.8" x14ac:dyDescent="0.25">
      <c r="A158" s="64" t="s">
        <v>51</v>
      </c>
      <c r="B158" s="120">
        <v>46</v>
      </c>
      <c r="C158" s="64" t="s">
        <v>52</v>
      </c>
      <c r="D158" s="64" t="s">
        <v>53</v>
      </c>
      <c r="E158" s="64" t="s">
        <v>53</v>
      </c>
      <c r="F158" s="65">
        <v>1494768</v>
      </c>
      <c r="G158" s="66" t="s">
        <v>105</v>
      </c>
      <c r="H158" s="64" t="s">
        <v>54</v>
      </c>
      <c r="I158" s="78"/>
      <c r="J158" s="67" t="str">
        <f>+Puantaj!C162</f>
        <v>11446687748</v>
      </c>
      <c r="K158" s="64" t="str">
        <f>+Puantaj!D162</f>
        <v>SELİM</v>
      </c>
      <c r="L158" s="64" t="str">
        <f>+Puantaj!E162</f>
        <v>MEYDAN</v>
      </c>
      <c r="M158" s="68">
        <f>+BORDRO!F162</f>
        <v>13</v>
      </c>
      <c r="N158" s="64"/>
      <c r="O158" s="79">
        <f>+BORDRO!G162</f>
        <v>14079</v>
      </c>
      <c r="P158" s="79">
        <v>0</v>
      </c>
      <c r="Q158" s="122"/>
      <c r="R158" s="69"/>
      <c r="S158" s="70"/>
      <c r="T158" s="70"/>
      <c r="U158" s="71"/>
      <c r="V158" s="72">
        <f t="shared" si="2"/>
        <v>18</v>
      </c>
      <c r="W158" s="73">
        <v>6</v>
      </c>
      <c r="X158" s="81" t="s">
        <v>99</v>
      </c>
      <c r="Y158" s="65">
        <v>2</v>
      </c>
      <c r="Z158" s="64" t="s">
        <v>51</v>
      </c>
      <c r="AA158" s="74" t="s">
        <v>781</v>
      </c>
      <c r="AB158" s="64">
        <v>2025</v>
      </c>
      <c r="AC158" s="64" t="s">
        <v>106</v>
      </c>
      <c r="AD158" s="80">
        <f>+BORDRO!J162</f>
        <v>14079</v>
      </c>
      <c r="AE158" s="75"/>
      <c r="AF158" s="75">
        <f>+BORDRO!K162</f>
        <v>2111.85</v>
      </c>
      <c r="AG158" s="75">
        <f>+BORDRO!L162</f>
        <v>2111.85</v>
      </c>
      <c r="AH158" s="80">
        <f>+BORDRO!M162</f>
        <v>0</v>
      </c>
      <c r="AI158" s="75">
        <f>+BORDRO!O162</f>
        <v>106.85961</v>
      </c>
      <c r="AJ158" s="76">
        <f>+BORDRO!P162</f>
        <v>0</v>
      </c>
    </row>
    <row r="159" spans="1:36" ht="13.8" x14ac:dyDescent="0.25">
      <c r="A159" s="64" t="s">
        <v>51</v>
      </c>
      <c r="B159" s="119">
        <v>46</v>
      </c>
      <c r="C159" s="64" t="s">
        <v>52</v>
      </c>
      <c r="D159" s="64" t="s">
        <v>53</v>
      </c>
      <c r="E159" s="64" t="s">
        <v>53</v>
      </c>
      <c r="F159" s="65">
        <v>1494768</v>
      </c>
      <c r="G159" s="66" t="s">
        <v>105</v>
      </c>
      <c r="H159" s="64" t="s">
        <v>54</v>
      </c>
      <c r="I159" s="78"/>
      <c r="J159" s="67" t="str">
        <f>+Puantaj!C163</f>
        <v>11872933396</v>
      </c>
      <c r="K159" s="64" t="str">
        <f>+Puantaj!D163</f>
        <v>SELVİ</v>
      </c>
      <c r="L159" s="64" t="str">
        <f>+Puantaj!E163</f>
        <v>YILDIRIM</v>
      </c>
      <c r="M159" s="68">
        <f>+BORDRO!F163</f>
        <v>15</v>
      </c>
      <c r="N159" s="64"/>
      <c r="O159" s="79">
        <f>+BORDRO!G163</f>
        <v>16245</v>
      </c>
      <c r="P159" s="79">
        <v>0</v>
      </c>
      <c r="Q159" s="122"/>
      <c r="R159" s="69"/>
      <c r="S159" s="70"/>
      <c r="T159" s="70"/>
      <c r="U159" s="71"/>
      <c r="V159" s="72">
        <f t="shared" si="2"/>
        <v>16</v>
      </c>
      <c r="W159" s="73">
        <v>6</v>
      </c>
      <c r="X159" s="81" t="s">
        <v>99</v>
      </c>
      <c r="Y159" s="65">
        <v>2</v>
      </c>
      <c r="Z159" s="64" t="s">
        <v>51</v>
      </c>
      <c r="AA159" s="74" t="s">
        <v>781</v>
      </c>
      <c r="AB159" s="64">
        <v>2025</v>
      </c>
      <c r="AC159" s="64" t="s">
        <v>106</v>
      </c>
      <c r="AD159" s="80">
        <f>+BORDRO!J163</f>
        <v>16245</v>
      </c>
      <c r="AE159" s="75"/>
      <c r="AF159" s="75">
        <f>+BORDRO!K163</f>
        <v>2436.75</v>
      </c>
      <c r="AG159" s="75">
        <f>+BORDRO!L163</f>
        <v>2436.75</v>
      </c>
      <c r="AH159" s="80">
        <f>+BORDRO!M163</f>
        <v>0</v>
      </c>
      <c r="AI159" s="75">
        <f>+BORDRO!O163</f>
        <v>123.29955000000001</v>
      </c>
      <c r="AJ159" s="76">
        <f>+BORDRO!P163</f>
        <v>0</v>
      </c>
    </row>
    <row r="160" spans="1:36" ht="13.8" x14ac:dyDescent="0.25">
      <c r="A160" s="64" t="s">
        <v>51</v>
      </c>
      <c r="B160" s="120">
        <v>46</v>
      </c>
      <c r="C160" s="64" t="s">
        <v>52</v>
      </c>
      <c r="D160" s="64" t="s">
        <v>53</v>
      </c>
      <c r="E160" s="64" t="s">
        <v>53</v>
      </c>
      <c r="F160" s="65">
        <v>1494768</v>
      </c>
      <c r="G160" s="66" t="s">
        <v>105</v>
      </c>
      <c r="H160" s="64" t="s">
        <v>54</v>
      </c>
      <c r="I160" s="78"/>
      <c r="J160" s="67" t="str">
        <f>+Puantaj!C164</f>
        <v>11587944526</v>
      </c>
      <c r="K160" s="64" t="str">
        <f>+Puantaj!D164</f>
        <v>SEMİH</v>
      </c>
      <c r="L160" s="64" t="str">
        <f>+Puantaj!E164</f>
        <v>OSMANLAR</v>
      </c>
      <c r="M160" s="68">
        <f>+BORDRO!F164</f>
        <v>13</v>
      </c>
      <c r="N160" s="64"/>
      <c r="O160" s="79">
        <f>+BORDRO!G164</f>
        <v>14079</v>
      </c>
      <c r="P160" s="79">
        <v>0</v>
      </c>
      <c r="Q160" s="122"/>
      <c r="R160" s="69"/>
      <c r="S160" s="70"/>
      <c r="T160" s="70"/>
      <c r="U160" s="71"/>
      <c r="V160" s="72">
        <f t="shared" si="2"/>
        <v>18</v>
      </c>
      <c r="W160" s="73">
        <v>6</v>
      </c>
      <c r="X160" s="81" t="s">
        <v>99</v>
      </c>
      <c r="Y160" s="65">
        <v>2</v>
      </c>
      <c r="Z160" s="64" t="s">
        <v>51</v>
      </c>
      <c r="AA160" s="74" t="s">
        <v>781</v>
      </c>
      <c r="AB160" s="64">
        <v>2025</v>
      </c>
      <c r="AC160" s="64" t="s">
        <v>106</v>
      </c>
      <c r="AD160" s="80">
        <f>+BORDRO!J164</f>
        <v>14079</v>
      </c>
      <c r="AE160" s="75"/>
      <c r="AF160" s="75">
        <f>+BORDRO!K164</f>
        <v>2111.85</v>
      </c>
      <c r="AG160" s="75">
        <f>+BORDRO!L164</f>
        <v>2111.85</v>
      </c>
      <c r="AH160" s="80">
        <f>+BORDRO!M164</f>
        <v>0</v>
      </c>
      <c r="AI160" s="75">
        <f>+BORDRO!O164</f>
        <v>106.85961</v>
      </c>
      <c r="AJ160" s="76">
        <f>+BORDRO!P164</f>
        <v>0</v>
      </c>
    </row>
    <row r="161" spans="1:36" ht="13.8" x14ac:dyDescent="0.25">
      <c r="A161" s="64" t="s">
        <v>51</v>
      </c>
      <c r="B161" s="119">
        <v>46</v>
      </c>
      <c r="C161" s="64" t="s">
        <v>52</v>
      </c>
      <c r="D161" s="64" t="s">
        <v>53</v>
      </c>
      <c r="E161" s="64" t="s">
        <v>53</v>
      </c>
      <c r="F161" s="65">
        <v>1494768</v>
      </c>
      <c r="G161" s="66" t="s">
        <v>105</v>
      </c>
      <c r="H161" s="64" t="s">
        <v>54</v>
      </c>
      <c r="I161" s="78"/>
      <c r="J161" s="67" t="str">
        <f>+Puantaj!C165</f>
        <v>46162706664</v>
      </c>
      <c r="K161" s="64" t="str">
        <f>+Puantaj!D165</f>
        <v>SEMİH</v>
      </c>
      <c r="L161" s="64" t="str">
        <f>+Puantaj!E165</f>
        <v>ÖZDEMİR</v>
      </c>
      <c r="M161" s="68">
        <f>+BORDRO!F165</f>
        <v>13</v>
      </c>
      <c r="N161" s="64"/>
      <c r="O161" s="79">
        <f>+BORDRO!G165</f>
        <v>14079</v>
      </c>
      <c r="P161" s="79">
        <v>0</v>
      </c>
      <c r="Q161" s="122"/>
      <c r="R161" s="69"/>
      <c r="S161" s="70"/>
      <c r="T161" s="70"/>
      <c r="U161" s="71"/>
      <c r="V161" s="72">
        <f t="shared" si="2"/>
        <v>18</v>
      </c>
      <c r="W161" s="73">
        <v>6</v>
      </c>
      <c r="X161" s="81" t="s">
        <v>99</v>
      </c>
      <c r="Y161" s="65">
        <v>2</v>
      </c>
      <c r="Z161" s="64" t="s">
        <v>51</v>
      </c>
      <c r="AA161" s="74" t="s">
        <v>781</v>
      </c>
      <c r="AB161" s="64">
        <v>2025</v>
      </c>
      <c r="AC161" s="64" t="s">
        <v>106</v>
      </c>
      <c r="AD161" s="80">
        <f>+BORDRO!J165</f>
        <v>14079</v>
      </c>
      <c r="AE161" s="75"/>
      <c r="AF161" s="75">
        <f>+BORDRO!K165</f>
        <v>2111.85</v>
      </c>
      <c r="AG161" s="75">
        <f>+BORDRO!L165</f>
        <v>2111.85</v>
      </c>
      <c r="AH161" s="80">
        <f>+BORDRO!M165</f>
        <v>0</v>
      </c>
      <c r="AI161" s="75">
        <f>+BORDRO!O165</f>
        <v>106.85961</v>
      </c>
      <c r="AJ161" s="76">
        <f>+BORDRO!P165</f>
        <v>0</v>
      </c>
    </row>
    <row r="162" spans="1:36" ht="13.8" x14ac:dyDescent="0.25">
      <c r="A162" s="64" t="s">
        <v>51</v>
      </c>
      <c r="B162" s="120">
        <v>46</v>
      </c>
      <c r="C162" s="64" t="s">
        <v>52</v>
      </c>
      <c r="D162" s="64" t="s">
        <v>53</v>
      </c>
      <c r="E162" s="64" t="s">
        <v>53</v>
      </c>
      <c r="F162" s="65">
        <v>1494768</v>
      </c>
      <c r="G162" s="66" t="s">
        <v>105</v>
      </c>
      <c r="H162" s="64" t="s">
        <v>54</v>
      </c>
      <c r="I162" s="78"/>
      <c r="J162" s="67" t="str">
        <f>+Puantaj!C166</f>
        <v>37468064794</v>
      </c>
      <c r="K162" s="64" t="str">
        <f>+Puantaj!D166</f>
        <v>SENA</v>
      </c>
      <c r="L162" s="64" t="str">
        <f>+Puantaj!E166</f>
        <v>KURTULUŞ</v>
      </c>
      <c r="M162" s="68">
        <f>+BORDRO!F166</f>
        <v>14</v>
      </c>
      <c r="N162" s="64"/>
      <c r="O162" s="79">
        <f>+BORDRO!G166</f>
        <v>15162</v>
      </c>
      <c r="P162" s="79">
        <v>0</v>
      </c>
      <c r="Q162" s="122"/>
      <c r="R162" s="69"/>
      <c r="S162" s="70"/>
      <c r="T162" s="70"/>
      <c r="U162" s="71"/>
      <c r="V162" s="72">
        <f t="shared" si="2"/>
        <v>17</v>
      </c>
      <c r="W162" s="73">
        <v>6</v>
      </c>
      <c r="X162" s="81" t="s">
        <v>99</v>
      </c>
      <c r="Y162" s="65">
        <v>2</v>
      </c>
      <c r="Z162" s="64" t="s">
        <v>51</v>
      </c>
      <c r="AA162" s="74" t="s">
        <v>781</v>
      </c>
      <c r="AB162" s="64">
        <v>2025</v>
      </c>
      <c r="AC162" s="64" t="s">
        <v>106</v>
      </c>
      <c r="AD162" s="80">
        <f>+BORDRO!J166</f>
        <v>15162</v>
      </c>
      <c r="AE162" s="75"/>
      <c r="AF162" s="75">
        <f>+BORDRO!K166</f>
        <v>2274.2999999999997</v>
      </c>
      <c r="AG162" s="75">
        <f>+BORDRO!L166</f>
        <v>2274.2999999999997</v>
      </c>
      <c r="AH162" s="80">
        <f>+BORDRO!M166</f>
        <v>0</v>
      </c>
      <c r="AI162" s="75">
        <f>+BORDRO!O166</f>
        <v>115.07958000000001</v>
      </c>
      <c r="AJ162" s="76">
        <f>+BORDRO!P166</f>
        <v>0</v>
      </c>
    </row>
    <row r="163" spans="1:36" ht="13.8" x14ac:dyDescent="0.25">
      <c r="A163" s="64" t="s">
        <v>51</v>
      </c>
      <c r="B163" s="119">
        <v>46</v>
      </c>
      <c r="C163" s="64" t="s">
        <v>52</v>
      </c>
      <c r="D163" s="64" t="s">
        <v>53</v>
      </c>
      <c r="E163" s="64" t="s">
        <v>53</v>
      </c>
      <c r="F163" s="65">
        <v>1494768</v>
      </c>
      <c r="G163" s="66" t="s">
        <v>105</v>
      </c>
      <c r="H163" s="64" t="s">
        <v>54</v>
      </c>
      <c r="I163" s="78"/>
      <c r="J163" s="67" t="str">
        <f>+Puantaj!C167</f>
        <v>10139214124</v>
      </c>
      <c r="K163" s="64" t="str">
        <f>+Puantaj!D167</f>
        <v>SENA NAREN</v>
      </c>
      <c r="L163" s="64" t="str">
        <f>+Puantaj!E167</f>
        <v>BİNGÖL</v>
      </c>
      <c r="M163" s="68">
        <f>+BORDRO!F167</f>
        <v>14</v>
      </c>
      <c r="N163" s="64"/>
      <c r="O163" s="79">
        <f>+BORDRO!G167</f>
        <v>15162</v>
      </c>
      <c r="P163" s="79">
        <v>0</v>
      </c>
      <c r="Q163" s="122"/>
      <c r="R163" s="69"/>
      <c r="S163" s="70"/>
      <c r="T163" s="70"/>
      <c r="U163" s="71"/>
      <c r="V163" s="72">
        <f t="shared" si="2"/>
        <v>17</v>
      </c>
      <c r="W163" s="73">
        <v>6</v>
      </c>
      <c r="X163" s="81" t="s">
        <v>99</v>
      </c>
      <c r="Y163" s="65">
        <v>2</v>
      </c>
      <c r="Z163" s="64" t="s">
        <v>51</v>
      </c>
      <c r="AA163" s="74" t="s">
        <v>781</v>
      </c>
      <c r="AB163" s="64">
        <v>2025</v>
      </c>
      <c r="AC163" s="64" t="s">
        <v>106</v>
      </c>
      <c r="AD163" s="80">
        <f>+BORDRO!J167</f>
        <v>15162</v>
      </c>
      <c r="AE163" s="75"/>
      <c r="AF163" s="75">
        <f>+BORDRO!K167</f>
        <v>2274.2999999999997</v>
      </c>
      <c r="AG163" s="75">
        <f>+BORDRO!L167</f>
        <v>2274.2999999999997</v>
      </c>
      <c r="AH163" s="80">
        <f>+BORDRO!M167</f>
        <v>0</v>
      </c>
      <c r="AI163" s="75">
        <f>+BORDRO!O167</f>
        <v>115.07958000000001</v>
      </c>
      <c r="AJ163" s="76">
        <f>+BORDRO!P167</f>
        <v>0</v>
      </c>
    </row>
    <row r="164" spans="1:36" ht="13.8" x14ac:dyDescent="0.25">
      <c r="A164" s="64" t="s">
        <v>51</v>
      </c>
      <c r="B164" s="120">
        <v>46</v>
      </c>
      <c r="C164" s="64" t="s">
        <v>52</v>
      </c>
      <c r="D164" s="64" t="s">
        <v>53</v>
      </c>
      <c r="E164" s="64" t="s">
        <v>53</v>
      </c>
      <c r="F164" s="65">
        <v>1494768</v>
      </c>
      <c r="G164" s="66" t="s">
        <v>105</v>
      </c>
      <c r="H164" s="64" t="s">
        <v>54</v>
      </c>
      <c r="I164" s="78"/>
      <c r="J164" s="67" t="str">
        <f>+Puantaj!C168</f>
        <v>28069506882</v>
      </c>
      <c r="K164" s="64" t="str">
        <f>+Puantaj!D168</f>
        <v>SENEM NUR</v>
      </c>
      <c r="L164" s="64" t="str">
        <f>+Puantaj!E168</f>
        <v>ÖZTÜRK</v>
      </c>
      <c r="M164" s="68">
        <f>+BORDRO!F168</f>
        <v>10</v>
      </c>
      <c r="N164" s="64"/>
      <c r="O164" s="79">
        <f>+BORDRO!G168</f>
        <v>10830</v>
      </c>
      <c r="P164" s="79">
        <v>0</v>
      </c>
      <c r="Q164" s="122"/>
      <c r="R164" s="69"/>
      <c r="S164" s="70"/>
      <c r="T164" s="70"/>
      <c r="U164" s="71"/>
      <c r="V164" s="72">
        <f t="shared" si="2"/>
        <v>21</v>
      </c>
      <c r="W164" s="73">
        <v>6</v>
      </c>
      <c r="X164" s="81" t="s">
        <v>99</v>
      </c>
      <c r="Y164" s="65">
        <v>2</v>
      </c>
      <c r="Z164" s="64" t="s">
        <v>51</v>
      </c>
      <c r="AA164" s="74" t="s">
        <v>781</v>
      </c>
      <c r="AB164" s="64">
        <v>2025</v>
      </c>
      <c r="AC164" s="64" t="s">
        <v>106</v>
      </c>
      <c r="AD164" s="80">
        <f>+BORDRO!J168</f>
        <v>10830</v>
      </c>
      <c r="AE164" s="75"/>
      <c r="AF164" s="75">
        <f>+BORDRO!K168</f>
        <v>1624.5</v>
      </c>
      <c r="AG164" s="75">
        <f>+BORDRO!L168</f>
        <v>1624.5</v>
      </c>
      <c r="AH164" s="80">
        <f>+BORDRO!M168</f>
        <v>0</v>
      </c>
      <c r="AI164" s="75">
        <f>+BORDRO!O168</f>
        <v>82.199700000000007</v>
      </c>
      <c r="AJ164" s="76">
        <f>+BORDRO!P168</f>
        <v>0</v>
      </c>
    </row>
    <row r="165" spans="1:36" ht="13.8" x14ac:dyDescent="0.25">
      <c r="A165" s="64" t="s">
        <v>51</v>
      </c>
      <c r="B165" s="119">
        <v>46</v>
      </c>
      <c r="C165" s="64" t="s">
        <v>52</v>
      </c>
      <c r="D165" s="64" t="s">
        <v>53</v>
      </c>
      <c r="E165" s="64" t="s">
        <v>53</v>
      </c>
      <c r="F165" s="65">
        <v>1494768</v>
      </c>
      <c r="G165" s="66" t="s">
        <v>105</v>
      </c>
      <c r="H165" s="64" t="s">
        <v>54</v>
      </c>
      <c r="I165" s="78"/>
      <c r="J165" s="67" t="str">
        <f>+Puantaj!C169</f>
        <v>56965637782</v>
      </c>
      <c r="K165" s="64" t="str">
        <f>+Puantaj!D169</f>
        <v>SEVDANUR</v>
      </c>
      <c r="L165" s="64" t="str">
        <f>+Puantaj!E169</f>
        <v>NİŞ</v>
      </c>
      <c r="M165" s="68">
        <f>+BORDRO!F169</f>
        <v>0</v>
      </c>
      <c r="N165" s="64"/>
      <c r="O165" s="79">
        <f>+BORDRO!G169</f>
        <v>0</v>
      </c>
      <c r="P165" s="79">
        <v>0</v>
      </c>
      <c r="Q165" s="122"/>
      <c r="R165" s="69"/>
      <c r="S165" s="70" t="s">
        <v>835</v>
      </c>
      <c r="T165" s="70" t="s">
        <v>822</v>
      </c>
      <c r="U165" s="71">
        <v>22</v>
      </c>
      <c r="V165" s="72">
        <f t="shared" si="2"/>
        <v>31</v>
      </c>
      <c r="W165" s="73">
        <v>15</v>
      </c>
      <c r="X165" s="81" t="s">
        <v>99</v>
      </c>
      <c r="Y165" s="65">
        <v>2</v>
      </c>
      <c r="Z165" s="64" t="s">
        <v>51</v>
      </c>
      <c r="AA165" s="74" t="s">
        <v>781</v>
      </c>
      <c r="AB165" s="64">
        <v>2025</v>
      </c>
      <c r="AC165" s="64" t="s">
        <v>106</v>
      </c>
      <c r="AD165" s="80">
        <f>+BORDRO!J169</f>
        <v>0</v>
      </c>
      <c r="AE165" s="75"/>
      <c r="AF165" s="75">
        <f>+BORDRO!K169</f>
        <v>0</v>
      </c>
      <c r="AG165" s="75">
        <f>+BORDRO!L169</f>
        <v>0</v>
      </c>
      <c r="AH165" s="80">
        <f>+BORDRO!M169</f>
        <v>0</v>
      </c>
      <c r="AI165" s="75">
        <f>+BORDRO!O169</f>
        <v>0</v>
      </c>
      <c r="AJ165" s="76">
        <f>+BORDRO!P169</f>
        <v>0</v>
      </c>
    </row>
    <row r="166" spans="1:36" ht="13.8" x14ac:dyDescent="0.25">
      <c r="A166" s="64" t="s">
        <v>51</v>
      </c>
      <c r="B166" s="120">
        <v>46</v>
      </c>
      <c r="C166" s="64" t="s">
        <v>52</v>
      </c>
      <c r="D166" s="64" t="s">
        <v>53</v>
      </c>
      <c r="E166" s="64" t="s">
        <v>53</v>
      </c>
      <c r="F166" s="65">
        <v>1494768</v>
      </c>
      <c r="G166" s="66" t="s">
        <v>105</v>
      </c>
      <c r="H166" s="64" t="s">
        <v>54</v>
      </c>
      <c r="I166" s="78"/>
      <c r="J166" s="67" t="str">
        <f>+Puantaj!C170</f>
        <v>10044124310</v>
      </c>
      <c r="K166" s="64" t="str">
        <f>+Puantaj!D170</f>
        <v>SILA</v>
      </c>
      <c r="L166" s="64" t="str">
        <f>+Puantaj!E170</f>
        <v>SARI</v>
      </c>
      <c r="M166" s="68">
        <f>+BORDRO!F170</f>
        <v>14</v>
      </c>
      <c r="N166" s="64"/>
      <c r="O166" s="79">
        <f>+BORDRO!G170</f>
        <v>15162</v>
      </c>
      <c r="P166" s="79">
        <v>0</v>
      </c>
      <c r="Q166" s="122"/>
      <c r="R166" s="69"/>
      <c r="S166" s="70"/>
      <c r="T166" s="70"/>
      <c r="U166" s="71"/>
      <c r="V166" s="72">
        <f t="shared" si="2"/>
        <v>17</v>
      </c>
      <c r="W166" s="73">
        <v>6</v>
      </c>
      <c r="X166" s="81" t="s">
        <v>99</v>
      </c>
      <c r="Y166" s="65">
        <v>2</v>
      </c>
      <c r="Z166" s="64" t="s">
        <v>51</v>
      </c>
      <c r="AA166" s="74" t="s">
        <v>781</v>
      </c>
      <c r="AB166" s="64">
        <v>2025</v>
      </c>
      <c r="AC166" s="64" t="s">
        <v>106</v>
      </c>
      <c r="AD166" s="80">
        <f>+BORDRO!J170</f>
        <v>15162</v>
      </c>
      <c r="AE166" s="75"/>
      <c r="AF166" s="75">
        <f>+BORDRO!K170</f>
        <v>2274.2999999999997</v>
      </c>
      <c r="AG166" s="75">
        <f>+BORDRO!L170</f>
        <v>2274.2999999999997</v>
      </c>
      <c r="AH166" s="80">
        <f>+BORDRO!M170</f>
        <v>0</v>
      </c>
      <c r="AI166" s="75">
        <f>+BORDRO!O170</f>
        <v>115.07958000000001</v>
      </c>
      <c r="AJ166" s="76">
        <f>+BORDRO!P170</f>
        <v>0</v>
      </c>
    </row>
    <row r="167" spans="1:36" ht="13.8" x14ac:dyDescent="0.25">
      <c r="A167" s="64" t="s">
        <v>51</v>
      </c>
      <c r="B167" s="119">
        <v>46</v>
      </c>
      <c r="C167" s="64" t="s">
        <v>52</v>
      </c>
      <c r="D167" s="64" t="s">
        <v>53</v>
      </c>
      <c r="E167" s="64" t="s">
        <v>53</v>
      </c>
      <c r="F167" s="65">
        <v>1494768</v>
      </c>
      <c r="G167" s="66" t="s">
        <v>105</v>
      </c>
      <c r="H167" s="64" t="s">
        <v>54</v>
      </c>
      <c r="I167" s="78"/>
      <c r="J167" s="67" t="str">
        <f>+Puantaj!C171</f>
        <v>10099823732</v>
      </c>
      <c r="K167" s="64" t="str">
        <f>+Puantaj!D171</f>
        <v>SUDE</v>
      </c>
      <c r="L167" s="64" t="str">
        <f>+Puantaj!E171</f>
        <v>AK</v>
      </c>
      <c r="M167" s="68">
        <f>+BORDRO!F171</f>
        <v>9</v>
      </c>
      <c r="N167" s="64"/>
      <c r="O167" s="79">
        <f>+BORDRO!G171</f>
        <v>9747</v>
      </c>
      <c r="P167" s="79">
        <v>0</v>
      </c>
      <c r="Q167" s="122"/>
      <c r="R167" s="69"/>
      <c r="S167" s="70"/>
      <c r="T167" s="70"/>
      <c r="U167" s="71"/>
      <c r="V167" s="72">
        <f t="shared" si="2"/>
        <v>22</v>
      </c>
      <c r="W167" s="73">
        <v>6</v>
      </c>
      <c r="X167" s="81" t="s">
        <v>99</v>
      </c>
      <c r="Y167" s="65">
        <v>2</v>
      </c>
      <c r="Z167" s="64" t="s">
        <v>51</v>
      </c>
      <c r="AA167" s="74" t="s">
        <v>781</v>
      </c>
      <c r="AB167" s="64">
        <v>2025</v>
      </c>
      <c r="AC167" s="64" t="s">
        <v>106</v>
      </c>
      <c r="AD167" s="80">
        <f>+BORDRO!J171</f>
        <v>9747</v>
      </c>
      <c r="AE167" s="75"/>
      <c r="AF167" s="75">
        <f>+BORDRO!K171</f>
        <v>1462.05</v>
      </c>
      <c r="AG167" s="75">
        <f>+BORDRO!L171</f>
        <v>1462.05</v>
      </c>
      <c r="AH167" s="80">
        <f>+BORDRO!M171</f>
        <v>0</v>
      </c>
      <c r="AI167" s="75">
        <f>+BORDRO!O171</f>
        <v>73.979730000000004</v>
      </c>
      <c r="AJ167" s="76">
        <f>+BORDRO!P171</f>
        <v>0</v>
      </c>
    </row>
    <row r="168" spans="1:36" ht="13.8" x14ac:dyDescent="0.25">
      <c r="A168" s="64" t="s">
        <v>51</v>
      </c>
      <c r="B168" s="120">
        <v>46</v>
      </c>
      <c r="C168" s="64" t="s">
        <v>52</v>
      </c>
      <c r="D168" s="64" t="s">
        <v>53</v>
      </c>
      <c r="E168" s="64" t="s">
        <v>53</v>
      </c>
      <c r="F168" s="65">
        <v>1494768</v>
      </c>
      <c r="G168" s="66" t="s">
        <v>105</v>
      </c>
      <c r="H168" s="64" t="s">
        <v>54</v>
      </c>
      <c r="I168" s="78"/>
      <c r="J168" s="67" t="str">
        <f>+Puantaj!C172</f>
        <v>71035053262</v>
      </c>
      <c r="K168" s="64" t="str">
        <f>+Puantaj!D172</f>
        <v>ŞEVVAL BÜŞRA</v>
      </c>
      <c r="L168" s="64" t="str">
        <f>+Puantaj!E172</f>
        <v>ALTUNDAĞ</v>
      </c>
      <c r="M168" s="68">
        <f>+BORDRO!F172</f>
        <v>14</v>
      </c>
      <c r="N168" s="64"/>
      <c r="O168" s="79">
        <f>+BORDRO!G172</f>
        <v>15162</v>
      </c>
      <c r="P168" s="79">
        <v>0</v>
      </c>
      <c r="Q168" s="122"/>
      <c r="R168" s="69"/>
      <c r="S168" s="70"/>
      <c r="T168" s="70"/>
      <c r="U168" s="71"/>
      <c r="V168" s="72">
        <f t="shared" si="2"/>
        <v>17</v>
      </c>
      <c r="W168" s="73">
        <v>6</v>
      </c>
      <c r="X168" s="81" t="s">
        <v>99</v>
      </c>
      <c r="Y168" s="65">
        <v>2</v>
      </c>
      <c r="Z168" s="64" t="s">
        <v>51</v>
      </c>
      <c r="AA168" s="74" t="s">
        <v>781</v>
      </c>
      <c r="AB168" s="64">
        <v>2025</v>
      </c>
      <c r="AC168" s="64" t="s">
        <v>106</v>
      </c>
      <c r="AD168" s="80">
        <f>+BORDRO!J172</f>
        <v>15162</v>
      </c>
      <c r="AE168" s="75"/>
      <c r="AF168" s="75">
        <f>+BORDRO!K172</f>
        <v>2274.2999999999997</v>
      </c>
      <c r="AG168" s="75">
        <f>+BORDRO!L172</f>
        <v>2274.2999999999997</v>
      </c>
      <c r="AH168" s="80">
        <f>+BORDRO!M172</f>
        <v>0</v>
      </c>
      <c r="AI168" s="75">
        <f>+BORDRO!O172</f>
        <v>115.07958000000001</v>
      </c>
      <c r="AJ168" s="76">
        <f>+BORDRO!P172</f>
        <v>0</v>
      </c>
    </row>
    <row r="169" spans="1:36" ht="13.8" x14ac:dyDescent="0.25">
      <c r="A169" s="64" t="s">
        <v>51</v>
      </c>
      <c r="B169" s="119">
        <v>46</v>
      </c>
      <c r="C169" s="64" t="s">
        <v>52</v>
      </c>
      <c r="D169" s="64" t="s">
        <v>53</v>
      </c>
      <c r="E169" s="64" t="s">
        <v>53</v>
      </c>
      <c r="F169" s="65">
        <v>1494768</v>
      </c>
      <c r="G169" s="66" t="s">
        <v>105</v>
      </c>
      <c r="H169" s="64" t="s">
        <v>54</v>
      </c>
      <c r="I169" s="78"/>
      <c r="J169" s="67" t="str">
        <f>+Puantaj!C173</f>
        <v>59413337814</v>
      </c>
      <c r="K169" s="64" t="str">
        <f>+Puantaj!D173</f>
        <v>ŞEVVAL</v>
      </c>
      <c r="L169" s="64" t="str">
        <f>+Puantaj!E173</f>
        <v>YILDIRIM</v>
      </c>
      <c r="M169" s="68">
        <f>+BORDRO!F173</f>
        <v>15</v>
      </c>
      <c r="N169" s="64"/>
      <c r="O169" s="79">
        <f>+BORDRO!G173</f>
        <v>16245</v>
      </c>
      <c r="P169" s="79">
        <v>0</v>
      </c>
      <c r="Q169" s="122"/>
      <c r="R169" s="69"/>
      <c r="S169" s="70"/>
      <c r="T169" s="70"/>
      <c r="U169" s="71"/>
      <c r="V169" s="72">
        <f t="shared" si="2"/>
        <v>16</v>
      </c>
      <c r="W169" s="73">
        <v>6</v>
      </c>
      <c r="X169" s="81" t="s">
        <v>99</v>
      </c>
      <c r="Y169" s="65">
        <v>2</v>
      </c>
      <c r="Z169" s="64" t="s">
        <v>51</v>
      </c>
      <c r="AA169" s="74" t="s">
        <v>781</v>
      </c>
      <c r="AB169" s="64">
        <v>2025</v>
      </c>
      <c r="AC169" s="64" t="s">
        <v>106</v>
      </c>
      <c r="AD169" s="80">
        <f>+BORDRO!J173</f>
        <v>16245</v>
      </c>
      <c r="AE169" s="75"/>
      <c r="AF169" s="75">
        <f>+BORDRO!K173</f>
        <v>2436.75</v>
      </c>
      <c r="AG169" s="75">
        <f>+BORDRO!L173</f>
        <v>2436.75</v>
      </c>
      <c r="AH169" s="80">
        <f>+BORDRO!M173</f>
        <v>0</v>
      </c>
      <c r="AI169" s="75">
        <f>+BORDRO!O173</f>
        <v>123.29955000000001</v>
      </c>
      <c r="AJ169" s="76">
        <f>+BORDRO!P173</f>
        <v>0</v>
      </c>
    </row>
    <row r="170" spans="1:36" ht="13.8" x14ac:dyDescent="0.25">
      <c r="A170" s="64" t="s">
        <v>51</v>
      </c>
      <c r="B170" s="120">
        <v>46</v>
      </c>
      <c r="C170" s="64" t="s">
        <v>52</v>
      </c>
      <c r="D170" s="64" t="s">
        <v>53</v>
      </c>
      <c r="E170" s="64" t="s">
        <v>53</v>
      </c>
      <c r="F170" s="65">
        <v>1494768</v>
      </c>
      <c r="G170" s="66" t="s">
        <v>105</v>
      </c>
      <c r="H170" s="64" t="s">
        <v>54</v>
      </c>
      <c r="I170" s="78"/>
      <c r="J170" s="67" t="str">
        <f>+Puantaj!C174</f>
        <v>15296140996</v>
      </c>
      <c r="K170" s="64" t="str">
        <f>+Puantaj!D174</f>
        <v>ŞUHEDA</v>
      </c>
      <c r="L170" s="64" t="str">
        <f>+Puantaj!E174</f>
        <v>TEMUR</v>
      </c>
      <c r="M170" s="68">
        <f>+BORDRO!F174</f>
        <v>15</v>
      </c>
      <c r="N170" s="64"/>
      <c r="O170" s="79">
        <f>+BORDRO!G174</f>
        <v>16245</v>
      </c>
      <c r="P170" s="79">
        <v>0</v>
      </c>
      <c r="Q170" s="122"/>
      <c r="R170" s="69"/>
      <c r="S170" s="70"/>
      <c r="T170" s="70"/>
      <c r="U170" s="71"/>
      <c r="V170" s="72">
        <f t="shared" si="2"/>
        <v>16</v>
      </c>
      <c r="W170" s="73">
        <v>6</v>
      </c>
      <c r="X170" s="81" t="s">
        <v>99</v>
      </c>
      <c r="Y170" s="65">
        <v>2</v>
      </c>
      <c r="Z170" s="64" t="s">
        <v>51</v>
      </c>
      <c r="AA170" s="74" t="s">
        <v>781</v>
      </c>
      <c r="AB170" s="64">
        <v>2025</v>
      </c>
      <c r="AC170" s="64" t="s">
        <v>106</v>
      </c>
      <c r="AD170" s="80">
        <f>+BORDRO!J174</f>
        <v>16245</v>
      </c>
      <c r="AE170" s="75"/>
      <c r="AF170" s="75">
        <f>+BORDRO!K174</f>
        <v>2436.75</v>
      </c>
      <c r="AG170" s="75">
        <f>+BORDRO!L174</f>
        <v>2436.75</v>
      </c>
      <c r="AH170" s="80">
        <f>+BORDRO!M174</f>
        <v>0</v>
      </c>
      <c r="AI170" s="75">
        <f>+BORDRO!O174</f>
        <v>123.29955000000001</v>
      </c>
      <c r="AJ170" s="76">
        <f>+BORDRO!P174</f>
        <v>0</v>
      </c>
    </row>
    <row r="171" spans="1:36" ht="13.8" x14ac:dyDescent="0.25">
      <c r="A171" s="64" t="s">
        <v>51</v>
      </c>
      <c r="B171" s="119">
        <v>46</v>
      </c>
      <c r="C171" s="64" t="s">
        <v>52</v>
      </c>
      <c r="D171" s="64" t="s">
        <v>53</v>
      </c>
      <c r="E171" s="64" t="s">
        <v>53</v>
      </c>
      <c r="F171" s="65">
        <v>1494768</v>
      </c>
      <c r="G171" s="66" t="s">
        <v>105</v>
      </c>
      <c r="H171" s="64" t="s">
        <v>54</v>
      </c>
      <c r="I171" s="78"/>
      <c r="J171" s="67" t="str">
        <f>+Puantaj!C175</f>
        <v>12507116610</v>
      </c>
      <c r="K171" s="64" t="str">
        <f>+Puantaj!D175</f>
        <v>ŞÜKRAN</v>
      </c>
      <c r="L171" s="64" t="str">
        <f>+Puantaj!E175</f>
        <v>YANIK</v>
      </c>
      <c r="M171" s="68">
        <f>+BORDRO!F175</f>
        <v>11</v>
      </c>
      <c r="N171" s="64"/>
      <c r="O171" s="79">
        <f>+BORDRO!G175</f>
        <v>11913</v>
      </c>
      <c r="P171" s="79">
        <v>0</v>
      </c>
      <c r="Q171" s="122"/>
      <c r="R171" s="69"/>
      <c r="S171" s="70"/>
      <c r="T171" s="70"/>
      <c r="U171" s="71"/>
      <c r="V171" s="72">
        <f t="shared" si="2"/>
        <v>20</v>
      </c>
      <c r="W171" s="73">
        <v>6</v>
      </c>
      <c r="X171" s="81" t="s">
        <v>99</v>
      </c>
      <c r="Y171" s="65">
        <v>2</v>
      </c>
      <c r="Z171" s="64" t="s">
        <v>51</v>
      </c>
      <c r="AA171" s="74" t="s">
        <v>781</v>
      </c>
      <c r="AB171" s="64">
        <v>2025</v>
      </c>
      <c r="AC171" s="64" t="s">
        <v>106</v>
      </c>
      <c r="AD171" s="80">
        <f>+BORDRO!J175</f>
        <v>11913</v>
      </c>
      <c r="AE171" s="75"/>
      <c r="AF171" s="75">
        <f>+BORDRO!K175</f>
        <v>1786.95</v>
      </c>
      <c r="AG171" s="75">
        <f>+BORDRO!L175</f>
        <v>1786.95</v>
      </c>
      <c r="AH171" s="80">
        <f>+BORDRO!M175</f>
        <v>0</v>
      </c>
      <c r="AI171" s="75">
        <f>+BORDRO!O175</f>
        <v>90.419670000000011</v>
      </c>
      <c r="AJ171" s="76">
        <f>+BORDRO!P175</f>
        <v>0</v>
      </c>
    </row>
    <row r="172" spans="1:36" ht="13.8" x14ac:dyDescent="0.25">
      <c r="A172" s="64" t="s">
        <v>51</v>
      </c>
      <c r="B172" s="120">
        <v>46</v>
      </c>
      <c r="C172" s="64" t="s">
        <v>52</v>
      </c>
      <c r="D172" s="64" t="s">
        <v>53</v>
      </c>
      <c r="E172" s="64" t="s">
        <v>53</v>
      </c>
      <c r="F172" s="65">
        <v>1494768</v>
      </c>
      <c r="G172" s="66" t="s">
        <v>105</v>
      </c>
      <c r="H172" s="64" t="s">
        <v>54</v>
      </c>
      <c r="I172" s="78"/>
      <c r="J172" s="67" t="str">
        <f>+Puantaj!C176</f>
        <v>16252658296</v>
      </c>
      <c r="K172" s="64" t="str">
        <f>+Puantaj!D176</f>
        <v>TAN KUTAY</v>
      </c>
      <c r="L172" s="64" t="str">
        <f>+Puantaj!E176</f>
        <v>DEMİRCİ</v>
      </c>
      <c r="M172" s="68">
        <f>+BORDRO!F176</f>
        <v>12</v>
      </c>
      <c r="N172" s="64"/>
      <c r="O172" s="79">
        <f>+BORDRO!G176</f>
        <v>12996</v>
      </c>
      <c r="P172" s="79">
        <v>0</v>
      </c>
      <c r="Q172" s="122"/>
      <c r="R172" s="69"/>
      <c r="S172" s="70"/>
      <c r="T172" s="70"/>
      <c r="U172" s="71"/>
      <c r="V172" s="72">
        <f t="shared" si="2"/>
        <v>19</v>
      </c>
      <c r="W172" s="73">
        <v>6</v>
      </c>
      <c r="X172" s="81" t="s">
        <v>99</v>
      </c>
      <c r="Y172" s="65">
        <v>2</v>
      </c>
      <c r="Z172" s="64" t="s">
        <v>51</v>
      </c>
      <c r="AA172" s="74" t="s">
        <v>781</v>
      </c>
      <c r="AB172" s="64">
        <v>2025</v>
      </c>
      <c r="AC172" s="64" t="s">
        <v>106</v>
      </c>
      <c r="AD172" s="80">
        <f>+BORDRO!J176</f>
        <v>12996</v>
      </c>
      <c r="AE172" s="75"/>
      <c r="AF172" s="75">
        <f>+BORDRO!K176</f>
        <v>1949.3999999999999</v>
      </c>
      <c r="AG172" s="75">
        <f>+BORDRO!L176</f>
        <v>1949.3999999999999</v>
      </c>
      <c r="AH172" s="80">
        <f>+BORDRO!M176</f>
        <v>0</v>
      </c>
      <c r="AI172" s="75">
        <f>+BORDRO!O176</f>
        <v>98.63964</v>
      </c>
      <c r="AJ172" s="76">
        <f>+BORDRO!P176</f>
        <v>0</v>
      </c>
    </row>
    <row r="173" spans="1:36" ht="13.8" x14ac:dyDescent="0.25">
      <c r="A173" s="64" t="s">
        <v>51</v>
      </c>
      <c r="B173" s="119">
        <v>46</v>
      </c>
      <c r="C173" s="64" t="s">
        <v>52</v>
      </c>
      <c r="D173" s="64" t="s">
        <v>53</v>
      </c>
      <c r="E173" s="64" t="s">
        <v>53</v>
      </c>
      <c r="F173" s="65">
        <v>1494768</v>
      </c>
      <c r="G173" s="66" t="s">
        <v>105</v>
      </c>
      <c r="H173" s="64" t="s">
        <v>54</v>
      </c>
      <c r="I173" s="78"/>
      <c r="J173" s="67" t="str">
        <f>+Puantaj!C177</f>
        <v>22685042762</v>
      </c>
      <c r="K173" s="64" t="str">
        <f>+Puantaj!D177</f>
        <v>TARIK</v>
      </c>
      <c r="L173" s="64" t="str">
        <f>+Puantaj!E177</f>
        <v>KAYA</v>
      </c>
      <c r="M173" s="68">
        <f>+BORDRO!F177</f>
        <v>15</v>
      </c>
      <c r="N173" s="64"/>
      <c r="O173" s="79">
        <f>+BORDRO!G177</f>
        <v>16245</v>
      </c>
      <c r="P173" s="79">
        <v>0</v>
      </c>
      <c r="Q173" s="122"/>
      <c r="R173" s="69"/>
      <c r="S173" s="70"/>
      <c r="T173" s="70"/>
      <c r="U173" s="71"/>
      <c r="V173" s="72">
        <f t="shared" si="2"/>
        <v>16</v>
      </c>
      <c r="W173" s="73">
        <v>6</v>
      </c>
      <c r="X173" s="81" t="s">
        <v>99</v>
      </c>
      <c r="Y173" s="65">
        <v>2</v>
      </c>
      <c r="Z173" s="64" t="s">
        <v>51</v>
      </c>
      <c r="AA173" s="74" t="s">
        <v>781</v>
      </c>
      <c r="AB173" s="64">
        <v>2025</v>
      </c>
      <c r="AC173" s="64" t="s">
        <v>106</v>
      </c>
      <c r="AD173" s="80">
        <f>+BORDRO!J177</f>
        <v>16245</v>
      </c>
      <c r="AE173" s="75"/>
      <c r="AF173" s="75">
        <f>+BORDRO!K177</f>
        <v>2436.75</v>
      </c>
      <c r="AG173" s="75">
        <f>+BORDRO!L177</f>
        <v>2436.75</v>
      </c>
      <c r="AH173" s="80">
        <f>+BORDRO!M177</f>
        <v>0</v>
      </c>
      <c r="AI173" s="75">
        <f>+BORDRO!O177</f>
        <v>123.29955000000001</v>
      </c>
      <c r="AJ173" s="76">
        <f>+BORDRO!P177</f>
        <v>0</v>
      </c>
    </row>
    <row r="174" spans="1:36" ht="13.8" x14ac:dyDescent="0.25">
      <c r="A174" s="64" t="s">
        <v>51</v>
      </c>
      <c r="B174" s="120">
        <v>46</v>
      </c>
      <c r="C174" s="64" t="s">
        <v>52</v>
      </c>
      <c r="D174" s="64" t="s">
        <v>53</v>
      </c>
      <c r="E174" s="64" t="s">
        <v>53</v>
      </c>
      <c r="F174" s="65">
        <v>1494768</v>
      </c>
      <c r="G174" s="66" t="s">
        <v>105</v>
      </c>
      <c r="H174" s="64" t="s">
        <v>54</v>
      </c>
      <c r="I174" s="78"/>
      <c r="J174" s="67" t="str">
        <f>+Puantaj!C178</f>
        <v>33574013466</v>
      </c>
      <c r="K174" s="64" t="str">
        <f>+Puantaj!D178</f>
        <v>TUANA</v>
      </c>
      <c r="L174" s="64" t="str">
        <f>+Puantaj!E178</f>
        <v>AY</v>
      </c>
      <c r="M174" s="68">
        <f>+BORDRO!F178</f>
        <v>12</v>
      </c>
      <c r="N174" s="64"/>
      <c r="O174" s="79">
        <f>+BORDRO!G178</f>
        <v>12996</v>
      </c>
      <c r="P174" s="79">
        <v>0</v>
      </c>
      <c r="Q174" s="122"/>
      <c r="R174" s="69"/>
      <c r="S174" s="70"/>
      <c r="T174" s="70"/>
      <c r="U174" s="71"/>
      <c r="V174" s="72">
        <f t="shared" si="2"/>
        <v>19</v>
      </c>
      <c r="W174" s="73">
        <v>6</v>
      </c>
      <c r="X174" s="81" t="s">
        <v>99</v>
      </c>
      <c r="Y174" s="65">
        <v>2</v>
      </c>
      <c r="Z174" s="64" t="s">
        <v>51</v>
      </c>
      <c r="AA174" s="74" t="s">
        <v>781</v>
      </c>
      <c r="AB174" s="64">
        <v>2025</v>
      </c>
      <c r="AC174" s="64" t="s">
        <v>106</v>
      </c>
      <c r="AD174" s="80">
        <f>+BORDRO!J178</f>
        <v>12996</v>
      </c>
      <c r="AE174" s="75"/>
      <c r="AF174" s="75">
        <f>+BORDRO!K178</f>
        <v>1949.3999999999999</v>
      </c>
      <c r="AG174" s="75">
        <f>+BORDRO!L178</f>
        <v>1949.3999999999999</v>
      </c>
      <c r="AH174" s="80">
        <f>+BORDRO!M178</f>
        <v>0</v>
      </c>
      <c r="AI174" s="75">
        <f>+BORDRO!O178</f>
        <v>98.63964</v>
      </c>
      <c r="AJ174" s="76">
        <f>+BORDRO!P178</f>
        <v>0</v>
      </c>
    </row>
    <row r="175" spans="1:36" ht="13.8" x14ac:dyDescent="0.25">
      <c r="A175" s="64" t="s">
        <v>51</v>
      </c>
      <c r="B175" s="119">
        <v>46</v>
      </c>
      <c r="C175" s="64" t="s">
        <v>52</v>
      </c>
      <c r="D175" s="64" t="s">
        <v>53</v>
      </c>
      <c r="E175" s="64" t="s">
        <v>53</v>
      </c>
      <c r="F175" s="65">
        <v>1494768</v>
      </c>
      <c r="G175" s="66" t="s">
        <v>105</v>
      </c>
      <c r="H175" s="64" t="s">
        <v>54</v>
      </c>
      <c r="I175" s="78"/>
      <c r="J175" s="67" t="str">
        <f>+Puantaj!C179</f>
        <v>17923740340</v>
      </c>
      <c r="K175" s="64" t="str">
        <f>+Puantaj!D179</f>
        <v>TUBANUR</v>
      </c>
      <c r="L175" s="64" t="str">
        <f>+Puantaj!E179</f>
        <v>GÖLCÜ</v>
      </c>
      <c r="M175" s="68">
        <f>+BORDRO!F179</f>
        <v>13</v>
      </c>
      <c r="N175" s="64"/>
      <c r="O175" s="79">
        <f>+BORDRO!G179</f>
        <v>14079</v>
      </c>
      <c r="P175" s="79">
        <v>0</v>
      </c>
      <c r="Q175" s="122"/>
      <c r="R175" s="69"/>
      <c r="S175" s="70"/>
      <c r="T175" s="70"/>
      <c r="U175" s="71"/>
      <c r="V175" s="72">
        <f t="shared" si="2"/>
        <v>18</v>
      </c>
      <c r="W175" s="73">
        <v>6</v>
      </c>
      <c r="X175" s="81" t="s">
        <v>99</v>
      </c>
      <c r="Y175" s="65">
        <v>2</v>
      </c>
      <c r="Z175" s="64" t="s">
        <v>51</v>
      </c>
      <c r="AA175" s="74" t="s">
        <v>781</v>
      </c>
      <c r="AB175" s="64">
        <v>2025</v>
      </c>
      <c r="AC175" s="64" t="s">
        <v>106</v>
      </c>
      <c r="AD175" s="80">
        <f>+BORDRO!J179</f>
        <v>14079</v>
      </c>
      <c r="AE175" s="75"/>
      <c r="AF175" s="75">
        <f>+BORDRO!K179</f>
        <v>2111.85</v>
      </c>
      <c r="AG175" s="75">
        <f>+BORDRO!L179</f>
        <v>2111.85</v>
      </c>
      <c r="AH175" s="80">
        <f>+BORDRO!M179</f>
        <v>0</v>
      </c>
      <c r="AI175" s="75">
        <f>+BORDRO!O179</f>
        <v>106.85961</v>
      </c>
      <c r="AJ175" s="76">
        <f>+BORDRO!P179</f>
        <v>0</v>
      </c>
    </row>
    <row r="176" spans="1:36" ht="13.8" x14ac:dyDescent="0.25">
      <c r="A176" s="64" t="s">
        <v>51</v>
      </c>
      <c r="B176" s="120">
        <v>46</v>
      </c>
      <c r="C176" s="64" t="s">
        <v>52</v>
      </c>
      <c r="D176" s="64" t="s">
        <v>53</v>
      </c>
      <c r="E176" s="64" t="s">
        <v>53</v>
      </c>
      <c r="F176" s="65">
        <v>1494768</v>
      </c>
      <c r="G176" s="66" t="s">
        <v>105</v>
      </c>
      <c r="H176" s="64" t="s">
        <v>54</v>
      </c>
      <c r="I176" s="78"/>
      <c r="J176" s="67" t="str">
        <f>+Puantaj!C180</f>
        <v>38440624326</v>
      </c>
      <c r="K176" s="64" t="str">
        <f>+Puantaj!D180</f>
        <v>UĞUR KEMAL</v>
      </c>
      <c r="L176" s="64" t="str">
        <f>+Puantaj!E180</f>
        <v>DURNA</v>
      </c>
      <c r="M176" s="68">
        <f>+BORDRO!F180</f>
        <v>14</v>
      </c>
      <c r="N176" s="64"/>
      <c r="O176" s="79">
        <f>+BORDRO!G180</f>
        <v>15162</v>
      </c>
      <c r="P176" s="79">
        <v>0</v>
      </c>
      <c r="Q176" s="122"/>
      <c r="R176" s="69"/>
      <c r="S176" s="70"/>
      <c r="T176" s="70"/>
      <c r="U176" s="71"/>
      <c r="V176" s="72">
        <f t="shared" si="2"/>
        <v>17</v>
      </c>
      <c r="W176" s="73">
        <v>6</v>
      </c>
      <c r="X176" s="81" t="s">
        <v>99</v>
      </c>
      <c r="Y176" s="65">
        <v>2</v>
      </c>
      <c r="Z176" s="64" t="s">
        <v>51</v>
      </c>
      <c r="AA176" s="74" t="s">
        <v>781</v>
      </c>
      <c r="AB176" s="64">
        <v>2025</v>
      </c>
      <c r="AC176" s="64" t="s">
        <v>106</v>
      </c>
      <c r="AD176" s="80">
        <f>+BORDRO!J180</f>
        <v>15162</v>
      </c>
      <c r="AE176" s="75"/>
      <c r="AF176" s="75">
        <f>+BORDRO!K180</f>
        <v>2274.2999999999997</v>
      </c>
      <c r="AG176" s="75">
        <f>+BORDRO!L180</f>
        <v>2274.2999999999997</v>
      </c>
      <c r="AH176" s="80">
        <f>+BORDRO!M180</f>
        <v>0</v>
      </c>
      <c r="AI176" s="75">
        <f>+BORDRO!O180</f>
        <v>115.07958000000001</v>
      </c>
      <c r="AJ176" s="76">
        <f>+BORDRO!P180</f>
        <v>0</v>
      </c>
    </row>
    <row r="177" spans="1:36" ht="13.8" x14ac:dyDescent="0.25">
      <c r="A177" s="64" t="s">
        <v>51</v>
      </c>
      <c r="B177" s="119">
        <v>46</v>
      </c>
      <c r="C177" s="64" t="s">
        <v>52</v>
      </c>
      <c r="D177" s="64" t="s">
        <v>53</v>
      </c>
      <c r="E177" s="64" t="s">
        <v>53</v>
      </c>
      <c r="F177" s="65">
        <v>1494768</v>
      </c>
      <c r="G177" s="66" t="s">
        <v>105</v>
      </c>
      <c r="H177" s="64" t="s">
        <v>54</v>
      </c>
      <c r="I177" s="78"/>
      <c r="J177" s="67" t="str">
        <f>+Puantaj!C181</f>
        <v>12855005062</v>
      </c>
      <c r="K177" s="64" t="str">
        <f>+Puantaj!D181</f>
        <v>YAĞMUR</v>
      </c>
      <c r="L177" s="64" t="str">
        <f>+Puantaj!E181</f>
        <v>BAŞER</v>
      </c>
      <c r="M177" s="68">
        <f>+BORDRO!F181</f>
        <v>13</v>
      </c>
      <c r="N177" s="64"/>
      <c r="O177" s="79">
        <f>+BORDRO!G181</f>
        <v>14079</v>
      </c>
      <c r="P177" s="79">
        <v>0</v>
      </c>
      <c r="Q177" s="122"/>
      <c r="R177" s="69"/>
      <c r="S177" s="70"/>
      <c r="T177" s="70"/>
      <c r="U177" s="71"/>
      <c r="V177" s="72">
        <f t="shared" si="2"/>
        <v>18</v>
      </c>
      <c r="W177" s="73">
        <v>6</v>
      </c>
      <c r="X177" s="81" t="s">
        <v>99</v>
      </c>
      <c r="Y177" s="65">
        <v>2</v>
      </c>
      <c r="Z177" s="64" t="s">
        <v>51</v>
      </c>
      <c r="AA177" s="74" t="s">
        <v>781</v>
      </c>
      <c r="AB177" s="64">
        <v>2025</v>
      </c>
      <c r="AC177" s="64" t="s">
        <v>106</v>
      </c>
      <c r="AD177" s="80">
        <f>+BORDRO!J181</f>
        <v>14079</v>
      </c>
      <c r="AE177" s="75"/>
      <c r="AF177" s="75">
        <f>+BORDRO!K181</f>
        <v>2111.85</v>
      </c>
      <c r="AG177" s="75">
        <f>+BORDRO!L181</f>
        <v>2111.85</v>
      </c>
      <c r="AH177" s="80">
        <f>+BORDRO!M181</f>
        <v>0</v>
      </c>
      <c r="AI177" s="75">
        <f>+BORDRO!O181</f>
        <v>106.85961</v>
      </c>
      <c r="AJ177" s="76">
        <f>+BORDRO!P181</f>
        <v>0</v>
      </c>
    </row>
    <row r="178" spans="1:36" ht="13.8" x14ac:dyDescent="0.25">
      <c r="A178" s="64" t="s">
        <v>51</v>
      </c>
      <c r="B178" s="120">
        <v>46</v>
      </c>
      <c r="C178" s="64" t="s">
        <v>52</v>
      </c>
      <c r="D178" s="64" t="s">
        <v>53</v>
      </c>
      <c r="E178" s="64" t="s">
        <v>53</v>
      </c>
      <c r="F178" s="65">
        <v>1494768</v>
      </c>
      <c r="G178" s="66" t="s">
        <v>105</v>
      </c>
      <c r="H178" s="64" t="s">
        <v>54</v>
      </c>
      <c r="I178" s="78"/>
      <c r="J178" s="67" t="str">
        <f>+Puantaj!C182</f>
        <v>12517226354</v>
      </c>
      <c r="K178" s="64" t="str">
        <f>+Puantaj!D182</f>
        <v>YAĞMUR</v>
      </c>
      <c r="L178" s="64" t="str">
        <f>+Puantaj!E182</f>
        <v>GEÇİCİ</v>
      </c>
      <c r="M178" s="68">
        <f>+BORDRO!F182</f>
        <v>12</v>
      </c>
      <c r="N178" s="64"/>
      <c r="O178" s="79">
        <f>+BORDRO!G182</f>
        <v>12996</v>
      </c>
      <c r="P178" s="79">
        <v>0</v>
      </c>
      <c r="Q178" s="122"/>
      <c r="R178" s="69"/>
      <c r="S178" s="70"/>
      <c r="T178" s="70"/>
      <c r="U178" s="71"/>
      <c r="V178" s="72">
        <f t="shared" si="2"/>
        <v>19</v>
      </c>
      <c r="W178" s="73">
        <v>6</v>
      </c>
      <c r="X178" s="81" t="s">
        <v>99</v>
      </c>
      <c r="Y178" s="65">
        <v>2</v>
      </c>
      <c r="Z178" s="64" t="s">
        <v>51</v>
      </c>
      <c r="AA178" s="74" t="s">
        <v>781</v>
      </c>
      <c r="AB178" s="64">
        <v>2025</v>
      </c>
      <c r="AC178" s="64" t="s">
        <v>106</v>
      </c>
      <c r="AD178" s="80">
        <f>+BORDRO!J182</f>
        <v>12996</v>
      </c>
      <c r="AE178" s="75"/>
      <c r="AF178" s="75">
        <f>+BORDRO!K182</f>
        <v>1949.3999999999999</v>
      </c>
      <c r="AG178" s="75">
        <f>+BORDRO!L182</f>
        <v>1949.3999999999999</v>
      </c>
      <c r="AH178" s="80">
        <f>+BORDRO!M182</f>
        <v>0</v>
      </c>
      <c r="AI178" s="75">
        <f>+BORDRO!O182</f>
        <v>98.63964</v>
      </c>
      <c r="AJ178" s="76">
        <f>+BORDRO!P182</f>
        <v>0</v>
      </c>
    </row>
    <row r="179" spans="1:36" ht="13.8" x14ac:dyDescent="0.25">
      <c r="A179" s="64" t="s">
        <v>51</v>
      </c>
      <c r="B179" s="119">
        <v>46</v>
      </c>
      <c r="C179" s="64" t="s">
        <v>52</v>
      </c>
      <c r="D179" s="64" t="s">
        <v>53</v>
      </c>
      <c r="E179" s="64" t="s">
        <v>53</v>
      </c>
      <c r="F179" s="65">
        <v>1494768</v>
      </c>
      <c r="G179" s="66" t="s">
        <v>105</v>
      </c>
      <c r="H179" s="64" t="s">
        <v>54</v>
      </c>
      <c r="I179" s="78"/>
      <c r="J179" s="67" t="str">
        <f>+Puantaj!C183</f>
        <v>26182732720</v>
      </c>
      <c r="K179" s="64" t="str">
        <f>+Puantaj!D183</f>
        <v>YAĞMUR</v>
      </c>
      <c r="L179" s="64" t="str">
        <f>+Puantaj!E183</f>
        <v>ILGIN</v>
      </c>
      <c r="M179" s="68">
        <f>+BORDRO!F183</f>
        <v>12</v>
      </c>
      <c r="N179" s="64"/>
      <c r="O179" s="79">
        <f>+BORDRO!G183</f>
        <v>12996</v>
      </c>
      <c r="P179" s="79">
        <v>0</v>
      </c>
      <c r="Q179" s="122"/>
      <c r="R179" s="69"/>
      <c r="S179" s="70"/>
      <c r="T179" s="70"/>
      <c r="U179" s="71"/>
      <c r="V179" s="72">
        <f t="shared" si="2"/>
        <v>19</v>
      </c>
      <c r="W179" s="73">
        <v>6</v>
      </c>
      <c r="X179" s="81" t="s">
        <v>99</v>
      </c>
      <c r="Y179" s="65">
        <v>2</v>
      </c>
      <c r="Z179" s="64" t="s">
        <v>51</v>
      </c>
      <c r="AA179" s="74" t="s">
        <v>781</v>
      </c>
      <c r="AB179" s="64">
        <v>2025</v>
      </c>
      <c r="AC179" s="64" t="s">
        <v>106</v>
      </c>
      <c r="AD179" s="80">
        <f>+BORDRO!J183</f>
        <v>12996</v>
      </c>
      <c r="AE179" s="75"/>
      <c r="AF179" s="75">
        <f>+BORDRO!K183</f>
        <v>1949.3999999999999</v>
      </c>
      <c r="AG179" s="75">
        <f>+BORDRO!L183</f>
        <v>1949.3999999999999</v>
      </c>
      <c r="AH179" s="80">
        <f>+BORDRO!M183</f>
        <v>0</v>
      </c>
      <c r="AI179" s="75">
        <f>+BORDRO!O183</f>
        <v>98.63964</v>
      </c>
      <c r="AJ179" s="76">
        <f>+BORDRO!P183</f>
        <v>0</v>
      </c>
    </row>
    <row r="180" spans="1:36" ht="13.8" x14ac:dyDescent="0.25">
      <c r="A180" s="64" t="s">
        <v>51</v>
      </c>
      <c r="B180" s="120">
        <v>46</v>
      </c>
      <c r="C180" s="64" t="s">
        <v>52</v>
      </c>
      <c r="D180" s="64" t="s">
        <v>53</v>
      </c>
      <c r="E180" s="64" t="s">
        <v>53</v>
      </c>
      <c r="F180" s="65">
        <v>1494768</v>
      </c>
      <c r="G180" s="66" t="s">
        <v>105</v>
      </c>
      <c r="H180" s="64" t="s">
        <v>54</v>
      </c>
      <c r="I180" s="78"/>
      <c r="J180" s="67" t="str">
        <f>+Puantaj!C184</f>
        <v>17620702016</v>
      </c>
      <c r="K180" s="64" t="str">
        <f>+Puantaj!D184</f>
        <v>YAREN</v>
      </c>
      <c r="L180" s="64" t="str">
        <f>+Puantaj!E184</f>
        <v>BAL</v>
      </c>
      <c r="M180" s="68">
        <f>+BORDRO!F184</f>
        <v>14</v>
      </c>
      <c r="N180" s="64"/>
      <c r="O180" s="79">
        <f>+BORDRO!G184</f>
        <v>15162</v>
      </c>
      <c r="P180" s="79">
        <v>0</v>
      </c>
      <c r="Q180" s="122"/>
      <c r="R180" s="69"/>
      <c r="S180" s="70"/>
      <c r="T180" s="70"/>
      <c r="U180" s="71"/>
      <c r="V180" s="72">
        <f t="shared" si="2"/>
        <v>17</v>
      </c>
      <c r="W180" s="73">
        <v>6</v>
      </c>
      <c r="X180" s="81" t="s">
        <v>99</v>
      </c>
      <c r="Y180" s="65">
        <v>2</v>
      </c>
      <c r="Z180" s="64" t="s">
        <v>51</v>
      </c>
      <c r="AA180" s="74" t="s">
        <v>781</v>
      </c>
      <c r="AB180" s="64">
        <v>2025</v>
      </c>
      <c r="AC180" s="64" t="s">
        <v>106</v>
      </c>
      <c r="AD180" s="80">
        <f>+BORDRO!J184</f>
        <v>15162</v>
      </c>
      <c r="AE180" s="75"/>
      <c r="AF180" s="75">
        <f>+BORDRO!K184</f>
        <v>2274.2999999999997</v>
      </c>
      <c r="AG180" s="75">
        <f>+BORDRO!L184</f>
        <v>2274.2999999999997</v>
      </c>
      <c r="AH180" s="80">
        <f>+BORDRO!M184</f>
        <v>0</v>
      </c>
      <c r="AI180" s="75">
        <f>+BORDRO!O184</f>
        <v>115.07958000000001</v>
      </c>
      <c r="AJ180" s="76">
        <f>+BORDRO!P184</f>
        <v>0</v>
      </c>
    </row>
    <row r="181" spans="1:36" ht="13.8" x14ac:dyDescent="0.25">
      <c r="A181" s="64" t="s">
        <v>51</v>
      </c>
      <c r="B181" s="119">
        <v>46</v>
      </c>
      <c r="C181" s="64" t="s">
        <v>52</v>
      </c>
      <c r="D181" s="64" t="s">
        <v>53</v>
      </c>
      <c r="E181" s="64" t="s">
        <v>53</v>
      </c>
      <c r="F181" s="65">
        <v>1494768</v>
      </c>
      <c r="G181" s="66" t="s">
        <v>105</v>
      </c>
      <c r="H181" s="64" t="s">
        <v>54</v>
      </c>
      <c r="I181" s="78"/>
      <c r="J181" s="67" t="str">
        <f>+Puantaj!C185</f>
        <v>10196736362</v>
      </c>
      <c r="K181" s="64" t="str">
        <f>+Puantaj!D185</f>
        <v>YASİN</v>
      </c>
      <c r="L181" s="64" t="str">
        <f>+Puantaj!E185</f>
        <v>KURTTEKİN</v>
      </c>
      <c r="M181" s="68">
        <f>+BORDRO!F185</f>
        <v>14</v>
      </c>
      <c r="N181" s="64"/>
      <c r="O181" s="79">
        <f>+BORDRO!G185</f>
        <v>15162</v>
      </c>
      <c r="P181" s="79">
        <v>0</v>
      </c>
      <c r="Q181" s="122"/>
      <c r="R181" s="69"/>
      <c r="S181" s="70"/>
      <c r="T181" s="70"/>
      <c r="U181" s="71"/>
      <c r="V181" s="72">
        <f t="shared" si="2"/>
        <v>17</v>
      </c>
      <c r="W181" s="73">
        <v>6</v>
      </c>
      <c r="X181" s="81" t="s">
        <v>99</v>
      </c>
      <c r="Y181" s="65">
        <v>2</v>
      </c>
      <c r="Z181" s="64" t="s">
        <v>51</v>
      </c>
      <c r="AA181" s="74" t="s">
        <v>781</v>
      </c>
      <c r="AB181" s="64">
        <v>2025</v>
      </c>
      <c r="AC181" s="64" t="s">
        <v>106</v>
      </c>
      <c r="AD181" s="80">
        <f>+BORDRO!J185</f>
        <v>15162</v>
      </c>
      <c r="AE181" s="75"/>
      <c r="AF181" s="75">
        <f>+BORDRO!K185</f>
        <v>2274.2999999999997</v>
      </c>
      <c r="AG181" s="75">
        <f>+BORDRO!L185</f>
        <v>2274.2999999999997</v>
      </c>
      <c r="AH181" s="80">
        <f>+BORDRO!M185</f>
        <v>0</v>
      </c>
      <c r="AI181" s="75">
        <f>+BORDRO!O185</f>
        <v>115.07958000000001</v>
      </c>
      <c r="AJ181" s="76">
        <f>+BORDRO!P185</f>
        <v>0</v>
      </c>
    </row>
    <row r="182" spans="1:36" ht="13.8" x14ac:dyDescent="0.25">
      <c r="A182" s="64" t="s">
        <v>51</v>
      </c>
      <c r="B182" s="120">
        <v>46</v>
      </c>
      <c r="C182" s="64" t="s">
        <v>52</v>
      </c>
      <c r="D182" s="64" t="s">
        <v>53</v>
      </c>
      <c r="E182" s="64" t="s">
        <v>53</v>
      </c>
      <c r="F182" s="65">
        <v>1494768</v>
      </c>
      <c r="G182" s="66" t="s">
        <v>105</v>
      </c>
      <c r="H182" s="64" t="s">
        <v>54</v>
      </c>
      <c r="I182" s="78"/>
      <c r="J182" s="67" t="str">
        <f>+Puantaj!C186</f>
        <v>11168576870</v>
      </c>
      <c r="K182" s="64" t="str">
        <f>+Puantaj!D186</f>
        <v>YİĞİT ALP</v>
      </c>
      <c r="L182" s="64" t="str">
        <f>+Puantaj!E186</f>
        <v>ÖZMEN</v>
      </c>
      <c r="M182" s="68">
        <f>+BORDRO!F186</f>
        <v>7</v>
      </c>
      <c r="N182" s="64"/>
      <c r="O182" s="79">
        <f>+BORDRO!G186</f>
        <v>7581</v>
      </c>
      <c r="P182" s="79">
        <v>0</v>
      </c>
      <c r="Q182" s="122"/>
      <c r="R182" s="69"/>
      <c r="S182" s="70"/>
      <c r="T182" s="70"/>
      <c r="U182" s="71"/>
      <c r="V182" s="72">
        <f t="shared" si="2"/>
        <v>24</v>
      </c>
      <c r="W182" s="73">
        <v>6</v>
      </c>
      <c r="X182" s="81" t="s">
        <v>99</v>
      </c>
      <c r="Y182" s="65">
        <v>2</v>
      </c>
      <c r="Z182" s="64" t="s">
        <v>51</v>
      </c>
      <c r="AA182" s="74" t="s">
        <v>781</v>
      </c>
      <c r="AB182" s="64">
        <v>2025</v>
      </c>
      <c r="AC182" s="64" t="s">
        <v>106</v>
      </c>
      <c r="AD182" s="80">
        <f>+BORDRO!J186</f>
        <v>7581</v>
      </c>
      <c r="AE182" s="75"/>
      <c r="AF182" s="75">
        <f>+BORDRO!K186</f>
        <v>1137.1499999999999</v>
      </c>
      <c r="AG182" s="75">
        <f>+BORDRO!L186</f>
        <v>1137.1499999999999</v>
      </c>
      <c r="AH182" s="80">
        <f>+BORDRO!M186</f>
        <v>0</v>
      </c>
      <c r="AI182" s="75">
        <f>+BORDRO!O186</f>
        <v>57.539790000000004</v>
      </c>
      <c r="AJ182" s="76">
        <f>+BORDRO!P186</f>
        <v>0</v>
      </c>
    </row>
    <row r="183" spans="1:36" ht="13.8" x14ac:dyDescent="0.25">
      <c r="A183" s="64" t="s">
        <v>51</v>
      </c>
      <c r="B183" s="119">
        <v>46</v>
      </c>
      <c r="C183" s="64" t="s">
        <v>52</v>
      </c>
      <c r="D183" s="64" t="s">
        <v>53</v>
      </c>
      <c r="E183" s="64" t="s">
        <v>53</v>
      </c>
      <c r="F183" s="65">
        <v>1494768</v>
      </c>
      <c r="G183" s="66" t="s">
        <v>105</v>
      </c>
      <c r="H183" s="64" t="s">
        <v>54</v>
      </c>
      <c r="I183" s="78"/>
      <c r="J183" s="67" t="str">
        <f>+Puantaj!C187</f>
        <v>14771083360</v>
      </c>
      <c r="K183" s="64" t="str">
        <f>+Puantaj!D187</f>
        <v>YUNUS EFDAL</v>
      </c>
      <c r="L183" s="64" t="str">
        <f>+Puantaj!E187</f>
        <v>ÇELİK</v>
      </c>
      <c r="M183" s="68">
        <f>+BORDRO!F187</f>
        <v>12</v>
      </c>
      <c r="N183" s="64"/>
      <c r="O183" s="79">
        <f>+BORDRO!G187</f>
        <v>12996</v>
      </c>
      <c r="P183" s="79">
        <v>0</v>
      </c>
      <c r="Q183" s="122"/>
      <c r="R183" s="69"/>
      <c r="S183" s="70"/>
      <c r="T183" s="70"/>
      <c r="U183" s="71"/>
      <c r="V183" s="72">
        <f t="shared" si="2"/>
        <v>19</v>
      </c>
      <c r="W183" s="73">
        <v>6</v>
      </c>
      <c r="X183" s="81" t="s">
        <v>99</v>
      </c>
      <c r="Y183" s="65">
        <v>2</v>
      </c>
      <c r="Z183" s="64" t="s">
        <v>51</v>
      </c>
      <c r="AA183" s="74" t="s">
        <v>781</v>
      </c>
      <c r="AB183" s="64">
        <v>2025</v>
      </c>
      <c r="AC183" s="64" t="s">
        <v>106</v>
      </c>
      <c r="AD183" s="80">
        <f>+BORDRO!J187</f>
        <v>12996</v>
      </c>
      <c r="AE183" s="75"/>
      <c r="AF183" s="75">
        <f>+BORDRO!K187</f>
        <v>1949.3999999999999</v>
      </c>
      <c r="AG183" s="75">
        <f>+BORDRO!L187</f>
        <v>1949.3999999999999</v>
      </c>
      <c r="AH183" s="80">
        <f>+BORDRO!M187</f>
        <v>0</v>
      </c>
      <c r="AI183" s="75">
        <f>+BORDRO!O187</f>
        <v>98.63964</v>
      </c>
      <c r="AJ183" s="76">
        <f>+BORDRO!P187</f>
        <v>0</v>
      </c>
    </row>
    <row r="184" spans="1:36" ht="13.8" x14ac:dyDescent="0.25">
      <c r="A184" s="64" t="s">
        <v>51</v>
      </c>
      <c r="B184" s="120">
        <v>46</v>
      </c>
      <c r="C184" s="64" t="s">
        <v>52</v>
      </c>
      <c r="D184" s="64" t="s">
        <v>53</v>
      </c>
      <c r="E184" s="64" t="s">
        <v>53</v>
      </c>
      <c r="F184" s="65">
        <v>1494768</v>
      </c>
      <c r="G184" s="66" t="s">
        <v>105</v>
      </c>
      <c r="H184" s="64" t="s">
        <v>54</v>
      </c>
      <c r="I184" s="78"/>
      <c r="J184" s="67" t="str">
        <f>+Puantaj!C188</f>
        <v>29677892268</v>
      </c>
      <c r="K184" s="64" t="str">
        <f>+Puantaj!D188</f>
        <v>YUNUS EMRE</v>
      </c>
      <c r="L184" s="64" t="str">
        <f>+Puantaj!E188</f>
        <v>TOGAÇ</v>
      </c>
      <c r="M184" s="68">
        <f>+BORDRO!F188</f>
        <v>14</v>
      </c>
      <c r="N184" s="64"/>
      <c r="O184" s="79">
        <f>+BORDRO!G188</f>
        <v>15162</v>
      </c>
      <c r="P184" s="79">
        <v>0</v>
      </c>
      <c r="Q184" s="122"/>
      <c r="R184" s="69"/>
      <c r="S184" s="70"/>
      <c r="T184" s="70"/>
      <c r="U184" s="71"/>
      <c r="V184" s="72">
        <f t="shared" si="2"/>
        <v>17</v>
      </c>
      <c r="W184" s="73">
        <v>6</v>
      </c>
      <c r="X184" s="81" t="s">
        <v>99</v>
      </c>
      <c r="Y184" s="65">
        <v>2</v>
      </c>
      <c r="Z184" s="64" t="s">
        <v>51</v>
      </c>
      <c r="AA184" s="74" t="s">
        <v>781</v>
      </c>
      <c r="AB184" s="64">
        <v>2025</v>
      </c>
      <c r="AC184" s="64" t="s">
        <v>106</v>
      </c>
      <c r="AD184" s="80">
        <f>+BORDRO!J188</f>
        <v>15162</v>
      </c>
      <c r="AE184" s="75"/>
      <c r="AF184" s="75">
        <f>+BORDRO!K188</f>
        <v>2274.2999999999997</v>
      </c>
      <c r="AG184" s="75">
        <f>+BORDRO!L188</f>
        <v>2274.2999999999997</v>
      </c>
      <c r="AH184" s="80">
        <f>+BORDRO!M188</f>
        <v>0</v>
      </c>
      <c r="AI184" s="75">
        <f>+BORDRO!O188</f>
        <v>115.07958000000001</v>
      </c>
      <c r="AJ184" s="76">
        <f>+BORDRO!P188</f>
        <v>0</v>
      </c>
    </row>
    <row r="185" spans="1:36" ht="13.8" x14ac:dyDescent="0.25">
      <c r="A185" s="64" t="s">
        <v>51</v>
      </c>
      <c r="B185" s="119">
        <v>46</v>
      </c>
      <c r="C185" s="64" t="s">
        <v>52</v>
      </c>
      <c r="D185" s="64" t="s">
        <v>53</v>
      </c>
      <c r="E185" s="64" t="s">
        <v>53</v>
      </c>
      <c r="F185" s="65">
        <v>1494768</v>
      </c>
      <c r="G185" s="66" t="s">
        <v>105</v>
      </c>
      <c r="H185" s="64" t="s">
        <v>54</v>
      </c>
      <c r="I185" s="78"/>
      <c r="J185" s="67" t="str">
        <f>+Puantaj!C189</f>
        <v>19117690486</v>
      </c>
      <c r="K185" s="64" t="str">
        <f>+Puantaj!D189</f>
        <v>YUSUF</v>
      </c>
      <c r="L185" s="64" t="str">
        <f>+Puantaj!E189</f>
        <v>KESKİN</v>
      </c>
      <c r="M185" s="68">
        <f>+BORDRO!F189</f>
        <v>14</v>
      </c>
      <c r="N185" s="64"/>
      <c r="O185" s="79">
        <f>+BORDRO!G189</f>
        <v>15162</v>
      </c>
      <c r="P185" s="79">
        <v>0</v>
      </c>
      <c r="Q185" s="122"/>
      <c r="R185" s="69"/>
      <c r="S185" s="70"/>
      <c r="T185" s="70"/>
      <c r="U185" s="71"/>
      <c r="V185" s="72">
        <f t="shared" si="2"/>
        <v>17</v>
      </c>
      <c r="W185" s="73">
        <v>6</v>
      </c>
      <c r="X185" s="81" t="s">
        <v>99</v>
      </c>
      <c r="Y185" s="65">
        <v>2</v>
      </c>
      <c r="Z185" s="64" t="s">
        <v>51</v>
      </c>
      <c r="AA185" s="74" t="s">
        <v>781</v>
      </c>
      <c r="AB185" s="64">
        <v>2025</v>
      </c>
      <c r="AC185" s="64" t="s">
        <v>106</v>
      </c>
      <c r="AD185" s="80">
        <f>+BORDRO!J189</f>
        <v>15162</v>
      </c>
      <c r="AE185" s="75"/>
      <c r="AF185" s="75">
        <f>+BORDRO!K189</f>
        <v>2274.2999999999997</v>
      </c>
      <c r="AG185" s="75">
        <f>+BORDRO!L189</f>
        <v>2274.2999999999997</v>
      </c>
      <c r="AH185" s="80">
        <f>+BORDRO!M189</f>
        <v>0</v>
      </c>
      <c r="AI185" s="75">
        <f>+BORDRO!O189</f>
        <v>115.07958000000001</v>
      </c>
      <c r="AJ185" s="76">
        <f>+BORDRO!P189</f>
        <v>0</v>
      </c>
    </row>
    <row r="186" spans="1:36" ht="13.8" x14ac:dyDescent="0.25">
      <c r="A186" s="64" t="s">
        <v>51</v>
      </c>
      <c r="B186" s="120">
        <v>46</v>
      </c>
      <c r="C186" s="64" t="s">
        <v>52</v>
      </c>
      <c r="D186" s="64" t="s">
        <v>53</v>
      </c>
      <c r="E186" s="64" t="s">
        <v>53</v>
      </c>
      <c r="F186" s="65">
        <v>1494768</v>
      </c>
      <c r="G186" s="66" t="s">
        <v>105</v>
      </c>
      <c r="H186" s="64" t="s">
        <v>54</v>
      </c>
      <c r="I186" s="78"/>
      <c r="J186" s="67" t="str">
        <f>+Puantaj!C190</f>
        <v>10486978632</v>
      </c>
      <c r="K186" s="64" t="str">
        <f>+Puantaj!D190</f>
        <v>YUSUF</v>
      </c>
      <c r="L186" s="64" t="str">
        <f>+Puantaj!E190</f>
        <v>YİĞİT</v>
      </c>
      <c r="M186" s="68">
        <f>+BORDRO!F190</f>
        <v>12</v>
      </c>
      <c r="N186" s="64"/>
      <c r="O186" s="79">
        <f>+BORDRO!G190</f>
        <v>12996</v>
      </c>
      <c r="P186" s="79">
        <v>0</v>
      </c>
      <c r="Q186" s="122"/>
      <c r="R186" s="69"/>
      <c r="S186" s="70"/>
      <c r="T186" s="70"/>
      <c r="U186" s="71"/>
      <c r="V186" s="72">
        <f t="shared" si="2"/>
        <v>19</v>
      </c>
      <c r="W186" s="73">
        <v>6</v>
      </c>
      <c r="X186" s="81" t="s">
        <v>99</v>
      </c>
      <c r="Y186" s="65">
        <v>2</v>
      </c>
      <c r="Z186" s="64" t="s">
        <v>51</v>
      </c>
      <c r="AA186" s="74" t="s">
        <v>781</v>
      </c>
      <c r="AB186" s="64">
        <v>2025</v>
      </c>
      <c r="AC186" s="64" t="s">
        <v>106</v>
      </c>
      <c r="AD186" s="80">
        <f>+BORDRO!J190</f>
        <v>12996</v>
      </c>
      <c r="AE186" s="75"/>
      <c r="AF186" s="75">
        <f>+BORDRO!K190</f>
        <v>1949.3999999999999</v>
      </c>
      <c r="AG186" s="75">
        <f>+BORDRO!L190</f>
        <v>1949.3999999999999</v>
      </c>
      <c r="AH186" s="80">
        <f>+BORDRO!M190</f>
        <v>0</v>
      </c>
      <c r="AI186" s="75">
        <f>+BORDRO!O190</f>
        <v>98.63964</v>
      </c>
      <c r="AJ186" s="76">
        <f>+BORDRO!P190</f>
        <v>0</v>
      </c>
    </row>
    <row r="187" spans="1:36" ht="13.8" x14ac:dyDescent="0.25">
      <c r="A187" s="64" t="s">
        <v>51</v>
      </c>
      <c r="B187" s="119">
        <v>46</v>
      </c>
      <c r="C187" s="64" t="s">
        <v>52</v>
      </c>
      <c r="D187" s="64" t="s">
        <v>53</v>
      </c>
      <c r="E187" s="64" t="s">
        <v>53</v>
      </c>
      <c r="F187" s="65">
        <v>1494768</v>
      </c>
      <c r="G187" s="66" t="s">
        <v>105</v>
      </c>
      <c r="H187" s="64" t="s">
        <v>54</v>
      </c>
      <c r="I187" s="78"/>
      <c r="J187" s="67" t="str">
        <f>+Puantaj!C191</f>
        <v>10412895460</v>
      </c>
      <c r="K187" s="64" t="str">
        <f>+Puantaj!D191</f>
        <v>ZELİHA</v>
      </c>
      <c r="L187" s="64" t="str">
        <f>+Puantaj!E191</f>
        <v>BEKTAŞ</v>
      </c>
      <c r="M187" s="68">
        <f>+BORDRO!F191</f>
        <v>13</v>
      </c>
      <c r="N187" s="64"/>
      <c r="O187" s="79">
        <f>+BORDRO!G191</f>
        <v>14079</v>
      </c>
      <c r="P187" s="79">
        <v>0</v>
      </c>
      <c r="Q187" s="122"/>
      <c r="R187" s="69"/>
      <c r="S187" s="70"/>
      <c r="T187" s="70"/>
      <c r="U187" s="71"/>
      <c r="V187" s="72">
        <f t="shared" si="2"/>
        <v>18</v>
      </c>
      <c r="W187" s="73">
        <v>6</v>
      </c>
      <c r="X187" s="81" t="s">
        <v>99</v>
      </c>
      <c r="Y187" s="65">
        <v>2</v>
      </c>
      <c r="Z187" s="64" t="s">
        <v>51</v>
      </c>
      <c r="AA187" s="74" t="s">
        <v>781</v>
      </c>
      <c r="AB187" s="64">
        <v>2025</v>
      </c>
      <c r="AC187" s="64" t="s">
        <v>106</v>
      </c>
      <c r="AD187" s="80">
        <f>+BORDRO!J191</f>
        <v>14079</v>
      </c>
      <c r="AE187" s="75"/>
      <c r="AF187" s="75">
        <f>+BORDRO!K191</f>
        <v>2111.85</v>
      </c>
      <c r="AG187" s="75">
        <f>+BORDRO!L191</f>
        <v>2111.85</v>
      </c>
      <c r="AH187" s="80">
        <f>+BORDRO!M191</f>
        <v>0</v>
      </c>
      <c r="AI187" s="75">
        <f>+BORDRO!O191</f>
        <v>106.85961</v>
      </c>
      <c r="AJ187" s="76">
        <f>+BORDRO!P191</f>
        <v>0</v>
      </c>
    </row>
    <row r="188" spans="1:36" ht="13.8" x14ac:dyDescent="0.25">
      <c r="A188" s="64" t="s">
        <v>51</v>
      </c>
      <c r="B188" s="120">
        <v>46</v>
      </c>
      <c r="C188" s="64" t="s">
        <v>52</v>
      </c>
      <c r="D188" s="64" t="s">
        <v>53</v>
      </c>
      <c r="E188" s="64" t="s">
        <v>53</v>
      </c>
      <c r="F188" s="65">
        <v>1494768</v>
      </c>
      <c r="G188" s="66" t="s">
        <v>105</v>
      </c>
      <c r="H188" s="64" t="s">
        <v>54</v>
      </c>
      <c r="I188" s="78"/>
      <c r="J188" s="67" t="str">
        <f>+Puantaj!C192</f>
        <v>10339935744</v>
      </c>
      <c r="K188" s="64" t="str">
        <f>+Puantaj!D192</f>
        <v>ZEYNEP</v>
      </c>
      <c r="L188" s="64" t="str">
        <f>+Puantaj!E192</f>
        <v>AKÇAM</v>
      </c>
      <c r="M188" s="68">
        <f>+BORDRO!F192</f>
        <v>9</v>
      </c>
      <c r="N188" s="64"/>
      <c r="O188" s="79">
        <f>+BORDRO!G192</f>
        <v>9747</v>
      </c>
      <c r="P188" s="79">
        <v>0</v>
      </c>
      <c r="Q188" s="122"/>
      <c r="R188" s="69"/>
      <c r="S188" s="70"/>
      <c r="T188" s="70"/>
      <c r="U188" s="71"/>
      <c r="V188" s="72">
        <f t="shared" si="2"/>
        <v>22</v>
      </c>
      <c r="W188" s="73">
        <v>6</v>
      </c>
      <c r="X188" s="81" t="s">
        <v>99</v>
      </c>
      <c r="Y188" s="65">
        <v>2</v>
      </c>
      <c r="Z188" s="64" t="s">
        <v>51</v>
      </c>
      <c r="AA188" s="74" t="s">
        <v>781</v>
      </c>
      <c r="AB188" s="64">
        <v>2025</v>
      </c>
      <c r="AC188" s="64" t="s">
        <v>106</v>
      </c>
      <c r="AD188" s="80">
        <f>+BORDRO!J192</f>
        <v>9747</v>
      </c>
      <c r="AE188" s="75"/>
      <c r="AF188" s="75">
        <f>+BORDRO!K192</f>
        <v>1462.05</v>
      </c>
      <c r="AG188" s="75">
        <f>+BORDRO!L192</f>
        <v>1462.05</v>
      </c>
      <c r="AH188" s="80">
        <f>+BORDRO!M192</f>
        <v>0</v>
      </c>
      <c r="AI188" s="75">
        <f>+BORDRO!O192</f>
        <v>73.979730000000004</v>
      </c>
      <c r="AJ188" s="76">
        <f>+BORDRO!P192</f>
        <v>0</v>
      </c>
    </row>
    <row r="189" spans="1:36" ht="13.8" x14ac:dyDescent="0.25">
      <c r="A189" s="64" t="s">
        <v>51</v>
      </c>
      <c r="B189" s="119">
        <v>46</v>
      </c>
      <c r="C189" s="64" t="s">
        <v>52</v>
      </c>
      <c r="D189" s="64" t="s">
        <v>53</v>
      </c>
      <c r="E189" s="64" t="s">
        <v>53</v>
      </c>
      <c r="F189" s="65">
        <v>1494768</v>
      </c>
      <c r="G189" s="66" t="s">
        <v>105</v>
      </c>
      <c r="H189" s="64" t="s">
        <v>54</v>
      </c>
      <c r="I189" s="78"/>
      <c r="J189" s="67" t="str">
        <f>+Puantaj!C193</f>
        <v>10276740210</v>
      </c>
      <c r="K189" s="64" t="str">
        <f>+Puantaj!D193</f>
        <v>ZEYNEP</v>
      </c>
      <c r="L189" s="64" t="str">
        <f>+Puantaj!E193</f>
        <v>DEMİRAYAK</v>
      </c>
      <c r="M189" s="68">
        <f>+BORDRO!F193</f>
        <v>12</v>
      </c>
      <c r="N189" s="64"/>
      <c r="O189" s="79">
        <f>+BORDRO!G193</f>
        <v>12996</v>
      </c>
      <c r="P189" s="79">
        <v>0</v>
      </c>
      <c r="Q189" s="122"/>
      <c r="R189" s="69"/>
      <c r="S189" s="70"/>
      <c r="T189" s="70"/>
      <c r="U189" s="71"/>
      <c r="V189" s="72">
        <f t="shared" si="2"/>
        <v>19</v>
      </c>
      <c r="W189" s="73">
        <v>6</v>
      </c>
      <c r="X189" s="81" t="s">
        <v>99</v>
      </c>
      <c r="Y189" s="65">
        <v>2</v>
      </c>
      <c r="Z189" s="64" t="s">
        <v>51</v>
      </c>
      <c r="AA189" s="74" t="s">
        <v>781</v>
      </c>
      <c r="AB189" s="64">
        <v>2025</v>
      </c>
      <c r="AC189" s="64" t="s">
        <v>106</v>
      </c>
      <c r="AD189" s="80">
        <f>+BORDRO!J193</f>
        <v>12996</v>
      </c>
      <c r="AE189" s="75"/>
      <c r="AF189" s="75">
        <f>+BORDRO!K193</f>
        <v>1949.3999999999999</v>
      </c>
      <c r="AG189" s="75">
        <f>+BORDRO!L193</f>
        <v>1949.3999999999999</v>
      </c>
      <c r="AH189" s="80">
        <f>+BORDRO!M193</f>
        <v>0</v>
      </c>
      <c r="AI189" s="75">
        <f>+BORDRO!O193</f>
        <v>98.63964</v>
      </c>
      <c r="AJ189" s="76">
        <f>+BORDRO!P193</f>
        <v>0</v>
      </c>
    </row>
    <row r="190" spans="1:36" ht="13.8" x14ac:dyDescent="0.25">
      <c r="A190" s="64" t="s">
        <v>51</v>
      </c>
      <c r="B190" s="120">
        <v>46</v>
      </c>
      <c r="C190" s="64" t="s">
        <v>52</v>
      </c>
      <c r="D190" s="64" t="s">
        <v>53</v>
      </c>
      <c r="E190" s="64" t="s">
        <v>53</v>
      </c>
      <c r="F190" s="65">
        <v>1494768</v>
      </c>
      <c r="G190" s="66" t="s">
        <v>105</v>
      </c>
      <c r="H190" s="64" t="s">
        <v>54</v>
      </c>
      <c r="I190" s="78"/>
      <c r="J190" s="67" t="str">
        <f>+Puantaj!C194</f>
        <v>48730397168</v>
      </c>
      <c r="K190" s="64" t="str">
        <f>+Puantaj!D194</f>
        <v>MAHMUT</v>
      </c>
      <c r="L190" s="64" t="str">
        <f>+Puantaj!E194</f>
        <v>ÖZGAN</v>
      </c>
      <c r="M190" s="68">
        <f>+BORDRO!F194</f>
        <v>3</v>
      </c>
      <c r="N190" s="64"/>
      <c r="O190" s="79">
        <f>+BORDRO!G194</f>
        <v>3249</v>
      </c>
      <c r="P190" s="79">
        <v>0</v>
      </c>
      <c r="Q190" s="69" t="s">
        <v>832</v>
      </c>
      <c r="R190" s="69" t="s">
        <v>822</v>
      </c>
      <c r="S190" s="70"/>
      <c r="T190" s="70"/>
      <c r="U190" s="71"/>
      <c r="V190" s="72">
        <f>32-M190-Q190</f>
        <v>3</v>
      </c>
      <c r="W190" s="73">
        <v>6</v>
      </c>
      <c r="X190" s="81" t="s">
        <v>99</v>
      </c>
      <c r="Y190" s="65">
        <v>2</v>
      </c>
      <c r="Z190" s="64" t="s">
        <v>51</v>
      </c>
      <c r="AA190" s="74" t="s">
        <v>781</v>
      </c>
      <c r="AB190" s="64">
        <v>2025</v>
      </c>
      <c r="AC190" s="64" t="s">
        <v>106</v>
      </c>
      <c r="AD190" s="80">
        <f>+BORDRO!J194</f>
        <v>3249</v>
      </c>
      <c r="AE190" s="75"/>
      <c r="AF190" s="75">
        <f>+BORDRO!K194</f>
        <v>487.34999999999997</v>
      </c>
      <c r="AG190" s="75">
        <f>+BORDRO!L194</f>
        <v>487.34999999999997</v>
      </c>
      <c r="AH190" s="80">
        <f>+BORDRO!M194</f>
        <v>0</v>
      </c>
      <c r="AI190" s="75">
        <f>+BORDRO!O194</f>
        <v>24.65991</v>
      </c>
      <c r="AJ190" s="76">
        <f>+BORDRO!P194</f>
        <v>0</v>
      </c>
    </row>
    <row r="191" spans="1:36" ht="13.8" x14ac:dyDescent="0.25">
      <c r="A191" s="64" t="s">
        <v>51</v>
      </c>
      <c r="B191" s="119">
        <v>46</v>
      </c>
      <c r="C191" s="64" t="s">
        <v>52</v>
      </c>
      <c r="D191" s="64" t="s">
        <v>53</v>
      </c>
      <c r="E191" s="64" t="s">
        <v>53</v>
      </c>
      <c r="F191" s="65">
        <v>1494768</v>
      </c>
      <c r="G191" s="66" t="s">
        <v>105</v>
      </c>
      <c r="H191" s="64" t="s">
        <v>54</v>
      </c>
      <c r="I191" s="78"/>
      <c r="J191" s="67" t="e">
        <f>+Puantaj!#REF!</f>
        <v>#REF!</v>
      </c>
      <c r="K191" s="64" t="e">
        <f>+Puantaj!#REF!</f>
        <v>#REF!</v>
      </c>
      <c r="L191" s="64" t="e">
        <f>+Puantaj!#REF!</f>
        <v>#REF!</v>
      </c>
      <c r="M191" s="68" t="e">
        <f>+BORDRO!#REF!</f>
        <v>#REF!</v>
      </c>
      <c r="N191" s="64"/>
      <c r="O191" s="79" t="e">
        <f>+BORDRO!#REF!</f>
        <v>#REF!</v>
      </c>
      <c r="P191" s="79">
        <v>0</v>
      </c>
      <c r="Q191" s="69"/>
      <c r="R191" s="69"/>
      <c r="S191" s="70"/>
      <c r="T191" s="70"/>
      <c r="U191" s="71"/>
      <c r="V191" s="72" t="e">
        <f t="shared" si="2"/>
        <v>#REF!</v>
      </c>
      <c r="W191" s="73">
        <v>6</v>
      </c>
      <c r="X191" s="81" t="s">
        <v>99</v>
      </c>
      <c r="Y191" s="65">
        <v>2</v>
      </c>
      <c r="Z191" s="64" t="s">
        <v>51</v>
      </c>
      <c r="AA191" s="74" t="s">
        <v>781</v>
      </c>
      <c r="AB191" s="64">
        <v>2025</v>
      </c>
      <c r="AC191" s="64" t="s">
        <v>106</v>
      </c>
      <c r="AD191" s="80" t="e">
        <f>+BORDRO!#REF!</f>
        <v>#REF!</v>
      </c>
      <c r="AE191" s="75"/>
      <c r="AF191" s="75" t="e">
        <f>+BORDRO!#REF!</f>
        <v>#REF!</v>
      </c>
      <c r="AG191" s="75" t="e">
        <f>+BORDRO!#REF!</f>
        <v>#REF!</v>
      </c>
      <c r="AH191" s="80" t="e">
        <f>+BORDRO!#REF!</f>
        <v>#REF!</v>
      </c>
      <c r="AI191" s="75" t="e">
        <f>+BORDRO!#REF!</f>
        <v>#REF!</v>
      </c>
      <c r="AJ191" s="76" t="e">
        <f>+BORDRO!#REF!</f>
        <v>#REF!</v>
      </c>
    </row>
    <row r="192" spans="1:36" ht="13.8" x14ac:dyDescent="0.25">
      <c r="A192" s="64" t="s">
        <v>51</v>
      </c>
      <c r="B192" s="120">
        <v>46</v>
      </c>
      <c r="C192" s="64" t="s">
        <v>52</v>
      </c>
      <c r="D192" s="64" t="s">
        <v>53</v>
      </c>
      <c r="E192" s="64" t="s">
        <v>53</v>
      </c>
      <c r="F192" s="65">
        <v>1494768</v>
      </c>
      <c r="G192" s="66" t="s">
        <v>105</v>
      </c>
      <c r="H192" s="64" t="s">
        <v>54</v>
      </c>
      <c r="I192" s="78"/>
      <c r="J192" s="67" t="e">
        <f>+Puantaj!#REF!</f>
        <v>#REF!</v>
      </c>
      <c r="K192" s="64" t="e">
        <f>+Puantaj!#REF!</f>
        <v>#REF!</v>
      </c>
      <c r="L192" s="64" t="e">
        <f>+Puantaj!#REF!</f>
        <v>#REF!</v>
      </c>
      <c r="M192" s="68" t="e">
        <f>+BORDRO!#REF!</f>
        <v>#REF!</v>
      </c>
      <c r="N192" s="64"/>
      <c r="O192" s="79" t="e">
        <f>+BORDRO!#REF!</f>
        <v>#REF!</v>
      </c>
      <c r="P192" s="79">
        <v>0</v>
      </c>
      <c r="Q192" s="69"/>
      <c r="R192" s="69"/>
      <c r="S192" s="70"/>
      <c r="T192" s="70"/>
      <c r="U192" s="71"/>
      <c r="V192" s="72" t="e">
        <f t="shared" si="2"/>
        <v>#REF!</v>
      </c>
      <c r="W192" s="73">
        <v>6</v>
      </c>
      <c r="X192" s="81" t="s">
        <v>99</v>
      </c>
      <c r="Y192" s="65">
        <v>2</v>
      </c>
      <c r="Z192" s="64" t="s">
        <v>51</v>
      </c>
      <c r="AA192" s="74" t="s">
        <v>781</v>
      </c>
      <c r="AB192" s="64">
        <v>2025</v>
      </c>
      <c r="AC192" s="64" t="s">
        <v>106</v>
      </c>
      <c r="AD192" s="80" t="e">
        <f>+BORDRO!#REF!</f>
        <v>#REF!</v>
      </c>
      <c r="AE192" s="75"/>
      <c r="AF192" s="75" t="e">
        <f>+BORDRO!#REF!</f>
        <v>#REF!</v>
      </c>
      <c r="AG192" s="75" t="e">
        <f>+BORDRO!#REF!</f>
        <v>#REF!</v>
      </c>
      <c r="AH192" s="80" t="e">
        <f>+BORDRO!#REF!</f>
        <v>#REF!</v>
      </c>
      <c r="AI192" s="75" t="e">
        <f>+BORDRO!#REF!</f>
        <v>#REF!</v>
      </c>
      <c r="AJ192" s="76" t="e">
        <f>+BORDRO!#REF!</f>
        <v>#REF!</v>
      </c>
    </row>
    <row r="193" spans="1:36" ht="13.8" x14ac:dyDescent="0.25">
      <c r="A193" s="64" t="s">
        <v>51</v>
      </c>
      <c r="B193" s="119">
        <v>46</v>
      </c>
      <c r="C193" s="64" t="s">
        <v>52</v>
      </c>
      <c r="D193" s="64" t="s">
        <v>53</v>
      </c>
      <c r="E193" s="64" t="s">
        <v>53</v>
      </c>
      <c r="F193" s="65">
        <v>1494768</v>
      </c>
      <c r="G193" s="66" t="s">
        <v>105</v>
      </c>
      <c r="H193" s="64" t="s">
        <v>54</v>
      </c>
      <c r="I193" s="78"/>
      <c r="J193" s="67" t="e">
        <f>+Puantaj!#REF!</f>
        <v>#REF!</v>
      </c>
      <c r="K193" s="64" t="e">
        <f>+Puantaj!#REF!</f>
        <v>#REF!</v>
      </c>
      <c r="L193" s="64" t="e">
        <f>+Puantaj!#REF!</f>
        <v>#REF!</v>
      </c>
      <c r="M193" s="68" t="e">
        <f>+BORDRO!#REF!</f>
        <v>#REF!</v>
      </c>
      <c r="N193" s="64"/>
      <c r="O193" s="79" t="e">
        <f>+BORDRO!#REF!</f>
        <v>#REF!</v>
      </c>
      <c r="P193" s="79">
        <v>0</v>
      </c>
      <c r="Q193" s="69"/>
      <c r="R193" s="69"/>
      <c r="S193" s="70"/>
      <c r="T193" s="70"/>
      <c r="U193" s="71"/>
      <c r="V193" s="72" t="e">
        <f t="shared" si="2"/>
        <v>#REF!</v>
      </c>
      <c r="W193" s="73">
        <v>6</v>
      </c>
      <c r="X193" s="81" t="s">
        <v>99</v>
      </c>
      <c r="Y193" s="65">
        <v>2</v>
      </c>
      <c r="Z193" s="64" t="s">
        <v>51</v>
      </c>
      <c r="AA193" s="74" t="s">
        <v>781</v>
      </c>
      <c r="AB193" s="64">
        <v>2025</v>
      </c>
      <c r="AC193" s="64" t="s">
        <v>106</v>
      </c>
      <c r="AD193" s="80" t="e">
        <f>+BORDRO!#REF!</f>
        <v>#REF!</v>
      </c>
      <c r="AE193" s="75"/>
      <c r="AF193" s="75" t="e">
        <f>+BORDRO!#REF!</f>
        <v>#REF!</v>
      </c>
      <c r="AG193" s="75" t="e">
        <f>+BORDRO!#REF!</f>
        <v>#REF!</v>
      </c>
      <c r="AH193" s="80" t="e">
        <f>+BORDRO!#REF!</f>
        <v>#REF!</v>
      </c>
      <c r="AI193" s="75" t="e">
        <f>+BORDRO!#REF!</f>
        <v>#REF!</v>
      </c>
      <c r="AJ193" s="76" t="e">
        <f>+BORDRO!#REF!</f>
        <v>#REF!</v>
      </c>
    </row>
    <row r="194" spans="1:36" ht="13.8" x14ac:dyDescent="0.25">
      <c r="A194" s="64" t="s">
        <v>51</v>
      </c>
      <c r="B194" s="120">
        <v>46</v>
      </c>
      <c r="C194" s="64" t="s">
        <v>52</v>
      </c>
      <c r="D194" s="64" t="s">
        <v>53</v>
      </c>
      <c r="E194" s="64" t="s">
        <v>53</v>
      </c>
      <c r="F194" s="65">
        <v>1494768</v>
      </c>
      <c r="G194" s="66" t="s">
        <v>105</v>
      </c>
      <c r="H194" s="64" t="s">
        <v>54</v>
      </c>
      <c r="I194" s="78"/>
      <c r="J194" s="67" t="e">
        <f>+Puantaj!#REF!</f>
        <v>#REF!</v>
      </c>
      <c r="K194" s="64" t="e">
        <f>+Puantaj!#REF!</f>
        <v>#REF!</v>
      </c>
      <c r="L194" s="64" t="e">
        <f>+Puantaj!#REF!</f>
        <v>#REF!</v>
      </c>
      <c r="M194" s="68" t="e">
        <f>+BORDRO!#REF!</f>
        <v>#REF!</v>
      </c>
      <c r="N194" s="64"/>
      <c r="O194" s="79" t="e">
        <f>+BORDRO!#REF!</f>
        <v>#REF!</v>
      </c>
      <c r="P194" s="79">
        <v>0</v>
      </c>
      <c r="Q194" s="69"/>
      <c r="R194" s="69"/>
      <c r="S194" s="70"/>
      <c r="T194" s="70"/>
      <c r="U194" s="71"/>
      <c r="V194" s="72" t="e">
        <f t="shared" si="2"/>
        <v>#REF!</v>
      </c>
      <c r="W194" s="73">
        <v>6</v>
      </c>
      <c r="X194" s="81" t="s">
        <v>99</v>
      </c>
      <c r="Y194" s="65">
        <v>2</v>
      </c>
      <c r="Z194" s="64" t="s">
        <v>51</v>
      </c>
      <c r="AA194" s="74" t="s">
        <v>781</v>
      </c>
      <c r="AB194" s="64">
        <v>2025</v>
      </c>
      <c r="AC194" s="64" t="s">
        <v>106</v>
      </c>
      <c r="AD194" s="80" t="e">
        <f>+BORDRO!#REF!</f>
        <v>#REF!</v>
      </c>
      <c r="AE194" s="75"/>
      <c r="AF194" s="75" t="e">
        <f>+BORDRO!#REF!</f>
        <v>#REF!</v>
      </c>
      <c r="AG194" s="75" t="e">
        <f>+BORDRO!#REF!</f>
        <v>#REF!</v>
      </c>
      <c r="AH194" s="80" t="e">
        <f>+BORDRO!#REF!</f>
        <v>#REF!</v>
      </c>
      <c r="AI194" s="75" t="e">
        <f>+BORDRO!#REF!</f>
        <v>#REF!</v>
      </c>
      <c r="AJ194" s="76" t="e">
        <f>+BORDRO!#REF!</f>
        <v>#REF!</v>
      </c>
    </row>
    <row r="195" spans="1:36" ht="13.8" x14ac:dyDescent="0.25">
      <c r="A195" s="64" t="s">
        <v>51</v>
      </c>
      <c r="B195" s="119">
        <v>46</v>
      </c>
      <c r="C195" s="64" t="s">
        <v>52</v>
      </c>
      <c r="D195" s="64" t="s">
        <v>53</v>
      </c>
      <c r="E195" s="64" t="s">
        <v>53</v>
      </c>
      <c r="F195" s="65">
        <v>1494768</v>
      </c>
      <c r="G195" s="66" t="s">
        <v>105</v>
      </c>
      <c r="H195" s="64" t="s">
        <v>54</v>
      </c>
      <c r="I195" s="78"/>
      <c r="J195" s="67" t="e">
        <f>+Puantaj!#REF!</f>
        <v>#REF!</v>
      </c>
      <c r="K195" s="64" t="e">
        <f>+Puantaj!#REF!</f>
        <v>#REF!</v>
      </c>
      <c r="L195" s="64" t="e">
        <f>+Puantaj!#REF!</f>
        <v>#REF!</v>
      </c>
      <c r="M195" s="68" t="e">
        <f>+BORDRO!#REF!</f>
        <v>#REF!</v>
      </c>
      <c r="N195" s="64"/>
      <c r="O195" s="79" t="e">
        <f>+BORDRO!#REF!</f>
        <v>#REF!</v>
      </c>
      <c r="P195" s="79">
        <v>0</v>
      </c>
      <c r="Q195" s="69"/>
      <c r="R195" s="69"/>
      <c r="S195" s="70"/>
      <c r="T195" s="70"/>
      <c r="U195" s="71"/>
      <c r="V195" s="72" t="e">
        <f t="shared" ref="V195:V258" si="3">31-M195-Q195</f>
        <v>#REF!</v>
      </c>
      <c r="W195" s="73">
        <v>6</v>
      </c>
      <c r="X195" s="81" t="s">
        <v>99</v>
      </c>
      <c r="Y195" s="65">
        <v>2</v>
      </c>
      <c r="Z195" s="64" t="s">
        <v>51</v>
      </c>
      <c r="AA195" s="74" t="s">
        <v>781</v>
      </c>
      <c r="AB195" s="64">
        <v>2025</v>
      </c>
      <c r="AC195" s="64" t="s">
        <v>106</v>
      </c>
      <c r="AD195" s="80" t="e">
        <f>+BORDRO!#REF!</f>
        <v>#REF!</v>
      </c>
      <c r="AE195" s="75"/>
      <c r="AF195" s="75" t="e">
        <f>+BORDRO!#REF!</f>
        <v>#REF!</v>
      </c>
      <c r="AG195" s="75" t="e">
        <f>+BORDRO!#REF!</f>
        <v>#REF!</v>
      </c>
      <c r="AH195" s="80" t="e">
        <f>+BORDRO!#REF!</f>
        <v>#REF!</v>
      </c>
      <c r="AI195" s="75" t="e">
        <f>+BORDRO!#REF!</f>
        <v>#REF!</v>
      </c>
      <c r="AJ195" s="76" t="e">
        <f>+BORDRO!#REF!</f>
        <v>#REF!</v>
      </c>
    </row>
    <row r="196" spans="1:36" ht="13.8" x14ac:dyDescent="0.25">
      <c r="A196" s="64" t="s">
        <v>51</v>
      </c>
      <c r="B196" s="120">
        <v>46</v>
      </c>
      <c r="C196" s="64" t="s">
        <v>52</v>
      </c>
      <c r="D196" s="64" t="s">
        <v>53</v>
      </c>
      <c r="E196" s="64" t="s">
        <v>53</v>
      </c>
      <c r="F196" s="65">
        <v>1494768</v>
      </c>
      <c r="G196" s="66" t="s">
        <v>105</v>
      </c>
      <c r="H196" s="64" t="s">
        <v>54</v>
      </c>
      <c r="I196" s="78"/>
      <c r="J196" s="67" t="e">
        <f>+Puantaj!#REF!</f>
        <v>#REF!</v>
      </c>
      <c r="K196" s="64" t="e">
        <f>+Puantaj!#REF!</f>
        <v>#REF!</v>
      </c>
      <c r="L196" s="64" t="e">
        <f>+Puantaj!#REF!</f>
        <v>#REF!</v>
      </c>
      <c r="M196" s="68" t="e">
        <f>+BORDRO!#REF!</f>
        <v>#REF!</v>
      </c>
      <c r="N196" s="64"/>
      <c r="O196" s="79" t="e">
        <f>+BORDRO!#REF!</f>
        <v>#REF!</v>
      </c>
      <c r="P196" s="79">
        <v>0</v>
      </c>
      <c r="Q196" s="69"/>
      <c r="R196" s="69"/>
      <c r="S196" s="70"/>
      <c r="T196" s="70"/>
      <c r="U196" s="71"/>
      <c r="V196" s="72" t="e">
        <f t="shared" si="3"/>
        <v>#REF!</v>
      </c>
      <c r="W196" s="73">
        <v>6</v>
      </c>
      <c r="X196" s="81" t="s">
        <v>99</v>
      </c>
      <c r="Y196" s="65">
        <v>2</v>
      </c>
      <c r="Z196" s="64" t="s">
        <v>51</v>
      </c>
      <c r="AA196" s="74" t="s">
        <v>781</v>
      </c>
      <c r="AB196" s="64">
        <v>2025</v>
      </c>
      <c r="AC196" s="64" t="s">
        <v>106</v>
      </c>
      <c r="AD196" s="80" t="e">
        <f>+BORDRO!#REF!</f>
        <v>#REF!</v>
      </c>
      <c r="AE196" s="75"/>
      <c r="AF196" s="75" t="e">
        <f>+BORDRO!#REF!</f>
        <v>#REF!</v>
      </c>
      <c r="AG196" s="75" t="e">
        <f>+BORDRO!#REF!</f>
        <v>#REF!</v>
      </c>
      <c r="AH196" s="80" t="e">
        <f>+BORDRO!#REF!</f>
        <v>#REF!</v>
      </c>
      <c r="AI196" s="75" t="e">
        <f>+BORDRO!#REF!</f>
        <v>#REF!</v>
      </c>
      <c r="AJ196" s="76" t="e">
        <f>+BORDRO!#REF!</f>
        <v>#REF!</v>
      </c>
    </row>
    <row r="197" spans="1:36" ht="13.8" x14ac:dyDescent="0.25">
      <c r="A197" s="64" t="s">
        <v>51</v>
      </c>
      <c r="B197" s="119">
        <v>46</v>
      </c>
      <c r="C197" s="64" t="s">
        <v>52</v>
      </c>
      <c r="D197" s="64" t="s">
        <v>53</v>
      </c>
      <c r="E197" s="64" t="s">
        <v>53</v>
      </c>
      <c r="F197" s="65">
        <v>1494768</v>
      </c>
      <c r="G197" s="66" t="s">
        <v>105</v>
      </c>
      <c r="H197" s="64" t="s">
        <v>54</v>
      </c>
      <c r="I197" s="78"/>
      <c r="J197" s="67" t="e">
        <f>+Puantaj!#REF!</f>
        <v>#REF!</v>
      </c>
      <c r="K197" s="64" t="e">
        <f>+Puantaj!#REF!</f>
        <v>#REF!</v>
      </c>
      <c r="L197" s="64" t="e">
        <f>+Puantaj!#REF!</f>
        <v>#REF!</v>
      </c>
      <c r="M197" s="68" t="e">
        <f>+BORDRO!#REF!</f>
        <v>#REF!</v>
      </c>
      <c r="N197" s="64"/>
      <c r="O197" s="79" t="e">
        <f>+BORDRO!#REF!</f>
        <v>#REF!</v>
      </c>
      <c r="P197" s="79">
        <v>0</v>
      </c>
      <c r="Q197" s="69"/>
      <c r="R197" s="69"/>
      <c r="S197" s="70"/>
      <c r="T197" s="70"/>
      <c r="U197" s="71"/>
      <c r="V197" s="72" t="e">
        <f t="shared" si="3"/>
        <v>#REF!</v>
      </c>
      <c r="W197" s="73">
        <v>6</v>
      </c>
      <c r="X197" s="81" t="s">
        <v>99</v>
      </c>
      <c r="Y197" s="65">
        <v>2</v>
      </c>
      <c r="Z197" s="64" t="s">
        <v>51</v>
      </c>
      <c r="AA197" s="74" t="s">
        <v>781</v>
      </c>
      <c r="AB197" s="64">
        <v>2025</v>
      </c>
      <c r="AC197" s="64" t="s">
        <v>106</v>
      </c>
      <c r="AD197" s="80" t="e">
        <f>+BORDRO!#REF!</f>
        <v>#REF!</v>
      </c>
      <c r="AE197" s="75"/>
      <c r="AF197" s="75" t="e">
        <f>+BORDRO!#REF!</f>
        <v>#REF!</v>
      </c>
      <c r="AG197" s="75" t="e">
        <f>+BORDRO!#REF!</f>
        <v>#REF!</v>
      </c>
      <c r="AH197" s="80" t="e">
        <f>+BORDRO!#REF!</f>
        <v>#REF!</v>
      </c>
      <c r="AI197" s="75" t="e">
        <f>+BORDRO!#REF!</f>
        <v>#REF!</v>
      </c>
      <c r="AJ197" s="76" t="e">
        <f>+BORDRO!#REF!</f>
        <v>#REF!</v>
      </c>
    </row>
    <row r="198" spans="1:36" ht="13.8" x14ac:dyDescent="0.25">
      <c r="A198" s="64" t="s">
        <v>51</v>
      </c>
      <c r="B198" s="120">
        <v>46</v>
      </c>
      <c r="C198" s="64" t="s">
        <v>52</v>
      </c>
      <c r="D198" s="64" t="s">
        <v>53</v>
      </c>
      <c r="E198" s="64" t="s">
        <v>53</v>
      </c>
      <c r="F198" s="65">
        <v>1494768</v>
      </c>
      <c r="G198" s="66" t="s">
        <v>105</v>
      </c>
      <c r="H198" s="64" t="s">
        <v>54</v>
      </c>
      <c r="I198" s="78"/>
      <c r="J198" s="67" t="e">
        <f>+Puantaj!#REF!</f>
        <v>#REF!</v>
      </c>
      <c r="K198" s="64" t="e">
        <f>+Puantaj!#REF!</f>
        <v>#REF!</v>
      </c>
      <c r="L198" s="64" t="e">
        <f>+Puantaj!#REF!</f>
        <v>#REF!</v>
      </c>
      <c r="M198" s="68" t="e">
        <f>+BORDRO!#REF!</f>
        <v>#REF!</v>
      </c>
      <c r="N198" s="64"/>
      <c r="O198" s="79" t="e">
        <f>+BORDRO!#REF!</f>
        <v>#REF!</v>
      </c>
      <c r="P198" s="79">
        <v>0</v>
      </c>
      <c r="Q198" s="69"/>
      <c r="R198" s="69"/>
      <c r="S198" s="70"/>
      <c r="T198" s="70"/>
      <c r="U198" s="71"/>
      <c r="V198" s="72" t="e">
        <f t="shared" si="3"/>
        <v>#REF!</v>
      </c>
      <c r="W198" s="73">
        <v>6</v>
      </c>
      <c r="X198" s="81" t="s">
        <v>99</v>
      </c>
      <c r="Y198" s="65">
        <v>2</v>
      </c>
      <c r="Z198" s="64" t="s">
        <v>51</v>
      </c>
      <c r="AA198" s="74" t="s">
        <v>781</v>
      </c>
      <c r="AB198" s="64">
        <v>2025</v>
      </c>
      <c r="AC198" s="64" t="s">
        <v>106</v>
      </c>
      <c r="AD198" s="80" t="e">
        <f>+BORDRO!#REF!</f>
        <v>#REF!</v>
      </c>
      <c r="AE198" s="75"/>
      <c r="AF198" s="75" t="e">
        <f>+BORDRO!#REF!</f>
        <v>#REF!</v>
      </c>
      <c r="AG198" s="75" t="e">
        <f>+BORDRO!#REF!</f>
        <v>#REF!</v>
      </c>
      <c r="AH198" s="80" t="e">
        <f>+BORDRO!#REF!</f>
        <v>#REF!</v>
      </c>
      <c r="AI198" s="75" t="e">
        <f>+BORDRO!#REF!</f>
        <v>#REF!</v>
      </c>
      <c r="AJ198" s="76" t="e">
        <f>+BORDRO!#REF!</f>
        <v>#REF!</v>
      </c>
    </row>
    <row r="199" spans="1:36" ht="13.8" x14ac:dyDescent="0.25">
      <c r="A199" s="64" t="s">
        <v>51</v>
      </c>
      <c r="B199" s="119">
        <v>46</v>
      </c>
      <c r="C199" s="64" t="s">
        <v>52</v>
      </c>
      <c r="D199" s="64" t="s">
        <v>53</v>
      </c>
      <c r="E199" s="64" t="s">
        <v>53</v>
      </c>
      <c r="F199" s="65">
        <v>1494768</v>
      </c>
      <c r="G199" s="66" t="s">
        <v>105</v>
      </c>
      <c r="H199" s="64" t="s">
        <v>54</v>
      </c>
      <c r="I199" s="78"/>
      <c r="J199" s="67" t="e">
        <f>+Puantaj!#REF!</f>
        <v>#REF!</v>
      </c>
      <c r="K199" s="64" t="e">
        <f>+Puantaj!#REF!</f>
        <v>#REF!</v>
      </c>
      <c r="L199" s="64" t="e">
        <f>+Puantaj!#REF!</f>
        <v>#REF!</v>
      </c>
      <c r="M199" s="68" t="e">
        <f>+BORDRO!#REF!</f>
        <v>#REF!</v>
      </c>
      <c r="N199" s="64"/>
      <c r="O199" s="79" t="e">
        <f>+BORDRO!#REF!</f>
        <v>#REF!</v>
      </c>
      <c r="P199" s="79">
        <v>0</v>
      </c>
      <c r="Q199" s="69"/>
      <c r="R199" s="69"/>
      <c r="S199" s="70"/>
      <c r="T199" s="70"/>
      <c r="U199" s="71"/>
      <c r="V199" s="72" t="e">
        <f t="shared" si="3"/>
        <v>#REF!</v>
      </c>
      <c r="W199" s="73">
        <v>6</v>
      </c>
      <c r="X199" s="81" t="s">
        <v>99</v>
      </c>
      <c r="Y199" s="65">
        <v>2</v>
      </c>
      <c r="Z199" s="64" t="s">
        <v>51</v>
      </c>
      <c r="AA199" s="74" t="s">
        <v>781</v>
      </c>
      <c r="AB199" s="64">
        <v>2025</v>
      </c>
      <c r="AC199" s="64" t="s">
        <v>106</v>
      </c>
      <c r="AD199" s="80" t="e">
        <f>+BORDRO!#REF!</f>
        <v>#REF!</v>
      </c>
      <c r="AE199" s="75"/>
      <c r="AF199" s="75" t="e">
        <f>+BORDRO!#REF!</f>
        <v>#REF!</v>
      </c>
      <c r="AG199" s="75" t="e">
        <f>+BORDRO!#REF!</f>
        <v>#REF!</v>
      </c>
      <c r="AH199" s="80" t="e">
        <f>+BORDRO!#REF!</f>
        <v>#REF!</v>
      </c>
      <c r="AI199" s="75" t="e">
        <f>+BORDRO!#REF!</f>
        <v>#REF!</v>
      </c>
      <c r="AJ199" s="76" t="e">
        <f>+BORDRO!#REF!</f>
        <v>#REF!</v>
      </c>
    </row>
    <row r="200" spans="1:36" ht="13.8" x14ac:dyDescent="0.25">
      <c r="A200" s="64" t="s">
        <v>51</v>
      </c>
      <c r="B200" s="120">
        <v>46</v>
      </c>
      <c r="C200" s="64" t="s">
        <v>52</v>
      </c>
      <c r="D200" s="64" t="s">
        <v>53</v>
      </c>
      <c r="E200" s="64" t="s">
        <v>53</v>
      </c>
      <c r="F200" s="65">
        <v>1494768</v>
      </c>
      <c r="G200" s="66" t="s">
        <v>105</v>
      </c>
      <c r="H200" s="64" t="s">
        <v>54</v>
      </c>
      <c r="I200" s="78"/>
      <c r="J200" s="67" t="e">
        <f>+Puantaj!#REF!</f>
        <v>#REF!</v>
      </c>
      <c r="K200" s="64" t="e">
        <f>+Puantaj!#REF!</f>
        <v>#REF!</v>
      </c>
      <c r="L200" s="64" t="e">
        <f>+Puantaj!#REF!</f>
        <v>#REF!</v>
      </c>
      <c r="M200" s="68" t="e">
        <f>+BORDRO!#REF!</f>
        <v>#REF!</v>
      </c>
      <c r="N200" s="64"/>
      <c r="O200" s="79" t="e">
        <f>+BORDRO!#REF!</f>
        <v>#REF!</v>
      </c>
      <c r="P200" s="79">
        <v>0</v>
      </c>
      <c r="Q200" s="69"/>
      <c r="R200" s="69"/>
      <c r="S200" s="70"/>
      <c r="T200" s="70"/>
      <c r="U200" s="71"/>
      <c r="V200" s="72" t="e">
        <f t="shared" si="3"/>
        <v>#REF!</v>
      </c>
      <c r="W200" s="73">
        <v>6</v>
      </c>
      <c r="X200" s="81" t="s">
        <v>99</v>
      </c>
      <c r="Y200" s="65">
        <v>2</v>
      </c>
      <c r="Z200" s="64" t="s">
        <v>51</v>
      </c>
      <c r="AA200" s="74" t="s">
        <v>781</v>
      </c>
      <c r="AB200" s="64">
        <v>2025</v>
      </c>
      <c r="AC200" s="64" t="s">
        <v>106</v>
      </c>
      <c r="AD200" s="80" t="e">
        <f>+BORDRO!#REF!</f>
        <v>#REF!</v>
      </c>
      <c r="AE200" s="75"/>
      <c r="AF200" s="75" t="e">
        <f>+BORDRO!#REF!</f>
        <v>#REF!</v>
      </c>
      <c r="AG200" s="75" t="e">
        <f>+BORDRO!#REF!</f>
        <v>#REF!</v>
      </c>
      <c r="AH200" s="80" t="e">
        <f>+BORDRO!#REF!</f>
        <v>#REF!</v>
      </c>
      <c r="AI200" s="75" t="e">
        <f>+BORDRO!#REF!</f>
        <v>#REF!</v>
      </c>
      <c r="AJ200" s="76" t="e">
        <f>+BORDRO!#REF!</f>
        <v>#REF!</v>
      </c>
    </row>
    <row r="201" spans="1:36" ht="13.8" x14ac:dyDescent="0.25">
      <c r="A201" s="64" t="s">
        <v>51</v>
      </c>
      <c r="B201" s="119">
        <v>46</v>
      </c>
      <c r="C201" s="64" t="s">
        <v>52</v>
      </c>
      <c r="D201" s="64" t="s">
        <v>53</v>
      </c>
      <c r="E201" s="64" t="s">
        <v>53</v>
      </c>
      <c r="F201" s="65">
        <v>1494768</v>
      </c>
      <c r="G201" s="66" t="s">
        <v>105</v>
      </c>
      <c r="H201" s="64" t="s">
        <v>54</v>
      </c>
      <c r="I201" s="78"/>
      <c r="J201" s="67" t="e">
        <f>+Puantaj!#REF!</f>
        <v>#REF!</v>
      </c>
      <c r="K201" s="64" t="e">
        <f>+Puantaj!#REF!</f>
        <v>#REF!</v>
      </c>
      <c r="L201" s="64" t="e">
        <f>+Puantaj!#REF!</f>
        <v>#REF!</v>
      </c>
      <c r="M201" s="68" t="e">
        <f>+BORDRO!#REF!</f>
        <v>#REF!</v>
      </c>
      <c r="N201" s="64"/>
      <c r="O201" s="79" t="e">
        <f>+BORDRO!#REF!</f>
        <v>#REF!</v>
      </c>
      <c r="P201" s="79">
        <v>0</v>
      </c>
      <c r="Q201" s="69"/>
      <c r="R201" s="69"/>
      <c r="S201" s="70"/>
      <c r="T201" s="70"/>
      <c r="U201" s="71"/>
      <c r="V201" s="72" t="e">
        <f t="shared" si="3"/>
        <v>#REF!</v>
      </c>
      <c r="W201" s="73">
        <v>6</v>
      </c>
      <c r="X201" s="81" t="s">
        <v>99</v>
      </c>
      <c r="Y201" s="65">
        <v>2</v>
      </c>
      <c r="Z201" s="64" t="s">
        <v>51</v>
      </c>
      <c r="AA201" s="74" t="s">
        <v>781</v>
      </c>
      <c r="AB201" s="64">
        <v>2025</v>
      </c>
      <c r="AC201" s="64" t="s">
        <v>106</v>
      </c>
      <c r="AD201" s="80" t="e">
        <f>+BORDRO!#REF!</f>
        <v>#REF!</v>
      </c>
      <c r="AE201" s="75"/>
      <c r="AF201" s="75" t="e">
        <f>+BORDRO!#REF!</f>
        <v>#REF!</v>
      </c>
      <c r="AG201" s="75" t="e">
        <f>+BORDRO!#REF!</f>
        <v>#REF!</v>
      </c>
      <c r="AH201" s="80" t="e">
        <f>+BORDRO!#REF!</f>
        <v>#REF!</v>
      </c>
      <c r="AI201" s="75" t="e">
        <f>+BORDRO!#REF!</f>
        <v>#REF!</v>
      </c>
      <c r="AJ201" s="76" t="e">
        <f>+BORDRO!#REF!</f>
        <v>#REF!</v>
      </c>
    </row>
    <row r="202" spans="1:36" ht="13.8" x14ac:dyDescent="0.25">
      <c r="A202" s="64" t="s">
        <v>51</v>
      </c>
      <c r="B202" s="120">
        <v>46</v>
      </c>
      <c r="C202" s="64" t="s">
        <v>52</v>
      </c>
      <c r="D202" s="64" t="s">
        <v>53</v>
      </c>
      <c r="E202" s="64" t="s">
        <v>53</v>
      </c>
      <c r="F202" s="65">
        <v>1494768</v>
      </c>
      <c r="G202" s="66" t="s">
        <v>105</v>
      </c>
      <c r="H202" s="64" t="s">
        <v>54</v>
      </c>
      <c r="I202" s="78"/>
      <c r="J202" s="67" t="e">
        <f>+Puantaj!#REF!</f>
        <v>#REF!</v>
      </c>
      <c r="K202" s="64" t="e">
        <f>+Puantaj!#REF!</f>
        <v>#REF!</v>
      </c>
      <c r="L202" s="64" t="e">
        <f>+Puantaj!#REF!</f>
        <v>#REF!</v>
      </c>
      <c r="M202" s="68" t="e">
        <f>+BORDRO!#REF!</f>
        <v>#REF!</v>
      </c>
      <c r="N202" s="64"/>
      <c r="O202" s="79" t="e">
        <f>+BORDRO!#REF!</f>
        <v>#REF!</v>
      </c>
      <c r="P202" s="79">
        <v>0</v>
      </c>
      <c r="Q202" s="69"/>
      <c r="R202" s="69"/>
      <c r="S202" s="70"/>
      <c r="T202" s="70"/>
      <c r="U202" s="71"/>
      <c r="V202" s="72" t="e">
        <f t="shared" si="3"/>
        <v>#REF!</v>
      </c>
      <c r="W202" s="73">
        <v>6</v>
      </c>
      <c r="X202" s="81" t="s">
        <v>99</v>
      </c>
      <c r="Y202" s="65">
        <v>2</v>
      </c>
      <c r="Z202" s="64" t="s">
        <v>51</v>
      </c>
      <c r="AA202" s="74" t="s">
        <v>781</v>
      </c>
      <c r="AB202" s="64">
        <v>2025</v>
      </c>
      <c r="AC202" s="64" t="s">
        <v>106</v>
      </c>
      <c r="AD202" s="80" t="e">
        <f>+BORDRO!#REF!</f>
        <v>#REF!</v>
      </c>
      <c r="AE202" s="75"/>
      <c r="AF202" s="75" t="e">
        <f>+BORDRO!#REF!</f>
        <v>#REF!</v>
      </c>
      <c r="AG202" s="75" t="e">
        <f>+BORDRO!#REF!</f>
        <v>#REF!</v>
      </c>
      <c r="AH202" s="80" t="e">
        <f>+BORDRO!#REF!</f>
        <v>#REF!</v>
      </c>
      <c r="AI202" s="75" t="e">
        <f>+BORDRO!#REF!</f>
        <v>#REF!</v>
      </c>
      <c r="AJ202" s="76" t="e">
        <f>+BORDRO!#REF!</f>
        <v>#REF!</v>
      </c>
    </row>
    <row r="203" spans="1:36" ht="13.8" x14ac:dyDescent="0.25">
      <c r="A203" s="64" t="s">
        <v>51</v>
      </c>
      <c r="B203" s="119">
        <v>46</v>
      </c>
      <c r="C203" s="64" t="s">
        <v>52</v>
      </c>
      <c r="D203" s="64" t="s">
        <v>53</v>
      </c>
      <c r="E203" s="64" t="s">
        <v>53</v>
      </c>
      <c r="F203" s="65">
        <v>1494768</v>
      </c>
      <c r="G203" s="66" t="s">
        <v>105</v>
      </c>
      <c r="H203" s="64" t="s">
        <v>54</v>
      </c>
      <c r="I203" s="78"/>
      <c r="J203" s="67" t="e">
        <f>+Puantaj!#REF!</f>
        <v>#REF!</v>
      </c>
      <c r="K203" s="64" t="e">
        <f>+Puantaj!#REF!</f>
        <v>#REF!</v>
      </c>
      <c r="L203" s="64" t="e">
        <f>+Puantaj!#REF!</f>
        <v>#REF!</v>
      </c>
      <c r="M203" s="68" t="e">
        <f>+BORDRO!#REF!</f>
        <v>#REF!</v>
      </c>
      <c r="N203" s="64"/>
      <c r="O203" s="79" t="e">
        <f>+BORDRO!#REF!</f>
        <v>#REF!</v>
      </c>
      <c r="P203" s="79">
        <v>0</v>
      </c>
      <c r="Q203" s="69"/>
      <c r="R203" s="69"/>
      <c r="S203" s="70"/>
      <c r="T203" s="70"/>
      <c r="U203" s="71"/>
      <c r="V203" s="72" t="e">
        <f t="shared" si="3"/>
        <v>#REF!</v>
      </c>
      <c r="W203" s="73">
        <v>6</v>
      </c>
      <c r="X203" s="81" t="s">
        <v>99</v>
      </c>
      <c r="Y203" s="65">
        <v>2</v>
      </c>
      <c r="Z203" s="64" t="s">
        <v>51</v>
      </c>
      <c r="AA203" s="74" t="s">
        <v>781</v>
      </c>
      <c r="AB203" s="64">
        <v>2025</v>
      </c>
      <c r="AC203" s="64" t="s">
        <v>106</v>
      </c>
      <c r="AD203" s="80" t="e">
        <f>+BORDRO!#REF!</f>
        <v>#REF!</v>
      </c>
      <c r="AE203" s="75"/>
      <c r="AF203" s="75" t="e">
        <f>+BORDRO!#REF!</f>
        <v>#REF!</v>
      </c>
      <c r="AG203" s="75" t="e">
        <f>+BORDRO!#REF!</f>
        <v>#REF!</v>
      </c>
      <c r="AH203" s="80" t="e">
        <f>+BORDRO!#REF!</f>
        <v>#REF!</v>
      </c>
      <c r="AI203" s="75" t="e">
        <f>+BORDRO!#REF!</f>
        <v>#REF!</v>
      </c>
      <c r="AJ203" s="76" t="e">
        <f>+BORDRO!#REF!</f>
        <v>#REF!</v>
      </c>
    </row>
    <row r="204" spans="1:36" ht="13.8" x14ac:dyDescent="0.25">
      <c r="A204" s="64" t="s">
        <v>51</v>
      </c>
      <c r="B204" s="120">
        <v>46</v>
      </c>
      <c r="C204" s="64" t="s">
        <v>52</v>
      </c>
      <c r="D204" s="64" t="s">
        <v>53</v>
      </c>
      <c r="E204" s="64" t="s">
        <v>53</v>
      </c>
      <c r="F204" s="65">
        <v>1494768</v>
      </c>
      <c r="G204" s="66" t="s">
        <v>105</v>
      </c>
      <c r="H204" s="64" t="s">
        <v>54</v>
      </c>
      <c r="I204" s="78"/>
      <c r="J204" s="67" t="e">
        <f>+Puantaj!#REF!</f>
        <v>#REF!</v>
      </c>
      <c r="K204" s="64" t="e">
        <f>+Puantaj!#REF!</f>
        <v>#REF!</v>
      </c>
      <c r="L204" s="64" t="e">
        <f>+Puantaj!#REF!</f>
        <v>#REF!</v>
      </c>
      <c r="M204" s="68" t="e">
        <f>+BORDRO!#REF!</f>
        <v>#REF!</v>
      </c>
      <c r="N204" s="64"/>
      <c r="O204" s="79" t="e">
        <f>+BORDRO!#REF!</f>
        <v>#REF!</v>
      </c>
      <c r="P204" s="79">
        <v>0</v>
      </c>
      <c r="Q204" s="69"/>
      <c r="R204" s="69"/>
      <c r="S204" s="70"/>
      <c r="T204" s="70"/>
      <c r="U204" s="71"/>
      <c r="V204" s="72" t="e">
        <f t="shared" si="3"/>
        <v>#REF!</v>
      </c>
      <c r="W204" s="73">
        <v>6</v>
      </c>
      <c r="X204" s="81" t="s">
        <v>99</v>
      </c>
      <c r="Y204" s="65">
        <v>2</v>
      </c>
      <c r="Z204" s="64" t="s">
        <v>51</v>
      </c>
      <c r="AA204" s="74" t="s">
        <v>781</v>
      </c>
      <c r="AB204" s="64">
        <v>2025</v>
      </c>
      <c r="AC204" s="64" t="s">
        <v>106</v>
      </c>
      <c r="AD204" s="80" t="e">
        <f>+BORDRO!#REF!</f>
        <v>#REF!</v>
      </c>
      <c r="AE204" s="75"/>
      <c r="AF204" s="75" t="e">
        <f>+BORDRO!#REF!</f>
        <v>#REF!</v>
      </c>
      <c r="AG204" s="75" t="e">
        <f>+BORDRO!#REF!</f>
        <v>#REF!</v>
      </c>
      <c r="AH204" s="80" t="e">
        <f>+BORDRO!#REF!</f>
        <v>#REF!</v>
      </c>
      <c r="AI204" s="75" t="e">
        <f>+BORDRO!#REF!</f>
        <v>#REF!</v>
      </c>
      <c r="AJ204" s="76" t="e">
        <f>+BORDRO!#REF!</f>
        <v>#REF!</v>
      </c>
    </row>
    <row r="205" spans="1:36" ht="13.8" x14ac:dyDescent="0.25">
      <c r="A205" s="64" t="s">
        <v>51</v>
      </c>
      <c r="B205" s="119">
        <v>46</v>
      </c>
      <c r="C205" s="64" t="s">
        <v>52</v>
      </c>
      <c r="D205" s="64" t="s">
        <v>53</v>
      </c>
      <c r="E205" s="64" t="s">
        <v>53</v>
      </c>
      <c r="F205" s="65">
        <v>1494768</v>
      </c>
      <c r="G205" s="66" t="s">
        <v>105</v>
      </c>
      <c r="H205" s="64" t="s">
        <v>54</v>
      </c>
      <c r="I205" s="78"/>
      <c r="J205" s="67" t="e">
        <f>+Puantaj!#REF!</f>
        <v>#REF!</v>
      </c>
      <c r="K205" s="64" t="e">
        <f>+Puantaj!#REF!</f>
        <v>#REF!</v>
      </c>
      <c r="L205" s="64" t="e">
        <f>+Puantaj!#REF!</f>
        <v>#REF!</v>
      </c>
      <c r="M205" s="68" t="e">
        <f>+BORDRO!#REF!</f>
        <v>#REF!</v>
      </c>
      <c r="N205" s="64"/>
      <c r="O205" s="79" t="e">
        <f>+BORDRO!#REF!</f>
        <v>#REF!</v>
      </c>
      <c r="P205" s="79">
        <v>0</v>
      </c>
      <c r="Q205" s="69"/>
      <c r="R205" s="69"/>
      <c r="S205" s="70"/>
      <c r="T205" s="70"/>
      <c r="U205" s="71"/>
      <c r="V205" s="72" t="e">
        <f t="shared" si="3"/>
        <v>#REF!</v>
      </c>
      <c r="W205" s="73">
        <v>6</v>
      </c>
      <c r="X205" s="81" t="s">
        <v>99</v>
      </c>
      <c r="Y205" s="65">
        <v>2</v>
      </c>
      <c r="Z205" s="64" t="s">
        <v>51</v>
      </c>
      <c r="AA205" s="74" t="s">
        <v>781</v>
      </c>
      <c r="AB205" s="64">
        <v>2025</v>
      </c>
      <c r="AC205" s="64" t="s">
        <v>106</v>
      </c>
      <c r="AD205" s="80" t="e">
        <f>+BORDRO!#REF!</f>
        <v>#REF!</v>
      </c>
      <c r="AE205" s="75"/>
      <c r="AF205" s="75" t="e">
        <f>+BORDRO!#REF!</f>
        <v>#REF!</v>
      </c>
      <c r="AG205" s="75" t="e">
        <f>+BORDRO!#REF!</f>
        <v>#REF!</v>
      </c>
      <c r="AH205" s="80" t="e">
        <f>+BORDRO!#REF!</f>
        <v>#REF!</v>
      </c>
      <c r="AI205" s="75" t="e">
        <f>+BORDRO!#REF!</f>
        <v>#REF!</v>
      </c>
      <c r="AJ205" s="76" t="e">
        <f>+BORDRO!#REF!</f>
        <v>#REF!</v>
      </c>
    </row>
    <row r="206" spans="1:36" ht="13.8" x14ac:dyDescent="0.25">
      <c r="A206" s="64" t="s">
        <v>51</v>
      </c>
      <c r="B206" s="120">
        <v>46</v>
      </c>
      <c r="C206" s="64" t="s">
        <v>52</v>
      </c>
      <c r="D206" s="64" t="s">
        <v>53</v>
      </c>
      <c r="E206" s="64" t="s">
        <v>53</v>
      </c>
      <c r="F206" s="65">
        <v>1494768</v>
      </c>
      <c r="G206" s="66" t="s">
        <v>105</v>
      </c>
      <c r="H206" s="64" t="s">
        <v>54</v>
      </c>
      <c r="I206" s="78"/>
      <c r="J206" s="67" t="e">
        <f>+Puantaj!#REF!</f>
        <v>#REF!</v>
      </c>
      <c r="K206" s="64" t="e">
        <f>+Puantaj!#REF!</f>
        <v>#REF!</v>
      </c>
      <c r="L206" s="64" t="e">
        <f>+Puantaj!#REF!</f>
        <v>#REF!</v>
      </c>
      <c r="M206" s="68" t="e">
        <f>+BORDRO!#REF!</f>
        <v>#REF!</v>
      </c>
      <c r="N206" s="64"/>
      <c r="O206" s="79" t="e">
        <f>+BORDRO!#REF!</f>
        <v>#REF!</v>
      </c>
      <c r="P206" s="79">
        <v>0</v>
      </c>
      <c r="Q206" s="69"/>
      <c r="R206" s="69"/>
      <c r="S206" s="70"/>
      <c r="T206" s="70"/>
      <c r="U206" s="71"/>
      <c r="V206" s="72" t="e">
        <f t="shared" si="3"/>
        <v>#REF!</v>
      </c>
      <c r="W206" s="73">
        <v>6</v>
      </c>
      <c r="X206" s="81" t="s">
        <v>99</v>
      </c>
      <c r="Y206" s="65">
        <v>2</v>
      </c>
      <c r="Z206" s="64" t="s">
        <v>51</v>
      </c>
      <c r="AA206" s="74" t="s">
        <v>781</v>
      </c>
      <c r="AB206" s="64">
        <v>2025</v>
      </c>
      <c r="AC206" s="64" t="s">
        <v>106</v>
      </c>
      <c r="AD206" s="80" t="e">
        <f>+BORDRO!#REF!</f>
        <v>#REF!</v>
      </c>
      <c r="AE206" s="75"/>
      <c r="AF206" s="75" t="e">
        <f>+BORDRO!#REF!</f>
        <v>#REF!</v>
      </c>
      <c r="AG206" s="75" t="e">
        <f>+BORDRO!#REF!</f>
        <v>#REF!</v>
      </c>
      <c r="AH206" s="80" t="e">
        <f>+BORDRO!#REF!</f>
        <v>#REF!</v>
      </c>
      <c r="AI206" s="75" t="e">
        <f>+BORDRO!#REF!</f>
        <v>#REF!</v>
      </c>
      <c r="AJ206" s="76" t="e">
        <f>+BORDRO!#REF!</f>
        <v>#REF!</v>
      </c>
    </row>
    <row r="207" spans="1:36" ht="13.8" x14ac:dyDescent="0.25">
      <c r="A207" s="64" t="s">
        <v>51</v>
      </c>
      <c r="B207" s="119">
        <v>46</v>
      </c>
      <c r="C207" s="64" t="s">
        <v>52</v>
      </c>
      <c r="D207" s="64" t="s">
        <v>53</v>
      </c>
      <c r="E207" s="64" t="s">
        <v>53</v>
      </c>
      <c r="F207" s="65">
        <v>1494768</v>
      </c>
      <c r="G207" s="66" t="s">
        <v>105</v>
      </c>
      <c r="H207" s="64" t="s">
        <v>54</v>
      </c>
      <c r="I207" s="78"/>
      <c r="J207" s="67" t="e">
        <f>+Puantaj!#REF!</f>
        <v>#REF!</v>
      </c>
      <c r="K207" s="64" t="e">
        <f>+Puantaj!#REF!</f>
        <v>#REF!</v>
      </c>
      <c r="L207" s="64" t="e">
        <f>+Puantaj!#REF!</f>
        <v>#REF!</v>
      </c>
      <c r="M207" s="68" t="e">
        <f>+BORDRO!#REF!</f>
        <v>#REF!</v>
      </c>
      <c r="N207" s="64"/>
      <c r="O207" s="79" t="e">
        <f>+BORDRO!#REF!</f>
        <v>#REF!</v>
      </c>
      <c r="P207" s="79">
        <v>0</v>
      </c>
      <c r="Q207" s="69"/>
      <c r="R207" s="69"/>
      <c r="S207" s="70"/>
      <c r="T207" s="70"/>
      <c r="U207" s="71"/>
      <c r="V207" s="72" t="e">
        <f t="shared" si="3"/>
        <v>#REF!</v>
      </c>
      <c r="W207" s="73">
        <v>6</v>
      </c>
      <c r="X207" s="81" t="s">
        <v>99</v>
      </c>
      <c r="Y207" s="65">
        <v>2</v>
      </c>
      <c r="Z207" s="64" t="s">
        <v>51</v>
      </c>
      <c r="AA207" s="74" t="s">
        <v>781</v>
      </c>
      <c r="AB207" s="64">
        <v>2025</v>
      </c>
      <c r="AC207" s="64" t="s">
        <v>106</v>
      </c>
      <c r="AD207" s="80" t="e">
        <f>+BORDRO!#REF!</f>
        <v>#REF!</v>
      </c>
      <c r="AE207" s="75"/>
      <c r="AF207" s="75" t="e">
        <f>+BORDRO!#REF!</f>
        <v>#REF!</v>
      </c>
      <c r="AG207" s="75" t="e">
        <f>+BORDRO!#REF!</f>
        <v>#REF!</v>
      </c>
      <c r="AH207" s="80" t="e">
        <f>+BORDRO!#REF!</f>
        <v>#REF!</v>
      </c>
      <c r="AI207" s="75" t="e">
        <f>+BORDRO!#REF!</f>
        <v>#REF!</v>
      </c>
      <c r="AJ207" s="76" t="e">
        <f>+BORDRO!#REF!</f>
        <v>#REF!</v>
      </c>
    </row>
    <row r="208" spans="1:36" ht="13.8" x14ac:dyDescent="0.25">
      <c r="A208" s="64" t="s">
        <v>51</v>
      </c>
      <c r="B208" s="120">
        <v>46</v>
      </c>
      <c r="C208" s="64" t="s">
        <v>52</v>
      </c>
      <c r="D208" s="64" t="s">
        <v>53</v>
      </c>
      <c r="E208" s="64" t="s">
        <v>53</v>
      </c>
      <c r="F208" s="65">
        <v>1494768</v>
      </c>
      <c r="G208" s="66" t="s">
        <v>105</v>
      </c>
      <c r="H208" s="64" t="s">
        <v>54</v>
      </c>
      <c r="I208" s="78"/>
      <c r="J208" s="67" t="e">
        <f>+Puantaj!#REF!</f>
        <v>#REF!</v>
      </c>
      <c r="K208" s="64" t="e">
        <f>+Puantaj!#REF!</f>
        <v>#REF!</v>
      </c>
      <c r="L208" s="64" t="e">
        <f>+Puantaj!#REF!</f>
        <v>#REF!</v>
      </c>
      <c r="M208" s="68" t="e">
        <f>+BORDRO!#REF!</f>
        <v>#REF!</v>
      </c>
      <c r="N208" s="64"/>
      <c r="O208" s="79" t="e">
        <f>+BORDRO!#REF!</f>
        <v>#REF!</v>
      </c>
      <c r="P208" s="79">
        <v>0</v>
      </c>
      <c r="Q208" s="69"/>
      <c r="R208" s="69"/>
      <c r="S208" s="70"/>
      <c r="T208" s="70"/>
      <c r="U208" s="71"/>
      <c r="V208" s="72" t="e">
        <f t="shared" si="3"/>
        <v>#REF!</v>
      </c>
      <c r="W208" s="73">
        <v>6</v>
      </c>
      <c r="X208" s="81" t="s">
        <v>99</v>
      </c>
      <c r="Y208" s="65">
        <v>2</v>
      </c>
      <c r="Z208" s="64" t="s">
        <v>51</v>
      </c>
      <c r="AA208" s="74" t="s">
        <v>781</v>
      </c>
      <c r="AB208" s="64">
        <v>2025</v>
      </c>
      <c r="AC208" s="64" t="s">
        <v>106</v>
      </c>
      <c r="AD208" s="80" t="e">
        <f>+BORDRO!#REF!</f>
        <v>#REF!</v>
      </c>
      <c r="AE208" s="75"/>
      <c r="AF208" s="75" t="e">
        <f>+BORDRO!#REF!</f>
        <v>#REF!</v>
      </c>
      <c r="AG208" s="75" t="e">
        <f>+BORDRO!#REF!</f>
        <v>#REF!</v>
      </c>
      <c r="AH208" s="80" t="e">
        <f>+BORDRO!#REF!</f>
        <v>#REF!</v>
      </c>
      <c r="AI208" s="75" t="e">
        <f>+BORDRO!#REF!</f>
        <v>#REF!</v>
      </c>
      <c r="AJ208" s="76" t="e">
        <f>+BORDRO!#REF!</f>
        <v>#REF!</v>
      </c>
    </row>
    <row r="209" spans="1:36" ht="13.8" x14ac:dyDescent="0.25">
      <c r="A209" s="64" t="s">
        <v>51</v>
      </c>
      <c r="B209" s="119">
        <v>46</v>
      </c>
      <c r="C209" s="64" t="s">
        <v>52</v>
      </c>
      <c r="D209" s="64" t="s">
        <v>53</v>
      </c>
      <c r="E209" s="64" t="s">
        <v>53</v>
      </c>
      <c r="F209" s="65">
        <v>1494768</v>
      </c>
      <c r="G209" s="66" t="s">
        <v>105</v>
      </c>
      <c r="H209" s="64" t="s">
        <v>54</v>
      </c>
      <c r="I209" s="78"/>
      <c r="J209" s="67" t="e">
        <f>+Puantaj!#REF!</f>
        <v>#REF!</v>
      </c>
      <c r="K209" s="64" t="e">
        <f>+Puantaj!#REF!</f>
        <v>#REF!</v>
      </c>
      <c r="L209" s="64" t="e">
        <f>+Puantaj!#REF!</f>
        <v>#REF!</v>
      </c>
      <c r="M209" s="68" t="e">
        <f>+BORDRO!#REF!</f>
        <v>#REF!</v>
      </c>
      <c r="N209" s="64"/>
      <c r="O209" s="79" t="e">
        <f>+BORDRO!#REF!</f>
        <v>#REF!</v>
      </c>
      <c r="P209" s="79">
        <v>0</v>
      </c>
      <c r="Q209" s="69"/>
      <c r="R209" s="69"/>
      <c r="S209" s="70"/>
      <c r="T209" s="70"/>
      <c r="U209" s="71"/>
      <c r="V209" s="72" t="e">
        <f t="shared" si="3"/>
        <v>#REF!</v>
      </c>
      <c r="W209" s="73">
        <v>6</v>
      </c>
      <c r="X209" s="81" t="s">
        <v>99</v>
      </c>
      <c r="Y209" s="65">
        <v>2</v>
      </c>
      <c r="Z209" s="64" t="s">
        <v>51</v>
      </c>
      <c r="AA209" s="74" t="s">
        <v>781</v>
      </c>
      <c r="AB209" s="64">
        <v>2025</v>
      </c>
      <c r="AC209" s="64" t="s">
        <v>106</v>
      </c>
      <c r="AD209" s="80" t="e">
        <f>+BORDRO!#REF!</f>
        <v>#REF!</v>
      </c>
      <c r="AE209" s="75"/>
      <c r="AF209" s="75" t="e">
        <f>+BORDRO!#REF!</f>
        <v>#REF!</v>
      </c>
      <c r="AG209" s="75" t="e">
        <f>+BORDRO!#REF!</f>
        <v>#REF!</v>
      </c>
      <c r="AH209" s="80" t="e">
        <f>+BORDRO!#REF!</f>
        <v>#REF!</v>
      </c>
      <c r="AI209" s="75" t="e">
        <f>+BORDRO!#REF!</f>
        <v>#REF!</v>
      </c>
      <c r="AJ209" s="76" t="e">
        <f>+BORDRO!#REF!</f>
        <v>#REF!</v>
      </c>
    </row>
    <row r="210" spans="1:36" ht="13.8" x14ac:dyDescent="0.25">
      <c r="A210" s="64" t="s">
        <v>51</v>
      </c>
      <c r="B210" s="120">
        <v>46</v>
      </c>
      <c r="C210" s="64" t="s">
        <v>52</v>
      </c>
      <c r="D210" s="64" t="s">
        <v>53</v>
      </c>
      <c r="E210" s="64" t="s">
        <v>53</v>
      </c>
      <c r="F210" s="65">
        <v>1494768</v>
      </c>
      <c r="G210" s="66" t="s">
        <v>105</v>
      </c>
      <c r="H210" s="64" t="s">
        <v>54</v>
      </c>
      <c r="I210" s="78"/>
      <c r="J210" s="67" t="e">
        <f>+Puantaj!#REF!</f>
        <v>#REF!</v>
      </c>
      <c r="K210" s="64" t="e">
        <f>+Puantaj!#REF!</f>
        <v>#REF!</v>
      </c>
      <c r="L210" s="64" t="e">
        <f>+Puantaj!#REF!</f>
        <v>#REF!</v>
      </c>
      <c r="M210" s="68" t="e">
        <f>+BORDRO!#REF!</f>
        <v>#REF!</v>
      </c>
      <c r="N210" s="64"/>
      <c r="O210" s="79" t="e">
        <f>+BORDRO!#REF!</f>
        <v>#REF!</v>
      </c>
      <c r="P210" s="79">
        <v>0</v>
      </c>
      <c r="Q210" s="69"/>
      <c r="R210" s="69"/>
      <c r="S210" s="70"/>
      <c r="T210" s="70"/>
      <c r="U210" s="71"/>
      <c r="V210" s="72" t="e">
        <f t="shared" si="3"/>
        <v>#REF!</v>
      </c>
      <c r="W210" s="73">
        <v>6</v>
      </c>
      <c r="X210" s="81" t="s">
        <v>99</v>
      </c>
      <c r="Y210" s="65">
        <v>2</v>
      </c>
      <c r="Z210" s="64" t="s">
        <v>51</v>
      </c>
      <c r="AA210" s="74" t="s">
        <v>781</v>
      </c>
      <c r="AB210" s="64">
        <v>2025</v>
      </c>
      <c r="AC210" s="64" t="s">
        <v>106</v>
      </c>
      <c r="AD210" s="80" t="e">
        <f>+BORDRO!#REF!</f>
        <v>#REF!</v>
      </c>
      <c r="AE210" s="75"/>
      <c r="AF210" s="75" t="e">
        <f>+BORDRO!#REF!</f>
        <v>#REF!</v>
      </c>
      <c r="AG210" s="75" t="e">
        <f>+BORDRO!#REF!</f>
        <v>#REF!</v>
      </c>
      <c r="AH210" s="80" t="e">
        <f>+BORDRO!#REF!</f>
        <v>#REF!</v>
      </c>
      <c r="AI210" s="75" t="e">
        <f>+BORDRO!#REF!</f>
        <v>#REF!</v>
      </c>
      <c r="AJ210" s="76" t="e">
        <f>+BORDRO!#REF!</f>
        <v>#REF!</v>
      </c>
    </row>
    <row r="211" spans="1:36" ht="13.8" x14ac:dyDescent="0.25">
      <c r="A211" s="64" t="s">
        <v>51</v>
      </c>
      <c r="B211" s="119">
        <v>46</v>
      </c>
      <c r="C211" s="64" t="s">
        <v>52</v>
      </c>
      <c r="D211" s="64" t="s">
        <v>53</v>
      </c>
      <c r="E211" s="64" t="s">
        <v>53</v>
      </c>
      <c r="F211" s="65">
        <v>1494768</v>
      </c>
      <c r="G211" s="66" t="s">
        <v>105</v>
      </c>
      <c r="H211" s="64" t="s">
        <v>54</v>
      </c>
      <c r="I211" s="78"/>
      <c r="J211" s="67" t="e">
        <f>+Puantaj!#REF!</f>
        <v>#REF!</v>
      </c>
      <c r="K211" s="64" t="e">
        <f>+Puantaj!#REF!</f>
        <v>#REF!</v>
      </c>
      <c r="L211" s="64" t="e">
        <f>+Puantaj!#REF!</f>
        <v>#REF!</v>
      </c>
      <c r="M211" s="68" t="e">
        <f>+BORDRO!#REF!</f>
        <v>#REF!</v>
      </c>
      <c r="N211" s="64"/>
      <c r="O211" s="79" t="e">
        <f>+BORDRO!#REF!</f>
        <v>#REF!</v>
      </c>
      <c r="P211" s="79">
        <v>0</v>
      </c>
      <c r="Q211" s="69"/>
      <c r="R211" s="69"/>
      <c r="S211" s="70"/>
      <c r="T211" s="70"/>
      <c r="U211" s="71"/>
      <c r="V211" s="72" t="e">
        <f t="shared" si="3"/>
        <v>#REF!</v>
      </c>
      <c r="W211" s="73">
        <v>6</v>
      </c>
      <c r="X211" s="81" t="s">
        <v>99</v>
      </c>
      <c r="Y211" s="65">
        <v>2</v>
      </c>
      <c r="Z211" s="64" t="s">
        <v>51</v>
      </c>
      <c r="AA211" s="74" t="s">
        <v>781</v>
      </c>
      <c r="AB211" s="64">
        <v>2025</v>
      </c>
      <c r="AC211" s="64" t="s">
        <v>106</v>
      </c>
      <c r="AD211" s="80" t="e">
        <f>+BORDRO!#REF!</f>
        <v>#REF!</v>
      </c>
      <c r="AE211" s="75"/>
      <c r="AF211" s="75" t="e">
        <f>+BORDRO!#REF!</f>
        <v>#REF!</v>
      </c>
      <c r="AG211" s="75" t="e">
        <f>+BORDRO!#REF!</f>
        <v>#REF!</v>
      </c>
      <c r="AH211" s="80" t="e">
        <f>+BORDRO!#REF!</f>
        <v>#REF!</v>
      </c>
      <c r="AI211" s="75" t="e">
        <f>+BORDRO!#REF!</f>
        <v>#REF!</v>
      </c>
      <c r="AJ211" s="76" t="e">
        <f>+BORDRO!#REF!</f>
        <v>#REF!</v>
      </c>
    </row>
    <row r="212" spans="1:36" ht="13.8" x14ac:dyDescent="0.25">
      <c r="A212" s="64" t="s">
        <v>51</v>
      </c>
      <c r="B212" s="120">
        <v>46</v>
      </c>
      <c r="C212" s="64" t="s">
        <v>52</v>
      </c>
      <c r="D212" s="64" t="s">
        <v>53</v>
      </c>
      <c r="E212" s="64" t="s">
        <v>53</v>
      </c>
      <c r="F212" s="65">
        <v>1494768</v>
      </c>
      <c r="G212" s="66" t="s">
        <v>105</v>
      </c>
      <c r="H212" s="64" t="s">
        <v>54</v>
      </c>
      <c r="I212" s="78"/>
      <c r="J212" s="67" t="e">
        <f>+Puantaj!#REF!</f>
        <v>#REF!</v>
      </c>
      <c r="K212" s="64" t="e">
        <f>+Puantaj!#REF!</f>
        <v>#REF!</v>
      </c>
      <c r="L212" s="64" t="e">
        <f>+Puantaj!#REF!</f>
        <v>#REF!</v>
      </c>
      <c r="M212" s="68" t="e">
        <f>+BORDRO!#REF!</f>
        <v>#REF!</v>
      </c>
      <c r="N212" s="64"/>
      <c r="O212" s="79" t="e">
        <f>+BORDRO!#REF!</f>
        <v>#REF!</v>
      </c>
      <c r="P212" s="79">
        <v>0</v>
      </c>
      <c r="Q212" s="69"/>
      <c r="R212" s="69"/>
      <c r="S212" s="70"/>
      <c r="T212" s="70"/>
      <c r="U212" s="71"/>
      <c r="V212" s="72" t="e">
        <f t="shared" si="3"/>
        <v>#REF!</v>
      </c>
      <c r="W212" s="73">
        <v>6</v>
      </c>
      <c r="X212" s="81" t="s">
        <v>99</v>
      </c>
      <c r="Y212" s="65">
        <v>2</v>
      </c>
      <c r="Z212" s="64" t="s">
        <v>51</v>
      </c>
      <c r="AA212" s="74" t="s">
        <v>781</v>
      </c>
      <c r="AB212" s="64">
        <v>2025</v>
      </c>
      <c r="AC212" s="64" t="s">
        <v>106</v>
      </c>
      <c r="AD212" s="80" t="e">
        <f>+BORDRO!#REF!</f>
        <v>#REF!</v>
      </c>
      <c r="AE212" s="75"/>
      <c r="AF212" s="75" t="e">
        <f>+BORDRO!#REF!</f>
        <v>#REF!</v>
      </c>
      <c r="AG212" s="75" t="e">
        <f>+BORDRO!#REF!</f>
        <v>#REF!</v>
      </c>
      <c r="AH212" s="80" t="e">
        <f>+BORDRO!#REF!</f>
        <v>#REF!</v>
      </c>
      <c r="AI212" s="75" t="e">
        <f>+BORDRO!#REF!</f>
        <v>#REF!</v>
      </c>
      <c r="AJ212" s="76" t="e">
        <f>+BORDRO!#REF!</f>
        <v>#REF!</v>
      </c>
    </row>
    <row r="213" spans="1:36" ht="13.8" x14ac:dyDescent="0.25">
      <c r="A213" s="64" t="s">
        <v>51</v>
      </c>
      <c r="B213" s="119">
        <v>46</v>
      </c>
      <c r="C213" s="64" t="s">
        <v>52</v>
      </c>
      <c r="D213" s="64" t="s">
        <v>53</v>
      </c>
      <c r="E213" s="64" t="s">
        <v>53</v>
      </c>
      <c r="F213" s="65">
        <v>1494768</v>
      </c>
      <c r="G213" s="66" t="s">
        <v>105</v>
      </c>
      <c r="H213" s="64" t="s">
        <v>54</v>
      </c>
      <c r="I213" s="78"/>
      <c r="J213" s="67" t="e">
        <f>+Puantaj!#REF!</f>
        <v>#REF!</v>
      </c>
      <c r="K213" s="64" t="e">
        <f>+Puantaj!#REF!</f>
        <v>#REF!</v>
      </c>
      <c r="L213" s="64" t="e">
        <f>+Puantaj!#REF!</f>
        <v>#REF!</v>
      </c>
      <c r="M213" s="68" t="e">
        <f>+BORDRO!#REF!</f>
        <v>#REF!</v>
      </c>
      <c r="N213" s="64"/>
      <c r="O213" s="79" t="e">
        <f>+BORDRO!#REF!</f>
        <v>#REF!</v>
      </c>
      <c r="P213" s="79">
        <v>0</v>
      </c>
      <c r="Q213" s="69"/>
      <c r="R213" s="69"/>
      <c r="S213" s="70"/>
      <c r="T213" s="70"/>
      <c r="U213" s="71"/>
      <c r="V213" s="72" t="e">
        <f t="shared" si="3"/>
        <v>#REF!</v>
      </c>
      <c r="W213" s="73">
        <v>6</v>
      </c>
      <c r="X213" s="81" t="s">
        <v>99</v>
      </c>
      <c r="Y213" s="65">
        <v>2</v>
      </c>
      <c r="Z213" s="64" t="s">
        <v>51</v>
      </c>
      <c r="AA213" s="74" t="s">
        <v>781</v>
      </c>
      <c r="AB213" s="64">
        <v>2025</v>
      </c>
      <c r="AC213" s="64" t="s">
        <v>106</v>
      </c>
      <c r="AD213" s="80" t="e">
        <f>+BORDRO!#REF!</f>
        <v>#REF!</v>
      </c>
      <c r="AE213" s="75"/>
      <c r="AF213" s="75" t="e">
        <f>+BORDRO!#REF!</f>
        <v>#REF!</v>
      </c>
      <c r="AG213" s="75" t="e">
        <f>+BORDRO!#REF!</f>
        <v>#REF!</v>
      </c>
      <c r="AH213" s="80" t="e">
        <f>+BORDRO!#REF!</f>
        <v>#REF!</v>
      </c>
      <c r="AI213" s="75" t="e">
        <f>+BORDRO!#REF!</f>
        <v>#REF!</v>
      </c>
      <c r="AJ213" s="76" t="e">
        <f>+BORDRO!#REF!</f>
        <v>#REF!</v>
      </c>
    </row>
    <row r="214" spans="1:36" ht="13.8" x14ac:dyDescent="0.25">
      <c r="A214" s="64" t="s">
        <v>51</v>
      </c>
      <c r="B214" s="120">
        <v>46</v>
      </c>
      <c r="C214" s="64" t="s">
        <v>52</v>
      </c>
      <c r="D214" s="64" t="s">
        <v>53</v>
      </c>
      <c r="E214" s="64" t="s">
        <v>53</v>
      </c>
      <c r="F214" s="65">
        <v>1494768</v>
      </c>
      <c r="G214" s="66" t="s">
        <v>105</v>
      </c>
      <c r="H214" s="64" t="s">
        <v>54</v>
      </c>
      <c r="I214" s="78"/>
      <c r="J214" s="67" t="e">
        <f>+Puantaj!#REF!</f>
        <v>#REF!</v>
      </c>
      <c r="K214" s="64" t="e">
        <f>+Puantaj!#REF!</f>
        <v>#REF!</v>
      </c>
      <c r="L214" s="64" t="e">
        <f>+Puantaj!#REF!</f>
        <v>#REF!</v>
      </c>
      <c r="M214" s="68" t="e">
        <f>+BORDRO!#REF!</f>
        <v>#REF!</v>
      </c>
      <c r="N214" s="64"/>
      <c r="O214" s="79" t="e">
        <f>+BORDRO!#REF!</f>
        <v>#REF!</v>
      </c>
      <c r="P214" s="79">
        <v>0</v>
      </c>
      <c r="Q214" s="69"/>
      <c r="R214" s="69"/>
      <c r="S214" s="70"/>
      <c r="T214" s="70"/>
      <c r="U214" s="71"/>
      <c r="V214" s="72" t="e">
        <f t="shared" si="3"/>
        <v>#REF!</v>
      </c>
      <c r="W214" s="73">
        <v>6</v>
      </c>
      <c r="X214" s="81" t="s">
        <v>99</v>
      </c>
      <c r="Y214" s="65">
        <v>2</v>
      </c>
      <c r="Z214" s="64" t="s">
        <v>51</v>
      </c>
      <c r="AA214" s="74" t="s">
        <v>781</v>
      </c>
      <c r="AB214" s="64">
        <v>2025</v>
      </c>
      <c r="AC214" s="64" t="s">
        <v>106</v>
      </c>
      <c r="AD214" s="80" t="e">
        <f>+BORDRO!#REF!</f>
        <v>#REF!</v>
      </c>
      <c r="AE214" s="75"/>
      <c r="AF214" s="75" t="e">
        <f>+BORDRO!#REF!</f>
        <v>#REF!</v>
      </c>
      <c r="AG214" s="75" t="e">
        <f>+BORDRO!#REF!</f>
        <v>#REF!</v>
      </c>
      <c r="AH214" s="80" t="e">
        <f>+BORDRO!#REF!</f>
        <v>#REF!</v>
      </c>
      <c r="AI214" s="75" t="e">
        <f>+BORDRO!#REF!</f>
        <v>#REF!</v>
      </c>
      <c r="AJ214" s="76" t="e">
        <f>+BORDRO!#REF!</f>
        <v>#REF!</v>
      </c>
    </row>
    <row r="215" spans="1:36" ht="13.8" x14ac:dyDescent="0.25">
      <c r="A215" s="64" t="s">
        <v>51</v>
      </c>
      <c r="B215" s="119">
        <v>46</v>
      </c>
      <c r="C215" s="64" t="s">
        <v>52</v>
      </c>
      <c r="D215" s="64" t="s">
        <v>53</v>
      </c>
      <c r="E215" s="64" t="s">
        <v>53</v>
      </c>
      <c r="F215" s="65">
        <v>1494768</v>
      </c>
      <c r="G215" s="66" t="s">
        <v>105</v>
      </c>
      <c r="H215" s="64" t="s">
        <v>54</v>
      </c>
      <c r="I215" s="78"/>
      <c r="J215" s="67" t="e">
        <f>+Puantaj!#REF!</f>
        <v>#REF!</v>
      </c>
      <c r="K215" s="64" t="e">
        <f>+Puantaj!#REF!</f>
        <v>#REF!</v>
      </c>
      <c r="L215" s="64" t="e">
        <f>+Puantaj!#REF!</f>
        <v>#REF!</v>
      </c>
      <c r="M215" s="68" t="e">
        <f>+BORDRO!#REF!</f>
        <v>#REF!</v>
      </c>
      <c r="N215" s="64"/>
      <c r="O215" s="79" t="e">
        <f>+BORDRO!#REF!</f>
        <v>#REF!</v>
      </c>
      <c r="P215" s="79">
        <v>0</v>
      </c>
      <c r="Q215" s="69"/>
      <c r="R215" s="69"/>
      <c r="S215" s="70"/>
      <c r="T215" s="70"/>
      <c r="U215" s="71"/>
      <c r="V215" s="72" t="e">
        <f t="shared" si="3"/>
        <v>#REF!</v>
      </c>
      <c r="W215" s="73">
        <v>6</v>
      </c>
      <c r="X215" s="81" t="s">
        <v>99</v>
      </c>
      <c r="Y215" s="65">
        <v>2</v>
      </c>
      <c r="Z215" s="64" t="s">
        <v>51</v>
      </c>
      <c r="AA215" s="74" t="s">
        <v>781</v>
      </c>
      <c r="AB215" s="64">
        <v>2025</v>
      </c>
      <c r="AC215" s="64" t="s">
        <v>106</v>
      </c>
      <c r="AD215" s="80" t="e">
        <f>+BORDRO!#REF!</f>
        <v>#REF!</v>
      </c>
      <c r="AE215" s="75"/>
      <c r="AF215" s="75" t="e">
        <f>+BORDRO!#REF!</f>
        <v>#REF!</v>
      </c>
      <c r="AG215" s="75" t="e">
        <f>+BORDRO!#REF!</f>
        <v>#REF!</v>
      </c>
      <c r="AH215" s="80" t="e">
        <f>+BORDRO!#REF!</f>
        <v>#REF!</v>
      </c>
      <c r="AI215" s="75" t="e">
        <f>+BORDRO!#REF!</f>
        <v>#REF!</v>
      </c>
      <c r="AJ215" s="76" t="e">
        <f>+BORDRO!#REF!</f>
        <v>#REF!</v>
      </c>
    </row>
    <row r="216" spans="1:36" ht="13.8" x14ac:dyDescent="0.25">
      <c r="A216" s="64" t="s">
        <v>51</v>
      </c>
      <c r="B216" s="120">
        <v>46</v>
      </c>
      <c r="C216" s="64" t="s">
        <v>52</v>
      </c>
      <c r="D216" s="64" t="s">
        <v>53</v>
      </c>
      <c r="E216" s="64" t="s">
        <v>53</v>
      </c>
      <c r="F216" s="65">
        <v>1494768</v>
      </c>
      <c r="G216" s="66" t="s">
        <v>105</v>
      </c>
      <c r="H216" s="64" t="s">
        <v>54</v>
      </c>
      <c r="I216" s="78"/>
      <c r="J216" s="67" t="e">
        <f>+Puantaj!#REF!</f>
        <v>#REF!</v>
      </c>
      <c r="K216" s="64" t="e">
        <f>+Puantaj!#REF!</f>
        <v>#REF!</v>
      </c>
      <c r="L216" s="64" t="e">
        <f>+Puantaj!#REF!</f>
        <v>#REF!</v>
      </c>
      <c r="M216" s="68" t="e">
        <f>+BORDRO!#REF!</f>
        <v>#REF!</v>
      </c>
      <c r="N216" s="64"/>
      <c r="O216" s="79" t="e">
        <f>+BORDRO!#REF!</f>
        <v>#REF!</v>
      </c>
      <c r="P216" s="79">
        <v>0</v>
      </c>
      <c r="Q216" s="69"/>
      <c r="R216" s="69"/>
      <c r="S216" s="70"/>
      <c r="T216" s="70"/>
      <c r="U216" s="71"/>
      <c r="V216" s="72" t="e">
        <f t="shared" si="3"/>
        <v>#REF!</v>
      </c>
      <c r="W216" s="73">
        <v>6</v>
      </c>
      <c r="X216" s="81" t="s">
        <v>99</v>
      </c>
      <c r="Y216" s="65">
        <v>2</v>
      </c>
      <c r="Z216" s="64" t="s">
        <v>51</v>
      </c>
      <c r="AA216" s="74" t="s">
        <v>781</v>
      </c>
      <c r="AB216" s="64">
        <v>2025</v>
      </c>
      <c r="AC216" s="64" t="s">
        <v>106</v>
      </c>
      <c r="AD216" s="80" t="e">
        <f>+BORDRO!#REF!</f>
        <v>#REF!</v>
      </c>
      <c r="AE216" s="75"/>
      <c r="AF216" s="75" t="e">
        <f>+BORDRO!#REF!</f>
        <v>#REF!</v>
      </c>
      <c r="AG216" s="75" t="e">
        <f>+BORDRO!#REF!</f>
        <v>#REF!</v>
      </c>
      <c r="AH216" s="80" t="e">
        <f>+BORDRO!#REF!</f>
        <v>#REF!</v>
      </c>
      <c r="AI216" s="75" t="e">
        <f>+BORDRO!#REF!</f>
        <v>#REF!</v>
      </c>
      <c r="AJ216" s="76" t="e">
        <f>+BORDRO!#REF!</f>
        <v>#REF!</v>
      </c>
    </row>
    <row r="217" spans="1:36" ht="13.8" x14ac:dyDescent="0.25">
      <c r="A217" s="64" t="s">
        <v>51</v>
      </c>
      <c r="B217" s="119">
        <v>46</v>
      </c>
      <c r="C217" s="64" t="s">
        <v>52</v>
      </c>
      <c r="D217" s="64" t="s">
        <v>53</v>
      </c>
      <c r="E217" s="64" t="s">
        <v>53</v>
      </c>
      <c r="F217" s="65">
        <v>1494768</v>
      </c>
      <c r="G217" s="66" t="s">
        <v>105</v>
      </c>
      <c r="H217" s="64" t="s">
        <v>54</v>
      </c>
      <c r="I217" s="78"/>
      <c r="J217" s="67" t="e">
        <f>+Puantaj!#REF!</f>
        <v>#REF!</v>
      </c>
      <c r="K217" s="64" t="e">
        <f>+Puantaj!#REF!</f>
        <v>#REF!</v>
      </c>
      <c r="L217" s="64" t="e">
        <f>+Puantaj!#REF!</f>
        <v>#REF!</v>
      </c>
      <c r="M217" s="68" t="e">
        <f>+BORDRO!#REF!</f>
        <v>#REF!</v>
      </c>
      <c r="N217" s="64"/>
      <c r="O217" s="79" t="e">
        <f>+BORDRO!#REF!</f>
        <v>#REF!</v>
      </c>
      <c r="P217" s="79">
        <v>0</v>
      </c>
      <c r="Q217" s="69"/>
      <c r="R217" s="69"/>
      <c r="S217" s="70"/>
      <c r="T217" s="70"/>
      <c r="U217" s="71"/>
      <c r="V217" s="72" t="e">
        <f t="shared" si="3"/>
        <v>#REF!</v>
      </c>
      <c r="W217" s="73">
        <v>6</v>
      </c>
      <c r="X217" s="81" t="s">
        <v>99</v>
      </c>
      <c r="Y217" s="65">
        <v>2</v>
      </c>
      <c r="Z217" s="64" t="s">
        <v>51</v>
      </c>
      <c r="AA217" s="74" t="s">
        <v>781</v>
      </c>
      <c r="AB217" s="64">
        <v>2025</v>
      </c>
      <c r="AC217" s="64" t="s">
        <v>106</v>
      </c>
      <c r="AD217" s="80" t="e">
        <f>+BORDRO!#REF!</f>
        <v>#REF!</v>
      </c>
      <c r="AE217" s="75"/>
      <c r="AF217" s="75" t="e">
        <f>+BORDRO!#REF!</f>
        <v>#REF!</v>
      </c>
      <c r="AG217" s="75" t="e">
        <f>+BORDRO!#REF!</f>
        <v>#REF!</v>
      </c>
      <c r="AH217" s="80" t="e">
        <f>+BORDRO!#REF!</f>
        <v>#REF!</v>
      </c>
      <c r="AI217" s="75" t="e">
        <f>+BORDRO!#REF!</f>
        <v>#REF!</v>
      </c>
      <c r="AJ217" s="76" t="e">
        <f>+BORDRO!#REF!</f>
        <v>#REF!</v>
      </c>
    </row>
    <row r="218" spans="1:36" ht="13.8" x14ac:dyDescent="0.25">
      <c r="A218" s="64" t="s">
        <v>51</v>
      </c>
      <c r="B218" s="120">
        <v>46</v>
      </c>
      <c r="C218" s="64" t="s">
        <v>52</v>
      </c>
      <c r="D218" s="64" t="s">
        <v>53</v>
      </c>
      <c r="E218" s="64" t="s">
        <v>53</v>
      </c>
      <c r="F218" s="65">
        <v>1494768</v>
      </c>
      <c r="G218" s="66" t="s">
        <v>105</v>
      </c>
      <c r="H218" s="64" t="s">
        <v>54</v>
      </c>
      <c r="I218" s="78"/>
      <c r="J218" s="67" t="e">
        <f>+Puantaj!#REF!</f>
        <v>#REF!</v>
      </c>
      <c r="K218" s="64" t="e">
        <f>+Puantaj!#REF!</f>
        <v>#REF!</v>
      </c>
      <c r="L218" s="64" t="e">
        <f>+Puantaj!#REF!</f>
        <v>#REF!</v>
      </c>
      <c r="M218" s="68" t="e">
        <f>+BORDRO!#REF!</f>
        <v>#REF!</v>
      </c>
      <c r="N218" s="64"/>
      <c r="O218" s="79" t="e">
        <f>+BORDRO!#REF!</f>
        <v>#REF!</v>
      </c>
      <c r="P218" s="79">
        <v>0</v>
      </c>
      <c r="Q218" s="69"/>
      <c r="R218" s="69"/>
      <c r="S218" s="70"/>
      <c r="T218" s="70"/>
      <c r="U218" s="71"/>
      <c r="V218" s="72" t="e">
        <f t="shared" si="3"/>
        <v>#REF!</v>
      </c>
      <c r="W218" s="73">
        <v>6</v>
      </c>
      <c r="X218" s="81" t="s">
        <v>99</v>
      </c>
      <c r="Y218" s="65">
        <v>2</v>
      </c>
      <c r="Z218" s="64" t="s">
        <v>51</v>
      </c>
      <c r="AA218" s="74" t="s">
        <v>781</v>
      </c>
      <c r="AB218" s="64">
        <v>2025</v>
      </c>
      <c r="AC218" s="64" t="s">
        <v>106</v>
      </c>
      <c r="AD218" s="80" t="e">
        <f>+BORDRO!#REF!</f>
        <v>#REF!</v>
      </c>
      <c r="AE218" s="75"/>
      <c r="AF218" s="75" t="e">
        <f>+BORDRO!#REF!</f>
        <v>#REF!</v>
      </c>
      <c r="AG218" s="75" t="e">
        <f>+BORDRO!#REF!</f>
        <v>#REF!</v>
      </c>
      <c r="AH218" s="80" t="e">
        <f>+BORDRO!#REF!</f>
        <v>#REF!</v>
      </c>
      <c r="AI218" s="75" t="e">
        <f>+BORDRO!#REF!</f>
        <v>#REF!</v>
      </c>
      <c r="AJ218" s="76" t="e">
        <f>+BORDRO!#REF!</f>
        <v>#REF!</v>
      </c>
    </row>
    <row r="219" spans="1:36" ht="13.8" x14ac:dyDescent="0.25">
      <c r="A219" s="64" t="s">
        <v>51</v>
      </c>
      <c r="B219" s="119">
        <v>46</v>
      </c>
      <c r="C219" s="64" t="s">
        <v>52</v>
      </c>
      <c r="D219" s="64" t="s">
        <v>53</v>
      </c>
      <c r="E219" s="64" t="s">
        <v>53</v>
      </c>
      <c r="F219" s="65">
        <v>1494768</v>
      </c>
      <c r="G219" s="66" t="s">
        <v>105</v>
      </c>
      <c r="H219" s="64" t="s">
        <v>54</v>
      </c>
      <c r="I219" s="78"/>
      <c r="J219" s="67" t="e">
        <f>+Puantaj!#REF!</f>
        <v>#REF!</v>
      </c>
      <c r="K219" s="64" t="e">
        <f>+Puantaj!#REF!</f>
        <v>#REF!</v>
      </c>
      <c r="L219" s="64" t="e">
        <f>+Puantaj!#REF!</f>
        <v>#REF!</v>
      </c>
      <c r="M219" s="68" t="e">
        <f>+BORDRO!#REF!</f>
        <v>#REF!</v>
      </c>
      <c r="N219" s="64"/>
      <c r="O219" s="79" t="e">
        <f>+BORDRO!#REF!</f>
        <v>#REF!</v>
      </c>
      <c r="P219" s="79">
        <v>0</v>
      </c>
      <c r="Q219" s="69"/>
      <c r="R219" s="69"/>
      <c r="S219" s="70"/>
      <c r="T219" s="70"/>
      <c r="U219" s="71"/>
      <c r="V219" s="72" t="e">
        <f t="shared" si="3"/>
        <v>#REF!</v>
      </c>
      <c r="W219" s="73">
        <v>6</v>
      </c>
      <c r="X219" s="81" t="s">
        <v>99</v>
      </c>
      <c r="Y219" s="65">
        <v>2</v>
      </c>
      <c r="Z219" s="64" t="s">
        <v>51</v>
      </c>
      <c r="AA219" s="74" t="s">
        <v>781</v>
      </c>
      <c r="AB219" s="64">
        <v>2025</v>
      </c>
      <c r="AC219" s="64" t="s">
        <v>106</v>
      </c>
      <c r="AD219" s="80" t="e">
        <f>+BORDRO!#REF!</f>
        <v>#REF!</v>
      </c>
      <c r="AE219" s="75"/>
      <c r="AF219" s="75" t="e">
        <f>+BORDRO!#REF!</f>
        <v>#REF!</v>
      </c>
      <c r="AG219" s="75" t="e">
        <f>+BORDRO!#REF!</f>
        <v>#REF!</v>
      </c>
      <c r="AH219" s="80" t="e">
        <f>+BORDRO!#REF!</f>
        <v>#REF!</v>
      </c>
      <c r="AI219" s="75" t="e">
        <f>+BORDRO!#REF!</f>
        <v>#REF!</v>
      </c>
      <c r="AJ219" s="76" t="e">
        <f>+BORDRO!#REF!</f>
        <v>#REF!</v>
      </c>
    </row>
    <row r="220" spans="1:36" ht="13.8" x14ac:dyDescent="0.25">
      <c r="A220" s="64" t="s">
        <v>51</v>
      </c>
      <c r="B220" s="120">
        <v>46</v>
      </c>
      <c r="C220" s="64" t="s">
        <v>52</v>
      </c>
      <c r="D220" s="64" t="s">
        <v>53</v>
      </c>
      <c r="E220" s="64" t="s">
        <v>53</v>
      </c>
      <c r="F220" s="65">
        <v>1494768</v>
      </c>
      <c r="G220" s="66" t="s">
        <v>105</v>
      </c>
      <c r="H220" s="64" t="s">
        <v>54</v>
      </c>
      <c r="I220" s="78"/>
      <c r="J220" s="67" t="e">
        <f>+Puantaj!#REF!</f>
        <v>#REF!</v>
      </c>
      <c r="K220" s="64" t="e">
        <f>+Puantaj!#REF!</f>
        <v>#REF!</v>
      </c>
      <c r="L220" s="64" t="e">
        <f>+Puantaj!#REF!</f>
        <v>#REF!</v>
      </c>
      <c r="M220" s="68" t="e">
        <f>+BORDRO!#REF!</f>
        <v>#REF!</v>
      </c>
      <c r="N220" s="64"/>
      <c r="O220" s="79" t="e">
        <f>+BORDRO!#REF!</f>
        <v>#REF!</v>
      </c>
      <c r="P220" s="79">
        <v>0</v>
      </c>
      <c r="Q220" s="69"/>
      <c r="R220" s="69"/>
      <c r="S220" s="70"/>
      <c r="T220" s="70"/>
      <c r="U220" s="71"/>
      <c r="V220" s="72" t="e">
        <f t="shared" si="3"/>
        <v>#REF!</v>
      </c>
      <c r="W220" s="73">
        <v>6</v>
      </c>
      <c r="X220" s="81" t="s">
        <v>99</v>
      </c>
      <c r="Y220" s="65">
        <v>2</v>
      </c>
      <c r="Z220" s="64" t="s">
        <v>51</v>
      </c>
      <c r="AA220" s="74" t="s">
        <v>781</v>
      </c>
      <c r="AB220" s="64">
        <v>2025</v>
      </c>
      <c r="AC220" s="64" t="s">
        <v>106</v>
      </c>
      <c r="AD220" s="80" t="e">
        <f>+BORDRO!#REF!</f>
        <v>#REF!</v>
      </c>
      <c r="AE220" s="75"/>
      <c r="AF220" s="75" t="e">
        <f>+BORDRO!#REF!</f>
        <v>#REF!</v>
      </c>
      <c r="AG220" s="75" t="e">
        <f>+BORDRO!#REF!</f>
        <v>#REF!</v>
      </c>
      <c r="AH220" s="80" t="e">
        <f>+BORDRO!#REF!</f>
        <v>#REF!</v>
      </c>
      <c r="AI220" s="75" t="e">
        <f>+BORDRO!#REF!</f>
        <v>#REF!</v>
      </c>
      <c r="AJ220" s="76" t="e">
        <f>+BORDRO!#REF!</f>
        <v>#REF!</v>
      </c>
    </row>
    <row r="221" spans="1:36" ht="13.8" x14ac:dyDescent="0.25">
      <c r="A221" s="64" t="s">
        <v>51</v>
      </c>
      <c r="B221" s="119">
        <v>46</v>
      </c>
      <c r="C221" s="64" t="s">
        <v>52</v>
      </c>
      <c r="D221" s="64" t="s">
        <v>53</v>
      </c>
      <c r="E221" s="64" t="s">
        <v>53</v>
      </c>
      <c r="F221" s="65">
        <v>1494768</v>
      </c>
      <c r="G221" s="66" t="s">
        <v>105</v>
      </c>
      <c r="H221" s="64" t="s">
        <v>54</v>
      </c>
      <c r="I221" s="78"/>
      <c r="J221" s="67" t="e">
        <f>+Puantaj!#REF!</f>
        <v>#REF!</v>
      </c>
      <c r="K221" s="64" t="e">
        <f>+Puantaj!#REF!</f>
        <v>#REF!</v>
      </c>
      <c r="L221" s="64" t="e">
        <f>+Puantaj!#REF!</f>
        <v>#REF!</v>
      </c>
      <c r="M221" s="68" t="e">
        <f>+BORDRO!#REF!</f>
        <v>#REF!</v>
      </c>
      <c r="N221" s="64"/>
      <c r="O221" s="79" t="e">
        <f>+BORDRO!#REF!</f>
        <v>#REF!</v>
      </c>
      <c r="P221" s="79">
        <v>0</v>
      </c>
      <c r="Q221" s="69"/>
      <c r="R221" s="69"/>
      <c r="S221" s="70"/>
      <c r="T221" s="70"/>
      <c r="U221" s="71"/>
      <c r="V221" s="72" t="e">
        <f t="shared" si="3"/>
        <v>#REF!</v>
      </c>
      <c r="W221" s="73">
        <v>6</v>
      </c>
      <c r="X221" s="81" t="s">
        <v>99</v>
      </c>
      <c r="Y221" s="65">
        <v>2</v>
      </c>
      <c r="Z221" s="64" t="s">
        <v>51</v>
      </c>
      <c r="AA221" s="74" t="s">
        <v>781</v>
      </c>
      <c r="AB221" s="64">
        <v>2025</v>
      </c>
      <c r="AC221" s="64" t="s">
        <v>106</v>
      </c>
      <c r="AD221" s="80" t="e">
        <f>+BORDRO!#REF!</f>
        <v>#REF!</v>
      </c>
      <c r="AE221" s="75"/>
      <c r="AF221" s="75" t="e">
        <f>+BORDRO!#REF!</f>
        <v>#REF!</v>
      </c>
      <c r="AG221" s="75" t="e">
        <f>+BORDRO!#REF!</f>
        <v>#REF!</v>
      </c>
      <c r="AH221" s="80" t="e">
        <f>+BORDRO!#REF!</f>
        <v>#REF!</v>
      </c>
      <c r="AI221" s="75" t="e">
        <f>+BORDRO!#REF!</f>
        <v>#REF!</v>
      </c>
      <c r="AJ221" s="76" t="e">
        <f>+BORDRO!#REF!</f>
        <v>#REF!</v>
      </c>
    </row>
    <row r="222" spans="1:36" ht="13.8" x14ac:dyDescent="0.25">
      <c r="A222" s="64" t="s">
        <v>51</v>
      </c>
      <c r="B222" s="120">
        <v>46</v>
      </c>
      <c r="C222" s="64" t="s">
        <v>52</v>
      </c>
      <c r="D222" s="64" t="s">
        <v>53</v>
      </c>
      <c r="E222" s="64" t="s">
        <v>53</v>
      </c>
      <c r="F222" s="65">
        <v>1494768</v>
      </c>
      <c r="G222" s="66" t="s">
        <v>105</v>
      </c>
      <c r="H222" s="64" t="s">
        <v>54</v>
      </c>
      <c r="I222" s="78"/>
      <c r="J222" s="67" t="e">
        <f>+Puantaj!#REF!</f>
        <v>#REF!</v>
      </c>
      <c r="K222" s="64" t="e">
        <f>+Puantaj!#REF!</f>
        <v>#REF!</v>
      </c>
      <c r="L222" s="64" t="e">
        <f>+Puantaj!#REF!</f>
        <v>#REF!</v>
      </c>
      <c r="M222" s="68" t="e">
        <f>+BORDRO!#REF!</f>
        <v>#REF!</v>
      </c>
      <c r="N222" s="64"/>
      <c r="O222" s="79" t="e">
        <f>+BORDRO!#REF!</f>
        <v>#REF!</v>
      </c>
      <c r="P222" s="79">
        <v>0</v>
      </c>
      <c r="Q222" s="69"/>
      <c r="R222" s="69"/>
      <c r="S222" s="70"/>
      <c r="T222" s="70"/>
      <c r="U222" s="71"/>
      <c r="V222" s="72" t="e">
        <f t="shared" si="3"/>
        <v>#REF!</v>
      </c>
      <c r="W222" s="73">
        <v>6</v>
      </c>
      <c r="X222" s="81" t="s">
        <v>99</v>
      </c>
      <c r="Y222" s="65">
        <v>2</v>
      </c>
      <c r="Z222" s="64" t="s">
        <v>51</v>
      </c>
      <c r="AA222" s="74" t="s">
        <v>781</v>
      </c>
      <c r="AB222" s="64">
        <v>2025</v>
      </c>
      <c r="AC222" s="64" t="s">
        <v>106</v>
      </c>
      <c r="AD222" s="80" t="e">
        <f>+BORDRO!#REF!</f>
        <v>#REF!</v>
      </c>
      <c r="AE222" s="75"/>
      <c r="AF222" s="75" t="e">
        <f>+BORDRO!#REF!</f>
        <v>#REF!</v>
      </c>
      <c r="AG222" s="75" t="e">
        <f>+BORDRO!#REF!</f>
        <v>#REF!</v>
      </c>
      <c r="AH222" s="80" t="e">
        <f>+BORDRO!#REF!</f>
        <v>#REF!</v>
      </c>
      <c r="AI222" s="75" t="e">
        <f>+BORDRO!#REF!</f>
        <v>#REF!</v>
      </c>
      <c r="AJ222" s="76" t="e">
        <f>+BORDRO!#REF!</f>
        <v>#REF!</v>
      </c>
    </row>
    <row r="223" spans="1:36" ht="13.8" x14ac:dyDescent="0.25">
      <c r="A223" s="64" t="s">
        <v>51</v>
      </c>
      <c r="B223" s="119">
        <v>46</v>
      </c>
      <c r="C223" s="64" t="s">
        <v>52</v>
      </c>
      <c r="D223" s="64" t="s">
        <v>53</v>
      </c>
      <c r="E223" s="64" t="s">
        <v>53</v>
      </c>
      <c r="F223" s="65">
        <v>1494768</v>
      </c>
      <c r="G223" s="66" t="s">
        <v>105</v>
      </c>
      <c r="H223" s="64" t="s">
        <v>54</v>
      </c>
      <c r="I223" s="78"/>
      <c r="J223" s="67" t="e">
        <f>+Puantaj!#REF!</f>
        <v>#REF!</v>
      </c>
      <c r="K223" s="64" t="e">
        <f>+Puantaj!#REF!</f>
        <v>#REF!</v>
      </c>
      <c r="L223" s="64" t="e">
        <f>+Puantaj!#REF!</f>
        <v>#REF!</v>
      </c>
      <c r="M223" s="68" t="e">
        <f>+BORDRO!#REF!</f>
        <v>#REF!</v>
      </c>
      <c r="N223" s="64"/>
      <c r="O223" s="79" t="e">
        <f>+BORDRO!#REF!</f>
        <v>#REF!</v>
      </c>
      <c r="P223" s="79">
        <v>0</v>
      </c>
      <c r="Q223" s="69"/>
      <c r="R223" s="69"/>
      <c r="S223" s="70"/>
      <c r="T223" s="70"/>
      <c r="U223" s="71"/>
      <c r="V223" s="72" t="e">
        <f t="shared" si="3"/>
        <v>#REF!</v>
      </c>
      <c r="W223" s="73">
        <v>6</v>
      </c>
      <c r="X223" s="81" t="s">
        <v>99</v>
      </c>
      <c r="Y223" s="65">
        <v>2</v>
      </c>
      <c r="Z223" s="64" t="s">
        <v>51</v>
      </c>
      <c r="AA223" s="74" t="s">
        <v>781</v>
      </c>
      <c r="AB223" s="64">
        <v>2025</v>
      </c>
      <c r="AC223" s="64" t="s">
        <v>106</v>
      </c>
      <c r="AD223" s="80" t="e">
        <f>+BORDRO!#REF!</f>
        <v>#REF!</v>
      </c>
      <c r="AE223" s="75"/>
      <c r="AF223" s="75" t="e">
        <f>+BORDRO!#REF!</f>
        <v>#REF!</v>
      </c>
      <c r="AG223" s="75" t="e">
        <f>+BORDRO!#REF!</f>
        <v>#REF!</v>
      </c>
      <c r="AH223" s="80" t="e">
        <f>+BORDRO!#REF!</f>
        <v>#REF!</v>
      </c>
      <c r="AI223" s="75" t="e">
        <f>+BORDRO!#REF!</f>
        <v>#REF!</v>
      </c>
      <c r="AJ223" s="76" t="e">
        <f>+BORDRO!#REF!</f>
        <v>#REF!</v>
      </c>
    </row>
    <row r="224" spans="1:36" ht="13.8" x14ac:dyDescent="0.25">
      <c r="A224" s="64" t="s">
        <v>51</v>
      </c>
      <c r="B224" s="120">
        <v>46</v>
      </c>
      <c r="C224" s="64" t="s">
        <v>52</v>
      </c>
      <c r="D224" s="64" t="s">
        <v>53</v>
      </c>
      <c r="E224" s="64" t="s">
        <v>53</v>
      </c>
      <c r="F224" s="65">
        <v>1494768</v>
      </c>
      <c r="G224" s="66" t="s">
        <v>105</v>
      </c>
      <c r="H224" s="64" t="s">
        <v>54</v>
      </c>
      <c r="I224" s="78"/>
      <c r="J224" s="67" t="e">
        <f>+Puantaj!#REF!</f>
        <v>#REF!</v>
      </c>
      <c r="K224" s="64" t="e">
        <f>+Puantaj!#REF!</f>
        <v>#REF!</v>
      </c>
      <c r="L224" s="64" t="e">
        <f>+Puantaj!#REF!</f>
        <v>#REF!</v>
      </c>
      <c r="M224" s="68" t="e">
        <f>+BORDRO!#REF!</f>
        <v>#REF!</v>
      </c>
      <c r="N224" s="64"/>
      <c r="O224" s="79" t="e">
        <f>+BORDRO!#REF!</f>
        <v>#REF!</v>
      </c>
      <c r="P224" s="79">
        <v>0</v>
      </c>
      <c r="Q224" s="69"/>
      <c r="R224" s="69"/>
      <c r="S224" s="70"/>
      <c r="T224" s="70"/>
      <c r="U224" s="71"/>
      <c r="V224" s="72" t="e">
        <f t="shared" si="3"/>
        <v>#REF!</v>
      </c>
      <c r="W224" s="73">
        <v>6</v>
      </c>
      <c r="X224" s="81" t="s">
        <v>99</v>
      </c>
      <c r="Y224" s="65">
        <v>2</v>
      </c>
      <c r="Z224" s="64" t="s">
        <v>51</v>
      </c>
      <c r="AA224" s="74" t="s">
        <v>781</v>
      </c>
      <c r="AB224" s="64">
        <v>2025</v>
      </c>
      <c r="AC224" s="64" t="s">
        <v>106</v>
      </c>
      <c r="AD224" s="80" t="e">
        <f>+BORDRO!#REF!</f>
        <v>#REF!</v>
      </c>
      <c r="AE224" s="75"/>
      <c r="AF224" s="75" t="e">
        <f>+BORDRO!#REF!</f>
        <v>#REF!</v>
      </c>
      <c r="AG224" s="75" t="e">
        <f>+BORDRO!#REF!</f>
        <v>#REF!</v>
      </c>
      <c r="AH224" s="80" t="e">
        <f>+BORDRO!#REF!</f>
        <v>#REF!</v>
      </c>
      <c r="AI224" s="75" t="e">
        <f>+BORDRO!#REF!</f>
        <v>#REF!</v>
      </c>
      <c r="AJ224" s="76" t="e">
        <f>+BORDRO!#REF!</f>
        <v>#REF!</v>
      </c>
    </row>
    <row r="225" spans="1:36" ht="13.8" x14ac:dyDescent="0.25">
      <c r="A225" s="64" t="s">
        <v>51</v>
      </c>
      <c r="B225" s="119">
        <v>46</v>
      </c>
      <c r="C225" s="64" t="s">
        <v>52</v>
      </c>
      <c r="D225" s="64" t="s">
        <v>53</v>
      </c>
      <c r="E225" s="64" t="s">
        <v>53</v>
      </c>
      <c r="F225" s="65">
        <v>1494768</v>
      </c>
      <c r="G225" s="66" t="s">
        <v>105</v>
      </c>
      <c r="H225" s="64" t="s">
        <v>54</v>
      </c>
      <c r="I225" s="78"/>
      <c r="J225" s="67" t="e">
        <f>+Puantaj!#REF!</f>
        <v>#REF!</v>
      </c>
      <c r="K225" s="64" t="e">
        <f>+Puantaj!#REF!</f>
        <v>#REF!</v>
      </c>
      <c r="L225" s="64" t="e">
        <f>+Puantaj!#REF!</f>
        <v>#REF!</v>
      </c>
      <c r="M225" s="68" t="e">
        <f>+BORDRO!#REF!</f>
        <v>#REF!</v>
      </c>
      <c r="N225" s="64"/>
      <c r="O225" s="79" t="e">
        <f>+BORDRO!#REF!</f>
        <v>#REF!</v>
      </c>
      <c r="P225" s="79">
        <v>0</v>
      </c>
      <c r="Q225" s="69"/>
      <c r="R225" s="69"/>
      <c r="S225" s="70"/>
      <c r="T225" s="70"/>
      <c r="U225" s="71"/>
      <c r="V225" s="72" t="e">
        <f t="shared" si="3"/>
        <v>#REF!</v>
      </c>
      <c r="W225" s="73">
        <v>6</v>
      </c>
      <c r="X225" s="81" t="s">
        <v>99</v>
      </c>
      <c r="Y225" s="65">
        <v>2</v>
      </c>
      <c r="Z225" s="64" t="s">
        <v>51</v>
      </c>
      <c r="AA225" s="74" t="s">
        <v>781</v>
      </c>
      <c r="AB225" s="64">
        <v>2025</v>
      </c>
      <c r="AC225" s="64" t="s">
        <v>106</v>
      </c>
      <c r="AD225" s="80" t="e">
        <f>+BORDRO!#REF!</f>
        <v>#REF!</v>
      </c>
      <c r="AE225" s="75"/>
      <c r="AF225" s="75" t="e">
        <f>+BORDRO!#REF!</f>
        <v>#REF!</v>
      </c>
      <c r="AG225" s="75" t="e">
        <f>+BORDRO!#REF!</f>
        <v>#REF!</v>
      </c>
      <c r="AH225" s="80" t="e">
        <f>+BORDRO!#REF!</f>
        <v>#REF!</v>
      </c>
      <c r="AI225" s="75" t="e">
        <f>+BORDRO!#REF!</f>
        <v>#REF!</v>
      </c>
      <c r="AJ225" s="76" t="e">
        <f>+BORDRO!#REF!</f>
        <v>#REF!</v>
      </c>
    </row>
    <row r="226" spans="1:36" ht="13.8" x14ac:dyDescent="0.25">
      <c r="A226" s="64" t="s">
        <v>51</v>
      </c>
      <c r="B226" s="120">
        <v>46</v>
      </c>
      <c r="C226" s="64" t="s">
        <v>52</v>
      </c>
      <c r="D226" s="64" t="s">
        <v>53</v>
      </c>
      <c r="E226" s="64" t="s">
        <v>53</v>
      </c>
      <c r="F226" s="65">
        <v>1494768</v>
      </c>
      <c r="G226" s="66" t="s">
        <v>105</v>
      </c>
      <c r="H226" s="64" t="s">
        <v>54</v>
      </c>
      <c r="I226" s="78"/>
      <c r="J226" s="67" t="e">
        <f>+Puantaj!#REF!</f>
        <v>#REF!</v>
      </c>
      <c r="K226" s="64" t="e">
        <f>+Puantaj!#REF!</f>
        <v>#REF!</v>
      </c>
      <c r="L226" s="64" t="e">
        <f>+Puantaj!#REF!</f>
        <v>#REF!</v>
      </c>
      <c r="M226" s="68" t="e">
        <f>+BORDRO!#REF!</f>
        <v>#REF!</v>
      </c>
      <c r="N226" s="64"/>
      <c r="O226" s="79" t="e">
        <f>+BORDRO!#REF!</f>
        <v>#REF!</v>
      </c>
      <c r="P226" s="79">
        <v>0</v>
      </c>
      <c r="Q226" s="69"/>
      <c r="R226" s="69"/>
      <c r="S226" s="70"/>
      <c r="T226" s="70"/>
      <c r="U226" s="71"/>
      <c r="V226" s="72" t="e">
        <f t="shared" si="3"/>
        <v>#REF!</v>
      </c>
      <c r="W226" s="73">
        <v>6</v>
      </c>
      <c r="X226" s="81" t="s">
        <v>99</v>
      </c>
      <c r="Y226" s="65">
        <v>2</v>
      </c>
      <c r="Z226" s="64" t="s">
        <v>51</v>
      </c>
      <c r="AA226" s="74" t="s">
        <v>781</v>
      </c>
      <c r="AB226" s="64">
        <v>2025</v>
      </c>
      <c r="AC226" s="64" t="s">
        <v>106</v>
      </c>
      <c r="AD226" s="80" t="e">
        <f>+BORDRO!#REF!</f>
        <v>#REF!</v>
      </c>
      <c r="AE226" s="75"/>
      <c r="AF226" s="75" t="e">
        <f>+BORDRO!#REF!</f>
        <v>#REF!</v>
      </c>
      <c r="AG226" s="75" t="e">
        <f>+BORDRO!#REF!</f>
        <v>#REF!</v>
      </c>
      <c r="AH226" s="80" t="e">
        <f>+BORDRO!#REF!</f>
        <v>#REF!</v>
      </c>
      <c r="AI226" s="75" t="e">
        <f>+BORDRO!#REF!</f>
        <v>#REF!</v>
      </c>
      <c r="AJ226" s="76" t="e">
        <f>+BORDRO!#REF!</f>
        <v>#REF!</v>
      </c>
    </row>
    <row r="227" spans="1:36" ht="13.8" x14ac:dyDescent="0.25">
      <c r="A227" s="64" t="s">
        <v>51</v>
      </c>
      <c r="B227" s="119">
        <v>46</v>
      </c>
      <c r="C227" s="64" t="s">
        <v>52</v>
      </c>
      <c r="D227" s="64" t="s">
        <v>53</v>
      </c>
      <c r="E227" s="64" t="s">
        <v>53</v>
      </c>
      <c r="F227" s="65">
        <v>1494768</v>
      </c>
      <c r="G227" s="66" t="s">
        <v>105</v>
      </c>
      <c r="H227" s="64" t="s">
        <v>54</v>
      </c>
      <c r="I227" s="78"/>
      <c r="J227" s="67" t="e">
        <f>+Puantaj!#REF!</f>
        <v>#REF!</v>
      </c>
      <c r="K227" s="64" t="e">
        <f>+Puantaj!#REF!</f>
        <v>#REF!</v>
      </c>
      <c r="L227" s="64" t="e">
        <f>+Puantaj!#REF!</f>
        <v>#REF!</v>
      </c>
      <c r="M227" s="68" t="e">
        <f>+BORDRO!#REF!</f>
        <v>#REF!</v>
      </c>
      <c r="N227" s="64"/>
      <c r="O227" s="79" t="e">
        <f>+BORDRO!#REF!</f>
        <v>#REF!</v>
      </c>
      <c r="P227" s="79">
        <v>0</v>
      </c>
      <c r="Q227" s="69"/>
      <c r="R227" s="69"/>
      <c r="S227" s="70"/>
      <c r="T227" s="70"/>
      <c r="U227" s="71"/>
      <c r="V227" s="72" t="e">
        <f t="shared" si="3"/>
        <v>#REF!</v>
      </c>
      <c r="W227" s="73">
        <v>6</v>
      </c>
      <c r="X227" s="81" t="s">
        <v>99</v>
      </c>
      <c r="Y227" s="65">
        <v>2</v>
      </c>
      <c r="Z227" s="64" t="s">
        <v>51</v>
      </c>
      <c r="AA227" s="74" t="s">
        <v>781</v>
      </c>
      <c r="AB227" s="64">
        <v>2025</v>
      </c>
      <c r="AC227" s="64" t="s">
        <v>106</v>
      </c>
      <c r="AD227" s="80" t="e">
        <f>+BORDRO!#REF!</f>
        <v>#REF!</v>
      </c>
      <c r="AE227" s="75"/>
      <c r="AF227" s="75" t="e">
        <f>+BORDRO!#REF!</f>
        <v>#REF!</v>
      </c>
      <c r="AG227" s="75" t="e">
        <f>+BORDRO!#REF!</f>
        <v>#REF!</v>
      </c>
      <c r="AH227" s="80" t="e">
        <f>+BORDRO!#REF!</f>
        <v>#REF!</v>
      </c>
      <c r="AI227" s="75" t="e">
        <f>+BORDRO!#REF!</f>
        <v>#REF!</v>
      </c>
      <c r="AJ227" s="76" t="e">
        <f>+BORDRO!#REF!</f>
        <v>#REF!</v>
      </c>
    </row>
    <row r="228" spans="1:36" ht="13.8" x14ac:dyDescent="0.25">
      <c r="A228" s="64" t="s">
        <v>51</v>
      </c>
      <c r="B228" s="120">
        <v>46</v>
      </c>
      <c r="C228" s="64" t="s">
        <v>52</v>
      </c>
      <c r="D228" s="64" t="s">
        <v>53</v>
      </c>
      <c r="E228" s="64" t="s">
        <v>53</v>
      </c>
      <c r="F228" s="65">
        <v>1494768</v>
      </c>
      <c r="G228" s="66" t="s">
        <v>105</v>
      </c>
      <c r="H228" s="64" t="s">
        <v>54</v>
      </c>
      <c r="I228" s="78"/>
      <c r="J228" s="67" t="e">
        <f>+Puantaj!#REF!</f>
        <v>#REF!</v>
      </c>
      <c r="K228" s="64" t="e">
        <f>+Puantaj!#REF!</f>
        <v>#REF!</v>
      </c>
      <c r="L228" s="64" t="e">
        <f>+Puantaj!#REF!</f>
        <v>#REF!</v>
      </c>
      <c r="M228" s="68" t="e">
        <f>+BORDRO!#REF!</f>
        <v>#REF!</v>
      </c>
      <c r="N228" s="64"/>
      <c r="O228" s="79" t="e">
        <f>+BORDRO!#REF!</f>
        <v>#REF!</v>
      </c>
      <c r="P228" s="79">
        <v>0</v>
      </c>
      <c r="Q228" s="69"/>
      <c r="R228" s="69"/>
      <c r="S228" s="70"/>
      <c r="T228" s="70"/>
      <c r="U228" s="71"/>
      <c r="V228" s="72" t="e">
        <f t="shared" si="3"/>
        <v>#REF!</v>
      </c>
      <c r="W228" s="73">
        <v>6</v>
      </c>
      <c r="X228" s="81" t="s">
        <v>99</v>
      </c>
      <c r="Y228" s="65">
        <v>2</v>
      </c>
      <c r="Z228" s="64" t="s">
        <v>51</v>
      </c>
      <c r="AA228" s="74" t="s">
        <v>781</v>
      </c>
      <c r="AB228" s="64">
        <v>2025</v>
      </c>
      <c r="AC228" s="64" t="s">
        <v>106</v>
      </c>
      <c r="AD228" s="80" t="e">
        <f>+BORDRO!#REF!</f>
        <v>#REF!</v>
      </c>
      <c r="AE228" s="75"/>
      <c r="AF228" s="75" t="e">
        <f>+BORDRO!#REF!</f>
        <v>#REF!</v>
      </c>
      <c r="AG228" s="75" t="e">
        <f>+BORDRO!#REF!</f>
        <v>#REF!</v>
      </c>
      <c r="AH228" s="80" t="e">
        <f>+BORDRO!#REF!</f>
        <v>#REF!</v>
      </c>
      <c r="AI228" s="75" t="e">
        <f>+BORDRO!#REF!</f>
        <v>#REF!</v>
      </c>
      <c r="AJ228" s="76" t="e">
        <f>+BORDRO!#REF!</f>
        <v>#REF!</v>
      </c>
    </row>
    <row r="229" spans="1:36" ht="13.8" x14ac:dyDescent="0.25">
      <c r="A229" s="64" t="s">
        <v>51</v>
      </c>
      <c r="B229" s="119">
        <v>46</v>
      </c>
      <c r="C229" s="64" t="s">
        <v>52</v>
      </c>
      <c r="D229" s="64" t="s">
        <v>53</v>
      </c>
      <c r="E229" s="64" t="s">
        <v>53</v>
      </c>
      <c r="F229" s="65">
        <v>1494768</v>
      </c>
      <c r="G229" s="66" t="s">
        <v>105</v>
      </c>
      <c r="H229" s="64" t="s">
        <v>54</v>
      </c>
      <c r="I229" s="78"/>
      <c r="J229" s="67" t="e">
        <f>+Puantaj!#REF!</f>
        <v>#REF!</v>
      </c>
      <c r="K229" s="64" t="e">
        <f>+Puantaj!#REF!</f>
        <v>#REF!</v>
      </c>
      <c r="L229" s="64" t="e">
        <f>+Puantaj!#REF!</f>
        <v>#REF!</v>
      </c>
      <c r="M229" s="68" t="e">
        <f>+BORDRO!#REF!</f>
        <v>#REF!</v>
      </c>
      <c r="N229" s="64"/>
      <c r="O229" s="79" t="e">
        <f>+BORDRO!#REF!</f>
        <v>#REF!</v>
      </c>
      <c r="P229" s="79">
        <v>0</v>
      </c>
      <c r="Q229" s="69"/>
      <c r="R229" s="69"/>
      <c r="S229" s="70"/>
      <c r="T229" s="70"/>
      <c r="U229" s="71"/>
      <c r="V229" s="72" t="e">
        <f t="shared" si="3"/>
        <v>#REF!</v>
      </c>
      <c r="W229" s="73">
        <v>6</v>
      </c>
      <c r="X229" s="81" t="s">
        <v>99</v>
      </c>
      <c r="Y229" s="65">
        <v>2</v>
      </c>
      <c r="Z229" s="64" t="s">
        <v>51</v>
      </c>
      <c r="AA229" s="74" t="s">
        <v>781</v>
      </c>
      <c r="AB229" s="64">
        <v>2025</v>
      </c>
      <c r="AC229" s="64" t="s">
        <v>106</v>
      </c>
      <c r="AD229" s="80" t="e">
        <f>+BORDRO!#REF!</f>
        <v>#REF!</v>
      </c>
      <c r="AE229" s="75"/>
      <c r="AF229" s="75" t="e">
        <f>+BORDRO!#REF!</f>
        <v>#REF!</v>
      </c>
      <c r="AG229" s="75" t="e">
        <f>+BORDRO!#REF!</f>
        <v>#REF!</v>
      </c>
      <c r="AH229" s="80" t="e">
        <f>+BORDRO!#REF!</f>
        <v>#REF!</v>
      </c>
      <c r="AI229" s="75" t="e">
        <f>+BORDRO!#REF!</f>
        <v>#REF!</v>
      </c>
      <c r="AJ229" s="76" t="e">
        <f>+BORDRO!#REF!</f>
        <v>#REF!</v>
      </c>
    </row>
    <row r="230" spans="1:36" ht="13.8" x14ac:dyDescent="0.25">
      <c r="A230" s="64" t="s">
        <v>51</v>
      </c>
      <c r="B230" s="120">
        <v>46</v>
      </c>
      <c r="C230" s="64" t="s">
        <v>52</v>
      </c>
      <c r="D230" s="64" t="s">
        <v>53</v>
      </c>
      <c r="E230" s="64" t="s">
        <v>53</v>
      </c>
      <c r="F230" s="65">
        <v>1494768</v>
      </c>
      <c r="G230" s="66" t="s">
        <v>105</v>
      </c>
      <c r="H230" s="64" t="s">
        <v>54</v>
      </c>
      <c r="I230" s="78"/>
      <c r="J230" s="67" t="e">
        <f>+Puantaj!#REF!</f>
        <v>#REF!</v>
      </c>
      <c r="K230" s="64" t="e">
        <f>+Puantaj!#REF!</f>
        <v>#REF!</v>
      </c>
      <c r="L230" s="64" t="e">
        <f>+Puantaj!#REF!</f>
        <v>#REF!</v>
      </c>
      <c r="M230" s="68" t="e">
        <f>+BORDRO!#REF!</f>
        <v>#REF!</v>
      </c>
      <c r="N230" s="64"/>
      <c r="O230" s="79" t="e">
        <f>+BORDRO!#REF!</f>
        <v>#REF!</v>
      </c>
      <c r="P230" s="79">
        <v>0</v>
      </c>
      <c r="Q230" s="69"/>
      <c r="R230" s="69"/>
      <c r="S230" s="70"/>
      <c r="T230" s="70"/>
      <c r="U230" s="71"/>
      <c r="V230" s="72" t="e">
        <f t="shared" si="3"/>
        <v>#REF!</v>
      </c>
      <c r="W230" s="73">
        <v>6</v>
      </c>
      <c r="X230" s="81" t="s">
        <v>99</v>
      </c>
      <c r="Y230" s="65">
        <v>2</v>
      </c>
      <c r="Z230" s="64" t="s">
        <v>51</v>
      </c>
      <c r="AA230" s="74" t="s">
        <v>781</v>
      </c>
      <c r="AB230" s="64">
        <v>2025</v>
      </c>
      <c r="AC230" s="64" t="s">
        <v>106</v>
      </c>
      <c r="AD230" s="80" t="e">
        <f>+BORDRO!#REF!</f>
        <v>#REF!</v>
      </c>
      <c r="AE230" s="75"/>
      <c r="AF230" s="75" t="e">
        <f>+BORDRO!#REF!</f>
        <v>#REF!</v>
      </c>
      <c r="AG230" s="75" t="e">
        <f>+BORDRO!#REF!</f>
        <v>#REF!</v>
      </c>
      <c r="AH230" s="80" t="e">
        <f>+BORDRO!#REF!</f>
        <v>#REF!</v>
      </c>
      <c r="AI230" s="75" t="e">
        <f>+BORDRO!#REF!</f>
        <v>#REF!</v>
      </c>
      <c r="AJ230" s="76" t="e">
        <f>+BORDRO!#REF!</f>
        <v>#REF!</v>
      </c>
    </row>
    <row r="231" spans="1:36" ht="13.8" x14ac:dyDescent="0.25">
      <c r="A231" s="64" t="s">
        <v>51</v>
      </c>
      <c r="B231" s="119">
        <v>46</v>
      </c>
      <c r="C231" s="64" t="s">
        <v>52</v>
      </c>
      <c r="D231" s="64" t="s">
        <v>53</v>
      </c>
      <c r="E231" s="64" t="s">
        <v>53</v>
      </c>
      <c r="F231" s="65">
        <v>1494768</v>
      </c>
      <c r="G231" s="66" t="s">
        <v>105</v>
      </c>
      <c r="H231" s="64" t="s">
        <v>54</v>
      </c>
      <c r="I231" s="78"/>
      <c r="J231" s="67" t="e">
        <f>+Puantaj!#REF!</f>
        <v>#REF!</v>
      </c>
      <c r="K231" s="64" t="e">
        <f>+Puantaj!#REF!</f>
        <v>#REF!</v>
      </c>
      <c r="L231" s="64" t="e">
        <f>+Puantaj!#REF!</f>
        <v>#REF!</v>
      </c>
      <c r="M231" s="68" t="e">
        <f>+BORDRO!#REF!</f>
        <v>#REF!</v>
      </c>
      <c r="N231" s="64"/>
      <c r="O231" s="79" t="e">
        <f>+BORDRO!#REF!</f>
        <v>#REF!</v>
      </c>
      <c r="P231" s="79">
        <v>0</v>
      </c>
      <c r="Q231" s="69"/>
      <c r="R231" s="69"/>
      <c r="S231" s="70"/>
      <c r="T231" s="70"/>
      <c r="U231" s="71"/>
      <c r="V231" s="72" t="e">
        <f t="shared" si="3"/>
        <v>#REF!</v>
      </c>
      <c r="W231" s="73">
        <v>6</v>
      </c>
      <c r="X231" s="81" t="s">
        <v>99</v>
      </c>
      <c r="Y231" s="65">
        <v>2</v>
      </c>
      <c r="Z231" s="64" t="s">
        <v>51</v>
      </c>
      <c r="AA231" s="74" t="s">
        <v>781</v>
      </c>
      <c r="AB231" s="64">
        <v>2025</v>
      </c>
      <c r="AC231" s="64" t="s">
        <v>106</v>
      </c>
      <c r="AD231" s="80" t="e">
        <f>+BORDRO!#REF!</f>
        <v>#REF!</v>
      </c>
      <c r="AE231" s="75"/>
      <c r="AF231" s="75" t="e">
        <f>+BORDRO!#REF!</f>
        <v>#REF!</v>
      </c>
      <c r="AG231" s="75" t="e">
        <f>+BORDRO!#REF!</f>
        <v>#REF!</v>
      </c>
      <c r="AH231" s="80" t="e">
        <f>+BORDRO!#REF!</f>
        <v>#REF!</v>
      </c>
      <c r="AI231" s="75" t="e">
        <f>+BORDRO!#REF!</f>
        <v>#REF!</v>
      </c>
      <c r="AJ231" s="76" t="e">
        <f>+BORDRO!#REF!</f>
        <v>#REF!</v>
      </c>
    </row>
    <row r="232" spans="1:36" ht="13.8" x14ac:dyDescent="0.25">
      <c r="A232" s="64" t="s">
        <v>51</v>
      </c>
      <c r="B232" s="120">
        <v>46</v>
      </c>
      <c r="C232" s="64" t="s">
        <v>52</v>
      </c>
      <c r="D232" s="64" t="s">
        <v>53</v>
      </c>
      <c r="E232" s="64" t="s">
        <v>53</v>
      </c>
      <c r="F232" s="65">
        <v>1494768</v>
      </c>
      <c r="G232" s="66" t="s">
        <v>105</v>
      </c>
      <c r="H232" s="64" t="s">
        <v>54</v>
      </c>
      <c r="I232" s="78"/>
      <c r="J232" s="67" t="e">
        <f>+Puantaj!#REF!</f>
        <v>#REF!</v>
      </c>
      <c r="K232" s="64" t="e">
        <f>+Puantaj!#REF!</f>
        <v>#REF!</v>
      </c>
      <c r="L232" s="64" t="e">
        <f>+Puantaj!#REF!</f>
        <v>#REF!</v>
      </c>
      <c r="M232" s="68" t="e">
        <f>+BORDRO!#REF!</f>
        <v>#REF!</v>
      </c>
      <c r="N232" s="64"/>
      <c r="O232" s="79" t="e">
        <f>+BORDRO!#REF!</f>
        <v>#REF!</v>
      </c>
      <c r="P232" s="79">
        <v>0</v>
      </c>
      <c r="Q232" s="69"/>
      <c r="R232" s="69"/>
      <c r="S232" s="70"/>
      <c r="T232" s="70"/>
      <c r="U232" s="71"/>
      <c r="V232" s="72" t="e">
        <f t="shared" si="3"/>
        <v>#REF!</v>
      </c>
      <c r="W232" s="73">
        <v>6</v>
      </c>
      <c r="X232" s="81" t="s">
        <v>99</v>
      </c>
      <c r="Y232" s="65">
        <v>2</v>
      </c>
      <c r="Z232" s="64" t="s">
        <v>51</v>
      </c>
      <c r="AA232" s="74" t="s">
        <v>781</v>
      </c>
      <c r="AB232" s="64">
        <v>2025</v>
      </c>
      <c r="AC232" s="64" t="s">
        <v>106</v>
      </c>
      <c r="AD232" s="80" t="e">
        <f>+BORDRO!#REF!</f>
        <v>#REF!</v>
      </c>
      <c r="AE232" s="75"/>
      <c r="AF232" s="75" t="e">
        <f>+BORDRO!#REF!</f>
        <v>#REF!</v>
      </c>
      <c r="AG232" s="75" t="e">
        <f>+BORDRO!#REF!</f>
        <v>#REF!</v>
      </c>
      <c r="AH232" s="80" t="e">
        <f>+BORDRO!#REF!</f>
        <v>#REF!</v>
      </c>
      <c r="AI232" s="75" t="e">
        <f>+BORDRO!#REF!</f>
        <v>#REF!</v>
      </c>
      <c r="AJ232" s="76" t="e">
        <f>+BORDRO!#REF!</f>
        <v>#REF!</v>
      </c>
    </row>
    <row r="233" spans="1:36" ht="13.8" x14ac:dyDescent="0.25">
      <c r="A233" s="64" t="s">
        <v>51</v>
      </c>
      <c r="B233" s="119">
        <v>46</v>
      </c>
      <c r="C233" s="64" t="s">
        <v>52</v>
      </c>
      <c r="D233" s="64" t="s">
        <v>53</v>
      </c>
      <c r="E233" s="64" t="s">
        <v>53</v>
      </c>
      <c r="F233" s="65">
        <v>1494768</v>
      </c>
      <c r="G233" s="66" t="s">
        <v>105</v>
      </c>
      <c r="H233" s="64" t="s">
        <v>54</v>
      </c>
      <c r="I233" s="78"/>
      <c r="J233" s="67" t="e">
        <f>+Puantaj!#REF!</f>
        <v>#REF!</v>
      </c>
      <c r="K233" s="64" t="e">
        <f>+Puantaj!#REF!</f>
        <v>#REF!</v>
      </c>
      <c r="L233" s="64" t="e">
        <f>+Puantaj!#REF!</f>
        <v>#REF!</v>
      </c>
      <c r="M233" s="68" t="e">
        <f>+BORDRO!#REF!</f>
        <v>#REF!</v>
      </c>
      <c r="N233" s="64"/>
      <c r="O233" s="79" t="e">
        <f>+BORDRO!#REF!</f>
        <v>#REF!</v>
      </c>
      <c r="P233" s="79">
        <v>0</v>
      </c>
      <c r="Q233" s="69"/>
      <c r="R233" s="69"/>
      <c r="S233" s="70"/>
      <c r="T233" s="70"/>
      <c r="U233" s="71"/>
      <c r="V233" s="72" t="e">
        <f t="shared" si="3"/>
        <v>#REF!</v>
      </c>
      <c r="W233" s="73">
        <v>6</v>
      </c>
      <c r="X233" s="81" t="s">
        <v>99</v>
      </c>
      <c r="Y233" s="65">
        <v>2</v>
      </c>
      <c r="Z233" s="64" t="s">
        <v>51</v>
      </c>
      <c r="AA233" s="74" t="s">
        <v>781</v>
      </c>
      <c r="AB233" s="64">
        <v>2025</v>
      </c>
      <c r="AC233" s="64" t="s">
        <v>106</v>
      </c>
      <c r="AD233" s="80" t="e">
        <f>+BORDRO!#REF!</f>
        <v>#REF!</v>
      </c>
      <c r="AE233" s="75"/>
      <c r="AF233" s="75" t="e">
        <f>+BORDRO!#REF!</f>
        <v>#REF!</v>
      </c>
      <c r="AG233" s="75" t="e">
        <f>+BORDRO!#REF!</f>
        <v>#REF!</v>
      </c>
      <c r="AH233" s="80" t="e">
        <f>+BORDRO!#REF!</f>
        <v>#REF!</v>
      </c>
      <c r="AI233" s="75" t="e">
        <f>+BORDRO!#REF!</f>
        <v>#REF!</v>
      </c>
      <c r="AJ233" s="76" t="e">
        <f>+BORDRO!#REF!</f>
        <v>#REF!</v>
      </c>
    </row>
    <row r="234" spans="1:36" ht="13.8" x14ac:dyDescent="0.25">
      <c r="A234" s="64" t="s">
        <v>51</v>
      </c>
      <c r="B234" s="120">
        <v>46</v>
      </c>
      <c r="C234" s="64" t="s">
        <v>52</v>
      </c>
      <c r="D234" s="64" t="s">
        <v>53</v>
      </c>
      <c r="E234" s="64" t="s">
        <v>53</v>
      </c>
      <c r="F234" s="65">
        <v>1494768</v>
      </c>
      <c r="G234" s="66" t="s">
        <v>105</v>
      </c>
      <c r="H234" s="64" t="s">
        <v>54</v>
      </c>
      <c r="I234" s="78"/>
      <c r="J234" s="67" t="e">
        <f>+Puantaj!#REF!</f>
        <v>#REF!</v>
      </c>
      <c r="K234" s="64" t="e">
        <f>+Puantaj!#REF!</f>
        <v>#REF!</v>
      </c>
      <c r="L234" s="64" t="e">
        <f>+Puantaj!#REF!</f>
        <v>#REF!</v>
      </c>
      <c r="M234" s="68" t="e">
        <f>+BORDRO!#REF!</f>
        <v>#REF!</v>
      </c>
      <c r="N234" s="64"/>
      <c r="O234" s="79" t="e">
        <f>+BORDRO!#REF!</f>
        <v>#REF!</v>
      </c>
      <c r="P234" s="79">
        <v>0</v>
      </c>
      <c r="Q234" s="69"/>
      <c r="R234" s="69"/>
      <c r="S234" s="70"/>
      <c r="T234" s="70"/>
      <c r="U234" s="71"/>
      <c r="V234" s="72" t="e">
        <f t="shared" si="3"/>
        <v>#REF!</v>
      </c>
      <c r="W234" s="73">
        <v>6</v>
      </c>
      <c r="X234" s="81" t="s">
        <v>99</v>
      </c>
      <c r="Y234" s="65">
        <v>2</v>
      </c>
      <c r="Z234" s="64" t="s">
        <v>51</v>
      </c>
      <c r="AA234" s="74" t="s">
        <v>781</v>
      </c>
      <c r="AB234" s="64">
        <v>2025</v>
      </c>
      <c r="AC234" s="64" t="s">
        <v>106</v>
      </c>
      <c r="AD234" s="80" t="e">
        <f>+BORDRO!#REF!</f>
        <v>#REF!</v>
      </c>
      <c r="AE234" s="75"/>
      <c r="AF234" s="75" t="e">
        <f>+BORDRO!#REF!</f>
        <v>#REF!</v>
      </c>
      <c r="AG234" s="75" t="e">
        <f>+BORDRO!#REF!</f>
        <v>#REF!</v>
      </c>
      <c r="AH234" s="80" t="e">
        <f>+BORDRO!#REF!</f>
        <v>#REF!</v>
      </c>
      <c r="AI234" s="75" t="e">
        <f>+BORDRO!#REF!</f>
        <v>#REF!</v>
      </c>
      <c r="AJ234" s="76" t="e">
        <f>+BORDRO!#REF!</f>
        <v>#REF!</v>
      </c>
    </row>
    <row r="235" spans="1:36" ht="13.8" x14ac:dyDescent="0.25">
      <c r="A235" s="64" t="s">
        <v>51</v>
      </c>
      <c r="B235" s="119">
        <v>46</v>
      </c>
      <c r="C235" s="64" t="s">
        <v>52</v>
      </c>
      <c r="D235" s="64" t="s">
        <v>53</v>
      </c>
      <c r="E235" s="64" t="s">
        <v>53</v>
      </c>
      <c r="F235" s="65">
        <v>1494768</v>
      </c>
      <c r="G235" s="66" t="s">
        <v>105</v>
      </c>
      <c r="H235" s="64" t="s">
        <v>54</v>
      </c>
      <c r="I235" s="78"/>
      <c r="J235" s="67" t="e">
        <f>+Puantaj!#REF!</f>
        <v>#REF!</v>
      </c>
      <c r="K235" s="64" t="e">
        <f>+Puantaj!#REF!</f>
        <v>#REF!</v>
      </c>
      <c r="L235" s="64" t="e">
        <f>+Puantaj!#REF!</f>
        <v>#REF!</v>
      </c>
      <c r="M235" s="68" t="e">
        <f>+BORDRO!#REF!</f>
        <v>#REF!</v>
      </c>
      <c r="N235" s="64"/>
      <c r="O235" s="79" t="e">
        <f>+BORDRO!#REF!</f>
        <v>#REF!</v>
      </c>
      <c r="P235" s="79">
        <v>0</v>
      </c>
      <c r="Q235" s="69"/>
      <c r="R235" s="69"/>
      <c r="S235" s="70"/>
      <c r="T235" s="70"/>
      <c r="U235" s="71"/>
      <c r="V235" s="72" t="e">
        <f t="shared" si="3"/>
        <v>#REF!</v>
      </c>
      <c r="W235" s="73">
        <v>6</v>
      </c>
      <c r="X235" s="81" t="s">
        <v>99</v>
      </c>
      <c r="Y235" s="65">
        <v>2</v>
      </c>
      <c r="Z235" s="64" t="s">
        <v>51</v>
      </c>
      <c r="AA235" s="74" t="s">
        <v>781</v>
      </c>
      <c r="AB235" s="64">
        <v>2025</v>
      </c>
      <c r="AC235" s="64" t="s">
        <v>106</v>
      </c>
      <c r="AD235" s="80" t="e">
        <f>+BORDRO!#REF!</f>
        <v>#REF!</v>
      </c>
      <c r="AE235" s="75"/>
      <c r="AF235" s="75" t="e">
        <f>+BORDRO!#REF!</f>
        <v>#REF!</v>
      </c>
      <c r="AG235" s="75" t="e">
        <f>+BORDRO!#REF!</f>
        <v>#REF!</v>
      </c>
      <c r="AH235" s="80" t="e">
        <f>+BORDRO!#REF!</f>
        <v>#REF!</v>
      </c>
      <c r="AI235" s="75" t="e">
        <f>+BORDRO!#REF!</f>
        <v>#REF!</v>
      </c>
      <c r="AJ235" s="76" t="e">
        <f>+BORDRO!#REF!</f>
        <v>#REF!</v>
      </c>
    </row>
    <row r="236" spans="1:36" ht="13.8" x14ac:dyDescent="0.25">
      <c r="A236" s="64" t="s">
        <v>51</v>
      </c>
      <c r="B236" s="120">
        <v>46</v>
      </c>
      <c r="C236" s="64" t="s">
        <v>52</v>
      </c>
      <c r="D236" s="64" t="s">
        <v>53</v>
      </c>
      <c r="E236" s="64" t="s">
        <v>53</v>
      </c>
      <c r="F236" s="65">
        <v>1494768</v>
      </c>
      <c r="G236" s="66" t="s">
        <v>105</v>
      </c>
      <c r="H236" s="64" t="s">
        <v>54</v>
      </c>
      <c r="I236" s="78"/>
      <c r="J236" s="67" t="e">
        <f>+Puantaj!#REF!</f>
        <v>#REF!</v>
      </c>
      <c r="K236" s="64" t="e">
        <f>+Puantaj!#REF!</f>
        <v>#REF!</v>
      </c>
      <c r="L236" s="64" t="e">
        <f>+Puantaj!#REF!</f>
        <v>#REF!</v>
      </c>
      <c r="M236" s="68" t="e">
        <f>+BORDRO!#REF!</f>
        <v>#REF!</v>
      </c>
      <c r="N236" s="64"/>
      <c r="O236" s="79" t="e">
        <f>+BORDRO!#REF!</f>
        <v>#REF!</v>
      </c>
      <c r="P236" s="79">
        <v>0</v>
      </c>
      <c r="Q236" s="69"/>
      <c r="R236" s="69"/>
      <c r="S236" s="70"/>
      <c r="T236" s="70"/>
      <c r="U236" s="71"/>
      <c r="V236" s="72" t="e">
        <f t="shared" si="3"/>
        <v>#REF!</v>
      </c>
      <c r="W236" s="73">
        <v>6</v>
      </c>
      <c r="X236" s="81" t="s">
        <v>99</v>
      </c>
      <c r="Y236" s="65">
        <v>2</v>
      </c>
      <c r="Z236" s="64" t="s">
        <v>51</v>
      </c>
      <c r="AA236" s="74" t="s">
        <v>781</v>
      </c>
      <c r="AB236" s="64">
        <v>2025</v>
      </c>
      <c r="AC236" s="64" t="s">
        <v>106</v>
      </c>
      <c r="AD236" s="80" t="e">
        <f>+BORDRO!#REF!</f>
        <v>#REF!</v>
      </c>
      <c r="AE236" s="75"/>
      <c r="AF236" s="75" t="e">
        <f>+BORDRO!#REF!</f>
        <v>#REF!</v>
      </c>
      <c r="AG236" s="75" t="e">
        <f>+BORDRO!#REF!</f>
        <v>#REF!</v>
      </c>
      <c r="AH236" s="80" t="e">
        <f>+BORDRO!#REF!</f>
        <v>#REF!</v>
      </c>
      <c r="AI236" s="75" t="e">
        <f>+BORDRO!#REF!</f>
        <v>#REF!</v>
      </c>
      <c r="AJ236" s="76" t="e">
        <f>+BORDRO!#REF!</f>
        <v>#REF!</v>
      </c>
    </row>
    <row r="237" spans="1:36" ht="13.8" x14ac:dyDescent="0.25">
      <c r="A237" s="64" t="s">
        <v>51</v>
      </c>
      <c r="B237" s="119">
        <v>46</v>
      </c>
      <c r="C237" s="64" t="s">
        <v>52</v>
      </c>
      <c r="D237" s="64" t="s">
        <v>53</v>
      </c>
      <c r="E237" s="64" t="s">
        <v>53</v>
      </c>
      <c r="F237" s="65">
        <v>1494768</v>
      </c>
      <c r="G237" s="66" t="s">
        <v>105</v>
      </c>
      <c r="H237" s="64" t="s">
        <v>54</v>
      </c>
      <c r="I237" s="78"/>
      <c r="J237" s="67" t="e">
        <f>+Puantaj!#REF!</f>
        <v>#REF!</v>
      </c>
      <c r="K237" s="64" t="e">
        <f>+Puantaj!#REF!</f>
        <v>#REF!</v>
      </c>
      <c r="L237" s="64" t="e">
        <f>+Puantaj!#REF!</f>
        <v>#REF!</v>
      </c>
      <c r="M237" s="68" t="e">
        <f>+BORDRO!#REF!</f>
        <v>#REF!</v>
      </c>
      <c r="N237" s="64"/>
      <c r="O237" s="79" t="e">
        <f>+BORDRO!#REF!</f>
        <v>#REF!</v>
      </c>
      <c r="P237" s="79">
        <v>0</v>
      </c>
      <c r="Q237" s="69"/>
      <c r="R237" s="69"/>
      <c r="S237" s="70"/>
      <c r="T237" s="70"/>
      <c r="U237" s="71"/>
      <c r="V237" s="72" t="e">
        <f t="shared" si="3"/>
        <v>#REF!</v>
      </c>
      <c r="W237" s="73">
        <v>6</v>
      </c>
      <c r="X237" s="81" t="s">
        <v>99</v>
      </c>
      <c r="Y237" s="65">
        <v>2</v>
      </c>
      <c r="Z237" s="64" t="s">
        <v>51</v>
      </c>
      <c r="AA237" s="74" t="s">
        <v>781</v>
      </c>
      <c r="AB237" s="64">
        <v>2025</v>
      </c>
      <c r="AC237" s="64" t="s">
        <v>106</v>
      </c>
      <c r="AD237" s="80" t="e">
        <f>+BORDRO!#REF!</f>
        <v>#REF!</v>
      </c>
      <c r="AE237" s="75"/>
      <c r="AF237" s="75" t="e">
        <f>+BORDRO!#REF!</f>
        <v>#REF!</v>
      </c>
      <c r="AG237" s="75" t="e">
        <f>+BORDRO!#REF!</f>
        <v>#REF!</v>
      </c>
      <c r="AH237" s="80" t="e">
        <f>+BORDRO!#REF!</f>
        <v>#REF!</v>
      </c>
      <c r="AI237" s="75" t="e">
        <f>+BORDRO!#REF!</f>
        <v>#REF!</v>
      </c>
      <c r="AJ237" s="76" t="e">
        <f>+BORDRO!#REF!</f>
        <v>#REF!</v>
      </c>
    </row>
    <row r="238" spans="1:36" ht="13.8" x14ac:dyDescent="0.25">
      <c r="A238" s="64" t="s">
        <v>51</v>
      </c>
      <c r="B238" s="120">
        <v>46</v>
      </c>
      <c r="C238" s="64" t="s">
        <v>52</v>
      </c>
      <c r="D238" s="64" t="s">
        <v>53</v>
      </c>
      <c r="E238" s="64" t="s">
        <v>53</v>
      </c>
      <c r="F238" s="65">
        <v>1494768</v>
      </c>
      <c r="G238" s="66" t="s">
        <v>105</v>
      </c>
      <c r="H238" s="64" t="s">
        <v>54</v>
      </c>
      <c r="I238" s="78"/>
      <c r="J238" s="67" t="e">
        <f>+Puantaj!#REF!</f>
        <v>#REF!</v>
      </c>
      <c r="K238" s="64" t="e">
        <f>+Puantaj!#REF!</f>
        <v>#REF!</v>
      </c>
      <c r="L238" s="64" t="e">
        <f>+Puantaj!#REF!</f>
        <v>#REF!</v>
      </c>
      <c r="M238" s="68" t="e">
        <f>+BORDRO!#REF!</f>
        <v>#REF!</v>
      </c>
      <c r="N238" s="64"/>
      <c r="O238" s="79" t="e">
        <f>+BORDRO!#REF!</f>
        <v>#REF!</v>
      </c>
      <c r="P238" s="79">
        <v>0</v>
      </c>
      <c r="Q238" s="69"/>
      <c r="R238" s="69"/>
      <c r="S238" s="70"/>
      <c r="T238" s="70"/>
      <c r="U238" s="71"/>
      <c r="V238" s="72" t="e">
        <f t="shared" si="3"/>
        <v>#REF!</v>
      </c>
      <c r="W238" s="73">
        <v>6</v>
      </c>
      <c r="X238" s="81" t="s">
        <v>99</v>
      </c>
      <c r="Y238" s="65">
        <v>2</v>
      </c>
      <c r="Z238" s="64" t="s">
        <v>51</v>
      </c>
      <c r="AA238" s="74" t="s">
        <v>781</v>
      </c>
      <c r="AB238" s="64">
        <v>2025</v>
      </c>
      <c r="AC238" s="64" t="s">
        <v>106</v>
      </c>
      <c r="AD238" s="80" t="e">
        <f>+BORDRO!#REF!</f>
        <v>#REF!</v>
      </c>
      <c r="AE238" s="75"/>
      <c r="AF238" s="75" t="e">
        <f>+BORDRO!#REF!</f>
        <v>#REF!</v>
      </c>
      <c r="AG238" s="75" t="e">
        <f>+BORDRO!#REF!</f>
        <v>#REF!</v>
      </c>
      <c r="AH238" s="80" t="e">
        <f>+BORDRO!#REF!</f>
        <v>#REF!</v>
      </c>
      <c r="AI238" s="75" t="e">
        <f>+BORDRO!#REF!</f>
        <v>#REF!</v>
      </c>
      <c r="AJ238" s="76" t="e">
        <f>+BORDRO!#REF!</f>
        <v>#REF!</v>
      </c>
    </row>
    <row r="239" spans="1:36" ht="13.8" x14ac:dyDescent="0.25">
      <c r="A239" s="64" t="s">
        <v>51</v>
      </c>
      <c r="B239" s="119">
        <v>46</v>
      </c>
      <c r="C239" s="64" t="s">
        <v>52</v>
      </c>
      <c r="D239" s="64" t="s">
        <v>53</v>
      </c>
      <c r="E239" s="64" t="s">
        <v>53</v>
      </c>
      <c r="F239" s="65">
        <v>1494768</v>
      </c>
      <c r="G239" s="66" t="s">
        <v>105</v>
      </c>
      <c r="H239" s="64" t="s">
        <v>54</v>
      </c>
      <c r="I239" s="78"/>
      <c r="J239" s="67" t="e">
        <f>+Puantaj!#REF!</f>
        <v>#REF!</v>
      </c>
      <c r="K239" s="64" t="e">
        <f>+Puantaj!#REF!</f>
        <v>#REF!</v>
      </c>
      <c r="L239" s="64" t="e">
        <f>+Puantaj!#REF!</f>
        <v>#REF!</v>
      </c>
      <c r="M239" s="68" t="e">
        <f>+BORDRO!#REF!</f>
        <v>#REF!</v>
      </c>
      <c r="N239" s="64"/>
      <c r="O239" s="79" t="e">
        <f>+BORDRO!#REF!</f>
        <v>#REF!</v>
      </c>
      <c r="P239" s="79">
        <v>0</v>
      </c>
      <c r="Q239" s="69"/>
      <c r="R239" s="69"/>
      <c r="S239" s="70"/>
      <c r="T239" s="70"/>
      <c r="U239" s="71"/>
      <c r="V239" s="72" t="e">
        <f t="shared" si="3"/>
        <v>#REF!</v>
      </c>
      <c r="W239" s="73">
        <v>6</v>
      </c>
      <c r="X239" s="81" t="s">
        <v>99</v>
      </c>
      <c r="Y239" s="65">
        <v>2</v>
      </c>
      <c r="Z239" s="64" t="s">
        <v>51</v>
      </c>
      <c r="AA239" s="74" t="s">
        <v>781</v>
      </c>
      <c r="AB239" s="64">
        <v>2025</v>
      </c>
      <c r="AC239" s="64" t="s">
        <v>106</v>
      </c>
      <c r="AD239" s="80" t="e">
        <f>+BORDRO!#REF!</f>
        <v>#REF!</v>
      </c>
      <c r="AE239" s="75"/>
      <c r="AF239" s="75" t="e">
        <f>+BORDRO!#REF!</f>
        <v>#REF!</v>
      </c>
      <c r="AG239" s="75" t="e">
        <f>+BORDRO!#REF!</f>
        <v>#REF!</v>
      </c>
      <c r="AH239" s="80" t="e">
        <f>+BORDRO!#REF!</f>
        <v>#REF!</v>
      </c>
      <c r="AI239" s="75" t="e">
        <f>+BORDRO!#REF!</f>
        <v>#REF!</v>
      </c>
      <c r="AJ239" s="76" t="e">
        <f>+BORDRO!#REF!</f>
        <v>#REF!</v>
      </c>
    </row>
    <row r="240" spans="1:36" ht="13.8" x14ac:dyDescent="0.25">
      <c r="A240" s="64" t="s">
        <v>51</v>
      </c>
      <c r="B240" s="120">
        <v>46</v>
      </c>
      <c r="C240" s="64" t="s">
        <v>52</v>
      </c>
      <c r="D240" s="64" t="s">
        <v>53</v>
      </c>
      <c r="E240" s="64" t="s">
        <v>53</v>
      </c>
      <c r="F240" s="65">
        <v>1494768</v>
      </c>
      <c r="G240" s="66" t="s">
        <v>105</v>
      </c>
      <c r="H240" s="64" t="s">
        <v>54</v>
      </c>
      <c r="I240" s="78"/>
      <c r="J240" s="67" t="e">
        <f>+Puantaj!#REF!</f>
        <v>#REF!</v>
      </c>
      <c r="K240" s="64" t="e">
        <f>+Puantaj!#REF!</f>
        <v>#REF!</v>
      </c>
      <c r="L240" s="64" t="e">
        <f>+Puantaj!#REF!</f>
        <v>#REF!</v>
      </c>
      <c r="M240" s="68" t="e">
        <f>+BORDRO!#REF!</f>
        <v>#REF!</v>
      </c>
      <c r="N240" s="64"/>
      <c r="O240" s="79" t="e">
        <f>+BORDRO!#REF!</f>
        <v>#REF!</v>
      </c>
      <c r="P240" s="79">
        <v>0</v>
      </c>
      <c r="Q240" s="69"/>
      <c r="R240" s="69"/>
      <c r="S240" s="70"/>
      <c r="T240" s="70"/>
      <c r="U240" s="71"/>
      <c r="V240" s="72" t="e">
        <f t="shared" si="3"/>
        <v>#REF!</v>
      </c>
      <c r="W240" s="73">
        <v>6</v>
      </c>
      <c r="X240" s="81" t="s">
        <v>99</v>
      </c>
      <c r="Y240" s="65">
        <v>2</v>
      </c>
      <c r="Z240" s="64" t="s">
        <v>51</v>
      </c>
      <c r="AA240" s="74" t="s">
        <v>781</v>
      </c>
      <c r="AB240" s="64">
        <v>2025</v>
      </c>
      <c r="AC240" s="64" t="s">
        <v>106</v>
      </c>
      <c r="AD240" s="80" t="e">
        <f>+BORDRO!#REF!</f>
        <v>#REF!</v>
      </c>
      <c r="AE240" s="75"/>
      <c r="AF240" s="75" t="e">
        <f>+BORDRO!#REF!</f>
        <v>#REF!</v>
      </c>
      <c r="AG240" s="75" t="e">
        <f>+BORDRO!#REF!</f>
        <v>#REF!</v>
      </c>
      <c r="AH240" s="80" t="e">
        <f>+BORDRO!#REF!</f>
        <v>#REF!</v>
      </c>
      <c r="AI240" s="75" t="e">
        <f>+BORDRO!#REF!</f>
        <v>#REF!</v>
      </c>
      <c r="AJ240" s="76" t="e">
        <f>+BORDRO!#REF!</f>
        <v>#REF!</v>
      </c>
    </row>
    <row r="241" spans="1:36" ht="13.8" x14ac:dyDescent="0.25">
      <c r="A241" s="64" t="s">
        <v>51</v>
      </c>
      <c r="B241" s="119">
        <v>46</v>
      </c>
      <c r="C241" s="64" t="s">
        <v>52</v>
      </c>
      <c r="D241" s="64" t="s">
        <v>53</v>
      </c>
      <c r="E241" s="64" t="s">
        <v>53</v>
      </c>
      <c r="F241" s="65">
        <v>1494768</v>
      </c>
      <c r="G241" s="66" t="s">
        <v>105</v>
      </c>
      <c r="H241" s="64" t="s">
        <v>54</v>
      </c>
      <c r="I241" s="78"/>
      <c r="J241" s="67" t="e">
        <f>+Puantaj!#REF!</f>
        <v>#REF!</v>
      </c>
      <c r="K241" s="64" t="e">
        <f>+Puantaj!#REF!</f>
        <v>#REF!</v>
      </c>
      <c r="L241" s="64" t="e">
        <f>+Puantaj!#REF!</f>
        <v>#REF!</v>
      </c>
      <c r="M241" s="68" t="e">
        <f>+BORDRO!#REF!</f>
        <v>#REF!</v>
      </c>
      <c r="N241" s="64"/>
      <c r="O241" s="79" t="e">
        <f>+BORDRO!#REF!</f>
        <v>#REF!</v>
      </c>
      <c r="P241" s="79">
        <v>0</v>
      </c>
      <c r="Q241" s="69"/>
      <c r="R241" s="69"/>
      <c r="S241" s="70"/>
      <c r="T241" s="70"/>
      <c r="U241" s="71"/>
      <c r="V241" s="72" t="e">
        <f t="shared" si="3"/>
        <v>#REF!</v>
      </c>
      <c r="W241" s="73">
        <v>6</v>
      </c>
      <c r="X241" s="81" t="s">
        <v>99</v>
      </c>
      <c r="Y241" s="65">
        <v>2</v>
      </c>
      <c r="Z241" s="64" t="s">
        <v>51</v>
      </c>
      <c r="AA241" s="74" t="s">
        <v>781</v>
      </c>
      <c r="AB241" s="64">
        <v>2025</v>
      </c>
      <c r="AC241" s="64" t="s">
        <v>106</v>
      </c>
      <c r="AD241" s="80" t="e">
        <f>+BORDRO!#REF!</f>
        <v>#REF!</v>
      </c>
      <c r="AE241" s="75"/>
      <c r="AF241" s="75" t="e">
        <f>+BORDRO!#REF!</f>
        <v>#REF!</v>
      </c>
      <c r="AG241" s="75" t="e">
        <f>+BORDRO!#REF!</f>
        <v>#REF!</v>
      </c>
      <c r="AH241" s="80" t="e">
        <f>+BORDRO!#REF!</f>
        <v>#REF!</v>
      </c>
      <c r="AI241" s="75" t="e">
        <f>+BORDRO!#REF!</f>
        <v>#REF!</v>
      </c>
      <c r="AJ241" s="76" t="e">
        <f>+BORDRO!#REF!</f>
        <v>#REF!</v>
      </c>
    </row>
    <row r="242" spans="1:36" ht="13.8" x14ac:dyDescent="0.25">
      <c r="A242" s="64" t="s">
        <v>51</v>
      </c>
      <c r="B242" s="120">
        <v>46</v>
      </c>
      <c r="C242" s="64" t="s">
        <v>52</v>
      </c>
      <c r="D242" s="64" t="s">
        <v>53</v>
      </c>
      <c r="E242" s="64" t="s">
        <v>53</v>
      </c>
      <c r="F242" s="65">
        <v>1494768</v>
      </c>
      <c r="G242" s="66" t="s">
        <v>105</v>
      </c>
      <c r="H242" s="64" t="s">
        <v>54</v>
      </c>
      <c r="I242" s="78"/>
      <c r="J242" s="67" t="e">
        <f>+Puantaj!#REF!</f>
        <v>#REF!</v>
      </c>
      <c r="K242" s="64" t="e">
        <f>+Puantaj!#REF!</f>
        <v>#REF!</v>
      </c>
      <c r="L242" s="64" t="e">
        <f>+Puantaj!#REF!</f>
        <v>#REF!</v>
      </c>
      <c r="M242" s="68" t="e">
        <f>+BORDRO!#REF!</f>
        <v>#REF!</v>
      </c>
      <c r="N242" s="64"/>
      <c r="O242" s="79" t="e">
        <f>+BORDRO!#REF!</f>
        <v>#REF!</v>
      </c>
      <c r="P242" s="79">
        <v>0</v>
      </c>
      <c r="Q242" s="69"/>
      <c r="R242" s="69"/>
      <c r="S242" s="70"/>
      <c r="T242" s="70"/>
      <c r="U242" s="71"/>
      <c r="V242" s="72" t="e">
        <f t="shared" si="3"/>
        <v>#REF!</v>
      </c>
      <c r="W242" s="73">
        <v>6</v>
      </c>
      <c r="X242" s="81" t="s">
        <v>99</v>
      </c>
      <c r="Y242" s="65">
        <v>2</v>
      </c>
      <c r="Z242" s="64" t="s">
        <v>51</v>
      </c>
      <c r="AA242" s="74" t="s">
        <v>781</v>
      </c>
      <c r="AB242" s="64">
        <v>2025</v>
      </c>
      <c r="AC242" s="64" t="s">
        <v>106</v>
      </c>
      <c r="AD242" s="80" t="e">
        <f>+BORDRO!#REF!</f>
        <v>#REF!</v>
      </c>
      <c r="AE242" s="75"/>
      <c r="AF242" s="75" t="e">
        <f>+BORDRO!#REF!</f>
        <v>#REF!</v>
      </c>
      <c r="AG242" s="75" t="e">
        <f>+BORDRO!#REF!</f>
        <v>#REF!</v>
      </c>
      <c r="AH242" s="80" t="e">
        <f>+BORDRO!#REF!</f>
        <v>#REF!</v>
      </c>
      <c r="AI242" s="75" t="e">
        <f>+BORDRO!#REF!</f>
        <v>#REF!</v>
      </c>
      <c r="AJ242" s="76" t="e">
        <f>+BORDRO!#REF!</f>
        <v>#REF!</v>
      </c>
    </row>
    <row r="243" spans="1:36" ht="13.8" x14ac:dyDescent="0.25">
      <c r="A243" s="64" t="s">
        <v>51</v>
      </c>
      <c r="B243" s="119">
        <v>46</v>
      </c>
      <c r="C243" s="64" t="s">
        <v>52</v>
      </c>
      <c r="D243" s="64" t="s">
        <v>53</v>
      </c>
      <c r="E243" s="64" t="s">
        <v>53</v>
      </c>
      <c r="F243" s="65">
        <v>1494768</v>
      </c>
      <c r="G243" s="66" t="s">
        <v>105</v>
      </c>
      <c r="H243" s="64" t="s">
        <v>54</v>
      </c>
      <c r="I243" s="78"/>
      <c r="J243" s="67" t="e">
        <f>+Puantaj!#REF!</f>
        <v>#REF!</v>
      </c>
      <c r="K243" s="64" t="e">
        <f>+Puantaj!#REF!</f>
        <v>#REF!</v>
      </c>
      <c r="L243" s="64" t="e">
        <f>+Puantaj!#REF!</f>
        <v>#REF!</v>
      </c>
      <c r="M243" s="68" t="e">
        <f>+BORDRO!#REF!</f>
        <v>#REF!</v>
      </c>
      <c r="N243" s="64"/>
      <c r="O243" s="79" t="e">
        <f>+BORDRO!#REF!</f>
        <v>#REF!</v>
      </c>
      <c r="P243" s="79">
        <v>0</v>
      </c>
      <c r="Q243" s="69"/>
      <c r="R243" s="69"/>
      <c r="S243" s="70"/>
      <c r="T243" s="70"/>
      <c r="U243" s="71"/>
      <c r="V243" s="72" t="e">
        <f t="shared" si="3"/>
        <v>#REF!</v>
      </c>
      <c r="W243" s="73">
        <v>6</v>
      </c>
      <c r="X243" s="81" t="s">
        <v>99</v>
      </c>
      <c r="Y243" s="65">
        <v>2</v>
      </c>
      <c r="Z243" s="64" t="s">
        <v>51</v>
      </c>
      <c r="AA243" s="74" t="s">
        <v>781</v>
      </c>
      <c r="AB243" s="64">
        <v>2025</v>
      </c>
      <c r="AC243" s="64" t="s">
        <v>106</v>
      </c>
      <c r="AD243" s="80" t="e">
        <f>+BORDRO!#REF!</f>
        <v>#REF!</v>
      </c>
      <c r="AE243" s="75"/>
      <c r="AF243" s="75" t="e">
        <f>+BORDRO!#REF!</f>
        <v>#REF!</v>
      </c>
      <c r="AG243" s="75" t="e">
        <f>+BORDRO!#REF!</f>
        <v>#REF!</v>
      </c>
      <c r="AH243" s="80" t="e">
        <f>+BORDRO!#REF!</f>
        <v>#REF!</v>
      </c>
      <c r="AI243" s="75" t="e">
        <f>+BORDRO!#REF!</f>
        <v>#REF!</v>
      </c>
      <c r="AJ243" s="76" t="e">
        <f>+BORDRO!#REF!</f>
        <v>#REF!</v>
      </c>
    </row>
    <row r="244" spans="1:36" ht="13.8" x14ac:dyDescent="0.25">
      <c r="A244" s="64" t="s">
        <v>51</v>
      </c>
      <c r="B244" s="120">
        <v>46</v>
      </c>
      <c r="C244" s="64" t="s">
        <v>52</v>
      </c>
      <c r="D244" s="64" t="s">
        <v>53</v>
      </c>
      <c r="E244" s="64" t="s">
        <v>53</v>
      </c>
      <c r="F244" s="65">
        <v>1494768</v>
      </c>
      <c r="G244" s="66" t="s">
        <v>105</v>
      </c>
      <c r="H244" s="64" t="s">
        <v>54</v>
      </c>
      <c r="I244" s="78"/>
      <c r="J244" s="67" t="e">
        <f>+Puantaj!#REF!</f>
        <v>#REF!</v>
      </c>
      <c r="K244" s="64" t="e">
        <f>+Puantaj!#REF!</f>
        <v>#REF!</v>
      </c>
      <c r="L244" s="64" t="e">
        <f>+Puantaj!#REF!</f>
        <v>#REF!</v>
      </c>
      <c r="M244" s="68" t="e">
        <f>+BORDRO!#REF!</f>
        <v>#REF!</v>
      </c>
      <c r="N244" s="64"/>
      <c r="O244" s="79" t="e">
        <f>+BORDRO!#REF!</f>
        <v>#REF!</v>
      </c>
      <c r="P244" s="79">
        <v>0</v>
      </c>
      <c r="Q244" s="69"/>
      <c r="R244" s="69"/>
      <c r="S244" s="70"/>
      <c r="T244" s="70"/>
      <c r="U244" s="71"/>
      <c r="V244" s="72" t="e">
        <f t="shared" si="3"/>
        <v>#REF!</v>
      </c>
      <c r="W244" s="73">
        <v>6</v>
      </c>
      <c r="X244" s="81" t="s">
        <v>99</v>
      </c>
      <c r="Y244" s="65">
        <v>2</v>
      </c>
      <c r="Z244" s="64" t="s">
        <v>51</v>
      </c>
      <c r="AA244" s="74" t="s">
        <v>781</v>
      </c>
      <c r="AB244" s="64">
        <v>2025</v>
      </c>
      <c r="AC244" s="64" t="s">
        <v>106</v>
      </c>
      <c r="AD244" s="80" t="e">
        <f>+BORDRO!#REF!</f>
        <v>#REF!</v>
      </c>
      <c r="AE244" s="75"/>
      <c r="AF244" s="75" t="e">
        <f>+BORDRO!#REF!</f>
        <v>#REF!</v>
      </c>
      <c r="AG244" s="75" t="e">
        <f>+BORDRO!#REF!</f>
        <v>#REF!</v>
      </c>
      <c r="AH244" s="80" t="e">
        <f>+BORDRO!#REF!</f>
        <v>#REF!</v>
      </c>
      <c r="AI244" s="75" t="e">
        <f>+BORDRO!#REF!</f>
        <v>#REF!</v>
      </c>
      <c r="AJ244" s="76" t="e">
        <f>+BORDRO!#REF!</f>
        <v>#REF!</v>
      </c>
    </row>
    <row r="245" spans="1:36" ht="13.8" x14ac:dyDescent="0.25">
      <c r="A245" s="64" t="s">
        <v>51</v>
      </c>
      <c r="B245" s="119">
        <v>46</v>
      </c>
      <c r="C245" s="64" t="s">
        <v>52</v>
      </c>
      <c r="D245" s="64" t="s">
        <v>53</v>
      </c>
      <c r="E245" s="64" t="s">
        <v>53</v>
      </c>
      <c r="F245" s="65">
        <v>1494768</v>
      </c>
      <c r="G245" s="66" t="s">
        <v>105</v>
      </c>
      <c r="H245" s="64" t="s">
        <v>54</v>
      </c>
      <c r="I245" s="78"/>
      <c r="J245" s="67" t="e">
        <f>+Puantaj!#REF!</f>
        <v>#REF!</v>
      </c>
      <c r="K245" s="64" t="e">
        <f>+Puantaj!#REF!</f>
        <v>#REF!</v>
      </c>
      <c r="L245" s="64" t="e">
        <f>+Puantaj!#REF!</f>
        <v>#REF!</v>
      </c>
      <c r="M245" s="68" t="e">
        <f>+BORDRO!#REF!</f>
        <v>#REF!</v>
      </c>
      <c r="N245" s="64"/>
      <c r="O245" s="79" t="e">
        <f>+BORDRO!#REF!</f>
        <v>#REF!</v>
      </c>
      <c r="P245" s="79">
        <v>0</v>
      </c>
      <c r="Q245" s="69"/>
      <c r="R245" s="69"/>
      <c r="S245" s="70"/>
      <c r="T245" s="70"/>
      <c r="U245" s="71"/>
      <c r="V245" s="72" t="e">
        <f t="shared" si="3"/>
        <v>#REF!</v>
      </c>
      <c r="W245" s="73">
        <v>6</v>
      </c>
      <c r="X245" s="81" t="s">
        <v>99</v>
      </c>
      <c r="Y245" s="65">
        <v>2</v>
      </c>
      <c r="Z245" s="64" t="s">
        <v>51</v>
      </c>
      <c r="AA245" s="74" t="s">
        <v>781</v>
      </c>
      <c r="AB245" s="64">
        <v>2025</v>
      </c>
      <c r="AC245" s="64" t="s">
        <v>106</v>
      </c>
      <c r="AD245" s="80" t="e">
        <f>+BORDRO!#REF!</f>
        <v>#REF!</v>
      </c>
      <c r="AE245" s="75"/>
      <c r="AF245" s="75" t="e">
        <f>+BORDRO!#REF!</f>
        <v>#REF!</v>
      </c>
      <c r="AG245" s="75" t="e">
        <f>+BORDRO!#REF!</f>
        <v>#REF!</v>
      </c>
      <c r="AH245" s="80" t="e">
        <f>+BORDRO!#REF!</f>
        <v>#REF!</v>
      </c>
      <c r="AI245" s="75" t="e">
        <f>+BORDRO!#REF!</f>
        <v>#REF!</v>
      </c>
      <c r="AJ245" s="76" t="e">
        <f>+BORDRO!#REF!</f>
        <v>#REF!</v>
      </c>
    </row>
    <row r="246" spans="1:36" ht="13.8" x14ac:dyDescent="0.25">
      <c r="A246" s="64" t="s">
        <v>51</v>
      </c>
      <c r="B246" s="120">
        <v>46</v>
      </c>
      <c r="C246" s="64" t="s">
        <v>52</v>
      </c>
      <c r="D246" s="64" t="s">
        <v>53</v>
      </c>
      <c r="E246" s="64" t="s">
        <v>53</v>
      </c>
      <c r="F246" s="65">
        <v>1494768</v>
      </c>
      <c r="G246" s="66" t="s">
        <v>105</v>
      </c>
      <c r="H246" s="64" t="s">
        <v>54</v>
      </c>
      <c r="I246" s="78"/>
      <c r="J246" s="67" t="e">
        <f>+Puantaj!#REF!</f>
        <v>#REF!</v>
      </c>
      <c r="K246" s="64" t="e">
        <f>+Puantaj!#REF!</f>
        <v>#REF!</v>
      </c>
      <c r="L246" s="64" t="e">
        <f>+Puantaj!#REF!</f>
        <v>#REF!</v>
      </c>
      <c r="M246" s="68" t="e">
        <f>+BORDRO!#REF!</f>
        <v>#REF!</v>
      </c>
      <c r="N246" s="64"/>
      <c r="O246" s="79" t="e">
        <f>+BORDRO!#REF!</f>
        <v>#REF!</v>
      </c>
      <c r="P246" s="79">
        <v>0</v>
      </c>
      <c r="Q246" s="69"/>
      <c r="R246" s="69"/>
      <c r="S246" s="70"/>
      <c r="T246" s="70"/>
      <c r="U246" s="71"/>
      <c r="V246" s="72" t="e">
        <f t="shared" si="3"/>
        <v>#REF!</v>
      </c>
      <c r="W246" s="73">
        <v>6</v>
      </c>
      <c r="X246" s="81" t="s">
        <v>99</v>
      </c>
      <c r="Y246" s="65">
        <v>2</v>
      </c>
      <c r="Z246" s="64" t="s">
        <v>51</v>
      </c>
      <c r="AA246" s="74" t="s">
        <v>781</v>
      </c>
      <c r="AB246" s="64">
        <v>2025</v>
      </c>
      <c r="AC246" s="64" t="s">
        <v>106</v>
      </c>
      <c r="AD246" s="80" t="e">
        <f>+BORDRO!#REF!</f>
        <v>#REF!</v>
      </c>
      <c r="AE246" s="75"/>
      <c r="AF246" s="75" t="e">
        <f>+BORDRO!#REF!</f>
        <v>#REF!</v>
      </c>
      <c r="AG246" s="75" t="e">
        <f>+BORDRO!#REF!</f>
        <v>#REF!</v>
      </c>
      <c r="AH246" s="80" t="e">
        <f>+BORDRO!#REF!</f>
        <v>#REF!</v>
      </c>
      <c r="AI246" s="75" t="e">
        <f>+BORDRO!#REF!</f>
        <v>#REF!</v>
      </c>
      <c r="AJ246" s="76" t="e">
        <f>+BORDRO!#REF!</f>
        <v>#REF!</v>
      </c>
    </row>
    <row r="247" spans="1:36" ht="13.8" x14ac:dyDescent="0.25">
      <c r="A247" s="64" t="s">
        <v>51</v>
      </c>
      <c r="B247" s="119">
        <v>46</v>
      </c>
      <c r="C247" s="64" t="s">
        <v>52</v>
      </c>
      <c r="D247" s="64" t="s">
        <v>53</v>
      </c>
      <c r="E247" s="64" t="s">
        <v>53</v>
      </c>
      <c r="F247" s="65">
        <v>1494768</v>
      </c>
      <c r="G247" s="66" t="s">
        <v>105</v>
      </c>
      <c r="H247" s="64" t="s">
        <v>54</v>
      </c>
      <c r="I247" s="78"/>
      <c r="J247" s="67" t="e">
        <f>+Puantaj!#REF!</f>
        <v>#REF!</v>
      </c>
      <c r="K247" s="64" t="e">
        <f>+Puantaj!#REF!</f>
        <v>#REF!</v>
      </c>
      <c r="L247" s="64" t="e">
        <f>+Puantaj!#REF!</f>
        <v>#REF!</v>
      </c>
      <c r="M247" s="68" t="e">
        <f>+BORDRO!#REF!</f>
        <v>#REF!</v>
      </c>
      <c r="N247" s="64"/>
      <c r="O247" s="79" t="e">
        <f>+BORDRO!#REF!</f>
        <v>#REF!</v>
      </c>
      <c r="P247" s="79">
        <v>0</v>
      </c>
      <c r="Q247" s="69"/>
      <c r="R247" s="69"/>
      <c r="S247" s="70"/>
      <c r="T247" s="70"/>
      <c r="U247" s="71"/>
      <c r="V247" s="72" t="e">
        <f t="shared" si="3"/>
        <v>#REF!</v>
      </c>
      <c r="W247" s="73">
        <v>6</v>
      </c>
      <c r="X247" s="81" t="s">
        <v>99</v>
      </c>
      <c r="Y247" s="65">
        <v>2</v>
      </c>
      <c r="Z247" s="64" t="s">
        <v>51</v>
      </c>
      <c r="AA247" s="74" t="s">
        <v>781</v>
      </c>
      <c r="AB247" s="64">
        <v>2025</v>
      </c>
      <c r="AC247" s="64" t="s">
        <v>106</v>
      </c>
      <c r="AD247" s="80" t="e">
        <f>+BORDRO!#REF!</f>
        <v>#REF!</v>
      </c>
      <c r="AE247" s="75"/>
      <c r="AF247" s="75" t="e">
        <f>+BORDRO!#REF!</f>
        <v>#REF!</v>
      </c>
      <c r="AG247" s="75" t="e">
        <f>+BORDRO!#REF!</f>
        <v>#REF!</v>
      </c>
      <c r="AH247" s="80" t="e">
        <f>+BORDRO!#REF!</f>
        <v>#REF!</v>
      </c>
      <c r="AI247" s="75" t="e">
        <f>+BORDRO!#REF!</f>
        <v>#REF!</v>
      </c>
      <c r="AJ247" s="76" t="e">
        <f>+BORDRO!#REF!</f>
        <v>#REF!</v>
      </c>
    </row>
    <row r="248" spans="1:36" ht="13.8" x14ac:dyDescent="0.25">
      <c r="A248" s="64" t="s">
        <v>51</v>
      </c>
      <c r="B248" s="120">
        <v>46</v>
      </c>
      <c r="C248" s="64" t="s">
        <v>52</v>
      </c>
      <c r="D248" s="64" t="s">
        <v>53</v>
      </c>
      <c r="E248" s="64" t="s">
        <v>53</v>
      </c>
      <c r="F248" s="65">
        <v>1494768</v>
      </c>
      <c r="G248" s="66" t="s">
        <v>105</v>
      </c>
      <c r="H248" s="64" t="s">
        <v>54</v>
      </c>
      <c r="I248" s="78"/>
      <c r="J248" s="67" t="e">
        <f>+Puantaj!#REF!</f>
        <v>#REF!</v>
      </c>
      <c r="K248" s="64" t="e">
        <f>+Puantaj!#REF!</f>
        <v>#REF!</v>
      </c>
      <c r="L248" s="64" t="e">
        <f>+Puantaj!#REF!</f>
        <v>#REF!</v>
      </c>
      <c r="M248" s="68" t="e">
        <f>+BORDRO!#REF!</f>
        <v>#REF!</v>
      </c>
      <c r="N248" s="64"/>
      <c r="O248" s="79" t="e">
        <f>+BORDRO!#REF!</f>
        <v>#REF!</v>
      </c>
      <c r="P248" s="79">
        <v>0</v>
      </c>
      <c r="Q248" s="69"/>
      <c r="R248" s="69"/>
      <c r="S248" s="70"/>
      <c r="T248" s="70"/>
      <c r="U248" s="71"/>
      <c r="V248" s="72" t="e">
        <f t="shared" si="3"/>
        <v>#REF!</v>
      </c>
      <c r="W248" s="73">
        <v>6</v>
      </c>
      <c r="X248" s="81" t="s">
        <v>99</v>
      </c>
      <c r="Y248" s="65">
        <v>2</v>
      </c>
      <c r="Z248" s="64" t="s">
        <v>51</v>
      </c>
      <c r="AA248" s="74" t="s">
        <v>781</v>
      </c>
      <c r="AB248" s="64">
        <v>2025</v>
      </c>
      <c r="AC248" s="64" t="s">
        <v>106</v>
      </c>
      <c r="AD248" s="80" t="e">
        <f>+BORDRO!#REF!</f>
        <v>#REF!</v>
      </c>
      <c r="AE248" s="75"/>
      <c r="AF248" s="75" t="e">
        <f>+BORDRO!#REF!</f>
        <v>#REF!</v>
      </c>
      <c r="AG248" s="75" t="e">
        <f>+BORDRO!#REF!</f>
        <v>#REF!</v>
      </c>
      <c r="AH248" s="80" t="e">
        <f>+BORDRO!#REF!</f>
        <v>#REF!</v>
      </c>
      <c r="AI248" s="75" t="e">
        <f>+BORDRO!#REF!</f>
        <v>#REF!</v>
      </c>
      <c r="AJ248" s="76" t="e">
        <f>+BORDRO!#REF!</f>
        <v>#REF!</v>
      </c>
    </row>
    <row r="249" spans="1:36" ht="13.8" x14ac:dyDescent="0.25">
      <c r="A249" s="64" t="s">
        <v>51</v>
      </c>
      <c r="B249" s="119">
        <v>46</v>
      </c>
      <c r="C249" s="64" t="s">
        <v>52</v>
      </c>
      <c r="D249" s="64" t="s">
        <v>53</v>
      </c>
      <c r="E249" s="64" t="s">
        <v>53</v>
      </c>
      <c r="F249" s="65">
        <v>1494768</v>
      </c>
      <c r="G249" s="66" t="s">
        <v>105</v>
      </c>
      <c r="H249" s="64" t="s">
        <v>54</v>
      </c>
      <c r="I249" s="78"/>
      <c r="J249" s="67" t="e">
        <f>+Puantaj!#REF!</f>
        <v>#REF!</v>
      </c>
      <c r="K249" s="64" t="e">
        <f>+Puantaj!#REF!</f>
        <v>#REF!</v>
      </c>
      <c r="L249" s="64" t="e">
        <f>+Puantaj!#REF!</f>
        <v>#REF!</v>
      </c>
      <c r="M249" s="68" t="e">
        <f>+BORDRO!#REF!</f>
        <v>#REF!</v>
      </c>
      <c r="N249" s="64"/>
      <c r="O249" s="79" t="e">
        <f>+BORDRO!#REF!</f>
        <v>#REF!</v>
      </c>
      <c r="P249" s="79">
        <v>0</v>
      </c>
      <c r="Q249" s="69"/>
      <c r="R249" s="69"/>
      <c r="S249" s="70"/>
      <c r="T249" s="70"/>
      <c r="U249" s="71"/>
      <c r="V249" s="72" t="e">
        <f t="shared" si="3"/>
        <v>#REF!</v>
      </c>
      <c r="W249" s="73">
        <v>6</v>
      </c>
      <c r="X249" s="81" t="s">
        <v>99</v>
      </c>
      <c r="Y249" s="65">
        <v>2</v>
      </c>
      <c r="Z249" s="64" t="s">
        <v>51</v>
      </c>
      <c r="AA249" s="74" t="s">
        <v>781</v>
      </c>
      <c r="AB249" s="64">
        <v>2025</v>
      </c>
      <c r="AC249" s="64" t="s">
        <v>106</v>
      </c>
      <c r="AD249" s="80" t="e">
        <f>+BORDRO!#REF!</f>
        <v>#REF!</v>
      </c>
      <c r="AE249" s="75"/>
      <c r="AF249" s="75" t="e">
        <f>+BORDRO!#REF!</f>
        <v>#REF!</v>
      </c>
      <c r="AG249" s="75" t="e">
        <f>+BORDRO!#REF!</f>
        <v>#REF!</v>
      </c>
      <c r="AH249" s="80" t="e">
        <f>+BORDRO!#REF!</f>
        <v>#REF!</v>
      </c>
      <c r="AI249" s="75" t="e">
        <f>+BORDRO!#REF!</f>
        <v>#REF!</v>
      </c>
      <c r="AJ249" s="76" t="e">
        <f>+BORDRO!#REF!</f>
        <v>#REF!</v>
      </c>
    </row>
    <row r="250" spans="1:36" ht="13.8" x14ac:dyDescent="0.25">
      <c r="A250" s="64" t="s">
        <v>51</v>
      </c>
      <c r="B250" s="120">
        <v>46</v>
      </c>
      <c r="C250" s="64" t="s">
        <v>52</v>
      </c>
      <c r="D250" s="64" t="s">
        <v>53</v>
      </c>
      <c r="E250" s="64" t="s">
        <v>53</v>
      </c>
      <c r="F250" s="65">
        <v>1494768</v>
      </c>
      <c r="G250" s="66" t="s">
        <v>105</v>
      </c>
      <c r="H250" s="64" t="s">
        <v>54</v>
      </c>
      <c r="I250" s="78"/>
      <c r="J250" s="67" t="e">
        <f>+Puantaj!#REF!</f>
        <v>#REF!</v>
      </c>
      <c r="K250" s="64" t="e">
        <f>+Puantaj!#REF!</f>
        <v>#REF!</v>
      </c>
      <c r="L250" s="64" t="e">
        <f>+Puantaj!#REF!</f>
        <v>#REF!</v>
      </c>
      <c r="M250" s="68" t="e">
        <f>+BORDRO!#REF!</f>
        <v>#REF!</v>
      </c>
      <c r="N250" s="64"/>
      <c r="O250" s="79" t="e">
        <f>+BORDRO!#REF!</f>
        <v>#REF!</v>
      </c>
      <c r="P250" s="79">
        <v>0</v>
      </c>
      <c r="Q250" s="69"/>
      <c r="R250" s="69"/>
      <c r="S250" s="70"/>
      <c r="T250" s="70"/>
      <c r="U250" s="71"/>
      <c r="V250" s="72" t="e">
        <f t="shared" si="3"/>
        <v>#REF!</v>
      </c>
      <c r="W250" s="73">
        <v>6</v>
      </c>
      <c r="X250" s="81" t="s">
        <v>99</v>
      </c>
      <c r="Y250" s="65">
        <v>2</v>
      </c>
      <c r="Z250" s="64" t="s">
        <v>51</v>
      </c>
      <c r="AA250" s="74" t="s">
        <v>781</v>
      </c>
      <c r="AB250" s="64">
        <v>2025</v>
      </c>
      <c r="AC250" s="64" t="s">
        <v>106</v>
      </c>
      <c r="AD250" s="80" t="e">
        <f>+BORDRO!#REF!</f>
        <v>#REF!</v>
      </c>
      <c r="AE250" s="75"/>
      <c r="AF250" s="75" t="e">
        <f>+BORDRO!#REF!</f>
        <v>#REF!</v>
      </c>
      <c r="AG250" s="75" t="e">
        <f>+BORDRO!#REF!</f>
        <v>#REF!</v>
      </c>
      <c r="AH250" s="80" t="e">
        <f>+BORDRO!#REF!</f>
        <v>#REF!</v>
      </c>
      <c r="AI250" s="75" t="e">
        <f>+BORDRO!#REF!</f>
        <v>#REF!</v>
      </c>
      <c r="AJ250" s="76" t="e">
        <f>+BORDRO!#REF!</f>
        <v>#REF!</v>
      </c>
    </row>
    <row r="251" spans="1:36" ht="13.8" x14ac:dyDescent="0.25">
      <c r="A251" s="64" t="s">
        <v>51</v>
      </c>
      <c r="B251" s="119">
        <v>46</v>
      </c>
      <c r="C251" s="64" t="s">
        <v>52</v>
      </c>
      <c r="D251" s="64" t="s">
        <v>53</v>
      </c>
      <c r="E251" s="64" t="s">
        <v>53</v>
      </c>
      <c r="F251" s="65">
        <v>1494768</v>
      </c>
      <c r="G251" s="66" t="s">
        <v>105</v>
      </c>
      <c r="H251" s="64" t="s">
        <v>54</v>
      </c>
      <c r="I251" s="78"/>
      <c r="J251" s="67" t="e">
        <f>+Puantaj!#REF!</f>
        <v>#REF!</v>
      </c>
      <c r="K251" s="64" t="e">
        <f>+Puantaj!#REF!</f>
        <v>#REF!</v>
      </c>
      <c r="L251" s="64" t="e">
        <f>+Puantaj!#REF!</f>
        <v>#REF!</v>
      </c>
      <c r="M251" s="68" t="e">
        <f>+BORDRO!#REF!</f>
        <v>#REF!</v>
      </c>
      <c r="N251" s="64"/>
      <c r="O251" s="79" t="e">
        <f>+BORDRO!#REF!</f>
        <v>#REF!</v>
      </c>
      <c r="P251" s="79">
        <v>0</v>
      </c>
      <c r="Q251" s="69"/>
      <c r="R251" s="69"/>
      <c r="S251" s="70"/>
      <c r="T251" s="70"/>
      <c r="U251" s="71"/>
      <c r="V251" s="72" t="e">
        <f t="shared" si="3"/>
        <v>#REF!</v>
      </c>
      <c r="W251" s="73">
        <v>6</v>
      </c>
      <c r="X251" s="81" t="s">
        <v>99</v>
      </c>
      <c r="Y251" s="65">
        <v>2</v>
      </c>
      <c r="Z251" s="64" t="s">
        <v>51</v>
      </c>
      <c r="AA251" s="74" t="s">
        <v>781</v>
      </c>
      <c r="AB251" s="64">
        <v>2025</v>
      </c>
      <c r="AC251" s="64" t="s">
        <v>106</v>
      </c>
      <c r="AD251" s="80" t="e">
        <f>+BORDRO!#REF!</f>
        <v>#REF!</v>
      </c>
      <c r="AE251" s="75"/>
      <c r="AF251" s="75" t="e">
        <f>+BORDRO!#REF!</f>
        <v>#REF!</v>
      </c>
      <c r="AG251" s="75" t="e">
        <f>+BORDRO!#REF!</f>
        <v>#REF!</v>
      </c>
      <c r="AH251" s="80" t="e">
        <f>+BORDRO!#REF!</f>
        <v>#REF!</v>
      </c>
      <c r="AI251" s="75" t="e">
        <f>+BORDRO!#REF!</f>
        <v>#REF!</v>
      </c>
      <c r="AJ251" s="76" t="e">
        <f>+BORDRO!#REF!</f>
        <v>#REF!</v>
      </c>
    </row>
    <row r="252" spans="1:36" ht="13.8" x14ac:dyDescent="0.25">
      <c r="A252" s="64" t="s">
        <v>51</v>
      </c>
      <c r="B252" s="120">
        <v>46</v>
      </c>
      <c r="C252" s="64" t="s">
        <v>52</v>
      </c>
      <c r="D252" s="64" t="s">
        <v>53</v>
      </c>
      <c r="E252" s="64" t="s">
        <v>53</v>
      </c>
      <c r="F252" s="65">
        <v>1494768</v>
      </c>
      <c r="G252" s="66" t="s">
        <v>105</v>
      </c>
      <c r="H252" s="64" t="s">
        <v>54</v>
      </c>
      <c r="I252" s="78"/>
      <c r="J252" s="67" t="e">
        <f>+Puantaj!#REF!</f>
        <v>#REF!</v>
      </c>
      <c r="K252" s="64" t="e">
        <f>+Puantaj!#REF!</f>
        <v>#REF!</v>
      </c>
      <c r="L252" s="64" t="e">
        <f>+Puantaj!#REF!</f>
        <v>#REF!</v>
      </c>
      <c r="M252" s="68" t="e">
        <f>+BORDRO!#REF!</f>
        <v>#REF!</v>
      </c>
      <c r="N252" s="64"/>
      <c r="O252" s="79" t="e">
        <f>+BORDRO!#REF!</f>
        <v>#REF!</v>
      </c>
      <c r="P252" s="79">
        <v>0</v>
      </c>
      <c r="Q252" s="69"/>
      <c r="R252" s="69"/>
      <c r="S252" s="70"/>
      <c r="T252" s="70"/>
      <c r="U252" s="71"/>
      <c r="V252" s="72" t="e">
        <f t="shared" si="3"/>
        <v>#REF!</v>
      </c>
      <c r="W252" s="73">
        <v>6</v>
      </c>
      <c r="X252" s="81" t="s">
        <v>99</v>
      </c>
      <c r="Y252" s="65">
        <v>2</v>
      </c>
      <c r="Z252" s="64" t="s">
        <v>51</v>
      </c>
      <c r="AA252" s="74" t="s">
        <v>781</v>
      </c>
      <c r="AB252" s="64">
        <v>2025</v>
      </c>
      <c r="AC252" s="64" t="s">
        <v>106</v>
      </c>
      <c r="AD252" s="80" t="e">
        <f>+BORDRO!#REF!</f>
        <v>#REF!</v>
      </c>
      <c r="AE252" s="75"/>
      <c r="AF252" s="75" t="e">
        <f>+BORDRO!#REF!</f>
        <v>#REF!</v>
      </c>
      <c r="AG252" s="75" t="e">
        <f>+BORDRO!#REF!</f>
        <v>#REF!</v>
      </c>
      <c r="AH252" s="80" t="e">
        <f>+BORDRO!#REF!</f>
        <v>#REF!</v>
      </c>
      <c r="AI252" s="75" t="e">
        <f>+BORDRO!#REF!</f>
        <v>#REF!</v>
      </c>
      <c r="AJ252" s="76" t="e">
        <f>+BORDRO!#REF!</f>
        <v>#REF!</v>
      </c>
    </row>
    <row r="253" spans="1:36" ht="13.8" x14ac:dyDescent="0.25">
      <c r="A253" s="64" t="s">
        <v>51</v>
      </c>
      <c r="B253" s="119">
        <v>46</v>
      </c>
      <c r="C253" s="64" t="s">
        <v>52</v>
      </c>
      <c r="D253" s="64" t="s">
        <v>53</v>
      </c>
      <c r="E253" s="64" t="s">
        <v>53</v>
      </c>
      <c r="F253" s="65">
        <v>1494768</v>
      </c>
      <c r="G253" s="66" t="s">
        <v>105</v>
      </c>
      <c r="H253" s="64" t="s">
        <v>54</v>
      </c>
      <c r="I253" s="78"/>
      <c r="J253" s="67" t="e">
        <f>+Puantaj!#REF!</f>
        <v>#REF!</v>
      </c>
      <c r="K253" s="64" t="e">
        <f>+Puantaj!#REF!</f>
        <v>#REF!</v>
      </c>
      <c r="L253" s="64" t="e">
        <f>+Puantaj!#REF!</f>
        <v>#REF!</v>
      </c>
      <c r="M253" s="68" t="e">
        <f>+BORDRO!#REF!</f>
        <v>#REF!</v>
      </c>
      <c r="N253" s="64"/>
      <c r="O253" s="79" t="e">
        <f>+BORDRO!#REF!</f>
        <v>#REF!</v>
      </c>
      <c r="P253" s="79">
        <v>0</v>
      </c>
      <c r="Q253" s="69"/>
      <c r="R253" s="69"/>
      <c r="S253" s="70"/>
      <c r="T253" s="70"/>
      <c r="U253" s="71"/>
      <c r="V253" s="72" t="e">
        <f t="shared" si="3"/>
        <v>#REF!</v>
      </c>
      <c r="W253" s="73">
        <v>6</v>
      </c>
      <c r="X253" s="81" t="s">
        <v>99</v>
      </c>
      <c r="Y253" s="65">
        <v>2</v>
      </c>
      <c r="Z253" s="64" t="s">
        <v>51</v>
      </c>
      <c r="AA253" s="74" t="s">
        <v>781</v>
      </c>
      <c r="AB253" s="64">
        <v>2025</v>
      </c>
      <c r="AC253" s="64" t="s">
        <v>106</v>
      </c>
      <c r="AD253" s="80" t="e">
        <f>+BORDRO!#REF!</f>
        <v>#REF!</v>
      </c>
      <c r="AE253" s="75"/>
      <c r="AF253" s="75" t="e">
        <f>+BORDRO!#REF!</f>
        <v>#REF!</v>
      </c>
      <c r="AG253" s="75" t="e">
        <f>+BORDRO!#REF!</f>
        <v>#REF!</v>
      </c>
      <c r="AH253" s="80" t="e">
        <f>+BORDRO!#REF!</f>
        <v>#REF!</v>
      </c>
      <c r="AI253" s="75" t="e">
        <f>+BORDRO!#REF!</f>
        <v>#REF!</v>
      </c>
      <c r="AJ253" s="76" t="e">
        <f>+BORDRO!#REF!</f>
        <v>#REF!</v>
      </c>
    </row>
    <row r="254" spans="1:36" ht="13.8" x14ac:dyDescent="0.25">
      <c r="A254" s="64" t="s">
        <v>51</v>
      </c>
      <c r="B254" s="120">
        <v>46</v>
      </c>
      <c r="C254" s="64" t="s">
        <v>52</v>
      </c>
      <c r="D254" s="64" t="s">
        <v>53</v>
      </c>
      <c r="E254" s="64" t="s">
        <v>53</v>
      </c>
      <c r="F254" s="65">
        <v>1494768</v>
      </c>
      <c r="G254" s="66" t="s">
        <v>105</v>
      </c>
      <c r="H254" s="64" t="s">
        <v>54</v>
      </c>
      <c r="I254" s="78"/>
      <c r="J254" s="67" t="e">
        <f>+Puantaj!#REF!</f>
        <v>#REF!</v>
      </c>
      <c r="K254" s="64" t="e">
        <f>+Puantaj!#REF!</f>
        <v>#REF!</v>
      </c>
      <c r="L254" s="64" t="e">
        <f>+Puantaj!#REF!</f>
        <v>#REF!</v>
      </c>
      <c r="M254" s="68" t="e">
        <f>+BORDRO!#REF!</f>
        <v>#REF!</v>
      </c>
      <c r="N254" s="64"/>
      <c r="O254" s="79" t="e">
        <f>+BORDRO!#REF!</f>
        <v>#REF!</v>
      </c>
      <c r="P254" s="79">
        <v>0</v>
      </c>
      <c r="Q254" s="69"/>
      <c r="R254" s="69"/>
      <c r="S254" s="70"/>
      <c r="T254" s="70"/>
      <c r="U254" s="71"/>
      <c r="V254" s="72" t="e">
        <f t="shared" si="3"/>
        <v>#REF!</v>
      </c>
      <c r="W254" s="73">
        <v>6</v>
      </c>
      <c r="X254" s="81" t="s">
        <v>99</v>
      </c>
      <c r="Y254" s="65">
        <v>2</v>
      </c>
      <c r="Z254" s="64" t="s">
        <v>51</v>
      </c>
      <c r="AA254" s="74" t="s">
        <v>781</v>
      </c>
      <c r="AB254" s="64">
        <v>2025</v>
      </c>
      <c r="AC254" s="64" t="s">
        <v>106</v>
      </c>
      <c r="AD254" s="80" t="e">
        <f>+BORDRO!#REF!</f>
        <v>#REF!</v>
      </c>
      <c r="AE254" s="75"/>
      <c r="AF254" s="75" t="e">
        <f>+BORDRO!#REF!</f>
        <v>#REF!</v>
      </c>
      <c r="AG254" s="75" t="e">
        <f>+BORDRO!#REF!</f>
        <v>#REF!</v>
      </c>
      <c r="AH254" s="80" t="e">
        <f>+BORDRO!#REF!</f>
        <v>#REF!</v>
      </c>
      <c r="AI254" s="75" t="e">
        <f>+BORDRO!#REF!</f>
        <v>#REF!</v>
      </c>
      <c r="AJ254" s="76" t="e">
        <f>+BORDRO!#REF!</f>
        <v>#REF!</v>
      </c>
    </row>
    <row r="255" spans="1:36" ht="13.8" x14ac:dyDescent="0.25">
      <c r="A255" s="64" t="s">
        <v>51</v>
      </c>
      <c r="B255" s="119">
        <v>46</v>
      </c>
      <c r="C255" s="64" t="s">
        <v>52</v>
      </c>
      <c r="D255" s="64" t="s">
        <v>53</v>
      </c>
      <c r="E255" s="64" t="s">
        <v>53</v>
      </c>
      <c r="F255" s="65">
        <v>1494768</v>
      </c>
      <c r="G255" s="66" t="s">
        <v>105</v>
      </c>
      <c r="H255" s="64" t="s">
        <v>54</v>
      </c>
      <c r="I255" s="78"/>
      <c r="J255" s="67" t="e">
        <f>+Puantaj!#REF!</f>
        <v>#REF!</v>
      </c>
      <c r="K255" s="64" t="e">
        <f>+Puantaj!#REF!</f>
        <v>#REF!</v>
      </c>
      <c r="L255" s="64" t="e">
        <f>+Puantaj!#REF!</f>
        <v>#REF!</v>
      </c>
      <c r="M255" s="68" t="e">
        <f>+BORDRO!#REF!</f>
        <v>#REF!</v>
      </c>
      <c r="N255" s="64"/>
      <c r="O255" s="79" t="e">
        <f>+BORDRO!#REF!</f>
        <v>#REF!</v>
      </c>
      <c r="P255" s="79">
        <v>0</v>
      </c>
      <c r="Q255" s="69"/>
      <c r="R255" s="69"/>
      <c r="S255" s="70"/>
      <c r="T255" s="70"/>
      <c r="U255" s="71"/>
      <c r="V255" s="72" t="e">
        <f t="shared" si="3"/>
        <v>#REF!</v>
      </c>
      <c r="W255" s="73">
        <v>6</v>
      </c>
      <c r="X255" s="81" t="s">
        <v>99</v>
      </c>
      <c r="Y255" s="65">
        <v>2</v>
      </c>
      <c r="Z255" s="64" t="s">
        <v>51</v>
      </c>
      <c r="AA255" s="74" t="s">
        <v>781</v>
      </c>
      <c r="AB255" s="64">
        <v>2025</v>
      </c>
      <c r="AC255" s="64" t="s">
        <v>106</v>
      </c>
      <c r="AD255" s="80" t="e">
        <f>+BORDRO!#REF!</f>
        <v>#REF!</v>
      </c>
      <c r="AE255" s="75"/>
      <c r="AF255" s="75" t="e">
        <f>+BORDRO!#REF!</f>
        <v>#REF!</v>
      </c>
      <c r="AG255" s="75" t="e">
        <f>+BORDRO!#REF!</f>
        <v>#REF!</v>
      </c>
      <c r="AH255" s="80" t="e">
        <f>+BORDRO!#REF!</f>
        <v>#REF!</v>
      </c>
      <c r="AI255" s="75" t="e">
        <f>+BORDRO!#REF!</f>
        <v>#REF!</v>
      </c>
      <c r="AJ255" s="76" t="e">
        <f>+BORDRO!#REF!</f>
        <v>#REF!</v>
      </c>
    </row>
    <row r="256" spans="1:36" ht="13.8" x14ac:dyDescent="0.25">
      <c r="A256" s="64" t="s">
        <v>51</v>
      </c>
      <c r="B256" s="120">
        <v>46</v>
      </c>
      <c r="C256" s="64" t="s">
        <v>52</v>
      </c>
      <c r="D256" s="64" t="s">
        <v>53</v>
      </c>
      <c r="E256" s="64" t="s">
        <v>53</v>
      </c>
      <c r="F256" s="65">
        <v>1494768</v>
      </c>
      <c r="G256" s="66" t="s">
        <v>105</v>
      </c>
      <c r="H256" s="64" t="s">
        <v>54</v>
      </c>
      <c r="I256" s="78"/>
      <c r="J256" s="67" t="e">
        <f>+Puantaj!#REF!</f>
        <v>#REF!</v>
      </c>
      <c r="K256" s="64" t="e">
        <f>+Puantaj!#REF!</f>
        <v>#REF!</v>
      </c>
      <c r="L256" s="64" t="e">
        <f>+Puantaj!#REF!</f>
        <v>#REF!</v>
      </c>
      <c r="M256" s="68" t="e">
        <f>+BORDRO!#REF!</f>
        <v>#REF!</v>
      </c>
      <c r="N256" s="64"/>
      <c r="O256" s="79" t="e">
        <f>+BORDRO!#REF!</f>
        <v>#REF!</v>
      </c>
      <c r="P256" s="79">
        <v>0</v>
      </c>
      <c r="Q256" s="69"/>
      <c r="R256" s="69"/>
      <c r="S256" s="70"/>
      <c r="T256" s="70"/>
      <c r="U256" s="71"/>
      <c r="V256" s="72" t="e">
        <f t="shared" si="3"/>
        <v>#REF!</v>
      </c>
      <c r="W256" s="73">
        <v>6</v>
      </c>
      <c r="X256" s="81" t="s">
        <v>99</v>
      </c>
      <c r="Y256" s="65">
        <v>2</v>
      </c>
      <c r="Z256" s="64" t="s">
        <v>51</v>
      </c>
      <c r="AA256" s="74" t="s">
        <v>781</v>
      </c>
      <c r="AB256" s="64">
        <v>2025</v>
      </c>
      <c r="AC256" s="64" t="s">
        <v>106</v>
      </c>
      <c r="AD256" s="80" t="e">
        <f>+BORDRO!#REF!</f>
        <v>#REF!</v>
      </c>
      <c r="AE256" s="75"/>
      <c r="AF256" s="75" t="e">
        <f>+BORDRO!#REF!</f>
        <v>#REF!</v>
      </c>
      <c r="AG256" s="75" t="e">
        <f>+BORDRO!#REF!</f>
        <v>#REF!</v>
      </c>
      <c r="AH256" s="80" t="e">
        <f>+BORDRO!#REF!</f>
        <v>#REF!</v>
      </c>
      <c r="AI256" s="75" t="e">
        <f>+BORDRO!#REF!</f>
        <v>#REF!</v>
      </c>
      <c r="AJ256" s="76" t="e">
        <f>+BORDRO!#REF!</f>
        <v>#REF!</v>
      </c>
    </row>
    <row r="257" spans="1:36" ht="13.8" x14ac:dyDescent="0.25">
      <c r="A257" s="64" t="s">
        <v>51</v>
      </c>
      <c r="B257" s="119">
        <v>46</v>
      </c>
      <c r="C257" s="64" t="s">
        <v>52</v>
      </c>
      <c r="D257" s="64" t="s">
        <v>53</v>
      </c>
      <c r="E257" s="64" t="s">
        <v>53</v>
      </c>
      <c r="F257" s="65">
        <v>1494768</v>
      </c>
      <c r="G257" s="66" t="s">
        <v>105</v>
      </c>
      <c r="H257" s="64" t="s">
        <v>54</v>
      </c>
      <c r="I257" s="78"/>
      <c r="J257" s="67" t="e">
        <f>+Puantaj!#REF!</f>
        <v>#REF!</v>
      </c>
      <c r="K257" s="64" t="e">
        <f>+Puantaj!#REF!</f>
        <v>#REF!</v>
      </c>
      <c r="L257" s="64" t="e">
        <f>+Puantaj!#REF!</f>
        <v>#REF!</v>
      </c>
      <c r="M257" s="68" t="e">
        <f>+BORDRO!#REF!</f>
        <v>#REF!</v>
      </c>
      <c r="N257" s="64"/>
      <c r="O257" s="79" t="e">
        <f>+BORDRO!#REF!</f>
        <v>#REF!</v>
      </c>
      <c r="P257" s="79">
        <v>0</v>
      </c>
      <c r="Q257" s="69"/>
      <c r="R257" s="69"/>
      <c r="S257" s="70"/>
      <c r="T257" s="70"/>
      <c r="U257" s="71"/>
      <c r="V257" s="72" t="e">
        <f t="shared" si="3"/>
        <v>#REF!</v>
      </c>
      <c r="W257" s="73">
        <v>6</v>
      </c>
      <c r="X257" s="81" t="s">
        <v>99</v>
      </c>
      <c r="Y257" s="65">
        <v>2</v>
      </c>
      <c r="Z257" s="64" t="s">
        <v>51</v>
      </c>
      <c r="AA257" s="74" t="s">
        <v>781</v>
      </c>
      <c r="AB257" s="64">
        <v>2025</v>
      </c>
      <c r="AC257" s="64" t="s">
        <v>106</v>
      </c>
      <c r="AD257" s="80" t="e">
        <f>+BORDRO!#REF!</f>
        <v>#REF!</v>
      </c>
      <c r="AE257" s="75"/>
      <c r="AF257" s="75" t="e">
        <f>+BORDRO!#REF!</f>
        <v>#REF!</v>
      </c>
      <c r="AG257" s="75" t="e">
        <f>+BORDRO!#REF!</f>
        <v>#REF!</v>
      </c>
      <c r="AH257" s="80" t="e">
        <f>+BORDRO!#REF!</f>
        <v>#REF!</v>
      </c>
      <c r="AI257" s="75" t="e">
        <f>+BORDRO!#REF!</f>
        <v>#REF!</v>
      </c>
      <c r="AJ257" s="76" t="e">
        <f>+BORDRO!#REF!</f>
        <v>#REF!</v>
      </c>
    </row>
    <row r="258" spans="1:36" ht="13.8" x14ac:dyDescent="0.25">
      <c r="A258" s="64" t="s">
        <v>51</v>
      </c>
      <c r="B258" s="120">
        <v>46</v>
      </c>
      <c r="C258" s="64" t="s">
        <v>52</v>
      </c>
      <c r="D258" s="64" t="s">
        <v>53</v>
      </c>
      <c r="E258" s="64" t="s">
        <v>53</v>
      </c>
      <c r="F258" s="65">
        <v>1494768</v>
      </c>
      <c r="G258" s="66" t="s">
        <v>105</v>
      </c>
      <c r="H258" s="64" t="s">
        <v>54</v>
      </c>
      <c r="I258" s="78"/>
      <c r="J258" s="67" t="e">
        <f>+Puantaj!#REF!</f>
        <v>#REF!</v>
      </c>
      <c r="K258" s="64" t="e">
        <f>+Puantaj!#REF!</f>
        <v>#REF!</v>
      </c>
      <c r="L258" s="64" t="e">
        <f>+Puantaj!#REF!</f>
        <v>#REF!</v>
      </c>
      <c r="M258" s="68" t="e">
        <f>+BORDRO!#REF!</f>
        <v>#REF!</v>
      </c>
      <c r="N258" s="64"/>
      <c r="O258" s="79" t="e">
        <f>+BORDRO!#REF!</f>
        <v>#REF!</v>
      </c>
      <c r="P258" s="79">
        <v>0</v>
      </c>
      <c r="Q258" s="69"/>
      <c r="R258" s="69"/>
      <c r="S258" s="70"/>
      <c r="T258" s="70"/>
      <c r="U258" s="71"/>
      <c r="V258" s="72" t="e">
        <f t="shared" si="3"/>
        <v>#REF!</v>
      </c>
      <c r="W258" s="73">
        <v>6</v>
      </c>
      <c r="X258" s="81" t="s">
        <v>99</v>
      </c>
      <c r="Y258" s="65">
        <v>2</v>
      </c>
      <c r="Z258" s="64" t="s">
        <v>51</v>
      </c>
      <c r="AA258" s="74" t="s">
        <v>781</v>
      </c>
      <c r="AB258" s="64">
        <v>2025</v>
      </c>
      <c r="AC258" s="64" t="s">
        <v>106</v>
      </c>
      <c r="AD258" s="80" t="e">
        <f>+BORDRO!#REF!</f>
        <v>#REF!</v>
      </c>
      <c r="AE258" s="75"/>
      <c r="AF258" s="75" t="e">
        <f>+BORDRO!#REF!</f>
        <v>#REF!</v>
      </c>
      <c r="AG258" s="75" t="e">
        <f>+BORDRO!#REF!</f>
        <v>#REF!</v>
      </c>
      <c r="AH258" s="80" t="e">
        <f>+BORDRO!#REF!</f>
        <v>#REF!</v>
      </c>
      <c r="AI258" s="75" t="e">
        <f>+BORDRO!#REF!</f>
        <v>#REF!</v>
      </c>
      <c r="AJ258" s="76" t="e">
        <f>+BORDRO!#REF!</f>
        <v>#REF!</v>
      </c>
    </row>
    <row r="259" spans="1:36" ht="13.8" x14ac:dyDescent="0.25">
      <c r="A259" s="64" t="s">
        <v>51</v>
      </c>
      <c r="B259" s="119">
        <v>46</v>
      </c>
      <c r="C259" s="64" t="s">
        <v>52</v>
      </c>
      <c r="D259" s="64" t="s">
        <v>53</v>
      </c>
      <c r="E259" s="64" t="s">
        <v>53</v>
      </c>
      <c r="F259" s="65">
        <v>1494768</v>
      </c>
      <c r="G259" s="66" t="s">
        <v>105</v>
      </c>
      <c r="H259" s="64" t="s">
        <v>54</v>
      </c>
      <c r="I259" s="78"/>
      <c r="J259" s="67" t="e">
        <f>+Puantaj!#REF!</f>
        <v>#REF!</v>
      </c>
      <c r="K259" s="64" t="e">
        <f>+Puantaj!#REF!</f>
        <v>#REF!</v>
      </c>
      <c r="L259" s="64" t="e">
        <f>+Puantaj!#REF!</f>
        <v>#REF!</v>
      </c>
      <c r="M259" s="68" t="e">
        <f>+BORDRO!#REF!</f>
        <v>#REF!</v>
      </c>
      <c r="N259" s="64"/>
      <c r="O259" s="79" t="e">
        <f>+BORDRO!#REF!</f>
        <v>#REF!</v>
      </c>
      <c r="P259" s="79">
        <v>0</v>
      </c>
      <c r="Q259" s="69"/>
      <c r="R259" s="69"/>
      <c r="S259" s="70"/>
      <c r="T259" s="70"/>
      <c r="U259" s="71"/>
      <c r="V259" s="72" t="e">
        <f t="shared" ref="V259:V322" si="4">31-M259-Q259</f>
        <v>#REF!</v>
      </c>
      <c r="W259" s="73">
        <v>6</v>
      </c>
      <c r="X259" s="81" t="s">
        <v>99</v>
      </c>
      <c r="Y259" s="65">
        <v>2</v>
      </c>
      <c r="Z259" s="64" t="s">
        <v>51</v>
      </c>
      <c r="AA259" s="74" t="s">
        <v>781</v>
      </c>
      <c r="AB259" s="64">
        <v>2025</v>
      </c>
      <c r="AC259" s="64" t="s">
        <v>106</v>
      </c>
      <c r="AD259" s="80" t="e">
        <f>+BORDRO!#REF!</f>
        <v>#REF!</v>
      </c>
      <c r="AE259" s="75"/>
      <c r="AF259" s="75" t="e">
        <f>+BORDRO!#REF!</f>
        <v>#REF!</v>
      </c>
      <c r="AG259" s="75" t="e">
        <f>+BORDRO!#REF!</f>
        <v>#REF!</v>
      </c>
      <c r="AH259" s="80" t="e">
        <f>+BORDRO!#REF!</f>
        <v>#REF!</v>
      </c>
      <c r="AI259" s="75" t="e">
        <f>+BORDRO!#REF!</f>
        <v>#REF!</v>
      </c>
      <c r="AJ259" s="76" t="e">
        <f>+BORDRO!#REF!</f>
        <v>#REF!</v>
      </c>
    </row>
    <row r="260" spans="1:36" ht="13.8" x14ac:dyDescent="0.25">
      <c r="A260" s="64" t="s">
        <v>51</v>
      </c>
      <c r="B260" s="120">
        <v>46</v>
      </c>
      <c r="C260" s="64" t="s">
        <v>52</v>
      </c>
      <c r="D260" s="64" t="s">
        <v>53</v>
      </c>
      <c r="E260" s="64" t="s">
        <v>53</v>
      </c>
      <c r="F260" s="65">
        <v>1494768</v>
      </c>
      <c r="G260" s="66" t="s">
        <v>105</v>
      </c>
      <c r="H260" s="64" t="s">
        <v>54</v>
      </c>
      <c r="I260" s="78"/>
      <c r="J260" s="67" t="e">
        <f>+Puantaj!#REF!</f>
        <v>#REF!</v>
      </c>
      <c r="K260" s="64" t="e">
        <f>+Puantaj!#REF!</f>
        <v>#REF!</v>
      </c>
      <c r="L260" s="64" t="e">
        <f>+Puantaj!#REF!</f>
        <v>#REF!</v>
      </c>
      <c r="M260" s="68" t="e">
        <f>+BORDRO!#REF!</f>
        <v>#REF!</v>
      </c>
      <c r="N260" s="64"/>
      <c r="O260" s="79" t="e">
        <f>+BORDRO!#REF!</f>
        <v>#REF!</v>
      </c>
      <c r="P260" s="79">
        <v>0</v>
      </c>
      <c r="Q260" s="69"/>
      <c r="R260" s="69"/>
      <c r="S260" s="70"/>
      <c r="T260" s="70"/>
      <c r="U260" s="71"/>
      <c r="V260" s="72" t="e">
        <f t="shared" si="4"/>
        <v>#REF!</v>
      </c>
      <c r="W260" s="73">
        <v>6</v>
      </c>
      <c r="X260" s="81" t="s">
        <v>99</v>
      </c>
      <c r="Y260" s="65">
        <v>2</v>
      </c>
      <c r="Z260" s="64" t="s">
        <v>51</v>
      </c>
      <c r="AA260" s="74" t="s">
        <v>781</v>
      </c>
      <c r="AB260" s="64">
        <v>2025</v>
      </c>
      <c r="AC260" s="64" t="s">
        <v>106</v>
      </c>
      <c r="AD260" s="80" t="e">
        <f>+BORDRO!#REF!</f>
        <v>#REF!</v>
      </c>
      <c r="AE260" s="75"/>
      <c r="AF260" s="75" t="e">
        <f>+BORDRO!#REF!</f>
        <v>#REF!</v>
      </c>
      <c r="AG260" s="75" t="e">
        <f>+BORDRO!#REF!</f>
        <v>#REF!</v>
      </c>
      <c r="AH260" s="80" t="e">
        <f>+BORDRO!#REF!</f>
        <v>#REF!</v>
      </c>
      <c r="AI260" s="75" t="e">
        <f>+BORDRO!#REF!</f>
        <v>#REF!</v>
      </c>
      <c r="AJ260" s="76" t="e">
        <f>+BORDRO!#REF!</f>
        <v>#REF!</v>
      </c>
    </row>
    <row r="261" spans="1:36" ht="13.8" x14ac:dyDescent="0.25">
      <c r="A261" s="64" t="s">
        <v>51</v>
      </c>
      <c r="B261" s="119">
        <v>46</v>
      </c>
      <c r="C261" s="64" t="s">
        <v>52</v>
      </c>
      <c r="D261" s="64" t="s">
        <v>53</v>
      </c>
      <c r="E261" s="64" t="s">
        <v>53</v>
      </c>
      <c r="F261" s="65">
        <v>1494768</v>
      </c>
      <c r="G261" s="66" t="s">
        <v>105</v>
      </c>
      <c r="H261" s="64" t="s">
        <v>54</v>
      </c>
      <c r="I261" s="78"/>
      <c r="J261" s="67" t="e">
        <f>+Puantaj!#REF!</f>
        <v>#REF!</v>
      </c>
      <c r="K261" s="64" t="e">
        <f>+Puantaj!#REF!</f>
        <v>#REF!</v>
      </c>
      <c r="L261" s="64" t="e">
        <f>+Puantaj!#REF!</f>
        <v>#REF!</v>
      </c>
      <c r="M261" s="68" t="e">
        <f>+BORDRO!#REF!</f>
        <v>#REF!</v>
      </c>
      <c r="N261" s="64"/>
      <c r="O261" s="79" t="e">
        <f>+BORDRO!#REF!</f>
        <v>#REF!</v>
      </c>
      <c r="P261" s="79">
        <v>0</v>
      </c>
      <c r="Q261" s="69"/>
      <c r="R261" s="69"/>
      <c r="S261" s="70"/>
      <c r="T261" s="70"/>
      <c r="U261" s="71"/>
      <c r="V261" s="72" t="e">
        <f t="shared" si="4"/>
        <v>#REF!</v>
      </c>
      <c r="W261" s="73">
        <v>6</v>
      </c>
      <c r="X261" s="81" t="s">
        <v>99</v>
      </c>
      <c r="Y261" s="65">
        <v>2</v>
      </c>
      <c r="Z261" s="64" t="s">
        <v>51</v>
      </c>
      <c r="AA261" s="74" t="s">
        <v>781</v>
      </c>
      <c r="AB261" s="64">
        <v>2025</v>
      </c>
      <c r="AC261" s="64" t="s">
        <v>106</v>
      </c>
      <c r="AD261" s="80" t="e">
        <f>+BORDRO!#REF!</f>
        <v>#REF!</v>
      </c>
      <c r="AE261" s="75"/>
      <c r="AF261" s="75" t="e">
        <f>+BORDRO!#REF!</f>
        <v>#REF!</v>
      </c>
      <c r="AG261" s="75" t="e">
        <f>+BORDRO!#REF!</f>
        <v>#REF!</v>
      </c>
      <c r="AH261" s="80" t="e">
        <f>+BORDRO!#REF!</f>
        <v>#REF!</v>
      </c>
      <c r="AI261" s="75" t="e">
        <f>+BORDRO!#REF!</f>
        <v>#REF!</v>
      </c>
      <c r="AJ261" s="76" t="e">
        <f>+BORDRO!#REF!</f>
        <v>#REF!</v>
      </c>
    </row>
    <row r="262" spans="1:36" ht="13.8" x14ac:dyDescent="0.25">
      <c r="A262" s="64" t="s">
        <v>51</v>
      </c>
      <c r="B262" s="120">
        <v>46</v>
      </c>
      <c r="C262" s="64" t="s">
        <v>52</v>
      </c>
      <c r="D262" s="64" t="s">
        <v>53</v>
      </c>
      <c r="E262" s="64" t="s">
        <v>53</v>
      </c>
      <c r="F262" s="65">
        <v>1494768</v>
      </c>
      <c r="G262" s="66" t="s">
        <v>105</v>
      </c>
      <c r="H262" s="64" t="s">
        <v>54</v>
      </c>
      <c r="I262" s="78"/>
      <c r="J262" s="67" t="e">
        <f>+Puantaj!#REF!</f>
        <v>#REF!</v>
      </c>
      <c r="K262" s="64" t="e">
        <f>+Puantaj!#REF!</f>
        <v>#REF!</v>
      </c>
      <c r="L262" s="64" t="e">
        <f>+Puantaj!#REF!</f>
        <v>#REF!</v>
      </c>
      <c r="M262" s="68" t="e">
        <f>+BORDRO!#REF!</f>
        <v>#REF!</v>
      </c>
      <c r="N262" s="64"/>
      <c r="O262" s="79" t="e">
        <f>+BORDRO!#REF!</f>
        <v>#REF!</v>
      </c>
      <c r="P262" s="79">
        <v>0</v>
      </c>
      <c r="Q262" s="69"/>
      <c r="R262" s="69"/>
      <c r="S262" s="70"/>
      <c r="T262" s="70"/>
      <c r="U262" s="71"/>
      <c r="V262" s="72" t="e">
        <f t="shared" si="4"/>
        <v>#REF!</v>
      </c>
      <c r="W262" s="73">
        <v>6</v>
      </c>
      <c r="X262" s="81" t="s">
        <v>99</v>
      </c>
      <c r="Y262" s="65">
        <v>2</v>
      </c>
      <c r="Z262" s="64" t="s">
        <v>51</v>
      </c>
      <c r="AA262" s="74" t="s">
        <v>781</v>
      </c>
      <c r="AB262" s="64">
        <v>2025</v>
      </c>
      <c r="AC262" s="64" t="s">
        <v>106</v>
      </c>
      <c r="AD262" s="80" t="e">
        <f>+BORDRO!#REF!</f>
        <v>#REF!</v>
      </c>
      <c r="AE262" s="75"/>
      <c r="AF262" s="75" t="e">
        <f>+BORDRO!#REF!</f>
        <v>#REF!</v>
      </c>
      <c r="AG262" s="75" t="e">
        <f>+BORDRO!#REF!</f>
        <v>#REF!</v>
      </c>
      <c r="AH262" s="80" t="e">
        <f>+BORDRO!#REF!</f>
        <v>#REF!</v>
      </c>
      <c r="AI262" s="75" t="e">
        <f>+BORDRO!#REF!</f>
        <v>#REF!</v>
      </c>
      <c r="AJ262" s="76" t="e">
        <f>+BORDRO!#REF!</f>
        <v>#REF!</v>
      </c>
    </row>
    <row r="263" spans="1:36" ht="13.8" x14ac:dyDescent="0.25">
      <c r="A263" s="64" t="s">
        <v>51</v>
      </c>
      <c r="B263" s="119">
        <v>46</v>
      </c>
      <c r="C263" s="64" t="s">
        <v>52</v>
      </c>
      <c r="D263" s="64" t="s">
        <v>53</v>
      </c>
      <c r="E263" s="64" t="s">
        <v>53</v>
      </c>
      <c r="F263" s="65">
        <v>1494768</v>
      </c>
      <c r="G263" s="66" t="s">
        <v>105</v>
      </c>
      <c r="H263" s="64" t="s">
        <v>54</v>
      </c>
      <c r="I263" s="78"/>
      <c r="J263" s="67" t="e">
        <f>+Puantaj!#REF!</f>
        <v>#REF!</v>
      </c>
      <c r="K263" s="64" t="e">
        <f>+Puantaj!#REF!</f>
        <v>#REF!</v>
      </c>
      <c r="L263" s="64" t="e">
        <f>+Puantaj!#REF!</f>
        <v>#REF!</v>
      </c>
      <c r="M263" s="68" t="e">
        <f>+BORDRO!#REF!</f>
        <v>#REF!</v>
      </c>
      <c r="N263" s="64"/>
      <c r="O263" s="79" t="e">
        <f>+BORDRO!#REF!</f>
        <v>#REF!</v>
      </c>
      <c r="P263" s="79">
        <v>0</v>
      </c>
      <c r="Q263" s="69"/>
      <c r="R263" s="69"/>
      <c r="S263" s="70"/>
      <c r="T263" s="70"/>
      <c r="U263" s="71"/>
      <c r="V263" s="72" t="e">
        <f t="shared" si="4"/>
        <v>#REF!</v>
      </c>
      <c r="W263" s="73">
        <v>6</v>
      </c>
      <c r="X263" s="81" t="s">
        <v>99</v>
      </c>
      <c r="Y263" s="65">
        <v>2</v>
      </c>
      <c r="Z263" s="64" t="s">
        <v>51</v>
      </c>
      <c r="AA263" s="74" t="s">
        <v>781</v>
      </c>
      <c r="AB263" s="64">
        <v>2025</v>
      </c>
      <c r="AC263" s="64" t="s">
        <v>106</v>
      </c>
      <c r="AD263" s="80" t="e">
        <f>+BORDRO!#REF!</f>
        <v>#REF!</v>
      </c>
      <c r="AE263" s="75"/>
      <c r="AF263" s="75" t="e">
        <f>+BORDRO!#REF!</f>
        <v>#REF!</v>
      </c>
      <c r="AG263" s="75" t="e">
        <f>+BORDRO!#REF!</f>
        <v>#REF!</v>
      </c>
      <c r="AH263" s="80" t="e">
        <f>+BORDRO!#REF!</f>
        <v>#REF!</v>
      </c>
      <c r="AI263" s="75" t="e">
        <f>+BORDRO!#REF!</f>
        <v>#REF!</v>
      </c>
      <c r="AJ263" s="76" t="e">
        <f>+BORDRO!#REF!</f>
        <v>#REF!</v>
      </c>
    </row>
    <row r="264" spans="1:36" ht="13.8" x14ac:dyDescent="0.25">
      <c r="A264" s="64" t="s">
        <v>51</v>
      </c>
      <c r="B264" s="120">
        <v>46</v>
      </c>
      <c r="C264" s="64" t="s">
        <v>52</v>
      </c>
      <c r="D264" s="64" t="s">
        <v>53</v>
      </c>
      <c r="E264" s="64" t="s">
        <v>53</v>
      </c>
      <c r="F264" s="65">
        <v>1494768</v>
      </c>
      <c r="G264" s="66" t="s">
        <v>105</v>
      </c>
      <c r="H264" s="64" t="s">
        <v>54</v>
      </c>
      <c r="I264" s="78"/>
      <c r="J264" s="67" t="e">
        <f>+Puantaj!#REF!</f>
        <v>#REF!</v>
      </c>
      <c r="K264" s="64" t="e">
        <f>+Puantaj!#REF!</f>
        <v>#REF!</v>
      </c>
      <c r="L264" s="64" t="e">
        <f>+Puantaj!#REF!</f>
        <v>#REF!</v>
      </c>
      <c r="M264" s="68" t="e">
        <f>+BORDRO!#REF!</f>
        <v>#REF!</v>
      </c>
      <c r="N264" s="64"/>
      <c r="O264" s="79" t="e">
        <f>+BORDRO!#REF!</f>
        <v>#REF!</v>
      </c>
      <c r="P264" s="79">
        <v>0</v>
      </c>
      <c r="Q264" s="69"/>
      <c r="R264" s="69"/>
      <c r="S264" s="70"/>
      <c r="T264" s="70"/>
      <c r="U264" s="71"/>
      <c r="V264" s="72" t="e">
        <f t="shared" si="4"/>
        <v>#REF!</v>
      </c>
      <c r="W264" s="73">
        <v>6</v>
      </c>
      <c r="X264" s="81" t="s">
        <v>99</v>
      </c>
      <c r="Y264" s="65">
        <v>2</v>
      </c>
      <c r="Z264" s="64" t="s">
        <v>51</v>
      </c>
      <c r="AA264" s="74" t="s">
        <v>781</v>
      </c>
      <c r="AB264" s="64">
        <v>2025</v>
      </c>
      <c r="AC264" s="64" t="s">
        <v>106</v>
      </c>
      <c r="AD264" s="80" t="e">
        <f>+BORDRO!#REF!</f>
        <v>#REF!</v>
      </c>
      <c r="AE264" s="75"/>
      <c r="AF264" s="75" t="e">
        <f>+BORDRO!#REF!</f>
        <v>#REF!</v>
      </c>
      <c r="AG264" s="75" t="e">
        <f>+BORDRO!#REF!</f>
        <v>#REF!</v>
      </c>
      <c r="AH264" s="80" t="e">
        <f>+BORDRO!#REF!</f>
        <v>#REF!</v>
      </c>
      <c r="AI264" s="75" t="e">
        <f>+BORDRO!#REF!</f>
        <v>#REF!</v>
      </c>
      <c r="AJ264" s="76" t="e">
        <f>+BORDRO!#REF!</f>
        <v>#REF!</v>
      </c>
    </row>
    <row r="265" spans="1:36" ht="13.8" x14ac:dyDescent="0.25">
      <c r="A265" s="64" t="s">
        <v>51</v>
      </c>
      <c r="B265" s="119">
        <v>46</v>
      </c>
      <c r="C265" s="64" t="s">
        <v>52</v>
      </c>
      <c r="D265" s="64" t="s">
        <v>53</v>
      </c>
      <c r="E265" s="64" t="s">
        <v>53</v>
      </c>
      <c r="F265" s="65">
        <v>1494768</v>
      </c>
      <c r="G265" s="66" t="s">
        <v>105</v>
      </c>
      <c r="H265" s="64" t="s">
        <v>54</v>
      </c>
      <c r="I265" s="78"/>
      <c r="J265" s="67" t="e">
        <f>+Puantaj!#REF!</f>
        <v>#REF!</v>
      </c>
      <c r="K265" s="64" t="e">
        <f>+Puantaj!#REF!</f>
        <v>#REF!</v>
      </c>
      <c r="L265" s="64" t="e">
        <f>+Puantaj!#REF!</f>
        <v>#REF!</v>
      </c>
      <c r="M265" s="68" t="e">
        <f>+BORDRO!#REF!</f>
        <v>#REF!</v>
      </c>
      <c r="N265" s="64"/>
      <c r="O265" s="79" t="e">
        <f>+BORDRO!#REF!</f>
        <v>#REF!</v>
      </c>
      <c r="P265" s="79">
        <v>0</v>
      </c>
      <c r="Q265" s="69"/>
      <c r="R265" s="69"/>
      <c r="S265" s="70"/>
      <c r="T265" s="70"/>
      <c r="U265" s="71"/>
      <c r="V265" s="72" t="e">
        <f t="shared" si="4"/>
        <v>#REF!</v>
      </c>
      <c r="W265" s="73">
        <v>6</v>
      </c>
      <c r="X265" s="81" t="s">
        <v>99</v>
      </c>
      <c r="Y265" s="65">
        <v>2</v>
      </c>
      <c r="Z265" s="64" t="s">
        <v>51</v>
      </c>
      <c r="AA265" s="74" t="s">
        <v>781</v>
      </c>
      <c r="AB265" s="64">
        <v>2025</v>
      </c>
      <c r="AC265" s="64" t="s">
        <v>106</v>
      </c>
      <c r="AD265" s="80" t="e">
        <f>+BORDRO!#REF!</f>
        <v>#REF!</v>
      </c>
      <c r="AE265" s="75"/>
      <c r="AF265" s="75" t="e">
        <f>+BORDRO!#REF!</f>
        <v>#REF!</v>
      </c>
      <c r="AG265" s="75" t="e">
        <f>+BORDRO!#REF!</f>
        <v>#REF!</v>
      </c>
      <c r="AH265" s="80" t="e">
        <f>+BORDRO!#REF!</f>
        <v>#REF!</v>
      </c>
      <c r="AI265" s="75" t="e">
        <f>+BORDRO!#REF!</f>
        <v>#REF!</v>
      </c>
      <c r="AJ265" s="76" t="e">
        <f>+BORDRO!#REF!</f>
        <v>#REF!</v>
      </c>
    </row>
    <row r="266" spans="1:36" ht="13.8" x14ac:dyDescent="0.25">
      <c r="A266" s="64" t="s">
        <v>51</v>
      </c>
      <c r="B266" s="120">
        <v>46</v>
      </c>
      <c r="C266" s="64" t="s">
        <v>52</v>
      </c>
      <c r="D266" s="64" t="s">
        <v>53</v>
      </c>
      <c r="E266" s="64" t="s">
        <v>53</v>
      </c>
      <c r="F266" s="65">
        <v>1494768</v>
      </c>
      <c r="G266" s="66" t="s">
        <v>105</v>
      </c>
      <c r="H266" s="64" t="s">
        <v>54</v>
      </c>
      <c r="I266" s="78"/>
      <c r="J266" s="67" t="e">
        <f>+Puantaj!#REF!</f>
        <v>#REF!</v>
      </c>
      <c r="K266" s="64" t="e">
        <f>+Puantaj!#REF!</f>
        <v>#REF!</v>
      </c>
      <c r="L266" s="64" t="e">
        <f>+Puantaj!#REF!</f>
        <v>#REF!</v>
      </c>
      <c r="M266" s="68" t="e">
        <f>+BORDRO!#REF!</f>
        <v>#REF!</v>
      </c>
      <c r="N266" s="64"/>
      <c r="O266" s="79" t="e">
        <f>+BORDRO!#REF!</f>
        <v>#REF!</v>
      </c>
      <c r="P266" s="79">
        <v>0</v>
      </c>
      <c r="Q266" s="69"/>
      <c r="R266" s="69"/>
      <c r="S266" s="70"/>
      <c r="T266" s="70"/>
      <c r="U266" s="71"/>
      <c r="V266" s="72" t="e">
        <f t="shared" si="4"/>
        <v>#REF!</v>
      </c>
      <c r="W266" s="73">
        <v>6</v>
      </c>
      <c r="X266" s="81" t="s">
        <v>99</v>
      </c>
      <c r="Y266" s="65">
        <v>2</v>
      </c>
      <c r="Z266" s="64" t="s">
        <v>51</v>
      </c>
      <c r="AA266" s="74" t="s">
        <v>781</v>
      </c>
      <c r="AB266" s="64">
        <v>2025</v>
      </c>
      <c r="AC266" s="64" t="s">
        <v>106</v>
      </c>
      <c r="AD266" s="80" t="e">
        <f>+BORDRO!#REF!</f>
        <v>#REF!</v>
      </c>
      <c r="AE266" s="75"/>
      <c r="AF266" s="75" t="e">
        <f>+BORDRO!#REF!</f>
        <v>#REF!</v>
      </c>
      <c r="AG266" s="75" t="e">
        <f>+BORDRO!#REF!</f>
        <v>#REF!</v>
      </c>
      <c r="AH266" s="80" t="e">
        <f>+BORDRO!#REF!</f>
        <v>#REF!</v>
      </c>
      <c r="AI266" s="75" t="e">
        <f>+BORDRO!#REF!</f>
        <v>#REF!</v>
      </c>
      <c r="AJ266" s="76" t="e">
        <f>+BORDRO!#REF!</f>
        <v>#REF!</v>
      </c>
    </row>
    <row r="267" spans="1:36" ht="13.8" x14ac:dyDescent="0.25">
      <c r="A267" s="64" t="s">
        <v>51</v>
      </c>
      <c r="B267" s="119">
        <v>46</v>
      </c>
      <c r="C267" s="64" t="s">
        <v>52</v>
      </c>
      <c r="D267" s="64" t="s">
        <v>53</v>
      </c>
      <c r="E267" s="64" t="s">
        <v>53</v>
      </c>
      <c r="F267" s="65">
        <v>1494768</v>
      </c>
      <c r="G267" s="66" t="s">
        <v>105</v>
      </c>
      <c r="H267" s="64" t="s">
        <v>54</v>
      </c>
      <c r="I267" s="78"/>
      <c r="J267" s="67" t="e">
        <f>+Puantaj!#REF!</f>
        <v>#REF!</v>
      </c>
      <c r="K267" s="64" t="e">
        <f>+Puantaj!#REF!</f>
        <v>#REF!</v>
      </c>
      <c r="L267" s="64" t="e">
        <f>+Puantaj!#REF!</f>
        <v>#REF!</v>
      </c>
      <c r="M267" s="68" t="e">
        <f>+BORDRO!#REF!</f>
        <v>#REF!</v>
      </c>
      <c r="N267" s="64"/>
      <c r="O267" s="79" t="e">
        <f>+BORDRO!#REF!</f>
        <v>#REF!</v>
      </c>
      <c r="P267" s="79">
        <v>0</v>
      </c>
      <c r="Q267" s="69"/>
      <c r="R267" s="69"/>
      <c r="S267" s="70"/>
      <c r="T267" s="70"/>
      <c r="U267" s="71"/>
      <c r="V267" s="72" t="e">
        <f t="shared" si="4"/>
        <v>#REF!</v>
      </c>
      <c r="W267" s="73">
        <v>6</v>
      </c>
      <c r="X267" s="81" t="s">
        <v>99</v>
      </c>
      <c r="Y267" s="65">
        <v>2</v>
      </c>
      <c r="Z267" s="64" t="s">
        <v>51</v>
      </c>
      <c r="AA267" s="74" t="s">
        <v>781</v>
      </c>
      <c r="AB267" s="64">
        <v>2025</v>
      </c>
      <c r="AC267" s="64" t="s">
        <v>106</v>
      </c>
      <c r="AD267" s="80" t="e">
        <f>+BORDRO!#REF!</f>
        <v>#REF!</v>
      </c>
      <c r="AE267" s="75"/>
      <c r="AF267" s="75" t="e">
        <f>+BORDRO!#REF!</f>
        <v>#REF!</v>
      </c>
      <c r="AG267" s="75" t="e">
        <f>+BORDRO!#REF!</f>
        <v>#REF!</v>
      </c>
      <c r="AH267" s="80" t="e">
        <f>+BORDRO!#REF!</f>
        <v>#REF!</v>
      </c>
      <c r="AI267" s="75" t="e">
        <f>+BORDRO!#REF!</f>
        <v>#REF!</v>
      </c>
      <c r="AJ267" s="76" t="e">
        <f>+BORDRO!#REF!</f>
        <v>#REF!</v>
      </c>
    </row>
    <row r="268" spans="1:36" ht="13.8" x14ac:dyDescent="0.25">
      <c r="A268" s="64" t="s">
        <v>51</v>
      </c>
      <c r="B268" s="120">
        <v>46</v>
      </c>
      <c r="C268" s="64" t="s">
        <v>52</v>
      </c>
      <c r="D268" s="64" t="s">
        <v>53</v>
      </c>
      <c r="E268" s="64" t="s">
        <v>53</v>
      </c>
      <c r="F268" s="65">
        <v>1494768</v>
      </c>
      <c r="G268" s="66" t="s">
        <v>105</v>
      </c>
      <c r="H268" s="64" t="s">
        <v>54</v>
      </c>
      <c r="I268" s="78"/>
      <c r="J268" s="67" t="e">
        <f>+Puantaj!#REF!</f>
        <v>#REF!</v>
      </c>
      <c r="K268" s="64" t="e">
        <f>+Puantaj!#REF!</f>
        <v>#REF!</v>
      </c>
      <c r="L268" s="64" t="e">
        <f>+Puantaj!#REF!</f>
        <v>#REF!</v>
      </c>
      <c r="M268" s="68" t="e">
        <f>+BORDRO!#REF!</f>
        <v>#REF!</v>
      </c>
      <c r="N268" s="64"/>
      <c r="O268" s="79" t="e">
        <f>+BORDRO!#REF!</f>
        <v>#REF!</v>
      </c>
      <c r="P268" s="79">
        <v>0</v>
      </c>
      <c r="Q268" s="69"/>
      <c r="R268" s="69"/>
      <c r="S268" s="70"/>
      <c r="T268" s="70"/>
      <c r="U268" s="71"/>
      <c r="V268" s="72" t="e">
        <f t="shared" si="4"/>
        <v>#REF!</v>
      </c>
      <c r="W268" s="73">
        <v>6</v>
      </c>
      <c r="X268" s="81" t="s">
        <v>99</v>
      </c>
      <c r="Y268" s="65">
        <v>2</v>
      </c>
      <c r="Z268" s="64" t="s">
        <v>51</v>
      </c>
      <c r="AA268" s="74" t="s">
        <v>781</v>
      </c>
      <c r="AB268" s="64">
        <v>2025</v>
      </c>
      <c r="AC268" s="64" t="s">
        <v>106</v>
      </c>
      <c r="AD268" s="80" t="e">
        <f>+BORDRO!#REF!</f>
        <v>#REF!</v>
      </c>
      <c r="AE268" s="75"/>
      <c r="AF268" s="75" t="e">
        <f>+BORDRO!#REF!</f>
        <v>#REF!</v>
      </c>
      <c r="AG268" s="75" t="e">
        <f>+BORDRO!#REF!</f>
        <v>#REF!</v>
      </c>
      <c r="AH268" s="80" t="e">
        <f>+BORDRO!#REF!</f>
        <v>#REF!</v>
      </c>
      <c r="AI268" s="75" t="e">
        <f>+BORDRO!#REF!</f>
        <v>#REF!</v>
      </c>
      <c r="AJ268" s="76" t="e">
        <f>+BORDRO!#REF!</f>
        <v>#REF!</v>
      </c>
    </row>
    <row r="269" spans="1:36" ht="13.8" x14ac:dyDescent="0.25">
      <c r="A269" s="64" t="s">
        <v>51</v>
      </c>
      <c r="B269" s="119">
        <v>46</v>
      </c>
      <c r="C269" s="64" t="s">
        <v>52</v>
      </c>
      <c r="D269" s="64" t="s">
        <v>53</v>
      </c>
      <c r="E269" s="64" t="s">
        <v>53</v>
      </c>
      <c r="F269" s="65">
        <v>1494768</v>
      </c>
      <c r="G269" s="66" t="s">
        <v>105</v>
      </c>
      <c r="H269" s="64" t="s">
        <v>54</v>
      </c>
      <c r="I269" s="78"/>
      <c r="J269" s="67" t="e">
        <f>+Puantaj!#REF!</f>
        <v>#REF!</v>
      </c>
      <c r="K269" s="64" t="e">
        <f>+Puantaj!#REF!</f>
        <v>#REF!</v>
      </c>
      <c r="L269" s="64" t="e">
        <f>+Puantaj!#REF!</f>
        <v>#REF!</v>
      </c>
      <c r="M269" s="68" t="e">
        <f>+BORDRO!#REF!</f>
        <v>#REF!</v>
      </c>
      <c r="N269" s="64"/>
      <c r="O269" s="79" t="e">
        <f>+BORDRO!#REF!</f>
        <v>#REF!</v>
      </c>
      <c r="P269" s="79">
        <v>0</v>
      </c>
      <c r="Q269" s="69"/>
      <c r="R269" s="69"/>
      <c r="S269" s="70"/>
      <c r="T269" s="70"/>
      <c r="U269" s="71"/>
      <c r="V269" s="72" t="e">
        <f t="shared" si="4"/>
        <v>#REF!</v>
      </c>
      <c r="W269" s="73">
        <v>6</v>
      </c>
      <c r="X269" s="81" t="s">
        <v>99</v>
      </c>
      <c r="Y269" s="65">
        <v>2</v>
      </c>
      <c r="Z269" s="64" t="s">
        <v>51</v>
      </c>
      <c r="AA269" s="74" t="s">
        <v>781</v>
      </c>
      <c r="AB269" s="64">
        <v>2025</v>
      </c>
      <c r="AC269" s="64" t="s">
        <v>106</v>
      </c>
      <c r="AD269" s="80" t="e">
        <f>+BORDRO!#REF!</f>
        <v>#REF!</v>
      </c>
      <c r="AE269" s="75"/>
      <c r="AF269" s="75" t="e">
        <f>+BORDRO!#REF!</f>
        <v>#REF!</v>
      </c>
      <c r="AG269" s="75" t="e">
        <f>+BORDRO!#REF!</f>
        <v>#REF!</v>
      </c>
      <c r="AH269" s="80" t="e">
        <f>+BORDRO!#REF!</f>
        <v>#REF!</v>
      </c>
      <c r="AI269" s="75" t="e">
        <f>+BORDRO!#REF!</f>
        <v>#REF!</v>
      </c>
      <c r="AJ269" s="76" t="e">
        <f>+BORDRO!#REF!</f>
        <v>#REF!</v>
      </c>
    </row>
    <row r="270" spans="1:36" ht="13.8" x14ac:dyDescent="0.25">
      <c r="A270" s="64" t="s">
        <v>51</v>
      </c>
      <c r="B270" s="120">
        <v>46</v>
      </c>
      <c r="C270" s="64" t="s">
        <v>52</v>
      </c>
      <c r="D270" s="64" t="s">
        <v>53</v>
      </c>
      <c r="E270" s="64" t="s">
        <v>53</v>
      </c>
      <c r="F270" s="65">
        <v>1494768</v>
      </c>
      <c r="G270" s="66" t="s">
        <v>105</v>
      </c>
      <c r="H270" s="64" t="s">
        <v>54</v>
      </c>
      <c r="I270" s="78"/>
      <c r="J270" s="67" t="e">
        <f>+Puantaj!#REF!</f>
        <v>#REF!</v>
      </c>
      <c r="K270" s="64" t="e">
        <f>+Puantaj!#REF!</f>
        <v>#REF!</v>
      </c>
      <c r="L270" s="64" t="e">
        <f>+Puantaj!#REF!</f>
        <v>#REF!</v>
      </c>
      <c r="M270" s="68" t="e">
        <f>+BORDRO!#REF!</f>
        <v>#REF!</v>
      </c>
      <c r="N270" s="64"/>
      <c r="O270" s="79" t="e">
        <f>+BORDRO!#REF!</f>
        <v>#REF!</v>
      </c>
      <c r="P270" s="79">
        <v>0</v>
      </c>
      <c r="Q270" s="69"/>
      <c r="R270" s="69"/>
      <c r="S270" s="70"/>
      <c r="T270" s="70"/>
      <c r="U270" s="71"/>
      <c r="V270" s="72" t="e">
        <f t="shared" si="4"/>
        <v>#REF!</v>
      </c>
      <c r="W270" s="73">
        <v>6</v>
      </c>
      <c r="X270" s="81" t="s">
        <v>99</v>
      </c>
      <c r="Y270" s="65">
        <v>2</v>
      </c>
      <c r="Z270" s="64" t="s">
        <v>51</v>
      </c>
      <c r="AA270" s="74" t="s">
        <v>781</v>
      </c>
      <c r="AB270" s="64">
        <v>2025</v>
      </c>
      <c r="AC270" s="64" t="s">
        <v>106</v>
      </c>
      <c r="AD270" s="80" t="e">
        <f>+BORDRO!#REF!</f>
        <v>#REF!</v>
      </c>
      <c r="AE270" s="75"/>
      <c r="AF270" s="75" t="e">
        <f>+BORDRO!#REF!</f>
        <v>#REF!</v>
      </c>
      <c r="AG270" s="75" t="e">
        <f>+BORDRO!#REF!</f>
        <v>#REF!</v>
      </c>
      <c r="AH270" s="80" t="e">
        <f>+BORDRO!#REF!</f>
        <v>#REF!</v>
      </c>
      <c r="AI270" s="75" t="e">
        <f>+BORDRO!#REF!</f>
        <v>#REF!</v>
      </c>
      <c r="AJ270" s="76" t="e">
        <f>+BORDRO!#REF!</f>
        <v>#REF!</v>
      </c>
    </row>
    <row r="271" spans="1:36" ht="13.8" x14ac:dyDescent="0.25">
      <c r="A271" s="64" t="s">
        <v>51</v>
      </c>
      <c r="B271" s="119">
        <v>46</v>
      </c>
      <c r="C271" s="64" t="s">
        <v>52</v>
      </c>
      <c r="D271" s="64" t="s">
        <v>53</v>
      </c>
      <c r="E271" s="64" t="s">
        <v>53</v>
      </c>
      <c r="F271" s="65">
        <v>1494768</v>
      </c>
      <c r="G271" s="66" t="s">
        <v>105</v>
      </c>
      <c r="H271" s="64" t="s">
        <v>54</v>
      </c>
      <c r="I271" s="78"/>
      <c r="J271" s="67" t="e">
        <f>+Puantaj!#REF!</f>
        <v>#REF!</v>
      </c>
      <c r="K271" s="64" t="e">
        <f>+Puantaj!#REF!</f>
        <v>#REF!</v>
      </c>
      <c r="L271" s="64" t="e">
        <f>+Puantaj!#REF!</f>
        <v>#REF!</v>
      </c>
      <c r="M271" s="68" t="e">
        <f>+BORDRO!#REF!</f>
        <v>#REF!</v>
      </c>
      <c r="N271" s="64"/>
      <c r="O271" s="79" t="e">
        <f>+BORDRO!#REF!</f>
        <v>#REF!</v>
      </c>
      <c r="P271" s="79">
        <v>0</v>
      </c>
      <c r="Q271" s="69"/>
      <c r="R271" s="69"/>
      <c r="S271" s="70"/>
      <c r="T271" s="70"/>
      <c r="U271" s="71"/>
      <c r="V271" s="72" t="e">
        <f t="shared" si="4"/>
        <v>#REF!</v>
      </c>
      <c r="W271" s="73">
        <v>6</v>
      </c>
      <c r="X271" s="81" t="s">
        <v>99</v>
      </c>
      <c r="Y271" s="65">
        <v>2</v>
      </c>
      <c r="Z271" s="64" t="s">
        <v>51</v>
      </c>
      <c r="AA271" s="74" t="s">
        <v>781</v>
      </c>
      <c r="AB271" s="64">
        <v>2025</v>
      </c>
      <c r="AC271" s="64" t="s">
        <v>106</v>
      </c>
      <c r="AD271" s="80" t="e">
        <f>+BORDRO!#REF!</f>
        <v>#REF!</v>
      </c>
      <c r="AE271" s="75"/>
      <c r="AF271" s="75" t="e">
        <f>+BORDRO!#REF!</f>
        <v>#REF!</v>
      </c>
      <c r="AG271" s="75" t="e">
        <f>+BORDRO!#REF!</f>
        <v>#REF!</v>
      </c>
      <c r="AH271" s="80" t="e">
        <f>+BORDRO!#REF!</f>
        <v>#REF!</v>
      </c>
      <c r="AI271" s="75" t="e">
        <f>+BORDRO!#REF!</f>
        <v>#REF!</v>
      </c>
      <c r="AJ271" s="76" t="e">
        <f>+BORDRO!#REF!</f>
        <v>#REF!</v>
      </c>
    </row>
    <row r="272" spans="1:36" ht="13.8" x14ac:dyDescent="0.25">
      <c r="A272" s="64" t="s">
        <v>51</v>
      </c>
      <c r="B272" s="120">
        <v>46</v>
      </c>
      <c r="C272" s="64" t="s">
        <v>52</v>
      </c>
      <c r="D272" s="64" t="s">
        <v>53</v>
      </c>
      <c r="E272" s="64" t="s">
        <v>53</v>
      </c>
      <c r="F272" s="65">
        <v>1494768</v>
      </c>
      <c r="G272" s="66" t="s">
        <v>105</v>
      </c>
      <c r="H272" s="64" t="s">
        <v>54</v>
      </c>
      <c r="I272" s="78"/>
      <c r="J272" s="67" t="e">
        <f>+Puantaj!#REF!</f>
        <v>#REF!</v>
      </c>
      <c r="K272" s="64" t="e">
        <f>+Puantaj!#REF!</f>
        <v>#REF!</v>
      </c>
      <c r="L272" s="64" t="e">
        <f>+Puantaj!#REF!</f>
        <v>#REF!</v>
      </c>
      <c r="M272" s="68" t="e">
        <f>+BORDRO!#REF!</f>
        <v>#REF!</v>
      </c>
      <c r="N272" s="64"/>
      <c r="O272" s="79" t="e">
        <f>+BORDRO!#REF!</f>
        <v>#REF!</v>
      </c>
      <c r="P272" s="79">
        <v>0</v>
      </c>
      <c r="Q272" s="69"/>
      <c r="R272" s="69"/>
      <c r="S272" s="70"/>
      <c r="T272" s="70"/>
      <c r="U272" s="71"/>
      <c r="V272" s="72" t="e">
        <f t="shared" si="4"/>
        <v>#REF!</v>
      </c>
      <c r="W272" s="73">
        <v>6</v>
      </c>
      <c r="X272" s="81" t="s">
        <v>99</v>
      </c>
      <c r="Y272" s="65">
        <v>2</v>
      </c>
      <c r="Z272" s="64" t="s">
        <v>51</v>
      </c>
      <c r="AA272" s="74" t="s">
        <v>781</v>
      </c>
      <c r="AB272" s="64">
        <v>2025</v>
      </c>
      <c r="AC272" s="64" t="s">
        <v>106</v>
      </c>
      <c r="AD272" s="80" t="e">
        <f>+BORDRO!#REF!</f>
        <v>#REF!</v>
      </c>
      <c r="AE272" s="75"/>
      <c r="AF272" s="75" t="e">
        <f>+BORDRO!#REF!</f>
        <v>#REF!</v>
      </c>
      <c r="AG272" s="75" t="e">
        <f>+BORDRO!#REF!</f>
        <v>#REF!</v>
      </c>
      <c r="AH272" s="80" t="e">
        <f>+BORDRO!#REF!</f>
        <v>#REF!</v>
      </c>
      <c r="AI272" s="75" t="e">
        <f>+BORDRO!#REF!</f>
        <v>#REF!</v>
      </c>
      <c r="AJ272" s="76" t="e">
        <f>+BORDRO!#REF!</f>
        <v>#REF!</v>
      </c>
    </row>
    <row r="273" spans="1:36" ht="13.8" x14ac:dyDescent="0.25">
      <c r="A273" s="64" t="s">
        <v>51</v>
      </c>
      <c r="B273" s="119">
        <v>46</v>
      </c>
      <c r="C273" s="64" t="s">
        <v>52</v>
      </c>
      <c r="D273" s="64" t="s">
        <v>53</v>
      </c>
      <c r="E273" s="64" t="s">
        <v>53</v>
      </c>
      <c r="F273" s="65">
        <v>1494768</v>
      </c>
      <c r="G273" s="66" t="s">
        <v>105</v>
      </c>
      <c r="H273" s="64" t="s">
        <v>54</v>
      </c>
      <c r="I273" s="78"/>
      <c r="J273" s="67" t="e">
        <f>+Puantaj!#REF!</f>
        <v>#REF!</v>
      </c>
      <c r="K273" s="64" t="e">
        <f>+Puantaj!#REF!</f>
        <v>#REF!</v>
      </c>
      <c r="L273" s="64" t="e">
        <f>+Puantaj!#REF!</f>
        <v>#REF!</v>
      </c>
      <c r="M273" s="68" t="e">
        <f>+BORDRO!#REF!</f>
        <v>#REF!</v>
      </c>
      <c r="N273" s="64"/>
      <c r="O273" s="79" t="e">
        <f>+BORDRO!#REF!</f>
        <v>#REF!</v>
      </c>
      <c r="P273" s="79">
        <v>0</v>
      </c>
      <c r="Q273" s="69"/>
      <c r="R273" s="69"/>
      <c r="S273" s="70"/>
      <c r="T273" s="70"/>
      <c r="U273" s="71"/>
      <c r="V273" s="72" t="e">
        <f t="shared" si="4"/>
        <v>#REF!</v>
      </c>
      <c r="W273" s="73">
        <v>6</v>
      </c>
      <c r="X273" s="81" t="s">
        <v>99</v>
      </c>
      <c r="Y273" s="65">
        <v>2</v>
      </c>
      <c r="Z273" s="64" t="s">
        <v>51</v>
      </c>
      <c r="AA273" s="74" t="s">
        <v>781</v>
      </c>
      <c r="AB273" s="64">
        <v>2025</v>
      </c>
      <c r="AC273" s="64" t="s">
        <v>106</v>
      </c>
      <c r="AD273" s="80" t="e">
        <f>+BORDRO!#REF!</f>
        <v>#REF!</v>
      </c>
      <c r="AE273" s="75"/>
      <c r="AF273" s="75" t="e">
        <f>+BORDRO!#REF!</f>
        <v>#REF!</v>
      </c>
      <c r="AG273" s="75" t="e">
        <f>+BORDRO!#REF!</f>
        <v>#REF!</v>
      </c>
      <c r="AH273" s="80" t="e">
        <f>+BORDRO!#REF!</f>
        <v>#REF!</v>
      </c>
      <c r="AI273" s="75" t="e">
        <f>+BORDRO!#REF!</f>
        <v>#REF!</v>
      </c>
      <c r="AJ273" s="76" t="e">
        <f>+BORDRO!#REF!</f>
        <v>#REF!</v>
      </c>
    </row>
    <row r="274" spans="1:36" ht="13.8" x14ac:dyDescent="0.25">
      <c r="A274" s="64" t="s">
        <v>51</v>
      </c>
      <c r="B274" s="120">
        <v>46</v>
      </c>
      <c r="C274" s="64" t="s">
        <v>52</v>
      </c>
      <c r="D274" s="64" t="s">
        <v>53</v>
      </c>
      <c r="E274" s="64" t="s">
        <v>53</v>
      </c>
      <c r="F274" s="65">
        <v>1494768</v>
      </c>
      <c r="G274" s="66" t="s">
        <v>105</v>
      </c>
      <c r="H274" s="64" t="s">
        <v>54</v>
      </c>
      <c r="I274" s="78"/>
      <c r="J274" s="67" t="e">
        <f>+Puantaj!#REF!</f>
        <v>#REF!</v>
      </c>
      <c r="K274" s="64" t="e">
        <f>+Puantaj!#REF!</f>
        <v>#REF!</v>
      </c>
      <c r="L274" s="64" t="e">
        <f>+Puantaj!#REF!</f>
        <v>#REF!</v>
      </c>
      <c r="M274" s="68" t="e">
        <f>+BORDRO!#REF!</f>
        <v>#REF!</v>
      </c>
      <c r="N274" s="64"/>
      <c r="O274" s="79" t="e">
        <f>+BORDRO!#REF!</f>
        <v>#REF!</v>
      </c>
      <c r="P274" s="79">
        <v>0</v>
      </c>
      <c r="Q274" s="69"/>
      <c r="R274" s="69"/>
      <c r="S274" s="70"/>
      <c r="T274" s="70"/>
      <c r="U274" s="71"/>
      <c r="V274" s="72" t="e">
        <f t="shared" si="4"/>
        <v>#REF!</v>
      </c>
      <c r="W274" s="73">
        <v>6</v>
      </c>
      <c r="X274" s="81" t="s">
        <v>99</v>
      </c>
      <c r="Y274" s="65">
        <v>2</v>
      </c>
      <c r="Z274" s="64" t="s">
        <v>51</v>
      </c>
      <c r="AA274" s="74" t="s">
        <v>781</v>
      </c>
      <c r="AB274" s="64">
        <v>2025</v>
      </c>
      <c r="AC274" s="64" t="s">
        <v>106</v>
      </c>
      <c r="AD274" s="80" t="e">
        <f>+BORDRO!#REF!</f>
        <v>#REF!</v>
      </c>
      <c r="AE274" s="75"/>
      <c r="AF274" s="75" t="e">
        <f>+BORDRO!#REF!</f>
        <v>#REF!</v>
      </c>
      <c r="AG274" s="75" t="e">
        <f>+BORDRO!#REF!</f>
        <v>#REF!</v>
      </c>
      <c r="AH274" s="80" t="e">
        <f>+BORDRO!#REF!</f>
        <v>#REF!</v>
      </c>
      <c r="AI274" s="75" t="e">
        <f>+BORDRO!#REF!</f>
        <v>#REF!</v>
      </c>
      <c r="AJ274" s="76" t="e">
        <f>+BORDRO!#REF!</f>
        <v>#REF!</v>
      </c>
    </row>
    <row r="275" spans="1:36" ht="13.8" x14ac:dyDescent="0.25">
      <c r="A275" s="64" t="s">
        <v>51</v>
      </c>
      <c r="B275" s="119">
        <v>46</v>
      </c>
      <c r="C275" s="64" t="s">
        <v>52</v>
      </c>
      <c r="D275" s="64" t="s">
        <v>53</v>
      </c>
      <c r="E275" s="64" t="s">
        <v>53</v>
      </c>
      <c r="F275" s="65">
        <v>1494768</v>
      </c>
      <c r="G275" s="66" t="s">
        <v>105</v>
      </c>
      <c r="H275" s="64" t="s">
        <v>54</v>
      </c>
      <c r="I275" s="78"/>
      <c r="J275" s="67" t="e">
        <f>+Puantaj!#REF!</f>
        <v>#REF!</v>
      </c>
      <c r="K275" s="64" t="e">
        <f>+Puantaj!#REF!</f>
        <v>#REF!</v>
      </c>
      <c r="L275" s="64" t="e">
        <f>+Puantaj!#REF!</f>
        <v>#REF!</v>
      </c>
      <c r="M275" s="68" t="e">
        <f>+BORDRO!#REF!</f>
        <v>#REF!</v>
      </c>
      <c r="N275" s="64"/>
      <c r="O275" s="79" t="e">
        <f>+BORDRO!#REF!</f>
        <v>#REF!</v>
      </c>
      <c r="P275" s="79">
        <v>0</v>
      </c>
      <c r="Q275" s="69"/>
      <c r="R275" s="69"/>
      <c r="S275" s="70"/>
      <c r="T275" s="70"/>
      <c r="U275" s="71"/>
      <c r="V275" s="72" t="e">
        <f t="shared" si="4"/>
        <v>#REF!</v>
      </c>
      <c r="W275" s="73">
        <v>6</v>
      </c>
      <c r="X275" s="81" t="s">
        <v>99</v>
      </c>
      <c r="Y275" s="65">
        <v>2</v>
      </c>
      <c r="Z275" s="64" t="s">
        <v>51</v>
      </c>
      <c r="AA275" s="74" t="s">
        <v>781</v>
      </c>
      <c r="AB275" s="64">
        <v>2025</v>
      </c>
      <c r="AC275" s="64" t="s">
        <v>106</v>
      </c>
      <c r="AD275" s="80" t="e">
        <f>+BORDRO!#REF!</f>
        <v>#REF!</v>
      </c>
      <c r="AE275" s="75"/>
      <c r="AF275" s="75" t="e">
        <f>+BORDRO!#REF!</f>
        <v>#REF!</v>
      </c>
      <c r="AG275" s="75" t="e">
        <f>+BORDRO!#REF!</f>
        <v>#REF!</v>
      </c>
      <c r="AH275" s="80" t="e">
        <f>+BORDRO!#REF!</f>
        <v>#REF!</v>
      </c>
      <c r="AI275" s="75" t="e">
        <f>+BORDRO!#REF!</f>
        <v>#REF!</v>
      </c>
      <c r="AJ275" s="76" t="e">
        <f>+BORDRO!#REF!</f>
        <v>#REF!</v>
      </c>
    </row>
    <row r="276" spans="1:36" ht="13.8" x14ac:dyDescent="0.25">
      <c r="A276" s="64" t="s">
        <v>51</v>
      </c>
      <c r="B276" s="120">
        <v>46</v>
      </c>
      <c r="C276" s="64" t="s">
        <v>52</v>
      </c>
      <c r="D276" s="64" t="s">
        <v>53</v>
      </c>
      <c r="E276" s="64" t="s">
        <v>53</v>
      </c>
      <c r="F276" s="65">
        <v>1494768</v>
      </c>
      <c r="G276" s="66" t="s">
        <v>105</v>
      </c>
      <c r="H276" s="64" t="s">
        <v>54</v>
      </c>
      <c r="I276" s="78"/>
      <c r="J276" s="67" t="e">
        <f>+Puantaj!#REF!</f>
        <v>#REF!</v>
      </c>
      <c r="K276" s="64" t="e">
        <f>+Puantaj!#REF!</f>
        <v>#REF!</v>
      </c>
      <c r="L276" s="64" t="e">
        <f>+Puantaj!#REF!</f>
        <v>#REF!</v>
      </c>
      <c r="M276" s="68" t="e">
        <f>+BORDRO!#REF!</f>
        <v>#REF!</v>
      </c>
      <c r="N276" s="64"/>
      <c r="O276" s="79" t="e">
        <f>+BORDRO!#REF!</f>
        <v>#REF!</v>
      </c>
      <c r="P276" s="79">
        <v>0</v>
      </c>
      <c r="Q276" s="69"/>
      <c r="R276" s="69"/>
      <c r="S276" s="70"/>
      <c r="T276" s="70"/>
      <c r="U276" s="71"/>
      <c r="V276" s="72" t="e">
        <f t="shared" si="4"/>
        <v>#REF!</v>
      </c>
      <c r="W276" s="73">
        <v>6</v>
      </c>
      <c r="X276" s="81" t="s">
        <v>99</v>
      </c>
      <c r="Y276" s="65">
        <v>2</v>
      </c>
      <c r="Z276" s="64" t="s">
        <v>51</v>
      </c>
      <c r="AA276" s="74" t="s">
        <v>781</v>
      </c>
      <c r="AB276" s="64">
        <v>2025</v>
      </c>
      <c r="AC276" s="64" t="s">
        <v>106</v>
      </c>
      <c r="AD276" s="80" t="e">
        <f>+BORDRO!#REF!</f>
        <v>#REF!</v>
      </c>
      <c r="AE276" s="75"/>
      <c r="AF276" s="75" t="e">
        <f>+BORDRO!#REF!</f>
        <v>#REF!</v>
      </c>
      <c r="AG276" s="75" t="e">
        <f>+BORDRO!#REF!</f>
        <v>#REF!</v>
      </c>
      <c r="AH276" s="80" t="e">
        <f>+BORDRO!#REF!</f>
        <v>#REF!</v>
      </c>
      <c r="AI276" s="75" t="e">
        <f>+BORDRO!#REF!</f>
        <v>#REF!</v>
      </c>
      <c r="AJ276" s="76" t="e">
        <f>+BORDRO!#REF!</f>
        <v>#REF!</v>
      </c>
    </row>
    <row r="277" spans="1:36" ht="13.8" x14ac:dyDescent="0.25">
      <c r="A277" s="64" t="s">
        <v>51</v>
      </c>
      <c r="B277" s="119">
        <v>46</v>
      </c>
      <c r="C277" s="64" t="s">
        <v>52</v>
      </c>
      <c r="D277" s="64" t="s">
        <v>53</v>
      </c>
      <c r="E277" s="64" t="s">
        <v>53</v>
      </c>
      <c r="F277" s="65">
        <v>1494768</v>
      </c>
      <c r="G277" s="66" t="s">
        <v>105</v>
      </c>
      <c r="H277" s="64" t="s">
        <v>54</v>
      </c>
      <c r="I277" s="78"/>
      <c r="J277" s="67" t="e">
        <f>+Puantaj!#REF!</f>
        <v>#REF!</v>
      </c>
      <c r="K277" s="64" t="e">
        <f>+Puantaj!#REF!</f>
        <v>#REF!</v>
      </c>
      <c r="L277" s="64" t="e">
        <f>+Puantaj!#REF!</f>
        <v>#REF!</v>
      </c>
      <c r="M277" s="68" t="e">
        <f>+BORDRO!#REF!</f>
        <v>#REF!</v>
      </c>
      <c r="N277" s="64"/>
      <c r="O277" s="79" t="e">
        <f>+BORDRO!#REF!</f>
        <v>#REF!</v>
      </c>
      <c r="P277" s="79">
        <v>0</v>
      </c>
      <c r="Q277" s="69"/>
      <c r="R277" s="69"/>
      <c r="S277" s="70"/>
      <c r="T277" s="70"/>
      <c r="U277" s="71"/>
      <c r="V277" s="72" t="e">
        <f t="shared" si="4"/>
        <v>#REF!</v>
      </c>
      <c r="W277" s="73">
        <v>6</v>
      </c>
      <c r="X277" s="81" t="s">
        <v>99</v>
      </c>
      <c r="Y277" s="65">
        <v>2</v>
      </c>
      <c r="Z277" s="64" t="s">
        <v>51</v>
      </c>
      <c r="AA277" s="74" t="s">
        <v>781</v>
      </c>
      <c r="AB277" s="64">
        <v>2025</v>
      </c>
      <c r="AC277" s="64" t="s">
        <v>106</v>
      </c>
      <c r="AD277" s="80" t="e">
        <f>+BORDRO!#REF!</f>
        <v>#REF!</v>
      </c>
      <c r="AE277" s="75"/>
      <c r="AF277" s="75" t="e">
        <f>+BORDRO!#REF!</f>
        <v>#REF!</v>
      </c>
      <c r="AG277" s="75" t="e">
        <f>+BORDRO!#REF!</f>
        <v>#REF!</v>
      </c>
      <c r="AH277" s="80" t="e">
        <f>+BORDRO!#REF!</f>
        <v>#REF!</v>
      </c>
      <c r="AI277" s="75" t="e">
        <f>+BORDRO!#REF!</f>
        <v>#REF!</v>
      </c>
      <c r="AJ277" s="76" t="e">
        <f>+BORDRO!#REF!</f>
        <v>#REF!</v>
      </c>
    </row>
    <row r="278" spans="1:36" ht="13.8" x14ac:dyDescent="0.25">
      <c r="A278" s="64" t="s">
        <v>51</v>
      </c>
      <c r="B278" s="120">
        <v>46</v>
      </c>
      <c r="C278" s="64" t="s">
        <v>52</v>
      </c>
      <c r="D278" s="64" t="s">
        <v>53</v>
      </c>
      <c r="E278" s="64" t="s">
        <v>53</v>
      </c>
      <c r="F278" s="65">
        <v>1494768</v>
      </c>
      <c r="G278" s="66" t="s">
        <v>105</v>
      </c>
      <c r="H278" s="64" t="s">
        <v>54</v>
      </c>
      <c r="I278" s="78"/>
      <c r="J278" s="67" t="e">
        <f>+Puantaj!#REF!</f>
        <v>#REF!</v>
      </c>
      <c r="K278" s="64" t="e">
        <f>+Puantaj!#REF!</f>
        <v>#REF!</v>
      </c>
      <c r="L278" s="64" t="e">
        <f>+Puantaj!#REF!</f>
        <v>#REF!</v>
      </c>
      <c r="M278" s="68" t="e">
        <f>+BORDRO!#REF!</f>
        <v>#REF!</v>
      </c>
      <c r="N278" s="64"/>
      <c r="O278" s="79" t="e">
        <f>+BORDRO!#REF!</f>
        <v>#REF!</v>
      </c>
      <c r="P278" s="79">
        <v>0</v>
      </c>
      <c r="Q278" s="69"/>
      <c r="R278" s="69"/>
      <c r="S278" s="70"/>
      <c r="T278" s="70"/>
      <c r="U278" s="71"/>
      <c r="V278" s="72" t="e">
        <f t="shared" si="4"/>
        <v>#REF!</v>
      </c>
      <c r="W278" s="73">
        <v>6</v>
      </c>
      <c r="X278" s="81" t="s">
        <v>99</v>
      </c>
      <c r="Y278" s="65">
        <v>2</v>
      </c>
      <c r="Z278" s="64" t="s">
        <v>51</v>
      </c>
      <c r="AA278" s="74" t="s">
        <v>781</v>
      </c>
      <c r="AB278" s="64">
        <v>2025</v>
      </c>
      <c r="AC278" s="64" t="s">
        <v>106</v>
      </c>
      <c r="AD278" s="80" t="e">
        <f>+BORDRO!#REF!</f>
        <v>#REF!</v>
      </c>
      <c r="AE278" s="75"/>
      <c r="AF278" s="75" t="e">
        <f>+BORDRO!#REF!</f>
        <v>#REF!</v>
      </c>
      <c r="AG278" s="75" t="e">
        <f>+BORDRO!#REF!</f>
        <v>#REF!</v>
      </c>
      <c r="AH278" s="80" t="e">
        <f>+BORDRO!#REF!</f>
        <v>#REF!</v>
      </c>
      <c r="AI278" s="75" t="e">
        <f>+BORDRO!#REF!</f>
        <v>#REF!</v>
      </c>
      <c r="AJ278" s="76" t="e">
        <f>+BORDRO!#REF!</f>
        <v>#REF!</v>
      </c>
    </row>
    <row r="279" spans="1:36" ht="13.8" x14ac:dyDescent="0.25">
      <c r="A279" s="64" t="s">
        <v>51</v>
      </c>
      <c r="B279" s="119">
        <v>46</v>
      </c>
      <c r="C279" s="64" t="s">
        <v>52</v>
      </c>
      <c r="D279" s="64" t="s">
        <v>53</v>
      </c>
      <c r="E279" s="64" t="s">
        <v>53</v>
      </c>
      <c r="F279" s="65">
        <v>1494768</v>
      </c>
      <c r="G279" s="66" t="s">
        <v>105</v>
      </c>
      <c r="H279" s="64" t="s">
        <v>54</v>
      </c>
      <c r="I279" s="78"/>
      <c r="J279" s="67" t="e">
        <f>+Puantaj!#REF!</f>
        <v>#REF!</v>
      </c>
      <c r="K279" s="64" t="e">
        <f>+Puantaj!#REF!</f>
        <v>#REF!</v>
      </c>
      <c r="L279" s="64" t="e">
        <f>+Puantaj!#REF!</f>
        <v>#REF!</v>
      </c>
      <c r="M279" s="68" t="e">
        <f>+BORDRO!#REF!</f>
        <v>#REF!</v>
      </c>
      <c r="N279" s="64"/>
      <c r="O279" s="79" t="e">
        <f>+BORDRO!#REF!</f>
        <v>#REF!</v>
      </c>
      <c r="P279" s="79">
        <v>0</v>
      </c>
      <c r="Q279" s="69"/>
      <c r="R279" s="69"/>
      <c r="S279" s="70"/>
      <c r="T279" s="70"/>
      <c r="U279" s="71"/>
      <c r="V279" s="72" t="e">
        <f t="shared" si="4"/>
        <v>#REF!</v>
      </c>
      <c r="W279" s="73">
        <v>6</v>
      </c>
      <c r="X279" s="81" t="s">
        <v>99</v>
      </c>
      <c r="Y279" s="65">
        <v>2</v>
      </c>
      <c r="Z279" s="64" t="s">
        <v>51</v>
      </c>
      <c r="AA279" s="74" t="s">
        <v>781</v>
      </c>
      <c r="AB279" s="64">
        <v>2025</v>
      </c>
      <c r="AC279" s="64" t="s">
        <v>106</v>
      </c>
      <c r="AD279" s="80" t="e">
        <f>+BORDRO!#REF!</f>
        <v>#REF!</v>
      </c>
      <c r="AE279" s="75"/>
      <c r="AF279" s="75" t="e">
        <f>+BORDRO!#REF!</f>
        <v>#REF!</v>
      </c>
      <c r="AG279" s="75" t="e">
        <f>+BORDRO!#REF!</f>
        <v>#REF!</v>
      </c>
      <c r="AH279" s="80" t="e">
        <f>+BORDRO!#REF!</f>
        <v>#REF!</v>
      </c>
      <c r="AI279" s="75" t="e">
        <f>+BORDRO!#REF!</f>
        <v>#REF!</v>
      </c>
      <c r="AJ279" s="76" t="e">
        <f>+BORDRO!#REF!</f>
        <v>#REF!</v>
      </c>
    </row>
    <row r="280" spans="1:36" ht="13.8" x14ac:dyDescent="0.25">
      <c r="A280" s="64" t="s">
        <v>51</v>
      </c>
      <c r="B280" s="120">
        <v>46</v>
      </c>
      <c r="C280" s="64" t="s">
        <v>52</v>
      </c>
      <c r="D280" s="64" t="s">
        <v>53</v>
      </c>
      <c r="E280" s="64" t="s">
        <v>53</v>
      </c>
      <c r="F280" s="65">
        <v>1494768</v>
      </c>
      <c r="G280" s="66" t="s">
        <v>105</v>
      </c>
      <c r="H280" s="64" t="s">
        <v>54</v>
      </c>
      <c r="I280" s="78"/>
      <c r="J280" s="67" t="e">
        <f>+Puantaj!#REF!</f>
        <v>#REF!</v>
      </c>
      <c r="K280" s="64" t="e">
        <f>+Puantaj!#REF!</f>
        <v>#REF!</v>
      </c>
      <c r="L280" s="64" t="e">
        <f>+Puantaj!#REF!</f>
        <v>#REF!</v>
      </c>
      <c r="M280" s="68" t="e">
        <f>+BORDRO!#REF!</f>
        <v>#REF!</v>
      </c>
      <c r="N280" s="64"/>
      <c r="O280" s="79" t="e">
        <f>+BORDRO!#REF!</f>
        <v>#REF!</v>
      </c>
      <c r="P280" s="79">
        <v>0</v>
      </c>
      <c r="Q280" s="69"/>
      <c r="R280" s="69"/>
      <c r="S280" s="70"/>
      <c r="T280" s="70"/>
      <c r="U280" s="71"/>
      <c r="V280" s="72" t="e">
        <f t="shared" si="4"/>
        <v>#REF!</v>
      </c>
      <c r="W280" s="73">
        <v>6</v>
      </c>
      <c r="X280" s="81" t="s">
        <v>99</v>
      </c>
      <c r="Y280" s="65">
        <v>2</v>
      </c>
      <c r="Z280" s="64" t="s">
        <v>51</v>
      </c>
      <c r="AA280" s="74" t="s">
        <v>781</v>
      </c>
      <c r="AB280" s="64">
        <v>2025</v>
      </c>
      <c r="AC280" s="64" t="s">
        <v>106</v>
      </c>
      <c r="AD280" s="80" t="e">
        <f>+BORDRO!#REF!</f>
        <v>#REF!</v>
      </c>
      <c r="AE280" s="75"/>
      <c r="AF280" s="75" t="e">
        <f>+BORDRO!#REF!</f>
        <v>#REF!</v>
      </c>
      <c r="AG280" s="75" t="e">
        <f>+BORDRO!#REF!</f>
        <v>#REF!</v>
      </c>
      <c r="AH280" s="80" t="e">
        <f>+BORDRO!#REF!</f>
        <v>#REF!</v>
      </c>
      <c r="AI280" s="75" t="e">
        <f>+BORDRO!#REF!</f>
        <v>#REF!</v>
      </c>
      <c r="AJ280" s="76" t="e">
        <f>+BORDRO!#REF!</f>
        <v>#REF!</v>
      </c>
    </row>
    <row r="281" spans="1:36" ht="13.8" x14ac:dyDescent="0.25">
      <c r="A281" s="64" t="s">
        <v>51</v>
      </c>
      <c r="B281" s="119">
        <v>46</v>
      </c>
      <c r="C281" s="64" t="s">
        <v>52</v>
      </c>
      <c r="D281" s="64" t="s">
        <v>53</v>
      </c>
      <c r="E281" s="64" t="s">
        <v>53</v>
      </c>
      <c r="F281" s="65">
        <v>1494768</v>
      </c>
      <c r="G281" s="66" t="s">
        <v>105</v>
      </c>
      <c r="H281" s="64" t="s">
        <v>54</v>
      </c>
      <c r="I281" s="78"/>
      <c r="J281" s="67" t="e">
        <f>+Puantaj!#REF!</f>
        <v>#REF!</v>
      </c>
      <c r="K281" s="64" t="e">
        <f>+Puantaj!#REF!</f>
        <v>#REF!</v>
      </c>
      <c r="L281" s="64" t="e">
        <f>+Puantaj!#REF!</f>
        <v>#REF!</v>
      </c>
      <c r="M281" s="68" t="e">
        <f>+BORDRO!#REF!</f>
        <v>#REF!</v>
      </c>
      <c r="N281" s="64"/>
      <c r="O281" s="79" t="e">
        <f>+BORDRO!#REF!</f>
        <v>#REF!</v>
      </c>
      <c r="P281" s="79">
        <v>0</v>
      </c>
      <c r="Q281" s="69"/>
      <c r="R281" s="69"/>
      <c r="S281" s="70"/>
      <c r="T281" s="70"/>
      <c r="U281" s="71"/>
      <c r="V281" s="72" t="e">
        <f t="shared" si="4"/>
        <v>#REF!</v>
      </c>
      <c r="W281" s="73">
        <v>6</v>
      </c>
      <c r="X281" s="81" t="s">
        <v>99</v>
      </c>
      <c r="Y281" s="65">
        <v>2</v>
      </c>
      <c r="Z281" s="64" t="s">
        <v>51</v>
      </c>
      <c r="AA281" s="74" t="s">
        <v>781</v>
      </c>
      <c r="AB281" s="64">
        <v>2025</v>
      </c>
      <c r="AC281" s="64" t="s">
        <v>106</v>
      </c>
      <c r="AD281" s="80" t="e">
        <f>+BORDRO!#REF!</f>
        <v>#REF!</v>
      </c>
      <c r="AE281" s="75"/>
      <c r="AF281" s="75" t="e">
        <f>+BORDRO!#REF!</f>
        <v>#REF!</v>
      </c>
      <c r="AG281" s="75" t="e">
        <f>+BORDRO!#REF!</f>
        <v>#REF!</v>
      </c>
      <c r="AH281" s="80" t="e">
        <f>+BORDRO!#REF!</f>
        <v>#REF!</v>
      </c>
      <c r="AI281" s="75" t="e">
        <f>+BORDRO!#REF!</f>
        <v>#REF!</v>
      </c>
      <c r="AJ281" s="76" t="e">
        <f>+BORDRO!#REF!</f>
        <v>#REF!</v>
      </c>
    </row>
    <row r="282" spans="1:36" ht="13.8" x14ac:dyDescent="0.25">
      <c r="A282" s="64" t="s">
        <v>51</v>
      </c>
      <c r="B282" s="120">
        <v>46</v>
      </c>
      <c r="C282" s="64" t="s">
        <v>52</v>
      </c>
      <c r="D282" s="64" t="s">
        <v>53</v>
      </c>
      <c r="E282" s="64" t="s">
        <v>53</v>
      </c>
      <c r="F282" s="65">
        <v>1494768</v>
      </c>
      <c r="G282" s="66" t="s">
        <v>105</v>
      </c>
      <c r="H282" s="64" t="s">
        <v>54</v>
      </c>
      <c r="I282" s="78"/>
      <c r="J282" s="67" t="e">
        <f>+Puantaj!#REF!</f>
        <v>#REF!</v>
      </c>
      <c r="K282" s="64" t="e">
        <f>+Puantaj!#REF!</f>
        <v>#REF!</v>
      </c>
      <c r="L282" s="64" t="e">
        <f>+Puantaj!#REF!</f>
        <v>#REF!</v>
      </c>
      <c r="M282" s="68" t="e">
        <f>+BORDRO!#REF!</f>
        <v>#REF!</v>
      </c>
      <c r="N282" s="64"/>
      <c r="O282" s="79" t="e">
        <f>+BORDRO!#REF!</f>
        <v>#REF!</v>
      </c>
      <c r="P282" s="79">
        <v>0</v>
      </c>
      <c r="Q282" s="69"/>
      <c r="R282" s="69"/>
      <c r="S282" s="70"/>
      <c r="T282" s="70"/>
      <c r="U282" s="71"/>
      <c r="V282" s="72" t="e">
        <f t="shared" si="4"/>
        <v>#REF!</v>
      </c>
      <c r="W282" s="73">
        <v>6</v>
      </c>
      <c r="X282" s="81" t="s">
        <v>99</v>
      </c>
      <c r="Y282" s="65">
        <v>2</v>
      </c>
      <c r="Z282" s="64" t="s">
        <v>51</v>
      </c>
      <c r="AA282" s="74" t="s">
        <v>781</v>
      </c>
      <c r="AB282" s="64">
        <v>2025</v>
      </c>
      <c r="AC282" s="64" t="s">
        <v>106</v>
      </c>
      <c r="AD282" s="80" t="e">
        <f>+BORDRO!#REF!</f>
        <v>#REF!</v>
      </c>
      <c r="AE282" s="75"/>
      <c r="AF282" s="75" t="e">
        <f>+BORDRO!#REF!</f>
        <v>#REF!</v>
      </c>
      <c r="AG282" s="75" t="e">
        <f>+BORDRO!#REF!</f>
        <v>#REF!</v>
      </c>
      <c r="AH282" s="80" t="e">
        <f>+BORDRO!#REF!</f>
        <v>#REF!</v>
      </c>
      <c r="AI282" s="75" t="e">
        <f>+BORDRO!#REF!</f>
        <v>#REF!</v>
      </c>
      <c r="AJ282" s="76" t="e">
        <f>+BORDRO!#REF!</f>
        <v>#REF!</v>
      </c>
    </row>
    <row r="283" spans="1:36" ht="13.8" x14ac:dyDescent="0.25">
      <c r="A283" s="64" t="s">
        <v>51</v>
      </c>
      <c r="B283" s="119">
        <v>46</v>
      </c>
      <c r="C283" s="64" t="s">
        <v>52</v>
      </c>
      <c r="D283" s="64" t="s">
        <v>53</v>
      </c>
      <c r="E283" s="64" t="s">
        <v>53</v>
      </c>
      <c r="F283" s="65">
        <v>1494768</v>
      </c>
      <c r="G283" s="66" t="s">
        <v>105</v>
      </c>
      <c r="H283" s="64" t="s">
        <v>54</v>
      </c>
      <c r="I283" s="78"/>
      <c r="J283" s="67" t="e">
        <f>+Puantaj!#REF!</f>
        <v>#REF!</v>
      </c>
      <c r="K283" s="64" t="e">
        <f>+Puantaj!#REF!</f>
        <v>#REF!</v>
      </c>
      <c r="L283" s="64" t="e">
        <f>+Puantaj!#REF!</f>
        <v>#REF!</v>
      </c>
      <c r="M283" s="68" t="e">
        <f>+BORDRO!#REF!</f>
        <v>#REF!</v>
      </c>
      <c r="N283" s="64"/>
      <c r="O283" s="79" t="e">
        <f>+BORDRO!#REF!</f>
        <v>#REF!</v>
      </c>
      <c r="P283" s="79">
        <v>0</v>
      </c>
      <c r="Q283" s="69"/>
      <c r="R283" s="69"/>
      <c r="S283" s="70"/>
      <c r="T283" s="70"/>
      <c r="U283" s="71"/>
      <c r="V283" s="72" t="e">
        <f t="shared" si="4"/>
        <v>#REF!</v>
      </c>
      <c r="W283" s="73">
        <v>6</v>
      </c>
      <c r="X283" s="81" t="s">
        <v>99</v>
      </c>
      <c r="Y283" s="65">
        <v>2</v>
      </c>
      <c r="Z283" s="64" t="s">
        <v>51</v>
      </c>
      <c r="AA283" s="74" t="s">
        <v>781</v>
      </c>
      <c r="AB283" s="64">
        <v>2025</v>
      </c>
      <c r="AC283" s="64" t="s">
        <v>106</v>
      </c>
      <c r="AD283" s="80" t="e">
        <f>+BORDRO!#REF!</f>
        <v>#REF!</v>
      </c>
      <c r="AE283" s="75"/>
      <c r="AF283" s="75" t="e">
        <f>+BORDRO!#REF!</f>
        <v>#REF!</v>
      </c>
      <c r="AG283" s="75" t="e">
        <f>+BORDRO!#REF!</f>
        <v>#REF!</v>
      </c>
      <c r="AH283" s="80" t="e">
        <f>+BORDRO!#REF!</f>
        <v>#REF!</v>
      </c>
      <c r="AI283" s="75" t="e">
        <f>+BORDRO!#REF!</f>
        <v>#REF!</v>
      </c>
      <c r="AJ283" s="76" t="e">
        <f>+BORDRO!#REF!</f>
        <v>#REF!</v>
      </c>
    </row>
    <row r="284" spans="1:36" ht="13.8" x14ac:dyDescent="0.25">
      <c r="A284" s="64" t="s">
        <v>51</v>
      </c>
      <c r="B284" s="120">
        <v>46</v>
      </c>
      <c r="C284" s="64" t="s">
        <v>52</v>
      </c>
      <c r="D284" s="64" t="s">
        <v>53</v>
      </c>
      <c r="E284" s="64" t="s">
        <v>53</v>
      </c>
      <c r="F284" s="65">
        <v>1494768</v>
      </c>
      <c r="G284" s="66" t="s">
        <v>105</v>
      </c>
      <c r="H284" s="64" t="s">
        <v>54</v>
      </c>
      <c r="I284" s="78"/>
      <c r="J284" s="67" t="e">
        <f>+Puantaj!#REF!</f>
        <v>#REF!</v>
      </c>
      <c r="K284" s="64" t="e">
        <f>+Puantaj!#REF!</f>
        <v>#REF!</v>
      </c>
      <c r="L284" s="64" t="e">
        <f>+Puantaj!#REF!</f>
        <v>#REF!</v>
      </c>
      <c r="M284" s="68" t="e">
        <f>+BORDRO!#REF!</f>
        <v>#REF!</v>
      </c>
      <c r="N284" s="64"/>
      <c r="O284" s="79" t="e">
        <f>+BORDRO!#REF!</f>
        <v>#REF!</v>
      </c>
      <c r="P284" s="79">
        <v>0</v>
      </c>
      <c r="Q284" s="69"/>
      <c r="R284" s="69"/>
      <c r="S284" s="70"/>
      <c r="T284" s="70"/>
      <c r="U284" s="71"/>
      <c r="V284" s="72" t="e">
        <f t="shared" si="4"/>
        <v>#REF!</v>
      </c>
      <c r="W284" s="73">
        <v>6</v>
      </c>
      <c r="X284" s="81" t="s">
        <v>99</v>
      </c>
      <c r="Y284" s="65">
        <v>2</v>
      </c>
      <c r="Z284" s="64" t="s">
        <v>51</v>
      </c>
      <c r="AA284" s="74" t="s">
        <v>781</v>
      </c>
      <c r="AB284" s="64">
        <v>2025</v>
      </c>
      <c r="AC284" s="64" t="s">
        <v>106</v>
      </c>
      <c r="AD284" s="80" t="e">
        <f>+BORDRO!#REF!</f>
        <v>#REF!</v>
      </c>
      <c r="AE284" s="75"/>
      <c r="AF284" s="75" t="e">
        <f>+BORDRO!#REF!</f>
        <v>#REF!</v>
      </c>
      <c r="AG284" s="75" t="e">
        <f>+BORDRO!#REF!</f>
        <v>#REF!</v>
      </c>
      <c r="AH284" s="80" t="e">
        <f>+BORDRO!#REF!</f>
        <v>#REF!</v>
      </c>
      <c r="AI284" s="75" t="e">
        <f>+BORDRO!#REF!</f>
        <v>#REF!</v>
      </c>
      <c r="AJ284" s="76" t="e">
        <f>+BORDRO!#REF!</f>
        <v>#REF!</v>
      </c>
    </row>
    <row r="285" spans="1:36" ht="13.8" x14ac:dyDescent="0.25">
      <c r="A285" s="64" t="s">
        <v>51</v>
      </c>
      <c r="B285" s="119">
        <v>46</v>
      </c>
      <c r="C285" s="64" t="s">
        <v>52</v>
      </c>
      <c r="D285" s="64" t="s">
        <v>53</v>
      </c>
      <c r="E285" s="64" t="s">
        <v>53</v>
      </c>
      <c r="F285" s="65">
        <v>1494768</v>
      </c>
      <c r="G285" s="66" t="s">
        <v>105</v>
      </c>
      <c r="H285" s="64" t="s">
        <v>54</v>
      </c>
      <c r="I285" s="78"/>
      <c r="J285" s="67" t="e">
        <f>+Puantaj!#REF!</f>
        <v>#REF!</v>
      </c>
      <c r="K285" s="64" t="e">
        <f>+Puantaj!#REF!</f>
        <v>#REF!</v>
      </c>
      <c r="L285" s="64" t="e">
        <f>+Puantaj!#REF!</f>
        <v>#REF!</v>
      </c>
      <c r="M285" s="68" t="e">
        <f>+BORDRO!#REF!</f>
        <v>#REF!</v>
      </c>
      <c r="N285" s="64"/>
      <c r="O285" s="79" t="e">
        <f>+BORDRO!#REF!</f>
        <v>#REF!</v>
      </c>
      <c r="P285" s="79">
        <v>0</v>
      </c>
      <c r="Q285" s="69"/>
      <c r="R285" s="69"/>
      <c r="S285" s="70"/>
      <c r="T285" s="70"/>
      <c r="U285" s="71"/>
      <c r="V285" s="72" t="e">
        <f t="shared" si="4"/>
        <v>#REF!</v>
      </c>
      <c r="W285" s="73">
        <v>6</v>
      </c>
      <c r="X285" s="81" t="s">
        <v>99</v>
      </c>
      <c r="Y285" s="65">
        <v>2</v>
      </c>
      <c r="Z285" s="64" t="s">
        <v>51</v>
      </c>
      <c r="AA285" s="74" t="s">
        <v>781</v>
      </c>
      <c r="AB285" s="64">
        <v>2025</v>
      </c>
      <c r="AC285" s="64" t="s">
        <v>106</v>
      </c>
      <c r="AD285" s="80" t="e">
        <f>+BORDRO!#REF!</f>
        <v>#REF!</v>
      </c>
      <c r="AE285" s="75"/>
      <c r="AF285" s="75" t="e">
        <f>+BORDRO!#REF!</f>
        <v>#REF!</v>
      </c>
      <c r="AG285" s="75" t="e">
        <f>+BORDRO!#REF!</f>
        <v>#REF!</v>
      </c>
      <c r="AH285" s="80" t="e">
        <f>+BORDRO!#REF!</f>
        <v>#REF!</v>
      </c>
      <c r="AI285" s="75" t="e">
        <f>+BORDRO!#REF!</f>
        <v>#REF!</v>
      </c>
      <c r="AJ285" s="76" t="e">
        <f>+BORDRO!#REF!</f>
        <v>#REF!</v>
      </c>
    </row>
    <row r="286" spans="1:36" ht="13.8" x14ac:dyDescent="0.25">
      <c r="A286" s="64" t="s">
        <v>51</v>
      </c>
      <c r="B286" s="120">
        <v>46</v>
      </c>
      <c r="C286" s="64" t="s">
        <v>52</v>
      </c>
      <c r="D286" s="64" t="s">
        <v>53</v>
      </c>
      <c r="E286" s="64" t="s">
        <v>53</v>
      </c>
      <c r="F286" s="65">
        <v>1494768</v>
      </c>
      <c r="G286" s="66" t="s">
        <v>105</v>
      </c>
      <c r="H286" s="64" t="s">
        <v>54</v>
      </c>
      <c r="I286" s="78"/>
      <c r="J286" s="67" t="e">
        <f>+Puantaj!#REF!</f>
        <v>#REF!</v>
      </c>
      <c r="K286" s="64" t="e">
        <f>+Puantaj!#REF!</f>
        <v>#REF!</v>
      </c>
      <c r="L286" s="64" t="e">
        <f>+Puantaj!#REF!</f>
        <v>#REF!</v>
      </c>
      <c r="M286" s="68" t="e">
        <f>+BORDRO!#REF!</f>
        <v>#REF!</v>
      </c>
      <c r="N286" s="64"/>
      <c r="O286" s="79" t="e">
        <f>+BORDRO!#REF!</f>
        <v>#REF!</v>
      </c>
      <c r="P286" s="79">
        <v>0</v>
      </c>
      <c r="Q286" s="69"/>
      <c r="R286" s="69"/>
      <c r="S286" s="70"/>
      <c r="T286" s="70"/>
      <c r="U286" s="71"/>
      <c r="V286" s="72" t="e">
        <f t="shared" si="4"/>
        <v>#REF!</v>
      </c>
      <c r="W286" s="73">
        <v>6</v>
      </c>
      <c r="X286" s="81" t="s">
        <v>99</v>
      </c>
      <c r="Y286" s="65">
        <v>2</v>
      </c>
      <c r="Z286" s="64" t="s">
        <v>51</v>
      </c>
      <c r="AA286" s="74" t="s">
        <v>781</v>
      </c>
      <c r="AB286" s="64">
        <v>2025</v>
      </c>
      <c r="AC286" s="64" t="s">
        <v>106</v>
      </c>
      <c r="AD286" s="80" t="e">
        <f>+BORDRO!#REF!</f>
        <v>#REF!</v>
      </c>
      <c r="AE286" s="75"/>
      <c r="AF286" s="75" t="e">
        <f>+BORDRO!#REF!</f>
        <v>#REF!</v>
      </c>
      <c r="AG286" s="75" t="e">
        <f>+BORDRO!#REF!</f>
        <v>#REF!</v>
      </c>
      <c r="AH286" s="80" t="e">
        <f>+BORDRO!#REF!</f>
        <v>#REF!</v>
      </c>
      <c r="AI286" s="75" t="e">
        <f>+BORDRO!#REF!</f>
        <v>#REF!</v>
      </c>
      <c r="AJ286" s="76" t="e">
        <f>+BORDRO!#REF!</f>
        <v>#REF!</v>
      </c>
    </row>
    <row r="287" spans="1:36" ht="13.8" x14ac:dyDescent="0.25">
      <c r="A287" s="64" t="s">
        <v>51</v>
      </c>
      <c r="B287" s="119">
        <v>46</v>
      </c>
      <c r="C287" s="64" t="s">
        <v>52</v>
      </c>
      <c r="D287" s="64" t="s">
        <v>53</v>
      </c>
      <c r="E287" s="64" t="s">
        <v>53</v>
      </c>
      <c r="F287" s="65">
        <v>1494768</v>
      </c>
      <c r="G287" s="66" t="s">
        <v>105</v>
      </c>
      <c r="H287" s="64" t="s">
        <v>54</v>
      </c>
      <c r="I287" s="78"/>
      <c r="J287" s="67" t="e">
        <f>+Puantaj!#REF!</f>
        <v>#REF!</v>
      </c>
      <c r="K287" s="64" t="e">
        <f>+Puantaj!#REF!</f>
        <v>#REF!</v>
      </c>
      <c r="L287" s="64" t="e">
        <f>+Puantaj!#REF!</f>
        <v>#REF!</v>
      </c>
      <c r="M287" s="68" t="e">
        <f>+BORDRO!#REF!</f>
        <v>#REF!</v>
      </c>
      <c r="N287" s="64"/>
      <c r="O287" s="79" t="e">
        <f>+BORDRO!#REF!</f>
        <v>#REF!</v>
      </c>
      <c r="P287" s="79">
        <v>0</v>
      </c>
      <c r="Q287" s="69"/>
      <c r="R287" s="69"/>
      <c r="S287" s="70"/>
      <c r="T287" s="70"/>
      <c r="U287" s="71"/>
      <c r="V287" s="72" t="e">
        <f t="shared" si="4"/>
        <v>#REF!</v>
      </c>
      <c r="W287" s="73">
        <v>6</v>
      </c>
      <c r="X287" s="81" t="s">
        <v>99</v>
      </c>
      <c r="Y287" s="65">
        <v>2</v>
      </c>
      <c r="Z287" s="64" t="s">
        <v>51</v>
      </c>
      <c r="AA287" s="74" t="s">
        <v>781</v>
      </c>
      <c r="AB287" s="64">
        <v>2025</v>
      </c>
      <c r="AC287" s="64" t="s">
        <v>106</v>
      </c>
      <c r="AD287" s="80" t="e">
        <f>+BORDRO!#REF!</f>
        <v>#REF!</v>
      </c>
      <c r="AE287" s="75"/>
      <c r="AF287" s="75" t="e">
        <f>+BORDRO!#REF!</f>
        <v>#REF!</v>
      </c>
      <c r="AG287" s="75" t="e">
        <f>+BORDRO!#REF!</f>
        <v>#REF!</v>
      </c>
      <c r="AH287" s="80" t="e">
        <f>+BORDRO!#REF!</f>
        <v>#REF!</v>
      </c>
      <c r="AI287" s="75" t="e">
        <f>+BORDRO!#REF!</f>
        <v>#REF!</v>
      </c>
      <c r="AJ287" s="76" t="e">
        <f>+BORDRO!#REF!</f>
        <v>#REF!</v>
      </c>
    </row>
    <row r="288" spans="1:36" ht="13.8" x14ac:dyDescent="0.25">
      <c r="A288" s="64" t="s">
        <v>51</v>
      </c>
      <c r="B288" s="120">
        <v>46</v>
      </c>
      <c r="C288" s="64" t="s">
        <v>52</v>
      </c>
      <c r="D288" s="64" t="s">
        <v>53</v>
      </c>
      <c r="E288" s="64" t="s">
        <v>53</v>
      </c>
      <c r="F288" s="65">
        <v>1494768</v>
      </c>
      <c r="G288" s="66" t="s">
        <v>105</v>
      </c>
      <c r="H288" s="64" t="s">
        <v>54</v>
      </c>
      <c r="I288" s="78"/>
      <c r="J288" s="67" t="e">
        <f>+Puantaj!#REF!</f>
        <v>#REF!</v>
      </c>
      <c r="K288" s="64" t="e">
        <f>+Puantaj!#REF!</f>
        <v>#REF!</v>
      </c>
      <c r="L288" s="64" t="e">
        <f>+Puantaj!#REF!</f>
        <v>#REF!</v>
      </c>
      <c r="M288" s="68" t="e">
        <f>+BORDRO!#REF!</f>
        <v>#REF!</v>
      </c>
      <c r="N288" s="64"/>
      <c r="O288" s="79" t="e">
        <f>+BORDRO!#REF!</f>
        <v>#REF!</v>
      </c>
      <c r="P288" s="79">
        <v>0</v>
      </c>
      <c r="Q288" s="69"/>
      <c r="R288" s="69"/>
      <c r="S288" s="70"/>
      <c r="T288" s="70"/>
      <c r="U288" s="71"/>
      <c r="V288" s="72" t="e">
        <f t="shared" si="4"/>
        <v>#REF!</v>
      </c>
      <c r="W288" s="73">
        <v>6</v>
      </c>
      <c r="X288" s="81" t="s">
        <v>99</v>
      </c>
      <c r="Y288" s="65">
        <v>2</v>
      </c>
      <c r="Z288" s="64" t="s">
        <v>51</v>
      </c>
      <c r="AA288" s="74" t="s">
        <v>781</v>
      </c>
      <c r="AB288" s="64">
        <v>2025</v>
      </c>
      <c r="AC288" s="64" t="s">
        <v>106</v>
      </c>
      <c r="AD288" s="80" t="e">
        <f>+BORDRO!#REF!</f>
        <v>#REF!</v>
      </c>
      <c r="AE288" s="75"/>
      <c r="AF288" s="75" t="e">
        <f>+BORDRO!#REF!</f>
        <v>#REF!</v>
      </c>
      <c r="AG288" s="75" t="e">
        <f>+BORDRO!#REF!</f>
        <v>#REF!</v>
      </c>
      <c r="AH288" s="80" t="e">
        <f>+BORDRO!#REF!</f>
        <v>#REF!</v>
      </c>
      <c r="AI288" s="75" t="e">
        <f>+BORDRO!#REF!</f>
        <v>#REF!</v>
      </c>
      <c r="AJ288" s="76" t="e">
        <f>+BORDRO!#REF!</f>
        <v>#REF!</v>
      </c>
    </row>
    <row r="289" spans="1:36" ht="13.8" x14ac:dyDescent="0.25">
      <c r="A289" s="64" t="s">
        <v>51</v>
      </c>
      <c r="B289" s="119">
        <v>46</v>
      </c>
      <c r="C289" s="64" t="s">
        <v>52</v>
      </c>
      <c r="D289" s="64" t="s">
        <v>53</v>
      </c>
      <c r="E289" s="64" t="s">
        <v>53</v>
      </c>
      <c r="F289" s="65">
        <v>1494768</v>
      </c>
      <c r="G289" s="66" t="s">
        <v>105</v>
      </c>
      <c r="H289" s="64" t="s">
        <v>54</v>
      </c>
      <c r="I289" s="78"/>
      <c r="J289" s="67" t="e">
        <f>+Puantaj!#REF!</f>
        <v>#REF!</v>
      </c>
      <c r="K289" s="64" t="e">
        <f>+Puantaj!#REF!</f>
        <v>#REF!</v>
      </c>
      <c r="L289" s="64" t="e">
        <f>+Puantaj!#REF!</f>
        <v>#REF!</v>
      </c>
      <c r="M289" s="68" t="e">
        <f>+BORDRO!#REF!</f>
        <v>#REF!</v>
      </c>
      <c r="N289" s="64"/>
      <c r="O289" s="79" t="e">
        <f>+BORDRO!#REF!</f>
        <v>#REF!</v>
      </c>
      <c r="P289" s="79">
        <v>0</v>
      </c>
      <c r="Q289" s="69"/>
      <c r="R289" s="69"/>
      <c r="S289" s="70"/>
      <c r="T289" s="70"/>
      <c r="U289" s="71"/>
      <c r="V289" s="72" t="e">
        <f t="shared" si="4"/>
        <v>#REF!</v>
      </c>
      <c r="W289" s="73">
        <v>6</v>
      </c>
      <c r="X289" s="81" t="s">
        <v>99</v>
      </c>
      <c r="Y289" s="65">
        <v>2</v>
      </c>
      <c r="Z289" s="64" t="s">
        <v>51</v>
      </c>
      <c r="AA289" s="74" t="s">
        <v>781</v>
      </c>
      <c r="AB289" s="64">
        <v>2025</v>
      </c>
      <c r="AC289" s="64" t="s">
        <v>106</v>
      </c>
      <c r="AD289" s="80" t="e">
        <f>+BORDRO!#REF!</f>
        <v>#REF!</v>
      </c>
      <c r="AE289" s="75"/>
      <c r="AF289" s="75" t="e">
        <f>+BORDRO!#REF!</f>
        <v>#REF!</v>
      </c>
      <c r="AG289" s="75" t="e">
        <f>+BORDRO!#REF!</f>
        <v>#REF!</v>
      </c>
      <c r="AH289" s="80" t="e">
        <f>+BORDRO!#REF!</f>
        <v>#REF!</v>
      </c>
      <c r="AI289" s="75" t="e">
        <f>+BORDRO!#REF!</f>
        <v>#REF!</v>
      </c>
      <c r="AJ289" s="76" t="e">
        <f>+BORDRO!#REF!</f>
        <v>#REF!</v>
      </c>
    </row>
    <row r="290" spans="1:36" ht="13.8" x14ac:dyDescent="0.25">
      <c r="A290" s="64" t="s">
        <v>51</v>
      </c>
      <c r="B290" s="120">
        <v>46</v>
      </c>
      <c r="C290" s="64" t="s">
        <v>52</v>
      </c>
      <c r="D290" s="64" t="s">
        <v>53</v>
      </c>
      <c r="E290" s="64" t="s">
        <v>53</v>
      </c>
      <c r="F290" s="65">
        <v>1494768</v>
      </c>
      <c r="G290" s="66" t="s">
        <v>105</v>
      </c>
      <c r="H290" s="64" t="s">
        <v>54</v>
      </c>
      <c r="I290" s="78"/>
      <c r="J290" s="67" t="e">
        <f>+Puantaj!#REF!</f>
        <v>#REF!</v>
      </c>
      <c r="K290" s="64" t="e">
        <f>+Puantaj!#REF!</f>
        <v>#REF!</v>
      </c>
      <c r="L290" s="64" t="e">
        <f>+Puantaj!#REF!</f>
        <v>#REF!</v>
      </c>
      <c r="M290" s="68" t="e">
        <f>+BORDRO!#REF!</f>
        <v>#REF!</v>
      </c>
      <c r="N290" s="64"/>
      <c r="O290" s="79" t="e">
        <f>+BORDRO!#REF!</f>
        <v>#REF!</v>
      </c>
      <c r="P290" s="79">
        <v>0</v>
      </c>
      <c r="Q290" s="69"/>
      <c r="R290" s="69"/>
      <c r="S290" s="70"/>
      <c r="T290" s="70"/>
      <c r="U290" s="71"/>
      <c r="V290" s="72" t="e">
        <f t="shared" si="4"/>
        <v>#REF!</v>
      </c>
      <c r="W290" s="73">
        <v>6</v>
      </c>
      <c r="X290" s="81" t="s">
        <v>99</v>
      </c>
      <c r="Y290" s="65">
        <v>2</v>
      </c>
      <c r="Z290" s="64" t="s">
        <v>51</v>
      </c>
      <c r="AA290" s="74" t="s">
        <v>781</v>
      </c>
      <c r="AB290" s="64">
        <v>2025</v>
      </c>
      <c r="AC290" s="64" t="s">
        <v>106</v>
      </c>
      <c r="AD290" s="80" t="e">
        <f>+BORDRO!#REF!</f>
        <v>#REF!</v>
      </c>
      <c r="AE290" s="75"/>
      <c r="AF290" s="75" t="e">
        <f>+BORDRO!#REF!</f>
        <v>#REF!</v>
      </c>
      <c r="AG290" s="75" t="e">
        <f>+BORDRO!#REF!</f>
        <v>#REF!</v>
      </c>
      <c r="AH290" s="80" t="e">
        <f>+BORDRO!#REF!</f>
        <v>#REF!</v>
      </c>
      <c r="AI290" s="75" t="e">
        <f>+BORDRO!#REF!</f>
        <v>#REF!</v>
      </c>
      <c r="AJ290" s="76" t="e">
        <f>+BORDRO!#REF!</f>
        <v>#REF!</v>
      </c>
    </row>
    <row r="291" spans="1:36" ht="13.8" x14ac:dyDescent="0.25">
      <c r="A291" s="64" t="s">
        <v>51</v>
      </c>
      <c r="B291" s="119">
        <v>46</v>
      </c>
      <c r="C291" s="64" t="s">
        <v>52</v>
      </c>
      <c r="D291" s="64" t="s">
        <v>53</v>
      </c>
      <c r="E291" s="64" t="s">
        <v>53</v>
      </c>
      <c r="F291" s="65">
        <v>1494768</v>
      </c>
      <c r="G291" s="66" t="s">
        <v>105</v>
      </c>
      <c r="H291" s="64" t="s">
        <v>54</v>
      </c>
      <c r="I291" s="78"/>
      <c r="J291" s="67" t="e">
        <f>+Puantaj!#REF!</f>
        <v>#REF!</v>
      </c>
      <c r="K291" s="64" t="e">
        <f>+Puantaj!#REF!</f>
        <v>#REF!</v>
      </c>
      <c r="L291" s="64" t="e">
        <f>+Puantaj!#REF!</f>
        <v>#REF!</v>
      </c>
      <c r="M291" s="68" t="e">
        <f>+BORDRO!#REF!</f>
        <v>#REF!</v>
      </c>
      <c r="N291" s="64"/>
      <c r="O291" s="79" t="e">
        <f>+BORDRO!#REF!</f>
        <v>#REF!</v>
      </c>
      <c r="P291" s="79">
        <v>0</v>
      </c>
      <c r="Q291" s="69"/>
      <c r="R291" s="69"/>
      <c r="S291" s="70"/>
      <c r="T291" s="70"/>
      <c r="U291" s="71"/>
      <c r="V291" s="72" t="e">
        <f t="shared" si="4"/>
        <v>#REF!</v>
      </c>
      <c r="W291" s="73">
        <v>6</v>
      </c>
      <c r="X291" s="81" t="s">
        <v>99</v>
      </c>
      <c r="Y291" s="65">
        <v>2</v>
      </c>
      <c r="Z291" s="64" t="s">
        <v>51</v>
      </c>
      <c r="AA291" s="74" t="s">
        <v>781</v>
      </c>
      <c r="AB291" s="64">
        <v>2025</v>
      </c>
      <c r="AC291" s="64" t="s">
        <v>106</v>
      </c>
      <c r="AD291" s="80" t="e">
        <f>+BORDRO!#REF!</f>
        <v>#REF!</v>
      </c>
      <c r="AE291" s="75"/>
      <c r="AF291" s="75" t="e">
        <f>+BORDRO!#REF!</f>
        <v>#REF!</v>
      </c>
      <c r="AG291" s="75" t="e">
        <f>+BORDRO!#REF!</f>
        <v>#REF!</v>
      </c>
      <c r="AH291" s="80" t="e">
        <f>+BORDRO!#REF!</f>
        <v>#REF!</v>
      </c>
      <c r="AI291" s="75" t="e">
        <f>+BORDRO!#REF!</f>
        <v>#REF!</v>
      </c>
      <c r="AJ291" s="76" t="e">
        <f>+BORDRO!#REF!</f>
        <v>#REF!</v>
      </c>
    </row>
    <row r="292" spans="1:36" ht="13.8" x14ac:dyDescent="0.25">
      <c r="A292" s="64" t="s">
        <v>51</v>
      </c>
      <c r="B292" s="120">
        <v>46</v>
      </c>
      <c r="C292" s="64" t="s">
        <v>52</v>
      </c>
      <c r="D292" s="64" t="s">
        <v>53</v>
      </c>
      <c r="E292" s="64" t="s">
        <v>53</v>
      </c>
      <c r="F292" s="65">
        <v>1494768</v>
      </c>
      <c r="G292" s="66" t="s">
        <v>105</v>
      </c>
      <c r="H292" s="64" t="s">
        <v>54</v>
      </c>
      <c r="I292" s="78"/>
      <c r="J292" s="67" t="e">
        <f>+Puantaj!#REF!</f>
        <v>#REF!</v>
      </c>
      <c r="K292" s="64" t="e">
        <f>+Puantaj!#REF!</f>
        <v>#REF!</v>
      </c>
      <c r="L292" s="64" t="e">
        <f>+Puantaj!#REF!</f>
        <v>#REF!</v>
      </c>
      <c r="M292" s="68" t="e">
        <f>+BORDRO!#REF!</f>
        <v>#REF!</v>
      </c>
      <c r="N292" s="64"/>
      <c r="O292" s="79" t="e">
        <f>+BORDRO!#REF!</f>
        <v>#REF!</v>
      </c>
      <c r="P292" s="79">
        <v>0</v>
      </c>
      <c r="Q292" s="69"/>
      <c r="R292" s="69"/>
      <c r="S292" s="70"/>
      <c r="T292" s="70"/>
      <c r="U292" s="71"/>
      <c r="V292" s="72" t="e">
        <f t="shared" si="4"/>
        <v>#REF!</v>
      </c>
      <c r="W292" s="73">
        <v>6</v>
      </c>
      <c r="X292" s="81" t="s">
        <v>99</v>
      </c>
      <c r="Y292" s="65">
        <v>2</v>
      </c>
      <c r="Z292" s="64" t="s">
        <v>51</v>
      </c>
      <c r="AA292" s="74" t="s">
        <v>781</v>
      </c>
      <c r="AB292" s="64">
        <v>2025</v>
      </c>
      <c r="AC292" s="64" t="s">
        <v>106</v>
      </c>
      <c r="AD292" s="80" t="e">
        <f>+BORDRO!#REF!</f>
        <v>#REF!</v>
      </c>
      <c r="AE292" s="75"/>
      <c r="AF292" s="75" t="e">
        <f>+BORDRO!#REF!</f>
        <v>#REF!</v>
      </c>
      <c r="AG292" s="75" t="e">
        <f>+BORDRO!#REF!</f>
        <v>#REF!</v>
      </c>
      <c r="AH292" s="80" t="e">
        <f>+BORDRO!#REF!</f>
        <v>#REF!</v>
      </c>
      <c r="AI292" s="75" t="e">
        <f>+BORDRO!#REF!</f>
        <v>#REF!</v>
      </c>
      <c r="AJ292" s="76" t="e">
        <f>+BORDRO!#REF!</f>
        <v>#REF!</v>
      </c>
    </row>
    <row r="293" spans="1:36" ht="13.8" x14ac:dyDescent="0.25">
      <c r="A293" s="64" t="s">
        <v>51</v>
      </c>
      <c r="B293" s="119">
        <v>46</v>
      </c>
      <c r="C293" s="64" t="s">
        <v>52</v>
      </c>
      <c r="D293" s="64" t="s">
        <v>53</v>
      </c>
      <c r="E293" s="64" t="s">
        <v>53</v>
      </c>
      <c r="F293" s="65">
        <v>1494768</v>
      </c>
      <c r="G293" s="66" t="s">
        <v>105</v>
      </c>
      <c r="H293" s="64" t="s">
        <v>54</v>
      </c>
      <c r="I293" s="78"/>
      <c r="J293" s="67" t="e">
        <f>+Puantaj!#REF!</f>
        <v>#REF!</v>
      </c>
      <c r="K293" s="64" t="e">
        <f>+Puantaj!#REF!</f>
        <v>#REF!</v>
      </c>
      <c r="L293" s="64" t="e">
        <f>+Puantaj!#REF!</f>
        <v>#REF!</v>
      </c>
      <c r="M293" s="68" t="e">
        <f>+BORDRO!#REF!</f>
        <v>#REF!</v>
      </c>
      <c r="N293" s="64"/>
      <c r="O293" s="79" t="e">
        <f>+BORDRO!#REF!</f>
        <v>#REF!</v>
      </c>
      <c r="P293" s="79">
        <v>0</v>
      </c>
      <c r="Q293" s="69"/>
      <c r="R293" s="69"/>
      <c r="S293" s="70"/>
      <c r="T293" s="70"/>
      <c r="U293" s="71"/>
      <c r="V293" s="72" t="e">
        <f t="shared" si="4"/>
        <v>#REF!</v>
      </c>
      <c r="W293" s="73">
        <v>6</v>
      </c>
      <c r="X293" s="81" t="s">
        <v>99</v>
      </c>
      <c r="Y293" s="65">
        <v>2</v>
      </c>
      <c r="Z293" s="64" t="s">
        <v>51</v>
      </c>
      <c r="AA293" s="74" t="s">
        <v>781</v>
      </c>
      <c r="AB293" s="64">
        <v>2025</v>
      </c>
      <c r="AC293" s="64" t="s">
        <v>106</v>
      </c>
      <c r="AD293" s="80" t="e">
        <f>+BORDRO!#REF!</f>
        <v>#REF!</v>
      </c>
      <c r="AE293" s="75"/>
      <c r="AF293" s="75" t="e">
        <f>+BORDRO!#REF!</f>
        <v>#REF!</v>
      </c>
      <c r="AG293" s="75" t="e">
        <f>+BORDRO!#REF!</f>
        <v>#REF!</v>
      </c>
      <c r="AH293" s="80" t="e">
        <f>+BORDRO!#REF!</f>
        <v>#REF!</v>
      </c>
      <c r="AI293" s="75" t="e">
        <f>+BORDRO!#REF!</f>
        <v>#REF!</v>
      </c>
      <c r="AJ293" s="76" t="e">
        <f>+BORDRO!#REF!</f>
        <v>#REF!</v>
      </c>
    </row>
    <row r="294" spans="1:36" ht="13.8" x14ac:dyDescent="0.25">
      <c r="A294" s="64" t="s">
        <v>51</v>
      </c>
      <c r="B294" s="120">
        <v>46</v>
      </c>
      <c r="C294" s="64" t="s">
        <v>52</v>
      </c>
      <c r="D294" s="64" t="s">
        <v>53</v>
      </c>
      <c r="E294" s="64" t="s">
        <v>53</v>
      </c>
      <c r="F294" s="65">
        <v>1494768</v>
      </c>
      <c r="G294" s="66" t="s">
        <v>105</v>
      </c>
      <c r="H294" s="64" t="s">
        <v>54</v>
      </c>
      <c r="I294" s="78"/>
      <c r="J294" s="67" t="e">
        <f>+Puantaj!#REF!</f>
        <v>#REF!</v>
      </c>
      <c r="K294" s="64" t="e">
        <f>+Puantaj!#REF!</f>
        <v>#REF!</v>
      </c>
      <c r="L294" s="64" t="e">
        <f>+Puantaj!#REF!</f>
        <v>#REF!</v>
      </c>
      <c r="M294" s="68" t="e">
        <f>+BORDRO!#REF!</f>
        <v>#REF!</v>
      </c>
      <c r="N294" s="64"/>
      <c r="O294" s="79" t="e">
        <f>+BORDRO!#REF!</f>
        <v>#REF!</v>
      </c>
      <c r="P294" s="79">
        <v>0</v>
      </c>
      <c r="Q294" s="69"/>
      <c r="R294" s="69"/>
      <c r="S294" s="70"/>
      <c r="T294" s="70"/>
      <c r="U294" s="71"/>
      <c r="V294" s="72" t="e">
        <f t="shared" si="4"/>
        <v>#REF!</v>
      </c>
      <c r="W294" s="73">
        <v>6</v>
      </c>
      <c r="X294" s="81" t="s">
        <v>99</v>
      </c>
      <c r="Y294" s="65">
        <v>2</v>
      </c>
      <c r="Z294" s="64" t="s">
        <v>51</v>
      </c>
      <c r="AA294" s="74" t="s">
        <v>781</v>
      </c>
      <c r="AB294" s="64">
        <v>2025</v>
      </c>
      <c r="AC294" s="64" t="s">
        <v>106</v>
      </c>
      <c r="AD294" s="80" t="e">
        <f>+BORDRO!#REF!</f>
        <v>#REF!</v>
      </c>
      <c r="AE294" s="75"/>
      <c r="AF294" s="75" t="e">
        <f>+BORDRO!#REF!</f>
        <v>#REF!</v>
      </c>
      <c r="AG294" s="75" t="e">
        <f>+BORDRO!#REF!</f>
        <v>#REF!</v>
      </c>
      <c r="AH294" s="80" t="e">
        <f>+BORDRO!#REF!</f>
        <v>#REF!</v>
      </c>
      <c r="AI294" s="75" t="e">
        <f>+BORDRO!#REF!</f>
        <v>#REF!</v>
      </c>
      <c r="AJ294" s="76" t="e">
        <f>+BORDRO!#REF!</f>
        <v>#REF!</v>
      </c>
    </row>
    <row r="295" spans="1:36" ht="13.8" x14ac:dyDescent="0.25">
      <c r="A295" s="64" t="s">
        <v>51</v>
      </c>
      <c r="B295" s="119">
        <v>46</v>
      </c>
      <c r="C295" s="64" t="s">
        <v>52</v>
      </c>
      <c r="D295" s="64" t="s">
        <v>53</v>
      </c>
      <c r="E295" s="64" t="s">
        <v>53</v>
      </c>
      <c r="F295" s="65">
        <v>1494768</v>
      </c>
      <c r="G295" s="66" t="s">
        <v>105</v>
      </c>
      <c r="H295" s="64" t="s">
        <v>54</v>
      </c>
      <c r="I295" s="78"/>
      <c r="J295" s="67" t="e">
        <f>+Puantaj!#REF!</f>
        <v>#REF!</v>
      </c>
      <c r="K295" s="64" t="e">
        <f>+Puantaj!#REF!</f>
        <v>#REF!</v>
      </c>
      <c r="L295" s="64" t="e">
        <f>+Puantaj!#REF!</f>
        <v>#REF!</v>
      </c>
      <c r="M295" s="68" t="e">
        <f>+BORDRO!#REF!</f>
        <v>#REF!</v>
      </c>
      <c r="N295" s="64"/>
      <c r="O295" s="79" t="e">
        <f>+BORDRO!#REF!</f>
        <v>#REF!</v>
      </c>
      <c r="P295" s="79">
        <v>0</v>
      </c>
      <c r="Q295" s="69"/>
      <c r="R295" s="69"/>
      <c r="S295" s="70"/>
      <c r="T295" s="70"/>
      <c r="U295" s="71"/>
      <c r="V295" s="72" t="e">
        <f t="shared" si="4"/>
        <v>#REF!</v>
      </c>
      <c r="W295" s="73">
        <v>6</v>
      </c>
      <c r="X295" s="81" t="s">
        <v>99</v>
      </c>
      <c r="Y295" s="65">
        <v>2</v>
      </c>
      <c r="Z295" s="64" t="s">
        <v>51</v>
      </c>
      <c r="AA295" s="74" t="s">
        <v>781</v>
      </c>
      <c r="AB295" s="64">
        <v>2025</v>
      </c>
      <c r="AC295" s="64" t="s">
        <v>106</v>
      </c>
      <c r="AD295" s="80" t="e">
        <f>+BORDRO!#REF!</f>
        <v>#REF!</v>
      </c>
      <c r="AE295" s="75"/>
      <c r="AF295" s="75" t="e">
        <f>+BORDRO!#REF!</f>
        <v>#REF!</v>
      </c>
      <c r="AG295" s="75" t="e">
        <f>+BORDRO!#REF!</f>
        <v>#REF!</v>
      </c>
      <c r="AH295" s="80" t="e">
        <f>+BORDRO!#REF!</f>
        <v>#REF!</v>
      </c>
      <c r="AI295" s="75" t="e">
        <f>+BORDRO!#REF!</f>
        <v>#REF!</v>
      </c>
      <c r="AJ295" s="76" t="e">
        <f>+BORDRO!#REF!</f>
        <v>#REF!</v>
      </c>
    </row>
    <row r="296" spans="1:36" ht="13.8" x14ac:dyDescent="0.25">
      <c r="A296" s="64" t="s">
        <v>51</v>
      </c>
      <c r="B296" s="120">
        <v>46</v>
      </c>
      <c r="C296" s="64" t="s">
        <v>52</v>
      </c>
      <c r="D296" s="64" t="s">
        <v>53</v>
      </c>
      <c r="E296" s="64" t="s">
        <v>53</v>
      </c>
      <c r="F296" s="65">
        <v>1494768</v>
      </c>
      <c r="G296" s="66" t="s">
        <v>105</v>
      </c>
      <c r="H296" s="64" t="s">
        <v>54</v>
      </c>
      <c r="I296" s="78"/>
      <c r="J296" s="67" t="e">
        <f>+Puantaj!#REF!</f>
        <v>#REF!</v>
      </c>
      <c r="K296" s="64" t="e">
        <f>+Puantaj!#REF!</f>
        <v>#REF!</v>
      </c>
      <c r="L296" s="64" t="e">
        <f>+Puantaj!#REF!</f>
        <v>#REF!</v>
      </c>
      <c r="M296" s="68" t="e">
        <f>+BORDRO!#REF!</f>
        <v>#REF!</v>
      </c>
      <c r="N296" s="64"/>
      <c r="O296" s="79" t="e">
        <f>+BORDRO!#REF!</f>
        <v>#REF!</v>
      </c>
      <c r="P296" s="79">
        <v>0</v>
      </c>
      <c r="Q296" s="69"/>
      <c r="R296" s="69"/>
      <c r="S296" s="70"/>
      <c r="T296" s="70"/>
      <c r="U296" s="71"/>
      <c r="V296" s="72" t="e">
        <f t="shared" si="4"/>
        <v>#REF!</v>
      </c>
      <c r="W296" s="73">
        <v>6</v>
      </c>
      <c r="X296" s="81" t="s">
        <v>99</v>
      </c>
      <c r="Y296" s="65">
        <v>2</v>
      </c>
      <c r="Z296" s="64" t="s">
        <v>51</v>
      </c>
      <c r="AA296" s="74" t="s">
        <v>781</v>
      </c>
      <c r="AB296" s="64">
        <v>2025</v>
      </c>
      <c r="AC296" s="64" t="s">
        <v>106</v>
      </c>
      <c r="AD296" s="80" t="e">
        <f>+BORDRO!#REF!</f>
        <v>#REF!</v>
      </c>
      <c r="AE296" s="75"/>
      <c r="AF296" s="75" t="e">
        <f>+BORDRO!#REF!</f>
        <v>#REF!</v>
      </c>
      <c r="AG296" s="75" t="e">
        <f>+BORDRO!#REF!</f>
        <v>#REF!</v>
      </c>
      <c r="AH296" s="80" t="e">
        <f>+BORDRO!#REF!</f>
        <v>#REF!</v>
      </c>
      <c r="AI296" s="75" t="e">
        <f>+BORDRO!#REF!</f>
        <v>#REF!</v>
      </c>
      <c r="AJ296" s="76" t="e">
        <f>+BORDRO!#REF!</f>
        <v>#REF!</v>
      </c>
    </row>
    <row r="297" spans="1:36" ht="13.8" x14ac:dyDescent="0.25">
      <c r="A297" s="64" t="s">
        <v>51</v>
      </c>
      <c r="B297" s="119">
        <v>46</v>
      </c>
      <c r="C297" s="64" t="s">
        <v>52</v>
      </c>
      <c r="D297" s="64" t="s">
        <v>53</v>
      </c>
      <c r="E297" s="64" t="s">
        <v>53</v>
      </c>
      <c r="F297" s="65">
        <v>1494768</v>
      </c>
      <c r="G297" s="66" t="s">
        <v>105</v>
      </c>
      <c r="H297" s="64" t="s">
        <v>54</v>
      </c>
      <c r="I297" s="78"/>
      <c r="J297" s="67" t="e">
        <f>+Puantaj!#REF!</f>
        <v>#REF!</v>
      </c>
      <c r="K297" s="64" t="e">
        <f>+Puantaj!#REF!</f>
        <v>#REF!</v>
      </c>
      <c r="L297" s="64" t="e">
        <f>+Puantaj!#REF!</f>
        <v>#REF!</v>
      </c>
      <c r="M297" s="68" t="e">
        <f>+BORDRO!#REF!</f>
        <v>#REF!</v>
      </c>
      <c r="N297" s="64"/>
      <c r="O297" s="79" t="e">
        <f>+BORDRO!#REF!</f>
        <v>#REF!</v>
      </c>
      <c r="P297" s="79">
        <v>0</v>
      </c>
      <c r="Q297" s="69"/>
      <c r="R297" s="69"/>
      <c r="S297" s="70"/>
      <c r="T297" s="70"/>
      <c r="U297" s="71"/>
      <c r="V297" s="72" t="e">
        <f t="shared" si="4"/>
        <v>#REF!</v>
      </c>
      <c r="W297" s="73">
        <v>6</v>
      </c>
      <c r="X297" s="81" t="s">
        <v>99</v>
      </c>
      <c r="Y297" s="65">
        <v>2</v>
      </c>
      <c r="Z297" s="64" t="s">
        <v>51</v>
      </c>
      <c r="AA297" s="74" t="s">
        <v>781</v>
      </c>
      <c r="AB297" s="64">
        <v>2025</v>
      </c>
      <c r="AC297" s="64" t="s">
        <v>106</v>
      </c>
      <c r="AD297" s="80" t="e">
        <f>+BORDRO!#REF!</f>
        <v>#REF!</v>
      </c>
      <c r="AE297" s="75"/>
      <c r="AF297" s="75" t="e">
        <f>+BORDRO!#REF!</f>
        <v>#REF!</v>
      </c>
      <c r="AG297" s="75" t="e">
        <f>+BORDRO!#REF!</f>
        <v>#REF!</v>
      </c>
      <c r="AH297" s="80" t="e">
        <f>+BORDRO!#REF!</f>
        <v>#REF!</v>
      </c>
      <c r="AI297" s="75" t="e">
        <f>+BORDRO!#REF!</f>
        <v>#REF!</v>
      </c>
      <c r="AJ297" s="76" t="e">
        <f>+BORDRO!#REF!</f>
        <v>#REF!</v>
      </c>
    </row>
    <row r="298" spans="1:36" ht="13.8" x14ac:dyDescent="0.25">
      <c r="A298" s="64" t="s">
        <v>51</v>
      </c>
      <c r="B298" s="120">
        <v>46</v>
      </c>
      <c r="C298" s="64" t="s">
        <v>52</v>
      </c>
      <c r="D298" s="64" t="s">
        <v>53</v>
      </c>
      <c r="E298" s="64" t="s">
        <v>53</v>
      </c>
      <c r="F298" s="65">
        <v>1494768</v>
      </c>
      <c r="G298" s="66" t="s">
        <v>105</v>
      </c>
      <c r="H298" s="64" t="s">
        <v>54</v>
      </c>
      <c r="I298" s="78"/>
      <c r="J298" s="67" t="e">
        <f>+Puantaj!#REF!</f>
        <v>#REF!</v>
      </c>
      <c r="K298" s="64" t="e">
        <f>+Puantaj!#REF!</f>
        <v>#REF!</v>
      </c>
      <c r="L298" s="64" t="e">
        <f>+Puantaj!#REF!</f>
        <v>#REF!</v>
      </c>
      <c r="M298" s="68" t="e">
        <f>+BORDRO!#REF!</f>
        <v>#REF!</v>
      </c>
      <c r="N298" s="64"/>
      <c r="O298" s="79" t="e">
        <f>+BORDRO!#REF!</f>
        <v>#REF!</v>
      </c>
      <c r="P298" s="79">
        <v>0</v>
      </c>
      <c r="Q298" s="69"/>
      <c r="R298" s="69"/>
      <c r="S298" s="70"/>
      <c r="T298" s="70"/>
      <c r="U298" s="71"/>
      <c r="V298" s="72" t="e">
        <f t="shared" si="4"/>
        <v>#REF!</v>
      </c>
      <c r="W298" s="73">
        <v>6</v>
      </c>
      <c r="X298" s="81" t="s">
        <v>99</v>
      </c>
      <c r="Y298" s="65">
        <v>2</v>
      </c>
      <c r="Z298" s="64" t="s">
        <v>51</v>
      </c>
      <c r="AA298" s="74" t="s">
        <v>781</v>
      </c>
      <c r="AB298" s="64">
        <v>2025</v>
      </c>
      <c r="AC298" s="64" t="s">
        <v>106</v>
      </c>
      <c r="AD298" s="80" t="e">
        <f>+BORDRO!#REF!</f>
        <v>#REF!</v>
      </c>
      <c r="AE298" s="75"/>
      <c r="AF298" s="75" t="e">
        <f>+BORDRO!#REF!</f>
        <v>#REF!</v>
      </c>
      <c r="AG298" s="75" t="e">
        <f>+BORDRO!#REF!</f>
        <v>#REF!</v>
      </c>
      <c r="AH298" s="80" t="e">
        <f>+BORDRO!#REF!</f>
        <v>#REF!</v>
      </c>
      <c r="AI298" s="75" t="e">
        <f>+BORDRO!#REF!</f>
        <v>#REF!</v>
      </c>
      <c r="AJ298" s="76" t="e">
        <f>+BORDRO!#REF!</f>
        <v>#REF!</v>
      </c>
    </row>
    <row r="299" spans="1:36" ht="13.8" x14ac:dyDescent="0.25">
      <c r="A299" s="64" t="s">
        <v>51</v>
      </c>
      <c r="B299" s="119">
        <v>46</v>
      </c>
      <c r="C299" s="64" t="s">
        <v>52</v>
      </c>
      <c r="D299" s="64" t="s">
        <v>53</v>
      </c>
      <c r="E299" s="64" t="s">
        <v>53</v>
      </c>
      <c r="F299" s="65">
        <v>1494768</v>
      </c>
      <c r="G299" s="66" t="s">
        <v>105</v>
      </c>
      <c r="H299" s="64" t="s">
        <v>54</v>
      </c>
      <c r="I299" s="78"/>
      <c r="J299" s="67" t="e">
        <f>+Puantaj!#REF!</f>
        <v>#REF!</v>
      </c>
      <c r="K299" s="64" t="e">
        <f>+Puantaj!#REF!</f>
        <v>#REF!</v>
      </c>
      <c r="L299" s="64" t="e">
        <f>+Puantaj!#REF!</f>
        <v>#REF!</v>
      </c>
      <c r="M299" s="68" t="e">
        <f>+BORDRO!#REF!</f>
        <v>#REF!</v>
      </c>
      <c r="N299" s="64"/>
      <c r="O299" s="79" t="e">
        <f>+BORDRO!#REF!</f>
        <v>#REF!</v>
      </c>
      <c r="P299" s="79">
        <v>0</v>
      </c>
      <c r="Q299" s="69"/>
      <c r="R299" s="69"/>
      <c r="S299" s="70"/>
      <c r="T299" s="70"/>
      <c r="U299" s="71"/>
      <c r="V299" s="72" t="e">
        <f t="shared" si="4"/>
        <v>#REF!</v>
      </c>
      <c r="W299" s="73">
        <v>6</v>
      </c>
      <c r="X299" s="81" t="s">
        <v>99</v>
      </c>
      <c r="Y299" s="65">
        <v>2</v>
      </c>
      <c r="Z299" s="64" t="s">
        <v>51</v>
      </c>
      <c r="AA299" s="74" t="s">
        <v>781</v>
      </c>
      <c r="AB299" s="64">
        <v>2025</v>
      </c>
      <c r="AC299" s="64" t="s">
        <v>106</v>
      </c>
      <c r="AD299" s="80" t="e">
        <f>+BORDRO!#REF!</f>
        <v>#REF!</v>
      </c>
      <c r="AE299" s="75"/>
      <c r="AF299" s="75" t="e">
        <f>+BORDRO!#REF!</f>
        <v>#REF!</v>
      </c>
      <c r="AG299" s="75" t="e">
        <f>+BORDRO!#REF!</f>
        <v>#REF!</v>
      </c>
      <c r="AH299" s="80" t="e">
        <f>+BORDRO!#REF!</f>
        <v>#REF!</v>
      </c>
      <c r="AI299" s="75" t="e">
        <f>+BORDRO!#REF!</f>
        <v>#REF!</v>
      </c>
      <c r="AJ299" s="76" t="e">
        <f>+BORDRO!#REF!</f>
        <v>#REF!</v>
      </c>
    </row>
    <row r="300" spans="1:36" ht="13.8" x14ac:dyDescent="0.25">
      <c r="A300" s="64" t="s">
        <v>51</v>
      </c>
      <c r="B300" s="120">
        <v>46</v>
      </c>
      <c r="C300" s="64" t="s">
        <v>52</v>
      </c>
      <c r="D300" s="64" t="s">
        <v>53</v>
      </c>
      <c r="E300" s="64" t="s">
        <v>53</v>
      </c>
      <c r="F300" s="65">
        <v>1494768</v>
      </c>
      <c r="G300" s="66" t="s">
        <v>105</v>
      </c>
      <c r="H300" s="64" t="s">
        <v>54</v>
      </c>
      <c r="I300" s="78"/>
      <c r="J300" s="67" t="e">
        <f>+Puantaj!#REF!</f>
        <v>#REF!</v>
      </c>
      <c r="K300" s="64" t="e">
        <f>+Puantaj!#REF!</f>
        <v>#REF!</v>
      </c>
      <c r="L300" s="64" t="e">
        <f>+Puantaj!#REF!</f>
        <v>#REF!</v>
      </c>
      <c r="M300" s="68" t="e">
        <f>+BORDRO!#REF!</f>
        <v>#REF!</v>
      </c>
      <c r="N300" s="64"/>
      <c r="O300" s="79" t="e">
        <f>+BORDRO!#REF!</f>
        <v>#REF!</v>
      </c>
      <c r="P300" s="79">
        <v>0</v>
      </c>
      <c r="Q300" s="69"/>
      <c r="R300" s="69"/>
      <c r="S300" s="70"/>
      <c r="T300" s="70"/>
      <c r="U300" s="71"/>
      <c r="V300" s="72" t="e">
        <f t="shared" si="4"/>
        <v>#REF!</v>
      </c>
      <c r="W300" s="73">
        <v>6</v>
      </c>
      <c r="X300" s="81" t="s">
        <v>99</v>
      </c>
      <c r="Y300" s="65">
        <v>2</v>
      </c>
      <c r="Z300" s="64" t="s">
        <v>51</v>
      </c>
      <c r="AA300" s="74" t="s">
        <v>781</v>
      </c>
      <c r="AB300" s="64">
        <v>2025</v>
      </c>
      <c r="AC300" s="64" t="s">
        <v>106</v>
      </c>
      <c r="AD300" s="80" t="e">
        <f>+BORDRO!#REF!</f>
        <v>#REF!</v>
      </c>
      <c r="AE300" s="75"/>
      <c r="AF300" s="75" t="e">
        <f>+BORDRO!#REF!</f>
        <v>#REF!</v>
      </c>
      <c r="AG300" s="75" t="e">
        <f>+BORDRO!#REF!</f>
        <v>#REF!</v>
      </c>
      <c r="AH300" s="80" t="e">
        <f>+BORDRO!#REF!</f>
        <v>#REF!</v>
      </c>
      <c r="AI300" s="75" t="e">
        <f>+BORDRO!#REF!</f>
        <v>#REF!</v>
      </c>
      <c r="AJ300" s="76" t="e">
        <f>+BORDRO!#REF!</f>
        <v>#REF!</v>
      </c>
    </row>
    <row r="301" spans="1:36" ht="13.8" x14ac:dyDescent="0.25">
      <c r="A301" s="64" t="s">
        <v>51</v>
      </c>
      <c r="B301" s="119">
        <v>46</v>
      </c>
      <c r="C301" s="64" t="s">
        <v>52</v>
      </c>
      <c r="D301" s="64" t="s">
        <v>53</v>
      </c>
      <c r="E301" s="64" t="s">
        <v>53</v>
      </c>
      <c r="F301" s="65">
        <v>1494768</v>
      </c>
      <c r="G301" s="66" t="s">
        <v>105</v>
      </c>
      <c r="H301" s="64" t="s">
        <v>54</v>
      </c>
      <c r="I301" s="78"/>
      <c r="J301" s="67" t="e">
        <f>+Puantaj!#REF!</f>
        <v>#REF!</v>
      </c>
      <c r="K301" s="64" t="e">
        <f>+Puantaj!#REF!</f>
        <v>#REF!</v>
      </c>
      <c r="L301" s="64" t="e">
        <f>+Puantaj!#REF!</f>
        <v>#REF!</v>
      </c>
      <c r="M301" s="68" t="e">
        <f>+BORDRO!#REF!</f>
        <v>#REF!</v>
      </c>
      <c r="N301" s="64"/>
      <c r="O301" s="79" t="e">
        <f>+BORDRO!#REF!</f>
        <v>#REF!</v>
      </c>
      <c r="P301" s="79">
        <v>0</v>
      </c>
      <c r="Q301" s="69"/>
      <c r="R301" s="69"/>
      <c r="S301" s="70"/>
      <c r="T301" s="70"/>
      <c r="U301" s="71"/>
      <c r="V301" s="72" t="e">
        <f t="shared" si="4"/>
        <v>#REF!</v>
      </c>
      <c r="W301" s="73">
        <v>6</v>
      </c>
      <c r="X301" s="81" t="s">
        <v>99</v>
      </c>
      <c r="Y301" s="65">
        <v>2</v>
      </c>
      <c r="Z301" s="64" t="s">
        <v>51</v>
      </c>
      <c r="AA301" s="74" t="s">
        <v>781</v>
      </c>
      <c r="AB301" s="64">
        <v>2025</v>
      </c>
      <c r="AC301" s="64" t="s">
        <v>106</v>
      </c>
      <c r="AD301" s="80" t="e">
        <f>+BORDRO!#REF!</f>
        <v>#REF!</v>
      </c>
      <c r="AE301" s="75"/>
      <c r="AF301" s="75" t="e">
        <f>+BORDRO!#REF!</f>
        <v>#REF!</v>
      </c>
      <c r="AG301" s="75" t="e">
        <f>+BORDRO!#REF!</f>
        <v>#REF!</v>
      </c>
      <c r="AH301" s="80" t="e">
        <f>+BORDRO!#REF!</f>
        <v>#REF!</v>
      </c>
      <c r="AI301" s="75" t="e">
        <f>+BORDRO!#REF!</f>
        <v>#REF!</v>
      </c>
      <c r="AJ301" s="76" t="e">
        <f>+BORDRO!#REF!</f>
        <v>#REF!</v>
      </c>
    </row>
    <row r="302" spans="1:36" ht="13.8" x14ac:dyDescent="0.25">
      <c r="A302" s="64" t="s">
        <v>51</v>
      </c>
      <c r="B302" s="120">
        <v>46</v>
      </c>
      <c r="C302" s="64" t="s">
        <v>52</v>
      </c>
      <c r="D302" s="64" t="s">
        <v>53</v>
      </c>
      <c r="E302" s="64" t="s">
        <v>53</v>
      </c>
      <c r="F302" s="65">
        <v>1494768</v>
      </c>
      <c r="G302" s="66" t="s">
        <v>105</v>
      </c>
      <c r="H302" s="64" t="s">
        <v>54</v>
      </c>
      <c r="I302" s="78"/>
      <c r="J302" s="67" t="e">
        <f>+Puantaj!#REF!</f>
        <v>#REF!</v>
      </c>
      <c r="K302" s="64" t="e">
        <f>+Puantaj!#REF!</f>
        <v>#REF!</v>
      </c>
      <c r="L302" s="64" t="e">
        <f>+Puantaj!#REF!</f>
        <v>#REF!</v>
      </c>
      <c r="M302" s="68" t="e">
        <f>+BORDRO!#REF!</f>
        <v>#REF!</v>
      </c>
      <c r="N302" s="64"/>
      <c r="O302" s="79" t="e">
        <f>+BORDRO!#REF!</f>
        <v>#REF!</v>
      </c>
      <c r="P302" s="79">
        <v>0</v>
      </c>
      <c r="Q302" s="69"/>
      <c r="R302" s="69"/>
      <c r="S302" s="70"/>
      <c r="T302" s="70"/>
      <c r="U302" s="71"/>
      <c r="V302" s="72" t="e">
        <f t="shared" si="4"/>
        <v>#REF!</v>
      </c>
      <c r="W302" s="73">
        <v>6</v>
      </c>
      <c r="X302" s="81" t="s">
        <v>99</v>
      </c>
      <c r="Y302" s="65">
        <v>2</v>
      </c>
      <c r="Z302" s="64" t="s">
        <v>51</v>
      </c>
      <c r="AA302" s="74" t="s">
        <v>781</v>
      </c>
      <c r="AB302" s="64">
        <v>2025</v>
      </c>
      <c r="AC302" s="64" t="s">
        <v>106</v>
      </c>
      <c r="AD302" s="80" t="e">
        <f>+BORDRO!#REF!</f>
        <v>#REF!</v>
      </c>
      <c r="AE302" s="75"/>
      <c r="AF302" s="75" t="e">
        <f>+BORDRO!#REF!</f>
        <v>#REF!</v>
      </c>
      <c r="AG302" s="75" t="e">
        <f>+BORDRO!#REF!</f>
        <v>#REF!</v>
      </c>
      <c r="AH302" s="80" t="e">
        <f>+BORDRO!#REF!</f>
        <v>#REF!</v>
      </c>
      <c r="AI302" s="75" t="e">
        <f>+BORDRO!#REF!</f>
        <v>#REF!</v>
      </c>
      <c r="AJ302" s="76" t="e">
        <f>+BORDRO!#REF!</f>
        <v>#REF!</v>
      </c>
    </row>
    <row r="303" spans="1:36" ht="13.8" x14ac:dyDescent="0.25">
      <c r="A303" s="64" t="s">
        <v>51</v>
      </c>
      <c r="B303" s="119">
        <v>46</v>
      </c>
      <c r="C303" s="64" t="s">
        <v>52</v>
      </c>
      <c r="D303" s="64" t="s">
        <v>53</v>
      </c>
      <c r="E303" s="64" t="s">
        <v>53</v>
      </c>
      <c r="F303" s="65">
        <v>1494768</v>
      </c>
      <c r="G303" s="66" t="s">
        <v>105</v>
      </c>
      <c r="H303" s="64" t="s">
        <v>54</v>
      </c>
      <c r="I303" s="78"/>
      <c r="J303" s="67" t="e">
        <f>+Puantaj!#REF!</f>
        <v>#REF!</v>
      </c>
      <c r="K303" s="64" t="e">
        <f>+Puantaj!#REF!</f>
        <v>#REF!</v>
      </c>
      <c r="L303" s="64" t="e">
        <f>+Puantaj!#REF!</f>
        <v>#REF!</v>
      </c>
      <c r="M303" s="68" t="e">
        <f>+BORDRO!#REF!</f>
        <v>#REF!</v>
      </c>
      <c r="N303" s="64"/>
      <c r="O303" s="79" t="e">
        <f>+BORDRO!#REF!</f>
        <v>#REF!</v>
      </c>
      <c r="P303" s="79">
        <v>0</v>
      </c>
      <c r="Q303" s="69"/>
      <c r="R303" s="69"/>
      <c r="S303" s="70"/>
      <c r="T303" s="70"/>
      <c r="U303" s="71"/>
      <c r="V303" s="72" t="e">
        <f t="shared" si="4"/>
        <v>#REF!</v>
      </c>
      <c r="W303" s="73">
        <v>6</v>
      </c>
      <c r="X303" s="81" t="s">
        <v>99</v>
      </c>
      <c r="Y303" s="65">
        <v>2</v>
      </c>
      <c r="Z303" s="64" t="s">
        <v>51</v>
      </c>
      <c r="AA303" s="74" t="s">
        <v>781</v>
      </c>
      <c r="AB303" s="64">
        <v>2025</v>
      </c>
      <c r="AC303" s="64" t="s">
        <v>106</v>
      </c>
      <c r="AD303" s="80" t="e">
        <f>+BORDRO!#REF!</f>
        <v>#REF!</v>
      </c>
      <c r="AE303" s="75"/>
      <c r="AF303" s="75" t="e">
        <f>+BORDRO!#REF!</f>
        <v>#REF!</v>
      </c>
      <c r="AG303" s="75" t="e">
        <f>+BORDRO!#REF!</f>
        <v>#REF!</v>
      </c>
      <c r="AH303" s="80" t="e">
        <f>+BORDRO!#REF!</f>
        <v>#REF!</v>
      </c>
      <c r="AI303" s="75" t="e">
        <f>+BORDRO!#REF!</f>
        <v>#REF!</v>
      </c>
      <c r="AJ303" s="76" t="e">
        <f>+BORDRO!#REF!</f>
        <v>#REF!</v>
      </c>
    </row>
    <row r="304" spans="1:36" ht="13.8" x14ac:dyDescent="0.25">
      <c r="A304" s="64" t="s">
        <v>51</v>
      </c>
      <c r="B304" s="120">
        <v>46</v>
      </c>
      <c r="C304" s="64" t="s">
        <v>52</v>
      </c>
      <c r="D304" s="64" t="s">
        <v>53</v>
      </c>
      <c r="E304" s="64" t="s">
        <v>53</v>
      </c>
      <c r="F304" s="65">
        <v>1494768</v>
      </c>
      <c r="G304" s="66" t="s">
        <v>105</v>
      </c>
      <c r="H304" s="64" t="s">
        <v>54</v>
      </c>
      <c r="I304" s="78"/>
      <c r="J304" s="67" t="e">
        <f>+Puantaj!#REF!</f>
        <v>#REF!</v>
      </c>
      <c r="K304" s="64" t="e">
        <f>+Puantaj!#REF!</f>
        <v>#REF!</v>
      </c>
      <c r="L304" s="64" t="e">
        <f>+Puantaj!#REF!</f>
        <v>#REF!</v>
      </c>
      <c r="M304" s="68" t="e">
        <f>+BORDRO!#REF!</f>
        <v>#REF!</v>
      </c>
      <c r="N304" s="64"/>
      <c r="O304" s="79" t="e">
        <f>+BORDRO!#REF!</f>
        <v>#REF!</v>
      </c>
      <c r="P304" s="79">
        <v>0</v>
      </c>
      <c r="Q304" s="69"/>
      <c r="R304" s="69"/>
      <c r="S304" s="70"/>
      <c r="T304" s="70"/>
      <c r="U304" s="71"/>
      <c r="V304" s="72" t="e">
        <f t="shared" si="4"/>
        <v>#REF!</v>
      </c>
      <c r="W304" s="73">
        <v>6</v>
      </c>
      <c r="X304" s="81" t="s">
        <v>99</v>
      </c>
      <c r="Y304" s="65">
        <v>2</v>
      </c>
      <c r="Z304" s="64" t="s">
        <v>51</v>
      </c>
      <c r="AA304" s="74" t="s">
        <v>781</v>
      </c>
      <c r="AB304" s="64">
        <v>2025</v>
      </c>
      <c r="AC304" s="64" t="s">
        <v>106</v>
      </c>
      <c r="AD304" s="80" t="e">
        <f>+BORDRO!#REF!</f>
        <v>#REF!</v>
      </c>
      <c r="AE304" s="75"/>
      <c r="AF304" s="75" t="e">
        <f>+BORDRO!#REF!</f>
        <v>#REF!</v>
      </c>
      <c r="AG304" s="75" t="e">
        <f>+BORDRO!#REF!</f>
        <v>#REF!</v>
      </c>
      <c r="AH304" s="80" t="e">
        <f>+BORDRO!#REF!</f>
        <v>#REF!</v>
      </c>
      <c r="AI304" s="75" t="e">
        <f>+BORDRO!#REF!</f>
        <v>#REF!</v>
      </c>
      <c r="AJ304" s="76" t="e">
        <f>+BORDRO!#REF!</f>
        <v>#REF!</v>
      </c>
    </row>
    <row r="305" spans="1:36" ht="13.8" x14ac:dyDescent="0.25">
      <c r="A305" s="64" t="s">
        <v>51</v>
      </c>
      <c r="B305" s="119">
        <v>46</v>
      </c>
      <c r="C305" s="64" t="s">
        <v>52</v>
      </c>
      <c r="D305" s="64" t="s">
        <v>53</v>
      </c>
      <c r="E305" s="64" t="s">
        <v>53</v>
      </c>
      <c r="F305" s="65">
        <v>1494768</v>
      </c>
      <c r="G305" s="66" t="s">
        <v>105</v>
      </c>
      <c r="H305" s="64" t="s">
        <v>54</v>
      </c>
      <c r="I305" s="78"/>
      <c r="J305" s="67" t="e">
        <f>+Puantaj!#REF!</f>
        <v>#REF!</v>
      </c>
      <c r="K305" s="64" t="e">
        <f>+Puantaj!#REF!</f>
        <v>#REF!</v>
      </c>
      <c r="L305" s="64" t="e">
        <f>+Puantaj!#REF!</f>
        <v>#REF!</v>
      </c>
      <c r="M305" s="68" t="e">
        <f>+BORDRO!#REF!</f>
        <v>#REF!</v>
      </c>
      <c r="N305" s="64"/>
      <c r="O305" s="79" t="e">
        <f>+BORDRO!#REF!</f>
        <v>#REF!</v>
      </c>
      <c r="P305" s="79">
        <v>0</v>
      </c>
      <c r="Q305" s="69"/>
      <c r="R305" s="69"/>
      <c r="S305" s="70"/>
      <c r="T305" s="70"/>
      <c r="U305" s="71"/>
      <c r="V305" s="72" t="e">
        <f t="shared" si="4"/>
        <v>#REF!</v>
      </c>
      <c r="W305" s="73">
        <v>6</v>
      </c>
      <c r="X305" s="81" t="s">
        <v>99</v>
      </c>
      <c r="Y305" s="65">
        <v>2</v>
      </c>
      <c r="Z305" s="64" t="s">
        <v>51</v>
      </c>
      <c r="AA305" s="74" t="s">
        <v>781</v>
      </c>
      <c r="AB305" s="64">
        <v>2025</v>
      </c>
      <c r="AC305" s="64" t="s">
        <v>106</v>
      </c>
      <c r="AD305" s="80" t="e">
        <f>+BORDRO!#REF!</f>
        <v>#REF!</v>
      </c>
      <c r="AE305" s="75"/>
      <c r="AF305" s="75" t="e">
        <f>+BORDRO!#REF!</f>
        <v>#REF!</v>
      </c>
      <c r="AG305" s="75" t="e">
        <f>+BORDRO!#REF!</f>
        <v>#REF!</v>
      </c>
      <c r="AH305" s="80" t="e">
        <f>+BORDRO!#REF!</f>
        <v>#REF!</v>
      </c>
      <c r="AI305" s="75" t="e">
        <f>+BORDRO!#REF!</f>
        <v>#REF!</v>
      </c>
      <c r="AJ305" s="76" t="e">
        <f>+BORDRO!#REF!</f>
        <v>#REF!</v>
      </c>
    </row>
    <row r="306" spans="1:36" ht="13.8" x14ac:dyDescent="0.25">
      <c r="A306" s="64" t="s">
        <v>51</v>
      </c>
      <c r="B306" s="120">
        <v>46</v>
      </c>
      <c r="C306" s="64" t="s">
        <v>52</v>
      </c>
      <c r="D306" s="64" t="s">
        <v>53</v>
      </c>
      <c r="E306" s="64" t="s">
        <v>53</v>
      </c>
      <c r="F306" s="65">
        <v>1494768</v>
      </c>
      <c r="G306" s="66" t="s">
        <v>105</v>
      </c>
      <c r="H306" s="64" t="s">
        <v>54</v>
      </c>
      <c r="I306" s="78"/>
      <c r="J306" s="67" t="e">
        <f>+Puantaj!#REF!</f>
        <v>#REF!</v>
      </c>
      <c r="K306" s="64" t="e">
        <f>+Puantaj!#REF!</f>
        <v>#REF!</v>
      </c>
      <c r="L306" s="64" t="e">
        <f>+Puantaj!#REF!</f>
        <v>#REF!</v>
      </c>
      <c r="M306" s="68" t="e">
        <f>+BORDRO!#REF!</f>
        <v>#REF!</v>
      </c>
      <c r="N306" s="64"/>
      <c r="O306" s="79" t="e">
        <f>+BORDRO!#REF!</f>
        <v>#REF!</v>
      </c>
      <c r="P306" s="79">
        <v>0</v>
      </c>
      <c r="Q306" s="69"/>
      <c r="R306" s="69"/>
      <c r="S306" s="70"/>
      <c r="T306" s="70"/>
      <c r="U306" s="71"/>
      <c r="V306" s="72" t="e">
        <f t="shared" si="4"/>
        <v>#REF!</v>
      </c>
      <c r="W306" s="73">
        <v>6</v>
      </c>
      <c r="X306" s="81" t="s">
        <v>99</v>
      </c>
      <c r="Y306" s="65">
        <v>2</v>
      </c>
      <c r="Z306" s="64" t="s">
        <v>51</v>
      </c>
      <c r="AA306" s="74" t="s">
        <v>781</v>
      </c>
      <c r="AB306" s="64">
        <v>2025</v>
      </c>
      <c r="AC306" s="64" t="s">
        <v>106</v>
      </c>
      <c r="AD306" s="80" t="e">
        <f>+BORDRO!#REF!</f>
        <v>#REF!</v>
      </c>
      <c r="AE306" s="75"/>
      <c r="AF306" s="75" t="e">
        <f>+BORDRO!#REF!</f>
        <v>#REF!</v>
      </c>
      <c r="AG306" s="75" t="e">
        <f>+BORDRO!#REF!</f>
        <v>#REF!</v>
      </c>
      <c r="AH306" s="80" t="e">
        <f>+BORDRO!#REF!</f>
        <v>#REF!</v>
      </c>
      <c r="AI306" s="75" t="e">
        <f>+BORDRO!#REF!</f>
        <v>#REF!</v>
      </c>
      <c r="AJ306" s="76" t="e">
        <f>+BORDRO!#REF!</f>
        <v>#REF!</v>
      </c>
    </row>
    <row r="307" spans="1:36" ht="13.8" x14ac:dyDescent="0.25">
      <c r="A307" s="64" t="s">
        <v>51</v>
      </c>
      <c r="B307" s="119">
        <v>46</v>
      </c>
      <c r="C307" s="64" t="s">
        <v>52</v>
      </c>
      <c r="D307" s="64" t="s">
        <v>53</v>
      </c>
      <c r="E307" s="64" t="s">
        <v>53</v>
      </c>
      <c r="F307" s="65">
        <v>1494768</v>
      </c>
      <c r="G307" s="66" t="s">
        <v>105</v>
      </c>
      <c r="H307" s="64" t="s">
        <v>54</v>
      </c>
      <c r="I307" s="78"/>
      <c r="J307" s="67" t="e">
        <f>+Puantaj!#REF!</f>
        <v>#REF!</v>
      </c>
      <c r="K307" s="64" t="e">
        <f>+Puantaj!#REF!</f>
        <v>#REF!</v>
      </c>
      <c r="L307" s="64" t="e">
        <f>+Puantaj!#REF!</f>
        <v>#REF!</v>
      </c>
      <c r="M307" s="68" t="e">
        <f>+BORDRO!#REF!</f>
        <v>#REF!</v>
      </c>
      <c r="N307" s="64"/>
      <c r="O307" s="79" t="e">
        <f>+BORDRO!#REF!</f>
        <v>#REF!</v>
      </c>
      <c r="P307" s="79">
        <v>0</v>
      </c>
      <c r="Q307" s="69"/>
      <c r="R307" s="69"/>
      <c r="S307" s="70"/>
      <c r="T307" s="70"/>
      <c r="U307" s="71"/>
      <c r="V307" s="72" t="e">
        <f t="shared" si="4"/>
        <v>#REF!</v>
      </c>
      <c r="W307" s="73">
        <v>6</v>
      </c>
      <c r="X307" s="81" t="s">
        <v>99</v>
      </c>
      <c r="Y307" s="65">
        <v>2</v>
      </c>
      <c r="Z307" s="64" t="s">
        <v>51</v>
      </c>
      <c r="AA307" s="74" t="s">
        <v>781</v>
      </c>
      <c r="AB307" s="64">
        <v>2025</v>
      </c>
      <c r="AC307" s="64" t="s">
        <v>106</v>
      </c>
      <c r="AD307" s="80" t="e">
        <f>+BORDRO!#REF!</f>
        <v>#REF!</v>
      </c>
      <c r="AE307" s="75"/>
      <c r="AF307" s="75" t="e">
        <f>+BORDRO!#REF!</f>
        <v>#REF!</v>
      </c>
      <c r="AG307" s="75" t="e">
        <f>+BORDRO!#REF!</f>
        <v>#REF!</v>
      </c>
      <c r="AH307" s="80" t="e">
        <f>+BORDRO!#REF!</f>
        <v>#REF!</v>
      </c>
      <c r="AI307" s="75" t="e">
        <f>+BORDRO!#REF!</f>
        <v>#REF!</v>
      </c>
      <c r="AJ307" s="76" t="e">
        <f>+BORDRO!#REF!</f>
        <v>#REF!</v>
      </c>
    </row>
    <row r="308" spans="1:36" ht="13.8" x14ac:dyDescent="0.25">
      <c r="A308" s="64" t="s">
        <v>51</v>
      </c>
      <c r="B308" s="120">
        <v>46</v>
      </c>
      <c r="C308" s="64" t="s">
        <v>52</v>
      </c>
      <c r="D308" s="64" t="s">
        <v>53</v>
      </c>
      <c r="E308" s="64" t="s">
        <v>53</v>
      </c>
      <c r="F308" s="65">
        <v>1494768</v>
      </c>
      <c r="G308" s="66" t="s">
        <v>105</v>
      </c>
      <c r="H308" s="64" t="s">
        <v>54</v>
      </c>
      <c r="I308" s="78"/>
      <c r="J308" s="67" t="e">
        <f>+Puantaj!#REF!</f>
        <v>#REF!</v>
      </c>
      <c r="K308" s="64" t="e">
        <f>+Puantaj!#REF!</f>
        <v>#REF!</v>
      </c>
      <c r="L308" s="64" t="e">
        <f>+Puantaj!#REF!</f>
        <v>#REF!</v>
      </c>
      <c r="M308" s="68" t="e">
        <f>+BORDRO!#REF!</f>
        <v>#REF!</v>
      </c>
      <c r="N308" s="64"/>
      <c r="O308" s="79" t="e">
        <f>+BORDRO!#REF!</f>
        <v>#REF!</v>
      </c>
      <c r="P308" s="79">
        <v>0</v>
      </c>
      <c r="Q308" s="69"/>
      <c r="R308" s="69"/>
      <c r="S308" s="70"/>
      <c r="T308" s="70"/>
      <c r="U308" s="71"/>
      <c r="V308" s="72" t="e">
        <f t="shared" si="4"/>
        <v>#REF!</v>
      </c>
      <c r="W308" s="73">
        <v>6</v>
      </c>
      <c r="X308" s="81" t="s">
        <v>99</v>
      </c>
      <c r="Y308" s="65">
        <v>2</v>
      </c>
      <c r="Z308" s="64" t="s">
        <v>51</v>
      </c>
      <c r="AA308" s="74" t="s">
        <v>781</v>
      </c>
      <c r="AB308" s="64">
        <v>2025</v>
      </c>
      <c r="AC308" s="64" t="s">
        <v>106</v>
      </c>
      <c r="AD308" s="80" t="e">
        <f>+BORDRO!#REF!</f>
        <v>#REF!</v>
      </c>
      <c r="AE308" s="75"/>
      <c r="AF308" s="75" t="e">
        <f>+BORDRO!#REF!</f>
        <v>#REF!</v>
      </c>
      <c r="AG308" s="75" t="e">
        <f>+BORDRO!#REF!</f>
        <v>#REF!</v>
      </c>
      <c r="AH308" s="80" t="e">
        <f>+BORDRO!#REF!</f>
        <v>#REF!</v>
      </c>
      <c r="AI308" s="75" t="e">
        <f>+BORDRO!#REF!</f>
        <v>#REF!</v>
      </c>
      <c r="AJ308" s="76" t="e">
        <f>+BORDRO!#REF!</f>
        <v>#REF!</v>
      </c>
    </row>
    <row r="309" spans="1:36" ht="13.8" x14ac:dyDescent="0.25">
      <c r="A309" s="64" t="s">
        <v>51</v>
      </c>
      <c r="B309" s="119">
        <v>46</v>
      </c>
      <c r="C309" s="64" t="s">
        <v>52</v>
      </c>
      <c r="D309" s="64" t="s">
        <v>53</v>
      </c>
      <c r="E309" s="64" t="s">
        <v>53</v>
      </c>
      <c r="F309" s="65">
        <v>1494768</v>
      </c>
      <c r="G309" s="66" t="s">
        <v>105</v>
      </c>
      <c r="H309" s="64" t="s">
        <v>54</v>
      </c>
      <c r="I309" s="78"/>
      <c r="J309" s="67" t="e">
        <f>+Puantaj!#REF!</f>
        <v>#REF!</v>
      </c>
      <c r="K309" s="64" t="e">
        <f>+Puantaj!#REF!</f>
        <v>#REF!</v>
      </c>
      <c r="L309" s="64" t="e">
        <f>+Puantaj!#REF!</f>
        <v>#REF!</v>
      </c>
      <c r="M309" s="68" t="e">
        <f>+BORDRO!#REF!</f>
        <v>#REF!</v>
      </c>
      <c r="N309" s="64"/>
      <c r="O309" s="79" t="e">
        <f>+BORDRO!#REF!</f>
        <v>#REF!</v>
      </c>
      <c r="P309" s="79">
        <v>0</v>
      </c>
      <c r="Q309" s="69"/>
      <c r="R309" s="69"/>
      <c r="S309" s="70"/>
      <c r="T309" s="70"/>
      <c r="U309" s="71"/>
      <c r="V309" s="72" t="e">
        <f t="shared" si="4"/>
        <v>#REF!</v>
      </c>
      <c r="W309" s="73">
        <v>6</v>
      </c>
      <c r="X309" s="81" t="s">
        <v>99</v>
      </c>
      <c r="Y309" s="65">
        <v>2</v>
      </c>
      <c r="Z309" s="64" t="s">
        <v>51</v>
      </c>
      <c r="AA309" s="74" t="s">
        <v>781</v>
      </c>
      <c r="AB309" s="64">
        <v>2025</v>
      </c>
      <c r="AC309" s="64" t="s">
        <v>106</v>
      </c>
      <c r="AD309" s="80" t="e">
        <f>+BORDRO!#REF!</f>
        <v>#REF!</v>
      </c>
      <c r="AE309" s="75"/>
      <c r="AF309" s="75" t="e">
        <f>+BORDRO!#REF!</f>
        <v>#REF!</v>
      </c>
      <c r="AG309" s="75" t="e">
        <f>+BORDRO!#REF!</f>
        <v>#REF!</v>
      </c>
      <c r="AH309" s="80" t="e">
        <f>+BORDRO!#REF!</f>
        <v>#REF!</v>
      </c>
      <c r="AI309" s="75" t="e">
        <f>+BORDRO!#REF!</f>
        <v>#REF!</v>
      </c>
      <c r="AJ309" s="76" t="e">
        <f>+BORDRO!#REF!</f>
        <v>#REF!</v>
      </c>
    </row>
    <row r="310" spans="1:36" ht="13.8" x14ac:dyDescent="0.25">
      <c r="A310" s="64" t="s">
        <v>51</v>
      </c>
      <c r="B310" s="120">
        <v>46</v>
      </c>
      <c r="C310" s="64" t="s">
        <v>52</v>
      </c>
      <c r="D310" s="64" t="s">
        <v>53</v>
      </c>
      <c r="E310" s="64" t="s">
        <v>53</v>
      </c>
      <c r="F310" s="65">
        <v>1494768</v>
      </c>
      <c r="G310" s="66" t="s">
        <v>105</v>
      </c>
      <c r="H310" s="64" t="s">
        <v>54</v>
      </c>
      <c r="I310" s="78"/>
      <c r="J310" s="67" t="e">
        <f>+Puantaj!#REF!</f>
        <v>#REF!</v>
      </c>
      <c r="K310" s="64" t="e">
        <f>+Puantaj!#REF!</f>
        <v>#REF!</v>
      </c>
      <c r="L310" s="64" t="e">
        <f>+Puantaj!#REF!</f>
        <v>#REF!</v>
      </c>
      <c r="M310" s="68" t="e">
        <f>+BORDRO!#REF!</f>
        <v>#REF!</v>
      </c>
      <c r="N310" s="64"/>
      <c r="O310" s="79" t="e">
        <f>+BORDRO!#REF!</f>
        <v>#REF!</v>
      </c>
      <c r="P310" s="79">
        <v>0</v>
      </c>
      <c r="Q310" s="69"/>
      <c r="R310" s="69"/>
      <c r="S310" s="70"/>
      <c r="T310" s="70"/>
      <c r="U310" s="71"/>
      <c r="V310" s="72" t="e">
        <f t="shared" si="4"/>
        <v>#REF!</v>
      </c>
      <c r="W310" s="73">
        <v>6</v>
      </c>
      <c r="X310" s="81" t="s">
        <v>99</v>
      </c>
      <c r="Y310" s="65">
        <v>2</v>
      </c>
      <c r="Z310" s="64" t="s">
        <v>51</v>
      </c>
      <c r="AA310" s="74" t="s">
        <v>781</v>
      </c>
      <c r="AB310" s="64">
        <v>2025</v>
      </c>
      <c r="AC310" s="64" t="s">
        <v>106</v>
      </c>
      <c r="AD310" s="80" t="e">
        <f>+BORDRO!#REF!</f>
        <v>#REF!</v>
      </c>
      <c r="AE310" s="75"/>
      <c r="AF310" s="75" t="e">
        <f>+BORDRO!#REF!</f>
        <v>#REF!</v>
      </c>
      <c r="AG310" s="75" t="e">
        <f>+BORDRO!#REF!</f>
        <v>#REF!</v>
      </c>
      <c r="AH310" s="80" t="e">
        <f>+BORDRO!#REF!</f>
        <v>#REF!</v>
      </c>
      <c r="AI310" s="75" t="e">
        <f>+BORDRO!#REF!</f>
        <v>#REF!</v>
      </c>
      <c r="AJ310" s="76" t="e">
        <f>+BORDRO!#REF!</f>
        <v>#REF!</v>
      </c>
    </row>
    <row r="311" spans="1:36" ht="13.8" x14ac:dyDescent="0.25">
      <c r="A311" s="64" t="s">
        <v>51</v>
      </c>
      <c r="B311" s="119">
        <v>46</v>
      </c>
      <c r="C311" s="64" t="s">
        <v>52</v>
      </c>
      <c r="D311" s="64" t="s">
        <v>53</v>
      </c>
      <c r="E311" s="64" t="s">
        <v>53</v>
      </c>
      <c r="F311" s="65">
        <v>1494768</v>
      </c>
      <c r="G311" s="66" t="s">
        <v>105</v>
      </c>
      <c r="H311" s="64" t="s">
        <v>54</v>
      </c>
      <c r="I311" s="78"/>
      <c r="J311" s="67" t="e">
        <f>+Puantaj!#REF!</f>
        <v>#REF!</v>
      </c>
      <c r="K311" s="64" t="e">
        <f>+Puantaj!#REF!</f>
        <v>#REF!</v>
      </c>
      <c r="L311" s="64" t="e">
        <f>+Puantaj!#REF!</f>
        <v>#REF!</v>
      </c>
      <c r="M311" s="68" t="e">
        <f>+BORDRO!#REF!</f>
        <v>#REF!</v>
      </c>
      <c r="N311" s="64"/>
      <c r="O311" s="79" t="e">
        <f>+BORDRO!#REF!</f>
        <v>#REF!</v>
      </c>
      <c r="P311" s="79">
        <v>0</v>
      </c>
      <c r="Q311" s="69"/>
      <c r="R311" s="69"/>
      <c r="S311" s="70"/>
      <c r="T311" s="70"/>
      <c r="U311" s="71"/>
      <c r="V311" s="72" t="e">
        <f t="shared" si="4"/>
        <v>#REF!</v>
      </c>
      <c r="W311" s="73">
        <v>6</v>
      </c>
      <c r="X311" s="81" t="s">
        <v>99</v>
      </c>
      <c r="Y311" s="65">
        <v>2</v>
      </c>
      <c r="Z311" s="64" t="s">
        <v>51</v>
      </c>
      <c r="AA311" s="74" t="s">
        <v>781</v>
      </c>
      <c r="AB311" s="64">
        <v>2025</v>
      </c>
      <c r="AC311" s="64" t="s">
        <v>106</v>
      </c>
      <c r="AD311" s="80" t="e">
        <f>+BORDRO!#REF!</f>
        <v>#REF!</v>
      </c>
      <c r="AE311" s="75"/>
      <c r="AF311" s="75" t="e">
        <f>+BORDRO!#REF!</f>
        <v>#REF!</v>
      </c>
      <c r="AG311" s="75" t="e">
        <f>+BORDRO!#REF!</f>
        <v>#REF!</v>
      </c>
      <c r="AH311" s="80" t="e">
        <f>+BORDRO!#REF!</f>
        <v>#REF!</v>
      </c>
      <c r="AI311" s="75" t="e">
        <f>+BORDRO!#REF!</f>
        <v>#REF!</v>
      </c>
      <c r="AJ311" s="76" t="e">
        <f>+BORDRO!#REF!</f>
        <v>#REF!</v>
      </c>
    </row>
    <row r="312" spans="1:36" ht="13.8" x14ac:dyDescent="0.25">
      <c r="A312" s="64" t="s">
        <v>51</v>
      </c>
      <c r="B312" s="120">
        <v>46</v>
      </c>
      <c r="C312" s="64" t="s">
        <v>52</v>
      </c>
      <c r="D312" s="64" t="s">
        <v>53</v>
      </c>
      <c r="E312" s="64" t="s">
        <v>53</v>
      </c>
      <c r="F312" s="65">
        <v>1494768</v>
      </c>
      <c r="G312" s="66" t="s">
        <v>105</v>
      </c>
      <c r="H312" s="64" t="s">
        <v>54</v>
      </c>
      <c r="I312" s="78"/>
      <c r="J312" s="67" t="e">
        <f>+Puantaj!#REF!</f>
        <v>#REF!</v>
      </c>
      <c r="K312" s="64" t="e">
        <f>+Puantaj!#REF!</f>
        <v>#REF!</v>
      </c>
      <c r="L312" s="64" t="e">
        <f>+Puantaj!#REF!</f>
        <v>#REF!</v>
      </c>
      <c r="M312" s="68" t="e">
        <f>+BORDRO!#REF!</f>
        <v>#REF!</v>
      </c>
      <c r="N312" s="64"/>
      <c r="O312" s="79" t="e">
        <f>+BORDRO!#REF!</f>
        <v>#REF!</v>
      </c>
      <c r="P312" s="79">
        <v>0</v>
      </c>
      <c r="Q312" s="69"/>
      <c r="R312" s="69"/>
      <c r="S312" s="70"/>
      <c r="T312" s="70"/>
      <c r="U312" s="71"/>
      <c r="V312" s="72" t="e">
        <f t="shared" si="4"/>
        <v>#REF!</v>
      </c>
      <c r="W312" s="73">
        <v>6</v>
      </c>
      <c r="X312" s="81" t="s">
        <v>99</v>
      </c>
      <c r="Y312" s="65">
        <v>2</v>
      </c>
      <c r="Z312" s="64" t="s">
        <v>51</v>
      </c>
      <c r="AA312" s="74" t="s">
        <v>781</v>
      </c>
      <c r="AB312" s="64">
        <v>2025</v>
      </c>
      <c r="AC312" s="64" t="s">
        <v>106</v>
      </c>
      <c r="AD312" s="80" t="e">
        <f>+BORDRO!#REF!</f>
        <v>#REF!</v>
      </c>
      <c r="AE312" s="75"/>
      <c r="AF312" s="75" t="e">
        <f>+BORDRO!#REF!</f>
        <v>#REF!</v>
      </c>
      <c r="AG312" s="75" t="e">
        <f>+BORDRO!#REF!</f>
        <v>#REF!</v>
      </c>
      <c r="AH312" s="80" t="e">
        <f>+BORDRO!#REF!</f>
        <v>#REF!</v>
      </c>
      <c r="AI312" s="75" t="e">
        <f>+BORDRO!#REF!</f>
        <v>#REF!</v>
      </c>
      <c r="AJ312" s="76" t="e">
        <f>+BORDRO!#REF!</f>
        <v>#REF!</v>
      </c>
    </row>
    <row r="313" spans="1:36" ht="13.8" x14ac:dyDescent="0.25">
      <c r="A313" s="64" t="s">
        <v>51</v>
      </c>
      <c r="B313" s="119">
        <v>46</v>
      </c>
      <c r="C313" s="64" t="s">
        <v>52</v>
      </c>
      <c r="D313" s="64" t="s">
        <v>53</v>
      </c>
      <c r="E313" s="64" t="s">
        <v>53</v>
      </c>
      <c r="F313" s="65">
        <v>1494768</v>
      </c>
      <c r="G313" s="66" t="s">
        <v>105</v>
      </c>
      <c r="H313" s="64" t="s">
        <v>54</v>
      </c>
      <c r="I313" s="78"/>
      <c r="J313" s="67" t="e">
        <f>+Puantaj!#REF!</f>
        <v>#REF!</v>
      </c>
      <c r="K313" s="64" t="e">
        <f>+Puantaj!#REF!</f>
        <v>#REF!</v>
      </c>
      <c r="L313" s="64" t="e">
        <f>+Puantaj!#REF!</f>
        <v>#REF!</v>
      </c>
      <c r="M313" s="68" t="e">
        <f>+BORDRO!#REF!</f>
        <v>#REF!</v>
      </c>
      <c r="N313" s="64"/>
      <c r="O313" s="79" t="e">
        <f>+BORDRO!#REF!</f>
        <v>#REF!</v>
      </c>
      <c r="P313" s="79">
        <v>0</v>
      </c>
      <c r="Q313" s="69"/>
      <c r="R313" s="69"/>
      <c r="S313" s="70"/>
      <c r="T313" s="70"/>
      <c r="U313" s="71"/>
      <c r="V313" s="72" t="e">
        <f t="shared" si="4"/>
        <v>#REF!</v>
      </c>
      <c r="W313" s="73">
        <v>6</v>
      </c>
      <c r="X313" s="81" t="s">
        <v>99</v>
      </c>
      <c r="Y313" s="65">
        <v>2</v>
      </c>
      <c r="Z313" s="64" t="s">
        <v>51</v>
      </c>
      <c r="AA313" s="74" t="s">
        <v>781</v>
      </c>
      <c r="AB313" s="64">
        <v>2025</v>
      </c>
      <c r="AC313" s="64" t="s">
        <v>106</v>
      </c>
      <c r="AD313" s="80" t="e">
        <f>+BORDRO!#REF!</f>
        <v>#REF!</v>
      </c>
      <c r="AE313" s="75"/>
      <c r="AF313" s="75" t="e">
        <f>+BORDRO!#REF!</f>
        <v>#REF!</v>
      </c>
      <c r="AG313" s="75" t="e">
        <f>+BORDRO!#REF!</f>
        <v>#REF!</v>
      </c>
      <c r="AH313" s="80" t="e">
        <f>+BORDRO!#REF!</f>
        <v>#REF!</v>
      </c>
      <c r="AI313" s="75" t="e">
        <f>+BORDRO!#REF!</f>
        <v>#REF!</v>
      </c>
      <c r="AJ313" s="76" t="e">
        <f>+BORDRO!#REF!</f>
        <v>#REF!</v>
      </c>
    </row>
    <row r="314" spans="1:36" ht="13.8" x14ac:dyDescent="0.25">
      <c r="A314" s="64" t="s">
        <v>51</v>
      </c>
      <c r="B314" s="120">
        <v>46</v>
      </c>
      <c r="C314" s="64" t="s">
        <v>52</v>
      </c>
      <c r="D314" s="64" t="s">
        <v>53</v>
      </c>
      <c r="E314" s="64" t="s">
        <v>53</v>
      </c>
      <c r="F314" s="65">
        <v>1494768</v>
      </c>
      <c r="G314" s="66" t="s">
        <v>105</v>
      </c>
      <c r="H314" s="64" t="s">
        <v>54</v>
      </c>
      <c r="I314" s="78"/>
      <c r="J314" s="67" t="e">
        <f>+Puantaj!#REF!</f>
        <v>#REF!</v>
      </c>
      <c r="K314" s="64" t="e">
        <f>+Puantaj!#REF!</f>
        <v>#REF!</v>
      </c>
      <c r="L314" s="64" t="e">
        <f>+Puantaj!#REF!</f>
        <v>#REF!</v>
      </c>
      <c r="M314" s="68" t="e">
        <f>+BORDRO!#REF!</f>
        <v>#REF!</v>
      </c>
      <c r="N314" s="64"/>
      <c r="O314" s="79" t="e">
        <f>+BORDRO!#REF!</f>
        <v>#REF!</v>
      </c>
      <c r="P314" s="79">
        <v>0</v>
      </c>
      <c r="Q314" s="69"/>
      <c r="R314" s="69"/>
      <c r="S314" s="70"/>
      <c r="T314" s="70"/>
      <c r="U314" s="71"/>
      <c r="V314" s="72" t="e">
        <f t="shared" si="4"/>
        <v>#REF!</v>
      </c>
      <c r="W314" s="73">
        <v>6</v>
      </c>
      <c r="X314" s="81" t="s">
        <v>99</v>
      </c>
      <c r="Y314" s="65">
        <v>2</v>
      </c>
      <c r="Z314" s="64" t="s">
        <v>51</v>
      </c>
      <c r="AA314" s="74" t="s">
        <v>781</v>
      </c>
      <c r="AB314" s="64">
        <v>2025</v>
      </c>
      <c r="AC314" s="64" t="s">
        <v>106</v>
      </c>
      <c r="AD314" s="80" t="e">
        <f>+BORDRO!#REF!</f>
        <v>#REF!</v>
      </c>
      <c r="AE314" s="75"/>
      <c r="AF314" s="75" t="e">
        <f>+BORDRO!#REF!</f>
        <v>#REF!</v>
      </c>
      <c r="AG314" s="75" t="e">
        <f>+BORDRO!#REF!</f>
        <v>#REF!</v>
      </c>
      <c r="AH314" s="80" t="e">
        <f>+BORDRO!#REF!</f>
        <v>#REF!</v>
      </c>
      <c r="AI314" s="75" t="e">
        <f>+BORDRO!#REF!</f>
        <v>#REF!</v>
      </c>
      <c r="AJ314" s="76" t="e">
        <f>+BORDRO!#REF!</f>
        <v>#REF!</v>
      </c>
    </row>
    <row r="315" spans="1:36" ht="13.8" x14ac:dyDescent="0.25">
      <c r="A315" s="64" t="s">
        <v>51</v>
      </c>
      <c r="B315" s="119">
        <v>46</v>
      </c>
      <c r="C315" s="64" t="s">
        <v>52</v>
      </c>
      <c r="D315" s="64" t="s">
        <v>53</v>
      </c>
      <c r="E315" s="64" t="s">
        <v>53</v>
      </c>
      <c r="F315" s="65">
        <v>1494768</v>
      </c>
      <c r="G315" s="66" t="s">
        <v>105</v>
      </c>
      <c r="H315" s="64" t="s">
        <v>54</v>
      </c>
      <c r="I315" s="78"/>
      <c r="J315" s="67" t="e">
        <f>+Puantaj!#REF!</f>
        <v>#REF!</v>
      </c>
      <c r="K315" s="64" t="e">
        <f>+Puantaj!#REF!</f>
        <v>#REF!</v>
      </c>
      <c r="L315" s="64" t="e">
        <f>+Puantaj!#REF!</f>
        <v>#REF!</v>
      </c>
      <c r="M315" s="68" t="e">
        <f>+BORDRO!#REF!</f>
        <v>#REF!</v>
      </c>
      <c r="N315" s="64"/>
      <c r="O315" s="79" t="e">
        <f>+BORDRO!#REF!</f>
        <v>#REF!</v>
      </c>
      <c r="P315" s="79">
        <v>0</v>
      </c>
      <c r="Q315" s="69"/>
      <c r="R315" s="69"/>
      <c r="S315" s="70"/>
      <c r="T315" s="70"/>
      <c r="U315" s="71"/>
      <c r="V315" s="72" t="e">
        <f t="shared" si="4"/>
        <v>#REF!</v>
      </c>
      <c r="W315" s="73">
        <v>6</v>
      </c>
      <c r="X315" s="81" t="s">
        <v>99</v>
      </c>
      <c r="Y315" s="65">
        <v>2</v>
      </c>
      <c r="Z315" s="64" t="s">
        <v>51</v>
      </c>
      <c r="AA315" s="74" t="s">
        <v>781</v>
      </c>
      <c r="AB315" s="64">
        <v>2025</v>
      </c>
      <c r="AC315" s="64" t="s">
        <v>106</v>
      </c>
      <c r="AD315" s="80" t="e">
        <f>+BORDRO!#REF!</f>
        <v>#REF!</v>
      </c>
      <c r="AE315" s="75"/>
      <c r="AF315" s="75" t="e">
        <f>+BORDRO!#REF!</f>
        <v>#REF!</v>
      </c>
      <c r="AG315" s="75" t="e">
        <f>+BORDRO!#REF!</f>
        <v>#REF!</v>
      </c>
      <c r="AH315" s="80" t="e">
        <f>+BORDRO!#REF!</f>
        <v>#REF!</v>
      </c>
      <c r="AI315" s="75" t="e">
        <f>+BORDRO!#REF!</f>
        <v>#REF!</v>
      </c>
      <c r="AJ315" s="76" t="e">
        <f>+BORDRO!#REF!</f>
        <v>#REF!</v>
      </c>
    </row>
    <row r="316" spans="1:36" ht="13.8" x14ac:dyDescent="0.25">
      <c r="A316" s="64" t="s">
        <v>51</v>
      </c>
      <c r="B316" s="120">
        <v>46</v>
      </c>
      <c r="C316" s="64" t="s">
        <v>52</v>
      </c>
      <c r="D316" s="64" t="s">
        <v>53</v>
      </c>
      <c r="E316" s="64" t="s">
        <v>53</v>
      </c>
      <c r="F316" s="65">
        <v>1494768</v>
      </c>
      <c r="G316" s="66" t="s">
        <v>105</v>
      </c>
      <c r="H316" s="64" t="s">
        <v>54</v>
      </c>
      <c r="I316" s="78"/>
      <c r="J316" s="67" t="e">
        <f>+Puantaj!#REF!</f>
        <v>#REF!</v>
      </c>
      <c r="K316" s="64" t="e">
        <f>+Puantaj!#REF!</f>
        <v>#REF!</v>
      </c>
      <c r="L316" s="64" t="e">
        <f>+Puantaj!#REF!</f>
        <v>#REF!</v>
      </c>
      <c r="M316" s="68" t="e">
        <f>+BORDRO!#REF!</f>
        <v>#REF!</v>
      </c>
      <c r="N316" s="64"/>
      <c r="O316" s="79" t="e">
        <f>+BORDRO!#REF!</f>
        <v>#REF!</v>
      </c>
      <c r="P316" s="79">
        <v>0</v>
      </c>
      <c r="Q316" s="69"/>
      <c r="R316" s="69"/>
      <c r="S316" s="70"/>
      <c r="T316" s="70"/>
      <c r="U316" s="71"/>
      <c r="V316" s="72" t="e">
        <f t="shared" si="4"/>
        <v>#REF!</v>
      </c>
      <c r="W316" s="73">
        <v>6</v>
      </c>
      <c r="X316" s="81" t="s">
        <v>99</v>
      </c>
      <c r="Y316" s="65">
        <v>2</v>
      </c>
      <c r="Z316" s="64" t="s">
        <v>51</v>
      </c>
      <c r="AA316" s="74" t="s">
        <v>781</v>
      </c>
      <c r="AB316" s="64">
        <v>2025</v>
      </c>
      <c r="AC316" s="64" t="s">
        <v>106</v>
      </c>
      <c r="AD316" s="80" t="e">
        <f>+BORDRO!#REF!</f>
        <v>#REF!</v>
      </c>
      <c r="AE316" s="75"/>
      <c r="AF316" s="75" t="e">
        <f>+BORDRO!#REF!</f>
        <v>#REF!</v>
      </c>
      <c r="AG316" s="75" t="e">
        <f>+BORDRO!#REF!</f>
        <v>#REF!</v>
      </c>
      <c r="AH316" s="80" t="e">
        <f>+BORDRO!#REF!</f>
        <v>#REF!</v>
      </c>
      <c r="AI316" s="75" t="e">
        <f>+BORDRO!#REF!</f>
        <v>#REF!</v>
      </c>
      <c r="AJ316" s="76" t="e">
        <f>+BORDRO!#REF!</f>
        <v>#REF!</v>
      </c>
    </row>
    <row r="317" spans="1:36" ht="13.8" x14ac:dyDescent="0.25">
      <c r="A317" s="64" t="s">
        <v>51</v>
      </c>
      <c r="B317" s="119">
        <v>46</v>
      </c>
      <c r="C317" s="64" t="s">
        <v>52</v>
      </c>
      <c r="D317" s="64" t="s">
        <v>53</v>
      </c>
      <c r="E317" s="64" t="s">
        <v>53</v>
      </c>
      <c r="F317" s="65">
        <v>1494768</v>
      </c>
      <c r="G317" s="66" t="s">
        <v>105</v>
      </c>
      <c r="H317" s="64" t="s">
        <v>54</v>
      </c>
      <c r="I317" s="78"/>
      <c r="J317" s="67" t="e">
        <f>+Puantaj!#REF!</f>
        <v>#REF!</v>
      </c>
      <c r="K317" s="64" t="e">
        <f>+Puantaj!#REF!</f>
        <v>#REF!</v>
      </c>
      <c r="L317" s="64" t="e">
        <f>+Puantaj!#REF!</f>
        <v>#REF!</v>
      </c>
      <c r="M317" s="68" t="e">
        <f>+BORDRO!#REF!</f>
        <v>#REF!</v>
      </c>
      <c r="N317" s="64"/>
      <c r="O317" s="79" t="e">
        <f>+BORDRO!#REF!</f>
        <v>#REF!</v>
      </c>
      <c r="P317" s="79">
        <v>0</v>
      </c>
      <c r="Q317" s="69"/>
      <c r="R317" s="69"/>
      <c r="S317" s="70"/>
      <c r="T317" s="70"/>
      <c r="U317" s="71"/>
      <c r="V317" s="72" t="e">
        <f t="shared" si="4"/>
        <v>#REF!</v>
      </c>
      <c r="W317" s="73">
        <v>6</v>
      </c>
      <c r="X317" s="81" t="s">
        <v>99</v>
      </c>
      <c r="Y317" s="65">
        <v>2</v>
      </c>
      <c r="Z317" s="64" t="s">
        <v>51</v>
      </c>
      <c r="AA317" s="74" t="s">
        <v>781</v>
      </c>
      <c r="AB317" s="64">
        <v>2025</v>
      </c>
      <c r="AC317" s="64" t="s">
        <v>106</v>
      </c>
      <c r="AD317" s="80" t="e">
        <f>+BORDRO!#REF!</f>
        <v>#REF!</v>
      </c>
      <c r="AE317" s="75"/>
      <c r="AF317" s="75" t="e">
        <f>+BORDRO!#REF!</f>
        <v>#REF!</v>
      </c>
      <c r="AG317" s="75" t="e">
        <f>+BORDRO!#REF!</f>
        <v>#REF!</v>
      </c>
      <c r="AH317" s="80" t="e">
        <f>+BORDRO!#REF!</f>
        <v>#REF!</v>
      </c>
      <c r="AI317" s="75" t="e">
        <f>+BORDRO!#REF!</f>
        <v>#REF!</v>
      </c>
      <c r="AJ317" s="76" t="e">
        <f>+BORDRO!#REF!</f>
        <v>#REF!</v>
      </c>
    </row>
    <row r="318" spans="1:36" ht="13.8" x14ac:dyDescent="0.25">
      <c r="A318" s="64" t="s">
        <v>51</v>
      </c>
      <c r="B318" s="120">
        <v>46</v>
      </c>
      <c r="C318" s="64" t="s">
        <v>52</v>
      </c>
      <c r="D318" s="64" t="s">
        <v>53</v>
      </c>
      <c r="E318" s="64" t="s">
        <v>53</v>
      </c>
      <c r="F318" s="65">
        <v>1494768</v>
      </c>
      <c r="G318" s="66" t="s">
        <v>105</v>
      </c>
      <c r="H318" s="64" t="s">
        <v>54</v>
      </c>
      <c r="I318" s="78"/>
      <c r="J318" s="67" t="e">
        <f>+Puantaj!#REF!</f>
        <v>#REF!</v>
      </c>
      <c r="K318" s="64" t="e">
        <f>+Puantaj!#REF!</f>
        <v>#REF!</v>
      </c>
      <c r="L318" s="64" t="e">
        <f>+Puantaj!#REF!</f>
        <v>#REF!</v>
      </c>
      <c r="M318" s="68" t="e">
        <f>+BORDRO!#REF!</f>
        <v>#REF!</v>
      </c>
      <c r="N318" s="64"/>
      <c r="O318" s="79" t="e">
        <f>+BORDRO!#REF!</f>
        <v>#REF!</v>
      </c>
      <c r="P318" s="79">
        <v>0</v>
      </c>
      <c r="Q318" s="69"/>
      <c r="R318" s="69"/>
      <c r="S318" s="70"/>
      <c r="T318" s="70"/>
      <c r="U318" s="71"/>
      <c r="V318" s="72" t="e">
        <f t="shared" si="4"/>
        <v>#REF!</v>
      </c>
      <c r="W318" s="73">
        <v>6</v>
      </c>
      <c r="X318" s="81" t="s">
        <v>99</v>
      </c>
      <c r="Y318" s="65">
        <v>2</v>
      </c>
      <c r="Z318" s="64" t="s">
        <v>51</v>
      </c>
      <c r="AA318" s="74" t="s">
        <v>781</v>
      </c>
      <c r="AB318" s="64">
        <v>2025</v>
      </c>
      <c r="AC318" s="64" t="s">
        <v>106</v>
      </c>
      <c r="AD318" s="80" t="e">
        <f>+BORDRO!#REF!</f>
        <v>#REF!</v>
      </c>
      <c r="AE318" s="75"/>
      <c r="AF318" s="75" t="e">
        <f>+BORDRO!#REF!</f>
        <v>#REF!</v>
      </c>
      <c r="AG318" s="75" t="e">
        <f>+BORDRO!#REF!</f>
        <v>#REF!</v>
      </c>
      <c r="AH318" s="80" t="e">
        <f>+BORDRO!#REF!</f>
        <v>#REF!</v>
      </c>
      <c r="AI318" s="75" t="e">
        <f>+BORDRO!#REF!</f>
        <v>#REF!</v>
      </c>
      <c r="AJ318" s="76" t="e">
        <f>+BORDRO!#REF!</f>
        <v>#REF!</v>
      </c>
    </row>
    <row r="319" spans="1:36" ht="13.8" x14ac:dyDescent="0.25">
      <c r="A319" s="64" t="s">
        <v>51</v>
      </c>
      <c r="B319" s="119">
        <v>46</v>
      </c>
      <c r="C319" s="64" t="s">
        <v>52</v>
      </c>
      <c r="D319" s="64" t="s">
        <v>53</v>
      </c>
      <c r="E319" s="64" t="s">
        <v>53</v>
      </c>
      <c r="F319" s="65">
        <v>1494768</v>
      </c>
      <c r="G319" s="66" t="s">
        <v>105</v>
      </c>
      <c r="H319" s="64" t="s">
        <v>54</v>
      </c>
      <c r="I319" s="78"/>
      <c r="J319" s="67" t="e">
        <f>+Puantaj!#REF!</f>
        <v>#REF!</v>
      </c>
      <c r="K319" s="64" t="e">
        <f>+Puantaj!#REF!</f>
        <v>#REF!</v>
      </c>
      <c r="L319" s="64" t="e">
        <f>+Puantaj!#REF!</f>
        <v>#REF!</v>
      </c>
      <c r="M319" s="68" t="e">
        <f>+BORDRO!#REF!</f>
        <v>#REF!</v>
      </c>
      <c r="N319" s="64"/>
      <c r="O319" s="79" t="e">
        <f>+BORDRO!#REF!</f>
        <v>#REF!</v>
      </c>
      <c r="P319" s="79">
        <v>0</v>
      </c>
      <c r="Q319" s="69"/>
      <c r="R319" s="69"/>
      <c r="S319" s="70"/>
      <c r="T319" s="70"/>
      <c r="U319" s="71"/>
      <c r="V319" s="72" t="e">
        <f t="shared" si="4"/>
        <v>#REF!</v>
      </c>
      <c r="W319" s="73">
        <v>6</v>
      </c>
      <c r="X319" s="81" t="s">
        <v>99</v>
      </c>
      <c r="Y319" s="65">
        <v>2</v>
      </c>
      <c r="Z319" s="64" t="s">
        <v>51</v>
      </c>
      <c r="AA319" s="74" t="s">
        <v>781</v>
      </c>
      <c r="AB319" s="64">
        <v>2025</v>
      </c>
      <c r="AC319" s="64" t="s">
        <v>106</v>
      </c>
      <c r="AD319" s="80" t="e">
        <f>+BORDRO!#REF!</f>
        <v>#REF!</v>
      </c>
      <c r="AE319" s="75"/>
      <c r="AF319" s="75" t="e">
        <f>+BORDRO!#REF!</f>
        <v>#REF!</v>
      </c>
      <c r="AG319" s="75" t="e">
        <f>+BORDRO!#REF!</f>
        <v>#REF!</v>
      </c>
      <c r="AH319" s="80" t="e">
        <f>+BORDRO!#REF!</f>
        <v>#REF!</v>
      </c>
      <c r="AI319" s="75" t="e">
        <f>+BORDRO!#REF!</f>
        <v>#REF!</v>
      </c>
      <c r="AJ319" s="76" t="e">
        <f>+BORDRO!#REF!</f>
        <v>#REF!</v>
      </c>
    </row>
    <row r="320" spans="1:36" ht="13.8" x14ac:dyDescent="0.25">
      <c r="A320" s="64" t="s">
        <v>51</v>
      </c>
      <c r="B320" s="120">
        <v>46</v>
      </c>
      <c r="C320" s="64" t="s">
        <v>52</v>
      </c>
      <c r="D320" s="64" t="s">
        <v>53</v>
      </c>
      <c r="E320" s="64" t="s">
        <v>53</v>
      </c>
      <c r="F320" s="65">
        <v>1494768</v>
      </c>
      <c r="G320" s="66" t="s">
        <v>105</v>
      </c>
      <c r="H320" s="64" t="s">
        <v>54</v>
      </c>
      <c r="I320" s="78"/>
      <c r="J320" s="67" t="e">
        <f>+Puantaj!#REF!</f>
        <v>#REF!</v>
      </c>
      <c r="K320" s="64" t="e">
        <f>+Puantaj!#REF!</f>
        <v>#REF!</v>
      </c>
      <c r="L320" s="64" t="e">
        <f>+Puantaj!#REF!</f>
        <v>#REF!</v>
      </c>
      <c r="M320" s="68" t="e">
        <f>+BORDRO!#REF!</f>
        <v>#REF!</v>
      </c>
      <c r="N320" s="64"/>
      <c r="O320" s="79" t="e">
        <f>+BORDRO!#REF!</f>
        <v>#REF!</v>
      </c>
      <c r="P320" s="79">
        <v>0</v>
      </c>
      <c r="Q320" s="69"/>
      <c r="R320" s="69"/>
      <c r="S320" s="70"/>
      <c r="T320" s="70"/>
      <c r="U320" s="71"/>
      <c r="V320" s="72" t="e">
        <f t="shared" si="4"/>
        <v>#REF!</v>
      </c>
      <c r="W320" s="73">
        <v>6</v>
      </c>
      <c r="X320" s="81" t="s">
        <v>99</v>
      </c>
      <c r="Y320" s="65">
        <v>2</v>
      </c>
      <c r="Z320" s="64" t="s">
        <v>51</v>
      </c>
      <c r="AA320" s="74" t="s">
        <v>781</v>
      </c>
      <c r="AB320" s="64">
        <v>2025</v>
      </c>
      <c r="AC320" s="64" t="s">
        <v>106</v>
      </c>
      <c r="AD320" s="80" t="e">
        <f>+BORDRO!#REF!</f>
        <v>#REF!</v>
      </c>
      <c r="AE320" s="75"/>
      <c r="AF320" s="75" t="e">
        <f>+BORDRO!#REF!</f>
        <v>#REF!</v>
      </c>
      <c r="AG320" s="75" t="e">
        <f>+BORDRO!#REF!</f>
        <v>#REF!</v>
      </c>
      <c r="AH320" s="80" t="e">
        <f>+BORDRO!#REF!</f>
        <v>#REF!</v>
      </c>
      <c r="AI320" s="75" t="e">
        <f>+BORDRO!#REF!</f>
        <v>#REF!</v>
      </c>
      <c r="AJ320" s="76" t="e">
        <f>+BORDRO!#REF!</f>
        <v>#REF!</v>
      </c>
    </row>
    <row r="321" spans="1:36" ht="13.8" x14ac:dyDescent="0.25">
      <c r="A321" s="64" t="s">
        <v>51</v>
      </c>
      <c r="B321" s="119">
        <v>46</v>
      </c>
      <c r="C321" s="64" t="s">
        <v>52</v>
      </c>
      <c r="D321" s="64" t="s">
        <v>53</v>
      </c>
      <c r="E321" s="64" t="s">
        <v>53</v>
      </c>
      <c r="F321" s="65">
        <v>1494768</v>
      </c>
      <c r="G321" s="66" t="s">
        <v>105</v>
      </c>
      <c r="H321" s="64" t="s">
        <v>54</v>
      </c>
      <c r="I321" s="78"/>
      <c r="J321" s="67" t="e">
        <f>+Puantaj!#REF!</f>
        <v>#REF!</v>
      </c>
      <c r="K321" s="64" t="e">
        <f>+Puantaj!#REF!</f>
        <v>#REF!</v>
      </c>
      <c r="L321" s="64" t="e">
        <f>+Puantaj!#REF!</f>
        <v>#REF!</v>
      </c>
      <c r="M321" s="68" t="e">
        <f>+BORDRO!#REF!</f>
        <v>#REF!</v>
      </c>
      <c r="N321" s="64"/>
      <c r="O321" s="79" t="e">
        <f>+BORDRO!#REF!</f>
        <v>#REF!</v>
      </c>
      <c r="P321" s="79">
        <v>0</v>
      </c>
      <c r="Q321" s="69"/>
      <c r="R321" s="69"/>
      <c r="S321" s="70"/>
      <c r="T321" s="70"/>
      <c r="U321" s="71"/>
      <c r="V321" s="72" t="e">
        <f t="shared" si="4"/>
        <v>#REF!</v>
      </c>
      <c r="W321" s="73">
        <v>6</v>
      </c>
      <c r="X321" s="81" t="s">
        <v>99</v>
      </c>
      <c r="Y321" s="65">
        <v>2</v>
      </c>
      <c r="Z321" s="64" t="s">
        <v>51</v>
      </c>
      <c r="AA321" s="74" t="s">
        <v>781</v>
      </c>
      <c r="AB321" s="64">
        <v>2025</v>
      </c>
      <c r="AC321" s="64" t="s">
        <v>106</v>
      </c>
      <c r="AD321" s="80" t="e">
        <f>+BORDRO!#REF!</f>
        <v>#REF!</v>
      </c>
      <c r="AE321" s="75"/>
      <c r="AF321" s="75" t="e">
        <f>+BORDRO!#REF!</f>
        <v>#REF!</v>
      </c>
      <c r="AG321" s="75" t="e">
        <f>+BORDRO!#REF!</f>
        <v>#REF!</v>
      </c>
      <c r="AH321" s="80" t="e">
        <f>+BORDRO!#REF!</f>
        <v>#REF!</v>
      </c>
      <c r="AI321" s="75" t="e">
        <f>+BORDRO!#REF!</f>
        <v>#REF!</v>
      </c>
      <c r="AJ321" s="76" t="e">
        <f>+BORDRO!#REF!</f>
        <v>#REF!</v>
      </c>
    </row>
    <row r="322" spans="1:36" ht="13.8" x14ac:dyDescent="0.25">
      <c r="A322" s="64" t="s">
        <v>51</v>
      </c>
      <c r="B322" s="120">
        <v>46</v>
      </c>
      <c r="C322" s="64" t="s">
        <v>52</v>
      </c>
      <c r="D322" s="64" t="s">
        <v>53</v>
      </c>
      <c r="E322" s="64" t="s">
        <v>53</v>
      </c>
      <c r="F322" s="65">
        <v>1494768</v>
      </c>
      <c r="G322" s="66" t="s">
        <v>105</v>
      </c>
      <c r="H322" s="64" t="s">
        <v>54</v>
      </c>
      <c r="I322" s="78"/>
      <c r="J322" s="67" t="e">
        <f>+Puantaj!#REF!</f>
        <v>#REF!</v>
      </c>
      <c r="K322" s="64" t="e">
        <f>+Puantaj!#REF!</f>
        <v>#REF!</v>
      </c>
      <c r="L322" s="64" t="e">
        <f>+Puantaj!#REF!</f>
        <v>#REF!</v>
      </c>
      <c r="M322" s="68" t="e">
        <f>+BORDRO!#REF!</f>
        <v>#REF!</v>
      </c>
      <c r="N322" s="64"/>
      <c r="O322" s="79" t="e">
        <f>+BORDRO!#REF!</f>
        <v>#REF!</v>
      </c>
      <c r="P322" s="79">
        <v>0</v>
      </c>
      <c r="Q322" s="69"/>
      <c r="R322" s="69"/>
      <c r="S322" s="70"/>
      <c r="T322" s="70"/>
      <c r="U322" s="71"/>
      <c r="V322" s="72" t="e">
        <f t="shared" si="4"/>
        <v>#REF!</v>
      </c>
      <c r="W322" s="73">
        <v>6</v>
      </c>
      <c r="X322" s="81" t="s">
        <v>99</v>
      </c>
      <c r="Y322" s="65">
        <v>2</v>
      </c>
      <c r="Z322" s="64" t="s">
        <v>51</v>
      </c>
      <c r="AA322" s="74" t="s">
        <v>781</v>
      </c>
      <c r="AB322" s="64">
        <v>2025</v>
      </c>
      <c r="AC322" s="64" t="s">
        <v>106</v>
      </c>
      <c r="AD322" s="80" t="e">
        <f>+BORDRO!#REF!</f>
        <v>#REF!</v>
      </c>
      <c r="AE322" s="75"/>
      <c r="AF322" s="75" t="e">
        <f>+BORDRO!#REF!</f>
        <v>#REF!</v>
      </c>
      <c r="AG322" s="75" t="e">
        <f>+BORDRO!#REF!</f>
        <v>#REF!</v>
      </c>
      <c r="AH322" s="80" t="e">
        <f>+BORDRO!#REF!</f>
        <v>#REF!</v>
      </c>
      <c r="AI322" s="75" t="e">
        <f>+BORDRO!#REF!</f>
        <v>#REF!</v>
      </c>
      <c r="AJ322" s="76" t="e">
        <f>+BORDRO!#REF!</f>
        <v>#REF!</v>
      </c>
    </row>
    <row r="323" spans="1:36" ht="13.8" x14ac:dyDescent="0.25">
      <c r="A323" s="64" t="s">
        <v>51</v>
      </c>
      <c r="B323" s="119">
        <v>46</v>
      </c>
      <c r="C323" s="64" t="s">
        <v>52</v>
      </c>
      <c r="D323" s="64" t="s">
        <v>53</v>
      </c>
      <c r="E323" s="64" t="s">
        <v>53</v>
      </c>
      <c r="F323" s="65">
        <v>1494768</v>
      </c>
      <c r="G323" s="66" t="s">
        <v>105</v>
      </c>
      <c r="H323" s="64" t="s">
        <v>54</v>
      </c>
      <c r="I323" s="78"/>
      <c r="J323" s="67" t="e">
        <f>+Puantaj!#REF!</f>
        <v>#REF!</v>
      </c>
      <c r="K323" s="64" t="e">
        <f>+Puantaj!#REF!</f>
        <v>#REF!</v>
      </c>
      <c r="L323" s="64" t="e">
        <f>+Puantaj!#REF!</f>
        <v>#REF!</v>
      </c>
      <c r="M323" s="68" t="e">
        <f>+BORDRO!#REF!</f>
        <v>#REF!</v>
      </c>
      <c r="N323" s="64"/>
      <c r="O323" s="79" t="e">
        <f>+BORDRO!#REF!</f>
        <v>#REF!</v>
      </c>
      <c r="P323" s="79">
        <v>0</v>
      </c>
      <c r="Q323" s="69"/>
      <c r="R323" s="69"/>
      <c r="S323" s="70"/>
      <c r="T323" s="70"/>
      <c r="U323" s="71"/>
      <c r="V323" s="72" t="e">
        <f t="shared" ref="V323:V386" si="5">31-M323-Q323</f>
        <v>#REF!</v>
      </c>
      <c r="W323" s="73">
        <v>6</v>
      </c>
      <c r="X323" s="81" t="s">
        <v>99</v>
      </c>
      <c r="Y323" s="65">
        <v>2</v>
      </c>
      <c r="Z323" s="64" t="s">
        <v>51</v>
      </c>
      <c r="AA323" s="74" t="s">
        <v>781</v>
      </c>
      <c r="AB323" s="64">
        <v>2025</v>
      </c>
      <c r="AC323" s="64" t="s">
        <v>106</v>
      </c>
      <c r="AD323" s="80" t="e">
        <f>+BORDRO!#REF!</f>
        <v>#REF!</v>
      </c>
      <c r="AE323" s="75"/>
      <c r="AF323" s="75" t="e">
        <f>+BORDRO!#REF!</f>
        <v>#REF!</v>
      </c>
      <c r="AG323" s="75" t="e">
        <f>+BORDRO!#REF!</f>
        <v>#REF!</v>
      </c>
      <c r="AH323" s="80" t="e">
        <f>+BORDRO!#REF!</f>
        <v>#REF!</v>
      </c>
      <c r="AI323" s="75" t="e">
        <f>+BORDRO!#REF!</f>
        <v>#REF!</v>
      </c>
      <c r="AJ323" s="76" t="e">
        <f>+BORDRO!#REF!</f>
        <v>#REF!</v>
      </c>
    </row>
    <row r="324" spans="1:36" ht="13.8" x14ac:dyDescent="0.25">
      <c r="A324" s="64" t="s">
        <v>51</v>
      </c>
      <c r="B324" s="120">
        <v>46</v>
      </c>
      <c r="C324" s="64" t="s">
        <v>52</v>
      </c>
      <c r="D324" s="64" t="s">
        <v>53</v>
      </c>
      <c r="E324" s="64" t="s">
        <v>53</v>
      </c>
      <c r="F324" s="65">
        <v>1494768</v>
      </c>
      <c r="G324" s="66" t="s">
        <v>105</v>
      </c>
      <c r="H324" s="64" t="s">
        <v>54</v>
      </c>
      <c r="I324" s="78"/>
      <c r="J324" s="67" t="e">
        <f>+Puantaj!#REF!</f>
        <v>#REF!</v>
      </c>
      <c r="K324" s="64" t="e">
        <f>+Puantaj!#REF!</f>
        <v>#REF!</v>
      </c>
      <c r="L324" s="64" t="e">
        <f>+Puantaj!#REF!</f>
        <v>#REF!</v>
      </c>
      <c r="M324" s="68" t="e">
        <f>+BORDRO!#REF!</f>
        <v>#REF!</v>
      </c>
      <c r="N324" s="64"/>
      <c r="O324" s="79" t="e">
        <f>+BORDRO!#REF!</f>
        <v>#REF!</v>
      </c>
      <c r="P324" s="79">
        <v>0</v>
      </c>
      <c r="Q324" s="69"/>
      <c r="R324" s="69"/>
      <c r="S324" s="70"/>
      <c r="T324" s="70"/>
      <c r="U324" s="71"/>
      <c r="V324" s="72" t="e">
        <f t="shared" si="5"/>
        <v>#REF!</v>
      </c>
      <c r="W324" s="73">
        <v>6</v>
      </c>
      <c r="X324" s="81" t="s">
        <v>99</v>
      </c>
      <c r="Y324" s="65">
        <v>2</v>
      </c>
      <c r="Z324" s="64" t="s">
        <v>51</v>
      </c>
      <c r="AA324" s="74" t="s">
        <v>781</v>
      </c>
      <c r="AB324" s="64">
        <v>2025</v>
      </c>
      <c r="AC324" s="64" t="s">
        <v>106</v>
      </c>
      <c r="AD324" s="80" t="e">
        <f>+BORDRO!#REF!</f>
        <v>#REF!</v>
      </c>
      <c r="AE324" s="75"/>
      <c r="AF324" s="75" t="e">
        <f>+BORDRO!#REF!</f>
        <v>#REF!</v>
      </c>
      <c r="AG324" s="75" t="e">
        <f>+BORDRO!#REF!</f>
        <v>#REF!</v>
      </c>
      <c r="AH324" s="80" t="e">
        <f>+BORDRO!#REF!</f>
        <v>#REF!</v>
      </c>
      <c r="AI324" s="75" t="e">
        <f>+BORDRO!#REF!</f>
        <v>#REF!</v>
      </c>
      <c r="AJ324" s="76" t="e">
        <f>+BORDRO!#REF!</f>
        <v>#REF!</v>
      </c>
    </row>
    <row r="325" spans="1:36" ht="13.8" x14ac:dyDescent="0.25">
      <c r="A325" s="64" t="s">
        <v>51</v>
      </c>
      <c r="B325" s="119">
        <v>46</v>
      </c>
      <c r="C325" s="64" t="s">
        <v>52</v>
      </c>
      <c r="D325" s="64" t="s">
        <v>53</v>
      </c>
      <c r="E325" s="64" t="s">
        <v>53</v>
      </c>
      <c r="F325" s="65">
        <v>1494768</v>
      </c>
      <c r="G325" s="66" t="s">
        <v>105</v>
      </c>
      <c r="H325" s="64" t="s">
        <v>54</v>
      </c>
      <c r="I325" s="78"/>
      <c r="J325" s="67" t="e">
        <f>+Puantaj!#REF!</f>
        <v>#REF!</v>
      </c>
      <c r="K325" s="64" t="e">
        <f>+Puantaj!#REF!</f>
        <v>#REF!</v>
      </c>
      <c r="L325" s="64" t="e">
        <f>+Puantaj!#REF!</f>
        <v>#REF!</v>
      </c>
      <c r="M325" s="68" t="e">
        <f>+BORDRO!#REF!</f>
        <v>#REF!</v>
      </c>
      <c r="N325" s="64"/>
      <c r="O325" s="79" t="e">
        <f>+BORDRO!#REF!</f>
        <v>#REF!</v>
      </c>
      <c r="P325" s="79">
        <v>0</v>
      </c>
      <c r="Q325" s="69"/>
      <c r="R325" s="69"/>
      <c r="S325" s="70"/>
      <c r="T325" s="70"/>
      <c r="U325" s="71"/>
      <c r="V325" s="72" t="e">
        <f t="shared" si="5"/>
        <v>#REF!</v>
      </c>
      <c r="W325" s="73">
        <v>6</v>
      </c>
      <c r="X325" s="81" t="s">
        <v>99</v>
      </c>
      <c r="Y325" s="65">
        <v>2</v>
      </c>
      <c r="Z325" s="64" t="s">
        <v>51</v>
      </c>
      <c r="AA325" s="74" t="s">
        <v>781</v>
      </c>
      <c r="AB325" s="64">
        <v>2025</v>
      </c>
      <c r="AC325" s="64" t="s">
        <v>106</v>
      </c>
      <c r="AD325" s="80" t="e">
        <f>+BORDRO!#REF!</f>
        <v>#REF!</v>
      </c>
      <c r="AE325" s="75"/>
      <c r="AF325" s="75" t="e">
        <f>+BORDRO!#REF!</f>
        <v>#REF!</v>
      </c>
      <c r="AG325" s="75" t="e">
        <f>+BORDRO!#REF!</f>
        <v>#REF!</v>
      </c>
      <c r="AH325" s="80" t="e">
        <f>+BORDRO!#REF!</f>
        <v>#REF!</v>
      </c>
      <c r="AI325" s="75" t="e">
        <f>+BORDRO!#REF!</f>
        <v>#REF!</v>
      </c>
      <c r="AJ325" s="76" t="e">
        <f>+BORDRO!#REF!</f>
        <v>#REF!</v>
      </c>
    </row>
    <row r="326" spans="1:36" ht="13.8" x14ac:dyDescent="0.25">
      <c r="A326" s="64" t="s">
        <v>51</v>
      </c>
      <c r="B326" s="120">
        <v>46</v>
      </c>
      <c r="C326" s="64" t="s">
        <v>52</v>
      </c>
      <c r="D326" s="64" t="s">
        <v>53</v>
      </c>
      <c r="E326" s="64" t="s">
        <v>53</v>
      </c>
      <c r="F326" s="65">
        <v>1494768</v>
      </c>
      <c r="G326" s="66" t="s">
        <v>105</v>
      </c>
      <c r="H326" s="64" t="s">
        <v>54</v>
      </c>
      <c r="I326" s="78"/>
      <c r="J326" s="67" t="e">
        <f>+Puantaj!#REF!</f>
        <v>#REF!</v>
      </c>
      <c r="K326" s="64" t="e">
        <f>+Puantaj!#REF!</f>
        <v>#REF!</v>
      </c>
      <c r="L326" s="64" t="e">
        <f>+Puantaj!#REF!</f>
        <v>#REF!</v>
      </c>
      <c r="M326" s="68" t="e">
        <f>+BORDRO!#REF!</f>
        <v>#REF!</v>
      </c>
      <c r="N326" s="64"/>
      <c r="O326" s="79" t="e">
        <f>+BORDRO!#REF!</f>
        <v>#REF!</v>
      </c>
      <c r="P326" s="79">
        <v>0</v>
      </c>
      <c r="Q326" s="69"/>
      <c r="R326" s="69"/>
      <c r="S326" s="70"/>
      <c r="T326" s="70"/>
      <c r="U326" s="71"/>
      <c r="V326" s="72" t="e">
        <f t="shared" si="5"/>
        <v>#REF!</v>
      </c>
      <c r="W326" s="73">
        <v>6</v>
      </c>
      <c r="X326" s="81" t="s">
        <v>99</v>
      </c>
      <c r="Y326" s="65">
        <v>2</v>
      </c>
      <c r="Z326" s="64" t="s">
        <v>51</v>
      </c>
      <c r="AA326" s="74" t="s">
        <v>781</v>
      </c>
      <c r="AB326" s="64">
        <v>2025</v>
      </c>
      <c r="AC326" s="64" t="s">
        <v>106</v>
      </c>
      <c r="AD326" s="80" t="e">
        <f>+BORDRO!#REF!</f>
        <v>#REF!</v>
      </c>
      <c r="AE326" s="75"/>
      <c r="AF326" s="75" t="e">
        <f>+BORDRO!#REF!</f>
        <v>#REF!</v>
      </c>
      <c r="AG326" s="75" t="e">
        <f>+BORDRO!#REF!</f>
        <v>#REF!</v>
      </c>
      <c r="AH326" s="80" t="e">
        <f>+BORDRO!#REF!</f>
        <v>#REF!</v>
      </c>
      <c r="AI326" s="75" t="e">
        <f>+BORDRO!#REF!</f>
        <v>#REF!</v>
      </c>
      <c r="AJ326" s="76" t="e">
        <f>+BORDRO!#REF!</f>
        <v>#REF!</v>
      </c>
    </row>
    <row r="327" spans="1:36" ht="13.8" x14ac:dyDescent="0.25">
      <c r="A327" s="64" t="s">
        <v>51</v>
      </c>
      <c r="B327" s="119">
        <v>46</v>
      </c>
      <c r="C327" s="64" t="s">
        <v>52</v>
      </c>
      <c r="D327" s="64" t="s">
        <v>53</v>
      </c>
      <c r="E327" s="64" t="s">
        <v>53</v>
      </c>
      <c r="F327" s="65">
        <v>1494768</v>
      </c>
      <c r="G327" s="66" t="s">
        <v>105</v>
      </c>
      <c r="H327" s="64" t="s">
        <v>54</v>
      </c>
      <c r="I327" s="78"/>
      <c r="J327" s="67" t="e">
        <f>+Puantaj!#REF!</f>
        <v>#REF!</v>
      </c>
      <c r="K327" s="64" t="e">
        <f>+Puantaj!#REF!</f>
        <v>#REF!</v>
      </c>
      <c r="L327" s="64" t="e">
        <f>+Puantaj!#REF!</f>
        <v>#REF!</v>
      </c>
      <c r="M327" s="68" t="e">
        <f>+BORDRO!#REF!</f>
        <v>#REF!</v>
      </c>
      <c r="N327" s="64"/>
      <c r="O327" s="79" t="e">
        <f>+BORDRO!#REF!</f>
        <v>#REF!</v>
      </c>
      <c r="P327" s="79">
        <v>0</v>
      </c>
      <c r="Q327" s="69"/>
      <c r="R327" s="69"/>
      <c r="S327" s="70"/>
      <c r="T327" s="70"/>
      <c r="U327" s="71"/>
      <c r="V327" s="72" t="e">
        <f t="shared" si="5"/>
        <v>#REF!</v>
      </c>
      <c r="W327" s="73">
        <v>6</v>
      </c>
      <c r="X327" s="81" t="s">
        <v>99</v>
      </c>
      <c r="Y327" s="65">
        <v>2</v>
      </c>
      <c r="Z327" s="64" t="s">
        <v>51</v>
      </c>
      <c r="AA327" s="74" t="s">
        <v>781</v>
      </c>
      <c r="AB327" s="64">
        <v>2025</v>
      </c>
      <c r="AC327" s="64" t="s">
        <v>106</v>
      </c>
      <c r="AD327" s="80" t="e">
        <f>+BORDRO!#REF!</f>
        <v>#REF!</v>
      </c>
      <c r="AE327" s="75"/>
      <c r="AF327" s="75" t="e">
        <f>+BORDRO!#REF!</f>
        <v>#REF!</v>
      </c>
      <c r="AG327" s="75" t="e">
        <f>+BORDRO!#REF!</f>
        <v>#REF!</v>
      </c>
      <c r="AH327" s="80" t="e">
        <f>+BORDRO!#REF!</f>
        <v>#REF!</v>
      </c>
      <c r="AI327" s="75" t="e">
        <f>+BORDRO!#REF!</f>
        <v>#REF!</v>
      </c>
      <c r="AJ327" s="76" t="e">
        <f>+BORDRO!#REF!</f>
        <v>#REF!</v>
      </c>
    </row>
    <row r="328" spans="1:36" ht="13.8" x14ac:dyDescent="0.25">
      <c r="A328" s="64" t="s">
        <v>51</v>
      </c>
      <c r="B328" s="120">
        <v>46</v>
      </c>
      <c r="C328" s="64" t="s">
        <v>52</v>
      </c>
      <c r="D328" s="64" t="s">
        <v>53</v>
      </c>
      <c r="E328" s="64" t="s">
        <v>53</v>
      </c>
      <c r="F328" s="65">
        <v>1494768</v>
      </c>
      <c r="G328" s="66" t="s">
        <v>105</v>
      </c>
      <c r="H328" s="64" t="s">
        <v>54</v>
      </c>
      <c r="I328" s="78"/>
      <c r="J328" s="67" t="e">
        <f>+Puantaj!#REF!</f>
        <v>#REF!</v>
      </c>
      <c r="K328" s="64" t="e">
        <f>+Puantaj!#REF!</f>
        <v>#REF!</v>
      </c>
      <c r="L328" s="64" t="e">
        <f>+Puantaj!#REF!</f>
        <v>#REF!</v>
      </c>
      <c r="M328" s="68" t="e">
        <f>+BORDRO!#REF!</f>
        <v>#REF!</v>
      </c>
      <c r="N328" s="64"/>
      <c r="O328" s="79" t="e">
        <f>+BORDRO!#REF!</f>
        <v>#REF!</v>
      </c>
      <c r="P328" s="79">
        <v>0</v>
      </c>
      <c r="Q328" s="69"/>
      <c r="R328" s="69"/>
      <c r="S328" s="70"/>
      <c r="T328" s="70"/>
      <c r="U328" s="71"/>
      <c r="V328" s="72" t="e">
        <f t="shared" si="5"/>
        <v>#REF!</v>
      </c>
      <c r="W328" s="73">
        <v>6</v>
      </c>
      <c r="X328" s="81" t="s">
        <v>99</v>
      </c>
      <c r="Y328" s="65">
        <v>2</v>
      </c>
      <c r="Z328" s="64" t="s">
        <v>51</v>
      </c>
      <c r="AA328" s="74" t="s">
        <v>781</v>
      </c>
      <c r="AB328" s="64">
        <v>2025</v>
      </c>
      <c r="AC328" s="64" t="s">
        <v>106</v>
      </c>
      <c r="AD328" s="80" t="e">
        <f>+BORDRO!#REF!</f>
        <v>#REF!</v>
      </c>
      <c r="AE328" s="75"/>
      <c r="AF328" s="75" t="e">
        <f>+BORDRO!#REF!</f>
        <v>#REF!</v>
      </c>
      <c r="AG328" s="75" t="e">
        <f>+BORDRO!#REF!</f>
        <v>#REF!</v>
      </c>
      <c r="AH328" s="80" t="e">
        <f>+BORDRO!#REF!</f>
        <v>#REF!</v>
      </c>
      <c r="AI328" s="75" t="e">
        <f>+BORDRO!#REF!</f>
        <v>#REF!</v>
      </c>
      <c r="AJ328" s="76" t="e">
        <f>+BORDRO!#REF!</f>
        <v>#REF!</v>
      </c>
    </row>
    <row r="329" spans="1:36" ht="13.8" x14ac:dyDescent="0.25">
      <c r="A329" s="64" t="s">
        <v>51</v>
      </c>
      <c r="B329" s="119">
        <v>46</v>
      </c>
      <c r="C329" s="64" t="s">
        <v>52</v>
      </c>
      <c r="D329" s="64" t="s">
        <v>53</v>
      </c>
      <c r="E329" s="64" t="s">
        <v>53</v>
      </c>
      <c r="F329" s="65">
        <v>1494768</v>
      </c>
      <c r="G329" s="66" t="s">
        <v>105</v>
      </c>
      <c r="H329" s="64" t="s">
        <v>54</v>
      </c>
      <c r="I329" s="78"/>
      <c r="J329" s="67" t="e">
        <f>+Puantaj!#REF!</f>
        <v>#REF!</v>
      </c>
      <c r="K329" s="64" t="e">
        <f>+Puantaj!#REF!</f>
        <v>#REF!</v>
      </c>
      <c r="L329" s="64" t="e">
        <f>+Puantaj!#REF!</f>
        <v>#REF!</v>
      </c>
      <c r="M329" s="68" t="e">
        <f>+BORDRO!#REF!</f>
        <v>#REF!</v>
      </c>
      <c r="N329" s="64"/>
      <c r="O329" s="79" t="e">
        <f>+BORDRO!#REF!</f>
        <v>#REF!</v>
      </c>
      <c r="P329" s="79">
        <v>0</v>
      </c>
      <c r="Q329" s="69"/>
      <c r="R329" s="69"/>
      <c r="S329" s="70"/>
      <c r="T329" s="70"/>
      <c r="U329" s="71"/>
      <c r="V329" s="72" t="e">
        <f t="shared" si="5"/>
        <v>#REF!</v>
      </c>
      <c r="W329" s="73">
        <v>6</v>
      </c>
      <c r="X329" s="81" t="s">
        <v>99</v>
      </c>
      <c r="Y329" s="65">
        <v>2</v>
      </c>
      <c r="Z329" s="64" t="s">
        <v>51</v>
      </c>
      <c r="AA329" s="74" t="s">
        <v>781</v>
      </c>
      <c r="AB329" s="64">
        <v>2025</v>
      </c>
      <c r="AC329" s="64" t="s">
        <v>106</v>
      </c>
      <c r="AD329" s="80" t="e">
        <f>+BORDRO!#REF!</f>
        <v>#REF!</v>
      </c>
      <c r="AE329" s="75"/>
      <c r="AF329" s="75" t="e">
        <f>+BORDRO!#REF!</f>
        <v>#REF!</v>
      </c>
      <c r="AG329" s="75" t="e">
        <f>+BORDRO!#REF!</f>
        <v>#REF!</v>
      </c>
      <c r="AH329" s="80" t="e">
        <f>+BORDRO!#REF!</f>
        <v>#REF!</v>
      </c>
      <c r="AI329" s="75" t="e">
        <f>+BORDRO!#REF!</f>
        <v>#REF!</v>
      </c>
      <c r="AJ329" s="76" t="e">
        <f>+BORDRO!#REF!</f>
        <v>#REF!</v>
      </c>
    </row>
    <row r="330" spans="1:36" ht="13.8" x14ac:dyDescent="0.25">
      <c r="A330" s="64" t="s">
        <v>51</v>
      </c>
      <c r="B330" s="120">
        <v>46</v>
      </c>
      <c r="C330" s="64" t="s">
        <v>52</v>
      </c>
      <c r="D330" s="64" t="s">
        <v>53</v>
      </c>
      <c r="E330" s="64" t="s">
        <v>53</v>
      </c>
      <c r="F330" s="65">
        <v>1494768</v>
      </c>
      <c r="G330" s="66" t="s">
        <v>105</v>
      </c>
      <c r="H330" s="64" t="s">
        <v>54</v>
      </c>
      <c r="I330" s="78"/>
      <c r="J330" s="67" t="e">
        <f>+Puantaj!#REF!</f>
        <v>#REF!</v>
      </c>
      <c r="K330" s="64" t="e">
        <f>+Puantaj!#REF!</f>
        <v>#REF!</v>
      </c>
      <c r="L330" s="64" t="e">
        <f>+Puantaj!#REF!</f>
        <v>#REF!</v>
      </c>
      <c r="M330" s="68" t="e">
        <f>+BORDRO!#REF!</f>
        <v>#REF!</v>
      </c>
      <c r="N330" s="64"/>
      <c r="O330" s="79" t="e">
        <f>+BORDRO!#REF!</f>
        <v>#REF!</v>
      </c>
      <c r="P330" s="79">
        <v>0</v>
      </c>
      <c r="Q330" s="69"/>
      <c r="R330" s="69"/>
      <c r="S330" s="70"/>
      <c r="T330" s="70"/>
      <c r="U330" s="71"/>
      <c r="V330" s="72" t="e">
        <f t="shared" si="5"/>
        <v>#REF!</v>
      </c>
      <c r="W330" s="73">
        <v>6</v>
      </c>
      <c r="X330" s="81" t="s">
        <v>99</v>
      </c>
      <c r="Y330" s="65">
        <v>2</v>
      </c>
      <c r="Z330" s="64" t="s">
        <v>51</v>
      </c>
      <c r="AA330" s="74" t="s">
        <v>781</v>
      </c>
      <c r="AB330" s="64">
        <v>2025</v>
      </c>
      <c r="AC330" s="64" t="s">
        <v>106</v>
      </c>
      <c r="AD330" s="80" t="e">
        <f>+BORDRO!#REF!</f>
        <v>#REF!</v>
      </c>
      <c r="AE330" s="75"/>
      <c r="AF330" s="75" t="e">
        <f>+BORDRO!#REF!</f>
        <v>#REF!</v>
      </c>
      <c r="AG330" s="75" t="e">
        <f>+BORDRO!#REF!</f>
        <v>#REF!</v>
      </c>
      <c r="AH330" s="80" t="e">
        <f>+BORDRO!#REF!</f>
        <v>#REF!</v>
      </c>
      <c r="AI330" s="75" t="e">
        <f>+BORDRO!#REF!</f>
        <v>#REF!</v>
      </c>
      <c r="AJ330" s="76" t="e">
        <f>+BORDRO!#REF!</f>
        <v>#REF!</v>
      </c>
    </row>
    <row r="331" spans="1:36" ht="13.8" x14ac:dyDescent="0.25">
      <c r="A331" s="64" t="s">
        <v>51</v>
      </c>
      <c r="B331" s="119">
        <v>46</v>
      </c>
      <c r="C331" s="64" t="s">
        <v>52</v>
      </c>
      <c r="D331" s="64" t="s">
        <v>53</v>
      </c>
      <c r="E331" s="64" t="s">
        <v>53</v>
      </c>
      <c r="F331" s="65">
        <v>1494768</v>
      </c>
      <c r="G331" s="66" t="s">
        <v>105</v>
      </c>
      <c r="H331" s="64" t="s">
        <v>54</v>
      </c>
      <c r="I331" s="78"/>
      <c r="J331" s="67" t="e">
        <f>+Puantaj!#REF!</f>
        <v>#REF!</v>
      </c>
      <c r="K331" s="64" t="e">
        <f>+Puantaj!#REF!</f>
        <v>#REF!</v>
      </c>
      <c r="L331" s="64" t="e">
        <f>+Puantaj!#REF!</f>
        <v>#REF!</v>
      </c>
      <c r="M331" s="68" t="e">
        <f>+BORDRO!#REF!</f>
        <v>#REF!</v>
      </c>
      <c r="N331" s="64"/>
      <c r="O331" s="79" t="e">
        <f>+BORDRO!#REF!</f>
        <v>#REF!</v>
      </c>
      <c r="P331" s="79">
        <v>0</v>
      </c>
      <c r="Q331" s="69"/>
      <c r="R331" s="69"/>
      <c r="S331" s="70"/>
      <c r="T331" s="70"/>
      <c r="U331" s="71"/>
      <c r="V331" s="72" t="e">
        <f t="shared" si="5"/>
        <v>#REF!</v>
      </c>
      <c r="W331" s="73">
        <v>6</v>
      </c>
      <c r="X331" s="81" t="s">
        <v>99</v>
      </c>
      <c r="Y331" s="65">
        <v>2</v>
      </c>
      <c r="Z331" s="64" t="s">
        <v>51</v>
      </c>
      <c r="AA331" s="74" t="s">
        <v>781</v>
      </c>
      <c r="AB331" s="64">
        <v>2025</v>
      </c>
      <c r="AC331" s="64" t="s">
        <v>106</v>
      </c>
      <c r="AD331" s="80" t="e">
        <f>+BORDRO!#REF!</f>
        <v>#REF!</v>
      </c>
      <c r="AE331" s="75"/>
      <c r="AF331" s="75" t="e">
        <f>+BORDRO!#REF!</f>
        <v>#REF!</v>
      </c>
      <c r="AG331" s="75" t="e">
        <f>+BORDRO!#REF!</f>
        <v>#REF!</v>
      </c>
      <c r="AH331" s="80" t="e">
        <f>+BORDRO!#REF!</f>
        <v>#REF!</v>
      </c>
      <c r="AI331" s="75" t="e">
        <f>+BORDRO!#REF!</f>
        <v>#REF!</v>
      </c>
      <c r="AJ331" s="76" t="e">
        <f>+BORDRO!#REF!</f>
        <v>#REF!</v>
      </c>
    </row>
    <row r="332" spans="1:36" ht="13.8" x14ac:dyDescent="0.25">
      <c r="A332" s="64" t="s">
        <v>51</v>
      </c>
      <c r="B332" s="120">
        <v>46</v>
      </c>
      <c r="C332" s="64" t="s">
        <v>52</v>
      </c>
      <c r="D332" s="64" t="s">
        <v>53</v>
      </c>
      <c r="E332" s="64" t="s">
        <v>53</v>
      </c>
      <c r="F332" s="65">
        <v>1494768</v>
      </c>
      <c r="G332" s="66" t="s">
        <v>105</v>
      </c>
      <c r="H332" s="64" t="s">
        <v>54</v>
      </c>
      <c r="I332" s="78"/>
      <c r="J332" s="67" t="e">
        <f>+Puantaj!#REF!</f>
        <v>#REF!</v>
      </c>
      <c r="K332" s="64" t="e">
        <f>+Puantaj!#REF!</f>
        <v>#REF!</v>
      </c>
      <c r="L332" s="64" t="e">
        <f>+Puantaj!#REF!</f>
        <v>#REF!</v>
      </c>
      <c r="M332" s="68" t="e">
        <f>+BORDRO!#REF!</f>
        <v>#REF!</v>
      </c>
      <c r="N332" s="64"/>
      <c r="O332" s="79" t="e">
        <f>+BORDRO!#REF!</f>
        <v>#REF!</v>
      </c>
      <c r="P332" s="79">
        <v>0</v>
      </c>
      <c r="Q332" s="69"/>
      <c r="R332" s="69"/>
      <c r="S332" s="70"/>
      <c r="T332" s="70"/>
      <c r="U332" s="71"/>
      <c r="V332" s="72" t="e">
        <f t="shared" si="5"/>
        <v>#REF!</v>
      </c>
      <c r="W332" s="73">
        <v>6</v>
      </c>
      <c r="X332" s="81" t="s">
        <v>99</v>
      </c>
      <c r="Y332" s="65">
        <v>2</v>
      </c>
      <c r="Z332" s="64" t="s">
        <v>51</v>
      </c>
      <c r="AA332" s="74" t="s">
        <v>781</v>
      </c>
      <c r="AB332" s="64">
        <v>2025</v>
      </c>
      <c r="AC332" s="64" t="s">
        <v>106</v>
      </c>
      <c r="AD332" s="80" t="e">
        <f>+BORDRO!#REF!</f>
        <v>#REF!</v>
      </c>
      <c r="AE332" s="75"/>
      <c r="AF332" s="75" t="e">
        <f>+BORDRO!#REF!</f>
        <v>#REF!</v>
      </c>
      <c r="AG332" s="75" t="e">
        <f>+BORDRO!#REF!</f>
        <v>#REF!</v>
      </c>
      <c r="AH332" s="80" t="e">
        <f>+BORDRO!#REF!</f>
        <v>#REF!</v>
      </c>
      <c r="AI332" s="75" t="e">
        <f>+BORDRO!#REF!</f>
        <v>#REF!</v>
      </c>
      <c r="AJ332" s="76" t="e">
        <f>+BORDRO!#REF!</f>
        <v>#REF!</v>
      </c>
    </row>
    <row r="333" spans="1:36" ht="13.8" x14ac:dyDescent="0.25">
      <c r="A333" s="64" t="s">
        <v>51</v>
      </c>
      <c r="B333" s="119">
        <v>46</v>
      </c>
      <c r="C333" s="64" t="s">
        <v>52</v>
      </c>
      <c r="D333" s="64" t="s">
        <v>53</v>
      </c>
      <c r="E333" s="64" t="s">
        <v>53</v>
      </c>
      <c r="F333" s="65">
        <v>1494768</v>
      </c>
      <c r="G333" s="66" t="s">
        <v>105</v>
      </c>
      <c r="H333" s="64" t="s">
        <v>54</v>
      </c>
      <c r="I333" s="78"/>
      <c r="J333" s="67" t="e">
        <f>+Puantaj!#REF!</f>
        <v>#REF!</v>
      </c>
      <c r="K333" s="64" t="e">
        <f>+Puantaj!#REF!</f>
        <v>#REF!</v>
      </c>
      <c r="L333" s="64" t="e">
        <f>+Puantaj!#REF!</f>
        <v>#REF!</v>
      </c>
      <c r="M333" s="68" t="e">
        <f>+BORDRO!#REF!</f>
        <v>#REF!</v>
      </c>
      <c r="N333" s="64"/>
      <c r="O333" s="79" t="e">
        <f>+BORDRO!#REF!</f>
        <v>#REF!</v>
      </c>
      <c r="P333" s="79">
        <v>0</v>
      </c>
      <c r="Q333" s="69"/>
      <c r="R333" s="69"/>
      <c r="S333" s="70"/>
      <c r="T333" s="70"/>
      <c r="U333" s="71"/>
      <c r="V333" s="72" t="e">
        <f t="shared" si="5"/>
        <v>#REF!</v>
      </c>
      <c r="W333" s="73">
        <v>6</v>
      </c>
      <c r="X333" s="81" t="s">
        <v>99</v>
      </c>
      <c r="Y333" s="65">
        <v>2</v>
      </c>
      <c r="Z333" s="64" t="s">
        <v>51</v>
      </c>
      <c r="AA333" s="74" t="s">
        <v>781</v>
      </c>
      <c r="AB333" s="64">
        <v>2025</v>
      </c>
      <c r="AC333" s="64" t="s">
        <v>106</v>
      </c>
      <c r="AD333" s="80" t="e">
        <f>+BORDRO!#REF!</f>
        <v>#REF!</v>
      </c>
      <c r="AE333" s="75"/>
      <c r="AF333" s="75" t="e">
        <f>+BORDRO!#REF!</f>
        <v>#REF!</v>
      </c>
      <c r="AG333" s="75" t="e">
        <f>+BORDRO!#REF!</f>
        <v>#REF!</v>
      </c>
      <c r="AH333" s="80" t="e">
        <f>+BORDRO!#REF!</f>
        <v>#REF!</v>
      </c>
      <c r="AI333" s="75" t="e">
        <f>+BORDRO!#REF!</f>
        <v>#REF!</v>
      </c>
      <c r="AJ333" s="76" t="e">
        <f>+BORDRO!#REF!</f>
        <v>#REF!</v>
      </c>
    </row>
    <row r="334" spans="1:36" ht="13.8" x14ac:dyDescent="0.25">
      <c r="A334" s="64" t="s">
        <v>51</v>
      </c>
      <c r="B334" s="120">
        <v>46</v>
      </c>
      <c r="C334" s="64" t="s">
        <v>52</v>
      </c>
      <c r="D334" s="64" t="s">
        <v>53</v>
      </c>
      <c r="E334" s="64" t="s">
        <v>53</v>
      </c>
      <c r="F334" s="65">
        <v>1494768</v>
      </c>
      <c r="G334" s="66" t="s">
        <v>105</v>
      </c>
      <c r="H334" s="64" t="s">
        <v>54</v>
      </c>
      <c r="I334" s="78"/>
      <c r="J334" s="67" t="e">
        <f>+Puantaj!#REF!</f>
        <v>#REF!</v>
      </c>
      <c r="K334" s="64" t="e">
        <f>+Puantaj!#REF!</f>
        <v>#REF!</v>
      </c>
      <c r="L334" s="64" t="e">
        <f>+Puantaj!#REF!</f>
        <v>#REF!</v>
      </c>
      <c r="M334" s="68" t="e">
        <f>+BORDRO!#REF!</f>
        <v>#REF!</v>
      </c>
      <c r="N334" s="64"/>
      <c r="O334" s="79" t="e">
        <f>+BORDRO!#REF!</f>
        <v>#REF!</v>
      </c>
      <c r="P334" s="79">
        <v>0</v>
      </c>
      <c r="Q334" s="69"/>
      <c r="R334" s="69"/>
      <c r="S334" s="70"/>
      <c r="T334" s="70"/>
      <c r="U334" s="71"/>
      <c r="V334" s="72" t="e">
        <f t="shared" si="5"/>
        <v>#REF!</v>
      </c>
      <c r="W334" s="73">
        <v>6</v>
      </c>
      <c r="X334" s="81" t="s">
        <v>99</v>
      </c>
      <c r="Y334" s="65">
        <v>2</v>
      </c>
      <c r="Z334" s="64" t="s">
        <v>51</v>
      </c>
      <c r="AA334" s="74" t="s">
        <v>781</v>
      </c>
      <c r="AB334" s="64">
        <v>2025</v>
      </c>
      <c r="AC334" s="64" t="s">
        <v>106</v>
      </c>
      <c r="AD334" s="80" t="e">
        <f>+BORDRO!#REF!</f>
        <v>#REF!</v>
      </c>
      <c r="AE334" s="75"/>
      <c r="AF334" s="75" t="e">
        <f>+BORDRO!#REF!</f>
        <v>#REF!</v>
      </c>
      <c r="AG334" s="75" t="e">
        <f>+BORDRO!#REF!</f>
        <v>#REF!</v>
      </c>
      <c r="AH334" s="80" t="e">
        <f>+BORDRO!#REF!</f>
        <v>#REF!</v>
      </c>
      <c r="AI334" s="75" t="e">
        <f>+BORDRO!#REF!</f>
        <v>#REF!</v>
      </c>
      <c r="AJ334" s="76" t="e">
        <f>+BORDRO!#REF!</f>
        <v>#REF!</v>
      </c>
    </row>
    <row r="335" spans="1:36" ht="13.8" x14ac:dyDescent="0.25">
      <c r="A335" s="64" t="s">
        <v>51</v>
      </c>
      <c r="B335" s="119">
        <v>46</v>
      </c>
      <c r="C335" s="64" t="s">
        <v>52</v>
      </c>
      <c r="D335" s="64" t="s">
        <v>53</v>
      </c>
      <c r="E335" s="64" t="s">
        <v>53</v>
      </c>
      <c r="F335" s="65">
        <v>1494768</v>
      </c>
      <c r="G335" s="66" t="s">
        <v>105</v>
      </c>
      <c r="H335" s="64" t="s">
        <v>54</v>
      </c>
      <c r="I335" s="78"/>
      <c r="J335" s="67" t="e">
        <f>+Puantaj!#REF!</f>
        <v>#REF!</v>
      </c>
      <c r="K335" s="64" t="e">
        <f>+Puantaj!#REF!</f>
        <v>#REF!</v>
      </c>
      <c r="L335" s="64" t="e">
        <f>+Puantaj!#REF!</f>
        <v>#REF!</v>
      </c>
      <c r="M335" s="68" t="e">
        <f>+BORDRO!#REF!</f>
        <v>#REF!</v>
      </c>
      <c r="N335" s="64"/>
      <c r="O335" s="79" t="e">
        <f>+BORDRO!#REF!</f>
        <v>#REF!</v>
      </c>
      <c r="P335" s="79">
        <v>0</v>
      </c>
      <c r="Q335" s="69"/>
      <c r="R335" s="69"/>
      <c r="S335" s="70"/>
      <c r="T335" s="70"/>
      <c r="U335" s="71"/>
      <c r="V335" s="72" t="e">
        <f t="shared" si="5"/>
        <v>#REF!</v>
      </c>
      <c r="W335" s="73">
        <v>6</v>
      </c>
      <c r="X335" s="81" t="s">
        <v>99</v>
      </c>
      <c r="Y335" s="65">
        <v>2</v>
      </c>
      <c r="Z335" s="64" t="s">
        <v>51</v>
      </c>
      <c r="AA335" s="74" t="s">
        <v>781</v>
      </c>
      <c r="AB335" s="64">
        <v>2025</v>
      </c>
      <c r="AC335" s="64" t="s">
        <v>106</v>
      </c>
      <c r="AD335" s="80" t="e">
        <f>+BORDRO!#REF!</f>
        <v>#REF!</v>
      </c>
      <c r="AE335" s="75"/>
      <c r="AF335" s="75" t="e">
        <f>+BORDRO!#REF!</f>
        <v>#REF!</v>
      </c>
      <c r="AG335" s="75" t="e">
        <f>+BORDRO!#REF!</f>
        <v>#REF!</v>
      </c>
      <c r="AH335" s="80" t="e">
        <f>+BORDRO!#REF!</f>
        <v>#REF!</v>
      </c>
      <c r="AI335" s="75" t="e">
        <f>+BORDRO!#REF!</f>
        <v>#REF!</v>
      </c>
      <c r="AJ335" s="76" t="e">
        <f>+BORDRO!#REF!</f>
        <v>#REF!</v>
      </c>
    </row>
    <row r="336" spans="1:36" ht="13.8" x14ac:dyDescent="0.25">
      <c r="A336" s="64" t="s">
        <v>51</v>
      </c>
      <c r="B336" s="120">
        <v>46</v>
      </c>
      <c r="C336" s="64" t="s">
        <v>52</v>
      </c>
      <c r="D336" s="64" t="s">
        <v>53</v>
      </c>
      <c r="E336" s="64" t="s">
        <v>53</v>
      </c>
      <c r="F336" s="65">
        <v>1494768</v>
      </c>
      <c r="G336" s="66" t="s">
        <v>105</v>
      </c>
      <c r="H336" s="64" t="s">
        <v>54</v>
      </c>
      <c r="I336" s="78"/>
      <c r="J336" s="67" t="e">
        <f>+Puantaj!#REF!</f>
        <v>#REF!</v>
      </c>
      <c r="K336" s="64" t="e">
        <f>+Puantaj!#REF!</f>
        <v>#REF!</v>
      </c>
      <c r="L336" s="64" t="e">
        <f>+Puantaj!#REF!</f>
        <v>#REF!</v>
      </c>
      <c r="M336" s="68" t="e">
        <f>+BORDRO!#REF!</f>
        <v>#REF!</v>
      </c>
      <c r="N336" s="64"/>
      <c r="O336" s="79" t="e">
        <f>+BORDRO!#REF!</f>
        <v>#REF!</v>
      </c>
      <c r="P336" s="79">
        <v>0</v>
      </c>
      <c r="Q336" s="69"/>
      <c r="R336" s="69"/>
      <c r="S336" s="70"/>
      <c r="T336" s="70"/>
      <c r="U336" s="71"/>
      <c r="V336" s="72" t="e">
        <f t="shared" si="5"/>
        <v>#REF!</v>
      </c>
      <c r="W336" s="73">
        <v>6</v>
      </c>
      <c r="X336" s="81" t="s">
        <v>99</v>
      </c>
      <c r="Y336" s="65">
        <v>2</v>
      </c>
      <c r="Z336" s="64" t="s">
        <v>51</v>
      </c>
      <c r="AA336" s="74" t="s">
        <v>781</v>
      </c>
      <c r="AB336" s="64">
        <v>2025</v>
      </c>
      <c r="AC336" s="64" t="s">
        <v>106</v>
      </c>
      <c r="AD336" s="80" t="e">
        <f>+BORDRO!#REF!</f>
        <v>#REF!</v>
      </c>
      <c r="AE336" s="75"/>
      <c r="AF336" s="75" t="e">
        <f>+BORDRO!#REF!</f>
        <v>#REF!</v>
      </c>
      <c r="AG336" s="75" t="e">
        <f>+BORDRO!#REF!</f>
        <v>#REF!</v>
      </c>
      <c r="AH336" s="80" t="e">
        <f>+BORDRO!#REF!</f>
        <v>#REF!</v>
      </c>
      <c r="AI336" s="75" t="e">
        <f>+BORDRO!#REF!</f>
        <v>#REF!</v>
      </c>
      <c r="AJ336" s="76" t="e">
        <f>+BORDRO!#REF!</f>
        <v>#REF!</v>
      </c>
    </row>
    <row r="337" spans="1:36" ht="13.8" x14ac:dyDescent="0.25">
      <c r="A337" s="64" t="s">
        <v>51</v>
      </c>
      <c r="B337" s="119">
        <v>46</v>
      </c>
      <c r="C337" s="64" t="s">
        <v>52</v>
      </c>
      <c r="D337" s="64" t="s">
        <v>53</v>
      </c>
      <c r="E337" s="64" t="s">
        <v>53</v>
      </c>
      <c r="F337" s="65">
        <v>1494768</v>
      </c>
      <c r="G337" s="66" t="s">
        <v>105</v>
      </c>
      <c r="H337" s="64" t="s">
        <v>54</v>
      </c>
      <c r="I337" s="78"/>
      <c r="J337" s="67" t="e">
        <f>+Puantaj!#REF!</f>
        <v>#REF!</v>
      </c>
      <c r="K337" s="64" t="e">
        <f>+Puantaj!#REF!</f>
        <v>#REF!</v>
      </c>
      <c r="L337" s="64" t="e">
        <f>+Puantaj!#REF!</f>
        <v>#REF!</v>
      </c>
      <c r="M337" s="68" t="e">
        <f>+BORDRO!#REF!</f>
        <v>#REF!</v>
      </c>
      <c r="N337" s="64"/>
      <c r="O337" s="79" t="e">
        <f>+BORDRO!#REF!</f>
        <v>#REF!</v>
      </c>
      <c r="P337" s="79">
        <v>0</v>
      </c>
      <c r="Q337" s="69"/>
      <c r="R337" s="69"/>
      <c r="S337" s="70"/>
      <c r="T337" s="70"/>
      <c r="U337" s="71"/>
      <c r="V337" s="72" t="e">
        <f t="shared" si="5"/>
        <v>#REF!</v>
      </c>
      <c r="W337" s="73">
        <v>6</v>
      </c>
      <c r="X337" s="81" t="s">
        <v>99</v>
      </c>
      <c r="Y337" s="65">
        <v>2</v>
      </c>
      <c r="Z337" s="64" t="s">
        <v>51</v>
      </c>
      <c r="AA337" s="74" t="s">
        <v>781</v>
      </c>
      <c r="AB337" s="64">
        <v>2025</v>
      </c>
      <c r="AC337" s="64" t="s">
        <v>106</v>
      </c>
      <c r="AD337" s="80" t="e">
        <f>+BORDRO!#REF!</f>
        <v>#REF!</v>
      </c>
      <c r="AE337" s="75"/>
      <c r="AF337" s="75" t="e">
        <f>+BORDRO!#REF!</f>
        <v>#REF!</v>
      </c>
      <c r="AG337" s="75" t="e">
        <f>+BORDRO!#REF!</f>
        <v>#REF!</v>
      </c>
      <c r="AH337" s="80" t="e">
        <f>+BORDRO!#REF!</f>
        <v>#REF!</v>
      </c>
      <c r="AI337" s="75" t="e">
        <f>+BORDRO!#REF!</f>
        <v>#REF!</v>
      </c>
      <c r="AJ337" s="76" t="e">
        <f>+BORDRO!#REF!</f>
        <v>#REF!</v>
      </c>
    </row>
    <row r="338" spans="1:36" ht="13.8" x14ac:dyDescent="0.25">
      <c r="A338" s="64" t="s">
        <v>51</v>
      </c>
      <c r="B338" s="120">
        <v>46</v>
      </c>
      <c r="C338" s="64" t="s">
        <v>52</v>
      </c>
      <c r="D338" s="64" t="s">
        <v>53</v>
      </c>
      <c r="E338" s="64" t="s">
        <v>53</v>
      </c>
      <c r="F338" s="65">
        <v>1494768</v>
      </c>
      <c r="G338" s="66" t="s">
        <v>105</v>
      </c>
      <c r="H338" s="64" t="s">
        <v>54</v>
      </c>
      <c r="I338" s="78"/>
      <c r="J338" s="67" t="e">
        <f>+Puantaj!#REF!</f>
        <v>#REF!</v>
      </c>
      <c r="K338" s="64" t="e">
        <f>+Puantaj!#REF!</f>
        <v>#REF!</v>
      </c>
      <c r="L338" s="64" t="e">
        <f>+Puantaj!#REF!</f>
        <v>#REF!</v>
      </c>
      <c r="M338" s="68" t="e">
        <f>+BORDRO!#REF!</f>
        <v>#REF!</v>
      </c>
      <c r="N338" s="64"/>
      <c r="O338" s="79" t="e">
        <f>+BORDRO!#REF!</f>
        <v>#REF!</v>
      </c>
      <c r="P338" s="79">
        <v>0</v>
      </c>
      <c r="Q338" s="69"/>
      <c r="R338" s="69"/>
      <c r="S338" s="70"/>
      <c r="T338" s="70"/>
      <c r="U338" s="71"/>
      <c r="V338" s="72" t="e">
        <f t="shared" si="5"/>
        <v>#REF!</v>
      </c>
      <c r="W338" s="73">
        <v>6</v>
      </c>
      <c r="X338" s="81" t="s">
        <v>99</v>
      </c>
      <c r="Y338" s="65">
        <v>2</v>
      </c>
      <c r="Z338" s="64" t="s">
        <v>51</v>
      </c>
      <c r="AA338" s="74" t="s">
        <v>781</v>
      </c>
      <c r="AB338" s="64">
        <v>2025</v>
      </c>
      <c r="AC338" s="64" t="s">
        <v>106</v>
      </c>
      <c r="AD338" s="80" t="e">
        <f>+BORDRO!#REF!</f>
        <v>#REF!</v>
      </c>
      <c r="AE338" s="75"/>
      <c r="AF338" s="75" t="e">
        <f>+BORDRO!#REF!</f>
        <v>#REF!</v>
      </c>
      <c r="AG338" s="75" t="e">
        <f>+BORDRO!#REF!</f>
        <v>#REF!</v>
      </c>
      <c r="AH338" s="80" t="e">
        <f>+BORDRO!#REF!</f>
        <v>#REF!</v>
      </c>
      <c r="AI338" s="75" t="e">
        <f>+BORDRO!#REF!</f>
        <v>#REF!</v>
      </c>
      <c r="AJ338" s="76" t="e">
        <f>+BORDRO!#REF!</f>
        <v>#REF!</v>
      </c>
    </row>
    <row r="339" spans="1:36" ht="13.8" x14ac:dyDescent="0.25">
      <c r="A339" s="64" t="s">
        <v>51</v>
      </c>
      <c r="B339" s="119">
        <v>46</v>
      </c>
      <c r="C339" s="64" t="s">
        <v>52</v>
      </c>
      <c r="D339" s="64" t="s">
        <v>53</v>
      </c>
      <c r="E339" s="64" t="s">
        <v>53</v>
      </c>
      <c r="F339" s="65">
        <v>1494768</v>
      </c>
      <c r="G339" s="66" t="s">
        <v>105</v>
      </c>
      <c r="H339" s="64" t="s">
        <v>54</v>
      </c>
      <c r="I339" s="78"/>
      <c r="J339" s="67" t="e">
        <f>+Puantaj!#REF!</f>
        <v>#REF!</v>
      </c>
      <c r="K339" s="64" t="e">
        <f>+Puantaj!#REF!</f>
        <v>#REF!</v>
      </c>
      <c r="L339" s="64" t="e">
        <f>+Puantaj!#REF!</f>
        <v>#REF!</v>
      </c>
      <c r="M339" s="68" t="e">
        <f>+BORDRO!#REF!</f>
        <v>#REF!</v>
      </c>
      <c r="N339" s="64"/>
      <c r="O339" s="79" t="e">
        <f>+BORDRO!#REF!</f>
        <v>#REF!</v>
      </c>
      <c r="P339" s="79">
        <v>0</v>
      </c>
      <c r="Q339" s="69"/>
      <c r="R339" s="69"/>
      <c r="S339" s="70"/>
      <c r="T339" s="70"/>
      <c r="U339" s="71"/>
      <c r="V339" s="72" t="e">
        <f t="shared" si="5"/>
        <v>#REF!</v>
      </c>
      <c r="W339" s="73">
        <v>6</v>
      </c>
      <c r="X339" s="81" t="s">
        <v>99</v>
      </c>
      <c r="Y339" s="65">
        <v>2</v>
      </c>
      <c r="Z339" s="64" t="s">
        <v>51</v>
      </c>
      <c r="AA339" s="74" t="s">
        <v>781</v>
      </c>
      <c r="AB339" s="64">
        <v>2025</v>
      </c>
      <c r="AC339" s="64" t="s">
        <v>106</v>
      </c>
      <c r="AD339" s="80" t="e">
        <f>+BORDRO!#REF!</f>
        <v>#REF!</v>
      </c>
      <c r="AE339" s="75"/>
      <c r="AF339" s="75" t="e">
        <f>+BORDRO!#REF!</f>
        <v>#REF!</v>
      </c>
      <c r="AG339" s="75" t="e">
        <f>+BORDRO!#REF!</f>
        <v>#REF!</v>
      </c>
      <c r="AH339" s="80" t="e">
        <f>+BORDRO!#REF!</f>
        <v>#REF!</v>
      </c>
      <c r="AI339" s="75" t="e">
        <f>+BORDRO!#REF!</f>
        <v>#REF!</v>
      </c>
      <c r="AJ339" s="76" t="e">
        <f>+BORDRO!#REF!</f>
        <v>#REF!</v>
      </c>
    </row>
    <row r="340" spans="1:36" ht="13.8" x14ac:dyDescent="0.25">
      <c r="A340" s="64" t="s">
        <v>51</v>
      </c>
      <c r="B340" s="120">
        <v>46</v>
      </c>
      <c r="C340" s="64" t="s">
        <v>52</v>
      </c>
      <c r="D340" s="64" t="s">
        <v>53</v>
      </c>
      <c r="E340" s="64" t="s">
        <v>53</v>
      </c>
      <c r="F340" s="65">
        <v>1494768</v>
      </c>
      <c r="G340" s="66" t="s">
        <v>105</v>
      </c>
      <c r="H340" s="64" t="s">
        <v>54</v>
      </c>
      <c r="I340" s="78"/>
      <c r="J340" s="67" t="e">
        <f>+Puantaj!#REF!</f>
        <v>#REF!</v>
      </c>
      <c r="K340" s="64" t="e">
        <f>+Puantaj!#REF!</f>
        <v>#REF!</v>
      </c>
      <c r="L340" s="64" t="e">
        <f>+Puantaj!#REF!</f>
        <v>#REF!</v>
      </c>
      <c r="M340" s="68" t="e">
        <f>+BORDRO!#REF!</f>
        <v>#REF!</v>
      </c>
      <c r="N340" s="64"/>
      <c r="O340" s="79" t="e">
        <f>+BORDRO!#REF!</f>
        <v>#REF!</v>
      </c>
      <c r="P340" s="79">
        <v>0</v>
      </c>
      <c r="Q340" s="69"/>
      <c r="R340" s="69"/>
      <c r="S340" s="70"/>
      <c r="T340" s="70"/>
      <c r="U340" s="71"/>
      <c r="V340" s="72" t="e">
        <f t="shared" si="5"/>
        <v>#REF!</v>
      </c>
      <c r="W340" s="73">
        <v>6</v>
      </c>
      <c r="X340" s="81" t="s">
        <v>99</v>
      </c>
      <c r="Y340" s="65">
        <v>2</v>
      </c>
      <c r="Z340" s="64" t="s">
        <v>51</v>
      </c>
      <c r="AA340" s="74" t="s">
        <v>781</v>
      </c>
      <c r="AB340" s="64">
        <v>2025</v>
      </c>
      <c r="AC340" s="64" t="s">
        <v>106</v>
      </c>
      <c r="AD340" s="80" t="e">
        <f>+BORDRO!#REF!</f>
        <v>#REF!</v>
      </c>
      <c r="AE340" s="75"/>
      <c r="AF340" s="75" t="e">
        <f>+BORDRO!#REF!</f>
        <v>#REF!</v>
      </c>
      <c r="AG340" s="75" t="e">
        <f>+BORDRO!#REF!</f>
        <v>#REF!</v>
      </c>
      <c r="AH340" s="80" t="e">
        <f>+BORDRO!#REF!</f>
        <v>#REF!</v>
      </c>
      <c r="AI340" s="75" t="e">
        <f>+BORDRO!#REF!</f>
        <v>#REF!</v>
      </c>
      <c r="AJ340" s="76" t="e">
        <f>+BORDRO!#REF!</f>
        <v>#REF!</v>
      </c>
    </row>
    <row r="341" spans="1:36" ht="13.8" x14ac:dyDescent="0.25">
      <c r="A341" s="64" t="s">
        <v>51</v>
      </c>
      <c r="B341" s="119">
        <v>46</v>
      </c>
      <c r="C341" s="64" t="s">
        <v>52</v>
      </c>
      <c r="D341" s="64" t="s">
        <v>53</v>
      </c>
      <c r="E341" s="64" t="s">
        <v>53</v>
      </c>
      <c r="F341" s="65">
        <v>1494768</v>
      </c>
      <c r="G341" s="66" t="s">
        <v>105</v>
      </c>
      <c r="H341" s="64" t="s">
        <v>54</v>
      </c>
      <c r="I341" s="78"/>
      <c r="J341" s="67" t="e">
        <f>+Puantaj!#REF!</f>
        <v>#REF!</v>
      </c>
      <c r="K341" s="64" t="e">
        <f>+Puantaj!#REF!</f>
        <v>#REF!</v>
      </c>
      <c r="L341" s="64" t="e">
        <f>+Puantaj!#REF!</f>
        <v>#REF!</v>
      </c>
      <c r="M341" s="68" t="e">
        <f>+BORDRO!#REF!</f>
        <v>#REF!</v>
      </c>
      <c r="N341" s="64"/>
      <c r="O341" s="79" t="e">
        <f>+BORDRO!#REF!</f>
        <v>#REF!</v>
      </c>
      <c r="P341" s="79">
        <v>0</v>
      </c>
      <c r="Q341" s="69"/>
      <c r="R341" s="69"/>
      <c r="S341" s="70"/>
      <c r="T341" s="70"/>
      <c r="U341" s="71"/>
      <c r="V341" s="72" t="e">
        <f t="shared" si="5"/>
        <v>#REF!</v>
      </c>
      <c r="W341" s="73">
        <v>6</v>
      </c>
      <c r="X341" s="81" t="s">
        <v>99</v>
      </c>
      <c r="Y341" s="65">
        <v>2</v>
      </c>
      <c r="Z341" s="64" t="s">
        <v>51</v>
      </c>
      <c r="AA341" s="74" t="s">
        <v>781</v>
      </c>
      <c r="AB341" s="64">
        <v>2025</v>
      </c>
      <c r="AC341" s="64" t="s">
        <v>106</v>
      </c>
      <c r="AD341" s="80" t="e">
        <f>+BORDRO!#REF!</f>
        <v>#REF!</v>
      </c>
      <c r="AE341" s="75"/>
      <c r="AF341" s="75" t="e">
        <f>+BORDRO!#REF!</f>
        <v>#REF!</v>
      </c>
      <c r="AG341" s="75" t="e">
        <f>+BORDRO!#REF!</f>
        <v>#REF!</v>
      </c>
      <c r="AH341" s="80" t="e">
        <f>+BORDRO!#REF!</f>
        <v>#REF!</v>
      </c>
      <c r="AI341" s="75" t="e">
        <f>+BORDRO!#REF!</f>
        <v>#REF!</v>
      </c>
      <c r="AJ341" s="76" t="e">
        <f>+BORDRO!#REF!</f>
        <v>#REF!</v>
      </c>
    </row>
    <row r="342" spans="1:36" ht="13.8" x14ac:dyDescent="0.25">
      <c r="A342" s="64" t="s">
        <v>51</v>
      </c>
      <c r="B342" s="120">
        <v>46</v>
      </c>
      <c r="C342" s="64" t="s">
        <v>52</v>
      </c>
      <c r="D342" s="64" t="s">
        <v>53</v>
      </c>
      <c r="E342" s="64" t="s">
        <v>53</v>
      </c>
      <c r="F342" s="65">
        <v>1494768</v>
      </c>
      <c r="G342" s="66" t="s">
        <v>105</v>
      </c>
      <c r="H342" s="64" t="s">
        <v>54</v>
      </c>
      <c r="I342" s="78"/>
      <c r="J342" s="67" t="e">
        <f>+Puantaj!#REF!</f>
        <v>#REF!</v>
      </c>
      <c r="K342" s="64" t="e">
        <f>+Puantaj!#REF!</f>
        <v>#REF!</v>
      </c>
      <c r="L342" s="64" t="e">
        <f>+Puantaj!#REF!</f>
        <v>#REF!</v>
      </c>
      <c r="M342" s="68" t="e">
        <f>+BORDRO!#REF!</f>
        <v>#REF!</v>
      </c>
      <c r="N342" s="64"/>
      <c r="O342" s="79" t="e">
        <f>+BORDRO!#REF!</f>
        <v>#REF!</v>
      </c>
      <c r="P342" s="79">
        <v>0</v>
      </c>
      <c r="Q342" s="69"/>
      <c r="R342" s="69"/>
      <c r="S342" s="70"/>
      <c r="T342" s="70"/>
      <c r="U342" s="71"/>
      <c r="V342" s="72" t="e">
        <f t="shared" si="5"/>
        <v>#REF!</v>
      </c>
      <c r="W342" s="73">
        <v>6</v>
      </c>
      <c r="X342" s="81" t="s">
        <v>99</v>
      </c>
      <c r="Y342" s="65">
        <v>2</v>
      </c>
      <c r="Z342" s="64" t="s">
        <v>51</v>
      </c>
      <c r="AA342" s="74" t="s">
        <v>781</v>
      </c>
      <c r="AB342" s="64">
        <v>2025</v>
      </c>
      <c r="AC342" s="64" t="s">
        <v>106</v>
      </c>
      <c r="AD342" s="80" t="e">
        <f>+BORDRO!#REF!</f>
        <v>#REF!</v>
      </c>
      <c r="AE342" s="75"/>
      <c r="AF342" s="75" t="e">
        <f>+BORDRO!#REF!</f>
        <v>#REF!</v>
      </c>
      <c r="AG342" s="75" t="e">
        <f>+BORDRO!#REF!</f>
        <v>#REF!</v>
      </c>
      <c r="AH342" s="80" t="e">
        <f>+BORDRO!#REF!</f>
        <v>#REF!</v>
      </c>
      <c r="AI342" s="75" t="e">
        <f>+BORDRO!#REF!</f>
        <v>#REF!</v>
      </c>
      <c r="AJ342" s="76" t="e">
        <f>+BORDRO!#REF!</f>
        <v>#REF!</v>
      </c>
    </row>
    <row r="343" spans="1:36" ht="13.8" x14ac:dyDescent="0.25">
      <c r="A343" s="64" t="s">
        <v>51</v>
      </c>
      <c r="B343" s="119">
        <v>46</v>
      </c>
      <c r="C343" s="64" t="s">
        <v>52</v>
      </c>
      <c r="D343" s="64" t="s">
        <v>53</v>
      </c>
      <c r="E343" s="64" t="s">
        <v>53</v>
      </c>
      <c r="F343" s="65">
        <v>1494768</v>
      </c>
      <c r="G343" s="66" t="s">
        <v>105</v>
      </c>
      <c r="H343" s="64" t="s">
        <v>54</v>
      </c>
      <c r="I343" s="78"/>
      <c r="J343" s="67" t="e">
        <f>+Puantaj!#REF!</f>
        <v>#REF!</v>
      </c>
      <c r="K343" s="64" t="e">
        <f>+Puantaj!#REF!</f>
        <v>#REF!</v>
      </c>
      <c r="L343" s="64" t="e">
        <f>+Puantaj!#REF!</f>
        <v>#REF!</v>
      </c>
      <c r="M343" s="68" t="e">
        <f>+BORDRO!#REF!</f>
        <v>#REF!</v>
      </c>
      <c r="N343" s="64"/>
      <c r="O343" s="79" t="e">
        <f>+BORDRO!#REF!</f>
        <v>#REF!</v>
      </c>
      <c r="P343" s="79">
        <v>0</v>
      </c>
      <c r="Q343" s="69"/>
      <c r="R343" s="69"/>
      <c r="S343" s="70"/>
      <c r="T343" s="70"/>
      <c r="U343" s="71"/>
      <c r="V343" s="72" t="e">
        <f t="shared" si="5"/>
        <v>#REF!</v>
      </c>
      <c r="W343" s="73">
        <v>6</v>
      </c>
      <c r="X343" s="81" t="s">
        <v>99</v>
      </c>
      <c r="Y343" s="65">
        <v>2</v>
      </c>
      <c r="Z343" s="64" t="s">
        <v>51</v>
      </c>
      <c r="AA343" s="74" t="s">
        <v>781</v>
      </c>
      <c r="AB343" s="64">
        <v>2025</v>
      </c>
      <c r="AC343" s="64" t="s">
        <v>106</v>
      </c>
      <c r="AD343" s="80" t="e">
        <f>+BORDRO!#REF!</f>
        <v>#REF!</v>
      </c>
      <c r="AE343" s="75"/>
      <c r="AF343" s="75" t="e">
        <f>+BORDRO!#REF!</f>
        <v>#REF!</v>
      </c>
      <c r="AG343" s="75" t="e">
        <f>+BORDRO!#REF!</f>
        <v>#REF!</v>
      </c>
      <c r="AH343" s="80" t="e">
        <f>+BORDRO!#REF!</f>
        <v>#REF!</v>
      </c>
      <c r="AI343" s="75" t="e">
        <f>+BORDRO!#REF!</f>
        <v>#REF!</v>
      </c>
      <c r="AJ343" s="76" t="e">
        <f>+BORDRO!#REF!</f>
        <v>#REF!</v>
      </c>
    </row>
    <row r="344" spans="1:36" ht="13.8" x14ac:dyDescent="0.25">
      <c r="A344" s="64" t="s">
        <v>51</v>
      </c>
      <c r="B344" s="120">
        <v>46</v>
      </c>
      <c r="C344" s="64" t="s">
        <v>52</v>
      </c>
      <c r="D344" s="64" t="s">
        <v>53</v>
      </c>
      <c r="E344" s="64" t="s">
        <v>53</v>
      </c>
      <c r="F344" s="65">
        <v>1494768</v>
      </c>
      <c r="G344" s="66" t="s">
        <v>105</v>
      </c>
      <c r="H344" s="64" t="s">
        <v>54</v>
      </c>
      <c r="I344" s="78"/>
      <c r="J344" s="67" t="e">
        <f>+Puantaj!#REF!</f>
        <v>#REF!</v>
      </c>
      <c r="K344" s="64" t="e">
        <f>+Puantaj!#REF!</f>
        <v>#REF!</v>
      </c>
      <c r="L344" s="64" t="e">
        <f>+Puantaj!#REF!</f>
        <v>#REF!</v>
      </c>
      <c r="M344" s="68" t="e">
        <f>+BORDRO!#REF!</f>
        <v>#REF!</v>
      </c>
      <c r="N344" s="64"/>
      <c r="O344" s="79" t="e">
        <f>+BORDRO!#REF!</f>
        <v>#REF!</v>
      </c>
      <c r="P344" s="79">
        <v>0</v>
      </c>
      <c r="Q344" s="69"/>
      <c r="R344" s="69"/>
      <c r="S344" s="70"/>
      <c r="T344" s="70"/>
      <c r="U344" s="71"/>
      <c r="V344" s="72" t="e">
        <f t="shared" si="5"/>
        <v>#REF!</v>
      </c>
      <c r="W344" s="73">
        <v>6</v>
      </c>
      <c r="X344" s="81" t="s">
        <v>99</v>
      </c>
      <c r="Y344" s="65">
        <v>2</v>
      </c>
      <c r="Z344" s="64" t="s">
        <v>51</v>
      </c>
      <c r="AA344" s="74" t="s">
        <v>781</v>
      </c>
      <c r="AB344" s="64">
        <v>2025</v>
      </c>
      <c r="AC344" s="64" t="s">
        <v>106</v>
      </c>
      <c r="AD344" s="80" t="e">
        <f>+BORDRO!#REF!</f>
        <v>#REF!</v>
      </c>
      <c r="AE344" s="75"/>
      <c r="AF344" s="75" t="e">
        <f>+BORDRO!#REF!</f>
        <v>#REF!</v>
      </c>
      <c r="AG344" s="75" t="e">
        <f>+BORDRO!#REF!</f>
        <v>#REF!</v>
      </c>
      <c r="AH344" s="80" t="e">
        <f>+BORDRO!#REF!</f>
        <v>#REF!</v>
      </c>
      <c r="AI344" s="75" t="e">
        <f>+BORDRO!#REF!</f>
        <v>#REF!</v>
      </c>
      <c r="AJ344" s="76" t="e">
        <f>+BORDRO!#REF!</f>
        <v>#REF!</v>
      </c>
    </row>
    <row r="345" spans="1:36" ht="13.8" x14ac:dyDescent="0.25">
      <c r="A345" s="64" t="s">
        <v>51</v>
      </c>
      <c r="B345" s="119">
        <v>46</v>
      </c>
      <c r="C345" s="64" t="s">
        <v>52</v>
      </c>
      <c r="D345" s="64" t="s">
        <v>53</v>
      </c>
      <c r="E345" s="64" t="s">
        <v>53</v>
      </c>
      <c r="F345" s="65">
        <v>1494768</v>
      </c>
      <c r="G345" s="66" t="s">
        <v>105</v>
      </c>
      <c r="H345" s="64" t="s">
        <v>54</v>
      </c>
      <c r="I345" s="78"/>
      <c r="J345" s="67" t="e">
        <f>+Puantaj!#REF!</f>
        <v>#REF!</v>
      </c>
      <c r="K345" s="64" t="e">
        <f>+Puantaj!#REF!</f>
        <v>#REF!</v>
      </c>
      <c r="L345" s="64" t="e">
        <f>+Puantaj!#REF!</f>
        <v>#REF!</v>
      </c>
      <c r="M345" s="68" t="e">
        <f>+BORDRO!#REF!</f>
        <v>#REF!</v>
      </c>
      <c r="N345" s="64"/>
      <c r="O345" s="79" t="e">
        <f>+BORDRO!#REF!</f>
        <v>#REF!</v>
      </c>
      <c r="P345" s="79">
        <v>0</v>
      </c>
      <c r="Q345" s="69"/>
      <c r="R345" s="69"/>
      <c r="S345" s="70"/>
      <c r="T345" s="70"/>
      <c r="U345" s="71"/>
      <c r="V345" s="72" t="e">
        <f t="shared" si="5"/>
        <v>#REF!</v>
      </c>
      <c r="W345" s="73">
        <v>6</v>
      </c>
      <c r="X345" s="81" t="s">
        <v>99</v>
      </c>
      <c r="Y345" s="65">
        <v>2</v>
      </c>
      <c r="Z345" s="64" t="s">
        <v>51</v>
      </c>
      <c r="AA345" s="74" t="s">
        <v>781</v>
      </c>
      <c r="AB345" s="64">
        <v>2025</v>
      </c>
      <c r="AC345" s="64" t="s">
        <v>106</v>
      </c>
      <c r="AD345" s="80" t="e">
        <f>+BORDRO!#REF!</f>
        <v>#REF!</v>
      </c>
      <c r="AE345" s="75"/>
      <c r="AF345" s="75" t="e">
        <f>+BORDRO!#REF!</f>
        <v>#REF!</v>
      </c>
      <c r="AG345" s="75" t="e">
        <f>+BORDRO!#REF!</f>
        <v>#REF!</v>
      </c>
      <c r="AH345" s="80" t="e">
        <f>+BORDRO!#REF!</f>
        <v>#REF!</v>
      </c>
      <c r="AI345" s="75" t="e">
        <f>+BORDRO!#REF!</f>
        <v>#REF!</v>
      </c>
      <c r="AJ345" s="76" t="e">
        <f>+BORDRO!#REF!</f>
        <v>#REF!</v>
      </c>
    </row>
    <row r="346" spans="1:36" ht="13.8" x14ac:dyDescent="0.25">
      <c r="A346" s="64" t="s">
        <v>51</v>
      </c>
      <c r="B346" s="120">
        <v>46</v>
      </c>
      <c r="C346" s="64" t="s">
        <v>52</v>
      </c>
      <c r="D346" s="64" t="s">
        <v>53</v>
      </c>
      <c r="E346" s="64" t="s">
        <v>53</v>
      </c>
      <c r="F346" s="65">
        <v>1494768</v>
      </c>
      <c r="G346" s="66" t="s">
        <v>105</v>
      </c>
      <c r="H346" s="64" t="s">
        <v>54</v>
      </c>
      <c r="I346" s="78"/>
      <c r="J346" s="67" t="e">
        <f>+Puantaj!#REF!</f>
        <v>#REF!</v>
      </c>
      <c r="K346" s="64" t="e">
        <f>+Puantaj!#REF!</f>
        <v>#REF!</v>
      </c>
      <c r="L346" s="64" t="e">
        <f>+Puantaj!#REF!</f>
        <v>#REF!</v>
      </c>
      <c r="M346" s="68" t="e">
        <f>+BORDRO!#REF!</f>
        <v>#REF!</v>
      </c>
      <c r="N346" s="64"/>
      <c r="O346" s="79" t="e">
        <f>+BORDRO!#REF!</f>
        <v>#REF!</v>
      </c>
      <c r="P346" s="79">
        <v>0</v>
      </c>
      <c r="Q346" s="69"/>
      <c r="R346" s="69"/>
      <c r="S346" s="70"/>
      <c r="T346" s="70"/>
      <c r="U346" s="71"/>
      <c r="V346" s="72" t="e">
        <f t="shared" si="5"/>
        <v>#REF!</v>
      </c>
      <c r="W346" s="73">
        <v>6</v>
      </c>
      <c r="X346" s="81" t="s">
        <v>99</v>
      </c>
      <c r="Y346" s="65">
        <v>2</v>
      </c>
      <c r="Z346" s="64" t="s">
        <v>51</v>
      </c>
      <c r="AA346" s="74" t="s">
        <v>781</v>
      </c>
      <c r="AB346" s="64">
        <v>2025</v>
      </c>
      <c r="AC346" s="64" t="s">
        <v>106</v>
      </c>
      <c r="AD346" s="80" t="e">
        <f>+BORDRO!#REF!</f>
        <v>#REF!</v>
      </c>
      <c r="AE346" s="75"/>
      <c r="AF346" s="75" t="e">
        <f>+BORDRO!#REF!</f>
        <v>#REF!</v>
      </c>
      <c r="AG346" s="75" t="e">
        <f>+BORDRO!#REF!</f>
        <v>#REF!</v>
      </c>
      <c r="AH346" s="80" t="e">
        <f>+BORDRO!#REF!</f>
        <v>#REF!</v>
      </c>
      <c r="AI346" s="75" t="e">
        <f>+BORDRO!#REF!</f>
        <v>#REF!</v>
      </c>
      <c r="AJ346" s="76" t="e">
        <f>+BORDRO!#REF!</f>
        <v>#REF!</v>
      </c>
    </row>
    <row r="347" spans="1:36" ht="13.8" x14ac:dyDescent="0.25">
      <c r="A347" s="64" t="s">
        <v>51</v>
      </c>
      <c r="B347" s="119">
        <v>46</v>
      </c>
      <c r="C347" s="64" t="s">
        <v>52</v>
      </c>
      <c r="D347" s="64" t="s">
        <v>53</v>
      </c>
      <c r="E347" s="64" t="s">
        <v>53</v>
      </c>
      <c r="F347" s="65">
        <v>1494768</v>
      </c>
      <c r="G347" s="66" t="s">
        <v>105</v>
      </c>
      <c r="H347" s="64" t="s">
        <v>54</v>
      </c>
      <c r="I347" s="78"/>
      <c r="J347" s="67" t="e">
        <f>+Puantaj!#REF!</f>
        <v>#REF!</v>
      </c>
      <c r="K347" s="64" t="e">
        <f>+Puantaj!#REF!</f>
        <v>#REF!</v>
      </c>
      <c r="L347" s="64" t="e">
        <f>+Puantaj!#REF!</f>
        <v>#REF!</v>
      </c>
      <c r="M347" s="68" t="e">
        <f>+BORDRO!#REF!</f>
        <v>#REF!</v>
      </c>
      <c r="N347" s="64"/>
      <c r="O347" s="79" t="e">
        <f>+BORDRO!#REF!</f>
        <v>#REF!</v>
      </c>
      <c r="P347" s="79">
        <v>0</v>
      </c>
      <c r="Q347" s="69"/>
      <c r="R347" s="69"/>
      <c r="S347" s="70"/>
      <c r="T347" s="70"/>
      <c r="U347" s="71"/>
      <c r="V347" s="72" t="e">
        <f t="shared" si="5"/>
        <v>#REF!</v>
      </c>
      <c r="W347" s="73">
        <v>6</v>
      </c>
      <c r="X347" s="81" t="s">
        <v>99</v>
      </c>
      <c r="Y347" s="65">
        <v>2</v>
      </c>
      <c r="Z347" s="64" t="s">
        <v>51</v>
      </c>
      <c r="AA347" s="74" t="s">
        <v>781</v>
      </c>
      <c r="AB347" s="64">
        <v>2025</v>
      </c>
      <c r="AC347" s="64" t="s">
        <v>106</v>
      </c>
      <c r="AD347" s="80" t="e">
        <f>+BORDRO!#REF!</f>
        <v>#REF!</v>
      </c>
      <c r="AE347" s="75"/>
      <c r="AF347" s="75" t="e">
        <f>+BORDRO!#REF!</f>
        <v>#REF!</v>
      </c>
      <c r="AG347" s="75" t="e">
        <f>+BORDRO!#REF!</f>
        <v>#REF!</v>
      </c>
      <c r="AH347" s="80" t="e">
        <f>+BORDRO!#REF!</f>
        <v>#REF!</v>
      </c>
      <c r="AI347" s="75" t="e">
        <f>+BORDRO!#REF!</f>
        <v>#REF!</v>
      </c>
      <c r="AJ347" s="76" t="e">
        <f>+BORDRO!#REF!</f>
        <v>#REF!</v>
      </c>
    </row>
    <row r="348" spans="1:36" ht="13.8" x14ac:dyDescent="0.25">
      <c r="A348" s="64" t="s">
        <v>51</v>
      </c>
      <c r="B348" s="120">
        <v>46</v>
      </c>
      <c r="C348" s="64" t="s">
        <v>52</v>
      </c>
      <c r="D348" s="64" t="s">
        <v>53</v>
      </c>
      <c r="E348" s="64" t="s">
        <v>53</v>
      </c>
      <c r="F348" s="65">
        <v>1494768</v>
      </c>
      <c r="G348" s="66" t="s">
        <v>105</v>
      </c>
      <c r="H348" s="64" t="s">
        <v>54</v>
      </c>
      <c r="I348" s="78"/>
      <c r="J348" s="67" t="e">
        <f>+Puantaj!#REF!</f>
        <v>#REF!</v>
      </c>
      <c r="K348" s="64" t="e">
        <f>+Puantaj!#REF!</f>
        <v>#REF!</v>
      </c>
      <c r="L348" s="64" t="e">
        <f>+Puantaj!#REF!</f>
        <v>#REF!</v>
      </c>
      <c r="M348" s="68" t="e">
        <f>+BORDRO!#REF!</f>
        <v>#REF!</v>
      </c>
      <c r="N348" s="64"/>
      <c r="O348" s="79" t="e">
        <f>+BORDRO!#REF!</f>
        <v>#REF!</v>
      </c>
      <c r="P348" s="79">
        <v>0</v>
      </c>
      <c r="Q348" s="69"/>
      <c r="R348" s="69"/>
      <c r="S348" s="70"/>
      <c r="T348" s="70"/>
      <c r="U348" s="71"/>
      <c r="V348" s="72" t="e">
        <f t="shared" si="5"/>
        <v>#REF!</v>
      </c>
      <c r="W348" s="73">
        <v>6</v>
      </c>
      <c r="X348" s="81" t="s">
        <v>99</v>
      </c>
      <c r="Y348" s="65">
        <v>2</v>
      </c>
      <c r="Z348" s="64" t="s">
        <v>51</v>
      </c>
      <c r="AA348" s="74" t="s">
        <v>781</v>
      </c>
      <c r="AB348" s="64">
        <v>2025</v>
      </c>
      <c r="AC348" s="64" t="s">
        <v>106</v>
      </c>
      <c r="AD348" s="80" t="e">
        <f>+BORDRO!#REF!</f>
        <v>#REF!</v>
      </c>
      <c r="AE348" s="75"/>
      <c r="AF348" s="75" t="e">
        <f>+BORDRO!#REF!</f>
        <v>#REF!</v>
      </c>
      <c r="AG348" s="75" t="e">
        <f>+BORDRO!#REF!</f>
        <v>#REF!</v>
      </c>
      <c r="AH348" s="80" t="e">
        <f>+BORDRO!#REF!</f>
        <v>#REF!</v>
      </c>
      <c r="AI348" s="75" t="e">
        <f>+BORDRO!#REF!</f>
        <v>#REF!</v>
      </c>
      <c r="AJ348" s="76" t="e">
        <f>+BORDRO!#REF!</f>
        <v>#REF!</v>
      </c>
    </row>
    <row r="349" spans="1:36" ht="13.8" x14ac:dyDescent="0.25">
      <c r="A349" s="64" t="s">
        <v>51</v>
      </c>
      <c r="B349" s="119">
        <v>46</v>
      </c>
      <c r="C349" s="64" t="s">
        <v>52</v>
      </c>
      <c r="D349" s="64" t="s">
        <v>53</v>
      </c>
      <c r="E349" s="64" t="s">
        <v>53</v>
      </c>
      <c r="F349" s="65">
        <v>1494768</v>
      </c>
      <c r="G349" s="66" t="s">
        <v>105</v>
      </c>
      <c r="H349" s="64" t="s">
        <v>54</v>
      </c>
      <c r="I349" s="78"/>
      <c r="J349" s="67" t="e">
        <f>+Puantaj!#REF!</f>
        <v>#REF!</v>
      </c>
      <c r="K349" s="64" t="e">
        <f>+Puantaj!#REF!</f>
        <v>#REF!</v>
      </c>
      <c r="L349" s="64" t="e">
        <f>+Puantaj!#REF!</f>
        <v>#REF!</v>
      </c>
      <c r="M349" s="68" t="e">
        <f>+BORDRO!#REF!</f>
        <v>#REF!</v>
      </c>
      <c r="N349" s="64"/>
      <c r="O349" s="79" t="e">
        <f>+BORDRO!#REF!</f>
        <v>#REF!</v>
      </c>
      <c r="P349" s="79">
        <v>0</v>
      </c>
      <c r="Q349" s="69"/>
      <c r="R349" s="69"/>
      <c r="S349" s="70"/>
      <c r="T349" s="70"/>
      <c r="U349" s="71"/>
      <c r="V349" s="72" t="e">
        <f t="shared" si="5"/>
        <v>#REF!</v>
      </c>
      <c r="W349" s="73">
        <v>6</v>
      </c>
      <c r="X349" s="81" t="s">
        <v>99</v>
      </c>
      <c r="Y349" s="65">
        <v>2</v>
      </c>
      <c r="Z349" s="64" t="s">
        <v>51</v>
      </c>
      <c r="AA349" s="74" t="s">
        <v>781</v>
      </c>
      <c r="AB349" s="64">
        <v>2025</v>
      </c>
      <c r="AC349" s="64" t="s">
        <v>106</v>
      </c>
      <c r="AD349" s="80" t="e">
        <f>+BORDRO!#REF!</f>
        <v>#REF!</v>
      </c>
      <c r="AE349" s="75"/>
      <c r="AF349" s="75" t="e">
        <f>+BORDRO!#REF!</f>
        <v>#REF!</v>
      </c>
      <c r="AG349" s="75" t="e">
        <f>+BORDRO!#REF!</f>
        <v>#REF!</v>
      </c>
      <c r="AH349" s="80" t="e">
        <f>+BORDRO!#REF!</f>
        <v>#REF!</v>
      </c>
      <c r="AI349" s="75" t="e">
        <f>+BORDRO!#REF!</f>
        <v>#REF!</v>
      </c>
      <c r="AJ349" s="76" t="e">
        <f>+BORDRO!#REF!</f>
        <v>#REF!</v>
      </c>
    </row>
    <row r="350" spans="1:36" ht="13.8" x14ac:dyDescent="0.25">
      <c r="A350" s="64" t="s">
        <v>51</v>
      </c>
      <c r="B350" s="120">
        <v>46</v>
      </c>
      <c r="C350" s="64" t="s">
        <v>52</v>
      </c>
      <c r="D350" s="64" t="s">
        <v>53</v>
      </c>
      <c r="E350" s="64" t="s">
        <v>53</v>
      </c>
      <c r="F350" s="65">
        <v>1494768</v>
      </c>
      <c r="G350" s="66" t="s">
        <v>105</v>
      </c>
      <c r="H350" s="64" t="s">
        <v>54</v>
      </c>
      <c r="I350" s="78"/>
      <c r="J350" s="67" t="e">
        <f>+Puantaj!#REF!</f>
        <v>#REF!</v>
      </c>
      <c r="K350" s="64" t="e">
        <f>+Puantaj!#REF!</f>
        <v>#REF!</v>
      </c>
      <c r="L350" s="64" t="e">
        <f>+Puantaj!#REF!</f>
        <v>#REF!</v>
      </c>
      <c r="M350" s="68" t="e">
        <f>+BORDRO!#REF!</f>
        <v>#REF!</v>
      </c>
      <c r="N350" s="64"/>
      <c r="O350" s="79" t="e">
        <f>+BORDRO!#REF!</f>
        <v>#REF!</v>
      </c>
      <c r="P350" s="79">
        <v>0</v>
      </c>
      <c r="Q350" s="69"/>
      <c r="R350" s="69"/>
      <c r="S350" s="70"/>
      <c r="T350" s="70"/>
      <c r="U350" s="71"/>
      <c r="V350" s="72" t="e">
        <f t="shared" si="5"/>
        <v>#REF!</v>
      </c>
      <c r="W350" s="73">
        <v>6</v>
      </c>
      <c r="X350" s="81" t="s">
        <v>99</v>
      </c>
      <c r="Y350" s="65">
        <v>2</v>
      </c>
      <c r="Z350" s="64" t="s">
        <v>51</v>
      </c>
      <c r="AA350" s="74" t="s">
        <v>781</v>
      </c>
      <c r="AB350" s="64">
        <v>2025</v>
      </c>
      <c r="AC350" s="64" t="s">
        <v>106</v>
      </c>
      <c r="AD350" s="80" t="e">
        <f>+BORDRO!#REF!</f>
        <v>#REF!</v>
      </c>
      <c r="AE350" s="75"/>
      <c r="AF350" s="75" t="e">
        <f>+BORDRO!#REF!</f>
        <v>#REF!</v>
      </c>
      <c r="AG350" s="75" t="e">
        <f>+BORDRO!#REF!</f>
        <v>#REF!</v>
      </c>
      <c r="AH350" s="80" t="e">
        <f>+BORDRO!#REF!</f>
        <v>#REF!</v>
      </c>
      <c r="AI350" s="75" t="e">
        <f>+BORDRO!#REF!</f>
        <v>#REF!</v>
      </c>
      <c r="AJ350" s="76" t="e">
        <f>+BORDRO!#REF!</f>
        <v>#REF!</v>
      </c>
    </row>
    <row r="351" spans="1:36" ht="13.8" x14ac:dyDescent="0.25">
      <c r="A351" s="64" t="s">
        <v>51</v>
      </c>
      <c r="B351" s="119">
        <v>46</v>
      </c>
      <c r="C351" s="64" t="s">
        <v>52</v>
      </c>
      <c r="D351" s="64" t="s">
        <v>53</v>
      </c>
      <c r="E351" s="64" t="s">
        <v>53</v>
      </c>
      <c r="F351" s="65">
        <v>1494768</v>
      </c>
      <c r="G351" s="66" t="s">
        <v>105</v>
      </c>
      <c r="H351" s="64" t="s">
        <v>54</v>
      </c>
      <c r="I351" s="78"/>
      <c r="J351" s="67" t="e">
        <f>+Puantaj!#REF!</f>
        <v>#REF!</v>
      </c>
      <c r="K351" s="64" t="e">
        <f>+Puantaj!#REF!</f>
        <v>#REF!</v>
      </c>
      <c r="L351" s="64" t="e">
        <f>+Puantaj!#REF!</f>
        <v>#REF!</v>
      </c>
      <c r="M351" s="68" t="e">
        <f>+BORDRO!#REF!</f>
        <v>#REF!</v>
      </c>
      <c r="N351" s="64"/>
      <c r="O351" s="79" t="e">
        <f>+BORDRO!#REF!</f>
        <v>#REF!</v>
      </c>
      <c r="P351" s="79">
        <v>0</v>
      </c>
      <c r="Q351" s="69"/>
      <c r="R351" s="69"/>
      <c r="S351" s="70"/>
      <c r="T351" s="70"/>
      <c r="U351" s="71"/>
      <c r="V351" s="72" t="e">
        <f t="shared" si="5"/>
        <v>#REF!</v>
      </c>
      <c r="W351" s="73">
        <v>6</v>
      </c>
      <c r="X351" s="81" t="s">
        <v>99</v>
      </c>
      <c r="Y351" s="65">
        <v>2</v>
      </c>
      <c r="Z351" s="64" t="s">
        <v>51</v>
      </c>
      <c r="AA351" s="74" t="s">
        <v>781</v>
      </c>
      <c r="AB351" s="64">
        <v>2025</v>
      </c>
      <c r="AC351" s="64" t="s">
        <v>106</v>
      </c>
      <c r="AD351" s="80" t="e">
        <f>+BORDRO!#REF!</f>
        <v>#REF!</v>
      </c>
      <c r="AE351" s="75"/>
      <c r="AF351" s="75" t="e">
        <f>+BORDRO!#REF!</f>
        <v>#REF!</v>
      </c>
      <c r="AG351" s="75" t="e">
        <f>+BORDRO!#REF!</f>
        <v>#REF!</v>
      </c>
      <c r="AH351" s="80" t="e">
        <f>+BORDRO!#REF!</f>
        <v>#REF!</v>
      </c>
      <c r="AI351" s="75" t="e">
        <f>+BORDRO!#REF!</f>
        <v>#REF!</v>
      </c>
      <c r="AJ351" s="76" t="e">
        <f>+BORDRO!#REF!</f>
        <v>#REF!</v>
      </c>
    </row>
    <row r="352" spans="1:36" ht="13.8" x14ac:dyDescent="0.25">
      <c r="A352" s="64" t="s">
        <v>51</v>
      </c>
      <c r="B352" s="120">
        <v>46</v>
      </c>
      <c r="C352" s="64" t="s">
        <v>52</v>
      </c>
      <c r="D352" s="64" t="s">
        <v>53</v>
      </c>
      <c r="E352" s="64" t="s">
        <v>53</v>
      </c>
      <c r="F352" s="65">
        <v>1494768</v>
      </c>
      <c r="G352" s="66" t="s">
        <v>105</v>
      </c>
      <c r="H352" s="64" t="s">
        <v>54</v>
      </c>
      <c r="I352" s="78"/>
      <c r="J352" s="67" t="e">
        <f>+Puantaj!#REF!</f>
        <v>#REF!</v>
      </c>
      <c r="K352" s="64" t="e">
        <f>+Puantaj!#REF!</f>
        <v>#REF!</v>
      </c>
      <c r="L352" s="64" t="e">
        <f>+Puantaj!#REF!</f>
        <v>#REF!</v>
      </c>
      <c r="M352" s="68" t="e">
        <f>+BORDRO!#REF!</f>
        <v>#REF!</v>
      </c>
      <c r="N352" s="64"/>
      <c r="O352" s="79" t="e">
        <f>+BORDRO!#REF!</f>
        <v>#REF!</v>
      </c>
      <c r="P352" s="79">
        <v>0</v>
      </c>
      <c r="Q352" s="69"/>
      <c r="R352" s="69"/>
      <c r="S352" s="70"/>
      <c r="T352" s="70"/>
      <c r="U352" s="71"/>
      <c r="V352" s="72" t="e">
        <f t="shared" si="5"/>
        <v>#REF!</v>
      </c>
      <c r="W352" s="73">
        <v>6</v>
      </c>
      <c r="X352" s="81" t="s">
        <v>99</v>
      </c>
      <c r="Y352" s="65">
        <v>2</v>
      </c>
      <c r="Z352" s="64" t="s">
        <v>51</v>
      </c>
      <c r="AA352" s="74" t="s">
        <v>781</v>
      </c>
      <c r="AB352" s="64">
        <v>2025</v>
      </c>
      <c r="AC352" s="64" t="s">
        <v>106</v>
      </c>
      <c r="AD352" s="80" t="e">
        <f>+BORDRO!#REF!</f>
        <v>#REF!</v>
      </c>
      <c r="AE352" s="75"/>
      <c r="AF352" s="75" t="e">
        <f>+BORDRO!#REF!</f>
        <v>#REF!</v>
      </c>
      <c r="AG352" s="75" t="e">
        <f>+BORDRO!#REF!</f>
        <v>#REF!</v>
      </c>
      <c r="AH352" s="80" t="e">
        <f>+BORDRO!#REF!</f>
        <v>#REF!</v>
      </c>
      <c r="AI352" s="75" t="e">
        <f>+BORDRO!#REF!</f>
        <v>#REF!</v>
      </c>
      <c r="AJ352" s="76" t="e">
        <f>+BORDRO!#REF!</f>
        <v>#REF!</v>
      </c>
    </row>
    <row r="353" spans="1:36" ht="13.8" x14ac:dyDescent="0.25">
      <c r="A353" s="64" t="s">
        <v>51</v>
      </c>
      <c r="B353" s="119">
        <v>46</v>
      </c>
      <c r="C353" s="64" t="s">
        <v>52</v>
      </c>
      <c r="D353" s="64" t="s">
        <v>53</v>
      </c>
      <c r="E353" s="64" t="s">
        <v>53</v>
      </c>
      <c r="F353" s="65">
        <v>1494768</v>
      </c>
      <c r="G353" s="66" t="s">
        <v>105</v>
      </c>
      <c r="H353" s="64" t="s">
        <v>54</v>
      </c>
      <c r="I353" s="78"/>
      <c r="J353" s="67" t="e">
        <f>+Puantaj!#REF!</f>
        <v>#REF!</v>
      </c>
      <c r="K353" s="64" t="e">
        <f>+Puantaj!#REF!</f>
        <v>#REF!</v>
      </c>
      <c r="L353" s="64" t="e">
        <f>+Puantaj!#REF!</f>
        <v>#REF!</v>
      </c>
      <c r="M353" s="68" t="e">
        <f>+BORDRO!#REF!</f>
        <v>#REF!</v>
      </c>
      <c r="N353" s="64"/>
      <c r="O353" s="79" t="e">
        <f>+BORDRO!#REF!</f>
        <v>#REF!</v>
      </c>
      <c r="P353" s="79">
        <v>0</v>
      </c>
      <c r="Q353" s="69"/>
      <c r="R353" s="69"/>
      <c r="S353" s="70"/>
      <c r="T353" s="70"/>
      <c r="U353" s="71"/>
      <c r="V353" s="72" t="e">
        <f t="shared" si="5"/>
        <v>#REF!</v>
      </c>
      <c r="W353" s="73">
        <v>6</v>
      </c>
      <c r="X353" s="81" t="s">
        <v>99</v>
      </c>
      <c r="Y353" s="65">
        <v>2</v>
      </c>
      <c r="Z353" s="64" t="s">
        <v>51</v>
      </c>
      <c r="AA353" s="74" t="s">
        <v>781</v>
      </c>
      <c r="AB353" s="64">
        <v>2025</v>
      </c>
      <c r="AC353" s="64" t="s">
        <v>106</v>
      </c>
      <c r="AD353" s="80" t="e">
        <f>+BORDRO!#REF!</f>
        <v>#REF!</v>
      </c>
      <c r="AE353" s="75"/>
      <c r="AF353" s="75" t="e">
        <f>+BORDRO!#REF!</f>
        <v>#REF!</v>
      </c>
      <c r="AG353" s="75" t="e">
        <f>+BORDRO!#REF!</f>
        <v>#REF!</v>
      </c>
      <c r="AH353" s="80" t="e">
        <f>+BORDRO!#REF!</f>
        <v>#REF!</v>
      </c>
      <c r="AI353" s="75" t="e">
        <f>+BORDRO!#REF!</f>
        <v>#REF!</v>
      </c>
      <c r="AJ353" s="76" t="e">
        <f>+BORDRO!#REF!</f>
        <v>#REF!</v>
      </c>
    </row>
    <row r="354" spans="1:36" ht="13.8" x14ac:dyDescent="0.25">
      <c r="A354" s="64" t="s">
        <v>51</v>
      </c>
      <c r="B354" s="120">
        <v>46</v>
      </c>
      <c r="C354" s="64" t="s">
        <v>52</v>
      </c>
      <c r="D354" s="64" t="s">
        <v>53</v>
      </c>
      <c r="E354" s="64" t="s">
        <v>53</v>
      </c>
      <c r="F354" s="65">
        <v>1494768</v>
      </c>
      <c r="G354" s="66" t="s">
        <v>105</v>
      </c>
      <c r="H354" s="64" t="s">
        <v>54</v>
      </c>
      <c r="I354" s="78"/>
      <c r="J354" s="67" t="e">
        <f>+Puantaj!#REF!</f>
        <v>#REF!</v>
      </c>
      <c r="K354" s="64" t="e">
        <f>+Puantaj!#REF!</f>
        <v>#REF!</v>
      </c>
      <c r="L354" s="64" t="e">
        <f>+Puantaj!#REF!</f>
        <v>#REF!</v>
      </c>
      <c r="M354" s="68" t="e">
        <f>+BORDRO!#REF!</f>
        <v>#REF!</v>
      </c>
      <c r="N354" s="64"/>
      <c r="O354" s="79" t="e">
        <f>+BORDRO!#REF!</f>
        <v>#REF!</v>
      </c>
      <c r="P354" s="79">
        <v>0</v>
      </c>
      <c r="Q354" s="69"/>
      <c r="R354" s="69"/>
      <c r="S354" s="70"/>
      <c r="T354" s="70"/>
      <c r="U354" s="71"/>
      <c r="V354" s="72" t="e">
        <f t="shared" si="5"/>
        <v>#REF!</v>
      </c>
      <c r="W354" s="73">
        <v>6</v>
      </c>
      <c r="X354" s="81" t="s">
        <v>99</v>
      </c>
      <c r="Y354" s="65">
        <v>2</v>
      </c>
      <c r="Z354" s="64" t="s">
        <v>51</v>
      </c>
      <c r="AA354" s="74" t="s">
        <v>781</v>
      </c>
      <c r="AB354" s="64">
        <v>2025</v>
      </c>
      <c r="AC354" s="64" t="s">
        <v>106</v>
      </c>
      <c r="AD354" s="80" t="e">
        <f>+BORDRO!#REF!</f>
        <v>#REF!</v>
      </c>
      <c r="AE354" s="75"/>
      <c r="AF354" s="75" t="e">
        <f>+BORDRO!#REF!</f>
        <v>#REF!</v>
      </c>
      <c r="AG354" s="75" t="e">
        <f>+BORDRO!#REF!</f>
        <v>#REF!</v>
      </c>
      <c r="AH354" s="80" t="e">
        <f>+BORDRO!#REF!</f>
        <v>#REF!</v>
      </c>
      <c r="AI354" s="75" t="e">
        <f>+BORDRO!#REF!</f>
        <v>#REF!</v>
      </c>
      <c r="AJ354" s="76" t="e">
        <f>+BORDRO!#REF!</f>
        <v>#REF!</v>
      </c>
    </row>
    <row r="355" spans="1:36" ht="13.8" x14ac:dyDescent="0.25">
      <c r="A355" s="64" t="s">
        <v>51</v>
      </c>
      <c r="B355" s="119">
        <v>46</v>
      </c>
      <c r="C355" s="64" t="s">
        <v>52</v>
      </c>
      <c r="D355" s="64" t="s">
        <v>53</v>
      </c>
      <c r="E355" s="64" t="s">
        <v>53</v>
      </c>
      <c r="F355" s="65">
        <v>1494768</v>
      </c>
      <c r="G355" s="66" t="s">
        <v>105</v>
      </c>
      <c r="H355" s="64" t="s">
        <v>54</v>
      </c>
      <c r="I355" s="78"/>
      <c r="J355" s="67" t="e">
        <f>+Puantaj!#REF!</f>
        <v>#REF!</v>
      </c>
      <c r="K355" s="64" t="e">
        <f>+Puantaj!#REF!</f>
        <v>#REF!</v>
      </c>
      <c r="L355" s="64" t="e">
        <f>+Puantaj!#REF!</f>
        <v>#REF!</v>
      </c>
      <c r="M355" s="68" t="e">
        <f>+BORDRO!#REF!</f>
        <v>#REF!</v>
      </c>
      <c r="N355" s="64"/>
      <c r="O355" s="79" t="e">
        <f>+BORDRO!#REF!</f>
        <v>#REF!</v>
      </c>
      <c r="P355" s="79">
        <v>0</v>
      </c>
      <c r="Q355" s="69"/>
      <c r="R355" s="69"/>
      <c r="S355" s="70"/>
      <c r="T355" s="70"/>
      <c r="U355" s="71"/>
      <c r="V355" s="72" t="e">
        <f t="shared" si="5"/>
        <v>#REF!</v>
      </c>
      <c r="W355" s="73">
        <v>6</v>
      </c>
      <c r="X355" s="81" t="s">
        <v>99</v>
      </c>
      <c r="Y355" s="65">
        <v>2</v>
      </c>
      <c r="Z355" s="64" t="s">
        <v>51</v>
      </c>
      <c r="AA355" s="74" t="s">
        <v>781</v>
      </c>
      <c r="AB355" s="64">
        <v>2025</v>
      </c>
      <c r="AC355" s="64" t="s">
        <v>106</v>
      </c>
      <c r="AD355" s="80" t="e">
        <f>+BORDRO!#REF!</f>
        <v>#REF!</v>
      </c>
      <c r="AE355" s="75"/>
      <c r="AF355" s="75" t="e">
        <f>+BORDRO!#REF!</f>
        <v>#REF!</v>
      </c>
      <c r="AG355" s="75" t="e">
        <f>+BORDRO!#REF!</f>
        <v>#REF!</v>
      </c>
      <c r="AH355" s="80" t="e">
        <f>+BORDRO!#REF!</f>
        <v>#REF!</v>
      </c>
      <c r="AI355" s="75" t="e">
        <f>+BORDRO!#REF!</f>
        <v>#REF!</v>
      </c>
      <c r="AJ355" s="76" t="e">
        <f>+BORDRO!#REF!</f>
        <v>#REF!</v>
      </c>
    </row>
    <row r="356" spans="1:36" ht="13.8" x14ac:dyDescent="0.25">
      <c r="A356" s="64" t="s">
        <v>51</v>
      </c>
      <c r="B356" s="120">
        <v>46</v>
      </c>
      <c r="C356" s="64" t="s">
        <v>52</v>
      </c>
      <c r="D356" s="64" t="s">
        <v>53</v>
      </c>
      <c r="E356" s="64" t="s">
        <v>53</v>
      </c>
      <c r="F356" s="65">
        <v>1494768</v>
      </c>
      <c r="G356" s="66" t="s">
        <v>105</v>
      </c>
      <c r="H356" s="64" t="s">
        <v>54</v>
      </c>
      <c r="I356" s="78"/>
      <c r="J356" s="67" t="e">
        <f>+Puantaj!#REF!</f>
        <v>#REF!</v>
      </c>
      <c r="K356" s="64" t="e">
        <f>+Puantaj!#REF!</f>
        <v>#REF!</v>
      </c>
      <c r="L356" s="64" t="e">
        <f>+Puantaj!#REF!</f>
        <v>#REF!</v>
      </c>
      <c r="M356" s="68" t="e">
        <f>+BORDRO!#REF!</f>
        <v>#REF!</v>
      </c>
      <c r="N356" s="64"/>
      <c r="O356" s="79" t="e">
        <f>+BORDRO!#REF!</f>
        <v>#REF!</v>
      </c>
      <c r="P356" s="79">
        <v>0</v>
      </c>
      <c r="Q356" s="69"/>
      <c r="R356" s="69"/>
      <c r="S356" s="70"/>
      <c r="T356" s="70"/>
      <c r="U356" s="71"/>
      <c r="V356" s="72" t="e">
        <f t="shared" si="5"/>
        <v>#REF!</v>
      </c>
      <c r="W356" s="73">
        <v>6</v>
      </c>
      <c r="X356" s="81" t="s">
        <v>99</v>
      </c>
      <c r="Y356" s="65">
        <v>2</v>
      </c>
      <c r="Z356" s="64" t="s">
        <v>51</v>
      </c>
      <c r="AA356" s="74" t="s">
        <v>781</v>
      </c>
      <c r="AB356" s="64">
        <v>2025</v>
      </c>
      <c r="AC356" s="64" t="s">
        <v>106</v>
      </c>
      <c r="AD356" s="80" t="e">
        <f>+BORDRO!#REF!</f>
        <v>#REF!</v>
      </c>
      <c r="AE356" s="75"/>
      <c r="AF356" s="75" t="e">
        <f>+BORDRO!#REF!</f>
        <v>#REF!</v>
      </c>
      <c r="AG356" s="75" t="e">
        <f>+BORDRO!#REF!</f>
        <v>#REF!</v>
      </c>
      <c r="AH356" s="80" t="e">
        <f>+BORDRO!#REF!</f>
        <v>#REF!</v>
      </c>
      <c r="AI356" s="75" t="e">
        <f>+BORDRO!#REF!</f>
        <v>#REF!</v>
      </c>
      <c r="AJ356" s="76" t="e">
        <f>+BORDRO!#REF!</f>
        <v>#REF!</v>
      </c>
    </row>
    <row r="357" spans="1:36" ht="13.8" x14ac:dyDescent="0.25">
      <c r="A357" s="64" t="s">
        <v>51</v>
      </c>
      <c r="B357" s="119">
        <v>46</v>
      </c>
      <c r="C357" s="64" t="s">
        <v>52</v>
      </c>
      <c r="D357" s="64" t="s">
        <v>53</v>
      </c>
      <c r="E357" s="64" t="s">
        <v>53</v>
      </c>
      <c r="F357" s="65">
        <v>1494768</v>
      </c>
      <c r="G357" s="66" t="s">
        <v>105</v>
      </c>
      <c r="H357" s="64" t="s">
        <v>54</v>
      </c>
      <c r="I357" s="78"/>
      <c r="J357" s="67" t="e">
        <f>+Puantaj!#REF!</f>
        <v>#REF!</v>
      </c>
      <c r="K357" s="64" t="e">
        <f>+Puantaj!#REF!</f>
        <v>#REF!</v>
      </c>
      <c r="L357" s="64" t="e">
        <f>+Puantaj!#REF!</f>
        <v>#REF!</v>
      </c>
      <c r="M357" s="68" t="e">
        <f>+BORDRO!#REF!</f>
        <v>#REF!</v>
      </c>
      <c r="N357" s="64"/>
      <c r="O357" s="79" t="e">
        <f>+BORDRO!#REF!</f>
        <v>#REF!</v>
      </c>
      <c r="P357" s="79">
        <v>0</v>
      </c>
      <c r="Q357" s="69"/>
      <c r="R357" s="69"/>
      <c r="S357" s="70"/>
      <c r="T357" s="70"/>
      <c r="U357" s="71"/>
      <c r="V357" s="72" t="e">
        <f t="shared" si="5"/>
        <v>#REF!</v>
      </c>
      <c r="W357" s="73">
        <v>6</v>
      </c>
      <c r="X357" s="81" t="s">
        <v>99</v>
      </c>
      <c r="Y357" s="65">
        <v>2</v>
      </c>
      <c r="Z357" s="64" t="s">
        <v>51</v>
      </c>
      <c r="AA357" s="74" t="s">
        <v>781</v>
      </c>
      <c r="AB357" s="64">
        <v>2025</v>
      </c>
      <c r="AC357" s="64" t="s">
        <v>106</v>
      </c>
      <c r="AD357" s="80" t="e">
        <f>+BORDRO!#REF!</f>
        <v>#REF!</v>
      </c>
      <c r="AE357" s="75"/>
      <c r="AF357" s="75" t="e">
        <f>+BORDRO!#REF!</f>
        <v>#REF!</v>
      </c>
      <c r="AG357" s="75" t="e">
        <f>+BORDRO!#REF!</f>
        <v>#REF!</v>
      </c>
      <c r="AH357" s="80" t="e">
        <f>+BORDRO!#REF!</f>
        <v>#REF!</v>
      </c>
      <c r="AI357" s="75" t="e">
        <f>+BORDRO!#REF!</f>
        <v>#REF!</v>
      </c>
      <c r="AJ357" s="76" t="e">
        <f>+BORDRO!#REF!</f>
        <v>#REF!</v>
      </c>
    </row>
    <row r="358" spans="1:36" ht="13.8" x14ac:dyDescent="0.25">
      <c r="A358" s="64" t="s">
        <v>51</v>
      </c>
      <c r="B358" s="120">
        <v>46</v>
      </c>
      <c r="C358" s="64" t="s">
        <v>52</v>
      </c>
      <c r="D358" s="64" t="s">
        <v>53</v>
      </c>
      <c r="E358" s="64" t="s">
        <v>53</v>
      </c>
      <c r="F358" s="65">
        <v>1494768</v>
      </c>
      <c r="G358" s="66" t="s">
        <v>105</v>
      </c>
      <c r="H358" s="64" t="s">
        <v>54</v>
      </c>
      <c r="I358" s="78"/>
      <c r="J358" s="67" t="e">
        <f>+Puantaj!#REF!</f>
        <v>#REF!</v>
      </c>
      <c r="K358" s="64" t="e">
        <f>+Puantaj!#REF!</f>
        <v>#REF!</v>
      </c>
      <c r="L358" s="64" t="e">
        <f>+Puantaj!#REF!</f>
        <v>#REF!</v>
      </c>
      <c r="M358" s="68" t="e">
        <f>+BORDRO!#REF!</f>
        <v>#REF!</v>
      </c>
      <c r="N358" s="64"/>
      <c r="O358" s="79" t="e">
        <f>+BORDRO!#REF!</f>
        <v>#REF!</v>
      </c>
      <c r="P358" s="79">
        <v>0</v>
      </c>
      <c r="Q358" s="69"/>
      <c r="R358" s="69"/>
      <c r="S358" s="70"/>
      <c r="T358" s="70"/>
      <c r="U358" s="71"/>
      <c r="V358" s="72" t="e">
        <f t="shared" si="5"/>
        <v>#REF!</v>
      </c>
      <c r="W358" s="73">
        <v>6</v>
      </c>
      <c r="X358" s="81" t="s">
        <v>99</v>
      </c>
      <c r="Y358" s="65">
        <v>2</v>
      </c>
      <c r="Z358" s="64" t="s">
        <v>51</v>
      </c>
      <c r="AA358" s="74" t="s">
        <v>781</v>
      </c>
      <c r="AB358" s="64">
        <v>2025</v>
      </c>
      <c r="AC358" s="64" t="s">
        <v>106</v>
      </c>
      <c r="AD358" s="80" t="e">
        <f>+BORDRO!#REF!</f>
        <v>#REF!</v>
      </c>
      <c r="AE358" s="75"/>
      <c r="AF358" s="75" t="e">
        <f>+BORDRO!#REF!</f>
        <v>#REF!</v>
      </c>
      <c r="AG358" s="75" t="e">
        <f>+BORDRO!#REF!</f>
        <v>#REF!</v>
      </c>
      <c r="AH358" s="80" t="e">
        <f>+BORDRO!#REF!</f>
        <v>#REF!</v>
      </c>
      <c r="AI358" s="75" t="e">
        <f>+BORDRO!#REF!</f>
        <v>#REF!</v>
      </c>
      <c r="AJ358" s="76" t="e">
        <f>+BORDRO!#REF!</f>
        <v>#REF!</v>
      </c>
    </row>
    <row r="359" spans="1:36" ht="13.8" x14ac:dyDescent="0.25">
      <c r="A359" s="64" t="s">
        <v>51</v>
      </c>
      <c r="B359" s="119">
        <v>46</v>
      </c>
      <c r="C359" s="64" t="s">
        <v>52</v>
      </c>
      <c r="D359" s="64" t="s">
        <v>53</v>
      </c>
      <c r="E359" s="64" t="s">
        <v>53</v>
      </c>
      <c r="F359" s="65">
        <v>1494768</v>
      </c>
      <c r="G359" s="66" t="s">
        <v>105</v>
      </c>
      <c r="H359" s="64" t="s">
        <v>54</v>
      </c>
      <c r="I359" s="78"/>
      <c r="J359" s="67" t="e">
        <f>+Puantaj!#REF!</f>
        <v>#REF!</v>
      </c>
      <c r="K359" s="64" t="e">
        <f>+Puantaj!#REF!</f>
        <v>#REF!</v>
      </c>
      <c r="L359" s="64" t="e">
        <f>+Puantaj!#REF!</f>
        <v>#REF!</v>
      </c>
      <c r="M359" s="68" t="e">
        <f>+BORDRO!#REF!</f>
        <v>#REF!</v>
      </c>
      <c r="N359" s="64"/>
      <c r="O359" s="79" t="e">
        <f>+BORDRO!#REF!</f>
        <v>#REF!</v>
      </c>
      <c r="P359" s="79">
        <v>0</v>
      </c>
      <c r="Q359" s="69"/>
      <c r="R359" s="69"/>
      <c r="S359" s="70"/>
      <c r="T359" s="70"/>
      <c r="U359" s="71"/>
      <c r="V359" s="72" t="e">
        <f t="shared" si="5"/>
        <v>#REF!</v>
      </c>
      <c r="W359" s="73">
        <v>6</v>
      </c>
      <c r="X359" s="81" t="s">
        <v>99</v>
      </c>
      <c r="Y359" s="65">
        <v>2</v>
      </c>
      <c r="Z359" s="64" t="s">
        <v>51</v>
      </c>
      <c r="AA359" s="74" t="s">
        <v>781</v>
      </c>
      <c r="AB359" s="64">
        <v>2025</v>
      </c>
      <c r="AC359" s="64" t="s">
        <v>106</v>
      </c>
      <c r="AD359" s="80" t="e">
        <f>+BORDRO!#REF!</f>
        <v>#REF!</v>
      </c>
      <c r="AE359" s="75"/>
      <c r="AF359" s="75" t="e">
        <f>+BORDRO!#REF!</f>
        <v>#REF!</v>
      </c>
      <c r="AG359" s="75" t="e">
        <f>+BORDRO!#REF!</f>
        <v>#REF!</v>
      </c>
      <c r="AH359" s="80" t="e">
        <f>+BORDRO!#REF!</f>
        <v>#REF!</v>
      </c>
      <c r="AI359" s="75" t="e">
        <f>+BORDRO!#REF!</f>
        <v>#REF!</v>
      </c>
      <c r="AJ359" s="76" t="e">
        <f>+BORDRO!#REF!</f>
        <v>#REF!</v>
      </c>
    </row>
    <row r="360" spans="1:36" ht="13.8" x14ac:dyDescent="0.25">
      <c r="A360" s="64" t="s">
        <v>51</v>
      </c>
      <c r="B360" s="120">
        <v>46</v>
      </c>
      <c r="C360" s="64" t="s">
        <v>52</v>
      </c>
      <c r="D360" s="64" t="s">
        <v>53</v>
      </c>
      <c r="E360" s="64" t="s">
        <v>53</v>
      </c>
      <c r="F360" s="65">
        <v>1494768</v>
      </c>
      <c r="G360" s="66" t="s">
        <v>105</v>
      </c>
      <c r="H360" s="64" t="s">
        <v>54</v>
      </c>
      <c r="I360" s="78"/>
      <c r="J360" s="67" t="e">
        <f>+Puantaj!#REF!</f>
        <v>#REF!</v>
      </c>
      <c r="K360" s="64" t="e">
        <f>+Puantaj!#REF!</f>
        <v>#REF!</v>
      </c>
      <c r="L360" s="64" t="e">
        <f>+Puantaj!#REF!</f>
        <v>#REF!</v>
      </c>
      <c r="M360" s="68" t="e">
        <f>+BORDRO!#REF!</f>
        <v>#REF!</v>
      </c>
      <c r="N360" s="64"/>
      <c r="O360" s="79" t="e">
        <f>+BORDRO!#REF!</f>
        <v>#REF!</v>
      </c>
      <c r="P360" s="79">
        <v>0</v>
      </c>
      <c r="Q360" s="69"/>
      <c r="R360" s="69"/>
      <c r="S360" s="70"/>
      <c r="T360" s="70"/>
      <c r="U360" s="71"/>
      <c r="V360" s="72" t="e">
        <f t="shared" si="5"/>
        <v>#REF!</v>
      </c>
      <c r="W360" s="73">
        <v>6</v>
      </c>
      <c r="X360" s="81" t="s">
        <v>99</v>
      </c>
      <c r="Y360" s="65">
        <v>2</v>
      </c>
      <c r="Z360" s="64" t="s">
        <v>51</v>
      </c>
      <c r="AA360" s="74" t="s">
        <v>781</v>
      </c>
      <c r="AB360" s="64">
        <v>2025</v>
      </c>
      <c r="AC360" s="64" t="s">
        <v>106</v>
      </c>
      <c r="AD360" s="80" t="e">
        <f>+BORDRO!#REF!</f>
        <v>#REF!</v>
      </c>
      <c r="AE360" s="75"/>
      <c r="AF360" s="75" t="e">
        <f>+BORDRO!#REF!</f>
        <v>#REF!</v>
      </c>
      <c r="AG360" s="75" t="e">
        <f>+BORDRO!#REF!</f>
        <v>#REF!</v>
      </c>
      <c r="AH360" s="80" t="e">
        <f>+BORDRO!#REF!</f>
        <v>#REF!</v>
      </c>
      <c r="AI360" s="75" t="e">
        <f>+BORDRO!#REF!</f>
        <v>#REF!</v>
      </c>
      <c r="AJ360" s="76" t="e">
        <f>+BORDRO!#REF!</f>
        <v>#REF!</v>
      </c>
    </row>
    <row r="361" spans="1:36" ht="13.8" x14ac:dyDescent="0.25">
      <c r="A361" s="64" t="s">
        <v>51</v>
      </c>
      <c r="B361" s="119">
        <v>46</v>
      </c>
      <c r="C361" s="64" t="s">
        <v>52</v>
      </c>
      <c r="D361" s="64" t="s">
        <v>53</v>
      </c>
      <c r="E361" s="64" t="s">
        <v>53</v>
      </c>
      <c r="F361" s="65">
        <v>1494768</v>
      </c>
      <c r="G361" s="66" t="s">
        <v>105</v>
      </c>
      <c r="H361" s="64" t="s">
        <v>54</v>
      </c>
      <c r="I361" s="78"/>
      <c r="J361" s="67" t="e">
        <f>+Puantaj!#REF!</f>
        <v>#REF!</v>
      </c>
      <c r="K361" s="64" t="e">
        <f>+Puantaj!#REF!</f>
        <v>#REF!</v>
      </c>
      <c r="L361" s="64" t="e">
        <f>+Puantaj!#REF!</f>
        <v>#REF!</v>
      </c>
      <c r="M361" s="68" t="e">
        <f>+BORDRO!#REF!</f>
        <v>#REF!</v>
      </c>
      <c r="N361" s="64"/>
      <c r="O361" s="79" t="e">
        <f>+BORDRO!#REF!</f>
        <v>#REF!</v>
      </c>
      <c r="P361" s="79">
        <v>0</v>
      </c>
      <c r="Q361" s="69"/>
      <c r="R361" s="69"/>
      <c r="S361" s="70"/>
      <c r="T361" s="70"/>
      <c r="U361" s="71"/>
      <c r="V361" s="72" t="e">
        <f t="shared" si="5"/>
        <v>#REF!</v>
      </c>
      <c r="W361" s="73">
        <v>6</v>
      </c>
      <c r="X361" s="81" t="s">
        <v>99</v>
      </c>
      <c r="Y361" s="65">
        <v>2</v>
      </c>
      <c r="Z361" s="64" t="s">
        <v>51</v>
      </c>
      <c r="AA361" s="74" t="s">
        <v>781</v>
      </c>
      <c r="AB361" s="64">
        <v>2025</v>
      </c>
      <c r="AC361" s="64" t="s">
        <v>106</v>
      </c>
      <c r="AD361" s="80" t="e">
        <f>+BORDRO!#REF!</f>
        <v>#REF!</v>
      </c>
      <c r="AE361" s="75"/>
      <c r="AF361" s="75" t="e">
        <f>+BORDRO!#REF!</f>
        <v>#REF!</v>
      </c>
      <c r="AG361" s="75" t="e">
        <f>+BORDRO!#REF!</f>
        <v>#REF!</v>
      </c>
      <c r="AH361" s="80" t="e">
        <f>+BORDRO!#REF!</f>
        <v>#REF!</v>
      </c>
      <c r="AI361" s="75" t="e">
        <f>+BORDRO!#REF!</f>
        <v>#REF!</v>
      </c>
      <c r="AJ361" s="76" t="e">
        <f>+BORDRO!#REF!</f>
        <v>#REF!</v>
      </c>
    </row>
    <row r="362" spans="1:36" ht="13.8" x14ac:dyDescent="0.25">
      <c r="A362" s="64" t="s">
        <v>51</v>
      </c>
      <c r="B362" s="120">
        <v>46</v>
      </c>
      <c r="C362" s="64" t="s">
        <v>52</v>
      </c>
      <c r="D362" s="64" t="s">
        <v>53</v>
      </c>
      <c r="E362" s="64" t="s">
        <v>53</v>
      </c>
      <c r="F362" s="65">
        <v>1494768</v>
      </c>
      <c r="G362" s="66" t="s">
        <v>105</v>
      </c>
      <c r="H362" s="64" t="s">
        <v>54</v>
      </c>
      <c r="I362" s="78"/>
      <c r="J362" s="67" t="e">
        <f>+Puantaj!#REF!</f>
        <v>#REF!</v>
      </c>
      <c r="K362" s="64" t="e">
        <f>+Puantaj!#REF!</f>
        <v>#REF!</v>
      </c>
      <c r="L362" s="64" t="e">
        <f>+Puantaj!#REF!</f>
        <v>#REF!</v>
      </c>
      <c r="M362" s="68" t="e">
        <f>+BORDRO!#REF!</f>
        <v>#REF!</v>
      </c>
      <c r="N362" s="64"/>
      <c r="O362" s="79" t="e">
        <f>+BORDRO!#REF!</f>
        <v>#REF!</v>
      </c>
      <c r="P362" s="79">
        <v>0</v>
      </c>
      <c r="Q362" s="69"/>
      <c r="R362" s="69"/>
      <c r="S362" s="70"/>
      <c r="T362" s="70"/>
      <c r="U362" s="71"/>
      <c r="V362" s="72" t="e">
        <f t="shared" si="5"/>
        <v>#REF!</v>
      </c>
      <c r="W362" s="73">
        <v>6</v>
      </c>
      <c r="X362" s="81" t="s">
        <v>99</v>
      </c>
      <c r="Y362" s="65">
        <v>2</v>
      </c>
      <c r="Z362" s="64" t="s">
        <v>51</v>
      </c>
      <c r="AA362" s="74" t="s">
        <v>781</v>
      </c>
      <c r="AB362" s="64">
        <v>2025</v>
      </c>
      <c r="AC362" s="64" t="s">
        <v>106</v>
      </c>
      <c r="AD362" s="80" t="e">
        <f>+BORDRO!#REF!</f>
        <v>#REF!</v>
      </c>
      <c r="AE362" s="75"/>
      <c r="AF362" s="75" t="e">
        <f>+BORDRO!#REF!</f>
        <v>#REF!</v>
      </c>
      <c r="AG362" s="75" t="e">
        <f>+BORDRO!#REF!</f>
        <v>#REF!</v>
      </c>
      <c r="AH362" s="80" t="e">
        <f>+BORDRO!#REF!</f>
        <v>#REF!</v>
      </c>
      <c r="AI362" s="75" t="e">
        <f>+BORDRO!#REF!</f>
        <v>#REF!</v>
      </c>
      <c r="AJ362" s="76" t="e">
        <f>+BORDRO!#REF!</f>
        <v>#REF!</v>
      </c>
    </row>
    <row r="363" spans="1:36" ht="13.8" x14ac:dyDescent="0.25">
      <c r="A363" s="64" t="s">
        <v>51</v>
      </c>
      <c r="B363" s="119">
        <v>46</v>
      </c>
      <c r="C363" s="64" t="s">
        <v>52</v>
      </c>
      <c r="D363" s="64" t="s">
        <v>53</v>
      </c>
      <c r="E363" s="64" t="s">
        <v>53</v>
      </c>
      <c r="F363" s="65">
        <v>1494768</v>
      </c>
      <c r="G363" s="66" t="s">
        <v>105</v>
      </c>
      <c r="H363" s="64" t="s">
        <v>54</v>
      </c>
      <c r="I363" s="78"/>
      <c r="J363" s="67" t="e">
        <f>+Puantaj!#REF!</f>
        <v>#REF!</v>
      </c>
      <c r="K363" s="64" t="e">
        <f>+Puantaj!#REF!</f>
        <v>#REF!</v>
      </c>
      <c r="L363" s="64" t="e">
        <f>+Puantaj!#REF!</f>
        <v>#REF!</v>
      </c>
      <c r="M363" s="68" t="e">
        <f>+BORDRO!#REF!</f>
        <v>#REF!</v>
      </c>
      <c r="N363" s="64"/>
      <c r="O363" s="79" t="e">
        <f>+BORDRO!#REF!</f>
        <v>#REF!</v>
      </c>
      <c r="P363" s="79">
        <v>0</v>
      </c>
      <c r="Q363" s="69"/>
      <c r="R363" s="69"/>
      <c r="S363" s="70"/>
      <c r="T363" s="70"/>
      <c r="U363" s="71"/>
      <c r="V363" s="72" t="e">
        <f t="shared" si="5"/>
        <v>#REF!</v>
      </c>
      <c r="W363" s="73">
        <v>6</v>
      </c>
      <c r="X363" s="81" t="s">
        <v>99</v>
      </c>
      <c r="Y363" s="65">
        <v>2</v>
      </c>
      <c r="Z363" s="64" t="s">
        <v>51</v>
      </c>
      <c r="AA363" s="74" t="s">
        <v>781</v>
      </c>
      <c r="AB363" s="64">
        <v>2025</v>
      </c>
      <c r="AC363" s="64" t="s">
        <v>106</v>
      </c>
      <c r="AD363" s="80" t="e">
        <f>+BORDRO!#REF!</f>
        <v>#REF!</v>
      </c>
      <c r="AE363" s="75"/>
      <c r="AF363" s="75" t="e">
        <f>+BORDRO!#REF!</f>
        <v>#REF!</v>
      </c>
      <c r="AG363" s="75" t="e">
        <f>+BORDRO!#REF!</f>
        <v>#REF!</v>
      </c>
      <c r="AH363" s="80" t="e">
        <f>+BORDRO!#REF!</f>
        <v>#REF!</v>
      </c>
      <c r="AI363" s="75" t="e">
        <f>+BORDRO!#REF!</f>
        <v>#REF!</v>
      </c>
      <c r="AJ363" s="76" t="e">
        <f>+BORDRO!#REF!</f>
        <v>#REF!</v>
      </c>
    </row>
    <row r="364" spans="1:36" ht="13.8" x14ac:dyDescent="0.25">
      <c r="A364" s="64" t="s">
        <v>51</v>
      </c>
      <c r="B364" s="120">
        <v>46</v>
      </c>
      <c r="C364" s="64" t="s">
        <v>52</v>
      </c>
      <c r="D364" s="64" t="s">
        <v>53</v>
      </c>
      <c r="E364" s="64" t="s">
        <v>53</v>
      </c>
      <c r="F364" s="65">
        <v>1494768</v>
      </c>
      <c r="G364" s="66" t="s">
        <v>105</v>
      </c>
      <c r="H364" s="64" t="s">
        <v>54</v>
      </c>
      <c r="I364" s="78"/>
      <c r="J364" s="67" t="e">
        <f>+Puantaj!#REF!</f>
        <v>#REF!</v>
      </c>
      <c r="K364" s="64" t="e">
        <f>+Puantaj!#REF!</f>
        <v>#REF!</v>
      </c>
      <c r="L364" s="64" t="e">
        <f>+Puantaj!#REF!</f>
        <v>#REF!</v>
      </c>
      <c r="M364" s="68" t="e">
        <f>+BORDRO!#REF!</f>
        <v>#REF!</v>
      </c>
      <c r="N364" s="64"/>
      <c r="O364" s="79" t="e">
        <f>+BORDRO!#REF!</f>
        <v>#REF!</v>
      </c>
      <c r="P364" s="79">
        <v>0</v>
      </c>
      <c r="Q364" s="69"/>
      <c r="R364" s="69"/>
      <c r="S364" s="70"/>
      <c r="T364" s="70"/>
      <c r="U364" s="71"/>
      <c r="V364" s="72" t="e">
        <f t="shared" si="5"/>
        <v>#REF!</v>
      </c>
      <c r="W364" s="73">
        <v>6</v>
      </c>
      <c r="X364" s="81" t="s">
        <v>99</v>
      </c>
      <c r="Y364" s="65">
        <v>2</v>
      </c>
      <c r="Z364" s="64" t="s">
        <v>51</v>
      </c>
      <c r="AA364" s="74" t="s">
        <v>781</v>
      </c>
      <c r="AB364" s="64">
        <v>2025</v>
      </c>
      <c r="AC364" s="64" t="s">
        <v>106</v>
      </c>
      <c r="AD364" s="80" t="e">
        <f>+BORDRO!#REF!</f>
        <v>#REF!</v>
      </c>
      <c r="AE364" s="75"/>
      <c r="AF364" s="75" t="e">
        <f>+BORDRO!#REF!</f>
        <v>#REF!</v>
      </c>
      <c r="AG364" s="75" t="e">
        <f>+BORDRO!#REF!</f>
        <v>#REF!</v>
      </c>
      <c r="AH364" s="80" t="e">
        <f>+BORDRO!#REF!</f>
        <v>#REF!</v>
      </c>
      <c r="AI364" s="75" t="e">
        <f>+BORDRO!#REF!</f>
        <v>#REF!</v>
      </c>
      <c r="AJ364" s="76" t="e">
        <f>+BORDRO!#REF!</f>
        <v>#REF!</v>
      </c>
    </row>
    <row r="365" spans="1:36" ht="13.8" x14ac:dyDescent="0.25">
      <c r="A365" s="64" t="s">
        <v>51</v>
      </c>
      <c r="B365" s="119">
        <v>46</v>
      </c>
      <c r="C365" s="64" t="s">
        <v>52</v>
      </c>
      <c r="D365" s="64" t="s">
        <v>53</v>
      </c>
      <c r="E365" s="64" t="s">
        <v>53</v>
      </c>
      <c r="F365" s="65">
        <v>1494768</v>
      </c>
      <c r="G365" s="66" t="s">
        <v>105</v>
      </c>
      <c r="H365" s="64" t="s">
        <v>54</v>
      </c>
      <c r="I365" s="78"/>
      <c r="J365" s="67" t="e">
        <f>+Puantaj!#REF!</f>
        <v>#REF!</v>
      </c>
      <c r="K365" s="64" t="e">
        <f>+Puantaj!#REF!</f>
        <v>#REF!</v>
      </c>
      <c r="L365" s="64" t="e">
        <f>+Puantaj!#REF!</f>
        <v>#REF!</v>
      </c>
      <c r="M365" s="68" t="e">
        <f>+BORDRO!#REF!</f>
        <v>#REF!</v>
      </c>
      <c r="N365" s="64"/>
      <c r="O365" s="79" t="e">
        <f>+BORDRO!#REF!</f>
        <v>#REF!</v>
      </c>
      <c r="P365" s="79">
        <v>0</v>
      </c>
      <c r="Q365" s="69"/>
      <c r="R365" s="69"/>
      <c r="S365" s="70"/>
      <c r="T365" s="70"/>
      <c r="U365" s="71"/>
      <c r="V365" s="72" t="e">
        <f t="shared" si="5"/>
        <v>#REF!</v>
      </c>
      <c r="W365" s="73">
        <v>6</v>
      </c>
      <c r="X365" s="81" t="s">
        <v>99</v>
      </c>
      <c r="Y365" s="65">
        <v>2</v>
      </c>
      <c r="Z365" s="64" t="s">
        <v>51</v>
      </c>
      <c r="AA365" s="74" t="s">
        <v>781</v>
      </c>
      <c r="AB365" s="64">
        <v>2025</v>
      </c>
      <c r="AC365" s="64" t="s">
        <v>106</v>
      </c>
      <c r="AD365" s="80" t="e">
        <f>+BORDRO!#REF!</f>
        <v>#REF!</v>
      </c>
      <c r="AE365" s="75"/>
      <c r="AF365" s="75" t="e">
        <f>+BORDRO!#REF!</f>
        <v>#REF!</v>
      </c>
      <c r="AG365" s="75" t="e">
        <f>+BORDRO!#REF!</f>
        <v>#REF!</v>
      </c>
      <c r="AH365" s="80" t="e">
        <f>+BORDRO!#REF!</f>
        <v>#REF!</v>
      </c>
      <c r="AI365" s="75" t="e">
        <f>+BORDRO!#REF!</f>
        <v>#REF!</v>
      </c>
      <c r="AJ365" s="76" t="e">
        <f>+BORDRO!#REF!</f>
        <v>#REF!</v>
      </c>
    </row>
    <row r="366" spans="1:36" ht="13.8" x14ac:dyDescent="0.25">
      <c r="A366" s="64" t="s">
        <v>51</v>
      </c>
      <c r="B366" s="120">
        <v>46</v>
      </c>
      <c r="C366" s="64" t="s">
        <v>52</v>
      </c>
      <c r="D366" s="64" t="s">
        <v>53</v>
      </c>
      <c r="E366" s="64" t="s">
        <v>53</v>
      </c>
      <c r="F366" s="65">
        <v>1494768</v>
      </c>
      <c r="G366" s="66" t="s">
        <v>105</v>
      </c>
      <c r="H366" s="64" t="s">
        <v>54</v>
      </c>
      <c r="I366" s="78"/>
      <c r="J366" s="67" t="e">
        <f>+Puantaj!#REF!</f>
        <v>#REF!</v>
      </c>
      <c r="K366" s="64" t="e">
        <f>+Puantaj!#REF!</f>
        <v>#REF!</v>
      </c>
      <c r="L366" s="64" t="e">
        <f>+Puantaj!#REF!</f>
        <v>#REF!</v>
      </c>
      <c r="M366" s="68" t="e">
        <f>+BORDRO!#REF!</f>
        <v>#REF!</v>
      </c>
      <c r="N366" s="64"/>
      <c r="O366" s="79" t="e">
        <f>+BORDRO!#REF!</f>
        <v>#REF!</v>
      </c>
      <c r="P366" s="79">
        <v>0</v>
      </c>
      <c r="Q366" s="69"/>
      <c r="R366" s="69"/>
      <c r="S366" s="70"/>
      <c r="T366" s="70"/>
      <c r="U366" s="71"/>
      <c r="V366" s="72" t="e">
        <f t="shared" si="5"/>
        <v>#REF!</v>
      </c>
      <c r="W366" s="73">
        <v>6</v>
      </c>
      <c r="X366" s="81" t="s">
        <v>99</v>
      </c>
      <c r="Y366" s="65">
        <v>2</v>
      </c>
      <c r="Z366" s="64" t="s">
        <v>51</v>
      </c>
      <c r="AA366" s="74" t="s">
        <v>781</v>
      </c>
      <c r="AB366" s="64">
        <v>2025</v>
      </c>
      <c r="AC366" s="64" t="s">
        <v>106</v>
      </c>
      <c r="AD366" s="80" t="e">
        <f>+BORDRO!#REF!</f>
        <v>#REF!</v>
      </c>
      <c r="AE366" s="75"/>
      <c r="AF366" s="75" t="e">
        <f>+BORDRO!#REF!</f>
        <v>#REF!</v>
      </c>
      <c r="AG366" s="75" t="e">
        <f>+BORDRO!#REF!</f>
        <v>#REF!</v>
      </c>
      <c r="AH366" s="80" t="e">
        <f>+BORDRO!#REF!</f>
        <v>#REF!</v>
      </c>
      <c r="AI366" s="75" t="e">
        <f>+BORDRO!#REF!</f>
        <v>#REF!</v>
      </c>
      <c r="AJ366" s="76" t="e">
        <f>+BORDRO!#REF!</f>
        <v>#REF!</v>
      </c>
    </row>
    <row r="367" spans="1:36" ht="13.8" x14ac:dyDescent="0.25">
      <c r="A367" s="64" t="s">
        <v>51</v>
      </c>
      <c r="B367" s="119">
        <v>46</v>
      </c>
      <c r="C367" s="64" t="s">
        <v>52</v>
      </c>
      <c r="D367" s="64" t="s">
        <v>53</v>
      </c>
      <c r="E367" s="64" t="s">
        <v>53</v>
      </c>
      <c r="F367" s="65">
        <v>1494768</v>
      </c>
      <c r="G367" s="66" t="s">
        <v>105</v>
      </c>
      <c r="H367" s="64" t="s">
        <v>54</v>
      </c>
      <c r="I367" s="78"/>
      <c r="J367" s="67" t="e">
        <f>+Puantaj!#REF!</f>
        <v>#REF!</v>
      </c>
      <c r="K367" s="64" t="e">
        <f>+Puantaj!#REF!</f>
        <v>#REF!</v>
      </c>
      <c r="L367" s="64" t="e">
        <f>+Puantaj!#REF!</f>
        <v>#REF!</v>
      </c>
      <c r="M367" s="68" t="e">
        <f>+BORDRO!#REF!</f>
        <v>#REF!</v>
      </c>
      <c r="N367" s="64"/>
      <c r="O367" s="79" t="e">
        <f>+BORDRO!#REF!</f>
        <v>#REF!</v>
      </c>
      <c r="P367" s="79">
        <v>0</v>
      </c>
      <c r="Q367" s="69"/>
      <c r="R367" s="69"/>
      <c r="S367" s="70"/>
      <c r="T367" s="70"/>
      <c r="U367" s="71"/>
      <c r="V367" s="72" t="e">
        <f t="shared" si="5"/>
        <v>#REF!</v>
      </c>
      <c r="W367" s="73">
        <v>6</v>
      </c>
      <c r="X367" s="81" t="s">
        <v>99</v>
      </c>
      <c r="Y367" s="65">
        <v>2</v>
      </c>
      <c r="Z367" s="64" t="s">
        <v>51</v>
      </c>
      <c r="AA367" s="74" t="s">
        <v>781</v>
      </c>
      <c r="AB367" s="64">
        <v>2025</v>
      </c>
      <c r="AC367" s="64" t="s">
        <v>106</v>
      </c>
      <c r="AD367" s="80" t="e">
        <f>+BORDRO!#REF!</f>
        <v>#REF!</v>
      </c>
      <c r="AE367" s="75"/>
      <c r="AF367" s="75" t="e">
        <f>+BORDRO!#REF!</f>
        <v>#REF!</v>
      </c>
      <c r="AG367" s="75" t="e">
        <f>+BORDRO!#REF!</f>
        <v>#REF!</v>
      </c>
      <c r="AH367" s="80" t="e">
        <f>+BORDRO!#REF!</f>
        <v>#REF!</v>
      </c>
      <c r="AI367" s="75" t="e">
        <f>+BORDRO!#REF!</f>
        <v>#REF!</v>
      </c>
      <c r="AJ367" s="76" t="e">
        <f>+BORDRO!#REF!</f>
        <v>#REF!</v>
      </c>
    </row>
    <row r="368" spans="1:36" ht="13.8" x14ac:dyDescent="0.25">
      <c r="A368" s="64" t="s">
        <v>51</v>
      </c>
      <c r="B368" s="120">
        <v>46</v>
      </c>
      <c r="C368" s="64" t="s">
        <v>52</v>
      </c>
      <c r="D368" s="64" t="s">
        <v>53</v>
      </c>
      <c r="E368" s="64" t="s">
        <v>53</v>
      </c>
      <c r="F368" s="65">
        <v>1494768</v>
      </c>
      <c r="G368" s="66" t="s">
        <v>105</v>
      </c>
      <c r="H368" s="64" t="s">
        <v>54</v>
      </c>
      <c r="I368" s="78"/>
      <c r="J368" s="67" t="e">
        <f>+Puantaj!#REF!</f>
        <v>#REF!</v>
      </c>
      <c r="K368" s="64" t="e">
        <f>+Puantaj!#REF!</f>
        <v>#REF!</v>
      </c>
      <c r="L368" s="64" t="e">
        <f>+Puantaj!#REF!</f>
        <v>#REF!</v>
      </c>
      <c r="M368" s="68" t="e">
        <f>+BORDRO!#REF!</f>
        <v>#REF!</v>
      </c>
      <c r="N368" s="64"/>
      <c r="O368" s="79" t="e">
        <f>+BORDRO!#REF!</f>
        <v>#REF!</v>
      </c>
      <c r="P368" s="79">
        <v>0</v>
      </c>
      <c r="Q368" s="69"/>
      <c r="R368" s="69"/>
      <c r="S368" s="70"/>
      <c r="T368" s="70"/>
      <c r="U368" s="71"/>
      <c r="V368" s="72" t="e">
        <f t="shared" si="5"/>
        <v>#REF!</v>
      </c>
      <c r="W368" s="73">
        <v>6</v>
      </c>
      <c r="X368" s="81" t="s">
        <v>99</v>
      </c>
      <c r="Y368" s="65">
        <v>2</v>
      </c>
      <c r="Z368" s="64" t="s">
        <v>51</v>
      </c>
      <c r="AA368" s="74" t="s">
        <v>781</v>
      </c>
      <c r="AB368" s="64">
        <v>2025</v>
      </c>
      <c r="AC368" s="64" t="s">
        <v>106</v>
      </c>
      <c r="AD368" s="80" t="e">
        <f>+BORDRO!#REF!</f>
        <v>#REF!</v>
      </c>
      <c r="AE368" s="75"/>
      <c r="AF368" s="75" t="e">
        <f>+BORDRO!#REF!</f>
        <v>#REF!</v>
      </c>
      <c r="AG368" s="75" t="e">
        <f>+BORDRO!#REF!</f>
        <v>#REF!</v>
      </c>
      <c r="AH368" s="80" t="e">
        <f>+BORDRO!#REF!</f>
        <v>#REF!</v>
      </c>
      <c r="AI368" s="75" t="e">
        <f>+BORDRO!#REF!</f>
        <v>#REF!</v>
      </c>
      <c r="AJ368" s="76" t="e">
        <f>+BORDRO!#REF!</f>
        <v>#REF!</v>
      </c>
    </row>
    <row r="369" spans="1:36" ht="13.8" x14ac:dyDescent="0.25">
      <c r="A369" s="64" t="s">
        <v>51</v>
      </c>
      <c r="B369" s="119">
        <v>46</v>
      </c>
      <c r="C369" s="64" t="s">
        <v>52</v>
      </c>
      <c r="D369" s="64" t="s">
        <v>53</v>
      </c>
      <c r="E369" s="64" t="s">
        <v>53</v>
      </c>
      <c r="F369" s="65">
        <v>1494768</v>
      </c>
      <c r="G369" s="66" t="s">
        <v>105</v>
      </c>
      <c r="H369" s="64" t="s">
        <v>54</v>
      </c>
      <c r="I369" s="78"/>
      <c r="J369" s="67" t="e">
        <f>+Puantaj!#REF!</f>
        <v>#REF!</v>
      </c>
      <c r="K369" s="64" t="e">
        <f>+Puantaj!#REF!</f>
        <v>#REF!</v>
      </c>
      <c r="L369" s="64" t="e">
        <f>+Puantaj!#REF!</f>
        <v>#REF!</v>
      </c>
      <c r="M369" s="68" t="e">
        <f>+BORDRO!#REF!</f>
        <v>#REF!</v>
      </c>
      <c r="N369" s="64"/>
      <c r="O369" s="79" t="e">
        <f>+BORDRO!#REF!</f>
        <v>#REF!</v>
      </c>
      <c r="P369" s="79">
        <v>0</v>
      </c>
      <c r="Q369" s="69"/>
      <c r="R369" s="69"/>
      <c r="S369" s="70"/>
      <c r="T369" s="70"/>
      <c r="U369" s="71"/>
      <c r="V369" s="72" t="e">
        <f t="shared" si="5"/>
        <v>#REF!</v>
      </c>
      <c r="W369" s="73">
        <v>6</v>
      </c>
      <c r="X369" s="81" t="s">
        <v>99</v>
      </c>
      <c r="Y369" s="65">
        <v>2</v>
      </c>
      <c r="Z369" s="64" t="s">
        <v>51</v>
      </c>
      <c r="AA369" s="74" t="s">
        <v>781</v>
      </c>
      <c r="AB369" s="64">
        <v>2025</v>
      </c>
      <c r="AC369" s="64" t="s">
        <v>106</v>
      </c>
      <c r="AD369" s="80" t="e">
        <f>+BORDRO!#REF!</f>
        <v>#REF!</v>
      </c>
      <c r="AE369" s="75"/>
      <c r="AF369" s="75" t="e">
        <f>+BORDRO!#REF!</f>
        <v>#REF!</v>
      </c>
      <c r="AG369" s="75" t="e">
        <f>+BORDRO!#REF!</f>
        <v>#REF!</v>
      </c>
      <c r="AH369" s="80" t="e">
        <f>+BORDRO!#REF!</f>
        <v>#REF!</v>
      </c>
      <c r="AI369" s="75" t="e">
        <f>+BORDRO!#REF!</f>
        <v>#REF!</v>
      </c>
      <c r="AJ369" s="76" t="e">
        <f>+BORDRO!#REF!</f>
        <v>#REF!</v>
      </c>
    </row>
    <row r="370" spans="1:36" ht="13.8" x14ac:dyDescent="0.25">
      <c r="A370" s="64" t="s">
        <v>51</v>
      </c>
      <c r="B370" s="120">
        <v>46</v>
      </c>
      <c r="C370" s="64" t="s">
        <v>52</v>
      </c>
      <c r="D370" s="64" t="s">
        <v>53</v>
      </c>
      <c r="E370" s="64" t="s">
        <v>53</v>
      </c>
      <c r="F370" s="65">
        <v>1494768</v>
      </c>
      <c r="G370" s="66" t="s">
        <v>105</v>
      </c>
      <c r="H370" s="64" t="s">
        <v>54</v>
      </c>
      <c r="I370" s="78"/>
      <c r="J370" s="67" t="e">
        <f>+Puantaj!#REF!</f>
        <v>#REF!</v>
      </c>
      <c r="K370" s="64" t="e">
        <f>+Puantaj!#REF!</f>
        <v>#REF!</v>
      </c>
      <c r="L370" s="64" t="e">
        <f>+Puantaj!#REF!</f>
        <v>#REF!</v>
      </c>
      <c r="M370" s="68" t="e">
        <f>+BORDRO!#REF!</f>
        <v>#REF!</v>
      </c>
      <c r="N370" s="64"/>
      <c r="O370" s="79" t="e">
        <f>+BORDRO!#REF!</f>
        <v>#REF!</v>
      </c>
      <c r="P370" s="79">
        <v>0</v>
      </c>
      <c r="Q370" s="69"/>
      <c r="R370" s="69"/>
      <c r="S370" s="70"/>
      <c r="T370" s="70"/>
      <c r="U370" s="71"/>
      <c r="V370" s="72" t="e">
        <f t="shared" si="5"/>
        <v>#REF!</v>
      </c>
      <c r="W370" s="73">
        <v>6</v>
      </c>
      <c r="X370" s="81" t="s">
        <v>99</v>
      </c>
      <c r="Y370" s="65">
        <v>2</v>
      </c>
      <c r="Z370" s="64" t="s">
        <v>51</v>
      </c>
      <c r="AA370" s="74" t="s">
        <v>781</v>
      </c>
      <c r="AB370" s="64">
        <v>2025</v>
      </c>
      <c r="AC370" s="64" t="s">
        <v>106</v>
      </c>
      <c r="AD370" s="80" t="e">
        <f>+BORDRO!#REF!</f>
        <v>#REF!</v>
      </c>
      <c r="AE370" s="75"/>
      <c r="AF370" s="75" t="e">
        <f>+BORDRO!#REF!</f>
        <v>#REF!</v>
      </c>
      <c r="AG370" s="75" t="e">
        <f>+BORDRO!#REF!</f>
        <v>#REF!</v>
      </c>
      <c r="AH370" s="80" t="e">
        <f>+BORDRO!#REF!</f>
        <v>#REF!</v>
      </c>
      <c r="AI370" s="75" t="e">
        <f>+BORDRO!#REF!</f>
        <v>#REF!</v>
      </c>
      <c r="AJ370" s="76" t="e">
        <f>+BORDRO!#REF!</f>
        <v>#REF!</v>
      </c>
    </row>
    <row r="371" spans="1:36" ht="13.8" x14ac:dyDescent="0.25">
      <c r="A371" s="64" t="s">
        <v>51</v>
      </c>
      <c r="B371" s="119">
        <v>46</v>
      </c>
      <c r="C371" s="64" t="s">
        <v>52</v>
      </c>
      <c r="D371" s="64" t="s">
        <v>53</v>
      </c>
      <c r="E371" s="64" t="s">
        <v>53</v>
      </c>
      <c r="F371" s="65">
        <v>1494768</v>
      </c>
      <c r="G371" s="66" t="s">
        <v>105</v>
      </c>
      <c r="H371" s="64" t="s">
        <v>54</v>
      </c>
      <c r="I371" s="78"/>
      <c r="J371" s="67" t="e">
        <f>+Puantaj!#REF!</f>
        <v>#REF!</v>
      </c>
      <c r="K371" s="64" t="e">
        <f>+Puantaj!#REF!</f>
        <v>#REF!</v>
      </c>
      <c r="L371" s="64" t="e">
        <f>+Puantaj!#REF!</f>
        <v>#REF!</v>
      </c>
      <c r="M371" s="68" t="e">
        <f>+BORDRO!#REF!</f>
        <v>#REF!</v>
      </c>
      <c r="N371" s="64"/>
      <c r="O371" s="79" t="e">
        <f>+BORDRO!#REF!</f>
        <v>#REF!</v>
      </c>
      <c r="P371" s="79">
        <v>0</v>
      </c>
      <c r="Q371" s="69"/>
      <c r="R371" s="69"/>
      <c r="S371" s="70"/>
      <c r="T371" s="70"/>
      <c r="U371" s="71"/>
      <c r="V371" s="72" t="e">
        <f t="shared" si="5"/>
        <v>#REF!</v>
      </c>
      <c r="W371" s="73">
        <v>6</v>
      </c>
      <c r="X371" s="81" t="s">
        <v>99</v>
      </c>
      <c r="Y371" s="65">
        <v>2</v>
      </c>
      <c r="Z371" s="64" t="s">
        <v>51</v>
      </c>
      <c r="AA371" s="74" t="s">
        <v>781</v>
      </c>
      <c r="AB371" s="64">
        <v>2025</v>
      </c>
      <c r="AC371" s="64" t="s">
        <v>106</v>
      </c>
      <c r="AD371" s="80" t="e">
        <f>+BORDRO!#REF!</f>
        <v>#REF!</v>
      </c>
      <c r="AE371" s="75"/>
      <c r="AF371" s="75" t="e">
        <f>+BORDRO!#REF!</f>
        <v>#REF!</v>
      </c>
      <c r="AG371" s="75" t="e">
        <f>+BORDRO!#REF!</f>
        <v>#REF!</v>
      </c>
      <c r="AH371" s="80" t="e">
        <f>+BORDRO!#REF!</f>
        <v>#REF!</v>
      </c>
      <c r="AI371" s="75" t="e">
        <f>+BORDRO!#REF!</f>
        <v>#REF!</v>
      </c>
      <c r="AJ371" s="76" t="e">
        <f>+BORDRO!#REF!</f>
        <v>#REF!</v>
      </c>
    </row>
    <row r="372" spans="1:36" ht="13.8" x14ac:dyDescent="0.25">
      <c r="A372" s="64" t="s">
        <v>51</v>
      </c>
      <c r="B372" s="120">
        <v>46</v>
      </c>
      <c r="C372" s="64" t="s">
        <v>52</v>
      </c>
      <c r="D372" s="64" t="s">
        <v>53</v>
      </c>
      <c r="E372" s="64" t="s">
        <v>53</v>
      </c>
      <c r="F372" s="65">
        <v>1494768</v>
      </c>
      <c r="G372" s="66" t="s">
        <v>105</v>
      </c>
      <c r="H372" s="64" t="s">
        <v>54</v>
      </c>
      <c r="I372" s="78"/>
      <c r="J372" s="67" t="e">
        <f>+Puantaj!#REF!</f>
        <v>#REF!</v>
      </c>
      <c r="K372" s="64" t="e">
        <f>+Puantaj!#REF!</f>
        <v>#REF!</v>
      </c>
      <c r="L372" s="64" t="e">
        <f>+Puantaj!#REF!</f>
        <v>#REF!</v>
      </c>
      <c r="M372" s="68" t="e">
        <f>+BORDRO!#REF!</f>
        <v>#REF!</v>
      </c>
      <c r="N372" s="64"/>
      <c r="O372" s="79" t="e">
        <f>+BORDRO!#REF!</f>
        <v>#REF!</v>
      </c>
      <c r="P372" s="79">
        <v>0</v>
      </c>
      <c r="Q372" s="69"/>
      <c r="R372" s="69"/>
      <c r="S372" s="70"/>
      <c r="T372" s="70"/>
      <c r="U372" s="71"/>
      <c r="V372" s="72" t="e">
        <f t="shared" si="5"/>
        <v>#REF!</v>
      </c>
      <c r="W372" s="73">
        <v>6</v>
      </c>
      <c r="X372" s="81" t="s">
        <v>99</v>
      </c>
      <c r="Y372" s="65">
        <v>2</v>
      </c>
      <c r="Z372" s="64" t="s">
        <v>51</v>
      </c>
      <c r="AA372" s="74" t="s">
        <v>781</v>
      </c>
      <c r="AB372" s="64">
        <v>2025</v>
      </c>
      <c r="AC372" s="64" t="s">
        <v>106</v>
      </c>
      <c r="AD372" s="80" t="e">
        <f>+BORDRO!#REF!</f>
        <v>#REF!</v>
      </c>
      <c r="AE372" s="75"/>
      <c r="AF372" s="75" t="e">
        <f>+BORDRO!#REF!</f>
        <v>#REF!</v>
      </c>
      <c r="AG372" s="75" t="e">
        <f>+BORDRO!#REF!</f>
        <v>#REF!</v>
      </c>
      <c r="AH372" s="80" t="e">
        <f>+BORDRO!#REF!</f>
        <v>#REF!</v>
      </c>
      <c r="AI372" s="75" t="e">
        <f>+BORDRO!#REF!</f>
        <v>#REF!</v>
      </c>
      <c r="AJ372" s="76" t="e">
        <f>+BORDRO!#REF!</f>
        <v>#REF!</v>
      </c>
    </row>
    <row r="373" spans="1:36" ht="13.8" x14ac:dyDescent="0.25">
      <c r="A373" s="64" t="s">
        <v>51</v>
      </c>
      <c r="B373" s="119">
        <v>46</v>
      </c>
      <c r="C373" s="64" t="s">
        <v>52</v>
      </c>
      <c r="D373" s="64" t="s">
        <v>53</v>
      </c>
      <c r="E373" s="64" t="s">
        <v>53</v>
      </c>
      <c r="F373" s="65">
        <v>1494768</v>
      </c>
      <c r="G373" s="66" t="s">
        <v>105</v>
      </c>
      <c r="H373" s="64" t="s">
        <v>54</v>
      </c>
      <c r="I373" s="78"/>
      <c r="J373" s="67" t="e">
        <f>+Puantaj!#REF!</f>
        <v>#REF!</v>
      </c>
      <c r="K373" s="64" t="e">
        <f>+Puantaj!#REF!</f>
        <v>#REF!</v>
      </c>
      <c r="L373" s="64" t="e">
        <f>+Puantaj!#REF!</f>
        <v>#REF!</v>
      </c>
      <c r="M373" s="68" t="e">
        <f>+BORDRO!#REF!</f>
        <v>#REF!</v>
      </c>
      <c r="N373" s="64"/>
      <c r="O373" s="79" t="e">
        <f>+BORDRO!#REF!</f>
        <v>#REF!</v>
      </c>
      <c r="P373" s="79">
        <v>0</v>
      </c>
      <c r="Q373" s="69"/>
      <c r="R373" s="69"/>
      <c r="S373" s="70"/>
      <c r="T373" s="70"/>
      <c r="U373" s="71"/>
      <c r="V373" s="72" t="e">
        <f t="shared" si="5"/>
        <v>#REF!</v>
      </c>
      <c r="W373" s="73">
        <v>6</v>
      </c>
      <c r="X373" s="81" t="s">
        <v>99</v>
      </c>
      <c r="Y373" s="65">
        <v>2</v>
      </c>
      <c r="Z373" s="64" t="s">
        <v>51</v>
      </c>
      <c r="AA373" s="74" t="s">
        <v>781</v>
      </c>
      <c r="AB373" s="64">
        <v>2025</v>
      </c>
      <c r="AC373" s="64" t="s">
        <v>106</v>
      </c>
      <c r="AD373" s="80" t="e">
        <f>+BORDRO!#REF!</f>
        <v>#REF!</v>
      </c>
      <c r="AE373" s="75"/>
      <c r="AF373" s="75" t="e">
        <f>+BORDRO!#REF!</f>
        <v>#REF!</v>
      </c>
      <c r="AG373" s="75" t="e">
        <f>+BORDRO!#REF!</f>
        <v>#REF!</v>
      </c>
      <c r="AH373" s="80" t="e">
        <f>+BORDRO!#REF!</f>
        <v>#REF!</v>
      </c>
      <c r="AI373" s="75" t="e">
        <f>+BORDRO!#REF!</f>
        <v>#REF!</v>
      </c>
      <c r="AJ373" s="76" t="e">
        <f>+BORDRO!#REF!</f>
        <v>#REF!</v>
      </c>
    </row>
    <row r="374" spans="1:36" ht="13.8" x14ac:dyDescent="0.25">
      <c r="A374" s="64" t="s">
        <v>51</v>
      </c>
      <c r="B374" s="120">
        <v>46</v>
      </c>
      <c r="C374" s="64" t="s">
        <v>52</v>
      </c>
      <c r="D374" s="64" t="s">
        <v>53</v>
      </c>
      <c r="E374" s="64" t="s">
        <v>53</v>
      </c>
      <c r="F374" s="65">
        <v>1494768</v>
      </c>
      <c r="G374" s="66" t="s">
        <v>105</v>
      </c>
      <c r="H374" s="64" t="s">
        <v>54</v>
      </c>
      <c r="I374" s="78"/>
      <c r="J374" s="67" t="e">
        <f>+Puantaj!#REF!</f>
        <v>#REF!</v>
      </c>
      <c r="K374" s="64" t="e">
        <f>+Puantaj!#REF!</f>
        <v>#REF!</v>
      </c>
      <c r="L374" s="64" t="e">
        <f>+Puantaj!#REF!</f>
        <v>#REF!</v>
      </c>
      <c r="M374" s="68" t="e">
        <f>+BORDRO!#REF!</f>
        <v>#REF!</v>
      </c>
      <c r="N374" s="64"/>
      <c r="O374" s="79" t="e">
        <f>+BORDRO!#REF!</f>
        <v>#REF!</v>
      </c>
      <c r="P374" s="79">
        <v>0</v>
      </c>
      <c r="Q374" s="69"/>
      <c r="R374" s="69"/>
      <c r="S374" s="70"/>
      <c r="T374" s="70"/>
      <c r="U374" s="71"/>
      <c r="V374" s="72" t="e">
        <f t="shared" si="5"/>
        <v>#REF!</v>
      </c>
      <c r="W374" s="73">
        <v>6</v>
      </c>
      <c r="X374" s="81" t="s">
        <v>99</v>
      </c>
      <c r="Y374" s="65">
        <v>2</v>
      </c>
      <c r="Z374" s="64" t="s">
        <v>51</v>
      </c>
      <c r="AA374" s="74" t="s">
        <v>781</v>
      </c>
      <c r="AB374" s="64">
        <v>2025</v>
      </c>
      <c r="AC374" s="64" t="s">
        <v>106</v>
      </c>
      <c r="AD374" s="80" t="e">
        <f>+BORDRO!#REF!</f>
        <v>#REF!</v>
      </c>
      <c r="AE374" s="75"/>
      <c r="AF374" s="75" t="e">
        <f>+BORDRO!#REF!</f>
        <v>#REF!</v>
      </c>
      <c r="AG374" s="75" t="e">
        <f>+BORDRO!#REF!</f>
        <v>#REF!</v>
      </c>
      <c r="AH374" s="80" t="e">
        <f>+BORDRO!#REF!</f>
        <v>#REF!</v>
      </c>
      <c r="AI374" s="75" t="e">
        <f>+BORDRO!#REF!</f>
        <v>#REF!</v>
      </c>
      <c r="AJ374" s="76" t="e">
        <f>+BORDRO!#REF!</f>
        <v>#REF!</v>
      </c>
    </row>
    <row r="375" spans="1:36" ht="13.8" x14ac:dyDescent="0.25">
      <c r="A375" s="64" t="s">
        <v>51</v>
      </c>
      <c r="B375" s="119">
        <v>46</v>
      </c>
      <c r="C375" s="64" t="s">
        <v>52</v>
      </c>
      <c r="D375" s="64" t="s">
        <v>53</v>
      </c>
      <c r="E375" s="64" t="s">
        <v>53</v>
      </c>
      <c r="F375" s="65">
        <v>1494768</v>
      </c>
      <c r="G375" s="66" t="s">
        <v>105</v>
      </c>
      <c r="H375" s="64" t="s">
        <v>54</v>
      </c>
      <c r="I375" s="78"/>
      <c r="J375" s="67" t="e">
        <f>+Puantaj!#REF!</f>
        <v>#REF!</v>
      </c>
      <c r="K375" s="64" t="e">
        <f>+Puantaj!#REF!</f>
        <v>#REF!</v>
      </c>
      <c r="L375" s="64" t="e">
        <f>+Puantaj!#REF!</f>
        <v>#REF!</v>
      </c>
      <c r="M375" s="68" t="e">
        <f>+BORDRO!#REF!</f>
        <v>#REF!</v>
      </c>
      <c r="N375" s="64"/>
      <c r="O375" s="79" t="e">
        <f>+BORDRO!#REF!</f>
        <v>#REF!</v>
      </c>
      <c r="P375" s="79">
        <v>0</v>
      </c>
      <c r="Q375" s="69"/>
      <c r="R375" s="69"/>
      <c r="S375" s="70"/>
      <c r="T375" s="70"/>
      <c r="U375" s="71"/>
      <c r="V375" s="72" t="e">
        <f t="shared" si="5"/>
        <v>#REF!</v>
      </c>
      <c r="W375" s="73">
        <v>6</v>
      </c>
      <c r="X375" s="81" t="s">
        <v>99</v>
      </c>
      <c r="Y375" s="65">
        <v>2</v>
      </c>
      <c r="Z375" s="64" t="s">
        <v>51</v>
      </c>
      <c r="AA375" s="74" t="s">
        <v>781</v>
      </c>
      <c r="AB375" s="64">
        <v>2025</v>
      </c>
      <c r="AC375" s="64" t="s">
        <v>106</v>
      </c>
      <c r="AD375" s="80" t="e">
        <f>+BORDRO!#REF!</f>
        <v>#REF!</v>
      </c>
      <c r="AE375" s="75"/>
      <c r="AF375" s="75" t="e">
        <f>+BORDRO!#REF!</f>
        <v>#REF!</v>
      </c>
      <c r="AG375" s="75" t="e">
        <f>+BORDRO!#REF!</f>
        <v>#REF!</v>
      </c>
      <c r="AH375" s="80" t="e">
        <f>+BORDRO!#REF!</f>
        <v>#REF!</v>
      </c>
      <c r="AI375" s="75" t="e">
        <f>+BORDRO!#REF!</f>
        <v>#REF!</v>
      </c>
      <c r="AJ375" s="76" t="e">
        <f>+BORDRO!#REF!</f>
        <v>#REF!</v>
      </c>
    </row>
    <row r="376" spans="1:36" ht="13.8" x14ac:dyDescent="0.25">
      <c r="A376" s="64" t="s">
        <v>51</v>
      </c>
      <c r="B376" s="120">
        <v>46</v>
      </c>
      <c r="C376" s="64" t="s">
        <v>52</v>
      </c>
      <c r="D376" s="64" t="s">
        <v>53</v>
      </c>
      <c r="E376" s="64" t="s">
        <v>53</v>
      </c>
      <c r="F376" s="65">
        <v>1494768</v>
      </c>
      <c r="G376" s="66" t="s">
        <v>105</v>
      </c>
      <c r="H376" s="64" t="s">
        <v>54</v>
      </c>
      <c r="I376" s="78"/>
      <c r="J376" s="67" t="e">
        <f>+Puantaj!#REF!</f>
        <v>#REF!</v>
      </c>
      <c r="K376" s="64" t="e">
        <f>+Puantaj!#REF!</f>
        <v>#REF!</v>
      </c>
      <c r="L376" s="64" t="e">
        <f>+Puantaj!#REF!</f>
        <v>#REF!</v>
      </c>
      <c r="M376" s="68" t="e">
        <f>+BORDRO!#REF!</f>
        <v>#REF!</v>
      </c>
      <c r="N376" s="64"/>
      <c r="O376" s="79" t="e">
        <f>+BORDRO!#REF!</f>
        <v>#REF!</v>
      </c>
      <c r="P376" s="79">
        <v>0</v>
      </c>
      <c r="Q376" s="69"/>
      <c r="R376" s="69"/>
      <c r="S376" s="70"/>
      <c r="T376" s="70"/>
      <c r="U376" s="71"/>
      <c r="V376" s="72" t="e">
        <f t="shared" si="5"/>
        <v>#REF!</v>
      </c>
      <c r="W376" s="73">
        <v>6</v>
      </c>
      <c r="X376" s="81" t="s">
        <v>99</v>
      </c>
      <c r="Y376" s="65">
        <v>2</v>
      </c>
      <c r="Z376" s="64" t="s">
        <v>51</v>
      </c>
      <c r="AA376" s="74" t="s">
        <v>781</v>
      </c>
      <c r="AB376" s="64">
        <v>2025</v>
      </c>
      <c r="AC376" s="64" t="s">
        <v>106</v>
      </c>
      <c r="AD376" s="80" t="e">
        <f>+BORDRO!#REF!</f>
        <v>#REF!</v>
      </c>
      <c r="AE376" s="75"/>
      <c r="AF376" s="75" t="e">
        <f>+BORDRO!#REF!</f>
        <v>#REF!</v>
      </c>
      <c r="AG376" s="75" t="e">
        <f>+BORDRO!#REF!</f>
        <v>#REF!</v>
      </c>
      <c r="AH376" s="80" t="e">
        <f>+BORDRO!#REF!</f>
        <v>#REF!</v>
      </c>
      <c r="AI376" s="75" t="e">
        <f>+BORDRO!#REF!</f>
        <v>#REF!</v>
      </c>
      <c r="AJ376" s="76" t="e">
        <f>+BORDRO!#REF!</f>
        <v>#REF!</v>
      </c>
    </row>
    <row r="377" spans="1:36" ht="13.8" x14ac:dyDescent="0.25">
      <c r="A377" s="64" t="s">
        <v>51</v>
      </c>
      <c r="B377" s="119">
        <v>46</v>
      </c>
      <c r="C377" s="64" t="s">
        <v>52</v>
      </c>
      <c r="D377" s="64" t="s">
        <v>53</v>
      </c>
      <c r="E377" s="64" t="s">
        <v>53</v>
      </c>
      <c r="F377" s="65">
        <v>1494768</v>
      </c>
      <c r="G377" s="66" t="s">
        <v>105</v>
      </c>
      <c r="H377" s="64" t="s">
        <v>54</v>
      </c>
      <c r="I377" s="78"/>
      <c r="J377" s="67" t="e">
        <f>+Puantaj!#REF!</f>
        <v>#REF!</v>
      </c>
      <c r="K377" s="64" t="e">
        <f>+Puantaj!#REF!</f>
        <v>#REF!</v>
      </c>
      <c r="L377" s="64" t="e">
        <f>+Puantaj!#REF!</f>
        <v>#REF!</v>
      </c>
      <c r="M377" s="68" t="e">
        <f>+BORDRO!#REF!</f>
        <v>#REF!</v>
      </c>
      <c r="N377" s="64"/>
      <c r="O377" s="79" t="e">
        <f>+BORDRO!#REF!</f>
        <v>#REF!</v>
      </c>
      <c r="P377" s="79">
        <v>0</v>
      </c>
      <c r="Q377" s="69"/>
      <c r="R377" s="69"/>
      <c r="S377" s="70"/>
      <c r="T377" s="70"/>
      <c r="U377" s="71"/>
      <c r="V377" s="72" t="e">
        <f t="shared" si="5"/>
        <v>#REF!</v>
      </c>
      <c r="W377" s="73">
        <v>6</v>
      </c>
      <c r="X377" s="81" t="s">
        <v>99</v>
      </c>
      <c r="Y377" s="65">
        <v>2</v>
      </c>
      <c r="Z377" s="64" t="s">
        <v>51</v>
      </c>
      <c r="AA377" s="74" t="s">
        <v>781</v>
      </c>
      <c r="AB377" s="64">
        <v>2025</v>
      </c>
      <c r="AC377" s="64" t="s">
        <v>106</v>
      </c>
      <c r="AD377" s="80" t="e">
        <f>+BORDRO!#REF!</f>
        <v>#REF!</v>
      </c>
      <c r="AE377" s="75"/>
      <c r="AF377" s="75" t="e">
        <f>+BORDRO!#REF!</f>
        <v>#REF!</v>
      </c>
      <c r="AG377" s="75" t="e">
        <f>+BORDRO!#REF!</f>
        <v>#REF!</v>
      </c>
      <c r="AH377" s="80" t="e">
        <f>+BORDRO!#REF!</f>
        <v>#REF!</v>
      </c>
      <c r="AI377" s="75" t="e">
        <f>+BORDRO!#REF!</f>
        <v>#REF!</v>
      </c>
      <c r="AJ377" s="76" t="e">
        <f>+BORDRO!#REF!</f>
        <v>#REF!</v>
      </c>
    </row>
    <row r="378" spans="1:36" ht="13.8" x14ac:dyDescent="0.25">
      <c r="A378" s="64" t="s">
        <v>51</v>
      </c>
      <c r="B378" s="120">
        <v>46</v>
      </c>
      <c r="C378" s="64" t="s">
        <v>52</v>
      </c>
      <c r="D378" s="64" t="s">
        <v>53</v>
      </c>
      <c r="E378" s="64" t="s">
        <v>53</v>
      </c>
      <c r="F378" s="65">
        <v>1494768</v>
      </c>
      <c r="G378" s="66" t="s">
        <v>105</v>
      </c>
      <c r="H378" s="64" t="s">
        <v>54</v>
      </c>
      <c r="I378" s="78"/>
      <c r="J378" s="67" t="e">
        <f>+Puantaj!#REF!</f>
        <v>#REF!</v>
      </c>
      <c r="K378" s="64" t="e">
        <f>+Puantaj!#REF!</f>
        <v>#REF!</v>
      </c>
      <c r="L378" s="64" t="e">
        <f>+Puantaj!#REF!</f>
        <v>#REF!</v>
      </c>
      <c r="M378" s="68" t="e">
        <f>+BORDRO!#REF!</f>
        <v>#REF!</v>
      </c>
      <c r="N378" s="64"/>
      <c r="O378" s="79" t="e">
        <f>+BORDRO!#REF!</f>
        <v>#REF!</v>
      </c>
      <c r="P378" s="79">
        <v>0</v>
      </c>
      <c r="Q378" s="69"/>
      <c r="R378" s="69"/>
      <c r="S378" s="70"/>
      <c r="T378" s="70"/>
      <c r="U378" s="71"/>
      <c r="V378" s="72" t="e">
        <f t="shared" si="5"/>
        <v>#REF!</v>
      </c>
      <c r="W378" s="73">
        <v>6</v>
      </c>
      <c r="X378" s="81" t="s">
        <v>99</v>
      </c>
      <c r="Y378" s="65">
        <v>2</v>
      </c>
      <c r="Z378" s="64" t="s">
        <v>51</v>
      </c>
      <c r="AA378" s="74" t="s">
        <v>781</v>
      </c>
      <c r="AB378" s="64">
        <v>2025</v>
      </c>
      <c r="AC378" s="64" t="s">
        <v>106</v>
      </c>
      <c r="AD378" s="80" t="e">
        <f>+BORDRO!#REF!</f>
        <v>#REF!</v>
      </c>
      <c r="AE378" s="75"/>
      <c r="AF378" s="75" t="e">
        <f>+BORDRO!#REF!</f>
        <v>#REF!</v>
      </c>
      <c r="AG378" s="75" t="e">
        <f>+BORDRO!#REF!</f>
        <v>#REF!</v>
      </c>
      <c r="AH378" s="80" t="e">
        <f>+BORDRO!#REF!</f>
        <v>#REF!</v>
      </c>
      <c r="AI378" s="75" t="e">
        <f>+BORDRO!#REF!</f>
        <v>#REF!</v>
      </c>
      <c r="AJ378" s="76" t="e">
        <f>+BORDRO!#REF!</f>
        <v>#REF!</v>
      </c>
    </row>
    <row r="379" spans="1:36" ht="13.8" x14ac:dyDescent="0.25">
      <c r="A379" s="64" t="s">
        <v>51</v>
      </c>
      <c r="B379" s="119">
        <v>46</v>
      </c>
      <c r="C379" s="64" t="s">
        <v>52</v>
      </c>
      <c r="D379" s="64" t="s">
        <v>53</v>
      </c>
      <c r="E379" s="64" t="s">
        <v>53</v>
      </c>
      <c r="F379" s="65">
        <v>1494768</v>
      </c>
      <c r="G379" s="66" t="s">
        <v>105</v>
      </c>
      <c r="H379" s="64" t="s">
        <v>54</v>
      </c>
      <c r="I379" s="78"/>
      <c r="J379" s="67" t="e">
        <f>+Puantaj!#REF!</f>
        <v>#REF!</v>
      </c>
      <c r="K379" s="64" t="e">
        <f>+Puantaj!#REF!</f>
        <v>#REF!</v>
      </c>
      <c r="L379" s="64" t="e">
        <f>+Puantaj!#REF!</f>
        <v>#REF!</v>
      </c>
      <c r="M379" s="68" t="e">
        <f>+BORDRO!#REF!</f>
        <v>#REF!</v>
      </c>
      <c r="N379" s="64"/>
      <c r="O379" s="79" t="e">
        <f>+BORDRO!#REF!</f>
        <v>#REF!</v>
      </c>
      <c r="P379" s="79">
        <v>0</v>
      </c>
      <c r="Q379" s="69"/>
      <c r="R379" s="69"/>
      <c r="S379" s="70"/>
      <c r="T379" s="70"/>
      <c r="U379" s="71"/>
      <c r="V379" s="72" t="e">
        <f t="shared" si="5"/>
        <v>#REF!</v>
      </c>
      <c r="W379" s="73">
        <v>6</v>
      </c>
      <c r="X379" s="81" t="s">
        <v>99</v>
      </c>
      <c r="Y379" s="65">
        <v>2</v>
      </c>
      <c r="Z379" s="64" t="s">
        <v>51</v>
      </c>
      <c r="AA379" s="74" t="s">
        <v>781</v>
      </c>
      <c r="AB379" s="64">
        <v>2025</v>
      </c>
      <c r="AC379" s="64" t="s">
        <v>106</v>
      </c>
      <c r="AD379" s="80" t="e">
        <f>+BORDRO!#REF!</f>
        <v>#REF!</v>
      </c>
      <c r="AE379" s="75"/>
      <c r="AF379" s="75" t="e">
        <f>+BORDRO!#REF!</f>
        <v>#REF!</v>
      </c>
      <c r="AG379" s="75" t="e">
        <f>+BORDRO!#REF!</f>
        <v>#REF!</v>
      </c>
      <c r="AH379" s="80" t="e">
        <f>+BORDRO!#REF!</f>
        <v>#REF!</v>
      </c>
      <c r="AI379" s="75" t="e">
        <f>+BORDRO!#REF!</f>
        <v>#REF!</v>
      </c>
      <c r="AJ379" s="76" t="e">
        <f>+BORDRO!#REF!</f>
        <v>#REF!</v>
      </c>
    </row>
    <row r="380" spans="1:36" ht="13.8" x14ac:dyDescent="0.25">
      <c r="A380" s="64" t="s">
        <v>51</v>
      </c>
      <c r="B380" s="120">
        <v>46</v>
      </c>
      <c r="C380" s="64" t="s">
        <v>52</v>
      </c>
      <c r="D380" s="64" t="s">
        <v>53</v>
      </c>
      <c r="E380" s="64" t="s">
        <v>53</v>
      </c>
      <c r="F380" s="65">
        <v>1494768</v>
      </c>
      <c r="G380" s="66" t="s">
        <v>105</v>
      </c>
      <c r="H380" s="64" t="s">
        <v>54</v>
      </c>
      <c r="I380" s="78"/>
      <c r="J380" s="67" t="e">
        <f>+Puantaj!#REF!</f>
        <v>#REF!</v>
      </c>
      <c r="K380" s="64" t="e">
        <f>+Puantaj!#REF!</f>
        <v>#REF!</v>
      </c>
      <c r="L380" s="64" t="e">
        <f>+Puantaj!#REF!</f>
        <v>#REF!</v>
      </c>
      <c r="M380" s="68" t="e">
        <f>+BORDRO!#REF!</f>
        <v>#REF!</v>
      </c>
      <c r="N380" s="64"/>
      <c r="O380" s="79" t="e">
        <f>+BORDRO!#REF!</f>
        <v>#REF!</v>
      </c>
      <c r="P380" s="79">
        <v>0</v>
      </c>
      <c r="Q380" s="69"/>
      <c r="R380" s="69"/>
      <c r="S380" s="70"/>
      <c r="T380" s="70"/>
      <c r="U380" s="71"/>
      <c r="V380" s="72" t="e">
        <f t="shared" si="5"/>
        <v>#REF!</v>
      </c>
      <c r="W380" s="73">
        <v>6</v>
      </c>
      <c r="X380" s="81" t="s">
        <v>99</v>
      </c>
      <c r="Y380" s="65">
        <v>2</v>
      </c>
      <c r="Z380" s="64" t="s">
        <v>51</v>
      </c>
      <c r="AA380" s="74" t="s">
        <v>781</v>
      </c>
      <c r="AB380" s="64">
        <v>2025</v>
      </c>
      <c r="AC380" s="64" t="s">
        <v>106</v>
      </c>
      <c r="AD380" s="80" t="e">
        <f>+BORDRO!#REF!</f>
        <v>#REF!</v>
      </c>
      <c r="AE380" s="75"/>
      <c r="AF380" s="75" t="e">
        <f>+BORDRO!#REF!</f>
        <v>#REF!</v>
      </c>
      <c r="AG380" s="75" t="e">
        <f>+BORDRO!#REF!</f>
        <v>#REF!</v>
      </c>
      <c r="AH380" s="80" t="e">
        <f>+BORDRO!#REF!</f>
        <v>#REF!</v>
      </c>
      <c r="AI380" s="75" t="e">
        <f>+BORDRO!#REF!</f>
        <v>#REF!</v>
      </c>
      <c r="AJ380" s="76" t="e">
        <f>+BORDRO!#REF!</f>
        <v>#REF!</v>
      </c>
    </row>
    <row r="381" spans="1:36" ht="13.8" x14ac:dyDescent="0.25">
      <c r="A381" s="64" t="s">
        <v>51</v>
      </c>
      <c r="B381" s="119">
        <v>46</v>
      </c>
      <c r="C381" s="64" t="s">
        <v>52</v>
      </c>
      <c r="D381" s="64" t="s">
        <v>53</v>
      </c>
      <c r="E381" s="64" t="s">
        <v>53</v>
      </c>
      <c r="F381" s="65">
        <v>1494768</v>
      </c>
      <c r="G381" s="66" t="s">
        <v>105</v>
      </c>
      <c r="H381" s="64" t="s">
        <v>54</v>
      </c>
      <c r="I381" s="78"/>
      <c r="J381" s="67" t="e">
        <f>+Puantaj!#REF!</f>
        <v>#REF!</v>
      </c>
      <c r="K381" s="64" t="e">
        <f>+Puantaj!#REF!</f>
        <v>#REF!</v>
      </c>
      <c r="L381" s="64" t="e">
        <f>+Puantaj!#REF!</f>
        <v>#REF!</v>
      </c>
      <c r="M381" s="68" t="e">
        <f>+BORDRO!#REF!</f>
        <v>#REF!</v>
      </c>
      <c r="N381" s="64"/>
      <c r="O381" s="79" t="e">
        <f>+BORDRO!#REF!</f>
        <v>#REF!</v>
      </c>
      <c r="P381" s="79">
        <v>0</v>
      </c>
      <c r="Q381" s="69"/>
      <c r="R381" s="69"/>
      <c r="S381" s="70"/>
      <c r="T381" s="70"/>
      <c r="U381" s="71"/>
      <c r="V381" s="72" t="e">
        <f t="shared" si="5"/>
        <v>#REF!</v>
      </c>
      <c r="W381" s="73">
        <v>6</v>
      </c>
      <c r="X381" s="81" t="s">
        <v>99</v>
      </c>
      <c r="Y381" s="65">
        <v>2</v>
      </c>
      <c r="Z381" s="64" t="s">
        <v>51</v>
      </c>
      <c r="AA381" s="74" t="s">
        <v>781</v>
      </c>
      <c r="AB381" s="64">
        <v>2025</v>
      </c>
      <c r="AC381" s="64" t="s">
        <v>106</v>
      </c>
      <c r="AD381" s="80" t="e">
        <f>+BORDRO!#REF!</f>
        <v>#REF!</v>
      </c>
      <c r="AE381" s="75"/>
      <c r="AF381" s="75" t="e">
        <f>+BORDRO!#REF!</f>
        <v>#REF!</v>
      </c>
      <c r="AG381" s="75" t="e">
        <f>+BORDRO!#REF!</f>
        <v>#REF!</v>
      </c>
      <c r="AH381" s="80" t="e">
        <f>+BORDRO!#REF!</f>
        <v>#REF!</v>
      </c>
      <c r="AI381" s="75" t="e">
        <f>+BORDRO!#REF!</f>
        <v>#REF!</v>
      </c>
      <c r="AJ381" s="76" t="e">
        <f>+BORDRO!#REF!</f>
        <v>#REF!</v>
      </c>
    </row>
    <row r="382" spans="1:36" ht="13.8" x14ac:dyDescent="0.25">
      <c r="A382" s="64" t="s">
        <v>51</v>
      </c>
      <c r="B382" s="120">
        <v>46</v>
      </c>
      <c r="C382" s="64" t="s">
        <v>52</v>
      </c>
      <c r="D382" s="64" t="s">
        <v>53</v>
      </c>
      <c r="E382" s="64" t="s">
        <v>53</v>
      </c>
      <c r="F382" s="65">
        <v>1494768</v>
      </c>
      <c r="G382" s="66" t="s">
        <v>105</v>
      </c>
      <c r="H382" s="64" t="s">
        <v>54</v>
      </c>
      <c r="I382" s="78"/>
      <c r="J382" s="67" t="e">
        <f>+Puantaj!#REF!</f>
        <v>#REF!</v>
      </c>
      <c r="K382" s="64" t="e">
        <f>+Puantaj!#REF!</f>
        <v>#REF!</v>
      </c>
      <c r="L382" s="64" t="e">
        <f>+Puantaj!#REF!</f>
        <v>#REF!</v>
      </c>
      <c r="M382" s="68" t="e">
        <f>+BORDRO!#REF!</f>
        <v>#REF!</v>
      </c>
      <c r="N382" s="64"/>
      <c r="O382" s="79" t="e">
        <f>+BORDRO!#REF!</f>
        <v>#REF!</v>
      </c>
      <c r="P382" s="79">
        <v>0</v>
      </c>
      <c r="Q382" s="69"/>
      <c r="R382" s="69"/>
      <c r="S382" s="70"/>
      <c r="T382" s="70"/>
      <c r="U382" s="71"/>
      <c r="V382" s="72" t="e">
        <f t="shared" si="5"/>
        <v>#REF!</v>
      </c>
      <c r="W382" s="73">
        <v>6</v>
      </c>
      <c r="X382" s="81" t="s">
        <v>99</v>
      </c>
      <c r="Y382" s="65">
        <v>2</v>
      </c>
      <c r="Z382" s="64" t="s">
        <v>51</v>
      </c>
      <c r="AA382" s="74" t="s">
        <v>781</v>
      </c>
      <c r="AB382" s="64">
        <v>2025</v>
      </c>
      <c r="AC382" s="64" t="s">
        <v>106</v>
      </c>
      <c r="AD382" s="80" t="e">
        <f>+BORDRO!#REF!</f>
        <v>#REF!</v>
      </c>
      <c r="AE382" s="75"/>
      <c r="AF382" s="75" t="e">
        <f>+BORDRO!#REF!</f>
        <v>#REF!</v>
      </c>
      <c r="AG382" s="75" t="e">
        <f>+BORDRO!#REF!</f>
        <v>#REF!</v>
      </c>
      <c r="AH382" s="80" t="e">
        <f>+BORDRO!#REF!</f>
        <v>#REF!</v>
      </c>
      <c r="AI382" s="75" t="e">
        <f>+BORDRO!#REF!</f>
        <v>#REF!</v>
      </c>
      <c r="AJ382" s="76" t="e">
        <f>+BORDRO!#REF!</f>
        <v>#REF!</v>
      </c>
    </row>
    <row r="383" spans="1:36" ht="13.8" x14ac:dyDescent="0.25">
      <c r="A383" s="64" t="s">
        <v>51</v>
      </c>
      <c r="B383" s="119">
        <v>46</v>
      </c>
      <c r="C383" s="64" t="s">
        <v>52</v>
      </c>
      <c r="D383" s="64" t="s">
        <v>53</v>
      </c>
      <c r="E383" s="64" t="s">
        <v>53</v>
      </c>
      <c r="F383" s="65">
        <v>1494768</v>
      </c>
      <c r="G383" s="66" t="s">
        <v>105</v>
      </c>
      <c r="H383" s="64" t="s">
        <v>54</v>
      </c>
      <c r="I383" s="78"/>
      <c r="J383" s="67" t="e">
        <f>+Puantaj!#REF!</f>
        <v>#REF!</v>
      </c>
      <c r="K383" s="64" t="e">
        <f>+Puantaj!#REF!</f>
        <v>#REF!</v>
      </c>
      <c r="L383" s="64" t="e">
        <f>+Puantaj!#REF!</f>
        <v>#REF!</v>
      </c>
      <c r="M383" s="68" t="e">
        <f>+BORDRO!#REF!</f>
        <v>#REF!</v>
      </c>
      <c r="N383" s="64"/>
      <c r="O383" s="79" t="e">
        <f>+BORDRO!#REF!</f>
        <v>#REF!</v>
      </c>
      <c r="P383" s="79">
        <v>0</v>
      </c>
      <c r="Q383" s="69"/>
      <c r="R383" s="69"/>
      <c r="S383" s="70"/>
      <c r="T383" s="70"/>
      <c r="U383" s="71"/>
      <c r="V383" s="72" t="e">
        <f t="shared" si="5"/>
        <v>#REF!</v>
      </c>
      <c r="W383" s="73">
        <v>6</v>
      </c>
      <c r="X383" s="81" t="s">
        <v>99</v>
      </c>
      <c r="Y383" s="65">
        <v>2</v>
      </c>
      <c r="Z383" s="64" t="s">
        <v>51</v>
      </c>
      <c r="AA383" s="74" t="s">
        <v>781</v>
      </c>
      <c r="AB383" s="64">
        <v>2025</v>
      </c>
      <c r="AC383" s="64" t="s">
        <v>106</v>
      </c>
      <c r="AD383" s="80" t="e">
        <f>+BORDRO!#REF!</f>
        <v>#REF!</v>
      </c>
      <c r="AE383" s="75"/>
      <c r="AF383" s="75" t="e">
        <f>+BORDRO!#REF!</f>
        <v>#REF!</v>
      </c>
      <c r="AG383" s="75" t="e">
        <f>+BORDRO!#REF!</f>
        <v>#REF!</v>
      </c>
      <c r="AH383" s="80" t="e">
        <f>+BORDRO!#REF!</f>
        <v>#REF!</v>
      </c>
      <c r="AI383" s="75" t="e">
        <f>+BORDRO!#REF!</f>
        <v>#REF!</v>
      </c>
      <c r="AJ383" s="76" t="e">
        <f>+BORDRO!#REF!</f>
        <v>#REF!</v>
      </c>
    </row>
    <row r="384" spans="1:36" ht="13.8" x14ac:dyDescent="0.25">
      <c r="A384" s="64" t="s">
        <v>51</v>
      </c>
      <c r="B384" s="120">
        <v>46</v>
      </c>
      <c r="C384" s="64" t="s">
        <v>52</v>
      </c>
      <c r="D384" s="64" t="s">
        <v>53</v>
      </c>
      <c r="E384" s="64" t="s">
        <v>53</v>
      </c>
      <c r="F384" s="65">
        <v>1494768</v>
      </c>
      <c r="G384" s="66" t="s">
        <v>105</v>
      </c>
      <c r="H384" s="64" t="s">
        <v>54</v>
      </c>
      <c r="I384" s="78"/>
      <c r="J384" s="67" t="e">
        <f>+Puantaj!#REF!</f>
        <v>#REF!</v>
      </c>
      <c r="K384" s="64" t="e">
        <f>+Puantaj!#REF!</f>
        <v>#REF!</v>
      </c>
      <c r="L384" s="64" t="e">
        <f>+Puantaj!#REF!</f>
        <v>#REF!</v>
      </c>
      <c r="M384" s="68" t="e">
        <f>+BORDRO!#REF!</f>
        <v>#REF!</v>
      </c>
      <c r="N384" s="64"/>
      <c r="O384" s="79" t="e">
        <f>+BORDRO!#REF!</f>
        <v>#REF!</v>
      </c>
      <c r="P384" s="79">
        <v>0</v>
      </c>
      <c r="Q384" s="69"/>
      <c r="R384" s="69"/>
      <c r="S384" s="70"/>
      <c r="T384" s="70"/>
      <c r="U384" s="71"/>
      <c r="V384" s="72" t="e">
        <f t="shared" si="5"/>
        <v>#REF!</v>
      </c>
      <c r="W384" s="73">
        <v>6</v>
      </c>
      <c r="X384" s="81" t="s">
        <v>99</v>
      </c>
      <c r="Y384" s="65">
        <v>2</v>
      </c>
      <c r="Z384" s="64" t="s">
        <v>51</v>
      </c>
      <c r="AA384" s="74" t="s">
        <v>781</v>
      </c>
      <c r="AB384" s="64">
        <v>2025</v>
      </c>
      <c r="AC384" s="64" t="s">
        <v>106</v>
      </c>
      <c r="AD384" s="80" t="e">
        <f>+BORDRO!#REF!</f>
        <v>#REF!</v>
      </c>
      <c r="AE384" s="75"/>
      <c r="AF384" s="75" t="e">
        <f>+BORDRO!#REF!</f>
        <v>#REF!</v>
      </c>
      <c r="AG384" s="75" t="e">
        <f>+BORDRO!#REF!</f>
        <v>#REF!</v>
      </c>
      <c r="AH384" s="80" t="e">
        <f>+BORDRO!#REF!</f>
        <v>#REF!</v>
      </c>
      <c r="AI384" s="75" t="e">
        <f>+BORDRO!#REF!</f>
        <v>#REF!</v>
      </c>
      <c r="AJ384" s="76" t="e">
        <f>+BORDRO!#REF!</f>
        <v>#REF!</v>
      </c>
    </row>
    <row r="385" spans="1:36" ht="13.8" x14ac:dyDescent="0.25">
      <c r="A385" s="64" t="s">
        <v>51</v>
      </c>
      <c r="B385" s="119">
        <v>46</v>
      </c>
      <c r="C385" s="64" t="s">
        <v>52</v>
      </c>
      <c r="D385" s="64" t="s">
        <v>53</v>
      </c>
      <c r="E385" s="64" t="s">
        <v>53</v>
      </c>
      <c r="F385" s="65">
        <v>1494768</v>
      </c>
      <c r="G385" s="66" t="s">
        <v>105</v>
      </c>
      <c r="H385" s="64" t="s">
        <v>54</v>
      </c>
      <c r="I385" s="78"/>
      <c r="J385" s="67" t="e">
        <f>+Puantaj!#REF!</f>
        <v>#REF!</v>
      </c>
      <c r="K385" s="64" t="e">
        <f>+Puantaj!#REF!</f>
        <v>#REF!</v>
      </c>
      <c r="L385" s="64" t="e">
        <f>+Puantaj!#REF!</f>
        <v>#REF!</v>
      </c>
      <c r="M385" s="68" t="e">
        <f>+BORDRO!#REF!</f>
        <v>#REF!</v>
      </c>
      <c r="N385" s="64"/>
      <c r="O385" s="79" t="e">
        <f>+BORDRO!#REF!</f>
        <v>#REF!</v>
      </c>
      <c r="P385" s="79">
        <v>0</v>
      </c>
      <c r="Q385" s="69"/>
      <c r="R385" s="69"/>
      <c r="S385" s="70"/>
      <c r="T385" s="70"/>
      <c r="U385" s="71"/>
      <c r="V385" s="72" t="e">
        <f t="shared" si="5"/>
        <v>#REF!</v>
      </c>
      <c r="W385" s="73">
        <v>6</v>
      </c>
      <c r="X385" s="81" t="s">
        <v>99</v>
      </c>
      <c r="Y385" s="65">
        <v>2</v>
      </c>
      <c r="Z385" s="64" t="s">
        <v>51</v>
      </c>
      <c r="AA385" s="74" t="s">
        <v>781</v>
      </c>
      <c r="AB385" s="64">
        <v>2025</v>
      </c>
      <c r="AC385" s="64" t="s">
        <v>106</v>
      </c>
      <c r="AD385" s="80" t="e">
        <f>+BORDRO!#REF!</f>
        <v>#REF!</v>
      </c>
      <c r="AE385" s="75"/>
      <c r="AF385" s="75" t="e">
        <f>+BORDRO!#REF!</f>
        <v>#REF!</v>
      </c>
      <c r="AG385" s="75" t="e">
        <f>+BORDRO!#REF!</f>
        <v>#REF!</v>
      </c>
      <c r="AH385" s="80" t="e">
        <f>+BORDRO!#REF!</f>
        <v>#REF!</v>
      </c>
      <c r="AI385" s="75" t="e">
        <f>+BORDRO!#REF!</f>
        <v>#REF!</v>
      </c>
      <c r="AJ385" s="76" t="e">
        <f>+BORDRO!#REF!</f>
        <v>#REF!</v>
      </c>
    </row>
    <row r="386" spans="1:36" ht="13.8" x14ac:dyDescent="0.25">
      <c r="A386" s="64" t="s">
        <v>51</v>
      </c>
      <c r="B386" s="120">
        <v>46</v>
      </c>
      <c r="C386" s="64" t="s">
        <v>52</v>
      </c>
      <c r="D386" s="64" t="s">
        <v>53</v>
      </c>
      <c r="E386" s="64" t="s">
        <v>53</v>
      </c>
      <c r="F386" s="65">
        <v>1494768</v>
      </c>
      <c r="G386" s="66" t="s">
        <v>105</v>
      </c>
      <c r="H386" s="64" t="s">
        <v>54</v>
      </c>
      <c r="I386" s="78"/>
      <c r="J386" s="67" t="e">
        <f>+Puantaj!#REF!</f>
        <v>#REF!</v>
      </c>
      <c r="K386" s="64" t="e">
        <f>+Puantaj!#REF!</f>
        <v>#REF!</v>
      </c>
      <c r="L386" s="64" t="e">
        <f>+Puantaj!#REF!</f>
        <v>#REF!</v>
      </c>
      <c r="M386" s="68" t="e">
        <f>+BORDRO!#REF!</f>
        <v>#REF!</v>
      </c>
      <c r="N386" s="64"/>
      <c r="O386" s="79" t="e">
        <f>+BORDRO!#REF!</f>
        <v>#REF!</v>
      </c>
      <c r="P386" s="79">
        <v>0</v>
      </c>
      <c r="Q386" s="69"/>
      <c r="R386" s="69"/>
      <c r="S386" s="70"/>
      <c r="T386" s="70"/>
      <c r="U386" s="71"/>
      <c r="V386" s="72" t="e">
        <f t="shared" si="5"/>
        <v>#REF!</v>
      </c>
      <c r="W386" s="73">
        <v>6</v>
      </c>
      <c r="X386" s="81" t="s">
        <v>99</v>
      </c>
      <c r="Y386" s="65">
        <v>2</v>
      </c>
      <c r="Z386" s="64" t="s">
        <v>51</v>
      </c>
      <c r="AA386" s="74" t="s">
        <v>781</v>
      </c>
      <c r="AB386" s="64">
        <v>2025</v>
      </c>
      <c r="AC386" s="64" t="s">
        <v>106</v>
      </c>
      <c r="AD386" s="80" t="e">
        <f>+BORDRO!#REF!</f>
        <v>#REF!</v>
      </c>
      <c r="AE386" s="75"/>
      <c r="AF386" s="75" t="e">
        <f>+BORDRO!#REF!</f>
        <v>#REF!</v>
      </c>
      <c r="AG386" s="75" t="e">
        <f>+BORDRO!#REF!</f>
        <v>#REF!</v>
      </c>
      <c r="AH386" s="80" t="e">
        <f>+BORDRO!#REF!</f>
        <v>#REF!</v>
      </c>
      <c r="AI386" s="75" t="e">
        <f>+BORDRO!#REF!</f>
        <v>#REF!</v>
      </c>
      <c r="AJ386" s="76" t="e">
        <f>+BORDRO!#REF!</f>
        <v>#REF!</v>
      </c>
    </row>
    <row r="387" spans="1:36" ht="13.8" x14ac:dyDescent="0.25">
      <c r="A387" s="64" t="s">
        <v>51</v>
      </c>
      <c r="B387" s="119">
        <v>46</v>
      </c>
      <c r="C387" s="64" t="s">
        <v>52</v>
      </c>
      <c r="D387" s="64" t="s">
        <v>53</v>
      </c>
      <c r="E387" s="64" t="s">
        <v>53</v>
      </c>
      <c r="F387" s="65">
        <v>1494768</v>
      </c>
      <c r="G387" s="66" t="s">
        <v>105</v>
      </c>
      <c r="H387" s="64" t="s">
        <v>54</v>
      </c>
      <c r="I387" s="78"/>
      <c r="J387" s="67" t="e">
        <f>+Puantaj!#REF!</f>
        <v>#REF!</v>
      </c>
      <c r="K387" s="64" t="e">
        <f>+Puantaj!#REF!</f>
        <v>#REF!</v>
      </c>
      <c r="L387" s="64" t="e">
        <f>+Puantaj!#REF!</f>
        <v>#REF!</v>
      </c>
      <c r="M387" s="68" t="e">
        <f>+BORDRO!#REF!</f>
        <v>#REF!</v>
      </c>
      <c r="N387" s="64"/>
      <c r="O387" s="79" t="e">
        <f>+BORDRO!#REF!</f>
        <v>#REF!</v>
      </c>
      <c r="P387" s="79">
        <v>0</v>
      </c>
      <c r="Q387" s="69"/>
      <c r="R387" s="69"/>
      <c r="S387" s="70"/>
      <c r="T387" s="70"/>
      <c r="U387" s="71"/>
      <c r="V387" s="72" t="e">
        <f t="shared" ref="V387:V420" si="6">31-M387-Q387</f>
        <v>#REF!</v>
      </c>
      <c r="W387" s="73">
        <v>6</v>
      </c>
      <c r="X387" s="81" t="s">
        <v>99</v>
      </c>
      <c r="Y387" s="65">
        <v>2</v>
      </c>
      <c r="Z387" s="64" t="s">
        <v>51</v>
      </c>
      <c r="AA387" s="74" t="s">
        <v>781</v>
      </c>
      <c r="AB387" s="64">
        <v>2025</v>
      </c>
      <c r="AC387" s="64" t="s">
        <v>106</v>
      </c>
      <c r="AD387" s="80" t="e">
        <f>+BORDRO!#REF!</f>
        <v>#REF!</v>
      </c>
      <c r="AE387" s="75"/>
      <c r="AF387" s="75" t="e">
        <f>+BORDRO!#REF!</f>
        <v>#REF!</v>
      </c>
      <c r="AG387" s="75" t="e">
        <f>+BORDRO!#REF!</f>
        <v>#REF!</v>
      </c>
      <c r="AH387" s="80" t="e">
        <f>+BORDRO!#REF!</f>
        <v>#REF!</v>
      </c>
      <c r="AI387" s="75" t="e">
        <f>+BORDRO!#REF!</f>
        <v>#REF!</v>
      </c>
      <c r="AJ387" s="76" t="e">
        <f>+BORDRO!#REF!</f>
        <v>#REF!</v>
      </c>
    </row>
    <row r="388" spans="1:36" ht="13.8" x14ac:dyDescent="0.25">
      <c r="A388" s="64" t="s">
        <v>51</v>
      </c>
      <c r="B388" s="120">
        <v>46</v>
      </c>
      <c r="C388" s="64" t="s">
        <v>52</v>
      </c>
      <c r="D388" s="64" t="s">
        <v>53</v>
      </c>
      <c r="E388" s="64" t="s">
        <v>53</v>
      </c>
      <c r="F388" s="65">
        <v>1494768</v>
      </c>
      <c r="G388" s="66" t="s">
        <v>105</v>
      </c>
      <c r="H388" s="64" t="s">
        <v>54</v>
      </c>
      <c r="I388" s="78"/>
      <c r="J388" s="67" t="e">
        <f>+Puantaj!#REF!</f>
        <v>#REF!</v>
      </c>
      <c r="K388" s="64" t="e">
        <f>+Puantaj!#REF!</f>
        <v>#REF!</v>
      </c>
      <c r="L388" s="64" t="e">
        <f>+Puantaj!#REF!</f>
        <v>#REF!</v>
      </c>
      <c r="M388" s="68" t="e">
        <f>+BORDRO!#REF!</f>
        <v>#REF!</v>
      </c>
      <c r="N388" s="64"/>
      <c r="O388" s="79" t="e">
        <f>+BORDRO!#REF!</f>
        <v>#REF!</v>
      </c>
      <c r="P388" s="79">
        <v>0</v>
      </c>
      <c r="Q388" s="69"/>
      <c r="R388" s="69"/>
      <c r="S388" s="70"/>
      <c r="T388" s="70"/>
      <c r="U388" s="71"/>
      <c r="V388" s="72" t="e">
        <f t="shared" si="6"/>
        <v>#REF!</v>
      </c>
      <c r="W388" s="73">
        <v>6</v>
      </c>
      <c r="X388" s="81" t="s">
        <v>99</v>
      </c>
      <c r="Y388" s="65">
        <v>2</v>
      </c>
      <c r="Z388" s="64" t="s">
        <v>51</v>
      </c>
      <c r="AA388" s="74" t="s">
        <v>781</v>
      </c>
      <c r="AB388" s="64">
        <v>2025</v>
      </c>
      <c r="AC388" s="64" t="s">
        <v>106</v>
      </c>
      <c r="AD388" s="80" t="e">
        <f>+BORDRO!#REF!</f>
        <v>#REF!</v>
      </c>
      <c r="AE388" s="75"/>
      <c r="AF388" s="75" t="e">
        <f>+BORDRO!#REF!</f>
        <v>#REF!</v>
      </c>
      <c r="AG388" s="75" t="e">
        <f>+BORDRO!#REF!</f>
        <v>#REF!</v>
      </c>
      <c r="AH388" s="80" t="e">
        <f>+BORDRO!#REF!</f>
        <v>#REF!</v>
      </c>
      <c r="AI388" s="75" t="e">
        <f>+BORDRO!#REF!</f>
        <v>#REF!</v>
      </c>
      <c r="AJ388" s="76" t="e">
        <f>+BORDRO!#REF!</f>
        <v>#REF!</v>
      </c>
    </row>
    <row r="389" spans="1:36" ht="13.8" x14ac:dyDescent="0.25">
      <c r="A389" s="64" t="s">
        <v>51</v>
      </c>
      <c r="B389" s="119">
        <v>46</v>
      </c>
      <c r="C389" s="64" t="s">
        <v>52</v>
      </c>
      <c r="D389" s="64" t="s">
        <v>53</v>
      </c>
      <c r="E389" s="64" t="s">
        <v>53</v>
      </c>
      <c r="F389" s="65">
        <v>1494768</v>
      </c>
      <c r="G389" s="66" t="s">
        <v>105</v>
      </c>
      <c r="H389" s="64" t="s">
        <v>54</v>
      </c>
      <c r="I389" s="78"/>
      <c r="J389" s="67" t="e">
        <f>+Puantaj!#REF!</f>
        <v>#REF!</v>
      </c>
      <c r="K389" s="64" t="e">
        <f>+Puantaj!#REF!</f>
        <v>#REF!</v>
      </c>
      <c r="L389" s="64" t="e">
        <f>+Puantaj!#REF!</f>
        <v>#REF!</v>
      </c>
      <c r="M389" s="68" t="e">
        <f>+BORDRO!#REF!</f>
        <v>#REF!</v>
      </c>
      <c r="N389" s="64"/>
      <c r="O389" s="79" t="e">
        <f>+BORDRO!#REF!</f>
        <v>#REF!</v>
      </c>
      <c r="P389" s="79">
        <v>0</v>
      </c>
      <c r="Q389" s="69"/>
      <c r="R389" s="69"/>
      <c r="S389" s="70"/>
      <c r="T389" s="70"/>
      <c r="U389" s="71"/>
      <c r="V389" s="72" t="e">
        <f t="shared" si="6"/>
        <v>#REF!</v>
      </c>
      <c r="W389" s="73">
        <v>6</v>
      </c>
      <c r="X389" s="81" t="s">
        <v>99</v>
      </c>
      <c r="Y389" s="65">
        <v>2</v>
      </c>
      <c r="Z389" s="64" t="s">
        <v>51</v>
      </c>
      <c r="AA389" s="74" t="s">
        <v>781</v>
      </c>
      <c r="AB389" s="64">
        <v>2025</v>
      </c>
      <c r="AC389" s="64" t="s">
        <v>106</v>
      </c>
      <c r="AD389" s="80" t="e">
        <f>+BORDRO!#REF!</f>
        <v>#REF!</v>
      </c>
      <c r="AE389" s="75"/>
      <c r="AF389" s="75" t="e">
        <f>+BORDRO!#REF!</f>
        <v>#REF!</v>
      </c>
      <c r="AG389" s="75" t="e">
        <f>+BORDRO!#REF!</f>
        <v>#REF!</v>
      </c>
      <c r="AH389" s="80" t="e">
        <f>+BORDRO!#REF!</f>
        <v>#REF!</v>
      </c>
      <c r="AI389" s="75" t="e">
        <f>+BORDRO!#REF!</f>
        <v>#REF!</v>
      </c>
      <c r="AJ389" s="76" t="e">
        <f>+BORDRO!#REF!</f>
        <v>#REF!</v>
      </c>
    </row>
    <row r="390" spans="1:36" ht="13.8" x14ac:dyDescent="0.25">
      <c r="A390" s="64" t="s">
        <v>51</v>
      </c>
      <c r="B390" s="120">
        <v>46</v>
      </c>
      <c r="C390" s="64" t="s">
        <v>52</v>
      </c>
      <c r="D390" s="64" t="s">
        <v>53</v>
      </c>
      <c r="E390" s="64" t="s">
        <v>53</v>
      </c>
      <c r="F390" s="65">
        <v>1494768</v>
      </c>
      <c r="G390" s="66" t="s">
        <v>105</v>
      </c>
      <c r="H390" s="64" t="s">
        <v>54</v>
      </c>
      <c r="I390" s="78"/>
      <c r="J390" s="67" t="e">
        <f>+Puantaj!#REF!</f>
        <v>#REF!</v>
      </c>
      <c r="K390" s="64" t="e">
        <f>+Puantaj!#REF!</f>
        <v>#REF!</v>
      </c>
      <c r="L390" s="64" t="e">
        <f>+Puantaj!#REF!</f>
        <v>#REF!</v>
      </c>
      <c r="M390" s="68" t="e">
        <f>+BORDRO!#REF!</f>
        <v>#REF!</v>
      </c>
      <c r="N390" s="64"/>
      <c r="O390" s="79" t="e">
        <f>+BORDRO!#REF!</f>
        <v>#REF!</v>
      </c>
      <c r="P390" s="79">
        <v>0</v>
      </c>
      <c r="Q390" s="69"/>
      <c r="R390" s="69"/>
      <c r="S390" s="70"/>
      <c r="T390" s="70"/>
      <c r="U390" s="71"/>
      <c r="V390" s="72" t="e">
        <f t="shared" si="6"/>
        <v>#REF!</v>
      </c>
      <c r="W390" s="73">
        <v>6</v>
      </c>
      <c r="X390" s="81" t="s">
        <v>99</v>
      </c>
      <c r="Y390" s="65">
        <v>2</v>
      </c>
      <c r="Z390" s="64" t="s">
        <v>51</v>
      </c>
      <c r="AA390" s="74" t="s">
        <v>781</v>
      </c>
      <c r="AB390" s="64">
        <v>2025</v>
      </c>
      <c r="AC390" s="64" t="s">
        <v>106</v>
      </c>
      <c r="AD390" s="80" t="e">
        <f>+BORDRO!#REF!</f>
        <v>#REF!</v>
      </c>
      <c r="AE390" s="75"/>
      <c r="AF390" s="75" t="e">
        <f>+BORDRO!#REF!</f>
        <v>#REF!</v>
      </c>
      <c r="AG390" s="75" t="e">
        <f>+BORDRO!#REF!</f>
        <v>#REF!</v>
      </c>
      <c r="AH390" s="80" t="e">
        <f>+BORDRO!#REF!</f>
        <v>#REF!</v>
      </c>
      <c r="AI390" s="75" t="e">
        <f>+BORDRO!#REF!</f>
        <v>#REF!</v>
      </c>
      <c r="AJ390" s="76" t="e">
        <f>+BORDRO!#REF!</f>
        <v>#REF!</v>
      </c>
    </row>
    <row r="391" spans="1:36" ht="13.8" x14ac:dyDescent="0.25">
      <c r="A391" s="64" t="s">
        <v>51</v>
      </c>
      <c r="B391" s="119">
        <v>46</v>
      </c>
      <c r="C391" s="64" t="s">
        <v>52</v>
      </c>
      <c r="D391" s="64" t="s">
        <v>53</v>
      </c>
      <c r="E391" s="64" t="s">
        <v>53</v>
      </c>
      <c r="F391" s="65">
        <v>1494768</v>
      </c>
      <c r="G391" s="66" t="s">
        <v>105</v>
      </c>
      <c r="H391" s="64" t="s">
        <v>54</v>
      </c>
      <c r="I391" s="78"/>
      <c r="J391" s="67" t="e">
        <f>+Puantaj!#REF!</f>
        <v>#REF!</v>
      </c>
      <c r="K391" s="64" t="e">
        <f>+Puantaj!#REF!</f>
        <v>#REF!</v>
      </c>
      <c r="L391" s="64" t="e">
        <f>+Puantaj!#REF!</f>
        <v>#REF!</v>
      </c>
      <c r="M391" s="68" t="e">
        <f>+BORDRO!#REF!</f>
        <v>#REF!</v>
      </c>
      <c r="N391" s="64"/>
      <c r="O391" s="79" t="e">
        <f>+BORDRO!#REF!</f>
        <v>#REF!</v>
      </c>
      <c r="P391" s="79">
        <v>0</v>
      </c>
      <c r="Q391" s="69"/>
      <c r="R391" s="69"/>
      <c r="S391" s="70"/>
      <c r="T391" s="70"/>
      <c r="U391" s="71"/>
      <c r="V391" s="72" t="e">
        <f t="shared" si="6"/>
        <v>#REF!</v>
      </c>
      <c r="W391" s="73">
        <v>6</v>
      </c>
      <c r="X391" s="81" t="s">
        <v>99</v>
      </c>
      <c r="Y391" s="65">
        <v>2</v>
      </c>
      <c r="Z391" s="64" t="s">
        <v>51</v>
      </c>
      <c r="AA391" s="74" t="s">
        <v>781</v>
      </c>
      <c r="AB391" s="64">
        <v>2025</v>
      </c>
      <c r="AC391" s="64" t="s">
        <v>106</v>
      </c>
      <c r="AD391" s="80" t="e">
        <f>+BORDRO!#REF!</f>
        <v>#REF!</v>
      </c>
      <c r="AE391" s="75"/>
      <c r="AF391" s="75" t="e">
        <f>+BORDRO!#REF!</f>
        <v>#REF!</v>
      </c>
      <c r="AG391" s="75" t="e">
        <f>+BORDRO!#REF!</f>
        <v>#REF!</v>
      </c>
      <c r="AH391" s="80" t="e">
        <f>+BORDRO!#REF!</f>
        <v>#REF!</v>
      </c>
      <c r="AI391" s="75" t="e">
        <f>+BORDRO!#REF!</f>
        <v>#REF!</v>
      </c>
      <c r="AJ391" s="76" t="e">
        <f>+BORDRO!#REF!</f>
        <v>#REF!</v>
      </c>
    </row>
    <row r="392" spans="1:36" ht="13.8" x14ac:dyDescent="0.25">
      <c r="A392" s="64" t="s">
        <v>51</v>
      </c>
      <c r="B392" s="120">
        <v>46</v>
      </c>
      <c r="C392" s="64" t="s">
        <v>52</v>
      </c>
      <c r="D392" s="64" t="s">
        <v>53</v>
      </c>
      <c r="E392" s="64" t="s">
        <v>53</v>
      </c>
      <c r="F392" s="65">
        <v>1494768</v>
      </c>
      <c r="G392" s="66" t="s">
        <v>105</v>
      </c>
      <c r="H392" s="64" t="s">
        <v>54</v>
      </c>
      <c r="I392" s="78"/>
      <c r="J392" s="67" t="e">
        <f>+Puantaj!#REF!</f>
        <v>#REF!</v>
      </c>
      <c r="K392" s="64" t="e">
        <f>+Puantaj!#REF!</f>
        <v>#REF!</v>
      </c>
      <c r="L392" s="64" t="e">
        <f>+Puantaj!#REF!</f>
        <v>#REF!</v>
      </c>
      <c r="M392" s="68" t="e">
        <f>+BORDRO!#REF!</f>
        <v>#REF!</v>
      </c>
      <c r="N392" s="64"/>
      <c r="O392" s="79" t="e">
        <f>+BORDRO!#REF!</f>
        <v>#REF!</v>
      </c>
      <c r="P392" s="79">
        <v>0</v>
      </c>
      <c r="Q392" s="69"/>
      <c r="R392" s="69"/>
      <c r="S392" s="70"/>
      <c r="T392" s="70"/>
      <c r="U392" s="71"/>
      <c r="V392" s="72" t="e">
        <f t="shared" si="6"/>
        <v>#REF!</v>
      </c>
      <c r="W392" s="73">
        <v>6</v>
      </c>
      <c r="X392" s="81" t="s">
        <v>99</v>
      </c>
      <c r="Y392" s="65">
        <v>2</v>
      </c>
      <c r="Z392" s="64" t="s">
        <v>51</v>
      </c>
      <c r="AA392" s="74" t="s">
        <v>781</v>
      </c>
      <c r="AB392" s="64">
        <v>2025</v>
      </c>
      <c r="AC392" s="64" t="s">
        <v>106</v>
      </c>
      <c r="AD392" s="80" t="e">
        <f>+BORDRO!#REF!</f>
        <v>#REF!</v>
      </c>
      <c r="AE392" s="75"/>
      <c r="AF392" s="75" t="e">
        <f>+BORDRO!#REF!</f>
        <v>#REF!</v>
      </c>
      <c r="AG392" s="75" t="e">
        <f>+BORDRO!#REF!</f>
        <v>#REF!</v>
      </c>
      <c r="AH392" s="80" t="e">
        <f>+BORDRO!#REF!</f>
        <v>#REF!</v>
      </c>
      <c r="AI392" s="75" t="e">
        <f>+BORDRO!#REF!</f>
        <v>#REF!</v>
      </c>
      <c r="AJ392" s="76" t="e">
        <f>+BORDRO!#REF!</f>
        <v>#REF!</v>
      </c>
    </row>
    <row r="393" spans="1:36" ht="13.8" x14ac:dyDescent="0.25">
      <c r="A393" s="64" t="s">
        <v>51</v>
      </c>
      <c r="B393" s="119">
        <v>46</v>
      </c>
      <c r="C393" s="64" t="s">
        <v>52</v>
      </c>
      <c r="D393" s="64" t="s">
        <v>53</v>
      </c>
      <c r="E393" s="64" t="s">
        <v>53</v>
      </c>
      <c r="F393" s="65">
        <v>1494768</v>
      </c>
      <c r="G393" s="66" t="s">
        <v>105</v>
      </c>
      <c r="H393" s="64" t="s">
        <v>54</v>
      </c>
      <c r="I393" s="78"/>
      <c r="J393" s="67" t="e">
        <f>+Puantaj!#REF!</f>
        <v>#REF!</v>
      </c>
      <c r="K393" s="64" t="e">
        <f>+Puantaj!#REF!</f>
        <v>#REF!</v>
      </c>
      <c r="L393" s="64" t="e">
        <f>+Puantaj!#REF!</f>
        <v>#REF!</v>
      </c>
      <c r="M393" s="68" t="e">
        <f>+BORDRO!#REF!</f>
        <v>#REF!</v>
      </c>
      <c r="N393" s="64"/>
      <c r="O393" s="79" t="e">
        <f>+BORDRO!#REF!</f>
        <v>#REF!</v>
      </c>
      <c r="P393" s="79">
        <v>0</v>
      </c>
      <c r="Q393" s="69"/>
      <c r="R393" s="69"/>
      <c r="S393" s="70"/>
      <c r="T393" s="70"/>
      <c r="U393" s="71"/>
      <c r="V393" s="72" t="e">
        <f t="shared" si="6"/>
        <v>#REF!</v>
      </c>
      <c r="W393" s="73">
        <v>6</v>
      </c>
      <c r="X393" s="81" t="s">
        <v>99</v>
      </c>
      <c r="Y393" s="65">
        <v>2</v>
      </c>
      <c r="Z393" s="64" t="s">
        <v>51</v>
      </c>
      <c r="AA393" s="74" t="s">
        <v>781</v>
      </c>
      <c r="AB393" s="64">
        <v>2025</v>
      </c>
      <c r="AC393" s="64" t="s">
        <v>106</v>
      </c>
      <c r="AD393" s="80" t="e">
        <f>+BORDRO!#REF!</f>
        <v>#REF!</v>
      </c>
      <c r="AE393" s="75"/>
      <c r="AF393" s="75" t="e">
        <f>+BORDRO!#REF!</f>
        <v>#REF!</v>
      </c>
      <c r="AG393" s="75" t="e">
        <f>+BORDRO!#REF!</f>
        <v>#REF!</v>
      </c>
      <c r="AH393" s="80" t="e">
        <f>+BORDRO!#REF!</f>
        <v>#REF!</v>
      </c>
      <c r="AI393" s="75" t="e">
        <f>+BORDRO!#REF!</f>
        <v>#REF!</v>
      </c>
      <c r="AJ393" s="76" t="e">
        <f>+BORDRO!#REF!</f>
        <v>#REF!</v>
      </c>
    </row>
    <row r="394" spans="1:36" ht="13.8" x14ac:dyDescent="0.25">
      <c r="A394" s="64" t="s">
        <v>51</v>
      </c>
      <c r="B394" s="120">
        <v>46</v>
      </c>
      <c r="C394" s="64" t="s">
        <v>52</v>
      </c>
      <c r="D394" s="64" t="s">
        <v>53</v>
      </c>
      <c r="E394" s="64" t="s">
        <v>53</v>
      </c>
      <c r="F394" s="65">
        <v>1494768</v>
      </c>
      <c r="G394" s="66" t="s">
        <v>105</v>
      </c>
      <c r="H394" s="64" t="s">
        <v>54</v>
      </c>
      <c r="I394" s="78"/>
      <c r="J394" s="67" t="e">
        <f>+Puantaj!#REF!</f>
        <v>#REF!</v>
      </c>
      <c r="K394" s="64" t="e">
        <f>+Puantaj!#REF!</f>
        <v>#REF!</v>
      </c>
      <c r="L394" s="64" t="e">
        <f>+Puantaj!#REF!</f>
        <v>#REF!</v>
      </c>
      <c r="M394" s="68" t="e">
        <f>+BORDRO!#REF!</f>
        <v>#REF!</v>
      </c>
      <c r="N394" s="64"/>
      <c r="O394" s="79" t="e">
        <f>+BORDRO!#REF!</f>
        <v>#REF!</v>
      </c>
      <c r="P394" s="79">
        <v>0</v>
      </c>
      <c r="Q394" s="69"/>
      <c r="R394" s="69"/>
      <c r="S394" s="70"/>
      <c r="T394" s="70"/>
      <c r="U394" s="71"/>
      <c r="V394" s="72" t="e">
        <f t="shared" si="6"/>
        <v>#REF!</v>
      </c>
      <c r="W394" s="73">
        <v>6</v>
      </c>
      <c r="X394" s="81" t="s">
        <v>99</v>
      </c>
      <c r="Y394" s="65">
        <v>2</v>
      </c>
      <c r="Z394" s="64" t="s">
        <v>51</v>
      </c>
      <c r="AA394" s="74" t="s">
        <v>781</v>
      </c>
      <c r="AB394" s="64">
        <v>2025</v>
      </c>
      <c r="AC394" s="64" t="s">
        <v>106</v>
      </c>
      <c r="AD394" s="80" t="e">
        <f>+BORDRO!#REF!</f>
        <v>#REF!</v>
      </c>
      <c r="AE394" s="75"/>
      <c r="AF394" s="75" t="e">
        <f>+BORDRO!#REF!</f>
        <v>#REF!</v>
      </c>
      <c r="AG394" s="75" t="e">
        <f>+BORDRO!#REF!</f>
        <v>#REF!</v>
      </c>
      <c r="AH394" s="80" t="e">
        <f>+BORDRO!#REF!</f>
        <v>#REF!</v>
      </c>
      <c r="AI394" s="75" t="e">
        <f>+BORDRO!#REF!</f>
        <v>#REF!</v>
      </c>
      <c r="AJ394" s="76" t="e">
        <f>+BORDRO!#REF!</f>
        <v>#REF!</v>
      </c>
    </row>
    <row r="395" spans="1:36" ht="13.8" x14ac:dyDescent="0.25">
      <c r="A395" s="64" t="s">
        <v>51</v>
      </c>
      <c r="B395" s="119">
        <v>46</v>
      </c>
      <c r="C395" s="64" t="s">
        <v>52</v>
      </c>
      <c r="D395" s="64" t="s">
        <v>53</v>
      </c>
      <c r="E395" s="64" t="s">
        <v>53</v>
      </c>
      <c r="F395" s="65">
        <v>1494768</v>
      </c>
      <c r="G395" s="66" t="s">
        <v>105</v>
      </c>
      <c r="H395" s="64" t="s">
        <v>54</v>
      </c>
      <c r="I395" s="78"/>
      <c r="J395" s="67" t="e">
        <f>+Puantaj!#REF!</f>
        <v>#REF!</v>
      </c>
      <c r="K395" s="64" t="e">
        <f>+Puantaj!#REF!</f>
        <v>#REF!</v>
      </c>
      <c r="L395" s="64" t="e">
        <f>+Puantaj!#REF!</f>
        <v>#REF!</v>
      </c>
      <c r="M395" s="68" t="e">
        <f>+BORDRO!#REF!</f>
        <v>#REF!</v>
      </c>
      <c r="N395" s="64"/>
      <c r="O395" s="79" t="e">
        <f>+BORDRO!#REF!</f>
        <v>#REF!</v>
      </c>
      <c r="P395" s="79">
        <v>0</v>
      </c>
      <c r="Q395" s="69"/>
      <c r="R395" s="69"/>
      <c r="S395" s="70"/>
      <c r="T395" s="70"/>
      <c r="U395" s="71"/>
      <c r="V395" s="72" t="e">
        <f t="shared" si="6"/>
        <v>#REF!</v>
      </c>
      <c r="W395" s="73">
        <v>6</v>
      </c>
      <c r="X395" s="81" t="s">
        <v>99</v>
      </c>
      <c r="Y395" s="65">
        <v>2</v>
      </c>
      <c r="Z395" s="64" t="s">
        <v>51</v>
      </c>
      <c r="AA395" s="74" t="s">
        <v>781</v>
      </c>
      <c r="AB395" s="64">
        <v>2025</v>
      </c>
      <c r="AC395" s="64" t="s">
        <v>106</v>
      </c>
      <c r="AD395" s="80" t="e">
        <f>+BORDRO!#REF!</f>
        <v>#REF!</v>
      </c>
      <c r="AE395" s="75"/>
      <c r="AF395" s="75" t="e">
        <f>+BORDRO!#REF!</f>
        <v>#REF!</v>
      </c>
      <c r="AG395" s="75" t="e">
        <f>+BORDRO!#REF!</f>
        <v>#REF!</v>
      </c>
      <c r="AH395" s="80" t="e">
        <f>+BORDRO!#REF!</f>
        <v>#REF!</v>
      </c>
      <c r="AI395" s="75" t="e">
        <f>+BORDRO!#REF!</f>
        <v>#REF!</v>
      </c>
      <c r="AJ395" s="76" t="e">
        <f>+BORDRO!#REF!</f>
        <v>#REF!</v>
      </c>
    </row>
    <row r="396" spans="1:36" ht="13.8" x14ac:dyDescent="0.25">
      <c r="A396" s="64" t="s">
        <v>51</v>
      </c>
      <c r="B396" s="120">
        <v>46</v>
      </c>
      <c r="C396" s="64" t="s">
        <v>52</v>
      </c>
      <c r="D396" s="64" t="s">
        <v>53</v>
      </c>
      <c r="E396" s="64" t="s">
        <v>53</v>
      </c>
      <c r="F396" s="65">
        <v>1494768</v>
      </c>
      <c r="G396" s="66" t="s">
        <v>105</v>
      </c>
      <c r="H396" s="64" t="s">
        <v>54</v>
      </c>
      <c r="I396" s="78"/>
      <c r="J396" s="67" t="e">
        <f>+Puantaj!#REF!</f>
        <v>#REF!</v>
      </c>
      <c r="K396" s="64" t="e">
        <f>+Puantaj!#REF!</f>
        <v>#REF!</v>
      </c>
      <c r="L396" s="64" t="e">
        <f>+Puantaj!#REF!</f>
        <v>#REF!</v>
      </c>
      <c r="M396" s="68" t="e">
        <f>+BORDRO!#REF!</f>
        <v>#REF!</v>
      </c>
      <c r="N396" s="64"/>
      <c r="O396" s="79" t="e">
        <f>+BORDRO!#REF!</f>
        <v>#REF!</v>
      </c>
      <c r="P396" s="79">
        <v>0</v>
      </c>
      <c r="Q396" s="69"/>
      <c r="R396" s="69"/>
      <c r="S396" s="70"/>
      <c r="T396" s="70"/>
      <c r="U396" s="71"/>
      <c r="V396" s="72" t="e">
        <f t="shared" si="6"/>
        <v>#REF!</v>
      </c>
      <c r="W396" s="73">
        <v>6</v>
      </c>
      <c r="X396" s="81" t="s">
        <v>99</v>
      </c>
      <c r="Y396" s="65">
        <v>2</v>
      </c>
      <c r="Z396" s="64" t="s">
        <v>51</v>
      </c>
      <c r="AA396" s="74" t="s">
        <v>781</v>
      </c>
      <c r="AB396" s="64">
        <v>2025</v>
      </c>
      <c r="AC396" s="64" t="s">
        <v>106</v>
      </c>
      <c r="AD396" s="80" t="e">
        <f>+BORDRO!#REF!</f>
        <v>#REF!</v>
      </c>
      <c r="AE396" s="75"/>
      <c r="AF396" s="75" t="e">
        <f>+BORDRO!#REF!</f>
        <v>#REF!</v>
      </c>
      <c r="AG396" s="75" t="e">
        <f>+BORDRO!#REF!</f>
        <v>#REF!</v>
      </c>
      <c r="AH396" s="80" t="e">
        <f>+BORDRO!#REF!</f>
        <v>#REF!</v>
      </c>
      <c r="AI396" s="75" t="e">
        <f>+BORDRO!#REF!</f>
        <v>#REF!</v>
      </c>
      <c r="AJ396" s="76" t="e">
        <f>+BORDRO!#REF!</f>
        <v>#REF!</v>
      </c>
    </row>
    <row r="397" spans="1:36" ht="13.8" x14ac:dyDescent="0.25">
      <c r="A397" s="64" t="s">
        <v>51</v>
      </c>
      <c r="B397" s="119">
        <v>46</v>
      </c>
      <c r="C397" s="64" t="s">
        <v>52</v>
      </c>
      <c r="D397" s="64" t="s">
        <v>53</v>
      </c>
      <c r="E397" s="64" t="s">
        <v>53</v>
      </c>
      <c r="F397" s="65">
        <v>1494768</v>
      </c>
      <c r="G397" s="66" t="s">
        <v>105</v>
      </c>
      <c r="H397" s="64" t="s">
        <v>54</v>
      </c>
      <c r="I397" s="78"/>
      <c r="J397" s="67" t="e">
        <f>+Puantaj!#REF!</f>
        <v>#REF!</v>
      </c>
      <c r="K397" s="64" t="e">
        <f>+Puantaj!#REF!</f>
        <v>#REF!</v>
      </c>
      <c r="L397" s="64" t="e">
        <f>+Puantaj!#REF!</f>
        <v>#REF!</v>
      </c>
      <c r="M397" s="68" t="e">
        <f>+BORDRO!#REF!</f>
        <v>#REF!</v>
      </c>
      <c r="N397" s="64"/>
      <c r="O397" s="79" t="e">
        <f>+BORDRO!#REF!</f>
        <v>#REF!</v>
      </c>
      <c r="P397" s="79">
        <v>0</v>
      </c>
      <c r="Q397" s="69"/>
      <c r="R397" s="69"/>
      <c r="S397" s="70"/>
      <c r="T397" s="70"/>
      <c r="U397" s="71"/>
      <c r="V397" s="72" t="e">
        <f t="shared" si="6"/>
        <v>#REF!</v>
      </c>
      <c r="W397" s="73">
        <v>6</v>
      </c>
      <c r="X397" s="81" t="s">
        <v>99</v>
      </c>
      <c r="Y397" s="65">
        <v>2</v>
      </c>
      <c r="Z397" s="64" t="s">
        <v>51</v>
      </c>
      <c r="AA397" s="74" t="s">
        <v>781</v>
      </c>
      <c r="AB397" s="64">
        <v>2025</v>
      </c>
      <c r="AC397" s="64" t="s">
        <v>106</v>
      </c>
      <c r="AD397" s="80" t="e">
        <f>+BORDRO!#REF!</f>
        <v>#REF!</v>
      </c>
      <c r="AE397" s="75"/>
      <c r="AF397" s="75" t="e">
        <f>+BORDRO!#REF!</f>
        <v>#REF!</v>
      </c>
      <c r="AG397" s="75" t="e">
        <f>+BORDRO!#REF!</f>
        <v>#REF!</v>
      </c>
      <c r="AH397" s="80" t="e">
        <f>+BORDRO!#REF!</f>
        <v>#REF!</v>
      </c>
      <c r="AI397" s="75" t="e">
        <f>+BORDRO!#REF!</f>
        <v>#REF!</v>
      </c>
      <c r="AJ397" s="76" t="e">
        <f>+BORDRO!#REF!</f>
        <v>#REF!</v>
      </c>
    </row>
    <row r="398" spans="1:36" ht="13.8" x14ac:dyDescent="0.25">
      <c r="A398" s="64" t="s">
        <v>51</v>
      </c>
      <c r="B398" s="120">
        <v>46</v>
      </c>
      <c r="C398" s="64" t="s">
        <v>52</v>
      </c>
      <c r="D398" s="64" t="s">
        <v>53</v>
      </c>
      <c r="E398" s="64" t="s">
        <v>53</v>
      </c>
      <c r="F398" s="65">
        <v>1494768</v>
      </c>
      <c r="G398" s="66" t="s">
        <v>105</v>
      </c>
      <c r="H398" s="64" t="s">
        <v>54</v>
      </c>
      <c r="I398" s="78"/>
      <c r="J398" s="67" t="e">
        <f>+Puantaj!#REF!</f>
        <v>#REF!</v>
      </c>
      <c r="K398" s="64" t="e">
        <f>+Puantaj!#REF!</f>
        <v>#REF!</v>
      </c>
      <c r="L398" s="64" t="e">
        <f>+Puantaj!#REF!</f>
        <v>#REF!</v>
      </c>
      <c r="M398" s="68" t="e">
        <f>+BORDRO!#REF!</f>
        <v>#REF!</v>
      </c>
      <c r="N398" s="64"/>
      <c r="O398" s="79" t="e">
        <f>+BORDRO!#REF!</f>
        <v>#REF!</v>
      </c>
      <c r="P398" s="79">
        <v>0</v>
      </c>
      <c r="Q398" s="69"/>
      <c r="R398" s="69"/>
      <c r="S398" s="70"/>
      <c r="T398" s="70"/>
      <c r="U398" s="71"/>
      <c r="V398" s="72" t="e">
        <f t="shared" si="6"/>
        <v>#REF!</v>
      </c>
      <c r="W398" s="73">
        <v>6</v>
      </c>
      <c r="X398" s="81" t="s">
        <v>99</v>
      </c>
      <c r="Y398" s="65">
        <v>2</v>
      </c>
      <c r="Z398" s="64" t="s">
        <v>51</v>
      </c>
      <c r="AA398" s="74" t="s">
        <v>781</v>
      </c>
      <c r="AB398" s="64">
        <v>2025</v>
      </c>
      <c r="AC398" s="64" t="s">
        <v>106</v>
      </c>
      <c r="AD398" s="80" t="e">
        <f>+BORDRO!#REF!</f>
        <v>#REF!</v>
      </c>
      <c r="AE398" s="75"/>
      <c r="AF398" s="75" t="e">
        <f>+BORDRO!#REF!</f>
        <v>#REF!</v>
      </c>
      <c r="AG398" s="75" t="e">
        <f>+BORDRO!#REF!</f>
        <v>#REF!</v>
      </c>
      <c r="AH398" s="80" t="e">
        <f>+BORDRO!#REF!</f>
        <v>#REF!</v>
      </c>
      <c r="AI398" s="75" t="e">
        <f>+BORDRO!#REF!</f>
        <v>#REF!</v>
      </c>
      <c r="AJ398" s="76" t="e">
        <f>+BORDRO!#REF!</f>
        <v>#REF!</v>
      </c>
    </row>
    <row r="399" spans="1:36" ht="13.8" x14ac:dyDescent="0.25">
      <c r="A399" s="64" t="s">
        <v>51</v>
      </c>
      <c r="B399" s="119">
        <v>46</v>
      </c>
      <c r="C399" s="64" t="s">
        <v>52</v>
      </c>
      <c r="D399" s="64" t="s">
        <v>53</v>
      </c>
      <c r="E399" s="64" t="s">
        <v>53</v>
      </c>
      <c r="F399" s="65">
        <v>1494768</v>
      </c>
      <c r="G399" s="66" t="s">
        <v>105</v>
      </c>
      <c r="H399" s="64" t="s">
        <v>54</v>
      </c>
      <c r="I399" s="78"/>
      <c r="J399" s="67" t="e">
        <f>+Puantaj!#REF!</f>
        <v>#REF!</v>
      </c>
      <c r="K399" s="64" t="e">
        <f>+Puantaj!#REF!</f>
        <v>#REF!</v>
      </c>
      <c r="L399" s="64" t="e">
        <f>+Puantaj!#REF!</f>
        <v>#REF!</v>
      </c>
      <c r="M399" s="68" t="e">
        <f>+BORDRO!#REF!</f>
        <v>#REF!</v>
      </c>
      <c r="N399" s="64"/>
      <c r="O399" s="79" t="e">
        <f>+BORDRO!#REF!</f>
        <v>#REF!</v>
      </c>
      <c r="P399" s="79">
        <v>0</v>
      </c>
      <c r="Q399" s="69"/>
      <c r="R399" s="69"/>
      <c r="S399" s="70"/>
      <c r="T399" s="70"/>
      <c r="U399" s="71"/>
      <c r="V399" s="72" t="e">
        <f t="shared" si="6"/>
        <v>#REF!</v>
      </c>
      <c r="W399" s="73">
        <v>6</v>
      </c>
      <c r="X399" s="81" t="s">
        <v>99</v>
      </c>
      <c r="Y399" s="65">
        <v>2</v>
      </c>
      <c r="Z399" s="64" t="s">
        <v>51</v>
      </c>
      <c r="AA399" s="74" t="s">
        <v>781</v>
      </c>
      <c r="AB399" s="64">
        <v>2025</v>
      </c>
      <c r="AC399" s="64" t="s">
        <v>106</v>
      </c>
      <c r="AD399" s="80" t="e">
        <f>+BORDRO!#REF!</f>
        <v>#REF!</v>
      </c>
      <c r="AE399" s="75"/>
      <c r="AF399" s="75" t="e">
        <f>+BORDRO!#REF!</f>
        <v>#REF!</v>
      </c>
      <c r="AG399" s="75" t="e">
        <f>+BORDRO!#REF!</f>
        <v>#REF!</v>
      </c>
      <c r="AH399" s="80" t="e">
        <f>+BORDRO!#REF!</f>
        <v>#REF!</v>
      </c>
      <c r="AI399" s="75" t="e">
        <f>+BORDRO!#REF!</f>
        <v>#REF!</v>
      </c>
      <c r="AJ399" s="76" t="e">
        <f>+BORDRO!#REF!</f>
        <v>#REF!</v>
      </c>
    </row>
    <row r="400" spans="1:36" ht="13.8" x14ac:dyDescent="0.25">
      <c r="A400" s="64" t="s">
        <v>51</v>
      </c>
      <c r="B400" s="120">
        <v>46</v>
      </c>
      <c r="C400" s="64" t="s">
        <v>52</v>
      </c>
      <c r="D400" s="64" t="s">
        <v>53</v>
      </c>
      <c r="E400" s="64" t="s">
        <v>53</v>
      </c>
      <c r="F400" s="65">
        <v>1494768</v>
      </c>
      <c r="G400" s="66" t="s">
        <v>105</v>
      </c>
      <c r="H400" s="64" t="s">
        <v>54</v>
      </c>
      <c r="I400" s="78"/>
      <c r="J400" s="67" t="e">
        <f>+Puantaj!#REF!</f>
        <v>#REF!</v>
      </c>
      <c r="K400" s="64" t="e">
        <f>+Puantaj!#REF!</f>
        <v>#REF!</v>
      </c>
      <c r="L400" s="64" t="e">
        <f>+Puantaj!#REF!</f>
        <v>#REF!</v>
      </c>
      <c r="M400" s="68" t="e">
        <f>+BORDRO!#REF!</f>
        <v>#REF!</v>
      </c>
      <c r="N400" s="64"/>
      <c r="O400" s="79" t="e">
        <f>+BORDRO!#REF!</f>
        <v>#REF!</v>
      </c>
      <c r="P400" s="79">
        <v>0</v>
      </c>
      <c r="Q400" s="69"/>
      <c r="R400" s="69"/>
      <c r="S400" s="70"/>
      <c r="T400" s="70"/>
      <c r="U400" s="71"/>
      <c r="V400" s="72" t="e">
        <f t="shared" si="6"/>
        <v>#REF!</v>
      </c>
      <c r="W400" s="73">
        <v>6</v>
      </c>
      <c r="X400" s="81" t="s">
        <v>99</v>
      </c>
      <c r="Y400" s="65">
        <v>2</v>
      </c>
      <c r="Z400" s="64" t="s">
        <v>51</v>
      </c>
      <c r="AA400" s="74" t="s">
        <v>781</v>
      </c>
      <c r="AB400" s="64">
        <v>2025</v>
      </c>
      <c r="AC400" s="64" t="s">
        <v>106</v>
      </c>
      <c r="AD400" s="80" t="e">
        <f>+BORDRO!#REF!</f>
        <v>#REF!</v>
      </c>
      <c r="AE400" s="75"/>
      <c r="AF400" s="75" t="e">
        <f>+BORDRO!#REF!</f>
        <v>#REF!</v>
      </c>
      <c r="AG400" s="75" t="e">
        <f>+BORDRO!#REF!</f>
        <v>#REF!</v>
      </c>
      <c r="AH400" s="80" t="e">
        <f>+BORDRO!#REF!</f>
        <v>#REF!</v>
      </c>
      <c r="AI400" s="75" t="e">
        <f>+BORDRO!#REF!</f>
        <v>#REF!</v>
      </c>
      <c r="AJ400" s="76">
        <f>+BORDRO!P78</f>
        <v>0</v>
      </c>
    </row>
    <row r="401" spans="1:36" ht="13.8" x14ac:dyDescent="0.25">
      <c r="A401" s="64" t="s">
        <v>51</v>
      </c>
      <c r="B401" s="119">
        <v>46</v>
      </c>
      <c r="C401" s="64" t="s">
        <v>52</v>
      </c>
      <c r="D401" s="64" t="s">
        <v>53</v>
      </c>
      <c r="E401" s="64" t="s">
        <v>53</v>
      </c>
      <c r="F401" s="65">
        <v>1494768</v>
      </c>
      <c r="G401" s="66" t="s">
        <v>105</v>
      </c>
      <c r="H401" s="64" t="s">
        <v>54</v>
      </c>
      <c r="I401" s="78"/>
      <c r="J401" s="67" t="e">
        <f>+Puantaj!#REF!</f>
        <v>#REF!</v>
      </c>
      <c r="K401" s="64" t="e">
        <f>+Puantaj!#REF!</f>
        <v>#REF!</v>
      </c>
      <c r="L401" s="64" t="e">
        <f>+Puantaj!#REF!</f>
        <v>#REF!</v>
      </c>
      <c r="M401" s="68" t="e">
        <f>+BORDRO!#REF!</f>
        <v>#REF!</v>
      </c>
      <c r="N401" s="64"/>
      <c r="O401" s="79" t="e">
        <f>+BORDRO!#REF!</f>
        <v>#REF!</v>
      </c>
      <c r="P401" s="79">
        <v>0</v>
      </c>
      <c r="Q401" s="69"/>
      <c r="R401" s="69"/>
      <c r="S401" s="70"/>
      <c r="T401" s="70"/>
      <c r="U401" s="71"/>
      <c r="V401" s="72" t="e">
        <f t="shared" si="6"/>
        <v>#REF!</v>
      </c>
      <c r="W401" s="73">
        <v>6</v>
      </c>
      <c r="X401" s="81" t="s">
        <v>99</v>
      </c>
      <c r="Y401" s="65">
        <v>2</v>
      </c>
      <c r="Z401" s="64" t="s">
        <v>51</v>
      </c>
      <c r="AA401" s="74" t="s">
        <v>781</v>
      </c>
      <c r="AB401" s="64">
        <v>2025</v>
      </c>
      <c r="AC401" s="64" t="s">
        <v>106</v>
      </c>
      <c r="AD401" s="80" t="e">
        <f>+BORDRO!#REF!</f>
        <v>#REF!</v>
      </c>
      <c r="AE401" s="75"/>
      <c r="AF401" s="75" t="e">
        <f>+BORDRO!#REF!</f>
        <v>#REF!</v>
      </c>
      <c r="AG401" s="75" t="e">
        <f>+BORDRO!#REF!</f>
        <v>#REF!</v>
      </c>
      <c r="AH401" s="80" t="e">
        <f>+BORDRO!#REF!</f>
        <v>#REF!</v>
      </c>
      <c r="AI401" s="75" t="e">
        <f>+BORDRO!#REF!</f>
        <v>#REF!</v>
      </c>
      <c r="AJ401" s="76">
        <f>+BORDRO!P79</f>
        <v>0</v>
      </c>
    </row>
    <row r="402" spans="1:36" ht="13.8" x14ac:dyDescent="0.25">
      <c r="A402" s="64" t="s">
        <v>51</v>
      </c>
      <c r="B402" s="119">
        <v>46</v>
      </c>
      <c r="C402" s="64" t="s">
        <v>52</v>
      </c>
      <c r="D402" s="64" t="s">
        <v>53</v>
      </c>
      <c r="E402" s="64" t="s">
        <v>53</v>
      </c>
      <c r="F402" s="65">
        <v>1494768</v>
      </c>
      <c r="G402" s="66" t="s">
        <v>105</v>
      </c>
      <c r="H402" s="64" t="s">
        <v>54</v>
      </c>
      <c r="I402" s="78"/>
      <c r="J402" s="67" t="e">
        <f>+Puantaj!#REF!</f>
        <v>#REF!</v>
      </c>
      <c r="K402" s="64" t="e">
        <f>+Puantaj!#REF!</f>
        <v>#REF!</v>
      </c>
      <c r="L402" s="64" t="e">
        <f>+Puantaj!#REF!</f>
        <v>#REF!</v>
      </c>
      <c r="M402" s="68" t="e">
        <f>+BORDRO!#REF!</f>
        <v>#REF!</v>
      </c>
      <c r="N402" s="64"/>
      <c r="O402" s="79" t="e">
        <f>+BORDRO!#REF!</f>
        <v>#REF!</v>
      </c>
      <c r="P402" s="79">
        <v>0</v>
      </c>
      <c r="Q402" s="69"/>
      <c r="R402" s="69"/>
      <c r="S402" s="70"/>
      <c r="T402" s="70"/>
      <c r="U402" s="71"/>
      <c r="V402" s="72" t="e">
        <f t="shared" si="6"/>
        <v>#REF!</v>
      </c>
      <c r="W402" s="73">
        <v>6</v>
      </c>
      <c r="X402" s="81" t="s">
        <v>99</v>
      </c>
      <c r="Y402" s="65">
        <v>2</v>
      </c>
      <c r="Z402" s="64" t="s">
        <v>51</v>
      </c>
      <c r="AA402" s="74" t="s">
        <v>781</v>
      </c>
      <c r="AB402" s="64">
        <v>2025</v>
      </c>
      <c r="AC402" s="64" t="s">
        <v>106</v>
      </c>
      <c r="AD402" s="80" t="e">
        <f>+BORDRO!#REF!</f>
        <v>#REF!</v>
      </c>
      <c r="AE402" s="75"/>
      <c r="AF402" s="75" t="e">
        <f>+BORDRO!#REF!</f>
        <v>#REF!</v>
      </c>
      <c r="AG402" s="75" t="e">
        <f>+BORDRO!#REF!</f>
        <v>#REF!</v>
      </c>
      <c r="AH402" s="80" t="e">
        <f>+BORDRO!#REF!</f>
        <v>#REF!</v>
      </c>
      <c r="AI402" s="75" t="e">
        <f>+BORDRO!#REF!</f>
        <v>#REF!</v>
      </c>
      <c r="AJ402" s="76">
        <f>+BORDRO!P80</f>
        <v>0</v>
      </c>
    </row>
    <row r="403" spans="1:36" ht="13.8" x14ac:dyDescent="0.25">
      <c r="A403" s="64" t="s">
        <v>51</v>
      </c>
      <c r="B403" s="119">
        <v>46</v>
      </c>
      <c r="C403" s="64" t="s">
        <v>52</v>
      </c>
      <c r="D403" s="64" t="s">
        <v>53</v>
      </c>
      <c r="E403" s="64" t="s">
        <v>53</v>
      </c>
      <c r="F403" s="65">
        <v>1494768</v>
      </c>
      <c r="G403" s="66" t="s">
        <v>105</v>
      </c>
      <c r="H403" s="64" t="s">
        <v>54</v>
      </c>
      <c r="I403" s="78"/>
      <c r="J403" s="67" t="e">
        <f>+Puantaj!#REF!</f>
        <v>#REF!</v>
      </c>
      <c r="K403" s="64" t="e">
        <f>+Puantaj!#REF!</f>
        <v>#REF!</v>
      </c>
      <c r="L403" s="64" t="e">
        <f>+Puantaj!#REF!</f>
        <v>#REF!</v>
      </c>
      <c r="M403" s="68" t="e">
        <f>+BORDRO!#REF!</f>
        <v>#REF!</v>
      </c>
      <c r="N403" s="64"/>
      <c r="O403" s="79" t="e">
        <f>+BORDRO!#REF!</f>
        <v>#REF!</v>
      </c>
      <c r="P403" s="79">
        <v>0</v>
      </c>
      <c r="Q403" s="69"/>
      <c r="R403" s="69"/>
      <c r="S403" s="70"/>
      <c r="T403" s="70"/>
      <c r="U403" s="71"/>
      <c r="V403" s="72" t="e">
        <f t="shared" si="6"/>
        <v>#REF!</v>
      </c>
      <c r="W403" s="73">
        <v>6</v>
      </c>
      <c r="X403" s="81" t="s">
        <v>99</v>
      </c>
      <c r="Y403" s="65">
        <v>2</v>
      </c>
      <c r="Z403" s="64" t="s">
        <v>51</v>
      </c>
      <c r="AA403" s="74" t="s">
        <v>781</v>
      </c>
      <c r="AB403" s="64">
        <v>2025</v>
      </c>
      <c r="AC403" s="64" t="s">
        <v>106</v>
      </c>
      <c r="AD403" s="80" t="e">
        <f>+BORDRO!#REF!</f>
        <v>#REF!</v>
      </c>
      <c r="AE403" s="75"/>
      <c r="AF403" s="75" t="e">
        <f>+BORDRO!#REF!</f>
        <v>#REF!</v>
      </c>
      <c r="AG403" s="75" t="e">
        <f>+BORDRO!#REF!</f>
        <v>#REF!</v>
      </c>
      <c r="AH403" s="80" t="e">
        <f>+BORDRO!#REF!</f>
        <v>#REF!</v>
      </c>
      <c r="AI403" s="75" t="e">
        <f>+BORDRO!#REF!</f>
        <v>#REF!</v>
      </c>
      <c r="AJ403" s="76">
        <f>+BORDRO!P81</f>
        <v>0</v>
      </c>
    </row>
    <row r="404" spans="1:36" ht="13.8" x14ac:dyDescent="0.25">
      <c r="A404" s="64" t="s">
        <v>51</v>
      </c>
      <c r="B404" s="119">
        <v>46</v>
      </c>
      <c r="C404" s="64" t="s">
        <v>52</v>
      </c>
      <c r="D404" s="64" t="s">
        <v>53</v>
      </c>
      <c r="E404" s="64" t="s">
        <v>53</v>
      </c>
      <c r="F404" s="65">
        <v>1494768</v>
      </c>
      <c r="G404" s="66" t="s">
        <v>105</v>
      </c>
      <c r="H404" s="64" t="s">
        <v>54</v>
      </c>
      <c r="I404" s="78"/>
      <c r="J404" s="67" t="e">
        <f>+Puantaj!#REF!</f>
        <v>#REF!</v>
      </c>
      <c r="K404" s="64" t="e">
        <f>+Puantaj!#REF!</f>
        <v>#REF!</v>
      </c>
      <c r="L404" s="64" t="e">
        <f>+Puantaj!#REF!</f>
        <v>#REF!</v>
      </c>
      <c r="M404" s="68" t="e">
        <f>+BORDRO!#REF!</f>
        <v>#REF!</v>
      </c>
      <c r="N404" s="64"/>
      <c r="O404" s="79" t="e">
        <f>+BORDRO!#REF!</f>
        <v>#REF!</v>
      </c>
      <c r="P404" s="79">
        <v>0</v>
      </c>
      <c r="Q404" s="69"/>
      <c r="R404" s="69"/>
      <c r="S404" s="70"/>
      <c r="T404" s="70"/>
      <c r="U404" s="71"/>
      <c r="V404" s="72" t="e">
        <f t="shared" si="6"/>
        <v>#REF!</v>
      </c>
      <c r="W404" s="73">
        <v>6</v>
      </c>
      <c r="X404" s="81" t="s">
        <v>99</v>
      </c>
      <c r="Y404" s="65">
        <v>2</v>
      </c>
      <c r="Z404" s="64" t="s">
        <v>51</v>
      </c>
      <c r="AA404" s="74" t="s">
        <v>781</v>
      </c>
      <c r="AB404" s="64">
        <v>2025</v>
      </c>
      <c r="AC404" s="64" t="s">
        <v>106</v>
      </c>
      <c r="AD404" s="80" t="e">
        <f>+BORDRO!#REF!</f>
        <v>#REF!</v>
      </c>
      <c r="AE404" s="75"/>
      <c r="AF404" s="75" t="e">
        <f>+BORDRO!#REF!</f>
        <v>#REF!</v>
      </c>
      <c r="AG404" s="75" t="e">
        <f>+BORDRO!#REF!</f>
        <v>#REF!</v>
      </c>
      <c r="AH404" s="80" t="e">
        <f>+BORDRO!#REF!</f>
        <v>#REF!</v>
      </c>
      <c r="AI404" s="75" t="e">
        <f>+BORDRO!#REF!</f>
        <v>#REF!</v>
      </c>
      <c r="AJ404" s="76">
        <f>+BORDRO!P82</f>
        <v>0</v>
      </c>
    </row>
    <row r="405" spans="1:36" ht="13.8" x14ac:dyDescent="0.25">
      <c r="A405" s="64" t="s">
        <v>51</v>
      </c>
      <c r="B405" s="119">
        <v>46</v>
      </c>
      <c r="C405" s="64" t="s">
        <v>52</v>
      </c>
      <c r="D405" s="64" t="s">
        <v>53</v>
      </c>
      <c r="E405" s="64" t="s">
        <v>53</v>
      </c>
      <c r="F405" s="65">
        <v>1494768</v>
      </c>
      <c r="G405" s="66" t="s">
        <v>105</v>
      </c>
      <c r="H405" s="64" t="s">
        <v>54</v>
      </c>
      <c r="I405" s="78"/>
      <c r="J405" s="67" t="e">
        <f>+Puantaj!#REF!</f>
        <v>#REF!</v>
      </c>
      <c r="K405" s="64" t="e">
        <f>+Puantaj!#REF!</f>
        <v>#REF!</v>
      </c>
      <c r="L405" s="64" t="e">
        <f>+Puantaj!#REF!</f>
        <v>#REF!</v>
      </c>
      <c r="M405" s="68" t="e">
        <f>+BORDRO!#REF!</f>
        <v>#REF!</v>
      </c>
      <c r="N405" s="64"/>
      <c r="O405" s="79" t="e">
        <f>+BORDRO!#REF!</f>
        <v>#REF!</v>
      </c>
      <c r="P405" s="79">
        <v>0</v>
      </c>
      <c r="Q405" s="69"/>
      <c r="R405" s="69"/>
      <c r="S405" s="70"/>
      <c r="T405" s="70"/>
      <c r="U405" s="71"/>
      <c r="V405" s="72" t="e">
        <f t="shared" si="6"/>
        <v>#REF!</v>
      </c>
      <c r="W405" s="73">
        <v>6</v>
      </c>
      <c r="X405" s="81" t="s">
        <v>99</v>
      </c>
      <c r="Y405" s="65">
        <v>2</v>
      </c>
      <c r="Z405" s="64" t="s">
        <v>51</v>
      </c>
      <c r="AA405" s="74" t="s">
        <v>781</v>
      </c>
      <c r="AB405" s="64">
        <v>2025</v>
      </c>
      <c r="AC405" s="64" t="s">
        <v>106</v>
      </c>
      <c r="AD405" s="80" t="e">
        <f>+BORDRO!#REF!</f>
        <v>#REF!</v>
      </c>
      <c r="AE405" s="75"/>
      <c r="AF405" s="75" t="e">
        <f>+BORDRO!#REF!</f>
        <v>#REF!</v>
      </c>
      <c r="AG405" s="75" t="e">
        <f>+BORDRO!#REF!</f>
        <v>#REF!</v>
      </c>
      <c r="AH405" s="80" t="e">
        <f>+BORDRO!#REF!</f>
        <v>#REF!</v>
      </c>
      <c r="AI405" s="75" t="e">
        <f>+BORDRO!#REF!</f>
        <v>#REF!</v>
      </c>
      <c r="AJ405" s="76">
        <f>+BORDRO!P83</f>
        <v>0</v>
      </c>
    </row>
    <row r="406" spans="1:36" ht="13.8" x14ac:dyDescent="0.25">
      <c r="A406" s="64" t="s">
        <v>51</v>
      </c>
      <c r="B406" s="119">
        <v>46</v>
      </c>
      <c r="C406" s="64" t="s">
        <v>52</v>
      </c>
      <c r="D406" s="64" t="s">
        <v>53</v>
      </c>
      <c r="E406" s="64" t="s">
        <v>53</v>
      </c>
      <c r="F406" s="65">
        <v>1494768</v>
      </c>
      <c r="G406" s="66" t="s">
        <v>105</v>
      </c>
      <c r="H406" s="64" t="s">
        <v>54</v>
      </c>
      <c r="I406" s="78"/>
      <c r="J406" s="67" t="e">
        <f>+Puantaj!#REF!</f>
        <v>#REF!</v>
      </c>
      <c r="K406" s="64" t="e">
        <f>+Puantaj!#REF!</f>
        <v>#REF!</v>
      </c>
      <c r="L406" s="64" t="e">
        <f>+Puantaj!#REF!</f>
        <v>#REF!</v>
      </c>
      <c r="M406" s="68" t="e">
        <f>+BORDRO!#REF!</f>
        <v>#REF!</v>
      </c>
      <c r="N406" s="64"/>
      <c r="O406" s="79" t="e">
        <f>+BORDRO!#REF!</f>
        <v>#REF!</v>
      </c>
      <c r="P406" s="79">
        <v>0</v>
      </c>
      <c r="Q406" s="69"/>
      <c r="R406" s="69"/>
      <c r="S406" s="70"/>
      <c r="T406" s="70"/>
      <c r="U406" s="71"/>
      <c r="V406" s="72" t="e">
        <f t="shared" si="6"/>
        <v>#REF!</v>
      </c>
      <c r="W406" s="73">
        <v>6</v>
      </c>
      <c r="X406" s="81" t="s">
        <v>99</v>
      </c>
      <c r="Y406" s="65">
        <v>2</v>
      </c>
      <c r="Z406" s="64" t="s">
        <v>51</v>
      </c>
      <c r="AA406" s="74" t="s">
        <v>781</v>
      </c>
      <c r="AB406" s="64">
        <v>2025</v>
      </c>
      <c r="AC406" s="64" t="s">
        <v>106</v>
      </c>
      <c r="AD406" s="80" t="e">
        <f>+BORDRO!#REF!</f>
        <v>#REF!</v>
      </c>
      <c r="AE406" s="75"/>
      <c r="AF406" s="75" t="e">
        <f>+BORDRO!#REF!</f>
        <v>#REF!</v>
      </c>
      <c r="AG406" s="75" t="e">
        <f>+BORDRO!#REF!</f>
        <v>#REF!</v>
      </c>
      <c r="AH406" s="80" t="e">
        <f>+BORDRO!#REF!</f>
        <v>#REF!</v>
      </c>
      <c r="AI406" s="75" t="e">
        <f>+BORDRO!#REF!</f>
        <v>#REF!</v>
      </c>
      <c r="AJ406" s="76">
        <f>+BORDRO!P84</f>
        <v>0</v>
      </c>
    </row>
    <row r="407" spans="1:36" ht="13.8" x14ac:dyDescent="0.25">
      <c r="A407" s="64" t="s">
        <v>51</v>
      </c>
      <c r="B407" s="119">
        <v>46</v>
      </c>
      <c r="C407" s="64" t="s">
        <v>52</v>
      </c>
      <c r="D407" s="64" t="s">
        <v>53</v>
      </c>
      <c r="E407" s="64" t="s">
        <v>53</v>
      </c>
      <c r="F407" s="65">
        <v>1494768</v>
      </c>
      <c r="G407" s="66" t="s">
        <v>105</v>
      </c>
      <c r="H407" s="64" t="s">
        <v>54</v>
      </c>
      <c r="I407" s="78"/>
      <c r="J407" s="67" t="e">
        <f>+Puantaj!#REF!</f>
        <v>#REF!</v>
      </c>
      <c r="K407" s="64" t="e">
        <f>+Puantaj!#REF!</f>
        <v>#REF!</v>
      </c>
      <c r="L407" s="64" t="e">
        <f>+Puantaj!#REF!</f>
        <v>#REF!</v>
      </c>
      <c r="M407" s="68" t="e">
        <f>+BORDRO!#REF!</f>
        <v>#REF!</v>
      </c>
      <c r="N407" s="64"/>
      <c r="O407" s="79" t="e">
        <f>+BORDRO!#REF!</f>
        <v>#REF!</v>
      </c>
      <c r="P407" s="79">
        <v>0</v>
      </c>
      <c r="Q407" s="69"/>
      <c r="R407" s="69"/>
      <c r="S407" s="70"/>
      <c r="T407" s="70"/>
      <c r="U407" s="71"/>
      <c r="V407" s="72" t="e">
        <f t="shared" si="6"/>
        <v>#REF!</v>
      </c>
      <c r="W407" s="73">
        <v>6</v>
      </c>
      <c r="X407" s="81" t="s">
        <v>99</v>
      </c>
      <c r="Y407" s="65">
        <v>2</v>
      </c>
      <c r="Z407" s="64" t="s">
        <v>51</v>
      </c>
      <c r="AA407" s="74" t="s">
        <v>781</v>
      </c>
      <c r="AB407" s="64">
        <v>2025</v>
      </c>
      <c r="AC407" s="64" t="s">
        <v>106</v>
      </c>
      <c r="AD407" s="80" t="e">
        <f>+BORDRO!#REF!</f>
        <v>#REF!</v>
      </c>
      <c r="AE407" s="75"/>
      <c r="AF407" s="75" t="e">
        <f>+BORDRO!#REF!</f>
        <v>#REF!</v>
      </c>
      <c r="AG407" s="75" t="e">
        <f>+BORDRO!#REF!</f>
        <v>#REF!</v>
      </c>
      <c r="AH407" s="80" t="e">
        <f>+BORDRO!#REF!</f>
        <v>#REF!</v>
      </c>
      <c r="AI407" s="75" t="e">
        <f>+BORDRO!#REF!</f>
        <v>#REF!</v>
      </c>
      <c r="AJ407" s="76">
        <f>+BORDRO!P85</f>
        <v>0</v>
      </c>
    </row>
    <row r="408" spans="1:36" ht="13.8" x14ac:dyDescent="0.25">
      <c r="A408" s="64" t="s">
        <v>51</v>
      </c>
      <c r="B408" s="119">
        <v>46</v>
      </c>
      <c r="C408" s="64" t="s">
        <v>52</v>
      </c>
      <c r="D408" s="64" t="s">
        <v>53</v>
      </c>
      <c r="E408" s="64" t="s">
        <v>53</v>
      </c>
      <c r="F408" s="65">
        <v>1494768</v>
      </c>
      <c r="G408" s="66" t="s">
        <v>105</v>
      </c>
      <c r="H408" s="64" t="s">
        <v>54</v>
      </c>
      <c r="I408" s="78"/>
      <c r="J408" s="67" t="e">
        <f>+Puantaj!#REF!</f>
        <v>#REF!</v>
      </c>
      <c r="K408" s="64" t="e">
        <f>+Puantaj!#REF!</f>
        <v>#REF!</v>
      </c>
      <c r="L408" s="64" t="e">
        <f>+Puantaj!#REF!</f>
        <v>#REF!</v>
      </c>
      <c r="M408" s="68" t="e">
        <f>+BORDRO!#REF!</f>
        <v>#REF!</v>
      </c>
      <c r="N408" s="64"/>
      <c r="O408" s="79" t="e">
        <f>+BORDRO!#REF!</f>
        <v>#REF!</v>
      </c>
      <c r="P408" s="79">
        <v>0</v>
      </c>
      <c r="Q408" s="69"/>
      <c r="R408" s="69"/>
      <c r="S408" s="70"/>
      <c r="T408" s="70"/>
      <c r="U408" s="71"/>
      <c r="V408" s="72" t="e">
        <f t="shared" si="6"/>
        <v>#REF!</v>
      </c>
      <c r="W408" s="73">
        <v>6</v>
      </c>
      <c r="X408" s="81" t="s">
        <v>99</v>
      </c>
      <c r="Y408" s="65">
        <v>2</v>
      </c>
      <c r="Z408" s="64" t="s">
        <v>51</v>
      </c>
      <c r="AA408" s="74" t="s">
        <v>781</v>
      </c>
      <c r="AB408" s="64">
        <v>2025</v>
      </c>
      <c r="AC408" s="64" t="s">
        <v>106</v>
      </c>
      <c r="AD408" s="80" t="e">
        <f>+BORDRO!#REF!</f>
        <v>#REF!</v>
      </c>
      <c r="AE408" s="75"/>
      <c r="AF408" s="75" t="e">
        <f>+BORDRO!#REF!</f>
        <v>#REF!</v>
      </c>
      <c r="AG408" s="75" t="e">
        <f>+BORDRO!#REF!</f>
        <v>#REF!</v>
      </c>
      <c r="AH408" s="80" t="e">
        <f>+BORDRO!#REF!</f>
        <v>#REF!</v>
      </c>
      <c r="AI408" s="75" t="e">
        <f>+BORDRO!#REF!</f>
        <v>#REF!</v>
      </c>
      <c r="AJ408" s="76">
        <f>+BORDRO!P86</f>
        <v>0</v>
      </c>
    </row>
    <row r="409" spans="1:36" ht="13.8" x14ac:dyDescent="0.25">
      <c r="A409" s="64" t="s">
        <v>51</v>
      </c>
      <c r="B409" s="119">
        <v>46</v>
      </c>
      <c r="C409" s="64" t="s">
        <v>52</v>
      </c>
      <c r="D409" s="64" t="s">
        <v>53</v>
      </c>
      <c r="E409" s="64" t="s">
        <v>53</v>
      </c>
      <c r="F409" s="65">
        <v>1494768</v>
      </c>
      <c r="G409" s="66" t="s">
        <v>105</v>
      </c>
      <c r="H409" s="64" t="s">
        <v>54</v>
      </c>
      <c r="I409" s="78"/>
      <c r="J409" s="67" t="e">
        <f>+Puantaj!#REF!</f>
        <v>#REF!</v>
      </c>
      <c r="K409" s="64" t="e">
        <f>+Puantaj!#REF!</f>
        <v>#REF!</v>
      </c>
      <c r="L409" s="64" t="e">
        <f>+Puantaj!#REF!</f>
        <v>#REF!</v>
      </c>
      <c r="M409" s="68" t="e">
        <f>+BORDRO!#REF!</f>
        <v>#REF!</v>
      </c>
      <c r="N409" s="64"/>
      <c r="O409" s="79" t="e">
        <f>+BORDRO!#REF!</f>
        <v>#REF!</v>
      </c>
      <c r="P409" s="79">
        <v>0</v>
      </c>
      <c r="Q409" s="69"/>
      <c r="R409" s="69"/>
      <c r="S409" s="70"/>
      <c r="T409" s="70"/>
      <c r="U409" s="71"/>
      <c r="V409" s="72" t="e">
        <f t="shared" si="6"/>
        <v>#REF!</v>
      </c>
      <c r="W409" s="73">
        <v>6</v>
      </c>
      <c r="X409" s="81" t="s">
        <v>99</v>
      </c>
      <c r="Y409" s="65">
        <v>2</v>
      </c>
      <c r="Z409" s="64" t="s">
        <v>51</v>
      </c>
      <c r="AA409" s="74" t="s">
        <v>781</v>
      </c>
      <c r="AB409" s="64">
        <v>2025</v>
      </c>
      <c r="AC409" s="64" t="s">
        <v>106</v>
      </c>
      <c r="AD409" s="80" t="e">
        <f>+BORDRO!#REF!</f>
        <v>#REF!</v>
      </c>
      <c r="AE409" s="75"/>
      <c r="AF409" s="75" t="e">
        <f>+BORDRO!#REF!</f>
        <v>#REF!</v>
      </c>
      <c r="AG409" s="75" t="e">
        <f>+BORDRO!#REF!</f>
        <v>#REF!</v>
      </c>
      <c r="AH409" s="80" t="e">
        <f>+BORDRO!#REF!</f>
        <v>#REF!</v>
      </c>
      <c r="AI409" s="75" t="e">
        <f>+BORDRO!#REF!</f>
        <v>#REF!</v>
      </c>
      <c r="AJ409" s="76">
        <f>+BORDRO!P87</f>
        <v>0</v>
      </c>
    </row>
    <row r="410" spans="1:36" ht="13.8" x14ac:dyDescent="0.25">
      <c r="A410" s="64" t="s">
        <v>51</v>
      </c>
      <c r="B410" s="119">
        <v>46</v>
      </c>
      <c r="C410" s="64" t="s">
        <v>52</v>
      </c>
      <c r="D410" s="64" t="s">
        <v>53</v>
      </c>
      <c r="E410" s="64" t="s">
        <v>53</v>
      </c>
      <c r="F410" s="65">
        <v>1494768</v>
      </c>
      <c r="G410" s="66" t="s">
        <v>105</v>
      </c>
      <c r="H410" s="64" t="s">
        <v>54</v>
      </c>
      <c r="I410" s="78"/>
      <c r="J410" s="67" t="e">
        <f>+Puantaj!#REF!</f>
        <v>#REF!</v>
      </c>
      <c r="K410" s="64" t="e">
        <f>+Puantaj!#REF!</f>
        <v>#REF!</v>
      </c>
      <c r="L410" s="64" t="e">
        <f>+Puantaj!#REF!</f>
        <v>#REF!</v>
      </c>
      <c r="M410" s="68" t="e">
        <f>+BORDRO!#REF!</f>
        <v>#REF!</v>
      </c>
      <c r="N410" s="64"/>
      <c r="O410" s="79" t="e">
        <f>+BORDRO!#REF!</f>
        <v>#REF!</v>
      </c>
      <c r="P410" s="79">
        <v>0</v>
      </c>
      <c r="Q410" s="69"/>
      <c r="R410" s="69"/>
      <c r="S410" s="70"/>
      <c r="T410" s="70"/>
      <c r="U410" s="71"/>
      <c r="V410" s="72" t="e">
        <f t="shared" si="6"/>
        <v>#REF!</v>
      </c>
      <c r="W410" s="73">
        <v>6</v>
      </c>
      <c r="X410" s="81" t="s">
        <v>99</v>
      </c>
      <c r="Y410" s="65">
        <v>2</v>
      </c>
      <c r="Z410" s="64" t="s">
        <v>51</v>
      </c>
      <c r="AA410" s="74" t="s">
        <v>781</v>
      </c>
      <c r="AB410" s="64">
        <v>2025</v>
      </c>
      <c r="AC410" s="64" t="s">
        <v>106</v>
      </c>
      <c r="AD410" s="80" t="e">
        <f>+BORDRO!#REF!</f>
        <v>#REF!</v>
      </c>
      <c r="AE410" s="75"/>
      <c r="AF410" s="75" t="e">
        <f>+BORDRO!#REF!</f>
        <v>#REF!</v>
      </c>
      <c r="AG410" s="75" t="e">
        <f>+BORDRO!#REF!</f>
        <v>#REF!</v>
      </c>
      <c r="AH410" s="80" t="e">
        <f>+BORDRO!#REF!</f>
        <v>#REF!</v>
      </c>
      <c r="AI410" s="75" t="e">
        <f>+BORDRO!#REF!</f>
        <v>#REF!</v>
      </c>
      <c r="AJ410" s="76">
        <f>+BORDRO!P88</f>
        <v>0</v>
      </c>
    </row>
    <row r="411" spans="1:36" ht="13.8" x14ac:dyDescent="0.25">
      <c r="A411" s="64" t="s">
        <v>51</v>
      </c>
      <c r="B411" s="119">
        <v>46</v>
      </c>
      <c r="C411" s="64" t="s">
        <v>52</v>
      </c>
      <c r="D411" s="64" t="s">
        <v>53</v>
      </c>
      <c r="E411" s="64" t="s">
        <v>53</v>
      </c>
      <c r="F411" s="65">
        <v>1494768</v>
      </c>
      <c r="G411" s="66" t="s">
        <v>105</v>
      </c>
      <c r="H411" s="64" t="s">
        <v>54</v>
      </c>
      <c r="I411" s="78"/>
      <c r="J411" s="67" t="e">
        <f>+Puantaj!#REF!</f>
        <v>#REF!</v>
      </c>
      <c r="K411" s="64" t="e">
        <f>+Puantaj!#REF!</f>
        <v>#REF!</v>
      </c>
      <c r="L411" s="64" t="e">
        <f>+Puantaj!#REF!</f>
        <v>#REF!</v>
      </c>
      <c r="M411" s="68" t="e">
        <f>+BORDRO!#REF!</f>
        <v>#REF!</v>
      </c>
      <c r="N411" s="64"/>
      <c r="O411" s="79" t="e">
        <f>+BORDRO!#REF!</f>
        <v>#REF!</v>
      </c>
      <c r="P411" s="79">
        <v>0</v>
      </c>
      <c r="Q411" s="69"/>
      <c r="R411" s="69"/>
      <c r="S411" s="70"/>
      <c r="T411" s="70"/>
      <c r="U411" s="71"/>
      <c r="V411" s="72" t="e">
        <f t="shared" si="6"/>
        <v>#REF!</v>
      </c>
      <c r="W411" s="73">
        <v>6</v>
      </c>
      <c r="X411" s="81" t="s">
        <v>99</v>
      </c>
      <c r="Y411" s="65">
        <v>2</v>
      </c>
      <c r="Z411" s="64" t="s">
        <v>51</v>
      </c>
      <c r="AA411" s="74" t="s">
        <v>781</v>
      </c>
      <c r="AB411" s="64">
        <v>2025</v>
      </c>
      <c r="AC411" s="64" t="s">
        <v>106</v>
      </c>
      <c r="AD411" s="80" t="e">
        <f>+BORDRO!#REF!</f>
        <v>#REF!</v>
      </c>
      <c r="AE411" s="75"/>
      <c r="AF411" s="75" t="e">
        <f>+BORDRO!#REF!</f>
        <v>#REF!</v>
      </c>
      <c r="AG411" s="75" t="e">
        <f>+BORDRO!#REF!</f>
        <v>#REF!</v>
      </c>
      <c r="AH411" s="80" t="e">
        <f>+BORDRO!#REF!</f>
        <v>#REF!</v>
      </c>
      <c r="AI411" s="75" t="e">
        <f>+BORDRO!#REF!</f>
        <v>#REF!</v>
      </c>
      <c r="AJ411" s="76">
        <f>+BORDRO!P89</f>
        <v>0</v>
      </c>
    </row>
    <row r="412" spans="1:36" ht="13.8" x14ac:dyDescent="0.25">
      <c r="A412" s="64" t="s">
        <v>51</v>
      </c>
      <c r="B412" s="119">
        <v>46</v>
      </c>
      <c r="C412" s="64" t="s">
        <v>52</v>
      </c>
      <c r="D412" s="64" t="s">
        <v>53</v>
      </c>
      <c r="E412" s="64" t="s">
        <v>53</v>
      </c>
      <c r="F412" s="65">
        <v>1494768</v>
      </c>
      <c r="G412" s="66" t="s">
        <v>105</v>
      </c>
      <c r="H412" s="64" t="s">
        <v>54</v>
      </c>
      <c r="I412" s="78"/>
      <c r="J412" s="67" t="e">
        <f>+Puantaj!#REF!</f>
        <v>#REF!</v>
      </c>
      <c r="K412" s="64" t="e">
        <f>+Puantaj!#REF!</f>
        <v>#REF!</v>
      </c>
      <c r="L412" s="64" t="e">
        <f>+Puantaj!#REF!</f>
        <v>#REF!</v>
      </c>
      <c r="M412" s="68" t="e">
        <f>+BORDRO!#REF!</f>
        <v>#REF!</v>
      </c>
      <c r="N412" s="64"/>
      <c r="O412" s="79" t="e">
        <f>+BORDRO!#REF!</f>
        <v>#REF!</v>
      </c>
      <c r="P412" s="79">
        <v>0</v>
      </c>
      <c r="Q412" s="69"/>
      <c r="R412" s="69"/>
      <c r="S412" s="70"/>
      <c r="T412" s="70"/>
      <c r="U412" s="71"/>
      <c r="V412" s="72" t="e">
        <f t="shared" si="6"/>
        <v>#REF!</v>
      </c>
      <c r="W412" s="73">
        <v>6</v>
      </c>
      <c r="X412" s="81" t="s">
        <v>99</v>
      </c>
      <c r="Y412" s="65">
        <v>2</v>
      </c>
      <c r="Z412" s="64" t="s">
        <v>51</v>
      </c>
      <c r="AA412" s="74" t="s">
        <v>781</v>
      </c>
      <c r="AB412" s="64">
        <v>2025</v>
      </c>
      <c r="AC412" s="64" t="s">
        <v>106</v>
      </c>
      <c r="AD412" s="80" t="e">
        <f>+BORDRO!#REF!</f>
        <v>#REF!</v>
      </c>
      <c r="AE412" s="75"/>
      <c r="AF412" s="75" t="e">
        <f>+BORDRO!#REF!</f>
        <v>#REF!</v>
      </c>
      <c r="AG412" s="75" t="e">
        <f>+BORDRO!#REF!</f>
        <v>#REF!</v>
      </c>
      <c r="AH412" s="80" t="e">
        <f>+BORDRO!#REF!</f>
        <v>#REF!</v>
      </c>
      <c r="AI412" s="75" t="e">
        <f>+BORDRO!#REF!</f>
        <v>#REF!</v>
      </c>
      <c r="AJ412" s="76">
        <f>+BORDRO!P90</f>
        <v>0</v>
      </c>
    </row>
    <row r="413" spans="1:36" ht="13.8" x14ac:dyDescent="0.25">
      <c r="A413" s="64" t="s">
        <v>51</v>
      </c>
      <c r="B413" s="119">
        <v>46</v>
      </c>
      <c r="C413" s="64" t="s">
        <v>52</v>
      </c>
      <c r="D413" s="64" t="s">
        <v>53</v>
      </c>
      <c r="E413" s="64" t="s">
        <v>53</v>
      </c>
      <c r="F413" s="65">
        <v>1494768</v>
      </c>
      <c r="G413" s="66" t="s">
        <v>105</v>
      </c>
      <c r="H413" s="64" t="s">
        <v>54</v>
      </c>
      <c r="I413" s="78"/>
      <c r="J413" s="67" t="e">
        <f>+Puantaj!#REF!</f>
        <v>#REF!</v>
      </c>
      <c r="K413" s="64" t="e">
        <f>+Puantaj!#REF!</f>
        <v>#REF!</v>
      </c>
      <c r="L413" s="64" t="e">
        <f>+Puantaj!#REF!</f>
        <v>#REF!</v>
      </c>
      <c r="M413" s="68" t="e">
        <f>+BORDRO!#REF!</f>
        <v>#REF!</v>
      </c>
      <c r="N413" s="64"/>
      <c r="O413" s="79" t="e">
        <f>+BORDRO!#REF!</f>
        <v>#REF!</v>
      </c>
      <c r="P413" s="79">
        <v>0</v>
      </c>
      <c r="Q413" s="69"/>
      <c r="R413" s="69"/>
      <c r="S413" s="70"/>
      <c r="T413" s="70"/>
      <c r="U413" s="71"/>
      <c r="V413" s="72" t="e">
        <f t="shared" si="6"/>
        <v>#REF!</v>
      </c>
      <c r="W413" s="73">
        <v>6</v>
      </c>
      <c r="X413" s="81" t="s">
        <v>99</v>
      </c>
      <c r="Y413" s="65">
        <v>2</v>
      </c>
      <c r="Z413" s="64" t="s">
        <v>51</v>
      </c>
      <c r="AA413" s="74" t="s">
        <v>781</v>
      </c>
      <c r="AB413" s="64">
        <v>2025</v>
      </c>
      <c r="AC413" s="64" t="s">
        <v>106</v>
      </c>
      <c r="AD413" s="80" t="e">
        <f>+BORDRO!#REF!</f>
        <v>#REF!</v>
      </c>
      <c r="AE413" s="75"/>
      <c r="AF413" s="75" t="e">
        <f>+BORDRO!#REF!</f>
        <v>#REF!</v>
      </c>
      <c r="AG413" s="75" t="e">
        <f>+BORDRO!#REF!</f>
        <v>#REF!</v>
      </c>
      <c r="AH413" s="80" t="e">
        <f>+BORDRO!#REF!</f>
        <v>#REF!</v>
      </c>
      <c r="AI413" s="75" t="e">
        <f>+BORDRO!#REF!</f>
        <v>#REF!</v>
      </c>
      <c r="AJ413" s="76">
        <f>+BORDRO!P91</f>
        <v>0</v>
      </c>
    </row>
    <row r="414" spans="1:36" ht="13.8" x14ac:dyDescent="0.25">
      <c r="A414" s="64" t="s">
        <v>51</v>
      </c>
      <c r="B414" s="119">
        <v>46</v>
      </c>
      <c r="C414" s="64" t="s">
        <v>52</v>
      </c>
      <c r="D414" s="64" t="s">
        <v>53</v>
      </c>
      <c r="E414" s="64" t="s">
        <v>53</v>
      </c>
      <c r="F414" s="65">
        <v>1494768</v>
      </c>
      <c r="G414" s="66" t="s">
        <v>105</v>
      </c>
      <c r="H414" s="64" t="s">
        <v>54</v>
      </c>
      <c r="I414" s="78"/>
      <c r="J414" s="67" t="e">
        <f>+Puantaj!#REF!</f>
        <v>#REF!</v>
      </c>
      <c r="K414" s="64" t="e">
        <f>+Puantaj!#REF!</f>
        <v>#REF!</v>
      </c>
      <c r="L414" s="64" t="e">
        <f>+Puantaj!#REF!</f>
        <v>#REF!</v>
      </c>
      <c r="M414" s="68" t="e">
        <f>+BORDRO!#REF!</f>
        <v>#REF!</v>
      </c>
      <c r="N414" s="64"/>
      <c r="O414" s="79" t="e">
        <f>+BORDRO!#REF!</f>
        <v>#REF!</v>
      </c>
      <c r="P414" s="79">
        <v>0</v>
      </c>
      <c r="Q414" s="69"/>
      <c r="R414" s="69"/>
      <c r="S414" s="70"/>
      <c r="T414" s="70"/>
      <c r="U414" s="71"/>
      <c r="V414" s="72" t="e">
        <f t="shared" si="6"/>
        <v>#REF!</v>
      </c>
      <c r="W414" s="73">
        <v>6</v>
      </c>
      <c r="X414" s="81" t="s">
        <v>99</v>
      </c>
      <c r="Y414" s="65">
        <v>2</v>
      </c>
      <c r="Z414" s="64" t="s">
        <v>51</v>
      </c>
      <c r="AA414" s="74" t="s">
        <v>781</v>
      </c>
      <c r="AB414" s="64">
        <v>2025</v>
      </c>
      <c r="AC414" s="64" t="s">
        <v>106</v>
      </c>
      <c r="AD414" s="80" t="e">
        <f>+BORDRO!#REF!</f>
        <v>#REF!</v>
      </c>
      <c r="AE414" s="75"/>
      <c r="AF414" s="75" t="e">
        <f>+BORDRO!#REF!</f>
        <v>#REF!</v>
      </c>
      <c r="AG414" s="75" t="e">
        <f>+BORDRO!#REF!</f>
        <v>#REF!</v>
      </c>
      <c r="AH414" s="80" t="e">
        <f>+BORDRO!#REF!</f>
        <v>#REF!</v>
      </c>
      <c r="AI414" s="75" t="e">
        <f>+BORDRO!#REF!</f>
        <v>#REF!</v>
      </c>
      <c r="AJ414" s="76">
        <f>+BORDRO!P92</f>
        <v>0</v>
      </c>
    </row>
    <row r="415" spans="1:36" ht="13.8" x14ac:dyDescent="0.25">
      <c r="A415" s="64" t="s">
        <v>51</v>
      </c>
      <c r="B415" s="119">
        <v>46</v>
      </c>
      <c r="C415" s="64" t="s">
        <v>52</v>
      </c>
      <c r="D415" s="64" t="s">
        <v>53</v>
      </c>
      <c r="E415" s="64" t="s">
        <v>53</v>
      </c>
      <c r="F415" s="65">
        <v>1494768</v>
      </c>
      <c r="G415" s="66" t="s">
        <v>105</v>
      </c>
      <c r="H415" s="64" t="s">
        <v>54</v>
      </c>
      <c r="I415" s="78"/>
      <c r="J415" s="67" t="e">
        <f>+Puantaj!#REF!</f>
        <v>#REF!</v>
      </c>
      <c r="K415" s="64" t="e">
        <f>+Puantaj!#REF!</f>
        <v>#REF!</v>
      </c>
      <c r="L415" s="64" t="e">
        <f>+Puantaj!#REF!</f>
        <v>#REF!</v>
      </c>
      <c r="M415" s="68" t="e">
        <f>+BORDRO!#REF!</f>
        <v>#REF!</v>
      </c>
      <c r="N415" s="64"/>
      <c r="O415" s="79" t="e">
        <f>+BORDRO!#REF!</f>
        <v>#REF!</v>
      </c>
      <c r="P415" s="79">
        <v>0</v>
      </c>
      <c r="Q415" s="69"/>
      <c r="R415" s="69"/>
      <c r="S415" s="70"/>
      <c r="T415" s="70"/>
      <c r="U415" s="71"/>
      <c r="V415" s="72" t="e">
        <f t="shared" si="6"/>
        <v>#REF!</v>
      </c>
      <c r="W415" s="73">
        <v>6</v>
      </c>
      <c r="X415" s="81" t="s">
        <v>99</v>
      </c>
      <c r="Y415" s="65">
        <v>2</v>
      </c>
      <c r="Z415" s="64" t="s">
        <v>51</v>
      </c>
      <c r="AA415" s="74" t="s">
        <v>781</v>
      </c>
      <c r="AB415" s="64">
        <v>2025</v>
      </c>
      <c r="AC415" s="64" t="s">
        <v>106</v>
      </c>
      <c r="AD415" s="80" t="e">
        <f>+BORDRO!#REF!</f>
        <v>#REF!</v>
      </c>
      <c r="AE415" s="75"/>
      <c r="AF415" s="75" t="e">
        <f>+BORDRO!#REF!</f>
        <v>#REF!</v>
      </c>
      <c r="AG415" s="75" t="e">
        <f>+BORDRO!#REF!</f>
        <v>#REF!</v>
      </c>
      <c r="AH415" s="80" t="e">
        <f>+BORDRO!#REF!</f>
        <v>#REF!</v>
      </c>
      <c r="AI415" s="75" t="e">
        <f>+BORDRO!#REF!</f>
        <v>#REF!</v>
      </c>
      <c r="AJ415" s="76">
        <f>+BORDRO!P93</f>
        <v>0</v>
      </c>
    </row>
    <row r="416" spans="1:36" ht="13.8" x14ac:dyDescent="0.25">
      <c r="A416" s="64" t="s">
        <v>51</v>
      </c>
      <c r="B416" s="119">
        <v>46</v>
      </c>
      <c r="C416" s="64" t="s">
        <v>52</v>
      </c>
      <c r="D416" s="64" t="s">
        <v>53</v>
      </c>
      <c r="E416" s="64" t="s">
        <v>53</v>
      </c>
      <c r="F416" s="65">
        <v>1494768</v>
      </c>
      <c r="G416" s="66" t="s">
        <v>105</v>
      </c>
      <c r="H416" s="64" t="s">
        <v>54</v>
      </c>
      <c r="I416" s="78"/>
      <c r="J416" s="67" t="e">
        <f>+Puantaj!#REF!</f>
        <v>#REF!</v>
      </c>
      <c r="K416" s="64" t="e">
        <f>+Puantaj!#REF!</f>
        <v>#REF!</v>
      </c>
      <c r="L416" s="64" t="e">
        <f>+Puantaj!#REF!</f>
        <v>#REF!</v>
      </c>
      <c r="M416" s="68" t="e">
        <f>+BORDRO!#REF!</f>
        <v>#REF!</v>
      </c>
      <c r="N416" s="64"/>
      <c r="O416" s="79" t="e">
        <f>+BORDRO!#REF!</f>
        <v>#REF!</v>
      </c>
      <c r="P416" s="79">
        <v>0</v>
      </c>
      <c r="Q416" s="69"/>
      <c r="R416" s="69"/>
      <c r="S416" s="70"/>
      <c r="T416" s="70"/>
      <c r="U416" s="71"/>
      <c r="V416" s="72" t="e">
        <f t="shared" si="6"/>
        <v>#REF!</v>
      </c>
      <c r="W416" s="73">
        <v>6</v>
      </c>
      <c r="X416" s="81" t="s">
        <v>99</v>
      </c>
      <c r="Y416" s="65">
        <v>2</v>
      </c>
      <c r="Z416" s="64" t="s">
        <v>51</v>
      </c>
      <c r="AA416" s="74" t="s">
        <v>781</v>
      </c>
      <c r="AB416" s="64">
        <v>2025</v>
      </c>
      <c r="AC416" s="64" t="s">
        <v>106</v>
      </c>
      <c r="AD416" s="80" t="e">
        <f>+BORDRO!#REF!</f>
        <v>#REF!</v>
      </c>
      <c r="AE416" s="75"/>
      <c r="AF416" s="75" t="e">
        <f>+BORDRO!#REF!</f>
        <v>#REF!</v>
      </c>
      <c r="AG416" s="75" t="e">
        <f>+BORDRO!#REF!</f>
        <v>#REF!</v>
      </c>
      <c r="AH416" s="80" t="e">
        <f>+BORDRO!#REF!</f>
        <v>#REF!</v>
      </c>
      <c r="AI416" s="75" t="e">
        <f>+BORDRO!#REF!</f>
        <v>#REF!</v>
      </c>
      <c r="AJ416" s="76">
        <f>+BORDRO!P94</f>
        <v>0</v>
      </c>
    </row>
    <row r="417" spans="1:36" ht="13.8" x14ac:dyDescent="0.25">
      <c r="A417" s="64" t="s">
        <v>51</v>
      </c>
      <c r="B417" s="119">
        <v>46</v>
      </c>
      <c r="C417" s="64" t="s">
        <v>52</v>
      </c>
      <c r="D417" s="64" t="s">
        <v>53</v>
      </c>
      <c r="E417" s="64" t="s">
        <v>53</v>
      </c>
      <c r="F417" s="65">
        <v>1494768</v>
      </c>
      <c r="G417" s="66" t="s">
        <v>105</v>
      </c>
      <c r="H417" s="64" t="s">
        <v>54</v>
      </c>
      <c r="I417" s="78"/>
      <c r="J417" s="67" t="e">
        <f>+Puantaj!#REF!</f>
        <v>#REF!</v>
      </c>
      <c r="K417" s="64" t="e">
        <f>+Puantaj!#REF!</f>
        <v>#REF!</v>
      </c>
      <c r="L417" s="64" t="e">
        <f>+Puantaj!#REF!</f>
        <v>#REF!</v>
      </c>
      <c r="M417" s="68" t="e">
        <f>+BORDRO!#REF!</f>
        <v>#REF!</v>
      </c>
      <c r="N417" s="64"/>
      <c r="O417" s="79" t="e">
        <f>+BORDRO!#REF!</f>
        <v>#REF!</v>
      </c>
      <c r="P417" s="79">
        <v>0</v>
      </c>
      <c r="Q417" s="69"/>
      <c r="R417" s="69"/>
      <c r="S417" s="70"/>
      <c r="T417" s="70"/>
      <c r="U417" s="71"/>
      <c r="V417" s="72" t="e">
        <f t="shared" si="6"/>
        <v>#REF!</v>
      </c>
      <c r="W417" s="73">
        <v>6</v>
      </c>
      <c r="X417" s="81" t="s">
        <v>99</v>
      </c>
      <c r="Y417" s="65">
        <v>2</v>
      </c>
      <c r="Z417" s="64" t="s">
        <v>51</v>
      </c>
      <c r="AA417" s="74" t="s">
        <v>781</v>
      </c>
      <c r="AB417" s="64">
        <v>2025</v>
      </c>
      <c r="AC417" s="64" t="s">
        <v>106</v>
      </c>
      <c r="AD417" s="80" t="e">
        <f>+BORDRO!#REF!</f>
        <v>#REF!</v>
      </c>
      <c r="AE417" s="75"/>
      <c r="AF417" s="75" t="e">
        <f>+BORDRO!#REF!</f>
        <v>#REF!</v>
      </c>
      <c r="AG417" s="75" t="e">
        <f>+BORDRO!#REF!</f>
        <v>#REF!</v>
      </c>
      <c r="AH417" s="80" t="e">
        <f>+BORDRO!#REF!</f>
        <v>#REF!</v>
      </c>
      <c r="AI417" s="75" t="e">
        <f>+BORDRO!#REF!</f>
        <v>#REF!</v>
      </c>
      <c r="AJ417" s="76">
        <f>+BORDRO!P95</f>
        <v>0</v>
      </c>
    </row>
    <row r="418" spans="1:36" ht="13.8" x14ac:dyDescent="0.25">
      <c r="A418" s="64" t="s">
        <v>51</v>
      </c>
      <c r="B418" s="119">
        <v>46</v>
      </c>
      <c r="C418" s="64" t="s">
        <v>52</v>
      </c>
      <c r="D418" s="64" t="s">
        <v>53</v>
      </c>
      <c r="E418" s="64" t="s">
        <v>53</v>
      </c>
      <c r="F418" s="65">
        <v>1494768</v>
      </c>
      <c r="G418" s="66" t="s">
        <v>105</v>
      </c>
      <c r="H418" s="64" t="s">
        <v>54</v>
      </c>
      <c r="I418" s="78"/>
      <c r="J418" s="67" t="e">
        <f>+Puantaj!#REF!</f>
        <v>#REF!</v>
      </c>
      <c r="K418" s="64" t="e">
        <f>+Puantaj!#REF!</f>
        <v>#REF!</v>
      </c>
      <c r="L418" s="64" t="e">
        <f>+Puantaj!#REF!</f>
        <v>#REF!</v>
      </c>
      <c r="M418" s="68" t="e">
        <f>+BORDRO!#REF!</f>
        <v>#REF!</v>
      </c>
      <c r="N418" s="64"/>
      <c r="O418" s="79" t="e">
        <f>+BORDRO!#REF!</f>
        <v>#REF!</v>
      </c>
      <c r="P418" s="79">
        <v>0</v>
      </c>
      <c r="Q418" s="69"/>
      <c r="R418" s="69"/>
      <c r="S418" s="70"/>
      <c r="T418" s="70"/>
      <c r="U418" s="71"/>
      <c r="V418" s="72" t="e">
        <f t="shared" si="6"/>
        <v>#REF!</v>
      </c>
      <c r="W418" s="73">
        <v>6</v>
      </c>
      <c r="X418" s="81" t="s">
        <v>99</v>
      </c>
      <c r="Y418" s="65">
        <v>2</v>
      </c>
      <c r="Z418" s="64" t="s">
        <v>51</v>
      </c>
      <c r="AA418" s="74" t="s">
        <v>781</v>
      </c>
      <c r="AB418" s="64">
        <v>2025</v>
      </c>
      <c r="AC418" s="64" t="s">
        <v>106</v>
      </c>
      <c r="AD418" s="80" t="e">
        <f>+BORDRO!#REF!</f>
        <v>#REF!</v>
      </c>
      <c r="AE418" s="75"/>
      <c r="AF418" s="75" t="e">
        <f>+BORDRO!#REF!</f>
        <v>#REF!</v>
      </c>
      <c r="AG418" s="75" t="e">
        <f>+BORDRO!#REF!</f>
        <v>#REF!</v>
      </c>
      <c r="AH418" s="80" t="e">
        <f>+BORDRO!#REF!</f>
        <v>#REF!</v>
      </c>
      <c r="AI418" s="75" t="e">
        <f>+BORDRO!#REF!</f>
        <v>#REF!</v>
      </c>
      <c r="AJ418" s="76">
        <f>+BORDRO!P96</f>
        <v>0</v>
      </c>
    </row>
    <row r="419" spans="1:36" ht="13.8" x14ac:dyDescent="0.25">
      <c r="A419" s="64" t="s">
        <v>51</v>
      </c>
      <c r="B419" s="119">
        <v>46</v>
      </c>
      <c r="C419" s="64" t="s">
        <v>52</v>
      </c>
      <c r="D419" s="64" t="s">
        <v>53</v>
      </c>
      <c r="E419" s="64" t="s">
        <v>53</v>
      </c>
      <c r="F419" s="65">
        <v>1494768</v>
      </c>
      <c r="G419" s="66" t="s">
        <v>105</v>
      </c>
      <c r="H419" s="64" t="s">
        <v>54</v>
      </c>
      <c r="I419" s="78"/>
      <c r="J419" s="67" t="e">
        <f>+Puantaj!#REF!</f>
        <v>#REF!</v>
      </c>
      <c r="K419" s="64" t="e">
        <f>+Puantaj!#REF!</f>
        <v>#REF!</v>
      </c>
      <c r="L419" s="64" t="e">
        <f>+Puantaj!#REF!</f>
        <v>#REF!</v>
      </c>
      <c r="M419" s="68" t="e">
        <f>+BORDRO!#REF!</f>
        <v>#REF!</v>
      </c>
      <c r="N419" s="64"/>
      <c r="O419" s="79" t="e">
        <f>+BORDRO!#REF!</f>
        <v>#REF!</v>
      </c>
      <c r="P419" s="79">
        <v>0</v>
      </c>
      <c r="Q419" s="69"/>
      <c r="R419" s="69"/>
      <c r="S419" s="70"/>
      <c r="T419" s="70"/>
      <c r="U419" s="71"/>
      <c r="V419" s="72" t="e">
        <f t="shared" si="6"/>
        <v>#REF!</v>
      </c>
      <c r="W419" s="73">
        <v>6</v>
      </c>
      <c r="X419" s="81" t="s">
        <v>99</v>
      </c>
      <c r="Y419" s="65">
        <v>2</v>
      </c>
      <c r="Z419" s="64" t="s">
        <v>51</v>
      </c>
      <c r="AA419" s="74" t="s">
        <v>781</v>
      </c>
      <c r="AB419" s="64">
        <v>2025</v>
      </c>
      <c r="AC419" s="64" t="s">
        <v>106</v>
      </c>
      <c r="AD419" s="80" t="e">
        <f>+BORDRO!#REF!</f>
        <v>#REF!</v>
      </c>
      <c r="AE419" s="75"/>
      <c r="AF419" s="75" t="e">
        <f>+BORDRO!#REF!</f>
        <v>#REF!</v>
      </c>
      <c r="AG419" s="75" t="e">
        <f>+BORDRO!#REF!</f>
        <v>#REF!</v>
      </c>
      <c r="AH419" s="80" t="e">
        <f>+BORDRO!#REF!</f>
        <v>#REF!</v>
      </c>
      <c r="AI419" s="75" t="e">
        <f>+BORDRO!#REF!</f>
        <v>#REF!</v>
      </c>
      <c r="AJ419" s="76">
        <f>+BORDRO!P97</f>
        <v>0</v>
      </c>
    </row>
    <row r="420" spans="1:36" ht="13.8" x14ac:dyDescent="0.25">
      <c r="A420" s="64" t="s">
        <v>51</v>
      </c>
      <c r="B420" s="119">
        <v>46</v>
      </c>
      <c r="C420" s="64" t="s">
        <v>52</v>
      </c>
      <c r="D420" s="64" t="s">
        <v>53</v>
      </c>
      <c r="E420" s="64" t="s">
        <v>53</v>
      </c>
      <c r="F420" s="65">
        <v>1494768</v>
      </c>
      <c r="G420" s="66" t="s">
        <v>105</v>
      </c>
      <c r="H420" s="64" t="s">
        <v>54</v>
      </c>
      <c r="I420" s="78"/>
      <c r="J420" s="67" t="e">
        <f>+Puantaj!#REF!</f>
        <v>#REF!</v>
      </c>
      <c r="K420" s="64" t="e">
        <f>+Puantaj!#REF!</f>
        <v>#REF!</v>
      </c>
      <c r="L420" s="64" t="e">
        <f>+Puantaj!#REF!</f>
        <v>#REF!</v>
      </c>
      <c r="M420" s="68" t="e">
        <f>+BORDRO!#REF!</f>
        <v>#REF!</v>
      </c>
      <c r="N420" s="64"/>
      <c r="O420" s="79" t="e">
        <f>+BORDRO!#REF!</f>
        <v>#REF!</v>
      </c>
      <c r="P420" s="79">
        <v>0</v>
      </c>
      <c r="Q420" s="69"/>
      <c r="R420" s="69"/>
      <c r="S420" s="70"/>
      <c r="T420" s="70"/>
      <c r="U420" s="71"/>
      <c r="V420" s="72" t="e">
        <f t="shared" si="6"/>
        <v>#REF!</v>
      </c>
      <c r="W420" s="73">
        <v>6</v>
      </c>
      <c r="X420" s="81" t="s">
        <v>99</v>
      </c>
      <c r="Y420" s="65">
        <v>2</v>
      </c>
      <c r="Z420" s="64" t="s">
        <v>51</v>
      </c>
      <c r="AA420" s="74" t="s">
        <v>781</v>
      </c>
      <c r="AB420" s="64">
        <v>2025</v>
      </c>
      <c r="AC420" s="64" t="s">
        <v>106</v>
      </c>
      <c r="AD420" s="80" t="e">
        <f>+BORDRO!#REF!</f>
        <v>#REF!</v>
      </c>
      <c r="AE420" s="75"/>
      <c r="AF420" s="75" t="e">
        <f>+BORDRO!#REF!</f>
        <v>#REF!</v>
      </c>
      <c r="AG420" s="75" t="e">
        <f>+BORDRO!#REF!</f>
        <v>#REF!</v>
      </c>
      <c r="AH420" s="80" t="e">
        <f>+BORDRO!#REF!</f>
        <v>#REF!</v>
      </c>
      <c r="AI420" s="75" t="e">
        <f>+BORDRO!#REF!</f>
        <v>#REF!</v>
      </c>
      <c r="AJ420" s="76">
        <f>+BORDRO!P98</f>
        <v>0</v>
      </c>
    </row>
    <row r="421" spans="1:36" ht="13.8" x14ac:dyDescent="0.25">
      <c r="A421" s="64"/>
      <c r="B421" s="119"/>
      <c r="C421" s="64"/>
      <c r="D421" s="64"/>
      <c r="E421" s="64"/>
      <c r="F421" s="65"/>
      <c r="G421" s="66"/>
      <c r="H421" s="64"/>
      <c r="I421" s="78"/>
      <c r="J421" s="67"/>
      <c r="K421" s="64"/>
      <c r="L421" s="64"/>
      <c r="M421" s="68" t="e">
        <f>SUM(M2:M420)</f>
        <v>#REF!</v>
      </c>
      <c r="N421" s="64"/>
      <c r="O421" s="79">
        <f>+BORDRO!G195</f>
        <v>2425920</v>
      </c>
      <c r="P421" s="79">
        <v>0</v>
      </c>
      <c r="Q421" s="69"/>
      <c r="R421" s="69"/>
      <c r="S421" s="70"/>
      <c r="T421" s="70"/>
      <c r="U421" s="71"/>
      <c r="V421" s="72" t="e">
        <f>SUM(V1:V420)-M421</f>
        <v>#REF!</v>
      </c>
      <c r="W421" s="73"/>
      <c r="X421" s="81"/>
      <c r="Y421" s="65"/>
      <c r="Z421" s="64"/>
      <c r="AA421" s="74"/>
      <c r="AB421" s="64"/>
      <c r="AC421" s="64"/>
      <c r="AD421" s="80" t="e">
        <f>SUM(AD2:AD420)</f>
        <v>#REF!</v>
      </c>
      <c r="AE421" s="75"/>
      <c r="AF421" s="75" t="e">
        <f>SUM(AF2:AF420)</f>
        <v>#REF!</v>
      </c>
      <c r="AG421" s="75" t="e">
        <f>SUM(AG2:AG420)</f>
        <v>#REF!</v>
      </c>
      <c r="AH421" s="80" t="e">
        <f>SUM(AH2:AH420)</f>
        <v>#REF!</v>
      </c>
      <c r="AI421" s="75" t="e">
        <f>SUM(AI2:AI420)</f>
        <v>#REF!</v>
      </c>
      <c r="AJ421" s="76" t="e">
        <f>+BORDRO!#REF!</f>
        <v>#REF!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FF38-348B-4A5F-8BA8-11493E755225}">
  <sheetPr>
    <pageSetUpPr fitToPage="1"/>
  </sheetPr>
  <dimension ref="A1:F206"/>
  <sheetViews>
    <sheetView tabSelected="1" workbookViewId="0">
      <selection activeCell="F22" sqref="F22"/>
    </sheetView>
  </sheetViews>
  <sheetFormatPr defaultRowHeight="13.2" x14ac:dyDescent="0.25"/>
  <cols>
    <col min="1" max="1" width="16.44140625" customWidth="1"/>
    <col min="2" max="2" width="29.33203125" customWidth="1"/>
    <col min="3" max="3" width="29" customWidth="1"/>
    <col min="4" max="4" width="17.6640625" customWidth="1"/>
    <col min="5" max="5" width="24.109375" bestFit="1" customWidth="1"/>
    <col min="6" max="6" width="20.33203125" bestFit="1" customWidth="1"/>
  </cols>
  <sheetData>
    <row r="1" spans="1:6" x14ac:dyDescent="0.25">
      <c r="A1" s="256" t="s">
        <v>797</v>
      </c>
      <c r="B1" s="257"/>
      <c r="C1" s="146"/>
      <c r="D1" s="148"/>
      <c r="E1" s="167"/>
      <c r="F1" s="162"/>
    </row>
    <row r="2" spans="1:6" x14ac:dyDescent="0.25">
      <c r="A2" s="259" t="s">
        <v>798</v>
      </c>
      <c r="B2" s="257"/>
      <c r="C2" s="146"/>
      <c r="D2" s="148"/>
      <c r="E2" s="167"/>
      <c r="F2" s="162"/>
    </row>
    <row r="3" spans="1:6" x14ac:dyDescent="0.25">
      <c r="A3" s="256" t="s">
        <v>799</v>
      </c>
      <c r="B3" s="257"/>
      <c r="C3" s="146">
        <v>1329</v>
      </c>
      <c r="D3" s="148"/>
      <c r="E3" s="167"/>
      <c r="F3" s="162"/>
    </row>
    <row r="4" spans="1:6" x14ac:dyDescent="0.25">
      <c r="A4" s="256" t="s">
        <v>800</v>
      </c>
      <c r="B4" s="257"/>
      <c r="C4" s="146" t="s">
        <v>801</v>
      </c>
      <c r="D4" s="149"/>
      <c r="E4" s="149"/>
      <c r="F4" s="162"/>
    </row>
    <row r="5" spans="1:6" x14ac:dyDescent="0.25">
      <c r="A5" s="256" t="s">
        <v>802</v>
      </c>
      <c r="B5" s="257"/>
      <c r="C5" s="87" t="s">
        <v>841</v>
      </c>
      <c r="D5" s="149"/>
      <c r="E5" s="149"/>
      <c r="F5" s="162"/>
    </row>
    <row r="6" spans="1:6" x14ac:dyDescent="0.25">
      <c r="A6" s="256" t="s">
        <v>804</v>
      </c>
      <c r="B6" s="257"/>
      <c r="C6" s="150" t="s">
        <v>805</v>
      </c>
      <c r="D6" s="149"/>
      <c r="E6" s="149"/>
      <c r="F6" s="162"/>
    </row>
    <row r="7" spans="1:6" x14ac:dyDescent="0.25">
      <c r="A7" s="256" t="s">
        <v>806</v>
      </c>
      <c r="B7" s="257"/>
      <c r="C7" s="150"/>
      <c r="D7" s="160"/>
      <c r="E7" s="151" t="s">
        <v>807</v>
      </c>
      <c r="F7" s="151"/>
    </row>
    <row r="8" spans="1:6" x14ac:dyDescent="0.25">
      <c r="A8" s="256" t="s">
        <v>808</v>
      </c>
      <c r="B8" s="257"/>
      <c r="C8" s="146" t="s">
        <v>803</v>
      </c>
      <c r="D8" s="160"/>
      <c r="E8" s="151" t="s">
        <v>809</v>
      </c>
      <c r="F8" s="152">
        <f>SUM(C13:C201)</f>
        <v>2425920</v>
      </c>
    </row>
    <row r="9" spans="1:6" x14ac:dyDescent="0.25">
      <c r="A9" s="256" t="s">
        <v>810</v>
      </c>
      <c r="B9" s="257"/>
      <c r="C9" s="146" t="s">
        <v>819</v>
      </c>
      <c r="D9" s="160"/>
      <c r="E9" s="151" t="s">
        <v>811</v>
      </c>
      <c r="F9" s="153">
        <v>186</v>
      </c>
    </row>
    <row r="10" spans="1:6" x14ac:dyDescent="0.25">
      <c r="A10" s="154" t="s">
        <v>812</v>
      </c>
      <c r="B10" s="149"/>
      <c r="C10" s="147"/>
      <c r="D10" s="149"/>
      <c r="E10" s="149"/>
      <c r="F10" s="162"/>
    </row>
    <row r="11" spans="1:6" x14ac:dyDescent="0.25">
      <c r="A11" s="149"/>
      <c r="B11" s="149"/>
      <c r="C11" s="147"/>
      <c r="D11" s="149"/>
      <c r="E11" s="149"/>
      <c r="F11" s="162"/>
    </row>
    <row r="12" spans="1:6" x14ac:dyDescent="0.25">
      <c r="A12" s="155" t="s">
        <v>813</v>
      </c>
      <c r="B12" s="155" t="s">
        <v>814</v>
      </c>
      <c r="C12" s="155" t="s">
        <v>815</v>
      </c>
      <c r="D12" s="155" t="s">
        <v>817</v>
      </c>
      <c r="E12" s="155" t="s">
        <v>818</v>
      </c>
      <c r="F12" s="168" t="s">
        <v>12</v>
      </c>
    </row>
    <row r="13" spans="1:6" ht="16.5" customHeight="1" x14ac:dyDescent="0.3">
      <c r="A13" s="161" t="s">
        <v>816</v>
      </c>
      <c r="B13" s="157" t="str">
        <f>'Banka Lis.'!C5</f>
        <v>TR290001002151713143585001</v>
      </c>
      <c r="C13" s="158">
        <f>'Banka Lis.'!D5</f>
        <v>14079</v>
      </c>
      <c r="D13" s="159" t="str">
        <f>'Banka Lis.'!G5</f>
        <v>22985652920</v>
      </c>
      <c r="E13" s="156" t="str">
        <f>'Banka Lis.'!E5</f>
        <v>ABDURRAHMAN CENGİZ</v>
      </c>
      <c r="F13" s="87" t="str">
        <f>'Banka Lis.'!F5</f>
        <v>AYDOĞDU</v>
      </c>
    </row>
    <row r="14" spans="1:6" ht="16.5" customHeight="1" x14ac:dyDescent="0.3">
      <c r="A14" s="161" t="s">
        <v>816</v>
      </c>
      <c r="B14" s="157" t="str">
        <f>'Banka Lis.'!C6</f>
        <v>TR270020500009943979400001</v>
      </c>
      <c r="C14" s="158">
        <f>'Banka Lis.'!D6</f>
        <v>6498</v>
      </c>
      <c r="D14" s="159" t="str">
        <f>'Banka Lis.'!G6</f>
        <v>10264855810</v>
      </c>
      <c r="E14" s="156" t="str">
        <f>'Banka Lis.'!E6</f>
        <v>AHMET EMİRHAN</v>
      </c>
      <c r="F14" s="87" t="str">
        <f>'Banka Lis.'!F6</f>
        <v>ELDEMİR</v>
      </c>
    </row>
    <row r="15" spans="1:6" ht="16.5" customHeight="1" x14ac:dyDescent="0.3">
      <c r="A15" s="161" t="s">
        <v>816</v>
      </c>
      <c r="B15" s="157" t="str">
        <f>'Banka Lis.'!C7</f>
        <v>TR370001009010555427505003</v>
      </c>
      <c r="C15" s="158">
        <f>'Banka Lis.'!D7</f>
        <v>15162</v>
      </c>
      <c r="D15" s="159" t="str">
        <f>'Banka Lis.'!G7</f>
        <v>11230293988</v>
      </c>
      <c r="E15" s="156" t="str">
        <f>'Banka Lis.'!E7</f>
        <v>AHMET SAMED</v>
      </c>
      <c r="F15" s="87" t="str">
        <f>'Banka Lis.'!F7</f>
        <v>KARABULUT</v>
      </c>
    </row>
    <row r="16" spans="1:6" ht="14.4" x14ac:dyDescent="0.3">
      <c r="A16" s="161" t="s">
        <v>816</v>
      </c>
      <c r="B16" s="157" t="str">
        <f>'Banka Lis.'!C8</f>
        <v>TR550006701000000037357882</v>
      </c>
      <c r="C16" s="158">
        <f>'Banka Lis.'!D8</f>
        <v>14079</v>
      </c>
      <c r="D16" s="159" t="str">
        <f>'Banka Lis.'!G8</f>
        <v>10271762804</v>
      </c>
      <c r="E16" s="156" t="str">
        <f>'Banka Lis.'!E8</f>
        <v>AHMET</v>
      </c>
      <c r="F16" s="87" t="str">
        <f>'Banka Lis.'!F8</f>
        <v>ŞEN</v>
      </c>
    </row>
    <row r="17" spans="1:6" ht="16.5" customHeight="1" x14ac:dyDescent="0.3">
      <c r="A17" s="161" t="s">
        <v>816</v>
      </c>
      <c r="B17" s="157" t="str">
        <f>'Banka Lis.'!C9</f>
        <v>TR040001009010348991905001</v>
      </c>
      <c r="C17" s="158">
        <f>'Banka Lis.'!D9</f>
        <v>15162</v>
      </c>
      <c r="D17" s="159" t="str">
        <f>'Banka Lis.'!G9</f>
        <v>10067475932</v>
      </c>
      <c r="E17" s="156" t="str">
        <f>'Banka Lis.'!E9</f>
        <v>AHMET YASİN</v>
      </c>
      <c r="F17" s="87" t="str">
        <f>'Banka Lis.'!F9</f>
        <v>KURT</v>
      </c>
    </row>
    <row r="18" spans="1:6" ht="16.5" customHeight="1" x14ac:dyDescent="0.3">
      <c r="A18" s="161" t="s">
        <v>816</v>
      </c>
      <c r="B18" s="157" t="str">
        <f>'Banka Lis.'!C10</f>
        <v>TR070001009010961041905002</v>
      </c>
      <c r="C18" s="158">
        <f>'Banka Lis.'!D10</f>
        <v>4332</v>
      </c>
      <c r="D18" s="159" t="str">
        <f>'Banka Lis.'!G10</f>
        <v>13333175444</v>
      </c>
      <c r="E18" s="156" t="str">
        <f>'Banka Lis.'!E10</f>
        <v>AKİF YAVUZ</v>
      </c>
      <c r="F18" s="87" t="str">
        <f>'Banka Lis.'!F10</f>
        <v>ZENGİN</v>
      </c>
    </row>
    <row r="19" spans="1:6" ht="14.4" hidden="1" x14ac:dyDescent="0.3">
      <c r="A19" s="161" t="s">
        <v>816</v>
      </c>
      <c r="B19" s="157" t="str">
        <f>'Banka Lis.'!C11</f>
        <v>TR250001009010259614605003</v>
      </c>
      <c r="C19" s="158">
        <f>'Banka Lis.'!D11</f>
        <v>0</v>
      </c>
      <c r="D19" s="159" t="str">
        <f>'Banka Lis.'!G11</f>
        <v>34411910856</v>
      </c>
      <c r="E19" s="156" t="str">
        <f>'Banka Lis.'!E11</f>
        <v>ALEYNA</v>
      </c>
      <c r="F19" s="87" t="str">
        <f>'Banka Lis.'!F11</f>
        <v>ÇAKAR</v>
      </c>
    </row>
    <row r="20" spans="1:6" ht="14.4" x14ac:dyDescent="0.3">
      <c r="A20" s="161" t="s">
        <v>816</v>
      </c>
      <c r="B20" s="157" t="str">
        <f>'Banka Lis.'!C12</f>
        <v>TR580001009010556440305002</v>
      </c>
      <c r="C20" s="158">
        <f>'Banka Lis.'!D12</f>
        <v>12996</v>
      </c>
      <c r="D20" s="159" t="str">
        <f>'Banka Lis.'!G12</f>
        <v>11069535280</v>
      </c>
      <c r="E20" s="156" t="str">
        <f>'Banka Lis.'!E12</f>
        <v>ALİGAFFAR</v>
      </c>
      <c r="F20" s="87" t="str">
        <f>'Banka Lis.'!F12</f>
        <v>AYDIN</v>
      </c>
    </row>
    <row r="21" spans="1:6" ht="16.5" customHeight="1" x14ac:dyDescent="0.3">
      <c r="A21" s="161" t="s">
        <v>816</v>
      </c>
      <c r="B21" s="157" t="str">
        <f>'Banka Lis.'!C13</f>
        <v>TR960001200122900001249734</v>
      </c>
      <c r="C21" s="158">
        <f>'Banka Lis.'!D13</f>
        <v>15162</v>
      </c>
      <c r="D21" s="159" t="str">
        <f>'Banka Lis.'!G13</f>
        <v>10420954296</v>
      </c>
      <c r="E21" s="156" t="str">
        <f>'Banka Lis.'!E13</f>
        <v>ARİF</v>
      </c>
      <c r="F21" s="87" t="str">
        <f>'Banka Lis.'!F13</f>
        <v>TURAN</v>
      </c>
    </row>
    <row r="22" spans="1:6" ht="16.5" customHeight="1" x14ac:dyDescent="0.3">
      <c r="A22" s="161" t="s">
        <v>816</v>
      </c>
      <c r="B22" s="157" t="str">
        <f>'Banka Lis.'!C14</f>
        <v>TR530004600007888000653780</v>
      </c>
      <c r="C22" s="158">
        <f>'Banka Lis.'!D14</f>
        <v>16244.999999999998</v>
      </c>
      <c r="D22" s="159" t="str">
        <f>'Banka Lis.'!G14</f>
        <v>11039638348</v>
      </c>
      <c r="E22" s="156" t="str">
        <f>'Banka Lis.'!E14</f>
        <v>ASLAN ERAY</v>
      </c>
      <c r="F22" s="87" t="str">
        <f>'Banka Lis.'!F14</f>
        <v>KARAVAŞ</v>
      </c>
    </row>
    <row r="23" spans="1:6" ht="16.5" customHeight="1" x14ac:dyDescent="0.3">
      <c r="A23" s="161" t="s">
        <v>816</v>
      </c>
      <c r="B23" s="157" t="str">
        <f>'Banka Lis.'!C15</f>
        <v>TR070001009010550885705001</v>
      </c>
      <c r="C23" s="158">
        <f>'Banka Lis.'!D15</f>
        <v>5415</v>
      </c>
      <c r="D23" s="159" t="str">
        <f>'Banka Lis.'!G15</f>
        <v>18397728780</v>
      </c>
      <c r="E23" s="156" t="str">
        <f>'Banka Lis.'!E15</f>
        <v>ASLI</v>
      </c>
      <c r="F23" s="87" t="str">
        <f>'Banka Lis.'!F15</f>
        <v>BEKTAŞ</v>
      </c>
    </row>
    <row r="24" spans="1:6" ht="16.5" customHeight="1" x14ac:dyDescent="0.3">
      <c r="A24" s="161" t="s">
        <v>816</v>
      </c>
      <c r="B24" s="157" t="str">
        <f>'Banka Lis.'!C16</f>
        <v>TR080001001914961839085005</v>
      </c>
      <c r="C24" s="158">
        <f>'Banka Lis.'!D16</f>
        <v>12996</v>
      </c>
      <c r="D24" s="159" t="str">
        <f>'Banka Lis.'!G16</f>
        <v>31885265086</v>
      </c>
      <c r="E24" s="156" t="str">
        <f>'Banka Lis.'!E16</f>
        <v>AYBERK</v>
      </c>
      <c r="F24" s="87" t="str">
        <f>'Banka Lis.'!F16</f>
        <v>EREN</v>
      </c>
    </row>
    <row r="25" spans="1:6" ht="16.5" customHeight="1" x14ac:dyDescent="0.3">
      <c r="A25" s="161" t="s">
        <v>816</v>
      </c>
      <c r="B25" s="157" t="str">
        <f>'Banka Lis.'!C17</f>
        <v>TR860004600563888000416642</v>
      </c>
      <c r="C25" s="158">
        <f>'Banka Lis.'!D17</f>
        <v>14079</v>
      </c>
      <c r="D25" s="159" t="str">
        <f>'Banka Lis.'!G17</f>
        <v>16364821786</v>
      </c>
      <c r="E25" s="156" t="str">
        <f>'Banka Lis.'!E17</f>
        <v>AYBERK</v>
      </c>
      <c r="F25" s="87" t="str">
        <f>'Banka Lis.'!F17</f>
        <v>KILIÇ</v>
      </c>
    </row>
    <row r="26" spans="1:6" ht="14.4" x14ac:dyDescent="0.3">
      <c r="A26" s="161" t="s">
        <v>816</v>
      </c>
      <c r="B26" s="157" t="str">
        <f>'Banka Lis.'!C18</f>
        <v>TR520001009010110010105001</v>
      </c>
      <c r="C26" s="158">
        <f>'Banka Lis.'!D18</f>
        <v>14079</v>
      </c>
      <c r="D26" s="159" t="str">
        <f>'Banka Lis.'!G18</f>
        <v>10307955460</v>
      </c>
      <c r="E26" s="156" t="str">
        <f>'Banka Lis.'!E18</f>
        <v>AYÇA</v>
      </c>
      <c r="F26" s="87" t="str">
        <f>'Banka Lis.'!F18</f>
        <v>YAZICI</v>
      </c>
    </row>
    <row r="27" spans="1:6" ht="16.5" customHeight="1" x14ac:dyDescent="0.3">
      <c r="A27" s="161" t="s">
        <v>816</v>
      </c>
      <c r="B27" s="157" t="str">
        <f>'Banka Lis.'!C19</f>
        <v>TR830001009010018214505001</v>
      </c>
      <c r="C27" s="158">
        <f>'Banka Lis.'!D19</f>
        <v>14079</v>
      </c>
      <c r="D27" s="159" t="str">
        <f>'Banka Lis.'!G19</f>
        <v>37796134572</v>
      </c>
      <c r="E27" s="156" t="str">
        <f>'Banka Lis.'!E19</f>
        <v>AYŞE</v>
      </c>
      <c r="F27" s="87" t="str">
        <f>'Banka Lis.'!F19</f>
        <v>KADIOĞULLARI</v>
      </c>
    </row>
    <row r="28" spans="1:6" ht="16.5" customHeight="1" x14ac:dyDescent="0.3">
      <c r="A28" s="161" t="s">
        <v>816</v>
      </c>
      <c r="B28" s="157" t="str">
        <f>'Banka Lis.'!C20</f>
        <v>TR340006701000000012356801</v>
      </c>
      <c r="C28" s="158">
        <f>'Banka Lis.'!D20</f>
        <v>12996</v>
      </c>
      <c r="D28" s="159" t="str">
        <f>'Banka Lis.'!G20</f>
        <v>20425647000</v>
      </c>
      <c r="E28" s="156" t="str">
        <f>'Banka Lis.'!E20</f>
        <v>AYŞE</v>
      </c>
      <c r="F28" s="87" t="str">
        <f>'Banka Lis.'!F20</f>
        <v>KÜÇÜKALİ</v>
      </c>
    </row>
    <row r="29" spans="1:6" ht="14.4" x14ac:dyDescent="0.3">
      <c r="A29" s="161" t="s">
        <v>816</v>
      </c>
      <c r="B29" s="157" t="str">
        <f>'Banka Lis.'!C21</f>
        <v>TR650001009010552580105001</v>
      </c>
      <c r="C29" s="158">
        <f>'Banka Lis.'!D21</f>
        <v>15162</v>
      </c>
      <c r="D29" s="159" t="str">
        <f>'Banka Lis.'!G21</f>
        <v>10211811296</v>
      </c>
      <c r="E29" s="156" t="str">
        <f>'Banka Lis.'!E21</f>
        <v>AYŞE NUR</v>
      </c>
      <c r="F29" s="87" t="str">
        <f>'Banka Lis.'!F21</f>
        <v>TÜRKYILMAZ</v>
      </c>
    </row>
    <row r="30" spans="1:6" ht="16.5" customHeight="1" x14ac:dyDescent="0.3">
      <c r="A30" s="161" t="s">
        <v>816</v>
      </c>
      <c r="B30" s="157" t="str">
        <f>'Banka Lis.'!C22</f>
        <v>TR560001009010276446500001</v>
      </c>
      <c r="C30" s="158">
        <f>'Banka Lis.'!D22</f>
        <v>14079</v>
      </c>
      <c r="D30" s="159" t="str">
        <f>'Banka Lis.'!G22</f>
        <v>38158642018</v>
      </c>
      <c r="E30" s="156" t="str">
        <f>'Banka Lis.'!E22</f>
        <v>AYŞENUR TUĞBA</v>
      </c>
      <c r="F30" s="87" t="str">
        <f>'Banka Lis.'!F22</f>
        <v>KILIÇARSLAN</v>
      </c>
    </row>
    <row r="31" spans="1:6" ht="16.5" customHeight="1" x14ac:dyDescent="0.3">
      <c r="A31" s="161" t="s">
        <v>816</v>
      </c>
      <c r="B31" s="157" t="str">
        <f>'Banka Lis.'!C23</f>
        <v>TR310004601245888000103590</v>
      </c>
      <c r="C31" s="158">
        <f>'Banka Lis.'!D23</f>
        <v>15162</v>
      </c>
      <c r="D31" s="159" t="str">
        <f>'Banka Lis.'!G23</f>
        <v>10391956060</v>
      </c>
      <c r="E31" s="156" t="str">
        <f>'Banka Lis.'!E23</f>
        <v>AYŞENUR</v>
      </c>
      <c r="F31" s="87" t="str">
        <f>'Banka Lis.'!F23</f>
        <v>YILDIRIM</v>
      </c>
    </row>
    <row r="32" spans="1:6" ht="16.5" customHeight="1" x14ac:dyDescent="0.3">
      <c r="A32" s="161" t="s">
        <v>816</v>
      </c>
      <c r="B32" s="157" t="str">
        <f>'Banka Lis.'!C24</f>
        <v>TR860001009010458311205001</v>
      </c>
      <c r="C32" s="158">
        <f>'Banka Lis.'!D24</f>
        <v>7581</v>
      </c>
      <c r="D32" s="159" t="str">
        <f>'Banka Lis.'!G24</f>
        <v>10075858284</v>
      </c>
      <c r="E32" s="156" t="str">
        <f>'Banka Lis.'!E24</f>
        <v>AZİZE NUR</v>
      </c>
      <c r="F32" s="87" t="str">
        <f>'Banka Lis.'!F24</f>
        <v>TUTUM</v>
      </c>
    </row>
    <row r="33" spans="1:6" ht="14.4" x14ac:dyDescent="0.3">
      <c r="A33" s="161" t="s">
        <v>816</v>
      </c>
      <c r="B33" s="157" t="str">
        <f>'Banka Lis.'!C25</f>
        <v>TR800006200068700006892740</v>
      </c>
      <c r="C33" s="158">
        <f>'Banka Lis.'!D25</f>
        <v>15162</v>
      </c>
      <c r="D33" s="159" t="str">
        <f>'Banka Lis.'!G25</f>
        <v>38815458440</v>
      </c>
      <c r="E33" s="156" t="str">
        <f>'Banka Lis.'!E25</f>
        <v>AZRA</v>
      </c>
      <c r="F33" s="87" t="str">
        <f>'Banka Lis.'!F25</f>
        <v>ÖZGÜL</v>
      </c>
    </row>
    <row r="34" spans="1:6" ht="16.5" customHeight="1" x14ac:dyDescent="0.3">
      <c r="A34" s="161" t="s">
        <v>816</v>
      </c>
      <c r="B34" s="157" t="str">
        <f>'Banka Lis.'!C26</f>
        <v>TR260006701000000078559930</v>
      </c>
      <c r="C34" s="158">
        <f>'Banka Lis.'!D26</f>
        <v>14079</v>
      </c>
      <c r="D34" s="159" t="str">
        <f>'Banka Lis.'!G26</f>
        <v>22682146630</v>
      </c>
      <c r="E34" s="156" t="str">
        <f>'Banka Lis.'!E26</f>
        <v>BEGÜM</v>
      </c>
      <c r="F34" s="87" t="str">
        <f>'Banka Lis.'!F26</f>
        <v>YALÇIN</v>
      </c>
    </row>
    <row r="35" spans="1:6" ht="16.5" customHeight="1" x14ac:dyDescent="0.3">
      <c r="A35" s="161" t="s">
        <v>816</v>
      </c>
      <c r="B35" s="157" t="str">
        <f>'Banka Lis.'!C27</f>
        <v>TR780004600563888000363339</v>
      </c>
      <c r="C35" s="158">
        <f>'Banka Lis.'!D27</f>
        <v>12996</v>
      </c>
      <c r="D35" s="159" t="str">
        <f>'Banka Lis.'!G27</f>
        <v>10048324686</v>
      </c>
      <c r="E35" s="156" t="str">
        <f>'Banka Lis.'!E27</f>
        <v>BERAT</v>
      </c>
      <c r="F35" s="87" t="str">
        <f>'Banka Lis.'!F27</f>
        <v>ÇAM</v>
      </c>
    </row>
    <row r="36" spans="1:6" ht="16.5" customHeight="1" x14ac:dyDescent="0.3">
      <c r="A36" s="161" t="s">
        <v>816</v>
      </c>
      <c r="B36" s="157" t="str">
        <f>'Banka Lis.'!C28</f>
        <v>TR830001009010204648505001</v>
      </c>
      <c r="C36" s="158">
        <f>'Banka Lis.'!D28</f>
        <v>14079</v>
      </c>
      <c r="D36" s="159" t="str">
        <f>'Banka Lis.'!G28</f>
        <v>60583295750</v>
      </c>
      <c r="E36" s="156" t="str">
        <f>'Banka Lis.'!E28</f>
        <v>BETÜL</v>
      </c>
      <c r="F36" s="87" t="str">
        <f>'Banka Lis.'!F28</f>
        <v>ÖZTÜRK</v>
      </c>
    </row>
    <row r="37" spans="1:6" ht="14.4" x14ac:dyDescent="0.3">
      <c r="A37" s="161" t="s">
        <v>816</v>
      </c>
      <c r="B37" s="157" t="str">
        <f>'Banka Lis.'!C29</f>
        <v>TR350006200151700006611592</v>
      </c>
      <c r="C37" s="158">
        <f>'Banka Lis.'!D29</f>
        <v>12996</v>
      </c>
      <c r="D37" s="159" t="str">
        <f>'Banka Lis.'!G29</f>
        <v>15829750838</v>
      </c>
      <c r="E37" s="156" t="str">
        <f>'Banka Lis.'!E29</f>
        <v>BETÜL</v>
      </c>
      <c r="F37" s="87" t="str">
        <f>'Banka Lis.'!F29</f>
        <v>UYAR</v>
      </c>
    </row>
    <row r="38" spans="1:6" ht="16.5" customHeight="1" x14ac:dyDescent="0.3">
      <c r="A38" s="161" t="s">
        <v>816</v>
      </c>
      <c r="B38" s="157" t="str">
        <f>'Banka Lis.'!C30</f>
        <v>TR390001009010263272305001</v>
      </c>
      <c r="C38" s="158">
        <f>'Banka Lis.'!D30</f>
        <v>16244.999999999998</v>
      </c>
      <c r="D38" s="159" t="str">
        <f>'Banka Lis.'!G30</f>
        <v>12029296494</v>
      </c>
      <c r="E38" s="156" t="str">
        <f>'Banka Lis.'!E30</f>
        <v>BİLAL EMİR</v>
      </c>
      <c r="F38" s="87" t="str">
        <f>'Banka Lis.'!F30</f>
        <v>GÖK</v>
      </c>
    </row>
    <row r="39" spans="1:6" ht="16.5" customHeight="1" x14ac:dyDescent="0.3">
      <c r="A39" s="161" t="s">
        <v>816</v>
      </c>
      <c r="B39" s="157" t="str">
        <f>'Banka Lis.'!C31</f>
        <v>TR930006400000180300609819</v>
      </c>
      <c r="C39" s="158">
        <f>'Banka Lis.'!D31</f>
        <v>1083</v>
      </c>
      <c r="D39" s="159" t="str">
        <f>'Banka Lis.'!G31</f>
        <v>11559114636</v>
      </c>
      <c r="E39" s="156" t="str">
        <f>'Banka Lis.'!E31</f>
        <v>BİLAL</v>
      </c>
      <c r="F39" s="87" t="str">
        <f>'Banka Lis.'!F31</f>
        <v>GÜNGÖR</v>
      </c>
    </row>
    <row r="40" spans="1:6" ht="16.5" customHeight="1" x14ac:dyDescent="0.3">
      <c r="A40" s="161" t="s">
        <v>816</v>
      </c>
      <c r="B40" s="157" t="str">
        <f>'Banka Lis.'!C32</f>
        <v>TR860001001799959944335001</v>
      </c>
      <c r="C40" s="158">
        <f>'Banka Lis.'!D32</f>
        <v>15162</v>
      </c>
      <c r="D40" s="159" t="str">
        <f>'Banka Lis.'!G32</f>
        <v>16765732636</v>
      </c>
      <c r="E40" s="156" t="str">
        <f>'Banka Lis.'!E32</f>
        <v>BUSE</v>
      </c>
      <c r="F40" s="87" t="str">
        <f>'Banka Lis.'!F32</f>
        <v>ALACA</v>
      </c>
    </row>
    <row r="41" spans="1:6" ht="16.5" customHeight="1" x14ac:dyDescent="0.3">
      <c r="A41" s="161" t="s">
        <v>816</v>
      </c>
      <c r="B41" s="157" t="str">
        <f>'Banka Lis.'!C33</f>
        <v>TR480004600094888000220489</v>
      </c>
      <c r="C41" s="158">
        <f>'Banka Lis.'!D33</f>
        <v>4332</v>
      </c>
      <c r="D41" s="159" t="str">
        <f>'Banka Lis.'!G33</f>
        <v>10169157156</v>
      </c>
      <c r="E41" s="156" t="str">
        <f>'Banka Lis.'!E33</f>
        <v>BUSE</v>
      </c>
      <c r="F41" s="87" t="str">
        <f>'Banka Lis.'!F33</f>
        <v>PAMUK</v>
      </c>
    </row>
    <row r="42" spans="1:6" ht="16.5" customHeight="1" x14ac:dyDescent="0.3">
      <c r="A42" s="161" t="s">
        <v>816</v>
      </c>
      <c r="B42" s="157" t="str">
        <f>'Banka Lis.'!C34</f>
        <v>TR350001009010260552505001</v>
      </c>
      <c r="C42" s="158">
        <f>'Banka Lis.'!D34</f>
        <v>15162</v>
      </c>
      <c r="D42" s="159" t="str">
        <f>'Banka Lis.'!G34</f>
        <v>22309168236</v>
      </c>
      <c r="E42" s="156" t="str">
        <f>'Banka Lis.'!E34</f>
        <v>CAFER</v>
      </c>
      <c r="F42" s="87" t="str">
        <f>'Banka Lis.'!F34</f>
        <v>SOYLU</v>
      </c>
    </row>
    <row r="43" spans="1:6" ht="16.5" customHeight="1" x14ac:dyDescent="0.3">
      <c r="A43" s="161" t="s">
        <v>816</v>
      </c>
      <c r="B43" s="157" t="str">
        <f>'Banka Lis.'!C35</f>
        <v>TR290001009010067788405001</v>
      </c>
      <c r="C43" s="158">
        <f>'Banka Lis.'!D35</f>
        <v>15162</v>
      </c>
      <c r="D43" s="159" t="str">
        <f>'Banka Lis.'!G35</f>
        <v>15725667650</v>
      </c>
      <c r="E43" s="156" t="str">
        <f>'Banka Lis.'!E35</f>
        <v>CANER</v>
      </c>
      <c r="F43" s="87" t="str">
        <f>'Banka Lis.'!F35</f>
        <v>YILDIZ</v>
      </c>
    </row>
    <row r="44" spans="1:6" ht="16.5" customHeight="1" x14ac:dyDescent="0.3">
      <c r="A44" s="161" t="s">
        <v>816</v>
      </c>
      <c r="B44" s="157" t="str">
        <f>'Banka Lis.'!C36</f>
        <v>TR750001200929900001140213</v>
      </c>
      <c r="C44" s="158">
        <f>'Banka Lis.'!D36</f>
        <v>12996</v>
      </c>
      <c r="D44" s="159" t="str">
        <f>'Banka Lis.'!G36</f>
        <v>15709804262</v>
      </c>
      <c r="E44" s="156" t="str">
        <f>'Banka Lis.'!E36</f>
        <v>CEMAL AFŞİN</v>
      </c>
      <c r="F44" s="87" t="str">
        <f>'Banka Lis.'!F36</f>
        <v>TÜRKYILMAZ</v>
      </c>
    </row>
    <row r="45" spans="1:6" ht="16.5" customHeight="1" x14ac:dyDescent="0.3">
      <c r="A45" s="161" t="s">
        <v>816</v>
      </c>
      <c r="B45" s="157" t="str">
        <f>'Banka Lis.'!C37</f>
        <v>TR220006701000000033603703</v>
      </c>
      <c r="C45" s="158">
        <f>'Banka Lis.'!D37</f>
        <v>15162</v>
      </c>
      <c r="D45" s="159" t="str">
        <f>'Banka Lis.'!G37</f>
        <v>10841685564</v>
      </c>
      <c r="E45" s="156" t="str">
        <f>'Banka Lis.'!E37</f>
        <v>CEMRE</v>
      </c>
      <c r="F45" s="87" t="str">
        <f>'Banka Lis.'!F37</f>
        <v>GÜRŞEN</v>
      </c>
    </row>
    <row r="46" spans="1:6" ht="14.4" x14ac:dyDescent="0.3">
      <c r="A46" s="161" t="s">
        <v>816</v>
      </c>
      <c r="B46" s="157" t="str">
        <f>'Banka Lis.'!C38</f>
        <v>TR740001009010956764805002</v>
      </c>
      <c r="C46" s="158">
        <f>'Banka Lis.'!D38</f>
        <v>14079</v>
      </c>
      <c r="D46" s="159" t="str">
        <f>'Banka Lis.'!G38</f>
        <v>11102488016</v>
      </c>
      <c r="E46" s="156" t="str">
        <f>'Banka Lis.'!E38</f>
        <v>CEREN</v>
      </c>
      <c r="F46" s="87" t="str">
        <f>'Banka Lis.'!F38</f>
        <v>YILDIRIM</v>
      </c>
    </row>
    <row r="47" spans="1:6" ht="16.5" customHeight="1" x14ac:dyDescent="0.3">
      <c r="A47" s="161" t="s">
        <v>816</v>
      </c>
      <c r="B47" s="157" t="str">
        <f>'Banka Lis.'!C39</f>
        <v>TR450006701000000075954168</v>
      </c>
      <c r="C47" s="158">
        <f>'Banka Lis.'!D39</f>
        <v>12996</v>
      </c>
      <c r="D47" s="159" t="str">
        <f>'Banka Lis.'!G39</f>
        <v>45631014194</v>
      </c>
      <c r="E47" s="156" t="str">
        <f>'Banka Lis.'!E39</f>
        <v>ÇAĞLAYAN EFE</v>
      </c>
      <c r="F47" s="87" t="str">
        <f>'Banka Lis.'!F39</f>
        <v>KOYUNCU</v>
      </c>
    </row>
    <row r="48" spans="1:6" ht="16.5" customHeight="1" x14ac:dyDescent="0.3">
      <c r="A48" s="161" t="s">
        <v>816</v>
      </c>
      <c r="B48" s="157" t="str">
        <f>'Banka Lis.'!C40</f>
        <v>TR560001009010131877705001</v>
      </c>
      <c r="C48" s="158">
        <f>'Banka Lis.'!D40</f>
        <v>14079</v>
      </c>
      <c r="D48" s="159" t="str">
        <f>'Banka Lis.'!G40</f>
        <v>64426278672</v>
      </c>
      <c r="E48" s="156" t="str">
        <f>'Banka Lis.'!E40</f>
        <v>DİCLE</v>
      </c>
      <c r="F48" s="87" t="str">
        <f>'Banka Lis.'!F40</f>
        <v>GEYİK</v>
      </c>
    </row>
    <row r="49" spans="1:6" ht="16.5" customHeight="1" x14ac:dyDescent="0.3">
      <c r="A49" s="161" t="s">
        <v>816</v>
      </c>
      <c r="B49" s="157" t="str">
        <f>'Banka Lis.'!C41</f>
        <v>TR040001200132900001130998</v>
      </c>
      <c r="C49" s="158">
        <f>'Banka Lis.'!D41</f>
        <v>14079</v>
      </c>
      <c r="D49" s="159" t="str">
        <f>'Banka Lis.'!G41</f>
        <v>11158958198</v>
      </c>
      <c r="E49" s="156" t="str">
        <f>'Banka Lis.'!E41</f>
        <v>ECEM</v>
      </c>
      <c r="F49" s="87" t="str">
        <f>'Banka Lis.'!F41</f>
        <v>BULUT</v>
      </c>
    </row>
    <row r="50" spans="1:6" ht="16.5" customHeight="1" x14ac:dyDescent="0.3">
      <c r="A50" s="161" t="s">
        <v>816</v>
      </c>
      <c r="B50" s="157" t="str">
        <f>'Banka Lis.'!C42</f>
        <v>TR770004600431888000211459</v>
      </c>
      <c r="C50" s="158">
        <f>'Banka Lis.'!D42</f>
        <v>15162</v>
      </c>
      <c r="D50" s="159" t="str">
        <f>'Banka Lis.'!G42</f>
        <v>10438965994</v>
      </c>
      <c r="E50" s="156" t="str">
        <f>'Banka Lis.'!E42</f>
        <v>EFE</v>
      </c>
      <c r="F50" s="87" t="str">
        <f>'Banka Lis.'!F42</f>
        <v>FEVZİOĞLU</v>
      </c>
    </row>
    <row r="51" spans="1:6" ht="16.5" customHeight="1" x14ac:dyDescent="0.3">
      <c r="A51" s="161" t="s">
        <v>816</v>
      </c>
      <c r="B51" s="157" t="str">
        <f>'Banka Lis.'!C43</f>
        <v>TR630006701000000035553441</v>
      </c>
      <c r="C51" s="158">
        <f>'Banka Lis.'!D43</f>
        <v>15162</v>
      </c>
      <c r="D51" s="159" t="str">
        <f>'Banka Lis.'!G43</f>
        <v>10634557832</v>
      </c>
      <c r="E51" s="156" t="str">
        <f>'Banka Lis.'!E43</f>
        <v>EFE</v>
      </c>
      <c r="F51" s="87" t="str">
        <f>'Banka Lis.'!F43</f>
        <v>ŞAHİN</v>
      </c>
    </row>
    <row r="52" spans="1:6" ht="16.5" customHeight="1" x14ac:dyDescent="0.3">
      <c r="A52" s="161" t="s">
        <v>816</v>
      </c>
      <c r="B52" s="157" t="str">
        <f>'Banka Lis.'!C44</f>
        <v>TR830001009010538106805002</v>
      </c>
      <c r="C52" s="158">
        <f>'Banka Lis.'!D44</f>
        <v>8664</v>
      </c>
      <c r="D52" s="159" t="str">
        <f>'Banka Lis.'!G44</f>
        <v>10257029938</v>
      </c>
      <c r="E52" s="156" t="str">
        <f>'Banka Lis.'!E44</f>
        <v>EGEMEN</v>
      </c>
      <c r="F52" s="87" t="str">
        <f>'Banka Lis.'!F44</f>
        <v>KÜÇÜKLER</v>
      </c>
    </row>
    <row r="53" spans="1:6" ht="16.5" customHeight="1" x14ac:dyDescent="0.3">
      <c r="A53" s="161" t="s">
        <v>816</v>
      </c>
      <c r="B53" s="157" t="str">
        <f>'Banka Lis.'!C45</f>
        <v>TR450001009010302805505001</v>
      </c>
      <c r="C53" s="158">
        <f>'Banka Lis.'!D45</f>
        <v>12996</v>
      </c>
      <c r="D53" s="159" t="str">
        <f>'Banka Lis.'!G45</f>
        <v>10067993948</v>
      </c>
      <c r="E53" s="156" t="str">
        <f>'Banka Lis.'!E45</f>
        <v>EKREM</v>
      </c>
      <c r="F53" s="87" t="str">
        <f>'Banka Lis.'!F45</f>
        <v>TERZİOĞLU</v>
      </c>
    </row>
    <row r="54" spans="1:6" ht="16.5" customHeight="1" x14ac:dyDescent="0.3">
      <c r="A54" s="161" t="s">
        <v>816</v>
      </c>
      <c r="B54" s="157" t="str">
        <f>'Banka Lis.'!C46</f>
        <v>TR520001009010110010105001</v>
      </c>
      <c r="C54" s="158">
        <f>'Banka Lis.'!D46</f>
        <v>14079</v>
      </c>
      <c r="D54" s="159" t="str">
        <f>'Banka Lis.'!G46</f>
        <v>16240785980</v>
      </c>
      <c r="E54" s="156" t="str">
        <f>'Banka Lis.'!E46</f>
        <v>ELİF</v>
      </c>
      <c r="F54" s="87" t="str">
        <f>'Banka Lis.'!F46</f>
        <v>MİSK</v>
      </c>
    </row>
    <row r="55" spans="1:6" ht="14.4" x14ac:dyDescent="0.3">
      <c r="A55" s="161" t="s">
        <v>816</v>
      </c>
      <c r="B55" s="157" t="str">
        <f>'Banka Lis.'!C47</f>
        <v>TR870001009010757059005002</v>
      </c>
      <c r="C55" s="158">
        <f>'Banka Lis.'!D47</f>
        <v>14079</v>
      </c>
      <c r="D55" s="159" t="str">
        <f>'Banka Lis.'!G47</f>
        <v>12202274516</v>
      </c>
      <c r="E55" s="156" t="str">
        <f>'Banka Lis.'!E47</f>
        <v>ELİF NAZ</v>
      </c>
      <c r="F55" s="87" t="str">
        <f>'Banka Lis.'!F47</f>
        <v>KÖKSAL</v>
      </c>
    </row>
    <row r="56" spans="1:6" ht="14.4" x14ac:dyDescent="0.3">
      <c r="A56" s="161" t="s">
        <v>816</v>
      </c>
      <c r="B56" s="157" t="str">
        <f>'Banka Lis.'!C48</f>
        <v>TR630001009010757356305002</v>
      </c>
      <c r="C56" s="158">
        <f>'Banka Lis.'!D48</f>
        <v>10830</v>
      </c>
      <c r="D56" s="159" t="str">
        <f>'Banka Lis.'!G48</f>
        <v>13784186020</v>
      </c>
      <c r="E56" s="156" t="str">
        <f>'Banka Lis.'!E48</f>
        <v>ELİFE KEVSER</v>
      </c>
      <c r="F56" s="87" t="str">
        <f>'Banka Lis.'!F48</f>
        <v>ÖZTEK</v>
      </c>
    </row>
    <row r="57" spans="1:6" ht="16.5" customHeight="1" x14ac:dyDescent="0.3">
      <c r="A57" s="161" t="s">
        <v>816</v>
      </c>
      <c r="B57" s="157" t="str">
        <f>'Banka Lis.'!C49</f>
        <v>TR070001009010559917805002</v>
      </c>
      <c r="C57" s="158">
        <f>'Banka Lis.'!D49</f>
        <v>15162</v>
      </c>
      <c r="D57" s="159" t="str">
        <f>'Banka Lis.'!G49</f>
        <v>36073704224</v>
      </c>
      <c r="E57" s="156" t="str">
        <f>'Banka Lis.'!E49</f>
        <v>EMİNE BEYZA</v>
      </c>
      <c r="F57" s="87" t="str">
        <f>'Banka Lis.'!F49</f>
        <v>SÖYLER</v>
      </c>
    </row>
    <row r="58" spans="1:6" ht="16.5" customHeight="1" x14ac:dyDescent="0.3">
      <c r="A58" s="161" t="s">
        <v>816</v>
      </c>
      <c r="B58" s="157" t="str">
        <f>'Banka Lis.'!C50</f>
        <v>TR370001009010017861805002</v>
      </c>
      <c r="C58" s="158">
        <f>'Banka Lis.'!D50</f>
        <v>11913</v>
      </c>
      <c r="D58" s="159" t="str">
        <f>'Banka Lis.'!G50</f>
        <v>12019646278</v>
      </c>
      <c r="E58" s="156" t="str">
        <f>'Banka Lis.'!E50</f>
        <v>EMİNE</v>
      </c>
      <c r="F58" s="87" t="str">
        <f>'Banka Lis.'!F50</f>
        <v>ÇAKIR</v>
      </c>
    </row>
    <row r="59" spans="1:6" ht="16.5" customHeight="1" x14ac:dyDescent="0.3">
      <c r="A59" s="161" t="s">
        <v>816</v>
      </c>
      <c r="B59" s="157" t="str">
        <f>'Banka Lis.'!C51</f>
        <v>TR260015700000000112863418</v>
      </c>
      <c r="C59" s="158">
        <f>'Banka Lis.'!D51</f>
        <v>12996</v>
      </c>
      <c r="D59" s="159" t="str">
        <f>'Banka Lis.'!G51</f>
        <v>41449479170</v>
      </c>
      <c r="E59" s="156" t="str">
        <f>'Banka Lis.'!E51</f>
        <v>EMİR</v>
      </c>
      <c r="F59" s="87" t="str">
        <f>'Banka Lis.'!F51</f>
        <v>AN</v>
      </c>
    </row>
    <row r="60" spans="1:6" ht="14.4" x14ac:dyDescent="0.3">
      <c r="A60" s="161" t="s">
        <v>816</v>
      </c>
      <c r="B60" s="157" t="str">
        <f>'Banka Lis.'!C52</f>
        <v>TR670006701000000035540856</v>
      </c>
      <c r="C60" s="158">
        <f>'Banka Lis.'!D52</f>
        <v>7581</v>
      </c>
      <c r="D60" s="159" t="str">
        <f>'Banka Lis.'!G52</f>
        <v>19793201204</v>
      </c>
      <c r="E60" s="156" t="str">
        <f>'Banka Lis.'!E52</f>
        <v>EMİR</v>
      </c>
      <c r="F60" s="87" t="str">
        <f>'Banka Lis.'!F52</f>
        <v>DAŞTAN</v>
      </c>
    </row>
    <row r="61" spans="1:6" ht="16.5" customHeight="1" x14ac:dyDescent="0.3">
      <c r="A61" s="161" t="s">
        <v>816</v>
      </c>
      <c r="B61" s="157" t="str">
        <f>'Banka Lis.'!C53</f>
        <v>TR900001009010028993005001</v>
      </c>
      <c r="C61" s="158">
        <f>'Banka Lis.'!D53</f>
        <v>12996</v>
      </c>
      <c r="D61" s="159" t="str">
        <f>'Banka Lis.'!G53</f>
        <v>19156656290</v>
      </c>
      <c r="E61" s="156" t="str">
        <f>'Banka Lis.'!E53</f>
        <v>EMİRCAN</v>
      </c>
      <c r="F61" s="87" t="str">
        <f>'Banka Lis.'!F53</f>
        <v>DAL</v>
      </c>
    </row>
    <row r="62" spans="1:6" ht="16.5" customHeight="1" x14ac:dyDescent="0.3">
      <c r="A62" s="161" t="s">
        <v>816</v>
      </c>
      <c r="B62" s="157" t="str">
        <f>'Banka Lis.'!C54</f>
        <v>TR360001000147908562985001</v>
      </c>
      <c r="C62" s="158">
        <f>'Banka Lis.'!D54</f>
        <v>15162</v>
      </c>
      <c r="D62" s="159" t="str">
        <f>'Banka Lis.'!G54</f>
        <v>10877603754</v>
      </c>
      <c r="E62" s="156" t="str">
        <f>'Banka Lis.'!E54</f>
        <v>EMİRHAN</v>
      </c>
      <c r="F62" s="87" t="str">
        <f>'Banka Lis.'!F54</f>
        <v>BURULDAY</v>
      </c>
    </row>
    <row r="63" spans="1:6" ht="16.5" customHeight="1" x14ac:dyDescent="0.3">
      <c r="A63" s="161" t="s">
        <v>816</v>
      </c>
      <c r="B63" s="157" t="str">
        <f>'Banka Lis.'!C55</f>
        <v>TR060004600558888000145859</v>
      </c>
      <c r="C63" s="158">
        <f>'Banka Lis.'!D55</f>
        <v>14079</v>
      </c>
      <c r="D63" s="159" t="str">
        <f>'Banka Lis.'!G55</f>
        <v>10100154114</v>
      </c>
      <c r="E63" s="156" t="str">
        <f>'Banka Lis.'!E55</f>
        <v>EMİRHAN</v>
      </c>
      <c r="F63" s="87" t="str">
        <f>'Banka Lis.'!F55</f>
        <v>ÇELİK</v>
      </c>
    </row>
    <row r="64" spans="1:6" ht="16.5" customHeight="1" x14ac:dyDescent="0.3">
      <c r="A64" s="161" t="s">
        <v>816</v>
      </c>
      <c r="B64" s="157" t="str">
        <f>'Banka Lis.'!C56</f>
        <v>TR780001500158007319484193</v>
      </c>
      <c r="C64" s="158">
        <f>'Banka Lis.'!D56</f>
        <v>14079</v>
      </c>
      <c r="D64" s="159" t="str">
        <f>'Banka Lis.'!G56</f>
        <v>12538250994</v>
      </c>
      <c r="E64" s="156" t="str">
        <f>'Banka Lis.'!E56</f>
        <v>EMİRHAN</v>
      </c>
      <c r="F64" s="87" t="str">
        <f>'Banka Lis.'!F56</f>
        <v>YILDIRIM</v>
      </c>
    </row>
    <row r="65" spans="1:6" ht="16.5" customHeight="1" x14ac:dyDescent="0.3">
      <c r="A65" s="161" t="s">
        <v>816</v>
      </c>
      <c r="B65" s="157" t="str">
        <f>'Banka Lis.'!C57</f>
        <v>TR020006701000000036153320</v>
      </c>
      <c r="C65" s="158">
        <f>'Banka Lis.'!D57</f>
        <v>15162</v>
      </c>
      <c r="D65" s="159" t="str">
        <f>'Banka Lis.'!G57</f>
        <v>60862510536</v>
      </c>
      <c r="E65" s="156" t="str">
        <f>'Banka Lis.'!E57</f>
        <v>EMİRHAN</v>
      </c>
      <c r="F65" s="87" t="str">
        <f>'Banka Lis.'!F57</f>
        <v>YILDIZ</v>
      </c>
    </row>
    <row r="66" spans="1:6" ht="16.5" customHeight="1" x14ac:dyDescent="0.3">
      <c r="A66" s="161" t="s">
        <v>816</v>
      </c>
      <c r="B66" s="157" t="str">
        <f>'Banka Lis.'!C58</f>
        <v>TR350001009010801249905001</v>
      </c>
      <c r="C66" s="158">
        <f>'Banka Lis.'!D58</f>
        <v>15162</v>
      </c>
      <c r="D66" s="159" t="str">
        <f>'Banka Lis.'!G58</f>
        <v>11056947294</v>
      </c>
      <c r="E66" s="156" t="str">
        <f>'Banka Lis.'!E58</f>
        <v>EMRE</v>
      </c>
      <c r="F66" s="87" t="str">
        <f>'Banka Lis.'!F58</f>
        <v>FIRAT</v>
      </c>
    </row>
    <row r="67" spans="1:6" ht="16.5" customHeight="1" x14ac:dyDescent="0.3">
      <c r="A67" s="161" t="s">
        <v>816</v>
      </c>
      <c r="B67" s="157" t="str">
        <f>'Banka Lis.'!C59</f>
        <v>TR480006200066700006611631</v>
      </c>
      <c r="C67" s="158">
        <f>'Banka Lis.'!D59</f>
        <v>15162</v>
      </c>
      <c r="D67" s="159" t="str">
        <f>'Banka Lis.'!G59</f>
        <v>10630966102</v>
      </c>
      <c r="E67" s="156" t="str">
        <f>'Banka Lis.'!E59</f>
        <v>EMRE</v>
      </c>
      <c r="F67" s="87" t="str">
        <f>'Banka Lis.'!F59</f>
        <v>KOCAHALİLOĞULLARI</v>
      </c>
    </row>
    <row r="68" spans="1:6" ht="14.4" x14ac:dyDescent="0.3">
      <c r="A68" s="161" t="s">
        <v>816</v>
      </c>
      <c r="B68" s="157" t="str">
        <f>'Banka Lis.'!C60</f>
        <v>TR460006200011500006532462</v>
      </c>
      <c r="C68" s="158">
        <f>'Banka Lis.'!D60</f>
        <v>5415</v>
      </c>
      <c r="D68" s="159" t="str">
        <f>'Banka Lis.'!G60</f>
        <v>60736357120</v>
      </c>
      <c r="E68" s="156" t="str">
        <f>'Banka Lis.'!E60</f>
        <v>EMRE</v>
      </c>
      <c r="F68" s="87" t="str">
        <f>'Banka Lis.'!F60</f>
        <v>YILMAZ</v>
      </c>
    </row>
    <row r="69" spans="1:6" ht="16.5" customHeight="1" x14ac:dyDescent="0.3">
      <c r="A69" s="161" t="s">
        <v>816</v>
      </c>
      <c r="B69" s="157" t="str">
        <f>'Banka Lis.'!C61</f>
        <v>TR340001009010200250205007</v>
      </c>
      <c r="C69" s="158">
        <f>'Banka Lis.'!D61</f>
        <v>12996</v>
      </c>
      <c r="D69" s="159" t="str">
        <f>'Banka Lis.'!G61</f>
        <v>31795253678</v>
      </c>
      <c r="E69" s="156" t="str">
        <f>'Banka Lis.'!E61</f>
        <v>ENES</v>
      </c>
      <c r="F69" s="87" t="str">
        <f>'Banka Lis.'!F61</f>
        <v>DURAN</v>
      </c>
    </row>
    <row r="70" spans="1:6" ht="14.4" x14ac:dyDescent="0.3">
      <c r="A70" s="161" t="s">
        <v>816</v>
      </c>
      <c r="B70" s="157" t="str">
        <f>'Banka Lis.'!C62</f>
        <v>TR790001009010548106505004</v>
      </c>
      <c r="C70" s="158">
        <f>'Banka Lis.'!D62</f>
        <v>12996</v>
      </c>
      <c r="D70" s="159" t="str">
        <f>'Banka Lis.'!G62</f>
        <v>13613592022</v>
      </c>
      <c r="E70" s="156" t="str">
        <f>'Banka Lis.'!E62</f>
        <v>ENES</v>
      </c>
      <c r="F70" s="87" t="str">
        <f>'Banka Lis.'!F62</f>
        <v>ÖZCAN</v>
      </c>
    </row>
    <row r="71" spans="1:6" ht="16.5" customHeight="1" x14ac:dyDescent="0.3">
      <c r="A71" s="161" t="s">
        <v>816</v>
      </c>
      <c r="B71" s="157" t="str">
        <f>'Banka Lis.'!C63</f>
        <v>TR940020500009705379400001</v>
      </c>
      <c r="C71" s="158">
        <f>'Banka Lis.'!D63</f>
        <v>12996</v>
      </c>
      <c r="D71" s="159" t="str">
        <f>'Banka Lis.'!G63</f>
        <v>42379294314</v>
      </c>
      <c r="E71" s="156" t="str">
        <f>'Banka Lis.'!E63</f>
        <v>ENİSE</v>
      </c>
      <c r="F71" s="87" t="str">
        <f>'Banka Lis.'!F63</f>
        <v>GÖK</v>
      </c>
    </row>
    <row r="72" spans="1:6" ht="16.5" customHeight="1" x14ac:dyDescent="0.3">
      <c r="A72" s="161" t="s">
        <v>816</v>
      </c>
      <c r="B72" s="157" t="str">
        <f>'Banka Lis.'!C64</f>
        <v>TR660001009010757732605002</v>
      </c>
      <c r="C72" s="158">
        <f>'Banka Lis.'!D64</f>
        <v>15162</v>
      </c>
      <c r="D72" s="159" t="str">
        <f>'Banka Lis.'!G64</f>
        <v>10267937780</v>
      </c>
      <c r="E72" s="156" t="str">
        <f>'Banka Lis.'!E64</f>
        <v>ENNUR</v>
      </c>
      <c r="F72" s="87" t="str">
        <f>'Banka Lis.'!F64</f>
        <v>ÜNAL</v>
      </c>
    </row>
    <row r="73" spans="1:6" ht="14.4" hidden="1" x14ac:dyDescent="0.3">
      <c r="A73" s="161" t="s">
        <v>816</v>
      </c>
      <c r="B73" s="157" t="str">
        <f>'Banka Lis.'!C65</f>
        <v>TR740001002062972681045001</v>
      </c>
      <c r="C73" s="158">
        <f>'Banka Lis.'!D65</f>
        <v>0</v>
      </c>
      <c r="D73" s="159" t="str">
        <f>'Banka Lis.'!G65</f>
        <v>10559226820</v>
      </c>
      <c r="E73" s="156" t="str">
        <f>'Banka Lis.'!E65</f>
        <v>EREN</v>
      </c>
      <c r="F73" s="87" t="str">
        <f>'Banka Lis.'!F65</f>
        <v>BEYDİLLİ</v>
      </c>
    </row>
    <row r="74" spans="1:6" ht="16.5" customHeight="1" x14ac:dyDescent="0.3">
      <c r="A74" s="161" t="s">
        <v>816</v>
      </c>
      <c r="B74" s="157" t="str">
        <f>'Banka Lis.'!C66</f>
        <v>TR340006200053200006628854</v>
      </c>
      <c r="C74" s="158">
        <f>'Banka Lis.'!D66</f>
        <v>14079</v>
      </c>
      <c r="D74" s="159" t="str">
        <f>'Banka Lis.'!G66</f>
        <v>10129854538</v>
      </c>
      <c r="E74" s="156" t="str">
        <f>'Banka Lis.'!E66</f>
        <v>EREN</v>
      </c>
      <c r="F74" s="87" t="str">
        <f>'Banka Lis.'!F66</f>
        <v>BOYLU</v>
      </c>
    </row>
    <row r="75" spans="1:6" ht="16.5" customHeight="1" x14ac:dyDescent="0.3">
      <c r="A75" s="161" t="s">
        <v>816</v>
      </c>
      <c r="B75" s="157" t="str">
        <f>'Banka Lis.'!C67</f>
        <v>TR430006200126600006645295</v>
      </c>
      <c r="C75" s="158">
        <f>'Banka Lis.'!D67</f>
        <v>15162</v>
      </c>
      <c r="D75" s="159" t="str">
        <f>'Banka Lis.'!G67</f>
        <v>10591948872</v>
      </c>
      <c r="E75" s="156" t="str">
        <f>'Banka Lis.'!E67</f>
        <v>EREN</v>
      </c>
      <c r="F75" s="87" t="str">
        <f>'Banka Lis.'!F67</f>
        <v>SAĞIR</v>
      </c>
    </row>
    <row r="76" spans="1:6" ht="16.5" customHeight="1" x14ac:dyDescent="0.3">
      <c r="A76" s="161" t="s">
        <v>816</v>
      </c>
      <c r="B76" s="157" t="str">
        <f>'Banka Lis.'!C68</f>
        <v>TR660006200072700006821497</v>
      </c>
      <c r="C76" s="158">
        <f>'Banka Lis.'!D68</f>
        <v>15162</v>
      </c>
      <c r="D76" s="159" t="str">
        <f>'Banka Lis.'!G68</f>
        <v>31750012616</v>
      </c>
      <c r="E76" s="156" t="str">
        <f>'Banka Lis.'!E68</f>
        <v>ERTUĞRUL</v>
      </c>
      <c r="F76" s="87" t="str">
        <f>'Banka Lis.'!F68</f>
        <v>YILDIRAN</v>
      </c>
    </row>
    <row r="77" spans="1:6" ht="16.5" customHeight="1" x14ac:dyDescent="0.3">
      <c r="A77" s="161" t="s">
        <v>816</v>
      </c>
      <c r="B77" s="157" t="str">
        <f>'Banka Lis.'!C69</f>
        <v>TR300001000080964695985001</v>
      </c>
      <c r="C77" s="158">
        <f>'Banka Lis.'!D69</f>
        <v>14079</v>
      </c>
      <c r="D77" s="159" t="str">
        <f>'Banka Lis.'!G69</f>
        <v>11758988366</v>
      </c>
      <c r="E77" s="156" t="str">
        <f>'Banka Lis.'!E69</f>
        <v>ESRA BENAN</v>
      </c>
      <c r="F77" s="87" t="str">
        <f>'Banka Lis.'!F69</f>
        <v>ÇETİN</v>
      </c>
    </row>
    <row r="78" spans="1:6" ht="16.5" customHeight="1" x14ac:dyDescent="0.3">
      <c r="A78" s="161" t="s">
        <v>816</v>
      </c>
      <c r="B78" s="157" t="str">
        <f>'Banka Lis.'!C70</f>
        <v>TR720001500158007321365131</v>
      </c>
      <c r="C78" s="158">
        <f>'Banka Lis.'!D70</f>
        <v>12996</v>
      </c>
      <c r="D78" s="159" t="str">
        <f>'Banka Lis.'!G70</f>
        <v>10041124610</v>
      </c>
      <c r="E78" s="156" t="str">
        <f>'Banka Lis.'!E70</f>
        <v>EYLÜL</v>
      </c>
      <c r="F78" s="87" t="str">
        <f>'Banka Lis.'!F70</f>
        <v>AKCAOĞLU</v>
      </c>
    </row>
    <row r="79" spans="1:6" ht="16.5" customHeight="1" x14ac:dyDescent="0.3">
      <c r="A79" s="161" t="s">
        <v>816</v>
      </c>
      <c r="B79" s="157" t="str">
        <f>'Banka Lis.'!C71</f>
        <v>TR380015700000000120277688</v>
      </c>
      <c r="C79" s="158">
        <f>'Banka Lis.'!D71</f>
        <v>9747</v>
      </c>
      <c r="D79" s="159" t="str">
        <f>'Banka Lis.'!G71</f>
        <v>26104431304</v>
      </c>
      <c r="E79" s="156" t="str">
        <f>'Banka Lis.'!E71</f>
        <v>EZGİ</v>
      </c>
      <c r="F79" s="87" t="str">
        <f>'Banka Lis.'!F71</f>
        <v>BÜYÜKKAYA</v>
      </c>
    </row>
    <row r="80" spans="1:6" ht="14.4" x14ac:dyDescent="0.3">
      <c r="A80" s="161" t="s">
        <v>816</v>
      </c>
      <c r="B80" s="157" t="str">
        <f>'Banka Lis.'!C72</f>
        <v>TR660001009010580321005003</v>
      </c>
      <c r="C80" s="158">
        <f>'Banka Lis.'!D72</f>
        <v>11913</v>
      </c>
      <c r="D80" s="159" t="str">
        <f>'Banka Lis.'!G72</f>
        <v>13939155444</v>
      </c>
      <c r="E80" s="156" t="str">
        <f>'Banka Lis.'!E72</f>
        <v>EZGİNAZ</v>
      </c>
      <c r="F80" s="87" t="str">
        <f>'Banka Lis.'!F72</f>
        <v>GÜNDEDE</v>
      </c>
    </row>
    <row r="81" spans="1:6" ht="16.5" customHeight="1" x14ac:dyDescent="0.3">
      <c r="A81" s="161" t="s">
        <v>816</v>
      </c>
      <c r="B81" s="157" t="str">
        <f>'Banka Lis.'!C73</f>
        <v>TR630006400000122031228199</v>
      </c>
      <c r="C81" s="158">
        <f>'Banka Lis.'!D73</f>
        <v>15162</v>
      </c>
      <c r="D81" s="159" t="str">
        <f>'Banka Lis.'!G73</f>
        <v>11635943068</v>
      </c>
      <c r="E81" s="156" t="str">
        <f>'Banka Lis.'!E73</f>
        <v>FATMA YAREN</v>
      </c>
      <c r="F81" s="87" t="str">
        <f>'Banka Lis.'!F73</f>
        <v>ERDOĞAN</v>
      </c>
    </row>
    <row r="82" spans="1:6" ht="16.5" customHeight="1" x14ac:dyDescent="0.3">
      <c r="A82" s="161" t="s">
        <v>816</v>
      </c>
      <c r="B82" s="157" t="str">
        <f>'Banka Lis.'!C74</f>
        <v>TR370006701000000041998977</v>
      </c>
      <c r="C82" s="158">
        <f>'Banka Lis.'!D74</f>
        <v>12996</v>
      </c>
      <c r="D82" s="159" t="str">
        <f>'Banka Lis.'!G74</f>
        <v>17333252242</v>
      </c>
      <c r="E82" s="156" t="str">
        <f>'Banka Lis.'!E74</f>
        <v>FEYZA</v>
      </c>
      <c r="F82" s="87" t="str">
        <f>'Banka Lis.'!F74</f>
        <v>KARACA</v>
      </c>
    </row>
    <row r="83" spans="1:6" ht="16.5" customHeight="1" x14ac:dyDescent="0.3">
      <c r="A83" s="161" t="s">
        <v>816</v>
      </c>
      <c r="B83" s="157" t="str">
        <f>'Banka Lis.'!C75</f>
        <v>TR720006200154400006657157</v>
      </c>
      <c r="C83" s="158">
        <f>'Banka Lis.'!D75</f>
        <v>15162</v>
      </c>
      <c r="D83" s="159" t="str">
        <f>'Banka Lis.'!G75</f>
        <v>10861953766</v>
      </c>
      <c r="E83" s="156" t="str">
        <f>'Banka Lis.'!E75</f>
        <v>FİLİZ</v>
      </c>
      <c r="F83" s="87" t="str">
        <f>'Banka Lis.'!F75</f>
        <v>ÇİNİ</v>
      </c>
    </row>
    <row r="84" spans="1:6" ht="16.5" customHeight="1" x14ac:dyDescent="0.3">
      <c r="A84" s="161" t="s">
        <v>816</v>
      </c>
      <c r="B84" s="157" t="str">
        <f>'Banka Lis.'!C76</f>
        <v>TR690001002327797078855001</v>
      </c>
      <c r="C84" s="158">
        <f>'Banka Lis.'!D76</f>
        <v>9747</v>
      </c>
      <c r="D84" s="159" t="str">
        <f>'Banka Lis.'!G76</f>
        <v>10385934418</v>
      </c>
      <c r="E84" s="156" t="str">
        <f>'Banka Lis.'!E76</f>
        <v>FURKAN</v>
      </c>
      <c r="F84" s="87" t="str">
        <f>'Banka Lis.'!F76</f>
        <v>AKAN</v>
      </c>
    </row>
    <row r="85" spans="1:6" ht="16.5" customHeight="1" x14ac:dyDescent="0.3">
      <c r="A85" s="161" t="s">
        <v>816</v>
      </c>
      <c r="B85" s="157" t="str">
        <f>'Banka Lis.'!C77</f>
        <v>TR220020500009090660800001</v>
      </c>
      <c r="C85" s="158">
        <f>'Banka Lis.'!D77</f>
        <v>14079</v>
      </c>
      <c r="D85" s="159" t="str">
        <f>'Banka Lis.'!G77</f>
        <v>10291959826</v>
      </c>
      <c r="E85" s="156" t="str">
        <f>'Banka Lis.'!E77</f>
        <v>FURKAN SELİM</v>
      </c>
      <c r="F85" s="87" t="str">
        <f>'Banka Lis.'!F77</f>
        <v>DURAN</v>
      </c>
    </row>
    <row r="86" spans="1:6" ht="16.5" customHeight="1" x14ac:dyDescent="0.3">
      <c r="A86" s="161" t="s">
        <v>816</v>
      </c>
      <c r="B86" s="157" t="str">
        <f>'Banka Lis.'!C78</f>
        <v>TR590001009010553924105002</v>
      </c>
      <c r="C86" s="158">
        <f>'Banka Lis.'!D78</f>
        <v>12996</v>
      </c>
      <c r="D86" s="159" t="str">
        <f>'Banka Lis.'!G78</f>
        <v>22394387604</v>
      </c>
      <c r="E86" s="156" t="str">
        <f>'Banka Lis.'!E78</f>
        <v>GİZEM</v>
      </c>
      <c r="F86" s="87" t="str">
        <f>'Banka Lis.'!F78</f>
        <v>MOLLA</v>
      </c>
    </row>
    <row r="87" spans="1:6" ht="16.5" customHeight="1" x14ac:dyDescent="0.3">
      <c r="A87" s="161" t="s">
        <v>816</v>
      </c>
      <c r="B87" s="157" t="str">
        <f>'Banka Lis.'!C79</f>
        <v>TR220001009010547170305001</v>
      </c>
      <c r="C87" s="158">
        <f>'Banka Lis.'!D79</f>
        <v>14079</v>
      </c>
      <c r="D87" s="159" t="str">
        <f>'Banka Lis.'!G79</f>
        <v>10439263020</v>
      </c>
      <c r="E87" s="156" t="str">
        <f>'Banka Lis.'!E79</f>
        <v>GÖKAY</v>
      </c>
      <c r="F87" s="87" t="str">
        <f>'Banka Lis.'!F79</f>
        <v>ÖZEL</v>
      </c>
    </row>
    <row r="88" spans="1:6" ht="16.5" customHeight="1" x14ac:dyDescent="0.3">
      <c r="A88" s="161" t="s">
        <v>816</v>
      </c>
      <c r="B88" s="157" t="str">
        <f>'Banka Lis.'!C80</f>
        <v>TR380006701000000035426142</v>
      </c>
      <c r="C88" s="158">
        <f>'Banka Lis.'!D80</f>
        <v>4332</v>
      </c>
      <c r="D88" s="159" t="str">
        <f>'Banka Lis.'!G80</f>
        <v>10735312002</v>
      </c>
      <c r="E88" s="156" t="str">
        <f>'Banka Lis.'!E80</f>
        <v>GÖRKEM</v>
      </c>
      <c r="F88" s="87" t="str">
        <f>'Banka Lis.'!F80</f>
        <v>KOÇ</v>
      </c>
    </row>
    <row r="89" spans="1:6" ht="14.4" x14ac:dyDescent="0.3">
      <c r="A89" s="161" t="s">
        <v>816</v>
      </c>
      <c r="B89" s="157" t="str">
        <f>'Banka Lis.'!C81</f>
        <v>TR080001001799658409218002</v>
      </c>
      <c r="C89" s="158">
        <f>'Banka Lis.'!D81</f>
        <v>14079</v>
      </c>
      <c r="D89" s="159" t="str">
        <f>'Banka Lis.'!G81</f>
        <v>19358635796</v>
      </c>
      <c r="E89" s="156" t="str">
        <f>'Banka Lis.'!E81</f>
        <v>GÜLSEHER</v>
      </c>
      <c r="F89" s="87" t="str">
        <f>'Banka Lis.'!F81</f>
        <v>TAŞĞIN</v>
      </c>
    </row>
    <row r="90" spans="1:6" ht="14.4" x14ac:dyDescent="0.3">
      <c r="A90" s="161" t="s">
        <v>816</v>
      </c>
      <c r="B90" s="157" t="str">
        <f>'Banka Lis.'!C82</f>
        <v>TR930001009010270142705001</v>
      </c>
      <c r="C90" s="158">
        <f>'Banka Lis.'!D82</f>
        <v>10830</v>
      </c>
      <c r="D90" s="159" t="str">
        <f>'Banka Lis.'!G82</f>
        <v>15041423268</v>
      </c>
      <c r="E90" s="156" t="str">
        <f>'Banka Lis.'!E82</f>
        <v>GÜLSÜM</v>
      </c>
      <c r="F90" s="87" t="str">
        <f>'Banka Lis.'!F82</f>
        <v>ÖZKAN</v>
      </c>
    </row>
    <row r="91" spans="1:6" ht="16.5" customHeight="1" x14ac:dyDescent="0.3">
      <c r="A91" s="161" t="s">
        <v>816</v>
      </c>
      <c r="B91" s="157" t="str">
        <f>'Banka Lis.'!C83</f>
        <v>TR930001009010733466005003</v>
      </c>
      <c r="C91" s="158">
        <f>'Banka Lis.'!D83</f>
        <v>12996</v>
      </c>
      <c r="D91" s="159" t="str">
        <f>'Banka Lis.'!G83</f>
        <v>17603851854</v>
      </c>
      <c r="E91" s="156" t="str">
        <f>'Banka Lis.'!E83</f>
        <v>GÜLTEN</v>
      </c>
      <c r="F91" s="87" t="str">
        <f>'Banka Lis.'!F83</f>
        <v>EZDAŞ</v>
      </c>
    </row>
    <row r="92" spans="1:6" ht="16.5" customHeight="1" x14ac:dyDescent="0.3">
      <c r="A92" s="161" t="s">
        <v>816</v>
      </c>
      <c r="B92" s="157" t="str">
        <f>'Banka Lis.'!C84</f>
        <v>TR220006200110600006610583</v>
      </c>
      <c r="C92" s="158">
        <f>'Banka Lis.'!D84</f>
        <v>16244.999999999998</v>
      </c>
      <c r="D92" s="159" t="str">
        <f>'Banka Lis.'!G84</f>
        <v>10462601820</v>
      </c>
      <c r="E92" s="156" t="str">
        <f>'Banka Lis.'!E84</f>
        <v>GÜZEL</v>
      </c>
      <c r="F92" s="87" t="str">
        <f>'Banka Lis.'!F84</f>
        <v>ÖZDEMİR</v>
      </c>
    </row>
    <row r="93" spans="1:6" ht="14.4" x14ac:dyDescent="0.3">
      <c r="A93" s="161" t="s">
        <v>816</v>
      </c>
      <c r="B93" s="157" t="str">
        <f>'Banka Lis.'!C85</f>
        <v>TR970006701000000033718656</v>
      </c>
      <c r="C93" s="158">
        <f>'Banka Lis.'!D85</f>
        <v>12996</v>
      </c>
      <c r="D93" s="159" t="str">
        <f>'Banka Lis.'!G85</f>
        <v>10200136744</v>
      </c>
      <c r="E93" s="156" t="str">
        <f>'Banka Lis.'!E85</f>
        <v>HAMZA</v>
      </c>
      <c r="F93" s="87" t="str">
        <f>'Banka Lis.'!F85</f>
        <v>FİDAN</v>
      </c>
    </row>
    <row r="94" spans="1:6" ht="16.5" customHeight="1" x14ac:dyDescent="0.3">
      <c r="A94" s="161" t="s">
        <v>816</v>
      </c>
      <c r="B94" s="157" t="str">
        <f>'Banka Lis.'!C86</f>
        <v>TR710006200087500006886336</v>
      </c>
      <c r="C94" s="158">
        <f>'Banka Lis.'!D86</f>
        <v>14079</v>
      </c>
      <c r="D94" s="159" t="str">
        <f>'Banka Lis.'!G86</f>
        <v>10997539452</v>
      </c>
      <c r="E94" s="156" t="str">
        <f>'Banka Lis.'!E86</f>
        <v>HASAN</v>
      </c>
      <c r="F94" s="87" t="str">
        <f>'Banka Lis.'!F86</f>
        <v>KÖKSAL</v>
      </c>
    </row>
    <row r="95" spans="1:6" ht="16.5" customHeight="1" x14ac:dyDescent="0.3">
      <c r="A95" s="161" t="s">
        <v>816</v>
      </c>
      <c r="B95" s="157" t="str">
        <f>'Banka Lis.'!C87</f>
        <v>TR210001009010313958505002</v>
      </c>
      <c r="C95" s="158">
        <f>'Banka Lis.'!D87</f>
        <v>12996</v>
      </c>
      <c r="D95" s="159" t="str">
        <f>'Banka Lis.'!G87</f>
        <v>10538293270</v>
      </c>
      <c r="E95" s="156" t="str">
        <f>'Banka Lis.'!E87</f>
        <v>HATİCE MELİSA</v>
      </c>
      <c r="F95" s="87" t="str">
        <f>'Banka Lis.'!F87</f>
        <v>YÜKSEK</v>
      </c>
    </row>
    <row r="96" spans="1:6" ht="16.5" customHeight="1" x14ac:dyDescent="0.3">
      <c r="A96" s="161" t="s">
        <v>816</v>
      </c>
      <c r="B96" s="157" t="str">
        <f>'Banka Lis.'!C88</f>
        <v>TR100001000447799255645001</v>
      </c>
      <c r="C96" s="158">
        <f>'Banka Lis.'!D88</f>
        <v>12996</v>
      </c>
      <c r="D96" s="159" t="str">
        <f>'Banka Lis.'!G88</f>
        <v>32380614546</v>
      </c>
      <c r="E96" s="156" t="str">
        <f>'Banka Lis.'!E88</f>
        <v>HATİCE</v>
      </c>
      <c r="F96" s="87" t="str">
        <f>'Banka Lis.'!F88</f>
        <v>SARI</v>
      </c>
    </row>
    <row r="97" spans="1:6" ht="16.5" customHeight="1" x14ac:dyDescent="0.3">
      <c r="A97" s="161" t="s">
        <v>816</v>
      </c>
      <c r="B97" s="157" t="str">
        <f>'Banka Lis.'!C89</f>
        <v>TR320006701000000057778154</v>
      </c>
      <c r="C97" s="158">
        <f>'Banka Lis.'!D89</f>
        <v>12996</v>
      </c>
      <c r="D97" s="159" t="str">
        <f>'Banka Lis.'!G89</f>
        <v>22130159632</v>
      </c>
      <c r="E97" s="156" t="str">
        <f>'Banka Lis.'!E89</f>
        <v>HAZAL</v>
      </c>
      <c r="F97" s="87" t="str">
        <f>'Banka Lis.'!F89</f>
        <v>TAŞDEMİR</v>
      </c>
    </row>
    <row r="98" spans="1:6" ht="16.5" customHeight="1" x14ac:dyDescent="0.3">
      <c r="A98" s="161" t="s">
        <v>816</v>
      </c>
      <c r="B98" s="157" t="str">
        <f>'Banka Lis.'!C90</f>
        <v>TR590003200000000105798117</v>
      </c>
      <c r="C98" s="158">
        <f>'Banka Lis.'!D90</f>
        <v>8664</v>
      </c>
      <c r="D98" s="159" t="str">
        <f>'Banka Lis.'!G90</f>
        <v>10087841144</v>
      </c>
      <c r="E98" s="156" t="str">
        <f>'Banka Lis.'!E90</f>
        <v>HAZAL</v>
      </c>
      <c r="F98" s="87" t="str">
        <f>'Banka Lis.'!F90</f>
        <v>ULUDOĞAN</v>
      </c>
    </row>
    <row r="99" spans="1:6" ht="16.5" customHeight="1" x14ac:dyDescent="0.3">
      <c r="A99" s="161" t="s">
        <v>816</v>
      </c>
      <c r="B99" s="157" t="str">
        <f>'Banka Lis.'!C91</f>
        <v>TR370001000045839124175002</v>
      </c>
      <c r="C99" s="158">
        <f>'Banka Lis.'!D91</f>
        <v>12996</v>
      </c>
      <c r="D99" s="159" t="str">
        <f>'Banka Lis.'!G91</f>
        <v>19592207926</v>
      </c>
      <c r="E99" s="156" t="str">
        <f>'Banka Lis.'!E91</f>
        <v>HELİN</v>
      </c>
      <c r="F99" s="87" t="str">
        <f>'Banka Lis.'!F91</f>
        <v>ARSLAN</v>
      </c>
    </row>
    <row r="100" spans="1:6" ht="16.5" customHeight="1" x14ac:dyDescent="0.3">
      <c r="A100" s="161" t="s">
        <v>816</v>
      </c>
      <c r="B100" s="157" t="str">
        <f>'Banka Lis.'!C92</f>
        <v>TR380006400000143890345392</v>
      </c>
      <c r="C100" s="158">
        <f>'Banka Lis.'!D92</f>
        <v>16244.999999999998</v>
      </c>
      <c r="D100" s="159" t="str">
        <f>'Banka Lis.'!G92</f>
        <v>12742219862</v>
      </c>
      <c r="E100" s="156" t="str">
        <f>'Banka Lis.'!E92</f>
        <v>HİLAL</v>
      </c>
      <c r="F100" s="87" t="str">
        <f>'Banka Lis.'!F92</f>
        <v>AYDIN</v>
      </c>
    </row>
    <row r="101" spans="1:6" ht="16.5" customHeight="1" x14ac:dyDescent="0.3">
      <c r="A101" s="161" t="s">
        <v>816</v>
      </c>
      <c r="B101" s="157" t="str">
        <f>'Banka Lis.'!C93</f>
        <v>TR130006400000162100962203</v>
      </c>
      <c r="C101" s="158">
        <f>'Banka Lis.'!D93</f>
        <v>14079</v>
      </c>
      <c r="D101" s="159" t="str">
        <f>'Banka Lis.'!G93</f>
        <v>16492488158</v>
      </c>
      <c r="E101" s="156" t="str">
        <f>'Banka Lis.'!E93</f>
        <v>HİLAL BEHİYE</v>
      </c>
      <c r="F101" s="87" t="str">
        <f>'Banka Lis.'!F93</f>
        <v>YILMAZ</v>
      </c>
    </row>
    <row r="102" spans="1:6" ht="16.5" customHeight="1" x14ac:dyDescent="0.3">
      <c r="A102" s="161" t="s">
        <v>816</v>
      </c>
      <c r="B102" s="157" t="str">
        <f>'Banka Lis.'!C94</f>
        <v>TR800001009010736881205002</v>
      </c>
      <c r="C102" s="158">
        <f>'Banka Lis.'!D94</f>
        <v>9747</v>
      </c>
      <c r="D102" s="159" t="str">
        <f>'Banka Lis.'!G94</f>
        <v>11895077008</v>
      </c>
      <c r="E102" s="156" t="str">
        <f>'Banka Lis.'!E94</f>
        <v>İLAYDA</v>
      </c>
      <c r="F102" s="87" t="str">
        <f>'Banka Lis.'!F94</f>
        <v>MAY</v>
      </c>
    </row>
    <row r="103" spans="1:6" ht="16.5" customHeight="1" x14ac:dyDescent="0.3">
      <c r="A103" s="161" t="s">
        <v>816</v>
      </c>
      <c r="B103" s="157" t="str">
        <f>'Banka Lis.'!C95</f>
        <v>TR110001500158007333870305</v>
      </c>
      <c r="C103" s="158">
        <f>'Banka Lis.'!D95</f>
        <v>5415</v>
      </c>
      <c r="D103" s="159" t="str">
        <f>'Banka Lis.'!G95</f>
        <v>15268800910</v>
      </c>
      <c r="E103" s="156" t="str">
        <f>'Banka Lis.'!E95</f>
        <v>İLKER</v>
      </c>
      <c r="F103" s="87" t="str">
        <f>'Banka Lis.'!F95</f>
        <v>YILMAZ</v>
      </c>
    </row>
    <row r="104" spans="1:6" ht="16.5" customHeight="1" x14ac:dyDescent="0.3">
      <c r="A104" s="161" t="s">
        <v>816</v>
      </c>
      <c r="B104" s="157" t="str">
        <f>'Banka Lis.'!C96</f>
        <v>TR140001009010678015705001</v>
      </c>
      <c r="C104" s="158">
        <f>'Banka Lis.'!D96</f>
        <v>3249</v>
      </c>
      <c r="D104" s="159" t="str">
        <f>'Banka Lis.'!G96</f>
        <v>10293044216</v>
      </c>
      <c r="E104" s="156" t="str">
        <f>'Banka Lis.'!E96</f>
        <v>İLKNUR</v>
      </c>
      <c r="F104" s="87" t="str">
        <f>'Banka Lis.'!F96</f>
        <v>KILIÇ</v>
      </c>
    </row>
    <row r="105" spans="1:6" ht="14.4" x14ac:dyDescent="0.3">
      <c r="A105" s="161" t="s">
        <v>816</v>
      </c>
      <c r="B105" s="157" t="str">
        <f>'Banka Lis.'!C97</f>
        <v>TR260001009010548541805001</v>
      </c>
      <c r="C105" s="158">
        <f>'Banka Lis.'!D97</f>
        <v>15162</v>
      </c>
      <c r="D105" s="159" t="str">
        <f>'Banka Lis.'!G97</f>
        <v>26759027716</v>
      </c>
      <c r="E105" s="156" t="str">
        <f>'Banka Lis.'!E97</f>
        <v>İMAMUESEN</v>
      </c>
      <c r="F105" s="87" t="str">
        <f>'Banka Lis.'!F97</f>
        <v>ARTIŞ</v>
      </c>
    </row>
    <row r="106" spans="1:6" ht="14.4" x14ac:dyDescent="0.3">
      <c r="A106" s="161" t="s">
        <v>816</v>
      </c>
      <c r="B106" s="157" t="str">
        <f>'Banka Lis.'!C98</f>
        <v>TR410001200929100001060549</v>
      </c>
      <c r="C106" s="158">
        <f>'Banka Lis.'!D98</f>
        <v>15162</v>
      </c>
      <c r="D106" s="159" t="str">
        <f>'Banka Lis.'!G98</f>
        <v>53959062896</v>
      </c>
      <c r="E106" s="156" t="str">
        <f>'Banka Lis.'!E98</f>
        <v>İPEK</v>
      </c>
      <c r="F106" s="87" t="str">
        <f>'Banka Lis.'!F98</f>
        <v>CİHANTİMUR</v>
      </c>
    </row>
    <row r="107" spans="1:6" ht="16.5" customHeight="1" x14ac:dyDescent="0.3">
      <c r="A107" s="161" t="s">
        <v>816</v>
      </c>
      <c r="B107" s="157" t="str">
        <f>'Banka Lis.'!C99</f>
        <v>TR870020500009930087800001</v>
      </c>
      <c r="C107" s="158">
        <f>'Banka Lis.'!D99</f>
        <v>15162</v>
      </c>
      <c r="D107" s="159" t="str">
        <f>'Banka Lis.'!G99</f>
        <v>11042896742</v>
      </c>
      <c r="E107" s="156" t="str">
        <f>'Banka Lis.'!E99</f>
        <v>İSLAM SADRETTİN</v>
      </c>
      <c r="F107" s="87" t="str">
        <f>'Banka Lis.'!F99</f>
        <v>ÖZDOĞAN</v>
      </c>
    </row>
    <row r="108" spans="1:6" ht="16.5" customHeight="1" x14ac:dyDescent="0.3">
      <c r="A108" s="161" t="s">
        <v>816</v>
      </c>
      <c r="B108" s="157" t="str">
        <f>'Banka Lis.'!C100</f>
        <v>TR670001009010631869805001</v>
      </c>
      <c r="C108" s="158">
        <f>'Banka Lis.'!D100</f>
        <v>15162</v>
      </c>
      <c r="D108" s="159" t="str">
        <f>'Banka Lis.'!G100</f>
        <v>10717479006</v>
      </c>
      <c r="E108" s="156" t="str">
        <f>'Banka Lis.'!E100</f>
        <v>İSMAİL</v>
      </c>
      <c r="F108" s="87" t="str">
        <f>'Banka Lis.'!F100</f>
        <v>NACAR</v>
      </c>
    </row>
    <row r="109" spans="1:6" ht="14.4" x14ac:dyDescent="0.3">
      <c r="A109" s="161" t="s">
        <v>816</v>
      </c>
      <c r="B109" s="157" t="str">
        <f>'Banka Lis.'!C101</f>
        <v>TR310001009010744229505001</v>
      </c>
      <c r="C109" s="158">
        <f>'Banka Lis.'!D101</f>
        <v>12996</v>
      </c>
      <c r="D109" s="159" t="str">
        <f>'Banka Lis.'!G101</f>
        <v>15632524862</v>
      </c>
      <c r="E109" s="156" t="str">
        <f>'Banka Lis.'!E101</f>
        <v>KADİR HÜSEYİN</v>
      </c>
      <c r="F109" s="87" t="str">
        <f>'Banka Lis.'!F101</f>
        <v>TUNCER</v>
      </c>
    </row>
    <row r="110" spans="1:6" ht="16.5" customHeight="1" x14ac:dyDescent="0.3">
      <c r="A110" s="161" t="s">
        <v>816</v>
      </c>
      <c r="B110" s="157" t="str">
        <f>'Banka Lis.'!C102</f>
        <v>TR910001009010283041805001</v>
      </c>
      <c r="C110" s="158">
        <f>'Banka Lis.'!D102</f>
        <v>15162</v>
      </c>
      <c r="D110" s="159" t="str">
        <f>'Banka Lis.'!G102</f>
        <v>13963824422</v>
      </c>
      <c r="E110" s="156" t="str">
        <f>'Banka Lis.'!E102</f>
        <v>KADRİYE</v>
      </c>
      <c r="F110" s="87" t="str">
        <f>'Banka Lis.'!F102</f>
        <v>AKTAŞ</v>
      </c>
    </row>
    <row r="111" spans="1:6" ht="14.4" x14ac:dyDescent="0.3">
      <c r="A111" s="161" t="s">
        <v>816</v>
      </c>
      <c r="B111" s="157" t="str">
        <f>'Banka Lis.'!C103</f>
        <v>TR700001009010551737505002</v>
      </c>
      <c r="C111" s="158">
        <f>'Banka Lis.'!D103</f>
        <v>16244.999999999998</v>
      </c>
      <c r="D111" s="159" t="str">
        <f>'Banka Lis.'!G103</f>
        <v>10679380396</v>
      </c>
      <c r="E111" s="156" t="str">
        <f>'Banka Lis.'!E103</f>
        <v>KADRİYE GÜNGÖR</v>
      </c>
      <c r="F111" s="87" t="str">
        <f>'Banka Lis.'!F103</f>
        <v>GÖK</v>
      </c>
    </row>
    <row r="112" spans="1:6" ht="16.5" customHeight="1" x14ac:dyDescent="0.3">
      <c r="A112" s="161" t="s">
        <v>816</v>
      </c>
      <c r="B112" s="157" t="str">
        <f>'Banka Lis.'!C104</f>
        <v>TR420006200113100006648025</v>
      </c>
      <c r="C112" s="158">
        <f>'Banka Lis.'!D104</f>
        <v>14079</v>
      </c>
      <c r="D112" s="159" t="str">
        <f>'Banka Lis.'!G104</f>
        <v>17327701480</v>
      </c>
      <c r="E112" s="156" t="str">
        <f>'Banka Lis.'!E104</f>
        <v>KERİM</v>
      </c>
      <c r="F112" s="87" t="str">
        <f>'Banka Lis.'!F104</f>
        <v>CEBECİ</v>
      </c>
    </row>
    <row r="113" spans="1:6" ht="16.5" customHeight="1" x14ac:dyDescent="0.3">
      <c r="A113" s="161" t="s">
        <v>816</v>
      </c>
      <c r="B113" s="157" t="str">
        <f>'Banka Lis.'!C105</f>
        <v>TR150001001799744550895002</v>
      </c>
      <c r="C113" s="158">
        <f>'Banka Lis.'!D105</f>
        <v>14079</v>
      </c>
      <c r="D113" s="159" t="str">
        <f>'Banka Lis.'!G105</f>
        <v>10517493820</v>
      </c>
      <c r="E113" s="156" t="str">
        <f>'Banka Lis.'!E105</f>
        <v>KÜBRA</v>
      </c>
      <c r="F113" s="87" t="str">
        <f>'Banka Lis.'!F105</f>
        <v>GEDİK</v>
      </c>
    </row>
    <row r="114" spans="1:6" ht="14.4" x14ac:dyDescent="0.3">
      <c r="A114" s="161" t="s">
        <v>816</v>
      </c>
      <c r="B114" s="157" t="str">
        <f>'Banka Lis.'!C106</f>
        <v>TR300006200053800006623367</v>
      </c>
      <c r="C114" s="158">
        <f>'Banka Lis.'!D106</f>
        <v>9747</v>
      </c>
      <c r="D114" s="159" t="str">
        <f>'Banka Lis.'!G106</f>
        <v>10976678554</v>
      </c>
      <c r="E114" s="156" t="str">
        <f>'Banka Lis.'!E106</f>
        <v>KÜBRA</v>
      </c>
      <c r="F114" s="87" t="str">
        <f>'Banka Lis.'!F106</f>
        <v>ULUDERE</v>
      </c>
    </row>
    <row r="115" spans="1:6" ht="14.4" x14ac:dyDescent="0.3">
      <c r="A115" s="161" t="s">
        <v>816</v>
      </c>
      <c r="B115" s="157" t="str">
        <f>'Banka Lis.'!C107</f>
        <v>TR540006701000000033658902</v>
      </c>
      <c r="C115" s="158">
        <f>'Banka Lis.'!D107</f>
        <v>15162</v>
      </c>
      <c r="D115" s="159" t="str">
        <f>'Banka Lis.'!G107</f>
        <v>15766862922</v>
      </c>
      <c r="E115" s="156" t="str">
        <f>'Banka Lis.'!E107</f>
        <v>LÜTFİYE</v>
      </c>
      <c r="F115" s="87" t="str">
        <f>'Banka Lis.'!F107</f>
        <v>SARI</v>
      </c>
    </row>
    <row r="116" spans="1:6" ht="16.5" customHeight="1" x14ac:dyDescent="0.3">
      <c r="A116" s="161" t="s">
        <v>816</v>
      </c>
      <c r="B116" s="157" t="str">
        <f>'Banka Lis.'!C108</f>
        <v>TR400001009010721263605001</v>
      </c>
      <c r="C116" s="158">
        <f>'Banka Lis.'!D108</f>
        <v>14079</v>
      </c>
      <c r="D116" s="159" t="str">
        <f>'Banka Lis.'!G108</f>
        <v>10412675680</v>
      </c>
      <c r="E116" s="156" t="str">
        <f>'Banka Lis.'!E108</f>
        <v>MEDİNE</v>
      </c>
      <c r="F116" s="87" t="str">
        <f>'Banka Lis.'!F108</f>
        <v>SAKARYA</v>
      </c>
    </row>
    <row r="117" spans="1:6" ht="14.4" x14ac:dyDescent="0.3">
      <c r="A117" s="161" t="s">
        <v>816</v>
      </c>
      <c r="B117" s="157" t="str">
        <f>'Banka Lis.'!C109</f>
        <v>TR270001009010734535405001</v>
      </c>
      <c r="C117" s="158">
        <f>'Banka Lis.'!D109</f>
        <v>9747</v>
      </c>
      <c r="D117" s="159" t="str">
        <f>'Banka Lis.'!G109</f>
        <v>10112713040</v>
      </c>
      <c r="E117" s="156" t="str">
        <f>'Banka Lis.'!E109</f>
        <v>MELİS</v>
      </c>
      <c r="F117" s="87" t="str">
        <f>'Banka Lis.'!F109</f>
        <v>KARADENİZ</v>
      </c>
    </row>
    <row r="118" spans="1:6" ht="16.5" customHeight="1" x14ac:dyDescent="0.3">
      <c r="A118" s="161" t="s">
        <v>816</v>
      </c>
      <c r="B118" s="157" t="str">
        <f>'Banka Lis.'!C110</f>
        <v>TR090001009010612007305001</v>
      </c>
      <c r="C118" s="158">
        <f>'Banka Lis.'!D110</f>
        <v>9747</v>
      </c>
      <c r="D118" s="159" t="str">
        <f>'Banka Lis.'!G110</f>
        <v>10267469656</v>
      </c>
      <c r="E118" s="156" t="str">
        <f>'Banka Lis.'!E110</f>
        <v>MELİS</v>
      </c>
      <c r="F118" s="87" t="str">
        <f>'Banka Lis.'!F110</f>
        <v>METİN</v>
      </c>
    </row>
    <row r="119" spans="1:6" ht="16.5" customHeight="1" x14ac:dyDescent="0.3">
      <c r="A119" s="161" t="s">
        <v>816</v>
      </c>
      <c r="B119" s="157" t="str">
        <f>'Banka Lis.'!C111</f>
        <v>TR440001000301704869035001</v>
      </c>
      <c r="C119" s="158">
        <f>'Banka Lis.'!D111</f>
        <v>8664</v>
      </c>
      <c r="D119" s="159" t="str">
        <f>'Banka Lis.'!G111</f>
        <v>53509519344</v>
      </c>
      <c r="E119" s="156" t="str">
        <f>'Banka Lis.'!E111</f>
        <v>MELİSA</v>
      </c>
      <c r="F119" s="87" t="str">
        <f>'Banka Lis.'!F111</f>
        <v>KUMLU</v>
      </c>
    </row>
    <row r="120" spans="1:6" ht="16.5" customHeight="1" x14ac:dyDescent="0.3">
      <c r="A120" s="161" t="s">
        <v>816</v>
      </c>
      <c r="B120" s="157" t="str">
        <f>'Banka Lis.'!C112</f>
        <v>TR350001002715876598195001</v>
      </c>
      <c r="C120" s="158">
        <f>'Banka Lis.'!D112</f>
        <v>12996</v>
      </c>
      <c r="D120" s="159" t="str">
        <f>'Banka Lis.'!G112</f>
        <v>51844559292</v>
      </c>
      <c r="E120" s="156" t="str">
        <f>'Banka Lis.'!E112</f>
        <v>MELİSA</v>
      </c>
      <c r="F120" s="87" t="str">
        <f>'Banka Lis.'!F112</f>
        <v>OKUYUCU</v>
      </c>
    </row>
    <row r="121" spans="1:6" ht="14.4" x14ac:dyDescent="0.3">
      <c r="A121" s="161" t="s">
        <v>816</v>
      </c>
      <c r="B121" s="157" t="str">
        <f>'Banka Lis.'!C113</f>
        <v>TR510001009010745849005001</v>
      </c>
      <c r="C121" s="158">
        <f>'Banka Lis.'!D113</f>
        <v>15162</v>
      </c>
      <c r="D121" s="159" t="str">
        <f>'Banka Lis.'!G113</f>
        <v>11273332552</v>
      </c>
      <c r="E121" s="156" t="str">
        <f>'Banka Lis.'!E113</f>
        <v>MERVE CEREN</v>
      </c>
      <c r="F121" s="87" t="str">
        <f>'Banka Lis.'!F113</f>
        <v>İNCE</v>
      </c>
    </row>
    <row r="122" spans="1:6" ht="16.5" customHeight="1" x14ac:dyDescent="0.3">
      <c r="A122" s="161" t="s">
        <v>816</v>
      </c>
      <c r="B122" s="157" t="str">
        <f>'Banka Lis.'!C114</f>
        <v>TR750006701000000040002130</v>
      </c>
      <c r="C122" s="158">
        <f>'Banka Lis.'!D114</f>
        <v>14079</v>
      </c>
      <c r="D122" s="159" t="str">
        <f>'Banka Lis.'!G114</f>
        <v>28885323830</v>
      </c>
      <c r="E122" s="156" t="str">
        <f>'Banka Lis.'!E114</f>
        <v>MERVE</v>
      </c>
      <c r="F122" s="87" t="str">
        <f>'Banka Lis.'!F114</f>
        <v>EREN</v>
      </c>
    </row>
    <row r="123" spans="1:6" ht="16.5" customHeight="1" x14ac:dyDescent="0.3">
      <c r="A123" s="161" t="s">
        <v>816</v>
      </c>
      <c r="B123" s="157" t="str">
        <f>'Banka Lis.'!C115</f>
        <v>TR110001009010190699405001</v>
      </c>
      <c r="C123" s="158">
        <f>'Banka Lis.'!D115</f>
        <v>14079</v>
      </c>
      <c r="D123" s="159" t="str">
        <f>'Banka Lis.'!G115</f>
        <v>28033142924</v>
      </c>
      <c r="E123" s="156" t="str">
        <f>'Banka Lis.'!E115</f>
        <v>MERVE</v>
      </c>
      <c r="F123" s="87" t="str">
        <f>'Banka Lis.'!F115</f>
        <v>EZBERCİ</v>
      </c>
    </row>
    <row r="124" spans="1:6" ht="14.4" x14ac:dyDescent="0.3">
      <c r="A124" s="161" t="s">
        <v>816</v>
      </c>
      <c r="B124" s="157" t="str">
        <f>'Banka Lis.'!C116</f>
        <v>TR520001009010533686705001</v>
      </c>
      <c r="C124" s="158">
        <f>'Banka Lis.'!D116</f>
        <v>11913</v>
      </c>
      <c r="D124" s="159" t="str">
        <f>'Banka Lis.'!G116</f>
        <v>15230987106</v>
      </c>
      <c r="E124" s="156" t="str">
        <f>'Banka Lis.'!E116</f>
        <v>MERVE</v>
      </c>
      <c r="F124" s="87" t="str">
        <f>'Banka Lis.'!F116</f>
        <v>POLAT</v>
      </c>
    </row>
    <row r="125" spans="1:6" ht="14.4" x14ac:dyDescent="0.3">
      <c r="A125" s="161" t="s">
        <v>816</v>
      </c>
      <c r="B125" s="157" t="str">
        <f>'Banka Lis.'!C117</f>
        <v>TR280006400000115010287058</v>
      </c>
      <c r="C125" s="158">
        <f>'Banka Lis.'!D117</f>
        <v>15162</v>
      </c>
      <c r="D125" s="159" t="str">
        <f>'Banka Lis.'!G117</f>
        <v>10571458124</v>
      </c>
      <c r="E125" s="156" t="str">
        <f>'Banka Lis.'!E117</f>
        <v>MİNE</v>
      </c>
      <c r="F125" s="87" t="str">
        <f>'Banka Lis.'!F117</f>
        <v>AYHAN</v>
      </c>
    </row>
    <row r="126" spans="1:6" ht="16.5" customHeight="1" x14ac:dyDescent="0.3">
      <c r="A126" s="161" t="s">
        <v>816</v>
      </c>
      <c r="B126" s="157" t="str">
        <f>'Banka Lis.'!C118</f>
        <v>TR560001009010185848505001</v>
      </c>
      <c r="C126" s="158">
        <f>'Banka Lis.'!D118</f>
        <v>14079</v>
      </c>
      <c r="D126" s="159" t="str">
        <f>'Banka Lis.'!G118</f>
        <v>34438180034</v>
      </c>
      <c r="E126" s="156" t="str">
        <f>'Banka Lis.'!E118</f>
        <v>MİRAY</v>
      </c>
      <c r="F126" s="87" t="str">
        <f>'Banka Lis.'!F118</f>
        <v>ÖZTÜRK</v>
      </c>
    </row>
    <row r="127" spans="1:6" ht="16.5" customHeight="1" x14ac:dyDescent="0.3">
      <c r="A127" s="161" t="s">
        <v>816</v>
      </c>
      <c r="B127" s="157" t="str">
        <f>'Banka Lis.'!C119</f>
        <v>TR400001009010250435305001</v>
      </c>
      <c r="C127" s="158">
        <f>'Banka Lis.'!D119</f>
        <v>12996</v>
      </c>
      <c r="D127" s="159" t="str">
        <f>'Banka Lis.'!G119</f>
        <v>23368084802</v>
      </c>
      <c r="E127" s="156" t="str">
        <f>'Banka Lis.'!E119</f>
        <v>MUHAMMED AHMET</v>
      </c>
      <c r="F127" s="87" t="str">
        <f>'Banka Lis.'!F119</f>
        <v>ASLAN</v>
      </c>
    </row>
    <row r="128" spans="1:6" ht="16.5" customHeight="1" x14ac:dyDescent="0.3">
      <c r="A128" s="161" t="s">
        <v>816</v>
      </c>
      <c r="B128" s="157" t="str">
        <f>'Banka Lis.'!C120</f>
        <v>TR350001009010283358605002</v>
      </c>
      <c r="C128" s="158">
        <f>'Banka Lis.'!D120</f>
        <v>16244.999999999998</v>
      </c>
      <c r="D128" s="159" t="str">
        <f>'Banka Lis.'!G120</f>
        <v>10069201706</v>
      </c>
      <c r="E128" s="156" t="str">
        <f>'Banka Lis.'!E120</f>
        <v>MUHAMMED BAKİ</v>
      </c>
      <c r="F128" s="87" t="str">
        <f>'Banka Lis.'!F120</f>
        <v>ORAR</v>
      </c>
    </row>
    <row r="129" spans="1:6" ht="16.5" customHeight="1" x14ac:dyDescent="0.3">
      <c r="A129" s="161" t="s">
        <v>816</v>
      </c>
      <c r="B129" s="157" t="str">
        <f>'Banka Lis.'!C121</f>
        <v>TR110006400000122201242199</v>
      </c>
      <c r="C129" s="158">
        <f>'Banka Lis.'!D121</f>
        <v>14079</v>
      </c>
      <c r="D129" s="159" t="str">
        <f>'Banka Lis.'!G121</f>
        <v>10804913444</v>
      </c>
      <c r="E129" s="156" t="str">
        <f>'Banka Lis.'!E121</f>
        <v>MUHAMMED İSMAİL</v>
      </c>
      <c r="F129" s="87" t="str">
        <f>'Banka Lis.'!F121</f>
        <v>ERDOĞAN</v>
      </c>
    </row>
    <row r="130" spans="1:6" ht="14.4" x14ac:dyDescent="0.3">
      <c r="A130" s="161" t="s">
        <v>816</v>
      </c>
      <c r="B130" s="157" t="str">
        <f>'Banka Lis.'!C122</f>
        <v>TR340001009010961953705001</v>
      </c>
      <c r="C130" s="158">
        <f>'Banka Lis.'!D122</f>
        <v>7581</v>
      </c>
      <c r="D130" s="159" t="str">
        <f>'Banka Lis.'!G122</f>
        <v>13763788092</v>
      </c>
      <c r="E130" s="156" t="str">
        <f>'Banka Lis.'!E122</f>
        <v>MUHAMMED YASİN</v>
      </c>
      <c r="F130" s="87" t="str">
        <f>'Banka Lis.'!F122</f>
        <v>YILMAZ</v>
      </c>
    </row>
    <row r="131" spans="1:6" ht="16.5" customHeight="1" x14ac:dyDescent="0.3">
      <c r="A131" s="161" t="s">
        <v>816</v>
      </c>
      <c r="B131" s="157" t="str">
        <f>'Banka Lis.'!C123</f>
        <v>TR070001009010773423105001</v>
      </c>
      <c r="C131" s="158">
        <f>'Banka Lis.'!D123</f>
        <v>15162</v>
      </c>
      <c r="D131" s="159" t="str">
        <f>'Banka Lis.'!G123</f>
        <v>10456830816</v>
      </c>
      <c r="E131" s="156" t="str">
        <f>'Banka Lis.'!E123</f>
        <v>MUHAMMET ALİ</v>
      </c>
      <c r="F131" s="87" t="str">
        <f>'Banka Lis.'!F123</f>
        <v>KARAMAN</v>
      </c>
    </row>
    <row r="132" spans="1:6" ht="16.5" customHeight="1" x14ac:dyDescent="0.3">
      <c r="A132" s="161" t="s">
        <v>816</v>
      </c>
      <c r="B132" s="157" t="str">
        <f>'Banka Lis.'!C124</f>
        <v>TR480006701000000079126402</v>
      </c>
      <c r="C132" s="158">
        <f>'Banka Lis.'!D124</f>
        <v>14079</v>
      </c>
      <c r="D132" s="159" t="str">
        <f>'Banka Lis.'!G124</f>
        <v>34918660636</v>
      </c>
      <c r="E132" s="156" t="str">
        <f>'Banka Lis.'!E124</f>
        <v>MUHAMMET TAHA</v>
      </c>
      <c r="F132" s="87" t="str">
        <f>'Banka Lis.'!F124</f>
        <v>ÖZAY</v>
      </c>
    </row>
    <row r="133" spans="1:6" ht="16.5" customHeight="1" x14ac:dyDescent="0.3">
      <c r="A133" s="161" t="s">
        <v>816</v>
      </c>
      <c r="B133" s="157" t="str">
        <f>'Banka Lis.'!C125</f>
        <v>TR140006701000000055070723</v>
      </c>
      <c r="C133" s="158">
        <f>'Banka Lis.'!D125</f>
        <v>14079</v>
      </c>
      <c r="D133" s="159" t="str">
        <f>'Banka Lis.'!G125</f>
        <v>32752953624</v>
      </c>
      <c r="E133" s="156" t="str">
        <f>'Banka Lis.'!E125</f>
        <v>MUHSİN</v>
      </c>
      <c r="F133" s="87" t="str">
        <f>'Banka Lis.'!F125</f>
        <v>YILMAZ</v>
      </c>
    </row>
    <row r="134" spans="1:6" ht="16.5" customHeight="1" x14ac:dyDescent="0.3">
      <c r="A134" s="161" t="s">
        <v>816</v>
      </c>
      <c r="B134" s="157" t="str">
        <f>'Banka Lis.'!C126</f>
        <v>TR390020500009169649500001</v>
      </c>
      <c r="C134" s="158">
        <f>'Banka Lis.'!D126</f>
        <v>14079</v>
      </c>
      <c r="D134" s="159" t="str">
        <f>'Banka Lis.'!G126</f>
        <v>19852021132</v>
      </c>
      <c r="E134" s="156" t="str">
        <f>'Banka Lis.'!E126</f>
        <v>MURAT CAN</v>
      </c>
      <c r="F134" s="87" t="str">
        <f>'Banka Lis.'!F126</f>
        <v>DEĞRİ</v>
      </c>
    </row>
    <row r="135" spans="1:6" ht="16.5" customHeight="1" x14ac:dyDescent="0.3">
      <c r="A135" s="161" t="s">
        <v>816</v>
      </c>
      <c r="B135" s="157" t="str">
        <f>'Banka Lis.'!C127</f>
        <v>TR090001009010152275805001</v>
      </c>
      <c r="C135" s="158">
        <f>'Banka Lis.'!D127</f>
        <v>15162</v>
      </c>
      <c r="D135" s="159" t="str">
        <f>'Banka Lis.'!G127</f>
        <v>10498595988</v>
      </c>
      <c r="E135" s="156" t="str">
        <f>'Banka Lis.'!E127</f>
        <v>MUSA</v>
      </c>
      <c r="F135" s="87" t="str">
        <f>'Banka Lis.'!F127</f>
        <v>ÇEÇEN</v>
      </c>
    </row>
    <row r="136" spans="1:6" ht="16.5" customHeight="1" x14ac:dyDescent="0.3">
      <c r="A136" s="161" t="s">
        <v>816</v>
      </c>
      <c r="B136" s="157" t="str">
        <f>'Banka Lis.'!C128</f>
        <v>TR950004600498888000207494</v>
      </c>
      <c r="C136" s="158">
        <f>'Banka Lis.'!D128</f>
        <v>11913</v>
      </c>
      <c r="D136" s="159" t="str">
        <f>'Banka Lis.'!G128</f>
        <v>11015801254</v>
      </c>
      <c r="E136" s="156" t="str">
        <f>'Banka Lis.'!E128</f>
        <v>MUSA</v>
      </c>
      <c r="F136" s="87" t="str">
        <f>'Banka Lis.'!F128</f>
        <v>SÜRME</v>
      </c>
    </row>
    <row r="137" spans="1:6" ht="16.5" customHeight="1" x14ac:dyDescent="0.3">
      <c r="A137" s="161" t="s">
        <v>816</v>
      </c>
      <c r="B137" s="157" t="str">
        <f>'Banka Lis.'!C129</f>
        <v>TR190001000125833796085001</v>
      </c>
      <c r="C137" s="158">
        <f>'Banka Lis.'!D129</f>
        <v>9747</v>
      </c>
      <c r="D137" s="159" t="str">
        <f>'Banka Lis.'!G129</f>
        <v>43654206572</v>
      </c>
      <c r="E137" s="156" t="str">
        <f>'Banka Lis.'!E129</f>
        <v>MUSTAFA ALİ</v>
      </c>
      <c r="F137" s="87" t="str">
        <f>'Banka Lis.'!F129</f>
        <v>ARSLAN</v>
      </c>
    </row>
    <row r="138" spans="1:6" ht="16.5" customHeight="1" x14ac:dyDescent="0.3">
      <c r="A138" s="161" t="s">
        <v>816</v>
      </c>
      <c r="B138" s="157" t="str">
        <f>'Banka Lis.'!C130</f>
        <v>TR230006701000000012870808</v>
      </c>
      <c r="C138" s="158">
        <f>'Banka Lis.'!D130</f>
        <v>15162</v>
      </c>
      <c r="D138" s="159" t="str">
        <f>'Banka Lis.'!G130</f>
        <v>10451501322</v>
      </c>
      <c r="E138" s="156" t="str">
        <f>'Banka Lis.'!E130</f>
        <v>MUSTAFA</v>
      </c>
      <c r="F138" s="87" t="str">
        <f>'Banka Lis.'!F130</f>
        <v>GÖKTAŞ</v>
      </c>
    </row>
    <row r="139" spans="1:6" ht="14.4" x14ac:dyDescent="0.3">
      <c r="A139" s="161" t="s">
        <v>816</v>
      </c>
      <c r="B139" s="157" t="str">
        <f>'Banka Lis.'!C131</f>
        <v>TR430003200000000146674690</v>
      </c>
      <c r="C139" s="158">
        <f>'Banka Lis.'!D131</f>
        <v>12996</v>
      </c>
      <c r="D139" s="159" t="str">
        <f>'Banka Lis.'!G131</f>
        <v>12511913564</v>
      </c>
      <c r="E139" s="156" t="str">
        <f>'Banka Lis.'!E131</f>
        <v>MUSTAFA</v>
      </c>
      <c r="F139" s="87" t="str">
        <f>'Banka Lis.'!F131</f>
        <v>ORHAN</v>
      </c>
    </row>
    <row r="140" spans="1:6" ht="16.5" customHeight="1" x14ac:dyDescent="0.3">
      <c r="A140" s="161" t="s">
        <v>816</v>
      </c>
      <c r="B140" s="157" t="str">
        <f>'Banka Lis.'!C132</f>
        <v>TR090001004030807029785009</v>
      </c>
      <c r="C140" s="158">
        <f>'Banka Lis.'!D132</f>
        <v>11913</v>
      </c>
      <c r="D140" s="159" t="str">
        <f>'Banka Lis.'!G132</f>
        <v>14613052462</v>
      </c>
      <c r="E140" s="156" t="str">
        <f>'Banka Lis.'!E132</f>
        <v>MUSTAFA YUSUF</v>
      </c>
      <c r="F140" s="87" t="str">
        <f>'Banka Lis.'!F132</f>
        <v>HASIRCI</v>
      </c>
    </row>
    <row r="141" spans="1:6" ht="16.5" customHeight="1" x14ac:dyDescent="0.3">
      <c r="A141" s="161" t="s">
        <v>816</v>
      </c>
      <c r="B141" s="157" t="str">
        <f>'Banka Lis.'!C133</f>
        <v>TR210006400000182300591065</v>
      </c>
      <c r="C141" s="158">
        <f>'Banka Lis.'!D133</f>
        <v>12996</v>
      </c>
      <c r="D141" s="159" t="str">
        <f>'Banka Lis.'!G133</f>
        <v>20317547234</v>
      </c>
      <c r="E141" s="156" t="str">
        <f>'Banka Lis.'!E133</f>
        <v>MÜSLÜM</v>
      </c>
      <c r="F141" s="87" t="str">
        <f>'Banka Lis.'!F133</f>
        <v>GÖNDER</v>
      </c>
    </row>
    <row r="142" spans="1:6" ht="14.4" x14ac:dyDescent="0.3">
      <c r="A142" s="161" t="s">
        <v>816</v>
      </c>
      <c r="B142" s="157" t="str">
        <f>'Banka Lis.'!C134</f>
        <v>TR910001009011002452005001</v>
      </c>
      <c r="C142" s="158">
        <f>'Banka Lis.'!D134</f>
        <v>11913</v>
      </c>
      <c r="D142" s="159" t="str">
        <f>'Banka Lis.'!G134</f>
        <v>10256534488</v>
      </c>
      <c r="E142" s="156" t="str">
        <f>'Banka Lis.'!E134</f>
        <v>NATİA SELVİ</v>
      </c>
      <c r="F142" s="87" t="str">
        <f>'Banka Lis.'!F134</f>
        <v>GÖG</v>
      </c>
    </row>
    <row r="143" spans="1:6" ht="14.4" x14ac:dyDescent="0.3">
      <c r="A143" s="161" t="s">
        <v>816</v>
      </c>
      <c r="B143" s="157" t="str">
        <f>'Banka Lis.'!C135</f>
        <v>TR810001200132900001130388</v>
      </c>
      <c r="C143" s="158">
        <f>'Banka Lis.'!D135</f>
        <v>9747</v>
      </c>
      <c r="D143" s="159" t="str">
        <f>'Banka Lis.'!G135</f>
        <v>10135362348</v>
      </c>
      <c r="E143" s="156" t="str">
        <f>'Banka Lis.'!E135</f>
        <v>NAZIM</v>
      </c>
      <c r="F143" s="87" t="str">
        <f>'Banka Lis.'!F135</f>
        <v>SEYDEL</v>
      </c>
    </row>
    <row r="144" spans="1:6" ht="16.5" customHeight="1" x14ac:dyDescent="0.3">
      <c r="A144" s="161" t="s">
        <v>816</v>
      </c>
      <c r="B144" s="157" t="str">
        <f>'Banka Lis.'!C136</f>
        <v>TR540006400000114201689158</v>
      </c>
      <c r="C144" s="158">
        <f>'Banka Lis.'!D136</f>
        <v>14079</v>
      </c>
      <c r="D144" s="159" t="str">
        <f>'Banka Lis.'!G136</f>
        <v>10039820036</v>
      </c>
      <c r="E144" s="156" t="str">
        <f>'Banka Lis.'!E136</f>
        <v>NERGİS</v>
      </c>
      <c r="F144" s="87" t="str">
        <f>'Banka Lis.'!F136</f>
        <v>ÖZTÜRK</v>
      </c>
    </row>
    <row r="145" spans="1:6" ht="16.5" customHeight="1" x14ac:dyDescent="0.3">
      <c r="A145" s="161" t="s">
        <v>816</v>
      </c>
      <c r="B145" s="157" t="str">
        <f>'Banka Lis.'!C137</f>
        <v>TR430001500158007303954347</v>
      </c>
      <c r="C145" s="158">
        <f>'Banka Lis.'!D137</f>
        <v>11913</v>
      </c>
      <c r="D145" s="159" t="str">
        <f>'Banka Lis.'!G137</f>
        <v>43234882790</v>
      </c>
      <c r="E145" s="156" t="str">
        <f>'Banka Lis.'!E137</f>
        <v>NESİBE</v>
      </c>
      <c r="F145" s="87" t="str">
        <f>'Banka Lis.'!F137</f>
        <v>KARAGÖZ</v>
      </c>
    </row>
    <row r="146" spans="1:6" ht="16.5" customHeight="1" x14ac:dyDescent="0.3">
      <c r="A146" s="161" t="s">
        <v>816</v>
      </c>
      <c r="B146" s="157" t="str">
        <f>'Banka Lis.'!C138</f>
        <v>TR830001009010554091005001</v>
      </c>
      <c r="C146" s="158">
        <f>'Banka Lis.'!D138</f>
        <v>15162</v>
      </c>
      <c r="D146" s="159" t="str">
        <f>'Banka Lis.'!G138</f>
        <v>25301005400</v>
      </c>
      <c r="E146" s="156" t="str">
        <f>'Banka Lis.'!E138</f>
        <v>NESİBE</v>
      </c>
      <c r="F146" s="87" t="str">
        <f>'Banka Lis.'!F138</f>
        <v>SUNA</v>
      </c>
    </row>
    <row r="147" spans="1:6" ht="16.5" customHeight="1" x14ac:dyDescent="0.3">
      <c r="A147" s="161" t="s">
        <v>816</v>
      </c>
      <c r="B147" s="157" t="str">
        <f>'Banka Lis.'!C139</f>
        <v>TR360001001799900530355002</v>
      </c>
      <c r="C147" s="158">
        <f>'Banka Lis.'!D139</f>
        <v>12996</v>
      </c>
      <c r="D147" s="159" t="str">
        <f>'Banka Lis.'!G139</f>
        <v>10334932038</v>
      </c>
      <c r="E147" s="156" t="str">
        <f>'Banka Lis.'!E139</f>
        <v>NİSA</v>
      </c>
      <c r="F147" s="87" t="str">
        <f>'Banka Lis.'!F139</f>
        <v>ŞAHİN</v>
      </c>
    </row>
    <row r="148" spans="1:6" ht="16.5" customHeight="1" x14ac:dyDescent="0.3">
      <c r="A148" s="161" t="s">
        <v>816</v>
      </c>
      <c r="B148" s="157" t="str">
        <f>'Banka Lis.'!C140</f>
        <v>TR570001200132900001130820</v>
      </c>
      <c r="C148" s="158">
        <f>'Banka Lis.'!D140</f>
        <v>14079</v>
      </c>
      <c r="D148" s="159" t="str">
        <f>'Banka Lis.'!G140</f>
        <v>18557277776</v>
      </c>
      <c r="E148" s="156" t="str">
        <f>'Banka Lis.'!E140</f>
        <v>NİSANUR</v>
      </c>
      <c r="F148" s="87" t="str">
        <f>'Banka Lis.'!F140</f>
        <v>BİLGİN</v>
      </c>
    </row>
    <row r="149" spans="1:6" ht="16.5" customHeight="1" x14ac:dyDescent="0.3">
      <c r="A149" s="161" t="s">
        <v>816</v>
      </c>
      <c r="B149" s="157" t="str">
        <f>'Banka Lis.'!C141</f>
        <v>TR180006200122400006627913</v>
      </c>
      <c r="C149" s="158">
        <f>'Banka Lis.'!D141</f>
        <v>14079</v>
      </c>
      <c r="D149" s="159" t="str">
        <f>'Banka Lis.'!G141</f>
        <v>10756439870</v>
      </c>
      <c r="E149" s="156" t="str">
        <f>'Banka Lis.'!E141</f>
        <v>NİSANUR</v>
      </c>
      <c r="F149" s="87" t="str">
        <f>'Banka Lis.'!F141</f>
        <v>PAYAS</v>
      </c>
    </row>
    <row r="150" spans="1:6" ht="14.4" x14ac:dyDescent="0.3">
      <c r="A150" s="161" t="s">
        <v>816</v>
      </c>
      <c r="B150" s="157" t="str">
        <f>'Banka Lis.'!C142</f>
        <v>TR420006701000000040095553</v>
      </c>
      <c r="C150" s="158">
        <f>'Banka Lis.'!D142</f>
        <v>14079</v>
      </c>
      <c r="D150" s="159" t="str">
        <f>'Banka Lis.'!G142</f>
        <v>24173691452</v>
      </c>
      <c r="E150" s="156" t="str">
        <f>'Banka Lis.'!E142</f>
        <v>NİZAMETTİN GÖKTUG</v>
      </c>
      <c r="F150" s="87" t="str">
        <f>'Banka Lis.'!F142</f>
        <v>DURU</v>
      </c>
    </row>
    <row r="151" spans="1:6" ht="16.5" customHeight="1" x14ac:dyDescent="0.3">
      <c r="A151" s="161" t="s">
        <v>816</v>
      </c>
      <c r="B151" s="157" t="str">
        <f>'Banka Lis.'!C143</f>
        <v>TR470001009010439732605001</v>
      </c>
      <c r="C151" s="158">
        <f>'Banka Lis.'!D143</f>
        <v>12996</v>
      </c>
      <c r="D151" s="159" t="str">
        <f>'Banka Lis.'!G143</f>
        <v>10043115746</v>
      </c>
      <c r="E151" s="156" t="str">
        <f>'Banka Lis.'!E143</f>
        <v>NUMAN</v>
      </c>
      <c r="F151" s="87" t="str">
        <f>'Banka Lis.'!F143</f>
        <v>EBCİ</v>
      </c>
    </row>
    <row r="152" spans="1:6" ht="16.5" customHeight="1" x14ac:dyDescent="0.3">
      <c r="A152" s="161" t="s">
        <v>816</v>
      </c>
      <c r="B152" s="157" t="str">
        <f>'Banka Lis.'!C144</f>
        <v>TR170004600562888000127419</v>
      </c>
      <c r="C152" s="158">
        <f>'Banka Lis.'!D144</f>
        <v>15162</v>
      </c>
      <c r="D152" s="159" t="str">
        <f>'Banka Lis.'!G144</f>
        <v>15499100896</v>
      </c>
      <c r="E152" s="156" t="str">
        <f>'Banka Lis.'!E144</f>
        <v>NURAY</v>
      </c>
      <c r="F152" s="87" t="str">
        <f>'Banka Lis.'!F144</f>
        <v>BİLGİN</v>
      </c>
    </row>
    <row r="153" spans="1:6" ht="16.5" customHeight="1" x14ac:dyDescent="0.3">
      <c r="A153" s="161" t="s">
        <v>816</v>
      </c>
      <c r="B153" s="157" t="str">
        <f>'Banka Lis.'!C145</f>
        <v>TR300001500158007314780169</v>
      </c>
      <c r="C153" s="158">
        <f>'Banka Lis.'!D145</f>
        <v>14079</v>
      </c>
      <c r="D153" s="159" t="str">
        <f>'Banka Lis.'!G145</f>
        <v>42403579936</v>
      </c>
      <c r="E153" s="156" t="str">
        <f>'Banka Lis.'!E145</f>
        <v>NURCAN</v>
      </c>
      <c r="F153" s="87" t="str">
        <f>'Banka Lis.'!F145</f>
        <v>ÇELİK</v>
      </c>
    </row>
    <row r="154" spans="1:6" ht="16.5" customHeight="1" x14ac:dyDescent="0.3">
      <c r="A154" s="161" t="s">
        <v>816</v>
      </c>
      <c r="B154" s="157" t="str">
        <f>'Banka Lis.'!C146</f>
        <v>TR130001200158900001113143</v>
      </c>
      <c r="C154" s="158">
        <f>'Banka Lis.'!D146</f>
        <v>8664</v>
      </c>
      <c r="D154" s="159" t="str">
        <f>'Banka Lis.'!G146</f>
        <v>12899996340</v>
      </c>
      <c r="E154" s="156" t="str">
        <f>'Banka Lis.'!E146</f>
        <v>NURSEL</v>
      </c>
      <c r="F154" s="87" t="str">
        <f>'Banka Lis.'!F146</f>
        <v>KARACA</v>
      </c>
    </row>
    <row r="155" spans="1:6" ht="16.5" customHeight="1" x14ac:dyDescent="0.3">
      <c r="A155" s="161" t="s">
        <v>816</v>
      </c>
      <c r="B155" s="157" t="str">
        <f>'Banka Lis.'!C147</f>
        <v>TR870001002329917285095001</v>
      </c>
      <c r="C155" s="158">
        <f>'Banka Lis.'!D147</f>
        <v>16244.999999999998</v>
      </c>
      <c r="D155" s="159" t="str">
        <f>'Banka Lis.'!G147</f>
        <v>62986356106</v>
      </c>
      <c r="E155" s="156" t="str">
        <f>'Banka Lis.'!E147</f>
        <v>OĞUZHAN</v>
      </c>
      <c r="F155" s="87" t="str">
        <f>'Banka Lis.'!F147</f>
        <v>GÖNÜLAL</v>
      </c>
    </row>
    <row r="156" spans="1:6" ht="14.4" x14ac:dyDescent="0.3">
      <c r="A156" s="161" t="s">
        <v>816</v>
      </c>
      <c r="B156" s="157" t="str">
        <f>'Banka Lis.'!C148</f>
        <v>TR470001001799836907185005</v>
      </c>
      <c r="C156" s="158">
        <f>'Banka Lis.'!D148</f>
        <v>15162</v>
      </c>
      <c r="D156" s="159" t="str">
        <f>'Banka Lis.'!G148</f>
        <v>35677395432</v>
      </c>
      <c r="E156" s="156" t="str">
        <f>'Banka Lis.'!E148</f>
        <v>ÖMER FARUK</v>
      </c>
      <c r="F156" s="87" t="str">
        <f>'Banka Lis.'!F148</f>
        <v>YILMAZ</v>
      </c>
    </row>
    <row r="157" spans="1:6" ht="16.5" customHeight="1" x14ac:dyDescent="0.3">
      <c r="A157" s="161" t="s">
        <v>816</v>
      </c>
      <c r="B157" s="157" t="str">
        <f>'Banka Lis.'!C149</f>
        <v>TR050006400000122190381314</v>
      </c>
      <c r="C157" s="158">
        <f>'Banka Lis.'!D149</f>
        <v>12996</v>
      </c>
      <c r="D157" s="159" t="str">
        <f>'Banka Lis.'!G149</f>
        <v>12340900278</v>
      </c>
      <c r="E157" s="156" t="str">
        <f>'Banka Lis.'!E149</f>
        <v>ÖYKÜ</v>
      </c>
      <c r="F157" s="87" t="str">
        <f>'Banka Lis.'!F149</f>
        <v>AKINGÜÇ</v>
      </c>
    </row>
    <row r="158" spans="1:6" ht="16.5" customHeight="1" x14ac:dyDescent="0.3">
      <c r="A158" s="161" t="s">
        <v>816</v>
      </c>
      <c r="B158" s="157" t="str">
        <f>'Banka Lis.'!C150</f>
        <v>TR440004600431888000217388</v>
      </c>
      <c r="C158" s="158">
        <f>'Banka Lis.'!D150</f>
        <v>14079</v>
      </c>
      <c r="D158" s="159" t="str">
        <f>'Banka Lis.'!G150</f>
        <v>10618964960</v>
      </c>
      <c r="E158" s="156" t="str">
        <f>'Banka Lis.'!E150</f>
        <v>ÖZLEM HİRA</v>
      </c>
      <c r="F158" s="87" t="str">
        <f>'Banka Lis.'!F150</f>
        <v>KUŞELİ</v>
      </c>
    </row>
    <row r="159" spans="1:6" ht="16.5" customHeight="1" x14ac:dyDescent="0.3">
      <c r="A159" s="161" t="s">
        <v>816</v>
      </c>
      <c r="B159" s="157" t="str">
        <f>'Banka Lis.'!C151</f>
        <v>TR140001009010379575805001</v>
      </c>
      <c r="C159" s="158">
        <f>'Banka Lis.'!D151</f>
        <v>9747</v>
      </c>
      <c r="D159" s="159" t="str">
        <f>'Banka Lis.'!G151</f>
        <v>38317050524</v>
      </c>
      <c r="E159" s="156" t="str">
        <f>'Banka Lis.'!E151</f>
        <v>ÖZNUR</v>
      </c>
      <c r="F159" s="87" t="str">
        <f>'Banka Lis.'!F151</f>
        <v>TOĞRUL</v>
      </c>
    </row>
    <row r="160" spans="1:6" ht="14.4" x14ac:dyDescent="0.3">
      <c r="A160" s="161" t="s">
        <v>816</v>
      </c>
      <c r="B160" s="177" t="str">
        <f>'Banka Lis.'!C152</f>
        <v>TR910001009011002452005001</v>
      </c>
      <c r="C160" s="158">
        <f>'Banka Lis.'!D152</f>
        <v>15162</v>
      </c>
      <c r="D160" s="159" t="str">
        <f>'Banka Lis.'!G152</f>
        <v>31480811602</v>
      </c>
      <c r="E160" s="156" t="str">
        <f>'Banka Lis.'!E152</f>
        <v>PELİNSU</v>
      </c>
      <c r="F160" s="87" t="str">
        <f>'Banka Lis.'!F152</f>
        <v>ASLANTAŞ</v>
      </c>
    </row>
    <row r="161" spans="1:6" ht="16.5" customHeight="1" x14ac:dyDescent="0.3">
      <c r="A161" s="161" t="s">
        <v>816</v>
      </c>
      <c r="B161" s="157" t="str">
        <f>'Banka Lis.'!C153</f>
        <v>TR150006400000124030829840</v>
      </c>
      <c r="C161" s="158">
        <f>'Banka Lis.'!D153</f>
        <v>12996</v>
      </c>
      <c r="D161" s="159" t="str">
        <f>'Banka Lis.'!G153</f>
        <v>10484695074</v>
      </c>
      <c r="E161" s="156" t="str">
        <f>'Banka Lis.'!E153</f>
        <v>RABİA ŞEVVAL</v>
      </c>
      <c r="F161" s="87" t="str">
        <f>'Banka Lis.'!F153</f>
        <v>KONYALI</v>
      </c>
    </row>
    <row r="162" spans="1:6" ht="16.5" customHeight="1" x14ac:dyDescent="0.3">
      <c r="A162" s="161" t="s">
        <v>816</v>
      </c>
      <c r="B162" s="157" t="str">
        <f>'Banka Lis.'!C154</f>
        <v>TR660006200068700006888433</v>
      </c>
      <c r="C162" s="158">
        <f>'Banka Lis.'!D154</f>
        <v>14079</v>
      </c>
      <c r="D162" s="159" t="str">
        <f>'Banka Lis.'!G154</f>
        <v>40969927062</v>
      </c>
      <c r="E162" s="156" t="str">
        <f>'Banka Lis.'!E154</f>
        <v>RAHİME DİLARA</v>
      </c>
      <c r="F162" s="87" t="str">
        <f>'Banka Lis.'!F154</f>
        <v>BAŞ</v>
      </c>
    </row>
    <row r="163" spans="1:6" ht="16.5" customHeight="1" x14ac:dyDescent="0.3">
      <c r="A163" s="161" t="s">
        <v>816</v>
      </c>
      <c r="B163" s="157" t="str">
        <f>'Banka Lis.'!C155</f>
        <v>TR760001000002949148035001</v>
      </c>
      <c r="C163" s="158">
        <f>'Banka Lis.'!D155</f>
        <v>14079</v>
      </c>
      <c r="D163" s="159" t="str">
        <f>'Banka Lis.'!G155</f>
        <v>10649230522</v>
      </c>
      <c r="E163" s="156" t="str">
        <f>'Banka Lis.'!E155</f>
        <v>RESUL</v>
      </c>
      <c r="F163" s="87" t="str">
        <f>'Banka Lis.'!F155</f>
        <v>ARASLI</v>
      </c>
    </row>
    <row r="164" spans="1:6" ht="14.4" x14ac:dyDescent="0.3">
      <c r="A164" s="161" t="s">
        <v>816</v>
      </c>
      <c r="B164" s="157" t="str">
        <f>'Banka Lis.'!C156</f>
        <v>TR030001009010039148705001</v>
      </c>
      <c r="C164" s="158">
        <f>'Banka Lis.'!D156</f>
        <v>9747</v>
      </c>
      <c r="D164" s="159" t="str">
        <f>'Banka Lis.'!G156</f>
        <v>20078478310</v>
      </c>
      <c r="E164" s="156" t="str">
        <f>'Banka Lis.'!E156</f>
        <v>RUKİYE</v>
      </c>
      <c r="F164" s="87" t="str">
        <f>'Banka Lis.'!F156</f>
        <v>TERUT</v>
      </c>
    </row>
    <row r="165" spans="1:6" ht="16.5" customHeight="1" x14ac:dyDescent="0.3">
      <c r="A165" s="161" t="s">
        <v>816</v>
      </c>
      <c r="B165" s="157" t="str">
        <f>'Banka Lis.'!C157</f>
        <v>TR480006200068700006612889</v>
      </c>
      <c r="C165" s="158">
        <f>'Banka Lis.'!D157</f>
        <v>15162</v>
      </c>
      <c r="D165" s="159" t="str">
        <f>'Banka Lis.'!G157</f>
        <v>10111237400</v>
      </c>
      <c r="E165" s="156" t="str">
        <f>'Banka Lis.'!E157</f>
        <v>RÜMEYSA NUR</v>
      </c>
      <c r="F165" s="87" t="str">
        <f>'Banka Lis.'!F157</f>
        <v>DÜZYURT</v>
      </c>
    </row>
    <row r="166" spans="1:6" ht="16.5" customHeight="1" x14ac:dyDescent="0.3">
      <c r="A166" s="161" t="s">
        <v>816</v>
      </c>
      <c r="B166" s="157" t="str">
        <f>'Banka Lis.'!C158</f>
        <v>TR340001009010259023805001</v>
      </c>
      <c r="C166" s="158">
        <f>'Banka Lis.'!D158</f>
        <v>12996</v>
      </c>
      <c r="D166" s="159" t="str">
        <f>'Banka Lis.'!G158</f>
        <v>15844611640</v>
      </c>
      <c r="E166" s="156" t="str">
        <f>'Banka Lis.'!E158</f>
        <v>RÜYA</v>
      </c>
      <c r="F166" s="87" t="str">
        <f>'Banka Lis.'!F158</f>
        <v>KARATAŞ</v>
      </c>
    </row>
    <row r="167" spans="1:6" ht="14.4" x14ac:dyDescent="0.3">
      <c r="A167" s="161" t="s">
        <v>816</v>
      </c>
      <c r="B167" s="157" t="str">
        <f>'Banka Lis.'!C159</f>
        <v>TR790001009010728935409002</v>
      </c>
      <c r="C167" s="158">
        <f>'Banka Lis.'!D159</f>
        <v>14079</v>
      </c>
      <c r="D167" s="159" t="str">
        <f>'Banka Lis.'!G159</f>
        <v>10231640142</v>
      </c>
      <c r="E167" s="156" t="str">
        <f>'Banka Lis.'!E159</f>
        <v>SAMED</v>
      </c>
      <c r="F167" s="87" t="str">
        <f>'Banka Lis.'!F159</f>
        <v>ÇİNAZ</v>
      </c>
    </row>
    <row r="168" spans="1:6" ht="16.5" customHeight="1" x14ac:dyDescent="0.3">
      <c r="A168" s="161" t="s">
        <v>816</v>
      </c>
      <c r="B168" s="157" t="str">
        <f>'Banka Lis.'!C160</f>
        <v>TR290001200132900001131421</v>
      </c>
      <c r="C168" s="158">
        <f>'Banka Lis.'!D160</f>
        <v>12996</v>
      </c>
      <c r="D168" s="159" t="str">
        <f>'Banka Lis.'!G160</f>
        <v>59284104980</v>
      </c>
      <c r="E168" s="156" t="str">
        <f>'Banka Lis.'!E160</f>
        <v>SEBAHAT</v>
      </c>
      <c r="F168" s="87" t="str">
        <f>'Banka Lis.'!F160</f>
        <v>KALKAN</v>
      </c>
    </row>
    <row r="169" spans="1:6" ht="16.5" customHeight="1" x14ac:dyDescent="0.3">
      <c r="A169" s="161" t="s">
        <v>816</v>
      </c>
      <c r="B169" s="157" t="str">
        <f>'Banka Lis.'!C161</f>
        <v>TR470001200122800001111135</v>
      </c>
      <c r="C169" s="158">
        <f>'Banka Lis.'!D161</f>
        <v>14079</v>
      </c>
      <c r="D169" s="159" t="str">
        <f>'Banka Lis.'!G161</f>
        <v>11446687748</v>
      </c>
      <c r="E169" s="156" t="str">
        <f>'Banka Lis.'!E161</f>
        <v>SELİM</v>
      </c>
      <c r="F169" s="87" t="str">
        <f>'Banka Lis.'!F161</f>
        <v>MEYDAN</v>
      </c>
    </row>
    <row r="170" spans="1:6" ht="16.5" customHeight="1" x14ac:dyDescent="0.3">
      <c r="A170" s="161" t="s">
        <v>816</v>
      </c>
      <c r="B170" s="157" t="str">
        <f>'Banka Lis.'!C162</f>
        <v>TR810001001914710654405001</v>
      </c>
      <c r="C170" s="158">
        <f>'Banka Lis.'!D162</f>
        <v>16244.999999999998</v>
      </c>
      <c r="D170" s="159" t="str">
        <f>'Banka Lis.'!G162</f>
        <v>11872933396</v>
      </c>
      <c r="E170" s="156" t="str">
        <f>'Banka Lis.'!E162</f>
        <v>SELVİ</v>
      </c>
      <c r="F170" s="87" t="str">
        <f>'Banka Lis.'!F162</f>
        <v>YILDIRIM</v>
      </c>
    </row>
    <row r="171" spans="1:6" ht="16.5" customHeight="1" x14ac:dyDescent="0.3">
      <c r="A171" s="161" t="s">
        <v>816</v>
      </c>
      <c r="B171" s="157" t="str">
        <f>'Banka Lis.'!C163</f>
        <v>TR090001009010994867705002</v>
      </c>
      <c r="C171" s="158">
        <f>'Banka Lis.'!D163</f>
        <v>14079</v>
      </c>
      <c r="D171" s="159" t="str">
        <f>'Banka Lis.'!G163</f>
        <v>11587944526</v>
      </c>
      <c r="E171" s="156" t="str">
        <f>'Banka Lis.'!E163</f>
        <v>SEMİH</v>
      </c>
      <c r="F171" s="87" t="str">
        <f>'Banka Lis.'!F163</f>
        <v>OSMANLAR</v>
      </c>
    </row>
    <row r="172" spans="1:6" ht="16.5" customHeight="1" x14ac:dyDescent="0.3">
      <c r="A172" s="161" t="s">
        <v>816</v>
      </c>
      <c r="B172" s="157" t="str">
        <f>'Banka Lis.'!C164</f>
        <v>TR250006200068700006892081</v>
      </c>
      <c r="C172" s="158">
        <f>'Banka Lis.'!D164</f>
        <v>14079</v>
      </c>
      <c r="D172" s="159" t="str">
        <f>'Banka Lis.'!G164</f>
        <v>46162706664</v>
      </c>
      <c r="E172" s="156" t="str">
        <f>'Banka Lis.'!E164</f>
        <v>SEMİH</v>
      </c>
      <c r="F172" s="87" t="str">
        <f>'Banka Lis.'!F164</f>
        <v>ÖZDEMİR</v>
      </c>
    </row>
    <row r="173" spans="1:6" ht="16.5" customHeight="1" x14ac:dyDescent="0.3">
      <c r="A173" s="161" t="s">
        <v>816</v>
      </c>
      <c r="B173" s="157" t="str">
        <f>'Banka Lis.'!C165</f>
        <v>TR480006701000000038357108</v>
      </c>
      <c r="C173" s="158">
        <f>'Banka Lis.'!D165</f>
        <v>15162</v>
      </c>
      <c r="D173" s="159" t="str">
        <f>'Banka Lis.'!G165</f>
        <v>37468064794</v>
      </c>
      <c r="E173" s="156" t="str">
        <f>'Banka Lis.'!E165</f>
        <v>SENA</v>
      </c>
      <c r="F173" s="87" t="str">
        <f>'Banka Lis.'!F165</f>
        <v>KURTULUŞ</v>
      </c>
    </row>
    <row r="174" spans="1:6" ht="14.4" x14ac:dyDescent="0.3">
      <c r="A174" s="161" t="s">
        <v>816</v>
      </c>
      <c r="B174" s="157" t="str">
        <f>'Banka Lis.'!C166</f>
        <v>TR070001009010758562705001</v>
      </c>
      <c r="C174" s="158">
        <f>'Banka Lis.'!D166</f>
        <v>15162</v>
      </c>
      <c r="D174" s="159" t="str">
        <f>'Banka Lis.'!G166</f>
        <v>10139214124</v>
      </c>
      <c r="E174" s="156" t="str">
        <f>'Banka Lis.'!E166</f>
        <v>SENA NAREN</v>
      </c>
      <c r="F174" s="87" t="str">
        <f>'Banka Lis.'!F166</f>
        <v>BİNGÖL</v>
      </c>
    </row>
    <row r="175" spans="1:6" ht="16.5" customHeight="1" x14ac:dyDescent="0.3">
      <c r="A175" s="161" t="s">
        <v>816</v>
      </c>
      <c r="B175" s="157" t="str">
        <f>'Banka Lis.'!C167</f>
        <v>TR500001500158007326228428</v>
      </c>
      <c r="C175" s="158">
        <f>'Banka Lis.'!D167</f>
        <v>10830</v>
      </c>
      <c r="D175" s="159" t="str">
        <f>'Banka Lis.'!G167</f>
        <v>28069506882</v>
      </c>
      <c r="E175" s="156" t="str">
        <f>'Banka Lis.'!E167</f>
        <v>SENEM NUR</v>
      </c>
      <c r="F175" s="87" t="str">
        <f>'Banka Lis.'!F167</f>
        <v>ÖZTÜRK</v>
      </c>
    </row>
    <row r="176" spans="1:6" ht="14.4" hidden="1" x14ac:dyDescent="0.3">
      <c r="A176" s="161" t="s">
        <v>816</v>
      </c>
      <c r="B176" s="157" t="str">
        <f>'Banka Lis.'!C168</f>
        <v>TR080001000054867052065001</v>
      </c>
      <c r="C176" s="158">
        <f>'Banka Lis.'!D168</f>
        <v>0</v>
      </c>
      <c r="D176" s="159" t="str">
        <f>'Banka Lis.'!G168</f>
        <v>56965637782</v>
      </c>
      <c r="E176" s="156" t="str">
        <f>'Banka Lis.'!E168</f>
        <v>SEVDANUR</v>
      </c>
      <c r="F176" s="87" t="str">
        <f>'Banka Lis.'!F168</f>
        <v>NİŞ</v>
      </c>
    </row>
    <row r="177" spans="1:6" ht="16.5" customHeight="1" x14ac:dyDescent="0.3">
      <c r="A177" s="161" t="s">
        <v>816</v>
      </c>
      <c r="B177" s="157" t="str">
        <f>'Banka Lis.'!C169</f>
        <v>TR320001009010279401605001</v>
      </c>
      <c r="C177" s="158">
        <f>'Banka Lis.'!D169</f>
        <v>15162</v>
      </c>
      <c r="D177" s="159" t="str">
        <f>'Banka Lis.'!G169</f>
        <v>10044124310</v>
      </c>
      <c r="E177" s="156" t="str">
        <f>'Banka Lis.'!E169</f>
        <v>SILA</v>
      </c>
      <c r="F177" s="87" t="str">
        <f>'Banka Lis.'!F169</f>
        <v>SARI</v>
      </c>
    </row>
    <row r="178" spans="1:6" ht="16.5" customHeight="1" x14ac:dyDescent="0.3">
      <c r="A178" s="161" t="s">
        <v>816</v>
      </c>
      <c r="B178" s="157" t="str">
        <f>'Banka Lis.'!C170</f>
        <v>TR860001000472882357485002</v>
      </c>
      <c r="C178" s="158">
        <f>'Banka Lis.'!D170</f>
        <v>9747</v>
      </c>
      <c r="D178" s="159" t="str">
        <f>'Banka Lis.'!G170</f>
        <v>10099823732</v>
      </c>
      <c r="E178" s="156" t="str">
        <f>'Banka Lis.'!E170</f>
        <v>SUDE</v>
      </c>
      <c r="F178" s="87" t="str">
        <f>'Banka Lis.'!F170</f>
        <v>AK</v>
      </c>
    </row>
    <row r="179" spans="1:6" ht="16.5" customHeight="1" x14ac:dyDescent="0.3">
      <c r="A179" s="161" t="s">
        <v>816</v>
      </c>
      <c r="B179" s="157" t="str">
        <f>'Banka Lis.'!C171</f>
        <v>TR050001009010282804905001</v>
      </c>
      <c r="C179" s="158">
        <f>'Banka Lis.'!D171</f>
        <v>15162</v>
      </c>
      <c r="D179" s="159" t="str">
        <f>'Banka Lis.'!G171</f>
        <v>71035053262</v>
      </c>
      <c r="E179" s="156" t="str">
        <f>'Banka Lis.'!E171</f>
        <v>ŞEVVAL BÜŞRA</v>
      </c>
      <c r="F179" s="87" t="str">
        <f>'Banka Lis.'!F171</f>
        <v>ALTUNDAĞ</v>
      </c>
    </row>
    <row r="180" spans="1:6" ht="16.5" customHeight="1" x14ac:dyDescent="0.3">
      <c r="A180" s="161" t="s">
        <v>816</v>
      </c>
      <c r="B180" s="157" t="str">
        <f>'Banka Lis.'!C172</f>
        <v>TR630001009010379269705002</v>
      </c>
      <c r="C180" s="158">
        <f>'Banka Lis.'!D172</f>
        <v>16244.999999999998</v>
      </c>
      <c r="D180" s="159" t="str">
        <f>'Banka Lis.'!G172</f>
        <v>59413337814</v>
      </c>
      <c r="E180" s="156" t="str">
        <f>'Banka Lis.'!E172</f>
        <v>ŞEVVAL</v>
      </c>
      <c r="F180" s="87" t="str">
        <f>'Banka Lis.'!F172</f>
        <v>YILDIRIM</v>
      </c>
    </row>
    <row r="181" spans="1:6" ht="16.5" customHeight="1" x14ac:dyDescent="0.3">
      <c r="A181" s="161" t="s">
        <v>816</v>
      </c>
      <c r="B181" s="157" t="str">
        <f>'Banka Lis.'!C173</f>
        <v>TR460001200132900001125295</v>
      </c>
      <c r="C181" s="158">
        <f>'Banka Lis.'!D173</f>
        <v>16244.999999999998</v>
      </c>
      <c r="D181" s="159" t="str">
        <f>'Banka Lis.'!G173</f>
        <v>15296140996</v>
      </c>
      <c r="E181" s="156" t="str">
        <f>'Banka Lis.'!E173</f>
        <v>ŞUHEDA</v>
      </c>
      <c r="F181" s="87" t="str">
        <f>'Banka Lis.'!F173</f>
        <v>TEMUR</v>
      </c>
    </row>
    <row r="182" spans="1:6" ht="16.5" customHeight="1" x14ac:dyDescent="0.3">
      <c r="A182" s="161" t="s">
        <v>816</v>
      </c>
      <c r="B182" s="157" t="str">
        <f>'Banka Lis.'!C174</f>
        <v>TR260006200121500006880790</v>
      </c>
      <c r="C182" s="158">
        <f>'Banka Lis.'!D174</f>
        <v>11913</v>
      </c>
      <c r="D182" s="159" t="str">
        <f>'Banka Lis.'!G174</f>
        <v>12507116610</v>
      </c>
      <c r="E182" s="156" t="str">
        <f>'Banka Lis.'!E174</f>
        <v>ŞÜKRAN</v>
      </c>
      <c r="F182" s="87" t="str">
        <f>'Banka Lis.'!F174</f>
        <v>YANIK</v>
      </c>
    </row>
    <row r="183" spans="1:6" ht="16.5" customHeight="1" x14ac:dyDescent="0.3">
      <c r="A183" s="161" t="s">
        <v>816</v>
      </c>
      <c r="B183" s="157" t="str">
        <f>'Banka Lis.'!C175</f>
        <v>TR260004601179888000096019</v>
      </c>
      <c r="C183" s="158">
        <f>'Banka Lis.'!D175</f>
        <v>12996</v>
      </c>
      <c r="D183" s="159" t="str">
        <f>'Banka Lis.'!G175</f>
        <v>16252658296</v>
      </c>
      <c r="E183" s="156" t="str">
        <f>'Banka Lis.'!E175</f>
        <v>TAN KUTAY</v>
      </c>
      <c r="F183" s="87" t="str">
        <f>'Banka Lis.'!F175</f>
        <v>DEMİRCİ</v>
      </c>
    </row>
    <row r="184" spans="1:6" ht="16.5" customHeight="1" x14ac:dyDescent="0.3">
      <c r="A184" s="161" t="s">
        <v>816</v>
      </c>
      <c r="B184" s="157" t="str">
        <f>'Banka Lis.'!C176</f>
        <v>TR250011100000000155535775</v>
      </c>
      <c r="C184" s="158">
        <f>'Banka Lis.'!D176</f>
        <v>16244.999999999998</v>
      </c>
      <c r="D184" s="159" t="str">
        <f>'Banka Lis.'!G176</f>
        <v>22685042762</v>
      </c>
      <c r="E184" s="156" t="str">
        <f>'Banka Lis.'!E176</f>
        <v>TARIK</v>
      </c>
      <c r="F184" s="87" t="str">
        <f>'Banka Lis.'!F176</f>
        <v>KAYA</v>
      </c>
    </row>
    <row r="185" spans="1:6" ht="16.5" customHeight="1" x14ac:dyDescent="0.3">
      <c r="A185" s="161" t="s">
        <v>816</v>
      </c>
      <c r="B185" s="157" t="str">
        <f>'Banka Lis.'!C177</f>
        <v>TR900004600461888000136102</v>
      </c>
      <c r="C185" s="158">
        <f>'Banka Lis.'!D177</f>
        <v>12996</v>
      </c>
      <c r="D185" s="159" t="str">
        <f>'Banka Lis.'!G177</f>
        <v>33574013466</v>
      </c>
      <c r="E185" s="156" t="str">
        <f>'Banka Lis.'!E177</f>
        <v>TUANA</v>
      </c>
      <c r="F185" s="87" t="str">
        <f>'Banka Lis.'!F177</f>
        <v>AY</v>
      </c>
    </row>
    <row r="186" spans="1:6" ht="16.5" customHeight="1" x14ac:dyDescent="0.3">
      <c r="A186" s="161" t="s">
        <v>816</v>
      </c>
      <c r="B186" s="157" t="str">
        <f>'Banka Lis.'!C178</f>
        <v>TR590001009010383813805001</v>
      </c>
      <c r="C186" s="158">
        <f>'Banka Lis.'!D178</f>
        <v>14079</v>
      </c>
      <c r="D186" s="159" t="str">
        <f>'Banka Lis.'!G178</f>
        <v>17923740340</v>
      </c>
      <c r="E186" s="156" t="str">
        <f>'Banka Lis.'!E178</f>
        <v>TUBANUR</v>
      </c>
      <c r="F186" s="87" t="str">
        <f>'Banka Lis.'!F178</f>
        <v>GÖLCÜ</v>
      </c>
    </row>
    <row r="187" spans="1:6" ht="16.5" customHeight="1" x14ac:dyDescent="0.3">
      <c r="A187" s="161" t="s">
        <v>816</v>
      </c>
      <c r="B187" s="157" t="str">
        <f>'Banka Lis.'!C179</f>
        <v>TR110006200033600006886231</v>
      </c>
      <c r="C187" s="158">
        <f>'Banka Lis.'!D179</f>
        <v>15162</v>
      </c>
      <c r="D187" s="159" t="str">
        <f>'Banka Lis.'!G179</f>
        <v>38440624326</v>
      </c>
      <c r="E187" s="156" t="str">
        <f>'Banka Lis.'!E179</f>
        <v>UĞUR KEMAL</v>
      </c>
      <c r="F187" s="87" t="str">
        <f>'Banka Lis.'!F179</f>
        <v>DURNA</v>
      </c>
    </row>
    <row r="188" spans="1:6" ht="16.5" customHeight="1" x14ac:dyDescent="0.3">
      <c r="A188" s="161" t="s">
        <v>816</v>
      </c>
      <c r="B188" s="157" t="str">
        <f>'Banka Lis.'!C180</f>
        <v>TR280001009010376999205001</v>
      </c>
      <c r="C188" s="158">
        <f>'Banka Lis.'!D180</f>
        <v>14079</v>
      </c>
      <c r="D188" s="159" t="str">
        <f>'Banka Lis.'!G180</f>
        <v>12855005062</v>
      </c>
      <c r="E188" s="156" t="str">
        <f>'Banka Lis.'!E180</f>
        <v>YAĞMUR</v>
      </c>
      <c r="F188" s="87" t="str">
        <f>'Banka Lis.'!F180</f>
        <v>BAŞER</v>
      </c>
    </row>
    <row r="189" spans="1:6" ht="16.5" customHeight="1" x14ac:dyDescent="0.3">
      <c r="A189" s="161" t="s">
        <v>816</v>
      </c>
      <c r="B189" s="157" t="str">
        <f>'Banka Lis.'!C181</f>
        <v>TR110001009010640954005001</v>
      </c>
      <c r="C189" s="158">
        <f>'Banka Lis.'!D181</f>
        <v>12996</v>
      </c>
      <c r="D189" s="159" t="str">
        <f>'Banka Lis.'!G181</f>
        <v>12517226354</v>
      </c>
      <c r="E189" s="156" t="str">
        <f>'Banka Lis.'!E181</f>
        <v>YAĞMUR</v>
      </c>
      <c r="F189" s="87" t="str">
        <f>'Banka Lis.'!F181</f>
        <v>GEÇİCİ</v>
      </c>
    </row>
    <row r="190" spans="1:6" ht="16.5" customHeight="1" x14ac:dyDescent="0.3">
      <c r="A190" s="161" t="s">
        <v>816</v>
      </c>
      <c r="B190" s="157" t="str">
        <f>'Banka Lis.'!C182</f>
        <v>TR660006400000122031272959</v>
      </c>
      <c r="C190" s="158">
        <f>'Banka Lis.'!D182</f>
        <v>12996</v>
      </c>
      <c r="D190" s="159" t="str">
        <f>'Banka Lis.'!G182</f>
        <v>26182732720</v>
      </c>
      <c r="E190" s="156" t="str">
        <f>'Banka Lis.'!E182</f>
        <v>YAĞMUR</v>
      </c>
      <c r="F190" s="87" t="str">
        <f>'Banka Lis.'!F182</f>
        <v>ILGIN</v>
      </c>
    </row>
    <row r="191" spans="1:6" ht="16.5" customHeight="1" x14ac:dyDescent="0.3">
      <c r="A191" s="161" t="s">
        <v>816</v>
      </c>
      <c r="B191" s="157" t="str">
        <f>'Banka Lis.'!C183</f>
        <v>TR220001001799835814175002</v>
      </c>
      <c r="C191" s="158">
        <f>'Banka Lis.'!D183</f>
        <v>15162</v>
      </c>
      <c r="D191" s="159" t="str">
        <f>'Banka Lis.'!G183</f>
        <v>17620702016</v>
      </c>
      <c r="E191" s="156" t="str">
        <f>'Banka Lis.'!E183</f>
        <v>YAREN</v>
      </c>
      <c r="F191" s="87" t="str">
        <f>'Banka Lis.'!F183</f>
        <v>BAL</v>
      </c>
    </row>
    <row r="192" spans="1:6" ht="14.4" x14ac:dyDescent="0.3">
      <c r="A192" s="161" t="s">
        <v>816</v>
      </c>
      <c r="B192" s="157" t="str">
        <f>'Banka Lis.'!C184</f>
        <v>TR710001500158007318444867</v>
      </c>
      <c r="C192" s="158">
        <f>'Banka Lis.'!D184</f>
        <v>15162</v>
      </c>
      <c r="D192" s="159" t="str">
        <f>'Banka Lis.'!G184</f>
        <v>10196736362</v>
      </c>
      <c r="E192" s="156" t="str">
        <f>'Banka Lis.'!E184</f>
        <v>YASİN</v>
      </c>
      <c r="F192" s="87" t="str">
        <f>'Banka Lis.'!F184</f>
        <v>KURTTEKİN</v>
      </c>
    </row>
    <row r="193" spans="1:6" ht="16.5" customHeight="1" x14ac:dyDescent="0.3">
      <c r="A193" s="161" t="s">
        <v>816</v>
      </c>
      <c r="B193" s="157" t="str">
        <f>'Banka Lis.'!C185</f>
        <v>TR760001200132900001131448</v>
      </c>
      <c r="C193" s="158">
        <f>'Banka Lis.'!D185</f>
        <v>7581</v>
      </c>
      <c r="D193" s="159" t="str">
        <f>'Banka Lis.'!G185</f>
        <v>11168576870</v>
      </c>
      <c r="E193" s="156" t="str">
        <f>'Banka Lis.'!E185</f>
        <v>YİĞİT ALP</v>
      </c>
      <c r="F193" s="87" t="str">
        <f>'Banka Lis.'!F185</f>
        <v>ÖZMEN</v>
      </c>
    </row>
    <row r="194" spans="1:6" ht="16.5" customHeight="1" x14ac:dyDescent="0.3">
      <c r="A194" s="161" t="s">
        <v>816</v>
      </c>
      <c r="B194" s="157" t="str">
        <f>'Banka Lis.'!C186</f>
        <v>TR950001000112972964205001</v>
      </c>
      <c r="C194" s="158">
        <f>'Banka Lis.'!D186</f>
        <v>12996</v>
      </c>
      <c r="D194" s="159" t="str">
        <f>'Banka Lis.'!G186</f>
        <v>14771083360</v>
      </c>
      <c r="E194" s="156" t="str">
        <f>'Banka Lis.'!E186</f>
        <v>YUNUS EFDAL</v>
      </c>
      <c r="F194" s="87" t="str">
        <f>'Banka Lis.'!F186</f>
        <v>ÇELİK</v>
      </c>
    </row>
    <row r="195" spans="1:6" ht="16.5" customHeight="1" x14ac:dyDescent="0.3">
      <c r="A195" s="161" t="s">
        <v>816</v>
      </c>
      <c r="B195" s="157" t="str">
        <f>'Banka Lis.'!C187</f>
        <v>TR030001000932919356335001</v>
      </c>
      <c r="C195" s="158">
        <f>'Banka Lis.'!D187</f>
        <v>15162</v>
      </c>
      <c r="D195" s="159" t="str">
        <f>'Banka Lis.'!G187</f>
        <v>29677892268</v>
      </c>
      <c r="E195" s="156" t="str">
        <f>'Banka Lis.'!E187</f>
        <v>YUNUS EMRE</v>
      </c>
      <c r="F195" s="87" t="str">
        <f>'Banka Lis.'!F187</f>
        <v>TOGAÇ</v>
      </c>
    </row>
    <row r="196" spans="1:6" ht="16.5" customHeight="1" x14ac:dyDescent="0.3">
      <c r="A196" s="161" t="s">
        <v>816</v>
      </c>
      <c r="B196" s="157" t="str">
        <f>'Banka Lis.'!C188</f>
        <v>TR770015700000000096040566</v>
      </c>
      <c r="C196" s="158">
        <f>'Banka Lis.'!D188</f>
        <v>15162</v>
      </c>
      <c r="D196" s="159" t="str">
        <f>'Banka Lis.'!G188</f>
        <v>19117690486</v>
      </c>
      <c r="E196" s="156" t="str">
        <f>'Banka Lis.'!E188</f>
        <v>YUSUF</v>
      </c>
      <c r="F196" s="87" t="str">
        <f>'Banka Lis.'!F188</f>
        <v>KESKİN</v>
      </c>
    </row>
    <row r="197" spans="1:6" ht="16.5" customHeight="1" x14ac:dyDescent="0.3">
      <c r="A197" s="161" t="s">
        <v>816</v>
      </c>
      <c r="B197" s="157" t="str">
        <f>'Banka Lis.'!C189</f>
        <v>TR200001009010435783305001</v>
      </c>
      <c r="C197" s="158">
        <f>'Banka Lis.'!D189</f>
        <v>12996</v>
      </c>
      <c r="D197" s="159" t="str">
        <f>'Banka Lis.'!G189</f>
        <v>10486978632</v>
      </c>
      <c r="E197" s="156" t="str">
        <f>'Banka Lis.'!E189</f>
        <v>YUSUF</v>
      </c>
      <c r="F197" s="87" t="str">
        <f>'Banka Lis.'!F189</f>
        <v>YİĞİT</v>
      </c>
    </row>
    <row r="198" spans="1:6" ht="14.4" x14ac:dyDescent="0.3">
      <c r="A198" s="161" t="s">
        <v>816</v>
      </c>
      <c r="B198" s="157" t="str">
        <f>'Banka Lis.'!C190</f>
        <v>TR570006701000000033750610</v>
      </c>
      <c r="C198" s="158">
        <f>'Banka Lis.'!D190</f>
        <v>14079</v>
      </c>
      <c r="D198" s="159" t="str">
        <f>'Banka Lis.'!G190</f>
        <v>10412895460</v>
      </c>
      <c r="E198" s="156" t="str">
        <f>'Banka Lis.'!E190</f>
        <v>ZELİHA</v>
      </c>
      <c r="F198" s="87" t="str">
        <f>'Banka Lis.'!F190</f>
        <v>BEKTAŞ</v>
      </c>
    </row>
    <row r="199" spans="1:6" ht="16.5" customHeight="1" x14ac:dyDescent="0.3">
      <c r="A199" s="161" t="s">
        <v>816</v>
      </c>
      <c r="B199" s="157" t="str">
        <f>'Banka Lis.'!C191</f>
        <v>TR100006200145400006647374</v>
      </c>
      <c r="C199" s="158">
        <f>'Banka Lis.'!D191</f>
        <v>9747</v>
      </c>
      <c r="D199" s="159" t="str">
        <f>'Banka Lis.'!G191</f>
        <v>10339935744</v>
      </c>
      <c r="E199" s="156" t="str">
        <f>'Banka Lis.'!E191</f>
        <v>ZEYNEP</v>
      </c>
      <c r="F199" s="87" t="str">
        <f>'Banka Lis.'!F191</f>
        <v>AKÇAM</v>
      </c>
    </row>
    <row r="200" spans="1:6" ht="16.5" customHeight="1" x14ac:dyDescent="0.3">
      <c r="A200" s="161" t="s">
        <v>816</v>
      </c>
      <c r="B200" s="157" t="str">
        <f>'Banka Lis.'!C192</f>
        <v>TR240001009010957551505002</v>
      </c>
      <c r="C200" s="158">
        <f>'Banka Lis.'!D192</f>
        <v>12996</v>
      </c>
      <c r="D200" s="159" t="str">
        <f>'Banka Lis.'!G192</f>
        <v>10276740210</v>
      </c>
      <c r="E200" s="156" t="str">
        <f>'Banka Lis.'!E192</f>
        <v>ZEYNEP</v>
      </c>
      <c r="F200" s="87" t="str">
        <f>'Banka Lis.'!F192</f>
        <v>DEMİRAYAK</v>
      </c>
    </row>
    <row r="201" spans="1:6" ht="14.4" x14ac:dyDescent="0.3">
      <c r="A201" s="161" t="s">
        <v>816</v>
      </c>
      <c r="B201" s="157" t="str">
        <f>'Banka Lis.'!C193</f>
        <v>TR340001004002828302515004</v>
      </c>
      <c r="C201" s="158">
        <f>'Banka Lis.'!D193</f>
        <v>3249</v>
      </c>
      <c r="D201" s="159" t="str">
        <f>'Banka Lis.'!G193</f>
        <v>48730397168</v>
      </c>
      <c r="E201" s="156" t="str">
        <f>'Banka Lis.'!E193</f>
        <v>MAHMUT</v>
      </c>
      <c r="F201" s="87" t="str">
        <f>'Banka Lis.'!F193</f>
        <v>ÖZGAN</v>
      </c>
    </row>
    <row r="202" spans="1:6" ht="14.4" x14ac:dyDescent="0.3">
      <c r="A202" s="162"/>
      <c r="B202" s="163"/>
      <c r="C202" s="164"/>
      <c r="D202" s="165"/>
      <c r="E202" s="166"/>
      <c r="F202" s="162"/>
    </row>
    <row r="203" spans="1:6" ht="14.4" x14ac:dyDescent="0.3">
      <c r="A203" s="163" t="str">
        <f>'Banka Lis.'!C196</f>
        <v>Hazırlayan</v>
      </c>
      <c r="B203" s="162"/>
      <c r="C203" s="164"/>
      <c r="D203" s="165"/>
      <c r="E203" s="166"/>
      <c r="F203" s="162"/>
    </row>
    <row r="204" spans="1:6" ht="14.4" x14ac:dyDescent="0.3">
      <c r="A204" s="163"/>
      <c r="B204" s="162"/>
      <c r="C204" s="164"/>
      <c r="D204" s="165"/>
      <c r="E204" s="166"/>
      <c r="F204" s="162"/>
    </row>
    <row r="205" spans="1:6" ht="14.4" x14ac:dyDescent="0.3">
      <c r="A205" s="163" t="str">
        <f>'Banka Lis.'!C198</f>
        <v>Tansu KARAKÖK</v>
      </c>
      <c r="B205" s="258" t="str">
        <f>'Banka Lis.'!E198</f>
        <v>Tekin ÇİMEN</v>
      </c>
      <c r="C205" s="258"/>
      <c r="D205" s="165"/>
      <c r="E205" s="141" t="s">
        <v>790</v>
      </c>
      <c r="F205" s="162"/>
    </row>
    <row r="206" spans="1:6" ht="14.4" x14ac:dyDescent="0.3">
      <c r="A206" s="163" t="str">
        <f>'Banka Lis.'!C199</f>
        <v xml:space="preserve">        Şef </v>
      </c>
      <c r="B206" s="258" t="str">
        <f>'Banka Lis.'!E199</f>
        <v>Şube Müdürü</v>
      </c>
      <c r="C206" s="258"/>
      <c r="D206" s="165"/>
      <c r="E206" s="141" t="s">
        <v>794</v>
      </c>
      <c r="F206" s="162"/>
    </row>
  </sheetData>
  <autoFilter ref="A12:F201" xr:uid="{61673EE0-5207-4BA2-B30E-0B4BEA164682}"/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B205:C205"/>
    <mergeCell ref="B206:C206"/>
  </mergeCells>
  <conditionalFormatting sqref="D13:D206">
    <cfRule type="duplicateValues" dxfId="1" priority="43"/>
  </conditionalFormatting>
  <conditionalFormatting sqref="A203:A206 B13:B202">
    <cfRule type="duplicateValues" dxfId="0" priority="45" stopIfTrue="1"/>
  </conditionalFormatting>
  <dataValidations count="11">
    <dataValidation type="list" allowBlank="1" showInputMessage="1" showErrorMessage="1" sqref="C7" xr:uid="{5BD44853-6E07-465A-9E3C-A06B8283992C}">
      <formula1>$F$2:$R$2</formula1>
    </dataValidation>
    <dataValidation type="textLength" operator="lessThan" allowBlank="1" showInputMessage="1" showErrorMessage="1" errorTitle="UYARI" error="Ödeme dönemi maksimum 50 karakterden oluşmalıdır." sqref="C9" xr:uid="{E9DD4DBF-797F-48CA-B55F-5878D475E85E}">
      <formula1>50</formula1>
    </dataValidation>
    <dataValidation type="textLength" operator="lessThan" allowBlank="1" showInputMessage="1" showErrorMessage="1" errorTitle="UYARI" error="Ödeme açıklaması maksimum 20 karakterden oluşmalıdır." sqref="C8" xr:uid="{97BF9161-DD58-49B2-954D-3BFC187CABA4}">
      <formula1>21</formula1>
    </dataValidation>
    <dataValidation type="textLength" allowBlank="1" showInputMessage="1" showErrorMessage="1" errorTitle="UYARI" error="TCKN (Türkiye Cumhuriyeti Kimlik Numarası) için 11, _x000a_VKN (Vergi Kimlik Numarası) için 10, _x000a_YKN (Yabancı Kimlik Numarası) için 11, _x000a_KKTCNO (Kuzey Kıbrıs Kimlik Numarası) için 6 karakter girişi yapılmalıdır. " sqref="D13:D206" xr:uid="{DAF347F7-E351-4CE8-98FB-7B7EB28FDE3E}">
      <formula1>6</formula1>
      <formula2>11</formula2>
    </dataValidation>
    <dataValidation type="decimal" operator="lessThan" allowBlank="1" showInputMessage="1" showErrorMessage="1" errorTitle="UYARI" error="Ödeme/Kesinti yapılacak parasal tutarı giriniz. Para birimi girmeyiniz. _x000a_Tutar bilgisi 0'dan büyük olmalıdır. Binlik ayraç kullanmayınız._x000a_Ondalık kısım iki karakter olabilir. _x000a_(Örneğin 123456,70 veya 4563,00)" sqref="C13:C204" xr:uid="{05DC7EDA-BF09-4058-BD4C-57BBFDC2B91F}">
      <formula1>1000000000</formula1>
    </dataValidation>
    <dataValidation type="textLength" operator="lessThan" allowBlank="1" showInputMessage="1" showErrorMessage="1" errorTitle="UYARI" error="Maksimum 4 karakter (Örneğin: 1234)_x000a_Hesap numarası ile ödeme yapılacak ise doldurulması zorunludur._x000a_IBAN kullanıldığında boş bırakılmalıdır." sqref="A13:A201" xr:uid="{6742DBF2-9141-4DAE-ABC2-D3D59769C715}">
      <formula1>5</formula1>
    </dataValidation>
    <dataValidation type="list" allowBlank="1" showInputMessage="1" showErrorMessage="1" sqref="C6" xr:uid="{9A14E187-C990-4761-9E0E-DEF5843A8C8A}">
      <formula1>$F$1:$H$1</formula1>
    </dataValidation>
    <dataValidation type="textLength" operator="lessThan" allowBlank="1" showInputMessage="1" showErrorMessage="1" errorTitle="UYARI" error="IBAN, TR ile başlayıp toplam 26 karakter olmalıdır. Nokta, virgül, boşluk, tire gibi karakterler içermemelidir._x000a_Hesap No; maksimum 8 karakterli olmalıdır. " sqref="C4" xr:uid="{AE26B23D-F374-4855-9ABF-DC77DB6E84AF}">
      <formula1>27</formula1>
    </dataValidation>
    <dataValidation type="textLength" operator="lessThan" allowBlank="1" showInputMessage="1" showErrorMessage="1" errorTitle="UYARI" error="Şube kodunuz maksimum 4 rakamdan oluşmalıdır." sqref="C3" xr:uid="{1508469B-8FDC-4632-834E-237F38204578}">
      <formula1>5</formula1>
    </dataValidation>
    <dataValidation type="textLength" operator="lessThan" allowBlank="1" showInputMessage="1" showErrorMessage="1" errorTitle="UYARI" error="Müşteri numaranız maksimum 8 rakamdan oluşmalıdır." sqref="C2" xr:uid="{8889B613-9ACB-4CB3-BCBB-7FA46C6D4FA4}">
      <formula1>9</formula1>
    </dataValidation>
    <dataValidation type="textLength" operator="equal" showInputMessage="1" showErrorMessage="1" errorTitle="UYARI" error="YIL_AY_GÜN (YYYYAAGG) formatında 8 karakter olacak şekilde giriş yapınız. " sqref="C1" xr:uid="{89C6BFE3-7B63-462C-88E4-39BBE0FE555E}">
      <formula1>8</formula1>
    </dataValidation>
  </dataValidations>
  <pageMargins left="0.19685039370078741" right="0.19685039370078741" top="0.39370078740157483" bottom="0.39370078740157483" header="0" footer="0"/>
  <pageSetup paperSize="9" scale="76" fitToHeight="0" orientation="portrait" r:id="rId1"/>
  <ignoredErrors>
    <ignoredError sqref="B142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4</vt:i4>
      </vt:variant>
    </vt:vector>
  </HeadingPairs>
  <TitlesOfParts>
    <vt:vector size="9" baseType="lpstr">
      <vt:lpstr>Puantaj</vt:lpstr>
      <vt:lpstr>BORDRO</vt:lpstr>
      <vt:lpstr>Banka Lis.</vt:lpstr>
      <vt:lpstr>MUH SGK RAPORU</vt:lpstr>
      <vt:lpstr>HALKBANK</vt:lpstr>
      <vt:lpstr>'Banka Lis.'!Yazdırma_Alanı</vt:lpstr>
      <vt:lpstr>BORDRO!Yazdırma_Alanı</vt:lpstr>
      <vt:lpstr>HALKBANK!Yazdırma_Alanı</vt:lpstr>
      <vt:lpstr>Puantaj!Yazdırma_Alanı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aşkın</dc:creator>
  <cp:lastModifiedBy>Mehmet Oğuzhan</cp:lastModifiedBy>
  <cp:lastPrinted>2025-12-23T12:24:28Z</cp:lastPrinted>
  <dcterms:created xsi:type="dcterms:W3CDTF">2001-07-30T08:33:08Z</dcterms:created>
  <dcterms:modified xsi:type="dcterms:W3CDTF">2026-03-15T00:48:02Z</dcterms:modified>
</cp:coreProperties>
</file>